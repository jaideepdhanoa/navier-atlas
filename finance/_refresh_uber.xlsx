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opex'!$A$4:$G$13</definedName>
    <definedName name="som_floor_fleet">'Corridor economics'!$D$175</definedName>
    <definedName name="som_floor_rev">'Corridor economics'!$E$175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Uber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Croatia</t>
        </is>
      </c>
      <c r="B4" s="26" t="n">
        <v>28000</v>
      </c>
      <c r="C4" s="27" t="n">
        <v>0.15</v>
      </c>
      <c r="D4" s="19" t="n">
        <v>0.2</v>
      </c>
      <c r="E4" s="26" t="n">
        <v>16000</v>
      </c>
      <c r="F4" s="19" t="n">
        <v>0.6</v>
      </c>
      <c r="G4" s="26" t="n">
        <v>900000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Egypt</t>
        </is>
      </c>
      <c r="B5" s="26" t="n">
        <v>12000</v>
      </c>
      <c r="C5" s="27" t="n">
        <v>0.06</v>
      </c>
      <c r="D5" s="19" t="n">
        <v>0.45</v>
      </c>
      <c r="E5" s="26" t="n">
        <v>8000</v>
      </c>
      <c r="F5" s="19" t="n">
        <v>0.3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France</t>
        </is>
      </c>
      <c r="B6" s="26" t="n">
        <v>55000</v>
      </c>
      <c r="C6" s="27" t="n">
        <v>0.2</v>
      </c>
      <c r="D6" s="19" t="n">
        <v>0.06</v>
      </c>
      <c r="E6" s="26" t="n">
        <v>30000</v>
      </c>
      <c r="F6" s="19" t="n">
        <v>1.15</v>
      </c>
      <c r="G6" s="26" t="n">
        <v>900000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Greece</t>
        </is>
      </c>
      <c r="B7" s="26" t="n">
        <v>32000</v>
      </c>
      <c r="C7" s="27" t="n">
        <v>0.19</v>
      </c>
      <c r="D7" s="19" t="n">
        <v>0.4</v>
      </c>
      <c r="E7" s="26" t="n">
        <v>18000</v>
      </c>
      <c r="F7" s="19" t="n">
        <v>0.7</v>
      </c>
      <c r="G7" s="26" t="n">
        <v>900000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Italy</t>
        </is>
      </c>
      <c r="B8" s="26" t="n">
        <v>48000</v>
      </c>
      <c r="C8" s="27" t="n">
        <v>0.28</v>
      </c>
      <c r="D8" s="19" t="n">
        <v>0.33</v>
      </c>
      <c r="E8" s="26" t="n">
        <v>26000</v>
      </c>
      <c r="F8" s="19" t="n">
        <v>1</v>
      </c>
      <c r="G8" s="26" t="n">
        <v>900000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Nigeria</t>
        </is>
      </c>
      <c r="B9" s="26" t="n">
        <v>12000</v>
      </c>
      <c r="C9" s="27" t="n">
        <v>0.13</v>
      </c>
      <c r="D9" s="19" t="n">
        <v>0.4</v>
      </c>
      <c r="E9" s="26" t="n">
        <v>9000</v>
      </c>
      <c r="F9" s="19" t="n">
        <v>0.32</v>
      </c>
      <c r="G9" s="26" t="n">
        <v>600000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Qatar</t>
        </is>
      </c>
      <c r="B10" s="26" t="n">
        <v>43000</v>
      </c>
      <c r="C10" s="27" t="n">
        <v>0.036</v>
      </c>
      <c r="D10" s="19" t="n">
        <v>0.49</v>
      </c>
      <c r="E10" s="26" t="n">
        <v>20000</v>
      </c>
      <c r="F10" s="19" t="n">
        <v>0.7</v>
      </c>
      <c r="G10" s="26" t="n">
        <v>600000</v>
      </c>
      <c r="H10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1">
      <c r="A11" s="25" t="inlineStr">
        <is>
          <t>Saudi Arabia</t>
        </is>
      </c>
      <c r="B11" s="26" t="n">
        <v>42000</v>
      </c>
      <c r="C11" s="27" t="n">
        <v>0.074</v>
      </c>
      <c r="D11" s="19" t="n">
        <v>0.57</v>
      </c>
      <c r="E11" s="26" t="n">
        <v>18000</v>
      </c>
      <c r="F11" s="19" t="n">
        <v>0.68</v>
      </c>
      <c r="G11" s="26" t="n">
        <v>600000</v>
      </c>
      <c r="H11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2">
      <c r="A12" s="25" t="inlineStr">
        <is>
          <t>Turkey</t>
        </is>
      </c>
      <c r="B12" s="26" t="n">
        <v>20000</v>
      </c>
      <c r="C12" s="27" t="n">
        <v>0.12</v>
      </c>
      <c r="D12" s="19" t="n">
        <v>0.4</v>
      </c>
      <c r="E12" s="26" t="n">
        <v>12000</v>
      </c>
      <c r="F12" s="19" t="n">
        <v>0.45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United Arab Emirates</t>
        </is>
      </c>
      <c r="B13" s="26" t="n">
        <v>40000</v>
      </c>
      <c r="C13" s="27" t="n">
        <v>0.08500000000000001</v>
      </c>
      <c r="D13" s="19" t="n">
        <v>0.4</v>
      </c>
      <c r="E13" s="26" t="n">
        <v>22000</v>
      </c>
      <c r="F13" s="19" t="n">
        <v>0.74</v>
      </c>
      <c r="G13" s="26" t="n">
        <v>600000</v>
      </c>
      <c r="H13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8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Uber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Bolt Croatia</t>
        </is>
      </c>
      <c r="B4" s="29" t="inlineStr">
        <is>
          <t>Croatia</t>
        </is>
      </c>
      <c r="C4" s="30" t="inlineStr">
        <is>
          <t>Split → Trogir (via Čiovo)</t>
        </is>
      </c>
      <c r="D4" s="31" t="n">
        <v>8</v>
      </c>
      <c r="E4" s="26" t="n">
        <v>10.8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MIN(24,FLOOR(60*service_hr/J4,1))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PREMIUM/scheduled per-seat: Bura Line Split-&gt;Trogir EUR 10 adult (60 min). EUR 10 x 1.08 = $10.8.</t>
        </is>
      </c>
      <c r="AY4" s="44" t="n"/>
    </row>
    <row r="5">
      <c r="A5" s="29" t="inlineStr">
        <is>
          <t>Bolt Croatia</t>
        </is>
      </c>
      <c r="B5" s="29" t="inlineStr">
        <is>
          <t>Croatia</t>
        </is>
      </c>
      <c r="C5" s="30" t="inlineStr">
        <is>
          <t>Dubrovnik → Elaphiti Islands (Lopud / Šipan / Koločep)</t>
        </is>
      </c>
      <c r="D5" s="31" t="n">
        <v>8</v>
      </c>
      <c r="E5" s="26" t="n">
        <v>45.4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AY5" s="44" t="n"/>
    </row>
    <row r="6">
      <c r="A6" s="29" t="inlineStr">
        <is>
          <t>Bolt Croatia</t>
        </is>
      </c>
      <c r="B6" s="29" t="inlineStr">
        <is>
          <t>Croatia</t>
        </is>
      </c>
      <c r="C6" s="30" t="inlineStr">
        <is>
          <t>Split → Šolta (Rogač)</t>
        </is>
      </c>
      <c r="D6" s="31" t="n">
        <v>9</v>
      </c>
      <c r="E6" s="26" t="n">
        <v>7.6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AY6" s="44" t="n"/>
    </row>
    <row r="7">
      <c r="A7" s="29" t="inlineStr">
        <is>
          <t>Bolt Croatia</t>
        </is>
      </c>
      <c r="B7" s="29" t="inlineStr">
        <is>
          <t>Croatia</t>
        </is>
      </c>
      <c r="C7" s="30" t="inlineStr">
        <is>
          <t>Dubrovnik → Cavtat</t>
        </is>
      </c>
      <c r="D7" s="31" t="n">
        <v>9</v>
      </c>
      <c r="E7" s="26" t="n">
        <v>10.8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179000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Scheduled water-taxi/boat Dubrovnik&lt;-&gt;Cavtat ~EUR 9-10 one-way (regular service via Mlini/Srebreno). EUR 10 x 1.08 = $10.8.</t>
        </is>
      </c>
      <c r="AY7" s="44" t="n"/>
    </row>
    <row r="8">
      <c r="A8" s="29" t="inlineStr">
        <is>
          <t>Bolt Croatia</t>
        </is>
      </c>
      <c r="B8" s="29" t="inlineStr">
        <is>
          <t>Croatia</t>
        </is>
      </c>
      <c r="C8" s="30" t="inlineStr">
        <is>
          <t>Dubrovnik Airport (Čilipi) → Dubrovnik / Cavtat (resort transfer)</t>
        </is>
      </c>
      <c r="D8" s="31" t="n">
        <v>10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Bolt Croatia</t>
        </is>
      </c>
      <c r="B9" s="29" t="inlineStr">
        <is>
          <t>Croatia</t>
        </is>
      </c>
      <c r="C9" s="30" t="inlineStr">
        <is>
          <t>Split → Brač (Bol)</t>
        </is>
      </c>
      <c r="D9" s="31" t="n">
        <v>12</v>
      </c>
      <c r="E9" s="26" t="n">
        <v>23.5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PREMIUM tier: seasonal fast catamaran Split-&gt;Bol adult EUR 20-23 (Jadrolinija Split-Bol-Jelsa EUR 20; Krilo/Jadrolinija from EUR 23). Midpoint ~EUR 21.7 x 1.08 = $23.5.</t>
        </is>
      </c>
      <c r="AY9" s="44" t="n"/>
    </row>
    <row r="10">
      <c r="A10" s="29" t="inlineStr">
        <is>
          <t>Bolt Croatia</t>
        </is>
      </c>
      <c r="B10" s="29" t="inlineStr">
        <is>
          <t>Croatia</t>
        </is>
      </c>
      <c r="C10" s="30" t="inlineStr">
        <is>
          <t>Split Airport (Resnik / Trogir) → Split / Brač / Hvar (resort &amp; island transfer)</t>
        </is>
      </c>
      <c r="D10" s="31" t="n">
        <v>12</v>
      </c>
      <c r="E10" s="26" t="n">
        <v>27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AY10" s="44" t="n"/>
    </row>
    <row r="11">
      <c r="A11" s="29" t="inlineStr">
        <is>
          <t>Bolt Croatia</t>
        </is>
      </c>
      <c r="B11" s="29" t="inlineStr">
        <is>
          <t>Croatia</t>
        </is>
      </c>
      <c r="C11" s="30" t="inlineStr">
        <is>
          <t>Zadar (Murter / Biograd gateway) → Kornati National Park</t>
        </is>
      </c>
      <c r="D11" s="31" t="n">
        <v>20</v>
      </c>
      <c r="E11" s="26" t="n">
        <v>75.59999999999999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110000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AY11" s="44" t="n"/>
    </row>
    <row r="12">
      <c r="A12" s="29" t="inlineStr">
        <is>
          <t>Bolt Croatia</t>
        </is>
      </c>
      <c r="B12" s="29" t="inlineStr">
        <is>
          <t>Croatia</t>
        </is>
      </c>
      <c r="C12" s="30" t="inlineStr">
        <is>
          <t>Split → Hvar</t>
        </is>
      </c>
      <c r="D12" s="31" t="n">
        <v>22</v>
      </c>
      <c r="E12" s="26" t="n">
        <v>27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550000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PREMIUM tier: scheduled fast tourist catamaran Split-&gt;Hvar Town adult ~EUR 25 (Kapetan Luka 'Krilo', TP Line, Adriatic Fast Ferries, Jadrolinija fast cat). EUR 25 x 1.08 = $27.0.</t>
        </is>
      </c>
      <c r="AY12" s="44" t="n"/>
    </row>
    <row r="13">
      <c r="A13" s="29" t="inlineStr">
        <is>
          <t>Bolt Croatia</t>
        </is>
      </c>
      <c r="B13" s="29" t="inlineStr">
        <is>
          <t>Croatia</t>
        </is>
      </c>
      <c r="C13" s="30" t="inlineStr">
        <is>
          <t>Dubrovnik → Mljet (Polače / Sobra)</t>
        </is>
      </c>
      <c r="D13" s="31" t="n">
        <v>22</v>
      </c>
      <c r="E13" s="26" t="n">
        <v>21.6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125000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PREMIUM tier: TP Line/Krilo catamaran Dubrovnik-&gt;Polače peak adult ~EUR 20 (summer range to EUR 20). EUR 20 x 1.08 = $21.6.</t>
        </is>
      </c>
      <c r="AY13" s="44" t="n"/>
    </row>
    <row r="14">
      <c r="A14" s="29" t="inlineStr">
        <is>
          <t>Bolt Croatia</t>
        </is>
      </c>
      <c r="B14" s="29" t="inlineStr">
        <is>
          <t>Croatia</t>
        </is>
      </c>
      <c r="C14" s="30" t="inlineStr">
        <is>
          <t>Hvar (Hvar Town) → Korčula (Korčula Town)</t>
        </is>
      </c>
      <c r="D14" s="31" t="n">
        <v>30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PREMIUM tier: Krilo/Kapetan Luka &amp; TP Line catamaran Hvar-&gt;Korčula top foot fare ~EUR 25 (range EUR 5.84-25). EUR 25 x 1.08 = $27.0.</t>
        </is>
      </c>
      <c r="AY14" s="44" t="n"/>
    </row>
    <row r="15">
      <c r="A15" s="29" t="inlineStr">
        <is>
          <t>Bolt Croatia</t>
        </is>
      </c>
      <c r="B15" s="29" t="inlineStr">
        <is>
          <t>Croatia</t>
        </is>
      </c>
      <c r="C15" s="30" t="inlineStr">
        <is>
          <t>Split → Vis</t>
        </is>
      </c>
      <c r="D15" s="31" t="n">
        <v>31</v>
      </c>
      <c r="E15" s="26" t="n">
        <v>30.2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46000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PREMIUM tier: Kapetan Luka 'Krilo'/Jadrolinija fast catamaran Split-&gt;Vis, top foot fare ~EUR 28 (range EUR 6.50-28). EUR 28 x 1.08 = $30.2.</t>
        </is>
      </c>
      <c r="AY15" s="44" t="n"/>
    </row>
    <row r="16">
      <c r="A16" s="29" t="inlineStr">
        <is>
          <t>Bolt Croatia</t>
        </is>
      </c>
      <c r="B16" s="29" t="inlineStr">
        <is>
          <t>Croatia</t>
        </is>
      </c>
      <c r="C16" s="30" t="inlineStr">
        <is>
          <t>Split → Korčula (Korčula Town)</t>
        </is>
      </c>
      <c r="D16" s="31" t="n">
        <v>40</v>
      </c>
      <c r="E16" s="26" t="n">
        <v>32.4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183000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PREMIUM tier: high-season fast catamaran Split-&gt;Korčula adult up to EUR 30 (Krilo/TP Line). EUR 30 x 1.08 = $32.4.</t>
        </is>
      </c>
      <c r="AY16" s="44" t="n"/>
    </row>
    <row r="17">
      <c r="A17" s="29" t="inlineStr">
        <is>
          <t>Bolt Croatia</t>
        </is>
      </c>
      <c r="B17" s="29" t="inlineStr">
        <is>
          <t>Croatia</t>
        </is>
      </c>
      <c r="C17" s="30" t="inlineStr">
        <is>
          <t>Dubrovnik → Kotor (Montenegro)</t>
        </is>
      </c>
      <c r="D17" s="31" t="n">
        <v>40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n"/>
    </row>
    <row r="18">
      <c r="A18" s="29" t="inlineStr">
        <is>
          <t>Bolt Croatia</t>
        </is>
      </c>
      <c r="B18" s="29" t="inlineStr">
        <is>
          <t>Croatia</t>
        </is>
      </c>
      <c r="C18" s="30" t="inlineStr">
        <is>
          <t>Dubrovnik → Korčula (Korčula Town)</t>
        </is>
      </c>
      <c r="D18" s="31" t="n">
        <v>47</v>
      </c>
      <c r="E18" s="26" t="n">
        <v>32.4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PREMIUM tier: high-season catamaran Dubrovnik-&gt;Korčula adult up to EUR 30 (TP Line/Krilo). EUR 30 x 1.08 = $32.4.</t>
        </is>
      </c>
      <c r="AY18" s="44" t="n"/>
    </row>
    <row r="19">
      <c r="A19" s="29" t="inlineStr">
        <is>
          <t>Bolt Egypt</t>
        </is>
      </c>
      <c r="B19" s="29" t="inlineStr">
        <is>
          <t>Egypt</t>
        </is>
      </c>
      <c r="C19" s="30" t="inlineStr">
        <is>
          <t>El Gouna (internal lagoon) → El Gouna Downtown / Abu Tig</t>
        </is>
      </c>
      <c r="D19" s="31" t="n">
        <v>2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Estimated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Y19" s="44" t="n"/>
    </row>
    <row r="20">
      <c r="A20" s="29" t="inlineStr">
        <is>
          <t>Bolt Egypt</t>
        </is>
      </c>
      <c r="B20" s="29" t="inlineStr">
        <is>
          <t>Egypt</t>
        </is>
      </c>
      <c r="C20" s="30" t="inlineStr">
        <is>
          <t>Cairo - Maadi → Cairo - Zamalek / Downtown</t>
        </is>
      </c>
      <c r="D20" s="31" t="n">
        <v>6</v>
      </c>
      <c r="E20" s="26" t="n">
        <v>18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Y20" s="44" t="n"/>
    </row>
    <row r="21">
      <c r="A21" s="29" t="inlineStr">
        <is>
          <t>Bolt Egypt</t>
        </is>
      </c>
      <c r="B21" s="29" t="inlineStr">
        <is>
          <t>Egypt</t>
        </is>
      </c>
      <c r="C21" s="30" t="inlineStr">
        <is>
          <t>Hurghada → Giftun Island (Orange Bay / Mahmya)</t>
        </is>
      </c>
      <c r="D21" s="31" t="n">
        <v>9</v>
      </c>
      <c r="E21" s="26" t="n">
        <v>32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1204586</v>
      </c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Y21" s="44" t="n"/>
    </row>
    <row r="22">
      <c r="A22" s="29" t="inlineStr">
        <is>
          <t>Bolt Egypt</t>
        </is>
      </c>
      <c r="B22" s="29" t="inlineStr">
        <is>
          <t>Egypt</t>
        </is>
      </c>
      <c r="C22" s="30" t="inlineStr">
        <is>
          <t>Hurghada → Sahl Hasheesh</t>
        </is>
      </c>
      <c r="D22" s="31" t="n">
        <v>10</v>
      </c>
      <c r="E22" s="26" t="n">
        <v>40.8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Estimated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PREMIUM tier proxy = Dubai RTA convention $40.8/seat (same premium resort-transfer tier as El Gouna). No Egypt-native scheduled water-taxi fare on this leg published.</t>
        </is>
      </c>
      <c r="AY22" s="44" t="n"/>
    </row>
    <row r="23">
      <c r="A23" s="29" t="inlineStr">
        <is>
          <t>Bolt Egypt</t>
        </is>
      </c>
      <c r="B23" s="29" t="inlineStr">
        <is>
          <t>Egypt</t>
        </is>
      </c>
      <c r="C23" s="30" t="inlineStr">
        <is>
          <t>Greater Cairo - Maspero (Downtown) → Greater Cairo - Warraq / El Qanater</t>
        </is>
      </c>
      <c r="D23" s="31" t="n">
        <v>13</v>
      </c>
      <c r="E23" s="26" t="n">
        <v>18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Estimated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Y23" s="44" t="n"/>
    </row>
    <row r="24">
      <c r="A24" s="29" t="inlineStr">
        <is>
          <t>Bolt Egypt</t>
        </is>
      </c>
      <c r="B24" s="29" t="inlineStr">
        <is>
          <t>Egypt</t>
        </is>
      </c>
      <c r="C24" s="30" t="inlineStr">
        <is>
          <t>Hurghada → El Gouna</t>
        </is>
      </c>
      <c r="D24" s="31" t="n">
        <v>14</v>
      </c>
      <c r="E24" s="26" t="n">
        <v>40.8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10402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Upside tier</t>
        </is>
      </c>
      <c r="AR24" s="41" t="n"/>
      <c r="AS24" s="41" t="inlineStr">
        <is>
          <t>modal_shift_greenfield</t>
        </is>
      </c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Y24" s="44" t="n"/>
    </row>
    <row r="25">
      <c r="A25" s="29" t="inlineStr">
        <is>
          <t>Bolt Egypt</t>
        </is>
      </c>
      <c r="B25" s="29" t="inlineStr">
        <is>
          <t>Egypt</t>
        </is>
      </c>
      <c r="C25" s="30" t="inlineStr">
        <is>
          <t>Sharm El Sheikh → Ras Mohammed / Tiran reefs</t>
        </is>
      </c>
      <c r="D25" s="31" t="n">
        <v>16</v>
      </c>
      <c r="E25" s="26" t="n">
        <v>50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50000</v>
      </c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PREMIUM tier = VIP/premium Ras Mohammed + White Island boat sea-trip ~$52/adult (Tripadvisor VIP boat); standard scheduled boat day-trips from EUR 24 (~$26). Modeled premium tier ~$50.</t>
        </is>
      </c>
      <c r="AY25" s="44" t="n"/>
    </row>
    <row r="26">
      <c r="A26" s="29" t="inlineStr">
        <is>
          <t>Bolt Egypt</t>
        </is>
      </c>
      <c r="B26" s="29" t="inlineStr">
        <is>
          <t>Egypt</t>
        </is>
      </c>
      <c r="C26" s="30" t="inlineStr">
        <is>
          <t>Hurghada → Soma Bay</t>
        </is>
      </c>
      <c r="D26" s="31" t="n">
        <v>25</v>
      </c>
      <c r="E26" s="26" t="n">
        <v>40.8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6935</v>
      </c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PREMIUM tier proxy = Dubai RTA convention $40.8/seat (premium resort-transfer tier). No scheduled Egypt-native marine fare on this leg.</t>
        </is>
      </c>
      <c r="AY26" s="44" t="n"/>
    </row>
    <row r="27">
      <c r="A27" s="29" t="inlineStr">
        <is>
          <t>Bolt Egypt</t>
        </is>
      </c>
      <c r="B27" s="29" t="inlineStr">
        <is>
          <t>Egypt</t>
        </is>
      </c>
      <c r="C27" s="30" t="inlineStr">
        <is>
          <t>Sharm El Sheikh → Dahab</t>
        </is>
      </c>
      <c r="D27" s="31" t="n">
        <v>28</v>
      </c>
      <c r="E27" s="26" t="n">
        <v>15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MIN(24,FLOOR(60*service_hr/J27,1))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Estimated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tier (road analogue) = private transfer Sharm&lt;-&gt;Dahab ~1400-1500 EGP/car (~$29-31) divided ~4 pax (~$7.5/seat) up to premium per-seat ~$15; no scheduled marine fare exists.</t>
        </is>
      </c>
      <c r="AY27" s="44" t="n"/>
    </row>
    <row r="28">
      <c r="A28" s="29" t="inlineStr">
        <is>
          <t>Bolt Egypt</t>
        </is>
      </c>
      <c r="B28" s="29" t="inlineStr">
        <is>
          <t>Egypt</t>
        </is>
      </c>
      <c r="C28" s="30" t="inlineStr">
        <is>
          <t>Hurghada / El Gouna → Sharm El Sheikh</t>
        </is>
      </c>
      <c r="D28" s="31" t="n">
        <v>49.8</v>
      </c>
      <c r="E28" s="26" t="n">
        <v>110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inlineStr">
        <is>
          <t>T5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Upside tier</t>
        </is>
      </c>
      <c r="AR28" s="41" t="n"/>
      <c r="AS28" s="41" t="inlineStr">
        <is>
          <t>modal_shift_greenfield</t>
        </is>
      </c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Kept from prior registry = $110/seat (historic fast-ferry premium fare level / cross-gulf premium tier). FLAG: legacy/aspirational - no active service.</t>
        </is>
      </c>
      <c r="AY28" s="44" t="inlineStr">
        <is>
          <t>tourism</t>
        </is>
      </c>
    </row>
    <row r="29">
      <c r="A29" s="29" t="inlineStr">
        <is>
          <t>Bolt France Riviera</t>
        </is>
      </c>
      <c r="B29" s="29" t="inlineStr">
        <is>
          <t>France</t>
        </is>
      </c>
      <c r="C29" s="30" t="inlineStr">
        <is>
          <t>Cannes → Ile Sainte-Marguerite (Iles de Lerins)</t>
        </is>
      </c>
      <c r="D29" s="31" t="n">
        <v>1.5</v>
      </c>
      <c r="E29" s="26" t="n">
        <v>10.3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300000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AY29" s="44" t="n"/>
    </row>
    <row r="30">
      <c r="A30" s="29" t="inlineStr">
        <is>
          <t>Bolt France Riviera</t>
        </is>
      </c>
      <c r="B30" s="29" t="inlineStr">
        <is>
          <t>France</t>
        </is>
      </c>
      <c r="C30" s="30" t="inlineStr">
        <is>
          <t>Menton → Monaco</t>
        </is>
      </c>
      <c r="D30" s="31" t="n">
        <v>4</v>
      </c>
      <c r="E30" s="26" t="n"/>
      <c r="F30" s="32" t="n"/>
      <c r="G30" s="32" t="n"/>
      <c r="H30" s="19" t="n">
        <v>1</v>
      </c>
      <c r="I30" s="33">
        <f>60*D30/cruise_kt</f>
        <v/>
      </c>
      <c r="J30" s="33">
        <f>I30+turn_min+dwell_min</f>
        <v/>
      </c>
      <c r="K30" s="34">
        <f>MIN(24,FLOOR(60*service_hr/J30,1))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110565</v>
      </c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n"/>
      <c r="AY30" s="44" t="n"/>
    </row>
    <row r="31">
      <c r="A31" s="29" t="inlineStr">
        <is>
          <t>Bolt France Riviera</t>
        </is>
      </c>
      <c r="B31" s="29" t="inlineStr">
        <is>
          <t>France</t>
        </is>
      </c>
      <c r="C31" s="30" t="inlineStr">
        <is>
          <t>Villefranche-sur-Mer → Monaco</t>
        </is>
      </c>
      <c r="D31" s="31" t="n">
        <v>5</v>
      </c>
      <c r="E31" s="26" t="n"/>
      <c r="F31" s="32" t="n"/>
      <c r="G31" s="32" t="n"/>
      <c r="H31" s="19" t="n">
        <v>1</v>
      </c>
      <c r="I31" s="33">
        <f>60*D31/cruise_kt</f>
        <v/>
      </c>
      <c r="J31" s="33">
        <f>I31+turn_min+dwell_min</f>
        <v/>
      </c>
      <c r="K31" s="34">
        <f>MIN(24,FLOOR(60*service_hr/J31,1))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Estimated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n"/>
      <c r="AY31" s="44" t="n"/>
    </row>
    <row r="32">
      <c r="A32" s="29" t="inlineStr">
        <is>
          <t>Bolt France Riviera</t>
        </is>
      </c>
      <c r="B32" s="29" t="inlineStr">
        <is>
          <t>France</t>
        </is>
      </c>
      <c r="C32" s="30" t="inlineStr">
        <is>
          <t>Antibes → Cannes</t>
        </is>
      </c>
      <c r="D32" s="31" t="n">
        <v>6</v>
      </c>
      <c r="E32" s="26" t="n"/>
      <c r="F32" s="32" t="n"/>
      <c r="G32" s="32" t="n"/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136595</v>
      </c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n"/>
      <c r="AY32" s="44" t="n"/>
    </row>
    <row r="33">
      <c r="A33" s="29" t="inlineStr">
        <is>
          <t>Bolt France Riviera</t>
        </is>
      </c>
      <c r="B33" s="29" t="inlineStr">
        <is>
          <t>France</t>
        </is>
      </c>
      <c r="C33" s="30" t="inlineStr">
        <is>
          <t>Nice → Monaco</t>
        </is>
      </c>
      <c r="D33" s="31" t="n">
        <v>6.5</v>
      </c>
      <c r="E33" s="26" t="n">
        <v>26.7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MIN(24,FLOOR(60*service_hr/J33,1))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368966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AY33" s="44" t="n"/>
    </row>
    <row r="34">
      <c r="A34" s="29" t="inlineStr">
        <is>
          <t>Bolt France Riviera</t>
        </is>
      </c>
      <c r="B34" s="29" t="inlineStr">
        <is>
          <t>France</t>
        </is>
      </c>
      <c r="C34" s="30" t="inlineStr">
        <is>
          <t>Nice Airport → Monaco</t>
        </is>
      </c>
      <c r="D34" s="31" t="n">
        <v>6.7</v>
      </c>
      <c r="E34" s="26" t="n">
        <v>210.6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79000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Upside tier</t>
        </is>
      </c>
      <c r="AR34" s="41" t="n"/>
      <c r="AS34" s="41" t="inlineStr">
        <is>
          <t>modal_shift_greenfield</t>
        </is>
      </c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AY34" s="44" t="n"/>
    </row>
    <row r="35">
      <c r="A35" s="29" t="inlineStr">
        <is>
          <t>Bolt France Riviera</t>
        </is>
      </c>
      <c r="B35" s="29" t="inlineStr">
        <is>
          <t>France</t>
        </is>
      </c>
      <c r="C35" s="30" t="inlineStr">
        <is>
          <t>Nice Airport → Cannes</t>
        </is>
      </c>
      <c r="D35" s="31" t="n">
        <v>9</v>
      </c>
      <c r="E35" s="26" t="n"/>
      <c r="F35" s="32" t="n"/>
      <c r="G35" s="32" t="n"/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n"/>
      <c r="AY35" s="44" t="n"/>
    </row>
    <row r="36">
      <c r="A36" s="29" t="inlineStr">
        <is>
          <t>Bolt France Riviera</t>
        </is>
      </c>
      <c r="B36" s="29" t="inlineStr">
        <is>
          <t>France</t>
        </is>
      </c>
      <c r="C36" s="30" t="inlineStr">
        <is>
          <t>Nice → Cannes</t>
        </is>
      </c>
      <c r="D36" s="31" t="n">
        <v>13</v>
      </c>
      <c r="E36" s="26" t="n">
        <v>26.7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224880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AY36" s="44" t="n"/>
    </row>
    <row r="37">
      <c r="A37" s="29" t="inlineStr">
        <is>
          <t>Bolt France Riviera</t>
        </is>
      </c>
      <c r="B37" s="29" t="inlineStr">
        <is>
          <t>France</t>
        </is>
      </c>
      <c r="C37" s="30" t="inlineStr">
        <is>
          <t>Monaco → Sanremo</t>
        </is>
      </c>
      <c r="D37" s="31" t="n">
        <v>13</v>
      </c>
      <c r="E37" s="26" t="n"/>
      <c r="F37" s="32" t="n"/>
      <c r="G37" s="32" t="n"/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4748</v>
      </c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n"/>
      <c r="AY37" s="44" t="n"/>
    </row>
    <row r="38">
      <c r="A38" s="29" t="inlineStr">
        <is>
          <t>Bolt France Riviera</t>
        </is>
      </c>
      <c r="B38" s="29" t="inlineStr">
        <is>
          <t>France</t>
        </is>
      </c>
      <c r="C38" s="30" t="inlineStr">
        <is>
          <t>Cannes → Saint-Tropez</t>
        </is>
      </c>
      <c r="D38" s="31" t="n">
        <v>25</v>
      </c>
      <c r="E38" s="26" t="n">
        <v>38.3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32000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PREMIUM tier: Trans Cote d'Azur scheduled fast catamaran Cannes&lt;-&gt;Saint-Tropez EUR 71 adult RT (2026) = ~EUR 35.5 one-way x 1.08 = ~$38.3.</t>
        </is>
      </c>
      <c r="AY38" s="44" t="n"/>
    </row>
    <row r="39">
      <c r="A39" s="29" t="inlineStr">
        <is>
          <t>Bolt France Riviera</t>
        </is>
      </c>
      <c r="B39" s="29" t="inlineStr">
        <is>
          <t>France</t>
        </is>
      </c>
      <c r="C39" s="30" t="inlineStr">
        <is>
          <t>Nice → Saint-Tropez</t>
        </is>
      </c>
      <c r="D39" s="31" t="n">
        <v>32</v>
      </c>
      <c r="E39" s="26" t="n">
        <v>45.4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32000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PREMIUM tier: Trans Cote d'Azur scheduled catamaran Nice&lt;-&gt;Saint-Tropez EUR 84 adult RT (2026) = ~EUR 42 one-way x 1.08 = ~$45.4 (higher than the Cannes route, reflecting the longer leg).</t>
        </is>
      </c>
      <c r="AY39" s="44" t="n"/>
    </row>
    <row r="40">
      <c r="A40" s="29" t="inlineStr">
        <is>
          <t>Bolt Greece</t>
        </is>
      </c>
      <c r="B40" s="29" t="inlineStr">
        <is>
          <t>Greece</t>
        </is>
      </c>
      <c r="C40" s="30" t="inlineStr">
        <is>
          <t>Mykonos Town → Delos</t>
        </is>
      </c>
      <c r="D40" s="31" t="n">
        <v>3.5</v>
      </c>
      <c r="E40" s="26" t="n">
        <v>54</v>
      </c>
      <c r="F40" s="32" t="inlineStr">
        <is>
          <t>T2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120000</v>
      </c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AY40" s="44" t="n"/>
    </row>
    <row r="41">
      <c r="A41" s="29" t="inlineStr">
        <is>
          <t>Bolt Greece</t>
        </is>
      </c>
      <c r="B41" s="29" t="inlineStr">
        <is>
          <t>Greece</t>
        </is>
      </c>
      <c r="C41" s="30" t="inlineStr">
        <is>
          <t>Glyfada (Athens Riviera) → Vouliagmeni (Astir resort cluster)</t>
        </is>
      </c>
      <c r="D41" s="31" t="n">
        <v>5</v>
      </c>
      <c r="E41" s="26" t="n"/>
      <c r="F41" s="32" t="n"/>
      <c r="G41" s="32" t="n"/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Estimated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n"/>
      <c r="AY41" s="44" t="n"/>
    </row>
    <row r="42">
      <c r="A42" s="29" t="inlineStr">
        <is>
          <t>Bolt Greece</t>
        </is>
      </c>
      <c r="B42" s="29" t="inlineStr">
        <is>
          <t>Greece</t>
        </is>
      </c>
      <c r="C42" s="30" t="inlineStr">
        <is>
          <t>Naxos → Paros</t>
        </is>
      </c>
      <c r="D42" s="31" t="n">
        <v>6</v>
      </c>
      <c r="E42" s="26" t="n">
        <v>33.5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Estimated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PREMIUM scheduled per-seat = fast-ferry Naxos-&gt;Paros ~EUR 31 one-way (AFerry foot-passenger from GBP 27 ~ EUR 31; ~$33.5). Short hop, so cheaper conventional options exist below.</t>
        </is>
      </c>
      <c r="AY42" s="44" t="n"/>
    </row>
    <row r="43">
      <c r="A43" s="29" t="inlineStr">
        <is>
          <t>Bolt Greece</t>
        </is>
      </c>
      <c r="B43" s="29" t="inlineStr">
        <is>
          <t>Greece</t>
        </is>
      </c>
      <c r="C43" s="30" t="inlineStr">
        <is>
          <t>Athens (Piraeus) → Glyfada (Athens Riviera)</t>
        </is>
      </c>
      <c r="D43" s="31" t="n">
        <v>8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949000</v>
      </c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n"/>
      <c r="AY43" s="44" t="n"/>
    </row>
    <row r="44">
      <c r="A44" s="29" t="inlineStr">
        <is>
          <t>Bolt Greece</t>
        </is>
      </c>
      <c r="B44" s="29" t="inlineStr">
        <is>
          <t>Greece</t>
        </is>
      </c>
      <c r="C44" s="30" t="inlineStr">
        <is>
          <t>Athens (Piraeus) → Aegina</t>
        </is>
      </c>
      <c r="D44" s="31" t="n">
        <v>17</v>
      </c>
      <c r="E44" s="26" t="n">
        <v>14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1000000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AY44" s="44" t="n"/>
    </row>
    <row r="45">
      <c r="A45" s="29" t="inlineStr">
        <is>
          <t>Bolt Greece</t>
        </is>
      </c>
      <c r="B45" s="29" t="inlineStr">
        <is>
          <t>Greece</t>
        </is>
      </c>
      <c r="C45" s="30" t="inlineStr">
        <is>
          <t>Santorini (Thira) → Ios</t>
        </is>
      </c>
      <c r="D45" s="31" t="n">
        <v>17</v>
      </c>
      <c r="E45" s="26" t="n">
        <v>54</v>
      </c>
      <c r="F45" s="32" t="inlineStr">
        <is>
          <t>T2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Estimated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PREMIUM scheduled per-seat = fast-ferry Santorini-&gt;Ios ~EUR 50 one-way (range to EUR 69.7; ~$54). Up to 7 daily crossings year-round.</t>
        </is>
      </c>
      <c r="AY45" s="44" t="n"/>
    </row>
    <row r="46">
      <c r="A46" s="29" t="inlineStr">
        <is>
          <t>Bolt Greece</t>
        </is>
      </c>
      <c r="B46" s="29" t="inlineStr">
        <is>
          <t>Greece</t>
        </is>
      </c>
      <c r="C46" s="30" t="inlineStr">
        <is>
          <t>Athens (Piraeus) → Agistri (Saronic)</t>
        </is>
      </c>
      <c r="D46" s="31" t="n">
        <v>18</v>
      </c>
      <c r="E46" s="26" t="n">
        <v>14.6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/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Estimated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PREMIUM scheduled per-seat = Aegean Flying Dolphins Piraeus-&gt;Agistri (Myli) EUR 13.50 one-way (2026, ~$14.6).</t>
        </is>
      </c>
      <c r="AY46" s="44" t="n"/>
    </row>
    <row r="47">
      <c r="A47" s="29" t="inlineStr">
        <is>
          <t>Bolt Greece</t>
        </is>
      </c>
      <c r="B47" s="29" t="inlineStr">
        <is>
          <t>Greece</t>
        </is>
      </c>
      <c r="C47" s="30" t="inlineStr">
        <is>
          <t>Mykonos → Paros</t>
        </is>
      </c>
      <c r="D47" s="31" t="n">
        <v>22</v>
      </c>
      <c r="E47" s="26" t="n">
        <v>54</v>
      </c>
      <c r="F47" s="32" t="inlineStr">
        <is>
          <t>T2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PREMIUM scheduled per-seat = Seajets/fast-ferry Mykonos-&gt;Paros ~EUR 50 one-way (range EUR 36-66; ~$54).</t>
        </is>
      </c>
      <c r="AY47" s="44" t="n"/>
    </row>
    <row r="48">
      <c r="A48" s="29" t="inlineStr">
        <is>
          <t>Bolt Greece</t>
        </is>
      </c>
      <c r="B48" s="29" t="inlineStr">
        <is>
          <t>Greece</t>
        </is>
      </c>
      <c r="C48" s="30" t="inlineStr">
        <is>
          <t>Rhodes → Marmaris (Turkey)</t>
        </is>
      </c>
      <c r="D48" s="31" t="n">
        <v>22</v>
      </c>
      <c r="E48" s="26" t="n"/>
      <c r="F48" s="32" t="n"/>
      <c r="G48" s="32" t="n"/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/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Estimated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n"/>
      <c r="AY48" s="44" t="n"/>
    </row>
    <row r="49">
      <c r="A49" s="29" t="inlineStr">
        <is>
          <t>Bolt Greece</t>
        </is>
      </c>
      <c r="B49" s="29" t="inlineStr">
        <is>
          <t>Greece</t>
        </is>
      </c>
      <c r="C49" s="30" t="inlineStr">
        <is>
          <t>Athens (Piraeus) → Poros (Saronic)</t>
        </is>
      </c>
      <c r="D49" s="31" t="n">
        <v>27</v>
      </c>
      <c r="E49" s="26" t="n">
        <v>18.4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Estimated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PREMIUM scheduled per-seat = Hellenic Seaways fast craft Piraeus-&gt;Poros EUR 17.00 one-way (~$18.4).</t>
        </is>
      </c>
      <c r="AY49" s="44" t="n"/>
    </row>
    <row r="50">
      <c r="A50" s="29" t="inlineStr">
        <is>
          <t>Bolt Greece</t>
        </is>
      </c>
      <c r="B50" s="29" t="inlineStr">
        <is>
          <t>Greece</t>
        </is>
      </c>
      <c r="C50" s="30" t="inlineStr">
        <is>
          <t>Mykonos → Naxos</t>
        </is>
      </c>
      <c r="D50" s="31" t="n">
        <v>28</v>
      </c>
      <c r="E50" s="26" t="n">
        <v>54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/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Estimated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PREMIUM scheduled per-seat = Seajets/fast-ferry Mykonos-&gt;Naxos ~EUR 50 one-way (~$54), in line with the Mykonos-&gt;Paros tier (similar distance). Approximate.</t>
        </is>
      </c>
      <c r="AY50" s="44" t="n"/>
    </row>
    <row r="51">
      <c r="A51" s="29" t="inlineStr">
        <is>
          <t>Bolt Greece</t>
        </is>
      </c>
      <c r="B51" s="29" t="inlineStr">
        <is>
          <t>Greece</t>
        </is>
      </c>
      <c r="C51" s="30" t="inlineStr">
        <is>
          <t>Athens → Hydra (Saronic)</t>
        </is>
      </c>
      <c r="D51" s="31" t="n">
        <v>30</v>
      </c>
      <c r="E51" s="26" t="n">
        <v>43.2</v>
      </c>
      <c r="F51" s="32" t="inlineStr">
        <is>
          <t>T2</t>
        </is>
      </c>
      <c r="G51" s="32" t="inlineStr">
        <is>
          <t>med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inlineStr">
        <is>
          <t>T5</t>
        </is>
      </c>
      <c r="AI51" s="32" t="inlineStr">
        <is>
          <t>low</t>
        </is>
      </c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Estimated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AY51" s="44" t="inlineStr"/>
    </row>
    <row r="52">
      <c r="A52" s="29" t="inlineStr">
        <is>
          <t>Bolt Greece</t>
        </is>
      </c>
      <c r="B52" s="29" t="inlineStr">
        <is>
          <t>Greece</t>
        </is>
      </c>
      <c r="C52" s="30" t="inlineStr">
        <is>
          <t>Athens (Piraeus) → Spetses (Saronic)</t>
        </is>
      </c>
      <c r="D52" s="31" t="n">
        <v>50</v>
      </c>
      <c r="E52" s="26" t="n">
        <v>37.8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/>
      <c r="AH52" s="32" t="n"/>
      <c r="AI52" s="32" t="n"/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Estimated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AY52" s="44" t="n"/>
    </row>
    <row r="53">
      <c r="A53" s="29" t="inlineStr">
        <is>
          <t>Bolt Greece</t>
        </is>
      </c>
      <c r="B53" s="29" t="inlineStr">
        <is>
          <t>Greece</t>
        </is>
      </c>
      <c r="C53" s="30" t="inlineStr">
        <is>
          <t>Naxos → Santorini (Thira)</t>
        </is>
      </c>
      <c r="D53" s="31" t="n">
        <v>50</v>
      </c>
      <c r="E53" s="26" t="n">
        <v>54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/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Estimated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PREMIUM scheduled per-seat = fast-ferry Naxos-&gt;Santorini ~EUR 50 one-way (~$54); standard fast-ferry tier on the central-to-southern Cyclades leg. Approximate.</t>
        </is>
      </c>
      <c r="AY53" s="44" t="n"/>
    </row>
    <row r="54">
      <c r="A54" s="29" t="inlineStr">
        <is>
          <t>Bolt Italy</t>
        </is>
      </c>
      <c r="B54" s="29" t="inlineStr">
        <is>
          <t>Italy</t>
        </is>
      </c>
      <c r="C54" s="30" t="inlineStr">
        <is>
          <t>Venice → Lido</t>
        </is>
      </c>
      <c r="D54" s="31" t="n">
        <v>1.5</v>
      </c>
      <c r="E54" s="26" t="n">
        <v>27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/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Estimated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PREMIUM tourist tier = ACTV day travelcard EUR 25 (~$27) (covers the Lido lines); premium water-taxi tier higher. Navier models the premium tier, not the EUR 9.50 single.</t>
        </is>
      </c>
      <c r="AY54" s="44" t="n"/>
    </row>
    <row r="55">
      <c r="A55" s="29" t="inlineStr">
        <is>
          <t>Bolt Italy</t>
        </is>
      </c>
      <c r="B55" s="29" t="inlineStr">
        <is>
          <t>Italy</t>
        </is>
      </c>
      <c r="C55" s="30" t="inlineStr">
        <is>
          <t>San Marco → Murano / Burano</t>
        </is>
      </c>
      <c r="D55" s="31" t="n">
        <v>2</v>
      </c>
      <c r="E55" s="26" t="n">
        <v>27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1500000</v>
      </c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Grounded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AY55" s="44" t="n"/>
    </row>
    <row r="56">
      <c r="A56" s="29" t="inlineStr">
        <is>
          <t>Bolt Italy</t>
        </is>
      </c>
      <c r="B56" s="29" t="inlineStr">
        <is>
          <t>Italy</t>
        </is>
      </c>
      <c r="C56" s="30" t="inlineStr">
        <is>
          <t>Santa Margherita Ligure → Portofino</t>
        </is>
      </c>
      <c r="D56" s="31" t="n">
        <v>2</v>
      </c>
      <c r="E56" s="26" t="n">
        <v>11.9</v>
      </c>
      <c r="F56" s="32" t="inlineStr">
        <is>
          <t>T2</t>
        </is>
      </c>
      <c r="G56" s="32" t="inlineStr">
        <is>
          <t>med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200000</v>
      </c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Grounded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PREMIUM scheduled per-seat: Servizio Marittimo del Tigullio Santa Margherita-&gt;Portofino EUR 11 one-way (Rome2Rio) x 1.08 = ~$11.9. Short hop.</t>
        </is>
      </c>
      <c r="AY56" s="44" t="n"/>
    </row>
    <row r="57">
      <c r="A57" s="29" t="inlineStr">
        <is>
          <t>Bolt Italy</t>
        </is>
      </c>
      <c r="B57" s="29" t="inlineStr">
        <is>
          <t>Italy</t>
        </is>
      </c>
      <c r="C57" s="30" t="inlineStr">
        <is>
          <t>Positano → Amalfi</t>
        </is>
      </c>
      <c r="D57" s="31" t="n">
        <v>4</v>
      </c>
      <c r="E57" s="26" t="n">
        <v>11</v>
      </c>
      <c r="F57" s="32" t="inlineStr">
        <is>
          <t>T2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MIN(24,FLOOR(60*service_hr/J57,1))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200000</v>
      </c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Grounded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AY57" s="44" t="n"/>
    </row>
    <row r="58">
      <c r="A58" s="29" t="inlineStr">
        <is>
          <t>Bolt Italy</t>
        </is>
      </c>
      <c r="B58" s="29" t="inlineStr">
        <is>
          <t>Italy</t>
        </is>
      </c>
      <c r="C58" s="30" t="inlineStr">
        <is>
          <t>Venice Marco Polo → San Marco</t>
        </is>
      </c>
      <c r="D58" s="31" t="n">
        <v>4.2</v>
      </c>
      <c r="E58" s="26" t="n">
        <v>42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1777500</v>
      </c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Grounded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AY58" s="44" t="n"/>
    </row>
    <row r="59">
      <c r="A59" s="29" t="inlineStr">
        <is>
          <t>Bolt Italy</t>
        </is>
      </c>
      <c r="B59" s="29" t="inlineStr">
        <is>
          <t>Italy</t>
        </is>
      </c>
      <c r="C59" s="30" t="inlineStr">
        <is>
          <t>Capri → Positano</t>
        </is>
      </c>
      <c r="D59" s="31" t="n">
        <v>9</v>
      </c>
      <c r="E59" s="26" t="n">
        <v>31</v>
      </c>
      <c r="F59" s="32" t="inlineStr">
        <is>
          <t>T2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Estimated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inlineStr">
        <is>
          <t>PREMIUM scheduled per-seat: Capri-&gt;Positano fast ferry from ~EUR 28-29 one-way (positano.com / capri.com) x 1.08 = ~$31.</t>
        </is>
      </c>
      <c r="AY59" s="44" t="n"/>
    </row>
    <row r="60">
      <c r="A60" s="29" t="inlineStr">
        <is>
          <t>Bolt Italy</t>
        </is>
      </c>
      <c r="B60" s="29" t="inlineStr">
        <is>
          <t>Italy</t>
        </is>
      </c>
      <c r="C60" s="30" t="inlineStr">
        <is>
          <t>Sorrento → Capri</t>
        </is>
      </c>
      <c r="D60" s="31" t="n">
        <v>9.5</v>
      </c>
      <c r="E60" s="26" t="n">
        <v>28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575000</v>
      </c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Grounded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AY60" s="44" t="n"/>
    </row>
    <row r="61">
      <c r="A61" s="29" t="inlineStr">
        <is>
          <t>Bolt Italy</t>
        </is>
      </c>
      <c r="B61" s="29" t="inlineStr">
        <is>
          <t>Italy</t>
        </is>
      </c>
      <c r="C61" s="30" t="inlineStr">
        <is>
          <t>Naples → Procida</t>
        </is>
      </c>
      <c r="D61" s="31" t="n">
        <v>12</v>
      </c>
      <c r="E61" s="26" t="n">
        <v>22</v>
      </c>
      <c r="F61" s="32" t="inlineStr">
        <is>
          <t>T2</t>
        </is>
      </c>
      <c r="G61" s="32" t="inlineStr">
        <is>
          <t>med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240000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Grounded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inlineStr">
        <is>
          <t>PREMIUM scheduled per-seat = Caremar/SNAV hydrofoil Napoli(Beverello)-&gt;Procida ~EUR 19-22 one-way (visitprocida.com EUR 19-22; ferryhopper EUR 21.90) x 1.08 = ~$22.</t>
        </is>
      </c>
      <c r="AY61" s="44" t="n"/>
    </row>
    <row r="62">
      <c r="A62" s="29" t="inlineStr">
        <is>
          <t>Bolt Italy</t>
        </is>
      </c>
      <c r="B62" s="29" t="inlineStr">
        <is>
          <t>Italy</t>
        </is>
      </c>
      <c r="C62" s="30" t="inlineStr">
        <is>
          <t>Como → Bellagio</t>
        </is>
      </c>
      <c r="D62" s="31" t="n">
        <v>14</v>
      </c>
      <c r="E62" s="26" t="n">
        <v>13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MIN(24,FLOOR(60*service_hr/J62,1))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112000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Grounded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AY62" s="44" t="n"/>
    </row>
    <row r="63">
      <c r="A63" s="29" t="inlineStr">
        <is>
          <t>Bolt Italy</t>
        </is>
      </c>
      <c r="B63" s="29" t="inlineStr">
        <is>
          <t>Italy</t>
        </is>
      </c>
      <c r="C63" s="30" t="inlineStr">
        <is>
          <t>Amalfi → Capri</t>
        </is>
      </c>
      <c r="D63" s="31" t="n">
        <v>16</v>
      </c>
      <c r="E63" s="26" t="n">
        <v>33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138000</v>
      </c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Grounded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PREMIUM scheduled per-seat: Amalfi-&gt;Capri fast ferry ~EUR 26-28 one-way (capri.com) + EUR 5 Capri landing = ~EUR 31-33 x 1.08 = ~$33.</t>
        </is>
      </c>
      <c r="AY63" s="44" t="n"/>
    </row>
    <row r="64">
      <c r="A64" s="29" t="inlineStr">
        <is>
          <t>Bolt Italy</t>
        </is>
      </c>
      <c r="B64" s="29" t="inlineStr">
        <is>
          <t>Italy</t>
        </is>
      </c>
      <c r="C64" s="30" t="inlineStr">
        <is>
          <t>Naples → Sorrento</t>
        </is>
      </c>
      <c r="D64" s="31" t="n">
        <v>16</v>
      </c>
      <c r="E64" s="26" t="n"/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MIN(24,FLOOR(60*service_hr/J64,1))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200000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Grounded</t>
        </is>
      </c>
      <c r="AR64" s="41" t="n"/>
      <c r="AS64" s="41" t="n"/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n"/>
      <c r="AY64" s="44" t="n"/>
    </row>
    <row r="65">
      <c r="A65" s="29" t="inlineStr">
        <is>
          <t>Bolt Italy</t>
        </is>
      </c>
      <c r="B65" s="29" t="inlineStr">
        <is>
          <t>Italy</t>
        </is>
      </c>
      <c r="C65" s="30" t="inlineStr">
        <is>
          <t>Naples → Capri</t>
        </is>
      </c>
      <c r="D65" s="31" t="n">
        <v>17</v>
      </c>
      <c r="E65" s="26" t="n">
        <v>32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1265000</v>
      </c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Grounded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AY65" s="44" t="n"/>
    </row>
    <row r="66">
      <c r="A66" s="29" t="inlineStr">
        <is>
          <t>Bolt Italy</t>
        </is>
      </c>
      <c r="B66" s="29" t="inlineStr">
        <is>
          <t>Italy</t>
        </is>
      </c>
      <c r="C66" s="30" t="inlineStr">
        <is>
          <t>Naples → Ischia</t>
        </is>
      </c>
      <c r="D66" s="31" t="n">
        <v>18</v>
      </c>
      <c r="E66" s="26" t="n">
        <v>25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675000</v>
      </c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Grounded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AY66" s="44" t="n"/>
    </row>
    <row r="67">
      <c r="A67" s="29" t="inlineStr">
        <is>
          <t>Bolt Italy</t>
        </is>
      </c>
      <c r="B67" s="29" t="inlineStr">
        <is>
          <t>Italy</t>
        </is>
      </c>
      <c r="C67" s="30" t="inlineStr">
        <is>
          <t>Portofino → Cinque Terre</t>
        </is>
      </c>
      <c r="D67" s="31" t="n">
        <v>22</v>
      </c>
      <c r="E67" s="26" t="n">
        <v>37.8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40000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Grounded</t>
        </is>
      </c>
      <c r="AR67" s="41" t="n"/>
      <c r="AS67" s="41" t="n"/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inlineStr">
        <is>
          <t>PREMIUM scheduled per-seat: Golfo Paradiso Portofino-&gt;Cinque Terre EUR 35 one-way (A/R EUR 50) x 1.08 = ~$37.8.</t>
        </is>
      </c>
      <c r="AY67" s="44" t="n"/>
    </row>
    <row r="68">
      <c r="A68" s="29" t="inlineStr">
        <is>
          <t>Yango Lagos</t>
        </is>
      </c>
      <c r="B68" s="29" t="inlineStr">
        <is>
          <t>Nigeria</t>
        </is>
      </c>
      <c r="C68" s="30" t="inlineStr">
        <is>
          <t>CMS (Lagos Island) → Victoria Island</t>
        </is>
      </c>
      <c r="D68" s="31" t="n">
        <v>1.5</v>
      </c>
      <c r="E68" s="26" t="n">
        <v>6.6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/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Estimated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PREMIUM tier: divided 10-seater executive speedboat ~₦90,000/hr ÷ 10 ≈ ₦9,000/seat ≈ $6.6 (private VI/Ikoyi/Lekki-pickup operators). The modeled premium-willing seat.</t>
        </is>
      </c>
      <c r="AY68" s="44" t="n"/>
    </row>
    <row r="69">
      <c r="A69" s="29" t="inlineStr">
        <is>
          <t>Yango Lagos</t>
        </is>
      </c>
      <c r="B69" s="29" t="inlineStr">
        <is>
          <t>Nigeria</t>
        </is>
      </c>
      <c r="C69" s="30" t="inlineStr">
        <is>
          <t>Osborne (Ikoyi) → CMS/Marina (Lagos Island)</t>
        </is>
      </c>
      <c r="D69" s="31" t="n">
        <v>2.5</v>
      </c>
      <c r="E69" s="26" t="n">
        <v>6.6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MIN(24,FLOOR(60*service_hr/J69,1))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Estimated</t>
        </is>
      </c>
      <c r="AR69" s="41" t="n"/>
      <c r="AS69" s="41" t="n"/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PREMIUM tier: divided 10-seater executive speedboat ~₦9,000/seat ≈ $6.6.</t>
        </is>
      </c>
      <c r="AY69" s="44" t="n"/>
    </row>
    <row r="70">
      <c r="A70" s="29" t="inlineStr">
        <is>
          <t>Yango Lagos</t>
        </is>
      </c>
      <c r="B70" s="29" t="inlineStr">
        <is>
          <t>Nigeria</t>
        </is>
      </c>
      <c r="C70" s="30" t="inlineStr">
        <is>
          <t>Ikoyi → Apapa</t>
        </is>
      </c>
      <c r="D70" s="31" t="n">
        <v>3.5</v>
      </c>
      <c r="E70" s="26" t="n">
        <v>6.6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Estimated</t>
        </is>
      </c>
      <c r="AR70" s="41" t="n"/>
      <c r="AS70" s="41" t="n"/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PREMIUM tier: divided 10-seater executive speedboat ~₦9,000/seat ≈ $6.6.</t>
        </is>
      </c>
      <c r="AY70" s="44" t="n"/>
    </row>
    <row r="71">
      <c r="A71" s="29" t="inlineStr">
        <is>
          <t>Yango Lagos</t>
        </is>
      </c>
      <c r="B71" s="29" t="inlineStr">
        <is>
          <t>Nigeria</t>
        </is>
      </c>
      <c r="C71" s="30" t="inlineStr">
        <is>
          <t>Victoria Island → Lekki Phase 1</t>
        </is>
      </c>
      <c r="D71" s="31" t="n">
        <v>4</v>
      </c>
      <c r="E71" s="26" t="n">
        <v>6.6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MIN(24,FLOOR(60*service_hr/J71,1))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Estimated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PREMIUM tier: divided 10-seater executive speedboat ~₦9,000/seat ≈ $6.6.</t>
        </is>
      </c>
      <c r="AY71" s="44" t="n"/>
    </row>
    <row r="72">
      <c r="A72" s="29" t="inlineStr">
        <is>
          <t>Yango Lagos</t>
        </is>
      </c>
      <c r="B72" s="29" t="inlineStr">
        <is>
          <t>Nigeria</t>
        </is>
      </c>
      <c r="C72" s="30" t="inlineStr">
        <is>
          <t>Badore (Ajah) → Ijede (Ikorodu)</t>
        </is>
      </c>
      <c r="D72" s="31" t="n">
        <v>5</v>
      </c>
      <c r="E72" s="26" t="n">
        <v>6.6</v>
      </c>
      <c r="F72" s="32" t="inlineStr">
        <is>
          <t>T2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MIN(24,FLOOR(60*service_hr/J72,1))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Estimated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PREMIUM tier: divided 10-seater executive speedboat ~₦9,000/seat ≈ $6.6 (short hop sits below this in practice).</t>
        </is>
      </c>
      <c r="AY72" s="44" t="n"/>
    </row>
    <row r="73">
      <c r="A73" s="29" t="inlineStr">
        <is>
          <t>Yango Lagos</t>
        </is>
      </c>
      <c r="B73" s="29" t="inlineStr">
        <is>
          <t>Nigeria</t>
        </is>
      </c>
      <c r="C73" s="30" t="inlineStr">
        <is>
          <t>Mile 2 (Amuwo-Odofin) → CMS/Marina (Lagos Island)</t>
        </is>
      </c>
      <c r="D73" s="31" t="n">
        <v>6</v>
      </c>
      <c r="E73" s="26" t="n">
        <v>6.6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MIN(24,FLOOR(60*service_hr/J73,1))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Estimated</t>
        </is>
      </c>
      <c r="AR73" s="41" t="n"/>
      <c r="AS73" s="41" t="n"/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PREMIUM tier: divided 10-seater executive speedboat ~₦9,000/seat ≈ $6.6.</t>
        </is>
      </c>
      <c r="AY73" s="44" t="n"/>
    </row>
    <row r="74">
      <c r="A74" s="29" t="inlineStr">
        <is>
          <t>Yango Lagos</t>
        </is>
      </c>
      <c r="B74" s="29" t="inlineStr">
        <is>
          <t>Nigeria</t>
        </is>
      </c>
      <c r="C74" s="30" t="inlineStr">
        <is>
          <t>Badore (Ajah) → Falomo (Five Cowries Terminal, Ikoyi)</t>
        </is>
      </c>
      <c r="D74" s="31" t="n">
        <v>9</v>
      </c>
      <c r="E74" s="26" t="n">
        <v>6.6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MIN(24,FLOOR(60*service_hr/J74,1))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Estimated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PREMIUM tier: divided 10-seater executive speedboat ~₦9,000/seat ≈ $6.6.</t>
        </is>
      </c>
      <c r="AY74" s="44" t="n"/>
    </row>
    <row r="75">
      <c r="A75" s="29" t="inlineStr">
        <is>
          <t>Yango Lagos</t>
        </is>
      </c>
      <c r="B75" s="29" t="inlineStr">
        <is>
          <t>Nigeria</t>
        </is>
      </c>
      <c r="C75" s="30" t="inlineStr">
        <is>
          <t>Oke-Ira Nla (Ajah) → Ikorodu</t>
        </is>
      </c>
      <c r="D75" s="31" t="n">
        <v>9</v>
      </c>
      <c r="E75" s="26" t="n">
        <v>6.6</v>
      </c>
      <c r="F75" s="32" t="inlineStr">
        <is>
          <t>T2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MIN(24,FLOOR(60*service_hr/J75,1))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Estimated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inlineStr">
        <is>
          <t>PREMIUM tier: divided 10-seater executive speedboat ~₦9,000/seat ≈ $6.6.</t>
        </is>
      </c>
      <c r="AY75" s="44" t="n"/>
    </row>
    <row r="76">
      <c r="A76" s="29" t="inlineStr">
        <is>
          <t>Yango Lagos</t>
        </is>
      </c>
      <c r="B76" s="29" t="inlineStr">
        <is>
          <t>Nigeria</t>
        </is>
      </c>
      <c r="C76" s="30" t="inlineStr">
        <is>
          <t>Bayeku → Falomo (Five Cowries Terminal, Ikoyi)</t>
        </is>
      </c>
      <c r="D76" s="31" t="n">
        <v>11</v>
      </c>
      <c r="E76" s="26" t="n">
        <v>6.6</v>
      </c>
      <c r="F76" s="32" t="inlineStr">
        <is>
          <t>T2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MIN(24,FLOOR(60*service_hr/J76,1))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Estimated</t>
        </is>
      </c>
      <c r="AR76" s="41" t="n"/>
      <c r="AS76" s="41" t="n"/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inlineStr">
        <is>
          <t>PREMIUM tier: divided 10-seater executive speedboat ~₦9,000/seat ≈ $6.6.</t>
        </is>
      </c>
      <c r="AY76" s="44" t="n"/>
    </row>
    <row r="77">
      <c r="A77" s="29" t="inlineStr">
        <is>
          <t>Yango Lagos</t>
        </is>
      </c>
      <c r="B77" s="29" t="inlineStr">
        <is>
          <t>Nigeria</t>
        </is>
      </c>
      <c r="C77" s="30" t="inlineStr">
        <is>
          <t>Ebute Ojo (Ojo) → CMS/Marina (Lagos Island)</t>
        </is>
      </c>
      <c r="D77" s="31" t="n">
        <v>12</v>
      </c>
      <c r="E77" s="26" t="n">
        <v>6.6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MIN(24,FLOOR(60*service_hr/J77,1))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Estimated</t>
        </is>
      </c>
      <c r="AR77" s="41" t="n"/>
      <c r="AS77" s="41" t="n"/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inlineStr">
        <is>
          <t>PREMIUM tier: divided 10-seater executive speedboat ~₦9,000/seat ≈ $6.6.</t>
        </is>
      </c>
      <c r="AY77" s="44" t="n"/>
    </row>
    <row r="78">
      <c r="A78" s="29" t="inlineStr">
        <is>
          <t>Yango Lagos</t>
        </is>
      </c>
      <c r="B78" s="29" t="inlineStr">
        <is>
          <t>Nigeria</t>
        </is>
      </c>
      <c r="C78" s="30" t="inlineStr">
        <is>
          <t>Ikorodu → Falomo (Five Cowries Terminal, Ikoyi)</t>
        </is>
      </c>
      <c r="D78" s="31" t="n">
        <v>13</v>
      </c>
      <c r="E78" s="26" t="n">
        <v>6.6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MIN(24,FLOOR(60*service_hr/J78,1))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Estimated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PREMIUM tier: divided 10-seater executive speedboat ~₦9,000/seat ≈ $6.6.</t>
        </is>
      </c>
      <c r="AY78" s="44" t="n"/>
    </row>
    <row r="79">
      <c r="A79" s="29" t="inlineStr">
        <is>
          <t>Yango Lagos</t>
        </is>
      </c>
      <c r="B79" s="29" t="inlineStr">
        <is>
          <t>Nigeria</t>
        </is>
      </c>
      <c r="C79" s="30" t="inlineStr">
        <is>
          <t>CMS → Ikorodu</t>
        </is>
      </c>
      <c r="D79" s="31" t="n">
        <v>15</v>
      </c>
      <c r="E79" s="26" t="n">
        <v>6.6</v>
      </c>
      <c r="F79" s="32" t="inlineStr">
        <is>
          <t>T2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MIN(24,FLOOR(60*service_hr/J79,1))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165000</v>
      </c>
      <c r="AH79" s="32" t="n"/>
      <c r="AI79" s="32" t="inlineStr">
        <is>
          <t>med</t>
        </is>
      </c>
      <c r="AJ79" s="39" t="n">
        <v>0.25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Grounded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inlineStr">
        <is>
          <t>PREMIUM tier: divided 10-seater executive speedboat ~₦9,000/seat ≈ $6.6 for the ~50-min crossing.</t>
        </is>
      </c>
      <c r="AY79" s="44" t="n"/>
    </row>
    <row r="80">
      <c r="A80" s="29" t="inlineStr">
        <is>
          <t>Yango Lagos</t>
        </is>
      </c>
      <c r="B80" s="29" t="inlineStr">
        <is>
          <t>Nigeria</t>
        </is>
      </c>
      <c r="C80" s="30" t="inlineStr">
        <is>
          <t>Lekki → Epe</t>
        </is>
      </c>
      <c r="D80" s="31" t="n">
        <v>28</v>
      </c>
      <c r="E80" s="26" t="n">
        <v>14.7</v>
      </c>
      <c r="F80" s="32" t="inlineStr">
        <is>
          <t>T2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MIN(24,FLOOR(60*service_hr/J80,1))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/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Estimated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inlineStr">
        <is>
          <t>PREMIUM tier (longer run): shared premium boat ₦20,000/person ≈ $14.7; alt divided 10-seater charter scales above the $6.6 short-hop seat for a 28nm run.</t>
        </is>
      </c>
      <c r="AY80" s="44" t="n"/>
    </row>
    <row r="81">
      <c r="A81" s="29" t="inlineStr">
        <is>
          <t>Yango Lagos</t>
        </is>
      </c>
      <c r="B81" s="29" t="inlineStr">
        <is>
          <t>Nigeria</t>
        </is>
      </c>
      <c r="C81" s="30" t="inlineStr">
        <is>
          <t>Lagos → Badagry</t>
        </is>
      </c>
      <c r="D81" s="31" t="n">
        <v>32</v>
      </c>
      <c r="E81" s="26" t="n">
        <v>14.7</v>
      </c>
      <c r="F81" s="32" t="inlineStr">
        <is>
          <t>T2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MIN(24,FLOOR(60*service_hr/J81,1))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Estimated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PREMIUM tier (long run): shared premium boat ₦20,000/person ≈ $14.7.</t>
        </is>
      </c>
      <c r="AY81" s="44" t="n"/>
    </row>
    <row r="82">
      <c r="A82" s="29" t="inlineStr">
        <is>
          <t>Qatar</t>
        </is>
      </c>
      <c r="B82" s="29" t="inlineStr">
        <is>
          <t>Qatar</t>
        </is>
      </c>
      <c r="C82" s="30" t="inlineStr">
        <is>
          <t>Lusail Marina → The Pearl</t>
        </is>
      </c>
      <c r="D82" s="31" t="n">
        <v>3.5</v>
      </c>
      <c r="E82" s="26" t="n"/>
      <c r="F82" s="32" t="n"/>
      <c r="G82" s="32" t="n"/>
      <c r="H82" s="19" t="n">
        <v>1</v>
      </c>
      <c r="I82" s="33">
        <f>60*D82/cruise_kt</f>
        <v/>
      </c>
      <c r="J82" s="33">
        <f>I82+turn_min+dwell_min</f>
        <v/>
      </c>
      <c r="K82" s="34">
        <f>MIN(27,FLOOR(60*service_hr/J82,1))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Estimated</t>
        </is>
      </c>
      <c r="AR82" s="41" t="n"/>
      <c r="AS82" s="41" t="n"/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n"/>
      <c r="AY82" s="44" t="n"/>
    </row>
    <row r="83">
      <c r="A83" s="29" t="inlineStr">
        <is>
          <t>Qatar</t>
        </is>
      </c>
      <c r="B83" s="29" t="inlineStr">
        <is>
          <t>Qatar</t>
        </is>
      </c>
      <c r="C83" s="30" t="inlineStr">
        <is>
          <t>Doha Corniche → The Pearl</t>
        </is>
      </c>
      <c r="D83" s="31" t="n">
        <v>4</v>
      </c>
      <c r="E83" s="26" t="n"/>
      <c r="F83" s="32" t="n"/>
      <c r="G83" s="32" t="n"/>
      <c r="H83" s="19" t="n">
        <v>1</v>
      </c>
      <c r="I83" s="33">
        <f>60*D83/cruise_kt</f>
        <v/>
      </c>
      <c r="J83" s="33">
        <f>I83+turn_min+dwell_min</f>
        <v/>
      </c>
      <c r="K83" s="34">
        <f>MIN(27,FLOOR(60*service_hr/J83,1))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/>
      <c r="AH83" s="32" t="n"/>
      <c r="AI83" s="32" t="n"/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Estimated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n"/>
      <c r="AY83" s="44" t="n"/>
    </row>
    <row r="84">
      <c r="A84" s="29" t="inlineStr">
        <is>
          <t>Qatar</t>
        </is>
      </c>
      <c r="B84" s="29" t="inlineStr">
        <is>
          <t>Qatar</t>
        </is>
      </c>
      <c r="C84" s="30" t="inlineStr">
        <is>
          <t>The Pearl-Qatar (Marsa Arabia) → Doha Corniche / Old Doha Port</t>
        </is>
      </c>
      <c r="D84" s="31" t="n">
        <v>4.4</v>
      </c>
      <c r="E84" s="26" t="n">
        <v>10.99</v>
      </c>
      <c r="F84" s="32" t="inlineStr">
        <is>
          <t>T3</t>
        </is>
      </c>
      <c r="G84" s="32" t="inlineStr">
        <is>
          <t>med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MIN(27,FLOOR(60*service_hr/J84,1))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50000</v>
      </c>
      <c r="AH84" s="32" t="inlineStr">
        <is>
          <t>T5</t>
        </is>
      </c>
      <c r="AI84" s="32" t="inlineStr">
        <is>
          <t>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Y84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5">
      <c r="A85" s="29" t="inlineStr">
        <is>
          <t>Qatar</t>
        </is>
      </c>
      <c r="B85" s="29" t="inlineStr">
        <is>
          <t>Qatar</t>
        </is>
      </c>
      <c r="C85" s="30" t="inlineStr">
        <is>
          <t>Doha → Banana Island</t>
        </is>
      </c>
      <c r="D85" s="31" t="n">
        <v>4.5</v>
      </c>
      <c r="E85" s="26" t="n"/>
      <c r="F85" s="32" t="n"/>
      <c r="G85" s="32" t="n"/>
      <c r="H85" s="19" t="n">
        <v>1</v>
      </c>
      <c r="I85" s="33">
        <f>60*D85/cruise_kt</f>
        <v/>
      </c>
      <c r="J85" s="33">
        <f>I85+turn_min+dwell_min</f>
        <v/>
      </c>
      <c r="K85" s="34">
        <f>MIN(27,FLOOR(60*service_hr/J85,1))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Estimated</t>
        </is>
      </c>
      <c r="AR85" s="41" t="n"/>
      <c r="AS85" s="41" t="n"/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n"/>
      <c r="AY85" s="44" t="n"/>
    </row>
    <row r="86">
      <c r="A86" s="29" t="inlineStr">
        <is>
          <t>Qatar</t>
        </is>
      </c>
      <c r="B86" s="29" t="inlineStr">
        <is>
          <t>Qatar</t>
        </is>
      </c>
      <c r="C86" s="30" t="inlineStr">
        <is>
          <t>Doha (Al Shyoukh Terminal) → Banana Island Resort (Anantara)</t>
        </is>
      </c>
      <c r="D86" s="31" t="n">
        <v>4.9</v>
      </c>
      <c r="E86" s="26" t="n">
        <v>27.5</v>
      </c>
      <c r="F86" s="32" t="inlineStr">
        <is>
          <t>T3</t>
        </is>
      </c>
      <c r="G86" s="32" t="inlineStr">
        <is>
          <t>med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85000</v>
      </c>
      <c r="AH86" s="32" t="inlineStr">
        <is>
          <t>T4</t>
        </is>
      </c>
      <c r="AI86" s="32" t="inlineStr">
        <is>
          <t>med-low</t>
        </is>
      </c>
      <c r="AJ86" s="39" t="n">
        <v>0.9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Grounded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Y86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87">
      <c r="A87" s="29" t="inlineStr">
        <is>
          <t>Qatar</t>
        </is>
      </c>
      <c r="B87" s="29" t="inlineStr">
        <is>
          <t>Qatar</t>
        </is>
      </c>
      <c r="C87" s="30" t="inlineStr">
        <is>
          <t>West Bay / Corniche (Doha) → Lusail Marina &amp; Place Vendôme</t>
        </is>
      </c>
      <c r="D87" s="31" t="n">
        <v>6.3</v>
      </c>
      <c r="E87" s="26" t="n">
        <v>16</v>
      </c>
      <c r="F87" s="32" t="inlineStr">
        <is>
          <t>T5</t>
        </is>
      </c>
      <c r="G87" s="32" t="inlineStr">
        <is>
          <t>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MIN(27,FLOOR(60*service_hr/J87,1))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75000</v>
      </c>
      <c r="AH87" s="32" t="inlineStr">
        <is>
          <t>T5</t>
        </is>
      </c>
      <c r="AI87" s="32" t="inlineStr">
        <is>
          <t>low</t>
        </is>
      </c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Forward SAM</t>
        </is>
      </c>
      <c r="AR87" s="41" t="inlineStr">
        <is>
          <t>FWD-SAM (2030)</t>
        </is>
      </c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Y87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88">
      <c r="A88" s="29" t="inlineStr">
        <is>
          <t>Qatar</t>
        </is>
      </c>
      <c r="B88" s="29" t="inlineStr">
        <is>
          <t>Qatar</t>
        </is>
      </c>
      <c r="C88" s="30" t="inlineStr">
        <is>
          <t>Doha → Lusail Marina</t>
        </is>
      </c>
      <c r="D88" s="31" t="n">
        <v>6.5</v>
      </c>
      <c r="E88" s="26" t="n"/>
      <c r="F88" s="32" t="n"/>
      <c r="G88" s="32" t="n"/>
      <c r="H88" s="19" t="n">
        <v>1</v>
      </c>
      <c r="I88" s="33">
        <f>60*D88/cruise_kt</f>
        <v/>
      </c>
      <c r="J88" s="33">
        <f>I88+turn_min+dwell_min</f>
        <v/>
      </c>
      <c r="K88" s="34">
        <f>MIN(27,FLOOR(60*service_hr/J88,1))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n"/>
      <c r="AI88" s="32" t="n"/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Estimated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n"/>
      <c r="AY88" s="44" t="n"/>
    </row>
    <row r="89">
      <c r="A89" s="29" t="inlineStr">
        <is>
          <t>Qatar</t>
        </is>
      </c>
      <c r="B89" s="29" t="inlineStr">
        <is>
          <t>Qatar</t>
        </is>
      </c>
      <c r="C89" s="30" t="inlineStr">
        <is>
          <t>Al Wakrah → Banana Island</t>
        </is>
      </c>
      <c r="D89" s="31" t="n">
        <v>9.5</v>
      </c>
      <c r="E89" s="26" t="n"/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MIN(27,FLOOR(60*service_hr/J89,1))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/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Estimated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n"/>
      <c r="AY89" s="44" t="n"/>
    </row>
    <row r="90">
      <c r="A90" s="29" t="inlineStr">
        <is>
          <t>Qatar</t>
        </is>
      </c>
      <c r="B90" s="29" t="inlineStr">
        <is>
          <t>Qatar</t>
        </is>
      </c>
      <c r="C90" s="30" t="inlineStr">
        <is>
          <t>Doha → Al Wakrah Marina</t>
        </is>
      </c>
      <c r="D90" s="31" t="n">
        <v>11</v>
      </c>
      <c r="E90" s="26" t="n"/>
      <c r="F90" s="32" t="n"/>
      <c r="G90" s="32" t="n"/>
      <c r="H90" s="19" t="n">
        <v>1</v>
      </c>
      <c r="I90" s="33">
        <f>60*D90/cruise_kt</f>
        <v/>
      </c>
      <c r="J90" s="33">
        <f>I90+turn_min+dwell_min</f>
        <v/>
      </c>
      <c r="K90" s="34">
        <f>MIN(27,FLOOR(60*service_hr/J90,1))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/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Estimated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n"/>
      <c r="AY90" s="44" t="n"/>
    </row>
    <row r="91">
      <c r="A91" s="29" t="inlineStr">
        <is>
          <t>Saudi – Red Sea</t>
        </is>
      </c>
      <c r="B91" s="29" t="inlineStr">
        <is>
          <t>Saudi Arabia</t>
        </is>
      </c>
      <c r="C91" s="30" t="inlineStr">
        <is>
          <t>Jeddah Corniche → Jeddah Central (PIF waterfront)</t>
        </is>
      </c>
      <c r="D91" s="31" t="n">
        <v>2.4</v>
      </c>
      <c r="E91" s="26" t="n">
        <v>60</v>
      </c>
      <c r="F91" s="32" t="inlineStr">
        <is>
          <t>T5</t>
        </is>
      </c>
      <c r="G91" s="32" t="inlineStr">
        <is>
          <t>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MIN(27,FLOOR(60*service_hr/J91,1))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/>
      <c r="AH91" s="32" t="inlineStr">
        <is>
          <t>T5</t>
        </is>
      </c>
      <c r="AI91" s="32" t="inlineStr">
        <is>
          <t>low</t>
        </is>
      </c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Forward SAM</t>
        </is>
      </c>
      <c r="AR91" s="41" t="inlineStr">
        <is>
          <t>FWD-SAM (2030)</t>
        </is>
      </c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Y91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92">
      <c r="A92" s="29" t="inlineStr">
        <is>
          <t>Saudi – Red Sea</t>
        </is>
      </c>
      <c r="B92" s="29" t="inlineStr">
        <is>
          <t>Saudi Arabia</t>
        </is>
      </c>
      <c r="C92" s="30" t="inlineStr">
        <is>
          <t>Outer-island resort → Outer-island resort cluster (Nujuma / Jumeirah / St Regis)</t>
        </is>
      </c>
      <c r="D92" s="31" t="n">
        <v>9.699999999999999</v>
      </c>
      <c r="E92" s="26" t="n">
        <v>125</v>
      </c>
      <c r="F92" s="32" t="inlineStr">
        <is>
          <t>T5</t>
        </is>
      </c>
      <c r="G92" s="32" t="inlineStr">
        <is>
          <t>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150000</v>
      </c>
      <c r="AH92" s="32" t="inlineStr">
        <is>
          <t>T5</t>
        </is>
      </c>
      <c r="AI92" s="32" t="inlineStr">
        <is>
          <t>low</t>
        </is>
      </c>
      <c r="AJ92" s="39" t="n">
        <v>0.9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Forward SAM</t>
        </is>
      </c>
      <c r="AR92" s="41" t="inlineStr">
        <is>
          <t>FWD-SAM (2030)</t>
        </is>
      </c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Y92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93">
      <c r="A93" s="29" t="inlineStr">
        <is>
          <t>Saudi – Red Sea</t>
        </is>
      </c>
      <c r="B93" s="29" t="inlineStr">
        <is>
          <t>Saudi Arabia</t>
        </is>
      </c>
      <c r="C93" s="30" t="inlineStr">
        <is>
          <t>Shura Island Marina → Outer-island resorts (St Regis / Nujuma / Shebara)</t>
        </is>
      </c>
      <c r="D93" s="31" t="n">
        <v>11.5</v>
      </c>
      <c r="E93" s="26" t="n">
        <v>175</v>
      </c>
      <c r="F93" s="32" t="inlineStr">
        <is>
          <t>T5</t>
        </is>
      </c>
      <c r="G93" s="32" t="inlineStr">
        <is>
          <t>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500000</v>
      </c>
      <c r="AH93" s="32" t="inlineStr">
        <is>
          <t>T2</t>
        </is>
      </c>
      <c r="AI93" s="32" t="inlineStr">
        <is>
          <t>low-med</t>
        </is>
      </c>
      <c r="AJ93" s="39" t="n">
        <v>0.9</v>
      </c>
      <c r="AK93" s="34">
        <f>IF(AG93="","",AG93*AJ93)</f>
        <v/>
      </c>
      <c r="AL93" s="34">
        <f>IF(OR(AG93="",R93=0),"",MIN(IF(AT93="",9.9E+99,AT93),FLOOR(AK93/R93,1)))</f>
        <v/>
      </c>
      <c r="AM93" s="38">
        <f>IF(AL93="","",AL93*T93)</f>
        <v/>
      </c>
      <c r="AN93" s="36">
        <f>IF(OR(AG93="",R93=0),"",MIN(IF(AT93="",9.9E+99,AT93),AK93/R93))</f>
        <v/>
      </c>
      <c r="AO93" s="38">
        <f>IF(AN93="","",AN93*T93)</f>
        <v/>
      </c>
      <c r="AP93" s="40" t="n"/>
      <c r="AQ93" s="32" t="inlineStr">
        <is>
          <t>Forward SAM</t>
        </is>
      </c>
      <c r="AR93" s="41" t="inlineStr">
        <is>
          <t>FWD-SAM (2030)</t>
        </is>
      </c>
      <c r="AS93" s="41" t="n"/>
      <c r="AT93" s="42" t="n"/>
      <c r="AU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V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W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X93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Y93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94">
      <c r="A94" s="29" t="inlineStr">
        <is>
          <t>Saudi – Red Sea</t>
        </is>
      </c>
      <c r="B94" s="29" t="inlineStr">
        <is>
          <t>Saudi Arabia</t>
        </is>
      </c>
      <c r="C94" s="30" t="inlineStr">
        <is>
          <t>Jeddah Corniche → Jeddah Yacht Club &amp; Marina</t>
        </is>
      </c>
      <c r="D94" s="31" t="n">
        <v>12</v>
      </c>
      <c r="E94" s="26" t="n"/>
      <c r="F94" s="32" t="n"/>
      <c r="G94" s="32" t="n"/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/>
      <c r="AH94" s="32" t="n"/>
      <c r="AI94" s="32" t="n"/>
      <c r="AJ94" s="39" t="n">
        <v>0.9</v>
      </c>
      <c r="AK94" s="34">
        <f>IF(AG94="","",AG94*AJ94)</f>
        <v/>
      </c>
      <c r="AL94" s="34">
        <f>IF(OR(AG94="",R94=0),"",MIN(IF(AT94="",9.9E+99,AT94),FLOOR(AK94/R94,1)))</f>
        <v/>
      </c>
      <c r="AM94" s="38">
        <f>IF(AL94="","",AL94*T94)</f>
        <v/>
      </c>
      <c r="AN94" s="36">
        <f>IF(OR(AG94="",R94=0),"",MIN(IF(AT94="",9.9E+99,AT94),AK94/R94))</f>
        <v/>
      </c>
      <c r="AO94" s="38">
        <f>IF(AN94="","",AN94*T94)</f>
        <v/>
      </c>
      <c r="AP94" s="40" t="n"/>
      <c r="AQ94" s="32" t="inlineStr">
        <is>
          <t>Estimated</t>
        </is>
      </c>
      <c r="AR94" s="41" t="n"/>
      <c r="AS94" s="41" t="n"/>
      <c r="AT94" s="42" t="n"/>
      <c r="AU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V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W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X94" s="44" t="n"/>
      <c r="AY94" s="44" t="n"/>
    </row>
    <row r="95">
      <c r="A95" s="29" t="inlineStr">
        <is>
          <t>Saudi – Red Sea</t>
        </is>
      </c>
      <c r="B95" s="29" t="inlineStr">
        <is>
          <t>Saudi Arabia</t>
        </is>
      </c>
      <c r="C95" s="30" t="inlineStr">
        <is>
          <t>Khobar / Dammam (Eastern Province) → Manama, Bahrain</t>
        </is>
      </c>
      <c r="D95" s="31" t="n">
        <v>18.6</v>
      </c>
      <c r="E95" s="26" t="n">
        <v>80</v>
      </c>
      <c r="F95" s="32" t="inlineStr">
        <is>
          <t>T5</t>
        </is>
      </c>
      <c r="G95" s="32" t="inlineStr">
        <is>
          <t>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MIN(27,FLOOR(60*service_hr/J95,1))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330000</v>
      </c>
      <c r="AH95" s="32" t="inlineStr">
        <is>
          <t>T3</t>
        </is>
      </c>
      <c r="AI95" s="32" t="inlineStr">
        <is>
          <t>low</t>
        </is>
      </c>
      <c r="AJ95" s="39" t="n">
        <v>0.1</v>
      </c>
      <c r="AK95" s="34">
        <f>IF(AG95="","",AG95*AJ95)</f>
        <v/>
      </c>
      <c r="AL95" s="34">
        <f>IF(OR(AG95="",R95=0),"",MIN(IF(AT95="",9.9E+99,AT95),FLOOR(AK95/R95,1)))</f>
        <v/>
      </c>
      <c r="AM95" s="38">
        <f>IF(AL95="","",AL95*T95)</f>
        <v/>
      </c>
      <c r="AN95" s="36">
        <f>IF(OR(AG95="",R95=0),"",MIN(IF(AT95="",9.9E+99,AT95),AK95/R95))</f>
        <v/>
      </c>
      <c r="AO95" s="38">
        <f>IF(AN95="","",AN95*T95)</f>
        <v/>
      </c>
      <c r="AP95" s="40" t="n"/>
      <c r="AQ95" s="32" t="inlineStr">
        <is>
          <t>Forward SAM</t>
        </is>
      </c>
      <c r="AR95" s="41" t="inlineStr">
        <is>
          <t>FWD-SAM (2030)</t>
        </is>
      </c>
      <c r="AS95" s="41" t="n"/>
      <c r="AT95" s="42" t="n"/>
      <c r="AU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V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W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X95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Y95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6">
      <c r="A96" s="29" t="inlineStr">
        <is>
          <t>Saudi – Red Sea</t>
        </is>
      </c>
      <c r="B96" s="29" t="inlineStr">
        <is>
          <t>Saudi Arabia</t>
        </is>
      </c>
      <c r="C96" s="30" t="inlineStr">
        <is>
          <t>The Red Sea → AMAALA (Triple Bay)</t>
        </is>
      </c>
      <c r="D96" s="31" t="n">
        <v>29.4</v>
      </c>
      <c r="E96" s="26" t="n">
        <v>250</v>
      </c>
      <c r="F96" s="32" t="inlineStr">
        <is>
          <t>T5</t>
        </is>
      </c>
      <c r="G96" s="32" t="inlineStr">
        <is>
          <t>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500000</v>
      </c>
      <c r="AH96" s="32" t="inlineStr">
        <is>
          <t>T4</t>
        </is>
      </c>
      <c r="AI96" s="32" t="inlineStr">
        <is>
          <t>low</t>
        </is>
      </c>
      <c r="AJ96" s="39" t="n">
        <v>0.1</v>
      </c>
      <c r="AK96" s="34">
        <f>IF(AG96="","",AG96*AJ96)</f>
        <v/>
      </c>
      <c r="AL96" s="34">
        <f>IF(OR(AG96="",R96=0),"",MIN(IF(AT96="",9.9E+99,AT96),FLOOR(AK96/R96,1)))</f>
        <v/>
      </c>
      <c r="AM96" s="38">
        <f>IF(AL96="","",AL96*T96)</f>
        <v/>
      </c>
      <c r="AN96" s="36">
        <f>IF(OR(AG96="",R96=0),"",MIN(IF(AT96="",9.9E+99,AT96),AK96/R96))</f>
        <v/>
      </c>
      <c r="AO96" s="38">
        <f>IF(AN96="","",AN96*T96)</f>
        <v/>
      </c>
      <c r="AP96" s="40" t="n"/>
      <c r="AQ96" s="32" t="inlineStr">
        <is>
          <t>Forward SAM</t>
        </is>
      </c>
      <c r="AR96" s="41" t="inlineStr">
        <is>
          <t>FWD-SAM (2030)</t>
        </is>
      </c>
      <c r="AS96" s="41" t="n"/>
      <c r="AT96" s="42" t="n"/>
      <c r="AU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V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W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X96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Y96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97">
      <c r="A97" s="29" t="inlineStr">
        <is>
          <t>Saudi – Red Sea</t>
        </is>
      </c>
      <c r="B97" s="29" t="inlineStr">
        <is>
          <t>Saudi Arabia</t>
        </is>
      </c>
      <c r="C97" s="30" t="inlineStr">
        <is>
          <t>NEOM — Sindalah → Magna / Oxagon coast</t>
        </is>
      </c>
      <c r="D97" s="31" t="n">
        <v>30.8</v>
      </c>
      <c r="E97" s="26" t="n">
        <v>120</v>
      </c>
      <c r="F97" s="32" t="inlineStr">
        <is>
          <t>T5</t>
        </is>
      </c>
      <c r="G97" s="32" t="inlineStr">
        <is>
          <t>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MIN(27,FLOOR(60*service_hr/J97,1))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250000</v>
      </c>
      <c r="AH97" s="32" t="inlineStr">
        <is>
          <t>T2</t>
        </is>
      </c>
      <c r="AI97" s="32" t="inlineStr">
        <is>
          <t>low</t>
        </is>
      </c>
      <c r="AJ97" s="39" t="n">
        <v>0.1</v>
      </c>
      <c r="AK97" s="34">
        <f>IF(AG97="","",AG97*AJ97)</f>
        <v/>
      </c>
      <c r="AL97" s="34">
        <f>IF(OR(AG97="",R97=0),"",MIN(IF(AT97="",9.9E+99,AT97),FLOOR(AK97/R97,1)))</f>
        <v/>
      </c>
      <c r="AM97" s="38">
        <f>IF(AL97="","",AL97*T97)</f>
        <v/>
      </c>
      <c r="AN97" s="36">
        <f>IF(OR(AG97="",R97=0),"",MIN(IF(AT97="",9.9E+99,AT97),AK97/R97))</f>
        <v/>
      </c>
      <c r="AO97" s="38">
        <f>IF(AN97="","",AN97*T97)</f>
        <v/>
      </c>
      <c r="AP97" s="40" t="n"/>
      <c r="AQ97" s="32" t="inlineStr">
        <is>
          <t>Forward SAM</t>
        </is>
      </c>
      <c r="AR97" s="41" t="inlineStr">
        <is>
          <t>FWD-SAM (2030)</t>
        </is>
      </c>
      <c r="AS97" s="41" t="n"/>
      <c r="AT97" s="42" t="n"/>
      <c r="AU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V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W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X97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Y97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8">
      <c r="A98" s="29" t="inlineStr">
        <is>
          <t>Yango Turkey</t>
        </is>
      </c>
      <c r="B98" s="29" t="inlineStr">
        <is>
          <t>Turkey</t>
        </is>
      </c>
      <c r="C98" s="30" t="inlineStr">
        <is>
          <t>Eminönü → Üsküdar</t>
        </is>
      </c>
      <c r="D98" s="31" t="n">
        <v>0.9</v>
      </c>
      <c r="E98" s="26" t="n">
        <v>18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MIN(24,FLOOR(60*service_hr/J98,1))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880476</v>
      </c>
      <c r="AH98" s="32" t="n"/>
      <c r="AI98" s="32" t="inlineStr">
        <is>
          <t>med</t>
        </is>
      </c>
      <c r="AJ98" s="39" t="n">
        <v>0.25</v>
      </c>
      <c r="AK98" s="34">
        <f>IF(AG98="","",AG98*AJ98)</f>
        <v/>
      </c>
      <c r="AL98" s="34">
        <f>IF(OR(AG98="",R98=0),"",MIN(IF(AT98="",9.9E+99,AT98),FLOOR(AK98/R98,1)))</f>
        <v/>
      </c>
      <c r="AM98" s="38">
        <f>IF(AL98="","",AL98*T98)</f>
        <v/>
      </c>
      <c r="AN98" s="36">
        <f>IF(OR(AG98="",R98=0),"",MIN(IF(AT98="",9.9E+99,AT98),AK98/R98))</f>
        <v/>
      </c>
      <c r="AO98" s="38">
        <f>IF(AN98="","",AN98*T98)</f>
        <v/>
      </c>
      <c r="AP98" s="40" t="n"/>
      <c r="AQ98" s="32" t="inlineStr">
        <is>
          <t>Grounded</t>
        </is>
      </c>
      <c r="AR98" s="41" t="n"/>
      <c r="AS98" s="41" t="n"/>
      <c r="AT98" s="42" t="n"/>
      <c r="AU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V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W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X98" s="44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AY98" s="44" t="n"/>
    </row>
    <row r="99">
      <c r="A99" s="29" t="inlineStr">
        <is>
          <t>Yango Turkey</t>
        </is>
      </c>
      <c r="B99" s="29" t="inlineStr">
        <is>
          <t>Turkey</t>
        </is>
      </c>
      <c r="C99" s="30" t="inlineStr">
        <is>
          <t>Karaköy → Kadıköy</t>
        </is>
      </c>
      <c r="D99" s="31" t="n">
        <v>2.4</v>
      </c>
      <c r="E99" s="26" t="n">
        <v>18</v>
      </c>
      <c r="F99" s="32" t="inlineStr">
        <is>
          <t>T2</t>
        </is>
      </c>
      <c r="G99" s="32" t="inlineStr">
        <is>
          <t>med</t>
        </is>
      </c>
      <c r="H99" s="19" t="n">
        <v>1</v>
      </c>
      <c r="I99" s="33">
        <f>60*D99/cruise_kt</f>
        <v/>
      </c>
      <c r="J99" s="33">
        <f>I99+turn_min+dwell_min</f>
        <v/>
      </c>
      <c r="K99" s="34">
        <f>MIN(24,FLOOR(60*service_hr/J99,1))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725476</v>
      </c>
      <c r="AH99" s="32" t="n"/>
      <c r="AI99" s="32" t="inlineStr">
        <is>
          <t>med</t>
        </is>
      </c>
      <c r="AJ99" s="39" t="n">
        <v>0.25</v>
      </c>
      <c r="AK99" s="34">
        <f>IF(AG99="","",AG99*AJ99)</f>
        <v/>
      </c>
      <c r="AL99" s="34">
        <f>IF(OR(AG99="",R99=0),"",MIN(IF(AT99="",9.9E+99,AT99),FLOOR(AK99/R99,1)))</f>
        <v/>
      </c>
      <c r="AM99" s="38">
        <f>IF(AL99="","",AL99*T99)</f>
        <v/>
      </c>
      <c r="AN99" s="36">
        <f>IF(OR(AG99="",R99=0),"",MIN(IF(AT99="",9.9E+99,AT99),AK99/R99))</f>
        <v/>
      </c>
      <c r="AO99" s="38">
        <f>IF(AN99="","",AN99*T99)</f>
        <v/>
      </c>
      <c r="AP99" s="40" t="n"/>
      <c r="AQ99" s="32" t="inlineStr">
        <is>
          <t>Grounded</t>
        </is>
      </c>
      <c r="AR99" s="41" t="n"/>
      <c r="AS99" s="41" t="n"/>
      <c r="AT99" s="42" t="n"/>
      <c r="AU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V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W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X99" s="44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AY99" s="44" t="n"/>
    </row>
    <row r="100">
      <c r="A100" s="29" t="inlineStr">
        <is>
          <t>Yango Turkey</t>
        </is>
      </c>
      <c r="B100" s="29" t="inlineStr">
        <is>
          <t>Turkey</t>
        </is>
      </c>
      <c r="C100" s="30" t="inlineStr">
        <is>
          <t>İzmir (Konak) → Karşıyaka</t>
        </is>
      </c>
      <c r="D100" s="31" t="n">
        <v>2.5</v>
      </c>
      <c r="E100" s="26" t="n"/>
      <c r="F100" s="32" t="n"/>
      <c r="G100" s="32" t="n"/>
      <c r="H100" s="19" t="n">
        <v>1</v>
      </c>
      <c r="I100" s="33">
        <f>60*D100/cruise_kt</f>
        <v/>
      </c>
      <c r="J100" s="33">
        <f>I100+turn_min+dwell_min</f>
        <v/>
      </c>
      <c r="K100" s="34">
        <f>MIN(24,FLOOR(60*service_hr/J100,1))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14621849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IF(OR(AG100="",R100=0),"",MIN(IF(AT100="",9.9E+99,AT100),FLOOR(AK100/R100,1)))</f>
        <v/>
      </c>
      <c r="AM100" s="38">
        <f>IF(AL100="","",AL100*T100)</f>
        <v/>
      </c>
      <c r="AN100" s="36">
        <f>IF(OR(AG100="",R100=0),"",MIN(IF(AT100="",9.9E+99,AT100),AK100/R100))</f>
        <v/>
      </c>
      <c r="AO100" s="38">
        <f>IF(AN100="","",AN100*T100)</f>
        <v/>
      </c>
      <c r="AP100" s="40" t="n"/>
      <c r="AQ100" s="32" t="inlineStr">
        <is>
          <t>Grounded</t>
        </is>
      </c>
      <c r="AR100" s="41" t="n"/>
      <c r="AS100" s="41" t="n"/>
      <c r="AT100" s="42" t="n"/>
      <c r="AU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V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W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X100" s="44" t="n"/>
      <c r="AY100" s="44" t="n"/>
    </row>
    <row r="101">
      <c r="A101" s="29" t="inlineStr">
        <is>
          <t>Yango Turkey</t>
        </is>
      </c>
      <c r="B101" s="29" t="inlineStr">
        <is>
          <t>Turkey</t>
        </is>
      </c>
      <c r="C101" s="30" t="inlineStr">
        <is>
          <t>Istanbul (Galataport) → Beşiktaş / Bosphorus</t>
        </is>
      </c>
      <c r="D101" s="31" t="n">
        <v>2.6</v>
      </c>
      <c r="E101" s="26" t="n">
        <v>13</v>
      </c>
      <c r="F101" s="32" t="inlineStr">
        <is>
          <t>T2</t>
        </is>
      </c>
      <c r="G101" s="32" t="inlineStr">
        <is>
          <t>med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400000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IF(OR(AG101="",R101=0),"",MIN(IF(AT101="",9.9E+99,AT101),FLOOR(AK101/R101,1)))</f>
        <v/>
      </c>
      <c r="AM101" s="38">
        <f>IF(AL101="","",AL101*T101)</f>
        <v/>
      </c>
      <c r="AN101" s="36">
        <f>IF(OR(AG101="",R101=0),"",MIN(IF(AT101="",9.9E+99,AT101),AK101/R101))</f>
        <v/>
      </c>
      <c r="AO101" s="38">
        <f>IF(AN101="","",AN101*T101)</f>
        <v/>
      </c>
      <c r="AP101" s="40" t="n"/>
      <c r="AQ101" s="32" t="inlineStr">
        <is>
          <t>Grounded</t>
        </is>
      </c>
      <c r="AR101" s="41" t="n"/>
      <c r="AS101" s="41" t="n"/>
      <c r="AT101" s="42" t="n"/>
      <c r="AU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V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W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X101" s="44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AY101" s="44" t="n"/>
    </row>
    <row r="102">
      <c r="A102" s="29" t="inlineStr">
        <is>
          <t>Yango Turkey</t>
        </is>
      </c>
      <c r="B102" s="29" t="inlineStr">
        <is>
          <t>Turkey</t>
        </is>
      </c>
      <c r="C102" s="30" t="inlineStr">
        <is>
          <t>Eminönü → Kadıköy</t>
        </is>
      </c>
      <c r="D102" s="31" t="n">
        <v>2.6</v>
      </c>
      <c r="E102" s="26" t="n">
        <v>18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MIN(24,FLOOR(60*service_hr/J102,1))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1091427</v>
      </c>
      <c r="AH102" s="32" t="n"/>
      <c r="AI102" s="32" t="inlineStr">
        <is>
          <t>med</t>
        </is>
      </c>
      <c r="AJ102" s="39" t="n">
        <v>0.25</v>
      </c>
      <c r="AK102" s="34">
        <f>IF(AG102="","",AG102*AJ102)</f>
        <v/>
      </c>
      <c r="AL102" s="34">
        <f>IF(OR(AG102="",R102=0),"",MIN(IF(AT102="",9.9E+99,AT102),FLOOR(AK102/R102,1)))</f>
        <v/>
      </c>
      <c r="AM102" s="38">
        <f>IF(AL102="","",AL102*T102)</f>
        <v/>
      </c>
      <c r="AN102" s="36">
        <f>IF(OR(AG102="",R102=0),"",MIN(IF(AT102="",9.9E+99,AT102),AK102/R102))</f>
        <v/>
      </c>
      <c r="AO102" s="38">
        <f>IF(AN102="","",AN102*T102)</f>
        <v/>
      </c>
      <c r="AP102" s="40" t="n"/>
      <c r="AQ102" s="32" t="inlineStr">
        <is>
          <t>Grounded</t>
        </is>
      </c>
      <c r="AR102" s="41" t="n"/>
      <c r="AS102" s="41" t="n"/>
      <c r="AT102" s="42" t="n"/>
      <c r="AU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V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W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X102" s="44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AY102" s="44" t="n"/>
    </row>
    <row r="103">
      <c r="A103" s="29" t="inlineStr">
        <is>
          <t>Yango Turkey</t>
        </is>
      </c>
      <c r="B103" s="29" t="inlineStr">
        <is>
          <t>Turkey</t>
        </is>
      </c>
      <c r="C103" s="30" t="inlineStr">
        <is>
          <t>Beşiktaş → Kadıköy</t>
        </is>
      </c>
      <c r="D103" s="31" t="n">
        <v>2.6</v>
      </c>
      <c r="E103" s="26" t="n">
        <v>18</v>
      </c>
      <c r="F103" s="32" t="inlineStr">
        <is>
          <t>T2</t>
        </is>
      </c>
      <c r="G103" s="32" t="inlineStr">
        <is>
          <t>med</t>
        </is>
      </c>
      <c r="H103" s="19" t="n">
        <v>1</v>
      </c>
      <c r="I103" s="33">
        <f>60*D103/cruise_kt</f>
        <v/>
      </c>
      <c r="J103" s="33">
        <f>I103+turn_min+dwell_min</f>
        <v/>
      </c>
      <c r="K103" s="34">
        <f>MIN(24,FLOOR(60*service_hr/J103,1))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/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IF(OR(AG103="",R103=0),"",MIN(IF(AT103="",9.9E+99,AT103),FLOOR(AK103/R103,1)))</f>
        <v/>
      </c>
      <c r="AM103" s="38">
        <f>IF(AL103="","",AL103*T103)</f>
        <v/>
      </c>
      <c r="AN103" s="36">
        <f>IF(OR(AG103="",R103=0),"",MIN(IF(AT103="",9.9E+99,AT103),AK103/R103))</f>
        <v/>
      </c>
      <c r="AO103" s="38">
        <f>IF(AN103="","",AN103*T103)</f>
        <v/>
      </c>
      <c r="AP103" s="40" t="n"/>
      <c r="AQ103" s="32" t="inlineStr">
        <is>
          <t>Estimated</t>
        </is>
      </c>
      <c r="AR103" s="41" t="n"/>
      <c r="AS103" s="41" t="n"/>
      <c r="AT103" s="42" t="n"/>
      <c r="AU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V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W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X103" s="44" t="inlineStr">
        <is>
          <t>[LB-255 PREMIUM RE-FARE: subsidized comparable $5.28 lifted to premium on-demand floor $18.0] IMM Sea Taxi shared per-seat on 2.6 nm = (500+2.6×750)/10 = 245 TL ÷ 46.4 = $5.28.</t>
        </is>
      </c>
      <c r="AY103" s="44" t="n"/>
    </row>
    <row r="104">
      <c r="A104" s="29" t="inlineStr">
        <is>
          <t>Yango Turkey</t>
        </is>
      </c>
      <c r="B104" s="29" t="inlineStr">
        <is>
          <t>Turkey</t>
        </is>
      </c>
      <c r="C104" s="30" t="inlineStr">
        <is>
          <t>Kadıköy → Kabataş</t>
        </is>
      </c>
      <c r="D104" s="31" t="n">
        <v>2.6</v>
      </c>
      <c r="E104" s="26" t="n">
        <v>18</v>
      </c>
      <c r="F104" s="32" t="inlineStr">
        <is>
          <t>T2</t>
        </is>
      </c>
      <c r="G104" s="32" t="inlineStr">
        <is>
          <t>med</t>
        </is>
      </c>
      <c r="H104" s="19" t="n">
        <v>1</v>
      </c>
      <c r="I104" s="33">
        <f>60*D104/cruise_kt</f>
        <v/>
      </c>
      <c r="J104" s="33">
        <f>I104+turn_min+dwell_min</f>
        <v/>
      </c>
      <c r="K104" s="34">
        <f>MIN(24,FLOOR(60*service_hr/J104,1))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/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IF(OR(AG104="",R104=0),"",MIN(IF(AT104="",9.9E+99,AT104),FLOOR(AK104/R104,1)))</f>
        <v/>
      </c>
      <c r="AM104" s="38">
        <f>IF(AL104="","",AL104*T104)</f>
        <v/>
      </c>
      <c r="AN104" s="36">
        <f>IF(OR(AG104="",R104=0),"",MIN(IF(AT104="",9.9E+99,AT104),AK104/R104))</f>
        <v/>
      </c>
      <c r="AO104" s="38">
        <f>IF(AN104="","",AN104*T104)</f>
        <v/>
      </c>
      <c r="AP104" s="40" t="n"/>
      <c r="AQ104" s="32" t="inlineStr">
        <is>
          <t>Estimated</t>
        </is>
      </c>
      <c r="AR104" s="41" t="n"/>
      <c r="AS104" s="41" t="n"/>
      <c r="AT104" s="42" t="n"/>
      <c r="AU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V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W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X104" s="44" t="inlineStr">
        <is>
          <t>[LB-255 PREMIUM RE-FARE: subsidized comparable $5.28 lifted to premium on-demand floor $18.0] IMM Sea Taxi shared per-seat on 2.6 nm = (500+2.6×750)/10 = 245 TL ÷ 46.4 = $5.28.</t>
        </is>
      </c>
      <c r="AY104" s="44" t="n"/>
    </row>
    <row r="105">
      <c r="A105" s="29" t="inlineStr">
        <is>
          <t>Yango Turkey</t>
        </is>
      </c>
      <c r="B105" s="29" t="inlineStr">
        <is>
          <t>Turkey</t>
        </is>
      </c>
      <c r="C105" s="30" t="inlineStr">
        <is>
          <t>Bostancı → Büyükada (Princes' Islands)</t>
        </is>
      </c>
      <c r="D105" s="31" t="n">
        <v>4.5</v>
      </c>
      <c r="E105" s="26" t="n">
        <v>8.35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/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IF(OR(AG105="",R105=0),"",MIN(IF(AT105="",9.9E+99,AT105),FLOOR(AK105/R105,1)))</f>
        <v/>
      </c>
      <c r="AM105" s="38">
        <f>IF(AL105="","",AL105*T105)</f>
        <v/>
      </c>
      <c r="AN105" s="36">
        <f>IF(OR(AG105="",R105=0),"",MIN(IF(AT105="",9.9E+99,AT105),AK105/R105))</f>
        <v/>
      </c>
      <c r="AO105" s="38">
        <f>IF(AN105="","",AN105*T105)</f>
        <v/>
      </c>
      <c r="AP105" s="40" t="n"/>
      <c r="AQ105" s="32" t="inlineStr">
        <is>
          <t>Estimated</t>
        </is>
      </c>
      <c r="AR105" s="41" t="n"/>
      <c r="AS105" s="41" t="n"/>
      <c r="AT105" s="42" t="n"/>
      <c r="AU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V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W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X105" s="44" t="inlineStr">
        <is>
          <t>IMM Sea Taxi shared per-seat on 4.5 nm = (500+4.5×750)/10 = 387.5 TL ÷ 46.4 = $8.35 (whole-boat 3875 TL = $83.5).</t>
        </is>
      </c>
      <c r="AY105" s="44" t="n"/>
    </row>
    <row r="106">
      <c r="A106" s="29" t="inlineStr">
        <is>
          <t>Yango Turkey</t>
        </is>
      </c>
      <c r="B106" s="29" t="inlineStr">
        <is>
          <t>Turkey</t>
        </is>
      </c>
      <c r="C106" s="30" t="inlineStr">
        <is>
          <t>Fethiye → Ölüdeniz</t>
        </is>
      </c>
      <c r="D106" s="31" t="n">
        <v>6</v>
      </c>
      <c r="E106" s="26" t="n">
        <v>59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/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IF(OR(AG106="",R106=0),"",MIN(IF(AT106="",9.9E+99,AT106),FLOOR(AK106/R106,1)))</f>
        <v/>
      </c>
      <c r="AM106" s="38">
        <f>IF(AL106="","",AL106*T106)</f>
        <v/>
      </c>
      <c r="AN106" s="36">
        <f>IF(OR(AG106="",R106=0),"",MIN(IF(AT106="",9.9E+99,AT106),AK106/R106))</f>
        <v/>
      </c>
      <c r="AO106" s="38">
        <f>IF(AN106="","",AN106*T106)</f>
        <v/>
      </c>
      <c r="AP106" s="40" t="n"/>
      <c r="AQ106" s="32" t="inlineStr">
        <is>
          <t>Estimated</t>
        </is>
      </c>
      <c r="AR106" s="41" t="n"/>
      <c r="AS106" s="41" t="n"/>
      <c r="AT106" s="42" t="n"/>
      <c r="AU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V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W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X106" s="44" t="inlineStr">
        <is>
          <t>Fethiye/Ölüdeniz 6-Islands + Butterfly Valley + Blue Lagoon boat trip ~$59/adult (Tripadvisor) as premium per-seat day-cruise anchor.</t>
        </is>
      </c>
      <c r="AY106" s="44" t="n"/>
    </row>
    <row r="107">
      <c r="A107" s="29" t="inlineStr">
        <is>
          <t>Yango Turkey</t>
        </is>
      </c>
      <c r="B107" s="29" t="inlineStr">
        <is>
          <t>Turkey</t>
        </is>
      </c>
      <c r="C107" s="30" t="inlineStr">
        <is>
          <t>Çeşme → Chios (Greece)</t>
        </is>
      </c>
      <c r="D107" s="31" t="n">
        <v>7</v>
      </c>
      <c r="E107" s="26" t="n"/>
      <c r="F107" s="32" t="n"/>
      <c r="G107" s="32" t="n"/>
      <c r="H107" s="19" t="n">
        <v>1</v>
      </c>
      <c r="I107" s="33">
        <f>60*D107/cruise_kt</f>
        <v/>
      </c>
      <c r="J107" s="33">
        <f>I107+turn_min+dwell_min</f>
        <v/>
      </c>
      <c r="K107" s="34">
        <f>MIN(15,FLOOR(60*service_hr/J107,1))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/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IF(OR(AG107="",R107=0),"",MIN(IF(AT107="",9.9E+99,AT107),FLOOR(AK107/R107,1)))</f>
        <v/>
      </c>
      <c r="AM107" s="38">
        <f>IF(AL107="","",AL107*T107)</f>
        <v/>
      </c>
      <c r="AN107" s="36">
        <f>IF(OR(AG107="",R107=0),"",MIN(IF(AT107="",9.9E+99,AT107),AK107/R107))</f>
        <v/>
      </c>
      <c r="AO107" s="38">
        <f>IF(AN107="","",AN107*T107)</f>
        <v/>
      </c>
      <c r="AP107" s="40" t="n"/>
      <c r="AQ107" s="32" t="inlineStr">
        <is>
          <t>Estimated</t>
        </is>
      </c>
      <c r="AR107" s="41" t="n"/>
      <c r="AS107" s="41" t="n"/>
      <c r="AT107" s="42" t="n"/>
      <c r="AU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V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W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X107" s="44" t="n"/>
      <c r="AY107" s="44" t="n"/>
    </row>
    <row r="108">
      <c r="A108" s="29" t="inlineStr">
        <is>
          <t>Yango Turkey</t>
        </is>
      </c>
      <c r="B108" s="29" t="inlineStr">
        <is>
          <t>Turkey</t>
        </is>
      </c>
      <c r="C108" s="30" t="inlineStr">
        <is>
          <t>Fethiye → Göcek (12 Islands bays)</t>
        </is>
      </c>
      <c r="D108" s="31" t="n">
        <v>8</v>
      </c>
      <c r="E108" s="26" t="n">
        <v>38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MIN(15,FLOOR(60*service_hr/J108,1))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/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IF(OR(AG108="",R108=0),"",MIN(IF(AT108="",9.9E+99,AT108),FLOOR(AK108/R108,1)))</f>
        <v/>
      </c>
      <c r="AM108" s="38">
        <f>IF(AL108="","",AL108*T108)</f>
        <v/>
      </c>
      <c r="AN108" s="36">
        <f>IF(OR(AG108="",R108=0),"",MIN(IF(AT108="",9.9E+99,AT108),AK108/R108))</f>
        <v/>
      </c>
      <c r="AO108" s="38">
        <f>IF(AN108="","",AN108*T108)</f>
        <v/>
      </c>
      <c r="AP108" s="40" t="n"/>
      <c r="AQ108" s="32" t="inlineStr">
        <is>
          <t>Estimated</t>
        </is>
      </c>
      <c r="AR108" s="41" t="n"/>
      <c r="AS108" s="41" t="n"/>
      <c r="AT108" s="42" t="n"/>
      <c r="AU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V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W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X108" s="44" t="inlineStr">
        <is>
          <t>12-Islands day-cruise per-adult comparable ~$35-40 (GetYourGuide/Tripadvisor Göcek &amp; Fethiye tours); $38 premium per-seat anchor.</t>
        </is>
      </c>
      <c r="AY108" s="44" t="n"/>
    </row>
    <row r="109">
      <c r="A109" s="29" t="inlineStr">
        <is>
          <t>Yango Turkey</t>
        </is>
      </c>
      <c r="B109" s="29" t="inlineStr">
        <is>
          <t>Turkey</t>
        </is>
      </c>
      <c r="C109" s="30" t="inlineStr">
        <is>
          <t>Bodrum → Gümüşlük</t>
        </is>
      </c>
      <c r="D109" s="31" t="n">
        <v>9</v>
      </c>
      <c r="E109" s="26" t="n">
        <v>30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MIN(15,FLOOR(60*service_hr/J109,1))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/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IF(OR(AG109="",R109=0),"",MIN(IF(AT109="",9.9E+99,AT109),FLOOR(AK109/R109,1)))</f>
        <v/>
      </c>
      <c r="AM109" s="38">
        <f>IF(AL109="","",AL109*T109)</f>
        <v/>
      </c>
      <c r="AN109" s="36">
        <f>IF(OR(AG109="",R109=0),"",MIN(IF(AT109="",9.9E+99,AT109),AK109/R109))</f>
        <v/>
      </c>
      <c r="AO109" s="38">
        <f>IF(AN109="","",AN109*T109)</f>
        <v/>
      </c>
      <c r="AP109" s="40" t="n"/>
      <c r="AQ109" s="32" t="inlineStr">
        <is>
          <t>Estimated</t>
        </is>
      </c>
      <c r="AR109" s="41" t="n"/>
      <c r="AS109" s="41" t="n"/>
      <c r="AT109" s="42" t="n"/>
      <c r="AU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V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W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X109" s="44" t="inlineStr">
        <is>
          <t>Bodrum/Gümüşlük day-boat tour comparable ~$30/adult (Tripadvisor/GetYourGuide Bodrum cruises) used as premium per-seat leisure anchor (not pure point-to-point).</t>
        </is>
      </c>
      <c r="AY109" s="44" t="n"/>
    </row>
    <row r="110">
      <c r="A110" s="29" t="inlineStr">
        <is>
          <t>Yango Turkey</t>
        </is>
      </c>
      <c r="B110" s="29" t="inlineStr">
        <is>
          <t>Turkey</t>
        </is>
      </c>
      <c r="C110" s="30" t="inlineStr">
        <is>
          <t>Bodrum → Yalıkavak</t>
        </is>
      </c>
      <c r="D110" s="31" t="n">
        <v>9</v>
      </c>
      <c r="E110" s="26" t="n">
        <v>40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MIN(15,FLOOR(60*service_hr/J110,1))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/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IF(OR(AG110="",R110=0),"",MIN(IF(AT110="",9.9E+99,AT110),FLOOR(AK110/R110,1)))</f>
        <v/>
      </c>
      <c r="AM110" s="38">
        <f>IF(AL110="","",AL110*T110)</f>
        <v/>
      </c>
      <c r="AN110" s="36">
        <f>IF(OR(AG110="",R110=0),"",MIN(IF(AT110="",9.9E+99,AT110),AK110/R110))</f>
        <v/>
      </c>
      <c r="AO110" s="38">
        <f>IF(AN110="","",AN110*T110)</f>
        <v/>
      </c>
      <c r="AP110" s="40" t="n"/>
      <c r="AQ110" s="32" t="inlineStr">
        <is>
          <t>Estimated</t>
        </is>
      </c>
      <c r="AR110" s="41" t="n"/>
      <c r="AS110" s="41" t="n"/>
      <c r="AT110" s="42" t="n"/>
      <c r="AU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V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W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X110" s="44" t="inlineStr">
        <is>
          <t>Bodrum-peninsula premium day/charter tender comparable ~$40/seat (Viator/GetYourGuide Bodrum luxury cruises) — superyacht-marina premium tier.</t>
        </is>
      </c>
      <c r="AY110" s="44" t="n"/>
    </row>
    <row r="111">
      <c r="A111" s="29" t="inlineStr">
        <is>
          <t>Yango Turkey</t>
        </is>
      </c>
      <c r="B111" s="29" t="inlineStr">
        <is>
          <t>Turkey</t>
        </is>
      </c>
      <c r="C111" s="30" t="inlineStr">
        <is>
          <t>Bodrum → Datça</t>
        </is>
      </c>
      <c r="D111" s="31" t="n">
        <v>10</v>
      </c>
      <c r="E111" s="26" t="n">
        <v>15.1</v>
      </c>
      <c r="F111" s="32" t="inlineStr">
        <is>
          <t>T2</t>
        </is>
      </c>
      <c r="G111" s="32" t="inlineStr">
        <is>
          <t>med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IF(OR(AG111="",R111=0),"",MIN(IF(AT111="",9.9E+99,AT111),FLOOR(AK111/R111,1)))</f>
        <v/>
      </c>
      <c r="AM111" s="38">
        <f>IF(AL111="","",AL111*T111)</f>
        <v/>
      </c>
      <c r="AN111" s="36">
        <f>IF(OR(AG111="",R111=0),"",MIN(IF(AT111="",9.9E+99,AT111),AK111/R111))</f>
        <v/>
      </c>
      <c r="AO111" s="38">
        <f>IF(AN111="","",AN111*T111)</f>
        <v/>
      </c>
      <c r="AP111" s="40" t="n"/>
      <c r="AQ111" s="32" t="inlineStr">
        <is>
          <t>Estimated</t>
        </is>
      </c>
      <c r="AR111" s="41" t="n"/>
      <c r="AS111" s="41" t="n"/>
      <c r="AT111" s="42" t="n"/>
      <c r="AU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V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W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X111" s="44" t="inlineStr">
        <is>
          <t>Bodrum→Datça scheduled ferry one-way 700 TL (Jun 2025, Turkey's For Life / bodrumferibot) ÷ 46.4 = $15.1; return 1,250 TL = $26.9.</t>
        </is>
      </c>
      <c r="AY111" s="44" t="n"/>
    </row>
    <row r="112">
      <c r="A112" s="29" t="inlineStr">
        <is>
          <t>Yango Turkey</t>
        </is>
      </c>
      <c r="B112" s="29" t="inlineStr">
        <is>
          <t>Turkey</t>
        </is>
      </c>
      <c r="C112" s="30" t="inlineStr">
        <is>
          <t>Bodrum → Turgutreis</t>
        </is>
      </c>
      <c r="D112" s="31" t="n">
        <v>10</v>
      </c>
      <c r="E112" s="26" t="n">
        <v>35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MIN(15,FLOOR(60*service_hr/J112,1))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/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IF(OR(AG112="",R112=0),"",MIN(IF(AT112="",9.9E+99,AT112),FLOOR(AK112/R112,1)))</f>
        <v/>
      </c>
      <c r="AM112" s="38">
        <f>IF(AL112="","",AL112*T112)</f>
        <v/>
      </c>
      <c r="AN112" s="36">
        <f>IF(OR(AG112="",R112=0),"",MIN(IF(AT112="",9.9E+99,AT112),AK112/R112))</f>
        <v/>
      </c>
      <c r="AO112" s="38">
        <f>IF(AN112="","",AN112*T112)</f>
        <v/>
      </c>
      <c r="AP112" s="40" t="n"/>
      <c r="AQ112" s="32" t="inlineStr">
        <is>
          <t>Estimated</t>
        </is>
      </c>
      <c r="AR112" s="41" t="n"/>
      <c r="AS112" s="41" t="n"/>
      <c r="AT112" s="42" t="n"/>
      <c r="AU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V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W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X112" s="44" t="inlineStr">
        <is>
          <t>Bodrum-peninsula day/sunset cruise comparable ~$35/adult (Tripadvisor/Viator Bodrum &amp; Turgutreis tours).</t>
        </is>
      </c>
      <c r="AY112" s="44" t="n"/>
    </row>
    <row r="113">
      <c r="A113" s="29" t="inlineStr">
        <is>
          <t>Yango Turkey</t>
        </is>
      </c>
      <c r="B113" s="29" t="inlineStr">
        <is>
          <t>Turkey</t>
        </is>
      </c>
      <c r="C113" s="30" t="inlineStr">
        <is>
          <t>Kabataş → Büyükada (Princes' Islands)</t>
        </is>
      </c>
      <c r="D113" s="31" t="n">
        <v>11</v>
      </c>
      <c r="E113" s="26" t="n">
        <v>18.86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>
        <v>2000000</v>
      </c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IF(OR(AG113="",R113=0),"",MIN(IF(AT113="",9.9E+99,AT113),FLOOR(AK113/R113,1)))</f>
        <v/>
      </c>
      <c r="AM113" s="38">
        <f>IF(AL113="","",AL113*T113)</f>
        <v/>
      </c>
      <c r="AN113" s="36">
        <f>IF(OR(AG113="",R113=0),"",MIN(IF(AT113="",9.9E+99,AT113),AK113/R113))</f>
        <v/>
      </c>
      <c r="AO113" s="38">
        <f>IF(AN113="","",AN113*T113)</f>
        <v/>
      </c>
      <c r="AP113" s="40" t="n"/>
      <c r="AQ113" s="32" t="inlineStr">
        <is>
          <t>Grounded</t>
        </is>
      </c>
      <c r="AR113" s="41" t="n"/>
      <c r="AS113" s="41" t="n"/>
      <c r="AT113" s="42" t="n"/>
      <c r="AU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V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W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X113" s="44" t="inlineStr">
        <is>
          <t>IMM Sea Taxi shared per-seat on 11 nm = (500+11×750)/10 = 875 TL ÷ 46.4 = $18.86 (whole-boat 8750 TL = $188.6). Scheduled premium = İDO/Şehir Hatları fast-ferry Adalar tier.</t>
        </is>
      </c>
      <c r="AY113" s="44" t="n"/>
    </row>
    <row r="114">
      <c r="A114" s="29" t="inlineStr">
        <is>
          <t>Yango Turkey</t>
        </is>
      </c>
      <c r="B114" s="29" t="inlineStr">
        <is>
          <t>Turkey</t>
        </is>
      </c>
      <c r="C114" s="30" t="inlineStr">
        <is>
          <t>Bodrum → Kos (Greece)</t>
        </is>
      </c>
      <c r="D114" s="31" t="n">
        <v>12</v>
      </c>
      <c r="E114" s="26" t="n">
        <v>35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>
        <v>138149</v>
      </c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IF(OR(AG114="",R114=0),"",MIN(IF(AT114="",9.9E+99,AT114),FLOOR(AK114/R114,1)))</f>
        <v/>
      </c>
      <c r="AM114" s="38">
        <f>IF(AL114="","",AL114*T114)</f>
        <v/>
      </c>
      <c r="AN114" s="36">
        <f>IF(OR(AG114="",R114=0),"",MIN(IF(AT114="",9.9E+99,AT114),AK114/R114))</f>
        <v/>
      </c>
      <c r="AO114" s="38">
        <f>IF(AN114="","",AN114*T114)</f>
        <v/>
      </c>
      <c r="AP114" s="40" t="n"/>
      <c r="AQ114" s="32" t="inlineStr">
        <is>
          <t>Grounded</t>
        </is>
      </c>
      <c r="AR114" s="41" t="n"/>
      <c r="AS114" s="41" t="n"/>
      <c r="AT114" s="42" t="n"/>
      <c r="AU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V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W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X114" s="44" t="inlineStr">
        <is>
          <t>Scheduled fast catamaran Bodrum→Kos adult one-way €25-40 (Bodrum Express Lines / ferrybodrum); midpoint €32 × 1.08 = $34.6 ≈ $35.</t>
        </is>
      </c>
      <c r="AY114" s="44" t="n"/>
    </row>
    <row r="115">
      <c r="A115" s="29" t="inlineStr">
        <is>
          <t>Yango Turkey</t>
        </is>
      </c>
      <c r="B115" s="29" t="inlineStr">
        <is>
          <t>Turkey</t>
        </is>
      </c>
      <c r="C115" s="30" t="inlineStr">
        <is>
          <t>Kuşadası → Samos (Greece)</t>
        </is>
      </c>
      <c r="D115" s="31" t="n">
        <v>12</v>
      </c>
      <c r="E115" s="26" t="n"/>
      <c r="F115" s="32" t="n"/>
      <c r="G115" s="32" t="n"/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/>
      <c r="AH115" s="32" t="n"/>
      <c r="AI115" s="32" t="n"/>
      <c r="AJ115" s="39" t="n">
        <v>0.1</v>
      </c>
      <c r="AK115" s="34">
        <f>IF(AG115="","",AG115*AJ115)</f>
        <v/>
      </c>
      <c r="AL115" s="34">
        <f>IF(OR(AG115="",R115=0),"",MIN(IF(AT115="",9.9E+99,AT115),FLOOR(AK115/R115,1)))</f>
        <v/>
      </c>
      <c r="AM115" s="38">
        <f>IF(AL115="","",AL115*T115)</f>
        <v/>
      </c>
      <c r="AN115" s="36">
        <f>IF(OR(AG115="",R115=0),"",MIN(IF(AT115="",9.9E+99,AT115),AK115/R115))</f>
        <v/>
      </c>
      <c r="AO115" s="38">
        <f>IF(AN115="","",AN115*T115)</f>
        <v/>
      </c>
      <c r="AP115" s="40" t="n"/>
      <c r="AQ115" s="32" t="inlineStr">
        <is>
          <t>Estimated</t>
        </is>
      </c>
      <c r="AR115" s="41" t="n"/>
      <c r="AS115" s="41" t="n"/>
      <c r="AT115" s="42" t="n"/>
      <c r="AU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V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W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X115" s="44" t="n"/>
      <c r="AY115" s="44" t="n"/>
    </row>
    <row r="116">
      <c r="A116" s="29" t="inlineStr">
        <is>
          <t>Yango Turkey</t>
        </is>
      </c>
      <c r="B116" s="29" t="inlineStr">
        <is>
          <t>Turkey</t>
        </is>
      </c>
      <c r="C116" s="30" t="inlineStr">
        <is>
          <t>Sabiha Gökçen Airport (Pendik) → Kabataş / Beşiktaş (city)</t>
        </is>
      </c>
      <c r="D116" s="31" t="n">
        <v>15</v>
      </c>
      <c r="E116" s="26" t="n">
        <v>25.3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MIN(15,FLOOR(60*service_hr/J116,1))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/>
      <c r="AH116" s="32" t="n"/>
      <c r="AI116" s="32" t="n"/>
      <c r="AJ116" s="39" t="n">
        <v>0.1</v>
      </c>
      <c r="AK116" s="34">
        <f>IF(AG116="","",AG116*AJ116)</f>
        <v/>
      </c>
      <c r="AL116" s="34">
        <f>IF(OR(AG116="",R116=0),"",MIN(IF(AT116="",9.9E+99,AT116),FLOOR(AK116/R116,1)))</f>
        <v/>
      </c>
      <c r="AM116" s="38">
        <f>IF(AL116="","",AL116*T116)</f>
        <v/>
      </c>
      <c r="AN116" s="36">
        <f>IF(OR(AG116="",R116=0),"",MIN(IF(AT116="",9.9E+99,AT116),AK116/R116))</f>
        <v/>
      </c>
      <c r="AO116" s="38">
        <f>IF(AN116="","",AN116*T116)</f>
        <v/>
      </c>
      <c r="AP116" s="40" t="n"/>
      <c r="AQ116" s="32" t="inlineStr">
        <is>
          <t>Estimated</t>
        </is>
      </c>
      <c r="AR116" s="41" t="n"/>
      <c r="AS116" s="41" t="n"/>
      <c r="AT116" s="42" t="n"/>
      <c r="AU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V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W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X116" s="44" t="inlineStr">
        <is>
          <t>IMM Sea Taxi shared per-seat on 15 nm = (500+15×750)/10 = 1175 TL ÷ 46.4 = $25.3 (whole-boat charter 11,750 TL = $253).</t>
        </is>
      </c>
      <c r="AY116" s="44" t="n"/>
    </row>
    <row r="117">
      <c r="A117" s="29" t="inlineStr">
        <is>
          <t>Yango Turkey</t>
        </is>
      </c>
      <c r="B117" s="29" t="inlineStr">
        <is>
          <t>Turkey</t>
        </is>
      </c>
      <c r="C117" s="30" t="inlineStr">
        <is>
          <t>Marmaris → Datça</t>
        </is>
      </c>
      <c r="D117" s="31" t="n">
        <v>18</v>
      </c>
      <c r="E117" s="26" t="n">
        <v>40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IF(OR(AG117="",R117=0),"",MIN(IF(AT117="",9.9E+99,AT117),FLOOR(AK117/R117,1)))</f>
        <v/>
      </c>
      <c r="AM117" s="38">
        <f>IF(AL117="","",AL117*T117)</f>
        <v/>
      </c>
      <c r="AN117" s="36">
        <f>IF(OR(AG117="",R117=0),"",MIN(IF(AT117="",9.9E+99,AT117),AK117/R117))</f>
        <v/>
      </c>
      <c r="AO117" s="38">
        <f>IF(AN117="","",AN117*T117)</f>
        <v/>
      </c>
      <c r="AP117" s="40" t="n"/>
      <c r="AQ117" s="32" t="inlineStr">
        <is>
          <t>Estimated</t>
        </is>
      </c>
      <c r="AR117" s="41" t="n"/>
      <c r="AS117" s="41" t="n"/>
      <c r="AT117" s="42" t="n"/>
      <c r="AU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V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W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X117" s="44" t="inlineStr">
        <is>
          <t>Marmaris→Datça cabin-charter/day-boat per-person comparable ~$40 (Blue Cruise Bodrum Marmaris-Datça route). Scheduled point-to-point not separately tariffed → leisure anchor.</t>
        </is>
      </c>
      <c r="AY117" s="44" t="n"/>
    </row>
    <row r="118">
      <c r="A118" s="29" t="inlineStr">
        <is>
          <t>Yango Turkey</t>
        </is>
      </c>
      <c r="B118" s="29" t="inlineStr">
        <is>
          <t>Turkey</t>
        </is>
      </c>
      <c r="C118" s="30" t="inlineStr">
        <is>
          <t>Bodrum → Didim</t>
        </is>
      </c>
      <c r="D118" s="31" t="n">
        <v>20</v>
      </c>
      <c r="E118" s="26" t="n">
        <v>27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MIN(24,FLOOR(60*service_hr/J118,1))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IF(OR(AG118="",R118=0),"",MIN(IF(AT118="",9.9E+99,AT118),FLOOR(AK118/R118,1)))</f>
        <v/>
      </c>
      <c r="AM118" s="38">
        <f>IF(AL118="","",AL118*T118)</f>
        <v/>
      </c>
      <c r="AN118" s="36">
        <f>IF(OR(AG118="",R118=0),"",MIN(IF(AT118="",9.9E+99,AT118),AK118/R118))</f>
        <v/>
      </c>
      <c r="AO118" s="38">
        <f>IF(AN118="","",AN118*T118)</f>
        <v/>
      </c>
      <c r="AP118" s="40" t="n"/>
      <c r="AQ118" s="32" t="inlineStr">
        <is>
          <t>Estimated</t>
        </is>
      </c>
      <c r="AR118" s="41" t="n"/>
      <c r="AS118" s="41" t="n"/>
      <c r="AT118" s="42" t="n"/>
      <c r="AU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V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W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X118" s="44" t="inlineStr">
        <is>
          <t>Didim→Turgutreis/Bodrum catamaran ~€25 (Didim Sea Lines / Voices Newspaper 2024 tariff) × 1.08 = $27.</t>
        </is>
      </c>
      <c r="AY118" s="44" t="n"/>
    </row>
    <row r="119">
      <c r="A119" s="29" t="inlineStr">
        <is>
          <t>Yango Turkey</t>
        </is>
      </c>
      <c r="B119" s="29" t="inlineStr">
        <is>
          <t>Turkey</t>
        </is>
      </c>
      <c r="C119" s="30" t="inlineStr">
        <is>
          <t>Antalya → Kemer</t>
        </is>
      </c>
      <c r="D119" s="31" t="n">
        <v>22</v>
      </c>
      <c r="E119" s="26" t="n">
        <v>45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/>
      <c r="AH119" s="32" t="n"/>
      <c r="AI119" s="32" t="n"/>
      <c r="AJ119" s="39" t="n">
        <v>0.1</v>
      </c>
      <c r="AK119" s="34">
        <f>IF(AG119="","",AG119*AJ119)</f>
        <v/>
      </c>
      <c r="AL119" s="34">
        <f>IF(OR(AG119="",R119=0),"",MIN(IF(AT119="",9.9E+99,AT119),FLOOR(AK119/R119,1)))</f>
        <v/>
      </c>
      <c r="AM119" s="38">
        <f>IF(AL119="","",AL119*T119)</f>
        <v/>
      </c>
      <c r="AN119" s="36">
        <f>IF(OR(AG119="",R119=0),"",MIN(IF(AT119="",9.9E+99,AT119),AK119/R119))</f>
        <v/>
      </c>
      <c r="AO119" s="38">
        <f>IF(AN119="","",AN119*T119)</f>
        <v/>
      </c>
      <c r="AP119" s="40" t="n"/>
      <c r="AQ119" s="32" t="inlineStr">
        <is>
          <t>Estimated</t>
        </is>
      </c>
      <c r="AR119" s="41" t="n"/>
      <c r="AS119" s="41" t="n"/>
      <c r="AT119" s="42" t="n"/>
      <c r="AU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V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W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X119" s="44" t="inlineStr">
        <is>
          <t>Kemer full-day pirate-boat cruise comparable ~$41-53 (Viator/Tinggly/Tripadvisor); $45 premium per-seat anchor.</t>
        </is>
      </c>
      <c r="AY119" s="44" t="n"/>
    </row>
    <row r="120">
      <c r="A120" s="29" t="inlineStr">
        <is>
          <t>Yango Turkey</t>
        </is>
      </c>
      <c r="B120" s="29" t="inlineStr">
        <is>
          <t>Turkey</t>
        </is>
      </c>
      <c r="C120" s="30" t="inlineStr">
        <is>
          <t>Marmaris → Göcek</t>
        </is>
      </c>
      <c r="D120" s="31" t="n">
        <v>24</v>
      </c>
      <c r="E120" s="26" t="n">
        <v>45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MIN(15,FLOOR(60*service_hr/J120,1))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/>
      <c r="AH120" s="32" t="n"/>
      <c r="AI120" s="32" t="n"/>
      <c r="AJ120" s="39" t="n">
        <v>0.1</v>
      </c>
      <c r="AK120" s="34">
        <f>IF(AG120="","",AG120*AJ120)</f>
        <v/>
      </c>
      <c r="AL120" s="34">
        <f>IF(OR(AG120="",R120=0),"",MIN(IF(AT120="",9.9E+99,AT120),FLOOR(AK120/R120,1)))</f>
        <v/>
      </c>
      <c r="AM120" s="38">
        <f>IF(AL120="","",AL120*T120)</f>
        <v/>
      </c>
      <c r="AN120" s="36">
        <f>IF(OR(AG120="",R120=0),"",MIN(IF(AT120="",9.9E+99,AT120),AK120/R120))</f>
        <v/>
      </c>
      <c r="AO120" s="38">
        <f>IF(AN120="","",AN120*T120)</f>
        <v/>
      </c>
      <c r="AP120" s="40" t="n"/>
      <c r="AQ120" s="32" t="inlineStr">
        <is>
          <t>Estimated</t>
        </is>
      </c>
      <c r="AR120" s="41" t="n"/>
      <c r="AS120" s="41" t="n"/>
      <c r="AT120" s="42" t="n"/>
      <c r="AU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V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W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X120" s="44" t="inlineStr">
        <is>
          <t>Marmaris/Göcek gulet &amp; blue-cruise day-leg per-seat comparable ~$45 (Blue Cruise / Tripadvisor Marmaris-Datça/Göcek cabin charters, per-day per-person).</t>
        </is>
      </c>
      <c r="AY120" s="44" t="n"/>
    </row>
    <row r="121">
      <c r="A121" s="29" t="inlineStr">
        <is>
          <t>Yango Turkey</t>
        </is>
      </c>
      <c r="B121" s="29" t="inlineStr">
        <is>
          <t>Turkey</t>
        </is>
      </c>
      <c r="C121" s="30" t="inlineStr">
        <is>
          <t>Marmaris → Rhodes (Greece)</t>
        </is>
      </c>
      <c r="D121" s="31" t="n">
        <v>30</v>
      </c>
      <c r="E121" s="26" t="n">
        <v>59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IF(OR(AG121="",R121=0),"",MIN(IF(AT121="",9.9E+99,AT121),FLOOR(AK121/R121,1)))</f>
        <v/>
      </c>
      <c r="AM121" s="38">
        <f>IF(AL121="","",AL121*T121)</f>
        <v/>
      </c>
      <c r="AN121" s="36">
        <f>IF(OR(AG121="",R121=0),"",MIN(IF(AT121="",9.9E+99,AT121),AK121/R121))</f>
        <v/>
      </c>
      <c r="AO121" s="38">
        <f>IF(AN121="","",AN121*T121)</f>
        <v/>
      </c>
      <c r="AP121" s="40" t="n"/>
      <c r="AQ121" s="32" t="inlineStr">
        <is>
          <t>Estimated</t>
        </is>
      </c>
      <c r="AR121" s="41" t="n"/>
      <c r="AS121" s="41" t="n"/>
      <c r="AT121" s="42" t="n"/>
      <c r="AU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V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W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X121" s="44" t="inlineStr">
        <is>
          <t>Scheduled fast catamaran Marmaris→Rhodes one-way ~€55 (Yeşil Marmaris Lines), ~45 min; €55 × 1.08 = $59.</t>
        </is>
      </c>
      <c r="AY121" s="44" t="n"/>
    </row>
    <row r="122">
      <c r="A122" s="29" t="inlineStr">
        <is>
          <t>Yango Turkey</t>
        </is>
      </c>
      <c r="B122" s="29" t="inlineStr">
        <is>
          <t>Turkey</t>
        </is>
      </c>
      <c r="C122" s="30" t="inlineStr">
        <is>
          <t>Antalya → Side</t>
        </is>
      </c>
      <c r="D122" s="31" t="n">
        <v>33</v>
      </c>
      <c r="E122" s="26" t="n">
        <v>50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MIN(24,FLOOR(60*service_hr/J122,1))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/>
      <c r="AH122" s="32" t="n"/>
      <c r="AI122" s="32" t="n"/>
      <c r="AJ122" s="39" t="n">
        <v>0.1</v>
      </c>
      <c r="AK122" s="34">
        <f>IF(AG122="","",AG122*AJ122)</f>
        <v/>
      </c>
      <c r="AL122" s="34">
        <f>IF(OR(AG122="",R122=0),"",MIN(IF(AT122="",9.9E+99,AT122),FLOOR(AK122/R122,1)))</f>
        <v/>
      </c>
      <c r="AM122" s="38">
        <f>IF(AL122="","",AL122*T122)</f>
        <v/>
      </c>
      <c r="AN122" s="36">
        <f>IF(OR(AG122="",R122=0),"",MIN(IF(AT122="",9.9E+99,AT122),AK122/R122))</f>
        <v/>
      </c>
      <c r="AO122" s="38">
        <f>IF(AN122="","",AN122*T122)</f>
        <v/>
      </c>
      <c r="AP122" s="40" t="n"/>
      <c r="AQ122" s="32" t="inlineStr">
        <is>
          <t>Estimated</t>
        </is>
      </c>
      <c r="AR122" s="41" t="n"/>
      <c r="AS122" s="41" t="n"/>
      <c r="AT122" s="42" t="n"/>
      <c r="AU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V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W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X122" s="44" t="inlineStr">
        <is>
          <t>Side full-day boat cruise comparable ~$44-60/adult (Tripadvisor/GetYourGuide Side cruises); $50 premium per-seat anchor.</t>
        </is>
      </c>
      <c r="AY122" s="44" t="n"/>
    </row>
    <row r="123">
      <c r="A123" s="29" t="inlineStr">
        <is>
          <t>Yango Turkey</t>
        </is>
      </c>
      <c r="B123" s="29" t="inlineStr">
        <is>
          <t>Turkey</t>
        </is>
      </c>
      <c r="C123" s="30" t="inlineStr">
        <is>
          <t>İzmir → Çeşme</t>
        </is>
      </c>
      <c r="D123" s="31" t="n">
        <v>38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MIN(24,FLOOR(60*service_hr/J123,1))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/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IF(OR(AG123="",R123=0),"",MIN(IF(AT123="",9.9E+99,AT123),FLOOR(AK123/R123,1)))</f>
        <v/>
      </c>
      <c r="AM123" s="38">
        <f>IF(AL123="","",AL123*T123)</f>
        <v/>
      </c>
      <c r="AN123" s="36">
        <f>IF(OR(AG123="",R123=0),"",MIN(IF(AT123="",9.9E+99,AT123),AK123/R123))</f>
        <v/>
      </c>
      <c r="AO123" s="38">
        <f>IF(AN123="","",AN123*T123)</f>
        <v/>
      </c>
      <c r="AP123" s="40" t="n"/>
      <c r="AQ123" s="32" t="inlineStr">
        <is>
          <t>Estimated</t>
        </is>
      </c>
      <c r="AR123" s="41" t="n"/>
      <c r="AS123" s="41" t="n"/>
      <c r="AT123" s="42" t="n"/>
      <c r="AU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V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W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X123" s="44" t="n"/>
      <c r="AY123" s="44" t="n"/>
    </row>
    <row r="124">
      <c r="A124" s="29" t="inlineStr">
        <is>
          <t>Yango Turkey</t>
        </is>
      </c>
      <c r="B124" s="29" t="inlineStr">
        <is>
          <t>Turkey</t>
        </is>
      </c>
      <c r="C124" s="30" t="inlineStr">
        <is>
          <t>Fethiye → Rhodes (Greece)</t>
        </is>
      </c>
      <c r="D124" s="31" t="n">
        <v>42</v>
      </c>
      <c r="E124" s="26" t="n">
        <v>64</v>
      </c>
      <c r="F124" s="32" t="inlineStr">
        <is>
          <t>T2</t>
        </is>
      </c>
      <c r="G124" s="32" t="inlineStr">
        <is>
          <t>med</t>
        </is>
      </c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IF(OR(AG124="",R124=0),"",MIN(IF(AT124="",9.9E+99,AT124),FLOOR(AK124/R124,1)))</f>
        <v/>
      </c>
      <c r="AM124" s="38">
        <f>IF(AL124="","",AL124*T124)</f>
        <v/>
      </c>
      <c r="AN124" s="36">
        <f>IF(OR(AG124="",R124=0),"",MIN(IF(AT124="",9.9E+99,AT124),AK124/R124))</f>
        <v/>
      </c>
      <c r="AO124" s="38">
        <f>IF(AN124="","",AN124*T124)</f>
        <v/>
      </c>
      <c r="AP124" s="40" t="n"/>
      <c r="AQ124" s="32" t="inlineStr">
        <is>
          <t>Estimated</t>
        </is>
      </c>
      <c r="AR124" s="41" t="n"/>
      <c r="AS124" s="41" t="n"/>
      <c r="AT124" s="42" t="n"/>
      <c r="AU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V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W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X124" s="44" t="inlineStr">
        <is>
          <t>Fethiye→Rhodes fast catamaran from $64 one-way (Direct Ferries), ~1h40.</t>
        </is>
      </c>
      <c r="AY124" s="44" t="n"/>
    </row>
    <row r="125">
      <c r="A125" s="29" t="inlineStr">
        <is>
          <t>UAE (Careem)</t>
        </is>
      </c>
      <c r="B125" s="29" t="inlineStr">
        <is>
          <t>United Arab Emirates</t>
        </is>
      </c>
      <c r="C125" s="30" t="inlineStr">
        <is>
          <t>One&amp;Only The Palm Jetty → Jumeirah Zabeel Saray Jetty</t>
        </is>
      </c>
      <c r="D125" s="31" t="n">
        <v>0.5</v>
      </c>
      <c r="E125" s="26" t="n">
        <v>130</v>
      </c>
      <c r="F125" s="32" t="inlineStr">
        <is>
          <t>T5</t>
        </is>
      </c>
      <c r="G125" s="32" t="inlineStr">
        <is>
          <t>low</t>
        </is>
      </c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>
        <v>25000</v>
      </c>
      <c r="AH125" s="32" t="inlineStr">
        <is>
          <t>T3</t>
        </is>
      </c>
      <c r="AI125" s="32" t="inlineStr">
        <is>
          <t>low</t>
        </is>
      </c>
      <c r="AJ125" s="39" t="n">
        <v>0.1</v>
      </c>
      <c r="AK125" s="34">
        <f>IF(AG125="","",AG125*AJ125)</f>
        <v/>
      </c>
      <c r="AL125" s="34">
        <f>IF(OR(AG125="",R125=0),"",MIN(IF(AT125="",9.9E+99,AT125),FLOOR(AK125/R125,1)))</f>
        <v/>
      </c>
      <c r="AM125" s="38">
        <f>IF(AL125="","",AL125*T125)</f>
        <v/>
      </c>
      <c r="AN125" s="36">
        <f>IF(OR(AG125="",R125=0),"",MIN(IF(AT125="",9.9E+99,AT125),AK125/R125))</f>
        <v/>
      </c>
      <c r="AO125" s="38">
        <f>IF(AN125="","",AN125*T125)</f>
        <v/>
      </c>
      <c r="AP125" s="40" t="n"/>
      <c r="AQ125" s="32" t="inlineStr">
        <is>
          <t>Grounded</t>
        </is>
      </c>
      <c r="AR125" s="41" t="n"/>
      <c r="AS125" s="41" t="n"/>
      <c r="AT125" s="42" t="n"/>
      <c r="AU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V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W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X125" s="44" t="inlineStr">
        <is>
          <t>Palm ultra-lux cluster (One&amp;Only&lt;-&gt;Zabeel Saray). Road-served. T5/low.</t>
        </is>
      </c>
      <c r="AY12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26">
      <c r="A126" s="29" t="inlineStr">
        <is>
          <t>UAE (Careem)</t>
        </is>
      </c>
      <c r="B126" s="29" t="inlineStr">
        <is>
          <t>United Arab Emirates</t>
        </is>
      </c>
      <c r="C126" s="30" t="inlineStr">
        <is>
          <t>Dubai Harbour Marina → Bluewaters Marina</t>
        </is>
      </c>
      <c r="D126" s="31" t="n">
        <v>1.1</v>
      </c>
      <c r="E126" s="26" t="n">
        <v>45</v>
      </c>
      <c r="F126" s="32" t="inlineStr">
        <is>
          <t>T1</t>
        </is>
      </c>
      <c r="G126" s="32" t="inlineStr">
        <is>
          <t>high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MIN(15,FLOOR(60*service_hr/J126,1))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>
        <v>200000</v>
      </c>
      <c r="AH126" s="32" t="inlineStr">
        <is>
          <t>T5</t>
        </is>
      </c>
      <c r="AI126" s="32" t="inlineStr">
        <is>
          <t>low</t>
        </is>
      </c>
      <c r="AJ126" s="39" t="n">
        <v>0.1</v>
      </c>
      <c r="AK126" s="34">
        <f>IF(AG126="","",AG126*AJ126)</f>
        <v/>
      </c>
      <c r="AL126" s="34">
        <f>IF(OR(AG126="",R126=0),"",MIN(IF(AT126="",9.9E+99,AT126),FLOOR(AK126/R126,1)))</f>
        <v/>
      </c>
      <c r="AM126" s="38">
        <f>IF(AL126="","",AL126*T126)</f>
        <v/>
      </c>
      <c r="AN126" s="36">
        <f>IF(OR(AG126="",R126=0),"",MIN(IF(AT126="",9.9E+99,AT126),AK126/R126))</f>
        <v/>
      </c>
      <c r="AO126" s="38">
        <f>IF(AN126="","",AN126*T126)</f>
        <v/>
      </c>
      <c r="AP126" s="40" t="n"/>
      <c r="AQ126" s="32" t="inlineStr">
        <is>
          <t>Grounded</t>
        </is>
      </c>
      <c r="AR126" s="41" t="n"/>
      <c r="AS126" s="41" t="n"/>
      <c r="AT126" s="42" t="n"/>
      <c r="AU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V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W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X126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Y126" s="44" t="inlineStr">
        <is>
          <t>RTA marine = 18.4M riders 2025 (WAM, T1); bulk are ~1km Creek abras (R3-ABRA, different micro-corridor). Premium non-abra modes a small fraction.</t>
        </is>
      </c>
    </row>
    <row r="127">
      <c r="A127" s="29" t="inlineStr">
        <is>
          <t>UAE (Careem)</t>
        </is>
      </c>
      <c r="B127" s="29" t="inlineStr">
        <is>
          <t>United Arab Emirates</t>
        </is>
      </c>
      <c r="C127" s="30" t="inlineStr">
        <is>
          <t>Kempinski Hotel &amp; Residences Palm Jumeirah Jetty → Atlantis The Palm Jetty</t>
        </is>
      </c>
      <c r="D127" s="31" t="n">
        <v>1.2</v>
      </c>
      <c r="E127" s="26" t="n">
        <v>130</v>
      </c>
      <c r="F127" s="32" t="inlineStr">
        <is>
          <t>T5</t>
        </is>
      </c>
      <c r="G127" s="32" t="inlineStr">
        <is>
          <t>low</t>
        </is>
      </c>
      <c r="H127" s="19" t="n">
        <v>1</v>
      </c>
      <c r="I127" s="33">
        <f>60*D127/cruise_kt</f>
        <v/>
      </c>
      <c r="J127" s="33">
        <f>I127+turn_min+dwell_min</f>
        <v/>
      </c>
      <c r="K127" s="34">
        <f>MIN(15,FLOOR(60*service_hr/J127,1))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>
        <v>30000</v>
      </c>
      <c r="AH127" s="32" t="inlineStr">
        <is>
          <t>T3</t>
        </is>
      </c>
      <c r="AI127" s="32" t="inlineStr">
        <is>
          <t>low</t>
        </is>
      </c>
      <c r="AJ127" s="39" t="n">
        <v>0.1</v>
      </c>
      <c r="AK127" s="34">
        <f>IF(AG127="","",AG127*AJ127)</f>
        <v/>
      </c>
      <c r="AL127" s="34">
        <f>IF(OR(AG127="",R127=0),"",MIN(IF(AT127="",9.9E+99,AT127),FLOOR(AK127/R127,1)))</f>
        <v/>
      </c>
      <c r="AM127" s="38">
        <f>IF(AL127="","",AL127*T127)</f>
        <v/>
      </c>
      <c r="AN127" s="36">
        <f>IF(OR(AG127="",R127=0),"",MIN(IF(AT127="",9.9E+99,AT127),AK127/R127))</f>
        <v/>
      </c>
      <c r="AO127" s="38">
        <f>IF(AN127="","",AN127*T127)</f>
        <v/>
      </c>
      <c r="AP127" s="40" t="n"/>
      <c r="AQ127" s="32" t="inlineStr">
        <is>
          <t>Grounded</t>
        </is>
      </c>
      <c r="AR127" s="41" t="n"/>
      <c r="AS127" s="41" t="n"/>
      <c r="AT127" s="42" t="n"/>
      <c r="AU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V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W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X127" s="44" t="inlineStr">
        <is>
          <t>Palm resort cluster (Kempinski&lt;-&gt;Atlantis). Road-served. T5/low.</t>
        </is>
      </c>
      <c r="AY12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28">
      <c r="A128" s="29" t="inlineStr">
        <is>
          <t>UAE (Careem)</t>
        </is>
      </c>
      <c r="B128" s="29" t="inlineStr">
        <is>
          <t>United Arab Emirates</t>
        </is>
      </c>
      <c r="C128" s="30" t="inlineStr">
        <is>
          <t>La Mer / J1 Beach Jetty → Nikki Beach Resort Pearl Jumeirah Jetty</t>
        </is>
      </c>
      <c r="D128" s="31" t="n">
        <v>1.2</v>
      </c>
      <c r="E128" s="26" t="n">
        <v>110</v>
      </c>
      <c r="F128" s="32" t="inlineStr">
        <is>
          <t>T5</t>
        </is>
      </c>
      <c r="G128" s="32" t="inlineStr">
        <is>
          <t>low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>
        <v>25000</v>
      </c>
      <c r="AH128" s="32" t="inlineStr">
        <is>
          <t>T3</t>
        </is>
      </c>
      <c r="AI128" s="32" t="inlineStr">
        <is>
          <t>low</t>
        </is>
      </c>
      <c r="AJ128" s="39" t="n">
        <v>0.1</v>
      </c>
      <c r="AK128" s="34">
        <f>IF(AG128="","",AG128*AJ128)</f>
        <v/>
      </c>
      <c r="AL128" s="34">
        <f>IF(OR(AG128="",R128=0),"",MIN(IF(AT128="",9.9E+99,AT128),FLOOR(AK128/R128,1)))</f>
        <v/>
      </c>
      <c r="AM128" s="38">
        <f>IF(AL128="","",AL128*T128)</f>
        <v/>
      </c>
      <c r="AN128" s="36">
        <f>IF(OR(AG128="",R128=0),"",MIN(IF(AT128="",9.9E+99,AT128),AK128/R128))</f>
        <v/>
      </c>
      <c r="AO128" s="38">
        <f>IF(AN128="","",AN128*T128)</f>
        <v/>
      </c>
      <c r="AP128" s="40" t="n"/>
      <c r="AQ128" s="32" t="inlineStr">
        <is>
          <t>Grounded</t>
        </is>
      </c>
      <c r="AR128" s="41" t="n"/>
      <c r="AS128" s="41" t="n"/>
      <c r="AT128" s="42" t="n"/>
      <c r="AU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V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W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X128" s="44" t="inlineStr">
        <is>
          <t>Urban Dubai beach-club leisure hop. Road-served. T5/low.</t>
        </is>
      </c>
      <c r="AY12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29">
      <c r="A129" s="29" t="inlineStr">
        <is>
          <t>UAE (Careem)</t>
        </is>
      </c>
      <c r="B129" s="29" t="inlineStr">
        <is>
          <t>United Arab Emirates</t>
        </is>
      </c>
      <c r="C129" s="30" t="inlineStr">
        <is>
          <t>Palm Jumeirah Marina West → Atlantis The Palm Jetty</t>
        </is>
      </c>
      <c r="D129" s="31" t="n">
        <v>1.3</v>
      </c>
      <c r="E129" s="26" t="n">
        <v>150</v>
      </c>
      <c r="F129" s="32" t="inlineStr">
        <is>
          <t>T5</t>
        </is>
      </c>
      <c r="G129" s="32" t="inlineStr">
        <is>
          <t>low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>
        <v>120000</v>
      </c>
      <c r="AH129" s="32" t="inlineStr">
        <is>
          <t>T2</t>
        </is>
      </c>
      <c r="AI129" s="32" t="inlineStr">
        <is>
          <t>medium</t>
        </is>
      </c>
      <c r="AJ129" s="39" t="n">
        <v>0.1</v>
      </c>
      <c r="AK129" s="34">
        <f>IF(AG129="","",AG129*AJ129)</f>
        <v/>
      </c>
      <c r="AL129" s="34">
        <f>IF(OR(AG129="",R129=0),"",MIN(IF(AT129="",9.9E+99,AT129),FLOOR(AK129/R129,1)))</f>
        <v/>
      </c>
      <c r="AM129" s="38">
        <f>IF(AL129="","",AL129*T129)</f>
        <v/>
      </c>
      <c r="AN129" s="36">
        <f>IF(OR(AG129="",R129=0),"",MIN(IF(AT129="",9.9E+99,AT129),AK129/R129))</f>
        <v/>
      </c>
      <c r="AO129" s="38">
        <f>IF(AN129="","",AN129*T129)</f>
        <v/>
      </c>
      <c r="AP129" s="40" t="n"/>
      <c r="AQ129" s="32" t="inlineStr">
        <is>
          <t>Grounded</t>
        </is>
      </c>
      <c r="AR129" s="41" t="n"/>
      <c r="AS129" s="41" t="n"/>
      <c r="AT129" s="42" t="n"/>
      <c r="AU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V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W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X129" s="44" t="inlineStr">
        <is>
          <t>Atlantis The Palm (1,544 rooms) road-served; premium marine arrival opportunity-to-create. T5/low.</t>
        </is>
      </c>
      <c r="AY12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30">
      <c r="A130" s="29" t="inlineStr">
        <is>
          <t>UAE (Careem)</t>
        </is>
      </c>
      <c r="B130" s="29" t="inlineStr">
        <is>
          <t>United Arab Emirates</t>
        </is>
      </c>
      <c r="C130" s="30" t="inlineStr">
        <is>
          <t>Dubai Creek Marina → Al Seef Marine Transport Station</t>
        </is>
      </c>
      <c r="D130" s="31" t="n">
        <v>1.5</v>
      </c>
      <c r="E130" s="26" t="n">
        <v>41</v>
      </c>
      <c r="F130" s="32" t="inlineStr">
        <is>
          <t>T1</t>
        </is>
      </c>
      <c r="G130" s="32" t="inlineStr">
        <is>
          <t>high</t>
        </is>
      </c>
      <c r="H130" s="19" t="n">
        <v>1</v>
      </c>
      <c r="I130" s="33">
        <f>60*D130/cruise_kt</f>
        <v/>
      </c>
      <c r="J130" s="33">
        <f>I130+turn_min+dwell_min</f>
        <v/>
      </c>
      <c r="K130" s="34">
        <f>MIN(15,FLOOR(60*service_hr/J130,1))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>
        <v>120000</v>
      </c>
      <c r="AH130" s="32" t="inlineStr">
        <is>
          <t>T5</t>
        </is>
      </c>
      <c r="AI130" s="32" t="inlineStr">
        <is>
          <t>low</t>
        </is>
      </c>
      <c r="AJ130" s="39" t="n">
        <v>0.1</v>
      </c>
      <c r="AK130" s="34">
        <f>IF(AG130="","",AG130*AJ130)</f>
        <v/>
      </c>
      <c r="AL130" s="34">
        <f>IF(OR(AG130="",R130=0),"",MIN(IF(AT130="",9.9E+99,AT130),FLOOR(AK130/R130,1)))</f>
        <v/>
      </c>
      <c r="AM130" s="38">
        <f>IF(AL130="","",AL130*T130)</f>
        <v/>
      </c>
      <c r="AN130" s="36">
        <f>IF(OR(AG130="",R130=0),"",MIN(IF(AT130="",9.9E+99,AT130),AK130/R130))</f>
        <v/>
      </c>
      <c r="AO130" s="38">
        <f>IF(AN130="","",AN130*T130)</f>
        <v/>
      </c>
      <c r="AP130" s="40" t="n"/>
      <c r="AQ130" s="32" t="inlineStr">
        <is>
          <t>Grounded</t>
        </is>
      </c>
      <c r="AR130" s="41" t="n"/>
      <c r="AS130" s="41" t="n"/>
      <c r="AT130" s="42" t="n"/>
      <c r="AU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V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W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X130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Y130" s="44" t="inlineStr">
        <is>
          <t>18.4M RTA marine is ~all sub-1km abras (R3-ABRA); premium water-taxi/ferry tier is a small fraction.</t>
        </is>
      </c>
    </row>
    <row r="131">
      <c r="A131" s="29" t="inlineStr">
        <is>
          <t>UAE (Careem)</t>
        </is>
      </c>
      <c r="B131" s="29" t="inlineStr">
        <is>
          <t>United Arab Emirates</t>
        </is>
      </c>
      <c r="C131" s="30" t="inlineStr">
        <is>
          <t>Yacht Marina → The Westin Dubai Mina Seyahi Beach Resort &amp; Marina</t>
        </is>
      </c>
      <c r="D131" s="31" t="n">
        <v>1.5</v>
      </c>
      <c r="E131" s="26" t="n">
        <v>95</v>
      </c>
      <c r="F131" s="32" t="inlineStr">
        <is>
          <t>T4</t>
        </is>
      </c>
      <c r="G131" s="32" t="inlineStr">
        <is>
          <t>low</t>
        </is>
      </c>
      <c r="H131" s="19" t="n">
        <v>1</v>
      </c>
      <c r="I131" s="33">
        <f>60*D131/cruise_kt</f>
        <v/>
      </c>
      <c r="J131" s="33">
        <f>I131+turn_min+dwell_min</f>
        <v/>
      </c>
      <c r="K131" s="34">
        <f>MIN(15,FLOOR(60*service_hr/J131,1))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>
        <v>25000</v>
      </c>
      <c r="AH131" s="32" t="inlineStr">
        <is>
          <t>T3</t>
        </is>
      </c>
      <c r="AI131" s="32" t="inlineStr">
        <is>
          <t>low</t>
        </is>
      </c>
      <c r="AJ131" s="39" t="n">
        <v>0.1</v>
      </c>
      <c r="AK131" s="34">
        <f>IF(AG131="","",AG131*AJ131)</f>
        <v/>
      </c>
      <c r="AL131" s="34">
        <f>IF(OR(AG131="",R131=0),"",MIN(IF(AT131="",9.9E+99,AT131),FLOOR(AK131/R131,1)))</f>
        <v/>
      </c>
      <c r="AM131" s="38">
        <f>IF(AL131="","",AL131*T131)</f>
        <v/>
      </c>
      <c r="AN131" s="36">
        <f>IF(OR(AG131="",R131=0),"",MIN(IF(AT131="",9.9E+99,AT131),AK131/R131))</f>
        <v/>
      </c>
      <c r="AO131" s="38">
        <f>IF(AN131="","",AN131*T131)</f>
        <v/>
      </c>
      <c r="AP131" s="40" t="n"/>
      <c r="AQ131" s="32" t="inlineStr">
        <is>
          <t>Grounded</t>
        </is>
      </c>
      <c r="AR131" s="41" t="n"/>
      <c r="AS131" s="41" t="n"/>
      <c r="AT131" s="42" t="n"/>
      <c r="AU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V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W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X131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Y13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2">
      <c r="A132" s="29" t="inlineStr">
        <is>
          <t>UAE (Careem)</t>
        </is>
      </c>
      <c r="B132" s="29" t="inlineStr">
        <is>
          <t>United Arab Emirates</t>
        </is>
      </c>
      <c r="C132" s="30" t="inlineStr">
        <is>
          <t>Marina Mall / Breakwater Marina → Lulu Island Jetty</t>
        </is>
      </c>
      <c r="D132" s="31" t="n">
        <v>1.7</v>
      </c>
      <c r="E132" s="26" t="n">
        <v>45</v>
      </c>
      <c r="F132" s="32" t="inlineStr">
        <is>
          <t>T4</t>
        </is>
      </c>
      <c r="G132" s="32" t="inlineStr">
        <is>
          <t>low</t>
        </is>
      </c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>
        <v>20000</v>
      </c>
      <c r="AH132" s="32" t="inlineStr">
        <is>
          <t>T5</t>
        </is>
      </c>
      <c r="AI132" s="32" t="inlineStr">
        <is>
          <t>low</t>
        </is>
      </c>
      <c r="AJ132" s="39" t="n">
        <v>0.1</v>
      </c>
      <c r="AK132" s="34">
        <f>IF(AG132="","",AG132*AJ132)</f>
        <v/>
      </c>
      <c r="AL132" s="34">
        <f>IF(OR(AG132="",R132=0),"",MIN(IF(AT132="",9.9E+99,AT132),FLOOR(AK132/R132,1)))</f>
        <v/>
      </c>
      <c r="AM132" s="38">
        <f>IF(AL132="","",AL132*T132)</f>
        <v/>
      </c>
      <c r="AN132" s="36">
        <f>IF(OR(AG132="",R132=0),"",MIN(IF(AT132="",9.9E+99,AT132),AK132/R132))</f>
        <v/>
      </c>
      <c r="AO132" s="38">
        <f>IF(AN132="","",AN132*T132)</f>
        <v/>
      </c>
      <c r="AP132" s="40" t="n"/>
      <c r="AQ132" s="32" t="inlineStr">
        <is>
          <t>Grounded</t>
        </is>
      </c>
      <c r="AR132" s="41" t="n"/>
      <c r="AS132" s="41" t="n"/>
      <c r="AT132" s="42" t="n"/>
      <c r="AU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V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W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X132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Y132" s="44" t="inlineStr">
        <is>
          <t>Lulu boat-only (R3-EXCEPTION) but undeveloped/limited-access -&gt; small day-visit pool.</t>
        </is>
      </c>
    </row>
    <row r="133">
      <c r="A133" s="29" t="inlineStr">
        <is>
          <t>UAE (Careem)</t>
        </is>
      </c>
      <c r="B133" s="29" t="inlineStr">
        <is>
          <t>United Arab Emirates</t>
        </is>
      </c>
      <c r="C133" s="30" t="inlineStr">
        <is>
          <t>Dubai Harbour Marina → Palm Jumeirah Marina West</t>
        </is>
      </c>
      <c r="D133" s="31" t="n">
        <v>2.1</v>
      </c>
      <c r="E133" s="26" t="n">
        <v>48</v>
      </c>
      <c r="F133" s="32" t="inlineStr">
        <is>
          <t>T1</t>
        </is>
      </c>
      <c r="G133" s="32" t="inlineStr">
        <is>
          <t>high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MIN(15,FLOOR(60*service_hr/J133,1))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35000</v>
      </c>
      <c r="AH133" s="32" t="inlineStr">
        <is>
          <t>T3</t>
        </is>
      </c>
      <c r="AI133" s="32" t="inlineStr">
        <is>
          <t>low</t>
        </is>
      </c>
      <c r="AJ133" s="39" t="n">
        <v>0.1</v>
      </c>
      <c r="AK133" s="34">
        <f>IF(AG133="","",AG133*AJ133)</f>
        <v/>
      </c>
      <c r="AL133" s="34">
        <f>IF(OR(AG133="",R133=0),"",MIN(IF(AT133="",9.9E+99,AT133),FLOOR(AK133/R133,1)))</f>
        <v/>
      </c>
      <c r="AM133" s="38">
        <f>IF(AL133="","",AL133*T133)</f>
        <v/>
      </c>
      <c r="AN133" s="36">
        <f>IF(OR(AG133="",R133=0),"",MIN(IF(AT133="",9.9E+99,AT133),AK133/R133))</f>
        <v/>
      </c>
      <c r="AO133" s="38">
        <f>IF(AN133="","",AN133*T133)</f>
        <v/>
      </c>
      <c r="AP133" s="40" t="n"/>
      <c r="AQ133" s="32" t="inlineStr">
        <is>
          <t>Grounded</t>
        </is>
      </c>
      <c r="AR133" s="41" t="n"/>
      <c r="AS133" s="41" t="n"/>
      <c r="AT133" s="42" t="n"/>
      <c r="AU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V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W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X133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Y1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4">
      <c r="A134" s="29" t="inlineStr">
        <is>
          <t>UAE (Careem)</t>
        </is>
      </c>
      <c r="B134" s="29" t="inlineStr">
        <is>
          <t>United Arab Emirates</t>
        </is>
      </c>
      <c r="C134" s="30" t="inlineStr">
        <is>
          <t>Al Bateen Marina → Emirates Palace Marina</t>
        </is>
      </c>
      <c r="D134" s="31" t="n">
        <v>2.2</v>
      </c>
      <c r="E134" s="26" t="n">
        <v>150</v>
      </c>
      <c r="F134" s="32" t="inlineStr">
        <is>
          <t>T5</t>
        </is>
      </c>
      <c r="G134" s="32" t="inlineStr">
        <is>
          <t>low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MIN(15,FLOOR(60*service_hr/J134,1))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20000</v>
      </c>
      <c r="AH134" s="32" t="inlineStr">
        <is>
          <t>T3</t>
        </is>
      </c>
      <c r="AI134" s="32" t="inlineStr">
        <is>
          <t>low</t>
        </is>
      </c>
      <c r="AJ134" s="39" t="n">
        <v>0.1</v>
      </c>
      <c r="AK134" s="34">
        <f>IF(AG134="","",AG134*AJ134)</f>
        <v/>
      </c>
      <c r="AL134" s="34">
        <f>IF(OR(AG134="",R134=0),"",MIN(IF(AT134="",9.9E+99,AT134),FLOOR(AK134/R134,1)))</f>
        <v/>
      </c>
      <c r="AM134" s="38">
        <f>IF(AL134="","",AL134*T134)</f>
        <v/>
      </c>
      <c r="AN134" s="36">
        <f>IF(OR(AG134="",R134=0),"",MIN(IF(AT134="",9.9E+99,AT134),AK134/R134))</f>
        <v/>
      </c>
      <c r="AO134" s="38">
        <f>IF(AN134="","",AN134*T134)</f>
        <v/>
      </c>
      <c r="AP134" s="40" t="n"/>
      <c r="AQ134" s="32" t="inlineStr">
        <is>
          <t>Grounded</t>
        </is>
      </c>
      <c r="AR134" s="41" t="n"/>
      <c r="AS134" s="41" t="n"/>
      <c r="AT134" s="42" t="n"/>
      <c r="AU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V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W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X134" s="44" t="inlineStr">
        <is>
          <t>Emirates Palace (flagship AD luxury hotel) marina arrival; road-served; opportunity-to-create. T5/low.</t>
        </is>
      </c>
      <c r="AY13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5">
      <c r="A135" s="29" t="inlineStr">
        <is>
          <t>UAE (Careem)</t>
        </is>
      </c>
      <c r="B135" s="29" t="inlineStr">
        <is>
          <t>United Arab Emirates</t>
        </is>
      </c>
      <c r="C135" s="30" t="inlineStr">
        <is>
          <t>Côte d'Azur Resort Marina (Heart of Europe) → Anantara World Islands Resort Jetty (planned)</t>
        </is>
      </c>
      <c r="D135" s="31" t="n">
        <v>2.4</v>
      </c>
      <c r="E135" s="26" t="n">
        <v>150</v>
      </c>
      <c r="F135" s="32" t="inlineStr">
        <is>
          <t>T5</t>
        </is>
      </c>
      <c r="G135" s="32" t="inlineStr">
        <is>
          <t>low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MIN(15,FLOOR(60*service_hr/J135,1))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>
        <v>25000</v>
      </c>
      <c r="AH135" s="32" t="inlineStr">
        <is>
          <t>T3</t>
        </is>
      </c>
      <c r="AI135" s="32" t="inlineStr">
        <is>
          <t>low</t>
        </is>
      </c>
      <c r="AJ135" s="39" t="n">
        <v>0.1</v>
      </c>
      <c r="AK135" s="34">
        <f>IF(AG135="","",AG135*AJ135)</f>
        <v/>
      </c>
      <c r="AL135" s="34">
        <f>IF(OR(AG135="",R135=0),"",MIN(IF(AT135="",9.9E+99,AT135),FLOOR(AK135/R135,1)))</f>
        <v/>
      </c>
      <c r="AM135" s="38">
        <f>IF(AL135="","",AL135*T135)</f>
        <v/>
      </c>
      <c r="AN135" s="36">
        <f>IF(OR(AG135="",R135=0),"",MIN(IF(AT135="",9.9E+99,AT135),AK135/R135))</f>
        <v/>
      </c>
      <c r="AO135" s="38">
        <f>IF(AN135="","",AN135*T135)</f>
        <v/>
      </c>
      <c r="AP135" s="40" t="n"/>
      <c r="AQ135" s="32" t="inlineStr">
        <is>
          <t>Grounded</t>
        </is>
      </c>
      <c r="AR135" s="41" t="n"/>
      <c r="AS135" s="41" t="n"/>
      <c r="AT135" s="42" t="n"/>
      <c r="AU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V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W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X135" s="44" t="inlineStr">
        <is>
          <t>Intra-The-World offshore hop; both boat-only. Greenfield premium per-seat. T5/low.</t>
        </is>
      </c>
      <c r="AY13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6">
      <c r="A136" s="29" t="inlineStr">
        <is>
          <t>UAE (Careem)</t>
        </is>
      </c>
      <c r="B136" s="29" t="inlineStr">
        <is>
          <t>United Arab Emirates</t>
        </is>
      </c>
      <c r="C136" s="30" t="inlineStr">
        <is>
          <t>Marina Mall / Breakwater Marina → Al Bateen Marina</t>
        </is>
      </c>
      <c r="D136" s="31" t="n">
        <v>2.6</v>
      </c>
      <c r="E136" s="26" t="n">
        <v>45</v>
      </c>
      <c r="F136" s="32" t="inlineStr">
        <is>
          <t>T4</t>
        </is>
      </c>
      <c r="G136" s="32" t="inlineStr">
        <is>
          <t>low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MIN(15,FLOOR(60*service_hr/J136,1))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50000</v>
      </c>
      <c r="AH136" s="32" t="inlineStr">
        <is>
          <t>T3</t>
        </is>
      </c>
      <c r="AI136" s="32" t="inlineStr">
        <is>
          <t>low</t>
        </is>
      </c>
      <c r="AJ136" s="39" t="n">
        <v>0.1</v>
      </c>
      <c r="AK136" s="34">
        <f>IF(AG136="","",AG136*AJ136)</f>
        <v/>
      </c>
      <c r="AL136" s="34">
        <f>IF(OR(AG136="",R136=0),"",MIN(IF(AT136="",9.9E+99,AT136),FLOOR(AK136/R136,1)))</f>
        <v/>
      </c>
      <c r="AM136" s="38">
        <f>IF(AL136="","",AL136*T136)</f>
        <v/>
      </c>
      <c r="AN136" s="36">
        <f>IF(OR(AG136="",R136=0),"",MIN(IF(AT136="",9.9E+99,AT136),AK136/R136))</f>
        <v/>
      </c>
      <c r="AO136" s="38">
        <f>IF(AN136="","",AN136*T136)</f>
        <v/>
      </c>
      <c r="AP136" s="40" t="n"/>
      <c r="AQ136" s="32" t="inlineStr">
        <is>
          <t>Grounded</t>
        </is>
      </c>
      <c r="AR136" s="41" t="n"/>
      <c r="AS136" s="41" t="n"/>
      <c r="AT136" s="42" t="n"/>
      <c r="AU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V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W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X136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Y13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7">
      <c r="A137" s="29" t="inlineStr">
        <is>
          <t>UAE (Careem)</t>
        </is>
      </c>
      <c r="B137" s="29" t="inlineStr">
        <is>
          <t>United Arab Emirates</t>
        </is>
      </c>
      <c r="C137" s="30" t="inlineStr">
        <is>
          <t>Bulgari Yacht Club &amp; Marina → La Mer / J1 Beach Jetty</t>
        </is>
      </c>
      <c r="D137" s="31" t="n">
        <v>2.6</v>
      </c>
      <c r="E137" s="26" t="n">
        <v>120</v>
      </c>
      <c r="F137" s="32" t="inlineStr">
        <is>
          <t>T5</t>
        </is>
      </c>
      <c r="G137" s="32" t="inlineStr">
        <is>
          <t>low</t>
        </is>
      </c>
      <c r="H137" s="19" t="n">
        <v>1</v>
      </c>
      <c r="I137" s="33">
        <f>60*D137/cruise_kt</f>
        <v/>
      </c>
      <c r="J137" s="33">
        <f>I137+turn_min+dwell_min</f>
        <v/>
      </c>
      <c r="K137" s="34">
        <f>MIN(15,FLOOR(60*service_hr/J137,1))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>
        <v>30000</v>
      </c>
      <c r="AH137" s="32" t="inlineStr">
        <is>
          <t>T3</t>
        </is>
      </c>
      <c r="AI137" s="32" t="inlineStr">
        <is>
          <t>low</t>
        </is>
      </c>
      <c r="AJ137" s="39" t="n">
        <v>0.1</v>
      </c>
      <c r="AK137" s="34">
        <f>IF(AG137="","",AG137*AJ137)</f>
        <v/>
      </c>
      <c r="AL137" s="34">
        <f>IF(OR(AG137="",R137=0),"",MIN(IF(AT137="",9.9E+99,AT137),FLOOR(AK137/R137,1)))</f>
        <v/>
      </c>
      <c r="AM137" s="38">
        <f>IF(AL137="","",AL137*T137)</f>
        <v/>
      </c>
      <c r="AN137" s="36">
        <f>IF(OR(AG137="",R137=0),"",MIN(IF(AT137="",9.9E+99,AT137),AK137/R137))</f>
        <v/>
      </c>
      <c r="AO137" s="38">
        <f>IF(AN137="","",AN137*T137)</f>
        <v/>
      </c>
      <c r="AP137" s="40" t="n"/>
      <c r="AQ137" s="32" t="inlineStr">
        <is>
          <t>Grounded</t>
        </is>
      </c>
      <c r="AR137" s="41" t="n"/>
      <c r="AS137" s="41" t="n"/>
      <c r="AT137" s="42" t="n"/>
      <c r="AU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V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W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X137" s="44" t="inlineStr">
        <is>
          <t>Urban Dubai beach-club leisure hop (Bulgari Bay&lt;-&gt;La Mer/J1). Road-served. T5/low.</t>
        </is>
      </c>
      <c r="AY13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8">
      <c r="A138" s="29" t="inlineStr">
        <is>
          <t>UAE (Careem)</t>
        </is>
      </c>
      <c r="B138" s="29" t="inlineStr">
        <is>
          <t>United Arab Emirates</t>
        </is>
      </c>
      <c r="C138" s="30" t="inlineStr">
        <is>
          <t>Al Bateen Marina → Hudayriat Marina</t>
        </is>
      </c>
      <c r="D138" s="31" t="n">
        <v>3.6</v>
      </c>
      <c r="E138" s="26" t="n">
        <v>90</v>
      </c>
      <c r="F138" s="32" t="inlineStr">
        <is>
          <t>T4</t>
        </is>
      </c>
      <c r="G138" s="32" t="inlineStr">
        <is>
          <t>low</t>
        </is>
      </c>
      <c r="H138" s="19" t="n">
        <v>1</v>
      </c>
      <c r="I138" s="33">
        <f>60*D138/cruise_kt</f>
        <v/>
      </c>
      <c r="J138" s="33">
        <f>I138+turn_min+dwell_min</f>
        <v/>
      </c>
      <c r="K138" s="34">
        <f>MIN(15,FLOOR(60*service_hr/J138,1))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>
        <v>35000</v>
      </c>
      <c r="AH138" s="32" t="inlineStr">
        <is>
          <t>T3</t>
        </is>
      </c>
      <c r="AI138" s="32" t="inlineStr">
        <is>
          <t>low</t>
        </is>
      </c>
      <c r="AJ138" s="39" t="n">
        <v>0.1</v>
      </c>
      <c r="AK138" s="34">
        <f>IF(AG138="","",AG138*AJ138)</f>
        <v/>
      </c>
      <c r="AL138" s="34">
        <f>IF(OR(AG138="",R138=0),"",MIN(IF(AT138="",9.9E+99,AT138),FLOOR(AK138/R138,1)))</f>
        <v/>
      </c>
      <c r="AM138" s="38">
        <f>IF(AL138="","",AL138*T138)</f>
        <v/>
      </c>
      <c r="AN138" s="36">
        <f>IF(OR(AG138="",R138=0),"",MIN(IF(AT138="",9.9E+99,AT138),AK138/R138))</f>
        <v/>
      </c>
      <c r="AO138" s="38">
        <f>IF(AN138="","",AN138*T138)</f>
        <v/>
      </c>
      <c r="AP138" s="40" t="n"/>
      <c r="AQ138" s="32" t="inlineStr">
        <is>
          <t>Grounded</t>
        </is>
      </c>
      <c r="AR138" s="41" t="n"/>
      <c r="AS138" s="41" t="n"/>
      <c r="AT138" s="42" t="n"/>
      <c r="AU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V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W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X138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Y13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9">
      <c r="A139" s="29" t="inlineStr">
        <is>
          <t>UAE (Careem)</t>
        </is>
      </c>
      <c r="B139" s="29" t="inlineStr">
        <is>
          <t>United Arab Emirates</t>
        </is>
      </c>
      <c r="C139" s="30" t="inlineStr">
        <is>
          <t>Côte d'Azur Resort Marina (Heart of Europe) → Bulgari Yacht Club &amp; Marina</t>
        </is>
      </c>
      <c r="D139" s="31" t="n">
        <v>4.2</v>
      </c>
      <c r="E139" s="26" t="n">
        <v>150</v>
      </c>
      <c r="F139" s="32" t="inlineStr">
        <is>
          <t>T5</t>
        </is>
      </c>
      <c r="G139" s="32" t="inlineStr">
        <is>
          <t>low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MIN(15,FLOOR(60*service_hr/J139,1))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20000</v>
      </c>
      <c r="AH139" s="32" t="inlineStr">
        <is>
          <t>T3</t>
        </is>
      </c>
      <c r="AI139" s="32" t="inlineStr">
        <is>
          <t>low</t>
        </is>
      </c>
      <c r="AJ139" s="39" t="n">
        <v>0.1</v>
      </c>
      <c r="AK139" s="34">
        <f>IF(AG139="","",AG139*AJ139)</f>
        <v/>
      </c>
      <c r="AL139" s="34">
        <f>IF(OR(AG139="",R139=0),"",MIN(IF(AT139="",9.9E+99,AT139),FLOOR(AK139/R139,1)))</f>
        <v/>
      </c>
      <c r="AM139" s="38">
        <f>IF(AL139="","",AL139*T139)</f>
        <v/>
      </c>
      <c r="AN139" s="36">
        <f>IF(OR(AG139="",R139=0),"",MIN(IF(AT139="",9.9E+99,AT139),AK139/R139))</f>
        <v/>
      </c>
      <c r="AO139" s="38">
        <f>IF(AN139="","",AN139*T139)</f>
        <v/>
      </c>
      <c r="AP139" s="40" t="n"/>
      <c r="AQ139" s="32" t="inlineStr">
        <is>
          <t>Grounded</t>
        </is>
      </c>
      <c r="AR139" s="41" t="n"/>
      <c r="AS139" s="41" t="n"/>
      <c r="AT139" s="42" t="n"/>
      <c r="AU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V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W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X139" s="44" t="inlineStr">
        <is>
          <t>The World (boat-only)&lt;-&gt;Bulgari (Jumeirah Bay) luxury hop. Greenfield. T5/low.</t>
        </is>
      </c>
      <c r="AY13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0">
      <c r="A140" s="29" t="inlineStr">
        <is>
          <t>UAE (Careem)</t>
        </is>
      </c>
      <c r="B140" s="29" t="inlineStr">
        <is>
          <t>United Arab Emirates</t>
        </is>
      </c>
      <c r="C140" s="30" t="inlineStr">
        <is>
          <t>Saadiyat Beach Club Jetty → Zaya Nurai Island Jetty</t>
        </is>
      </c>
      <c r="D140" s="31" t="n">
        <v>4.4</v>
      </c>
      <c r="E140" s="26" t="n">
        <v>150</v>
      </c>
      <c r="F140" s="32" t="inlineStr">
        <is>
          <t>T3</t>
        </is>
      </c>
      <c r="G140" s="32" t="inlineStr">
        <is>
          <t>med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MIN(15,FLOOR(60*service_hr/J140,1))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>
        <v>45000</v>
      </c>
      <c r="AH140" s="32" t="inlineStr">
        <is>
          <t>T5</t>
        </is>
      </c>
      <c r="AI140" s="32" t="inlineStr">
        <is>
          <t>low</t>
        </is>
      </c>
      <c r="AJ140" s="39" t="n">
        <v>0.1</v>
      </c>
      <c r="AK140" s="34">
        <f>IF(AG140="","",AG140*AJ140)</f>
        <v/>
      </c>
      <c r="AL140" s="34">
        <f>IF(OR(AG140="",R140=0),"",MIN(IF(AT140="",9.9E+99,AT140),FLOOR(AK140/R140,1)))</f>
        <v/>
      </c>
      <c r="AM140" s="38">
        <f>IF(AL140="","",AL140*T140)</f>
        <v/>
      </c>
      <c r="AN140" s="36">
        <f>IF(OR(AG140="",R140=0),"",MIN(IF(AT140="",9.9E+99,AT140),AK140/R140))</f>
        <v/>
      </c>
      <c r="AO140" s="38">
        <f>IF(AN140="","",AN140*T140)</f>
        <v/>
      </c>
      <c r="AP140" s="40" t="n"/>
      <c r="AQ140" s="32" t="inlineStr">
        <is>
          <t>Grounded</t>
        </is>
      </c>
      <c r="AR140" s="41" t="n"/>
      <c r="AS140" s="41" t="n"/>
      <c r="AT140" s="42" t="n"/>
      <c r="AU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V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W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X140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Y140" s="44" t="inlineStr">
        <is>
          <t>Boat-only -&gt; FULLY addressable (R3-EXCEPTION). 32 villas + 23 residences stay-pool + day-club guests (major Saadiyat day-trip).</t>
        </is>
      </c>
    </row>
    <row r="141">
      <c r="A141" s="29" t="inlineStr">
        <is>
          <t>UAE (Careem)</t>
        </is>
      </c>
      <c r="B141" s="29" t="inlineStr">
        <is>
          <t>United Arab Emirates</t>
        </is>
      </c>
      <c r="C141" s="30" t="inlineStr">
        <is>
          <t>Dubai Harbour Marina → Atlantis The Royal Jetty</t>
        </is>
      </c>
      <c r="D141" s="31" t="n">
        <v>4.9</v>
      </c>
      <c r="E141" s="26" t="n">
        <v>175</v>
      </c>
      <c r="F141" s="32" t="inlineStr">
        <is>
          <t>T5</t>
        </is>
      </c>
      <c r="G141" s="32" t="inlineStr">
        <is>
          <t>low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MIN(15,FLOOR(60*service_hr/J141,1))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>
        <v>10000</v>
      </c>
      <c r="AH141" s="32" t="inlineStr">
        <is>
          <t>T5</t>
        </is>
      </c>
      <c r="AI141" s="32" t="inlineStr">
        <is>
          <t>low</t>
        </is>
      </c>
      <c r="AJ141" s="39" t="n">
        <v>0.1</v>
      </c>
      <c r="AK141" s="34">
        <f>IF(AG141="","",AG141*AJ141)</f>
        <v/>
      </c>
      <c r="AL141" s="34">
        <f>IF(OR(AG141="",R141=0),"",MIN(IF(AT141="",9.9E+99,AT141),FLOOR(AK141/R141,1)))</f>
        <v/>
      </c>
      <c r="AM141" s="38">
        <f>IF(AL141="","",AL141*T141)</f>
        <v/>
      </c>
      <c r="AN141" s="36">
        <f>IF(OR(AG141="",R141=0),"",MIN(IF(AT141="",9.9E+99,AT141),AK141/R141))</f>
        <v/>
      </c>
      <c r="AO141" s="38">
        <f>IF(AN141="","",AN141*T141)</f>
        <v/>
      </c>
      <c r="AP141" s="40" t="n"/>
      <c r="AQ141" s="32" t="inlineStr">
        <is>
          <t>Grounded</t>
        </is>
      </c>
      <c r="AR141" s="41" t="n"/>
      <c r="AS141" s="41" t="n"/>
      <c r="AT141" s="42" t="n"/>
      <c r="AU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V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W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X141" s="44" t="inlineStr">
        <is>
          <t>Atlantis The Royal (795 keys) road-served; signature marine arrival opportunity-to-create. T5/low.</t>
        </is>
      </c>
      <c r="AY141" s="44" t="inlineStr">
        <is>
          <t>OPT-IN luxury-arrival fraction only (R3-LAND road-served). 795 keys x occ -&gt; small opt-in marine pool.</t>
        </is>
      </c>
    </row>
    <row r="142">
      <c r="A142" s="29" t="inlineStr">
        <is>
          <t>UAE (Careem)</t>
        </is>
      </c>
      <c r="B142" s="29" t="inlineStr">
        <is>
          <t>United Arab Emirates</t>
        </is>
      </c>
      <c r="C142" s="30" t="inlineStr">
        <is>
          <t>Jebel Dhanna / Ruwais Ferry Terminal → Sir Bani Yas Cruise Port</t>
        </is>
      </c>
      <c r="D142" s="31" t="n">
        <v>5.3</v>
      </c>
      <c r="E142" s="26" t="n">
        <v>90</v>
      </c>
      <c r="F142" s="32" t="inlineStr">
        <is>
          <t>T5</t>
        </is>
      </c>
      <c r="G142" s="32" t="inlineStr">
        <is>
          <t>low</t>
        </is>
      </c>
      <c r="H142" s="19" t="n">
        <v>1</v>
      </c>
      <c r="I142" s="33">
        <f>60*D142/cruise_kt</f>
        <v/>
      </c>
      <c r="J142" s="33">
        <f>I142+turn_min+dwell_min</f>
        <v/>
      </c>
      <c r="K142" s="34">
        <f>MIN(15,FLOOR(60*service_hr/J142,1))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>
        <v>60000</v>
      </c>
      <c r="AH142" s="32" t="inlineStr">
        <is>
          <t>T5</t>
        </is>
      </c>
      <c r="AI142" s="32" t="inlineStr">
        <is>
          <t>low</t>
        </is>
      </c>
      <c r="AJ142" s="39" t="n">
        <v>0.1</v>
      </c>
      <c r="AK142" s="34">
        <f>IF(AG142="","",AG142*AJ142)</f>
        <v/>
      </c>
      <c r="AL142" s="34">
        <f>IF(OR(AG142="",R142=0),"",MIN(IF(AT142="",9.9E+99,AT142),FLOOR(AK142/R142,1)))</f>
        <v/>
      </c>
      <c r="AM142" s="38">
        <f>IF(AL142="","",AL142*T142)</f>
        <v/>
      </c>
      <c r="AN142" s="36">
        <f>IF(OR(AG142="",R142=0),"",MIN(IF(AT142="",9.9E+99,AT142),AK142/R142))</f>
        <v/>
      </c>
      <c r="AO142" s="38">
        <f>IF(AN142="","",AN142*T142)</f>
        <v/>
      </c>
      <c r="AP142" s="40" t="n"/>
      <c r="AQ142" s="32" t="inlineStr">
        <is>
          <t>Grounded</t>
        </is>
      </c>
      <c r="AR142" s="41" t="n"/>
      <c r="AS142" s="41" t="n"/>
      <c r="AT142" s="42" t="n"/>
      <c r="AU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V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W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X142" s="44" t="inlineStr">
        <is>
          <t>Sir Bani Yas boat-only (~8km offshore). 3 Anantara resorts ~124 keys. Guest boat transfer FREE today (R-UAE-1) -&gt; $90 opportunity-to-create / day-guest analog. T5/low.</t>
        </is>
      </c>
      <c r="AY142" s="44" t="inlineStr">
        <is>
          <t>Sir Bani Yas boat-only (R3-EXCEPTION). 3 Anantara resorts ~124 keys + Arabian Wildlife Park day-visitors via Jebel Dhanna ferry.</t>
        </is>
      </c>
    </row>
    <row r="143">
      <c r="A143" s="29" t="inlineStr">
        <is>
          <t>UAE (Careem)</t>
        </is>
      </c>
      <c r="B143" s="29" t="inlineStr">
        <is>
          <t>United Arab Emirates</t>
        </is>
      </c>
      <c r="C143" s="30" t="inlineStr">
        <is>
          <t>Dubai Harbour Marina → Burj Al Arab Private Jetty</t>
        </is>
      </c>
      <c r="D143" s="31" t="n">
        <v>6.9</v>
      </c>
      <c r="E143" s="26" t="n">
        <v>250</v>
      </c>
      <c r="F143" s="32" t="inlineStr">
        <is>
          <t>T5</t>
        </is>
      </c>
      <c r="G143" s="32" t="inlineStr">
        <is>
          <t>low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MIN(15,FLOOR(60*service_hr/J143,1))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5000</v>
      </c>
      <c r="AH143" s="32" t="inlineStr">
        <is>
          <t>T5</t>
        </is>
      </c>
      <c r="AI143" s="32" t="inlineStr">
        <is>
          <t>low</t>
        </is>
      </c>
      <c r="AJ143" s="39" t="n">
        <v>0.1</v>
      </c>
      <c r="AK143" s="34">
        <f>IF(AG143="","",AG143*AJ143)</f>
        <v/>
      </c>
      <c r="AL143" s="34">
        <f>IF(OR(AG143="",R143=0),"",MIN(IF(AT143="",9.9E+99,AT143),FLOOR(AK143/R143,1)))</f>
        <v/>
      </c>
      <c r="AM143" s="38">
        <f>IF(AL143="","",AL143*T143)</f>
        <v/>
      </c>
      <c r="AN143" s="36">
        <f>IF(OR(AG143="",R143=0),"",MIN(IF(AT143="",9.9E+99,AT143),AK143/R143))</f>
        <v/>
      </c>
      <c r="AO143" s="38">
        <f>IF(AN143="","",AN143*T143)</f>
        <v/>
      </c>
      <c r="AP143" s="40" t="n"/>
      <c r="AQ143" s="32" t="inlineStr">
        <is>
          <t>Grounded</t>
        </is>
      </c>
      <c r="AR143" s="41" t="n"/>
      <c r="AS143" s="41" t="n"/>
      <c r="AT143" s="42" t="n"/>
      <c r="AU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V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W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X143" s="44" t="inlineStr">
        <is>
          <t>Burj Al Arab (202 suites) road-served; iconic signature marine arrival. T5/low.</t>
        </is>
      </c>
      <c r="AY143" s="44" t="inlineStr">
        <is>
          <t>OPT-IN only (R3-LAND). 202 suites x occ -&gt; modest base + experiential day-guest yacht-arrivals.</t>
        </is>
      </c>
    </row>
    <row r="144">
      <c r="A144" s="29" t="inlineStr">
        <is>
          <t>UAE (Careem)</t>
        </is>
      </c>
      <c r="B144" s="29" t="inlineStr">
        <is>
          <t>United Arab Emirates</t>
        </is>
      </c>
      <c r="C144" s="30" t="inlineStr">
        <is>
          <t>Marina Mall / Breakwater Marina → Reem Island Marina (Najmat / Marina Square)</t>
        </is>
      </c>
      <c r="D144" s="31" t="n">
        <v>7.1</v>
      </c>
      <c r="E144" s="26" t="n">
        <v>60</v>
      </c>
      <c r="F144" s="32" t="inlineStr">
        <is>
          <t>T4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MIN(15,FLOOR(60*service_hr/J144,1))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>
        <v>35000</v>
      </c>
      <c r="AH144" s="32" t="inlineStr">
        <is>
          <t>T3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IF(OR(AG144="",R144=0),"",MIN(IF(AT144="",9.9E+99,AT144),FLOOR(AK144/R144,1)))</f>
        <v/>
      </c>
      <c r="AM144" s="38">
        <f>IF(AL144="","",AL144*T144)</f>
        <v/>
      </c>
      <c r="AN144" s="36">
        <f>IF(OR(AG144="",R144=0),"",MIN(IF(AT144="",9.9E+99,AT144),AK144/R144))</f>
        <v/>
      </c>
      <c r="AO144" s="38">
        <f>IF(AN144="","",AN144*T144)</f>
        <v/>
      </c>
      <c r="AP144" s="40" t="n"/>
      <c r="AQ144" s="32" t="inlineStr">
        <is>
          <t>Grounded</t>
        </is>
      </c>
      <c r="AR144" s="41" t="n"/>
      <c r="AS144" s="41" t="n"/>
      <c r="AT144" s="42" t="n"/>
      <c r="AU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V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W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X144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Y14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5">
      <c r="A145" s="29" t="inlineStr">
        <is>
          <t>UAE (Careem)</t>
        </is>
      </c>
      <c r="B145" s="29" t="inlineStr">
        <is>
          <t>United Arab Emirates</t>
        </is>
      </c>
      <c r="C145" s="30" t="inlineStr">
        <is>
          <t>Dubai Harbour Marina → Anantara World Islands Resort Jetty (planned)</t>
        </is>
      </c>
      <c r="D145" s="31" t="n">
        <v>7.9</v>
      </c>
      <c r="E145" s="26" t="n">
        <v>80</v>
      </c>
      <c r="F145" s="32" t="inlineStr">
        <is>
          <t>T4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MIN(15,FLOOR(60*service_hr/J145,1))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30000</v>
      </c>
      <c r="AH145" s="32" t="inlineStr">
        <is>
          <t>T5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IF(OR(AG145="",R145=0),"",MIN(IF(AT145="",9.9E+99,AT145),FLOOR(AK145/R145,1)))</f>
        <v/>
      </c>
      <c r="AM145" s="38">
        <f>IF(AL145="","",AL145*T145)</f>
        <v/>
      </c>
      <c r="AN145" s="36">
        <f>IF(OR(AG145="",R145=0),"",MIN(IF(AT145="",9.9E+99,AT145),AK145/R145))</f>
        <v/>
      </c>
      <c r="AO145" s="38">
        <f>IF(AN145="","",AN145*T145)</f>
        <v/>
      </c>
      <c r="AP145" s="40" t="n"/>
      <c r="AQ145" s="32" t="inlineStr">
        <is>
          <t>Grounded</t>
        </is>
      </c>
      <c r="AR145" s="41" t="n"/>
      <c r="AS145" s="41" t="n"/>
      <c r="AT145" s="42" t="n"/>
      <c r="AU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V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W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X145" s="44" t="inlineStr">
        <is>
          <t>Anantara World Islands Resort (boat-only; Forbes/Expedia 'accessible only by boat'). Resort shuttle ~AED 150/pax RETURN (~$20/way); premium per-seat modeled $80.</t>
        </is>
      </c>
      <c r="AY145" s="44" t="inlineStr">
        <is>
          <t>Boot-only -&gt; arrivals=crossing ridership FULLY addressable (R3-EXCEPTION). ~70 keys x ~65% occ + day-guests.</t>
        </is>
      </c>
    </row>
    <row r="146">
      <c r="A146" s="29" t="inlineStr">
        <is>
          <t>UAE (Careem)</t>
        </is>
      </c>
      <c r="B146" s="29" t="inlineStr">
        <is>
          <t>United Arab Emirates</t>
        </is>
      </c>
      <c r="C146" s="30" t="inlineStr">
        <is>
          <t>Saadiyat Beach Club Jetty → Marina Mall / Breakwater Marina</t>
        </is>
      </c>
      <c r="D146" s="31" t="n">
        <v>8.9</v>
      </c>
      <c r="E146" s="26" t="n">
        <v>70</v>
      </c>
      <c r="F146" s="32" t="inlineStr">
        <is>
          <t>T4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MIN(15,FLOOR(60*service_hr/J146,1))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25000</v>
      </c>
      <c r="AH146" s="32" t="inlineStr">
        <is>
          <t>T3</t>
        </is>
      </c>
      <c r="AI146" s="32" t="inlineStr">
        <is>
          <t>low</t>
        </is>
      </c>
      <c r="AJ146" s="39" t="n">
        <v>0.1</v>
      </c>
      <c r="AK146" s="34">
        <f>IF(AG146="","",AG146*AJ146)</f>
        <v/>
      </c>
      <c r="AL146" s="34">
        <f>IF(OR(AG146="",R146=0),"",MIN(IF(AT146="",9.9E+99,AT146),FLOOR(AK146/R146,1)))</f>
        <v/>
      </c>
      <c r="AM146" s="38">
        <f>IF(AL146="","",AL146*T146)</f>
        <v/>
      </c>
      <c r="AN146" s="36">
        <f>IF(OR(AG146="",R146=0),"",MIN(IF(AT146="",9.9E+99,AT146),AK146/R146))</f>
        <v/>
      </c>
      <c r="AO146" s="38">
        <f>IF(AN146="","",AN146*T146)</f>
        <v/>
      </c>
      <c r="AP146" s="40" t="n"/>
      <c r="AQ146" s="32" t="inlineStr">
        <is>
          <t>Grounded</t>
        </is>
      </c>
      <c r="AR146" s="41" t="n"/>
      <c r="AS146" s="41" t="n"/>
      <c r="AT146" s="42" t="n"/>
      <c r="AU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V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W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X146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Y14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7">
      <c r="A147" s="29" t="inlineStr">
        <is>
          <t>UAE (Careem)</t>
        </is>
      </c>
      <c r="B147" s="29" t="inlineStr">
        <is>
          <t>United Arab Emirates</t>
        </is>
      </c>
      <c r="C147" s="30" t="inlineStr">
        <is>
          <t>Dubai Harbour Marina → Côte d'Azur Resort Marina (Heart of Europe)</t>
        </is>
      </c>
      <c r="D147" s="31" t="n">
        <v>9.199999999999999</v>
      </c>
      <c r="E147" s="26" t="n">
        <v>175</v>
      </c>
      <c r="F147" s="32" t="inlineStr">
        <is>
          <t>T5</t>
        </is>
      </c>
      <c r="G147" s="32" t="inlineStr">
        <is>
          <t>low</t>
        </is>
      </c>
      <c r="H147" s="19" t="n">
        <v>1</v>
      </c>
      <c r="I147" s="33">
        <f>60*D147/cruise_kt</f>
        <v/>
      </c>
      <c r="J147" s="33">
        <f>I147+turn_min+dwell_min</f>
        <v/>
      </c>
      <c r="K147" s="34">
        <f>MIN(15,FLOOR(60*service_hr/J147,1))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>
        <v>70000</v>
      </c>
      <c r="AH147" s="32" t="inlineStr">
        <is>
          <t>T2</t>
        </is>
      </c>
      <c r="AI147" s="32" t="inlineStr">
        <is>
          <t>medium</t>
        </is>
      </c>
      <c r="AJ147" s="39" t="n">
        <v>0.1</v>
      </c>
      <c r="AK147" s="34">
        <f>IF(AG147="","",AG147*AJ147)</f>
        <v/>
      </c>
      <c r="AL147" s="34">
        <f>IF(OR(AG147="",R147=0),"",MIN(IF(AT147="",9.9E+99,AT147),FLOOR(AK147/R147,1)))</f>
        <v/>
      </c>
      <c r="AM147" s="38">
        <f>IF(AL147="","",AL147*T147)</f>
        <v/>
      </c>
      <c r="AN147" s="36">
        <f>IF(OR(AG147="",R147=0),"",MIN(IF(AT147="",9.9E+99,AT147),AK147/R147))</f>
        <v/>
      </c>
      <c r="AO147" s="38">
        <f>IF(AN147="","",AN147*T147)</f>
        <v/>
      </c>
      <c r="AP147" s="40" t="n"/>
      <c r="AQ147" s="32" t="inlineStr">
        <is>
          <t>Grounded</t>
        </is>
      </c>
      <c r="AR147" s="41" t="n"/>
      <c r="AS147" s="41" t="n"/>
      <c r="AT147" s="42" t="n"/>
      <c r="AU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V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W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X147" s="44" t="inlineStr">
        <is>
          <t>The World (Heart of Europe/Cote d'Azur) boat-only offshore. Shared per-seat $56-120/pax; resort transfers bundled. T5/low - opportunity-to-create.</t>
        </is>
      </c>
      <c r="AY14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48">
      <c r="A148" s="29" t="inlineStr">
        <is>
          <t>UAE (Careem)</t>
        </is>
      </c>
      <c r="B148" s="29" t="inlineStr">
        <is>
          <t>United Arab Emirates</t>
        </is>
      </c>
      <c r="C148" s="30" t="inlineStr">
        <is>
          <t>Bluewaters Marina → Heart of Europe — Main Marina (The World)</t>
        </is>
      </c>
      <c r="D148" s="31" t="n">
        <v>9.880000000000001</v>
      </c>
      <c r="E148" s="26" t="n">
        <v>175</v>
      </c>
      <c r="F148" s="32" t="inlineStr">
        <is>
          <t>T5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MIN(15,FLOOR(60*service_hr/J148,1))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20000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IF(OR(AG148="",R148=0),"",MIN(IF(AT148="",9.9E+99,AT148),FLOOR(AK148/R148,1)))</f>
        <v/>
      </c>
      <c r="AM148" s="38">
        <f>IF(AL148="","",AL148*T148)</f>
        <v/>
      </c>
      <c r="AN148" s="36">
        <f>IF(OR(AG148="",R148=0),"",MIN(IF(AT148="",9.9E+99,AT148),AK148/R148))</f>
        <v/>
      </c>
      <c r="AO148" s="38">
        <f>IF(AN148="","",AN148*T148)</f>
        <v/>
      </c>
      <c r="AP148" s="40" t="n"/>
      <c r="AQ148" s="32" t="inlineStr">
        <is>
          <t>Grounded</t>
        </is>
      </c>
      <c r="AR148" s="41" t="n"/>
      <c r="AS148" s="41" t="n"/>
      <c r="AT148" s="42" t="n"/>
      <c r="AU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V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W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X148" s="44" t="inlineStr">
        <is>
          <t>The World (Heart of Europe) boat-only offshore; greenfield. T5/low.</t>
        </is>
      </c>
      <c r="AY14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9">
      <c r="A149" s="29" t="inlineStr">
        <is>
          <t>UAE (Careem)</t>
        </is>
      </c>
      <c r="B149" s="29" t="inlineStr">
        <is>
          <t>United Arab Emirates</t>
        </is>
      </c>
      <c r="C149" s="30" t="inlineStr">
        <is>
          <t>Dubai Harbour Marina → Bulgari Yacht Club &amp; Marina</t>
        </is>
      </c>
      <c r="D149" s="31" t="n">
        <v>10.2</v>
      </c>
      <c r="E149" s="26" t="n">
        <v>200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MIN(15,FLOOR(60*service_hr/J149,1))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4000</v>
      </c>
      <c r="AH149" s="32" t="inlineStr">
        <is>
          <t>T5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IF(OR(AG149="",R149=0),"",MIN(IF(AT149="",9.9E+99,AT149),FLOOR(AK149/R149,1)))</f>
        <v/>
      </c>
      <c r="AM149" s="38">
        <f>IF(AL149="","",AL149*T149)</f>
        <v/>
      </c>
      <c r="AN149" s="36">
        <f>IF(OR(AG149="",R149=0),"",MIN(IF(AT149="",9.9E+99,AT149),AK149/R149))</f>
        <v/>
      </c>
      <c r="AO149" s="38">
        <f>IF(AN149="","",AN149*T149)</f>
        <v/>
      </c>
      <c r="AP149" s="40" t="n"/>
      <c r="AQ149" s="32" t="inlineStr">
        <is>
          <t>Grounded</t>
        </is>
      </c>
      <c r="AR149" s="41" t="n"/>
      <c r="AS149" s="41" t="n"/>
      <c r="AT149" s="42" t="n"/>
      <c r="AU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V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W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X149" s="44" t="inlineStr">
        <is>
          <t>Bulgari Resort Dubai ~129 keys + Bulgari Yacht Club &amp; Marina; road-served. T5/low.</t>
        </is>
      </c>
      <c r="AY149" s="44" t="inlineStr">
        <is>
          <t>OPT-IN only (R3-LAND). ~129-key resort + yacht-club members.</t>
        </is>
      </c>
    </row>
    <row r="150">
      <c r="A150" s="29" t="inlineStr">
        <is>
          <t>UAE (Careem)</t>
        </is>
      </c>
      <c r="B150" s="29" t="inlineStr">
        <is>
          <t>United Arab Emirates</t>
        </is>
      </c>
      <c r="C150" s="30" t="inlineStr">
        <is>
          <t>Emirates Palace Marina → Saadiyat Beach Club Jetty</t>
        </is>
      </c>
      <c r="D150" s="31" t="n">
        <v>10.4</v>
      </c>
      <c r="E150" s="26" t="n">
        <v>175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MIN(15,FLOOR(60*service_hr/J150,1))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3000</v>
      </c>
      <c r="AH150" s="32" t="inlineStr">
        <is>
          <t>T5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IF(OR(AG150="",R150=0),"",MIN(IF(AT150="",9.9E+99,AT150),FLOOR(AK150/R150,1)))</f>
        <v/>
      </c>
      <c r="AM150" s="38">
        <f>IF(AL150="","",AL150*T150)</f>
        <v/>
      </c>
      <c r="AN150" s="36">
        <f>IF(OR(AG150="",R150=0),"",MIN(IF(AT150="",9.9E+99,AT150),AK150/R150))</f>
        <v/>
      </c>
      <c r="AO150" s="38">
        <f>IF(AN150="","",AN150*T150)</f>
        <v/>
      </c>
      <c r="AP150" s="40" t="n"/>
      <c r="AQ150" s="32" t="inlineStr">
        <is>
          <t>Grounded</t>
        </is>
      </c>
      <c r="AR150" s="41" t="n"/>
      <c r="AS150" s="41" t="n"/>
      <c r="AT150" s="42" t="n"/>
      <c r="AU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V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W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X150" s="44" t="inlineStr">
        <is>
          <t>Emirates Palace&lt;-&gt;Saadiyat experiential luxury hop; both road-served. T5/low.</t>
        </is>
      </c>
      <c r="AY150" s="44" t="inlineStr">
        <is>
          <t>OPT-IN only (R3-LAND: both road-served). Experiential luxury hop.</t>
        </is>
      </c>
    </row>
    <row r="151">
      <c r="A151" s="29" t="inlineStr">
        <is>
          <t>UAE (Careem)</t>
        </is>
      </c>
      <c r="B151" s="29" t="inlineStr">
        <is>
          <t>United Arab Emirates</t>
        </is>
      </c>
      <c r="C151" s="30" t="inlineStr">
        <is>
          <t>Dubai Marina → Downtown Creek</t>
        </is>
      </c>
      <c r="D151" s="31" t="n">
        <v>12</v>
      </c>
      <c r="E151" s="26" t="n"/>
      <c r="F151" s="32" t="n"/>
      <c r="G151" s="32" t="n"/>
      <c r="H151" s="19" t="n">
        <v>1</v>
      </c>
      <c r="I151" s="33">
        <f>60*D151/cruise_kt</f>
        <v/>
      </c>
      <c r="J151" s="33">
        <f>I151+turn_min+dwell_min</f>
        <v/>
      </c>
      <c r="K151" s="34">
        <f>MIN(15,FLOOR(60*service_hr/J151,1))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/>
      <c r="AH151" s="32" t="n"/>
      <c r="AI151" s="32" t="n"/>
      <c r="AJ151" s="39" t="n">
        <v>0.1</v>
      </c>
      <c r="AK151" s="34">
        <f>IF(AG151="","",AG151*AJ151)</f>
        <v/>
      </c>
      <c r="AL151" s="34">
        <f>IF(OR(AG151="",R151=0),"",MIN(IF(AT151="",9.9E+99,AT151),FLOOR(AK151/R151,1)))</f>
        <v/>
      </c>
      <c r="AM151" s="38">
        <f>IF(AL151="","",AL151*T151)</f>
        <v/>
      </c>
      <c r="AN151" s="36">
        <f>IF(OR(AG151="",R151=0),"",MIN(IF(AT151="",9.9E+99,AT151),AK151/R151))</f>
        <v/>
      </c>
      <c r="AO151" s="38">
        <f>IF(AN151="","",AN151*T151)</f>
        <v/>
      </c>
      <c r="AP151" s="40" t="n"/>
      <c r="AQ151" s="32" t="inlineStr">
        <is>
          <t>Estimated</t>
        </is>
      </c>
      <c r="AR151" s="41" t="n"/>
      <c r="AS151" s="41" t="n"/>
      <c r="AT151" s="42" t="n"/>
      <c r="AU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V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W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X151" s="44" t="n"/>
      <c r="AY151" s="44" t="n"/>
    </row>
    <row r="152">
      <c r="A152" s="29" t="inlineStr">
        <is>
          <t>UAE (Careem)</t>
        </is>
      </c>
      <c r="B152" s="29" t="inlineStr">
        <is>
          <t>United Arab Emirates</t>
        </is>
      </c>
      <c r="C152" s="30" t="inlineStr">
        <is>
          <t>Dubai Marina → Downtown / Dubai Creek</t>
        </is>
      </c>
      <c r="D152" s="31" t="n">
        <v>12</v>
      </c>
      <c r="E152" s="26" t="n"/>
      <c r="F152" s="32" t="n"/>
      <c r="G152" s="32" t="n"/>
      <c r="H152" s="19" t="n">
        <v>1</v>
      </c>
      <c r="I152" s="33">
        <f>60*D152/cruise_kt</f>
        <v/>
      </c>
      <c r="J152" s="33">
        <f>I152+turn_min+dwell_min</f>
        <v/>
      </c>
      <c r="K152" s="34">
        <f>MIN(15,FLOOR(60*service_hr/J152,1))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/>
      <c r="AH152" s="32" t="n"/>
      <c r="AI152" s="32" t="n"/>
      <c r="AJ152" s="39" t="n">
        <v>0.1</v>
      </c>
      <c r="AK152" s="34">
        <f>IF(AG152="","",AG152*AJ152)</f>
        <v/>
      </c>
      <c r="AL152" s="34">
        <f>IF(OR(AG152="",R152=0),"",MIN(IF(AT152="",9.9E+99,AT152),FLOOR(AK152/R152,1)))</f>
        <v/>
      </c>
      <c r="AM152" s="38">
        <f>IF(AL152="","",AL152*T152)</f>
        <v/>
      </c>
      <c r="AN152" s="36">
        <f>IF(OR(AG152="",R152=0),"",MIN(IF(AT152="",9.9E+99,AT152),AK152/R152))</f>
        <v/>
      </c>
      <c r="AO152" s="38">
        <f>IF(AN152="","",AN152*T152)</f>
        <v/>
      </c>
      <c r="AP152" s="40" t="n"/>
      <c r="AQ152" s="32" t="inlineStr">
        <is>
          <t>Estimated</t>
        </is>
      </c>
      <c r="AR152" s="41" t="n"/>
      <c r="AS152" s="41" t="n"/>
      <c r="AT152" s="42" t="n"/>
      <c r="AU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V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W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X152" s="44" t="n"/>
      <c r="AY152" s="44" t="n"/>
    </row>
    <row r="153">
      <c r="A153" s="29" t="inlineStr">
        <is>
          <t>UAE (Careem)</t>
        </is>
      </c>
      <c r="B153" s="29" t="inlineStr">
        <is>
          <t>United Arab Emirates</t>
        </is>
      </c>
      <c r="C153" s="30" t="inlineStr">
        <is>
          <t>Yas Marina → Zaya Nurai Island Jetty</t>
        </is>
      </c>
      <c r="D153" s="31" t="n">
        <v>12.6</v>
      </c>
      <c r="E153" s="26" t="n">
        <v>175</v>
      </c>
      <c r="F153" s="32" t="inlineStr">
        <is>
          <t>T5</t>
        </is>
      </c>
      <c r="G153" s="32" t="inlineStr">
        <is>
          <t>low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MIN(15,FLOOR(60*service_hr/J153,1))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15000</v>
      </c>
      <c r="AH153" s="32" t="inlineStr">
        <is>
          <t>T3</t>
        </is>
      </c>
      <c r="AI153" s="32" t="inlineStr">
        <is>
          <t>low</t>
        </is>
      </c>
      <c r="AJ153" s="39" t="n">
        <v>0.1</v>
      </c>
      <c r="AK153" s="34">
        <f>IF(AG153="","",AG153*AJ153)</f>
        <v/>
      </c>
      <c r="AL153" s="34">
        <f>IF(OR(AG153="",R153=0),"",MIN(IF(AT153="",9.9E+99,AT153),FLOOR(AK153/R153,1)))</f>
        <v/>
      </c>
      <c r="AM153" s="38">
        <f>IF(AL153="","",AL153*T153)</f>
        <v/>
      </c>
      <c r="AN153" s="36">
        <f>IF(OR(AG153="",R153=0),"",MIN(IF(AT153="",9.9E+99,AT153),AK153/R153))</f>
        <v/>
      </c>
      <c r="AO153" s="38">
        <f>IF(AN153="","",AN153*T153)</f>
        <v/>
      </c>
      <c r="AP153" s="40" t="n"/>
      <c r="AQ153" s="32" t="inlineStr">
        <is>
          <t>Grounded</t>
        </is>
      </c>
      <c r="AR153" s="41" t="n"/>
      <c r="AS153" s="41" t="n"/>
      <c r="AT153" s="42" t="n"/>
      <c r="AU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V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W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X153" s="44" t="inlineStr">
        <is>
          <t>Zaya Nurai boat-only, but real transfers depart Saadiyat (4.4nm) not Yas Marina (12.6nm) -&gt; R3-PIER. $175 modeled; demand NULL. T5/low.</t>
        </is>
      </c>
      <c r="AY15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4">
      <c r="A154" s="29" t="inlineStr">
        <is>
          <t>UAE (Careem)</t>
        </is>
      </c>
      <c r="B154" s="29" t="inlineStr">
        <is>
          <t>United Arab Emirates</t>
        </is>
      </c>
      <c r="C154" s="30" t="inlineStr">
        <is>
          <t>Yas Marina → Saadiyat Beach Club Jetty</t>
        </is>
      </c>
      <c r="D154" s="31" t="n">
        <v>13</v>
      </c>
      <c r="E154" s="26" t="n">
        <v>75</v>
      </c>
      <c r="F154" s="32" t="inlineStr">
        <is>
          <t>T4</t>
        </is>
      </c>
      <c r="G154" s="32" t="inlineStr">
        <is>
          <t>low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MIN(15,FLOOR(60*service_hr/J154,1))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>
        <v>30000</v>
      </c>
      <c r="AH154" s="32" t="inlineStr">
        <is>
          <t>T3</t>
        </is>
      </c>
      <c r="AI154" s="32" t="inlineStr">
        <is>
          <t>low</t>
        </is>
      </c>
      <c r="AJ154" s="39" t="n">
        <v>0.1</v>
      </c>
      <c r="AK154" s="34">
        <f>IF(AG154="","",AG154*AJ154)</f>
        <v/>
      </c>
      <c r="AL154" s="34">
        <f>IF(OR(AG154="",R154=0),"",MIN(IF(AT154="",9.9E+99,AT154),FLOOR(AK154/R154,1)))</f>
        <v/>
      </c>
      <c r="AM154" s="38">
        <f>IF(AL154="","",AL154*T154)</f>
        <v/>
      </c>
      <c r="AN154" s="36">
        <f>IF(OR(AG154="",R154=0),"",MIN(IF(AT154="",9.9E+99,AT154),AK154/R154))</f>
        <v/>
      </c>
      <c r="AO154" s="38">
        <f>IF(AN154="","",AN154*T154)</f>
        <v/>
      </c>
      <c r="AP154" s="40" t="n"/>
      <c r="AQ154" s="32" t="inlineStr">
        <is>
          <t>Grounded</t>
        </is>
      </c>
      <c r="AR154" s="41" t="n"/>
      <c r="AS154" s="41" t="n"/>
      <c r="AT154" s="42" t="n"/>
      <c r="AU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V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W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X154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Y15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5">
      <c r="A155" s="29" t="inlineStr">
        <is>
          <t>UAE (Careem)</t>
        </is>
      </c>
      <c r="B155" s="29" t="inlineStr">
        <is>
          <t>United Arab Emirates</t>
        </is>
      </c>
      <c r="C155" s="30" t="inlineStr">
        <is>
          <t>Dibba Marina (Fujairah) → Khorfakkan Corniche / Port (Sharjah enclave)</t>
        </is>
      </c>
      <c r="D155" s="31" t="n">
        <v>20.4</v>
      </c>
      <c r="E155" s="26" t="n">
        <v>65</v>
      </c>
      <c r="F155" s="32" t="inlineStr">
        <is>
          <t>T3</t>
        </is>
      </c>
      <c r="G155" s="32" t="inlineStr">
        <is>
          <t>med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MIN(15,FLOOR(60*service_hr/J155,1))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60000</v>
      </c>
      <c r="AH155" s="32" t="inlineStr">
        <is>
          <t>T4</t>
        </is>
      </c>
      <c r="AI155" s="32" t="inlineStr">
        <is>
          <t>low</t>
        </is>
      </c>
      <c r="AJ155" s="39" t="n">
        <v>0.1</v>
      </c>
      <c r="AK155" s="34">
        <f>IF(AG155="","",AG155*AJ155)</f>
        <v/>
      </c>
      <c r="AL155" s="34">
        <f>IF(OR(AG155="",R155=0),"",MIN(IF(AT155="",9.9E+99,AT155),FLOOR(AK155/R155,1)))</f>
        <v/>
      </c>
      <c r="AM155" s="38">
        <f>IF(AL155="","",AL155*T155)</f>
        <v/>
      </c>
      <c r="AN155" s="36">
        <f>IF(OR(AG155="",R155=0),"",MIN(IF(AT155="",9.9E+99,AT155),AK155/R155))</f>
        <v/>
      </c>
      <c r="AO155" s="38">
        <f>IF(AN155="","",AN155*T155)</f>
        <v/>
      </c>
      <c r="AP155" s="40" t="n"/>
      <c r="AQ155" s="32" t="inlineStr">
        <is>
          <t>Grounded</t>
        </is>
      </c>
      <c r="AR155" s="41" t="n"/>
      <c r="AS155" s="41" t="n"/>
      <c r="AT155" s="42" t="n"/>
      <c r="AU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V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W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X155" s="44" t="inlineStr">
        <is>
          <t>Fujairah east-coast day-trip boats: Dibba/Khor Fakkan dhow &amp; speedboat tours AED 140-210/pax (Instagram/Tripadvisor/Viator 2025); Musandam dhow cruises similar.</t>
        </is>
      </c>
      <c r="AY155" s="44" t="inlineStr">
        <is>
          <t>Fujairah arrivals crossed 340,000 (+22% YoY), 209 hotels, 70-100% occ (UAE Ministry/Fujairah Tourism); east-coast diving/Musandam day-trips genuinely water-based.</t>
        </is>
      </c>
    </row>
    <row r="156">
      <c r="A156" s="29" t="inlineStr">
        <is>
          <t>UAE (Careem)</t>
        </is>
      </c>
      <c r="B156" s="29" t="inlineStr">
        <is>
          <t>United Arab Emirates</t>
        </is>
      </c>
      <c r="C156" s="30" t="inlineStr">
        <is>
          <t>Dubai Harbour Marina → Al Khan Lagoon mouth</t>
        </is>
      </c>
      <c r="D156" s="31" t="n">
        <v>25.1</v>
      </c>
      <c r="E156" s="26" t="n">
        <v>85</v>
      </c>
      <c r="F156" s="32" t="inlineStr">
        <is>
          <t>T5</t>
        </is>
      </c>
      <c r="G156" s="32" t="inlineStr">
        <is>
          <t>low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MIN(15,FLOOR(60*service_hr/J156,1))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>
        <v>40000</v>
      </c>
      <c r="AH156" s="32" t="inlineStr">
        <is>
          <t>T2</t>
        </is>
      </c>
      <c r="AI156" s="32" t="inlineStr">
        <is>
          <t>low</t>
        </is>
      </c>
      <c r="AJ156" s="39" t="n">
        <v>0.1</v>
      </c>
      <c r="AK156" s="34">
        <f>IF(AG156="","",AG156*AJ156)</f>
        <v/>
      </c>
      <c r="AL156" s="34">
        <f>IF(OR(AG156="",R156=0),"",MIN(IF(AT156="",9.9E+99,AT156),FLOOR(AK156/R156,1)))</f>
        <v/>
      </c>
      <c r="AM156" s="38">
        <f>IF(AL156="","",AL156*T156)</f>
        <v/>
      </c>
      <c r="AN156" s="36">
        <f>IF(OR(AG156="",R156=0),"",MIN(IF(AT156="",9.9E+99,AT156),AK156/R156))</f>
        <v/>
      </c>
      <c r="AO156" s="38">
        <f>IF(AN156="","",AN156*T156)</f>
        <v/>
      </c>
      <c r="AP156" s="40" t="n"/>
      <c r="AQ156" s="32" t="inlineStr">
        <is>
          <t>Grounded</t>
        </is>
      </c>
      <c r="AR156" s="41" t="n"/>
      <c r="AS156" s="41" t="n"/>
      <c r="AT156" s="42" t="n"/>
      <c r="AU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V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W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X156" s="44" t="inlineStr">
        <is>
          <t>Dubai-Sharjah Ferry Gold AED 25 subsidized-commuter (R5-EXT). Premium per-seat $85 modeled (between subsidized ferry and charter). T5/low.</t>
        </is>
      </c>
      <c r="AY156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57">
      <c r="A157" s="29" t="inlineStr">
        <is>
          <t>UAE (Careem)</t>
        </is>
      </c>
      <c r="B157" s="29" t="inlineStr">
        <is>
          <t>United Arab Emirates</t>
        </is>
      </c>
      <c r="C157" s="30" t="inlineStr">
        <is>
          <t>Dubai → Abu Dhabi (Corniche)</t>
        </is>
      </c>
      <c r="D157" s="31" t="n">
        <v>55.8</v>
      </c>
      <c r="E157" s="26" t="n"/>
      <c r="F157" s="32" t="n"/>
      <c r="G157" s="32" t="n"/>
      <c r="H157" s="19" t="n">
        <v>1</v>
      </c>
      <c r="I157" s="33">
        <f>60*D157/cruise_kt</f>
        <v/>
      </c>
      <c r="J157" s="33">
        <f>I157+turn_min+dwell_min</f>
        <v/>
      </c>
      <c r="K157" s="34">
        <f>MIN(15,FLOOR(60*service_hr/J157,1))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/>
      <c r="AH157" s="32" t="n"/>
      <c r="AI157" s="32" t="n"/>
      <c r="AJ157" s="39" t="n">
        <v>0.1</v>
      </c>
      <c r="AK157" s="34">
        <f>IF(AG157="","",AG157*AJ157)</f>
        <v/>
      </c>
      <c r="AL157" s="34">
        <f>IF(OR(AG157="",R157=0),"",MIN(IF(AT157="",9.9E+99,AT157),FLOOR(AK157/R157,1)))</f>
        <v/>
      </c>
      <c r="AM157" s="38">
        <f>IF(AL157="","",AL157*T157)</f>
        <v/>
      </c>
      <c r="AN157" s="36">
        <f>IF(OR(AG157="",R157=0),"",MIN(IF(AT157="",9.9E+99,AT157),AK157/R157))</f>
        <v/>
      </c>
      <c r="AO157" s="38">
        <f>IF(AN157="","",AN157*T157)</f>
        <v/>
      </c>
      <c r="AP157" s="40" t="n"/>
      <c r="AQ157" s="32" t="inlineStr">
        <is>
          <t>Estimated</t>
        </is>
      </c>
      <c r="AR157" s="41" t="n"/>
      <c r="AS157" s="41" t="n"/>
      <c r="AT157" s="42" t="n"/>
      <c r="AU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V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W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X157" s="44" t="n"/>
      <c r="AY157" s="44" t="n"/>
    </row>
    <row r="158">
      <c r="A158" s="29" t="inlineStr">
        <is>
          <t>UAE (Careem)</t>
        </is>
      </c>
      <c r="B158" s="29" t="inlineStr">
        <is>
          <t>United Arab Emirates</t>
        </is>
      </c>
      <c r="C158" s="30" t="inlineStr">
        <is>
          <t>Dubai Marina → Abu Dhabi Corniche</t>
        </is>
      </c>
      <c r="D158" s="31" t="n">
        <v>55.8</v>
      </c>
      <c r="E158" s="26" t="n"/>
      <c r="F158" s="32" t="n"/>
      <c r="G158" s="32" t="n"/>
      <c r="H158" s="19" t="n">
        <v>1</v>
      </c>
      <c r="I158" s="33">
        <f>60*D158/cruise_kt</f>
        <v/>
      </c>
      <c r="J158" s="33">
        <f>I158+turn_min+dwell_min</f>
        <v/>
      </c>
      <c r="K158" s="34">
        <f>MIN(15,FLOOR(60*service_hr/J158,1))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/>
      <c r="AH158" s="32" t="n"/>
      <c r="AI158" s="32" t="n"/>
      <c r="AJ158" s="39" t="n">
        <v>0.1</v>
      </c>
      <c r="AK158" s="34">
        <f>IF(AG158="","",AG158*AJ158)</f>
        <v/>
      </c>
      <c r="AL158" s="34">
        <f>IF(OR(AG158="",R158=0),"",MIN(IF(AT158="",9.9E+99,AT158),FLOOR(AK158/R158,1)))</f>
        <v/>
      </c>
      <c r="AM158" s="38">
        <f>IF(AL158="","",AL158*T158)</f>
        <v/>
      </c>
      <c r="AN158" s="36">
        <f>IF(OR(AG158="",R158=0),"",MIN(IF(AT158="",9.9E+99,AT158),AK158/R158))</f>
        <v/>
      </c>
      <c r="AO158" s="38">
        <f>IF(AN158="","",AN158*T158)</f>
        <v/>
      </c>
      <c r="AP158" s="40" t="n"/>
      <c r="AQ158" s="32" t="inlineStr">
        <is>
          <t>Estimated</t>
        </is>
      </c>
      <c r="AR158" s="41" t="n"/>
      <c r="AS158" s="41" t="n"/>
      <c r="AT158" s="42" t="n"/>
      <c r="AU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V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W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X158" s="44" t="n"/>
      <c r="AY158" s="44" t="n"/>
    </row>
    <row r="159">
      <c r="A159" s="29" t="inlineStr">
        <is>
          <t>UAE (Careem)</t>
        </is>
      </c>
      <c r="B159" s="29" t="inlineStr">
        <is>
          <t>United Arab Emirates</t>
        </is>
      </c>
      <c r="C159" s="30" t="inlineStr">
        <is>
          <t>Dubai Harbour Marina → Wynn Al Marjan Island arrival lagoon</t>
        </is>
      </c>
      <c r="D159" s="31" t="n">
        <v>56</v>
      </c>
      <c r="E159" s="26" t="n">
        <v>200</v>
      </c>
      <c r="F159" s="32" t="inlineStr">
        <is>
          <t>T5</t>
        </is>
      </c>
      <c r="G159" s="32" t="inlineStr">
        <is>
          <t>low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MIN(15,FLOOR(60*service_hr/J159,1))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60000</v>
      </c>
      <c r="AH159" s="32" t="inlineStr">
        <is>
          <t>T2</t>
        </is>
      </c>
      <c r="AI159" s="32" t="inlineStr">
        <is>
          <t>medium</t>
        </is>
      </c>
      <c r="AJ159" s="39" t="n">
        <v>0.1</v>
      </c>
      <c r="AK159" s="34">
        <f>IF(AG159="","",AG159*AJ159)</f>
        <v/>
      </c>
      <c r="AL159" s="34">
        <f>IF(OR(AG159="",R159=0),"",MIN(IF(AT159="",9.9E+99,AT159),FLOOR(AK159/R159,1)))</f>
        <v/>
      </c>
      <c r="AM159" s="38">
        <f>IF(AL159="","",AL159*T159)</f>
        <v/>
      </c>
      <c r="AN159" s="36">
        <f>IF(OR(AG159="",R159=0),"",MIN(IF(AT159="",9.9E+99,AT159),AK159/R159))</f>
        <v/>
      </c>
      <c r="AO159" s="38">
        <f>IF(AN159="","",AN159*T159)</f>
        <v/>
      </c>
      <c r="AP159" s="40" t="n"/>
      <c r="AQ159" s="32" t="inlineStr">
        <is>
          <t>Grounded</t>
        </is>
      </c>
      <c r="AR159" s="41" t="n"/>
      <c r="AS159" s="41" t="n"/>
      <c r="AT159" s="42" t="n"/>
      <c r="AU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V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W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X159" s="44" t="inlineStr">
        <is>
          <t>Wynn Al Marjan (first UAE gaming resort) opens early 2027: 1,217 rooms + 297 residences. No marine transfer today. T5/low - greenfield.</t>
        </is>
      </c>
      <c r="AY15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0">
      <c r="A160" s="29" t="inlineStr">
        <is>
          <t>UAE (Careem)</t>
        </is>
      </c>
      <c r="B160" s="29" t="inlineStr">
        <is>
          <t>United Arab Emirates</t>
        </is>
      </c>
      <c r="C160" s="30" t="inlineStr">
        <is>
          <t>Dubai Harbour Marina → Marina Mall / Breakwater Marina</t>
        </is>
      </c>
      <c r="D160" s="31" t="n">
        <v>59.8</v>
      </c>
      <c r="E160" s="26" t="n">
        <v>110</v>
      </c>
      <c r="F160" s="32" t="inlineStr">
        <is>
          <t>T5</t>
        </is>
      </c>
      <c r="G160" s="32" t="inlineStr">
        <is>
          <t>low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MIN(15,FLOOR(60*service_hr/J160,1))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25000</v>
      </c>
      <c r="AH160" s="32" t="inlineStr">
        <is>
          <t>T2</t>
        </is>
      </c>
      <c r="AI160" s="32" t="inlineStr">
        <is>
          <t>low</t>
        </is>
      </c>
      <c r="AJ160" s="39" t="n">
        <v>0.1</v>
      </c>
      <c r="AK160" s="34">
        <f>IF(AG160="","",AG160*AJ160)</f>
        <v/>
      </c>
      <c r="AL160" s="34">
        <f>IF(OR(AG160="",R160=0),"",MIN(IF(AT160="",9.9E+99,AT160),FLOOR(AK160/R160,1)))</f>
        <v/>
      </c>
      <c r="AM160" s="38">
        <f>IF(AL160="","",AL160*T160)</f>
        <v/>
      </c>
      <c r="AN160" s="36">
        <f>IF(OR(AG160="",R160=0),"",MIN(IF(AT160="",9.9E+99,AT160),AK160/R160))</f>
        <v/>
      </c>
      <c r="AO160" s="38">
        <f>IF(AN160="","",AN160*T160)</f>
        <v/>
      </c>
      <c r="AP160" s="40" t="n"/>
      <c r="AQ160" s="32" t="inlineStr">
        <is>
          <t>Grounded</t>
        </is>
      </c>
      <c r="AR160" s="41" t="n"/>
      <c r="AS160" s="41" t="n"/>
      <c r="AT160" s="42" t="n"/>
      <c r="AU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V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W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X160" s="44" t="inlineStr">
        <is>
          <t>No Dubai&lt;-&gt;AD ferry. Whole-yacht charter AED 4,500/hr (8-pax ~$95-150/seat); limo AED 250-350. T5/low - opportunity-to-create.</t>
        </is>
      </c>
      <c r="AY160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1">
      <c r="A161" s="45" t="inlineStr">
        <is>
          <t>TOTAL / median</t>
        </is>
      </c>
      <c r="T161" s="46">
        <f>SUM(T4:T160)</f>
        <v/>
      </c>
      <c r="AC161" s="46">
        <f>SUM(AC4:AC160)</f>
        <v/>
      </c>
      <c r="AD161" s="47">
        <f>IF(T161=0,"",AC161/T161)</f>
        <v/>
      </c>
      <c r="AL161" s="48">
        <f>SUM(AL4:AL160)</f>
        <v/>
      </c>
      <c r="AM161" s="46">
        <f>SUM(AM4:AM160)</f>
        <v/>
      </c>
    </row>
    <row r="163">
      <c r="A16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4">
      <c r="A164" s="24" t="inlineStr">
        <is>
          <t>Market</t>
        </is>
      </c>
      <c r="B164" s="24" t="inlineStr">
        <is>
          <t>Fleet basis</t>
        </is>
      </c>
      <c r="C164" s="24" t="inlineStr">
        <is>
          <t>Raw vessels (sum)</t>
        </is>
      </c>
      <c r="D164" s="24" t="inlineStr">
        <is>
          <t>Fleet (rounded once)</t>
        </is>
      </c>
      <c r="E164" s="24" t="inlineStr">
        <is>
          <t>Market rev/yr (raw sum)</t>
        </is>
      </c>
    </row>
    <row r="165">
      <c r="A165" s="25" t="inlineStr">
        <is>
          <t>Bolt Croatia</t>
        </is>
      </c>
      <c r="B165" s="13" t="inlineStr">
        <is>
          <t>grounded</t>
        </is>
      </c>
      <c r="C165" s="13" t="inlineStr">
        <is>
          <t>—</t>
        </is>
      </c>
      <c r="D165" s="49">
        <f>SUMIFS(AL4:AL160,A4:A160,"Bolt Croatia",AP4:AP160,"=",AQ4:AQ160,"Grounded")</f>
        <v/>
      </c>
      <c r="E165" s="50">
        <f>SUMIFS(AM4:AM160,A4:A160,"Bolt Croatia",AP4:AP160,"=",AQ4:AQ160,"Grounded")</f>
        <v/>
      </c>
    </row>
    <row r="166">
      <c r="A166" s="25" t="inlineStr">
        <is>
          <t>Bolt Egypt</t>
        </is>
      </c>
      <c r="B166" s="13" t="inlineStr">
        <is>
          <t>aspirational</t>
        </is>
      </c>
      <c r="C166" s="13" t="inlineStr">
        <is>
          <t>—</t>
        </is>
      </c>
      <c r="D166" s="49">
        <f>SUMIFS(AL4:AL160,A4:A160,"Bolt Egypt",AP4:AP160,"=",AQ4:AQ160,"Grounded")</f>
        <v/>
      </c>
      <c r="E166" s="50">
        <f>SUMIFS(AM4:AM160,A4:A160,"Bolt Egypt",AP4:AP160,"=",AQ4:AQ160,"Grounded")</f>
        <v/>
      </c>
    </row>
    <row r="167">
      <c r="A167" s="25" t="inlineStr">
        <is>
          <t>Bolt France Riviera</t>
        </is>
      </c>
      <c r="B167" s="13" t="inlineStr">
        <is>
          <t>grounded</t>
        </is>
      </c>
      <c r="C167" s="13" t="inlineStr">
        <is>
          <t>—</t>
        </is>
      </c>
      <c r="D167" s="49">
        <f>SUMIFS(AL4:AL160,A4:A160,"Bolt France Riviera",AP4:AP160,"=",AQ4:AQ160,"Grounded")</f>
        <v/>
      </c>
      <c r="E167" s="50">
        <f>SUMIFS(AM4:AM160,A4:A160,"Bolt France Riviera",AP4:AP160,"=",AQ4:AQ160,"Grounded")</f>
        <v/>
      </c>
    </row>
    <row r="168">
      <c r="A168" s="25" t="inlineStr">
        <is>
          <t>Bolt Greece</t>
        </is>
      </c>
      <c r="B168" s="13" t="inlineStr">
        <is>
          <t>grounded</t>
        </is>
      </c>
      <c r="C168" s="13" t="inlineStr">
        <is>
          <t>—</t>
        </is>
      </c>
      <c r="D168" s="49">
        <f>SUMIFS(AL4:AL160,A4:A160,"Bolt Greece",AP4:AP160,"=",AQ4:AQ160,"Grounded")</f>
        <v/>
      </c>
      <c r="E168" s="50">
        <f>SUMIFS(AM4:AM160,A4:A160,"Bolt Greece",AP4:AP160,"=",AQ4:AQ160,"Grounded")</f>
        <v/>
      </c>
    </row>
    <row r="169">
      <c r="A169" s="25" t="inlineStr">
        <is>
          <t>Bolt Italy</t>
        </is>
      </c>
      <c r="B169" s="13" t="inlineStr">
        <is>
          <t>grounded</t>
        </is>
      </c>
      <c r="C169" s="13" t="inlineStr">
        <is>
          <t>—</t>
        </is>
      </c>
      <c r="D169" s="49">
        <f>SUMIFS(AL4:AL160,A4:A160,"Bolt Italy",AP4:AP160,"=",AQ4:AQ160,"Grounded")</f>
        <v/>
      </c>
      <c r="E169" s="50">
        <f>SUMIFS(AM4:AM160,A4:A160,"Bolt Italy",AP4:AP160,"=",AQ4:AQ160,"Grounded")</f>
        <v/>
      </c>
    </row>
    <row r="170">
      <c r="A170" s="25" t="inlineStr">
        <is>
          <t>Yango Lagos</t>
        </is>
      </c>
      <c r="B170" s="13" t="inlineStr">
        <is>
          <t>grounded</t>
        </is>
      </c>
      <c r="C170" s="13" t="inlineStr">
        <is>
          <t>—</t>
        </is>
      </c>
      <c r="D170" s="49">
        <f>SUMIFS(AL4:AL160,A4:A160,"Yango Lagos",AP4:AP160,"=",AQ4:AQ160,"Grounded")</f>
        <v/>
      </c>
      <c r="E170" s="50">
        <f>SUMIFS(AM4:AM160,A4:A160,"Yango Lagos",AP4:AP160,"=",AQ4:AQ160,"Grounded")</f>
        <v/>
      </c>
    </row>
    <row r="171">
      <c r="A171" s="25" t="inlineStr">
        <is>
          <t>Qatar</t>
        </is>
      </c>
      <c r="B171" s="13" t="inlineStr">
        <is>
          <t>per_corridor_floor</t>
        </is>
      </c>
      <c r="C171" s="13" t="inlineStr">
        <is>
          <t>—</t>
        </is>
      </c>
      <c r="D171" s="49">
        <f>SUMIFS(AL4:AL160,A4:A160,"Qatar",AP4:AP160,"=",AQ4:AQ160,"Grounded")</f>
        <v/>
      </c>
      <c r="E171" s="50">
        <f>SUMIFS(AM4:AM160,A4:A160,"Qatar",AP4:AP160,"=",AQ4:AQ160,"Grounded")</f>
        <v/>
      </c>
    </row>
    <row r="172">
      <c r="A172" s="25" t="inlineStr">
        <is>
          <t>Saudi – Red Sea</t>
        </is>
      </c>
      <c r="B172" s="13" t="inlineStr">
        <is>
          <t>per_corridor_floor</t>
        </is>
      </c>
      <c r="C172" s="13" t="inlineStr">
        <is>
          <t>—</t>
        </is>
      </c>
      <c r="D172" s="49">
        <f>SUMIFS(AL4:AL160,A4:A160,"Saudi – Red Sea",AP4:AP160,"=",AQ4:AQ160,"Grounded")</f>
        <v/>
      </c>
      <c r="E172" s="50">
        <f>SUMIFS(AM4:AM160,A4:A160,"Saudi – Red Sea",AP4:AP160,"=",AQ4:AQ160,"Grounded")</f>
        <v/>
      </c>
    </row>
    <row r="173">
      <c r="A173" s="25" t="inlineStr">
        <is>
          <t>Yango Turkey</t>
        </is>
      </c>
      <c r="B173" s="13" t="inlineStr">
        <is>
          <t>grounded</t>
        </is>
      </c>
      <c r="C173" s="13" t="inlineStr">
        <is>
          <t>—</t>
        </is>
      </c>
      <c r="D173" s="49">
        <f>SUMIFS(AL4:AL160,A4:A160,"Yango Turkey",AP4:AP160,"=",AQ4:AQ160,"Grounded")</f>
        <v/>
      </c>
      <c r="E173" s="50">
        <f>SUMIFS(AM4:AM160,A4:A160,"Yango Turkey",AP4:AP160,"=",AQ4:AQ160,"Grounded")</f>
        <v/>
      </c>
    </row>
    <row r="174">
      <c r="A174" s="25" t="inlineStr">
        <is>
          <t>UAE (Careem)</t>
        </is>
      </c>
      <c r="B174" s="13" t="inlineStr">
        <is>
          <t>network_sum / ceil</t>
        </is>
      </c>
      <c r="C174" s="23">
        <f>SUMIFS(AN4:AN160,A4:A160,"UAE (Careem)",AP4:AP160,"=",AQ4:AQ160,"Grounded")</f>
        <v/>
      </c>
      <c r="D174" s="49">
        <f>IF(C174=0,0,CEILING(C174,1))</f>
        <v/>
      </c>
      <c r="E174" s="50">
        <f>SUMIFS(AO4:AO160,A4:A160,"UAE (Careem)",AP4:AP160,"=",AQ4:AQ160,"Grounded")</f>
        <v/>
      </c>
    </row>
    <row r="175">
      <c r="A175" s="45" t="inlineStr">
        <is>
          <t>GROUNDED FLOOR (PUBLISHED)</t>
        </is>
      </c>
      <c r="D175" s="48">
        <f>SUM(D165:D174)</f>
        <v/>
      </c>
      <c r="E175" s="46">
        <f>SUM(E165:E174)</f>
        <v/>
      </c>
    </row>
    <row r="176">
      <c r="A176" s="20" t="inlineStr">
        <is>
          <t>ESTIMATED DEMAND (country-median cascade; held OUT of grounded floor)</t>
        </is>
      </c>
      <c r="D176" s="51">
        <f>SUMIF(AQ4:AQ160,"Estimated",AL4:AL160)</f>
        <v/>
      </c>
      <c r="E176" s="52">
        <f>SUMIF(AQ4:AQ160,"Estimated",AM4:AM160)</f>
        <v/>
      </c>
    </row>
    <row r="177">
      <c r="A177" s="20" t="inlineStr">
        <is>
          <t>ESTIMATED UPSIDE (LB-99 modal-shift / experience-upside tiers; held OUT of grounded floor)</t>
        </is>
      </c>
      <c r="D177" s="51">
        <f>SUMIF(AQ4:AQ160,"Upside tier",AL4:AL160)</f>
        <v/>
      </c>
      <c r="E177" s="52">
        <f>SUMIF(AQ4:AQ160,"Upside tier",AM4:AM160)</f>
        <v/>
      </c>
    </row>
    <row r="178">
      <c r="A178" s="20" t="inlineStr">
        <is>
          <t>FORWARD SAM (2030-dated; held OUT of grounded floor)</t>
        </is>
      </c>
      <c r="D178" s="51">
        <f>SUMIF(AQ4:AQ160,"Forward SAM",AL4:AL160)</f>
        <v/>
      </c>
      <c r="E178" s="52">
        <f>SUMIF(AQ4:AQ160,"Forward SAM",AM4:AM160)</f>
        <v/>
      </c>
    </row>
    <row r="180">
      <c r="A180" s="53" t="inlineStr">
        <is>
          <t>Held for Quanta-LR (&gt;70nm, roadmap H2 2026+):</t>
        </is>
      </c>
      <c r="C180" s="54" t="inlineStr">
        <is>
          <t>Monaco → Portofino (85.0nm)</t>
        </is>
      </c>
    </row>
    <row r="181">
      <c r="C181" s="54" t="inlineStr">
        <is>
          <t>Mykonos → Santorini (Thira) (75nm)</t>
        </is>
      </c>
    </row>
    <row r="182">
      <c r="C182" s="54" t="inlineStr">
        <is>
          <t>Doha (Lusail Marina) → Manama (Bahrain Financial Harbour) (94.5nm)</t>
        </is>
      </c>
    </row>
    <row r="183">
      <c r="C183" s="54" t="inlineStr">
        <is>
          <t>Shura Island hub → AMAALA (Triple Bay) (82.9nm)</t>
        </is>
      </c>
    </row>
    <row r="184">
      <c r="C184" s="54" t="inlineStr">
        <is>
          <t>The Red Sea → NEOM (Sindalah) / Jeddah gateway (196.9nm)</t>
        </is>
      </c>
    </row>
    <row r="185">
      <c r="C185" s="54" t="inlineStr">
        <is>
          <t>Jeddah gateway → The Red Sea archipelago (275.5nm)</t>
        </is>
      </c>
    </row>
    <row r="186">
      <c r="C186" s="54" t="inlineStr">
        <is>
          <t>Jeddah → NEOM (Sindalah) (463.9nm)</t>
        </is>
      </c>
    </row>
    <row r="187">
      <c r="C187" s="54" t="inlineStr">
        <is>
          <t>Marina Mall / Breakwater Marina → Sir Bani Yas Cruise Port (93.1nm)</t>
        </is>
      </c>
    </row>
    <row r="188">
      <c r="C188" s="54" t="inlineStr">
        <is>
          <t>Dubai Harbour Marina → Old Doha Port (195.42nm)</t>
        </is>
      </c>
    </row>
    <row r="189">
      <c r="C189" s="54" t="inlineStr">
        <is>
          <t>Marina Mall / Breakwater Marina → Bahrain Financial Harbour Marina (235.44nm)</t>
        </is>
      </c>
    </row>
  </sheetData>
  <mergeCells count="2">
    <mergeCell ref="A1:L1"/>
    <mergeCell ref="A163:L1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2026-07-06T02:58:48Z</dcterms:created>
  <dcterms:modified xsi:type="dcterms:W3CDTF">2026-07-06T02:58:48Z</dcterms:modified>
</cp:coreProperties>
</file>