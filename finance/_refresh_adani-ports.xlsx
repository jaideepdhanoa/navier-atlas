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economics'!$D$113</definedName>
    <definedName name="som_floor_rev">'Corridor economics'!$E$113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Adani-Ports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1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Adani-Ports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India Andaman Rapido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handoff/INDIA-ECONOMICS-SIDECAR-V0-2026-06-20.json (andaman)</t>
        </is>
      </c>
      <c r="AY4" s="44" t="inlineStr">
        <is>
          <t>Port-terminal operator uplift on harbour-adjacent markets (Mumbai, Kerala/Vizhinjam, eastern gateways).</t>
        </is>
      </c>
    </row>
    <row r="5">
      <c r="A5" s="29" t="inlineStr">
        <is>
          <t>India Andaman Rapido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handoff/INDIA-ECONOMICS-SIDECAR-V0-2026-06-20.json (andaman)</t>
        </is>
      </c>
      <c r="AY5" s="44" t="inlineStr">
        <is>
          <t>Port-terminal operator uplift on harbour-adjacent markets (Mumbai, Kerala/Vizhinjam, eastern gateways).</t>
        </is>
      </c>
    </row>
    <row r="6">
      <c r="A6" s="29" t="inlineStr">
        <is>
          <t>India Kolkata Rapido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1764000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 xml:space="preserve">[LB-255 PREMIUM RE-FARE: subsidized comparable $2.5 lifted to premium on-demand floor $18.0] </t>
        </is>
      </c>
      <c r="AY6" s="44" t="n"/>
    </row>
    <row r="7">
      <c r="A7" s="29" t="inlineStr">
        <is>
          <t>India Andaman Rapido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handoff/INDIA-ECONOMICS-SIDECAR-V0-2026-06-20.json (andaman)</t>
        </is>
      </c>
      <c r="AY7" s="44" t="inlineStr">
        <is>
          <t>Port-terminal operator uplift on harbour-adjacent markets (Mumbai, Kerala/Vizhinjam, eastern gateways).</t>
        </is>
      </c>
    </row>
    <row r="8">
      <c r="A8" s="29" t="inlineStr">
        <is>
          <t>India Andaman Rapido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handoff/INDIA-ECONOMICS-SIDECAR-V0-2026-06-20.json (andaman)</t>
        </is>
      </c>
      <c r="AY8" s="44" t="inlineStr">
        <is>
          <t>Port-terminal operator uplift on harbour-adjacent markets (Mumbai, Kerala/Vizhinjam, eastern gateways).</t>
        </is>
      </c>
    </row>
    <row r="9">
      <c r="A9" s="29" t="inlineStr">
        <is>
          <t>India Kolkata Rapido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1764000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 xml:space="preserve">[LB-255 PREMIUM RE-FARE: subsidized comparable $2.5 lifted to premium on-demand floor $18.0] </t>
        </is>
      </c>
      <c r="AY9" s="44" t="n"/>
    </row>
    <row r="10">
      <c r="A10" s="29" t="inlineStr">
        <is>
          <t>India Andaman Rapido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handoff/INDIA-ECONOMICS-SIDECAR-V0-2026-06-20.json (andaman)</t>
        </is>
      </c>
      <c r="AY10" s="44" t="inlineStr">
        <is>
          <t>Port-terminal operator uplift on harbour-adjacent markets (Mumbai, Kerala/Vizhinjam, eastern gateways).</t>
        </is>
      </c>
    </row>
    <row r="11">
      <c r="A11" s="29" t="inlineStr">
        <is>
          <t>India Kolkata Rapido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1764000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 xml:space="preserve">[LB-255 PREMIUM RE-FARE: subsidized comparable $2.5 lifted to premium on-demand floor $18.0] </t>
        </is>
      </c>
      <c r="AY11" s="44" t="n"/>
    </row>
    <row r="12">
      <c r="A12" s="29" t="inlineStr">
        <is>
          <t>India Andaman Rapido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handoff/INDIA-ECONOMICS-SIDECAR-V0-2026-06-20.json (andaman)</t>
        </is>
      </c>
      <c r="AY12" s="44" t="inlineStr">
        <is>
          <t>Port-terminal operator uplift on harbour-adjacent markets (Mumbai, Kerala/Vizhinjam, eastern gateways).</t>
        </is>
      </c>
    </row>
    <row r="13">
      <c r="A13" s="29" t="inlineStr">
        <is>
          <t>India Andaman Rapido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handoff/INDIA-ECONOMICS-SIDECAR-V0-2026-06-20.json (andaman)</t>
        </is>
      </c>
      <c r="AY13" s="44" t="inlineStr">
        <is>
          <t>Port-terminal operator uplift on harbour-adjacent markets (Mumbai, Kerala/Vizhinjam, eastern gateways).</t>
        </is>
      </c>
    </row>
    <row r="14">
      <c r="A14" s="29" t="inlineStr">
        <is>
          <t>India Kolkata Rapido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1764000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 xml:space="preserve">[LB-255 PREMIUM RE-FARE: subsidized comparable $2.5 lifted to premium on-demand floor $18.0] </t>
        </is>
      </c>
      <c r="AY14" s="44" t="n"/>
    </row>
    <row r="15">
      <c r="A15" s="29" t="inlineStr">
        <is>
          <t>India Andaman Rapido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handoff/INDIA-ECONOMICS-SIDECAR-V0-2026-06-20.json (andaman)</t>
        </is>
      </c>
      <c r="AY15" s="44" t="inlineStr">
        <is>
          <t>Port-terminal operator uplift on harbour-adjacent markets (Mumbai, Kerala/Vizhinjam, eastern gateways).</t>
        </is>
      </c>
    </row>
    <row r="16">
      <c r="A16" s="29" t="inlineStr">
        <is>
          <t>India Andaman Rapido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handoff/INDIA-ECONOMICS-SIDECAR-V0-2026-06-20.json (andaman)</t>
        </is>
      </c>
      <c r="AY16" s="44" t="inlineStr">
        <is>
          <t>Port-terminal operator uplift on harbour-adjacent markets (Mumbai, Kerala/Vizhinjam, eastern gateways).</t>
        </is>
      </c>
    </row>
    <row r="17">
      <c r="A17" s="29" t="inlineStr">
        <is>
          <t>India Andaman Rapido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handoff/INDIA-ECONOMICS-SIDECAR-V0-2026-06-20.json (andaman)</t>
        </is>
      </c>
      <c r="AY17" s="44" t="inlineStr">
        <is>
          <t>Port-terminal operator uplift on harbour-adjacent markets (Mumbai, Kerala/Vizhinjam, eastern gateways).</t>
        </is>
      </c>
    </row>
    <row r="18">
      <c r="A18" s="29" t="inlineStr">
        <is>
          <t>India Andaman Rapido</t>
        </is>
      </c>
      <c r="B18" s="29" t="inlineStr">
        <is>
          <t>India</t>
        </is>
      </c>
      <c r="C18" s="30" t="inlineStr">
        <is>
          <t>Game Fishing In Andaman | Bite Me Charter | Best Sport fishing in Andaman Islands → Junglighat Jetty</t>
        </is>
      </c>
      <c r="D18" s="31" t="n">
        <v>2.1</v>
      </c>
      <c r="E18" s="26" t="n">
        <v>22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5000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handoff/INDIA-ECONOMICS-SIDECAR-V0-2026-06-20.json (andaman)</t>
        </is>
      </c>
      <c r="AY18" s="44" t="inlineStr">
        <is>
          <t>Port-terminal operator uplift on harbour-adjacent markets (Mumbai, Kerala/Vizhinjam, eastern gateways).</t>
        </is>
      </c>
    </row>
    <row r="19">
      <c r="A19" s="29" t="inlineStr">
        <is>
          <t>India Andaman Rapido</t>
        </is>
      </c>
      <c r="B19" s="29" t="inlineStr">
        <is>
          <t>India</t>
        </is>
      </c>
      <c r="C19" s="30" t="inlineStr">
        <is>
          <t>Andaman → Game Fishing In Andaman | Bite Me Charter | Best Sport fishing in Andaman Islands</t>
        </is>
      </c>
      <c r="D19" s="31" t="n">
        <v>2.1</v>
      </c>
      <c r="E19" s="26" t="n">
        <v>22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5000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handoff/INDIA-ECONOMICS-SIDECAR-V0-2026-06-20.json (andaman)</t>
        </is>
      </c>
      <c r="AY19" s="44" t="inlineStr">
        <is>
          <t>Port-terminal operator uplift on harbour-adjacent markets (Mumbai, Kerala/Vizhinjam, eastern gateways).</t>
        </is>
      </c>
    </row>
    <row r="20">
      <c r="A20" s="29" t="inlineStr">
        <is>
          <t>India Goa Rapido</t>
        </is>
      </c>
      <c r="B20" s="29" t="inlineStr">
        <is>
          <t>India</t>
        </is>
      </c>
      <c r="C20" s="30" t="inlineStr">
        <is>
          <t>Panaji Jetty → Goa</t>
        </is>
      </c>
      <c r="D20" s="31" t="n">
        <v>2.1</v>
      </c>
      <c r="E20" s="26" t="n">
        <v>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11250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handoff/INDIA-ECONOMICS-SIDECAR-V0-2026-06-20.json (goa)</t>
        </is>
      </c>
      <c r="AY20" s="44" t="inlineStr">
        <is>
          <t>Port-terminal operator uplift on harbour-adjacent markets (Mumbai, Kerala/Vizhinjam, eastern gateways).</t>
        </is>
      </c>
    </row>
    <row r="21">
      <c r="A21" s="29" t="inlineStr">
        <is>
          <t>India Kerala Rapido</t>
        </is>
      </c>
      <c r="B21" s="29" t="inlineStr">
        <is>
          <t>India</t>
        </is>
      </c>
      <c r="C21" s="30" t="inlineStr">
        <is>
          <t>Marina One, Kochi → Harbour Roof Garden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40611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[LB-255 PREMIUM RE-FARE: subsidized comparable $3.5 lifted to premium on-demand floor $18.0] handoff/INDIA-ECONOMICS-SIDECAR-V0-2026-06-20.json (kerala)</t>
        </is>
      </c>
      <c r="AY21" s="44" t="inlineStr">
        <is>
          <t>Port-terminal operator uplift on harbour-adjacent markets (Mumbai, Kerala/Vizhinjam, eastern gateways).</t>
        </is>
      </c>
    </row>
    <row r="22">
      <c r="A22" s="29" t="inlineStr">
        <is>
          <t>India Kerala Rapido</t>
        </is>
      </c>
      <c r="B22" s="29" t="inlineStr">
        <is>
          <t>India</t>
        </is>
      </c>
      <c r="C22" s="30" t="inlineStr">
        <is>
          <t>Water Wolf Speed Boat - Boating Kadamakudy → Ferry Terminal</t>
        </is>
      </c>
      <c r="D22" s="31" t="n">
        <v>2.1</v>
      </c>
      <c r="E22" s="26" t="n">
        <v>18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40611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[LB-255 PREMIUM RE-FARE: subsidized comparable $3.5 lifted to premium on-demand floor $18.0] handoff/INDIA-ECONOMICS-SIDECAR-V0-2026-06-20.json (kerala)</t>
        </is>
      </c>
      <c r="AY22" s="44" t="inlineStr">
        <is>
          <t>Port-terminal operator uplift on harbour-adjacent markets (Mumbai, Kerala/Vizhinjam, eastern gateways).</t>
        </is>
      </c>
    </row>
    <row r="23">
      <c r="A23" s="29" t="inlineStr">
        <is>
          <t>India Kerala Rapido</t>
        </is>
      </c>
      <c r="B23" s="29" t="inlineStr">
        <is>
          <t>India</t>
        </is>
      </c>
      <c r="C23" s="30" t="inlineStr">
        <is>
          <t>Willingdon Island → Kerala Backwaters &amp; Kochi</t>
        </is>
      </c>
      <c r="D23" s="31" t="n">
        <v>2.1</v>
      </c>
      <c r="E23" s="26" t="n">
        <v>18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40611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[LB-255 PREMIUM RE-FARE: subsidized comparable $3.5 lifted to premium on-demand floor $18.0] handoff/INDIA-ECONOMICS-SIDECAR-V0-2026-06-20.json (kerala)</t>
        </is>
      </c>
      <c r="AY23" s="44" t="inlineStr">
        <is>
          <t>Port-terminal operator uplift on harbour-adjacent markets (Mumbai, Kerala/Vizhinjam, eastern gateways).</t>
        </is>
      </c>
    </row>
    <row r="24">
      <c r="A24" s="29" t="inlineStr">
        <is>
          <t>India Kerala Rapido</t>
        </is>
      </c>
      <c r="B24" s="29" t="inlineStr">
        <is>
          <t>India</t>
        </is>
      </c>
      <c r="C24" s="30" t="inlineStr">
        <is>
          <t>Kochi International Marina KTDC → Martins Harbour</t>
        </is>
      </c>
      <c r="D24" s="31" t="n">
        <v>2.1</v>
      </c>
      <c r="E24" s="26" t="n">
        <v>18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40611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[LB-255 PREMIUM RE-FARE: subsidized comparable $3.5 lifted to premium on-demand floor $18.0] handoff/INDIA-ECONOMICS-SIDECAR-V0-2026-06-20.json (kerala)</t>
        </is>
      </c>
      <c r="AY24" s="44" t="inlineStr">
        <is>
          <t>Port-terminal operator uplift on harbour-adjacent markets (Mumbai, Kerala/Vizhinjam, eastern gateways).</t>
        </is>
      </c>
    </row>
    <row r="25">
      <c r="A25" s="29" t="inlineStr">
        <is>
          <t>India Mumbai Rapido</t>
        </is>
      </c>
      <c r="B25" s="29" t="inlineStr">
        <is>
          <t>India</t>
        </is>
      </c>
      <c r="C25" s="30" t="inlineStr">
        <is>
          <t>Gateway of India → Mumbai Harbour</t>
        </is>
      </c>
      <c r="D25" s="31" t="n">
        <v>2.1</v>
      </c>
      <c r="E25" s="26" t="n">
        <v>18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6272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[LB-255 PREMIUM RE-FARE: subsidized comparable $5.5 lifted to premium on-demand floor $18.0] handoff/INDIA-ECONOMICS-SIDECAR-V0-2026-06-20.json (mumbai)</t>
        </is>
      </c>
      <c r="AY25" s="44" t="inlineStr">
        <is>
          <t>Port-terminal operator uplift on harbour-adjacent markets (Mumbai, Kerala/Vizhinjam, eastern gateways).</t>
        </is>
      </c>
    </row>
    <row r="26">
      <c r="A26" s="29" t="inlineStr">
        <is>
          <t>India Andaman Rapido</t>
        </is>
      </c>
      <c r="B26" s="29" t="inlineStr">
        <is>
          <t>India</t>
        </is>
      </c>
      <c r="C26" s="30" t="inlineStr">
        <is>
          <t>Andaman → Marina Park</t>
        </is>
      </c>
      <c r="D26" s="31" t="n">
        <v>2.2</v>
      </c>
      <c r="E26" s="26" t="n">
        <v>22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5000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handoff/INDIA-ECONOMICS-SIDECAR-V0-2026-06-20.json (andaman)</t>
        </is>
      </c>
      <c r="AY26" s="44" t="inlineStr">
        <is>
          <t>Port-terminal operator uplift on harbour-adjacent markets (Mumbai, Kerala/Vizhinjam, eastern gateways).</t>
        </is>
      </c>
    </row>
    <row r="27">
      <c r="A27" s="29" t="inlineStr">
        <is>
          <t>India Andaman Rapido</t>
        </is>
      </c>
      <c r="B27" s="29" t="inlineStr">
        <is>
          <t>India</t>
        </is>
      </c>
      <c r="C27" s="30" t="inlineStr">
        <is>
          <t>Panighat Ferry Jetty → Chatham Jetty</t>
        </is>
      </c>
      <c r="D27" s="31" t="n">
        <v>2.2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handoff/INDIA-ECONOMICS-SIDECAR-V0-2026-06-20.json (andaman)</t>
        </is>
      </c>
      <c r="AY27" s="44" t="inlineStr">
        <is>
          <t>Port-terminal operator uplift on harbour-adjacent markets (Mumbai, Kerala/Vizhinjam, eastern gateways).</t>
        </is>
      </c>
    </row>
    <row r="28">
      <c r="A28" s="29" t="inlineStr">
        <is>
          <t>India Kerala Rapido</t>
        </is>
      </c>
      <c r="B28" s="29" t="inlineStr">
        <is>
          <t>India</t>
        </is>
      </c>
      <c r="C28" s="30" t="inlineStr">
        <is>
          <t>Willingdon Island → Kerala Backwaters &amp; Kochi</t>
        </is>
      </c>
      <c r="D28" s="31" t="n">
        <v>2.2</v>
      </c>
      <c r="E28" s="26" t="n">
        <v>18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40611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[LB-255 PREMIUM RE-FARE: subsidized comparable $3.5 lifted to premium on-demand floor $18.0] handoff/INDIA-ECONOMICS-SIDECAR-V0-2026-06-20.json (kerala)</t>
        </is>
      </c>
      <c r="AY28" s="44" t="inlineStr">
        <is>
          <t>Port-terminal operator uplift on harbour-adjacent markets (Mumbai, Kerala/Vizhinjam, eastern gateways).</t>
        </is>
      </c>
    </row>
    <row r="29">
      <c r="A29" s="29" t="inlineStr">
        <is>
          <t>India Andaman Rapido</t>
        </is>
      </c>
      <c r="B29" s="29" t="inlineStr">
        <is>
          <t>India</t>
        </is>
      </c>
      <c r="C29" s="30" t="inlineStr">
        <is>
          <t>Chatham Jetty → Chatham Harbour</t>
        </is>
      </c>
      <c r="D29" s="31" t="n">
        <v>2.4</v>
      </c>
      <c r="E29" s="26" t="n">
        <v>22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5000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handoff/INDIA-ECONOMICS-SIDECAR-V0-2026-06-20.json (andaman)</t>
        </is>
      </c>
      <c r="AY29" s="44" t="inlineStr">
        <is>
          <t>Port-terminal operator uplift on harbour-adjacent markets (Mumbai, Kerala/Vizhinjam, eastern gateways).</t>
        </is>
      </c>
    </row>
    <row r="30">
      <c r="A30" s="29" t="inlineStr">
        <is>
          <t>India Andaman Rapido</t>
        </is>
      </c>
      <c r="B30" s="29" t="inlineStr">
        <is>
          <t>India</t>
        </is>
      </c>
      <c r="C30" s="30" t="inlineStr">
        <is>
          <t>Andaman → Fisheries Jetty</t>
        </is>
      </c>
      <c r="D30" s="31" t="n">
        <v>2.4</v>
      </c>
      <c r="E30" s="26" t="n">
        <v>22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handoff/INDIA-ECONOMICS-SIDECAR-V0-2026-06-20.json (andaman)</t>
        </is>
      </c>
      <c r="AY30" s="44" t="inlineStr">
        <is>
          <t>Port-terminal operator uplift on harbour-adjacent markets (Mumbai, Kerala/Vizhinjam, eastern gateways).</t>
        </is>
      </c>
    </row>
    <row r="31">
      <c r="A31" s="29" t="inlineStr">
        <is>
          <t>India Goa Rapido</t>
        </is>
      </c>
      <c r="B31" s="29" t="inlineStr">
        <is>
          <t>India</t>
        </is>
      </c>
      <c r="C31" s="30" t="inlineStr">
        <is>
          <t>Chorao Ferry Terminal → Piedade Ferry Terminal</t>
        </is>
      </c>
      <c r="D31" s="31" t="n">
        <v>2.4</v>
      </c>
      <c r="E31" s="26" t="n">
        <v>8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11250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handoff/INDIA-ECONOMICS-SIDECAR-V0-2026-06-20.json (goa)</t>
        </is>
      </c>
      <c r="AY31" s="44" t="inlineStr">
        <is>
          <t>Port-terminal operator uplift on harbour-adjacent markets (Mumbai, Kerala/Vizhinjam, eastern gateways).</t>
        </is>
      </c>
    </row>
    <row r="32">
      <c r="A32" s="29" t="inlineStr">
        <is>
          <t>India Andaman Rapido</t>
        </is>
      </c>
      <c r="B32" s="29" t="inlineStr">
        <is>
          <t>India</t>
        </is>
      </c>
      <c r="C32" s="30" t="inlineStr">
        <is>
          <t>Haddo Jetty → Chatham Harbour</t>
        </is>
      </c>
      <c r="D32" s="31" t="n">
        <v>2.5</v>
      </c>
      <c r="E32" s="26" t="n">
        <v>22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handoff/INDIA-ECONOMICS-SIDECAR-V0-2026-06-20.json (andaman)</t>
        </is>
      </c>
      <c r="AY32" s="44" t="inlineStr">
        <is>
          <t>Port-terminal operator uplift on harbour-adjacent markets (Mumbai, Kerala/Vizhinjam, eastern gateways).</t>
        </is>
      </c>
    </row>
    <row r="33">
      <c r="A33" s="29" t="inlineStr">
        <is>
          <t>India Andaman Rapido</t>
        </is>
      </c>
      <c r="B33" s="29" t="inlineStr">
        <is>
          <t>India</t>
        </is>
      </c>
      <c r="C33" s="30" t="inlineStr">
        <is>
          <t>Gamefishing Asia → Haddo Jetty</t>
        </is>
      </c>
      <c r="D33" s="31" t="n">
        <v>2.5</v>
      </c>
      <c r="E33" s="26" t="n">
        <v>22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handoff/INDIA-ECONOMICS-SIDECAR-V0-2026-06-20.json (andaman)</t>
        </is>
      </c>
      <c r="AY33" s="44" t="inlineStr">
        <is>
          <t>Port-terminal operator uplift on harbour-adjacent markets (Mumbai, Kerala/Vizhinjam, eastern gateways).</t>
        </is>
      </c>
    </row>
    <row r="34">
      <c r="A34" s="29" t="inlineStr">
        <is>
          <t>India Mumbai Rapido</t>
        </is>
      </c>
      <c r="B34" s="29" t="inlineStr">
        <is>
          <t>India</t>
        </is>
      </c>
      <c r="C34" s="30" t="inlineStr">
        <is>
          <t>Bhaucha Dhakka → Cordelia Cruises</t>
        </is>
      </c>
      <c r="D34" s="31" t="n">
        <v>2.5</v>
      </c>
      <c r="E34" s="26" t="n">
        <v>18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6272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[LB-255 PREMIUM RE-FARE: subsidized comparable $5.5 lifted to premium on-demand floor $18.0] handoff/INDIA-ECONOMICS-SIDECAR-V0-2026-06-20.json (mumbai)</t>
        </is>
      </c>
      <c r="AY34" s="44" t="inlineStr">
        <is>
          <t>Port-terminal operator uplift on harbour-adjacent markets (Mumbai, Kerala/Vizhinjam, eastern gateways).</t>
        </is>
      </c>
    </row>
    <row r="35">
      <c r="A35" s="29" t="inlineStr">
        <is>
          <t>India Mumbai Rapido</t>
        </is>
      </c>
      <c r="B35" s="29" t="inlineStr">
        <is>
          <t>India</t>
        </is>
      </c>
      <c r="C35" s="30" t="inlineStr">
        <is>
          <t>Bhaucha Dhakka Ferry Boat Service → Cordelia Cruises</t>
        </is>
      </c>
      <c r="D35" s="31" t="n">
        <v>2.5</v>
      </c>
      <c r="E35" s="26" t="n">
        <v>18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6272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Grounded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[LB-255 PREMIUM RE-FARE: subsidized comparable $5.5 lifted to premium on-demand floor $18.0] handoff/INDIA-ECONOMICS-SIDECAR-V0-2026-06-20.json (mumbai)</t>
        </is>
      </c>
      <c r="AY35" s="44" t="inlineStr">
        <is>
          <t>Port-terminal operator uplift on harbour-adjacent markets (Mumbai, Kerala/Vizhinjam, eastern gateways).</t>
        </is>
      </c>
    </row>
    <row r="36">
      <c r="A36" s="29" t="inlineStr">
        <is>
          <t>India Andaman Rapido</t>
        </is>
      </c>
      <c r="B36" s="29" t="inlineStr">
        <is>
          <t>India</t>
        </is>
      </c>
      <c r="C36" s="30" t="inlineStr">
        <is>
          <t>Haddo Jetty → Chatham Jetty</t>
        </is>
      </c>
      <c r="D36" s="31" t="n">
        <v>2.6</v>
      </c>
      <c r="E36" s="26" t="n">
        <v>22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handoff/INDIA-ECONOMICS-SIDECAR-V0-2026-06-20.json (andaman)</t>
        </is>
      </c>
      <c r="AY36" s="44" t="inlineStr">
        <is>
          <t>Port-terminal operator uplift on harbour-adjacent markets (Mumbai, Kerala/Vizhinjam, eastern gateways).</t>
        </is>
      </c>
    </row>
    <row r="37">
      <c r="A37" s="29" t="inlineStr">
        <is>
          <t>India Goa Rapido</t>
        </is>
      </c>
      <c r="B37" s="29" t="inlineStr">
        <is>
          <t>India</t>
        </is>
      </c>
      <c r="C37" s="30" t="inlineStr">
        <is>
          <t>Panaji Jetty → Goa</t>
        </is>
      </c>
      <c r="D37" s="31" t="n">
        <v>2.6</v>
      </c>
      <c r="E37" s="26" t="n">
        <v>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11250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handoff/INDIA-ECONOMICS-SIDECAR-V0-2026-06-20.json (goa)</t>
        </is>
      </c>
      <c r="AY37" s="44" t="inlineStr">
        <is>
          <t>Port-terminal operator uplift on harbour-adjacent markets (Mumbai, Kerala/Vizhinjam, eastern gateways).</t>
        </is>
      </c>
    </row>
    <row r="38">
      <c r="A38" s="29" t="inlineStr">
        <is>
          <t>India Kerala Rapido</t>
        </is>
      </c>
      <c r="B38" s="29" t="inlineStr">
        <is>
          <t>India</t>
        </is>
      </c>
      <c r="C38" s="30" t="inlineStr">
        <is>
          <t>Palette MG Road Ernakulam formerly Harbour View Residency → BLUEMARINE Backwaters</t>
        </is>
      </c>
      <c r="D38" s="31" t="n">
        <v>2.6</v>
      </c>
      <c r="E38" s="26" t="n">
        <v>18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40611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[LB-255 PREMIUM RE-FARE: subsidized comparable $3.5 lifted to premium on-demand floor $18.0] handoff/INDIA-ECONOMICS-SIDECAR-V0-2026-06-20.json (kerala)</t>
        </is>
      </c>
      <c r="AY38" s="44" t="inlineStr">
        <is>
          <t>Port-terminal operator uplift on harbour-adjacent markets (Mumbai, Kerala/Vizhinjam, eastern gateways).</t>
        </is>
      </c>
    </row>
    <row r="39">
      <c r="A39" s="29" t="inlineStr">
        <is>
          <t>India Mumbai Rapido</t>
        </is>
      </c>
      <c r="B39" s="29" t="inlineStr">
        <is>
          <t>India</t>
        </is>
      </c>
      <c r="C39" s="30" t="inlineStr">
        <is>
          <t>Bombay Harbour → Mora</t>
        </is>
      </c>
      <c r="D39" s="31" t="n">
        <v>2.6</v>
      </c>
      <c r="E39" s="26" t="n">
        <v>18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6272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[LB-255 PREMIUM RE-FARE: subsidized comparable $5.5 lifted to premium on-demand floor $18.0] handoff/INDIA-ECONOMICS-SIDECAR-V0-2026-06-20.json (mumbai)</t>
        </is>
      </c>
      <c r="AY39" s="44" t="inlineStr">
        <is>
          <t>Port-terminal operator uplift on harbour-adjacent markets (Mumbai, Kerala/Vizhinjam, eastern gateways).</t>
        </is>
      </c>
    </row>
    <row r="40">
      <c r="A40" s="29" t="inlineStr">
        <is>
          <t>India Mumbai Rapido</t>
        </is>
      </c>
      <c r="B40" s="29" t="inlineStr">
        <is>
          <t>India</t>
        </is>
      </c>
      <c r="C40" s="30" t="inlineStr">
        <is>
          <t>Battle Harbour Design Studio → Cordelia Cruises</t>
        </is>
      </c>
      <c r="D40" s="31" t="n">
        <v>2.6</v>
      </c>
      <c r="E40" s="26" t="n">
        <v>18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6272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[LB-255 PREMIUM RE-FARE: subsidized comparable $5.5 lifted to premium on-demand floor $18.0] handoff/INDIA-ECONOMICS-SIDECAR-V0-2026-06-20.json (mumbai)</t>
        </is>
      </c>
      <c r="AY40" s="44" t="inlineStr">
        <is>
          <t>Port-terminal operator uplift on harbour-adjacent markets (Mumbai, Kerala/Vizhinjam, eastern gateways).</t>
        </is>
      </c>
    </row>
    <row r="41">
      <c r="A41" s="29" t="inlineStr">
        <is>
          <t>India Andaman Rapido</t>
        </is>
      </c>
      <c r="B41" s="29" t="inlineStr">
        <is>
          <t>India</t>
        </is>
      </c>
      <c r="C41" s="30" t="inlineStr">
        <is>
          <t>Gamefishing Asia → Chatham Jetty</t>
        </is>
      </c>
      <c r="D41" s="31" t="n">
        <v>2.7</v>
      </c>
      <c r="E41" s="26" t="n">
        <v>22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handoff/INDIA-ECONOMICS-SIDECAR-V0-2026-06-20.json (andaman)</t>
        </is>
      </c>
      <c r="AY41" s="44" t="inlineStr">
        <is>
          <t>Port-terminal operator uplift on harbour-adjacent markets (Mumbai, Kerala/Vizhinjam, eastern gateways).</t>
        </is>
      </c>
    </row>
    <row r="42">
      <c r="A42" s="29" t="inlineStr">
        <is>
          <t>India Goa Rapido</t>
        </is>
      </c>
      <c r="B42" s="29" t="inlineStr">
        <is>
          <t>India</t>
        </is>
      </c>
      <c r="C42" s="30" t="inlineStr">
        <is>
          <t>Chorao Ferry Terminal → Pomburpa Ferry Terminal</t>
        </is>
      </c>
      <c r="D42" s="31" t="n">
        <v>2.7</v>
      </c>
      <c r="E42" s="26" t="n">
        <v>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11250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handoff/INDIA-ECONOMICS-SIDECAR-V0-2026-06-20.json (goa)</t>
        </is>
      </c>
      <c r="AY42" s="44" t="inlineStr">
        <is>
          <t>Port-terminal operator uplift on harbour-adjacent markets (Mumbai, Kerala/Vizhinjam, eastern gateways).</t>
        </is>
      </c>
    </row>
    <row r="43">
      <c r="A43" s="29" t="inlineStr">
        <is>
          <t>India Goa Rapido</t>
        </is>
      </c>
      <c r="B43" s="29" t="inlineStr">
        <is>
          <t>India</t>
        </is>
      </c>
      <c r="C43" s="30" t="inlineStr">
        <is>
          <t>Goveia Marina → Camurlim Ferry Terminal</t>
        </is>
      </c>
      <c r="D43" s="31" t="n">
        <v>2.7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handoff/INDIA-ECONOMICS-SIDECAR-V0-2026-06-20.json (goa)</t>
        </is>
      </c>
      <c r="AY43" s="44" t="inlineStr">
        <is>
          <t>Port-terminal operator uplift on harbour-adjacent markets (Mumbai, Kerala/Vizhinjam, eastern gateways).</t>
        </is>
      </c>
    </row>
    <row r="44">
      <c r="A44" s="29" t="inlineStr">
        <is>
          <t>India Kerala Rapido</t>
        </is>
      </c>
      <c r="B44" s="29" t="inlineStr">
        <is>
          <t>India</t>
        </is>
      </c>
      <c r="C44" s="30" t="inlineStr">
        <is>
          <t>BLUEMARINE Backwaters → Sailing Club House</t>
        </is>
      </c>
      <c r="D44" s="31" t="n">
        <v>2.7</v>
      </c>
      <c r="E44" s="26" t="n">
        <v>18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40611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[LB-255 PREMIUM RE-FARE: subsidized comparable $3.5 lifted to premium on-demand floor $18.0] handoff/INDIA-ECONOMICS-SIDECAR-V0-2026-06-20.json (kerala)</t>
        </is>
      </c>
      <c r="AY44" s="44" t="inlineStr">
        <is>
          <t>Port-terminal operator uplift on harbour-adjacent markets (Mumbai, Kerala/Vizhinjam, eastern gateways).</t>
        </is>
      </c>
    </row>
    <row r="45">
      <c r="A45" s="29" t="inlineStr">
        <is>
          <t>India Mumbai Rapido</t>
        </is>
      </c>
      <c r="B45" s="29" t="inlineStr">
        <is>
          <t>India</t>
        </is>
      </c>
      <c r="C45" s="30" t="inlineStr">
        <is>
          <t>Bhaucha Dhakka Ferry Boat Service → Bombay Harbour</t>
        </is>
      </c>
      <c r="D45" s="31" t="n">
        <v>2.7</v>
      </c>
      <c r="E45" s="26" t="n">
        <v>18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6272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inlineStr">
        <is>
          <t>[LB-255 PREMIUM RE-FARE: subsidized comparable $5.5 lifted to premium on-demand floor $18.0] handoff/INDIA-ECONOMICS-SIDECAR-V0-2026-06-20.json (mumbai)</t>
        </is>
      </c>
      <c r="AY45" s="44" t="inlineStr">
        <is>
          <t>Port-terminal operator uplift on harbour-adjacent markets (Mumbai, Kerala/Vizhinjam, eastern gateways).</t>
        </is>
      </c>
    </row>
    <row r="46">
      <c r="A46" s="29" t="inlineStr">
        <is>
          <t>India Andaman Rapido</t>
        </is>
      </c>
      <c r="B46" s="29" t="inlineStr">
        <is>
          <t>India</t>
        </is>
      </c>
      <c r="C46" s="30" t="inlineStr">
        <is>
          <t>Andaman → Andaman &amp; Nicobar Islands</t>
        </is>
      </c>
      <c r="D46" s="31" t="n">
        <v>2.8</v>
      </c>
      <c r="E46" s="26" t="n">
        <v>22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handoff/INDIA-ECONOMICS-SIDECAR-V0-2026-06-20.json (andaman)</t>
        </is>
      </c>
      <c r="AY46" s="44" t="inlineStr">
        <is>
          <t>Port-terminal operator uplift on harbour-adjacent markets (Mumbai, Kerala/Vizhinjam, eastern gateways).</t>
        </is>
      </c>
    </row>
    <row r="47">
      <c r="A47" s="29" t="inlineStr">
        <is>
          <t>India Andaman Rapido</t>
        </is>
      </c>
      <c r="B47" s="29" t="inlineStr">
        <is>
          <t>India</t>
        </is>
      </c>
      <c r="C47" s="30" t="inlineStr">
        <is>
          <t>Andaman → BookMyBoat Andaman Ferry Booking</t>
        </is>
      </c>
      <c r="D47" s="31" t="n">
        <v>2.8</v>
      </c>
      <c r="E47" s="26" t="n">
        <v>22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5000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Grounded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inlineStr">
        <is>
          <t>handoff/INDIA-ECONOMICS-SIDECAR-V0-2026-06-20.json (andaman)</t>
        </is>
      </c>
      <c r="AY47" s="44" t="inlineStr">
        <is>
          <t>Port-terminal operator uplift on harbour-adjacent markets (Mumbai, Kerala/Vizhinjam, eastern gateways).</t>
        </is>
      </c>
    </row>
    <row r="48">
      <c r="A48" s="29" t="inlineStr">
        <is>
          <t>India Andaman Rapido</t>
        </is>
      </c>
      <c r="B48" s="29" t="inlineStr">
        <is>
          <t>India</t>
        </is>
      </c>
      <c r="C48" s="30" t="inlineStr">
        <is>
          <t>Port Blair → BookMyBoat Andaman Ferry Booking</t>
        </is>
      </c>
      <c r="D48" s="31" t="n">
        <v>2.8</v>
      </c>
      <c r="E48" s="26" t="n">
        <v>22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5000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Grounded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handoff/INDIA-ECONOMICS-SIDECAR-V0-2026-06-20.json (andaman)</t>
        </is>
      </c>
      <c r="AY48" s="44" t="inlineStr">
        <is>
          <t>Port-terminal operator uplift on harbour-adjacent markets (Mumbai, Kerala/Vizhinjam, eastern gateways).</t>
        </is>
      </c>
    </row>
    <row r="49">
      <c r="A49" s="29" t="inlineStr">
        <is>
          <t>India Andaman Rapido</t>
        </is>
      </c>
      <c r="B49" s="29" t="inlineStr">
        <is>
          <t>India</t>
        </is>
      </c>
      <c r="C49" s="30" t="inlineStr">
        <is>
          <t>Junglighat Jetty → BookMyBoat Andaman Ferry Booking</t>
        </is>
      </c>
      <c r="D49" s="31" t="n">
        <v>2.8</v>
      </c>
      <c r="E49" s="26" t="n">
        <v>22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5000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Grounded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inlineStr">
        <is>
          <t>handoff/INDIA-ECONOMICS-SIDECAR-V0-2026-06-20.json (andaman)</t>
        </is>
      </c>
      <c r="AY49" s="44" t="inlineStr">
        <is>
          <t>Port-terminal operator uplift on harbour-adjacent markets (Mumbai, Kerala/Vizhinjam, eastern gateways).</t>
        </is>
      </c>
    </row>
    <row r="50">
      <c r="A50" s="29" t="inlineStr">
        <is>
          <t>India Goa Rapido</t>
        </is>
      </c>
      <c r="B50" s="29" t="inlineStr">
        <is>
          <t>India</t>
        </is>
      </c>
      <c r="C50" s="30" t="inlineStr">
        <is>
          <t>Goveia Marina → Tuem Ferry Terminal</t>
        </is>
      </c>
      <c r="D50" s="31" t="n">
        <v>2.8</v>
      </c>
      <c r="E50" s="26" t="n">
        <v>8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11250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Grounded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handoff/INDIA-ECONOMICS-SIDECAR-V0-2026-06-20.json (goa)</t>
        </is>
      </c>
      <c r="AY50" s="44" t="inlineStr">
        <is>
          <t>Port-terminal operator uplift on harbour-adjacent markets (Mumbai, Kerala/Vizhinjam, eastern gateways).</t>
        </is>
      </c>
    </row>
    <row r="51">
      <c r="A51" s="29" t="inlineStr">
        <is>
          <t>India Goa Rapido</t>
        </is>
      </c>
      <c r="B51" s="29" t="inlineStr">
        <is>
          <t>India</t>
        </is>
      </c>
      <c r="C51" s="30" t="inlineStr">
        <is>
          <t>Ribandar Ferry → Piedade Ferry Terminal</t>
        </is>
      </c>
      <c r="D51" s="31" t="n">
        <v>2.8</v>
      </c>
      <c r="E51" s="26" t="n">
        <v>8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11250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Grounded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inlineStr">
        <is>
          <t>handoff/INDIA-ECONOMICS-SIDECAR-V0-2026-06-20.json (goa)</t>
        </is>
      </c>
      <c r="AY51" s="44" t="inlineStr">
        <is>
          <t>Port-terminal operator uplift on harbour-adjacent markets (Mumbai, Kerala/Vizhinjam, eastern gateways).</t>
        </is>
      </c>
    </row>
    <row r="52">
      <c r="A52" s="29" t="inlineStr">
        <is>
          <t>India Kerala Rapido</t>
        </is>
      </c>
      <c r="B52" s="29" t="inlineStr">
        <is>
          <t>India</t>
        </is>
      </c>
      <c r="C52" s="30" t="inlineStr">
        <is>
          <t>Keltron Ferry → Sailing Club House</t>
        </is>
      </c>
      <c r="D52" s="31" t="n">
        <v>2.8</v>
      </c>
      <c r="E52" s="26" t="n">
        <v>18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40611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IF(OR(AG52="",R52=0),"",MIN(IF(AT52="",9.9E+99,AT52),FLOOR(AK52/R52,1)))</f>
        <v/>
      </c>
      <c r="AM52" s="38">
        <f>IF(AL52="","",AL52*T52)</f>
        <v/>
      </c>
      <c r="AN52" s="36">
        <f>IF(OR(AG52="",R52=0),"",MIN(IF(AT52="",9.9E+99,AT52),AK52/R52))</f>
        <v/>
      </c>
      <c r="AO52" s="38">
        <f>IF(AN52="","",AN52*T52)</f>
        <v/>
      </c>
      <c r="AP52" s="40" t="n"/>
      <c r="AQ52" s="32" t="inlineStr">
        <is>
          <t>Grounded</t>
        </is>
      </c>
      <c r="AR52" s="41" t="n"/>
      <c r="AS52" s="41" t="n"/>
      <c r="AT52" s="42" t="n"/>
      <c r="AU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V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W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X52" s="44" t="inlineStr">
        <is>
          <t>[LB-255 PREMIUM RE-FARE: subsidized comparable $3.5 lifted to premium on-demand floor $18.0] handoff/INDIA-ECONOMICS-SIDECAR-V0-2026-06-20.json (kerala)</t>
        </is>
      </c>
      <c r="AY52" s="44" t="inlineStr">
        <is>
          <t>Port-terminal operator uplift on harbour-adjacent markets (Mumbai, Kerala/Vizhinjam, eastern gateways).</t>
        </is>
      </c>
    </row>
    <row r="53">
      <c r="A53" s="29" t="inlineStr">
        <is>
          <t>India Mumbai Rapido</t>
        </is>
      </c>
      <c r="B53" s="29" t="inlineStr">
        <is>
          <t>India</t>
        </is>
      </c>
      <c r="C53" s="30" t="inlineStr">
        <is>
          <t>Bhaucha Dhakka → Bombay Harbour</t>
        </is>
      </c>
      <c r="D53" s="31" t="n">
        <v>2.8</v>
      </c>
      <c r="E53" s="26" t="n">
        <v>18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6272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IF(OR(AG53="",R53=0),"",MIN(IF(AT53="",9.9E+99,AT53),FLOOR(AK53/R53,1)))</f>
        <v/>
      </c>
      <c r="AM53" s="38">
        <f>IF(AL53="","",AL53*T53)</f>
        <v/>
      </c>
      <c r="AN53" s="36">
        <f>IF(OR(AG53="",R53=0),"",MIN(IF(AT53="",9.9E+99,AT53),AK53/R53))</f>
        <v/>
      </c>
      <c r="AO53" s="38">
        <f>IF(AN53="","",AN53*T53)</f>
        <v/>
      </c>
      <c r="AP53" s="40" t="n"/>
      <c r="AQ53" s="32" t="inlineStr">
        <is>
          <t>Grounded</t>
        </is>
      </c>
      <c r="AR53" s="41" t="n"/>
      <c r="AS53" s="41" t="n"/>
      <c r="AT53" s="42" t="n"/>
      <c r="AU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V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W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X53" s="44" t="inlineStr">
        <is>
          <t>[LB-255 PREMIUM RE-FARE: subsidized comparable $5.5 lifted to premium on-demand floor $18.0] handoff/INDIA-ECONOMICS-SIDECAR-V0-2026-06-20.json (mumbai)</t>
        </is>
      </c>
      <c r="AY53" s="44" t="inlineStr">
        <is>
          <t>Port-terminal operator uplift on harbour-adjacent markets (Mumbai, Kerala/Vizhinjam, eastern gateways).</t>
        </is>
      </c>
    </row>
    <row r="54">
      <c r="A54" s="29" t="inlineStr">
        <is>
          <t>India Mumbai Rapido</t>
        </is>
      </c>
      <c r="B54" s="29" t="inlineStr">
        <is>
          <t>India</t>
        </is>
      </c>
      <c r="C54" s="30" t="inlineStr">
        <is>
          <t>Pirpau Jetty → JNPT Ferry Service</t>
        </is>
      </c>
      <c r="D54" s="31" t="n">
        <v>2.9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6272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IF(OR(AG54="",R54=0),"",MIN(IF(AT54="",9.9E+99,AT54),FLOOR(AK54/R54,1)))</f>
        <v/>
      </c>
      <c r="AM54" s="38">
        <f>IF(AL54="","",AL54*T54)</f>
        <v/>
      </c>
      <c r="AN54" s="36">
        <f>IF(OR(AG54="",R54=0),"",MIN(IF(AT54="",9.9E+99,AT54),AK54/R54))</f>
        <v/>
      </c>
      <c r="AO54" s="38">
        <f>IF(AN54="","",AN54*T54)</f>
        <v/>
      </c>
      <c r="AP54" s="40" t="n"/>
      <c r="AQ54" s="32" t="inlineStr">
        <is>
          <t>Grounded</t>
        </is>
      </c>
      <c r="AR54" s="41" t="n"/>
      <c r="AS54" s="41" t="n"/>
      <c r="AT54" s="42" t="n"/>
      <c r="AU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V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W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X54" s="44" t="inlineStr">
        <is>
          <t>[LB-255 PREMIUM RE-FARE: subsidized comparable $5.5 lifted to premium on-demand floor $18.0] handoff/INDIA-ECONOMICS-SIDECAR-V0-2026-06-20.json (mumbai)</t>
        </is>
      </c>
      <c r="AY54" s="44" t="inlineStr">
        <is>
          <t>Port-terminal operator uplift on harbour-adjacent markets (Mumbai, Kerala/Vizhinjam, eastern gateways).</t>
        </is>
      </c>
    </row>
    <row r="55">
      <c r="A55" s="29" t="inlineStr">
        <is>
          <t>India Andaman Rapido</t>
        </is>
      </c>
      <c r="B55" s="29" t="inlineStr">
        <is>
          <t>India</t>
        </is>
      </c>
      <c r="C55" s="30" t="inlineStr">
        <is>
          <t>Bambooflat Jetty → Panighat Ferry Jetty</t>
        </is>
      </c>
      <c r="D55" s="31" t="n">
        <v>3</v>
      </c>
      <c r="E55" s="26" t="n">
        <v>22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5000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IF(OR(AG55="",R55=0),"",MIN(IF(AT55="",9.9E+99,AT55),FLOOR(AK55/R55,1)))</f>
        <v/>
      </c>
      <c r="AM55" s="38">
        <f>IF(AL55="","",AL55*T55)</f>
        <v/>
      </c>
      <c r="AN55" s="36">
        <f>IF(OR(AG55="",R55=0),"",MIN(IF(AT55="",9.9E+99,AT55),AK55/R55))</f>
        <v/>
      </c>
      <c r="AO55" s="38">
        <f>IF(AN55="","",AN55*T55)</f>
        <v/>
      </c>
      <c r="AP55" s="40" t="n"/>
      <c r="AQ55" s="32" t="inlineStr">
        <is>
          <t>Grounded</t>
        </is>
      </c>
      <c r="AR55" s="41" t="n"/>
      <c r="AS55" s="41" t="n"/>
      <c r="AT55" s="42" t="n"/>
      <c r="AU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V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W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X55" s="44" t="inlineStr">
        <is>
          <t>handoff/INDIA-ECONOMICS-SIDECAR-V0-2026-06-20.json (andaman)</t>
        </is>
      </c>
      <c r="AY55" s="44" t="inlineStr">
        <is>
          <t>Port-terminal operator uplift on harbour-adjacent markets (Mumbai, Kerala/Vizhinjam, eastern gateways).</t>
        </is>
      </c>
    </row>
    <row r="56">
      <c r="A56" s="29" t="inlineStr">
        <is>
          <t>India Goa Rapido</t>
        </is>
      </c>
      <c r="B56" s="29" t="inlineStr">
        <is>
          <t>India</t>
        </is>
      </c>
      <c r="C56" s="30" t="inlineStr">
        <is>
          <t>Yacht Life Goa → Camurlim Ferry Terminal</t>
        </is>
      </c>
      <c r="D56" s="31" t="n">
        <v>3.1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11250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IF(OR(AG56="",R56=0),"",MIN(IF(AT56="",9.9E+99,AT56),FLOOR(AK56/R56,1)))</f>
        <v/>
      </c>
      <c r="AM56" s="38">
        <f>IF(AL56="","",AL56*T56)</f>
        <v/>
      </c>
      <c r="AN56" s="36">
        <f>IF(OR(AG56="",R56=0),"",MIN(IF(AT56="",9.9E+99,AT56),AK56/R56))</f>
        <v/>
      </c>
      <c r="AO56" s="38">
        <f>IF(AN56="","",AN56*T56)</f>
        <v/>
      </c>
      <c r="AP56" s="40" t="n"/>
      <c r="AQ56" s="32" t="inlineStr">
        <is>
          <t>Grounded</t>
        </is>
      </c>
      <c r="AR56" s="41" t="n"/>
      <c r="AS56" s="41" t="n"/>
      <c r="AT56" s="42" t="n"/>
      <c r="AU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V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W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X56" s="44" t="inlineStr">
        <is>
          <t>handoff/INDIA-ECONOMICS-SIDECAR-V0-2026-06-20.json (goa)</t>
        </is>
      </c>
      <c r="AY56" s="44" t="inlineStr">
        <is>
          <t>Port-terminal operator uplift on harbour-adjacent markets (Mumbai, Kerala/Vizhinjam, eastern gateways).</t>
        </is>
      </c>
    </row>
    <row r="57">
      <c r="A57" s="29" t="inlineStr">
        <is>
          <t>India Goa Rapido</t>
        </is>
      </c>
      <c r="B57" s="29" t="inlineStr">
        <is>
          <t>India</t>
        </is>
      </c>
      <c r="C57" s="30" t="inlineStr">
        <is>
          <t>Yacht Life Goa → Tuem Ferry Terminal</t>
        </is>
      </c>
      <c r="D57" s="31" t="n">
        <v>3.1</v>
      </c>
      <c r="E57" s="26" t="n">
        <v>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11250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IF(OR(AG57="",R57=0),"",MIN(IF(AT57="",9.9E+99,AT57),FLOOR(AK57/R57,1)))</f>
        <v/>
      </c>
      <c r="AM57" s="38">
        <f>IF(AL57="","",AL57*T57)</f>
        <v/>
      </c>
      <c r="AN57" s="36">
        <f>IF(OR(AG57="",R57=0),"",MIN(IF(AT57="",9.9E+99,AT57),AK57/R57))</f>
        <v/>
      </c>
      <c r="AO57" s="38">
        <f>IF(AN57="","",AN57*T57)</f>
        <v/>
      </c>
      <c r="AP57" s="40" t="n"/>
      <c r="AQ57" s="32" t="inlineStr">
        <is>
          <t>Grounded</t>
        </is>
      </c>
      <c r="AR57" s="41" t="n"/>
      <c r="AS57" s="41" t="n"/>
      <c r="AT57" s="42" t="n"/>
      <c r="AU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V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W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X57" s="44" t="inlineStr">
        <is>
          <t>handoff/INDIA-ECONOMICS-SIDECAR-V0-2026-06-20.json (goa)</t>
        </is>
      </c>
      <c r="AY57" s="44" t="inlineStr">
        <is>
          <t>Port-terminal operator uplift on harbour-adjacent markets (Mumbai, Kerala/Vizhinjam, eastern gateways).</t>
        </is>
      </c>
    </row>
    <row r="58">
      <c r="A58" s="29" t="inlineStr">
        <is>
          <t>India Goa Rapido</t>
        </is>
      </c>
      <c r="B58" s="29" t="inlineStr">
        <is>
          <t>India</t>
        </is>
      </c>
      <c r="C58" s="30" t="inlineStr">
        <is>
          <t>Panaji Jetty → Goa</t>
        </is>
      </c>
      <c r="D58" s="31" t="n">
        <v>3.1</v>
      </c>
      <c r="E58" s="26" t="n">
        <v>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11250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IF(OR(AG58="",R58=0),"",MIN(IF(AT58="",9.9E+99,AT58),FLOOR(AK58/R58,1)))</f>
        <v/>
      </c>
      <c r="AM58" s="38">
        <f>IF(AL58="","",AL58*T58)</f>
        <v/>
      </c>
      <c r="AN58" s="36">
        <f>IF(OR(AG58="",R58=0),"",MIN(IF(AT58="",9.9E+99,AT58),AK58/R58))</f>
        <v/>
      </c>
      <c r="AO58" s="38">
        <f>IF(AN58="","",AN58*T58)</f>
        <v/>
      </c>
      <c r="AP58" s="40" t="n"/>
      <c r="AQ58" s="32" t="inlineStr">
        <is>
          <t>Grounded</t>
        </is>
      </c>
      <c r="AR58" s="41" t="n"/>
      <c r="AS58" s="41" t="n"/>
      <c r="AT58" s="42" t="n"/>
      <c r="AU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V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W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X58" s="44" t="inlineStr">
        <is>
          <t>handoff/INDIA-ECONOMICS-SIDECAR-V0-2026-06-20.json (goa)</t>
        </is>
      </c>
      <c r="AY58" s="44" t="inlineStr">
        <is>
          <t>Port-terminal operator uplift on harbour-adjacent markets (Mumbai, Kerala/Vizhinjam, eastern gateways).</t>
        </is>
      </c>
    </row>
    <row r="59">
      <c r="A59" s="29" t="inlineStr">
        <is>
          <t>India Kerala Rapido</t>
        </is>
      </c>
      <c r="B59" s="29" t="inlineStr">
        <is>
          <t>India</t>
        </is>
      </c>
      <c r="C59" s="30" t="inlineStr">
        <is>
          <t>Martins Harbour → Kakkanad Ferry Terminal</t>
        </is>
      </c>
      <c r="D59" s="31" t="n">
        <v>3.1</v>
      </c>
      <c r="E59" s="26" t="n">
        <v>18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40611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IF(OR(AG59="",R59=0),"",MIN(IF(AT59="",9.9E+99,AT59),FLOOR(AK59/R59,1)))</f>
        <v/>
      </c>
      <c r="AM59" s="38">
        <f>IF(AL59="","",AL59*T59)</f>
        <v/>
      </c>
      <c r="AN59" s="36">
        <f>IF(OR(AG59="",R59=0),"",MIN(IF(AT59="",9.9E+99,AT59),AK59/R59))</f>
        <v/>
      </c>
      <c r="AO59" s="38">
        <f>IF(AN59="","",AN59*T59)</f>
        <v/>
      </c>
      <c r="AP59" s="40" t="n"/>
      <c r="AQ59" s="32" t="inlineStr">
        <is>
          <t>Grounded</t>
        </is>
      </c>
      <c r="AR59" s="41" t="n"/>
      <c r="AS59" s="41" t="n"/>
      <c r="AT59" s="42" t="n"/>
      <c r="AU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V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W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X59" s="44" t="inlineStr">
        <is>
          <t>[LB-255 PREMIUM RE-FARE: subsidized comparable $3.5 lifted to premium on-demand floor $18.0] handoff/INDIA-ECONOMICS-SIDECAR-V0-2026-06-20.json (kerala)</t>
        </is>
      </c>
      <c r="AY59" s="44" t="inlineStr">
        <is>
          <t>Port-terminal operator uplift on harbour-adjacent markets (Mumbai, Kerala/Vizhinjam, eastern gateways).</t>
        </is>
      </c>
    </row>
    <row r="60">
      <c r="A60" s="29" t="inlineStr">
        <is>
          <t>India Andaman Rapido</t>
        </is>
      </c>
      <c r="B60" s="29" t="inlineStr">
        <is>
          <t>India</t>
        </is>
      </c>
      <c r="C60" s="30" t="inlineStr">
        <is>
          <t>Andaman → Panighat Ferry Jetty</t>
        </is>
      </c>
      <c r="D60" s="31" t="n">
        <v>3.2</v>
      </c>
      <c r="E60" s="26" t="n">
        <v>22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IF(OR(AG60="",R60=0),"",MIN(IF(AT60="",9.9E+99,AT60),FLOOR(AK60/R60,1)))</f>
        <v/>
      </c>
      <c r="AM60" s="38">
        <f>IF(AL60="","",AL60*T60)</f>
        <v/>
      </c>
      <c r="AN60" s="36">
        <f>IF(OR(AG60="",R60=0),"",MIN(IF(AT60="",9.9E+99,AT60),AK60/R60))</f>
        <v/>
      </c>
      <c r="AO60" s="38">
        <f>IF(AN60="","",AN60*T60)</f>
        <v/>
      </c>
      <c r="AP60" s="40" t="n"/>
      <c r="AQ60" s="32" t="inlineStr">
        <is>
          <t>Grounded</t>
        </is>
      </c>
      <c r="AR60" s="41" t="n"/>
      <c r="AS60" s="41" t="n"/>
      <c r="AT60" s="42" t="n"/>
      <c r="AU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V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W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X60" s="44" t="inlineStr">
        <is>
          <t>handoff/INDIA-ECONOMICS-SIDECAR-V0-2026-06-20.json (andaman)</t>
        </is>
      </c>
      <c r="AY60" s="44" t="inlineStr">
        <is>
          <t>Port-terminal operator uplift on harbour-adjacent markets (Mumbai, Kerala/Vizhinjam, eastern gateways).</t>
        </is>
      </c>
    </row>
    <row r="61">
      <c r="A61" s="29" t="inlineStr">
        <is>
          <t>India Chennai Rapido</t>
        </is>
      </c>
      <c r="B61" s="29" t="inlineStr">
        <is>
          <t>India</t>
        </is>
      </c>
      <c r="C61" s="30" t="inlineStr">
        <is>
          <t>Chennai Port WQIV Cruise Terminal → Marina Beach Waterfront</t>
        </is>
      </c>
      <c r="D61" s="31" t="n">
        <v>3.2</v>
      </c>
      <c r="E61" s="26" t="n">
        <v>12</v>
      </c>
      <c r="F61" s="32" t="n"/>
      <c r="G61" s="32" t="n"/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466560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IF(OR(AG61="",R61=0),"",MIN(IF(AT61="",9.9E+99,AT61),FLOOR(AK61/R61,1)))</f>
        <v/>
      </c>
      <c r="AM61" s="38">
        <f>IF(AL61="","",AL61*T61)</f>
        <v/>
      </c>
      <c r="AN61" s="36">
        <f>IF(OR(AG61="",R61=0),"",MIN(IF(AT61="",9.9E+99,AT61),AK61/R61))</f>
        <v/>
      </c>
      <c r="AO61" s="38">
        <f>IF(AN61="","",AN61*T61)</f>
        <v/>
      </c>
      <c r="AP61" s="40" t="n"/>
      <c r="AQ61" s="32" t="inlineStr">
        <is>
          <t>Grounded</t>
        </is>
      </c>
      <c r="AR61" s="41" t="n"/>
      <c r="AS61" s="41" t="n"/>
      <c r="AT61" s="42" t="n"/>
      <c r="AU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V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W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X61" s="44" t="n"/>
      <c r="AY61" s="44" t="n"/>
    </row>
    <row r="62">
      <c r="A62" s="29" t="inlineStr">
        <is>
          <t>India Goa Rapido</t>
        </is>
      </c>
      <c r="B62" s="29" t="inlineStr">
        <is>
          <t>India</t>
        </is>
      </c>
      <c r="C62" s="30" t="inlineStr">
        <is>
          <t>Ribandar Ferry → Pomburpa Ferry Terminal</t>
        </is>
      </c>
      <c r="D62" s="31" t="n">
        <v>3.2</v>
      </c>
      <c r="E62" s="26" t="n">
        <v>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11250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IF(OR(AG62="",R62=0),"",MIN(IF(AT62="",9.9E+99,AT62),FLOOR(AK62/R62,1)))</f>
        <v/>
      </c>
      <c r="AM62" s="38">
        <f>IF(AL62="","",AL62*T62)</f>
        <v/>
      </c>
      <c r="AN62" s="36">
        <f>IF(OR(AG62="",R62=0),"",MIN(IF(AT62="",9.9E+99,AT62),AK62/R62))</f>
        <v/>
      </c>
      <c r="AO62" s="38">
        <f>IF(AN62="","",AN62*T62)</f>
        <v/>
      </c>
      <c r="AP62" s="40" t="n"/>
      <c r="AQ62" s="32" t="inlineStr">
        <is>
          <t>Grounded</t>
        </is>
      </c>
      <c r="AR62" s="41" t="n"/>
      <c r="AS62" s="41" t="n"/>
      <c r="AT62" s="42" t="n"/>
      <c r="AU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V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W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X62" s="44" t="inlineStr">
        <is>
          <t>handoff/INDIA-ECONOMICS-SIDECAR-V0-2026-06-20.json (goa)</t>
        </is>
      </c>
      <c r="AY62" s="44" t="inlineStr">
        <is>
          <t>Port-terminal operator uplift on harbour-adjacent markets (Mumbai, Kerala/Vizhinjam, eastern gateways).</t>
        </is>
      </c>
    </row>
    <row r="63">
      <c r="A63" s="29" t="inlineStr">
        <is>
          <t>India Kerala Rapido</t>
        </is>
      </c>
      <c r="B63" s="29" t="inlineStr">
        <is>
          <t>India</t>
        </is>
      </c>
      <c r="C63" s="30" t="inlineStr">
        <is>
          <t>Thevara Ferry → Sailing Club House</t>
        </is>
      </c>
      <c r="D63" s="31" t="n">
        <v>3.2</v>
      </c>
      <c r="E63" s="26" t="n">
        <v>18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40611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IF(OR(AG63="",R63=0),"",MIN(IF(AT63="",9.9E+99,AT63),FLOOR(AK63/R63,1)))</f>
        <v/>
      </c>
      <c r="AM63" s="38">
        <f>IF(AL63="","",AL63*T63)</f>
        <v/>
      </c>
      <c r="AN63" s="36">
        <f>IF(OR(AG63="",R63=0),"",MIN(IF(AT63="",9.9E+99,AT63),AK63/R63))</f>
        <v/>
      </c>
      <c r="AO63" s="38">
        <f>IF(AN63="","",AN63*T63)</f>
        <v/>
      </c>
      <c r="AP63" s="40" t="n"/>
      <c r="AQ63" s="32" t="inlineStr">
        <is>
          <t>Grounded</t>
        </is>
      </c>
      <c r="AR63" s="41" t="n"/>
      <c r="AS63" s="41" t="n"/>
      <c r="AT63" s="42" t="n"/>
      <c r="AU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V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W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X63" s="44" t="inlineStr">
        <is>
          <t>[LB-255 PREMIUM RE-FARE: subsidized comparable $3.5 lifted to premium on-demand floor $18.0] handoff/INDIA-ECONOMICS-SIDECAR-V0-2026-06-20.json (kerala)</t>
        </is>
      </c>
      <c r="AY63" s="44" t="inlineStr">
        <is>
          <t>Port-terminal operator uplift on harbour-adjacent markets (Mumbai, Kerala/Vizhinjam, eastern gateways).</t>
        </is>
      </c>
    </row>
    <row r="64">
      <c r="A64" s="29" t="inlineStr">
        <is>
          <t>India Mumbai Rapido</t>
        </is>
      </c>
      <c r="B64" s="29" t="inlineStr">
        <is>
          <t>India</t>
        </is>
      </c>
      <c r="C64" s="30" t="inlineStr">
        <is>
          <t>Bombay Harbour → Elephanta Caves</t>
        </is>
      </c>
      <c r="D64" s="31" t="n">
        <v>3.2</v>
      </c>
      <c r="E64" s="26" t="n">
        <v>18</v>
      </c>
      <c r="F64" s="32" t="inlineStr">
        <is>
          <t>T3</t>
        </is>
      </c>
      <c r="G64" s="32" t="inlineStr">
        <is>
          <t>med-low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6272</v>
      </c>
      <c r="AH64" s="32" t="inlineStr">
        <is>
          <t>T3</t>
        </is>
      </c>
      <c r="AI64" s="32" t="inlineStr">
        <is>
          <t>med-low</t>
        </is>
      </c>
      <c r="AJ64" s="39" t="n">
        <v>0.1</v>
      </c>
      <c r="AK64" s="34">
        <f>IF(AG64="","",AG64*AJ64)</f>
        <v/>
      </c>
      <c r="AL64" s="34">
        <f>IF(OR(AG64="",R64=0),"",MIN(IF(AT64="",9.9E+99,AT64),FLOOR(AK64/R64,1)))</f>
        <v/>
      </c>
      <c r="AM64" s="38">
        <f>IF(AL64="","",AL64*T64)</f>
        <v/>
      </c>
      <c r="AN64" s="36">
        <f>IF(OR(AG64="",R64=0),"",MIN(IF(AT64="",9.9E+99,AT64),AK64/R64))</f>
        <v/>
      </c>
      <c r="AO64" s="38">
        <f>IF(AN64="","",AN64*T64)</f>
        <v/>
      </c>
      <c r="AP64" s="40" t="n"/>
      <c r="AQ64" s="32" t="inlineStr">
        <is>
          <t>Grounded</t>
        </is>
      </c>
      <c r="AR64" s="41" t="n"/>
      <c r="AS64" s="41" t="n"/>
      <c r="AT64" s="42" t="n"/>
      <c r="AU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V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W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X64" s="44" t="inlineStr">
        <is>
          <t>[LB-255 PREMIUM RE-FARE: subsidized comparable $5.5 lifted to premium on-demand floor $18.0] handoff/INDIA-ECONOMICS-SIDECAR-V0-2026-06-20.json (mumbai)</t>
        </is>
      </c>
      <c r="AY64" s="44" t="inlineStr">
        <is>
          <t>Port-terminal operator uplift on harbour-adjacent markets (Mumbai, Kerala/Vizhinjam, eastern gateways).</t>
        </is>
      </c>
    </row>
    <row r="65">
      <c r="A65" s="29" t="inlineStr">
        <is>
          <t>India Andaman Rapido</t>
        </is>
      </c>
      <c r="B65" s="29" t="inlineStr">
        <is>
          <t>India</t>
        </is>
      </c>
      <c r="C65" s="30" t="inlineStr">
        <is>
          <t>Andaman → Chatham Harbour</t>
        </is>
      </c>
      <c r="D65" s="31" t="n">
        <v>3.3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IF(OR(AG65="",R65=0),"",MIN(IF(AT65="",9.9E+99,AT65),FLOOR(AK65/R65,1)))</f>
        <v/>
      </c>
      <c r="AM65" s="38">
        <f>IF(AL65="","",AL65*T65)</f>
        <v/>
      </c>
      <c r="AN65" s="36">
        <f>IF(OR(AG65="",R65=0),"",MIN(IF(AT65="",9.9E+99,AT65),AK65/R65))</f>
        <v/>
      </c>
      <c r="AO65" s="38">
        <f>IF(AN65="","",AN65*T65)</f>
        <v/>
      </c>
      <c r="AP65" s="40" t="n"/>
      <c r="AQ65" s="32" t="inlineStr">
        <is>
          <t>Grounded</t>
        </is>
      </c>
      <c r="AR65" s="41" t="n"/>
      <c r="AS65" s="41" t="n"/>
      <c r="AT65" s="42" t="n"/>
      <c r="AU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V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W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X65" s="44" t="inlineStr">
        <is>
          <t>handoff/INDIA-ECONOMICS-SIDECAR-V0-2026-06-20.json (andaman)</t>
        </is>
      </c>
      <c r="AY65" s="44" t="inlineStr">
        <is>
          <t>Port-terminal operator uplift on harbour-adjacent markets (Mumbai, Kerala/Vizhinjam, eastern gateways).</t>
        </is>
      </c>
    </row>
    <row r="66">
      <c r="A66" s="29" t="inlineStr">
        <is>
          <t>India Andaman Rapido</t>
        </is>
      </c>
      <c r="B66" s="29" t="inlineStr">
        <is>
          <t>India</t>
        </is>
      </c>
      <c r="C66" s="30" t="inlineStr">
        <is>
          <t>Andaman → Haddo Jetty</t>
        </is>
      </c>
      <c r="D66" s="31" t="n">
        <v>3.3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IF(OR(AG66="",R66=0),"",MIN(IF(AT66="",9.9E+99,AT66),FLOOR(AK66/R66,1)))</f>
        <v/>
      </c>
      <c r="AM66" s="38">
        <f>IF(AL66="","",AL66*T66)</f>
        <v/>
      </c>
      <c r="AN66" s="36">
        <f>IF(OR(AG66="",R66=0),"",MIN(IF(AT66="",9.9E+99,AT66),AK66/R66))</f>
        <v/>
      </c>
      <c r="AO66" s="38">
        <f>IF(AN66="","",AN66*T66)</f>
        <v/>
      </c>
      <c r="AP66" s="40" t="n"/>
      <c r="AQ66" s="32" t="inlineStr">
        <is>
          <t>Grounded</t>
        </is>
      </c>
      <c r="AR66" s="41" t="n"/>
      <c r="AS66" s="41" t="n"/>
      <c r="AT66" s="42" t="n"/>
      <c r="AU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V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W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X66" s="44" t="inlineStr">
        <is>
          <t>handoff/INDIA-ECONOMICS-SIDECAR-V0-2026-06-20.json (andaman)</t>
        </is>
      </c>
      <c r="AY66" s="44" t="inlineStr">
        <is>
          <t>Port-terminal operator uplift on harbour-adjacent markets (Mumbai, Kerala/Vizhinjam, eastern gateways).</t>
        </is>
      </c>
    </row>
    <row r="67">
      <c r="A67" s="29" t="inlineStr">
        <is>
          <t>India Andaman Rapido</t>
        </is>
      </c>
      <c r="B67" s="29" t="inlineStr">
        <is>
          <t>India</t>
        </is>
      </c>
      <c r="C67" s="30" t="inlineStr">
        <is>
          <t>Bambooflat Jetty → Chatham Jetty</t>
        </is>
      </c>
      <c r="D67" s="31" t="n">
        <v>3.3</v>
      </c>
      <c r="E67" s="26" t="n">
        <v>22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5000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IF(OR(AG67="",R67=0),"",MIN(IF(AT67="",9.9E+99,AT67),FLOOR(AK67/R67,1)))</f>
        <v/>
      </c>
      <c r="AM67" s="38">
        <f>IF(AL67="","",AL67*T67)</f>
        <v/>
      </c>
      <c r="AN67" s="36">
        <f>IF(OR(AG67="",R67=0),"",MIN(IF(AT67="",9.9E+99,AT67),AK67/R67))</f>
        <v/>
      </c>
      <c r="AO67" s="38">
        <f>IF(AN67="","",AN67*T67)</f>
        <v/>
      </c>
      <c r="AP67" s="40" t="n"/>
      <c r="AQ67" s="32" t="inlineStr">
        <is>
          <t>Grounded</t>
        </is>
      </c>
      <c r="AR67" s="41" t="n"/>
      <c r="AS67" s="41" t="n"/>
      <c r="AT67" s="42" t="n"/>
      <c r="AU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V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W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X67" s="44" t="inlineStr">
        <is>
          <t>handoff/INDIA-ECONOMICS-SIDECAR-V0-2026-06-20.json (andaman)</t>
        </is>
      </c>
      <c r="AY67" s="44" t="inlineStr">
        <is>
          <t>Port-terminal operator uplift on harbour-adjacent markets (Mumbai, Kerala/Vizhinjam, eastern gateways).</t>
        </is>
      </c>
    </row>
    <row r="68">
      <c r="A68" s="29" t="inlineStr">
        <is>
          <t>India Mumbai Rapido</t>
        </is>
      </c>
      <c r="B68" s="29" t="inlineStr">
        <is>
          <t>India</t>
        </is>
      </c>
      <c r="C68" s="30" t="inlineStr">
        <is>
          <t>Bombay Harbour → Pirpau Jetty</t>
        </is>
      </c>
      <c r="D68" s="31" t="n">
        <v>3.4</v>
      </c>
      <c r="E68" s="26" t="n">
        <v>18</v>
      </c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6272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IF(OR(AG68="",R68=0),"",MIN(IF(AT68="",9.9E+99,AT68),FLOOR(AK68/R68,1)))</f>
        <v/>
      </c>
      <c r="AM68" s="38">
        <f>IF(AL68="","",AL68*T68)</f>
        <v/>
      </c>
      <c r="AN68" s="36">
        <f>IF(OR(AG68="",R68=0),"",MIN(IF(AT68="",9.9E+99,AT68),AK68/R68))</f>
        <v/>
      </c>
      <c r="AO68" s="38">
        <f>IF(AN68="","",AN68*T68)</f>
        <v/>
      </c>
      <c r="AP68" s="40" t="n"/>
      <c r="AQ68" s="32" t="inlineStr">
        <is>
          <t>Grounded</t>
        </is>
      </c>
      <c r="AR68" s="41" t="n"/>
      <c r="AS68" s="41" t="n"/>
      <c r="AT68" s="42" t="n"/>
      <c r="AU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V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W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X68" s="44" t="inlineStr">
        <is>
          <t>[LB-255 PREMIUM RE-FARE: subsidized comparable $5.5 lifted to premium on-demand floor $18.0] handoff/INDIA-ECONOMICS-SIDECAR-V0-2026-06-20.json (mumbai)</t>
        </is>
      </c>
      <c r="AY68" s="44" t="inlineStr">
        <is>
          <t>Port-terminal operator uplift on harbour-adjacent markets (Mumbai, Kerala/Vizhinjam, eastern gateways).</t>
        </is>
      </c>
    </row>
    <row r="69">
      <c r="A69" s="29" t="inlineStr">
        <is>
          <t>India Mumbai Rapido</t>
        </is>
      </c>
      <c r="B69" s="29" t="inlineStr">
        <is>
          <t>India</t>
        </is>
      </c>
      <c r="C69" s="30" t="inlineStr">
        <is>
          <t>Gateway of India → Mumbai Harbour</t>
        </is>
      </c>
      <c r="D69" s="31" t="n">
        <v>3.4</v>
      </c>
      <c r="E69" s="26" t="n">
        <v>18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6272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IF(OR(AG69="",R69=0),"",MIN(IF(AT69="",9.9E+99,AT69),FLOOR(AK69/R69,1)))</f>
        <v/>
      </c>
      <c r="AM69" s="38">
        <f>IF(AL69="","",AL69*T69)</f>
        <v/>
      </c>
      <c r="AN69" s="36">
        <f>IF(OR(AG69="",R69=0),"",MIN(IF(AT69="",9.9E+99,AT69),AK69/R69))</f>
        <v/>
      </c>
      <c r="AO69" s="38">
        <f>IF(AN69="","",AN69*T69)</f>
        <v/>
      </c>
      <c r="AP69" s="40" t="n"/>
      <c r="AQ69" s="32" t="inlineStr">
        <is>
          <t>Grounded</t>
        </is>
      </c>
      <c r="AR69" s="41" t="n"/>
      <c r="AS69" s="41" t="n"/>
      <c r="AT69" s="42" t="n"/>
      <c r="AU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V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W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X69" s="44" t="inlineStr">
        <is>
          <t>[LB-255 PREMIUM RE-FARE: subsidized comparable $5.5 lifted to premium on-demand floor $18.0] handoff/INDIA-ECONOMICS-SIDECAR-V0-2026-06-20.json (mumbai)</t>
        </is>
      </c>
      <c r="AY69" s="44" t="inlineStr">
        <is>
          <t>Port-terminal operator uplift on harbour-adjacent markets (Mumbai, Kerala/Vizhinjam, eastern gateways).</t>
        </is>
      </c>
    </row>
    <row r="70">
      <c r="A70" s="29" t="inlineStr">
        <is>
          <t>India Andaman Rapido</t>
        </is>
      </c>
      <c r="B70" s="29" t="inlineStr">
        <is>
          <t>India</t>
        </is>
      </c>
      <c r="C70" s="30" t="inlineStr">
        <is>
          <t>Andaman → Chatham Jetty</t>
        </is>
      </c>
      <c r="D70" s="31" t="n">
        <v>3.5</v>
      </c>
      <c r="E70" s="26" t="n">
        <v>22</v>
      </c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5000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IF(OR(AG70="",R70=0),"",MIN(IF(AT70="",9.9E+99,AT70),FLOOR(AK70/R70,1)))</f>
        <v/>
      </c>
      <c r="AM70" s="38">
        <f>IF(AL70="","",AL70*T70)</f>
        <v/>
      </c>
      <c r="AN70" s="36">
        <f>IF(OR(AG70="",R70=0),"",MIN(IF(AT70="",9.9E+99,AT70),AK70/R70))</f>
        <v/>
      </c>
      <c r="AO70" s="38">
        <f>IF(AN70="","",AN70*T70)</f>
        <v/>
      </c>
      <c r="AP70" s="40" t="n"/>
      <c r="AQ70" s="32" t="inlineStr">
        <is>
          <t>Grounded</t>
        </is>
      </c>
      <c r="AR70" s="41" t="n"/>
      <c r="AS70" s="41" t="n"/>
      <c r="AT70" s="42" t="n"/>
      <c r="AU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V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W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X70" s="44" t="inlineStr">
        <is>
          <t>handoff/INDIA-ECONOMICS-SIDECAR-V0-2026-06-20.json (andaman)</t>
        </is>
      </c>
      <c r="AY70" s="44" t="inlineStr">
        <is>
          <t>Port-terminal operator uplift on harbour-adjacent markets (Mumbai, Kerala/Vizhinjam, eastern gateways).</t>
        </is>
      </c>
    </row>
    <row r="71">
      <c r="A71" s="29" t="inlineStr">
        <is>
          <t>India Mumbai Rapido</t>
        </is>
      </c>
      <c r="B71" s="29" t="inlineStr">
        <is>
          <t>India</t>
        </is>
      </c>
      <c r="C71" s="30" t="inlineStr">
        <is>
          <t>Gateway of India → Mumbai Harbour</t>
        </is>
      </c>
      <c r="D71" s="31" t="n">
        <v>3.5</v>
      </c>
      <c r="E71" s="26" t="n">
        <v>18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6272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IF(OR(AG71="",R71=0),"",MIN(IF(AT71="",9.9E+99,AT71),FLOOR(AK71/R71,1)))</f>
        <v/>
      </c>
      <c r="AM71" s="38">
        <f>IF(AL71="","",AL71*T71)</f>
        <v/>
      </c>
      <c r="AN71" s="36">
        <f>IF(OR(AG71="",R71=0),"",MIN(IF(AT71="",9.9E+99,AT71),AK71/R71))</f>
        <v/>
      </c>
      <c r="AO71" s="38">
        <f>IF(AN71="","",AN71*T71)</f>
        <v/>
      </c>
      <c r="AP71" s="40" t="n"/>
      <c r="AQ71" s="32" t="inlineStr">
        <is>
          <t>Grounded</t>
        </is>
      </c>
      <c r="AR71" s="41" t="n"/>
      <c r="AS71" s="41" t="n"/>
      <c r="AT71" s="42" t="n"/>
      <c r="AU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V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W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X71" s="44" t="inlineStr">
        <is>
          <t>[LB-255 PREMIUM RE-FARE: subsidized comparable $5.5 lifted to premium on-demand floor $18.0] handoff/INDIA-ECONOMICS-SIDECAR-V0-2026-06-20.json (mumbai)</t>
        </is>
      </c>
      <c r="AY71" s="44" t="inlineStr">
        <is>
          <t>Port-terminal operator uplift on harbour-adjacent markets (Mumbai, Kerala/Vizhinjam, eastern gateways).</t>
        </is>
      </c>
    </row>
    <row r="72">
      <c r="A72" s="29" t="inlineStr">
        <is>
          <t>India Andaman Rapido</t>
        </is>
      </c>
      <c r="B72" s="29" t="inlineStr">
        <is>
          <t>India</t>
        </is>
      </c>
      <c r="C72" s="30" t="inlineStr">
        <is>
          <t>Middle Strait Jetty → NK Cruise Terminal</t>
        </is>
      </c>
      <c r="D72" s="31" t="n">
        <v>3.7</v>
      </c>
      <c r="E72" s="26" t="n">
        <v>22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IF(OR(AG72="",R72=0),"",MIN(IF(AT72="",9.9E+99,AT72),FLOOR(AK72/R72,1)))</f>
        <v/>
      </c>
      <c r="AM72" s="38">
        <f>IF(AL72="","",AL72*T72)</f>
        <v/>
      </c>
      <c r="AN72" s="36">
        <f>IF(OR(AG72="",R72=0),"",MIN(IF(AT72="",9.9E+99,AT72),AK72/R72))</f>
        <v/>
      </c>
      <c r="AO72" s="38">
        <f>IF(AN72="","",AN72*T72)</f>
        <v/>
      </c>
      <c r="AP72" s="40" t="n"/>
      <c r="AQ72" s="32" t="inlineStr">
        <is>
          <t>Grounded</t>
        </is>
      </c>
      <c r="AR72" s="41" t="n"/>
      <c r="AS72" s="41" t="n"/>
      <c r="AT72" s="42" t="n"/>
      <c r="AU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V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W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X72" s="44" t="inlineStr">
        <is>
          <t>handoff/INDIA-ECONOMICS-SIDECAR-V0-2026-06-20.json (andaman)</t>
        </is>
      </c>
      <c r="AY72" s="44" t="inlineStr">
        <is>
          <t>Port-terminal operator uplift on harbour-adjacent markets (Mumbai, Kerala/Vizhinjam, eastern gateways).</t>
        </is>
      </c>
    </row>
    <row r="73">
      <c r="A73" s="29" t="inlineStr">
        <is>
          <t>India Andaman Rapido</t>
        </is>
      </c>
      <c r="B73" s="29" t="inlineStr">
        <is>
          <t>India</t>
        </is>
      </c>
      <c r="C73" s="30" t="inlineStr">
        <is>
          <t>Andaman → Andaman &amp; Nicobar Islands</t>
        </is>
      </c>
      <c r="D73" s="31" t="n">
        <v>3.8</v>
      </c>
      <c r="E73" s="26" t="n">
        <v>22</v>
      </c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5000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IF(OR(AG73="",R73=0),"",MIN(IF(AT73="",9.9E+99,AT73),FLOOR(AK73/R73,1)))</f>
        <v/>
      </c>
      <c r="AM73" s="38">
        <f>IF(AL73="","",AL73*T73)</f>
        <v/>
      </c>
      <c r="AN73" s="36">
        <f>IF(OR(AG73="",R73=0),"",MIN(IF(AT73="",9.9E+99,AT73),AK73/R73))</f>
        <v/>
      </c>
      <c r="AO73" s="38">
        <f>IF(AN73="","",AN73*T73)</f>
        <v/>
      </c>
      <c r="AP73" s="40" t="n"/>
      <c r="AQ73" s="32" t="inlineStr">
        <is>
          <t>Grounded</t>
        </is>
      </c>
      <c r="AR73" s="41" t="n"/>
      <c r="AS73" s="41" t="n"/>
      <c r="AT73" s="42" t="n"/>
      <c r="AU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V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W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X73" s="44" t="inlineStr">
        <is>
          <t>handoff/INDIA-ECONOMICS-SIDECAR-V0-2026-06-20.json (andaman)</t>
        </is>
      </c>
      <c r="AY73" s="44" t="inlineStr">
        <is>
          <t>Port-terminal operator uplift on harbour-adjacent markets (Mumbai, Kerala/Vizhinjam, eastern gateways).</t>
        </is>
      </c>
    </row>
    <row r="74">
      <c r="A74" s="29" t="inlineStr">
        <is>
          <t>India Mumbai Rapido</t>
        </is>
      </c>
      <c r="B74" s="29" t="inlineStr">
        <is>
          <t>India</t>
        </is>
      </c>
      <c r="C74" s="30" t="inlineStr">
        <is>
          <t>Mora → Elephanta Caves</t>
        </is>
      </c>
      <c r="D74" s="31" t="n">
        <v>3.8</v>
      </c>
      <c r="E74" s="26" t="n">
        <v>18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6272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IF(OR(AG74="",R74=0),"",MIN(IF(AT74="",9.9E+99,AT74),FLOOR(AK74/R74,1)))</f>
        <v/>
      </c>
      <c r="AM74" s="38">
        <f>IF(AL74="","",AL74*T74)</f>
        <v/>
      </c>
      <c r="AN74" s="36">
        <f>IF(OR(AG74="",R74=0),"",MIN(IF(AT74="",9.9E+99,AT74),AK74/R74))</f>
        <v/>
      </c>
      <c r="AO74" s="38">
        <f>IF(AN74="","",AN74*T74)</f>
        <v/>
      </c>
      <c r="AP74" s="40" t="n"/>
      <c r="AQ74" s="32" t="inlineStr">
        <is>
          <t>Grounded</t>
        </is>
      </c>
      <c r="AR74" s="41" t="n"/>
      <c r="AS74" s="41" t="n"/>
      <c r="AT74" s="42" t="n"/>
      <c r="AU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V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W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X74" s="44" t="inlineStr">
        <is>
          <t>[LB-255 PREMIUM RE-FARE: subsidized comparable $5.5 lifted to premium on-demand floor $18.0] handoff/INDIA-ECONOMICS-SIDECAR-V0-2026-06-20.json (mumbai)</t>
        </is>
      </c>
      <c r="AY74" s="44" t="inlineStr">
        <is>
          <t>Port-terminal operator uplift on harbour-adjacent markets (Mumbai, Kerala/Vizhinjam, eastern gateways).</t>
        </is>
      </c>
    </row>
    <row r="75">
      <c r="A75" s="29" t="inlineStr">
        <is>
          <t>India Andaman Rapido</t>
        </is>
      </c>
      <c r="B75" s="29" t="inlineStr">
        <is>
          <t>India</t>
        </is>
      </c>
      <c r="C75" s="30" t="inlineStr">
        <is>
          <t>Andaman → Bambooflat Jetty</t>
        </is>
      </c>
      <c r="D75" s="31" t="n">
        <v>4.2</v>
      </c>
      <c r="E75" s="26" t="n">
        <v>22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5000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IF(OR(AG75="",R75=0),"",MIN(IF(AT75="",9.9E+99,AT75),FLOOR(AK75/R75,1)))</f>
        <v/>
      </c>
      <c r="AM75" s="38">
        <f>IF(AL75="","",AL75*T75)</f>
        <v/>
      </c>
      <c r="AN75" s="36">
        <f>IF(OR(AG75="",R75=0),"",MIN(IF(AT75="",9.9E+99,AT75),AK75/R75))</f>
        <v/>
      </c>
      <c r="AO75" s="38">
        <f>IF(AN75="","",AN75*T75)</f>
        <v/>
      </c>
      <c r="AP75" s="40" t="n"/>
      <c r="AQ75" s="32" t="inlineStr">
        <is>
          <t>Grounded</t>
        </is>
      </c>
      <c r="AR75" s="41" t="n"/>
      <c r="AS75" s="41" t="n"/>
      <c r="AT75" s="42" t="n"/>
      <c r="AU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V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W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X75" s="44" t="inlineStr">
        <is>
          <t>handoff/INDIA-ECONOMICS-SIDECAR-V0-2026-06-20.json (andaman)</t>
        </is>
      </c>
      <c r="AY75" s="44" t="inlineStr">
        <is>
          <t>Port-terminal operator uplift on harbour-adjacent markets (Mumbai, Kerala/Vizhinjam, eastern gateways).</t>
        </is>
      </c>
    </row>
    <row r="76">
      <c r="A76" s="29" t="inlineStr">
        <is>
          <t>India Mumbai Rapido</t>
        </is>
      </c>
      <c r="B76" s="29" t="inlineStr">
        <is>
          <t>India</t>
        </is>
      </c>
      <c r="C76" s="30" t="inlineStr">
        <is>
          <t>BSA Mandwa → Marina Bay Bistro @KARANJA Fishing Dock</t>
        </is>
      </c>
      <c r="D76" s="31" t="n">
        <v>4.5</v>
      </c>
      <c r="E76" s="26" t="n">
        <v>18</v>
      </c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6272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IF(OR(AG76="",R76=0),"",MIN(IF(AT76="",9.9E+99,AT76),FLOOR(AK76/R76,1)))</f>
        <v/>
      </c>
      <c r="AM76" s="38">
        <f>IF(AL76="","",AL76*T76)</f>
        <v/>
      </c>
      <c r="AN76" s="36">
        <f>IF(OR(AG76="",R76=0),"",MIN(IF(AT76="",9.9E+99,AT76),AK76/R76))</f>
        <v/>
      </c>
      <c r="AO76" s="38">
        <f>IF(AN76="","",AN76*T76)</f>
        <v/>
      </c>
      <c r="AP76" s="40" t="n"/>
      <c r="AQ76" s="32" t="inlineStr">
        <is>
          <t>Grounded</t>
        </is>
      </c>
      <c r="AR76" s="41" t="n"/>
      <c r="AS76" s="41" t="n"/>
      <c r="AT76" s="42" t="n"/>
      <c r="AU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V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W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X76" s="44" t="inlineStr">
        <is>
          <t>[LB-255 PREMIUM RE-FARE: subsidized comparable $5.5 lifted to premium on-demand floor $18.0] handoff/INDIA-ECONOMICS-SIDECAR-V0-2026-06-20.json (mumbai)</t>
        </is>
      </c>
      <c r="AY76" s="44" t="inlineStr">
        <is>
          <t>Port-terminal operator uplift on harbour-adjacent markets (Mumbai, Kerala/Vizhinjam, eastern gateways).</t>
        </is>
      </c>
    </row>
    <row r="77">
      <c r="A77" s="29" t="inlineStr">
        <is>
          <t>India Mumbai Rapido</t>
        </is>
      </c>
      <c r="B77" s="29" t="inlineStr">
        <is>
          <t>India</t>
        </is>
      </c>
      <c r="C77" s="30" t="inlineStr">
        <is>
          <t>Mandwa Jetty → Mumbai Harbour</t>
        </is>
      </c>
      <c r="D77" s="31" t="n">
        <v>4.6</v>
      </c>
      <c r="E77" s="26" t="n">
        <v>18</v>
      </c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6272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IF(OR(AG77="",R77=0),"",MIN(IF(AT77="",9.9E+99,AT77),FLOOR(AK77/R77,1)))</f>
        <v/>
      </c>
      <c r="AM77" s="38">
        <f>IF(AL77="","",AL77*T77)</f>
        <v/>
      </c>
      <c r="AN77" s="36">
        <f>IF(OR(AG77="",R77=0),"",MIN(IF(AT77="",9.9E+99,AT77),AK77/R77))</f>
        <v/>
      </c>
      <c r="AO77" s="38">
        <f>IF(AN77="","",AN77*T77)</f>
        <v/>
      </c>
      <c r="AP77" s="40" t="n"/>
      <c r="AQ77" s="32" t="inlineStr">
        <is>
          <t>Grounded</t>
        </is>
      </c>
      <c r="AR77" s="41" t="n"/>
      <c r="AS77" s="41" t="n"/>
      <c r="AT77" s="42" t="n"/>
      <c r="AU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V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W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X77" s="44" t="inlineStr">
        <is>
          <t>[LB-255 PREMIUM RE-FARE: subsidized comparable $5.5 lifted to premium on-demand floor $18.0] handoff/INDIA-ECONOMICS-SIDECAR-V0-2026-06-20.json (mumbai)</t>
        </is>
      </c>
      <c r="AY77" s="44" t="inlineStr">
        <is>
          <t>Port-terminal operator uplift on harbour-adjacent markets (Mumbai, Kerala/Vizhinjam, eastern gateways).</t>
        </is>
      </c>
    </row>
    <row r="78">
      <c r="A78" s="29" t="inlineStr">
        <is>
          <t>India Goa Rapido</t>
        </is>
      </c>
      <c r="B78" s="29" t="inlineStr">
        <is>
          <t>India</t>
        </is>
      </c>
      <c r="C78" s="30" t="inlineStr">
        <is>
          <t>Villa Marina → Mole</t>
        </is>
      </c>
      <c r="D78" s="31" t="n">
        <v>4.9</v>
      </c>
      <c r="E78" s="26" t="n">
        <v>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11250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IF(OR(AG78="",R78=0),"",MIN(IF(AT78="",9.9E+99,AT78),FLOOR(AK78/R78,1)))</f>
        <v/>
      </c>
      <c r="AM78" s="38">
        <f>IF(AL78="","",AL78*T78)</f>
        <v/>
      </c>
      <c r="AN78" s="36">
        <f>IF(OR(AG78="",R78=0),"",MIN(IF(AT78="",9.9E+99,AT78),AK78/R78))</f>
        <v/>
      </c>
      <c r="AO78" s="38">
        <f>IF(AN78="","",AN78*T78)</f>
        <v/>
      </c>
      <c r="AP78" s="40" t="n"/>
      <c r="AQ78" s="32" t="inlineStr">
        <is>
          <t>Grounded</t>
        </is>
      </c>
      <c r="AR78" s="41" t="n"/>
      <c r="AS78" s="41" t="n"/>
      <c r="AT78" s="42" t="n"/>
      <c r="AU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V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W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X78" s="44" t="inlineStr">
        <is>
          <t>handoff/INDIA-ECONOMICS-SIDECAR-V0-2026-06-20.json (goa)</t>
        </is>
      </c>
      <c r="AY78" s="44" t="inlineStr">
        <is>
          <t>Port-terminal operator uplift on harbour-adjacent markets (Mumbai, Kerala/Vizhinjam, eastern gateways).</t>
        </is>
      </c>
    </row>
    <row r="79">
      <c r="A79" s="29" t="inlineStr">
        <is>
          <t>India Mumbai Rapido</t>
        </is>
      </c>
      <c r="B79" s="29" t="inlineStr">
        <is>
          <t>India</t>
        </is>
      </c>
      <c r="C79" s="30" t="inlineStr">
        <is>
          <t>Marina Bay Bistro @KARANJA Fishing Dock → Harbour view villa by 29 bungalow</t>
        </is>
      </c>
      <c r="D79" s="31" t="n">
        <v>5.4</v>
      </c>
      <c r="E79" s="26" t="n">
        <v>18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6272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IF(OR(AG79="",R79=0),"",MIN(IF(AT79="",9.9E+99,AT79),FLOOR(AK79/R79,1)))</f>
        <v/>
      </c>
      <c r="AM79" s="38">
        <f>IF(AL79="","",AL79*T79)</f>
        <v/>
      </c>
      <c r="AN79" s="36">
        <f>IF(OR(AG79="",R79=0),"",MIN(IF(AT79="",9.9E+99,AT79),AK79/R79))</f>
        <v/>
      </c>
      <c r="AO79" s="38">
        <f>IF(AN79="","",AN79*T79)</f>
        <v/>
      </c>
      <c r="AP79" s="40" t="n"/>
      <c r="AQ79" s="32" t="inlineStr">
        <is>
          <t>Grounded</t>
        </is>
      </c>
      <c r="AR79" s="41" t="n"/>
      <c r="AS79" s="41" t="n"/>
      <c r="AT79" s="42" t="n"/>
      <c r="AU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V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W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X79" s="44" t="inlineStr">
        <is>
          <t>[LB-255 PREMIUM RE-FARE: subsidized comparable $5.5 lifted to premium on-demand floor $18.0] handoff/INDIA-ECONOMICS-SIDECAR-V0-2026-06-20.json (mumbai)</t>
        </is>
      </c>
      <c r="AY79" s="44" t="inlineStr">
        <is>
          <t>Port-terminal operator uplift on harbour-adjacent markets (Mumbai, Kerala/Vizhinjam, eastern gateways).</t>
        </is>
      </c>
    </row>
    <row r="80">
      <c r="A80" s="29" t="inlineStr">
        <is>
          <t>India Mumbai Rapido</t>
        </is>
      </c>
      <c r="B80" s="29" t="inlineStr">
        <is>
          <t>India</t>
        </is>
      </c>
      <c r="C80" s="30" t="inlineStr">
        <is>
          <t>Elephanta Caves → Mumbai Trans-Harbour Navi Mumbai Toll Plaza</t>
        </is>
      </c>
      <c r="D80" s="31" t="n">
        <v>5.6</v>
      </c>
      <c r="E80" s="26" t="n">
        <v>18</v>
      </c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6272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IF(OR(AG80="",R80=0),"",MIN(IF(AT80="",9.9E+99,AT80),FLOOR(AK80/R80,1)))</f>
        <v/>
      </c>
      <c r="AM80" s="38">
        <f>IF(AL80="","",AL80*T80)</f>
        <v/>
      </c>
      <c r="AN80" s="36">
        <f>IF(OR(AG80="",R80=0),"",MIN(IF(AT80="",9.9E+99,AT80),AK80/R80))</f>
        <v/>
      </c>
      <c r="AO80" s="38">
        <f>IF(AN80="","",AN80*T80)</f>
        <v/>
      </c>
      <c r="AP80" s="40" t="n"/>
      <c r="AQ80" s="32" t="inlineStr">
        <is>
          <t>Grounded</t>
        </is>
      </c>
      <c r="AR80" s="41" t="n"/>
      <c r="AS80" s="41" t="n"/>
      <c r="AT80" s="42" t="n"/>
      <c r="AU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V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W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X80" s="44" t="inlineStr">
        <is>
          <t>[LB-255 PREMIUM RE-FARE: subsidized comparable $5.5 lifted to premium on-demand floor $18.0] handoff/INDIA-ECONOMICS-SIDECAR-V0-2026-06-20.json (mumbai)</t>
        </is>
      </c>
      <c r="AY80" s="44" t="inlineStr">
        <is>
          <t>Port-terminal operator uplift on harbour-adjacent markets (Mumbai, Kerala/Vizhinjam, eastern gateways).</t>
        </is>
      </c>
    </row>
    <row r="81">
      <c r="A81" s="29" t="inlineStr">
        <is>
          <t>India Goa Rapido</t>
        </is>
      </c>
      <c r="B81" s="29" t="inlineStr">
        <is>
          <t>India</t>
        </is>
      </c>
      <c r="C81" s="30" t="inlineStr">
        <is>
          <t>Goveia Marina → LifeOnYachts Goa</t>
        </is>
      </c>
      <c r="D81" s="31" t="n">
        <v>5.8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11250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IF(OR(AG81="",R81=0),"",MIN(IF(AT81="",9.9E+99,AT81),FLOOR(AK81/R81,1)))</f>
        <v/>
      </c>
      <c r="AM81" s="38">
        <f>IF(AL81="","",AL81*T81)</f>
        <v/>
      </c>
      <c r="AN81" s="36">
        <f>IF(OR(AG81="",R81=0),"",MIN(IF(AT81="",9.9E+99,AT81),AK81/R81))</f>
        <v/>
      </c>
      <c r="AO81" s="38">
        <f>IF(AN81="","",AN81*T81)</f>
        <v/>
      </c>
      <c r="AP81" s="40" t="n"/>
      <c r="AQ81" s="32" t="inlineStr">
        <is>
          <t>Grounded</t>
        </is>
      </c>
      <c r="AR81" s="41" t="n"/>
      <c r="AS81" s="41" t="n"/>
      <c r="AT81" s="42" t="n"/>
      <c r="AU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V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W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X81" s="44" t="inlineStr">
        <is>
          <t>handoff/INDIA-ECONOMICS-SIDECAR-V0-2026-06-20.json (goa)</t>
        </is>
      </c>
      <c r="AY81" s="44" t="inlineStr">
        <is>
          <t>Port-terminal operator uplift on harbour-adjacent markets (Mumbai, Kerala/Vizhinjam, eastern gateways).</t>
        </is>
      </c>
    </row>
    <row r="82">
      <c r="A82" s="29" t="inlineStr">
        <is>
          <t>India Kerala Rapido</t>
        </is>
      </c>
      <c r="B82" s="29" t="inlineStr">
        <is>
          <t>India</t>
        </is>
      </c>
      <c r="C82" s="30" t="inlineStr">
        <is>
          <t>Keltron Ferry → Chellanam Harbour Kochi</t>
        </is>
      </c>
      <c r="D82" s="31" t="n">
        <v>5.8</v>
      </c>
      <c r="E82" s="26" t="n">
        <v>18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40611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IF(OR(AG82="",R82=0),"",MIN(IF(AT82="",9.9E+99,AT82),FLOOR(AK82/R82,1)))</f>
        <v/>
      </c>
      <c r="AM82" s="38">
        <f>IF(AL82="","",AL82*T82)</f>
        <v/>
      </c>
      <c r="AN82" s="36">
        <f>IF(OR(AG82="",R82=0),"",MIN(IF(AT82="",9.9E+99,AT82),AK82/R82))</f>
        <v/>
      </c>
      <c r="AO82" s="38">
        <f>IF(AN82="","",AN82*T82)</f>
        <v/>
      </c>
      <c r="AP82" s="40" t="n"/>
      <c r="AQ82" s="32" t="inlineStr">
        <is>
          <t>Grounded</t>
        </is>
      </c>
      <c r="AR82" s="41" t="n"/>
      <c r="AS82" s="41" t="n"/>
      <c r="AT82" s="42" t="n"/>
      <c r="AU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V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W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X82" s="44" t="inlineStr">
        <is>
          <t>[LB-255 PREMIUM RE-FARE: subsidized comparable $3.5 lifted to premium on-demand floor $18.0] handoff/INDIA-ECONOMICS-SIDECAR-V0-2026-06-20.json (kerala)</t>
        </is>
      </c>
      <c r="AY82" s="44" t="inlineStr">
        <is>
          <t>Port-terminal operator uplift on harbour-adjacent markets (Mumbai, Kerala/Vizhinjam, eastern gateways).</t>
        </is>
      </c>
    </row>
    <row r="83">
      <c r="A83" s="29" t="inlineStr">
        <is>
          <t>India Mumbai Rapido</t>
        </is>
      </c>
      <c r="B83" s="29" t="inlineStr">
        <is>
          <t>India</t>
        </is>
      </c>
      <c r="C83" s="30" t="inlineStr">
        <is>
          <t>JNPT Ferry Service → Mumbai Trans-Harbour Navi Mumbai Toll Plaza</t>
        </is>
      </c>
      <c r="D83" s="31" t="n">
        <v>5.9</v>
      </c>
      <c r="E83" s="26" t="n">
        <v>18</v>
      </c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6272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IF(OR(AG83="",R83=0),"",MIN(IF(AT83="",9.9E+99,AT83),FLOOR(AK83/R83,1)))</f>
        <v/>
      </c>
      <c r="AM83" s="38">
        <f>IF(AL83="","",AL83*T83)</f>
        <v/>
      </c>
      <c r="AN83" s="36">
        <f>IF(OR(AG83="",R83=0),"",MIN(IF(AT83="",9.9E+99,AT83),AK83/R83))</f>
        <v/>
      </c>
      <c r="AO83" s="38">
        <f>IF(AN83="","",AN83*T83)</f>
        <v/>
      </c>
      <c r="AP83" s="40" t="n"/>
      <c r="AQ83" s="32" t="inlineStr">
        <is>
          <t>Grounded</t>
        </is>
      </c>
      <c r="AR83" s="41" t="n"/>
      <c r="AS83" s="41" t="n"/>
      <c r="AT83" s="42" t="n"/>
      <c r="AU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V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W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X83" s="44" t="inlineStr">
        <is>
          <t>[LB-255 PREMIUM RE-FARE: subsidized comparable $5.5 lifted to premium on-demand floor $18.0] handoff/INDIA-ECONOMICS-SIDECAR-V0-2026-06-20.json (mumbai)</t>
        </is>
      </c>
      <c r="AY83" s="44" t="inlineStr">
        <is>
          <t>Port-terminal operator uplift on harbour-adjacent markets (Mumbai, Kerala/Vizhinjam, eastern gateways).</t>
        </is>
      </c>
    </row>
    <row r="84">
      <c r="A84" s="29" t="inlineStr">
        <is>
          <t>India Goa Rapido</t>
        </is>
      </c>
      <c r="B84" s="29" t="inlineStr">
        <is>
          <t>India</t>
        </is>
      </c>
      <c r="C84" s="30" t="inlineStr">
        <is>
          <t>Panaji Jetty → Goa</t>
        </is>
      </c>
      <c r="D84" s="31" t="n">
        <v>6</v>
      </c>
      <c r="E84" s="26" t="n">
        <v>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11250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IF(OR(AG84="",R84=0),"",MIN(IF(AT84="",9.9E+99,AT84),FLOOR(AK84/R84,1)))</f>
        <v/>
      </c>
      <c r="AM84" s="38">
        <f>IF(AL84="","",AL84*T84)</f>
        <v/>
      </c>
      <c r="AN84" s="36">
        <f>IF(OR(AG84="",R84=0),"",MIN(IF(AT84="",9.9E+99,AT84),AK84/R84))</f>
        <v/>
      </c>
      <c r="AO84" s="38">
        <f>IF(AN84="","",AN84*T84)</f>
        <v/>
      </c>
      <c r="AP84" s="40" t="n"/>
      <c r="AQ84" s="32" t="inlineStr">
        <is>
          <t>Grounded</t>
        </is>
      </c>
      <c r="AR84" s="41" t="n"/>
      <c r="AS84" s="41" t="n"/>
      <c r="AT84" s="42" t="n"/>
      <c r="AU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V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W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X84" s="44" t="inlineStr">
        <is>
          <t>handoff/INDIA-ECONOMICS-SIDECAR-V0-2026-06-20.json (goa)</t>
        </is>
      </c>
      <c r="AY84" s="44" t="inlineStr">
        <is>
          <t>Port-terminal operator uplift on harbour-adjacent markets (Mumbai, Kerala/Vizhinjam, eastern gateways).</t>
        </is>
      </c>
    </row>
    <row r="85">
      <c r="A85" s="29" t="inlineStr">
        <is>
          <t>India Mumbai Rapido</t>
        </is>
      </c>
      <c r="B85" s="29" t="inlineStr">
        <is>
          <t>India</t>
        </is>
      </c>
      <c r="C85" s="30" t="inlineStr">
        <is>
          <t>Pirpau Jetty → Mumbai Trans-Harbour Navi Mumbai Toll Plaza</t>
        </is>
      </c>
      <c r="D85" s="31" t="n">
        <v>6.2</v>
      </c>
      <c r="E85" s="26" t="n">
        <v>18</v>
      </c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6272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IF(OR(AG85="",R85=0),"",MIN(IF(AT85="",9.9E+99,AT85),FLOOR(AK85/R85,1)))</f>
        <v/>
      </c>
      <c r="AM85" s="38">
        <f>IF(AL85="","",AL85*T85)</f>
        <v/>
      </c>
      <c r="AN85" s="36">
        <f>IF(OR(AG85="",R85=0),"",MIN(IF(AT85="",9.9E+99,AT85),AK85/R85))</f>
        <v/>
      </c>
      <c r="AO85" s="38">
        <f>IF(AN85="","",AN85*T85)</f>
        <v/>
      </c>
      <c r="AP85" s="40" t="n"/>
      <c r="AQ85" s="32" t="inlineStr">
        <is>
          <t>Grounded</t>
        </is>
      </c>
      <c r="AR85" s="41" t="n"/>
      <c r="AS85" s="41" t="n"/>
      <c r="AT85" s="42" t="n"/>
      <c r="AU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V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W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X85" s="44" t="inlineStr">
        <is>
          <t>[LB-255 PREMIUM RE-FARE: subsidized comparable $5.5 lifted to premium on-demand floor $18.0] handoff/INDIA-ECONOMICS-SIDECAR-V0-2026-06-20.json (mumbai)</t>
        </is>
      </c>
      <c r="AY85" s="44" t="inlineStr">
        <is>
          <t>Port-terminal operator uplift on harbour-adjacent markets (Mumbai, Kerala/Vizhinjam, eastern gateways).</t>
        </is>
      </c>
    </row>
    <row r="86">
      <c r="A86" s="29" t="inlineStr">
        <is>
          <t>India Goa Rapido</t>
        </is>
      </c>
      <c r="B86" s="29" t="inlineStr">
        <is>
          <t>India</t>
        </is>
      </c>
      <c r="C86" s="30" t="inlineStr">
        <is>
          <t>Villa Marina → Marina Russian B2B Thai Spa Service near me</t>
        </is>
      </c>
      <c r="D86" s="31" t="n">
        <v>6.7</v>
      </c>
      <c r="E86" s="26" t="n">
        <v>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11250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IF(OR(AG86="",R86=0),"",MIN(IF(AT86="",9.9E+99,AT86),FLOOR(AK86/R86,1)))</f>
        <v/>
      </c>
      <c r="AM86" s="38">
        <f>IF(AL86="","",AL86*T86)</f>
        <v/>
      </c>
      <c r="AN86" s="36">
        <f>IF(OR(AG86="",R86=0),"",MIN(IF(AT86="",9.9E+99,AT86),AK86/R86))</f>
        <v/>
      </c>
      <c r="AO86" s="38">
        <f>IF(AN86="","",AN86*T86)</f>
        <v/>
      </c>
      <c r="AP86" s="40" t="n"/>
      <c r="AQ86" s="32" t="inlineStr">
        <is>
          <t>Grounded</t>
        </is>
      </c>
      <c r="AR86" s="41" t="n"/>
      <c r="AS86" s="41" t="n"/>
      <c r="AT86" s="42" t="n"/>
      <c r="AU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V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W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X86" s="44" t="inlineStr">
        <is>
          <t>handoff/INDIA-ECONOMICS-SIDECAR-V0-2026-06-20.json (goa)</t>
        </is>
      </c>
      <c r="AY86" s="44" t="inlineStr">
        <is>
          <t>Port-terminal operator uplift on harbour-adjacent markets (Mumbai, Kerala/Vizhinjam, eastern gateways).</t>
        </is>
      </c>
    </row>
    <row r="87">
      <c r="A87" s="29" t="inlineStr">
        <is>
          <t>India Mumbai Rapido</t>
        </is>
      </c>
      <c r="B87" s="29" t="inlineStr">
        <is>
          <t>India</t>
        </is>
      </c>
      <c r="C87" s="30" t="inlineStr">
        <is>
          <t>Mora → Marina Bay Bistro @KARANJA Fishing Dock</t>
        </is>
      </c>
      <c r="D87" s="31" t="n">
        <v>6.7</v>
      </c>
      <c r="E87" s="26" t="n">
        <v>18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6272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IF(OR(AG87="",R87=0),"",MIN(IF(AT87="",9.9E+99,AT87),FLOOR(AK87/R87,1)))</f>
        <v/>
      </c>
      <c r="AM87" s="38">
        <f>IF(AL87="","",AL87*T87)</f>
        <v/>
      </c>
      <c r="AN87" s="36">
        <f>IF(OR(AG87="",R87=0),"",MIN(IF(AT87="",9.9E+99,AT87),AK87/R87))</f>
        <v/>
      </c>
      <c r="AO87" s="38">
        <f>IF(AN87="","",AN87*T87)</f>
        <v/>
      </c>
      <c r="AP87" s="40" t="n"/>
      <c r="AQ87" s="32" t="inlineStr">
        <is>
          <t>Grounded</t>
        </is>
      </c>
      <c r="AR87" s="41" t="n"/>
      <c r="AS87" s="41" t="n"/>
      <c r="AT87" s="42" t="n"/>
      <c r="AU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V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W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X87" s="44" t="inlineStr">
        <is>
          <t>[LB-255 PREMIUM RE-FARE: subsidized comparable $5.5 lifted to premium on-demand floor $18.0] handoff/INDIA-ECONOMICS-SIDECAR-V0-2026-06-20.json (mumbai)</t>
        </is>
      </c>
      <c r="AY87" s="44" t="inlineStr">
        <is>
          <t>Port-terminal operator uplift on harbour-adjacent markets (Mumbai, Kerala/Vizhinjam, eastern gateways).</t>
        </is>
      </c>
    </row>
    <row r="88">
      <c r="A88" s="29" t="inlineStr">
        <is>
          <t>India Kerala Rapido</t>
        </is>
      </c>
      <c r="B88" s="29" t="inlineStr">
        <is>
          <t>India</t>
        </is>
      </c>
      <c r="C88" s="30" t="inlineStr">
        <is>
          <t>Willingdon Island → Kerala Backwaters &amp; Kochi</t>
        </is>
      </c>
      <c r="D88" s="31" t="n">
        <v>6.8</v>
      </c>
      <c r="E88" s="26" t="n">
        <v>18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40611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IF(OR(AG88="",R88=0),"",MIN(IF(AT88="",9.9E+99,AT88),FLOOR(AK88/R88,1)))</f>
        <v/>
      </c>
      <c r="AM88" s="38">
        <f>IF(AL88="","",AL88*T88)</f>
        <v/>
      </c>
      <c r="AN88" s="36">
        <f>IF(OR(AG88="",R88=0),"",MIN(IF(AT88="",9.9E+99,AT88),AK88/R88))</f>
        <v/>
      </c>
      <c r="AO88" s="38">
        <f>IF(AN88="","",AN88*T88)</f>
        <v/>
      </c>
      <c r="AP88" s="40" t="n"/>
      <c r="AQ88" s="32" t="inlineStr">
        <is>
          <t>Grounded</t>
        </is>
      </c>
      <c r="AR88" s="41" t="n"/>
      <c r="AS88" s="41" t="n"/>
      <c r="AT88" s="42" t="n"/>
      <c r="AU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V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W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X88" s="44" t="inlineStr">
        <is>
          <t>[LB-255 PREMIUM RE-FARE: subsidized comparable $3.5 lifted to premium on-demand floor $18.0] handoff/INDIA-ECONOMICS-SIDECAR-V0-2026-06-20.json (kerala)</t>
        </is>
      </c>
      <c r="AY88" s="44" t="inlineStr">
        <is>
          <t>Port-terminal operator uplift on harbour-adjacent markets (Mumbai, Kerala/Vizhinjam, eastern gateways).</t>
        </is>
      </c>
    </row>
    <row r="89">
      <c r="A89" s="29" t="inlineStr">
        <is>
          <t>India Goa Rapido</t>
        </is>
      </c>
      <c r="B89" s="29" t="inlineStr">
        <is>
          <t>India</t>
        </is>
      </c>
      <c r="C89" s="30" t="inlineStr">
        <is>
          <t>Marina Russian B2B Thai Spa Service near me → Goveia Marina</t>
        </is>
      </c>
      <c r="D89" s="31" t="n">
        <v>7.5</v>
      </c>
      <c r="E89" s="26" t="n">
        <v>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11250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IF(OR(AG89="",R89=0),"",MIN(IF(AT89="",9.9E+99,AT89),FLOOR(AK89/R89,1)))</f>
        <v/>
      </c>
      <c r="AM89" s="38">
        <f>IF(AL89="","",AL89*T89)</f>
        <v/>
      </c>
      <c r="AN89" s="36">
        <f>IF(OR(AG89="",R89=0),"",MIN(IF(AT89="",9.9E+99,AT89),AK89/R89))</f>
        <v/>
      </c>
      <c r="AO89" s="38">
        <f>IF(AN89="","",AN89*T89)</f>
        <v/>
      </c>
      <c r="AP89" s="40" t="n"/>
      <c r="AQ89" s="32" t="inlineStr">
        <is>
          <t>Grounded</t>
        </is>
      </c>
      <c r="AR89" s="41" t="n"/>
      <c r="AS89" s="41" t="n"/>
      <c r="AT89" s="42" t="n"/>
      <c r="AU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V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W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X89" s="44" t="inlineStr">
        <is>
          <t>handoff/INDIA-ECONOMICS-SIDECAR-V0-2026-06-20.json (goa)</t>
        </is>
      </c>
      <c r="AY89" s="44" t="inlineStr">
        <is>
          <t>Port-terminal operator uplift on harbour-adjacent markets (Mumbai, Kerala/Vizhinjam, eastern gateways).</t>
        </is>
      </c>
    </row>
    <row r="90">
      <c r="A90" s="29" t="inlineStr">
        <is>
          <t>India Mumbai Rapido</t>
        </is>
      </c>
      <c r="B90" s="29" t="inlineStr">
        <is>
          <t>India</t>
        </is>
      </c>
      <c r="C90" s="30" t="inlineStr">
        <is>
          <t>Mandwa Jetty → Mumbai Harbour</t>
        </is>
      </c>
      <c r="D90" s="31" t="n">
        <v>7.8</v>
      </c>
      <c r="E90" s="26" t="n">
        <v>18</v>
      </c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6272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IF(OR(AG90="",R90=0),"",MIN(IF(AT90="",9.9E+99,AT90),FLOOR(AK90/R90,1)))</f>
        <v/>
      </c>
      <c r="AM90" s="38">
        <f>IF(AL90="","",AL90*T90)</f>
        <v/>
      </c>
      <c r="AN90" s="36">
        <f>IF(OR(AG90="",R90=0),"",MIN(IF(AT90="",9.9E+99,AT90),AK90/R90))</f>
        <v/>
      </c>
      <c r="AO90" s="38">
        <f>IF(AN90="","",AN90*T90)</f>
        <v/>
      </c>
      <c r="AP90" s="40" t="n"/>
      <c r="AQ90" s="32" t="inlineStr">
        <is>
          <t>Grounded</t>
        </is>
      </c>
      <c r="AR90" s="41" t="n"/>
      <c r="AS90" s="41" t="n"/>
      <c r="AT90" s="42" t="n"/>
      <c r="AU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V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W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X90" s="44" t="inlineStr">
        <is>
          <t>[LB-255 PREMIUM RE-FARE: subsidized comparable $5.5 lifted to premium on-demand floor $18.0] handoff/INDIA-ECONOMICS-SIDECAR-V0-2026-06-20.json (mumbai)</t>
        </is>
      </c>
      <c r="AY90" s="44" t="inlineStr">
        <is>
          <t>Port-terminal operator uplift on harbour-adjacent markets (Mumbai, Kerala/Vizhinjam, eastern gateways).</t>
        </is>
      </c>
    </row>
    <row r="91">
      <c r="A91" s="29" t="inlineStr">
        <is>
          <t>India Mumbai Rapido</t>
        </is>
      </c>
      <c r="B91" s="29" t="inlineStr">
        <is>
          <t>India</t>
        </is>
      </c>
      <c r="C91" s="30" t="inlineStr">
        <is>
          <t>Mumbai Harbour → Mandwa Jetty</t>
        </is>
      </c>
      <c r="D91" s="31" t="n">
        <v>7.9</v>
      </c>
      <c r="E91" s="26" t="n">
        <v>18</v>
      </c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6272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IF(OR(AG91="",R91=0),"",MIN(IF(AT91="",9.9E+99,AT91),FLOOR(AK91/R91,1)))</f>
        <v/>
      </c>
      <c r="AM91" s="38">
        <f>IF(AL91="","",AL91*T91)</f>
        <v/>
      </c>
      <c r="AN91" s="36">
        <f>IF(OR(AG91="",R91=0),"",MIN(IF(AT91="",9.9E+99,AT91),AK91/R91))</f>
        <v/>
      </c>
      <c r="AO91" s="38">
        <f>IF(AN91="","",AN91*T91)</f>
        <v/>
      </c>
      <c r="AP91" s="40" t="n"/>
      <c r="AQ91" s="32" t="inlineStr">
        <is>
          <t>Grounded</t>
        </is>
      </c>
      <c r="AR91" s="41" t="n"/>
      <c r="AS91" s="41" t="n"/>
      <c r="AT91" s="42" t="n"/>
      <c r="AU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V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W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X91" s="44" t="inlineStr">
        <is>
          <t>[LB-255 PREMIUM RE-FARE: subsidized comparable $5.5 lifted to premium on-demand floor $18.0] handoff/INDIA-ECONOMICS-SIDECAR-V0-2026-06-20.json (mumbai)</t>
        </is>
      </c>
      <c r="AY91" s="44" t="inlineStr">
        <is>
          <t>Port-terminal operator uplift on harbour-adjacent markets (Mumbai, Kerala/Vizhinjam, eastern gateways).</t>
        </is>
      </c>
    </row>
    <row r="92">
      <c r="A92" s="29" t="inlineStr">
        <is>
          <t>India Andaman Rapido</t>
        </is>
      </c>
      <c r="B92" s="29" t="inlineStr">
        <is>
          <t>India</t>
        </is>
      </c>
      <c r="C92" s="30" t="inlineStr">
        <is>
          <t>Bambooflat Jetty → Game Fishing In Andaman | Bite Me Charter | Best Sport fishing in Andaman Islands</t>
        </is>
      </c>
      <c r="D92" s="31" t="n">
        <v>8.4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IF(OR(AG92="",R92=0),"",MIN(IF(AT92="",9.9E+99,AT92),FLOOR(AK92/R92,1)))</f>
        <v/>
      </c>
      <c r="AM92" s="38">
        <f>IF(AL92="","",AL92*T92)</f>
        <v/>
      </c>
      <c r="AN92" s="36">
        <f>IF(OR(AG92="",R92=0),"",MIN(IF(AT92="",9.9E+99,AT92),AK92/R92))</f>
        <v/>
      </c>
      <c r="AO92" s="38">
        <f>IF(AN92="","",AN92*T92)</f>
        <v/>
      </c>
      <c r="AP92" s="40" t="n"/>
      <c r="AQ92" s="32" t="inlineStr">
        <is>
          <t>Grounded</t>
        </is>
      </c>
      <c r="AR92" s="41" t="n"/>
      <c r="AS92" s="41" t="n"/>
      <c r="AT92" s="42" t="n"/>
      <c r="AU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V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W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X92" s="44" t="inlineStr">
        <is>
          <t>handoff/INDIA-ECONOMICS-SIDECAR-V0-2026-06-20.json (andaman)</t>
        </is>
      </c>
      <c r="AY92" s="44" t="inlineStr">
        <is>
          <t>Port-terminal operator uplift on harbour-adjacent markets (Mumbai, Kerala/Vizhinjam, eastern gateways).</t>
        </is>
      </c>
    </row>
    <row r="93">
      <c r="A93" s="29" t="inlineStr">
        <is>
          <t>India Mumbai Rapido</t>
        </is>
      </c>
      <c r="B93" s="29" t="inlineStr">
        <is>
          <t>India</t>
        </is>
      </c>
      <c r="C93" s="30" t="inlineStr">
        <is>
          <t>Cordelia Cruises → OLD HARBOR TEA &amp; COFFEE</t>
        </is>
      </c>
      <c r="D93" s="31" t="n">
        <v>8.5</v>
      </c>
      <c r="E93" s="26" t="n">
        <v>18</v>
      </c>
      <c r="F93" s="32" t="inlineStr">
        <is>
          <t>T3</t>
        </is>
      </c>
      <c r="G93" s="32" t="inlineStr">
        <is>
          <t>med-low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6272</v>
      </c>
      <c r="AH93" s="32" t="inlineStr">
        <is>
          <t>T3</t>
        </is>
      </c>
      <c r="AI93" s="32" t="inlineStr">
        <is>
          <t>med-low</t>
        </is>
      </c>
      <c r="AJ93" s="39" t="n">
        <v>0.1</v>
      </c>
      <c r="AK93" s="34">
        <f>IF(AG93="","",AG93*AJ93)</f>
        <v/>
      </c>
      <c r="AL93" s="34">
        <f>IF(OR(AG93="",R93=0),"",MIN(IF(AT93="",9.9E+99,AT93),FLOOR(AK93/R93,1)))</f>
        <v/>
      </c>
      <c r="AM93" s="38">
        <f>IF(AL93="","",AL93*T93)</f>
        <v/>
      </c>
      <c r="AN93" s="36">
        <f>IF(OR(AG93="",R93=0),"",MIN(IF(AT93="",9.9E+99,AT93),AK93/R93))</f>
        <v/>
      </c>
      <c r="AO93" s="38">
        <f>IF(AN93="","",AN93*T93)</f>
        <v/>
      </c>
      <c r="AP93" s="40" t="n"/>
      <c r="AQ93" s="32" t="inlineStr">
        <is>
          <t>Grounded</t>
        </is>
      </c>
      <c r="AR93" s="41" t="n"/>
      <c r="AS93" s="41" t="n"/>
      <c r="AT93" s="42" t="n"/>
      <c r="AU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V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W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X93" s="44" t="inlineStr">
        <is>
          <t>[LB-255 PREMIUM RE-FARE: subsidized comparable $5.5 lifted to premium on-demand floor $18.0] handoff/INDIA-ECONOMICS-SIDECAR-V0-2026-06-20.json (mumbai)</t>
        </is>
      </c>
      <c r="AY93" s="44" t="inlineStr">
        <is>
          <t>Port-terminal operator uplift on harbour-adjacent markets (Mumbai, Kerala/Vizhinjam, eastern gateways).</t>
        </is>
      </c>
    </row>
    <row r="94">
      <c r="A94" s="29" t="inlineStr">
        <is>
          <t>India Mumbai Rapido</t>
        </is>
      </c>
      <c r="B94" s="29" t="inlineStr">
        <is>
          <t>India</t>
        </is>
      </c>
      <c r="C94" s="30" t="inlineStr">
        <is>
          <t>Versova Ferry Wharf → Gateway of India</t>
        </is>
      </c>
      <c r="D94" s="31" t="n">
        <v>12.43</v>
      </c>
      <c r="E94" s="26" t="n">
        <v>18</v>
      </c>
      <c r="F94" s="32" t="inlineStr">
        <is>
          <t>T3</t>
        </is>
      </c>
      <c r="G94" s="32" t="inlineStr">
        <is>
          <t>med-low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6272</v>
      </c>
      <c r="AH94" s="32" t="inlineStr">
        <is>
          <t>T3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IF(OR(AG94="",R94=0),"",MIN(IF(AT94="",9.9E+99,AT94),FLOOR(AK94/R94,1)))</f>
        <v/>
      </c>
      <c r="AM94" s="38">
        <f>IF(AL94="","",AL94*T94)</f>
        <v/>
      </c>
      <c r="AN94" s="36">
        <f>IF(OR(AG94="",R94=0),"",MIN(IF(AT94="",9.9E+99,AT94),AK94/R94))</f>
        <v/>
      </c>
      <c r="AO94" s="38">
        <f>IF(AN94="","",AN94*T94)</f>
        <v/>
      </c>
      <c r="AP94" s="40" t="n"/>
      <c r="AQ94" s="32" t="inlineStr">
        <is>
          <t>Grounded</t>
        </is>
      </c>
      <c r="AR94" s="41" t="n"/>
      <c r="AS94" s="41" t="n"/>
      <c r="AT94" s="42" t="n"/>
      <c r="AU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V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W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X94" s="44" t="inlineStr">
        <is>
          <t>[LB-255 PREMIUM RE-FARE: subsidized comparable $5.5 lifted to premium on-demand floor $18.0] handoff/INDIA-ECONOMICS-SIDECAR-V0-2026-06-20.json (mumbai)</t>
        </is>
      </c>
      <c r="AY94" s="44" t="inlineStr">
        <is>
          <t>Port-terminal operator uplift on harbour-adjacent markets (Mumbai, Kerala/Vizhinjam, eastern gateways).</t>
        </is>
      </c>
    </row>
    <row r="95">
      <c r="A95" s="29" t="inlineStr">
        <is>
          <t>India Mumbai Rapido</t>
        </is>
      </c>
      <c r="B95" s="29" t="inlineStr">
        <is>
          <t>India</t>
        </is>
      </c>
      <c r="C95" s="30" t="inlineStr">
        <is>
          <t>Gorai / Marve Jetty → Nariman Point Water-Taxi Jetty</t>
        </is>
      </c>
      <c r="D95" s="31" t="n">
        <v>13.45</v>
      </c>
      <c r="E95" s="26" t="n">
        <v>18</v>
      </c>
      <c r="F95" s="32" t="inlineStr">
        <is>
          <t>T3</t>
        </is>
      </c>
      <c r="G95" s="32" t="inlineStr">
        <is>
          <t>med-low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6272</v>
      </c>
      <c r="AH95" s="32" t="inlineStr">
        <is>
          <t>T3</t>
        </is>
      </c>
      <c r="AI95" s="32" t="inlineStr">
        <is>
          <t>med-low</t>
        </is>
      </c>
      <c r="AJ95" s="39" t="n">
        <v>0.1</v>
      </c>
      <c r="AK95" s="34">
        <f>IF(AG95="","",AG95*AJ95)</f>
        <v/>
      </c>
      <c r="AL95" s="34">
        <f>IF(OR(AG95="",R95=0),"",MIN(IF(AT95="",9.9E+99,AT95),FLOOR(AK95/R95,1)))</f>
        <v/>
      </c>
      <c r="AM95" s="38">
        <f>IF(AL95="","",AL95*T95)</f>
        <v/>
      </c>
      <c r="AN95" s="36">
        <f>IF(OR(AG95="",R95=0),"",MIN(IF(AT95="",9.9E+99,AT95),AK95/R95))</f>
        <v/>
      </c>
      <c r="AO95" s="38">
        <f>IF(AN95="","",AN95*T95)</f>
        <v/>
      </c>
      <c r="AP95" s="40" t="n"/>
      <c r="AQ95" s="32" t="inlineStr">
        <is>
          <t>Grounded</t>
        </is>
      </c>
      <c r="AR95" s="41" t="n"/>
      <c r="AS95" s="41" t="n"/>
      <c r="AT95" s="42" t="n"/>
      <c r="AU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V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W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X95" s="44" t="inlineStr">
        <is>
          <t>[LB-255 PREMIUM RE-FARE: subsidized comparable $5.5 lifted to premium on-demand floor $18.0] handoff/INDIA-ECONOMICS-SIDECAR-V0-2026-06-20.json (mumbai)</t>
        </is>
      </c>
      <c r="AY95" s="44" t="inlineStr">
        <is>
          <t>Port-terminal operator uplift on harbour-adjacent markets (Mumbai, Kerala/Vizhinjam, eastern gateways).</t>
        </is>
      </c>
    </row>
    <row r="96">
      <c r="A96" s="29" t="inlineStr">
        <is>
          <t>India Andaman Rapido</t>
        </is>
      </c>
      <c r="B96" s="29" t="inlineStr">
        <is>
          <t>India</t>
        </is>
      </c>
      <c r="C96" s="30" t="inlineStr">
        <is>
          <t>APARUPA SANDS MARINA → Shaheed Dweep Jetty</t>
        </is>
      </c>
      <c r="D96" s="31" t="n">
        <v>13.9</v>
      </c>
      <c r="E96" s="26" t="n">
        <v>22</v>
      </c>
      <c r="F96" s="32" t="inlineStr">
        <is>
          <t>T3</t>
        </is>
      </c>
      <c r="G96" s="32" t="inlineStr">
        <is>
          <t>med-low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5000</v>
      </c>
      <c r="AH96" s="32" t="inlineStr">
        <is>
          <t>T3</t>
        </is>
      </c>
      <c r="AI96" s="32" t="inlineStr">
        <is>
          <t>med-low</t>
        </is>
      </c>
      <c r="AJ96" s="39" t="n">
        <v>0.1</v>
      </c>
      <c r="AK96" s="34">
        <f>IF(AG96="","",AG96*AJ96)</f>
        <v/>
      </c>
      <c r="AL96" s="34">
        <f>IF(OR(AG96="",R96=0),"",MIN(IF(AT96="",9.9E+99,AT96),FLOOR(AK96/R96,1)))</f>
        <v/>
      </c>
      <c r="AM96" s="38">
        <f>IF(AL96="","",AL96*T96)</f>
        <v/>
      </c>
      <c r="AN96" s="36">
        <f>IF(OR(AG96="",R96=0),"",MIN(IF(AT96="",9.9E+99,AT96),AK96/R96))</f>
        <v/>
      </c>
      <c r="AO96" s="38">
        <f>IF(AN96="","",AN96*T96)</f>
        <v/>
      </c>
      <c r="AP96" s="40" t="n"/>
      <c r="AQ96" s="32" t="inlineStr">
        <is>
          <t>Grounded</t>
        </is>
      </c>
      <c r="AR96" s="41" t="n"/>
      <c r="AS96" s="41" t="n"/>
      <c r="AT96" s="42" t="n"/>
      <c r="AU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V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W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X96" s="44" t="inlineStr">
        <is>
          <t>handoff/INDIA-ECONOMICS-SIDECAR-V0-2026-06-20.json (andaman)</t>
        </is>
      </c>
      <c r="AY96" s="44" t="inlineStr">
        <is>
          <t>Port-terminal operator uplift on harbour-adjacent markets (Mumbai, Kerala/Vizhinjam, eastern gateways).</t>
        </is>
      </c>
    </row>
    <row r="97">
      <c r="A97" s="29" t="inlineStr">
        <is>
          <t>India Andaman Rapido</t>
        </is>
      </c>
      <c r="B97" s="29" t="inlineStr">
        <is>
          <t>India</t>
        </is>
      </c>
      <c r="C97" s="30" t="inlineStr">
        <is>
          <t>Office Of Assistant Engineer Civil, Andaman Lakshdweep Harbour Work Havelock → Shaheed Dweep Jetty</t>
        </is>
      </c>
      <c r="D97" s="31" t="n">
        <v>14.6</v>
      </c>
      <c r="E97" s="26" t="n">
        <v>22</v>
      </c>
      <c r="F97" s="32" t="inlineStr">
        <is>
          <t>T3</t>
        </is>
      </c>
      <c r="G97" s="32" t="inlineStr">
        <is>
          <t>med-low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5000</v>
      </c>
      <c r="AH97" s="32" t="inlineStr">
        <is>
          <t>T3</t>
        </is>
      </c>
      <c r="AI97" s="32" t="inlineStr">
        <is>
          <t>med-low</t>
        </is>
      </c>
      <c r="AJ97" s="39" t="n">
        <v>0.1</v>
      </c>
      <c r="AK97" s="34">
        <f>IF(AG97="","",AG97*AJ97)</f>
        <v/>
      </c>
      <c r="AL97" s="34">
        <f>IF(OR(AG97="",R97=0),"",MIN(IF(AT97="",9.9E+99,AT97),FLOOR(AK97/R97,1)))</f>
        <v/>
      </c>
      <c r="AM97" s="38">
        <f>IF(AL97="","",AL97*T97)</f>
        <v/>
      </c>
      <c r="AN97" s="36">
        <f>IF(OR(AG97="",R97=0),"",MIN(IF(AT97="",9.9E+99,AT97),AK97/R97))</f>
        <v/>
      </c>
      <c r="AO97" s="38">
        <f>IF(AN97="","",AN97*T97)</f>
        <v/>
      </c>
      <c r="AP97" s="40" t="n"/>
      <c r="AQ97" s="32" t="inlineStr">
        <is>
          <t>Grounded</t>
        </is>
      </c>
      <c r="AR97" s="41" t="n"/>
      <c r="AS97" s="41" t="n"/>
      <c r="AT97" s="42" t="n"/>
      <c r="AU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V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W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X97" s="44" t="inlineStr">
        <is>
          <t>handoff/INDIA-ECONOMICS-SIDECAR-V0-2026-06-20.json (andaman)</t>
        </is>
      </c>
      <c r="AY97" s="44" t="inlineStr">
        <is>
          <t>Port-terminal operator uplift on harbour-adjacent markets (Mumbai, Kerala/Vizhinjam, eastern gateways).</t>
        </is>
      </c>
    </row>
    <row r="98">
      <c r="A98" s="29" t="inlineStr">
        <is>
          <t>India Andaman Rapido</t>
        </is>
      </c>
      <c r="B98" s="29" t="inlineStr">
        <is>
          <t>India</t>
        </is>
      </c>
      <c r="C98" s="30" t="inlineStr">
        <is>
          <t>Office Of Assistant Engineer Civil, Andaman Lakshdweep Harbour Work Havelock → Shaheed Dweep Jetty</t>
        </is>
      </c>
      <c r="D98" s="31" t="n">
        <v>15.2</v>
      </c>
      <c r="E98" s="26" t="n">
        <v>22</v>
      </c>
      <c r="F98" s="32" t="inlineStr">
        <is>
          <t>T3</t>
        </is>
      </c>
      <c r="G98" s="32" t="inlineStr">
        <is>
          <t>med-low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5000</v>
      </c>
      <c r="AH98" s="32" t="inlineStr">
        <is>
          <t>T3</t>
        </is>
      </c>
      <c r="AI98" s="32" t="inlineStr">
        <is>
          <t>med-low</t>
        </is>
      </c>
      <c r="AJ98" s="39" t="n">
        <v>0.1</v>
      </c>
      <c r="AK98" s="34">
        <f>IF(AG98="","",AG98*AJ98)</f>
        <v/>
      </c>
      <c r="AL98" s="34">
        <f>IF(OR(AG98="",R98=0),"",MIN(IF(AT98="",9.9E+99,AT98),FLOOR(AK98/R98,1)))</f>
        <v/>
      </c>
      <c r="AM98" s="38">
        <f>IF(AL98="","",AL98*T98)</f>
        <v/>
      </c>
      <c r="AN98" s="36">
        <f>IF(OR(AG98="",R98=0),"",MIN(IF(AT98="",9.9E+99,AT98),AK98/R98))</f>
        <v/>
      </c>
      <c r="AO98" s="38">
        <f>IF(AN98="","",AN98*T98)</f>
        <v/>
      </c>
      <c r="AP98" s="40" t="n"/>
      <c r="AQ98" s="32" t="inlineStr">
        <is>
          <t>Grounded</t>
        </is>
      </c>
      <c r="AR98" s="41" t="n"/>
      <c r="AS98" s="41" t="n"/>
      <c r="AT98" s="42" t="n"/>
      <c r="AU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V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W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X98" s="44" t="inlineStr">
        <is>
          <t>handoff/INDIA-ECONOMICS-SIDECAR-V0-2026-06-20.json (andaman)</t>
        </is>
      </c>
      <c r="AY98" s="44" t="inlineStr">
        <is>
          <t>Port-terminal operator uplift on harbour-adjacent markets (Mumbai, Kerala/Vizhinjam, eastern gateways).</t>
        </is>
      </c>
    </row>
    <row r="99">
      <c r="A99" s="29" t="inlineStr">
        <is>
          <t>India Kolkata Rapido</t>
        </is>
      </c>
      <c r="B99" s="29" t="inlineStr">
        <is>
          <t>India</t>
        </is>
      </c>
      <c r="C99" s="30" t="inlineStr">
        <is>
          <t>Millennium Park Jetty → Chandannagar Riverfront</t>
        </is>
      </c>
      <c r="D99" s="31" t="n">
        <v>17.9</v>
      </c>
      <c r="E99" s="26" t="n">
        <v>18</v>
      </c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1764000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IF(OR(AG99="",R99=0),"",MIN(IF(AT99="",9.9E+99,AT99),FLOOR(AK99/R99,1)))</f>
        <v/>
      </c>
      <c r="AM99" s="38">
        <f>IF(AL99="","",AL99*T99)</f>
        <v/>
      </c>
      <c r="AN99" s="36">
        <f>IF(OR(AG99="",R99=0),"",MIN(IF(AT99="",9.9E+99,AT99),AK99/R99))</f>
        <v/>
      </c>
      <c r="AO99" s="38">
        <f>IF(AN99="","",AN99*T99)</f>
        <v/>
      </c>
      <c r="AP99" s="40" t="n"/>
      <c r="AQ99" s="32" t="inlineStr">
        <is>
          <t>Grounded</t>
        </is>
      </c>
      <c r="AR99" s="41" t="n"/>
      <c r="AS99" s="41" t="n"/>
      <c r="AT99" s="42" t="n"/>
      <c r="AU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V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W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X99" s="44" t="inlineStr">
        <is>
          <t xml:space="preserve">[LB-255 PREMIUM RE-FARE: subsidized comparable $2.5 lifted to premium on-demand floor $18.0] </t>
        </is>
      </c>
      <c r="AY99" s="44" t="n"/>
    </row>
    <row r="100">
      <c r="A100" s="29" t="inlineStr">
        <is>
          <t>India Andaman Rapido</t>
        </is>
      </c>
      <c r="B100" s="29" t="inlineStr">
        <is>
          <t>India</t>
        </is>
      </c>
      <c r="C100" s="30" t="inlineStr">
        <is>
          <t>Bambooflat Jetty → Shaheed Dweep Jetty</t>
        </is>
      </c>
      <c r="D100" s="31" t="n">
        <v>21.1</v>
      </c>
      <c r="E100" s="26" t="n">
        <v>22</v>
      </c>
      <c r="F100" s="32" t="inlineStr">
        <is>
          <t>T3</t>
        </is>
      </c>
      <c r="G100" s="32" t="inlineStr">
        <is>
          <t>med-low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5000</v>
      </c>
      <c r="AH100" s="32" t="inlineStr">
        <is>
          <t>T3</t>
        </is>
      </c>
      <c r="AI100" s="32" t="inlineStr">
        <is>
          <t>med-low</t>
        </is>
      </c>
      <c r="AJ100" s="39" t="n">
        <v>0.1</v>
      </c>
      <c r="AK100" s="34">
        <f>IF(AG100="","",AG100*AJ100)</f>
        <v/>
      </c>
      <c r="AL100" s="34">
        <f>IF(OR(AG100="",R100=0),"",MIN(IF(AT100="",9.9E+99,AT100),FLOOR(AK100/R100,1)))</f>
        <v/>
      </c>
      <c r="AM100" s="38">
        <f>IF(AL100="","",AL100*T100)</f>
        <v/>
      </c>
      <c r="AN100" s="36">
        <f>IF(OR(AG100="",R100=0),"",MIN(IF(AT100="",9.9E+99,AT100),AK100/R100))</f>
        <v/>
      </c>
      <c r="AO100" s="38">
        <f>IF(AN100="","",AN100*T100)</f>
        <v/>
      </c>
      <c r="AP100" s="40" t="n"/>
      <c r="AQ100" s="32" t="inlineStr">
        <is>
          <t>Grounded</t>
        </is>
      </c>
      <c r="AR100" s="41" t="n"/>
      <c r="AS100" s="41" t="n"/>
      <c r="AT100" s="42" t="n"/>
      <c r="AU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V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W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X100" s="44" t="inlineStr">
        <is>
          <t>handoff/INDIA-ECONOMICS-SIDECAR-V0-2026-06-20.json (andaman)</t>
        </is>
      </c>
      <c r="AY100" s="44" t="inlineStr">
        <is>
          <t>Port-terminal operator uplift on harbour-adjacent markets (Mumbai, Kerala/Vizhinjam, eastern gateways).</t>
        </is>
      </c>
    </row>
    <row r="101">
      <c r="A101" s="29" t="inlineStr">
        <is>
          <t>India Andaman Rapido</t>
        </is>
      </c>
      <c r="B101" s="29" t="inlineStr">
        <is>
          <t>India</t>
        </is>
      </c>
      <c r="C101" s="30" t="inlineStr">
        <is>
          <t>Andaman → Office Of Assistant Engineer Civil, Andaman Lakshdweep Harbour Work Havelock</t>
        </is>
      </c>
      <c r="D101" s="31" t="n">
        <v>28.2</v>
      </c>
      <c r="E101" s="26" t="n">
        <v>22</v>
      </c>
      <c r="F101" s="32" t="inlineStr">
        <is>
          <t>T3</t>
        </is>
      </c>
      <c r="G101" s="32" t="inlineStr">
        <is>
          <t>med-low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5000</v>
      </c>
      <c r="AH101" s="32" t="inlineStr">
        <is>
          <t>T3</t>
        </is>
      </c>
      <c r="AI101" s="32" t="inlineStr">
        <is>
          <t>med-low</t>
        </is>
      </c>
      <c r="AJ101" s="39" t="n">
        <v>0.1</v>
      </c>
      <c r="AK101" s="34">
        <f>IF(AG101="","",AG101*AJ101)</f>
        <v/>
      </c>
      <c r="AL101" s="34">
        <f>IF(OR(AG101="",R101=0),"",MIN(IF(AT101="",9.9E+99,AT101),FLOOR(AK101/R101,1)))</f>
        <v/>
      </c>
      <c r="AM101" s="38">
        <f>IF(AL101="","",AL101*T101)</f>
        <v/>
      </c>
      <c r="AN101" s="36">
        <f>IF(OR(AG101="",R101=0),"",MIN(IF(AT101="",9.9E+99,AT101),AK101/R101))</f>
        <v/>
      </c>
      <c r="AO101" s="38">
        <f>IF(AN101="","",AN101*T101)</f>
        <v/>
      </c>
      <c r="AP101" s="40" t="n"/>
      <c r="AQ101" s="32" t="inlineStr">
        <is>
          <t>Grounded</t>
        </is>
      </c>
      <c r="AR101" s="41" t="n"/>
      <c r="AS101" s="41" t="n"/>
      <c r="AT101" s="42" t="n"/>
      <c r="AU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V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W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X101" s="44" t="inlineStr">
        <is>
          <t>handoff/INDIA-ECONOMICS-SIDECAR-V0-2026-06-20.json (andaman)</t>
        </is>
      </c>
      <c r="AY101" s="44" t="inlineStr">
        <is>
          <t>Port-terminal operator uplift on harbour-adjacent markets (Mumbai, Kerala/Vizhinjam, eastern gateways).</t>
        </is>
      </c>
    </row>
    <row r="102">
      <c r="A102" s="29" t="inlineStr">
        <is>
          <t>India Andaman Rapido</t>
        </is>
      </c>
      <c r="B102" s="29" t="inlineStr">
        <is>
          <t>India</t>
        </is>
      </c>
      <c r="C102" s="30" t="inlineStr">
        <is>
          <t>Andaman → APARUPA SANDS MARINA</t>
        </is>
      </c>
      <c r="D102" s="31" t="n">
        <v>29.4</v>
      </c>
      <c r="E102" s="26" t="n">
        <v>22</v>
      </c>
      <c r="F102" s="32" t="inlineStr">
        <is>
          <t>T3</t>
        </is>
      </c>
      <c r="G102" s="32" t="inlineStr">
        <is>
          <t>med-low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5000</v>
      </c>
      <c r="AH102" s="32" t="inlineStr">
        <is>
          <t>T3</t>
        </is>
      </c>
      <c r="AI102" s="32" t="inlineStr">
        <is>
          <t>med-low</t>
        </is>
      </c>
      <c r="AJ102" s="39" t="n">
        <v>0.1</v>
      </c>
      <c r="AK102" s="34">
        <f>IF(AG102="","",AG102*AJ102)</f>
        <v/>
      </c>
      <c r="AL102" s="34">
        <f>IF(OR(AG102="",R102=0),"",MIN(IF(AT102="",9.9E+99,AT102),FLOOR(AK102/R102,1)))</f>
        <v/>
      </c>
      <c r="AM102" s="38">
        <f>IF(AL102="","",AL102*T102)</f>
        <v/>
      </c>
      <c r="AN102" s="36">
        <f>IF(OR(AG102="",R102=0),"",MIN(IF(AT102="",9.9E+99,AT102),AK102/R102))</f>
        <v/>
      </c>
      <c r="AO102" s="38">
        <f>IF(AN102="","",AN102*T102)</f>
        <v/>
      </c>
      <c r="AP102" s="40" t="n"/>
      <c r="AQ102" s="32" t="inlineStr">
        <is>
          <t>Grounded</t>
        </is>
      </c>
      <c r="AR102" s="41" t="n"/>
      <c r="AS102" s="41" t="n"/>
      <c r="AT102" s="42" t="n"/>
      <c r="AU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V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W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X102" s="44" t="inlineStr">
        <is>
          <t>handoff/INDIA-ECONOMICS-SIDECAR-V0-2026-06-20.json (andaman)</t>
        </is>
      </c>
      <c r="AY102" s="44" t="inlineStr">
        <is>
          <t>Port-terminal operator uplift on harbour-adjacent markets (Mumbai, Kerala/Vizhinjam, eastern gateways).</t>
        </is>
      </c>
    </row>
    <row r="103">
      <c r="A103" s="45" t="inlineStr">
        <is>
          <t>TOTAL / median</t>
        </is>
      </c>
      <c r="T103" s="46">
        <f>SUM(T4:T102)</f>
        <v/>
      </c>
      <c r="AC103" s="46">
        <f>SUM(AC4:AC102)</f>
        <v/>
      </c>
      <c r="AD103" s="47">
        <f>IF(T103=0,"",AC103/T103)</f>
        <v/>
      </c>
      <c r="AL103" s="48">
        <f>SUM(AL4:AL102)</f>
        <v/>
      </c>
      <c r="AM103" s="46">
        <f>SUM(AM4:AM102)</f>
        <v/>
      </c>
    </row>
    <row r="105">
      <c r="A10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06">
      <c r="A106" s="24" t="inlineStr">
        <is>
          <t>Market</t>
        </is>
      </c>
      <c r="B106" s="24" t="inlineStr">
        <is>
          <t>Fleet basis</t>
        </is>
      </c>
      <c r="C106" s="24" t="inlineStr">
        <is>
          <t>Raw vessels (sum)</t>
        </is>
      </c>
      <c r="D106" s="24" t="inlineStr">
        <is>
          <t>Fleet (rounded once)</t>
        </is>
      </c>
      <c r="E106" s="24" t="inlineStr">
        <is>
          <t>Market rev/yr (raw sum)</t>
        </is>
      </c>
    </row>
    <row r="107">
      <c r="A107" s="25" t="inlineStr">
        <is>
          <t>India Andaman Rapido</t>
        </is>
      </c>
      <c r="B107" s="13" t="inlineStr">
        <is>
          <t>network_sum / ceil</t>
        </is>
      </c>
      <c r="C107" s="23">
        <f>SUMIFS(AN4:AN102,A4:A102,"India Andaman Rapido",AP4:AP102,"=",AQ4:AQ102,"Grounded")</f>
        <v/>
      </c>
      <c r="D107" s="49">
        <f>IF(C107=0,0,CEILING(C107,1))</f>
        <v/>
      </c>
      <c r="E107" s="50">
        <f>SUMIFS(AO4:AO102,A4:A102,"India Andaman Rapido",AP4:AP102,"=",AQ4:AQ102,"Grounded")</f>
        <v/>
      </c>
    </row>
    <row r="108">
      <c r="A108" s="25" t="inlineStr">
        <is>
          <t>India Kolkata Rapido</t>
        </is>
      </c>
      <c r="B108" s="13" t="inlineStr">
        <is>
          <t>network_sum</t>
        </is>
      </c>
      <c r="C108" s="23">
        <f>SUMIFS(AN4:AN102,A4:A102,"India Kolkata Rapido",AP4:AP102,"=",AQ4:AQ102,"Grounded")</f>
        <v/>
      </c>
      <c r="D108" s="49">
        <f>ROUND(C108,0)</f>
        <v/>
      </c>
      <c r="E108" s="50">
        <f>SUMIFS(AO4:AO102,A4:A102,"India Kolkata Rapido",AP4:AP102,"=",AQ4:AQ102,"Grounded")</f>
        <v/>
      </c>
    </row>
    <row r="109">
      <c r="A109" s="25" t="inlineStr">
        <is>
          <t>India Goa Rapido</t>
        </is>
      </c>
      <c r="B109" s="13" t="inlineStr">
        <is>
          <t>network_sum / ceil</t>
        </is>
      </c>
      <c r="C109" s="23">
        <f>SUMIFS(AN4:AN102,A4:A102,"India Goa Rapido",AP4:AP102,"=",AQ4:AQ102,"Grounded")</f>
        <v/>
      </c>
      <c r="D109" s="49">
        <f>IF(C109=0,0,CEILING(C109,1))</f>
        <v/>
      </c>
      <c r="E109" s="50">
        <f>SUMIFS(AO4:AO102,A4:A102,"India Goa Rapido",AP4:AP102,"=",AQ4:AQ102,"Grounded")</f>
        <v/>
      </c>
    </row>
    <row r="110">
      <c r="A110" s="25" t="inlineStr">
        <is>
          <t>India Kerala Rapido</t>
        </is>
      </c>
      <c r="B110" s="13" t="inlineStr">
        <is>
          <t>network_sum / ceil</t>
        </is>
      </c>
      <c r="C110" s="23">
        <f>SUMIFS(AN4:AN102,A4:A102,"India Kerala Rapido",AP4:AP102,"=",AQ4:AQ102,"Grounded")</f>
        <v/>
      </c>
      <c r="D110" s="49">
        <f>IF(C110=0,0,CEILING(C110,1))</f>
        <v/>
      </c>
      <c r="E110" s="50">
        <f>SUMIFS(AO4:AO102,A4:A102,"India Kerala Rapido",AP4:AP102,"=",AQ4:AQ102,"Grounded")</f>
        <v/>
      </c>
    </row>
    <row r="111">
      <c r="A111" s="25" t="inlineStr">
        <is>
          <t>India Mumbai Rapido</t>
        </is>
      </c>
      <c r="B111" s="13" t="inlineStr">
        <is>
          <t>network_sum / ceil</t>
        </is>
      </c>
      <c r="C111" s="23">
        <f>SUMIFS(AN4:AN102,A4:A102,"India Mumbai Rapido",AP4:AP102,"=",AQ4:AQ102,"Grounded")</f>
        <v/>
      </c>
      <c r="D111" s="49">
        <f>IF(C111=0,0,CEILING(C111,1))</f>
        <v/>
      </c>
      <c r="E111" s="50">
        <f>SUMIFS(AO4:AO102,A4:A102,"India Mumbai Rapido",AP4:AP102,"=",AQ4:AQ102,"Grounded")</f>
        <v/>
      </c>
    </row>
    <row r="112">
      <c r="A112" s="25" t="inlineStr">
        <is>
          <t>India Chennai Rapido</t>
        </is>
      </c>
      <c r="B112" s="13" t="inlineStr">
        <is>
          <t>network_sum</t>
        </is>
      </c>
      <c r="C112" s="23">
        <f>SUMIFS(AN4:AN102,A4:A102,"India Chennai Rapido",AP4:AP102,"=",AQ4:AQ102,"Grounded")</f>
        <v/>
      </c>
      <c r="D112" s="49">
        <f>ROUND(C112,0)</f>
        <v/>
      </c>
      <c r="E112" s="50">
        <f>SUMIFS(AO4:AO102,A4:A102,"India Chennai Rapido",AP4:AP102,"=",AQ4:AQ102,"Grounded")</f>
        <v/>
      </c>
    </row>
    <row r="113">
      <c r="A113" s="45" t="inlineStr">
        <is>
          <t>GROUNDED FLOOR (PUBLISHED)</t>
        </is>
      </c>
      <c r="D113" s="48">
        <f>SUM(D107:D112)</f>
        <v/>
      </c>
      <c r="E113" s="46">
        <f>SUM(E107:E112)</f>
        <v/>
      </c>
    </row>
    <row r="115">
      <c r="A115" s="51" t="inlineStr">
        <is>
          <t>Held for Quanta-LR (&gt;70nm, roadmap H2 2026+):</t>
        </is>
      </c>
      <c r="C115" s="52" t="inlineStr">
        <is>
          <t>Chennai Port WQIV Cruise Terminal → Cuddalore Port (90.0nm)</t>
        </is>
      </c>
    </row>
    <row r="116">
      <c r="C116" s="52" t="inlineStr">
        <is>
          <t>Chennai Port WQIV Cruise Terminal → Puducherry Port (76.6nm)</t>
        </is>
      </c>
    </row>
    <row r="117">
      <c r="C117" s="52" t="inlineStr">
        <is>
          <t>Goa → Mumbai (213.3nm)</t>
        </is>
      </c>
    </row>
  </sheetData>
  <mergeCells count="2">
    <mergeCell ref="A105:L10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2026-07-06T02:58:31Z</dcterms:created>
  <dcterms:modified xsi:type="dcterms:W3CDTF">2026-07-06T02:58:31Z</dcterms:modified>
</cp:coreProperties>
</file>