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Assumptions" sheetId="3" state="visible" r:id="rId5"/>
    <sheet name="N30 Experience" sheetId="4" state="visible" r:id="rId6"/>
    <sheet name="N25 Shuttle" sheetId="5" state="visible" r:id="rId7"/>
    <sheet name="Fleet Sizing" sheetId="6" state="visible" r:id="rId8"/>
    <sheet name="Fleet Ramp &amp; Booking Revenue Fo" sheetId="7" state="visible" r:id="rId9"/>
    <sheet name="Profitability per Boat by Owner" sheetId="8" state="visible" r:id="rId10"/>
    <sheet name="Marti Asset Holder P&amp;L" sheetId="9" state="visible" r:id="rId11"/>
    <sheet name="Sensitivity" sheetId="10" state="visible" r:id="rId12"/>
    <sheet name="2026 Valid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<sst xmlns="http://schemas.openxmlformats.org/spreadsheetml/2006/main" count="378" uniqueCount="347">
  <si>
    <t xml:space="preserve">NAVIER × MARTI — TÜRKIYE NETWORK MODEL</t>
  </si>
  <si>
    <t xml:space="preserve">How to read this workbook</t>
  </si>
  <si>
    <t xml:space="preserve">This is the companion financial model to the Navier × Marti go-to-market agreement. It is shared with Marti as a partner — every tab is meant to be readable without a walkthrough call.</t>
  </si>
  <si>
    <t xml:space="preserve">COLOR KEY</t>
  </si>
  <si>
    <t xml:space="preserve">Blue text</t>
  </si>
  <si>
    <t xml:space="preserve">An input assumption — change it and the model recalculates.</t>
  </si>
  <si>
    <t xml:space="preserve">Yellow fill</t>
  </si>
  <si>
    <t xml:space="preserve">A key scenario output — the headline number for that section.</t>
  </si>
  <si>
    <t xml:space="preserve">Black text</t>
  </si>
  <si>
    <t xml:space="preserve">A calculated formula. No need to edit.</t>
  </si>
  <si>
    <t xml:space="preserve">Green text</t>
  </si>
  <si>
    <t xml:space="preserve">Pulled live from another tab (used sparingly; most cross-tab pulls are black formulas referencing another sheet).</t>
  </si>
  <si>
    <t xml:space="preserve">WHERE TO START</t>
  </si>
  <si>
    <t xml:space="preserve">Five-minute read</t>
  </si>
  <si>
    <t xml:space="preserve">Dashboard — one page, headline numbers only, pulls from every other tab.</t>
  </si>
  <si>
    <t xml:space="preserve">Evaluating whether Marti should own boats</t>
  </si>
  <si>
    <t xml:space="preserve">Marti Asset Holder P&amp;L — year-by-year P&amp;L if Marti owns a tranche of the fleet, vs. staying platform-only.</t>
  </si>
  <si>
    <t xml:space="preserve">Checking the math behind a number</t>
  </si>
  <si>
    <t xml:space="preserve">Start at Assumptions, then the relevant per-vessel tab (N30 Experience / N25 Shuttle) — every downstream tab traces back to these.</t>
  </si>
  <si>
    <t xml:space="preserve">TAB-BY-TAB GUIDE</t>
  </si>
  <si>
    <t xml:space="preserve">Tab</t>
  </si>
  <si>
    <t xml:space="preserve">What it shows</t>
  </si>
  <si>
    <t xml:space="preserve">Key output</t>
  </si>
  <si>
    <t xml:space="preserve">Dashboard</t>
  </si>
  <si>
    <t xml:space="preserve">One-page snapshot of the headline numbers from every tab below.</t>
  </si>
  <si>
    <t xml:space="preserve">Paybacks, fleet size, Marti revenue, ownership rungs</t>
  </si>
  <si>
    <t xml:space="preserve">Assumptions</t>
  </si>
  <si>
    <t xml:space="preserve">The editable inputs driving the whole model: market sizing, platform take rates, payback targets.</t>
  </si>
  <si>
    <t xml:space="preserve">Marti take 15% / Navier Platform Fee 10% of GMV</t>
  </si>
  <si>
    <t xml:space="preserve">N30 Experience</t>
  </si>
  <si>
    <t xml:space="preserve">Per-boat annual P&amp;L and payback for the premium experience yacht — pricing ladder, seasonal utilization, opex.</t>
  </si>
  <si>
    <t xml:space="preserve">Payback: 1.37 yrs base / 0.94 yrs target</t>
  </si>
  <si>
    <t xml:space="preserve">N25 Shuttle</t>
  </si>
  <si>
    <t xml:space="preserve">Per-boat annual P&amp;L and payback for the volume shuttle, plus the autonomy-stage margin engine (crewed → remote supervision).</t>
  </si>
  <si>
    <t xml:space="preserve">Payback: 1.64 yrs crewed / 1.43 yrs autonomous</t>
  </si>
  <si>
    <t xml:space="preserve">Fleet Sizing</t>
  </si>
  <si>
    <t xml:space="preserve">How the market-demand assumptions translate into the 2028 steady-state fleet size.</t>
  </si>
  <si>
    <t xml:space="preserve">233 vessels, $87.5M hardware TAM</t>
  </si>
  <si>
    <t xml:space="preserve">Fleet Ramp &amp; Booking Revenue Forecast</t>
  </si>
  <si>
    <t xml:space="preserve">Year-by-year (2027–2030) fleet build-out, total network GMV, and Marti's own booking revenue.</t>
  </si>
  <si>
    <t xml:space="preserve">$95M network GMV / $10.7M Marti revenue by 2030</t>
  </si>
  <si>
    <t xml:space="preserve">Profitability per Boat by Owner</t>
  </si>
  <si>
    <t xml:space="preserve">Who profits from owning a boat — 3rd-party owner vs. Marti-owned — and Marti's 3 ownership 'rungs' (platform-only / launch-fleet owner / SPV co-owner).</t>
  </si>
  <si>
    <t xml:space="preserve">Rung 2 net profit: $16.8M (2029), 83.9% ROIC</t>
  </si>
  <si>
    <t xml:space="preserve">Marti Asset Holder P&amp;L</t>
  </si>
  <si>
    <t xml:space="preserve">Year-by-year forecast of Marti's own P&amp;L if it chooses to own a tranche of the fleet — spread over the build-out, not a single-year snapshot.</t>
  </si>
  <si>
    <t xml:space="preserve">+$10.2M/yr incremental profit vs. platform-only, once phased in</t>
  </si>
  <si>
    <t xml:space="preserve">Sensitivity</t>
  </si>
  <si>
    <t xml:space="preserve">Stress-tests payback against realistic swings in utilization/pricing (N30) and load factor/fare (N25).</t>
  </si>
  <si>
    <t xml:space="preserve">Payback sensitivity grids</t>
  </si>
  <si>
    <t xml:space="preserve">2026 Validation</t>
  </si>
  <si>
    <t xml:space="preserve">How demand gets proven before a single hull ships in Türkiye — the 4 tracks (Marti data-sharing, hotel LOIs, deposit-backed waitlist, demos) and the MOU exclusivity terms.</t>
  </si>
  <si>
    <t xml:space="preserve">9 implied committed hulls vs. the 10-boat launch fleet</t>
  </si>
  <si>
    <t xml:space="preserve">NAVIER × MARTI — MODEL DASHBOARD</t>
  </si>
  <si>
    <t xml:space="preserve">All figures recalculate from Assumptions and per-vessel tabs. Change any blue cell; this page updates.</t>
  </si>
  <si>
    <t xml:space="preserve">PER-VESSEL ECONOMICS</t>
  </si>
  <si>
    <t xml:space="preserve">N30 Experience payback — Base (yrs)</t>
  </si>
  <si>
    <t xml:space="preserve">N30 Experience payback — Target (yrs)</t>
  </si>
  <si>
    <t xml:space="preserve">Realized $/day needed for 1.0-yr N30 payback</t>
  </si>
  <si>
    <t xml:space="preserve">N25 Shuttle payback — crewed (yrs)</t>
  </si>
  <si>
    <t xml:space="preserve">N25 Shuttle payback — remote supervision (yrs)</t>
  </si>
  <si>
    <t xml:space="preserve">N25 margin — crewed → autonomous</t>
  </si>
  <si>
    <t xml:space="preserve">FLEET &amp; MARKET (2028)</t>
  </si>
  <si>
    <t xml:space="preserve">Türkiye fleet</t>
  </si>
  <si>
    <t xml:space="preserve">Hardware TAM</t>
  </si>
  <si>
    <t xml:space="preserve">2028 network GMV</t>
  </si>
  <si>
    <t xml:space="preserve">2028 Marti booking revenue</t>
  </si>
  <si>
    <t xml:space="preserve">2028 Marti rev vs their 2026 guidance</t>
  </si>
  <si>
    <t xml:space="preserve">Cumulative fleet by end-2029 / end-2030 (units)</t>
  </si>
  <si>
    <t xml:space="preserve">2026 VALIDATION (NO MARKETPLACE)</t>
  </si>
  <si>
    <t xml:space="preserve">Hotel LOIs target / implied committed hulls</t>
  </si>
  <si>
    <t xml:space="preserve">Waitlist deposits escrowed</t>
  </si>
  <si>
    <t xml:space="preserve">Bidirectional exclusivity term (yrs)</t>
  </si>
  <si>
    <t xml:space="preserve">MARTI OWNERSHIP (2029)</t>
  </si>
  <si>
    <t xml:space="preserve">Rung 1 — platform only, net profit</t>
  </si>
  <si>
    <t xml:space="preserve">Rung 2 — launch-fleet owner, net profit / ROIC</t>
  </si>
  <si>
    <t xml:space="preserve">Rung 3 — SPV co-owner (50%), net profit / ROIC</t>
  </si>
  <si>
    <t xml:space="preserve">REVENUE SCENARIOS &amp; MARTI TAKE (utilization is the only lever)</t>
  </si>
  <si>
    <t xml:space="preserve">Selected scenario (toggle on Assumptions)</t>
  </si>
  <si>
    <t xml:space="preserve">util ×</t>
  </si>
  <si>
    <t xml:space="preserve">Scenario</t>
  </si>
  <si>
    <t xml:space="preserve">Utilization ×</t>
  </si>
  <si>
    <t xml:space="preserve">Asset-holder payback @ current take</t>
  </si>
  <si>
    <t xml:space="preserve">@ Marti’s 30% take</t>
  </si>
  <si>
    <t xml:space="preserve">Aggressive</t>
  </si>
  <si>
    <t xml:space="preserve">Moderate</t>
  </si>
  <si>
    <t xml:space="preserve">Conservative</t>
  </si>
  <si>
    <t xml:space="preserve">Binding case — Conservative @ 30% take payback (yrs)</t>
  </si>
  <si>
    <t xml:space="preserve">Marti take needed for ≤4-yr payback (Conservative)</t>
  </si>
  <si>
    <t xml:space="preserve">…or revenue guarantee ($/N30/yr, take held 30%)</t>
  </si>
  <si>
    <t xml:space="preserve">All blue cells are inputs you can change. Yellow = key scenario levers. Black = formulas. Green = pulls from another tab.</t>
  </si>
  <si>
    <t xml:space="preserve">Example input row format: enter plain numbers (19000000, not 19M); percentages as decimals shown as % (0.15 → 15%).</t>
  </si>
  <si>
    <t xml:space="preserve">MARKET (source: T.C. Ministry of Culture &amp; Tourism via Daily Sabah / Anadolu, 2025 actuals)</t>
  </si>
  <si>
    <t xml:space="preserve">Istanbul foreign visitors / yr</t>
  </si>
  <si>
    <t xml:space="preserve">16.01M Jan–Oct 2025, annualized</t>
  </si>
  <si>
    <t xml:space="preserve">Premium traveler share</t>
  </si>
  <si>
    <t xml:space="preserve">5★-skewed overnight mix in official stats</t>
  </si>
  <si>
    <t xml:space="preserve">Experience capture rate at scale (2028)</t>
  </si>
  <si>
    <t xml:space="preserve">share of premium visitors buying 1 water experience</t>
  </si>
  <si>
    <t xml:space="preserve">Average party size (pax / booking)</t>
  </si>
  <si>
    <t xml:space="preserve">Affluent Istanbul households (top 3%)</t>
  </si>
  <si>
    <t xml:space="preserve">~5.5M households × 3%</t>
  </si>
  <si>
    <t xml:space="preserve">Local household purchase rate / yr</t>
  </si>
  <si>
    <t xml:space="preserve">Coastal markets multiplier (× Istanbul demand)</t>
  </si>
  <si>
    <t xml:space="preserve">Bodrum/Antalya/Fethiye; Antalya = 32.5% of arrivals</t>
  </si>
  <si>
    <t xml:space="preserve">PLATFORM ECONOMICS</t>
  </si>
  <si>
    <t xml:space="preserve">Marti app booking share of GMV</t>
  </si>
  <si>
    <t xml:space="preserve">Marti take rate (% of Marti booked GMV)</t>
  </si>
  <si>
    <t xml:space="preserve">Navier Platform Fee (% of total GMV)</t>
  </si>
  <si>
    <t xml:space="preserve">Fleet mgmt software, experiences mgmt, remote diagnostics, OTA/continuous updates, captain app, multichannel booking, analytics, etc</t>
  </si>
  <si>
    <t xml:space="preserve">TARGETS</t>
  </si>
  <si>
    <t xml:space="preserve">Experience vessel payback target (yrs)</t>
  </si>
  <si>
    <t xml:space="preserve">Shuttle vessel payback target (yrs)</t>
  </si>
  <si>
    <t xml:space="preserve">SCENARIOS — UTILIZATION (the only lever that changes across cases)</t>
  </si>
  <si>
    <t xml:space="preserve">Utilization × (vs Aggressive)</t>
  </si>
  <si>
    <t xml:space="preserve">Note</t>
  </si>
  <si>
    <t xml:space="preserve">current base case (unchanged)</t>
  </si>
  <si>
    <t xml:space="preserve">−25% utilization</t>
  </si>
  <si>
    <t xml:space="preserve">−45% utilization</t>
  </si>
  <si>
    <t xml:space="preserve">SELECTED SCENARIO (toggle) →</t>
  </si>
  <si>
    <t xml:space="preserve">Selected utilization multiplier</t>
  </si>
  <si>
    <t xml:space="preserve">N30 PIONEER II — 'ALWAYS OPERATING' EXPERIENCE MODEL</t>
  </si>
  <si>
    <t xml:space="preserve">One boat, one day, five sellable slots. Utilization (share of slot revenue realized, incl. dynamic pricing) is the master lever.</t>
  </si>
  <si>
    <t xml:space="preserve">Vessel capex</t>
  </si>
  <si>
    <t xml:space="preserve">DAILY PRODUCT LADDER (per-slot pricing — dynamic, app-adjusted)</t>
  </si>
  <si>
    <t xml:space="preserve">Product</t>
  </si>
  <si>
    <t xml:space="preserve">Price</t>
  </si>
  <si>
    <t xml:space="preserve">Pax / groups</t>
  </si>
  <si>
    <t xml:space="preserve">Pricing basis</t>
  </si>
  <si>
    <t xml:space="preserve">Gross / slot</t>
  </si>
  <si>
    <t xml:space="preserve">Morning Foil Experience (45 min, learn-to-foil)</t>
  </si>
  <si>
    <t xml:space="preserve">per seat</t>
  </si>
  <si>
    <t xml:space="preserve">Midday Picnic Charter (3 hr, catered)</t>
  </si>
  <si>
    <t xml:space="preserve">per group</t>
  </si>
  <si>
    <t xml:space="preserve">Golden Hour Cruise (90 min)</t>
  </si>
  <si>
    <t xml:space="preserve">Sunset Dinner Charter (2.5 hr, incl. F&amp;B)</t>
  </si>
  <si>
    <t xml:space="preserve">Night Skyline Cruise (60 min)</t>
  </si>
  <si>
    <t xml:space="preserve">Full-day revenue potential</t>
  </si>
  <si>
    <t xml:space="preserve">SEASONAL UTILIZATION → DAY-EQUIVALENTS</t>
  </si>
  <si>
    <t xml:space="preserve">Season</t>
  </si>
  <si>
    <t xml:space="preserve">Days</t>
  </si>
  <si>
    <t xml:space="preserve">Utilization (Base)</t>
  </si>
  <si>
    <t xml:space="preserve">Utilization (Target)</t>
  </si>
  <si>
    <t xml:space="preserve">Peak (Jun–Sep)</t>
  </si>
  <si>
    <t xml:space="preserve">Shoulder (Apr–May, Oct)</t>
  </si>
  <si>
    <t xml:space="preserve">Low (Nov–Mar, event/holiday only)</t>
  </si>
  <si>
    <t xml:space="preserve">Revenue day-equivalents</t>
  </si>
  <si>
    <t xml:space="preserve">Dynamic pricing uplift (Target only: live pricing, holiday &amp; event premiums)</t>
  </si>
  <si>
    <t xml:space="preserve">ANNUAL P&amp;L PER VESSEL</t>
  </si>
  <si>
    <t xml:space="preserve">Selected</t>
  </si>
  <si>
    <t xml:space="preserve">Stretch ref</t>
  </si>
  <si>
    <t xml:space="preserve">Gross revenue</t>
  </si>
  <si>
    <t xml:space="preserve">F&amp;B / experience provisioning (% rev)</t>
  </si>
  <si>
    <t xml:space="preserve">Navier Platform Fee (% of GMV)</t>
  </si>
  <si>
    <t xml:space="preserve">  Crew (captain + host)</t>
  </si>
  <si>
    <t xml:space="preserve">  Energy (electric)</t>
  </si>
  <si>
    <t xml:space="preserve">  Dockage / marina</t>
  </si>
  <si>
    <t xml:space="preserve">  Maintenance reserve (3% capex)</t>
  </si>
  <si>
    <t xml:space="preserve">  Insurance (2% capex)</t>
  </si>
  <si>
    <t xml:space="preserve">  Turnaround, cleaning, consumables</t>
  </si>
  <si>
    <t xml:space="preserve">  Ops management allocation (dispatch, support, shore staff)</t>
  </si>
  <si>
    <t xml:space="preserve">Total fixed opex</t>
  </si>
  <si>
    <t xml:space="preserve">Contribution</t>
  </si>
  <si>
    <t xml:space="preserve">Operating margin</t>
  </si>
  <si>
    <t xml:space="preserve">PAYBACK (yrs)</t>
  </si>
  <si>
    <t xml:space="preserve">(Scenario multiplier applies to the Selected column; Stretch = fixed 0.85-util upside reference.)</t>
  </si>
  <si>
    <t xml:space="preserve">Realized $/day-equivalent needed for 1.0-yr payback</t>
  </si>
  <si>
    <t xml:space="preserve">compare vs full-day potential:</t>
  </si>
  <si>
    <t xml:space="preserve">N25 — 26-FT ALUMINUM FOILING SHUTTLE (VOLUME PRODUCT)</t>
  </si>
  <si>
    <t xml:space="preserve">Target: payback &lt; 1.5 yrs via utilization + reliability. Autonomy stages show the margin engine.</t>
  </si>
  <si>
    <t xml:space="preserve">SHUTTLE OPERATING ASSUMPTIONS</t>
  </si>
  <si>
    <t xml:space="preserve">Fare per seat</t>
  </si>
  <si>
    <t xml:space="preserve">Seats</t>
  </si>
  <si>
    <t xml:space="preserve">Legs per day</t>
  </si>
  <si>
    <t xml:space="preserve">Load factor</t>
  </si>
  <si>
    <t xml:space="preserve">Operating days / yr</t>
  </si>
  <si>
    <t xml:space="preserve">Evening charter nights / yr</t>
  </si>
  <si>
    <t xml:space="preserve">Evening charter price</t>
  </si>
  <si>
    <t xml:space="preserve">Daily shuttle revenue</t>
  </si>
  <si>
    <t xml:space="preserve">Annual gross revenue</t>
  </si>
  <si>
    <t xml:space="preserve">ANNUAL OPEX</t>
  </si>
  <si>
    <t xml:space="preserve">  Captain (Stage 0: crewed)</t>
  </si>
  <si>
    <t xml:space="preserve">  Energy</t>
  </si>
  <si>
    <t xml:space="preserve">  Dockage</t>
  </si>
  <si>
    <t xml:space="preserve">  Maintenance (4% capex)</t>
  </si>
  <si>
    <t xml:space="preserve">  Insurance</t>
  </si>
  <si>
    <t xml:space="preserve">  Cleaning &amp; misc</t>
  </si>
  <si>
    <t xml:space="preserve">  Ops management allocation (dispatch, support)</t>
  </si>
  <si>
    <t xml:space="preserve">Total opex</t>
  </si>
  <si>
    <t xml:space="preserve">AUTONOMY STAGES — MARGIN ENGINE (WITHOUT → WITH AUTONOMY)</t>
  </si>
  <si>
    <t xml:space="preserve">Stage</t>
  </si>
  <si>
    <t xml:space="preserve">Crew cost / boat</t>
  </si>
  <si>
    <t xml:space="preserve">Margin</t>
  </si>
  <si>
    <t xml:space="preserve">Payback (yrs)</t>
  </si>
  <si>
    <t xml:space="preserve">Stage 0 — Crewed (today)</t>
  </si>
  <si>
    <t xml:space="preserve">Stage 1 — Remote-assist, reduced crew hrs (−30%)</t>
  </si>
  <si>
    <t xml:space="preserve">Stage 2 — Remote supervision 1 operator : 4 boats</t>
  </si>
  <si>
    <t xml:space="preserve">Note: Stage 2 also enables ~20% fare cut at constant margin — the bridge from premium to Marti's mass demographic.</t>
  </si>
  <si>
    <t xml:space="preserve">DEMAND → FLEET SIZING (2028 STEADY STATE)</t>
  </si>
  <si>
    <t xml:space="preserve">EXPERIENCE FLEET</t>
  </si>
  <si>
    <t xml:space="preserve">Istanbul premium visitors / yr</t>
  </si>
  <si>
    <t xml:space="preserve">Tourist experience pax captured</t>
  </si>
  <si>
    <t xml:space="preserve">Local affluent bookings / yr</t>
  </si>
  <si>
    <t xml:space="preserve">Tourist bookings (pax ÷ party size)</t>
  </si>
  <si>
    <t xml:space="preserve">Total Istanbul experience bookings</t>
  </si>
  <si>
    <t xml:space="preserve">Slots per boat per yr (day-equivalents × 5 slots)</t>
  </si>
  <si>
    <t xml:space="preserve">Istanbul experience boats needed</t>
  </si>
  <si>
    <t xml:space="preserve">Türkiye experience boats (× coastal mult.)</t>
  </si>
  <si>
    <t xml:space="preserve">N30 flagship share of experience fleet</t>
  </si>
  <si>
    <t xml:space="preserve">N30 units</t>
  </si>
  <si>
    <t xml:space="preserve">N25-Experience units</t>
  </si>
  <si>
    <t xml:space="preserve">SHUTTLE FLEET</t>
  </si>
  <si>
    <t xml:space="preserve">Istanbul premium seats / day target (2028)</t>
  </si>
  <si>
    <t xml:space="preserve">Seats per boat per day</t>
  </si>
  <si>
    <t xml:space="preserve">Istanbul shuttle boats needed</t>
  </si>
  <si>
    <t xml:space="preserve">Coastal / İzmir / hotel shuttle boats</t>
  </si>
  <si>
    <t xml:space="preserve">Türkiye shuttle boats</t>
  </si>
  <si>
    <t xml:space="preserve">TOTAL FLEET &amp; HARDWARE TAM</t>
  </si>
  <si>
    <t xml:space="preserve">Total vessels (2028 network)</t>
  </si>
  <si>
    <t xml:space="preserve">N30 price</t>
  </si>
  <si>
    <t xml:space="preserve">N25 price</t>
  </si>
  <si>
    <t xml:space="preserve">Hardware TAM ($)</t>
  </si>
  <si>
    <t xml:space="preserve">NETWORK GMV &amp; MARTI ECONOMICS, 2027–2030</t>
  </si>
  <si>
    <t xml:space="preserve">Boats in service = average over the year, not year-end. Blue = ramp inputs. Ramp: ≥100 cumulative units by 2029, ~200 by 2030.</t>
  </si>
  <si>
    <t xml:space="preserve">2027</t>
  </si>
  <si>
    <t xml:space="preserve">2028</t>
  </si>
  <si>
    <t xml:space="preserve">2029</t>
  </si>
  <si>
    <t xml:space="preserve">2030</t>
  </si>
  <si>
    <t xml:space="preserve">Experience boats in service (CY avg) — all N30 through 2028</t>
  </si>
  <si>
    <t xml:space="preserve">Shuttle boats in service (avg) — N25 prototypes 2027, scale 2029–30</t>
  </si>
  <si>
    <t xml:space="preserve">Experience GMV / boat</t>
  </si>
  <si>
    <t xml:space="preserve">  Fleet factor (1.00 = all-N30 experience fleet)</t>
  </si>
  <si>
    <t xml:space="preserve">Shuttle GMV / boat</t>
  </si>
  <si>
    <t xml:space="preserve">Total network GMV</t>
  </si>
  <si>
    <t xml:space="preserve">GMV booked via Marti app</t>
  </si>
  <si>
    <t xml:space="preserve">MARTI BOOKING REVENUE</t>
  </si>
  <si>
    <t xml:space="preserve">vs. Marti 2026 revenue guidance ($70M)</t>
  </si>
  <si>
    <t xml:space="preserve">Fleet investment (units added × price)</t>
  </si>
  <si>
    <t xml:space="preserve">  N30 units added</t>
  </si>
  <si>
    <t xml:space="preserve">  N25 units added</t>
  </si>
  <si>
    <t xml:space="preserve">CUMULATIVE FLEET (total units delivered)</t>
  </si>
  <si>
    <t xml:space="preserve">MILESTONES (context — see agreement doc §6)</t>
  </si>
  <si>
    <t xml:space="preserve">2026</t>
  </si>
  <si>
    <t xml:space="preserve">MOU + announcement; validation program (data clause, hotel LOIs, deposit waitlist); permitting groundwork</t>
  </si>
  <si>
    <t xml:space="preserve">Navier Experience live (Mar); hotel partnerships; first operating data</t>
  </si>
  <si>
    <t xml:space="preserve">Shuttle corridors open; Bodrum season; autonomy Stage 1</t>
  </si>
  <si>
    <t xml:space="preserve">Four-coast network; autonomy Stage 2 — ≥100-vessel milestone hit</t>
  </si>
  <si>
    <t xml:space="preserve">~200-vessel network; ferry program design (40-ft, 20–40 pax)</t>
  </si>
  <si>
    <t xml:space="preserve">OPERATOR ECONOMICS &amp; MARTI OWNERSHIP SCENARIOS</t>
  </si>
  <si>
    <t xml:space="preserve">Fully loaded owner P&amp;L: the Navier Platform Fee is already netted into Contribution on the per-vessel tabs. This sheet layers on Marti's take, which applies only to 3rd-party owners.</t>
  </si>
  <si>
    <t xml:space="preserve">Pre-tax, pre-financing; excludes network overhead beyond per-boat ops allocation. If the Marti take is charged ON TOP of fares (booking fee), 3rd-party columns improve toward contribution-level paybacks.</t>
  </si>
  <si>
    <t xml:space="preserve">PER-BOAT OWNER P&amp;L (annual, steady state)</t>
  </si>
  <si>
    <t xml:space="preserve">N30 — 3rd-party owner</t>
  </si>
  <si>
    <t xml:space="preserve">N30 — Marti-owned</t>
  </si>
  <si>
    <t xml:space="preserve">N25 — 3rd-party owner</t>
  </si>
  <si>
    <t xml:space="preserve">N25 — Marti-owned</t>
  </si>
  <si>
    <t xml:space="preserve">Gross revenue (GMV)</t>
  </si>
  <si>
    <t xml:space="preserve">Contribution after direct opex</t>
  </si>
  <si>
    <t xml:space="preserve">(Navier Platform Fee — already included in Contribution above)</t>
  </si>
  <si>
    <t xml:space="preserve">Marti take (15% on 75% app-originated GMV)</t>
  </si>
  <si>
    <t xml:space="preserve">Operating profit</t>
  </si>
  <si>
    <t xml:space="preserve">Depreciation (10-yr straight line)</t>
  </si>
  <si>
    <t xml:space="preserve">NET PROFIT / boat / yr</t>
  </si>
  <si>
    <t xml:space="preserve">Net margin</t>
  </si>
  <si>
    <t xml:space="preserve">Cash payback (yrs, capex / operating profit)</t>
  </si>
  <si>
    <t xml:space="preserve">10-yr cumulative net profit per $1 of capex</t>
  </si>
  <si>
    <t xml:space="preserve">MARTI OWNERSHIP RUNGS — 2029 NETWORK</t>
  </si>
  <si>
    <t xml:space="preserve">Rung</t>
  </si>
  <si>
    <t xml:space="preserve">Capex</t>
  </si>
  <si>
    <t xml:space="preserve">2029 revenue touched</t>
  </si>
  <si>
    <t xml:space="preserve">2029 net profit to Marti</t>
  </si>
  <si>
    <t xml:space="preserve">ROIC</t>
  </si>
  <si>
    <t xml:space="preserve">1. Platform only (booking take, zero fleet risk)</t>
  </si>
  <si>
    <t xml:space="preserve">n/a</t>
  </si>
  <si>
    <t xml:space="preserve">2. Launch-fleet owner (Marti owns the 20 launch N30s)</t>
  </si>
  <si>
    <t xml:space="preserve">3. SPV co-owner (50% of fleet w/ Navier + 3rd-party capital)</t>
  </si>
  <si>
    <t xml:space="preserve">Rung 2: owned-fleet net at recaptured-take economics + platform take (90% margin) on the rest of the network.</t>
  </si>
  <si>
    <t xml:space="preserve">Rung 3: 50% of fleet net profit at recaptured-take economics + take on the other half of network GMV.</t>
  </si>
  <si>
    <t xml:space="preserve">MARTI ASSET HOLDER P&amp;L — IF MARTI OWNS VESSELS (2026–2030 FORECAST)</t>
  </si>
  <si>
    <t xml:space="preserve">Models Marti's own P&amp;L if it chooses to own a tranche of the fleet, spread over the build-out — not just a single-year snapshot. Default below mirrors Rung 2 (the 20 launch N30s). Edit the blue input rows to test other ownership levels; everything else recalculates live off Marti Rollup, N30 Experience, and N25 Shuttle.</t>
  </si>
  <si>
    <t xml:space="preserve">OWNERSHIP INPUT (edit these — blue cells)</t>
  </si>
  <si>
    <t xml:space="preserve">Marti-owned N30 Experience units</t>
  </si>
  <si>
    <t xml:space="preserve">Marti-owned N25 Shuttle units</t>
  </si>
  <si>
    <t xml:space="preserve">OWNED-FLEET ECONOMICS</t>
  </si>
  <si>
    <t xml:space="preserve">Owned-fleet GMV</t>
  </si>
  <si>
    <t xml:space="preserve">  Net Navier Platform Fee (10% of owned GMV)</t>
  </si>
  <si>
    <t xml:space="preserve">Owned-fleet operating profit (net of Navier fee + direct opex)</t>
  </si>
  <si>
    <t xml:space="preserve">Depreciation (10-yr straight-line on owned-fleet capex)</t>
  </si>
  <si>
    <t xml:space="preserve">OWNED-FLEET NET PROFIT</t>
  </si>
  <si>
    <t xml:space="preserve">Capex invested in owned fleet (book value)</t>
  </si>
  <si>
    <t xml:space="preserve">Annual ROIC (net profit / capex invested)</t>
  </si>
  <si>
    <t xml:space="preserve">MARTI'S TOTAL PROFIT — OWNERSHIP vs. PLATFORM-ONLY</t>
  </si>
  <si>
    <t xml:space="preserve">  Booking take on rest of network (non-owned vessels, 75% × 15% × 90% margin)</t>
  </si>
  <si>
    <t xml:space="preserve">TOTAL MARTI PROFIT — owns this tranche</t>
  </si>
  <si>
    <t xml:space="preserve">MARTI PROFIT — platform-only (no ownership)</t>
  </si>
  <si>
    <t xml:space="preserve">Incremental profit from owning vs. platform-only</t>
  </si>
  <si>
    <t xml:space="preserve">Cross-check: 2029 (col E) TOTAL MARTI PROFIT and platform-only profit above should tie to the Ownership tab's Rung 2 and Rung 1 net-profit figures (2029 snapshot).</t>
  </si>
  <si>
    <t xml:space="preserve">PAYBACK SENSITIVITY GRIDS</t>
  </si>
  <si>
    <t xml:space="preserve">Grid 1 — N30 Experience: payback (yrs) vs realized $/day-equivalent × day-equivalents/yr. Target ≤ 1.0 yr.</t>
  </si>
  <si>
    <t xml:space="preserve">Realized $/day ↓  Day-equivalents →</t>
  </si>
  <si>
    <t xml:space="preserve">Grid 2 — N25 Shuttle: payback (yrs) vs load factor × fare per seat. Target ≤ 1.5 yrs.</t>
  </si>
  <si>
    <t xml:space="preserve">Load ↓  Fare →</t>
  </si>
  <si>
    <t xml:space="preserve">Grid 3 — ASSET-HOLDER (N30 3rd-party owner) payback (yrs) vs Marti take rate × revenue scenario</t>
  </si>
  <si>
    <t xml:space="preserve">Marti take rate ↓  /  Scenario →</t>
  </si>
  <si>
    <t xml:space="preserve">Green ≤ target payback (acceptable); red = asset holder underwater on timeline. Marti’s proposed take = 30% (bottom row).</t>
  </si>
  <si>
    <t xml:space="preserve">Acceptable payback target (yrs):</t>
  </si>
  <si>
    <t xml:space="preserve">MARTI NEGOTIATION READOUT — asset holder must clear ≤ target payback</t>
  </si>
  <si>
    <t xml:space="preserve">Asset-holder payback at Marti’s proposed 30% take:</t>
  </si>
  <si>
    <t xml:space="preserve">  Aggressive</t>
  </si>
  <si>
    <t xml:space="preserve">  Moderate</t>
  </si>
  <si>
    <t xml:space="preserve">  Conservative</t>
  </si>
  <si>
    <t xml:space="preserve">Lever 1 — LOWER TAKE: max Marti take rate for ≤ target payback:</t>
  </si>
  <si>
    <t xml:space="preserve">  Conservative (binding)</t>
  </si>
  <si>
    <t xml:space="preserve">Lever 2 — REVENUE GUARANTEE (take held at 30%): min gross revenue / N30 Marti must guarantee for ≤ target payback:</t>
  </si>
  <si>
    <t xml:space="preserve">per N30/yr</t>
  </si>
  <si>
    <t xml:space="preserve">  = share of Aggressive-case revenue:</t>
  </si>
  <si>
    <t xml:space="preserve">  vs Conservative-case revenue / N30:</t>
  </si>
  <si>
    <t xml:space="preserve">2026 DEMAND VALIDATION</t>
  </si>
  <si>
    <t xml:space="preserve">Navier operates only Navier vessels, ever. 2026 proves demand through data, commitments, and deposits — not by building charter aggregation.</t>
  </si>
  <si>
    <t xml:space="preserve">TRACK 1 — MARTI DATA-SHARING CLAUSE (MOU term)</t>
  </si>
  <si>
    <t xml:space="preserve">Waterfront O/D corridors mapped from Marti ride heatmaps</t>
  </si>
  <si>
    <t xml:space="preserve">Pier-adjacent trip density &amp; time-of-day patterns</t>
  </si>
  <si>
    <t xml:space="preserve">quarterly data drops</t>
  </si>
  <si>
    <t xml:space="preserve">Purpose</t>
  </si>
  <si>
    <t xml:space="preserve">corridor selection + fare elasticity priors before any hull ships</t>
  </si>
  <si>
    <t xml:space="preserve">TRACK 2 — HOTEL LOIs (Tier 1 / 1.5 waterfront properties)</t>
  </si>
  <si>
    <t xml:space="preserve">LOIs targeted by MOU signing + 6 months</t>
  </si>
  <si>
    <t xml:space="preserve">Dedicated-boat interest per LOI (avg units)</t>
  </si>
  <si>
    <t xml:space="preserve">Implied committed hull demand (units)</t>
  </si>
  <si>
    <t xml:space="preserve">vs. 10-boat launch fleet</t>
  </si>
  <si>
    <t xml:space="preserve">TRACK 3 — DEPOSIT-BACKED WAITLIST (announcement + app)</t>
  </si>
  <si>
    <t xml:space="preserve">Waitlist sign-ups target</t>
  </si>
  <si>
    <t xml:space="preserve">Refundable deposit</t>
  </si>
  <si>
    <t xml:space="preserve">Escrowed demand signal</t>
  </si>
  <si>
    <t xml:space="preserve">Launch-quarter conversion assumption</t>
  </si>
  <si>
    <t xml:space="preserve">Converted bookings, launch quarter</t>
  </si>
  <si>
    <t xml:space="preserve">Implied bookings/day/boat from waitlist alone (10 boats, 90 days)</t>
  </si>
  <si>
    <t xml:space="preserve">vs. 5 slots/day capacity</t>
  </si>
  <si>
    <t xml:space="preserve">TRACK 4 — DEMOS (no hulls in Türkiye before Mar 2027)</t>
  </si>
  <si>
    <t xml:space="preserve">International demos (Abu Dhabi / San Francisco / New York)</t>
  </si>
  <si>
    <t xml:space="preserve">Marti leadership + candidate asset holders + Tier 1 hotel principals on the water</t>
  </si>
  <si>
    <t xml:space="preserve">MOU KEY TERMS (to accompany validation program)</t>
  </si>
  <si>
    <t xml:space="preserve">Bidirectional exclusivity (yrs)</t>
  </si>
  <si>
    <t xml:space="preserve">Marti side: water mobility vertical = Navier network exclusively (no other vessel suppliers, no charter aggregation)</t>
  </si>
  <si>
    <t xml:space="preserve">Navier side: Marti = exclusive third-party demand platform in Türkiye (carve-outs: Navier app, hotel direct, corporate accounts)</t>
  </si>
  <si>
    <t xml:space="preserve">Performance gates: Marti keeps exclusivity via marketing/volume commitments; Navier keeps it via fleet milestones (10 by Mar-27, 100 by end-29)</t>
  </si>
  <si>
    <t xml:space="preserve">Data ownership: all booking &amp; operational data generated through the Navier layer is owned by Navier; Marti receives aggregated insights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</si>
</sst>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\$#,##0"/>
    <numFmt numFmtId="167" formatCode="0.0%"/>
    <numFmt numFmtId="168" formatCode="#,##0"/>
    <numFmt numFmtId="169" formatCode="0"/>
    <numFmt numFmtId="170" formatCode="0.00\×"/>
    <numFmt numFmtId="171" formatCode="0.0"/>
    <numFmt numFmtId="172" formatCode="0.0\x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1"/>
      <color rgb="FF808080"/>
      <name val="Calibri"/>
      <family val="0"/>
      <charset val="1"/>
    </font>
    <font>
      <b val="true"/>
      <sz val="13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70"/>
    <col collapsed="false" customWidth="true" hidden="false" outlineLevel="0" max="3" min="3" style="1" width="46"/>
    <col collapsed="false" customWidth="true" hidden="false" outlineLevel="0" max="26" min="4" style="1" width="8.71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30" hidden="false" customHeight="true" outlineLevel="0" collapsed="false">
      <c r="A3" s="4" t="s">
        <v>2</v>
      </c>
      <c r="B3" s="4"/>
      <c r="C3" s="4"/>
    </row>
    <row r="5" customFormat="false" ht="15" hidden="false" customHeight="true" outlineLevel="0" collapsed="false">
      <c r="A5" s="5" t="s">
        <v>3</v>
      </c>
      <c r="B5" s="5"/>
      <c r="C5" s="5"/>
    </row>
    <row r="6" customFormat="false" ht="15" hidden="false" customHeight="true" outlineLevel="0" collapsed="false">
      <c r="A6" s="6" t="s">
        <v>4</v>
      </c>
      <c r="B6" s="1" t="s">
        <v>5</v>
      </c>
    </row>
    <row r="7" customFormat="false" ht="15" hidden="false" customHeight="true" outlineLevel="0" collapsed="false">
      <c r="A7" s="7" t="s">
        <v>6</v>
      </c>
      <c r="B7" s="1" t="s">
        <v>7</v>
      </c>
    </row>
    <row r="8" customFormat="false" ht="15" hidden="false" customHeight="true" outlineLevel="0" collapsed="false">
      <c r="A8" s="1" t="s">
        <v>8</v>
      </c>
      <c r="B8" s="1" t="s">
        <v>9</v>
      </c>
    </row>
    <row r="9" customFormat="false" ht="15" hidden="false" customHeight="true" outlineLevel="0" collapsed="false">
      <c r="A9" s="8" t="s">
        <v>10</v>
      </c>
      <c r="B9" s="1" t="s">
        <v>11</v>
      </c>
    </row>
    <row r="11" customFormat="false" ht="15" hidden="false" customHeight="true" outlineLevel="0" collapsed="false">
      <c r="A11" s="5" t="s">
        <v>12</v>
      </c>
      <c r="B11" s="5"/>
      <c r="C11" s="5"/>
    </row>
    <row r="12" customFormat="false" ht="15" hidden="false" customHeight="true" outlineLevel="0" collapsed="false">
      <c r="A12" s="9" t="s">
        <v>13</v>
      </c>
      <c r="B12" s="1" t="s">
        <v>14</v>
      </c>
    </row>
    <row r="13" customFormat="false" ht="15" hidden="false" customHeight="true" outlineLevel="0" collapsed="false">
      <c r="A13" s="9" t="s">
        <v>15</v>
      </c>
      <c r="B13" s="1" t="s">
        <v>16</v>
      </c>
    </row>
    <row r="14" customFormat="false" ht="15" hidden="false" customHeight="true" outlineLevel="0" collapsed="false">
      <c r="A14" s="9" t="s">
        <v>17</v>
      </c>
      <c r="B14" s="1" t="s">
        <v>18</v>
      </c>
    </row>
    <row r="16" customFormat="false" ht="15" hidden="false" customHeight="true" outlineLevel="0" collapsed="false">
      <c r="A16" s="5" t="s">
        <v>19</v>
      </c>
      <c r="B16" s="5"/>
      <c r="C16" s="5"/>
    </row>
    <row r="17" customFormat="false" ht="15" hidden="false" customHeight="true" outlineLevel="0" collapsed="false">
      <c r="A17" s="10" t="s">
        <v>20</v>
      </c>
      <c r="B17" s="10" t="s">
        <v>21</v>
      </c>
      <c r="C17" s="10" t="s">
        <v>22</v>
      </c>
    </row>
    <row r="19" customFormat="false" ht="45.75" hidden="false" customHeight="true" outlineLevel="0" collapsed="false">
      <c r="A19" s="11" t="s">
        <v>23</v>
      </c>
      <c r="B19" s="12" t="s">
        <v>24</v>
      </c>
      <c r="C19" s="12" t="s">
        <v>25</v>
      </c>
    </row>
    <row r="20" customFormat="false" ht="45.75" hidden="false" customHeight="true" outlineLevel="0" collapsed="false">
      <c r="A20" s="11" t="s">
        <v>26</v>
      </c>
      <c r="B20" s="12" t="s">
        <v>27</v>
      </c>
      <c r="C20" s="12" t="s">
        <v>28</v>
      </c>
    </row>
    <row r="21" customFormat="false" ht="45.75" hidden="false" customHeight="true" outlineLevel="0" collapsed="false">
      <c r="A21" s="11" t="s">
        <v>29</v>
      </c>
      <c r="B21" s="12" t="s">
        <v>30</v>
      </c>
      <c r="C21" s="12" t="s">
        <v>31</v>
      </c>
    </row>
    <row r="22" customFormat="false" ht="45.75" hidden="false" customHeight="true" outlineLevel="0" collapsed="false">
      <c r="A22" s="11" t="s">
        <v>32</v>
      </c>
      <c r="B22" s="12" t="s">
        <v>33</v>
      </c>
      <c r="C22" s="12" t="s">
        <v>34</v>
      </c>
    </row>
    <row r="23" customFormat="false" ht="45.75" hidden="false" customHeight="true" outlineLevel="0" collapsed="false">
      <c r="A23" s="11" t="s">
        <v>35</v>
      </c>
      <c r="B23" s="12" t="s">
        <v>36</v>
      </c>
      <c r="C23" s="12" t="s">
        <v>37</v>
      </c>
    </row>
    <row r="24" customFormat="false" ht="45.75" hidden="false" customHeight="true" outlineLevel="0" collapsed="false">
      <c r="A24" s="11" t="s">
        <v>38</v>
      </c>
      <c r="B24" s="12" t="s">
        <v>39</v>
      </c>
      <c r="C24" s="12" t="s">
        <v>40</v>
      </c>
    </row>
    <row r="25" customFormat="false" ht="45.75" hidden="false" customHeight="true" outlineLevel="0" collapsed="false">
      <c r="A25" s="11" t="s">
        <v>41</v>
      </c>
      <c r="B25" s="12" t="s">
        <v>42</v>
      </c>
      <c r="C25" s="12" t="s">
        <v>43</v>
      </c>
    </row>
    <row r="26" customFormat="false" ht="45.75" hidden="false" customHeight="true" outlineLevel="0" collapsed="false">
      <c r="A26" s="11" t="s">
        <v>44</v>
      </c>
      <c r="B26" s="12" t="s">
        <v>45</v>
      </c>
      <c r="C26" s="12" t="s">
        <v>46</v>
      </c>
    </row>
    <row r="27" customFormat="false" ht="45.75" hidden="false" customHeight="true" outlineLevel="0" collapsed="false">
      <c r="A27" s="11" t="s">
        <v>47</v>
      </c>
      <c r="B27" s="12" t="s">
        <v>48</v>
      </c>
      <c r="C27" s="12" t="s">
        <v>49</v>
      </c>
    </row>
    <row r="28" customFormat="false" ht="45.75" hidden="false" customHeight="true" outlineLevel="0" collapsed="false">
      <c r="A28" s="11" t="s">
        <v>50</v>
      </c>
      <c r="B28" s="12" t="s">
        <v>51</v>
      </c>
      <c r="C28" s="12" t="s">
        <v>52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4">
    <mergeCell ref="A3:C3"/>
    <mergeCell ref="A5:C5"/>
    <mergeCell ref="A11:C11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6" min="4" style="1" width="8.71"/>
  </cols>
  <sheetData>
    <row r="1" customFormat="false" ht="17.25" hidden="false" customHeight="true" outlineLevel="0" collapsed="false">
      <c r="A1" s="13" t="s">
        <v>53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4" t="s">
        <v>54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5" t="s">
        <v>55</v>
      </c>
      <c r="B4" s="16"/>
      <c r="C4" s="1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4" t="s">
        <v>56</v>
      </c>
      <c r="B5" s="17" t="n">
        <f aca="false">'N30 Experience'!C37</f>
        <v>1.36973617237637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4" t="s">
        <v>57</v>
      </c>
      <c r="B6" s="18" t="n">
        <f aca="false">'N30 Experience'!D37</f>
        <v>0.941600608267967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4" t="s">
        <v>58</v>
      </c>
      <c r="B7" s="19" t="n">
        <f aca="false">'N30 Experience'!B39</f>
        <v>8187.83286663372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4" t="s">
        <v>59</v>
      </c>
      <c r="B8" s="18" t="n">
        <f aca="false">'N25 Shuttle'!B30</f>
        <v>1.63561184968073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4" t="s">
        <v>60</v>
      </c>
      <c r="B9" s="17" t="n">
        <f aca="false">'N25 Shuttle'!E36</f>
        <v>1.4257362501996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4" t="s">
        <v>61</v>
      </c>
      <c r="B10" s="20" t="n">
        <f aca="false">'N25 Shuttle'!B29</f>
        <v>0.548392652123996</v>
      </c>
      <c r="C10" s="20" t="n">
        <f aca="false">'N25 Shuttle'!D36</f>
        <v>0.629118828932262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5" t="s">
        <v>62</v>
      </c>
      <c r="B12" s="16"/>
      <c r="C12" s="1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4" t="s">
        <v>63</v>
      </c>
      <c r="B13" s="21" t="n">
        <f aca="false">'Fleet Sizing'!B24</f>
        <v>233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4" t="s">
        <v>64</v>
      </c>
      <c r="B14" s="19" t="n">
        <f aca="false">'Fleet Sizing'!B27</f>
        <v>87500000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4" t="s">
        <v>65</v>
      </c>
      <c r="B15" s="19" t="n">
        <f aca="false">'Fleet Ramp &amp; Booking Revenue Fo'!C10</f>
        <v>36480400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4" t="s">
        <v>66</v>
      </c>
      <c r="B16" s="22" t="n">
        <f aca="false">'Fleet Ramp &amp; Booking Revenue Fo'!C12</f>
        <v>4104045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4" t="s">
        <v>67</v>
      </c>
      <c r="B17" s="20" t="n">
        <f aca="false">'Fleet Ramp &amp; Booking Revenue Fo'!C13</f>
        <v>0.0586292142857143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4" t="s">
        <v>68</v>
      </c>
      <c r="B18" s="23" t="n">
        <f aca="false">'Fleet Ramp &amp; Booking Revenue Fo'!D18</f>
        <v>132</v>
      </c>
      <c r="C18" s="23" t="n">
        <f aca="false">'Fleet Ramp &amp; Booking Revenue Fo'!E18</f>
        <v>207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5" t="s">
        <v>69</v>
      </c>
      <c r="B19" s="16"/>
      <c r="C19" s="1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4" t="s">
        <v>70</v>
      </c>
      <c r="B20" s="21" t="n">
        <f aca="false">'2026 Validation'!B10</f>
        <v>6</v>
      </c>
      <c r="C20" s="21" t="n">
        <f aca="false">'2026 Validation'!B12</f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4" t="s">
        <v>71</v>
      </c>
      <c r="B21" s="19" t="n">
        <f aca="false">'2026 Validation'!B18</f>
        <v>250000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4" t="s">
        <v>72</v>
      </c>
      <c r="B22" s="24" t="n">
        <f aca="false">'2026 Validation'!B29</f>
        <v>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5" t="s">
        <v>73</v>
      </c>
      <c r="B24" s="16"/>
      <c r="C24" s="1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4" t="s">
        <v>74</v>
      </c>
      <c r="B25" s="19" t="n">
        <f aca="false">'Profitability per Boat by Owner'!D20</f>
        <v>6584615.55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4" t="s">
        <v>75</v>
      </c>
      <c r="B26" s="22" t="n">
        <f aca="false">'Profitability per Boat by Owner'!D21</f>
        <v>16789542.05</v>
      </c>
      <c r="C26" s="20" t="n">
        <f aca="false">'Profitability per Boat by Owner'!E21</f>
        <v>0.8394771025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4" t="s">
        <v>76</v>
      </c>
      <c r="B27" s="19" t="n">
        <f aca="false">'Profitability per Boat by Owner'!D22</f>
        <v>20039547.375</v>
      </c>
      <c r="C27" s="20" t="n">
        <f aca="false">'Profitability per Boat by Owner'!E22</f>
        <v>0.600435876404494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25" t="s">
        <v>77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26" t="s">
        <v>78</v>
      </c>
      <c r="B30" s="27" t="str">
        <f aca="false">Assumptions!B29</f>
        <v>Aggressive</v>
      </c>
      <c r="C30" s="26" t="s">
        <v>79</v>
      </c>
      <c r="D30" s="28" t="n">
        <f aca="false">Assumptions!B30</f>
        <v>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25" t="s">
        <v>80</v>
      </c>
      <c r="B31" s="25" t="s">
        <v>81</v>
      </c>
      <c r="C31" s="25" t="s">
        <v>82</v>
      </c>
      <c r="D31" s="25" t="s">
        <v>83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26" t="s">
        <v>84</v>
      </c>
      <c r="B32" s="28" t="n">
        <f aca="false">Assumptions!B25</f>
        <v>1</v>
      </c>
      <c r="C32" s="29" t="n">
        <f aca="false">Sensitivity!B30</f>
        <v>1.67523030438013</v>
      </c>
      <c r="D32" s="29" t="n">
        <f aca="false">Sensitivity!B33</f>
        <v>2.15611060071182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26" t="s">
        <v>85</v>
      </c>
      <c r="B33" s="28" t="n">
        <f aca="false">Assumptions!B26</f>
        <v>0.75</v>
      </c>
      <c r="C33" s="29" t="n">
        <f aca="false">Sensitivity!C30</f>
        <v>2.50344450494088</v>
      </c>
      <c r="D33" s="29" t="n">
        <f aca="false">Sensitivity!C33</f>
        <v>3.33779958733115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26" t="s">
        <v>86</v>
      </c>
      <c r="B34" s="28" t="n">
        <f aca="false">Assumptions!B27</f>
        <v>0.55</v>
      </c>
      <c r="C34" s="29" t="n">
        <f aca="false">Sensitivity!D30</f>
        <v>4.14142009522844</v>
      </c>
      <c r="D34" s="29" t="n">
        <f aca="false">Sensitivity!D33</f>
        <v>5.94392660130349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26" t="s">
        <v>87</v>
      </c>
      <c r="B36" s="29" t="n">
        <f aca="false">Sensitivity!D33</f>
        <v>5.94392660130349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26" t="s">
        <v>88</v>
      </c>
      <c r="B37" s="30" t="n">
        <f aca="false">Sensitivity!B46</f>
        <v>0.132512046492882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26" t="s">
        <v>89</v>
      </c>
      <c r="B38" s="31" t="n">
        <f aca="false">Sensitivity!B49</f>
        <v>798198.198198198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48"/>
    <col collapsed="false" customWidth="true" hidden="false" outlineLevel="0" max="6" min="4" style="1" width="8.71"/>
  </cols>
  <sheetData>
    <row r="1" customFormat="false" ht="17.25" hidden="false" customHeight="true" outlineLevel="0" collapsed="false">
      <c r="A1" s="1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4" t="s">
        <v>90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4" t="s">
        <v>91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5" t="s">
        <v>92</v>
      </c>
      <c r="B5" s="16"/>
      <c r="C5" s="16"/>
      <c r="D5" s="1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4" t="s">
        <v>93</v>
      </c>
      <c r="B6" s="32" t="n">
        <v>19000000</v>
      </c>
      <c r="C6" s="14" t="s">
        <v>94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4" t="s">
        <v>95</v>
      </c>
      <c r="B7" s="33" t="n">
        <v>0.15</v>
      </c>
      <c r="C7" s="14" t="s">
        <v>96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4" t="s">
        <v>97</v>
      </c>
      <c r="B8" s="33" t="n">
        <v>0.08</v>
      </c>
      <c r="C8" s="14" t="s">
        <v>98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4" t="s">
        <v>99</v>
      </c>
      <c r="B9" s="32" t="n">
        <v>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4" t="s">
        <v>100</v>
      </c>
      <c r="B10" s="32" t="n">
        <v>165000</v>
      </c>
      <c r="C10" s="14" t="s">
        <v>101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4" t="s">
        <v>102</v>
      </c>
      <c r="B11" s="34" t="n">
        <v>0.2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4" t="s">
        <v>103</v>
      </c>
      <c r="B12" s="35" t="n">
        <v>1.5</v>
      </c>
      <c r="C12" s="14" t="s">
        <v>104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5" t="s">
        <v>105</v>
      </c>
      <c r="B14" s="16"/>
      <c r="C14" s="16"/>
      <c r="D14" s="1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4" t="s">
        <v>106</v>
      </c>
      <c r="B15" s="34" t="n">
        <v>0.75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4" t="s">
        <v>107</v>
      </c>
      <c r="B16" s="33" t="n">
        <v>0.15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34.5" hidden="false" customHeight="true" outlineLevel="0" collapsed="false">
      <c r="A17" s="14" t="s">
        <v>108</v>
      </c>
      <c r="B17" s="33" t="n">
        <v>0.1</v>
      </c>
      <c r="C17" s="36" t="s">
        <v>109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5" t="s">
        <v>110</v>
      </c>
      <c r="B19" s="16"/>
      <c r="C19" s="16"/>
      <c r="D19" s="1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14" t="s">
        <v>111</v>
      </c>
      <c r="B20" s="37" t="n">
        <v>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4" t="s">
        <v>112</v>
      </c>
      <c r="B21" s="37" t="n">
        <v>1.5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25" t="s">
        <v>113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25" t="s">
        <v>80</v>
      </c>
      <c r="B24" s="25" t="s">
        <v>114</v>
      </c>
      <c r="C24" s="25" t="s">
        <v>115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26" t="s">
        <v>84</v>
      </c>
      <c r="B25" s="38" t="n">
        <v>1</v>
      </c>
      <c r="C25" s="26" t="s">
        <v>116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26" t="s">
        <v>85</v>
      </c>
      <c r="B26" s="38" t="n">
        <v>0.75</v>
      </c>
      <c r="C26" s="26" t="s">
        <v>117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26" t="s">
        <v>86</v>
      </c>
      <c r="B27" s="38" t="n">
        <v>0.55</v>
      </c>
      <c r="C27" s="26" t="s">
        <v>118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25" t="s">
        <v>119</v>
      </c>
      <c r="B29" s="39" t="s">
        <v>84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26" t="s">
        <v>120</v>
      </c>
      <c r="B30" s="40" t="n">
        <f aca="false">INDEX(B25:B27,MATCH(B29,A25:A27,0))</f>
        <v>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false" errorStyle="stop" operator="between" showDropDown="false" showErrorMessage="false" showInputMessage="false" sqref="B29" type="list">
      <formula1>"Aggressive,Moderate,Conservative"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8.29"/>
    <col collapsed="false" customWidth="true" hidden="false" outlineLevel="0" max="2" min="2" style="1" width="15"/>
    <col collapsed="false" customWidth="true" hidden="false" outlineLevel="0" max="3" min="3" style="1" width="28.43"/>
    <col collapsed="false" customWidth="true" hidden="false" outlineLevel="0" max="4" min="4" style="1" width="19.43"/>
    <col collapsed="false" customWidth="true" hidden="false" outlineLevel="0" max="5" min="5" style="1" width="15"/>
    <col collapsed="false" customWidth="true" hidden="false" outlineLevel="0" max="6" min="6" style="1" width="8.71"/>
  </cols>
  <sheetData>
    <row r="1" customFormat="false" ht="17.25" hidden="false" customHeight="true" outlineLevel="0" collapsed="false">
      <c r="A1" s="13" t="s">
        <v>121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4" t="s">
        <v>122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1" t="s">
        <v>123</v>
      </c>
      <c r="B4" s="42" t="n">
        <v>1000000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5" t="s">
        <v>124</v>
      </c>
      <c r="B6" s="16"/>
      <c r="C6" s="16"/>
      <c r="D6" s="16"/>
      <c r="E6" s="1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43" t="s">
        <v>125</v>
      </c>
      <c r="B7" s="43" t="s">
        <v>126</v>
      </c>
      <c r="C7" s="43" t="s">
        <v>127</v>
      </c>
      <c r="D7" s="43" t="s">
        <v>128</v>
      </c>
      <c r="E7" s="43" t="s">
        <v>129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4" t="s">
        <v>130</v>
      </c>
      <c r="B8" s="44" t="n">
        <v>95</v>
      </c>
      <c r="C8" s="32" t="n">
        <v>6</v>
      </c>
      <c r="D8" s="14" t="s">
        <v>131</v>
      </c>
      <c r="E8" s="45" t="n">
        <f aca="false">B8*C8</f>
        <v>570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4" t="s">
        <v>132</v>
      </c>
      <c r="B9" s="44" t="n">
        <v>2000</v>
      </c>
      <c r="C9" s="32" t="n">
        <v>1</v>
      </c>
      <c r="D9" s="14" t="s">
        <v>133</v>
      </c>
      <c r="E9" s="45" t="n">
        <f aca="false">B9*C9</f>
        <v>2000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4" t="s">
        <v>134</v>
      </c>
      <c r="B10" s="44" t="n">
        <v>120</v>
      </c>
      <c r="C10" s="32" t="n">
        <v>8</v>
      </c>
      <c r="D10" s="14" t="s">
        <v>131</v>
      </c>
      <c r="E10" s="45" t="n">
        <f aca="false">B10*C10</f>
        <v>960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4" t="s">
        <v>135</v>
      </c>
      <c r="B11" s="44" t="n">
        <v>3200</v>
      </c>
      <c r="C11" s="32" t="n">
        <v>1</v>
      </c>
      <c r="D11" s="14" t="s">
        <v>133</v>
      </c>
      <c r="E11" s="45" t="n">
        <f aca="false">B11*C11</f>
        <v>3200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4" t="s">
        <v>136</v>
      </c>
      <c r="B12" s="44" t="n">
        <v>95</v>
      </c>
      <c r="C12" s="32" t="n">
        <v>8</v>
      </c>
      <c r="D12" s="14" t="s">
        <v>131</v>
      </c>
      <c r="E12" s="45" t="n">
        <f aca="false">B12*C12</f>
        <v>760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41" t="s">
        <v>137</v>
      </c>
      <c r="E13" s="46" t="n">
        <f aca="false">SUM(E8:E12)</f>
        <v>7490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5" t="s">
        <v>138</v>
      </c>
      <c r="B15" s="16"/>
      <c r="C15" s="16"/>
      <c r="D15" s="16"/>
      <c r="E15" s="1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43" t="s">
        <v>139</v>
      </c>
      <c r="B16" s="43" t="s">
        <v>140</v>
      </c>
      <c r="C16" s="43" t="s">
        <v>141</v>
      </c>
      <c r="D16" s="43" t="s">
        <v>142</v>
      </c>
      <c r="E16" s="4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4" t="s">
        <v>143</v>
      </c>
      <c r="B17" s="32" t="n">
        <v>120</v>
      </c>
      <c r="C17" s="34" t="n">
        <v>0.75</v>
      </c>
      <c r="D17" s="33" t="n">
        <v>0.85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4" t="s">
        <v>144</v>
      </c>
      <c r="B18" s="32" t="n">
        <v>100</v>
      </c>
      <c r="C18" s="34" t="n">
        <v>0.5</v>
      </c>
      <c r="D18" s="33" t="n">
        <v>0.62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4" t="s">
        <v>145</v>
      </c>
      <c r="B19" s="32" t="n">
        <v>60</v>
      </c>
      <c r="C19" s="34" t="n">
        <v>0.3</v>
      </c>
      <c r="D19" s="33" t="n">
        <v>0.38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41" t="s">
        <v>146</v>
      </c>
      <c r="C20" s="47" t="n">
        <f aca="false">SUMPRODUCT($B$17:$B$19,C17:C19)</f>
        <v>158</v>
      </c>
      <c r="D20" s="47" t="n">
        <f aca="false">SUMPRODUCT($B$17:$B$19,D17:D19)</f>
        <v>186.8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4" t="s">
        <v>147</v>
      </c>
      <c r="D21" s="33" t="n">
        <v>0.15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5" t="s">
        <v>148</v>
      </c>
      <c r="B22" s="16"/>
      <c r="C22" s="16"/>
      <c r="D22" s="16"/>
      <c r="E22" s="1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C23" s="43" t="s">
        <v>149</v>
      </c>
      <c r="D23" s="43" t="s">
        <v>150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4" t="s">
        <v>151</v>
      </c>
      <c r="C24" s="45" t="n">
        <f aca="false">$E$13*C20*Assumptions!$B$30</f>
        <v>1183420</v>
      </c>
      <c r="D24" s="45" t="n">
        <f aca="false">$E$13*D20*(1+$D$21)</f>
        <v>1609001.8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4" t="s">
        <v>152</v>
      </c>
      <c r="B25" s="34" t="n">
        <v>0.12</v>
      </c>
      <c r="C25" s="45" t="n">
        <f aca="false">-C24*$B$25</f>
        <v>-142010.4</v>
      </c>
      <c r="D25" s="45" t="n">
        <f aca="false">-D24*$B$25</f>
        <v>-193080.216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4" t="s">
        <v>153</v>
      </c>
      <c r="B26" s="20" t="n">
        <f aca="false">Assumptions!$B$17</f>
        <v>0.1</v>
      </c>
      <c r="C26" s="45" t="n">
        <f aca="false">-C24*$B$26</f>
        <v>-118342</v>
      </c>
      <c r="D26" s="45" t="n">
        <f aca="false">-D24*$B$26</f>
        <v>-160900.18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4" t="s">
        <v>154</v>
      </c>
      <c r="B27" s="44" t="n">
        <v>-65000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4" t="s">
        <v>155</v>
      </c>
      <c r="B28" s="44" t="n">
        <v>-18000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4" t="s">
        <v>156</v>
      </c>
      <c r="B29" s="44" t="n">
        <v>-30000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4" t="s">
        <v>157</v>
      </c>
      <c r="B30" s="45" t="n">
        <f aca="false">-$B$4*0.03</f>
        <v>-30000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4" t="s">
        <v>158</v>
      </c>
      <c r="B31" s="45" t="n">
        <f aca="false">-$B$4*0.02</f>
        <v>-20000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4" t="s">
        <v>159</v>
      </c>
      <c r="B32" s="44" t="n">
        <v>-12000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4" t="s">
        <v>160</v>
      </c>
      <c r="B33" s="44" t="n">
        <v>-18000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41" t="s">
        <v>161</v>
      </c>
      <c r="B34" s="45" t="n">
        <f aca="false">SUM(B27:B33)</f>
        <v>-193000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41" t="s">
        <v>162</v>
      </c>
      <c r="C35" s="45" t="n">
        <f aca="false">C24+C25+C26+$B$34</f>
        <v>730067.6</v>
      </c>
      <c r="D35" s="45" t="n">
        <f aca="false">D24+D25+D26+$B$34</f>
        <v>1062021.404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4" t="s">
        <v>163</v>
      </c>
      <c r="C36" s="48" t="n">
        <f aca="false">C35/C24</f>
        <v>0.616913352824864</v>
      </c>
      <c r="D36" s="48" t="n">
        <f aca="false">D35/D24</f>
        <v>0.660049854512282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41" t="s">
        <v>164</v>
      </c>
      <c r="C37" s="49" t="n">
        <f aca="false">$B$4/C35</f>
        <v>1.36973617237637</v>
      </c>
      <c r="D37" s="49" t="n">
        <f aca="false">$B$4/D35</f>
        <v>0.941600608267967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50" t="s">
        <v>165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41" t="s">
        <v>166</v>
      </c>
      <c r="B39" s="45" t="n">
        <f aca="false">($B$4-$B$34)/(D20*(1-$B$25-$B$26))/1</f>
        <v>8187.83286663372</v>
      </c>
      <c r="C39" s="14" t="s">
        <v>167</v>
      </c>
      <c r="D39" s="19" t="n">
        <f aca="false">$E$13</f>
        <v>7490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7.29"/>
    <col collapsed="false" customWidth="true" hidden="false" outlineLevel="0" max="3" min="3" style="1" width="13.71"/>
    <col collapsed="false" customWidth="true" hidden="false" outlineLevel="0" max="4" min="4" style="1" width="8"/>
    <col collapsed="false" customWidth="true" hidden="false" outlineLevel="0" max="5" min="5" style="1" width="14.71"/>
    <col collapsed="false" customWidth="true" hidden="false" outlineLevel="0" max="6" min="6" style="1" width="8.71"/>
  </cols>
  <sheetData>
    <row r="1" customFormat="false" ht="17.25" hidden="false" customHeight="true" outlineLevel="0" collapsed="false">
      <c r="A1" s="13" t="s">
        <v>168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4" t="s">
        <v>169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1" t="s">
        <v>123</v>
      </c>
      <c r="B4" s="42" t="n">
        <v>250000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5" t="s">
        <v>170</v>
      </c>
      <c r="B6" s="16"/>
      <c r="C6" s="1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4" t="s">
        <v>171</v>
      </c>
      <c r="B7" s="42" t="n">
        <v>14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4" t="s">
        <v>172</v>
      </c>
      <c r="B8" s="32" t="n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4" t="s">
        <v>173</v>
      </c>
      <c r="B9" s="51" t="n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4" t="s">
        <v>174</v>
      </c>
      <c r="B10" s="33" t="n">
        <v>0.55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4" t="s">
        <v>175</v>
      </c>
      <c r="B11" s="32" t="n">
        <v>300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4" t="s">
        <v>176</v>
      </c>
      <c r="B12" s="32" t="n">
        <v>40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4" t="s">
        <v>177</v>
      </c>
      <c r="B13" s="44" t="n">
        <v>500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41" t="s">
        <v>178</v>
      </c>
      <c r="B15" s="45" t="n">
        <f aca="false">B7*B8*B9*B10</f>
        <v>862.4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41" t="s">
        <v>179</v>
      </c>
      <c r="B16" s="45" t="n">
        <f aca="false">B15*B11*Assumptions!$B$30+B12*B13</f>
        <v>278720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5" t="s">
        <v>180</v>
      </c>
      <c r="B18" s="16"/>
      <c r="C18" s="1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4" t="s">
        <v>181</v>
      </c>
      <c r="B19" s="44" t="n">
        <v>-30000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4" t="s">
        <v>182</v>
      </c>
      <c r="B20" s="44" t="n">
        <v>-14000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4" t="s">
        <v>183</v>
      </c>
      <c r="B21" s="44" t="n">
        <v>-18000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4" t="s">
        <v>184</v>
      </c>
      <c r="B22" s="45" t="n">
        <f aca="false">-$B$4*0.04</f>
        <v>-10000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4" t="s">
        <v>185</v>
      </c>
      <c r="B23" s="44" t="n">
        <v>-6000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4" t="s">
        <v>186</v>
      </c>
      <c r="B24" s="44" t="n">
        <v>-8000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4" t="s">
        <v>187</v>
      </c>
      <c r="B25" s="44" t="n">
        <v>-12000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4" t="s">
        <v>153</v>
      </c>
      <c r="B26" s="19" t="n">
        <f aca="false">-B16*Assumptions!$B$17</f>
        <v>-27872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41" t="s">
        <v>188</v>
      </c>
      <c r="B27" s="45" t="n">
        <f aca="false">SUM(B19:B26)</f>
        <v>-125872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41" t="s">
        <v>162</v>
      </c>
      <c r="B28" s="45" t="n">
        <f aca="false">B16+B27</f>
        <v>152848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4" t="s">
        <v>163</v>
      </c>
      <c r="B29" s="48" t="n">
        <f aca="false">B28/B16</f>
        <v>0.548392652123996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41" t="s">
        <v>164</v>
      </c>
      <c r="B30" s="49" t="n">
        <f aca="false">B4/B28</f>
        <v>1.63561184968073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5" t="s">
        <v>189</v>
      </c>
      <c r="B32" s="16"/>
      <c r="C32" s="16"/>
      <c r="D32" s="16"/>
      <c r="E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43" t="s">
        <v>190</v>
      </c>
      <c r="B33" s="43" t="s">
        <v>191</v>
      </c>
      <c r="C33" s="43" t="s">
        <v>162</v>
      </c>
      <c r="D33" s="43" t="s">
        <v>192</v>
      </c>
      <c r="E33" s="43" t="s">
        <v>193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4" t="s">
        <v>194</v>
      </c>
      <c r="B34" s="45" t="n">
        <f aca="false">$B$19*1</f>
        <v>-30000</v>
      </c>
      <c r="C34" s="45" t="n">
        <f aca="false">$B$28-$B$19+B34</f>
        <v>152848</v>
      </c>
      <c r="D34" s="48" t="n">
        <f aca="false">C34/$B$16</f>
        <v>0.548392652123996</v>
      </c>
      <c r="E34" s="52" t="n">
        <f aca="false">$B$4/C34</f>
        <v>1.63561184968073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4" t="s">
        <v>195</v>
      </c>
      <c r="B35" s="45" t="n">
        <f aca="false">$B$19*0.7</f>
        <v>-21000</v>
      </c>
      <c r="C35" s="45" t="n">
        <f aca="false">$B$28-$B$19+B35</f>
        <v>161848</v>
      </c>
      <c r="D35" s="48" t="n">
        <f aca="false">C35/$B$16</f>
        <v>0.580683122847302</v>
      </c>
      <c r="E35" s="52" t="n">
        <f aca="false">$B$4/C35</f>
        <v>1.54465918639711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4" t="s">
        <v>196</v>
      </c>
      <c r="B36" s="45" t="n">
        <f aca="false">$B$19*0.25</f>
        <v>-7500</v>
      </c>
      <c r="C36" s="45" t="n">
        <f aca="false">$B$28-$B$19+B36</f>
        <v>175348</v>
      </c>
      <c r="D36" s="48" t="n">
        <f aca="false">C36/$B$16</f>
        <v>0.629118828932262</v>
      </c>
      <c r="E36" s="52" t="n">
        <f aca="false">$B$4/C36</f>
        <v>1.4257362501996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4" t="s">
        <v>197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6" min="3" style="1" width="8.71"/>
  </cols>
  <sheetData>
    <row r="1" customFormat="false" ht="17.25" hidden="false" customHeight="true" outlineLevel="0" collapsed="false">
      <c r="A1" s="13" t="s">
        <v>198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5" t="s">
        <v>199</v>
      </c>
      <c r="B3" s="16"/>
      <c r="C3" s="1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4" t="s">
        <v>200</v>
      </c>
      <c r="B4" s="21" t="n">
        <f aca="false">Assumptions!B6*Assumptions!B7</f>
        <v>2850000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4" t="s">
        <v>201</v>
      </c>
      <c r="B5" s="53" t="n">
        <f aca="false">B4*Assumptions!B8</f>
        <v>228000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4" t="s">
        <v>202</v>
      </c>
      <c r="B6" s="21" t="n">
        <f aca="false">Assumptions!B10*Assumptions!B11</f>
        <v>33000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4" t="s">
        <v>203</v>
      </c>
      <c r="B7" s="53" t="n">
        <f aca="false">B5/Assumptions!B9</f>
        <v>45600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4" t="s">
        <v>204</v>
      </c>
      <c r="B8" s="53" t="n">
        <f aca="false">B6+B7</f>
        <v>78600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4" t="s">
        <v>205</v>
      </c>
      <c r="B9" s="21" t="n">
        <f aca="false">'N30 Experience'!D20*5</f>
        <v>934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41" t="s">
        <v>206</v>
      </c>
      <c r="B10" s="54" t="n">
        <f aca="false">ROUNDUP(B8/B9,0)</f>
        <v>85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41" t="s">
        <v>207</v>
      </c>
      <c r="B11" s="54" t="n">
        <f aca="false">ROUNDUP(B10*Assumptions!B12,0)</f>
        <v>128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4" t="s">
        <v>208</v>
      </c>
      <c r="B12" s="34" t="n">
        <v>0.3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4" t="s">
        <v>209</v>
      </c>
      <c r="B13" s="53" t="n">
        <f aca="false">ROUNDUP(B11*B12,0)</f>
        <v>39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4" t="s">
        <v>210</v>
      </c>
      <c r="B14" s="53" t="n">
        <f aca="false">B11-B13</f>
        <v>89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5" t="s">
        <v>211</v>
      </c>
      <c r="B16" s="16"/>
      <c r="C16" s="1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4" t="s">
        <v>212</v>
      </c>
      <c r="B17" s="51" t="n">
        <v>4000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4" t="s">
        <v>213</v>
      </c>
      <c r="B18" s="55" t="n">
        <f aca="false">'N25 Shuttle'!B8*'N25 Shuttle'!B9*'N25 Shuttle'!B10</f>
        <v>61.6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41" t="s">
        <v>214</v>
      </c>
      <c r="B19" s="54" t="n">
        <f aca="false">ROUNDUP(B17/B18,0)</f>
        <v>65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4" t="s">
        <v>215</v>
      </c>
      <c r="B20" s="32" t="n">
        <v>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41" t="s">
        <v>216</v>
      </c>
      <c r="B21" s="54" t="n">
        <f aca="false">B19+B20</f>
        <v>105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5" t="s">
        <v>217</v>
      </c>
      <c r="B23" s="16"/>
      <c r="C23" s="1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41" t="s">
        <v>218</v>
      </c>
      <c r="B24" s="54" t="n">
        <f aca="false">B11+B21</f>
        <v>233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4" t="s">
        <v>219</v>
      </c>
      <c r="B25" s="19" t="n">
        <f aca="false">'N30 Experience'!B4</f>
        <v>1000000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4" t="s">
        <v>220</v>
      </c>
      <c r="B26" s="19" t="n">
        <f aca="false">'N25 Shuttle'!B4</f>
        <v>250000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41" t="s">
        <v>221</v>
      </c>
      <c r="B27" s="46" t="n">
        <f aca="false">B13*B25+(B14+B21)*B26</f>
        <v>87500000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6"/>
    <col collapsed="false" customWidth="true" hidden="false" outlineLevel="0" max="5" min="2" style="1" width="16"/>
    <col collapsed="false" customWidth="true" hidden="false" outlineLevel="0" max="6" min="6" style="1" width="8.71"/>
  </cols>
  <sheetData>
    <row r="1" customFormat="false" ht="17.25" hidden="false" customHeight="true" outlineLevel="0" collapsed="false">
      <c r="A1" s="13" t="s">
        <v>222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4" t="s">
        <v>223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B4" s="43" t="s">
        <v>224</v>
      </c>
      <c r="C4" s="43" t="s">
        <v>225</v>
      </c>
      <c r="D4" s="43" t="s">
        <v>226</v>
      </c>
      <c r="E4" s="43" t="s">
        <v>227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4" t="s">
        <v>228</v>
      </c>
      <c r="B5" s="32" t="n">
        <v>12</v>
      </c>
      <c r="C5" s="32" t="n">
        <v>28</v>
      </c>
      <c r="D5" s="32" t="n">
        <v>42</v>
      </c>
      <c r="E5" s="32" t="n">
        <v>52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4" t="s">
        <v>229</v>
      </c>
      <c r="B6" s="32" t="n">
        <v>0</v>
      </c>
      <c r="C6" s="32" t="n">
        <v>12</v>
      </c>
      <c r="D6" s="32" t="n">
        <v>55</v>
      </c>
      <c r="E6" s="32" t="n">
        <v>120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4" t="s">
        <v>230</v>
      </c>
      <c r="B7" s="19" t="n">
        <f aca="false">'N30 Experience'!C24*$B$8</f>
        <v>1183420</v>
      </c>
      <c r="C7" s="45" t="n">
        <f aca="false">$B$7</f>
        <v>1183420</v>
      </c>
      <c r="D7" s="45" t="n">
        <f aca="false">$B$7</f>
        <v>1183420</v>
      </c>
      <c r="E7" s="45" t="n">
        <f aca="false">$B$7</f>
        <v>1183420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4" t="s">
        <v>231</v>
      </c>
      <c r="B8" s="34" t="n">
        <v>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4" t="s">
        <v>232</v>
      </c>
      <c r="B9" s="19" t="n">
        <f aca="false">'N25 Shuttle'!B16</f>
        <v>278720</v>
      </c>
      <c r="C9" s="45" t="n">
        <f aca="false">$B$9</f>
        <v>278720</v>
      </c>
      <c r="D9" s="45" t="n">
        <f aca="false">$B$9</f>
        <v>278720</v>
      </c>
      <c r="E9" s="45" t="n">
        <f aca="false">$B$9</f>
        <v>278720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41" t="s">
        <v>233</v>
      </c>
      <c r="B10" s="46" t="n">
        <f aca="false">B5*$B$7+B6*$B$9</f>
        <v>14201040</v>
      </c>
      <c r="C10" s="46" t="n">
        <f aca="false">C5*$B$7+C6*$B$9</f>
        <v>36480400</v>
      </c>
      <c r="D10" s="46" t="n">
        <f aca="false">D5*$B$7+D6*$B$9</f>
        <v>65033240</v>
      </c>
      <c r="E10" s="46" t="n">
        <f aca="false">E5*$B$7+E6*$B$9</f>
        <v>94984240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4" t="s">
        <v>234</v>
      </c>
      <c r="B11" s="45" t="n">
        <f aca="false">B10*Assumptions!$B$15</f>
        <v>10650780</v>
      </c>
      <c r="C11" s="45" t="n">
        <f aca="false">C10*Assumptions!$B$15</f>
        <v>27360300</v>
      </c>
      <c r="D11" s="45" t="n">
        <f aca="false">D10*Assumptions!$B$15</f>
        <v>48774930</v>
      </c>
      <c r="E11" s="45" t="n">
        <f aca="false">E10*Assumptions!$B$15</f>
        <v>71238180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41" t="s">
        <v>235</v>
      </c>
      <c r="B12" s="46" t="n">
        <f aca="false">B11*Assumptions!$B$16</f>
        <v>1597617</v>
      </c>
      <c r="C12" s="46" t="n">
        <f aca="false">C11*Assumptions!$B$16</f>
        <v>4104045</v>
      </c>
      <c r="D12" s="46" t="n">
        <f aca="false">D11*Assumptions!$B$16</f>
        <v>7316239.5</v>
      </c>
      <c r="E12" s="46" t="n">
        <f aca="false">E11*Assumptions!$B$16</f>
        <v>10685727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4" t="s">
        <v>236</v>
      </c>
      <c r="B13" s="48" t="n">
        <f aca="false">B12/70000000</f>
        <v>0.0228231</v>
      </c>
      <c r="C13" s="48" t="n">
        <f aca="false">C12/70000000</f>
        <v>0.0586292142857143</v>
      </c>
      <c r="D13" s="48" t="n">
        <f aca="false">D12/70000000</f>
        <v>0.104517707142857</v>
      </c>
      <c r="E13" s="48" t="n">
        <f aca="false">E12/70000000</f>
        <v>0.152653242857143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4" t="s">
        <v>237</v>
      </c>
      <c r="B15" s="19" t="n">
        <f aca="false">B16*'N30 Experience'!$B$4+B17*'N25 Shuttle'!$B$4</f>
        <v>20500000</v>
      </c>
      <c r="C15" s="19" t="n">
        <f aca="false">C16*'N30 Experience'!$B$4+C17*'N25 Shuttle'!$B$4</f>
        <v>21250000</v>
      </c>
      <c r="D15" s="19" t="n">
        <f aca="false">D16*'N30 Experience'!$B$4+D17*'N25 Shuttle'!$B$4</f>
        <v>25000000</v>
      </c>
      <c r="E15" s="19" t="n">
        <f aca="false">E16*'N30 Experience'!$B$4+E17*'N25 Shuttle'!$B$4</f>
        <v>26250000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4" t="s">
        <v>238</v>
      </c>
      <c r="B16" s="32" t="n">
        <v>20</v>
      </c>
      <c r="C16" s="32" t="n">
        <v>15</v>
      </c>
      <c r="D16" s="32" t="n">
        <v>10</v>
      </c>
      <c r="E16" s="32" t="n">
        <v>10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4" t="s">
        <v>239</v>
      </c>
      <c r="B17" s="32" t="n">
        <v>2</v>
      </c>
      <c r="C17" s="32" t="n">
        <v>25</v>
      </c>
      <c r="D17" s="32" t="n">
        <v>60</v>
      </c>
      <c r="E17" s="32" t="n">
        <v>65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41" t="s">
        <v>240</v>
      </c>
      <c r="B18" s="54" t="n">
        <f aca="false">B16+B17</f>
        <v>22</v>
      </c>
      <c r="C18" s="54" t="n">
        <f aca="false">B18+C16+C17</f>
        <v>62</v>
      </c>
      <c r="D18" s="54" t="n">
        <f aca="false">C18+D16+D17</f>
        <v>132</v>
      </c>
      <c r="E18" s="54" t="n">
        <f aca="false">D18+E16+E17</f>
        <v>207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true" outlineLevel="0" collapsed="false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true" outlineLevel="0" collapsed="false">
      <c r="A20" s="56" t="s">
        <v>241</v>
      </c>
      <c r="C20" s="57"/>
      <c r="D20" s="57"/>
      <c r="E20" s="57"/>
      <c r="F20" s="5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9" t="s">
        <v>242</v>
      </c>
      <c r="B21" s="58" t="s">
        <v>243</v>
      </c>
      <c r="C21" s="58"/>
      <c r="D21" s="58"/>
      <c r="E21" s="58"/>
      <c r="F21" s="5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9" t="s">
        <v>224</v>
      </c>
      <c r="B22" s="58" t="s">
        <v>244</v>
      </c>
      <c r="C22" s="58"/>
      <c r="D22" s="58"/>
      <c r="E22" s="58"/>
      <c r="F22" s="5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9" t="s">
        <v>225</v>
      </c>
      <c r="B23" s="59" t="s">
        <v>245</v>
      </c>
      <c r="C23" s="59"/>
      <c r="D23" s="59"/>
      <c r="E23" s="59"/>
      <c r="F23" s="5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9" t="s">
        <v>226</v>
      </c>
      <c r="B24" s="59" t="s">
        <v>246</v>
      </c>
      <c r="C24" s="59"/>
      <c r="D24" s="59"/>
      <c r="E24" s="59"/>
      <c r="F24" s="5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9" t="s">
        <v>227</v>
      </c>
      <c r="B25" s="59" t="s">
        <v>247</v>
      </c>
      <c r="C25" s="59"/>
      <c r="D25" s="59"/>
      <c r="E25" s="59"/>
      <c r="F25" s="5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52"/>
    <col collapsed="false" customWidth="true" hidden="false" outlineLevel="0" max="5" min="2" style="1" width="17"/>
    <col collapsed="false" customWidth="true" hidden="false" outlineLevel="0" max="6" min="6" style="1" width="8.71"/>
  </cols>
  <sheetData>
    <row r="1" customFormat="false" ht="17.25" hidden="false" customHeight="true" outlineLevel="0" collapsed="false">
      <c r="A1" s="13" t="s">
        <v>248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4" t="s">
        <v>249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4" t="s">
        <v>250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5" t="s">
        <v>251</v>
      </c>
      <c r="B5" s="16"/>
      <c r="C5" s="16"/>
      <c r="D5" s="16"/>
      <c r="E5" s="1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6.25" hidden="false" customHeight="true" outlineLevel="0" collapsed="false">
      <c r="A6" s="43"/>
      <c r="B6" s="60" t="s">
        <v>252</v>
      </c>
      <c r="C6" s="60" t="s">
        <v>253</v>
      </c>
      <c r="D6" s="60" t="s">
        <v>254</v>
      </c>
      <c r="E6" s="60" t="s">
        <v>255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4" t="s">
        <v>256</v>
      </c>
      <c r="B7" s="19" t="n">
        <f aca="false">'N30 Experience'!C24</f>
        <v>1183420</v>
      </c>
      <c r="C7" s="45" t="n">
        <f aca="false">B7</f>
        <v>1183420</v>
      </c>
      <c r="D7" s="19" t="n">
        <f aca="false">'N25 Shuttle'!B16</f>
        <v>278720</v>
      </c>
      <c r="E7" s="45" t="n">
        <f aca="false">D7</f>
        <v>278720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4" t="s">
        <v>257</v>
      </c>
      <c r="B8" s="19" t="n">
        <f aca="false">'N30 Experience'!C35</f>
        <v>730067.6</v>
      </c>
      <c r="C8" s="45" t="n">
        <f aca="false">B8</f>
        <v>730067.6</v>
      </c>
      <c r="D8" s="19" t="n">
        <f aca="false">'N25 Shuttle'!B28</f>
        <v>152848</v>
      </c>
      <c r="E8" s="45" t="n">
        <f aca="false">D8</f>
        <v>152848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61" t="s">
        <v>258</v>
      </c>
      <c r="B9" s="45" t="n">
        <v>0</v>
      </c>
      <c r="C9" s="45" t="n">
        <v>0</v>
      </c>
      <c r="D9" s="45" t="n">
        <v>0</v>
      </c>
      <c r="E9" s="45" t="n">
        <v>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4" t="s">
        <v>259</v>
      </c>
      <c r="B10" s="45" t="n">
        <f aca="false">-B7*Assumptions!$B$15*Assumptions!$B$16</f>
        <v>-133134.75</v>
      </c>
      <c r="C10" s="44" t="n">
        <v>0</v>
      </c>
      <c r="D10" s="45" t="n">
        <f aca="false">-D7*Assumptions!$B$15*Assumptions!$B$16</f>
        <v>-31356</v>
      </c>
      <c r="E10" s="44" t="n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41" t="s">
        <v>260</v>
      </c>
      <c r="B11" s="45" t="n">
        <f aca="false">B8+B9+B10</f>
        <v>596932.85</v>
      </c>
      <c r="C11" s="45" t="n">
        <f aca="false">C8+C9+C10</f>
        <v>730067.6</v>
      </c>
      <c r="D11" s="45" t="n">
        <f aca="false">D8+D9+D10</f>
        <v>121492</v>
      </c>
      <c r="E11" s="45" t="n">
        <f aca="false">E8+E9+E10</f>
        <v>152848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4" t="s">
        <v>261</v>
      </c>
      <c r="B12" s="19" t="n">
        <f aca="false">-'N30 Experience'!$B$4/10</f>
        <v>-100000</v>
      </c>
      <c r="C12" s="45" t="n">
        <f aca="false">B12</f>
        <v>-100000</v>
      </c>
      <c r="D12" s="19" t="n">
        <f aca="false">-'N25 Shuttle'!$B$4/10</f>
        <v>-25000</v>
      </c>
      <c r="E12" s="45" t="n">
        <f aca="false">D12</f>
        <v>-25000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41" t="s">
        <v>262</v>
      </c>
      <c r="B13" s="46" t="n">
        <f aca="false">B11+B12</f>
        <v>496932.85</v>
      </c>
      <c r="C13" s="46" t="n">
        <f aca="false">C11+C12</f>
        <v>630067.6</v>
      </c>
      <c r="D13" s="46" t="n">
        <f aca="false">D11+D12</f>
        <v>96492</v>
      </c>
      <c r="E13" s="46" t="n">
        <f aca="false">E11+E12</f>
        <v>127848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4" t="s">
        <v>263</v>
      </c>
      <c r="B14" s="48" t="n">
        <f aca="false">B13/B7</f>
        <v>0.419912499366244</v>
      </c>
      <c r="C14" s="48" t="n">
        <f aca="false">C13/C7</f>
        <v>0.532412499366244</v>
      </c>
      <c r="D14" s="48" t="n">
        <f aca="false">D13/D7</f>
        <v>0.346196900114811</v>
      </c>
      <c r="E14" s="48" t="n">
        <f aca="false">E13/E7</f>
        <v>0.458696900114811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41" t="s">
        <v>264</v>
      </c>
      <c r="B15" s="49" t="n">
        <f aca="false">'N30 Experience'!$B$4/B11</f>
        <v>1.67523030438013</v>
      </c>
      <c r="C15" s="49" t="n">
        <f aca="false">'N30 Experience'!$B$4/C11</f>
        <v>1.36973617237637</v>
      </c>
      <c r="D15" s="49" t="n">
        <f aca="false">'N25 Shuttle'!$B$4/D11</f>
        <v>2.05774865834787</v>
      </c>
      <c r="E15" s="49" t="n">
        <f aca="false">'N25 Shuttle'!$B$4/E11</f>
        <v>1.63561184968073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4" t="s">
        <v>265</v>
      </c>
      <c r="B16" s="62" t="n">
        <f aca="false">B13*10/'N30 Experience'!$B$4</f>
        <v>4.9693285</v>
      </c>
      <c r="C16" s="62" t="n">
        <f aca="false">C13*10/'N30 Experience'!$B$4</f>
        <v>6.300676</v>
      </c>
      <c r="D16" s="62" t="n">
        <f aca="false">D13*10/'N25 Shuttle'!$B$4</f>
        <v>3.85968</v>
      </c>
      <c r="E16" s="62" t="n">
        <f aca="false">E13*10/'N25 Shuttle'!$B$4</f>
        <v>5.11392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5" t="s">
        <v>266</v>
      </c>
      <c r="B18" s="16"/>
      <c r="C18" s="16"/>
      <c r="D18" s="16"/>
      <c r="E18" s="1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6.25" hidden="false" customHeight="true" outlineLevel="0" collapsed="false">
      <c r="A19" s="43" t="s">
        <v>267</v>
      </c>
      <c r="B19" s="43" t="s">
        <v>268</v>
      </c>
      <c r="C19" s="60" t="s">
        <v>269</v>
      </c>
      <c r="D19" s="60" t="s">
        <v>270</v>
      </c>
      <c r="E19" s="43" t="s">
        <v>271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4" t="s">
        <v>272</v>
      </c>
      <c r="B20" s="44" t="n">
        <v>0</v>
      </c>
      <c r="C20" s="19" t="n">
        <f aca="false">'Fleet Ramp &amp; Booking Revenue Fo'!D12</f>
        <v>7316239.5</v>
      </c>
      <c r="D20" s="45" t="n">
        <f aca="false">'Fleet Ramp &amp; Booking Revenue Fo'!D12*0.9</f>
        <v>6584615.55</v>
      </c>
      <c r="E20" s="14" t="s">
        <v>273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4" t="s">
        <v>274</v>
      </c>
      <c r="B21" s="19" t="n">
        <f aca="false">20*'N30 Experience'!$B$4</f>
        <v>20000000</v>
      </c>
      <c r="C21" s="19" t="n">
        <f aca="false">'Fleet Ramp &amp; Booking Revenue Fo'!D10</f>
        <v>65033240</v>
      </c>
      <c r="D21" s="46" t="n">
        <f aca="false">20*C13+('Fleet Ramp &amp; Booking Revenue Fo'!D10-20*C7)*Assumptions!$B$15*Assumptions!$B$16*0.9</f>
        <v>16789542.05</v>
      </c>
      <c r="E21" s="48" t="n">
        <f aca="false">D21/B21</f>
        <v>0.8394771025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4" t="s">
        <v>275</v>
      </c>
      <c r="B22" s="45" t="n">
        <f aca="false">0.5*(('Fleet Ramp &amp; Booking Revenue Fo'!B16+'Fleet Ramp &amp; Booking Revenue Fo'!C16+'Fleet Ramp &amp; Booking Revenue Fo'!D16)*'N30 Experience'!$B$4+('Fleet Ramp &amp; Booking Revenue Fo'!B17+'Fleet Ramp &amp; Booking Revenue Fo'!C17+'Fleet Ramp &amp; Booking Revenue Fo'!D17)*'N25 Shuttle'!$B$4)</f>
        <v>33375000</v>
      </c>
      <c r="C22" s="19" t="n">
        <f aca="false">'Fleet Ramp &amp; Booking Revenue Fo'!D10</f>
        <v>65033240</v>
      </c>
      <c r="D22" s="46" t="n">
        <f aca="false">0.5*('Fleet Ramp &amp; Booking Revenue Fo'!D5*C13+'Fleet Ramp &amp; Booking Revenue Fo'!D6*E13)+0.5*'Fleet Ramp &amp; Booking Revenue Fo'!D10*Assumptions!$B$15*Assumptions!$B$16*0.9</f>
        <v>20039547.375</v>
      </c>
      <c r="E22" s="48" t="n">
        <f aca="false">D22/B22</f>
        <v>0.600435876404494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4" t="s">
        <v>276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4" t="s">
        <v>277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2"/>
    <col collapsed="false" customWidth="true" hidden="false" outlineLevel="0" max="6" min="2" style="1" width="15"/>
  </cols>
  <sheetData>
    <row r="1" customFormat="false" ht="15.75" hidden="false" customHeight="true" outlineLevel="0" collapsed="false">
      <c r="A1" s="63" t="s">
        <v>278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" t="s">
        <v>279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56" t="s">
        <v>280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B5" s="64" t="s">
        <v>242</v>
      </c>
      <c r="C5" s="64" t="s">
        <v>224</v>
      </c>
      <c r="D5" s="64" t="s">
        <v>225</v>
      </c>
      <c r="E5" s="64" t="s">
        <v>226</v>
      </c>
      <c r="F5" s="64" t="s">
        <v>227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" t="s">
        <v>281</v>
      </c>
      <c r="B6" s="65" t="n">
        <v>0</v>
      </c>
      <c r="C6" s="65" t="n">
        <v>10</v>
      </c>
      <c r="D6" s="65" t="n">
        <v>20</v>
      </c>
      <c r="E6" s="65" t="n">
        <v>20</v>
      </c>
      <c r="F6" s="65" t="n">
        <v>20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" t="s">
        <v>282</v>
      </c>
      <c r="B7" s="65" t="n">
        <v>0</v>
      </c>
      <c r="C7" s="65" t="n">
        <v>0</v>
      </c>
      <c r="D7" s="65" t="n">
        <v>0</v>
      </c>
      <c r="E7" s="65" t="n">
        <v>0</v>
      </c>
      <c r="F7" s="65" t="n">
        <v>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56" t="s">
        <v>283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9" t="s">
        <v>284</v>
      </c>
      <c r="B10" s="66" t="n">
        <v>0</v>
      </c>
      <c r="C10" s="66" t="n">
        <f aca="false">C6*'N30 Experience'!$C$24+C7*'N25 Shuttle'!$B$16</f>
        <v>11834200</v>
      </c>
      <c r="D10" s="66" t="n">
        <f aca="false">D6*'N30 Experience'!$C$24+D7*'N25 Shuttle'!$B$16</f>
        <v>23668400</v>
      </c>
      <c r="E10" s="66" t="n">
        <f aca="false">E6*'N30 Experience'!$C$24+E7*'N25 Shuttle'!$B$16</f>
        <v>23668400</v>
      </c>
      <c r="F10" s="66" t="n">
        <f aca="false">F6*'N30 Experience'!$C$24+F7*'N25 Shuttle'!$B$16</f>
        <v>23668400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61" t="s">
        <v>285</v>
      </c>
      <c r="B11" s="67" t="n">
        <v>0</v>
      </c>
      <c r="C11" s="67" t="n">
        <f aca="false">-C10*Assumptions!$B$17</f>
        <v>-1183420</v>
      </c>
      <c r="D11" s="67" t="n">
        <f aca="false">-D10*Assumptions!$B$17</f>
        <v>-2366840</v>
      </c>
      <c r="E11" s="67" t="n">
        <f aca="false">-E10*Assumptions!$B$17</f>
        <v>-2366840</v>
      </c>
      <c r="F11" s="67" t="n">
        <f aca="false">-F10*Assumptions!$B$17</f>
        <v>-2366840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9" t="s">
        <v>286</v>
      </c>
      <c r="B12" s="66" t="n">
        <v>0</v>
      </c>
      <c r="C12" s="66" t="n">
        <f aca="false">C6*'N30 Experience'!$C$35+C7*'N25 Shuttle'!$B$28</f>
        <v>7300676</v>
      </c>
      <c r="D12" s="66" t="n">
        <f aca="false">D6*'N30 Experience'!$C$35+D7*'N25 Shuttle'!$B$28</f>
        <v>14601352</v>
      </c>
      <c r="E12" s="66" t="n">
        <f aca="false">E6*'N30 Experience'!$C$35+E7*'N25 Shuttle'!$B$28</f>
        <v>14601352</v>
      </c>
      <c r="F12" s="66" t="n">
        <f aca="false">F6*'N30 Experience'!$C$35+F7*'N25 Shuttle'!$B$28</f>
        <v>14601352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 t="s">
        <v>287</v>
      </c>
      <c r="B13" s="67" t="n">
        <v>0</v>
      </c>
      <c r="C13" s="67" t="n">
        <f aca="false">-(C6*'N30 Experience'!$B$4+C7*'N25 Shuttle'!$B$4)/10</f>
        <v>-1000000</v>
      </c>
      <c r="D13" s="67" t="n">
        <f aca="false">-(D6*'N30 Experience'!$B$4+D7*'N25 Shuttle'!$B$4)/10</f>
        <v>-2000000</v>
      </c>
      <c r="E13" s="67" t="n">
        <f aca="false">-(E6*'N30 Experience'!$B$4+E7*'N25 Shuttle'!$B$4)/10</f>
        <v>-2000000</v>
      </c>
      <c r="F13" s="67" t="n">
        <f aca="false">-(F6*'N30 Experience'!$B$4+F7*'N25 Shuttle'!$B$4)/10</f>
        <v>-2000000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9" t="s">
        <v>288</v>
      </c>
      <c r="B14" s="68" t="n">
        <f aca="false">B12+B13</f>
        <v>0</v>
      </c>
      <c r="C14" s="68" t="n">
        <f aca="false">C12+C13</f>
        <v>6300676</v>
      </c>
      <c r="D14" s="68" t="n">
        <f aca="false">D12+D13</f>
        <v>12601352</v>
      </c>
      <c r="E14" s="68" t="n">
        <f aca="false">E12+E13</f>
        <v>12601352</v>
      </c>
      <c r="F14" s="68" t="n">
        <f aca="false">F12+F13</f>
        <v>12601352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 t="s">
        <v>289</v>
      </c>
      <c r="B15" s="67" t="n">
        <v>0</v>
      </c>
      <c r="C15" s="67" t="n">
        <f aca="false">C6*'N30 Experience'!$B$4+C7*'N25 Shuttle'!$B$4</f>
        <v>10000000</v>
      </c>
      <c r="D15" s="67" t="n">
        <f aca="false">D6*'N30 Experience'!$B$4+D7*'N25 Shuttle'!$B$4</f>
        <v>20000000</v>
      </c>
      <c r="E15" s="67" t="n">
        <f aca="false">E6*'N30 Experience'!$B$4+E7*'N25 Shuttle'!$B$4</f>
        <v>20000000</v>
      </c>
      <c r="F15" s="67" t="n">
        <f aca="false">F6*'N30 Experience'!$B$4+F7*'N25 Shuttle'!$B$4</f>
        <v>20000000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 t="s">
        <v>290</v>
      </c>
      <c r="B16" s="57" t="s">
        <v>273</v>
      </c>
      <c r="C16" s="57" t="n">
        <f aca="false">C14/C15</f>
        <v>0.6300676</v>
      </c>
      <c r="D16" s="57" t="n">
        <f aca="false">D14/D15</f>
        <v>0.6300676</v>
      </c>
      <c r="E16" s="57" t="n">
        <f aca="false">E14/E15</f>
        <v>0.6300676</v>
      </c>
      <c r="F16" s="57" t="n">
        <f aca="false">F14/F15</f>
        <v>0.6300676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56" t="s">
        <v>291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 t="s">
        <v>292</v>
      </c>
      <c r="B19" s="67" t="n">
        <v>0</v>
      </c>
      <c r="C19" s="67" t="n">
        <f aca="false">('Fleet Ramp &amp; Booking Revenue Fo'!B10-C10)*Assumptions!$B$15*Assumptions!$B$16*0.9</f>
        <v>239642.55</v>
      </c>
      <c r="D19" s="67" t="n">
        <f aca="false">('Fleet Ramp &amp; Booking Revenue Fo'!C10-D10)*Assumptions!$B$15*Assumptions!$B$16*0.9</f>
        <v>1297215</v>
      </c>
      <c r="E19" s="67" t="n">
        <f aca="false">('Fleet Ramp &amp; Booking Revenue Fo'!D10-E10)*Assumptions!$B$15*Assumptions!$B$16*0.9</f>
        <v>4188190.05</v>
      </c>
      <c r="F19" s="67" t="n">
        <f aca="false">('Fleet Ramp &amp; Booking Revenue Fo'!E10-F10)*Assumptions!$B$15*Assumptions!$B$16*0.9</f>
        <v>7220728.8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9" t="s">
        <v>293</v>
      </c>
      <c r="B20" s="68" t="n">
        <f aca="false">B14+B19</f>
        <v>0</v>
      </c>
      <c r="C20" s="68" t="n">
        <f aca="false">C14+C19</f>
        <v>6540318.55</v>
      </c>
      <c r="D20" s="68" t="n">
        <f aca="false">D14+D19</f>
        <v>13898567</v>
      </c>
      <c r="E20" s="68" t="n">
        <f aca="false">E14+E19</f>
        <v>16789542.05</v>
      </c>
      <c r="F20" s="68" t="n">
        <f aca="false">F14+F19</f>
        <v>19822080.8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 t="s">
        <v>294</v>
      </c>
      <c r="B21" s="67" t="n">
        <v>0</v>
      </c>
      <c r="C21" s="67" t="n">
        <f aca="false">'Fleet Ramp &amp; Booking Revenue Fo'!B12*0.9</f>
        <v>1437855.3</v>
      </c>
      <c r="D21" s="67" t="n">
        <f aca="false">'Fleet Ramp &amp; Booking Revenue Fo'!C12*0.9</f>
        <v>3693640.5</v>
      </c>
      <c r="E21" s="67" t="n">
        <f aca="false">'Fleet Ramp &amp; Booking Revenue Fo'!D12*0.9</f>
        <v>6584615.55</v>
      </c>
      <c r="F21" s="67" t="n">
        <f aca="false">'Fleet Ramp &amp; Booking Revenue Fo'!E12*0.9</f>
        <v>9617154.3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9" t="s">
        <v>295</v>
      </c>
      <c r="B22" s="66" t="n">
        <f aca="false">B20-B21</f>
        <v>0</v>
      </c>
      <c r="C22" s="66" t="n">
        <f aca="false">C20-C21</f>
        <v>5102463.25</v>
      </c>
      <c r="D22" s="66" t="n">
        <f aca="false">D20-D21</f>
        <v>10204926.5</v>
      </c>
      <c r="E22" s="66" t="n">
        <f aca="false">E20-E21</f>
        <v>10204926.5</v>
      </c>
      <c r="F22" s="66" t="n">
        <f aca="false">F20-F21</f>
        <v>10204926.5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61" t="s">
        <v>296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13" t="s">
        <v>297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4" t="s">
        <v>298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43" t="s">
        <v>299</v>
      </c>
      <c r="B4" s="69" t="n">
        <v>120</v>
      </c>
      <c r="C4" s="69" t="n">
        <v>140</v>
      </c>
      <c r="D4" s="69" t="n">
        <v>160</v>
      </c>
      <c r="E4" s="69" t="n">
        <v>180</v>
      </c>
      <c r="F4" s="69" t="n">
        <v>200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70" t="n">
        <v>3000</v>
      </c>
      <c r="B5" s="71" t="n">
        <f aca="false">'N30 Experience'!$B$4/($A5*B$4*(1-'N30 Experience'!$B$25-'N30 Experience'!$B$26)+'N30 Experience'!$B$34)</f>
        <v>11.3895216400911</v>
      </c>
      <c r="C5" s="71" t="n">
        <f aca="false">'N30 Experience'!$B$4/($A5*C$4*(1-'N30 Experience'!$B$25-'N30 Experience'!$B$26)+'N30 Experience'!$B$34)</f>
        <v>7.4294205052006</v>
      </c>
      <c r="D5" s="71" t="n">
        <f aca="false">'N30 Experience'!$B$4/($A5*D$4*(1-'N30 Experience'!$B$25-'N30 Experience'!$B$26)+'N30 Experience'!$B$34)</f>
        <v>5.51267916207277</v>
      </c>
      <c r="E5" s="71" t="n">
        <f aca="false">'N30 Experience'!$B$4/($A5*E$4*(1-'N30 Experience'!$B$25-'N30 Experience'!$B$26)+'N30 Experience'!$B$34)</f>
        <v>4.38212094653813</v>
      </c>
      <c r="F5" s="71" t="n">
        <f aca="false">'N30 Experience'!$B$4/($A5*F$4*(1-'N30 Experience'!$B$25-'N30 Experience'!$B$26)+'N30 Experience'!$B$34)</f>
        <v>3.63636363636364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70" t="n">
        <v>3500</v>
      </c>
      <c r="B6" s="71" t="n">
        <f aca="false">'N30 Experience'!$B$4/($A6*B$4*(1-'N30 Experience'!$B$25-'N30 Experience'!$B$26)+'N30 Experience'!$B$34)</f>
        <v>7.4294205052006</v>
      </c>
      <c r="C6" s="71" t="n">
        <f aca="false">'N30 Experience'!$B$4/($A6*C$4*(1-'N30 Experience'!$B$25-'N30 Experience'!$B$26)+'N30 Experience'!$B$34)</f>
        <v>5.28541226215645</v>
      </c>
      <c r="D6" s="71" t="n">
        <f aca="false">'N30 Experience'!$B$4/($A6*D$4*(1-'N30 Experience'!$B$25-'N30 Experience'!$B$26)+'N30 Experience'!$B$34)</f>
        <v>4.10172272354389</v>
      </c>
      <c r="E6" s="71" t="n">
        <f aca="false">'N30 Experience'!$B$4/($A6*E$4*(1-'N30 Experience'!$B$25-'N30 Experience'!$B$26)+'N30 Experience'!$B$34)</f>
        <v>3.35120643431635</v>
      </c>
      <c r="F6" s="71" t="n">
        <f aca="false">'N30 Experience'!$B$4/($A6*F$4*(1-'N30 Experience'!$B$25-'N30 Experience'!$B$26)+'N30 Experience'!$B$34)</f>
        <v>2.8328611898017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70" t="n">
        <v>4000</v>
      </c>
      <c r="B7" s="71" t="n">
        <f aca="false">'N30 Experience'!$B$4/($A7*B$4*(1-'N30 Experience'!$B$25-'N30 Experience'!$B$26)+'N30 Experience'!$B$34)</f>
        <v>5.51267916207277</v>
      </c>
      <c r="C7" s="71" t="n">
        <f aca="false">'N30 Experience'!$B$4/($A7*C$4*(1-'N30 Experience'!$B$25-'N30 Experience'!$B$26)+'N30 Experience'!$B$34)</f>
        <v>4.10172272354389</v>
      </c>
      <c r="D7" s="71" t="n">
        <f aca="false">'N30 Experience'!$B$4/($A7*D$4*(1-'N30 Experience'!$B$25-'N30 Experience'!$B$26)+'N30 Experience'!$B$34)</f>
        <v>3.26583932070542</v>
      </c>
      <c r="E7" s="71" t="n">
        <f aca="false">'N30 Experience'!$B$4/($A7*E$4*(1-'N30 Experience'!$B$25-'N30 Experience'!$B$26)+'N30 Experience'!$B$34)</f>
        <v>2.71296798697775</v>
      </c>
      <c r="F7" s="71" t="n">
        <f aca="false">'N30 Experience'!$B$4/($A7*F$4*(1-'N30 Experience'!$B$25-'N30 Experience'!$B$26)+'N30 Experience'!$B$34)</f>
        <v>2.32018561484919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70" t="n">
        <v>4500</v>
      </c>
      <c r="B8" s="71" t="n">
        <f aca="false">'N30 Experience'!$B$4/($A8*B$4*(1-'N30 Experience'!$B$25-'N30 Experience'!$B$26)+'N30 Experience'!$B$34)</f>
        <v>4.38212094653813</v>
      </c>
      <c r="C8" s="71" t="n">
        <f aca="false">'N30 Experience'!$B$4/($A8*C$4*(1-'N30 Experience'!$B$25-'N30 Experience'!$B$26)+'N30 Experience'!$B$34)</f>
        <v>3.35120643431635</v>
      </c>
      <c r="D8" s="71" t="n">
        <f aca="false">'N30 Experience'!$B$4/($A8*D$4*(1-'N30 Experience'!$B$25-'N30 Experience'!$B$26)+'N30 Experience'!$B$34)</f>
        <v>2.71296798697775</v>
      </c>
      <c r="E8" s="71" t="n">
        <f aca="false">'N30 Experience'!$B$4/($A8*E$4*(1-'N30 Experience'!$B$25-'N30 Experience'!$B$26)+'N30 Experience'!$B$34)</f>
        <v>2.27894257064722</v>
      </c>
      <c r="F8" s="71" t="n">
        <f aca="false">'N30 Experience'!$B$4/($A8*F$4*(1-'N30 Experience'!$B$25-'N30 Experience'!$B$26)+'N30 Experience'!$B$34)</f>
        <v>1.96463654223969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70" t="n">
        <v>5000</v>
      </c>
      <c r="B9" s="71" t="n">
        <f aca="false">'N30 Experience'!$B$4/($A9*B$4*(1-'N30 Experience'!$B$25-'N30 Experience'!$B$26)+'N30 Experience'!$B$34)</f>
        <v>3.63636363636364</v>
      </c>
      <c r="C9" s="71" t="n">
        <f aca="false">'N30 Experience'!$B$4/($A9*C$4*(1-'N30 Experience'!$B$25-'N30 Experience'!$B$26)+'N30 Experience'!$B$34)</f>
        <v>2.8328611898017</v>
      </c>
      <c r="D9" s="71" t="n">
        <f aca="false">'N30 Experience'!$B$4/($A9*D$4*(1-'N30 Experience'!$B$25-'N30 Experience'!$B$26)+'N30 Experience'!$B$34)</f>
        <v>2.32018561484919</v>
      </c>
      <c r="E9" s="71" t="n">
        <f aca="false">'N30 Experience'!$B$4/($A9*E$4*(1-'N30 Experience'!$B$25-'N30 Experience'!$B$26)+'N30 Experience'!$B$34)</f>
        <v>1.96463654223969</v>
      </c>
      <c r="F9" s="71" t="n">
        <f aca="false">'N30 Experience'!$B$4/($A9*F$4*(1-'N30 Experience'!$B$25-'N30 Experience'!$B$26)+'N30 Experience'!$B$34)</f>
        <v>1.70357751277683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70" t="n">
        <v>5500</v>
      </c>
      <c r="B10" s="71" t="n">
        <f aca="false">'N30 Experience'!$B$4/($A10*B$4*(1-'N30 Experience'!$B$25-'N30 Experience'!$B$26)+'N30 Experience'!$B$34)</f>
        <v>3.10752019888129</v>
      </c>
      <c r="C10" s="71" t="n">
        <f aca="false">'N30 Experience'!$B$4/($A10*C$4*(1-'N30 Experience'!$B$25-'N30 Experience'!$B$26)+'N30 Experience'!$B$34)</f>
        <v>2.45338567222767</v>
      </c>
      <c r="D10" s="71" t="n">
        <f aca="false">'N30 Experience'!$B$4/($A10*D$4*(1-'N30 Experience'!$B$25-'N30 Experience'!$B$26)+'N30 Experience'!$B$34)</f>
        <v>2.02675314146737</v>
      </c>
      <c r="E10" s="71" t="n">
        <f aca="false">'N30 Experience'!$B$4/($A10*E$4*(1-'N30 Experience'!$B$25-'N30 Experience'!$B$26)+'N30 Experience'!$B$34)</f>
        <v>1.72651933701657</v>
      </c>
      <c r="F10" s="71" t="n">
        <f aca="false">'N30 Experience'!$B$4/($A10*F$4*(1-'N30 Experience'!$B$25-'N30 Experience'!$B$26)+'N30 Experience'!$B$34)</f>
        <v>1.50375939849624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70" t="n">
        <v>6000</v>
      </c>
      <c r="B11" s="71" t="n">
        <f aca="false">'N30 Experience'!$B$4/($A11*B$4*(1-'N30 Experience'!$B$25-'N30 Experience'!$B$26)+'N30 Experience'!$B$34)</f>
        <v>2.71296798697775</v>
      </c>
      <c r="C11" s="71" t="n">
        <f aca="false">'N30 Experience'!$B$4/($A11*C$4*(1-'N30 Experience'!$B$25-'N30 Experience'!$B$26)+'N30 Experience'!$B$34)</f>
        <v>2.16356555603635</v>
      </c>
      <c r="D11" s="71" t="n">
        <f aca="false">'N30 Experience'!$B$4/($A11*D$4*(1-'N30 Experience'!$B$25-'N30 Experience'!$B$26)+'N30 Experience'!$B$34)</f>
        <v>1.79920834832674</v>
      </c>
      <c r="E11" s="71" t="n">
        <f aca="false">'N30 Experience'!$B$4/($A11*E$4*(1-'N30 Experience'!$B$25-'N30 Experience'!$B$26)+'N30 Experience'!$B$34)</f>
        <v>1.53988296889436</v>
      </c>
      <c r="F11" s="71" t="n">
        <f aca="false">'N30 Experience'!$B$4/($A11*F$4*(1-'N30 Experience'!$B$25-'N30 Experience'!$B$26)+'N30 Experience'!$B$34)</f>
        <v>1.34589502018843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70" t="n">
        <v>6500</v>
      </c>
      <c r="B12" s="71" t="n">
        <f aca="false">'N30 Experience'!$B$4/($A12*B$4*(1-'N30 Experience'!$B$25-'N30 Experience'!$B$26)+'N30 Experience'!$B$34)</f>
        <v>2.40731824747232</v>
      </c>
      <c r="C12" s="71" t="n">
        <f aca="false">'N30 Experience'!$B$4/($A12*C$4*(1-'N30 Experience'!$B$25-'N30 Experience'!$B$26)+'N30 Experience'!$B$34)</f>
        <v>1.93498452012384</v>
      </c>
      <c r="D12" s="71" t="n">
        <f aca="false">'N30 Experience'!$B$4/($A12*D$4*(1-'N30 Experience'!$B$25-'N30 Experience'!$B$26)+'N30 Experience'!$B$34)</f>
        <v>1.61759948236817</v>
      </c>
      <c r="E12" s="71" t="n">
        <f aca="false">'N30 Experience'!$B$4/($A12*E$4*(1-'N30 Experience'!$B$25-'N30 Experience'!$B$26)+'N30 Experience'!$B$34)</f>
        <v>1.38966092273485</v>
      </c>
      <c r="F12" s="71" t="n">
        <f aca="false">'N30 Experience'!$B$4/($A12*F$4*(1-'N30 Experience'!$B$25-'N30 Experience'!$B$26)+'N30 Experience'!$B$34)</f>
        <v>1.21802679658953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70" t="n">
        <v>7000</v>
      </c>
      <c r="B13" s="71" t="n">
        <f aca="false">'N30 Experience'!$B$4/($A13*B$4*(1-'N30 Experience'!$B$25-'N30 Experience'!$B$26)+'N30 Experience'!$B$34)</f>
        <v>2.16356555603635</v>
      </c>
      <c r="C13" s="71" t="n">
        <f aca="false">'N30 Experience'!$B$4/($A13*C$4*(1-'N30 Experience'!$B$25-'N30 Experience'!$B$26)+'N30 Experience'!$B$34)</f>
        <v>1.75008750437522</v>
      </c>
      <c r="D13" s="71" t="n">
        <f aca="false">'N30 Experience'!$B$4/($A13*D$4*(1-'N30 Experience'!$B$25-'N30 Experience'!$B$26)+'N30 Experience'!$B$34)</f>
        <v>1.46929180135175</v>
      </c>
      <c r="E13" s="71" t="n">
        <f aca="false">'N30 Experience'!$B$4/($A13*E$4*(1-'N30 Experience'!$B$25-'N30 Experience'!$B$26)+'N30 Experience'!$B$34)</f>
        <v>1.26614332742466</v>
      </c>
      <c r="F13" s="71" t="n">
        <f aca="false">'N30 Experience'!$B$4/($A13*F$4*(1-'N30 Experience'!$B$25-'N30 Experience'!$B$26)+'N30 Experience'!$B$34)</f>
        <v>1.11234705228031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41" t="s">
        <v>300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43" t="s">
        <v>301</v>
      </c>
      <c r="B17" s="70" t="n">
        <v>10</v>
      </c>
      <c r="C17" s="70" t="n">
        <v>12</v>
      </c>
      <c r="D17" s="70" t="n">
        <v>14</v>
      </c>
      <c r="E17" s="70" t="n">
        <v>16</v>
      </c>
      <c r="F17" s="70" t="n">
        <v>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72" t="n">
        <v>0.4</v>
      </c>
      <c r="B18" s="71" t="n">
        <f aca="false">'N25 Shuttle'!$B$4/((B$17*'N25 Shuttle'!$B$8*'N25 Shuttle'!$B$9*$A18*'N25 Shuttle'!$B$11+'N25 Shuttle'!$B$12*'N25 Shuttle'!$B$13)*(1-Assumptions!$B$17)+SUM('N25 Shuttle'!$B$19:$B$25))</f>
        <v>6.103515625</v>
      </c>
      <c r="C18" s="71" t="n">
        <f aca="false">'N25 Shuttle'!$B$4/((C$17*'N25 Shuttle'!$B$8*'N25 Shuttle'!$B$9*$A18*'N25 Shuttle'!$B$11+'N25 Shuttle'!$B$12*'N25 Shuttle'!$B$13)*(1-Assumptions!$B$17)+SUM('N25 Shuttle'!$B$19:$B$25))</f>
        <v>3.83718074656189</v>
      </c>
      <c r="D18" s="71" t="n">
        <f aca="false">'N25 Shuttle'!$B$4/((D$17*'N25 Shuttle'!$B$8*'N25 Shuttle'!$B$9*$A18*'N25 Shuttle'!$B$11+'N25 Shuttle'!$B$12*'N25 Shuttle'!$B$13)*(1-Assumptions!$B$17)+SUM('N25 Shuttle'!$B$19:$B$25))</f>
        <v>2.79817335243553</v>
      </c>
      <c r="E18" s="71" t="n">
        <f aca="false">'N25 Shuttle'!$B$4/((E$17*'N25 Shuttle'!$B$8*'N25 Shuttle'!$B$9*$A18*'N25 Shuttle'!$B$11+'N25 Shuttle'!$B$12*'N25 Shuttle'!$B$13)*(1-Assumptions!$B$17)+SUM('N25 Shuttle'!$B$19:$B$25))</f>
        <v>2.20194475760992</v>
      </c>
      <c r="F18" s="71" t="n">
        <f aca="false">'N25 Shuttle'!$B$4/((F$17*'N25 Shuttle'!$B$8*'N25 Shuttle'!$B$9*$A18*'N25 Shuttle'!$B$11+'N25 Shuttle'!$B$12*'N25 Shuttle'!$B$13)*(1-Assumptions!$B$17)+SUM('N25 Shuttle'!$B$19:$B$25))</f>
        <v>1.8151719330855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72" t="n">
        <v>0.45</v>
      </c>
      <c r="B19" s="71" t="n">
        <f aca="false">'N25 Shuttle'!$B$4/((B$17*'N25 Shuttle'!$B$8*'N25 Shuttle'!$B$9*$A19*'N25 Shuttle'!$B$11+'N25 Shuttle'!$B$12*'N25 Shuttle'!$B$13)*(1-Assumptions!$B$17)+SUM('N25 Shuttle'!$B$19:$B$25))</f>
        <v>4.45791726105564</v>
      </c>
      <c r="C19" s="71" t="n">
        <f aca="false">'N25 Shuttle'!$B$4/((C$17*'N25 Shuttle'!$B$8*'N25 Shuttle'!$B$9*$A19*'N25 Shuttle'!$B$11+'N25 Shuttle'!$B$12*'N25 Shuttle'!$B$13)*(1-Assumptions!$B$17)+SUM('N25 Shuttle'!$B$19:$B$25))</f>
        <v>3.00134460238187</v>
      </c>
      <c r="D19" s="71" t="n">
        <f aca="false">'N25 Shuttle'!$B$4/((D$17*'N25 Shuttle'!$B$8*'N25 Shuttle'!$B$9*$A19*'N25 Shuttle'!$B$11+'N25 Shuttle'!$B$12*'N25 Shuttle'!$B$13)*(1-Assumptions!$B$17)+SUM('N25 Shuttle'!$B$19:$B$25))</f>
        <v>2.26219777037788</v>
      </c>
      <c r="E19" s="71" t="n">
        <f aca="false">'N25 Shuttle'!$B$4/((E$17*'N25 Shuttle'!$B$8*'N25 Shuttle'!$B$9*$A19*'N25 Shuttle'!$B$11+'N25 Shuttle'!$B$12*'N25 Shuttle'!$B$13)*(1-Assumptions!$B$17)+SUM('N25 Shuttle'!$B$19:$B$25))</f>
        <v>1.8151719330855</v>
      </c>
      <c r="F19" s="71" t="n">
        <f aca="false">'N25 Shuttle'!$B$4/((F$17*'N25 Shuttle'!$B$8*'N25 Shuttle'!$B$9*$A19*'N25 Shuttle'!$B$11+'N25 Shuttle'!$B$12*'N25 Shuttle'!$B$13)*(1-Assumptions!$B$17)+SUM('N25 Shuttle'!$B$19:$B$25))</f>
        <v>1.51566592297992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72" t="n">
        <v>0.5</v>
      </c>
      <c r="B20" s="71" t="n">
        <f aca="false">'N25 Shuttle'!$B$4/((B$17*'N25 Shuttle'!$B$8*'N25 Shuttle'!$B$9*$A20*'N25 Shuttle'!$B$11+'N25 Shuttle'!$B$12*'N25 Shuttle'!$B$13)*(1-Assumptions!$B$17)+SUM('N25 Shuttle'!$B$19:$B$25))</f>
        <v>3.51123595505618</v>
      </c>
      <c r="C20" s="71" t="n">
        <f aca="false">'N25 Shuttle'!$B$4/((C$17*'N25 Shuttle'!$B$8*'N25 Shuttle'!$B$9*$A20*'N25 Shuttle'!$B$11+'N25 Shuttle'!$B$12*'N25 Shuttle'!$B$13)*(1-Assumptions!$B$17)+SUM('N25 Shuttle'!$B$19:$B$25))</f>
        <v>2.46451104100946</v>
      </c>
      <c r="D20" s="71" t="n">
        <f aca="false">'N25 Shuttle'!$B$4/((D$17*'N25 Shuttle'!$B$8*'N25 Shuttle'!$B$9*$A20*'N25 Shuttle'!$B$11+'N25 Shuttle'!$B$12*'N25 Shuttle'!$B$13)*(1-Assumptions!$B$17)+SUM('N25 Shuttle'!$B$19:$B$25))</f>
        <v>1.89854191980559</v>
      </c>
      <c r="E20" s="71" t="n">
        <f aca="false">'N25 Shuttle'!$B$4/((E$17*'N25 Shuttle'!$B$8*'N25 Shuttle'!$B$9*$A20*'N25 Shuttle'!$B$11+'N25 Shuttle'!$B$12*'N25 Shuttle'!$B$13)*(1-Assumptions!$B$17)+SUM('N25 Shuttle'!$B$19:$B$25))</f>
        <v>1.54397233201581</v>
      </c>
      <c r="F20" s="71" t="n">
        <f aca="false">'N25 Shuttle'!$B$4/((F$17*'N25 Shuttle'!$B$8*'N25 Shuttle'!$B$9*$A20*'N25 Shuttle'!$B$11+'N25 Shuttle'!$B$12*'N25 Shuttle'!$B$13)*(1-Assumptions!$B$17)+SUM('N25 Shuttle'!$B$19:$B$25))</f>
        <v>1.30099916736053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72" t="n">
        <v>0.55</v>
      </c>
      <c r="B21" s="71" t="n">
        <f aca="false">'N25 Shuttle'!$B$4/((B$17*'N25 Shuttle'!$B$8*'N25 Shuttle'!$B$9*$A21*'N25 Shuttle'!$B$11+'N25 Shuttle'!$B$12*'N25 Shuttle'!$B$13)*(1-Assumptions!$B$17)+SUM('N25 Shuttle'!$B$19:$B$25))</f>
        <v>2.89620018535681</v>
      </c>
      <c r="C21" s="71" t="n">
        <f aca="false">'N25 Shuttle'!$B$4/((C$17*'N25 Shuttle'!$B$8*'N25 Shuttle'!$B$9*$A21*'N25 Shuttle'!$B$11+'N25 Shuttle'!$B$12*'N25 Shuttle'!$B$13)*(1-Assumptions!$B$17)+SUM('N25 Shuttle'!$B$19:$B$25))</f>
        <v>2.09058067968959</v>
      </c>
      <c r="D21" s="71" t="n">
        <f aca="false">'N25 Shuttle'!$B$4/((D$17*'N25 Shuttle'!$B$8*'N25 Shuttle'!$B$9*$A21*'N25 Shuttle'!$B$11+'N25 Shuttle'!$B$12*'N25 Shuttle'!$B$13)*(1-Assumptions!$B$17)+SUM('N25 Shuttle'!$B$19:$B$25))</f>
        <v>1.63561184968073</v>
      </c>
      <c r="E21" s="71" t="n">
        <f aca="false">'N25 Shuttle'!$B$4/((E$17*'N25 Shuttle'!$B$8*'N25 Shuttle'!$B$9*$A21*'N25 Shuttle'!$B$11+'N25 Shuttle'!$B$12*'N25 Shuttle'!$B$13)*(1-Assumptions!$B$17)+SUM('N25 Shuttle'!$B$19:$B$25))</f>
        <v>1.34327716643741</v>
      </c>
      <c r="F21" s="71" t="n">
        <f aca="false">'N25 Shuttle'!$B$4/((F$17*'N25 Shuttle'!$B$8*'N25 Shuttle'!$B$9*$A21*'N25 Shuttle'!$B$11+'N25 Shuttle'!$B$12*'N25 Shuttle'!$B$13)*(1-Assumptions!$B$17)+SUM('N25 Shuttle'!$B$19:$B$25))</f>
        <v>1.13959594486179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72" t="n">
        <v>0.6</v>
      </c>
      <c r="B22" s="71" t="n">
        <f aca="false">'N25 Shuttle'!$B$4/((B$17*'N25 Shuttle'!$B$8*'N25 Shuttle'!$B$9*$A22*'N25 Shuttle'!$B$11+'N25 Shuttle'!$B$12*'N25 Shuttle'!$B$13)*(1-Assumptions!$B$17)+SUM('N25 Shuttle'!$B$19:$B$25))</f>
        <v>2.46451104100946</v>
      </c>
      <c r="C22" s="71" t="n">
        <f aca="false">'N25 Shuttle'!$B$4/((C$17*'N25 Shuttle'!$B$8*'N25 Shuttle'!$B$9*$A22*'N25 Shuttle'!$B$11+'N25 Shuttle'!$B$12*'N25 Shuttle'!$B$13)*(1-Assumptions!$B$17)+SUM('N25 Shuttle'!$B$19:$B$25))</f>
        <v>1.8151719330855</v>
      </c>
      <c r="D22" s="71" t="n">
        <f aca="false">'N25 Shuttle'!$B$4/((D$17*'N25 Shuttle'!$B$8*'N25 Shuttle'!$B$9*$A22*'N25 Shuttle'!$B$11+'N25 Shuttle'!$B$12*'N25 Shuttle'!$B$13)*(1-Assumptions!$B$17)+SUM('N25 Shuttle'!$B$19:$B$25))</f>
        <v>1.43664950349393</v>
      </c>
      <c r="E22" s="71" t="n">
        <f aca="false">'N25 Shuttle'!$B$4/((E$17*'N25 Shuttle'!$B$8*'N25 Shuttle'!$B$9*$A22*'N25 Shuttle'!$B$11+'N25 Shuttle'!$B$12*'N25 Shuttle'!$B$13)*(1-Assumptions!$B$17)+SUM('N25 Shuttle'!$B$19:$B$25))</f>
        <v>1.18875532562386</v>
      </c>
      <c r="F22" s="71" t="n">
        <f aca="false">'N25 Shuttle'!$B$4/((F$17*'N25 Shuttle'!$B$8*'N25 Shuttle'!$B$9*$A22*'N25 Shuttle'!$B$11+'N25 Shuttle'!$B$12*'N25 Shuttle'!$B$13)*(1-Assumptions!$B$17)+SUM('N25 Shuttle'!$B$19:$B$25))</f>
        <v>1.01382039968855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72" t="n">
        <v>0.65</v>
      </c>
      <c r="B23" s="71" t="n">
        <f aca="false">'N25 Shuttle'!$B$4/((B$17*'N25 Shuttle'!$B$8*'N25 Shuttle'!$B$9*$A23*'N25 Shuttle'!$B$11+'N25 Shuttle'!$B$12*'N25 Shuttle'!$B$13)*(1-Assumptions!$B$17)+SUM('N25 Shuttle'!$B$19:$B$25))</f>
        <v>2.14481811942347</v>
      </c>
      <c r="C23" s="71" t="n">
        <f aca="false">'N25 Shuttle'!$B$4/((C$17*'N25 Shuttle'!$B$8*'N25 Shuttle'!$B$9*$A23*'N25 Shuttle'!$B$11+'N25 Shuttle'!$B$12*'N25 Shuttle'!$B$13)*(1-Assumptions!$B$17)+SUM('N25 Shuttle'!$B$19:$B$25))</f>
        <v>1.60388010675426</v>
      </c>
      <c r="D23" s="71" t="n">
        <f aca="false">'N25 Shuttle'!$B$4/((D$17*'N25 Shuttle'!$B$8*'N25 Shuttle'!$B$9*$A23*'N25 Shuttle'!$B$11+'N25 Shuttle'!$B$12*'N25 Shuttle'!$B$13)*(1-Assumptions!$B$17)+SUM('N25 Shuttle'!$B$19:$B$25))</f>
        <v>1.28084269202394</v>
      </c>
      <c r="E23" s="71" t="n">
        <f aca="false">'N25 Shuttle'!$B$4/((E$17*'N25 Shuttle'!$B$8*'N25 Shuttle'!$B$9*$A23*'N25 Shuttle'!$B$11+'N25 Shuttle'!$B$12*'N25 Shuttle'!$B$13)*(1-Assumptions!$B$17)+SUM('N25 Shuttle'!$B$19:$B$25))</f>
        <v>1.06611626637555</v>
      </c>
      <c r="F23" s="71" t="n">
        <f aca="false">'N25 Shuttle'!$B$4/((F$17*'N25 Shuttle'!$B$8*'N25 Shuttle'!$B$9*$A23*'N25 Shuttle'!$B$11+'N25 Shuttle'!$B$12*'N25 Shuttle'!$B$13)*(1-Assumptions!$B$17)+SUM('N25 Shuttle'!$B$19:$B$25))</f>
        <v>0.913048559574592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72" t="n">
        <v>0.7</v>
      </c>
      <c r="B24" s="71" t="n">
        <f aca="false">'N25 Shuttle'!$B$4/((B$17*'N25 Shuttle'!$B$8*'N25 Shuttle'!$B$9*$A24*'N25 Shuttle'!$B$11+'N25 Shuttle'!$B$12*'N25 Shuttle'!$B$13)*(1-Assumptions!$B$17)+SUM('N25 Shuttle'!$B$19:$B$25))</f>
        <v>1.89854191980559</v>
      </c>
      <c r="C24" s="71" t="n">
        <f aca="false">'N25 Shuttle'!$B$4/((C$17*'N25 Shuttle'!$B$8*'N25 Shuttle'!$B$9*$A24*'N25 Shuttle'!$B$11+'N25 Shuttle'!$B$12*'N25 Shuttle'!$B$13)*(1-Assumptions!$B$17)+SUM('N25 Shuttle'!$B$19:$B$25))</f>
        <v>1.43664950349393</v>
      </c>
      <c r="D24" s="71" t="n">
        <f aca="false">'N25 Shuttle'!$B$4/((D$17*'N25 Shuttle'!$B$8*'N25 Shuttle'!$B$9*$A24*'N25 Shuttle'!$B$11+'N25 Shuttle'!$B$12*'N25 Shuttle'!$B$13)*(1-Assumptions!$B$17)+SUM('N25 Shuttle'!$B$19:$B$25))</f>
        <v>1.15552433072031</v>
      </c>
      <c r="E24" s="71" t="n">
        <f aca="false">'N25 Shuttle'!$B$4/((E$17*'N25 Shuttle'!$B$8*'N25 Shuttle'!$B$9*$A24*'N25 Shuttle'!$B$11+'N25 Shuttle'!$B$12*'N25 Shuttle'!$B$13)*(1-Assumptions!$B$17)+SUM('N25 Shuttle'!$B$19:$B$25))</f>
        <v>0.966415141019298</v>
      </c>
      <c r="F24" s="71" t="n">
        <f aca="false">'N25 Shuttle'!$B$4/((F$17*'N25 Shuttle'!$B$8*'N25 Shuttle'!$B$9*$A24*'N25 Shuttle'!$B$11+'N25 Shuttle'!$B$12*'N25 Shuttle'!$B$13)*(1-Assumptions!$B$17)+SUM('N25 Shuttle'!$B$19:$B$25))</f>
        <v>0.83049856489848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25" t="s">
        <v>302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73" t="s">
        <v>303</v>
      </c>
      <c r="B28" s="74" t="s">
        <v>84</v>
      </c>
      <c r="C28" s="74" t="s">
        <v>85</v>
      </c>
      <c r="D28" s="74" t="s">
        <v>86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75" t="n">
        <v>0.1</v>
      </c>
      <c r="B29" s="76" t="n">
        <f aca="false">'N30 Experience'!$B$4/(('N30 Experience'!$E$13*'N30 Experience'!$C$20*Assumptions!$B$25)*(1-'N30 Experience'!$B$25-'N30 Experience'!$B$26)+'N30 Experience'!$B$34-('N30 Experience'!$E$13*'N30 Experience'!$C$20*Assumptions!$B$25)*Assumptions!$B$15*$A29)</f>
        <v>1.55930561626019</v>
      </c>
      <c r="C29" s="76" t="n">
        <f aca="false">'N30 Experience'!$B$4/(('N30 Experience'!$E$13*'N30 Experience'!$C$20*Assumptions!$B$26)*(1-'N30 Experience'!$B$25-'N30 Experience'!$B$26)+'N30 Experience'!$B$34-('N30 Experience'!$E$13*'N30 Experience'!$C$20*Assumptions!$B$26)*Assumptions!$B$15*$A29)</f>
        <v>2.31089204881551</v>
      </c>
      <c r="D29" s="76" t="n">
        <f aca="false">'N30 Experience'!$B$4/(('N30 Experience'!$E$13*'N30 Experience'!$C$20*Assumptions!$B$27)*(1-'N30 Experience'!$B$25-'N30 Experience'!$B$26)+'N30 Experience'!$B$34-('N30 Experience'!$E$13*'N30 Experience'!$C$20*Assumptions!$B$27)*Assumptions!$B$15*$A29)</f>
        <v>3.76122106236404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75" t="n">
        <v>0.15</v>
      </c>
      <c r="B30" s="76" t="n">
        <f aca="false">'N30 Experience'!$B$4/(('N30 Experience'!$E$13*'N30 Experience'!$C$20*Assumptions!$B$25)*(1-'N30 Experience'!$B$25-'N30 Experience'!$B$26)+'N30 Experience'!$B$34-('N30 Experience'!$E$13*'N30 Experience'!$C$20*Assumptions!$B$25)*Assumptions!$B$15*$A30)</f>
        <v>1.67523030438013</v>
      </c>
      <c r="C30" s="76" t="n">
        <f aca="false">'N30 Experience'!$B$4/(('N30 Experience'!$E$13*'N30 Experience'!$C$20*Assumptions!$B$26)*(1-'N30 Experience'!$B$25-'N30 Experience'!$B$26)+'N30 Experience'!$B$34-('N30 Experience'!$E$13*'N30 Experience'!$C$20*Assumptions!$B$26)*Assumptions!$B$15*$A30)</f>
        <v>2.50344450494088</v>
      </c>
      <c r="D30" s="76" t="n">
        <f aca="false">'N30 Experience'!$B$4/(('N30 Experience'!$E$13*'N30 Experience'!$C$20*Assumptions!$B$27)*(1-'N30 Experience'!$B$25-'N30 Experience'!$B$26)+'N30 Experience'!$B$34-('N30 Experience'!$E$13*'N30 Experience'!$C$20*Assumptions!$B$27)*Assumptions!$B$15*$A30)</f>
        <v>4.14142009522844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75" t="n">
        <v>0.2</v>
      </c>
      <c r="B31" s="76" t="n">
        <f aca="false">'N30 Experience'!$B$4/(('N30 Experience'!$E$13*'N30 Experience'!$C$20*Assumptions!$B$25)*(1-'N30 Experience'!$B$25-'N30 Experience'!$B$26)+'N30 Experience'!$B$34-('N30 Experience'!$E$13*'N30 Experience'!$C$20*Assumptions!$B$25)*Assumptions!$B$15*$A31)</f>
        <v>1.80977590268907</v>
      </c>
      <c r="C31" s="76" t="n">
        <f aca="false">'N30 Experience'!$B$4/(('N30 Experience'!$E$13*'N30 Experience'!$C$20*Assumptions!$B$26)*(1-'N30 Experience'!$B$25-'N30 Experience'!$B$26)+'N30 Experience'!$B$34-('N30 Experience'!$E$13*'N30 Experience'!$C$20*Assumptions!$B$26)*Assumptions!$B$15*$A31)</f>
        <v>2.73100215899376</v>
      </c>
      <c r="D31" s="76" t="n">
        <f aca="false">'N30 Experience'!$B$4/(('N30 Experience'!$E$13*'N30 Experience'!$C$20*Assumptions!$B$27)*(1-'N30 Experience'!$B$25-'N30 Experience'!$B$26)+'N30 Experience'!$B$34-('N30 Experience'!$E$13*'N30 Experience'!$C$20*Assumptions!$B$27)*Assumptions!$B$15*$A31)</f>
        <v>4.60712658904979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75" t="n">
        <v>0.25</v>
      </c>
      <c r="B32" s="76" t="n">
        <f aca="false">'N30 Experience'!$B$4/(('N30 Experience'!$E$13*'N30 Experience'!$C$20*Assumptions!$B$25)*(1-'N30 Experience'!$B$25-'N30 Experience'!$B$26)+'N30 Experience'!$B$34-('N30 Experience'!$E$13*'N30 Experience'!$C$20*Assumptions!$B$25)*Assumptions!$B$15*$A32)</f>
        <v>1.96782081653347</v>
      </c>
      <c r="C32" s="76" t="n">
        <f aca="false">'N30 Experience'!$B$4/(('N30 Experience'!$E$13*'N30 Experience'!$C$20*Assumptions!$B$26)*(1-'N30 Experience'!$B$25-'N30 Experience'!$B$26)+'N30 Experience'!$B$34-('N30 Experience'!$E$13*'N30 Experience'!$C$20*Assumptions!$B$26)*Assumptions!$B$15*$A32)</f>
        <v>3.00406513849623</v>
      </c>
      <c r="D32" s="76" t="n">
        <f aca="false">'N30 Experience'!$B$4/(('N30 Experience'!$E$13*'N30 Experience'!$C$20*Assumptions!$B$27)*(1-'N30 Experience'!$B$25-'N30 Experience'!$B$26)+'N30 Experience'!$B$34-('N30 Experience'!$E$13*'N30 Experience'!$C$20*Assumptions!$B$27)*Assumptions!$B$15*$A32)</f>
        <v>5.19084148173245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75" t="n">
        <v>0.3</v>
      </c>
      <c r="B33" s="76" t="n">
        <f aca="false">'N30 Experience'!$B$4/(('N30 Experience'!$E$13*'N30 Experience'!$C$20*Assumptions!$B$25)*(1-'N30 Experience'!$B$25-'N30 Experience'!$B$26)+'N30 Experience'!$B$34-('N30 Experience'!$E$13*'N30 Experience'!$C$20*Assumptions!$B$25)*Assumptions!$B$15*$A33)</f>
        <v>2.15611060071182</v>
      </c>
      <c r="C33" s="76" t="n">
        <f aca="false">'N30 Experience'!$B$4/(('N30 Experience'!$E$13*'N30 Experience'!$C$20*Assumptions!$B$26)*(1-'N30 Experience'!$B$25-'N30 Experience'!$B$26)+'N30 Experience'!$B$34-('N30 Experience'!$E$13*'N30 Experience'!$C$20*Assumptions!$B$26)*Assumptions!$B$15*$A33)</f>
        <v>3.33779958733115</v>
      </c>
      <c r="D33" s="76" t="n">
        <f aca="false">'N30 Experience'!$B$4/(('N30 Experience'!$E$13*'N30 Experience'!$C$20*Assumptions!$B$27)*(1-'N30 Experience'!$B$25-'N30 Experience'!$B$26)+'N30 Experience'!$B$34-('N30 Experience'!$E$13*'N30 Experience'!$C$20*Assumptions!$B$27)*Assumptions!$B$15*$A33)</f>
        <v>5.94392660130349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50" t="s">
        <v>304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25" t="s">
        <v>305</v>
      </c>
      <c r="B35" s="77" t="n">
        <v>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25" t="s">
        <v>306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25" t="s">
        <v>307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26" t="s">
        <v>308</v>
      </c>
      <c r="B39" s="76" t="n">
        <f aca="false">B33</f>
        <v>2.15611060071182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26" t="s">
        <v>309</v>
      </c>
      <c r="B40" s="76" t="n">
        <f aca="false">C33</f>
        <v>3.33779958733115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26" t="s">
        <v>310</v>
      </c>
      <c r="B41" s="76" t="n">
        <f aca="false">D33</f>
        <v>5.94392660130349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25" t="s">
        <v>311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26" t="s">
        <v>308</v>
      </c>
      <c r="B44" s="78" t="n">
        <f aca="false">(('N30 Experience'!$E$13*'N30 Experience'!$C$20*Assumptions!$B$25)*(1-'N30 Experience'!$B$25-'N30 Experience'!$B$26)+'N30 Experience'!$B$34-'N30 Experience'!$B$4/$B$35)/(('N30 Experience'!$E$13*'N30 Experience'!$C$20*Assumptions!$B$25)*Assumptions!$B$15)</f>
        <v>0.540881625571085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26" t="s">
        <v>309</v>
      </c>
      <c r="B45" s="78" t="n">
        <f aca="false">(('N30 Experience'!$E$13*'N30 Experience'!$C$20*Assumptions!$B$26)*(1-'N30 Experience'!$B$25-'N30 Experience'!$B$26)+'N30 Experience'!$B$34-'N30 Experience'!$B$4/$B$35)/(('N30 Experience'!$E$13*'N30 Experience'!$C$20*Assumptions!$B$26)*Assumptions!$B$15)</f>
        <v>0.37450883409478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25" t="s">
        <v>312</v>
      </c>
      <c r="B46" s="79" t="n">
        <f aca="false">(('N30 Experience'!$E$13*'N30 Experience'!$C$20*Assumptions!$B$27)*(1-'N30 Experience'!$B$25-'N30 Experience'!$B$26)+'N30 Experience'!$B$34-'N30 Experience'!$B$4/$B$35)/(('N30 Experience'!$E$13*'N30 Experience'!$C$20*Assumptions!$B$27)*Assumptions!$B$15)</f>
        <v>0.132512046492882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25" t="s">
        <v>313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B49" s="80" t="n">
        <f aca="false">('N30 Experience'!$B$4/$B$35-'N30 Experience'!$B$34)/((1-'N30 Experience'!$B$25-'N30 Experience'!$B$26)-Assumptions!$B$15*$A$33)</f>
        <v>798198.198198198</v>
      </c>
      <c r="C49" s="26" t="s">
        <v>314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26" t="s">
        <v>315</v>
      </c>
      <c r="B50" s="78" t="n">
        <f aca="false">B49/('N30 Experience'!$E$13*'N30 Experience'!$C$20)</f>
        <v>0.674484289768804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26" t="s">
        <v>316</v>
      </c>
      <c r="B51" s="81" t="n">
        <f aca="false">'N30 Experience'!$E$13*'N30 Experience'!$C$20*Assumptions!$B$27</f>
        <v>650881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B5:F13">
    <cfRule type="colorScale" priority="2">
      <colorScale>
        <cfvo type="formula" val="0.6"/>
        <cfvo type="formula" val="1.5"/>
        <cfvo type="formula" val="3"/>
        <color rgb="FF63BE7B"/>
        <color rgb="FFFFEB84"/>
        <color rgb="FFF8696B"/>
      </colorScale>
    </cfRule>
  </conditionalFormatting>
  <conditionalFormatting sqref="B18:F24">
    <cfRule type="colorScale" priority="3">
      <colorScale>
        <cfvo type="formula" val="0.8"/>
        <cfvo type="formula" val="1.5"/>
        <cfvo type="formula" val="3.5"/>
        <color rgb="FF63BE7B"/>
        <color rgb="FFFFEB84"/>
        <color rgb="FFF8696B"/>
      </colorScale>
    </cfRule>
  </conditionalFormatting>
  <conditionalFormatting sqref="B29:D33">
    <cfRule type="cellIs" priority="4" operator="lessThanOrEqual" aboveAverage="0" equalAverage="0" bottom="0" percent="0" rank="0" text="" dxfId="0">
      <formula>$B$35</formula>
    </cfRule>
    <cfRule type="cellIs" priority="5" operator="greaterThan" aboveAverage="0" equalAverage="0" bottom="0" percent="0" rank="0" text="" dxfId="1">
      <formula>$B$35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6" min="4" style="1" width="8.71"/>
  </cols>
  <sheetData>
    <row r="1" customFormat="false" ht="17.25" hidden="false" customHeight="true" outlineLevel="0" collapsed="false">
      <c r="A1" s="13" t="s">
        <v>317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4" t="s">
        <v>318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5" t="s">
        <v>319</v>
      </c>
      <c r="B4" s="16"/>
      <c r="C4" s="1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4" t="s">
        <v>320</v>
      </c>
      <c r="B5" s="51" t="n">
        <v>12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4" t="s">
        <v>321</v>
      </c>
      <c r="B6" s="14" t="s">
        <v>322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4" t="s">
        <v>323</v>
      </c>
      <c r="B7" s="14" t="s">
        <v>324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5" t="s">
        <v>325</v>
      </c>
      <c r="B9" s="16"/>
      <c r="C9" s="1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4" t="s">
        <v>326</v>
      </c>
      <c r="B10" s="51" t="n">
        <v>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4" t="s">
        <v>327</v>
      </c>
      <c r="B11" s="35" t="n">
        <v>1.5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4" t="s">
        <v>328</v>
      </c>
      <c r="B12" s="53" t="n">
        <f aca="false">ROUNDUP(B10*B11,0)</f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4" t="s">
        <v>329</v>
      </c>
      <c r="B13" s="48" t="n">
        <f aca="false">B12/10</f>
        <v>0.9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5" t="s">
        <v>330</v>
      </c>
      <c r="B15" s="16"/>
      <c r="C15" s="1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4" t="s">
        <v>331</v>
      </c>
      <c r="B16" s="51" t="n">
        <v>2500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4" t="s">
        <v>332</v>
      </c>
      <c r="B17" s="44" t="n">
        <v>100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4" t="s">
        <v>333</v>
      </c>
      <c r="B18" s="46" t="n">
        <f aca="false">B16*B17</f>
        <v>250000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4" t="s">
        <v>334</v>
      </c>
      <c r="B19" s="34" t="n">
        <v>0.4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4" t="s">
        <v>335</v>
      </c>
      <c r="B20" s="53" t="n">
        <f aca="false">B16*B19</f>
        <v>1000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4" t="s">
        <v>336</v>
      </c>
      <c r="B21" s="82" t="n">
        <f aca="false">B20/(10*90)</f>
        <v>1.11111111111111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4" t="s">
        <v>337</v>
      </c>
      <c r="B22" s="48" t="n">
        <f aca="false">B21/5</f>
        <v>0.222222222222222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5" t="s">
        <v>338</v>
      </c>
      <c r="B24" s="16"/>
      <c r="C24" s="1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4" t="s">
        <v>339</v>
      </c>
      <c r="B25" s="32" t="n">
        <v>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4" t="s">
        <v>323</v>
      </c>
      <c r="B26" s="14" t="s">
        <v>340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5" t="s">
        <v>341</v>
      </c>
      <c r="B28" s="16"/>
      <c r="C28" s="1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4" t="s">
        <v>342</v>
      </c>
      <c r="B29" s="51" t="n">
        <v>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4" t="s">
        <v>343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4" t="s">
        <v>344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4" t="s">
        <v>345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4" t="s">
        <v>346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2026-07-27T17:19:50Z</dcterms:created>
  <dc:creator>openpyxl</dc:creator>
  <dc:description/>
  <dc:language>en-US</dc:language>
  <cp:lastModifiedBy/>
  <dcterms:modified xsi:type="dcterms:W3CDTF">2026-07-27T17:21:42Z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