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opex'!$A$4:$G$5</definedName>
    <definedName name="som_floor_fleet">'Corridor economics'!$D$19</definedName>
    <definedName name="som_floor_rev">'Corridor economics'!$E$19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Indrive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3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  <row r="5">
      <c r="A5" s="26" t="inlineStr">
        <is>
          <t>Egypt</t>
        </is>
      </c>
      <c r="B5" s="27" t="n">
        <v>12000</v>
      </c>
      <c r="C5" s="28" t="n">
        <v>0.06</v>
      </c>
      <c r="D5" s="20" t="n">
        <v>0.45</v>
      </c>
      <c r="E5" s="27" t="n">
        <v>8000</v>
      </c>
      <c r="F5" s="20" t="n">
        <v>0.3</v>
      </c>
      <c r="G5" s="27" t="n">
        <v>600000</v>
      </c>
      <c r="H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Indrive Egypt</t>
        </is>
      </c>
      <c r="B4" s="15" t="inlineStr">
        <is>
          <t>Hurghada Marina → Sahl Hasheesh Marina</t>
        </is>
      </c>
      <c r="C4" s="15" t="inlineStr">
        <is>
          <t>rn-3d161664de08</t>
        </is>
      </c>
      <c r="D4" s="15" t="inlineStr">
        <is>
          <t>Egypt</t>
        </is>
      </c>
      <c r="E4" s="15" t="inlineStr">
        <is>
          <t>Exact canonical geometry exists, but an exact route-level annual one-way passenger count and locally comparable passenger fare have not both been supported for this route.</t>
        </is>
      </c>
    </row>
    <row r="5">
      <c r="A5" s="29" t="inlineStr">
        <is>
          <t>Indrive Egypt</t>
        </is>
      </c>
      <c r="B5" s="15" t="inlineStr">
        <is>
          <t>Hurghada Marina → Soma Bay Marina</t>
        </is>
      </c>
      <c r="C5" s="15" t="inlineStr">
        <is>
          <t>rn-173d32792c07</t>
        </is>
      </c>
      <c r="D5" s="15" t="inlineStr">
        <is>
          <t>Egypt</t>
        </is>
      </c>
      <c r="E5" s="15" t="inlineStr">
        <is>
          <t>Exact canonical geometry exists, but an exact route-level annual one-way passenger count and locally comparable passenger fare have not both been supported for this route.</t>
        </is>
      </c>
    </row>
    <row r="6">
      <c r="A6" s="29" t="inlineStr">
        <is>
          <t>Indrive Egypt</t>
        </is>
      </c>
      <c r="B6" s="15" t="inlineStr">
        <is>
          <t>Sharm Marina (Sharm El Maya / Old Market Harbour) → Sharks Bay Marina (purpose-built fast-boat terminal)</t>
        </is>
      </c>
      <c r="C6" s="15" t="inlineStr">
        <is>
          <t>rn-285fc16b29dc</t>
        </is>
      </c>
      <c r="D6" s="15" t="inlineStr">
        <is>
          <t>Egypt</t>
        </is>
      </c>
      <c r="E6" s="15" t="inlineStr">
        <is>
          <t>Exact canonical geometry exists, but an exact route-level annual one-way passenger count and locally comparable passenger fare have not both been supported for this route.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Indrive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Indrive Brazil</t>
        </is>
      </c>
      <c r="B4" s="31" t="inlineStr">
        <is>
          <t>Brazil</t>
        </is>
      </c>
      <c r="C4" s="32" t="inlineStr">
        <is>
          <t>Praça XV Terminal (central Rio) → Arariboia Terminal (Niterói)</t>
        </is>
      </c>
      <c r="D4" s="33" t="n">
        <v>2.7</v>
      </c>
      <c r="E4" s="27" t="n">
        <v>28</v>
      </c>
      <c r="F4" s="34" t="inlineStr">
        <is>
          <t>T1/T2</t>
        </is>
      </c>
      <c r="G4" s="34" t="inlineStr">
        <is>
          <t>med-low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10848719</v>
      </c>
      <c r="AI4" s="34" t="inlineStr">
        <is>
          <t>T1</t>
        </is>
      </c>
      <c r="AJ4" s="34" t="inlineStr">
        <is>
          <t>high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https://barcasrio.com.br/linhas-horarios-e-tarifas/</t>
        </is>
      </c>
      <c r="AZ4" s="46" t="inlineStr">
        <is>
          <t>https://www2.agetransp.rj.gov.br/arquivos/operacao-servicos/relatorio-de-atividades/Relat%C3%B3rio%20Mensal%20de%20Atividades%20Janeiro%202024.pdf</t>
        </is>
      </c>
      <c r="BA4" s="34" t="inlineStr">
        <is>
          <t>rn-1886629dbf0c</t>
        </is>
      </c>
    </row>
    <row r="5">
      <c r="A5" s="31" t="inlineStr">
        <is>
          <t>Indrive Brazil</t>
        </is>
      </c>
      <c r="B5" s="31" t="inlineStr">
        <is>
          <t>Brazil</t>
        </is>
      </c>
      <c r="C5" s="32" t="inlineStr">
        <is>
          <t>Praça XV Terminal (central Rio) → Charitas Terminal (Niterói, fast catamaran)</t>
        </is>
      </c>
      <c r="D5" s="33" t="n">
        <v>4.4</v>
      </c>
      <c r="E5" s="27" t="n">
        <v>28</v>
      </c>
      <c r="F5" s="34" t="inlineStr">
        <is>
          <t>T1/T2</t>
        </is>
      </c>
      <c r="G5" s="34" t="inlineStr">
        <is>
          <t>med-low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>
        <v>825637</v>
      </c>
      <c r="AI5" s="34" t="inlineStr">
        <is>
          <t>T1</t>
        </is>
      </c>
      <c r="AJ5" s="34" t="inlineStr">
        <is>
          <t>high</t>
        </is>
      </c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Grounded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https://barcasrio.com.br/linhas-horarios-e-tarifas/</t>
        </is>
      </c>
      <c r="AZ5" s="46" t="inlineStr">
        <is>
          <t>https://www2.agetransp.rj.gov.br/arquivos/operacao-servicos/relatorio-de-atividades/Relat%C3%B3rio%20Mensal%20de%20Atividades%20Janeiro%202024.pdf</t>
        </is>
      </c>
      <c r="BA5" s="34" t="inlineStr">
        <is>
          <t>rn-80f0d0ebe0bd</t>
        </is>
      </c>
    </row>
    <row r="6">
      <c r="A6" s="31" t="inlineStr">
        <is>
          <t>Indrive Brazil</t>
        </is>
      </c>
      <c r="B6" s="31" t="inlineStr">
        <is>
          <t>Brazil</t>
        </is>
      </c>
      <c r="C6" s="32" t="inlineStr">
        <is>
          <t>Beira Mar Terminal (continent) → Miramar Terminal (Florianopolis island)</t>
        </is>
      </c>
      <c r="D6" s="33" t="n">
        <v>4.79</v>
      </c>
      <c r="E6" s="27" t="n">
        <v>20</v>
      </c>
      <c r="F6" s="34" t="n"/>
      <c r="G6" s="34" t="n"/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6100556</v>
      </c>
      <c r="AI6" s="34" t="inlineStr">
        <is>
          <t>T3</t>
        </is>
      </c>
      <c r="AJ6" s="34" t="inlineStr">
        <is>
          <t>med-low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n"/>
      <c r="AZ6" s="46" t="inlineStr">
        <is>
          <t>https://www.sie.sc.gov.br/webdocs/sie/doc-tecnicos/aquaviario/ (EVTE Aquaviario RMF, Relatorio 3 - Componente Demanda; SIE-SC + BID)</t>
        </is>
      </c>
      <c r="BA6" s="34" t="inlineStr">
        <is>
          <t>rn-floripa-r4-PROV</t>
        </is>
      </c>
    </row>
    <row r="7">
      <c r="A7" s="31" t="inlineStr">
        <is>
          <t>Indrive Brazil</t>
        </is>
      </c>
      <c r="B7" s="31" t="inlineStr">
        <is>
          <t>Brazil</t>
        </is>
      </c>
      <c r="C7" s="32" t="inlineStr">
        <is>
          <t>Barreiros Terminal (Sao Jose / continent) → Miramar Terminal (Florianopolis island)</t>
        </is>
      </c>
      <c r="D7" s="33" t="n">
        <v>4.99</v>
      </c>
      <c r="E7" s="27" t="n">
        <v>20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3890964</v>
      </c>
      <c r="AI7" s="34" t="inlineStr">
        <is>
          <t>T3</t>
        </is>
      </c>
      <c r="AJ7" s="34" t="inlineStr">
        <is>
          <t>med-low</t>
        </is>
      </c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inlineStr">
        <is>
          <t>https://www.sie.sc.gov.br/webdocs/sie/doc-tecnicos/aquaviario/ (EVTE Aquaviario RMF, Relatorio 3 - Componente Demanda; SIE-SC + BID)</t>
        </is>
      </c>
      <c r="BA7" s="34" t="inlineStr">
        <is>
          <t>rn-floripa-r3-PROV</t>
        </is>
      </c>
    </row>
    <row r="8">
      <c r="A8" s="31" t="inlineStr">
        <is>
          <t>Indrive Brazil</t>
        </is>
      </c>
      <c r="B8" s="31" t="inlineStr">
        <is>
          <t>Brazil</t>
        </is>
      </c>
      <c r="C8" s="32" t="inlineStr">
        <is>
          <t>Praça XV Terminal (central Rio) → Cocotá Terminal (Ilha do Governador)</t>
        </is>
      </c>
      <c r="D8" s="33" t="n">
        <v>6</v>
      </c>
      <c r="E8" s="27" t="n">
        <v>28</v>
      </c>
      <c r="F8" s="34" t="inlineStr">
        <is>
          <t>T1/T2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278607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https://barcasrio.com.br/linhas-horarios-e-tarifas/</t>
        </is>
      </c>
      <c r="AZ8" s="46" t="inlineStr">
        <is>
          <t>https://www2.agetransp.rj.gov.br/arquivos/operacao-servicos/relatorio-de-atividades/Relat%C3%B3rio%20Mensal%20de%20Atividades%20Janeiro%202024.pdf</t>
        </is>
      </c>
      <c r="BA8" s="34" t="inlineStr">
        <is>
          <t>rn-369ef0eb69d9</t>
        </is>
      </c>
    </row>
    <row r="9">
      <c r="A9" s="31" t="inlineStr">
        <is>
          <t>Indrive Brazil</t>
        </is>
      </c>
      <c r="B9" s="31" t="inlineStr">
        <is>
          <t>Brazil</t>
        </is>
      </c>
      <c r="C9" s="32" t="inlineStr">
        <is>
          <t>Praça XV Terminal (central Rio) → Paquetá Island Terminal</t>
        </is>
      </c>
      <c r="D9" s="33" t="n">
        <v>9.199999999999999</v>
      </c>
      <c r="E9" s="27" t="n">
        <v>28</v>
      </c>
      <c r="F9" s="34" t="inlineStr">
        <is>
          <t>T1/T2</t>
        </is>
      </c>
      <c r="G9" s="34" t="inlineStr">
        <is>
          <t>med-low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1170652</v>
      </c>
      <c r="AI9" s="34" t="inlineStr">
        <is>
          <t>T1</t>
        </is>
      </c>
      <c r="AJ9" s="34" t="inlineStr">
        <is>
          <t>high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https://barcasrio.com.br/linhas-horarios-e-tarifas/</t>
        </is>
      </c>
      <c r="AZ9" s="46" t="inlineStr">
        <is>
          <t>https://www2.agetransp.rj.gov.br/arquivos/operacao-servicos/relatorio-de-atividades/Relat%C3%B3rio%20Mensal%20de%20Atividades%20Janeiro%202024.pdf</t>
        </is>
      </c>
      <c r="BA9" s="34" t="inlineStr">
        <is>
          <t>rn-00bb6ded4be5</t>
        </is>
      </c>
    </row>
    <row r="10">
      <c r="A10" s="31" t="inlineStr">
        <is>
          <t>Indrive Brazil</t>
        </is>
      </c>
      <c r="B10" s="31" t="inlineStr">
        <is>
          <t>Brazil</t>
        </is>
      </c>
      <c r="C10" s="32" t="inlineStr">
        <is>
          <t>Angra dos Reis Terminal (Costa Verde) → Abraão Terminal (Ilha Grande)</t>
        </is>
      </c>
      <c r="D10" s="33" t="n">
        <v>13</v>
      </c>
      <c r="E10" s="27" t="n">
        <v>30</v>
      </c>
      <c r="F10" s="34" t="inlineStr">
        <is>
          <t>T1</t>
        </is>
      </c>
      <c r="G10" s="34" t="inlineStr">
        <is>
          <t>high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207993</v>
      </c>
      <c r="AI10" s="34" t="inlineStr">
        <is>
          <t>T1</t>
        </is>
      </c>
      <c r="AJ10" s="34" t="inlineStr">
        <is>
          <t>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AGETRANSP / CCR Barcas Costa Verde published tariff</t>
        </is>
      </c>
      <c r="AZ10" s="46" t="inlineStr">
        <is>
          <t>https://www2.agetransp.rj.gov.br/arquivos/operacao-servicos/relatorio-de-atividades/Relat%C3%B3rio%20Mensal%20de%20Atividades%20Janeiro%202024.pdf</t>
        </is>
      </c>
      <c r="BA10" s="34" t="inlineStr">
        <is>
          <t>rn-angra-abraao-PROV</t>
        </is>
      </c>
    </row>
    <row r="11">
      <c r="A11" s="31" t="inlineStr">
        <is>
          <t>Indrive Egypt</t>
        </is>
      </c>
      <c r="B11" s="31" t="inlineStr">
        <is>
          <t>Egypt</t>
        </is>
      </c>
      <c r="C11" s="32" t="inlineStr">
        <is>
          <t>Hurghada Marina → Giftun Island (Orange Bay / Mahmya)</t>
        </is>
      </c>
      <c r="D11" s="33" t="n">
        <v>6.6</v>
      </c>
      <c r="E11" s="27" t="n">
        <v>32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187512</v>
      </c>
      <c r="AI11" s="34" t="n"/>
      <c r="AJ11" s="34" t="n"/>
      <c r="AK11" s="41" t="n">
        <v>0.9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rn-b06f6971ed47</t>
        </is>
      </c>
    </row>
    <row r="12">
      <c r="A12" s="31" t="inlineStr">
        <is>
          <t>Indrive Egypt</t>
        </is>
      </c>
      <c r="B12" s="31" t="inlineStr">
        <is>
          <t>Egypt</t>
        </is>
      </c>
      <c r="C12" s="32" t="inlineStr">
        <is>
          <t>Sharm Marina (Sharm El Maya / Old Market Harbour) → Ras Mohammed (reef jetty)</t>
        </is>
      </c>
      <c r="D12" s="33" t="n">
        <v>11.7</v>
      </c>
      <c r="E12" s="27" t="n">
        <v>50</v>
      </c>
      <c r="F12" s="34" t="n"/>
      <c r="G12" s="34" t="n"/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50000</v>
      </c>
      <c r="AI12" s="34" t="n"/>
      <c r="AJ12" s="34" t="n"/>
      <c r="AK12" s="41" t="n">
        <v>0.9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n"/>
      <c r="AZ12" s="46" t="n"/>
      <c r="BA12" s="34" t="inlineStr">
        <is>
          <t>rn-c16a1627130f</t>
        </is>
      </c>
    </row>
    <row r="13">
      <c r="A13" s="47" t="inlineStr">
        <is>
          <t>TOTAL / median</t>
        </is>
      </c>
      <c r="U13" s="48">
        <f>SUM(U4:U12)</f>
        <v/>
      </c>
      <c r="AD13" s="48">
        <f>SUM(AD4:AD12)</f>
        <v/>
      </c>
      <c r="AE13" s="49">
        <f>IF(U13=0,"",AD13/U13)</f>
        <v/>
      </c>
      <c r="AM13" s="50">
        <f>SUM(AM4:AM12)</f>
        <v/>
      </c>
      <c r="AN13" s="48">
        <f>SUM(AN4:AN12)</f>
        <v/>
      </c>
    </row>
    <row r="15">
      <c r="A15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6">
      <c r="A16" s="25" t="inlineStr">
        <is>
          <t>Market</t>
        </is>
      </c>
      <c r="B16" s="25" t="inlineStr">
        <is>
          <t>Fleet basis</t>
        </is>
      </c>
      <c r="C16" s="25" t="inlineStr">
        <is>
          <t>Raw vessels (sum)</t>
        </is>
      </c>
      <c r="D16" s="25" t="inlineStr">
        <is>
          <t>Fleet (rounded once)</t>
        </is>
      </c>
      <c r="E16" s="25" t="inlineStr">
        <is>
          <t>Market rev/yr (raw sum)</t>
        </is>
      </c>
    </row>
    <row r="17">
      <c r="A17" s="26" t="inlineStr">
        <is>
          <t>Indrive Brazil</t>
        </is>
      </c>
      <c r="B17" s="14" t="inlineStr">
        <is>
          <t>per_corridor_floor</t>
        </is>
      </c>
      <c r="C17" s="14" t="inlineStr">
        <is>
          <t>—</t>
        </is>
      </c>
      <c r="D17" s="51">
        <f>SUMIFS(AM4:AM12,A4:A12,"Indrive Brazil",AQ4:AQ12,"=",AR4:AR12,"Grounded")</f>
        <v/>
      </c>
      <c r="E17" s="52">
        <f>SUMIFS(AN4:AN12,A4:A12,"Indrive Brazil",AQ4:AQ12,"=",AR4:AR12,"Grounded")</f>
        <v/>
      </c>
    </row>
    <row r="18">
      <c r="A18" s="26" t="inlineStr">
        <is>
          <t>Indrive Egypt</t>
        </is>
      </c>
      <c r="B18" s="14" t="inlineStr">
        <is>
          <t>two luxury-belt captive routes on labeled destination-pool demand at ~90% floor capture; three held</t>
        </is>
      </c>
      <c r="C18" s="14" t="inlineStr">
        <is>
          <t>—</t>
        </is>
      </c>
      <c r="D18" s="51">
        <f>SUMIFS(AM4:AM12,A4:A12,"Indrive Egypt",AQ4:AQ12,"=",AR4:AR12,"Grounded")</f>
        <v/>
      </c>
      <c r="E18" s="52">
        <f>SUMIFS(AN4:AN12,A4:A12,"Indrive Egypt",AQ4:AQ12,"=",AR4:AR12,"Grounded")</f>
        <v/>
      </c>
    </row>
    <row r="19">
      <c r="A19" s="47" t="inlineStr">
        <is>
          <t>GROUNDED FLOOR (PUBLISHED)</t>
        </is>
      </c>
      <c r="D19" s="50">
        <f>SUM(D17:D18)</f>
        <v/>
      </c>
      <c r="E19" s="48">
        <f>SUM(E17:E18)</f>
        <v/>
      </c>
    </row>
  </sheetData>
  <mergeCells count="2">
    <mergeCell ref="A15:L15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3">
        <f>som_floor_rev/(ROUND(SUMPRODUCT(--('Corridor economics'!$AR$4:$AR$12="Grounded"),'Corridor economics'!$AH$4:$AH$12,'Corridor economics'!$E$4:$E$12),0))</f>
        <v/>
      </c>
      <c r="E11" s="15" t="inlineStr">
        <is>
          <t>New-entrant ~11%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economics'!$AR$4:$AR$12="Grounded"),'Corridor economics'!$AH$4:$AH$12,'Corridor economics'!$E$4:$E$12),0)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(~11%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(~11%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4" t="inlineStr">
        <is>
          <t>Note</t>
        </is>
      </c>
      <c r="B26" s="55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2026-07-17T21:00:53Z</dcterms:created>
  <dcterms:modified xsi:type="dcterms:W3CDTF">2026-07-17T21:00:53Z</dcterms:modified>
</cp:coreProperties>
</file>