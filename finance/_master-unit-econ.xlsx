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 unit-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555555"/>
      <sz val="9"/>
    </font>
    <font>
      <b val="1"/>
      <color rgb="00FFFFFF"/>
    </font>
    <font>
      <b val="1"/>
    </font>
    <font>
      <color rgb="001155CC"/>
      <u val="single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984"/>
      </patternFill>
    </fill>
    <fill>
      <patternFill patternType="solid">
        <fgColor rgb="00EEF3F8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pivotButton="0" quotePrefix="0" xfId="0"/>
    <xf numFmtId="0" fontId="2" fillId="4" borderId="1" applyAlignment="1" pivotButton="0" quotePrefix="0" xfId="0">
      <alignment vertical="top" wrapText="1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4" fillId="5" borderId="1" pivotButton="0" quotePrefix="0" xfId="0"/>
    <xf numFmtId="0" fontId="0" fillId="5" borderId="1" pivotButton="0" quotePrefix="0" xfId="0"/>
    <xf numFmtId="0" fontId="4" fillId="5" borderId="1" applyAlignment="1" pivotButton="0" quotePrefix="0" xfId="0">
      <alignment horizontal="center" vertical="center"/>
    </xf>
    <xf numFmtId="164" fontId="4" fillId="5" borderId="1" pivotButton="0" quotePrefix="0" xfId="0"/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3" customWidth="1" min="4" max="4"/>
    <col width="18" customWidth="1" min="5" max="5"/>
    <col width="14" customWidth="1" min="6" max="6"/>
    <col width="18" customWidth="1" min="7" max="7"/>
    <col width="12" customWidth="1" min="8" max="8"/>
    <col width="18" customWidth="1" min="9" max="9"/>
    <col width="46" customWidth="1" min="10" max="10"/>
  </cols>
  <sheetData>
    <row r="1" ht="26" customHeight="1">
      <c r="A1" s="1" t="inlineStr">
        <is>
          <t>Navier — Partner Corridor Unit-Economics  ·  master tracker</t>
        </is>
      </c>
    </row>
    <row r="2" ht="28" customHeight="1">
      <c r="A2" s="2" t="inlineStr">
        <is>
          <t>Each partner sheet is fully formula-driven and standalone (Assumptions · Corridor economics · Market sizing). Numbers below are the engine rollup; MID scenario. Open a sheet to trace any cell. Portfolio total is gross (partner scopes may overlap).</t>
        </is>
      </c>
    </row>
    <row r="3" ht="34" customHeight="1">
      <c r="A3" s="3" t="inlineStr">
        <is>
          <t>Partner</t>
        </is>
      </c>
      <c r="B3" s="3" t="inlineStr">
        <is>
          <t>Open sheet</t>
        </is>
      </c>
      <c r="C3" s="3" t="inlineStr">
        <is>
          <t>Corridors (g / e)</t>
        </is>
      </c>
      <c r="D3" s="3" t="inlineStr">
        <is>
          <t>Grounded fleet</t>
        </is>
      </c>
      <c r="E3" s="3" t="inlineStr">
        <is>
          <t>Grounded mkt rev/yr</t>
        </is>
      </c>
      <c r="F3" s="3" t="inlineStr">
        <is>
          <t>Est. upside fleet</t>
        </is>
      </c>
      <c r="G3" s="3" t="inlineStr">
        <is>
          <t>Est. upside rev/yr</t>
        </is>
      </c>
      <c r="H3" s="3" t="inlineStr">
        <is>
          <t>Total fleet</t>
        </is>
      </c>
      <c r="I3" s="3" t="inlineStr">
        <is>
          <t>Total rev/yr</t>
        </is>
      </c>
      <c r="J3" s="3" t="inlineStr">
        <is>
          <t>Notes</t>
        </is>
      </c>
    </row>
    <row r="4" ht="42" customHeight="1">
      <c r="A4" s="4" t="inlineStr">
        <is>
          <t>Grab</t>
        </is>
      </c>
      <c r="B4" s="5">
        <f>HYPERLINK("https://docs.google.com/spreadsheets/d/1ACYTZar0odZCASzKUwo1A4rXGsCsz6Luec6Cu3vQ20w/edit","open ↗")</f>
        <v/>
      </c>
      <c r="C4" s="6" t="inlineStr">
        <is>
          <t>53 / 26</t>
        </is>
      </c>
      <c r="D4" s="6" t="n">
        <v>570</v>
      </c>
      <c r="E4" s="7" t="n">
        <v>83362581</v>
      </c>
      <c r="F4" s="6" t="n">
        <v>226</v>
      </c>
      <c r="G4" s="7" t="n">
        <v>22782014</v>
      </c>
      <c r="H4" s="6" t="n">
        <v>796</v>
      </c>
      <c r="I4" s="7" t="n">
        <v>106144595</v>
      </c>
      <c r="J4" s="8" t="inlineStr">
        <is>
          <t>SE-Asia ridehail/island network. Primary anchor — 0% future-dated demand.</t>
        </is>
      </c>
    </row>
    <row r="5" ht="42" customHeight="1">
      <c r="A5" s="9" t="inlineStr">
        <is>
          <t>Careem</t>
        </is>
      </c>
      <c r="B5" s="10">
        <f>HYPERLINK("https://docs.google.com/spreadsheets/d/1ip3bYDedgxj_9ydksKH1OzeoXGMWT2LZzti1y5jsx-8/edit","open ↗")</f>
        <v/>
      </c>
      <c r="C5" s="11" t="inlineStr">
        <is>
          <t>32 / 4</t>
        </is>
      </c>
      <c r="D5" s="11" t="n">
        <v>24</v>
      </c>
      <c r="E5" s="12" t="n">
        <v>13092500</v>
      </c>
      <c r="F5" s="11" t="n">
        <v>2</v>
      </c>
      <c r="G5" s="12" t="n">
        <v>0</v>
      </c>
      <c r="H5" s="11" t="n">
        <v>26</v>
      </c>
      <c r="I5" s="12" t="n">
        <v>13092500</v>
      </c>
      <c r="J5" s="13" t="inlineStr">
        <is>
          <t>UAE luxury water-served transfers. Mostly estimated; corridors city-level (route-pin pending).</t>
        </is>
      </c>
    </row>
    <row r="6" ht="42" customHeight="1">
      <c r="A6" s="4" t="inlineStr">
        <is>
          <t>Saudi / Red Sea (PIF)</t>
        </is>
      </c>
      <c r="B6" s="5">
        <f>HYPERLINK("https://docs.google.com/spreadsheets/d/1K75Ln5YKgKkOBKnprAoVGu4KeuO83Dx2TGzQ-1o45Ig/edit","open ↗")</f>
        <v/>
      </c>
      <c r="C6" s="6" t="inlineStr">
        <is>
          <t>0 / 1</t>
        </is>
      </c>
      <c r="D6" s="6" t="n">
        <v>0</v>
      </c>
      <c r="E6" s="7" t="n">
        <v>0</v>
      </c>
      <c r="F6" s="6" t="n">
        <v>6</v>
      </c>
      <c r="G6" s="7" t="n">
        <v>0</v>
      </c>
      <c r="H6" s="6" t="n">
        <v>6</v>
      </c>
      <c r="I6" s="7" t="n">
        <v>0</v>
      </c>
      <c r="J6" s="8" t="inlineStr">
        <is>
          <t>Low-confidence / largely 2030-dated. Greenfield OFF. Treat as forward.</t>
        </is>
      </c>
    </row>
    <row r="7" ht="42" customHeight="1">
      <c r="A7" s="9" t="inlineStr">
        <is>
          <t>Red Sea Global</t>
        </is>
      </c>
      <c r="B7" s="10">
        <f>HYPERLINK("https://docs.google.com/spreadsheets/d/1QbF7zSl-5CllYXXLRJvvKJXXBpOu8Cnl97X1rO5J77c/edit","open ↗")</f>
        <v/>
      </c>
      <c r="C7" s="11" t="inlineStr">
        <is>
          <t>3 / 2</t>
        </is>
      </c>
      <c r="D7" s="11" t="n">
        <v>235</v>
      </c>
      <c r="E7" s="12" t="n">
        <v>162388864</v>
      </c>
      <c r="F7" s="11" t="n">
        <v>12</v>
      </c>
      <c r="G7" s="12" t="n">
        <v>2387088</v>
      </c>
      <c r="H7" s="11" t="n">
        <v>247</v>
      </c>
      <c r="I7" s="12" t="n">
        <v>164775952</v>
      </c>
      <c r="J7" s="13" t="inlineStr">
        <is>
          <t>Resort-operator corridors. Small, grounded subset.</t>
        </is>
      </c>
    </row>
    <row r="8" ht="42" customHeight="1">
      <c r="A8" s="4" t="inlineStr">
        <is>
          <t>JIH Global (Maldives)</t>
        </is>
      </c>
      <c r="B8" s="5">
        <f>HYPERLINK("https://docs.google.com/spreadsheets/d/136mve2Z-c2FRZm2cZZ3of9jk85kpEkpzf-ZIC9dzXJU/edit","open ↗")</f>
        <v/>
      </c>
      <c r="C8" s="6" t="inlineStr">
        <is>
          <t>38 / 5</t>
        </is>
      </c>
      <c r="D8" s="6" t="n">
        <v>74</v>
      </c>
      <c r="E8" s="7" t="n">
        <v>81100880</v>
      </c>
      <c r="F8" s="6" t="n">
        <v>0</v>
      </c>
      <c r="G8" s="7" t="n">
        <v>0</v>
      </c>
      <c r="H8" s="6" t="n">
        <v>74</v>
      </c>
      <c r="I8" s="7" t="n">
        <v>81100880</v>
      </c>
      <c r="J8" s="8" t="inlineStr">
        <is>
          <t>Maldives 43 corridors geometry-bound; network-sum captive fleet.</t>
        </is>
      </c>
    </row>
    <row r="9" ht="42" customHeight="1">
      <c r="A9" s="9" t="inlineStr">
        <is>
          <t>Qatar</t>
        </is>
      </c>
      <c r="B9" s="10">
        <f>HYPERLINK("https://docs.google.com/spreadsheets/d/1v0Fo-QDKVIEiMzzYUbrugCUH1cBJdLKD9URG1R16S0Q/edit","open ↗")</f>
        <v/>
      </c>
      <c r="C9" s="11" t="inlineStr">
        <is>
          <t>1 / 7</t>
        </is>
      </c>
      <c r="D9" s="11" t="n">
        <v>11</v>
      </c>
      <c r="E9" s="12" t="n">
        <v>2005817</v>
      </c>
      <c r="F9" s="11" t="n">
        <v>0</v>
      </c>
      <c r="G9" s="12" t="n">
        <v>0</v>
      </c>
      <c r="H9" s="11" t="n">
        <v>11</v>
      </c>
      <c r="I9" s="12" t="n">
        <v>2005817</v>
      </c>
      <c r="J9" s="13" t="inlineStr">
        <is>
          <t>Doha 4/4 in-range corridors bound. Banana Island captive carries floor.</t>
        </is>
      </c>
    </row>
    <row r="10" ht="42" customHeight="1">
      <c r="A10" s="4" t="inlineStr">
        <is>
          <t>Bolt</t>
        </is>
      </c>
      <c r="B10" s="5">
        <f>HYPERLINK("https://docs.google.com/spreadsheets/d/1XkD0x-PfDyY34ZBy5jX2u1LqoibAd_xMiyO-Re2UWUk/edit","open ↗")</f>
        <v/>
      </c>
      <c r="C10" s="6" t="inlineStr">
        <is>
          <t>63 / 139</t>
        </is>
      </c>
      <c r="D10" s="6" t="n">
        <v>527</v>
      </c>
      <c r="E10" s="7" t="n">
        <v>105876268</v>
      </c>
      <c r="F10" s="6" t="n">
        <v>280</v>
      </c>
      <c r="G10" s="7" t="n">
        <v>58220204</v>
      </c>
      <c r="H10" s="6" t="n">
        <v>807</v>
      </c>
      <c r="I10" s="7" t="n">
        <v>164096472</v>
      </c>
      <c r="J10" s="8" t="inlineStr">
        <is>
          <t>MENA grounded floor + Med/Baltic aspirational tail (Bucket C bound).</t>
        </is>
      </c>
    </row>
    <row r="11" ht="42" customHeight="1">
      <c r="A11" s="9" t="inlineStr">
        <is>
          <t>Yango</t>
        </is>
      </c>
      <c r="B11" s="10">
        <f>HYPERLINK("https://docs.google.com/spreadsheets/d/1fvB_tc8IWUTlKMWjPcoJde_uPnGKVqoCxxsgd5IL1rM/edit","open ↗")</f>
        <v/>
      </c>
      <c r="C11" s="11" t="inlineStr">
        <is>
          <t>41 / 124</t>
        </is>
      </c>
      <c r="D11" s="11" t="n">
        <v>284</v>
      </c>
      <c r="E11" s="12" t="n">
        <v>79853143</v>
      </c>
      <c r="F11" s="11" t="n">
        <v>227</v>
      </c>
      <c r="G11" s="12" t="n">
        <v>2387088</v>
      </c>
      <c r="H11" s="11" t="n">
        <v>511</v>
      </c>
      <c r="I11" s="12" t="n">
        <v>82240231</v>
      </c>
      <c r="J11" s="13" t="inlineStr">
        <is>
          <t>MENA + Africa grounded + CIS/Caspian/Africa aspirational tail (Bucket C bound).</t>
        </is>
      </c>
    </row>
    <row r="12" ht="42" customHeight="1">
      <c r="A12" s="4" t="inlineStr">
        <is>
          <t>Constance (Maldives)</t>
        </is>
      </c>
      <c r="B12" s="5">
        <f>HYPERLINK("https://docs.google.com/spreadsheets/d/1Lhz_6nh3HnCK8L7tzr4HhmNEtfnXx2smecYPNQSORl0/edit","open ↗")</f>
        <v/>
      </c>
      <c r="C12" s="6" t="inlineStr">
        <is>
          <t>— / —</t>
        </is>
      </c>
      <c r="D12" s="6" t="n"/>
      <c r="E12" s="7" t="n"/>
      <c r="F12" s="6" t="n"/>
      <c r="G12" s="7" t="n"/>
      <c r="H12" s="6" t="n"/>
      <c r="I12" s="7" t="n"/>
      <c r="J12" s="8" t="inlineStr">
        <is>
          <t>Captive resort-transfer; network-sum captive fleet. Greenfield OFF. [no agg-constance.json in finance/recal]</t>
        </is>
      </c>
    </row>
    <row r="13" ht="42" customHeight="1">
      <c r="A13" s="9" t="inlineStr">
        <is>
          <t>Four Seasons (Maldives)</t>
        </is>
      </c>
      <c r="B13" s="10">
        <f>HYPERLINK("https://docs.google.com/spreadsheets/d/1Flk6PfRgCNdSGlP49lf1KxXaoR4qdlLcs1O8YA72gcc/edit","open ↗")</f>
        <v/>
      </c>
      <c r="C13" s="11" t="inlineStr">
        <is>
          <t>— / —</t>
        </is>
      </c>
      <c r="D13" s="11" t="n"/>
      <c r="E13" s="12" t="n"/>
      <c r="F13" s="11" t="n"/>
      <c r="G13" s="12" t="n"/>
      <c r="H13" s="11" t="n"/>
      <c r="I13" s="12" t="n"/>
      <c r="J13" s="13" t="inlineStr">
        <is>
          <t>Captive resort-transfer; network-sum captive fleet. Greenfield OFF. [no agg-four-seasons.json in finance/recal]</t>
        </is>
      </c>
    </row>
    <row r="14" ht="30" customHeight="1">
      <c r="A14" s="14" t="inlineStr">
        <is>
          <t>PORTFOLIO (gross)</t>
        </is>
      </c>
      <c r="B14" s="15" t="inlineStr"/>
      <c r="C14" s="15" t="inlineStr"/>
      <c r="D14" s="16">
        <f>SUM(D4:D13)</f>
        <v/>
      </c>
      <c r="E14" s="17">
        <f>SUM(E4:E13)</f>
        <v/>
      </c>
      <c r="F14" s="16">
        <f>SUM(F4:F13)</f>
        <v/>
      </c>
      <c r="G14" s="17">
        <f>SUM(G4:G13)</f>
        <v/>
      </c>
      <c r="H14" s="16">
        <f>SUM(H4:H13)</f>
        <v/>
      </c>
      <c r="I14" s="17">
        <f>SUM(I4:I13)</f>
        <v/>
      </c>
      <c r="J14" s="18" t="inlineStr">
        <is>
          <t>Gross sum across partner scopes; not de-duplicated.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2026-06-20T04:55:25Z</dcterms:created>
  <dcterms:modified xsi:type="dcterms:W3CDTF">2026-06-20T04:55:25Z</dcterms:modified>
</cp:coreProperties>
</file>