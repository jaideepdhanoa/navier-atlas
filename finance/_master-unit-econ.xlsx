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ner unit-economics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Global TAM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opex'!$A$4:$G$42</definedName>
    <definedName name="som_floor_fleet">'Corridor economics'!$D$583</definedName>
    <definedName name="som_floor_rev">'Corridor economics'!$E$583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"/>
    <numFmt numFmtId="165" formatCode="&quot;$&quot;#,##0"/>
    <numFmt numFmtId="166" formatCode="0.0%"/>
    <numFmt numFmtId="167" formatCode="&quot;$&quot;#,##0.00"/>
    <numFmt numFmtId="168" formatCode="#,##0.0"/>
  </numFmts>
  <fonts count="14">
    <font>
      <name val="Calibri"/>
      <family val="2"/>
      <color theme="1"/>
      <sz val="11"/>
      <scheme val="minor"/>
    </font>
    <font>
      <b val="1"/>
      <color rgb="00FFFFFF"/>
      <sz val="14"/>
    </font>
    <font>
      <color rgb="00555555"/>
      <sz val="9"/>
    </font>
    <font>
      <b val="1"/>
      <color rgb="00FFFFFF"/>
    </font>
    <font>
      <b val="1"/>
    </font>
    <font>
      <color rgb="001155CC"/>
      <u val="single"/>
    </font>
    <font>
      <b val="1"/>
      <color rgb="00FFFFFF"/>
      <sz val="12"/>
    </font>
    <font>
      <b val="1"/>
      <color rgb="00FFFFFF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11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2E5984"/>
      </patternFill>
    </fill>
    <fill>
      <patternFill patternType="solid">
        <fgColor rgb="00EEF3F8"/>
      </patternFill>
    </fill>
    <fill>
      <patternFill patternType="solid">
        <fgColor rgb="00DCE6F1"/>
      </patternFill>
    </fill>
    <fill>
      <patternFill patternType="solid">
        <fgColor rgb="002E5A88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AF3EA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/>
      <right/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/>
      <top style="thin">
        <color rgb="00BBBBBB"/>
      </top>
      <bottom style="thin">
        <color rgb="00BBBBBB"/>
      </bottom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164" fontId="0" fillId="4" borderId="1" pivotButton="0" quotePrefix="0" xfId="0"/>
    <xf numFmtId="0" fontId="2" fillId="4" borderId="1" applyAlignment="1" pivotButton="0" quotePrefix="0" xfId="0">
      <alignment vertical="top" wrapText="1"/>
    </xf>
    <xf numFmtId="0" fontId="4" fillId="0" borderId="1" pivotButton="0" quotePrefix="0" xfId="0"/>
    <xf numFmtId="0" fontId="5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2" fillId="0" borderId="1" applyAlignment="1" pivotButton="0" quotePrefix="0" xfId="0">
      <alignment vertical="top" wrapText="1"/>
    </xf>
    <xf numFmtId="0" fontId="4" fillId="5" borderId="1" pivotButton="0" quotePrefix="0" xfId="0"/>
    <xf numFmtId="0" fontId="0" fillId="5" borderId="1" pivotButton="0" quotePrefix="0" xfId="0"/>
    <xf numFmtId="0" fontId="4" fillId="5" borderId="1" applyAlignment="1" pivotButton="0" quotePrefix="0" xfId="0">
      <alignment horizontal="center" vertical="center"/>
    </xf>
    <xf numFmtId="164" fontId="4" fillId="5" borderId="1" pivotButton="0" quotePrefix="0" xfId="0"/>
    <xf numFmtId="0" fontId="2" fillId="5" borderId="1" applyAlignment="1" pivotButton="0" quotePrefix="0" xfId="0">
      <alignment vertical="top" wrapText="1"/>
    </xf>
    <xf numFmtId="0" fontId="6" fillId="2" borderId="0" pivotButton="0" quotePrefix="0" xfId="0"/>
    <xf numFmtId="0" fontId="6" fillId="6" borderId="0" pivotButton="0" quotePrefix="0" xfId="0"/>
    <xf numFmtId="0" fontId="7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4" fillId="7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4" fontId="4" fillId="7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4" fontId="0" fillId="7" borderId="1" applyAlignment="1" pivotButton="0" quotePrefix="0" xfId="0">
      <alignment horizontal="center" vertical="center"/>
    </xf>
    <xf numFmtId="0" fontId="4" fillId="8" borderId="1" pivotButton="0" quotePrefix="0" xfId="0"/>
    <xf numFmtId="0" fontId="8" fillId="8" borderId="1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4" fontId="0" fillId="9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165" fontId="0" fillId="7" borderId="1" applyAlignment="1" pivotButton="0" quotePrefix="0" xfId="0">
      <alignment horizontal="center" vertical="center"/>
    </xf>
    <xf numFmtId="167" fontId="0" fillId="7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/>
    </xf>
    <xf numFmtId="0" fontId="2" fillId="7" borderId="1" pivotButton="0" quotePrefix="0" xfId="0"/>
    <xf numFmtId="0" fontId="9" fillId="7" borderId="1" applyAlignment="1" pivotButton="0" quotePrefix="0" xfId="0">
      <alignment vertical="top" wrapText="1"/>
    </xf>
    <xf numFmtId="0" fontId="10" fillId="10" borderId="1" applyAlignment="1" pivotButton="0" quotePrefix="0" xfId="0">
      <alignment vertical="top" wrapText="1"/>
    </xf>
    <xf numFmtId="3" fontId="2" fillId="10" borderId="1" applyAlignment="1" pivotButton="0" quotePrefix="0" xfId="0">
      <alignment horizontal="center" vertical="center"/>
    </xf>
    <xf numFmtId="3" fontId="0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168" fontId="9" fillId="9" borderId="1" applyAlignment="1" pivotButton="0" quotePrefix="0" xfId="0">
      <alignment horizontal="center" vertical="center"/>
    </xf>
    <xf numFmtId="3" fontId="9" fillId="9" borderId="1" applyAlignment="1" pivotButton="0" quotePrefix="0" xfId="0">
      <alignment horizontal="center" vertical="center"/>
    </xf>
    <xf numFmtId="166" fontId="9" fillId="9" borderId="1" applyAlignment="1" pivotButton="0" quotePrefix="0" xfId="0">
      <alignment horizontal="center" vertical="center"/>
    </xf>
    <xf numFmtId="4" fontId="9" fillId="9" borderId="1" applyAlignment="1" pivotButton="0" quotePrefix="0" xfId="0">
      <alignment horizontal="center" vertical="center"/>
    </xf>
    <xf numFmtId="167" fontId="9" fillId="9" borderId="1" applyAlignment="1" pivotButton="0" quotePrefix="0" xfId="0">
      <alignment horizontal="center" vertical="center"/>
    </xf>
    <xf numFmtId="165" fontId="9" fillId="9" borderId="1" applyAlignment="1" pivotButton="0" quotePrefix="0" xfId="0">
      <alignment horizontal="center" vertical="center"/>
    </xf>
    <xf numFmtId="166" fontId="0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4" fontId="9" fillId="8" borderId="1" applyAlignment="1" pivotButton="0" quotePrefix="0" xfId="0">
      <alignment horizontal="center" vertical="center"/>
    </xf>
    <xf numFmtId="165" fontId="4" fillId="5" borderId="1" applyAlignment="1" pivotButton="0" quotePrefix="0" xfId="0">
      <alignment horizontal="center" vertical="center"/>
    </xf>
    <xf numFmtId="166" fontId="4" fillId="5" borderId="1" applyAlignment="1" pivotButton="0" quotePrefix="0" xfId="0">
      <alignment horizontal="center" vertical="center"/>
    </xf>
    <xf numFmtId="3" fontId="4" fillId="5" borderId="1" applyAlignment="1" pivotButton="0" quotePrefix="0" xfId="0">
      <alignment horizontal="center" vertical="center"/>
    </xf>
    <xf numFmtId="3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0">
      <alignment horizontal="center" vertical="center"/>
    </xf>
    <xf numFmtId="3" fontId="4" fillId="8" borderId="1" applyAlignment="1" pivotButton="0" quotePrefix="0" xfId="0">
      <alignment horizontal="center" vertical="center"/>
    </xf>
    <xf numFmtId="165" fontId="4" fillId="8" borderId="1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0" fontId="13" fillId="0" borderId="0" applyAlignment="1" pivotButton="0" quotePrefix="0" xfId="0">
      <alignment vertical="top" wrapText="1"/>
    </xf>
    <xf numFmtId="0" fontId="4" fillId="0" borderId="0" pivotButton="0" quotePrefix="0" xfId="0"/>
    <xf numFmtId="0" fontId="4" fillId="5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164" fontId="4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5" customWidth="1" min="3" max="3"/>
    <col width="13" customWidth="1" min="4" max="4"/>
    <col width="18" customWidth="1" min="5" max="5"/>
    <col width="14" customWidth="1" min="6" max="6"/>
    <col width="18" customWidth="1" min="7" max="7"/>
    <col width="12" customWidth="1" min="8" max="8"/>
    <col width="18" customWidth="1" min="9" max="9"/>
    <col width="46" customWidth="1" min="10" max="10"/>
  </cols>
  <sheetData>
    <row r="1" ht="26" customHeight="1">
      <c r="A1" s="1" t="inlineStr">
        <is>
          <t>Navier — Partner Corridor Unit-Economics  ·  master tracker</t>
        </is>
      </c>
    </row>
    <row r="2" ht="36" customHeight="1">
      <c r="A2" s="2" t="inlineStr">
        <is>
          <t>Each partner sheet is fully formula-driven and standalone (Assumptions · Corridor economics · Market sizing). Numbers below are the engine rollup; MID scenario. Open a sheet to trace any cell. Portfolio total is gross (partner scopes may overlap). Global unit-economics (de-duped Corridor economics tab) + Global TAM are on the tabs to the right.</t>
        </is>
      </c>
    </row>
    <row r="3" ht="34" customHeight="1">
      <c r="A3" s="3" t="inlineStr">
        <is>
          <t>Partner</t>
        </is>
      </c>
      <c r="B3" s="3" t="inlineStr">
        <is>
          <t>Open sheet</t>
        </is>
      </c>
      <c r="C3" s="3" t="inlineStr">
        <is>
          <t>Corridors (g / e)</t>
        </is>
      </c>
      <c r="D3" s="3" t="inlineStr">
        <is>
          <t>Grounded fleet</t>
        </is>
      </c>
      <c r="E3" s="3" t="inlineStr">
        <is>
          <t>Grounded mkt rev/yr</t>
        </is>
      </c>
      <c r="F3" s="3" t="inlineStr">
        <is>
          <t>Est. upside fleet</t>
        </is>
      </c>
      <c r="G3" s="3" t="inlineStr">
        <is>
          <t>Est. upside rev/yr</t>
        </is>
      </c>
      <c r="H3" s="3" t="inlineStr">
        <is>
          <t>Total fleet</t>
        </is>
      </c>
      <c r="I3" s="3" t="inlineStr">
        <is>
          <t>Total rev/yr</t>
        </is>
      </c>
      <c r="J3" s="3" t="inlineStr">
        <is>
          <t>Notes</t>
        </is>
      </c>
    </row>
    <row r="4" ht="42" customHeight="1">
      <c r="A4" s="4" t="inlineStr">
        <is>
          <t>Grab</t>
        </is>
      </c>
      <c r="B4" s="5">
        <f>HYPERLINK("https://docs.google.com/spreadsheets/d/1ACYTZar0odZCASzKUwo1A4rXGsCsz6Luec6Cu3vQ20w/edit","open ↗")</f>
        <v/>
      </c>
      <c r="C4" s="6" t="inlineStr">
        <is>
          <t>53 / 26</t>
        </is>
      </c>
      <c r="D4" s="6" t="n">
        <v>570</v>
      </c>
      <c r="E4" s="7" t="n">
        <v>83362581</v>
      </c>
      <c r="F4" s="6" t="n">
        <v>226</v>
      </c>
      <c r="G4" s="7" t="n">
        <v>22782014</v>
      </c>
      <c r="H4" s="6" t="n">
        <v>796</v>
      </c>
      <c r="I4" s="7" t="n">
        <v>106144595</v>
      </c>
      <c r="J4" s="8" t="inlineStr">
        <is>
          <t>SE-Asia ridehail/island network. Primary anchor — 0% future-dated demand.</t>
        </is>
      </c>
    </row>
    <row r="5" ht="42" customHeight="1">
      <c r="A5" s="9" t="inlineStr">
        <is>
          <t>Careem</t>
        </is>
      </c>
      <c r="B5" s="10">
        <f>HYPERLINK("https://docs.google.com/spreadsheets/d/1ip3bYDedgxj_9ydksKH1OzeoXGMWT2LZzti1y5jsx-8/edit","open ↗")</f>
        <v/>
      </c>
      <c r="C5" s="11" t="inlineStr">
        <is>
          <t>32 / 4</t>
        </is>
      </c>
      <c r="D5" s="11" t="n">
        <v>24</v>
      </c>
      <c r="E5" s="12" t="n">
        <v>13092500</v>
      </c>
      <c r="F5" s="11" t="n">
        <v>2</v>
      </c>
      <c r="G5" s="12" t="n">
        <v>0</v>
      </c>
      <c r="H5" s="11" t="n">
        <v>26</v>
      </c>
      <c r="I5" s="12" t="n">
        <v>13092500</v>
      </c>
      <c r="J5" s="13" t="inlineStr">
        <is>
          <t>UAE luxury water-served transfers. Mostly estimated; corridors city-level (route-pin pending).</t>
        </is>
      </c>
    </row>
    <row r="6" ht="42" customHeight="1">
      <c r="A6" s="4" t="inlineStr">
        <is>
          <t>Bolt</t>
        </is>
      </c>
      <c r="B6" s="5">
        <f>HYPERLINK("https://docs.google.com/spreadsheets/d/1XkD0x-PfDyY34ZBy5jX2u1LqoibAd_xMiyO-Re2UWUk/edit","open ↗")</f>
        <v/>
      </c>
      <c r="C6" s="6" t="inlineStr">
        <is>
          <t>63 / 139</t>
        </is>
      </c>
      <c r="D6" s="6" t="n">
        <v>527</v>
      </c>
      <c r="E6" s="7" t="n">
        <v>105876268</v>
      </c>
      <c r="F6" s="6" t="n">
        <v>280</v>
      </c>
      <c r="G6" s="7" t="n">
        <v>58220204</v>
      </c>
      <c r="H6" s="6" t="n">
        <v>807</v>
      </c>
      <c r="I6" s="7" t="n">
        <v>164096472</v>
      </c>
      <c r="J6" s="8" t="inlineStr">
        <is>
          <t>MENA grounded floor + Med/Baltic aspirational tail (Bucket C bound).</t>
        </is>
      </c>
    </row>
    <row r="7" ht="42" customHeight="1">
      <c r="A7" s="9" t="inlineStr">
        <is>
          <t>Yango</t>
        </is>
      </c>
      <c r="B7" s="10">
        <f>HYPERLINK("https://docs.google.com/spreadsheets/d/1fvB_tc8IWUTlKMWjPcoJde_uPnGKVqoCxxsgd5IL1rM/edit","open ↗")</f>
        <v/>
      </c>
      <c r="C7" s="11" t="inlineStr">
        <is>
          <t>41 / 124</t>
        </is>
      </c>
      <c r="D7" s="11" t="n">
        <v>284</v>
      </c>
      <c r="E7" s="12" t="n">
        <v>79853143</v>
      </c>
      <c r="F7" s="11" t="n">
        <v>227</v>
      </c>
      <c r="G7" s="12" t="n">
        <v>2387088</v>
      </c>
      <c r="H7" s="11" t="n">
        <v>511</v>
      </c>
      <c r="I7" s="12" t="n">
        <v>82240231</v>
      </c>
      <c r="J7" s="13" t="inlineStr">
        <is>
          <t>MENA + Africa grounded + CIS/Caspian/Africa aspirational tail (Bucket C bound).</t>
        </is>
      </c>
    </row>
    <row r="8" ht="42" customHeight="1">
      <c r="A8" s="4" t="inlineStr">
        <is>
          <t>Uber</t>
        </is>
      </c>
      <c r="B8" s="5">
        <f>HYPERLINK("https://docs.google.com/spreadsheets/d/19VtRN0U6Gggq_RQlRuSxmiIxnp2KgGEIvXOW72RQHIQ/edit","open ↗")</f>
        <v/>
      </c>
      <c r="C8" s="6" t="inlineStr">
        <is>
          <t>63 / 87</t>
        </is>
      </c>
      <c r="D8" s="6" t="n">
        <v>314</v>
      </c>
      <c r="E8" s="7" t="n">
        <v>62292849</v>
      </c>
      <c r="F8" s="6" t="n">
        <v>178</v>
      </c>
      <c r="G8" s="7" t="n">
        <v>2927731</v>
      </c>
      <c r="H8" s="6" t="n">
        <v>492</v>
      </c>
      <c r="I8" s="7" t="n">
        <v>65220580</v>
      </c>
      <c r="J8" s="8" t="inlineStr">
        <is>
          <t>Global mobility rollup; MENA + Med + Hawaii + LatAm scoped markets.</t>
        </is>
      </c>
    </row>
    <row r="9" ht="42" customHeight="1">
      <c r="A9" s="9" t="inlineStr">
        <is>
          <t>Rapido (India)</t>
        </is>
      </c>
      <c r="B9" s="10">
        <f>HYPERLINK("https://docs.google.com/spreadsheets/d/1ujRCwCKNFcfUbVL5B312fjcYmtvsDVhBtK2hsTHo-qA/edit","open ↗")</f>
        <v/>
      </c>
      <c r="C9" s="11" t="inlineStr">
        <is>
          <t>80 / 13</t>
        </is>
      </c>
      <c r="D9" s="11" t="n">
        <v>14</v>
      </c>
      <c r="E9" s="12" t="n">
        <v>1321983</v>
      </c>
      <c r="F9" s="11" t="n">
        <v>0</v>
      </c>
      <c r="G9" s="12" t="n">
        <v>0</v>
      </c>
      <c r="H9" s="11" t="n">
        <v>14</v>
      </c>
      <c r="I9" s="12" t="n">
        <v>1321983</v>
      </c>
      <c r="J9" s="13" t="inlineStr">
        <is>
          <t>PR #58 India — Mumbai/Goa/Kerala/Andaman sealed spine; ridehail archetype.</t>
        </is>
      </c>
    </row>
    <row r="10" ht="42" customHeight="1">
      <c r="A10" s="4" t="inlineStr">
        <is>
          <t>Ola (India)</t>
        </is>
      </c>
      <c r="B10" s="5">
        <f>HYPERLINK("https://docs.google.com/spreadsheets/d/1pNwq_GQd2Fdem8O4o2GNNoKxBPxXOPDh1qfbhGFGkaQ/edit","open ↗")</f>
        <v/>
      </c>
      <c r="C10" s="6" t="inlineStr">
        <is>
          <t>82 / 11</t>
        </is>
      </c>
      <c r="D10" s="6" t="n">
        <v>15</v>
      </c>
      <c r="E10" s="7" t="n">
        <v>1339983</v>
      </c>
      <c r="F10" s="6" t="n">
        <v>0</v>
      </c>
      <c r="G10" s="7" t="n">
        <v>0</v>
      </c>
      <c r="H10" s="6" t="n">
        <v>15</v>
      </c>
      <c r="I10" s="7" t="n">
        <v>1339983</v>
      </c>
      <c r="J10" s="8" t="inlineStr">
        <is>
          <t>PR #58 India — same sealed spine as Rapido; ridehail archetype.</t>
        </is>
      </c>
    </row>
    <row r="11" ht="42" customHeight="1">
      <c r="A11" s="9" t="inlineStr">
        <is>
          <t>Noon (UAE)</t>
        </is>
      </c>
      <c r="B11" s="10">
        <f>HYPERLINK("https://docs.google.com/spreadsheets/d/1v0ywhNFk_fA1JRVhizWlz89RKgQWlID9RD3LfBhVB2Y/edit","open ↗")</f>
        <v/>
      </c>
      <c r="C11" s="11" t="inlineStr">
        <is>
          <t>8 / 0</t>
        </is>
      </c>
      <c r="D11" s="11" t="n">
        <v>7</v>
      </c>
      <c r="E11" s="12" t="n">
        <v>1343999</v>
      </c>
      <c r="F11" s="11" t="n">
        <v>0</v>
      </c>
      <c r="G11" s="12" t="n">
        <v>0</v>
      </c>
      <c r="H11" s="11" t="n">
        <v>7</v>
      </c>
      <c r="I11" s="12" t="n">
        <v>1343999</v>
      </c>
      <c r="J11" s="13" t="inlineStr">
        <is>
          <t>PR #58 UAE — 12 sealed super_app corridors; Careem-style demand ladder.</t>
        </is>
      </c>
    </row>
    <row r="12" ht="42" customHeight="1">
      <c r="A12" s="4" t="inlineStr">
        <is>
          <t>JIH Global (Maldives)</t>
        </is>
      </c>
      <c r="B12" s="5">
        <f>HYPERLINK("https://docs.google.com/spreadsheets/d/136mve2Z-c2FRZm2cZZ3of9jk85kpEkpzf-ZIC9dzXJU/edit","open ↗")</f>
        <v/>
      </c>
      <c r="C12" s="6" t="inlineStr">
        <is>
          <t>38 / 5</t>
        </is>
      </c>
      <c r="D12" s="6" t="n">
        <v>74</v>
      </c>
      <c r="E12" s="7" t="n">
        <v>81100880</v>
      </c>
      <c r="F12" s="6" t="n">
        <v>0</v>
      </c>
      <c r="G12" s="7" t="n">
        <v>0</v>
      </c>
      <c r="H12" s="6" t="n">
        <v>74</v>
      </c>
      <c r="I12" s="7" t="n">
        <v>81100880</v>
      </c>
      <c r="J12" s="8" t="inlineStr">
        <is>
          <t>Maldives 43 corridors geometry-bound; network-sum captive fleet.</t>
        </is>
      </c>
    </row>
    <row r="13" ht="42" customHeight="1">
      <c r="A13" s="9" t="inlineStr">
        <is>
          <t>Qatar</t>
        </is>
      </c>
      <c r="B13" s="10">
        <f>HYPERLINK("https://docs.google.com/spreadsheets/d/1v0Fo-QDKVIEiMzzYUbrugCUH1cBJdLKD9URG1R16S0Q/edit","open ↗")</f>
        <v/>
      </c>
      <c r="C13" s="11" t="inlineStr">
        <is>
          <t>1 / 7</t>
        </is>
      </c>
      <c r="D13" s="11" t="n">
        <v>11</v>
      </c>
      <c r="E13" s="12" t="n">
        <v>2005817</v>
      </c>
      <c r="F13" s="11" t="n">
        <v>0</v>
      </c>
      <c r="G13" s="12" t="n">
        <v>0</v>
      </c>
      <c r="H13" s="11" t="n">
        <v>11</v>
      </c>
      <c r="I13" s="12" t="n">
        <v>2005817</v>
      </c>
      <c r="J13" s="13" t="inlineStr">
        <is>
          <t>Doha 4/4 in-range corridors bound. Banana Island captive carries floor.</t>
        </is>
      </c>
    </row>
    <row r="14" ht="42" customHeight="1">
      <c r="A14" s="4" t="inlineStr">
        <is>
          <t>Saudi / Red Sea (PIF)</t>
        </is>
      </c>
      <c r="B14" s="5">
        <f>HYPERLINK("https://docs.google.com/spreadsheets/d/1K75Ln5YKgKkOBKnprAoVGu4KeuO83Dx2TGzQ-1o45Ig/edit","open ↗")</f>
        <v/>
      </c>
      <c r="C14" s="6" t="inlineStr">
        <is>
          <t>0 / 1</t>
        </is>
      </c>
      <c r="D14" s="6" t="n">
        <v>0</v>
      </c>
      <c r="E14" s="7" t="n">
        <v>0</v>
      </c>
      <c r="F14" s="6" t="n">
        <v>6</v>
      </c>
      <c r="G14" s="7" t="n">
        <v>0</v>
      </c>
      <c r="H14" s="6" t="n">
        <v>6</v>
      </c>
      <c r="I14" s="7" t="n">
        <v>0</v>
      </c>
      <c r="J14" s="8" t="inlineStr">
        <is>
          <t>Low-confidence / largely 2030-dated. Greenfield OFF. Treat as forward.</t>
        </is>
      </c>
    </row>
    <row r="15" ht="42" customHeight="1">
      <c r="A15" s="9" t="inlineStr">
        <is>
          <t>Red Sea Global</t>
        </is>
      </c>
      <c r="B15" s="10">
        <f>HYPERLINK("https://docs.google.com/spreadsheets/d/1QbF7zSl-5CllYXXLRJvvKJXXBpOu8Cnl97X1rO5J77c/edit","open ↗")</f>
        <v/>
      </c>
      <c r="C15" s="11" t="inlineStr">
        <is>
          <t>3 / 2</t>
        </is>
      </c>
      <c r="D15" s="11" t="n">
        <v>235</v>
      </c>
      <c r="E15" s="12" t="n">
        <v>162388864</v>
      </c>
      <c r="F15" s="11" t="n">
        <v>12</v>
      </c>
      <c r="G15" s="12" t="n">
        <v>2387088</v>
      </c>
      <c r="H15" s="11" t="n">
        <v>247</v>
      </c>
      <c r="I15" s="12" t="n">
        <v>164775952</v>
      </c>
      <c r="J15" s="13" t="inlineStr">
        <is>
          <t>Resort-operator corridors. Small, grounded subset.</t>
        </is>
      </c>
    </row>
    <row r="16" ht="42" customHeight="1">
      <c r="A16" s="4" t="inlineStr">
        <is>
          <t>Constance (Maldives)</t>
        </is>
      </c>
      <c r="B16" s="5">
        <f>HYPERLINK("https://docs.google.com/spreadsheets/d/1Lhz_6nh3HnCK8L7tzr4HhmNEtfnXx2smecYPNQSORl0/edit","open ↗")</f>
        <v/>
      </c>
      <c r="C16" s="6" t="inlineStr">
        <is>
          <t>— / —</t>
        </is>
      </c>
      <c r="D16" s="6" t="n"/>
      <c r="E16" s="7" t="n"/>
      <c r="F16" s="6" t="n"/>
      <c r="G16" s="7" t="n"/>
      <c r="H16" s="6" t="n"/>
      <c r="I16" s="7" t="n"/>
      <c r="J16" s="8" t="inlineStr">
        <is>
          <t>Captive resort-transfer; network-sum captive fleet. Greenfield OFF. [no agg-constance.json in /Users/jaideep/navier-atlas/finance/recal]</t>
        </is>
      </c>
    </row>
    <row r="17" ht="42" customHeight="1">
      <c r="A17" s="9" t="inlineStr">
        <is>
          <t>Four Seasons (Maldives)</t>
        </is>
      </c>
      <c r="B17" s="10">
        <f>HYPERLINK("https://docs.google.com/spreadsheets/d/1Flk6PfRgCNdSGlP49lf1KxXaoR4qdlLcs1O8YA72gcc/edit","open ↗")</f>
        <v/>
      </c>
      <c r="C17" s="11" t="inlineStr">
        <is>
          <t>— / —</t>
        </is>
      </c>
      <c r="D17" s="11" t="n"/>
      <c r="E17" s="12" t="n"/>
      <c r="F17" s="11" t="n"/>
      <c r="G17" s="12" t="n"/>
      <c r="H17" s="11" t="n"/>
      <c r="I17" s="12" t="n"/>
      <c r="J17" s="13" t="inlineStr">
        <is>
          <t>Captive resort-transfer; network-sum captive fleet. Greenfield OFF. [no agg-four-seasons.json in /Users/jaideep/navier-atlas/finance/recal]</t>
        </is>
      </c>
    </row>
    <row r="18" ht="30" customHeight="1">
      <c r="A18" s="14" t="inlineStr">
        <is>
          <t>PORTFOLIO (gross)</t>
        </is>
      </c>
      <c r="B18" s="15" t="inlineStr"/>
      <c r="C18" s="15" t="inlineStr"/>
      <c r="D18" s="16">
        <f>SUM(D4:D17)</f>
        <v/>
      </c>
      <c r="E18" s="17">
        <f>SUM(E4:E17)</f>
        <v/>
      </c>
      <c r="F18" s="16">
        <f>SUM(F4:F17)</f>
        <v/>
      </c>
      <c r="G18" s="17">
        <f>SUM(G4:G17)</f>
        <v/>
      </c>
      <c r="H18" s="16">
        <f>SUM(H4:H17)</f>
        <v/>
      </c>
      <c r="I18" s="17">
        <f>SUM(I4:I17)</f>
        <v/>
      </c>
      <c r="J18" s="18" t="inlineStr">
        <is>
          <t>Gross sum across partner scopes; not de-duplicated.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19" t="inlineStr">
        <is>
          <t>Assumptions — single source of truth (the engine references these named cells)</t>
        </is>
      </c>
    </row>
    <row r="2"/>
    <row r="3">
      <c r="A3" s="20" t="inlineStr">
        <is>
          <t>Vessel — N30 Pioneer II  (L1 global, commercial now)</t>
        </is>
      </c>
    </row>
    <row r="4">
      <c r="A4" s="21" t="inlineStr">
        <is>
          <t>Parameter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Tier</t>
        </is>
      </c>
      <c r="E4" s="21" t="inlineStr">
        <is>
          <t>Conf.</t>
        </is>
      </c>
      <c r="F4" s="21" t="inlineStr">
        <is>
          <t>Source / note</t>
        </is>
      </c>
    </row>
    <row r="5">
      <c r="A5" s="22" t="inlineStr">
        <is>
          <t>Passenger capacity</t>
        </is>
      </c>
      <c r="B5" s="23" t="n">
        <v>8</v>
      </c>
      <c r="C5" s="24" t="inlineStr">
        <is>
          <t>pax</t>
        </is>
      </c>
      <c r="D5" s="24" t="inlineStr">
        <is>
          <t>T1</t>
        </is>
      </c>
      <c r="E5" s="24" t="inlineStr">
        <is>
          <t>high</t>
        </is>
      </c>
      <c r="F5" s="13" t="inlineStr">
        <is>
          <t>Navier model: up to 8 pax where local rules allow (Jaideep set base case to 8, 2026-06-06)</t>
        </is>
      </c>
    </row>
    <row r="6">
      <c r="A6" s="22" t="inlineStr">
        <is>
          <t>Range</t>
        </is>
      </c>
      <c r="B6" s="23" t="n">
        <v>70</v>
      </c>
      <c r="C6" s="24" t="inlineStr">
        <is>
          <t>nm</t>
        </is>
      </c>
      <c r="D6" s="24" t="inlineStr">
        <is>
          <t>T1</t>
        </is>
      </c>
      <c r="E6" s="24" t="inlineStr">
        <is>
          <t>high</t>
        </is>
      </c>
      <c r="F6" s="13" t="inlineStr">
        <is>
          <t>Navier locked spec (KB)</t>
        </is>
      </c>
    </row>
    <row r="7">
      <c r="A7" s="22" t="inlineStr">
        <is>
          <t>Cruise speed</t>
        </is>
      </c>
      <c r="B7" s="23" t="n">
        <v>20</v>
      </c>
      <c r="C7" s="24" t="inlineStr">
        <is>
          <t>kt</t>
        </is>
      </c>
      <c r="D7" s="24" t="inlineStr">
        <is>
          <t>T1</t>
        </is>
      </c>
      <c r="E7" s="24" t="inlineStr">
        <is>
          <t>high</t>
        </is>
      </c>
      <c r="F7" s="13" t="inlineStr">
        <is>
          <t>Navier locked spec (cruise)</t>
        </is>
      </c>
    </row>
    <row r="8">
      <c r="A8" s="22" t="inlineStr">
        <is>
          <t>CAPEX (per vessel; US/EU base — ROW=$600K, see Country opex tab col G)</t>
        </is>
      </c>
      <c r="B8" s="25" t="n">
        <v>900000</v>
      </c>
      <c r="C8" s="24" t="inlineStr">
        <is>
          <t>USD</t>
        </is>
      </c>
      <c r="D8" s="24" t="inlineStr">
        <is>
          <t>T1</t>
        </is>
      </c>
      <c r="E8" s="24" t="inlineStr">
        <is>
          <t>high</t>
        </is>
      </c>
      <c r="F8" s="13" t="inlineStr">
        <is>
          <t>Navier price (LYFT ref model, ex tax/fees)</t>
        </is>
      </c>
    </row>
    <row r="9">
      <c r="A9" s="22" t="inlineStr">
        <is>
          <t>Battery</t>
        </is>
      </c>
      <c r="B9" s="23" t="n">
        <v>114</v>
      </c>
      <c r="C9" s="24" t="inlineStr">
        <is>
          <t>kWh</t>
        </is>
      </c>
      <c r="D9" s="24" t="inlineStr">
        <is>
          <t>T1</t>
        </is>
      </c>
      <c r="E9" s="24" t="inlineStr">
        <is>
          <t>high</t>
        </is>
      </c>
      <c r="F9" s="13" t="inlineStr">
        <is>
          <t>Navier data (LYFT ref model)</t>
        </is>
      </c>
    </row>
    <row r="10">
      <c r="A10" s="22" t="inlineStr">
        <is>
          <t>Annual maintenance</t>
        </is>
      </c>
      <c r="B10" s="25" t="n">
        <v>10000</v>
      </c>
      <c r="C10" s="24" t="inlineStr">
        <is>
          <t>USD/yr</t>
        </is>
      </c>
      <c r="D10" s="24" t="inlineStr">
        <is>
          <t>T1</t>
        </is>
      </c>
      <c r="E10" s="24" t="inlineStr">
        <is>
          <t>med</t>
        </is>
      </c>
      <c r="F10" s="13" t="inlineStr">
        <is>
          <t>Navier data (LYFT ref model)</t>
        </is>
      </c>
    </row>
    <row r="11">
      <c r="A11" s="22" t="inlineStr">
        <is>
          <t>Depreciation life</t>
        </is>
      </c>
      <c r="B11" s="23" t="n">
        <v>20</v>
      </c>
      <c r="C11" s="24" t="inlineStr">
        <is>
          <t>yr</t>
        </is>
      </c>
      <c r="D11" s="24" t="inlineStr">
        <is>
          <t>T2</t>
        </is>
      </c>
      <c r="E11" s="24" t="inlineStr">
        <is>
          <t>med</t>
        </is>
      </c>
      <c r="F11" s="13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22" t="inlineStr">
        <is>
          <t>Diesel comparable economy</t>
        </is>
      </c>
      <c r="B12" s="26" t="n">
        <v>1.5</v>
      </c>
      <c r="C12" s="24" t="inlineStr">
        <is>
          <t>nm/gal</t>
        </is>
      </c>
      <c r="D12" s="24" t="inlineStr">
        <is>
          <t>T3</t>
        </is>
      </c>
      <c r="E12" s="24" t="inlineStr">
        <is>
          <t>med</t>
        </is>
      </c>
      <c r="F12" s="13" t="inlineStr">
        <is>
          <t>Navier + open web (LYFT ref model)</t>
        </is>
      </c>
    </row>
    <row r="13"/>
    <row r="14">
      <c r="A14" s="20" t="inlineStr">
        <is>
          <t>Operating defaults  (L1 global; overridable per market)</t>
        </is>
      </c>
    </row>
    <row r="15">
      <c r="A15" s="21" t="inlineStr">
        <is>
          <t>Parameter</t>
        </is>
      </c>
      <c r="B15" s="21" t="inlineStr">
        <is>
          <t>Value</t>
        </is>
      </c>
      <c r="C15" s="21" t="inlineStr">
        <is>
          <t>Unit</t>
        </is>
      </c>
      <c r="D15" s="21" t="inlineStr">
        <is>
          <t>Tier</t>
        </is>
      </c>
      <c r="E15" s="21" t="inlineStr">
        <is>
          <t>Conf.</t>
        </is>
      </c>
      <c r="F15" s="21" t="inlineStr">
        <is>
          <t>Source / note</t>
        </is>
      </c>
    </row>
    <row r="16">
      <c r="A16" s="22" t="inlineStr">
        <is>
          <t>Service window</t>
        </is>
      </c>
      <c r="B16" s="23" t="n">
        <v>12</v>
      </c>
      <c r="C16" s="24" t="inlineStr">
        <is>
          <t>hr/day</t>
        </is>
      </c>
      <c r="D16" s="24" t="inlineStr">
        <is>
          <t>T5</t>
        </is>
      </c>
      <c r="E16" s="24" t="inlineStr">
        <is>
          <t>low</t>
        </is>
      </c>
      <c r="F16" s="13" t="inlineStr">
        <is>
          <t>Modeled single-asset commercial service window (one extended crew day, water-taxi norm). Conservative vs 24h.</t>
        </is>
      </c>
    </row>
    <row r="17">
      <c r="A17" s="22" t="inlineStr">
        <is>
          <t>Turnaround / charge per leg</t>
        </is>
      </c>
      <c r="B17" s="23" t="n">
        <v>20</v>
      </c>
      <c r="C17" s="24" t="inlineStr">
        <is>
          <t>min</t>
        </is>
      </c>
      <c r="D17" s="24" t="inlineStr">
        <is>
          <t>T1</t>
        </is>
      </c>
      <c r="E17" s="24" t="inlineStr">
        <is>
          <t>med</t>
        </is>
      </c>
      <c r="F17" s="13" t="inlineStr">
        <is>
          <t>Navier fast-charge (LYFT ref ~20-30min)</t>
        </is>
      </c>
    </row>
    <row r="18">
      <c r="A18" s="22" t="inlineStr">
        <is>
          <t>Boarding / scheduling dwell per leg</t>
        </is>
      </c>
      <c r="B18" s="23" t="n">
        <v>10</v>
      </c>
      <c r="C18" s="24" t="inlineStr">
        <is>
          <t>min</t>
        </is>
      </c>
      <c r="D18" s="24" t="inlineStr">
        <is>
          <t>T3</t>
        </is>
      </c>
      <c r="E18" s="24" t="inlineStr">
        <is>
          <t>med</t>
        </is>
      </c>
      <c r="F18" s="13" t="inlineStr">
        <is>
          <t>Premium board/deboard + scheduling slack added to each cycle (Jaideep 2026-06-19).</t>
        </is>
      </c>
    </row>
    <row r="19">
      <c r="A19" s="22" t="inlineStr">
        <is>
          <t>Max revenue sailings/day (cap)</t>
        </is>
      </c>
      <c r="B19" s="23" t="n">
        <v>10</v>
      </c>
      <c r="C19" s="24" t="inlineStr">
        <is>
          <t>legs/day</t>
        </is>
      </c>
      <c r="D19" s="24" t="inlineStr">
        <is>
          <t>T3</t>
        </is>
      </c>
      <c r="E19" s="24" t="inlineStr">
        <is>
          <t>med</t>
        </is>
      </c>
      <c r="F19" s="13" t="inlineStr">
        <is>
          <t>Cap on revenue sailings/day — ~1 sailing/70min in a 12h window; a believable on-demand premium duty cycle, not capacity-max (Jaideep 2026-06-19).</t>
        </is>
      </c>
    </row>
    <row r="20">
      <c r="A20" s="22" t="inlineStr">
        <is>
          <t>Crew FTE factor (x captain wage)</t>
        </is>
      </c>
      <c r="B20" s="26" t="n">
        <v>1.8</v>
      </c>
      <c r="C20" s="24" t="inlineStr">
        <is>
          <t>x</t>
        </is>
      </c>
      <c r="D20" s="24" t="inlineStr">
        <is>
          <t>T3</t>
        </is>
      </c>
      <c r="E20" s="24" t="inlineStr">
        <is>
          <t>med</t>
        </is>
      </c>
      <c r="F20" s="13" t="inlineStr">
        <is>
          <t>A captain can't run 7 days/wk; 1.8 FTE covers relief/leave/second-shift year-round (Jaideep 2026-06-19). Scales off localized captain wage.</t>
        </is>
      </c>
    </row>
    <row r="21">
      <c r="A21" s="22" t="inlineStr">
        <is>
          <t>Insurance (% of capex/yr)</t>
        </is>
      </c>
      <c r="B21" s="27" t="n">
        <v>0.025</v>
      </c>
      <c r="C21" s="24" t="inlineStr">
        <is>
          <t>frac</t>
        </is>
      </c>
      <c r="D21" s="24" t="inlineStr">
        <is>
          <t>T3</t>
        </is>
      </c>
      <c r="E21" s="24" t="inlineStr">
        <is>
          <t>med</t>
        </is>
      </c>
      <c r="F21" s="13" t="inlineStr">
        <is>
          <t>H&amp;M + P&amp;I for a commercial passenger vessel ~2.5%/yr of capex; scales with regional capex overrides (Jaideep 2026-06-19).</t>
        </is>
      </c>
    </row>
    <row r="22">
      <c r="A22" s="22" t="inlineStr">
        <is>
          <t>Charging &amp; berth (additional to marina+energy)</t>
        </is>
      </c>
      <c r="B22" s="25" t="n">
        <v>18000</v>
      </c>
      <c r="C22" s="24" t="inlineStr">
        <is>
          <t>USD/yr</t>
        </is>
      </c>
      <c r="D22" s="24" t="inlineStr">
        <is>
          <t>T3</t>
        </is>
      </c>
      <c r="E22" s="24" t="inlineStr">
        <is>
          <t>med</t>
        </is>
      </c>
      <c r="F22" s="13" t="inlineStr">
        <is>
          <t>Dedicated fast-charge berth + demand charges, ADDITIONAL to marina overhead and energy (Jaideep 2026-06-19). L3-overridable.</t>
        </is>
      </c>
    </row>
    <row r="23">
      <c r="A23" s="22" t="inlineStr">
        <is>
          <t>Mechanical uptime</t>
        </is>
      </c>
      <c r="B23" s="27" t="n">
        <v>0.75</v>
      </c>
      <c r="C23" s="24" t="inlineStr">
        <is>
          <t>frac</t>
        </is>
      </c>
      <c r="D23" s="24" t="inlineStr">
        <is>
          <t>T4</t>
        </is>
      </c>
      <c r="E23" s="24" t="inlineStr">
        <is>
          <t>med</t>
        </is>
      </c>
      <c r="F23" s="13" t="inlineStr">
        <is>
          <t>Blade luxury aviation ~75-80% reliability uptime</t>
        </is>
      </c>
    </row>
    <row r="24">
      <c r="A24" s="22" t="inlineStr">
        <is>
          <t>Navier capture rate</t>
        </is>
      </c>
      <c r="B24" s="27" t="n">
        <v>0.1</v>
      </c>
      <c r="C24" s="24" t="inlineStr">
        <is>
          <t>frac</t>
        </is>
      </c>
      <c r="D24" s="24" t="n"/>
      <c r="E24" s="24" t="inlineStr">
        <is>
          <t>med</t>
        </is>
      </c>
      <c r="F24" s="13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22" t="inlineStr">
        <is>
          <t>Captive capture rate (A′ corridors)</t>
        </is>
      </c>
      <c r="B25" s="27" t="n">
        <v>0.9</v>
      </c>
      <c r="C25" s="24" t="inlineStr">
        <is>
          <t>frac</t>
        </is>
      </c>
      <c r="D25" s="24" t="n"/>
      <c r="E25" s="24" t="inlineStr">
        <is>
          <t>med</t>
        </is>
      </c>
      <c r="F25" s="13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22" t="inlineStr">
        <is>
          <t>Discount factor (vs comparable fare)</t>
        </is>
      </c>
      <c r="B26" s="26" t="n">
        <v>1</v>
      </c>
      <c r="C26" s="24" t="inlineStr">
        <is>
          <t>frac</t>
        </is>
      </c>
      <c r="D26" s="24" t="inlineStr">
        <is>
          <t>T1</t>
        </is>
      </c>
      <c r="E26" s="24" t="inlineStr">
        <is>
          <t>high</t>
        </is>
      </c>
      <c r="F26" s="13" t="inlineStr">
        <is>
          <t>Market parity — better product, not cheaper (locked).</t>
        </is>
      </c>
    </row>
    <row r="27">
      <c r="A27" s="22" t="inlineStr">
        <is>
          <t>Diesel CO₂ per gallon</t>
        </is>
      </c>
      <c r="B27" s="26" t="n">
        <v>10.21</v>
      </c>
      <c r="C27" s="24" t="inlineStr">
        <is>
          <t>kg/gal</t>
        </is>
      </c>
      <c r="D27" s="24" t="inlineStr">
        <is>
          <t>T1</t>
        </is>
      </c>
      <c r="E27" s="24" t="inlineStr">
        <is>
          <t>high</t>
        </is>
      </c>
      <c r="F27" s="13" t="inlineStr">
        <is>
          <t>US EPA: 10.21 kg CO2 per gallon marine/diesel</t>
        </is>
      </c>
    </row>
    <row r="28"/>
    <row r="29">
      <c r="A29" s="20" t="inlineStr">
        <is>
          <t>Utilization scenarios  (the two levers we flex)</t>
        </is>
      </c>
    </row>
    <row r="30">
      <c r="A30" s="21" t="inlineStr">
        <is>
          <t>Scenario</t>
        </is>
      </c>
      <c r="B30" s="21" t="inlineStr">
        <is>
          <t>Load factor</t>
        </is>
      </c>
      <c r="C30" s="21" t="inlineStr">
        <is>
          <t>Rev-leg factor</t>
        </is>
      </c>
      <c r="D30" s="21" t="n"/>
      <c r="E30" s="21" t="n"/>
      <c r="F30" s="21" t="inlineStr">
        <is>
          <t>Note</t>
        </is>
      </c>
    </row>
    <row r="31">
      <c r="A31" s="28" t="inlineStr">
        <is>
          <t>THIN</t>
        </is>
      </c>
      <c r="B31" s="29" t="n">
        <v>0.45</v>
      </c>
      <c r="C31" s="29" t="n">
        <v>0.45</v>
      </c>
      <c r="F31" s="13" t="inlineStr">
        <is>
          <t>thin/one-way/seasonal corridor — conservative floor</t>
        </is>
      </c>
    </row>
    <row r="32">
      <c r="A32" s="28" t="inlineStr">
        <is>
          <t>MID</t>
        </is>
      </c>
      <c r="B32" s="29" t="n">
        <v>0.55</v>
      </c>
      <c r="C32" s="29" t="n">
        <v>0.55</v>
      </c>
      <c r="F32" s="13" t="inlineStr">
        <is>
          <t>HEADLINE — realistic busy two-way corridor</t>
        </is>
      </c>
    </row>
    <row r="33">
      <c r="A33" s="28" t="inlineStr">
        <is>
          <t>FULL</t>
        </is>
      </c>
      <c r="B33" s="29" t="n">
        <v>0.7</v>
      </c>
      <c r="C33" s="29" t="n">
        <v>0.75</v>
      </c>
      <c r="F33" s="13" t="inlineStr">
        <is>
          <t>mature/dense corridor — optimistic ceiling</t>
        </is>
      </c>
    </row>
    <row r="34"/>
    <row r="35">
      <c r="A35" s="30" t="inlineStr">
        <is>
          <t>SCENARIO (toggle me)</t>
        </is>
      </c>
      <c r="B35" s="31" t="inlineStr">
        <is>
          <t>MID</t>
        </is>
      </c>
      <c r="C35" s="32" t="inlineStr">
        <is>
          <t>← set THIN / MID / FULL</t>
        </is>
      </c>
    </row>
    <row r="36">
      <c r="A36" s="22" t="inlineStr">
        <is>
          <t>Selected load factor</t>
        </is>
      </c>
      <c r="B36" s="33">
        <f>VLOOKUP(scenario,'Assumptions'!$A$31:$C$33,2,FALSE)</f>
        <v/>
      </c>
    </row>
    <row r="37">
      <c r="A37" s="22" t="inlineStr">
        <is>
          <t>Selected rev-leg factor</t>
        </is>
      </c>
      <c r="B37" s="3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19" t="inlineStr">
        <is>
          <t>Country opex — L3 localized layer (VLOOKUP target for the engine)</t>
        </is>
      </c>
    </row>
    <row r="2"/>
    <row r="3">
      <c r="A3" s="34" t="inlineStr">
        <is>
          <t>Country</t>
        </is>
      </c>
      <c r="B3" s="34" t="inlineStr">
        <is>
          <t>Captain $/yr</t>
        </is>
      </c>
      <c r="C3" s="34" t="inlineStr">
        <is>
          <t>Energy $/kWh</t>
        </is>
      </c>
      <c r="D3" s="34" t="inlineStr">
        <is>
          <t>Grid CO₂ kg/kWh</t>
        </is>
      </c>
      <c r="E3" s="34" t="inlineStr">
        <is>
          <t>Marina $/yr</t>
        </is>
      </c>
      <c r="F3" s="34" t="inlineStr">
        <is>
          <t>Cost index</t>
        </is>
      </c>
      <c r="G3" s="34" t="inlineStr">
        <is>
          <t>CAPEX $/vessel</t>
        </is>
      </c>
      <c r="H3" s="34" t="inlineStr">
        <is>
          <t>Source notes (captain | energy | marina)</t>
        </is>
      </c>
    </row>
    <row r="4">
      <c r="A4" s="9" t="inlineStr">
        <is>
          <t>Azerbaijan</t>
        </is>
      </c>
      <c r="B4" s="35" t="n">
        <v>14000</v>
      </c>
      <c r="C4" s="36" t="n">
        <v>0.07000000000000001</v>
      </c>
      <c r="D4" s="29" t="n">
        <v>0.5</v>
      </c>
      <c r="E4" s="35" t="n">
        <v>9000</v>
      </c>
      <c r="F4" s="29" t="n">
        <v>0.35</v>
      </c>
      <c r="G4" s="35" t="n">
        <v>600000</v>
      </c>
      <c r="H4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5">
      <c r="A5" s="9" t="inlineStr">
        <is>
          <t>Cambodia</t>
        </is>
      </c>
      <c r="B5" s="35" t="n">
        <v>11000</v>
      </c>
      <c r="C5" s="36" t="n">
        <v>0.15</v>
      </c>
      <c r="D5" s="29" t="n">
        <v>0.6</v>
      </c>
      <c r="E5" s="35" t="n">
        <v>9000</v>
      </c>
      <c r="F5" s="29" t="n">
        <v>0.42</v>
      </c>
      <c r="G5" s="35" t="n">
        <v>600000</v>
      </c>
      <c r="H5" s="13" t="inlineStr">
        <is>
          <t>No clean Cambodia boat-captain salary index. Cambodia wage band sits just below Vietnam/Philippines (lower GDP/capita). Blended 1 commercial tourism-boat captain + local deckhand fully-loaded ~$11k/vessel/yr (captain ~$600-800/mo + deckhand ~$250-350/mo incl on-costs). Below Vietnam $14k / Philippines $15k. | EDC commercial/business tariff. Climatescope 2025: Cambodia avg electricity price ~$137/MWh (2023) -&gt; ~$149/MWh (2024) = ~$0.15/kWh. ERIA: EDC grid tariffs range US cents 9-25/kWh, commercial band ~18-23c historically. GlobalPetrolPrices business ~$0.147/kWh. Among the higher commercial tariffs in SEA (heavy diesel/coal + imports). Anchored $0.15. | Modeled berth+insurance+admin/vessel/yr for Sihanoukville marine ops; ~= Vietnam $9k, below Thailand $12k on lower Cambodia operating costs. | CAPEX LB-243 US/EU=$900K else $600K</t>
        </is>
      </c>
    </row>
    <row r="6">
      <c r="A6" s="9" t="inlineStr">
        <is>
          <t>Croatia</t>
        </is>
      </c>
      <c r="B6" s="35" t="n">
        <v>28000</v>
      </c>
      <c r="C6" s="36" t="n">
        <v>0.15</v>
      </c>
      <c r="D6" s="29" t="n">
        <v>0.2</v>
      </c>
      <c r="E6" s="35" t="n">
        <v>16000</v>
      </c>
      <c r="F6" s="29" t="n">
        <v>0.6</v>
      </c>
      <c r="G6" s="35" t="n">
        <v>900000</v>
      </c>
      <c r="H6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7">
      <c r="A7" s="9" t="inlineStr">
        <is>
          <t>Cyprus</t>
        </is>
      </c>
      <c r="B7" s="35" t="n">
        <v>34000</v>
      </c>
      <c r="C7" s="36" t="n">
        <v>0.26</v>
      </c>
      <c r="D7" s="29" t="n">
        <v>0.6</v>
      </c>
      <c r="E7" s="35" t="n">
        <v>22000</v>
      </c>
      <c r="F7" s="29" t="n">
        <v>0.72</v>
      </c>
      <c r="G7" s="35" t="n">
        <v>900000</v>
      </c>
      <c r="H7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8">
      <c r="A8" s="9" t="inlineStr">
        <is>
          <t>Côte d'Ivoire</t>
        </is>
      </c>
      <c r="B8" s="35" t="n">
        <v>12000</v>
      </c>
      <c r="C8" s="36" t="n">
        <v>0.13</v>
      </c>
      <c r="D8" s="29" t="n">
        <v>0.4</v>
      </c>
      <c r="E8" s="35" t="n">
        <v>8000</v>
      </c>
      <c r="F8" s="29" t="n">
        <v>0.3</v>
      </c>
      <c r="G8" s="35" t="n">
        <v>600000</v>
      </c>
      <c r="H8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9">
      <c r="A9" s="9" t="inlineStr">
        <is>
          <t>Egypt</t>
        </is>
      </c>
      <c r="B9" s="35" t="n">
        <v>12000</v>
      </c>
      <c r="C9" s="36" t="n">
        <v>0.06</v>
      </c>
      <c r="D9" s="29" t="n">
        <v>0.45</v>
      </c>
      <c r="E9" s="35" t="n">
        <v>8000</v>
      </c>
      <c r="F9" s="29" t="n">
        <v>0.3</v>
      </c>
      <c r="G9" s="35" t="n">
        <v>600000</v>
      </c>
      <c r="H9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0">
      <c r="A10" s="9" t="inlineStr">
        <is>
          <t>Estonia</t>
        </is>
      </c>
      <c r="B10" s="35" t="n">
        <v>30000</v>
      </c>
      <c r="C10" s="36" t="n">
        <v>0.16</v>
      </c>
      <c r="D10" s="29" t="n">
        <v>0.45</v>
      </c>
      <c r="E10" s="35" t="n">
        <v>14000</v>
      </c>
      <c r="F10" s="29" t="n">
        <v>0.65</v>
      </c>
      <c r="G10" s="35" t="n">
        <v>900000</v>
      </c>
      <c r="H10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1">
      <c r="A11" s="9" t="inlineStr">
        <is>
          <t>Finland</t>
        </is>
      </c>
      <c r="B11" s="35" t="n">
        <v>55000</v>
      </c>
      <c r="C11" s="36" t="n">
        <v>0.14</v>
      </c>
      <c r="D11" s="29" t="n">
        <v>0.08</v>
      </c>
      <c r="E11" s="35" t="n">
        <v>18000</v>
      </c>
      <c r="F11" s="29" t="n">
        <v>1.15</v>
      </c>
      <c r="G11" s="35" t="n">
        <v>900000</v>
      </c>
      <c r="H11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2">
      <c r="A12" s="9" t="inlineStr">
        <is>
          <t>France</t>
        </is>
      </c>
      <c r="B12" s="35" t="n">
        <v>55000</v>
      </c>
      <c r="C12" s="36" t="n">
        <v>0.2</v>
      </c>
      <c r="D12" s="29" t="n">
        <v>0.06</v>
      </c>
      <c r="E12" s="35" t="n">
        <v>30000</v>
      </c>
      <c r="F12" s="29" t="n">
        <v>1.15</v>
      </c>
      <c r="G12" s="35" t="n">
        <v>900000</v>
      </c>
      <c r="H12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3">
      <c r="A13" s="9" t="inlineStr">
        <is>
          <t>French Polynesia</t>
        </is>
      </c>
      <c r="B13" s="35" t="n">
        <v>55000</v>
      </c>
      <c r="C13" s="36" t="n">
        <v>0.32</v>
      </c>
      <c r="D13" s="29" t="n">
        <v>0.58</v>
      </c>
      <c r="E13" s="35" t="n">
        <v>18000</v>
      </c>
      <c r="F13" s="29" t="n">
        <v>0.9</v>
      </c>
      <c r="G13" s="35" t="n">
        <v>600000</v>
      </c>
      <c r="H13" s="13" t="inlineStr">
        <is>
          <t>Indeed.fr Tahiti: 'capitaine de navire' est. €2,454/mo (~$2,700/mo, ~$32k/yr base). CESEC PF avis 8-2023: marin pêcheur salaire moyen 280,000 XPF/mo (~$2,570). Premium tourism-boat captain XPF 380-450k/mo (~$3,500-4,150) + deckhand SMIG XPF 173,181 = $1,580 (Direction du travail, May-2024 SMIG). Fully-loaded 1 captain + deckhand incl French-territory social charges (~50% on top) ~XPF 6M/yr = ~$55k/vessel/yr @109. High French-overseas-territory wage band; sits below Singapore $48k... actually ABOVE on social charges (~$55k), between Taiwan $38k and Saudi $42k. | EDT-Engie Tahiti Nord 2024 tariff schedule (edt.pf official PDF Jan-2024): commercial/professional 'Usages professionnels' tranches 22.00, 23.30, 33.95, 37.00, 39.49, 40.64, 42.46 XPF/kWh HT depending on slab/voltage. Domestic tier 11.90/31.10 XPF/kWh. Blended commercial small tourism-boat operator ~35 XPF/kWh = ~$0.32 @109. Outer-island grids (Maupiti, Bora, Marquesas) similar or higher (~35-45 XPF/kWh) - diesel-dominated. Among the highest tariffs in the Pacific. | Modeled berth+insurance+admin/vessel/yr. FP is a high-cost French-overseas import-dependent island economy with limited marina infrastructure (Papeete Marina Taina, Vaitape jetties, Apooiti Marina Raiatea). Above Taiwan $14k / Maldives $16k; comparable to Saudi $18k. Tagged low. | CAPEX LB-243 US/EU=$900K else $600K</t>
        </is>
      </c>
    </row>
    <row r="14">
      <c r="A14" s="9" t="inlineStr">
        <is>
          <t>Greece</t>
        </is>
      </c>
      <c r="B14" s="35" t="n">
        <v>32000</v>
      </c>
      <c r="C14" s="36" t="n">
        <v>0.19</v>
      </c>
      <c r="D14" s="29" t="n">
        <v>0.4</v>
      </c>
      <c r="E14" s="35" t="n">
        <v>18000</v>
      </c>
      <c r="F14" s="29" t="n">
        <v>0.7</v>
      </c>
      <c r="G14" s="35" t="n">
        <v>900000</v>
      </c>
      <c r="H14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5">
      <c r="A15" s="9" t="inlineStr">
        <is>
          <t>India</t>
        </is>
      </c>
      <c r="B15" s="35" t="n">
        <v>19000</v>
      </c>
      <c r="C15" s="36" t="n">
        <v>0.08500000000000001</v>
      </c>
      <c r="D15" s="29" t="n">
        <v>0.727</v>
      </c>
      <c r="E15" s="35" t="n">
        <v>10000</v>
      </c>
      <c r="F15" s="29" t="n">
        <v>0.5</v>
      </c>
      <c r="G15" s="35" t="n">
        <v>600000</v>
      </c>
      <c r="H15" s="13" t="inlineStr">
        <is>
          <t>ERI Economic Research Institute ship-captain salary page for India (last updated 2026-06-20): average ship captain pay INR 1,588,602/yr, range INR 1,102,490-1,934,917. Converted at ~INR85/USD gives ~$18.7k average; model rounds to $19k/yr for India coastal passenger-vessel captain baseline. Deckhand/terminal staff are handled outside this country reference where applicable; source is salary-survey/commercial, not official wage order. | India Climate and Energy Dashboard (NITI/official-source aggregator) FY25: average cost of supply ₹7.10/kWh and average revenue ₹7.04/kWh; commercial billing-rate range shown ₹4.06-₹14.72/kWh, industrial range ₹3.43-₹13.69/kWh. Converted at ~INR85/USD: all-India average ~$0.083/kWh; use $0.085/kWh as blended commercial/marina charging baseline. | Modeled berth/insurance/admin/vessel-year. J.M. Baxi marina overview states Kochi International Marina is India’s first/only fully fledged international-standard marina, 36 berths expanding to 50, with fuel/water/electricity/sewage/maintenance; India still lacks widespread world-class marina supply and many boats use existing port berths. Use low-confidence $10k/yr, comparable to Indonesia/Philippines/Vietnam bands and below Thailand/Malaysia until market-specific marina quotes are captured. | CAPEX LB-243 US/EU=$900K else $600K</t>
        </is>
      </c>
    </row>
    <row r="16">
      <c r="A16" s="9" t="inlineStr">
        <is>
          <t>Indonesia</t>
        </is>
      </c>
      <c r="B16" s="35" t="n">
        <v>12000</v>
      </c>
      <c r="C16" s="36" t="n">
        <v>0.07000000000000001</v>
      </c>
      <c r="D16" s="29" t="n">
        <v>0.75</v>
      </c>
      <c r="E16" s="35" t="n">
        <v>10000</v>
      </c>
      <c r="F16" s="29" t="n">
        <v>0.45</v>
      </c>
      <c r="G16" s="35" t="n">
        <v>600000</v>
      </c>
      <c r="H16" s="13" t="inlineStr">
        <is>
          <t>Blended local crew; ERI pro $23k vs informal local | PLN business IDR 1,114/kWh = $0.07 | Modeled | CAPEX LB-243 US/EU=$900K else $600K</t>
        </is>
      </c>
    </row>
    <row r="17">
      <c r="A17" s="9" t="inlineStr">
        <is>
          <t>Ireland</t>
        </is>
      </c>
      <c r="B17" s="35" t="n">
        <v>55000</v>
      </c>
      <c r="C17" s="36" t="n">
        <v>0.27</v>
      </c>
      <c r="D17" s="29" t="n">
        <v>0.33</v>
      </c>
      <c r="E17" s="35" t="n">
        <v>22000</v>
      </c>
      <c r="F17" s="29" t="n">
        <v>1.15</v>
      </c>
      <c r="G17" s="35" t="n">
        <v>900000</v>
      </c>
      <c r="H17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8">
      <c r="A18" s="9" t="inlineStr">
        <is>
          <t>Israel</t>
        </is>
      </c>
      <c r="B18" s="35" t="n">
        <v>50000</v>
      </c>
      <c r="C18" s="36" t="n">
        <v>0.16</v>
      </c>
      <c r="D18" s="29" t="n">
        <v>0.55</v>
      </c>
      <c r="E18" s="35" t="n">
        <v>20000</v>
      </c>
      <c r="F18" s="29" t="n">
        <v>1.05</v>
      </c>
      <c r="G18" s="35" t="n">
        <v>600000</v>
      </c>
      <c r="H18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9">
      <c r="A19" s="9" t="inlineStr">
        <is>
          <t>Italy</t>
        </is>
      </c>
      <c r="B19" s="35" t="n">
        <v>48000</v>
      </c>
      <c r="C19" s="36" t="n">
        <v>0.28</v>
      </c>
      <c r="D19" s="29" t="n">
        <v>0.33</v>
      </c>
      <c r="E19" s="35" t="n">
        <v>26000</v>
      </c>
      <c r="F19" s="29" t="n">
        <v>1</v>
      </c>
      <c r="G19" s="35" t="n">
        <v>900000</v>
      </c>
      <c r="H19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0">
      <c r="A20" s="9" t="inlineStr">
        <is>
          <t>Kazakhstan</t>
        </is>
      </c>
      <c r="B20" s="35" t="n">
        <v>14000</v>
      </c>
      <c r="C20" s="36" t="n">
        <v>0.06</v>
      </c>
      <c r="D20" s="29" t="n">
        <v>0.55</v>
      </c>
      <c r="E20" s="35" t="n">
        <v>8000</v>
      </c>
      <c r="F20" s="29" t="n">
        <v>0.35</v>
      </c>
      <c r="G20" s="35" t="n">
        <v>600000</v>
      </c>
      <c r="H20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1">
      <c r="A21" s="9" t="inlineStr">
        <is>
          <t>Lebanon</t>
        </is>
      </c>
      <c r="B21" s="35" t="n">
        <v>20000</v>
      </c>
      <c r="C21" s="36" t="n">
        <v>0.2</v>
      </c>
      <c r="D21" s="29" t="n">
        <v>0.6</v>
      </c>
      <c r="E21" s="35" t="n">
        <v>12000</v>
      </c>
      <c r="F21" s="29" t="n">
        <v>0.45</v>
      </c>
      <c r="G21" s="35" t="n">
        <v>600000</v>
      </c>
      <c r="H21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2">
      <c r="A22" s="9" t="inlineStr">
        <is>
          <t>Malaysia</t>
        </is>
      </c>
      <c r="B22" s="35" t="n">
        <v>17000</v>
      </c>
      <c r="C22" s="36" t="n">
        <v>0.1</v>
      </c>
      <c r="D22" s="29" t="n">
        <v>0.7</v>
      </c>
      <c r="E22" s="35" t="n">
        <v>11000</v>
      </c>
      <c r="F22" s="29" t="n">
        <v>0.55</v>
      </c>
      <c r="G22" s="35" t="n">
        <v>600000</v>
      </c>
      <c r="H22" s="13" t="inlineStr">
        <is>
          <t>ERI ship captain RM119k/yr (high-side professional); Indeed boat-captain avg RM2,885/mo (~RM35k/yr); Jobstreet Sabah boat captain RM5.5-8k/mo (offshore high-side). Tourism island-boat captain ~RM3-4k/mo + deckhand ~RM1.8-2k/mo, blended fully-loaded (incl EPF/SOCSO) ~RM73k = $17k @4.30. Above Indonesia/PH/VN (higher MY min wage RM1,700), below Thailand $24k. | TNB low-voltage Commercial tariff ~36.5 sen/kWh base; July-2025 restructure base 45.4 sen/kWh; effective all-in commercial (incl AFA/capacity) ~RM0.40-0.45/kWh = $0.09-0.10 @4.30. Sabah SESB similar band. Anchored $0.10. Below Thailand $0.116, above Indonesia $0.07. | Modeled berth+insurance+admin/vessel/yr. Between Thailand ($12k) and PH/Indonesia ($10k); Malaysia marina ops (Sutera Harbour, Telaga, Jesselton) mid-cost. Tagged low. | CAPEX LB-243 US/EU=$900K else $600K</t>
        </is>
      </c>
    </row>
    <row r="23">
      <c r="A23" s="9" t="inlineStr">
        <is>
          <t>Maldives</t>
        </is>
      </c>
      <c r="B23" s="35" t="n">
        <v>27000</v>
      </c>
      <c r="C23" s="36" t="n">
        <v>0.3</v>
      </c>
      <c r="D23" s="29" t="n">
        <v>0.72</v>
      </c>
      <c r="E23" s="35" t="n">
        <v>16000</v>
      </c>
      <c r="F23" s="29" t="n">
        <v>0.63</v>
      </c>
      <c r="G23" s="35" t="n">
        <v>600000</v>
      </c>
      <c r="H23" s="13" t="inlineStr">
        <is>
          <t>Maldives resort/tourism marine crew (real 2026 job listings): MHLZ speedboat captain MVR 15,000 + MVR 3,000 food allowance = MVR 18k/mo; jobcenter.mv boat captain MVR 20,000-25,000 + service charge; expat safari/yacht captains EUR 3,200/mo (high-side). Blended 1 resort speedboat captain (~MVR 15-20k base + service charge/food ~$1,500-1,700/mo all-in) + deckhand (~MVR 10-12k all-in ~$700/mo) fully-loaded ~$2,250/mo = ~$27k/vessel/yr @MVR 15.42. Higher than SEA (service-charge system + some expat crew); between Thailand $24k and GCC $36-42k. | Maldives has among the HIGHEST electricity costs in South Asia (near-100% imported diesel). STELCO Male' commercial tariff MVR 3.30/kWh = $0.214 (stelco.com.mv tariff-rates). Resort islands SELF-GENERATE on diesel gensets at $0.30-0.40/kWh (CIF SREP: diesel $0.35/kWh; World Bank 30-40 US-cents on larger islands; ADB/Climate Policy Radar efficient-diesel $0.23-0.33). Charging an electric tourism boat will largely occur at diesel-powered resort islands -&gt; anchored $0.30 (floor STELCO grid $0.214, ceiling resort diesel $0.40). Higher than Singapore $0.21. | Modeled berth+insurance+admin per vessel/yr. Maldives is a high-cost island operating environment (everything imported; no true marinas - resort jetties/anchorage + maintenance + marine insurance). Above Thailand $12k / Malaysia $11k, near Taiwan $14k, below Singapore $20k / GCC $18-22k. Tagged low. | CAPEX LB-243 US/EU=$900K else $600K</t>
        </is>
      </c>
    </row>
    <row r="24">
      <c r="A24" s="9" t="inlineStr">
        <is>
          <t>Morocco</t>
        </is>
      </c>
      <c r="B24" s="35" t="n">
        <v>14000</v>
      </c>
      <c r="C24" s="36" t="n">
        <v>0.12</v>
      </c>
      <c r="D24" s="29" t="n">
        <v>0.6</v>
      </c>
      <c r="E24" s="35" t="n">
        <v>10000</v>
      </c>
      <c r="F24" s="29" t="n">
        <v>0.38</v>
      </c>
      <c r="G24" s="35" t="n">
        <v>600000</v>
      </c>
      <c r="H24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5">
      <c r="A25" s="9" t="inlineStr">
        <is>
          <t>Mozambique</t>
        </is>
      </c>
      <c r="B25" s="35" t="n">
        <v>10000</v>
      </c>
      <c r="C25" s="36" t="n">
        <v>0.1</v>
      </c>
      <c r="D25" s="29" t="n">
        <v>0.1</v>
      </c>
      <c r="E25" s="35" t="n">
        <v>7000</v>
      </c>
      <c r="F25" s="29" t="n">
        <v>0.28</v>
      </c>
      <c r="G25" s="35" t="n">
        <v>600000</v>
      </c>
      <c r="H25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6">
      <c r="A26" s="9" t="inlineStr">
        <is>
          <t>Nigeria</t>
        </is>
      </c>
      <c r="B26" s="35" t="n">
        <v>12000</v>
      </c>
      <c r="C26" s="36" t="n">
        <v>0.13</v>
      </c>
      <c r="D26" s="29" t="n">
        <v>0.4</v>
      </c>
      <c r="E26" s="35" t="n">
        <v>9000</v>
      </c>
      <c r="F26" s="29" t="n">
        <v>0.32</v>
      </c>
      <c r="G26" s="35" t="n">
        <v>600000</v>
      </c>
      <c r="H26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7">
      <c r="A27" s="9" t="inlineStr">
        <is>
          <t>Pakistan</t>
        </is>
      </c>
      <c r="B27" s="35" t="n">
        <v>10000</v>
      </c>
      <c r="C27" s="36" t="n">
        <v>0.12</v>
      </c>
      <c r="D27" s="29" t="n">
        <v>0.4</v>
      </c>
      <c r="E27" s="35" t="n">
        <v>7000</v>
      </c>
      <c r="F27" s="29" t="n">
        <v>0.25</v>
      </c>
      <c r="G27" s="35" t="n">
        <v>600000</v>
      </c>
      <c r="H27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8">
      <c r="A28" s="9" t="inlineStr">
        <is>
          <t>Philippines</t>
        </is>
      </c>
      <c r="B28" s="35" t="n">
        <v>15000</v>
      </c>
      <c r="C28" s="36" t="n">
        <v>0.2</v>
      </c>
      <c r="D28" s="29" t="n">
        <v>0.68</v>
      </c>
      <c r="E28" s="35" t="n">
        <v>10000</v>
      </c>
      <c r="F28" s="29" t="n">
        <v>0.5</v>
      </c>
      <c r="G28" s="35" t="n">
        <v>600000</v>
      </c>
      <c r="H28" s="13" t="inlineStr">
        <is>
          <t>ERI SalaryExpert boat captain PH ~PHP825,644/yr (~$14.5k @57). Blended 1 captain + local deckhand (~PHP15-22k/mo, Indeed) for one commercial tourism vessel ~$15k fully-loaded. | Meralco 2025 overall ~PHP11-12.26/kWh (highest tariff in SEA); commercial/general-power class ~PHP11/kWh = ~$0.20 @57. | Modeled berth+insurance+admin/vessel/yr; below Thailand ($12k) on lower PH marine-ops costs. | CAPEX LB-243 US/EU=$900K else $600K</t>
        </is>
      </c>
    </row>
    <row r="29">
      <c r="A29" s="9" t="inlineStr">
        <is>
          <t>Portugal</t>
        </is>
      </c>
      <c r="B29" s="35" t="n">
        <v>30000</v>
      </c>
      <c r="C29" s="36" t="n">
        <v>0.18</v>
      </c>
      <c r="D29" s="29" t="n">
        <v>0.2</v>
      </c>
      <c r="E29" s="35" t="n">
        <v>16000</v>
      </c>
      <c r="F29" s="29" t="n">
        <v>0.65</v>
      </c>
      <c r="G29" s="35" t="n">
        <v>900000</v>
      </c>
      <c r="H29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0">
      <c r="A30" s="9" t="inlineStr">
        <is>
          <t>Qatar</t>
        </is>
      </c>
      <c r="B30" s="35" t="n">
        <v>43000</v>
      </c>
      <c r="C30" s="36" t="n">
        <v>0.036</v>
      </c>
      <c r="D30" s="29" t="n">
        <v>0.49</v>
      </c>
      <c r="E30" s="35" t="n">
        <v>20000</v>
      </c>
      <c r="F30" s="29" t="n">
        <v>0.7</v>
      </c>
      <c r="G30" s="35" t="n">
        <v>600000</v>
      </c>
      <c r="H30" s="13" t="inlineStr">
        <is>
          <t>GCC expat marine crew (Doha). Naukrigulf: yacht captain Qatar QAR 6,000-18,518/mo, avg QAR 10,333/mo (~$2,840); Indeed Qatar boat captain avg QAR 50,795/yr (low-side local base, ~$14k); Facebook/MCA ad: 38m-yacht captain $15k/mo (superyacht high-side, excluded). Deckhand: Doha job ads QAR 2,300/mo + food (Facebook 2026), Indeed boat/yacht crew up to QAR 4,500/mo. Blended 1 commercial tourism-boat captain (~QAR 10,000/mo ~$2,750) + deckhand (~QAR 3,000/mo ~$825) fully-loaded incl visa/accommodation ~= QAR 156k = ~$43k/vessel/yr @QAR 3.64 (pegged). Highest GCC wage market (GDP/cap top of GCC); just above Saudi $42k / UAE $40k, below Singapore $48k. | HEAVILY SUBSIDIZED - cheapest commercial power in the set. Kahramaa commercial tariff slabs: QAR 0.09/kWh first 4,000 kWh/mo, QAR 0.12 for 4,001-15,000, QAR 0.14 above 15,000 (Kahramaa tariff schedule). GlobalPetrolPrices business QAR 0.130/kWh = $0.036 (Sep 2025). Anchored $0.036. Floor (low slab QAR 0.09) ~$0.025, ceiling (top slab QAR 0.14) ~$0.038. @QAR 3.64 (pegged). Well below Saudi $0.074 / Bahrain $0.08 / UAE $0.085. | Modeled berth+insurance+admin/vessel/yr. Doha premium marina set: Lusail Marina, The Pearl (Ronautica) marinas, Old Doha Port Mina District superyacht marina - high-cost GCC marine ops comparable to Dubai. Between Saudi $18k and UAE $22k, ~= Singapore $20k. Tagged low. | CAPEX LB-243 US/EU=$900K else $600K</t>
        </is>
      </c>
    </row>
    <row r="31">
      <c r="A31" s="9" t="inlineStr">
        <is>
          <t>Romania</t>
        </is>
      </c>
      <c r="B31" s="35" t="n">
        <v>22000</v>
      </c>
      <c r="C31" s="36" t="n">
        <v>0.16</v>
      </c>
      <c r="D31" s="29" t="n">
        <v>0.26</v>
      </c>
      <c r="E31" s="35" t="n">
        <v>12000</v>
      </c>
      <c r="F31" s="29" t="n">
        <v>0.5</v>
      </c>
      <c r="G31" s="35" t="n">
        <v>900000</v>
      </c>
      <c r="H31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2">
      <c r="A32" s="9" t="inlineStr">
        <is>
          <t>Saudi Arabia</t>
        </is>
      </c>
      <c r="B32" s="35" t="n">
        <v>42000</v>
      </c>
      <c r="C32" s="36" t="n">
        <v>0.074</v>
      </c>
      <c r="D32" s="29" t="n">
        <v>0.57</v>
      </c>
      <c r="E32" s="35" t="n">
        <v>18000</v>
      </c>
      <c r="F32" s="29" t="n">
        <v>0.68</v>
      </c>
      <c r="G32" s="35" t="n">
        <v>600000</v>
      </c>
      <c r="H32" s="13" t="inlineStr">
        <is>
          <t>GCC expat marine crew. Job ads (Instagram/Facebook 2026): yacht/boat captain SAR 7,000-10,000/mo (~$1,870-2,670/mo); ERI SalaryExpert boat captain avg SAR 203,728/yr (~$54k, high-side single qualified). Blended 1 commercial tourism-boat captain (~SAR 8,500/mo) + deckhand (~SAR 3,500/mo) fully-loaded (housing/food/visa typically provided) ~= SAR 157k = ~$42k/vessel/yr @3.75. High-income GCC; just below Singapore $48k. | HEAVILY SUBSIDIZED. SEC/SERA commercial tariff: SAR 0.22/kWh up to 6,000 kWh/mo, SAR 0.32 above (clenergize/SEC 2025). GlobalPetrolPrices business SAR 0.277 = $0.074 (Sep 2025). Anchored $0.074. Floor (low-band) ~$0.059, ceiling (high-band SAR 0.32) ~$0.085. @SAR 3.75 (pegged). | Modeled berth+insurance+admin/vessel/yr. New premium Red Sea Global / NEOM marinas (Shura, Sindalah 86-berth) are high-cost GCC marine ops; above Taiwan $14k, below Singapore $20k. Tagged low. | CAPEX LB-243 US/EU=$900K else $600K</t>
        </is>
      </c>
    </row>
    <row r="33">
      <c r="A33" s="9" t="inlineStr">
        <is>
          <t>Senegal</t>
        </is>
      </c>
      <c r="B33" s="35" t="n">
        <v>12000</v>
      </c>
      <c r="C33" s="36" t="n">
        <v>0.18</v>
      </c>
      <c r="D33" s="29" t="n">
        <v>0.55</v>
      </c>
      <c r="E33" s="35" t="n">
        <v>8000</v>
      </c>
      <c r="F33" s="29" t="n">
        <v>0.32</v>
      </c>
      <c r="G33" s="35" t="n">
        <v>600000</v>
      </c>
      <c r="H33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4">
      <c r="A34" s="9" t="inlineStr">
        <is>
          <t>Singapore</t>
        </is>
      </c>
      <c r="B34" s="35" t="n">
        <v>48000</v>
      </c>
      <c r="C34" s="36" t="n">
        <v>0.21</v>
      </c>
      <c r="D34" s="29" t="n">
        <v>0.4</v>
      </c>
      <c r="E34" s="35" t="n">
        <v>20000</v>
      </c>
      <c r="F34" s="29" t="n">
        <v>1</v>
      </c>
      <c r="G34" s="35" t="n">
        <v>600000</v>
      </c>
      <c r="H34" s="13" t="inlineStr">
        <is>
          <t>Modeled SG marine crew ~SGD 4-5k/mo blended | SG regulated tariff 28.1c SGD = $0.21 | SG high-cost berth modeled | CAPEX LB-243 US/EU=$900K else $600K</t>
        </is>
      </c>
    </row>
    <row r="35">
      <c r="A35" s="9" t="inlineStr">
        <is>
          <t>Spain</t>
        </is>
      </c>
      <c r="B35" s="35" t="n">
        <v>38000</v>
      </c>
      <c r="C35" s="36" t="n">
        <v>0.18</v>
      </c>
      <c r="D35" s="29" t="n">
        <v>0.19</v>
      </c>
      <c r="E35" s="35" t="n">
        <v>20000</v>
      </c>
      <c r="F35" s="29" t="n">
        <v>0.8</v>
      </c>
      <c r="G35" s="35" t="n">
        <v>900000</v>
      </c>
      <c r="H35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6">
      <c r="A36" s="9" t="inlineStr">
        <is>
          <t>Sweden</t>
        </is>
      </c>
      <c r="B36" s="35" t="n">
        <v>58000</v>
      </c>
      <c r="C36" s="36" t="n">
        <v>0.13</v>
      </c>
      <c r="D36" s="29" t="n">
        <v>0.04</v>
      </c>
      <c r="E36" s="35" t="n">
        <v>22000</v>
      </c>
      <c r="F36" s="29" t="n">
        <v>1.2</v>
      </c>
      <c r="G36" s="35" t="n">
        <v>900000</v>
      </c>
      <c r="H36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7">
      <c r="A37" s="9" t="inlineStr">
        <is>
          <t>Taiwan</t>
        </is>
      </c>
      <c r="B37" s="35" t="n">
        <v>38000</v>
      </c>
      <c r="C37" s="36" t="n">
        <v>0.18</v>
      </c>
      <c r="D37" s="29" t="n">
        <v>0.46</v>
      </c>
      <c r="E37" s="35" t="n">
        <v>14000</v>
      </c>
      <c r="F37" s="29" t="n">
        <v>0.72</v>
      </c>
      <c r="G37" s="35" t="n">
        <v>600000</v>
      </c>
      <c r="H37" s="13" t="inlineStr">
        <is>
          <t>ERI SalaryExpert Taiwan boat captain NT$1,639,415/yr (~$50.8k @32.3, high-side single qualified captain). Blended 1 tourism-boat captain (~NT$55-65k/mo) + deckhand (~NT$35-40k/mo) fully-loaded (incl labor insurance/pension) ~NT$1.23M = ~$38k/vessel/yr. Taiwan is high-income (GDP/cap ~$33k); 2nd-highest wage in set, below Singapore $48k, well above Thailand $24k / SEA $11-17k. | Taipower 2025: industrial NT$4.27/kWh (unchanged, Taipei Times); residential ~NT$3.23 ($0.10); GlobalPetrolPrices business band TWD7.29 ($0.232, Sep 2025). A small tourism boat is on the 表燈營業 (commercial lighting) tariff - the higher band (R7-EXT) - effective blended ~NT$5-6/kWh = ~$0.18 @32.3. Floor industrial $0.13, ceiling commercial-business $0.23. | Modeled berth+insurance+admin/vessel/yr. Taiwan high-income marine ops (Kaohsiung/Penghu/Donggang); above Thailand $12k / Malaysia $11k, below Singapore $20k. Tagged low. | CAPEX LB-243 US/EU=$900K else $600K</t>
        </is>
      </c>
    </row>
    <row r="38">
      <c r="A38" s="9" t="inlineStr">
        <is>
          <t>Thailand</t>
        </is>
      </c>
      <c r="B38" s="35" t="n">
        <v>24000</v>
      </c>
      <c r="C38" s="36" t="n">
        <v>0.116</v>
      </c>
      <c r="D38" s="29" t="n">
        <v>0.5</v>
      </c>
      <c r="E38" s="35" t="n">
        <v>12000</v>
      </c>
      <c r="F38" s="29" t="n">
        <v>0.55</v>
      </c>
      <c r="G38" s="35" t="n">
        <v>600000</v>
      </c>
      <c r="H38" s="13" t="inlineStr">
        <is>
          <t>ERI Thailand boat captain ~876k THB/yr | MEA/PEA business tariff ~4.18 THB/kWh | Modeled Phuket marine ops | CAPEX LB-243 US/EU=$900K else $600K</t>
        </is>
      </c>
    </row>
    <row r="39">
      <c r="A39" s="9" t="inlineStr">
        <is>
          <t>Tunisia</t>
        </is>
      </c>
      <c r="B39" s="35" t="n">
        <v>14000</v>
      </c>
      <c r="C39" s="36" t="n">
        <v>0.1</v>
      </c>
      <c r="D39" s="29" t="n">
        <v>0.45</v>
      </c>
      <c r="E39" s="35" t="n">
        <v>9000</v>
      </c>
      <c r="F39" s="29" t="n">
        <v>0.35</v>
      </c>
      <c r="G39" s="35" t="n">
        <v>600000</v>
      </c>
      <c r="H39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0">
      <c r="A40" s="9" t="inlineStr">
        <is>
          <t>Turkey</t>
        </is>
      </c>
      <c r="B40" s="35" t="n">
        <v>20000</v>
      </c>
      <c r="C40" s="36" t="n">
        <v>0.12</v>
      </c>
      <c r="D40" s="29" t="n">
        <v>0.4</v>
      </c>
      <c r="E40" s="35" t="n">
        <v>12000</v>
      </c>
      <c r="F40" s="29" t="n">
        <v>0.45</v>
      </c>
      <c r="G40" s="35" t="n">
        <v>600000</v>
      </c>
      <c r="H40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1">
      <c r="A41" s="9" t="inlineStr">
        <is>
          <t>United Arab Emirates</t>
        </is>
      </c>
      <c r="B41" s="35" t="n">
        <v>40000</v>
      </c>
      <c r="C41" s="36" t="n">
        <v>0.08500000000000001</v>
      </c>
      <c r="D41" s="29" t="n">
        <v>0.4</v>
      </c>
      <c r="E41" s="35" t="n">
        <v>22000</v>
      </c>
      <c r="F41" s="29" t="n">
        <v>0.74</v>
      </c>
      <c r="G41" s="35" t="n">
        <v>600000</v>
      </c>
      <c r="H41" s="13" t="inlineStr">
        <is>
          <t>GCC expat marine crew (Dubai). Dubai yacht-group ads: captain AED 5,000-10,000/mo, deckhand AED 2,000-3,500/mo; Morgan &amp; Mallet GCC guide captain $4,200-7,200/mo, deckhand $1,550-2,300/mo. Blended 1 commercial tourism-boat captain (~AED 8,000/mo ~$2,180) + deckhand (~AED 3,000/mo ~$817) fully-loaded incl visa/accommodation/insurance ~= ~$40k/vessel/yr @AED 3.6725. High-income GCC; between Saudi $42k and Bahrain $36k. | DEWA commercial slab tariff AED 0.23/0.28/0.32 per kWh + ~6 fils fuel surcharge (DEWA 2025); utilitybilluae.com business band AED 0.20-0.38/kWh. Effective commercial ~AED 0.30-0.33 = ~$0.082-0.090 @AED 3.6725. Abu Dhabi (ADDC) commercial cheaper. Blended UAE commercial ~$0.085. Subsidized like other GCC but above Saudi $0.074. | Modeled berth+insurance+admin/vessel/yr. Dubai premium marinas (Dubai Marina, Dubai Harbour, Bluewaters) are among the most expensive GCC marine ops; above Saudi $18k and Singapore $20k. Tagged low. | CAPEX LB-243 US/EU=$900K else $600K</t>
        </is>
      </c>
    </row>
    <row r="42">
      <c r="A42" s="9" t="inlineStr">
        <is>
          <t>Vietnam</t>
        </is>
      </c>
      <c r="B42" s="35" t="n">
        <v>14000</v>
      </c>
      <c r="C42" s="36" t="n">
        <v>0.12</v>
      </c>
      <c r="D42" s="29" t="n">
        <v>0.66</v>
      </c>
      <c r="E42" s="35" t="n">
        <v>9000</v>
      </c>
      <c r="F42" s="29" t="n">
        <v>0.45</v>
      </c>
      <c r="G42" s="35" t="n">
        <v>600000</v>
      </c>
      <c r="H42" s="13" t="inlineStr">
        <is>
          <t>ERI SalaryExpert Vietnam boat captain avg ~VND 540M/yr (~$21k @26,300, high-side professional). Blended 1 tourism-boat captain + local deckhand realistically lower; Vietnam wage band ~= Philippines/Indonesia. Fully-loaded ~$14k/vessel/yr. | EVN avg retail VND 2,204/kWh ($0.084, May 2025). Commercial/services sector (kinh doanh) pays the HIGHEST tariff band: normal-hour ~VND 3,200/kWh ($0.12), peak up to VND 5,422 ($0.21, VietnamNet 2025). Tourism boat operators are on services tariff -&gt; ~$0.12. | Modeled berth+insurance+admin/vessel/yr. Below Thailand ($12k), ~= Indonesia/Philippines ($10k) on lower Vietnam marine-ops costs.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A634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14" customWidth="1" min="4" max="4"/>
    <col width="30" customWidth="1" min="5" max="5"/>
    <col width="8" customWidth="1" min="6" max="6"/>
    <col width="8" customWidth="1" min="7" max="7"/>
    <col width="11" customWidth="1" min="8" max="8"/>
    <col width="7" customWidth="1" min="9" max="9"/>
    <col width="8" customWidth="1" min="10" max="10"/>
    <col width="9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9" customWidth="1" min="21" max="21"/>
    <col width="9" customWidth="1" min="22" max="22"/>
    <col width="11" customWidth="1" min="23" max="23"/>
    <col width="10" customWidth="1" min="24" max="24"/>
    <col width="10" customWidth="1" min="25" max="25"/>
    <col width="10" customWidth="1" min="26" max="26"/>
    <col width="9" customWidth="1" min="27" max="27"/>
    <col width="10" customWidth="1" min="28" max="28"/>
    <col width="11" customWidth="1" min="29" max="29"/>
    <col width="11" customWidth="1" min="30" max="30"/>
    <col width="10" customWidth="1" min="31" max="31"/>
    <col width="11" customWidth="1" min="32" max="32"/>
    <col width="8" customWidth="1" min="33" max="33"/>
    <col width="9" customWidth="1" min="34" max="34"/>
    <col width="9" customWidth="1" min="35" max="35"/>
    <col width="12" customWidth="1" min="36" max="36"/>
    <col width="7" customWidth="1" min="37" max="37"/>
    <col width="8" customWidth="1" min="38" max="38"/>
    <col width="8" customWidth="1" min="39" max="39"/>
    <col width="10" customWidth="1" min="40" max="40"/>
    <col width="9" customWidth="1" min="41" max="41"/>
    <col width="13" customWidth="1" min="42" max="42"/>
    <col width="9" customWidth="1" min="43" max="43"/>
    <col width="13" customWidth="1" min="44" max="44"/>
    <col width="26" customWidth="1" min="45" max="45"/>
    <col width="16" customWidth="1" min="46" max="46"/>
    <col width="16" customWidth="1" min="47" max="47"/>
    <col width="9" customWidth="1" min="48" max="48"/>
    <col width="9" customWidth="1" min="49" max="49"/>
    <col width="9" customWidth="1" min="50" max="50"/>
    <col width="9" customWidth="1" min="51" max="51"/>
    <col width="50" customWidth="1" min="52" max="52"/>
    <col width="50" customWidth="1" min="53" max="53"/>
  </cols>
  <sheetData>
    <row r="1">
      <c r="A1" s="19" t="inlineStr">
        <is>
          <t>Corridor economics — unique geometry (one row per pier-pair; canonical list for Global TAM)</t>
        </is>
      </c>
      <c r="N1" s="37" t="inlineStr">
        <is>
          <t>SCENARIO:</t>
        </is>
      </c>
      <c r="O1" s="31">
        <f>scenario</f>
        <v/>
      </c>
      <c r="P1" s="32" t="inlineStr">
        <is>
          <t>(set on Assumptions tab)</t>
        </is>
      </c>
    </row>
    <row r="2"/>
    <row r="3" ht="42" customHeight="1">
      <c r="A3" s="34" t="inlineStr">
        <is>
          <t>Market</t>
        </is>
      </c>
      <c r="B3" s="34" t="inlineStr">
        <is>
          <t>Country</t>
        </is>
      </c>
      <c r="C3" s="34" t="inlineStr">
        <is>
          <t>Corridor</t>
        </is>
      </c>
      <c r="D3" s="34" t="inlineStr">
        <is>
          <t>Provenance partner</t>
        </is>
      </c>
      <c r="E3" s="34" t="inlineStr">
        <is>
          <t>Alias markets</t>
        </is>
      </c>
      <c r="F3" s="34" t="inlineStr">
        <is>
          <t>Alias count</t>
        </is>
      </c>
      <c r="G3" s="34" t="inlineStr">
        <is>
          <t>Distance</t>
        </is>
      </c>
      <c r="H3" s="34" t="inlineStr">
        <is>
          <t>Premium fare $/pax</t>
        </is>
      </c>
      <c r="I3" s="34" t="inlineStr">
        <is>
          <t>Fare tier</t>
        </is>
      </c>
      <c r="J3" s="34" t="inlineStr">
        <is>
          <t>Fare conf.</t>
        </is>
      </c>
      <c r="K3" s="34" t="inlineStr">
        <is>
          <t>Weather factor</t>
        </is>
      </c>
      <c r="L3" s="34" t="inlineStr">
        <is>
          <t>One-way min</t>
        </is>
      </c>
      <c r="M3" s="34" t="inlineStr">
        <is>
          <t>Cycle min</t>
        </is>
      </c>
      <c r="N3" s="34" t="inlineStr">
        <is>
          <t>Trips/day</t>
        </is>
      </c>
      <c r="O3" s="34" t="inlineStr">
        <is>
          <t>Op days/yr</t>
        </is>
      </c>
      <c r="P3" s="34" t="inlineStr">
        <is>
          <t>Mech uptime</t>
        </is>
      </c>
      <c r="Q3" s="34" t="inlineStr">
        <is>
          <t>Rev-leg %</t>
        </is>
      </c>
      <c r="R3" s="34" t="inlineStr">
        <is>
          <t>Trips/yr</t>
        </is>
      </c>
      <c r="S3" s="34" t="inlineStr">
        <is>
          <t>Load factor</t>
        </is>
      </c>
      <c r="T3" s="34" t="inlineStr">
        <is>
          <t>Pax/trip</t>
        </is>
      </c>
      <c r="U3" s="34" t="inlineStr">
        <is>
          <t>Pax/yr</t>
        </is>
      </c>
      <c r="V3" s="34" t="inlineStr">
        <is>
          <t>Navier fare $</t>
        </is>
      </c>
      <c r="W3" s="34" t="inlineStr">
        <is>
          <t>Revenue/yr</t>
        </is>
      </c>
      <c r="X3" s="34" t="inlineStr">
        <is>
          <t>Energy/yr</t>
        </is>
      </c>
      <c r="Y3" s="34" t="inlineStr">
        <is>
          <t>Crew/yr</t>
        </is>
      </c>
      <c r="Z3" s="34" t="inlineStr">
        <is>
          <t>Marina/yr</t>
        </is>
      </c>
      <c r="AA3" s="34" t="inlineStr">
        <is>
          <t>Maint/yr</t>
        </is>
      </c>
      <c r="AB3" s="34" t="inlineStr">
        <is>
          <t>Insurance/yr</t>
        </is>
      </c>
      <c r="AC3" s="34" t="inlineStr">
        <is>
          <t>Charge+berth/yr</t>
        </is>
      </c>
      <c r="AD3" s="34" t="inlineStr">
        <is>
          <t>OPEX/yr</t>
        </is>
      </c>
      <c r="AE3" s="34" t="inlineStr">
        <is>
          <t>Deprec/yr</t>
        </is>
      </c>
      <c r="AF3" s="34" t="inlineStr">
        <is>
          <t>EBITDA/yr</t>
        </is>
      </c>
      <c r="AG3" s="34" t="inlineStr">
        <is>
          <t>Margin</t>
        </is>
      </c>
      <c r="AH3" s="34" t="inlineStr">
        <is>
          <t>Payback yr (sel)</t>
        </is>
      </c>
      <c r="AI3" s="34" t="inlineStr">
        <is>
          <t>CO₂ saved t/yr</t>
        </is>
      </c>
      <c r="AJ3" s="34" t="inlineStr">
        <is>
          <t>Demand pool 1-way/yr</t>
        </is>
      </c>
      <c r="AK3" s="34" t="inlineStr">
        <is>
          <t>Demand tier</t>
        </is>
      </c>
      <c r="AL3" s="34" t="inlineStr">
        <is>
          <t>Demand conf.</t>
        </is>
      </c>
      <c r="AM3" s="34" t="inlineStr">
        <is>
          <t>Capture %</t>
        </is>
      </c>
      <c r="AN3" s="34" t="inlineStr">
        <is>
          <t>Navier rides/yr</t>
        </is>
      </c>
      <c r="AO3" s="34" t="inlineStr">
        <is>
          <t>Vessels @capture</t>
        </is>
      </c>
      <c r="AP3" s="34" t="inlineStr">
        <is>
          <t>Market rev/yr</t>
        </is>
      </c>
      <c r="AQ3" s="34" t="inlineStr">
        <is>
          <t>Vessels raw (unfloored)</t>
        </is>
      </c>
      <c r="AR3" s="34" t="inlineStr">
        <is>
          <t>Market rev/yr raw</t>
        </is>
      </c>
      <c r="AS3" s="34" t="inlineStr">
        <is>
          <t>Subset of (excl. from market fleet)</t>
        </is>
      </c>
      <c r="AT3" s="34" t="inlineStr">
        <is>
          <t>Forward SAM (2030-dated; held OUT of grounded floor)</t>
        </is>
      </c>
      <c r="AU3" s="34" t="inlineStr">
        <is>
          <t>Upside tier (LB-99; held OUT of grounded floor)</t>
        </is>
      </c>
      <c r="AV3" s="34" t="inlineStr">
        <is>
          <t>Fleet ceiling (captive villas/25)</t>
        </is>
      </c>
      <c r="AW3" s="34" t="inlineStr">
        <is>
          <t>Payback THIN</t>
        </is>
      </c>
      <c r="AX3" s="34" t="inlineStr">
        <is>
          <t>Payback MID</t>
        </is>
      </c>
      <c r="AY3" s="34" t="inlineStr">
        <is>
          <t>Payback FULL</t>
        </is>
      </c>
      <c r="AZ3" s="34" t="inlineStr">
        <is>
          <t>Fare source (provenance)</t>
        </is>
      </c>
      <c r="BA3" s="34" t="inlineStr">
        <is>
          <t>Demand source (provenance)</t>
        </is>
      </c>
    </row>
    <row r="4">
      <c r="A4" s="38" t="inlineStr">
        <is>
          <t>Yango Caspian Az</t>
        </is>
      </c>
      <c r="B4" s="38" t="inlineStr">
        <is>
          <t>Azerbaijan</t>
        </is>
      </c>
      <c r="C4" s="39" t="inlineStr">
        <is>
          <t>Baku Bay leisure loop (Boulevard) → Baku Bay leisure loop (Boulevard)</t>
        </is>
      </c>
      <c r="D4" s="38" t="inlineStr">
        <is>
          <t>yango</t>
        </is>
      </c>
      <c r="E4" s="40" t="inlineStr">
        <is>
          <t>yango-caspian-az</t>
        </is>
      </c>
      <c r="F4" s="41" t="n">
        <v>1</v>
      </c>
      <c r="G4" s="42" t="n">
        <v>6</v>
      </c>
      <c r="H4" s="35" t="n">
        <v>30</v>
      </c>
      <c r="I4" s="43" t="inlineStr">
        <is>
          <t>T2</t>
        </is>
      </c>
      <c r="J4" s="43" t="inlineStr">
        <is>
          <t>med</t>
        </is>
      </c>
      <c r="K4" s="29" t="n">
        <v>1</v>
      </c>
      <c r="L4" s="44">
        <f>60*G4/cruise_kt</f>
        <v/>
      </c>
      <c r="M4" s="44">
        <f>L4+turn_min+dwell_min</f>
        <v/>
      </c>
      <c r="N4" s="45">
        <f>MIN(10,FLOOR(60*service_hr/M4,1))</f>
        <v/>
      </c>
      <c r="O4" s="45">
        <f>ROUND(365*mech_uptime*K4,0)</f>
        <v/>
      </c>
      <c r="P4" s="46">
        <f>mech_uptime</f>
        <v/>
      </c>
      <c r="Q4" s="46">
        <f>revleg_sel</f>
        <v/>
      </c>
      <c r="R4" s="45">
        <f>ROUND(N4*O4*revleg_sel,0)</f>
        <v/>
      </c>
      <c r="S4" s="47">
        <f>load_sel</f>
        <v/>
      </c>
      <c r="T4" s="47">
        <f>pax_cap*S4</f>
        <v/>
      </c>
      <c r="U4" s="45">
        <f>T4*R4</f>
        <v/>
      </c>
      <c r="V4" s="48">
        <f>H4*discount</f>
        <v/>
      </c>
      <c r="W4" s="49">
        <f>V4*U4</f>
        <v/>
      </c>
      <c r="X4" s="49">
        <f>(battery/range_nm)*G4*R4*VLOOKUP(B4,country_opex,3,FALSE)</f>
        <v/>
      </c>
      <c r="Y4" s="49">
        <f>VLOOKUP(B4,country_opex,2,FALSE)*crew_factor</f>
        <v/>
      </c>
      <c r="Z4" s="49">
        <f>VLOOKUP(B4,country_opex,5,FALSE)</f>
        <v/>
      </c>
      <c r="AA4" s="49">
        <f>maint</f>
        <v/>
      </c>
      <c r="AB4" s="49">
        <f>VLOOKUP(B4,country_opex,7,FALSE)*ins_pct</f>
        <v/>
      </c>
      <c r="AC4" s="49">
        <f>charge_berth</f>
        <v/>
      </c>
      <c r="AD4" s="49">
        <f>X4+Y4+Z4+AA4+AB4+AC4</f>
        <v/>
      </c>
      <c r="AE4" s="49">
        <f>VLOOKUP(B4,country_opex,7,FALSE)/dep_years</f>
        <v/>
      </c>
      <c r="AF4" s="49">
        <f>W4-AD4</f>
        <v/>
      </c>
      <c r="AG4" s="46">
        <f>IF(W4=0,"",AF4/W4)</f>
        <v/>
      </c>
      <c r="AH4" s="47">
        <f>IF(AF4&lt;=0,"",VLOOKUP(B4,country_opex,7,FALSE)/AF4)</f>
        <v/>
      </c>
      <c r="AI4" s="44">
        <f>((G4*R4/diesel_nmpg)*diesel_co2pg-(battery/range_nm)*G4*R4*VLOOKUP(B4,country_opex,4,FALSE))/1000</f>
        <v/>
      </c>
      <c r="AJ4" s="42" t="n"/>
      <c r="AK4" s="43" t="n"/>
      <c r="AL4" s="43" t="n"/>
      <c r="AM4" s="50" t="n">
        <v>0.1</v>
      </c>
      <c r="AN4" s="45">
        <f>IF(AJ4="","",AJ4*AM4)</f>
        <v/>
      </c>
      <c r="AO4" s="45">
        <f>IF(OR(AJ4="",U4=0),"",MIN(IF(AV4="",9.9E+99,AV4),FLOOR(AN4/U4,1)))</f>
        <v/>
      </c>
      <c r="AP4" s="49">
        <f>IF(AO4="","",AO4*W4)</f>
        <v/>
      </c>
      <c r="AQ4" s="47">
        <f>IF(OR(AJ4="",U4=0),"",MIN(IF(AV4="",9.9E+99,AV4),AN4/U4))</f>
        <v/>
      </c>
      <c r="AR4" s="49">
        <f>IF(AQ4="","",AQ4*W4)</f>
        <v/>
      </c>
      <c r="AS4" s="51" t="n"/>
      <c r="AT4" s="52" t="n"/>
      <c r="AU4" s="52" t="n"/>
      <c r="AV4" s="53" t="n"/>
      <c r="AW4" s="54">
        <f>IF(((V4*pax_cap*load_thin*ROUND(N4*O4*revleg_thin,0))-(((battery/range_nm)*G4*ROUND(N4*O4*revleg_thin,0)*VLOOKUP(B4,country_opex,3,FALSE))+Y4+Z4+AA4+AB4+AC4))&lt;=0,"",VLOOKUP(B4,country_opex,7,FALSE)/((V4*pax_cap*load_thin*ROUND(N4*O4*revleg_thin,0))-(((battery/range_nm)*G4*ROUND(N4*O4*revleg_thin,0)*VLOOKUP(B4,country_opex,3,FALSE))+Y4+Z4+AA4+AB4+AC4)))</f>
        <v/>
      </c>
      <c r="AX4" s="54">
        <f>IF(((V4*pax_cap*load_mid*ROUND(N4*O4*revleg_mid,0))-(((battery/range_nm)*G4*ROUND(N4*O4*revleg_mid,0)*VLOOKUP(B4,country_opex,3,FALSE))+Y4+Z4+AA4+AB4+AC4))&lt;=0,"",VLOOKUP(B4,country_opex,7,FALSE)/((V4*pax_cap*load_mid*ROUND(N4*O4*revleg_mid,0))-(((battery/range_nm)*G4*ROUND(N4*O4*revleg_mid,0)*VLOOKUP(B4,country_opex,3,FALSE))+Y4+Z4+AA4+AB4+AC4)))</f>
        <v/>
      </c>
      <c r="AY4" s="54">
        <f>IF(((V4*pax_cap*load_full*ROUND(N4*O4*revleg_full,0))-(((battery/range_nm)*G4*ROUND(N4*O4*revleg_full,0)*VLOOKUP(B4,country_opex,3,FALSE))+Y4+Z4+AA4+AB4+AC4))&lt;=0,"",VLOOKUP(B4,country_opex,7,FALSE)/((V4*pax_cap*load_full*ROUND(N4*O4*revleg_full,0))-(((battery/range_nm)*G4*ROUND(N4*O4*revleg_full,0)*VLOOKUP(B4,country_opex,3,FALSE))+Y4+Z4+AA4+AB4+AC4)))</f>
        <v/>
      </c>
      <c r="AZ4" s="40" t="inlineStr">
        <is>
          <t>PREMIUM tier: private Boulevard boat tour ~$30/seat (range $30-44; privatetoursbaku, Tripadvisor, GetYourGuide).</t>
        </is>
      </c>
      <c r="BA4" s="40" t="n"/>
    </row>
    <row r="5">
      <c r="A5" s="38" t="inlineStr">
        <is>
          <t>Yango Caspian Az</t>
        </is>
      </c>
      <c r="B5" s="38" t="inlineStr">
        <is>
          <t>Azerbaijan</t>
        </is>
      </c>
      <c r="C5" s="39" t="inlineStr">
        <is>
          <t>Baku (Boulevard / Port Baku) → Sumqayit</t>
        </is>
      </c>
      <c r="D5" s="38" t="inlineStr">
        <is>
          <t>yango</t>
        </is>
      </c>
      <c r="E5" s="40" t="inlineStr">
        <is>
          <t>yango-caspian-az</t>
        </is>
      </c>
      <c r="F5" s="41" t="n">
        <v>1</v>
      </c>
      <c r="G5" s="42" t="n">
        <v>16</v>
      </c>
      <c r="H5" s="35" t="n"/>
      <c r="I5" s="43" t="n"/>
      <c r="J5" s="43" t="n"/>
      <c r="K5" s="29" t="n">
        <v>1</v>
      </c>
      <c r="L5" s="44">
        <f>60*G5/cruise_kt</f>
        <v/>
      </c>
      <c r="M5" s="44">
        <f>L5+turn_min+dwell_min</f>
        <v/>
      </c>
      <c r="N5" s="45">
        <f>MIN(16,FLOOR(60*service_hr/M5,1))</f>
        <v/>
      </c>
      <c r="O5" s="45">
        <f>ROUND(365*mech_uptime*K5,0)</f>
        <v/>
      </c>
      <c r="P5" s="46">
        <f>mech_uptime</f>
        <v/>
      </c>
      <c r="Q5" s="46">
        <f>revleg_sel</f>
        <v/>
      </c>
      <c r="R5" s="45">
        <f>ROUND(N5*O5*revleg_sel,0)</f>
        <v/>
      </c>
      <c r="S5" s="47">
        <f>load_sel</f>
        <v/>
      </c>
      <c r="T5" s="47">
        <f>pax_cap*S5</f>
        <v/>
      </c>
      <c r="U5" s="45">
        <f>T5*R5</f>
        <v/>
      </c>
      <c r="V5" s="48">
        <f>H5*discount</f>
        <v/>
      </c>
      <c r="W5" s="49">
        <f>V5*U5</f>
        <v/>
      </c>
      <c r="X5" s="49">
        <f>(battery/range_nm)*G5*R5*VLOOKUP(B5,country_opex,3,FALSE)</f>
        <v/>
      </c>
      <c r="Y5" s="49">
        <f>VLOOKUP(B5,country_opex,2,FALSE)*crew_factor</f>
        <v/>
      </c>
      <c r="Z5" s="49">
        <f>VLOOKUP(B5,country_opex,5,FALSE)</f>
        <v/>
      </c>
      <c r="AA5" s="49">
        <f>maint</f>
        <v/>
      </c>
      <c r="AB5" s="49">
        <f>VLOOKUP(B5,country_opex,7,FALSE)*ins_pct</f>
        <v/>
      </c>
      <c r="AC5" s="49">
        <f>charge_berth</f>
        <v/>
      </c>
      <c r="AD5" s="49">
        <f>X5+Y5+Z5+AA5+AB5+AC5</f>
        <v/>
      </c>
      <c r="AE5" s="49">
        <f>VLOOKUP(B5,country_opex,7,FALSE)/dep_years</f>
        <v/>
      </c>
      <c r="AF5" s="49">
        <f>W5-AD5</f>
        <v/>
      </c>
      <c r="AG5" s="46">
        <f>IF(W5=0,"",AF5/W5)</f>
        <v/>
      </c>
      <c r="AH5" s="47">
        <f>IF(AF5&lt;=0,"",VLOOKUP(B5,country_opex,7,FALSE)/AF5)</f>
        <v/>
      </c>
      <c r="AI5" s="44">
        <f>((G5*R5/diesel_nmpg)*diesel_co2pg-(battery/range_nm)*G5*R5*VLOOKUP(B5,country_opex,4,FALSE))/1000</f>
        <v/>
      </c>
      <c r="AJ5" s="42" t="n">
        <v>74000</v>
      </c>
      <c r="AK5" s="43" t="n"/>
      <c r="AL5" s="43" t="n"/>
      <c r="AM5" s="50" t="n">
        <v>0.1</v>
      </c>
      <c r="AN5" s="45">
        <f>IF(AJ5="","",AJ5*AM5)</f>
        <v/>
      </c>
      <c r="AO5" s="45">
        <f>IF(OR(AJ5="",U5=0),"",MIN(IF(AV5="",9.9E+99,AV5),FLOOR(AN5/U5,1)))</f>
        <v/>
      </c>
      <c r="AP5" s="49">
        <f>IF(AO5="","",AO5*W5)</f>
        <v/>
      </c>
      <c r="AQ5" s="47">
        <f>IF(OR(AJ5="",U5=0),"",MIN(IF(AV5="",9.9E+99,AV5),AN5/U5))</f>
        <v/>
      </c>
      <c r="AR5" s="49">
        <f>IF(AQ5="","",AQ5*W5)</f>
        <v/>
      </c>
      <c r="AS5" s="51" t="n"/>
      <c r="AT5" s="52" t="n"/>
      <c r="AU5" s="52" t="n"/>
      <c r="AV5" s="53" t="n"/>
      <c r="AW5" s="54">
        <f>IF(((V5*pax_cap*load_thin*ROUND(N5*O5*revleg_thin,0))-(((battery/range_nm)*G5*ROUND(N5*O5*revleg_thin,0)*VLOOKUP(B5,country_opex,3,FALSE))+Y5+Z5+AA5+AB5+AC5))&lt;=0,"",VLOOKUP(B5,country_opex,7,FALSE)/((V5*pax_cap*load_thin*ROUND(N5*O5*revleg_thin,0))-(((battery/range_nm)*G5*ROUND(N5*O5*revleg_thin,0)*VLOOKUP(B5,country_opex,3,FALSE))+Y5+Z5+AA5+AB5+AC5)))</f>
        <v/>
      </c>
      <c r="AX5" s="54">
        <f>IF(((V5*pax_cap*load_mid*ROUND(N5*O5*revleg_mid,0))-(((battery/range_nm)*G5*ROUND(N5*O5*revleg_mid,0)*VLOOKUP(B5,country_opex,3,FALSE))+Y5+Z5+AA5+AB5+AC5))&lt;=0,"",VLOOKUP(B5,country_opex,7,FALSE)/((V5*pax_cap*load_mid*ROUND(N5*O5*revleg_mid,0))-(((battery/range_nm)*G5*ROUND(N5*O5*revleg_mid,0)*VLOOKUP(B5,country_opex,3,FALSE))+Y5+Z5+AA5+AB5+AC5)))</f>
        <v/>
      </c>
      <c r="AY5" s="54">
        <f>IF(((V5*pax_cap*load_full*ROUND(N5*O5*revleg_full,0))-(((battery/range_nm)*G5*ROUND(N5*O5*revleg_full,0)*VLOOKUP(B5,country_opex,3,FALSE))+Y5+Z5+AA5+AB5+AC5))&lt;=0,"",VLOOKUP(B5,country_opex,7,FALSE)/((V5*pax_cap*load_full*ROUND(N5*O5*revleg_full,0))-(((battery/range_nm)*G5*ROUND(N5*O5*revleg_full,0)*VLOOKUP(B5,country_opex,3,FALSE))+Y5+Z5+AA5+AB5+AC5)))</f>
        <v/>
      </c>
      <c r="AZ5" s="40" t="n"/>
      <c r="BA5" s="40" t="n"/>
    </row>
    <row r="6">
      <c r="A6" s="38" t="inlineStr">
        <is>
          <t>Yango Caspian Az</t>
        </is>
      </c>
      <c r="B6" s="38" t="inlineStr">
        <is>
          <t>Azerbaijan</t>
        </is>
      </c>
      <c r="C6" s="39" t="inlineStr">
        <is>
          <t>Baku Bay (Bulvar) → Bilgah</t>
        </is>
      </c>
      <c r="D6" s="38" t="inlineStr">
        <is>
          <t>yango</t>
        </is>
      </c>
      <c r="E6" s="40" t="inlineStr">
        <is>
          <t>yango-caspian-az</t>
        </is>
      </c>
      <c r="F6" s="41" t="n">
        <v>1</v>
      </c>
      <c r="G6" s="42" t="n">
        <v>18</v>
      </c>
      <c r="H6" s="35" t="n">
        <v>30</v>
      </c>
      <c r="I6" s="43" t="inlineStr">
        <is>
          <t>T2</t>
        </is>
      </c>
      <c r="J6" s="43" t="inlineStr">
        <is>
          <t>med</t>
        </is>
      </c>
      <c r="K6" s="29" t="n">
        <v>1</v>
      </c>
      <c r="L6" s="44">
        <f>60*G6/cruise_kt</f>
        <v/>
      </c>
      <c r="M6" s="44">
        <f>L6+turn_min+dwell_min</f>
        <v/>
      </c>
      <c r="N6" s="45">
        <f>MIN(10,FLOOR(60*service_hr/M6,1))</f>
        <v/>
      </c>
      <c r="O6" s="45">
        <f>ROUND(365*mech_uptime*K6,0)</f>
        <v/>
      </c>
      <c r="P6" s="46">
        <f>mech_uptime</f>
        <v/>
      </c>
      <c r="Q6" s="46">
        <f>revleg_sel</f>
        <v/>
      </c>
      <c r="R6" s="45">
        <f>ROUND(N6*O6*revleg_sel,0)</f>
        <v/>
      </c>
      <c r="S6" s="47">
        <f>load_sel</f>
        <v/>
      </c>
      <c r="T6" s="47">
        <f>pax_cap*S6</f>
        <v/>
      </c>
      <c r="U6" s="45">
        <f>T6*R6</f>
        <v/>
      </c>
      <c r="V6" s="48">
        <f>H6*discount</f>
        <v/>
      </c>
      <c r="W6" s="49">
        <f>V6*U6</f>
        <v/>
      </c>
      <c r="X6" s="49">
        <f>(battery/range_nm)*G6*R6*VLOOKUP(B6,country_opex,3,FALSE)</f>
        <v/>
      </c>
      <c r="Y6" s="49">
        <f>VLOOKUP(B6,country_opex,2,FALSE)*crew_factor</f>
        <v/>
      </c>
      <c r="Z6" s="49">
        <f>VLOOKUP(B6,country_opex,5,FALSE)</f>
        <v/>
      </c>
      <c r="AA6" s="49">
        <f>maint</f>
        <v/>
      </c>
      <c r="AB6" s="49">
        <f>VLOOKUP(B6,country_opex,7,FALSE)*ins_pct</f>
        <v/>
      </c>
      <c r="AC6" s="49">
        <f>charge_berth</f>
        <v/>
      </c>
      <c r="AD6" s="49">
        <f>X6+Y6+Z6+AA6+AB6+AC6</f>
        <v/>
      </c>
      <c r="AE6" s="49">
        <f>VLOOKUP(B6,country_opex,7,FALSE)/dep_years</f>
        <v/>
      </c>
      <c r="AF6" s="49">
        <f>W6-AD6</f>
        <v/>
      </c>
      <c r="AG6" s="46">
        <f>IF(W6=0,"",AF6/W6)</f>
        <v/>
      </c>
      <c r="AH6" s="47">
        <f>IF(AF6&lt;=0,"",VLOOKUP(B6,country_opex,7,FALSE)/AF6)</f>
        <v/>
      </c>
      <c r="AI6" s="44">
        <f>((G6*R6/diesel_nmpg)*diesel_co2pg-(battery/range_nm)*G6*R6*VLOOKUP(B6,country_opex,4,FALSE))/1000</f>
        <v/>
      </c>
      <c r="AJ6" s="42" t="n">
        <v>30000</v>
      </c>
      <c r="AK6" s="43" t="n"/>
      <c r="AL6" s="43" t="n"/>
      <c r="AM6" s="50" t="n">
        <v>0.1</v>
      </c>
      <c r="AN6" s="45">
        <f>IF(AJ6="","",AJ6*AM6)</f>
        <v/>
      </c>
      <c r="AO6" s="45">
        <f>IF(OR(AJ6="",U6=0),"",MIN(IF(AV6="",9.9E+99,AV6),FLOOR(AN6/U6,1)))</f>
        <v/>
      </c>
      <c r="AP6" s="49">
        <f>IF(AO6="","",AO6*W6)</f>
        <v/>
      </c>
      <c r="AQ6" s="47">
        <f>IF(OR(AJ6="",U6=0),"",MIN(IF(AV6="",9.9E+99,AV6),AN6/U6))</f>
        <v/>
      </c>
      <c r="AR6" s="49">
        <f>IF(AQ6="","",AQ6*W6)</f>
        <v/>
      </c>
      <c r="AS6" s="51" t="n"/>
      <c r="AT6" s="52" t="n"/>
      <c r="AU6" s="52" t="n"/>
      <c r="AV6" s="53" t="n"/>
      <c r="AW6" s="54">
        <f>IF(((V6*pax_cap*load_thin*ROUND(N6*O6*revleg_thin,0))-(((battery/range_nm)*G6*ROUND(N6*O6*revleg_thin,0)*VLOOKUP(B6,country_opex,3,FALSE))+Y6+Z6+AA6+AB6+AC6))&lt;=0,"",VLOOKUP(B6,country_opex,7,FALSE)/((V6*pax_cap*load_thin*ROUND(N6*O6*revleg_thin,0))-(((battery/range_nm)*G6*ROUND(N6*O6*revleg_thin,0)*VLOOKUP(B6,country_opex,3,FALSE))+Y6+Z6+AA6+AB6+AC6)))</f>
        <v/>
      </c>
      <c r="AX6" s="54">
        <f>IF(((V6*pax_cap*load_mid*ROUND(N6*O6*revleg_mid,0))-(((battery/range_nm)*G6*ROUND(N6*O6*revleg_mid,0)*VLOOKUP(B6,country_opex,3,FALSE))+Y6+Z6+AA6+AB6+AC6))&lt;=0,"",VLOOKUP(B6,country_opex,7,FALSE)/((V6*pax_cap*load_mid*ROUND(N6*O6*revleg_mid,0))-(((battery/range_nm)*G6*ROUND(N6*O6*revleg_mid,0)*VLOOKUP(B6,country_opex,3,FALSE))+Y6+Z6+AA6+AB6+AC6)))</f>
        <v/>
      </c>
      <c r="AY6" s="54">
        <f>IF(((V6*pax_cap*load_full*ROUND(N6*O6*revleg_full,0))-(((battery/range_nm)*G6*ROUND(N6*O6*revleg_full,0)*VLOOKUP(B6,country_opex,3,FALSE))+Y6+Z6+AA6+AB6+AC6))&lt;=0,"",VLOOKUP(B6,country_opex,7,FALSE)/((V6*pax_cap*load_full*ROUND(N6*O6*revleg_full,0))-(((battery/range_nm)*G6*ROUND(N6*O6*revleg_full,0)*VLOOKUP(B6,country_opex,3,FALSE))+Y6+Z6+AA6+AB6+AC6)))</f>
        <v/>
      </c>
      <c r="AZ6" s="40" t="inlineStr">
        <is>
          <t>PREMIUM tier: private Boulevard boat-tour per-seat ~$30 (privatetoursbaku 1-pax $30; Tripadvisor Baku boat rides 'from $44'; GetYourGuide bay tours). No scheduled fast catamaran to Bilgah exists today; this is the nearest premium per-seat marine comparable in-market.</t>
        </is>
      </c>
      <c r="BA6" s="40" t="n"/>
    </row>
    <row r="7">
      <c r="A7" s="38" t="inlineStr">
        <is>
          <t>Yango Caspian Az</t>
        </is>
      </c>
      <c r="B7" s="38" t="inlineStr">
        <is>
          <t>Azerbaijan</t>
        </is>
      </c>
      <c r="C7" s="39" t="inlineStr">
        <is>
          <t>Baku (Boulevard / Port Baku) → Mardakan / Nardaran (Sea Breeze resort cluster)</t>
        </is>
      </c>
      <c r="D7" s="38" t="inlineStr">
        <is>
          <t>yango</t>
        </is>
      </c>
      <c r="E7" s="40" t="inlineStr">
        <is>
          <t>yango-caspian-az</t>
        </is>
      </c>
      <c r="F7" s="41" t="n">
        <v>1</v>
      </c>
      <c r="G7" s="42" t="n">
        <v>20</v>
      </c>
      <c r="H7" s="35" t="n">
        <v>30</v>
      </c>
      <c r="I7" s="43" t="inlineStr">
        <is>
          <t>T2</t>
        </is>
      </c>
      <c r="J7" s="43" t="inlineStr">
        <is>
          <t>med</t>
        </is>
      </c>
      <c r="K7" s="29" t="n">
        <v>1</v>
      </c>
      <c r="L7" s="44">
        <f>60*G7/cruise_kt</f>
        <v/>
      </c>
      <c r="M7" s="44">
        <f>L7+turn_min+dwell_min</f>
        <v/>
      </c>
      <c r="N7" s="45">
        <f>MIN(16,FLOOR(60*service_hr/M7,1))</f>
        <v/>
      </c>
      <c r="O7" s="45">
        <f>ROUND(365*mech_uptime*K7,0)</f>
        <v/>
      </c>
      <c r="P7" s="46">
        <f>mech_uptime</f>
        <v/>
      </c>
      <c r="Q7" s="46">
        <f>revleg_sel</f>
        <v/>
      </c>
      <c r="R7" s="45">
        <f>ROUND(N7*O7*revleg_sel,0)</f>
        <v/>
      </c>
      <c r="S7" s="47">
        <f>load_sel</f>
        <v/>
      </c>
      <c r="T7" s="47">
        <f>pax_cap*S7</f>
        <v/>
      </c>
      <c r="U7" s="45">
        <f>T7*R7</f>
        <v/>
      </c>
      <c r="V7" s="48">
        <f>H7*discount</f>
        <v/>
      </c>
      <c r="W7" s="49">
        <f>V7*U7</f>
        <v/>
      </c>
      <c r="X7" s="49">
        <f>(battery/range_nm)*G7*R7*VLOOKUP(B7,country_opex,3,FALSE)</f>
        <v/>
      </c>
      <c r="Y7" s="49">
        <f>VLOOKUP(B7,country_opex,2,FALSE)*crew_factor</f>
        <v/>
      </c>
      <c r="Z7" s="49">
        <f>VLOOKUP(B7,country_opex,5,FALSE)</f>
        <v/>
      </c>
      <c r="AA7" s="49">
        <f>maint</f>
        <v/>
      </c>
      <c r="AB7" s="49">
        <f>VLOOKUP(B7,country_opex,7,FALSE)*ins_pct</f>
        <v/>
      </c>
      <c r="AC7" s="49">
        <f>charge_berth</f>
        <v/>
      </c>
      <c r="AD7" s="49">
        <f>X7+Y7+Z7+AA7+AB7+AC7</f>
        <v/>
      </c>
      <c r="AE7" s="49">
        <f>VLOOKUP(B7,country_opex,7,FALSE)/dep_years</f>
        <v/>
      </c>
      <c r="AF7" s="49">
        <f>W7-AD7</f>
        <v/>
      </c>
      <c r="AG7" s="46">
        <f>IF(W7=0,"",AF7/W7)</f>
        <v/>
      </c>
      <c r="AH7" s="47">
        <f>IF(AF7&lt;=0,"",VLOOKUP(B7,country_opex,7,FALSE)/AF7)</f>
        <v/>
      </c>
      <c r="AI7" s="44">
        <f>((G7*R7/diesel_nmpg)*diesel_co2pg-(battery/range_nm)*G7*R7*VLOOKUP(B7,country_opex,4,FALSE))/1000</f>
        <v/>
      </c>
      <c r="AJ7" s="42" t="n"/>
      <c r="AK7" s="43" t="n"/>
      <c r="AL7" s="43" t="n"/>
      <c r="AM7" s="50" t="n">
        <v>0.1</v>
      </c>
      <c r="AN7" s="45">
        <f>IF(AJ7="","",AJ7*AM7)</f>
        <v/>
      </c>
      <c r="AO7" s="45">
        <f>IF(OR(AJ7="",U7=0),"",MIN(IF(AV7="",9.9E+99,AV7),FLOOR(AN7/U7,1)))</f>
        <v/>
      </c>
      <c r="AP7" s="49">
        <f>IF(AO7="","",AO7*W7)</f>
        <v/>
      </c>
      <c r="AQ7" s="47">
        <f>IF(OR(AJ7="",U7=0),"",MIN(IF(AV7="",9.9E+99,AV7),AN7/U7))</f>
        <v/>
      </c>
      <c r="AR7" s="49">
        <f>IF(AQ7="","",AQ7*W7)</f>
        <v/>
      </c>
      <c r="AS7" s="51" t="n"/>
      <c r="AT7" s="52" t="n"/>
      <c r="AU7" s="52" t="n"/>
      <c r="AV7" s="53" t="n"/>
      <c r="AW7" s="54">
        <f>IF(((V7*pax_cap*load_thin*ROUND(N7*O7*revleg_thin,0))-(((battery/range_nm)*G7*ROUND(N7*O7*revleg_thin,0)*VLOOKUP(B7,country_opex,3,FALSE))+Y7+Z7+AA7+AB7+AC7))&lt;=0,"",VLOOKUP(B7,country_opex,7,FALSE)/((V7*pax_cap*load_thin*ROUND(N7*O7*revleg_thin,0))-(((battery/range_nm)*G7*ROUND(N7*O7*revleg_thin,0)*VLOOKUP(B7,country_opex,3,FALSE))+Y7+Z7+AA7+AB7+AC7)))</f>
        <v/>
      </c>
      <c r="AX7" s="54">
        <f>IF(((V7*pax_cap*load_mid*ROUND(N7*O7*revleg_mid,0))-(((battery/range_nm)*G7*ROUND(N7*O7*revleg_mid,0)*VLOOKUP(B7,country_opex,3,FALSE))+Y7+Z7+AA7+AB7+AC7))&lt;=0,"",VLOOKUP(B7,country_opex,7,FALSE)/((V7*pax_cap*load_mid*ROUND(N7*O7*revleg_mid,0))-(((battery/range_nm)*G7*ROUND(N7*O7*revleg_mid,0)*VLOOKUP(B7,country_opex,3,FALSE))+Y7+Z7+AA7+AB7+AC7)))</f>
        <v/>
      </c>
      <c r="AY7" s="54">
        <f>IF(((V7*pax_cap*load_full*ROUND(N7*O7*revleg_full,0))-(((battery/range_nm)*G7*ROUND(N7*O7*revleg_full,0)*VLOOKUP(B7,country_opex,3,FALSE))+Y7+Z7+AA7+AB7+AC7))&lt;=0,"",VLOOKUP(B7,country_opex,7,FALSE)/((V7*pax_cap*load_full*ROUND(N7*O7*revleg_full,0))-(((battery/range_nm)*G7*ROUND(N7*O7*revleg_full,0)*VLOOKUP(B7,country_opex,3,FALSE))+Y7+Z7+AA7+AB7+AC7)))</f>
        <v/>
      </c>
      <c r="AZ7" s="40" t="inlineStr">
        <is>
          <t>PREMIUM tier proxy: private Boulevard boat-tour per-seat ~$30 (range $30-44) — same in-market premium marine comparable as Bilgah; no scheduled fast craft to Nardaran exists today.</t>
        </is>
      </c>
      <c r="BA7" s="40" t="n"/>
    </row>
    <row r="8">
      <c r="A8" s="38" t="inlineStr">
        <is>
          <t>Cambodia</t>
        </is>
      </c>
      <c r="B8" s="38" t="inlineStr">
        <is>
          <t>Cambodia</t>
        </is>
      </c>
      <c r="C8" s="39" t="inlineStr">
        <is>
          <t>Sihanoukville Port → Lila Resort / Ream private islands</t>
        </is>
      </c>
      <c r="D8" s="38" t="inlineStr">
        <is>
          <t>grab</t>
        </is>
      </c>
      <c r="E8" s="40" t="inlineStr">
        <is>
          <t>cambodia</t>
        </is>
      </c>
      <c r="F8" s="41" t="n">
        <v>1</v>
      </c>
      <c r="G8" s="42" t="n">
        <v>7.6</v>
      </c>
      <c r="H8" s="35" t="n">
        <v>30</v>
      </c>
      <c r="I8" s="43" t="inlineStr">
        <is>
          <t>T4</t>
        </is>
      </c>
      <c r="J8" s="43" t="inlineStr">
        <is>
          <t>med-low</t>
        </is>
      </c>
      <c r="K8" s="29" t="n">
        <v>1</v>
      </c>
      <c r="L8" s="44">
        <f>60*G8/cruise_kt</f>
        <v/>
      </c>
      <c r="M8" s="44">
        <f>L8+turn_min+dwell_min</f>
        <v/>
      </c>
      <c r="N8" s="45">
        <f>MIN(10,FLOOR(60*service_hr/M8,1))</f>
        <v/>
      </c>
      <c r="O8" s="45">
        <f>ROUND(365*mech_uptime*K8,0)</f>
        <v/>
      </c>
      <c r="P8" s="46">
        <f>mech_uptime</f>
        <v/>
      </c>
      <c r="Q8" s="46">
        <f>revleg_sel</f>
        <v/>
      </c>
      <c r="R8" s="45">
        <f>ROUND(N8*O8*revleg_sel,0)</f>
        <v/>
      </c>
      <c r="S8" s="47">
        <f>load_sel</f>
        <v/>
      </c>
      <c r="T8" s="47">
        <f>pax_cap*S8</f>
        <v/>
      </c>
      <c r="U8" s="45">
        <f>T8*R8</f>
        <v/>
      </c>
      <c r="V8" s="48">
        <f>H8*discount</f>
        <v/>
      </c>
      <c r="W8" s="49">
        <f>V8*U8</f>
        <v/>
      </c>
      <c r="X8" s="49">
        <f>(battery/range_nm)*G8*R8*VLOOKUP(B8,country_opex,3,FALSE)</f>
        <v/>
      </c>
      <c r="Y8" s="49">
        <f>VLOOKUP(B8,country_opex,2,FALSE)*crew_factor</f>
        <v/>
      </c>
      <c r="Z8" s="49">
        <f>VLOOKUP(B8,country_opex,5,FALSE)</f>
        <v/>
      </c>
      <c r="AA8" s="49">
        <f>maint</f>
        <v/>
      </c>
      <c r="AB8" s="49">
        <f>VLOOKUP(B8,country_opex,7,FALSE)*ins_pct</f>
        <v/>
      </c>
      <c r="AC8" s="49">
        <f>charge_berth</f>
        <v/>
      </c>
      <c r="AD8" s="49">
        <f>X8+Y8+Z8+AA8+AB8+AC8</f>
        <v/>
      </c>
      <c r="AE8" s="49">
        <f>VLOOKUP(B8,country_opex,7,FALSE)/dep_years</f>
        <v/>
      </c>
      <c r="AF8" s="49">
        <f>W8-AD8</f>
        <v/>
      </c>
      <c r="AG8" s="46">
        <f>IF(W8=0,"",AF8/W8)</f>
        <v/>
      </c>
      <c r="AH8" s="47">
        <f>IF(AF8&lt;=0,"",VLOOKUP(B8,country_opex,7,FALSE)/AF8)</f>
        <v/>
      </c>
      <c r="AI8" s="44">
        <f>((G8*R8/diesel_nmpg)*diesel_co2pg-(battery/range_nm)*G8*R8*VLOOKUP(B8,country_opex,4,FALSE))/1000</f>
        <v/>
      </c>
      <c r="AJ8" s="42" t="n"/>
      <c r="AK8" s="43" t="inlineStr">
        <is>
          <t>null</t>
        </is>
      </c>
      <c r="AL8" s="43" t="inlineStr">
        <is>
          <t>null</t>
        </is>
      </c>
      <c r="AM8" s="50" t="n">
        <v>0.1</v>
      </c>
      <c r="AN8" s="45">
        <f>IF(AJ8="","",AJ8*AM8)</f>
        <v/>
      </c>
      <c r="AO8" s="45">
        <f>IF(OR(AJ8="",U8=0),"",MIN(IF(AV8="",9.9E+99,AV8),FLOOR(AN8/U8,1)))</f>
        <v/>
      </c>
      <c r="AP8" s="49">
        <f>IF(AO8="","",AO8*W8)</f>
        <v/>
      </c>
      <c r="AQ8" s="47">
        <f>IF(OR(AJ8="",U8=0),"",MIN(IF(AV8="",9.9E+99,AV8),AN8/U8))</f>
        <v/>
      </c>
      <c r="AR8" s="49">
        <f>IF(AQ8="","",AQ8*W8)</f>
        <v/>
      </c>
      <c r="AS8" s="51" t="n"/>
      <c r="AT8" s="52" t="n"/>
      <c r="AU8" s="52" t="n"/>
      <c r="AV8" s="53" t="n"/>
      <c r="AW8" s="54">
        <f>IF(((V8*pax_cap*load_thin*ROUND(N8*O8*revleg_thin,0))-(((battery/range_nm)*G8*ROUND(N8*O8*revleg_thin,0)*VLOOKUP(B8,country_opex,3,FALSE))+Y8+Z8+AA8+AB8+AC8))&lt;=0,"",VLOOKUP(B8,country_opex,7,FALSE)/((V8*pax_cap*load_thin*ROUND(N8*O8*revleg_thin,0))-(((battery/range_nm)*G8*ROUND(N8*O8*revleg_thin,0)*VLOOKUP(B8,country_opex,3,FALSE))+Y8+Z8+AA8+AB8+AC8)))</f>
        <v/>
      </c>
      <c r="AX8" s="54">
        <f>IF(((V8*pax_cap*load_mid*ROUND(N8*O8*revleg_mid,0))-(((battery/range_nm)*G8*ROUND(N8*O8*revleg_mid,0)*VLOOKUP(B8,country_opex,3,FALSE))+Y8+Z8+AA8+AB8+AC8))&lt;=0,"",VLOOKUP(B8,country_opex,7,FALSE)/((V8*pax_cap*load_mid*ROUND(N8*O8*revleg_mid,0))-(((battery/range_nm)*G8*ROUND(N8*O8*revleg_mid,0)*VLOOKUP(B8,country_opex,3,FALSE))+Y8+Z8+AA8+AB8+AC8)))</f>
        <v/>
      </c>
      <c r="AY8" s="54">
        <f>IF(((V8*pax_cap*load_full*ROUND(N8*O8*revleg_full,0))-(((battery/range_nm)*G8*ROUND(N8*O8*revleg_full,0)*VLOOKUP(B8,country_opex,3,FALSE))+Y8+Z8+AA8+AB8+AC8))&lt;=0,"",VLOOKUP(B8,country_opex,7,FALSE)/((V8*pax_cap*load_full*ROUND(N8*O8*revleg_full,0))-(((battery/range_nm)*G8*ROUND(N8*O8*revleg_full,0)*VLOOKUP(B8,country_opex,3,FALSE))+Y8+Z8+AA8+AB8+AC8)))</f>
        <v/>
      </c>
      <c r="AZ8" s="40" t="inlineStr">
        <is>
          <t>Premium per-seat resort transfer to a private island near Ream. Comparable ladder on Sihanoukville island crossings: budget island boat $7.50-15/way; private-resort speedboat shared transfer $25-50/pax (Song Saa/Koh Russey class, legendtravelgroup $25-50); private whole-boat speedboat ~$145/seat-equiv (Song Saa private EUR1,334/boat up to 10pax, inventia). No published 'Lila Resort' tariff found; anchored at $30 = premium resort speedboat transfer seat, above budget boats, conservative vs $50 shared-resort high end and well below whole-boat charter.</t>
        </is>
      </c>
      <c r="BA8" s="40" t="inlineStr">
        <is>
          <t>Niche private-island/resort arrival corridor near Ream; no scheduled public ferry and no published annual pax pool for this specific crossing. R2: NULL beats a guess. Per-boat ROI can still stand; only fleet count unknown.</t>
        </is>
      </c>
    </row>
    <row r="9">
      <c r="A9" s="38" t="inlineStr">
        <is>
          <t>Cambodia</t>
        </is>
      </c>
      <c r="B9" s="38" t="inlineStr">
        <is>
          <t>Cambodia</t>
        </is>
      </c>
      <c r="C9" s="39" t="inlineStr">
        <is>
          <t>Sihanoukville → Koh Ta Kiev / Ream National Park</t>
        </is>
      </c>
      <c r="D9" s="38" t="inlineStr">
        <is>
          <t>grab</t>
        </is>
      </c>
      <c r="E9" s="40" t="inlineStr">
        <is>
          <t>cambodia</t>
        </is>
      </c>
      <c r="F9" s="41" t="n">
        <v>1</v>
      </c>
      <c r="G9" s="42" t="n">
        <v>8.949999999999999</v>
      </c>
      <c r="H9" s="35" t="n">
        <v>20</v>
      </c>
      <c r="I9" s="43" t="inlineStr">
        <is>
          <t>T3</t>
        </is>
      </c>
      <c r="J9" s="43" t="inlineStr">
        <is>
          <t>med-low</t>
        </is>
      </c>
      <c r="K9" s="29" t="n">
        <v>1</v>
      </c>
      <c r="L9" s="44">
        <f>60*G9/cruise_kt</f>
        <v/>
      </c>
      <c r="M9" s="44">
        <f>L9+turn_min+dwell_min</f>
        <v/>
      </c>
      <c r="N9" s="45">
        <f>MIN(10,FLOOR(60*service_hr/M9,1))</f>
        <v/>
      </c>
      <c r="O9" s="45">
        <f>ROUND(365*mech_uptime*K9,0)</f>
        <v/>
      </c>
      <c r="P9" s="46">
        <f>mech_uptime</f>
        <v/>
      </c>
      <c r="Q9" s="46">
        <f>revleg_sel</f>
        <v/>
      </c>
      <c r="R9" s="45">
        <f>ROUND(N9*O9*revleg_sel,0)</f>
        <v/>
      </c>
      <c r="S9" s="47">
        <f>load_sel</f>
        <v/>
      </c>
      <c r="T9" s="47">
        <f>pax_cap*S9</f>
        <v/>
      </c>
      <c r="U9" s="45">
        <f>T9*R9</f>
        <v/>
      </c>
      <c r="V9" s="48">
        <f>H9*discount</f>
        <v/>
      </c>
      <c r="W9" s="49">
        <f>V9*U9</f>
        <v/>
      </c>
      <c r="X9" s="49">
        <f>(battery/range_nm)*G9*R9*VLOOKUP(B9,country_opex,3,FALSE)</f>
        <v/>
      </c>
      <c r="Y9" s="49">
        <f>VLOOKUP(B9,country_opex,2,FALSE)*crew_factor</f>
        <v/>
      </c>
      <c r="Z9" s="49">
        <f>VLOOKUP(B9,country_opex,5,FALSE)</f>
        <v/>
      </c>
      <c r="AA9" s="49">
        <f>maint</f>
        <v/>
      </c>
      <c r="AB9" s="49">
        <f>VLOOKUP(B9,country_opex,7,FALSE)*ins_pct</f>
        <v/>
      </c>
      <c r="AC9" s="49">
        <f>charge_berth</f>
        <v/>
      </c>
      <c r="AD9" s="49">
        <f>X9+Y9+Z9+AA9+AB9+AC9</f>
        <v/>
      </c>
      <c r="AE9" s="49">
        <f>VLOOKUP(B9,country_opex,7,FALSE)/dep_years</f>
        <v/>
      </c>
      <c r="AF9" s="49">
        <f>W9-AD9</f>
        <v/>
      </c>
      <c r="AG9" s="46">
        <f>IF(W9=0,"",AF9/W9)</f>
        <v/>
      </c>
      <c r="AH9" s="47">
        <f>IF(AF9&lt;=0,"",VLOOKUP(B9,country_opex,7,FALSE)/AF9)</f>
        <v/>
      </c>
      <c r="AI9" s="44">
        <f>((G9*R9/diesel_nmpg)*diesel_co2pg-(battery/range_nm)*G9*R9*VLOOKUP(B9,country_opex,4,FALSE))/1000</f>
        <v/>
      </c>
      <c r="AJ9" s="42" t="n"/>
      <c r="AK9" s="43" t="inlineStr">
        <is>
          <t>null</t>
        </is>
      </c>
      <c r="AL9" s="43" t="inlineStr">
        <is>
          <t>null</t>
        </is>
      </c>
      <c r="AM9" s="50" t="n">
        <v>0.1</v>
      </c>
      <c r="AN9" s="45">
        <f>IF(AJ9="","",AJ9*AM9)</f>
        <v/>
      </c>
      <c r="AO9" s="45">
        <f>IF(OR(AJ9="",U9=0),"",MIN(IF(AV9="",9.9E+99,AV9),FLOOR(AN9/U9,1)))</f>
        <v/>
      </c>
      <c r="AP9" s="49">
        <f>IF(AO9="","",AO9*W9)</f>
        <v/>
      </c>
      <c r="AQ9" s="47">
        <f>IF(OR(AJ9="",U9=0),"",MIN(IF(AV9="",9.9E+99,AV9),AN9/U9))</f>
        <v/>
      </c>
      <c r="AR9" s="49">
        <f>IF(AQ9="","",AQ9*W9)</f>
        <v/>
      </c>
      <c r="AS9" s="51" t="n"/>
      <c r="AT9" s="52" t="n"/>
      <c r="AU9" s="52" t="n"/>
      <c r="AV9" s="53" t="n"/>
      <c r="AW9" s="54">
        <f>IF(((V9*pax_cap*load_thin*ROUND(N9*O9*revleg_thin,0))-(((battery/range_nm)*G9*ROUND(N9*O9*revleg_thin,0)*VLOOKUP(B9,country_opex,3,FALSE))+Y9+Z9+AA9+AB9+AC9))&lt;=0,"",VLOOKUP(B9,country_opex,7,FALSE)/((V9*pax_cap*load_thin*ROUND(N9*O9*revleg_thin,0))-(((battery/range_nm)*G9*ROUND(N9*O9*revleg_thin,0)*VLOOKUP(B9,country_opex,3,FALSE))+Y9+Z9+AA9+AB9+AC9)))</f>
        <v/>
      </c>
      <c r="AX9" s="54">
        <f>IF(((V9*pax_cap*load_mid*ROUND(N9*O9*revleg_mid,0))-(((battery/range_nm)*G9*ROUND(N9*O9*revleg_mid,0)*VLOOKUP(B9,country_opex,3,FALSE))+Y9+Z9+AA9+AB9+AC9))&lt;=0,"",VLOOKUP(B9,country_opex,7,FALSE)/((V9*pax_cap*load_mid*ROUND(N9*O9*revleg_mid,0))-(((battery/range_nm)*G9*ROUND(N9*O9*revleg_mid,0)*VLOOKUP(B9,country_opex,3,FALSE))+Y9+Z9+AA9+AB9+AC9)))</f>
        <v/>
      </c>
      <c r="AY9" s="54">
        <f>IF(((V9*pax_cap*load_full*ROUND(N9*O9*revleg_full,0))-(((battery/range_nm)*G9*ROUND(N9*O9*revleg_full,0)*VLOOKUP(B9,country_opex,3,FALSE))+Y9+Z9+AA9+AB9+AC9))&lt;=0,"",VLOOKUP(B9,country_opex,7,FALSE)/((V9*pax_cap*load_full*ROUND(N9*O9*revleg_full,0))-(((battery/range_nm)*G9*ROUND(N9*O9*revleg_full,0)*VLOOKUP(B9,country_opex,3,FALSE))+Y9+Z9+AA9+AB9+AC9)))</f>
        <v/>
      </c>
      <c r="AZ9" s="40" t="inlineStr">
        <is>
          <t>Budget/backpacker island. Resort/operator boats from Ream Beach: $7.50/way (Kactus Koh Ta Kiev, bucketlist2life), $10/way ($15 RT, FB/Travelfish), $8 return Ream NP boat. Island-hopping day trip $15-20 incl lunch+snorkel (movetocambodia). Resort airport-to-pier transfers up to $150 (whole-trip, excluded). Premium tier is structurally thin on this commoditised backpacker crossing (cf. Phi Phi); premium per-seat anchored at $20 = upper resort/premium speedboat transfer seat, ~2x the $10 standard boat, conservative vs island-hop $20 bundle.</t>
        </is>
      </c>
      <c r="BA9" s="40" t="inlineStr">
        <is>
          <t>Small backpacker/eco island (a few hundred beds across Koh Ta Kiev camps + Ream NP day-trippers). Boat-only, but NO published annual pax count for the crossing. R2: NULL beats a guess (R3-EXCEPTION would let arrivals=ridership IF a number existed, but none is published).</t>
        </is>
      </c>
    </row>
    <row r="10">
      <c r="A10" s="38" t="inlineStr">
        <is>
          <t>Cambodia</t>
        </is>
      </c>
      <c r="B10" s="38" t="inlineStr">
        <is>
          <t>Cambodia</t>
        </is>
      </c>
      <c r="C10" s="39" t="inlineStr">
        <is>
          <t>Sihanoukville → Koh Rong Sanloem (Saracen Bay)</t>
        </is>
      </c>
      <c r="D10" s="38" t="inlineStr">
        <is>
          <t>grab</t>
        </is>
      </c>
      <c r="E10" s="40" t="inlineStr">
        <is>
          <t>cambodia</t>
        </is>
      </c>
      <c r="F10" s="41" t="n">
        <v>1</v>
      </c>
      <c r="G10" s="42" t="n">
        <v>12.87</v>
      </c>
      <c r="H10" s="35" t="n">
        <v>30</v>
      </c>
      <c r="I10" s="43" t="inlineStr">
        <is>
          <t>T3</t>
        </is>
      </c>
      <c r="J10" s="43" t="inlineStr">
        <is>
          <t>med</t>
        </is>
      </c>
      <c r="K10" s="29" t="n">
        <v>1</v>
      </c>
      <c r="L10" s="44">
        <f>60*G10/cruise_kt</f>
        <v/>
      </c>
      <c r="M10" s="44">
        <f>L10+turn_min+dwell_min</f>
        <v/>
      </c>
      <c r="N10" s="45">
        <f>MIN(10,FLOOR(60*service_hr/M10,1))</f>
        <v/>
      </c>
      <c r="O10" s="45">
        <f>ROUND(365*mech_uptime*K10,0)</f>
        <v/>
      </c>
      <c r="P10" s="46">
        <f>mech_uptime</f>
        <v/>
      </c>
      <c r="Q10" s="46">
        <f>revleg_sel</f>
        <v/>
      </c>
      <c r="R10" s="45">
        <f>ROUND(N10*O10*revleg_sel,0)</f>
        <v/>
      </c>
      <c r="S10" s="47">
        <f>load_sel</f>
        <v/>
      </c>
      <c r="T10" s="47">
        <f>pax_cap*S10</f>
        <v/>
      </c>
      <c r="U10" s="45">
        <f>T10*R10</f>
        <v/>
      </c>
      <c r="V10" s="48">
        <f>H10*discount</f>
        <v/>
      </c>
      <c r="W10" s="49">
        <f>V10*U10</f>
        <v/>
      </c>
      <c r="X10" s="49">
        <f>(battery/range_nm)*G10*R10*VLOOKUP(B10,country_opex,3,FALSE)</f>
        <v/>
      </c>
      <c r="Y10" s="49">
        <f>VLOOKUP(B10,country_opex,2,FALSE)*crew_factor</f>
        <v/>
      </c>
      <c r="Z10" s="49">
        <f>VLOOKUP(B10,country_opex,5,FALSE)</f>
        <v/>
      </c>
      <c r="AA10" s="49">
        <f>maint</f>
        <v/>
      </c>
      <c r="AB10" s="49">
        <f>VLOOKUP(B10,country_opex,7,FALSE)*ins_pct</f>
        <v/>
      </c>
      <c r="AC10" s="49">
        <f>charge_berth</f>
        <v/>
      </c>
      <c r="AD10" s="49">
        <f>X10+Y10+Z10+AA10+AB10+AC10</f>
        <v/>
      </c>
      <c r="AE10" s="49">
        <f>VLOOKUP(B10,country_opex,7,FALSE)/dep_years</f>
        <v/>
      </c>
      <c r="AF10" s="49">
        <f>W10-AD10</f>
        <v/>
      </c>
      <c r="AG10" s="46">
        <f>IF(W10=0,"",AF10/W10)</f>
        <v/>
      </c>
      <c r="AH10" s="47">
        <f>IF(AF10&lt;=0,"",VLOOKUP(B10,country_opex,7,FALSE)/AF10)</f>
        <v/>
      </c>
      <c r="AI10" s="44">
        <f>((G10*R10/diesel_nmpg)*diesel_co2pg-(battery/range_nm)*G10*R10*VLOOKUP(B10,country_opex,4,FALSE))/1000</f>
        <v/>
      </c>
      <c r="AJ10" s="42" t="n">
        <v>100000</v>
      </c>
      <c r="AK10" s="43" t="inlineStr">
        <is>
          <t>T2</t>
        </is>
      </c>
      <c r="AL10" s="43" t="inlineStr">
        <is>
          <t>med</t>
        </is>
      </c>
      <c r="AM10" s="50" t="n">
        <v>0.1</v>
      </c>
      <c r="AN10" s="45">
        <f>IF(AJ10="","",AJ10*AM10)</f>
        <v/>
      </c>
      <c r="AO10" s="45">
        <f>IF(OR(AJ10="",U10=0),"",MIN(IF(AV10="",9.9E+99,AV10),FLOOR(AN10/U10,1)))</f>
        <v/>
      </c>
      <c r="AP10" s="49">
        <f>IF(AO10="","",AO10*W10)</f>
        <v/>
      </c>
      <c r="AQ10" s="47">
        <f>IF(OR(AJ10="",U10=0),"",MIN(IF(AV10="",9.9E+99,AV10),AN10/U10))</f>
        <v/>
      </c>
      <c r="AR10" s="49">
        <f>IF(AQ10="","",AQ10*W10)</f>
        <v/>
      </c>
      <c r="AS10" s="51" t="n"/>
      <c r="AT10" s="52" t="n"/>
      <c r="AU10" s="52" t="n"/>
      <c r="AV10" s="53" t="n"/>
      <c r="AW10" s="54">
        <f>IF(((V10*pax_cap*load_thin*ROUND(N10*O10*revleg_thin,0))-(((battery/range_nm)*G10*ROUND(N10*O10*revleg_thin,0)*VLOOKUP(B10,country_opex,3,FALSE))+Y10+Z10+AA10+AB10+AC10))&lt;=0,"",VLOOKUP(B10,country_opex,7,FALSE)/((V10*pax_cap*load_thin*ROUND(N10*O10*revleg_thin,0))-(((battery/range_nm)*G10*ROUND(N10*O10*revleg_thin,0)*VLOOKUP(B10,country_opex,3,FALSE))+Y10+Z10+AA10+AB10+AC10)))</f>
        <v/>
      </c>
      <c r="AX10" s="54">
        <f>IF(((V10*pax_cap*load_mid*ROUND(N10*O10*revleg_mid,0))-(((battery/range_nm)*G10*ROUND(N10*O10*revleg_mid,0)*VLOOKUP(B10,country_opex,3,FALSE))+Y10+Z10+AA10+AB10+AC10))&lt;=0,"",VLOOKUP(B10,country_opex,7,FALSE)/((V10*pax_cap*load_mid*ROUND(N10*O10*revleg_mid,0))-(((battery/range_nm)*G10*ROUND(N10*O10*revleg_mid,0)*VLOOKUP(B10,country_opex,3,FALSE))+Y10+Z10+AA10+AB10+AC10)))</f>
        <v/>
      </c>
      <c r="AY10" s="54">
        <f>IF(((V10*pax_cap*load_full*ROUND(N10*O10*revleg_full,0))-(((battery/range_nm)*G10*ROUND(N10*O10*revleg_full,0)*VLOOKUP(B10,country_opex,3,FALSE))+Y10+Z10+AA10+AB10+AC10))&lt;=0,"",VLOOKUP(B10,country_opex,7,FALSE)/((V10*pax_cap*load_full*ROUND(N10*O10*revleg_full,0))-(((battery/range_nm)*G10*ROUND(N10*O10*revleg_full,0)*VLOOKUP(B10,country_opex,3,FALSE))+Y10+Z10+AA10+AB10+AC10)))</f>
        <v/>
      </c>
      <c r="AZ10" s="40" t="inlineStr">
        <is>
          <t>Main tourist crossing. Standard high-speed ferry (GTVC, Buva Sea, Island Speed Ferry, Speed Ferry Cambodia) = $25 open-return = ~$12.5/way; single one-way listings $14 (openferry/ferryhopper EUR14). Budget supply boat $5. Hotel-arranged transfer ~$17/pax/way (livinthebigblue). Premium tier = private-resort speedboat / shared luxury transfer $25-50/pax (Song Saa shared $25-50); whole-boat private charter GTVC $750/boat (~$94/seat at 8pax, excluded as overclaim). The scheduled ferries are largely single-class (R5-EXT flavour: thin premium tier), so premium anchored at $30 = resort/premium speedboat transfer seat, ~2x the $14 budget ferry.</t>
        </is>
      </c>
      <c r="BA10" s="40" t="inlineStr">
        <is>
          <t>Koh Rong + Koh Rong Sanloem combined visitor arrivals: 93,700 (2023) -&gt; ~184,600 (2024, 68,257 foreign; Khmer Times/Cambodge Mag) -&gt; ~100,400 in Q1 2025 alone, ~266,000 reported for 2025 (kiripost). R3-EXCEPTION: these islands are BOAT-ONLY (no air/road), so destination arrivals genuinely map to crossing ridership. Koh Rong Sanloem is the quieter sister island; ~40-50% share of the archipelago pool -&gt; ~100k one-way/yr on this crossing. Archipelago total runs 185-266k.</t>
        </is>
      </c>
    </row>
    <row r="11">
      <c r="A11" s="38" t="inlineStr">
        <is>
          <t>Cambodia</t>
        </is>
      </c>
      <c r="B11" s="38" t="inlineStr">
        <is>
          <t>Cambodia</t>
        </is>
      </c>
      <c r="C11" s="39" t="inlineStr">
        <is>
          <t>Koh Rong → Song Saa / Koh Russey</t>
        </is>
      </c>
      <c r="D11" s="38" t="inlineStr">
        <is>
          <t>grab</t>
        </is>
      </c>
      <c r="E11" s="40" t="inlineStr">
        <is>
          <t>cambodia</t>
        </is>
      </c>
      <c r="F11" s="41" t="n">
        <v>1</v>
      </c>
      <c r="G11" s="42" t="n">
        <v>18.56</v>
      </c>
      <c r="H11" s="35" t="n">
        <v>65</v>
      </c>
      <c r="I11" s="43" t="inlineStr">
        <is>
          <t>T3</t>
        </is>
      </c>
      <c r="J11" s="43" t="inlineStr">
        <is>
          <t>med-low</t>
        </is>
      </c>
      <c r="K11" s="29" t="n">
        <v>1</v>
      </c>
      <c r="L11" s="44">
        <f>60*G11/cruise_kt</f>
        <v/>
      </c>
      <c r="M11" s="44">
        <f>L11+turn_min+dwell_min</f>
        <v/>
      </c>
      <c r="N11" s="45">
        <f>MIN(10,FLOOR(60*service_hr/M11,1))</f>
        <v/>
      </c>
      <c r="O11" s="45">
        <f>ROUND(365*mech_uptime*K11,0)</f>
        <v/>
      </c>
      <c r="P11" s="46">
        <f>mech_uptime</f>
        <v/>
      </c>
      <c r="Q11" s="46">
        <f>revleg_sel</f>
        <v/>
      </c>
      <c r="R11" s="45">
        <f>ROUND(N11*O11*revleg_sel,0)</f>
        <v/>
      </c>
      <c r="S11" s="47">
        <f>load_sel</f>
        <v/>
      </c>
      <c r="T11" s="47">
        <f>pax_cap*S11</f>
        <v/>
      </c>
      <c r="U11" s="45">
        <f>T11*R11</f>
        <v/>
      </c>
      <c r="V11" s="48">
        <f>H11*discount</f>
        <v/>
      </c>
      <c r="W11" s="49">
        <f>V11*U11</f>
        <v/>
      </c>
      <c r="X11" s="49">
        <f>(battery/range_nm)*G11*R11*VLOOKUP(B11,country_opex,3,FALSE)</f>
        <v/>
      </c>
      <c r="Y11" s="49">
        <f>VLOOKUP(B11,country_opex,2,FALSE)*crew_factor</f>
        <v/>
      </c>
      <c r="Z11" s="49">
        <f>VLOOKUP(B11,country_opex,5,FALSE)</f>
        <v/>
      </c>
      <c r="AA11" s="49">
        <f>maint</f>
        <v/>
      </c>
      <c r="AB11" s="49">
        <f>VLOOKUP(B11,country_opex,7,FALSE)*ins_pct</f>
        <v/>
      </c>
      <c r="AC11" s="49">
        <f>charge_berth</f>
        <v/>
      </c>
      <c r="AD11" s="49">
        <f>X11+Y11+Z11+AA11+AB11+AC11</f>
        <v/>
      </c>
      <c r="AE11" s="49">
        <f>VLOOKUP(B11,country_opex,7,FALSE)/dep_years</f>
        <v/>
      </c>
      <c r="AF11" s="49">
        <f>W11-AD11</f>
        <v/>
      </c>
      <c r="AG11" s="46">
        <f>IF(W11=0,"",AF11/W11)</f>
        <v/>
      </c>
      <c r="AH11" s="47">
        <f>IF(AF11&lt;=0,"",VLOOKUP(B11,country_opex,7,FALSE)/AF11)</f>
        <v/>
      </c>
      <c r="AI11" s="44">
        <f>((G11*R11/diesel_nmpg)*diesel_co2pg-(battery/range_nm)*G11*R11*VLOOKUP(B11,country_opex,4,FALSE))/1000</f>
        <v/>
      </c>
      <c r="AJ11" s="42" t="n"/>
      <c r="AK11" s="43" t="inlineStr">
        <is>
          <t>null</t>
        </is>
      </c>
      <c r="AL11" s="43" t="inlineStr">
        <is>
          <t>null</t>
        </is>
      </c>
      <c r="AM11" s="50" t="n">
        <v>0.1</v>
      </c>
      <c r="AN11" s="45">
        <f>IF(AJ11="","",AJ11*AM11)</f>
        <v/>
      </c>
      <c r="AO11" s="45">
        <f>IF(OR(AJ11="",U11=0),"",MIN(IF(AV11="",9.9E+99,AV11),FLOOR(AN11/U11,1)))</f>
        <v/>
      </c>
      <c r="AP11" s="49">
        <f>IF(AO11="","",AO11*W11)</f>
        <v/>
      </c>
      <c r="AQ11" s="47">
        <f>IF(OR(AJ11="",U11=0),"",MIN(IF(AV11="",9.9E+99,AV11),AN11/U11))</f>
        <v/>
      </c>
      <c r="AR11" s="49">
        <f>IF(AQ11="","",AQ11*W11)</f>
        <v/>
      </c>
      <c r="AS11" s="51" t="n"/>
      <c r="AT11" s="52" t="n"/>
      <c r="AU11" s="52" t="n"/>
      <c r="AV11" s="53" t="n"/>
      <c r="AW11" s="54">
        <f>IF(((V11*pax_cap*load_thin*ROUND(N11*O11*revleg_thin,0))-(((battery/range_nm)*G11*ROUND(N11*O11*revleg_thin,0)*VLOOKUP(B11,country_opex,3,FALSE))+Y11+Z11+AA11+AB11+AC11))&lt;=0,"",VLOOKUP(B11,country_opex,7,FALSE)/((V11*pax_cap*load_thin*ROUND(N11*O11*revleg_thin,0))-(((battery/range_nm)*G11*ROUND(N11*O11*revleg_thin,0)*VLOOKUP(B11,country_opex,3,FALSE))+Y11+Z11+AA11+AB11+AC11)))</f>
        <v/>
      </c>
      <c r="AX11" s="54">
        <f>IF(((V11*pax_cap*load_mid*ROUND(N11*O11*revleg_mid,0))-(((battery/range_nm)*G11*ROUND(N11*O11*revleg_mid,0)*VLOOKUP(B11,country_opex,3,FALSE))+Y11+Z11+AA11+AB11+AC11))&lt;=0,"",VLOOKUP(B11,country_opex,7,FALSE)/((V11*pax_cap*load_mid*ROUND(N11*O11*revleg_mid,0))-(((battery/range_nm)*G11*ROUND(N11*O11*revleg_mid,0)*VLOOKUP(B11,country_opex,3,FALSE))+Y11+Z11+AA11+AB11+AC11)))</f>
        <v/>
      </c>
      <c r="AY11" s="54">
        <f>IF(((V11*pax_cap*load_full*ROUND(N11*O11*revleg_full,0))-(((battery/range_nm)*G11*ROUND(N11*O11*revleg_full,0)*VLOOKUP(B11,country_opex,3,FALSE))+Y11+Z11+AA11+AB11+AC11))&lt;=0,"",VLOOKUP(B11,country_opex,7,FALSE)/((V11*pax_cap*load_full*ROUND(N11*O11*revleg_full,0))-(((battery/range_nm)*G11*ROUND(N11*O11*revleg_full,0)*VLOOKUP(B11,country_opex,3,FALSE))+Y11+Z11+AA11+AB11+AC11)))</f>
        <v/>
      </c>
      <c r="AZ11" s="40" t="inlineStr">
        <is>
          <t>Ultra-luxury private-island resort leg (Song Saa Private Island ~27 villas; Alila Villas / Koh Russey Resort). Song Saa shared speedboat transfer $25-50/pax (legendtravelgroup); Song Saa PRIVATE speedboat EUR1,334/boat up to 10pax (inventia) = ~$145/seat-equiv. Koh Russey Resort runs its own boat transfers (15 min from Ream). Premium per-seat anchored at $65 = premium private-resort speedboat seat, above the $50 shared-resort high end, conservative vs the ~$145 whole-boat private charter (excluded as overclaim). Highest-end leg in the Cambodia set, matching the luxury resort-arrival archetype.</t>
        </is>
      </c>
      <c r="BA11" s="40" t="inlineStr">
        <is>
          <t>Tiny luxury-resort arrival pool (Song Saa ~27 villas; Koh Russey ~60 villas). No published annual transfer/pax count, and inter-island luxury legs are bespoke. R2: NULL beats a guess. Strong per-boat fare economics, unknown fleet count.</t>
        </is>
      </c>
    </row>
    <row r="12">
      <c r="A12" s="38" t="inlineStr">
        <is>
          <t>Cambodia</t>
        </is>
      </c>
      <c r="B12" s="38" t="inlineStr">
        <is>
          <t>Cambodia</t>
        </is>
      </c>
      <c r="C12" s="39" t="inlineStr">
        <is>
          <t>Sihanoukville → Koh Kong / Cardamom coast</t>
        </is>
      </c>
      <c r="D12" s="38" t="inlineStr">
        <is>
          <t>grab</t>
        </is>
      </c>
      <c r="E12" s="40" t="inlineStr">
        <is>
          <t>cambodia</t>
        </is>
      </c>
      <c r="F12" s="41" t="n">
        <v>1</v>
      </c>
      <c r="G12" s="42" t="n">
        <v>68.22</v>
      </c>
      <c r="H12" s="35" t="n">
        <v>50</v>
      </c>
      <c r="I12" s="43" t="inlineStr">
        <is>
          <t>T5</t>
        </is>
      </c>
      <c r="J12" s="43" t="inlineStr">
        <is>
          <t>low</t>
        </is>
      </c>
      <c r="K12" s="29" t="n">
        <v>1</v>
      </c>
      <c r="L12" s="44">
        <f>60*G12/cruise_kt</f>
        <v/>
      </c>
      <c r="M12" s="44">
        <f>L12+turn_min+dwell_min</f>
        <v/>
      </c>
      <c r="N12" s="45">
        <f>MIN(10,FLOOR(60*service_hr/M12,1))</f>
        <v/>
      </c>
      <c r="O12" s="45">
        <f>ROUND(365*mech_uptime*K12,0)</f>
        <v/>
      </c>
      <c r="P12" s="46">
        <f>mech_uptime</f>
        <v/>
      </c>
      <c r="Q12" s="46">
        <f>revleg_sel</f>
        <v/>
      </c>
      <c r="R12" s="45">
        <f>ROUND(N12*O12*revleg_sel,0)</f>
        <v/>
      </c>
      <c r="S12" s="47">
        <f>load_sel</f>
        <v/>
      </c>
      <c r="T12" s="47">
        <f>pax_cap*S12</f>
        <v/>
      </c>
      <c r="U12" s="45">
        <f>T12*R12</f>
        <v/>
      </c>
      <c r="V12" s="48">
        <f>H12*discount</f>
        <v/>
      </c>
      <c r="W12" s="49">
        <f>V12*U12</f>
        <v/>
      </c>
      <c r="X12" s="49">
        <f>(battery/range_nm)*G12*R12*VLOOKUP(B12,country_opex,3,FALSE)</f>
        <v/>
      </c>
      <c r="Y12" s="49">
        <f>VLOOKUP(B12,country_opex,2,FALSE)*crew_factor</f>
        <v/>
      </c>
      <c r="Z12" s="49">
        <f>VLOOKUP(B12,country_opex,5,FALSE)</f>
        <v/>
      </c>
      <c r="AA12" s="49">
        <f>maint</f>
        <v/>
      </c>
      <c r="AB12" s="49">
        <f>VLOOKUP(B12,country_opex,7,FALSE)*ins_pct</f>
        <v/>
      </c>
      <c r="AC12" s="49">
        <f>charge_berth</f>
        <v/>
      </c>
      <c r="AD12" s="49">
        <f>X12+Y12+Z12+AA12+AB12+AC12</f>
        <v/>
      </c>
      <c r="AE12" s="49">
        <f>VLOOKUP(B12,country_opex,7,FALSE)/dep_years</f>
        <v/>
      </c>
      <c r="AF12" s="49">
        <f>W12-AD12</f>
        <v/>
      </c>
      <c r="AG12" s="46">
        <f>IF(W12=0,"",AF12/W12)</f>
        <v/>
      </c>
      <c r="AH12" s="47">
        <f>IF(AF12&lt;=0,"",VLOOKUP(B12,country_opex,7,FALSE)/AF12)</f>
        <v/>
      </c>
      <c r="AI12" s="44">
        <f>((G12*R12/diesel_nmpg)*diesel_co2pg-(battery/range_nm)*G12*R12*VLOOKUP(B12,country_opex,4,FALSE))/1000</f>
        <v/>
      </c>
      <c r="AJ12" s="42" t="n"/>
      <c r="AK12" s="43" t="inlineStr">
        <is>
          <t>null</t>
        </is>
      </c>
      <c r="AL12" s="43" t="inlineStr">
        <is>
          <t>null</t>
        </is>
      </c>
      <c r="AM12" s="50" t="n">
        <v>0.1</v>
      </c>
      <c r="AN12" s="45">
        <f>IF(AJ12="","",AJ12*AM12)</f>
        <v/>
      </c>
      <c r="AO12" s="45">
        <f>IF(OR(AJ12="",U12=0),"",MIN(IF(AV12="",9.9E+99,AV12),FLOOR(AN12/U12,1)))</f>
        <v/>
      </c>
      <c r="AP12" s="49">
        <f>IF(AO12="","",AO12*W12)</f>
        <v/>
      </c>
      <c r="AQ12" s="47">
        <f>IF(OR(AJ12="",U12=0),"",MIN(IF(AV12="",9.9E+99,AV12),AN12/U12))</f>
        <v/>
      </c>
      <c r="AR12" s="49">
        <f>IF(AQ12="","",AQ12*W12)</f>
        <v/>
      </c>
      <c r="AS12" s="51" t="n"/>
      <c r="AT12" s="52" t="n"/>
      <c r="AU12" s="52" t="n"/>
      <c r="AV12" s="53" t="n"/>
      <c r="AW12" s="54">
        <f>IF(((V12*pax_cap*load_thin*ROUND(N12*O12*revleg_thin,0))-(((battery/range_nm)*G12*ROUND(N12*O12*revleg_thin,0)*VLOOKUP(B12,country_opex,3,FALSE))+Y12+Z12+AA12+AB12+AC12))&lt;=0,"",VLOOKUP(B12,country_opex,7,FALSE)/((V12*pax_cap*load_thin*ROUND(N12*O12*revleg_thin,0))-(((battery/range_nm)*G12*ROUND(N12*O12*revleg_thin,0)*VLOOKUP(B12,country_opex,3,FALSE))+Y12+Z12+AA12+AB12+AC12)))</f>
        <v/>
      </c>
      <c r="AX12" s="54">
        <f>IF(((V12*pax_cap*load_mid*ROUND(N12*O12*revleg_mid,0))-(((battery/range_nm)*G12*ROUND(N12*O12*revleg_mid,0)*VLOOKUP(B12,country_opex,3,FALSE))+Y12+Z12+AA12+AB12+AC12))&lt;=0,"",VLOOKUP(B12,country_opex,7,FALSE)/((V12*pax_cap*load_mid*ROUND(N12*O12*revleg_mid,0))-(((battery/range_nm)*G12*ROUND(N12*O12*revleg_mid,0)*VLOOKUP(B12,country_opex,3,FALSE))+Y12+Z12+AA12+AB12+AC12)))</f>
        <v/>
      </c>
      <c r="AY12" s="54">
        <f>IF(((V12*pax_cap*load_full*ROUND(N12*O12*revleg_full,0))-(((battery/range_nm)*G12*ROUND(N12*O12*revleg_full,0)*VLOOKUP(B12,country_opex,3,FALSE))+Y12+Z12+AA12+AB12+AC12))&lt;=0,"",VLOOKUP(B12,country_opex,7,FALSE)/((V12*pax_cap*load_full*ROUND(N12*O12*revleg_full,0))-(((battery/range_nm)*G12*ROUND(N12*O12*revleg_full,0)*VLOOKUP(B12,country_opex,3,FALSE))+Y12+Z12+AA12+AB12+AC12)))</f>
        <v/>
      </c>
      <c r="AZ12" s="40" t="inlineStr">
        <is>
          <t>R5 FINDING: no scheduled passenger boat Sihanoukville&lt;-&gt;Koh Kong exists; the old sea service was discontinued and travellers now go by ROAD (NR4/NR48, ~3-4h) only (Cambodia travel groups confirm 'not available, only by road'; Travelfish lists Sihanoukville-Koh Rong but not Koh Kong as a boat route). No premium fast-ferry tier to observe on this 75nm leg. MODELED premium per-seat ~$50, benchmarked off regional premium fast-ferry seats over comparable distance (cf. Vietnam Saigon-&gt;Vung Tau $14 over 60nm is a public fast ferry; a premium leisure/intercity seat over 75nm anchored higher at ~$50). SOURCE NEEDED / cascade candidate.</t>
        </is>
      </c>
      <c r="BA12" s="40" t="inlineStr">
        <is>
          <t>No scheduled boat crossing exists (road only). No on-corridor pax pool to count. R2 (null beats guess) + R5 (no direct premium route is itself a finding -&gt; greenfield/structurally thin intercity leg).</t>
        </is>
      </c>
    </row>
    <row r="13">
      <c r="A13" s="38" t="inlineStr">
        <is>
          <t>Bolt Croatia</t>
        </is>
      </c>
      <c r="B13" s="38" t="inlineStr">
        <is>
          <t>Croatia</t>
        </is>
      </c>
      <c r="C13" s="39" t="inlineStr">
        <is>
          <t>Split → Trogir (via Čiovo)</t>
        </is>
      </c>
      <c r="D13" s="38" t="inlineStr">
        <is>
          <t>bolt</t>
        </is>
      </c>
      <c r="E13" s="40" t="inlineStr">
        <is>
          <t>bolt-croatia</t>
        </is>
      </c>
      <c r="F13" s="41" t="n">
        <v>1</v>
      </c>
      <c r="G13" s="42" t="n">
        <v>8</v>
      </c>
      <c r="H13" s="35" t="n">
        <v>10.8</v>
      </c>
      <c r="I13" s="43" t="inlineStr">
        <is>
          <t>T2</t>
        </is>
      </c>
      <c r="J13" s="43" t="inlineStr">
        <is>
          <t>med</t>
        </is>
      </c>
      <c r="K13" s="29" t="n">
        <v>1</v>
      </c>
      <c r="L13" s="44">
        <f>60*G13/cruise_kt</f>
        <v/>
      </c>
      <c r="M13" s="44">
        <f>L13+turn_min+dwell_min</f>
        <v/>
      </c>
      <c r="N13" s="45">
        <f>MIN(16,FLOOR(60*service_hr/M13,1))</f>
        <v/>
      </c>
      <c r="O13" s="45">
        <f>ROUND(365*mech_uptime*K13,0)</f>
        <v/>
      </c>
      <c r="P13" s="46">
        <f>mech_uptime</f>
        <v/>
      </c>
      <c r="Q13" s="46">
        <f>revleg_sel</f>
        <v/>
      </c>
      <c r="R13" s="45">
        <f>ROUND(N13*O13*revleg_sel,0)</f>
        <v/>
      </c>
      <c r="S13" s="47">
        <f>load_sel</f>
        <v/>
      </c>
      <c r="T13" s="47">
        <f>pax_cap*S13</f>
        <v/>
      </c>
      <c r="U13" s="45">
        <f>T13*R13</f>
        <v/>
      </c>
      <c r="V13" s="48">
        <f>H13*discount</f>
        <v/>
      </c>
      <c r="W13" s="49">
        <f>V13*U13</f>
        <v/>
      </c>
      <c r="X13" s="49">
        <f>(battery/range_nm)*G13*R13*VLOOKUP(B13,country_opex,3,FALSE)</f>
        <v/>
      </c>
      <c r="Y13" s="49">
        <f>VLOOKUP(B13,country_opex,2,FALSE)*crew_factor</f>
        <v/>
      </c>
      <c r="Z13" s="49">
        <f>VLOOKUP(B13,country_opex,5,FALSE)</f>
        <v/>
      </c>
      <c r="AA13" s="49">
        <f>maint</f>
        <v/>
      </c>
      <c r="AB13" s="49">
        <f>VLOOKUP(B13,country_opex,7,FALSE)*ins_pct</f>
        <v/>
      </c>
      <c r="AC13" s="49">
        <f>charge_berth</f>
        <v/>
      </c>
      <c r="AD13" s="49">
        <f>X13+Y13+Z13+AA13+AB13+AC13</f>
        <v/>
      </c>
      <c r="AE13" s="49">
        <f>VLOOKUP(B13,country_opex,7,FALSE)/dep_years</f>
        <v/>
      </c>
      <c r="AF13" s="49">
        <f>W13-AD13</f>
        <v/>
      </c>
      <c r="AG13" s="46">
        <f>IF(W13=0,"",AF13/W13)</f>
        <v/>
      </c>
      <c r="AH13" s="47">
        <f>IF(AF13&lt;=0,"",VLOOKUP(B13,country_opex,7,FALSE)/AF13)</f>
        <v/>
      </c>
      <c r="AI13" s="44">
        <f>((G13*R13/diesel_nmpg)*diesel_co2pg-(battery/range_nm)*G13*R13*VLOOKUP(B13,country_opex,4,FALSE))/1000</f>
        <v/>
      </c>
      <c r="AJ13" s="42" t="n"/>
      <c r="AK13" s="43" t="n"/>
      <c r="AL13" s="43" t="n"/>
      <c r="AM13" s="50" t="n">
        <v>0.1</v>
      </c>
      <c r="AN13" s="45">
        <f>IF(AJ13="","",AJ13*AM13)</f>
        <v/>
      </c>
      <c r="AO13" s="45">
        <f>IF(OR(AJ13="",U13=0),"",MIN(IF(AV13="",9.9E+99,AV13),FLOOR(AN13/U13,1)))</f>
        <v/>
      </c>
      <c r="AP13" s="49">
        <f>IF(AO13="","",AO13*W13)</f>
        <v/>
      </c>
      <c r="AQ13" s="47">
        <f>IF(OR(AJ13="",U13=0),"",MIN(IF(AV13="",9.9E+99,AV13),AN13/U13))</f>
        <v/>
      </c>
      <c r="AR13" s="49">
        <f>IF(AQ13="","",AQ13*W13)</f>
        <v/>
      </c>
      <c r="AS13" s="51" t="n"/>
      <c r="AT13" s="52" t="n"/>
      <c r="AU13" s="52" t="n"/>
      <c r="AV13" s="53" t="n"/>
      <c r="AW13" s="54">
        <f>IF(((V13*pax_cap*load_thin*ROUND(N13*O13*revleg_thin,0))-(((battery/range_nm)*G13*ROUND(N13*O13*revleg_thin,0)*VLOOKUP(B13,country_opex,3,FALSE))+Y13+Z13+AA13+AB13+AC13))&lt;=0,"",VLOOKUP(B13,country_opex,7,FALSE)/((V13*pax_cap*load_thin*ROUND(N13*O13*revleg_thin,0))-(((battery/range_nm)*G13*ROUND(N13*O13*revleg_thin,0)*VLOOKUP(B13,country_opex,3,FALSE))+Y13+Z13+AA13+AB13+AC13)))</f>
        <v/>
      </c>
      <c r="AX13" s="54">
        <f>IF(((V13*pax_cap*load_mid*ROUND(N13*O13*revleg_mid,0))-(((battery/range_nm)*G13*ROUND(N13*O13*revleg_mid,0)*VLOOKUP(B13,country_opex,3,FALSE))+Y13+Z13+AA13+AB13+AC13))&lt;=0,"",VLOOKUP(B13,country_opex,7,FALSE)/((V13*pax_cap*load_mid*ROUND(N13*O13*revleg_mid,0))-(((battery/range_nm)*G13*ROUND(N13*O13*revleg_mid,0)*VLOOKUP(B13,country_opex,3,FALSE))+Y13+Z13+AA13+AB13+AC13)))</f>
        <v/>
      </c>
      <c r="AY13" s="54">
        <f>IF(((V13*pax_cap*load_full*ROUND(N13*O13*revleg_full,0))-(((battery/range_nm)*G13*ROUND(N13*O13*revleg_full,0)*VLOOKUP(B13,country_opex,3,FALSE))+Y13+Z13+AA13+AB13+AC13))&lt;=0,"",VLOOKUP(B13,country_opex,7,FALSE)/((V13*pax_cap*load_full*ROUND(N13*O13*revleg_full,0))-(((battery/range_nm)*G13*ROUND(N13*O13*revleg_full,0)*VLOOKUP(B13,country_opex,3,FALSE))+Y13+Z13+AA13+AB13+AC13)))</f>
        <v/>
      </c>
      <c r="AZ13" s="40" t="inlineStr">
        <is>
          <t>PREMIUM/scheduled per-seat: Bura Line Split-&gt;Trogir EUR 10 adult (60 min). EUR 10 x 1.08 = $10.8.</t>
        </is>
      </c>
      <c r="BA13" s="40" t="n"/>
    </row>
    <row r="14">
      <c r="A14" s="38" t="inlineStr">
        <is>
          <t>Bolt Croatia</t>
        </is>
      </c>
      <c r="B14" s="38" t="inlineStr">
        <is>
          <t>Croatia</t>
        </is>
      </c>
      <c r="C14" s="39" t="inlineStr">
        <is>
          <t>Dubrovnik → Elaphiti Islands (Lopud / Šipan / Koločep)</t>
        </is>
      </c>
      <c r="D14" s="38" t="inlineStr">
        <is>
          <t>bolt</t>
        </is>
      </c>
      <c r="E14" s="40" t="inlineStr">
        <is>
          <t>bolt-croatia</t>
        </is>
      </c>
      <c r="F14" s="41" t="n">
        <v>1</v>
      </c>
      <c r="G14" s="42" t="n">
        <v>8</v>
      </c>
      <c r="H14" s="35" t="n">
        <v>45.4</v>
      </c>
      <c r="I14" s="43" t="inlineStr">
        <is>
          <t>T2</t>
        </is>
      </c>
      <c r="J14" s="43" t="inlineStr">
        <is>
          <t>med</t>
        </is>
      </c>
      <c r="K14" s="29" t="n">
        <v>1</v>
      </c>
      <c r="L14" s="44">
        <f>60*G14/cruise_kt</f>
        <v/>
      </c>
      <c r="M14" s="44">
        <f>L14+turn_min+dwell_min</f>
        <v/>
      </c>
      <c r="N14" s="45">
        <f>MIN(10,FLOOR(60*service_hr/M14,1))</f>
        <v/>
      </c>
      <c r="O14" s="45">
        <f>ROUND(365*mech_uptime*K14,0)</f>
        <v/>
      </c>
      <c r="P14" s="46">
        <f>mech_uptime</f>
        <v/>
      </c>
      <c r="Q14" s="46">
        <f>revleg_sel</f>
        <v/>
      </c>
      <c r="R14" s="45">
        <f>ROUND(N14*O14*revleg_sel,0)</f>
        <v/>
      </c>
      <c r="S14" s="47">
        <f>load_sel</f>
        <v/>
      </c>
      <c r="T14" s="47">
        <f>pax_cap*S14</f>
        <v/>
      </c>
      <c r="U14" s="45">
        <f>T14*R14</f>
        <v/>
      </c>
      <c r="V14" s="48">
        <f>H14*discount</f>
        <v/>
      </c>
      <c r="W14" s="49">
        <f>V14*U14</f>
        <v/>
      </c>
      <c r="X14" s="49">
        <f>(battery/range_nm)*G14*R14*VLOOKUP(B14,country_opex,3,FALSE)</f>
        <v/>
      </c>
      <c r="Y14" s="49">
        <f>VLOOKUP(B14,country_opex,2,FALSE)*crew_factor</f>
        <v/>
      </c>
      <c r="Z14" s="49">
        <f>VLOOKUP(B14,country_opex,5,FALSE)</f>
        <v/>
      </c>
      <c r="AA14" s="49">
        <f>maint</f>
        <v/>
      </c>
      <c r="AB14" s="49">
        <f>VLOOKUP(B14,country_opex,7,FALSE)*ins_pct</f>
        <v/>
      </c>
      <c r="AC14" s="49">
        <f>charge_berth</f>
        <v/>
      </c>
      <c r="AD14" s="49">
        <f>X14+Y14+Z14+AA14+AB14+AC14</f>
        <v/>
      </c>
      <c r="AE14" s="49">
        <f>VLOOKUP(B14,country_opex,7,FALSE)/dep_years</f>
        <v/>
      </c>
      <c r="AF14" s="49">
        <f>W14-AD14</f>
        <v/>
      </c>
      <c r="AG14" s="46">
        <f>IF(W14=0,"",AF14/W14)</f>
        <v/>
      </c>
      <c r="AH14" s="47">
        <f>IF(AF14&lt;=0,"",VLOOKUP(B14,country_opex,7,FALSE)/AF14)</f>
        <v/>
      </c>
      <c r="AI14" s="44">
        <f>((G14*R14/diesel_nmpg)*diesel_co2pg-(battery/range_nm)*G14*R14*VLOOKUP(B14,country_opex,4,FALSE))/1000</f>
        <v/>
      </c>
      <c r="AJ14" s="42" t="n"/>
      <c r="AK14" s="43" t="n"/>
      <c r="AL14" s="43" t="n"/>
      <c r="AM14" s="50" t="n">
        <v>0.1</v>
      </c>
      <c r="AN14" s="45">
        <f>IF(AJ14="","",AJ14*AM14)</f>
        <v/>
      </c>
      <c r="AO14" s="45">
        <f>IF(OR(AJ14="",U14=0),"",MIN(IF(AV14="",9.9E+99,AV14),FLOOR(AN14/U14,1)))</f>
        <v/>
      </c>
      <c r="AP14" s="49">
        <f>IF(AO14="","",AO14*W14)</f>
        <v/>
      </c>
      <c r="AQ14" s="47">
        <f>IF(OR(AJ14="",U14=0),"",MIN(IF(AV14="",9.9E+99,AV14),AN14/U14))</f>
        <v/>
      </c>
      <c r="AR14" s="49">
        <f>IF(AQ14="","",AQ14*W14)</f>
        <v/>
      </c>
      <c r="AS14" s="51" t="n"/>
      <c r="AT14" s="52" t="n"/>
      <c r="AU14" s="52" t="n"/>
      <c r="AV14" s="53" t="n"/>
      <c r="AW14" s="54">
        <f>IF(((V14*pax_cap*load_thin*ROUND(N14*O14*revleg_thin,0))-(((battery/range_nm)*G14*ROUND(N14*O14*revleg_thin,0)*VLOOKUP(B14,country_opex,3,FALSE))+Y14+Z14+AA14+AB14+AC14))&lt;=0,"",VLOOKUP(B14,country_opex,7,FALSE)/((V14*pax_cap*load_thin*ROUND(N14*O14*revleg_thin,0))-(((battery/range_nm)*G14*ROUND(N14*O14*revleg_thin,0)*VLOOKUP(B14,country_opex,3,FALSE))+Y14+Z14+AA14+AB14+AC14)))</f>
        <v/>
      </c>
      <c r="AX14" s="54">
        <f>IF(((V14*pax_cap*load_mid*ROUND(N14*O14*revleg_mid,0))-(((battery/range_nm)*G14*ROUND(N14*O14*revleg_mid,0)*VLOOKUP(B14,country_opex,3,FALSE))+Y14+Z14+AA14+AB14+AC14))&lt;=0,"",VLOOKUP(B14,country_opex,7,FALSE)/((V14*pax_cap*load_mid*ROUND(N14*O14*revleg_mid,0))-(((battery/range_nm)*G14*ROUND(N14*O14*revleg_mid,0)*VLOOKUP(B14,country_opex,3,FALSE))+Y14+Z14+AA14+AB14+AC14)))</f>
        <v/>
      </c>
      <c r="AY14" s="54">
        <f>IF(((V14*pax_cap*load_full*ROUND(N14*O14*revleg_full,0))-(((battery/range_nm)*G14*ROUND(N14*O14*revleg_full,0)*VLOOKUP(B14,country_opex,3,FALSE))+Y14+Z14+AA14+AB14+AC14))&lt;=0,"",VLOOKUP(B14,country_opex,7,FALSE)/((V14*pax_cap*load_full*ROUND(N14*O14*revleg_full,0))-(((battery/range_nm)*G14*ROUND(N14*O14*revleg_full,0)*VLOOKUP(B14,country_opex,3,FALSE))+Y14+Z14+AA14+AB14+AC14)))</f>
        <v/>
      </c>
      <c r="AZ14" s="40" t="inlineStr">
        <is>
          <t>PREMIUM tier: half-day Elaphiti speedboat/day-trip per-seat EUR 35-50 (machupicchu.org/getyourguide listings); midpoint ~EUR 42 x 1.08 = $45.4. (This is the tourist premium tier; the Jadrolinija local line is the commuter floor below.)</t>
        </is>
      </c>
      <c r="BA14" s="40" t="n"/>
    </row>
    <row r="15">
      <c r="A15" s="38" t="inlineStr">
        <is>
          <t>Bolt Croatia</t>
        </is>
      </c>
      <c r="B15" s="38" t="inlineStr">
        <is>
          <t>Croatia</t>
        </is>
      </c>
      <c r="C15" s="39" t="inlineStr">
        <is>
          <t>Split → Šolta (Rogač)</t>
        </is>
      </c>
      <c r="D15" s="38" t="inlineStr">
        <is>
          <t>bolt</t>
        </is>
      </c>
      <c r="E15" s="40" t="inlineStr">
        <is>
          <t>bolt-croatia</t>
        </is>
      </c>
      <c r="F15" s="41" t="n">
        <v>1</v>
      </c>
      <c r="G15" s="42" t="n">
        <v>9</v>
      </c>
      <c r="H15" s="35" t="n">
        <v>7.6</v>
      </c>
      <c r="I15" s="43" t="inlineStr">
        <is>
          <t>T2</t>
        </is>
      </c>
      <c r="J15" s="43" t="inlineStr">
        <is>
          <t>med</t>
        </is>
      </c>
      <c r="K15" s="29" t="n">
        <v>1</v>
      </c>
      <c r="L15" s="44">
        <f>60*G15/cruise_kt</f>
        <v/>
      </c>
      <c r="M15" s="44">
        <f>L15+turn_min+dwell_min</f>
        <v/>
      </c>
      <c r="N15" s="45">
        <f>MIN(10,FLOOR(60*service_hr/M15,1))</f>
        <v/>
      </c>
      <c r="O15" s="45">
        <f>ROUND(365*mech_uptime*K15,0)</f>
        <v/>
      </c>
      <c r="P15" s="46">
        <f>mech_uptime</f>
        <v/>
      </c>
      <c r="Q15" s="46">
        <f>revleg_sel</f>
        <v/>
      </c>
      <c r="R15" s="45">
        <f>ROUND(N15*O15*revleg_sel,0)</f>
        <v/>
      </c>
      <c r="S15" s="47">
        <f>load_sel</f>
        <v/>
      </c>
      <c r="T15" s="47">
        <f>pax_cap*S15</f>
        <v/>
      </c>
      <c r="U15" s="45">
        <f>T15*R15</f>
        <v/>
      </c>
      <c r="V15" s="48">
        <f>H15*discount</f>
        <v/>
      </c>
      <c r="W15" s="49">
        <f>V15*U15</f>
        <v/>
      </c>
      <c r="X15" s="49">
        <f>(battery/range_nm)*G15*R15*VLOOKUP(B15,country_opex,3,FALSE)</f>
        <v/>
      </c>
      <c r="Y15" s="49">
        <f>VLOOKUP(B15,country_opex,2,FALSE)*crew_factor</f>
        <v/>
      </c>
      <c r="Z15" s="49">
        <f>VLOOKUP(B15,country_opex,5,FALSE)</f>
        <v/>
      </c>
      <c r="AA15" s="49">
        <f>maint</f>
        <v/>
      </c>
      <c r="AB15" s="49">
        <f>VLOOKUP(B15,country_opex,7,FALSE)*ins_pct</f>
        <v/>
      </c>
      <c r="AC15" s="49">
        <f>charge_berth</f>
        <v/>
      </c>
      <c r="AD15" s="49">
        <f>X15+Y15+Z15+AA15+AB15+AC15</f>
        <v/>
      </c>
      <c r="AE15" s="49">
        <f>VLOOKUP(B15,country_opex,7,FALSE)/dep_years</f>
        <v/>
      </c>
      <c r="AF15" s="49">
        <f>W15-AD15</f>
        <v/>
      </c>
      <c r="AG15" s="46">
        <f>IF(W15=0,"",AF15/W15)</f>
        <v/>
      </c>
      <c r="AH15" s="47">
        <f>IF(AF15&lt;=0,"",VLOOKUP(B15,country_opex,7,FALSE)/AF15)</f>
        <v/>
      </c>
      <c r="AI15" s="44">
        <f>((G15*R15/diesel_nmpg)*diesel_co2pg-(battery/range_nm)*G15*R15*VLOOKUP(B15,country_opex,4,FALSE))/1000</f>
        <v/>
      </c>
      <c r="AJ15" s="42" t="n"/>
      <c r="AK15" s="43" t="n"/>
      <c r="AL15" s="43" t="n"/>
      <c r="AM15" s="50" t="n">
        <v>0.1</v>
      </c>
      <c r="AN15" s="45">
        <f>IF(AJ15="","",AJ15*AM15)</f>
        <v/>
      </c>
      <c r="AO15" s="45">
        <f>IF(OR(AJ15="",U15=0),"",MIN(IF(AV15="",9.9E+99,AV15),FLOOR(AN15/U15,1)))</f>
        <v/>
      </c>
      <c r="AP15" s="49">
        <f>IF(AO15="","",AO15*W15)</f>
        <v/>
      </c>
      <c r="AQ15" s="47">
        <f>IF(OR(AJ15="",U15=0),"",MIN(IF(AV15="",9.9E+99,AV15),AN15/U15))</f>
        <v/>
      </c>
      <c r="AR15" s="49">
        <f>IF(AQ15="","",AQ15*W15)</f>
        <v/>
      </c>
      <c r="AS15" s="51" t="n"/>
      <c r="AT15" s="52" t="n"/>
      <c r="AU15" s="52" t="n"/>
      <c r="AV15" s="53" t="n"/>
      <c r="AW15" s="54">
        <f>IF(((V15*pax_cap*load_thin*ROUND(N15*O15*revleg_thin,0))-(((battery/range_nm)*G15*ROUND(N15*O15*revleg_thin,0)*VLOOKUP(B15,country_opex,3,FALSE))+Y15+Z15+AA15+AB15+AC15))&lt;=0,"",VLOOKUP(B15,country_opex,7,FALSE)/((V15*pax_cap*load_thin*ROUND(N15*O15*revleg_thin,0))-(((battery/range_nm)*G15*ROUND(N15*O15*revleg_thin,0)*VLOOKUP(B15,country_opex,3,FALSE))+Y15+Z15+AA15+AB15+AC15)))</f>
        <v/>
      </c>
      <c r="AX15" s="54">
        <f>IF(((V15*pax_cap*load_mid*ROUND(N15*O15*revleg_mid,0))-(((battery/range_nm)*G15*ROUND(N15*O15*revleg_mid,0)*VLOOKUP(B15,country_opex,3,FALSE))+Y15+Z15+AA15+AB15+AC15))&lt;=0,"",VLOOKUP(B15,country_opex,7,FALSE)/((V15*pax_cap*load_mid*ROUND(N15*O15*revleg_mid,0))-(((battery/range_nm)*G15*ROUND(N15*O15*revleg_mid,0)*VLOOKUP(B15,country_opex,3,FALSE))+Y15+Z15+AA15+AB15+AC15)))</f>
        <v/>
      </c>
      <c r="AY15" s="54">
        <f>IF(((V15*pax_cap*load_full*ROUND(N15*O15*revleg_full,0))-(((battery/range_nm)*G15*ROUND(N15*O15*revleg_full,0)*VLOOKUP(B15,country_opex,3,FALSE))+Y15+Z15+AA15+AB15+AC15))&lt;=0,"",VLOOKUP(B15,country_opex,7,FALSE)/((V15*pax_cap*load_full*ROUND(N15*O15*revleg_full,0))-(((battery/range_nm)*G15*ROUND(N15*O15*revleg_full,0)*VLOOKUP(B15,country_opex,3,FALSE))+Y15+Z15+AA15+AB15+AC15)))</f>
        <v/>
      </c>
      <c r="AZ15" s="40" t="inlineStr">
        <is>
          <t>Split-Rogač is a commuter island line with no separate premium tourist catamaran tier -&gt; premium ~= scheduled fare. Jadrolinija catamaran/ferry adult ~EUR 5.70-7; modeled ~EUR 7 x 1.08 = $7.6 (LOW premium spread; essentially a commuter corridor).</t>
        </is>
      </c>
      <c r="BA15" s="40" t="n"/>
    </row>
    <row r="16">
      <c r="A16" s="38" t="inlineStr">
        <is>
          <t>Bolt Croatia</t>
        </is>
      </c>
      <c r="B16" s="38" t="inlineStr">
        <is>
          <t>Croatia</t>
        </is>
      </c>
      <c r="C16" s="39" t="inlineStr">
        <is>
          <t>Dubrovnik → Cavtat</t>
        </is>
      </c>
      <c r="D16" s="38" t="inlineStr">
        <is>
          <t>bolt</t>
        </is>
      </c>
      <c r="E16" s="40" t="inlineStr">
        <is>
          <t>bolt-croatia</t>
        </is>
      </c>
      <c r="F16" s="41" t="n">
        <v>1</v>
      </c>
      <c r="G16" s="42" t="n">
        <v>9</v>
      </c>
      <c r="H16" s="35" t="n">
        <v>10.8</v>
      </c>
      <c r="I16" s="43" t="inlineStr">
        <is>
          <t>T2</t>
        </is>
      </c>
      <c r="J16" s="43" t="inlineStr">
        <is>
          <t>med</t>
        </is>
      </c>
      <c r="K16" s="29" t="n">
        <v>1</v>
      </c>
      <c r="L16" s="44">
        <f>60*G16/cruise_kt</f>
        <v/>
      </c>
      <c r="M16" s="44">
        <f>L16+turn_min+dwell_min</f>
        <v/>
      </c>
      <c r="N16" s="45">
        <f>MIN(16,FLOOR(60*service_hr/M16,1))</f>
        <v/>
      </c>
      <c r="O16" s="45">
        <f>ROUND(365*mech_uptime*K16,0)</f>
        <v/>
      </c>
      <c r="P16" s="46">
        <f>mech_uptime</f>
        <v/>
      </c>
      <c r="Q16" s="46">
        <f>revleg_sel</f>
        <v/>
      </c>
      <c r="R16" s="45">
        <f>ROUND(N16*O16*revleg_sel,0)</f>
        <v/>
      </c>
      <c r="S16" s="47">
        <f>load_sel</f>
        <v/>
      </c>
      <c r="T16" s="47">
        <f>pax_cap*S16</f>
        <v/>
      </c>
      <c r="U16" s="45">
        <f>T16*R16</f>
        <v/>
      </c>
      <c r="V16" s="48">
        <f>H16*discount</f>
        <v/>
      </c>
      <c r="W16" s="49">
        <f>V16*U16</f>
        <v/>
      </c>
      <c r="X16" s="49">
        <f>(battery/range_nm)*G16*R16*VLOOKUP(B16,country_opex,3,FALSE)</f>
        <v/>
      </c>
      <c r="Y16" s="49">
        <f>VLOOKUP(B16,country_opex,2,FALSE)*crew_factor</f>
        <v/>
      </c>
      <c r="Z16" s="49">
        <f>VLOOKUP(B16,country_opex,5,FALSE)</f>
        <v/>
      </c>
      <c r="AA16" s="49">
        <f>maint</f>
        <v/>
      </c>
      <c r="AB16" s="49">
        <f>VLOOKUP(B16,country_opex,7,FALSE)*ins_pct</f>
        <v/>
      </c>
      <c r="AC16" s="49">
        <f>charge_berth</f>
        <v/>
      </c>
      <c r="AD16" s="49">
        <f>X16+Y16+Z16+AA16+AB16+AC16</f>
        <v/>
      </c>
      <c r="AE16" s="49">
        <f>VLOOKUP(B16,country_opex,7,FALSE)/dep_years</f>
        <v/>
      </c>
      <c r="AF16" s="49">
        <f>W16-AD16</f>
        <v/>
      </c>
      <c r="AG16" s="46">
        <f>IF(W16=0,"",AF16/W16)</f>
        <v/>
      </c>
      <c r="AH16" s="47">
        <f>IF(AF16&lt;=0,"",VLOOKUP(B16,country_opex,7,FALSE)/AF16)</f>
        <v/>
      </c>
      <c r="AI16" s="44">
        <f>((G16*R16/diesel_nmpg)*diesel_co2pg-(battery/range_nm)*G16*R16*VLOOKUP(B16,country_opex,4,FALSE))/1000</f>
        <v/>
      </c>
      <c r="AJ16" s="42" t="n">
        <v>179000</v>
      </c>
      <c r="AK16" s="43" t="n"/>
      <c r="AL16" s="43" t="n"/>
      <c r="AM16" s="50" t="n">
        <v>0.1</v>
      </c>
      <c r="AN16" s="45">
        <f>IF(AJ16="","",AJ16*AM16)</f>
        <v/>
      </c>
      <c r="AO16" s="45">
        <f>IF(OR(AJ16="",U16=0),"",MIN(IF(AV16="",9.9E+99,AV16),FLOOR(AN16/U16,1)))</f>
        <v/>
      </c>
      <c r="AP16" s="49">
        <f>IF(AO16="","",AO16*W16)</f>
        <v/>
      </c>
      <c r="AQ16" s="47">
        <f>IF(OR(AJ16="",U16=0),"",MIN(IF(AV16="",9.9E+99,AV16),AN16/U16))</f>
        <v/>
      </c>
      <c r="AR16" s="49">
        <f>IF(AQ16="","",AQ16*W16)</f>
        <v/>
      </c>
      <c r="AS16" s="51" t="n"/>
      <c r="AT16" s="52" t="n"/>
      <c r="AU16" s="52" t="n"/>
      <c r="AV16" s="53" t="n"/>
      <c r="AW16" s="54">
        <f>IF(((V16*pax_cap*load_thin*ROUND(N16*O16*revleg_thin,0))-(((battery/range_nm)*G16*ROUND(N16*O16*revleg_thin,0)*VLOOKUP(B16,country_opex,3,FALSE))+Y16+Z16+AA16+AB16+AC16))&lt;=0,"",VLOOKUP(B16,country_opex,7,FALSE)/((V16*pax_cap*load_thin*ROUND(N16*O16*revleg_thin,0))-(((battery/range_nm)*G16*ROUND(N16*O16*revleg_thin,0)*VLOOKUP(B16,country_opex,3,FALSE))+Y16+Z16+AA16+AB16+AC16)))</f>
        <v/>
      </c>
      <c r="AX16" s="54">
        <f>IF(((V16*pax_cap*load_mid*ROUND(N16*O16*revleg_mid,0))-(((battery/range_nm)*G16*ROUND(N16*O16*revleg_mid,0)*VLOOKUP(B16,country_opex,3,FALSE))+Y16+Z16+AA16+AB16+AC16))&lt;=0,"",VLOOKUP(B16,country_opex,7,FALSE)/((V16*pax_cap*load_mid*ROUND(N16*O16*revleg_mid,0))-(((battery/range_nm)*G16*ROUND(N16*O16*revleg_mid,0)*VLOOKUP(B16,country_opex,3,FALSE))+Y16+Z16+AA16+AB16+AC16)))</f>
        <v/>
      </c>
      <c r="AY16" s="54">
        <f>IF(((V16*pax_cap*load_full*ROUND(N16*O16*revleg_full,0))-(((battery/range_nm)*G16*ROUND(N16*O16*revleg_full,0)*VLOOKUP(B16,country_opex,3,FALSE))+Y16+Z16+AA16+AB16+AC16))&lt;=0,"",VLOOKUP(B16,country_opex,7,FALSE)/((V16*pax_cap*load_full*ROUND(N16*O16*revleg_full,0))-(((battery/range_nm)*G16*ROUND(N16*O16*revleg_full,0)*VLOOKUP(B16,country_opex,3,FALSE))+Y16+Z16+AA16+AB16+AC16)))</f>
        <v/>
      </c>
      <c r="AZ16" s="40" t="inlineStr">
        <is>
          <t>Scheduled water-taxi/boat Dubrovnik&lt;-&gt;Cavtat ~EUR 9-10 one-way (regular service via Mlini/Srebreno). EUR 10 x 1.08 = $10.8.</t>
        </is>
      </c>
      <c r="BA16" s="40" t="n"/>
    </row>
    <row r="17">
      <c r="A17" s="38" t="inlineStr">
        <is>
          <t>Bolt Croatia</t>
        </is>
      </c>
      <c r="B17" s="38" t="inlineStr">
        <is>
          <t>Croatia</t>
        </is>
      </c>
      <c r="C17" s="39" t="inlineStr">
        <is>
          <t>Dubrovnik Airport (Čilipi) → Dubrovnik / Cavtat (resort transfer)</t>
        </is>
      </c>
      <c r="D17" s="38" t="inlineStr">
        <is>
          <t>bolt</t>
        </is>
      </c>
      <c r="E17" s="40" t="inlineStr">
        <is>
          <t>bolt-croatia</t>
        </is>
      </c>
      <c r="F17" s="41" t="n">
        <v>1</v>
      </c>
      <c r="G17" s="42" t="n">
        <v>10</v>
      </c>
      <c r="H17" s="35" t="n"/>
      <c r="I17" s="43" t="n"/>
      <c r="J17" s="43" t="n"/>
      <c r="K17" s="29" t="n">
        <v>1</v>
      </c>
      <c r="L17" s="44">
        <f>60*G17/cruise_kt</f>
        <v/>
      </c>
      <c r="M17" s="44">
        <f>L17+turn_min+dwell_min</f>
        <v/>
      </c>
      <c r="N17" s="45">
        <f>MIN(10,FLOOR(60*service_hr/M17,1))</f>
        <v/>
      </c>
      <c r="O17" s="45">
        <f>ROUND(365*mech_uptime*K17,0)</f>
        <v/>
      </c>
      <c r="P17" s="46">
        <f>mech_uptime</f>
        <v/>
      </c>
      <c r="Q17" s="46">
        <f>revleg_sel</f>
        <v/>
      </c>
      <c r="R17" s="45">
        <f>ROUND(N17*O17*revleg_sel,0)</f>
        <v/>
      </c>
      <c r="S17" s="47">
        <f>load_sel</f>
        <v/>
      </c>
      <c r="T17" s="47">
        <f>pax_cap*S17</f>
        <v/>
      </c>
      <c r="U17" s="45">
        <f>T17*R17</f>
        <v/>
      </c>
      <c r="V17" s="48">
        <f>H17*discount</f>
        <v/>
      </c>
      <c r="W17" s="49">
        <f>V17*U17</f>
        <v/>
      </c>
      <c r="X17" s="49">
        <f>(battery/range_nm)*G17*R17*VLOOKUP(B17,country_opex,3,FALSE)</f>
        <v/>
      </c>
      <c r="Y17" s="49">
        <f>VLOOKUP(B17,country_opex,2,FALSE)*crew_factor</f>
        <v/>
      </c>
      <c r="Z17" s="49">
        <f>VLOOKUP(B17,country_opex,5,FALSE)</f>
        <v/>
      </c>
      <c r="AA17" s="49">
        <f>maint</f>
        <v/>
      </c>
      <c r="AB17" s="49">
        <f>VLOOKUP(B17,country_opex,7,FALSE)*ins_pct</f>
        <v/>
      </c>
      <c r="AC17" s="49">
        <f>charge_berth</f>
        <v/>
      </c>
      <c r="AD17" s="49">
        <f>X17+Y17+Z17+AA17+AB17+AC17</f>
        <v/>
      </c>
      <c r="AE17" s="49">
        <f>VLOOKUP(B17,country_opex,7,FALSE)/dep_years</f>
        <v/>
      </c>
      <c r="AF17" s="49">
        <f>W17-AD17</f>
        <v/>
      </c>
      <c r="AG17" s="46">
        <f>IF(W17=0,"",AF17/W17)</f>
        <v/>
      </c>
      <c r="AH17" s="47">
        <f>IF(AF17&lt;=0,"",VLOOKUP(B17,country_opex,7,FALSE)/AF17)</f>
        <v/>
      </c>
      <c r="AI17" s="44">
        <f>((G17*R17/diesel_nmpg)*diesel_co2pg-(battery/range_nm)*G17*R17*VLOOKUP(B17,country_opex,4,FALSE))/1000</f>
        <v/>
      </c>
      <c r="AJ17" s="42" t="n"/>
      <c r="AK17" s="43" t="n"/>
      <c r="AL17" s="43" t="n"/>
      <c r="AM17" s="50" t="n">
        <v>0.1</v>
      </c>
      <c r="AN17" s="45">
        <f>IF(AJ17="","",AJ17*AM17)</f>
        <v/>
      </c>
      <c r="AO17" s="45">
        <f>IF(OR(AJ17="",U17=0),"",MIN(IF(AV17="",9.9E+99,AV17),FLOOR(AN17/U17,1)))</f>
        <v/>
      </c>
      <c r="AP17" s="49">
        <f>IF(AO17="","",AO17*W17)</f>
        <v/>
      </c>
      <c r="AQ17" s="47">
        <f>IF(OR(AJ17="",U17=0),"",MIN(IF(AV17="",9.9E+99,AV17),AN17/U17))</f>
        <v/>
      </c>
      <c r="AR17" s="49">
        <f>IF(AQ17="","",AQ17*W17)</f>
        <v/>
      </c>
      <c r="AS17" s="51" t="n"/>
      <c r="AT17" s="52" t="n"/>
      <c r="AU17" s="52" t="n"/>
      <c r="AV17" s="53" t="n"/>
      <c r="AW17" s="54">
        <f>IF(((V17*pax_cap*load_thin*ROUND(N17*O17*revleg_thin,0))-(((battery/range_nm)*G17*ROUND(N17*O17*revleg_thin,0)*VLOOKUP(B17,country_opex,3,FALSE))+Y17+Z17+AA17+AB17+AC17))&lt;=0,"",VLOOKUP(B17,country_opex,7,FALSE)/((V17*pax_cap*load_thin*ROUND(N17*O17*revleg_thin,0))-(((battery/range_nm)*G17*ROUND(N17*O17*revleg_thin,0)*VLOOKUP(B17,country_opex,3,FALSE))+Y17+Z17+AA17+AB17+AC17)))</f>
        <v/>
      </c>
      <c r="AX17" s="54">
        <f>IF(((V17*pax_cap*load_mid*ROUND(N17*O17*revleg_mid,0))-(((battery/range_nm)*G17*ROUND(N17*O17*revleg_mid,0)*VLOOKUP(B17,country_opex,3,FALSE))+Y17+Z17+AA17+AB17+AC17))&lt;=0,"",VLOOKUP(B17,country_opex,7,FALSE)/((V17*pax_cap*load_mid*ROUND(N17*O17*revleg_mid,0))-(((battery/range_nm)*G17*ROUND(N17*O17*revleg_mid,0)*VLOOKUP(B17,country_opex,3,FALSE))+Y17+Z17+AA17+AB17+AC17)))</f>
        <v/>
      </c>
      <c r="AY17" s="54">
        <f>IF(((V17*pax_cap*load_full*ROUND(N17*O17*revleg_full,0))-(((battery/range_nm)*G17*ROUND(N17*O17*revleg_full,0)*VLOOKUP(B17,country_opex,3,FALSE))+Y17+Z17+AA17+AB17+AC17))&lt;=0,"",VLOOKUP(B17,country_opex,7,FALSE)/((V17*pax_cap*load_full*ROUND(N17*O17*revleg_full,0))-(((battery/range_nm)*G17*ROUND(N17*O17*revleg_full,0)*VLOOKUP(B17,country_opex,3,FALSE))+Y17+Z17+AA17+AB17+AC17)))</f>
        <v/>
      </c>
      <c r="AZ17" s="40" t="n"/>
      <c r="BA17" s="40" t="n"/>
    </row>
    <row r="18">
      <c r="A18" s="38" t="inlineStr">
        <is>
          <t>Bolt Croatia</t>
        </is>
      </c>
      <c r="B18" s="38" t="inlineStr">
        <is>
          <t>Croatia</t>
        </is>
      </c>
      <c r="C18" s="39" t="inlineStr">
        <is>
          <t>Split → Brač (Bol)</t>
        </is>
      </c>
      <c r="D18" s="38" t="inlineStr">
        <is>
          <t>bolt</t>
        </is>
      </c>
      <c r="E18" s="40" t="inlineStr">
        <is>
          <t>bolt-croatia</t>
        </is>
      </c>
      <c r="F18" s="41" t="n">
        <v>1</v>
      </c>
      <c r="G18" s="42" t="n">
        <v>12</v>
      </c>
      <c r="H18" s="35" t="n">
        <v>23.5</v>
      </c>
      <c r="I18" s="43" t="inlineStr">
        <is>
          <t>T2</t>
        </is>
      </c>
      <c r="J18" s="43" t="inlineStr">
        <is>
          <t>med</t>
        </is>
      </c>
      <c r="K18" s="29" t="n">
        <v>1</v>
      </c>
      <c r="L18" s="44">
        <f>60*G18/cruise_kt</f>
        <v/>
      </c>
      <c r="M18" s="44">
        <f>L18+turn_min+dwell_min</f>
        <v/>
      </c>
      <c r="N18" s="45">
        <f>MIN(10,FLOOR(60*service_hr/M18,1))</f>
        <v/>
      </c>
      <c r="O18" s="45">
        <f>ROUND(365*mech_uptime*K18,0)</f>
        <v/>
      </c>
      <c r="P18" s="46">
        <f>mech_uptime</f>
        <v/>
      </c>
      <c r="Q18" s="46">
        <f>revleg_sel</f>
        <v/>
      </c>
      <c r="R18" s="45">
        <f>ROUND(N18*O18*revleg_sel,0)</f>
        <v/>
      </c>
      <c r="S18" s="47">
        <f>load_sel</f>
        <v/>
      </c>
      <c r="T18" s="47">
        <f>pax_cap*S18</f>
        <v/>
      </c>
      <c r="U18" s="45">
        <f>T18*R18</f>
        <v/>
      </c>
      <c r="V18" s="48">
        <f>H18*discount</f>
        <v/>
      </c>
      <c r="W18" s="49">
        <f>V18*U18</f>
        <v/>
      </c>
      <c r="X18" s="49">
        <f>(battery/range_nm)*G18*R18*VLOOKUP(B18,country_opex,3,FALSE)</f>
        <v/>
      </c>
      <c r="Y18" s="49">
        <f>VLOOKUP(B18,country_opex,2,FALSE)*crew_factor</f>
        <v/>
      </c>
      <c r="Z18" s="49">
        <f>VLOOKUP(B18,country_opex,5,FALSE)</f>
        <v/>
      </c>
      <c r="AA18" s="49">
        <f>maint</f>
        <v/>
      </c>
      <c r="AB18" s="49">
        <f>VLOOKUP(B18,country_opex,7,FALSE)*ins_pct</f>
        <v/>
      </c>
      <c r="AC18" s="49">
        <f>charge_berth</f>
        <v/>
      </c>
      <c r="AD18" s="49">
        <f>X18+Y18+Z18+AA18+AB18+AC18</f>
        <v/>
      </c>
      <c r="AE18" s="49">
        <f>VLOOKUP(B18,country_opex,7,FALSE)/dep_years</f>
        <v/>
      </c>
      <c r="AF18" s="49">
        <f>W18-AD18</f>
        <v/>
      </c>
      <c r="AG18" s="46">
        <f>IF(W18=0,"",AF18/W18)</f>
        <v/>
      </c>
      <c r="AH18" s="47">
        <f>IF(AF18&lt;=0,"",VLOOKUP(B18,country_opex,7,FALSE)/AF18)</f>
        <v/>
      </c>
      <c r="AI18" s="44">
        <f>((G18*R18/diesel_nmpg)*diesel_co2pg-(battery/range_nm)*G18*R18*VLOOKUP(B18,country_opex,4,FALSE))/1000</f>
        <v/>
      </c>
      <c r="AJ18" s="42" t="n">
        <v>400000</v>
      </c>
      <c r="AK18" s="43" t="n"/>
      <c r="AL18" s="43" t="n"/>
      <c r="AM18" s="50" t="n">
        <v>0.1</v>
      </c>
      <c r="AN18" s="45">
        <f>IF(AJ18="","",AJ18*AM18)</f>
        <v/>
      </c>
      <c r="AO18" s="45">
        <f>IF(OR(AJ18="",U18=0),"",MIN(IF(AV18="",9.9E+99,AV18),FLOOR(AN18/U18,1)))</f>
        <v/>
      </c>
      <c r="AP18" s="49">
        <f>IF(AO18="","",AO18*W18)</f>
        <v/>
      </c>
      <c r="AQ18" s="47">
        <f>IF(OR(AJ18="",U18=0),"",MIN(IF(AV18="",9.9E+99,AV18),AN18/U18))</f>
        <v/>
      </c>
      <c r="AR18" s="49">
        <f>IF(AQ18="","",AQ18*W18)</f>
        <v/>
      </c>
      <c r="AS18" s="51" t="n"/>
      <c r="AT18" s="52" t="n"/>
      <c r="AU18" s="52" t="n"/>
      <c r="AV18" s="53" t="n"/>
      <c r="AW18" s="54">
        <f>IF(((V18*pax_cap*load_thin*ROUND(N18*O18*revleg_thin,0))-(((battery/range_nm)*G18*ROUND(N18*O18*revleg_thin,0)*VLOOKUP(B18,country_opex,3,FALSE))+Y18+Z18+AA18+AB18+AC18))&lt;=0,"",VLOOKUP(B18,country_opex,7,FALSE)/((V18*pax_cap*load_thin*ROUND(N18*O18*revleg_thin,0))-(((battery/range_nm)*G18*ROUND(N18*O18*revleg_thin,0)*VLOOKUP(B18,country_opex,3,FALSE))+Y18+Z18+AA18+AB18+AC18)))</f>
        <v/>
      </c>
      <c r="AX18" s="54">
        <f>IF(((V18*pax_cap*load_mid*ROUND(N18*O18*revleg_mid,0))-(((battery/range_nm)*G18*ROUND(N18*O18*revleg_mid,0)*VLOOKUP(B18,country_opex,3,FALSE))+Y18+Z18+AA18+AB18+AC18))&lt;=0,"",VLOOKUP(B18,country_opex,7,FALSE)/((V18*pax_cap*load_mid*ROUND(N18*O18*revleg_mid,0))-(((battery/range_nm)*G18*ROUND(N18*O18*revleg_mid,0)*VLOOKUP(B18,country_opex,3,FALSE))+Y18+Z18+AA18+AB18+AC18)))</f>
        <v/>
      </c>
      <c r="AY18" s="54">
        <f>IF(((V18*pax_cap*load_full*ROUND(N18*O18*revleg_full,0))-(((battery/range_nm)*G18*ROUND(N18*O18*revleg_full,0)*VLOOKUP(B18,country_opex,3,FALSE))+Y18+Z18+AA18+AB18+AC18))&lt;=0,"",VLOOKUP(B18,country_opex,7,FALSE)/((V18*pax_cap*load_full*ROUND(N18*O18*revleg_full,0))-(((battery/range_nm)*G18*ROUND(N18*O18*revleg_full,0)*VLOOKUP(B18,country_opex,3,FALSE))+Y18+Z18+AA18+AB18+AC18)))</f>
        <v/>
      </c>
      <c r="AZ18" s="40" t="inlineStr">
        <is>
          <t>PREMIUM tier: seasonal fast catamaran Split-&gt;Bol adult EUR 20-23 (Jadrolinija Split-Bol-Jelsa EUR 20; Krilo/Jadrolinija from EUR 23). Midpoint ~EUR 21.7 x 1.08 = $23.5.</t>
        </is>
      </c>
      <c r="BA18" s="40" t="n"/>
    </row>
    <row r="19">
      <c r="A19" s="38" t="inlineStr">
        <is>
          <t>Bolt Croatia</t>
        </is>
      </c>
      <c r="B19" s="38" t="inlineStr">
        <is>
          <t>Croatia</t>
        </is>
      </c>
      <c r="C19" s="39" t="inlineStr">
        <is>
          <t>Split Airport (Resnik / Trogir) → Split / Brač / Hvar (resort &amp; island transfer)</t>
        </is>
      </c>
      <c r="D19" s="38" t="inlineStr">
        <is>
          <t>bolt</t>
        </is>
      </c>
      <c r="E19" s="40" t="inlineStr">
        <is>
          <t>bolt-croatia</t>
        </is>
      </c>
      <c r="F19" s="41" t="n">
        <v>1</v>
      </c>
      <c r="G19" s="42" t="n">
        <v>12</v>
      </c>
      <c r="H19" s="35" t="n">
        <v>27</v>
      </c>
      <c r="I19" s="43" t="inlineStr">
        <is>
          <t>T2</t>
        </is>
      </c>
      <c r="J19" s="43" t="inlineStr">
        <is>
          <t>med</t>
        </is>
      </c>
      <c r="K19" s="29" t="n">
        <v>1</v>
      </c>
      <c r="L19" s="44">
        <f>60*G19/cruise_kt</f>
        <v/>
      </c>
      <c r="M19" s="44">
        <f>L19+turn_min+dwell_min</f>
        <v/>
      </c>
      <c r="N19" s="45">
        <f>MIN(10,FLOOR(60*service_hr/M19,1))</f>
        <v/>
      </c>
      <c r="O19" s="45">
        <f>ROUND(365*mech_uptime*K19,0)</f>
        <v/>
      </c>
      <c r="P19" s="46">
        <f>mech_uptime</f>
        <v/>
      </c>
      <c r="Q19" s="46">
        <f>revleg_sel</f>
        <v/>
      </c>
      <c r="R19" s="45">
        <f>ROUND(N19*O19*revleg_sel,0)</f>
        <v/>
      </c>
      <c r="S19" s="47">
        <f>load_sel</f>
        <v/>
      </c>
      <c r="T19" s="47">
        <f>pax_cap*S19</f>
        <v/>
      </c>
      <c r="U19" s="45">
        <f>T19*R19</f>
        <v/>
      </c>
      <c r="V19" s="48">
        <f>H19*discount</f>
        <v/>
      </c>
      <c r="W19" s="49">
        <f>V19*U19</f>
        <v/>
      </c>
      <c r="X19" s="49">
        <f>(battery/range_nm)*G19*R19*VLOOKUP(B19,country_opex,3,FALSE)</f>
        <v/>
      </c>
      <c r="Y19" s="49">
        <f>VLOOKUP(B19,country_opex,2,FALSE)*crew_factor</f>
        <v/>
      </c>
      <c r="Z19" s="49">
        <f>VLOOKUP(B19,country_opex,5,FALSE)</f>
        <v/>
      </c>
      <c r="AA19" s="49">
        <f>maint</f>
        <v/>
      </c>
      <c r="AB19" s="49">
        <f>VLOOKUP(B19,country_opex,7,FALSE)*ins_pct</f>
        <v/>
      </c>
      <c r="AC19" s="49">
        <f>charge_berth</f>
        <v/>
      </c>
      <c r="AD19" s="49">
        <f>X19+Y19+Z19+AA19+AB19+AC19</f>
        <v/>
      </c>
      <c r="AE19" s="49">
        <f>VLOOKUP(B19,country_opex,7,FALSE)/dep_years</f>
        <v/>
      </c>
      <c r="AF19" s="49">
        <f>W19-AD19</f>
        <v/>
      </c>
      <c r="AG19" s="46">
        <f>IF(W19=0,"",AF19/W19)</f>
        <v/>
      </c>
      <c r="AH19" s="47">
        <f>IF(AF19&lt;=0,"",VLOOKUP(B19,country_opex,7,FALSE)/AF19)</f>
        <v/>
      </c>
      <c r="AI19" s="44">
        <f>((G19*R19/diesel_nmpg)*diesel_co2pg-(battery/range_nm)*G19*R19*VLOOKUP(B19,country_opex,4,FALSE))/1000</f>
        <v/>
      </c>
      <c r="AJ19" s="42" t="n"/>
      <c r="AK19" s="43" t="n"/>
      <c r="AL19" s="43" t="n"/>
      <c r="AM19" s="50" t="n">
        <v>0.1</v>
      </c>
      <c r="AN19" s="45">
        <f>IF(AJ19="","",AJ19*AM19)</f>
        <v/>
      </c>
      <c r="AO19" s="45">
        <f>IF(OR(AJ19="",U19=0),"",MIN(IF(AV19="",9.9E+99,AV19),FLOOR(AN19/U19,1)))</f>
        <v/>
      </c>
      <c r="AP19" s="49">
        <f>IF(AO19="","",AO19*W19)</f>
        <v/>
      </c>
      <c r="AQ19" s="47">
        <f>IF(OR(AJ19="",U19=0),"",MIN(IF(AV19="",9.9E+99,AV19),AN19/U19))</f>
        <v/>
      </c>
      <c r="AR19" s="49">
        <f>IF(AQ19="","",AQ19*W19)</f>
        <v/>
      </c>
      <c r="AS19" s="51" t="n"/>
      <c r="AT19" s="52" t="n"/>
      <c r="AU19" s="52" t="n"/>
      <c r="AV19" s="53" t="n"/>
      <c r="AW19" s="54">
        <f>IF(((V19*pax_cap*load_thin*ROUND(N19*O19*revleg_thin,0))-(((battery/range_nm)*G19*ROUND(N19*O19*revleg_thin,0)*VLOOKUP(B19,country_opex,3,FALSE))+Y19+Z19+AA19+AB19+AC19))&lt;=0,"",VLOOKUP(B19,country_opex,7,FALSE)/((V19*pax_cap*load_thin*ROUND(N19*O19*revleg_thin,0))-(((battery/range_nm)*G19*ROUND(N19*O19*revleg_thin,0)*VLOOKUP(B19,country_opex,3,FALSE))+Y19+Z19+AA19+AB19+AC19)))</f>
        <v/>
      </c>
      <c r="AX19" s="54">
        <f>IF(((V19*pax_cap*load_mid*ROUND(N19*O19*revleg_mid,0))-(((battery/range_nm)*G19*ROUND(N19*O19*revleg_mid,0)*VLOOKUP(B19,country_opex,3,FALSE))+Y19+Z19+AA19+AB19+AC19))&lt;=0,"",VLOOKUP(B19,country_opex,7,FALSE)/((V19*pax_cap*load_mid*ROUND(N19*O19*revleg_mid,0))-(((battery/range_nm)*G19*ROUND(N19*O19*revleg_mid,0)*VLOOKUP(B19,country_opex,3,FALSE))+Y19+Z19+AA19+AB19+AC19)))</f>
        <v/>
      </c>
      <c r="AY19" s="54">
        <f>IF(((V19*pax_cap*load_full*ROUND(N19*O19*revleg_full,0))-(((battery/range_nm)*G19*ROUND(N19*O19*revleg_full,0)*VLOOKUP(B19,country_opex,3,FALSE))+Y19+Z19+AA19+AB19+AC19))&lt;=0,"",VLOOKUP(B19,country_opex,7,FALSE)/((V19*pax_cap*load_full*ROUND(N19*O19*revleg_full,0))-(((battery/range_nm)*G19*ROUND(N19*O19*revleg_full,0)*VLOOKUP(B19,country_opex,3,FALSE))+Y19+Z19+AA19+AB19+AC19)))</f>
        <v/>
      </c>
      <c r="AZ19" s="40" t="inlineStr">
        <is>
          <t>Charter-divided per-seat: private speedboat Split Airport-&gt;island ~EUR 250/boat for up to ~10-12 pax (GetMyBoat) -&gt; ~EUR 25/seat x 1.08 = $27.0. (Premium transfer product, not a scheduled liner.)</t>
        </is>
      </c>
      <c r="BA19" s="40" t="n"/>
    </row>
    <row r="20">
      <c r="A20" s="38" t="inlineStr">
        <is>
          <t>Bolt Croatia</t>
        </is>
      </c>
      <c r="B20" s="38" t="inlineStr">
        <is>
          <t>Croatia</t>
        </is>
      </c>
      <c r="C20" s="39" t="inlineStr">
        <is>
          <t>Zadar (Murter / Biograd gateway) → Kornati National Park</t>
        </is>
      </c>
      <c r="D20" s="38" t="inlineStr">
        <is>
          <t>bolt</t>
        </is>
      </c>
      <c r="E20" s="40" t="inlineStr">
        <is>
          <t>bolt-croatia</t>
        </is>
      </c>
      <c r="F20" s="41" t="n">
        <v>1</v>
      </c>
      <c r="G20" s="42" t="n">
        <v>20</v>
      </c>
      <c r="H20" s="35" t="n">
        <v>75.59999999999999</v>
      </c>
      <c r="I20" s="43" t="inlineStr">
        <is>
          <t>T2</t>
        </is>
      </c>
      <c r="J20" s="43" t="inlineStr">
        <is>
          <t>med</t>
        </is>
      </c>
      <c r="K20" s="29" t="n">
        <v>1</v>
      </c>
      <c r="L20" s="44">
        <f>60*G20/cruise_kt</f>
        <v/>
      </c>
      <c r="M20" s="44">
        <f>L20+turn_min+dwell_min</f>
        <v/>
      </c>
      <c r="N20" s="45">
        <f>MIN(10,FLOOR(60*service_hr/M20,1))</f>
        <v/>
      </c>
      <c r="O20" s="45">
        <f>ROUND(365*mech_uptime*K20,0)</f>
        <v/>
      </c>
      <c r="P20" s="46">
        <f>mech_uptime</f>
        <v/>
      </c>
      <c r="Q20" s="46">
        <f>revleg_sel</f>
        <v/>
      </c>
      <c r="R20" s="45">
        <f>ROUND(N20*O20*revleg_sel,0)</f>
        <v/>
      </c>
      <c r="S20" s="47">
        <f>load_sel</f>
        <v/>
      </c>
      <c r="T20" s="47">
        <f>pax_cap*S20</f>
        <v/>
      </c>
      <c r="U20" s="45">
        <f>T20*R20</f>
        <v/>
      </c>
      <c r="V20" s="48">
        <f>H20*discount</f>
        <v/>
      </c>
      <c r="W20" s="49">
        <f>V20*U20</f>
        <v/>
      </c>
      <c r="X20" s="49">
        <f>(battery/range_nm)*G20*R20*VLOOKUP(B20,country_opex,3,FALSE)</f>
        <v/>
      </c>
      <c r="Y20" s="49">
        <f>VLOOKUP(B20,country_opex,2,FALSE)*crew_factor</f>
        <v/>
      </c>
      <c r="Z20" s="49">
        <f>VLOOKUP(B20,country_opex,5,FALSE)</f>
        <v/>
      </c>
      <c r="AA20" s="49">
        <f>maint</f>
        <v/>
      </c>
      <c r="AB20" s="49">
        <f>VLOOKUP(B20,country_opex,7,FALSE)*ins_pct</f>
        <v/>
      </c>
      <c r="AC20" s="49">
        <f>charge_berth</f>
        <v/>
      </c>
      <c r="AD20" s="49">
        <f>X20+Y20+Z20+AA20+AB20+AC20</f>
        <v/>
      </c>
      <c r="AE20" s="49">
        <f>VLOOKUP(B20,country_opex,7,FALSE)/dep_years</f>
        <v/>
      </c>
      <c r="AF20" s="49">
        <f>W20-AD20</f>
        <v/>
      </c>
      <c r="AG20" s="46">
        <f>IF(W20=0,"",AF20/W20)</f>
        <v/>
      </c>
      <c r="AH20" s="47">
        <f>IF(AF20&lt;=0,"",VLOOKUP(B20,country_opex,7,FALSE)/AF20)</f>
        <v/>
      </c>
      <c r="AI20" s="44">
        <f>((G20*R20/diesel_nmpg)*diesel_co2pg-(battery/range_nm)*G20*R20*VLOOKUP(B20,country_opex,4,FALSE))/1000</f>
        <v/>
      </c>
      <c r="AJ20" s="42" t="n">
        <v>110000</v>
      </c>
      <c r="AK20" s="43" t="n"/>
      <c r="AL20" s="43" t="n"/>
      <c r="AM20" s="50" t="n">
        <v>0.1</v>
      </c>
      <c r="AN20" s="45">
        <f>IF(AJ20="","",AJ20*AM20)</f>
        <v/>
      </c>
      <c r="AO20" s="45">
        <f>IF(OR(AJ20="",U20=0),"",MIN(IF(AV20="",9.9E+99,AV20),FLOOR(AN20/U20,1)))</f>
        <v/>
      </c>
      <c r="AP20" s="49">
        <f>IF(AO20="","",AO20*W20)</f>
        <v/>
      </c>
      <c r="AQ20" s="47">
        <f>IF(OR(AJ20="",U20=0),"",MIN(IF(AV20="",9.9E+99,AV20),AN20/U20))</f>
        <v/>
      </c>
      <c r="AR20" s="49">
        <f>IF(AQ20="","",AQ20*W20)</f>
        <v/>
      </c>
      <c r="AS20" s="51" t="n"/>
      <c r="AT20" s="52" t="n"/>
      <c r="AU20" s="52" t="n"/>
      <c r="AV20" s="53" t="n"/>
      <c r="AW20" s="54">
        <f>IF(((V20*pax_cap*load_thin*ROUND(N20*O20*revleg_thin,0))-(((battery/range_nm)*G20*ROUND(N20*O20*revleg_thin,0)*VLOOKUP(B20,country_opex,3,FALSE))+Y20+Z20+AA20+AB20+AC20))&lt;=0,"",VLOOKUP(B20,country_opex,7,FALSE)/((V20*pax_cap*load_thin*ROUND(N20*O20*revleg_thin,0))-(((battery/range_nm)*G20*ROUND(N20*O20*revleg_thin,0)*VLOOKUP(B20,country_opex,3,FALSE))+Y20+Z20+AA20+AB20+AC20)))</f>
        <v/>
      </c>
      <c r="AX20" s="54">
        <f>IF(((V20*pax_cap*load_mid*ROUND(N20*O20*revleg_mid,0))-(((battery/range_nm)*G20*ROUND(N20*O20*revleg_mid,0)*VLOOKUP(B20,country_opex,3,FALSE))+Y20+Z20+AA20+AB20+AC20))&lt;=0,"",VLOOKUP(B20,country_opex,7,FALSE)/((V20*pax_cap*load_mid*ROUND(N20*O20*revleg_mid,0))-(((battery/range_nm)*G20*ROUND(N20*O20*revleg_mid,0)*VLOOKUP(B20,country_opex,3,FALSE))+Y20+Z20+AA20+AB20+AC20)))</f>
        <v/>
      </c>
      <c r="AY20" s="54">
        <f>IF(((V20*pax_cap*load_full*ROUND(N20*O20*revleg_full,0))-(((battery/range_nm)*G20*ROUND(N20*O20*revleg_full,0)*VLOOKUP(B20,country_opex,3,FALSE))+Y20+Z20+AA20+AB20+AC20))&lt;=0,"",VLOOKUP(B20,country_opex,7,FALSE)/((V20*pax_cap*load_full*ROUND(N20*O20*revleg_full,0))-(((battery/range_nm)*G20*ROUND(N20*O20*revleg_full,0)*VLOOKUP(B20,country_opex,3,FALSE))+Y20+Z20+AA20+AB20+AC20)))</f>
        <v/>
      </c>
      <c r="AZ20" s="40" t="inlineStr">
        <is>
          <t>PREMIUM tier: full-day Kornati boat excursion per-seat ~EUR 70 (typical EUR 60-90, often incl. NP entry + lunch) from Zadar/Murter/Biograd. EUR 70 x 1.08 = $75.6. NOTE: this bundles park entry + sometimes lunch, so it overstates a pure point-to-point fast-craft seat; no scheduled liner exists to Kornati.</t>
        </is>
      </c>
      <c r="BA20" s="40" t="n"/>
    </row>
    <row r="21">
      <c r="A21" s="38" t="inlineStr">
        <is>
          <t>Bolt Croatia</t>
        </is>
      </c>
      <c r="B21" s="38" t="inlineStr">
        <is>
          <t>Croatia</t>
        </is>
      </c>
      <c r="C21" s="39" t="inlineStr">
        <is>
          <t>Split → Hvar</t>
        </is>
      </c>
      <c r="D21" s="38" t="inlineStr">
        <is>
          <t>bolt</t>
        </is>
      </c>
      <c r="E21" s="40" t="inlineStr">
        <is>
          <t>bolt-croatia</t>
        </is>
      </c>
      <c r="F21" s="41" t="n">
        <v>1</v>
      </c>
      <c r="G21" s="42" t="n">
        <v>22</v>
      </c>
      <c r="H21" s="35" t="n">
        <v>27</v>
      </c>
      <c r="I21" s="43" t="inlineStr">
        <is>
          <t>T2</t>
        </is>
      </c>
      <c r="J21" s="43" t="inlineStr">
        <is>
          <t>med</t>
        </is>
      </c>
      <c r="K21" s="29" t="n">
        <v>1</v>
      </c>
      <c r="L21" s="44">
        <f>60*G21/cruise_kt</f>
        <v/>
      </c>
      <c r="M21" s="44">
        <f>L21+turn_min+dwell_min</f>
        <v/>
      </c>
      <c r="N21" s="45">
        <f>MIN(10,FLOOR(60*service_hr/M21,1))</f>
        <v/>
      </c>
      <c r="O21" s="45">
        <f>ROUND(365*mech_uptime*K21,0)</f>
        <v/>
      </c>
      <c r="P21" s="46">
        <f>mech_uptime</f>
        <v/>
      </c>
      <c r="Q21" s="46">
        <f>revleg_sel</f>
        <v/>
      </c>
      <c r="R21" s="45">
        <f>ROUND(N21*O21*revleg_sel,0)</f>
        <v/>
      </c>
      <c r="S21" s="47">
        <f>load_sel</f>
        <v/>
      </c>
      <c r="T21" s="47">
        <f>pax_cap*S21</f>
        <v/>
      </c>
      <c r="U21" s="45">
        <f>T21*R21</f>
        <v/>
      </c>
      <c r="V21" s="48">
        <f>H21*discount</f>
        <v/>
      </c>
      <c r="W21" s="49">
        <f>V21*U21</f>
        <v/>
      </c>
      <c r="X21" s="49">
        <f>(battery/range_nm)*G21*R21*VLOOKUP(B21,country_opex,3,FALSE)</f>
        <v/>
      </c>
      <c r="Y21" s="49">
        <f>VLOOKUP(B21,country_opex,2,FALSE)*crew_factor</f>
        <v/>
      </c>
      <c r="Z21" s="49">
        <f>VLOOKUP(B21,country_opex,5,FALSE)</f>
        <v/>
      </c>
      <c r="AA21" s="49">
        <f>maint</f>
        <v/>
      </c>
      <c r="AB21" s="49">
        <f>VLOOKUP(B21,country_opex,7,FALSE)*ins_pct</f>
        <v/>
      </c>
      <c r="AC21" s="49">
        <f>charge_berth</f>
        <v/>
      </c>
      <c r="AD21" s="49">
        <f>X21+Y21+Z21+AA21+AB21+AC21</f>
        <v/>
      </c>
      <c r="AE21" s="49">
        <f>VLOOKUP(B21,country_opex,7,FALSE)/dep_years</f>
        <v/>
      </c>
      <c r="AF21" s="49">
        <f>W21-AD21</f>
        <v/>
      </c>
      <c r="AG21" s="46">
        <f>IF(W21=0,"",AF21/W21)</f>
        <v/>
      </c>
      <c r="AH21" s="47">
        <f>IF(AF21&lt;=0,"",VLOOKUP(B21,country_opex,7,FALSE)/AF21)</f>
        <v/>
      </c>
      <c r="AI21" s="44">
        <f>((G21*R21/diesel_nmpg)*diesel_co2pg-(battery/range_nm)*G21*R21*VLOOKUP(B21,country_opex,4,FALSE))/1000</f>
        <v/>
      </c>
      <c r="AJ21" s="42" t="n">
        <v>550000</v>
      </c>
      <c r="AK21" s="43" t="n"/>
      <c r="AL21" s="43" t="n"/>
      <c r="AM21" s="50" t="n">
        <v>0.1</v>
      </c>
      <c r="AN21" s="45">
        <f>IF(AJ21="","",AJ21*AM21)</f>
        <v/>
      </c>
      <c r="AO21" s="45">
        <f>IF(OR(AJ21="",U21=0),"",MIN(IF(AV21="",9.9E+99,AV21),FLOOR(AN21/U21,1)))</f>
        <v/>
      </c>
      <c r="AP21" s="49">
        <f>IF(AO21="","",AO21*W21)</f>
        <v/>
      </c>
      <c r="AQ21" s="47">
        <f>IF(OR(AJ21="",U21=0),"",MIN(IF(AV21="",9.9E+99,AV21),AN21/U21))</f>
        <v/>
      </c>
      <c r="AR21" s="49">
        <f>IF(AQ21="","",AQ21*W21)</f>
        <v/>
      </c>
      <c r="AS21" s="51" t="n"/>
      <c r="AT21" s="52" t="n"/>
      <c r="AU21" s="52" t="n"/>
      <c r="AV21" s="53" t="n"/>
      <c r="AW21" s="54">
        <f>IF(((V21*pax_cap*load_thin*ROUND(N21*O21*revleg_thin,0))-(((battery/range_nm)*G21*ROUND(N21*O21*revleg_thin,0)*VLOOKUP(B21,country_opex,3,FALSE))+Y21+Z21+AA21+AB21+AC21))&lt;=0,"",VLOOKUP(B21,country_opex,7,FALSE)/((V21*pax_cap*load_thin*ROUND(N21*O21*revleg_thin,0))-(((battery/range_nm)*G21*ROUND(N21*O21*revleg_thin,0)*VLOOKUP(B21,country_opex,3,FALSE))+Y21+Z21+AA21+AB21+AC21)))</f>
        <v/>
      </c>
      <c r="AX21" s="54">
        <f>IF(((V21*pax_cap*load_mid*ROUND(N21*O21*revleg_mid,0))-(((battery/range_nm)*G21*ROUND(N21*O21*revleg_mid,0)*VLOOKUP(B21,country_opex,3,FALSE))+Y21+Z21+AA21+AB21+AC21))&lt;=0,"",VLOOKUP(B21,country_opex,7,FALSE)/((V21*pax_cap*load_mid*ROUND(N21*O21*revleg_mid,0))-(((battery/range_nm)*G21*ROUND(N21*O21*revleg_mid,0)*VLOOKUP(B21,country_opex,3,FALSE))+Y21+Z21+AA21+AB21+AC21)))</f>
        <v/>
      </c>
      <c r="AY21" s="54">
        <f>IF(((V21*pax_cap*load_full*ROUND(N21*O21*revleg_full,0))-(((battery/range_nm)*G21*ROUND(N21*O21*revleg_full,0)*VLOOKUP(B21,country_opex,3,FALSE))+Y21+Z21+AA21+AB21+AC21))&lt;=0,"",VLOOKUP(B21,country_opex,7,FALSE)/((V21*pax_cap*load_full*ROUND(N21*O21*revleg_full,0))-(((battery/range_nm)*G21*ROUND(N21*O21*revleg_full,0)*VLOOKUP(B21,country_opex,3,FALSE))+Y21+Z21+AA21+AB21+AC21)))</f>
        <v/>
      </c>
      <c r="AZ21" s="40" t="inlineStr">
        <is>
          <t>PREMIUM tier: scheduled fast tourist catamaran Split-&gt;Hvar Town adult ~EUR 25 (Kapetan Luka 'Krilo', TP Line, Adriatic Fast Ferries, Jadrolinija fast cat). EUR 25 x 1.08 = $27.0.</t>
        </is>
      </c>
      <c r="BA21" s="40" t="n"/>
    </row>
    <row r="22">
      <c r="A22" s="38" t="inlineStr">
        <is>
          <t>Bolt Croatia</t>
        </is>
      </c>
      <c r="B22" s="38" t="inlineStr">
        <is>
          <t>Croatia</t>
        </is>
      </c>
      <c r="C22" s="39" t="inlineStr">
        <is>
          <t>Dubrovnik → Mljet (Polače / Sobra)</t>
        </is>
      </c>
      <c r="D22" s="38" t="inlineStr">
        <is>
          <t>bolt</t>
        </is>
      </c>
      <c r="E22" s="40" t="inlineStr">
        <is>
          <t>bolt-croatia</t>
        </is>
      </c>
      <c r="F22" s="41" t="n">
        <v>1</v>
      </c>
      <c r="G22" s="42" t="n">
        <v>22</v>
      </c>
      <c r="H22" s="35" t="n">
        <v>21.6</v>
      </c>
      <c r="I22" s="43" t="inlineStr">
        <is>
          <t>T2</t>
        </is>
      </c>
      <c r="J22" s="43" t="inlineStr">
        <is>
          <t>med</t>
        </is>
      </c>
      <c r="K22" s="29" t="n">
        <v>1</v>
      </c>
      <c r="L22" s="44">
        <f>60*G22/cruise_kt</f>
        <v/>
      </c>
      <c r="M22" s="44">
        <f>L22+turn_min+dwell_min</f>
        <v/>
      </c>
      <c r="N22" s="45">
        <f>MIN(10,FLOOR(60*service_hr/M22,1))</f>
        <v/>
      </c>
      <c r="O22" s="45">
        <f>ROUND(365*mech_uptime*K22,0)</f>
        <v/>
      </c>
      <c r="P22" s="46">
        <f>mech_uptime</f>
        <v/>
      </c>
      <c r="Q22" s="46">
        <f>revleg_sel</f>
        <v/>
      </c>
      <c r="R22" s="45">
        <f>ROUND(N22*O22*revleg_sel,0)</f>
        <v/>
      </c>
      <c r="S22" s="47">
        <f>load_sel</f>
        <v/>
      </c>
      <c r="T22" s="47">
        <f>pax_cap*S22</f>
        <v/>
      </c>
      <c r="U22" s="45">
        <f>T22*R22</f>
        <v/>
      </c>
      <c r="V22" s="48">
        <f>H22*discount</f>
        <v/>
      </c>
      <c r="W22" s="49">
        <f>V22*U22</f>
        <v/>
      </c>
      <c r="X22" s="49">
        <f>(battery/range_nm)*G22*R22*VLOOKUP(B22,country_opex,3,FALSE)</f>
        <v/>
      </c>
      <c r="Y22" s="49">
        <f>VLOOKUP(B22,country_opex,2,FALSE)*crew_factor</f>
        <v/>
      </c>
      <c r="Z22" s="49">
        <f>VLOOKUP(B22,country_opex,5,FALSE)</f>
        <v/>
      </c>
      <c r="AA22" s="49">
        <f>maint</f>
        <v/>
      </c>
      <c r="AB22" s="49">
        <f>VLOOKUP(B22,country_opex,7,FALSE)*ins_pct</f>
        <v/>
      </c>
      <c r="AC22" s="49">
        <f>charge_berth</f>
        <v/>
      </c>
      <c r="AD22" s="49">
        <f>X22+Y22+Z22+AA22+AB22+AC22</f>
        <v/>
      </c>
      <c r="AE22" s="49">
        <f>VLOOKUP(B22,country_opex,7,FALSE)/dep_years</f>
        <v/>
      </c>
      <c r="AF22" s="49">
        <f>W22-AD22</f>
        <v/>
      </c>
      <c r="AG22" s="46">
        <f>IF(W22=0,"",AF22/W22)</f>
        <v/>
      </c>
      <c r="AH22" s="47">
        <f>IF(AF22&lt;=0,"",VLOOKUP(B22,country_opex,7,FALSE)/AF22)</f>
        <v/>
      </c>
      <c r="AI22" s="44">
        <f>((G22*R22/diesel_nmpg)*diesel_co2pg-(battery/range_nm)*G22*R22*VLOOKUP(B22,country_opex,4,FALSE))/1000</f>
        <v/>
      </c>
      <c r="AJ22" s="42" t="n">
        <v>125000</v>
      </c>
      <c r="AK22" s="43" t="n"/>
      <c r="AL22" s="43" t="n"/>
      <c r="AM22" s="50" t="n">
        <v>0.1</v>
      </c>
      <c r="AN22" s="45">
        <f>IF(AJ22="","",AJ22*AM22)</f>
        <v/>
      </c>
      <c r="AO22" s="45">
        <f>IF(OR(AJ22="",U22=0),"",MIN(IF(AV22="",9.9E+99,AV22),FLOOR(AN22/U22,1)))</f>
        <v/>
      </c>
      <c r="AP22" s="49">
        <f>IF(AO22="","",AO22*W22)</f>
        <v/>
      </c>
      <c r="AQ22" s="47">
        <f>IF(OR(AJ22="",U22=0),"",MIN(IF(AV22="",9.9E+99,AV22),AN22/U22))</f>
        <v/>
      </c>
      <c r="AR22" s="49">
        <f>IF(AQ22="","",AQ22*W22)</f>
        <v/>
      </c>
      <c r="AS22" s="51" t="n"/>
      <c r="AT22" s="52" t="n"/>
      <c r="AU22" s="52" t="n"/>
      <c r="AV22" s="53" t="n"/>
      <c r="AW22" s="54">
        <f>IF(((V22*pax_cap*load_thin*ROUND(N22*O22*revleg_thin,0))-(((battery/range_nm)*G22*ROUND(N22*O22*revleg_thin,0)*VLOOKUP(B22,country_opex,3,FALSE))+Y22+Z22+AA22+AB22+AC22))&lt;=0,"",VLOOKUP(B22,country_opex,7,FALSE)/((V22*pax_cap*load_thin*ROUND(N22*O22*revleg_thin,0))-(((battery/range_nm)*G22*ROUND(N22*O22*revleg_thin,0)*VLOOKUP(B22,country_opex,3,FALSE))+Y22+Z22+AA22+AB22+AC22)))</f>
        <v/>
      </c>
      <c r="AX22" s="54">
        <f>IF(((V22*pax_cap*load_mid*ROUND(N22*O22*revleg_mid,0))-(((battery/range_nm)*G22*ROUND(N22*O22*revleg_mid,0)*VLOOKUP(B22,country_opex,3,FALSE))+Y22+Z22+AA22+AB22+AC22))&lt;=0,"",VLOOKUP(B22,country_opex,7,FALSE)/((V22*pax_cap*load_mid*ROUND(N22*O22*revleg_mid,0))-(((battery/range_nm)*G22*ROUND(N22*O22*revleg_mid,0)*VLOOKUP(B22,country_opex,3,FALSE))+Y22+Z22+AA22+AB22+AC22)))</f>
        <v/>
      </c>
      <c r="AY22" s="54">
        <f>IF(((V22*pax_cap*load_full*ROUND(N22*O22*revleg_full,0))-(((battery/range_nm)*G22*ROUND(N22*O22*revleg_full,0)*VLOOKUP(B22,country_opex,3,FALSE))+Y22+Z22+AA22+AB22+AC22))&lt;=0,"",VLOOKUP(B22,country_opex,7,FALSE)/((V22*pax_cap*load_full*ROUND(N22*O22*revleg_full,0))-(((battery/range_nm)*G22*ROUND(N22*O22*revleg_full,0)*VLOOKUP(B22,country_opex,3,FALSE))+Y22+Z22+AA22+AB22+AC22)))</f>
        <v/>
      </c>
      <c r="AZ22" s="40" t="inlineStr">
        <is>
          <t>PREMIUM tier: TP Line/Krilo catamaran Dubrovnik-&gt;Polače peak adult ~EUR 20 (summer range to EUR 20). EUR 20 x 1.08 = $21.6.</t>
        </is>
      </c>
      <c r="BA22" s="40" t="n"/>
    </row>
    <row r="23">
      <c r="A23" s="38" t="inlineStr">
        <is>
          <t>Bolt Croatia</t>
        </is>
      </c>
      <c r="B23" s="38" t="inlineStr">
        <is>
          <t>Croatia</t>
        </is>
      </c>
      <c r="C23" s="39" t="inlineStr">
        <is>
          <t>Hvar (Hvar Town) → Korčula (Korčula Town)</t>
        </is>
      </c>
      <c r="D23" s="38" t="inlineStr">
        <is>
          <t>bolt</t>
        </is>
      </c>
      <c r="E23" s="40" t="inlineStr">
        <is>
          <t>bolt-croatia</t>
        </is>
      </c>
      <c r="F23" s="41" t="n">
        <v>1</v>
      </c>
      <c r="G23" s="42" t="n">
        <v>30</v>
      </c>
      <c r="H23" s="35" t="n">
        <v>27</v>
      </c>
      <c r="I23" s="43" t="inlineStr">
        <is>
          <t>T2</t>
        </is>
      </c>
      <c r="J23" s="43" t="inlineStr">
        <is>
          <t>med</t>
        </is>
      </c>
      <c r="K23" s="29" t="n">
        <v>1</v>
      </c>
      <c r="L23" s="44">
        <f>60*G23/cruise_kt</f>
        <v/>
      </c>
      <c r="M23" s="44">
        <f>L23+turn_min+dwell_min</f>
        <v/>
      </c>
      <c r="N23" s="45">
        <f>MIN(10,FLOOR(60*service_hr/M23,1))</f>
        <v/>
      </c>
      <c r="O23" s="45">
        <f>ROUND(365*mech_uptime*K23,0)</f>
        <v/>
      </c>
      <c r="P23" s="46">
        <f>mech_uptime</f>
        <v/>
      </c>
      <c r="Q23" s="46">
        <f>revleg_sel</f>
        <v/>
      </c>
      <c r="R23" s="45">
        <f>ROUND(N23*O23*revleg_sel,0)</f>
        <v/>
      </c>
      <c r="S23" s="47">
        <f>load_sel</f>
        <v/>
      </c>
      <c r="T23" s="47">
        <f>pax_cap*S23</f>
        <v/>
      </c>
      <c r="U23" s="45">
        <f>T23*R23</f>
        <v/>
      </c>
      <c r="V23" s="48">
        <f>H23*discount</f>
        <v/>
      </c>
      <c r="W23" s="49">
        <f>V23*U23</f>
        <v/>
      </c>
      <c r="X23" s="49">
        <f>(battery/range_nm)*G23*R23*VLOOKUP(B23,country_opex,3,FALSE)</f>
        <v/>
      </c>
      <c r="Y23" s="49">
        <f>VLOOKUP(B23,country_opex,2,FALSE)*crew_factor</f>
        <v/>
      </c>
      <c r="Z23" s="49">
        <f>VLOOKUP(B23,country_opex,5,FALSE)</f>
        <v/>
      </c>
      <c r="AA23" s="49">
        <f>maint</f>
        <v/>
      </c>
      <c r="AB23" s="49">
        <f>VLOOKUP(B23,country_opex,7,FALSE)*ins_pct</f>
        <v/>
      </c>
      <c r="AC23" s="49">
        <f>charge_berth</f>
        <v/>
      </c>
      <c r="AD23" s="49">
        <f>X23+Y23+Z23+AA23+AB23+AC23</f>
        <v/>
      </c>
      <c r="AE23" s="49">
        <f>VLOOKUP(B23,country_opex,7,FALSE)/dep_years</f>
        <v/>
      </c>
      <c r="AF23" s="49">
        <f>W23-AD23</f>
        <v/>
      </c>
      <c r="AG23" s="46">
        <f>IF(W23=0,"",AF23/W23)</f>
        <v/>
      </c>
      <c r="AH23" s="47">
        <f>IF(AF23&lt;=0,"",VLOOKUP(B23,country_opex,7,FALSE)/AF23)</f>
        <v/>
      </c>
      <c r="AI23" s="44">
        <f>((G23*R23/diesel_nmpg)*diesel_co2pg-(battery/range_nm)*G23*R23*VLOOKUP(B23,country_opex,4,FALSE))/1000</f>
        <v/>
      </c>
      <c r="AJ23" s="42" t="n"/>
      <c r="AK23" s="43" t="n"/>
      <c r="AL23" s="43" t="n"/>
      <c r="AM23" s="50" t="n">
        <v>0.1</v>
      </c>
      <c r="AN23" s="45">
        <f>IF(AJ23="","",AJ23*AM23)</f>
        <v/>
      </c>
      <c r="AO23" s="45">
        <f>IF(OR(AJ23="",U23=0),"",MIN(IF(AV23="",9.9E+99,AV23),FLOOR(AN23/U23,1)))</f>
        <v/>
      </c>
      <c r="AP23" s="49">
        <f>IF(AO23="","",AO23*W23)</f>
        <v/>
      </c>
      <c r="AQ23" s="47">
        <f>IF(OR(AJ23="",U23=0),"",MIN(IF(AV23="",9.9E+99,AV23),AN23/U23))</f>
        <v/>
      </c>
      <c r="AR23" s="49">
        <f>IF(AQ23="","",AQ23*W23)</f>
        <v/>
      </c>
      <c r="AS23" s="51" t="n"/>
      <c r="AT23" s="52" t="n"/>
      <c r="AU23" s="52" t="n"/>
      <c r="AV23" s="53" t="n"/>
      <c r="AW23" s="54">
        <f>IF(((V23*pax_cap*load_thin*ROUND(N23*O23*revleg_thin,0))-(((battery/range_nm)*G23*ROUND(N23*O23*revleg_thin,0)*VLOOKUP(B23,country_opex,3,FALSE))+Y23+Z23+AA23+AB23+AC23))&lt;=0,"",VLOOKUP(B23,country_opex,7,FALSE)/((V23*pax_cap*load_thin*ROUND(N23*O23*revleg_thin,0))-(((battery/range_nm)*G23*ROUND(N23*O23*revleg_thin,0)*VLOOKUP(B23,country_opex,3,FALSE))+Y23+Z23+AA23+AB23+AC23)))</f>
        <v/>
      </c>
      <c r="AX23" s="54">
        <f>IF(((V23*pax_cap*load_mid*ROUND(N23*O23*revleg_mid,0))-(((battery/range_nm)*G23*ROUND(N23*O23*revleg_mid,0)*VLOOKUP(B23,country_opex,3,FALSE))+Y23+Z23+AA23+AB23+AC23))&lt;=0,"",VLOOKUP(B23,country_opex,7,FALSE)/((V23*pax_cap*load_mid*ROUND(N23*O23*revleg_mid,0))-(((battery/range_nm)*G23*ROUND(N23*O23*revleg_mid,0)*VLOOKUP(B23,country_opex,3,FALSE))+Y23+Z23+AA23+AB23+AC23)))</f>
        <v/>
      </c>
      <c r="AY23" s="54">
        <f>IF(((V23*pax_cap*load_full*ROUND(N23*O23*revleg_full,0))-(((battery/range_nm)*G23*ROUND(N23*O23*revleg_full,0)*VLOOKUP(B23,country_opex,3,FALSE))+Y23+Z23+AA23+AB23+AC23))&lt;=0,"",VLOOKUP(B23,country_opex,7,FALSE)/((V23*pax_cap*load_full*ROUND(N23*O23*revleg_full,0))-(((battery/range_nm)*G23*ROUND(N23*O23*revleg_full,0)*VLOOKUP(B23,country_opex,3,FALSE))+Y23+Z23+AA23+AB23+AC23)))</f>
        <v/>
      </c>
      <c r="AZ23" s="40" t="inlineStr">
        <is>
          <t>PREMIUM tier: Krilo/Kapetan Luka &amp; TP Line catamaran Hvar-&gt;Korčula top foot fare ~EUR 25 (range EUR 5.84-25). EUR 25 x 1.08 = $27.0.</t>
        </is>
      </c>
      <c r="BA23" s="40" t="n"/>
    </row>
    <row r="24">
      <c r="A24" s="38" t="inlineStr">
        <is>
          <t>Bolt Croatia</t>
        </is>
      </c>
      <c r="B24" s="38" t="inlineStr">
        <is>
          <t>Croatia</t>
        </is>
      </c>
      <c r="C24" s="39" t="inlineStr">
        <is>
          <t>Split → Vis</t>
        </is>
      </c>
      <c r="D24" s="38" t="inlineStr">
        <is>
          <t>bolt</t>
        </is>
      </c>
      <c r="E24" s="40" t="inlineStr">
        <is>
          <t>bolt-croatia</t>
        </is>
      </c>
      <c r="F24" s="41" t="n">
        <v>1</v>
      </c>
      <c r="G24" s="42" t="n">
        <v>31</v>
      </c>
      <c r="H24" s="35" t="n">
        <v>30.2</v>
      </c>
      <c r="I24" s="43" t="inlineStr">
        <is>
          <t>T2</t>
        </is>
      </c>
      <c r="J24" s="43" t="inlineStr">
        <is>
          <t>med</t>
        </is>
      </c>
      <c r="K24" s="29" t="n">
        <v>1</v>
      </c>
      <c r="L24" s="44">
        <f>60*G24/cruise_kt</f>
        <v/>
      </c>
      <c r="M24" s="44">
        <f>L24+turn_min+dwell_min</f>
        <v/>
      </c>
      <c r="N24" s="45">
        <f>MIN(10,FLOOR(60*service_hr/M24,1))</f>
        <v/>
      </c>
      <c r="O24" s="45">
        <f>ROUND(365*mech_uptime*K24,0)</f>
        <v/>
      </c>
      <c r="P24" s="46">
        <f>mech_uptime</f>
        <v/>
      </c>
      <c r="Q24" s="46">
        <f>revleg_sel</f>
        <v/>
      </c>
      <c r="R24" s="45">
        <f>ROUND(N24*O24*revleg_sel,0)</f>
        <v/>
      </c>
      <c r="S24" s="47">
        <f>load_sel</f>
        <v/>
      </c>
      <c r="T24" s="47">
        <f>pax_cap*S24</f>
        <v/>
      </c>
      <c r="U24" s="45">
        <f>T24*R24</f>
        <v/>
      </c>
      <c r="V24" s="48">
        <f>H24*discount</f>
        <v/>
      </c>
      <c r="W24" s="49">
        <f>V24*U24</f>
        <v/>
      </c>
      <c r="X24" s="49">
        <f>(battery/range_nm)*G24*R24*VLOOKUP(B24,country_opex,3,FALSE)</f>
        <v/>
      </c>
      <c r="Y24" s="49">
        <f>VLOOKUP(B24,country_opex,2,FALSE)*crew_factor</f>
        <v/>
      </c>
      <c r="Z24" s="49">
        <f>VLOOKUP(B24,country_opex,5,FALSE)</f>
        <v/>
      </c>
      <c r="AA24" s="49">
        <f>maint</f>
        <v/>
      </c>
      <c r="AB24" s="49">
        <f>VLOOKUP(B24,country_opex,7,FALSE)*ins_pct</f>
        <v/>
      </c>
      <c r="AC24" s="49">
        <f>charge_berth</f>
        <v/>
      </c>
      <c r="AD24" s="49">
        <f>X24+Y24+Z24+AA24+AB24+AC24</f>
        <v/>
      </c>
      <c r="AE24" s="49">
        <f>VLOOKUP(B24,country_opex,7,FALSE)/dep_years</f>
        <v/>
      </c>
      <c r="AF24" s="49">
        <f>W24-AD24</f>
        <v/>
      </c>
      <c r="AG24" s="46">
        <f>IF(W24=0,"",AF24/W24)</f>
        <v/>
      </c>
      <c r="AH24" s="47">
        <f>IF(AF24&lt;=0,"",VLOOKUP(B24,country_opex,7,FALSE)/AF24)</f>
        <v/>
      </c>
      <c r="AI24" s="44">
        <f>((G24*R24/diesel_nmpg)*diesel_co2pg-(battery/range_nm)*G24*R24*VLOOKUP(B24,country_opex,4,FALSE))/1000</f>
        <v/>
      </c>
      <c r="AJ24" s="42" t="n">
        <v>46000</v>
      </c>
      <c r="AK24" s="43" t="n"/>
      <c r="AL24" s="43" t="n"/>
      <c r="AM24" s="50" t="n">
        <v>0.1</v>
      </c>
      <c r="AN24" s="45">
        <f>IF(AJ24="","",AJ24*AM24)</f>
        <v/>
      </c>
      <c r="AO24" s="45">
        <f>IF(OR(AJ24="",U24=0),"",MIN(IF(AV24="",9.9E+99,AV24),FLOOR(AN24/U24,1)))</f>
        <v/>
      </c>
      <c r="AP24" s="49">
        <f>IF(AO24="","",AO24*W24)</f>
        <v/>
      </c>
      <c r="AQ24" s="47">
        <f>IF(OR(AJ24="",U24=0),"",MIN(IF(AV24="",9.9E+99,AV24),AN24/U24))</f>
        <v/>
      </c>
      <c r="AR24" s="49">
        <f>IF(AQ24="","",AQ24*W24)</f>
        <v/>
      </c>
      <c r="AS24" s="51" t="n"/>
      <c r="AT24" s="52" t="n"/>
      <c r="AU24" s="52" t="n"/>
      <c r="AV24" s="53" t="n"/>
      <c r="AW24" s="54">
        <f>IF(((V24*pax_cap*load_thin*ROUND(N24*O24*revleg_thin,0))-(((battery/range_nm)*G24*ROUND(N24*O24*revleg_thin,0)*VLOOKUP(B24,country_opex,3,FALSE))+Y24+Z24+AA24+AB24+AC24))&lt;=0,"",VLOOKUP(B24,country_opex,7,FALSE)/((V24*pax_cap*load_thin*ROUND(N24*O24*revleg_thin,0))-(((battery/range_nm)*G24*ROUND(N24*O24*revleg_thin,0)*VLOOKUP(B24,country_opex,3,FALSE))+Y24+Z24+AA24+AB24+AC24)))</f>
        <v/>
      </c>
      <c r="AX24" s="54">
        <f>IF(((V24*pax_cap*load_mid*ROUND(N24*O24*revleg_mid,0))-(((battery/range_nm)*G24*ROUND(N24*O24*revleg_mid,0)*VLOOKUP(B24,country_opex,3,FALSE))+Y24+Z24+AA24+AB24+AC24))&lt;=0,"",VLOOKUP(B24,country_opex,7,FALSE)/((V24*pax_cap*load_mid*ROUND(N24*O24*revleg_mid,0))-(((battery/range_nm)*G24*ROUND(N24*O24*revleg_mid,0)*VLOOKUP(B24,country_opex,3,FALSE))+Y24+Z24+AA24+AB24+AC24)))</f>
        <v/>
      </c>
      <c r="AY24" s="54">
        <f>IF(((V24*pax_cap*load_full*ROUND(N24*O24*revleg_full,0))-(((battery/range_nm)*G24*ROUND(N24*O24*revleg_full,0)*VLOOKUP(B24,country_opex,3,FALSE))+Y24+Z24+AA24+AB24+AC24))&lt;=0,"",VLOOKUP(B24,country_opex,7,FALSE)/((V24*pax_cap*load_full*ROUND(N24*O24*revleg_full,0))-(((battery/range_nm)*G24*ROUND(N24*O24*revleg_full,0)*VLOOKUP(B24,country_opex,3,FALSE))+Y24+Z24+AA24+AB24+AC24)))</f>
        <v/>
      </c>
      <c r="AZ24" s="40" t="inlineStr">
        <is>
          <t>PREMIUM tier: Kapetan Luka 'Krilo'/Jadrolinija fast catamaran Split-&gt;Vis, top foot fare ~EUR 28 (range EUR 6.50-28). EUR 28 x 1.08 = $30.2.</t>
        </is>
      </c>
      <c r="BA24" s="40" t="n"/>
    </row>
    <row r="25">
      <c r="A25" s="38" t="inlineStr">
        <is>
          <t>Bolt Croatia</t>
        </is>
      </c>
      <c r="B25" s="38" t="inlineStr">
        <is>
          <t>Croatia</t>
        </is>
      </c>
      <c r="C25" s="39" t="inlineStr">
        <is>
          <t>Split → Korčula (Korčula Town)</t>
        </is>
      </c>
      <c r="D25" s="38" t="inlineStr">
        <is>
          <t>bolt</t>
        </is>
      </c>
      <c r="E25" s="40" t="inlineStr">
        <is>
          <t>bolt-croatia</t>
        </is>
      </c>
      <c r="F25" s="41" t="n">
        <v>1</v>
      </c>
      <c r="G25" s="42" t="n">
        <v>40</v>
      </c>
      <c r="H25" s="35" t="n">
        <v>32.4</v>
      </c>
      <c r="I25" s="43" t="inlineStr">
        <is>
          <t>T2</t>
        </is>
      </c>
      <c r="J25" s="43" t="inlineStr">
        <is>
          <t>med</t>
        </is>
      </c>
      <c r="K25" s="29" t="n">
        <v>1</v>
      </c>
      <c r="L25" s="44">
        <f>60*G25/cruise_kt</f>
        <v/>
      </c>
      <c r="M25" s="44">
        <f>L25+turn_min+dwell_min</f>
        <v/>
      </c>
      <c r="N25" s="45">
        <f>MIN(10,FLOOR(60*service_hr/M25,1))</f>
        <v/>
      </c>
      <c r="O25" s="45">
        <f>ROUND(365*mech_uptime*K25,0)</f>
        <v/>
      </c>
      <c r="P25" s="46">
        <f>mech_uptime</f>
        <v/>
      </c>
      <c r="Q25" s="46">
        <f>revleg_sel</f>
        <v/>
      </c>
      <c r="R25" s="45">
        <f>ROUND(N25*O25*revleg_sel,0)</f>
        <v/>
      </c>
      <c r="S25" s="47">
        <f>load_sel</f>
        <v/>
      </c>
      <c r="T25" s="47">
        <f>pax_cap*S25</f>
        <v/>
      </c>
      <c r="U25" s="45">
        <f>T25*R25</f>
        <v/>
      </c>
      <c r="V25" s="48">
        <f>H25*discount</f>
        <v/>
      </c>
      <c r="W25" s="49">
        <f>V25*U25</f>
        <v/>
      </c>
      <c r="X25" s="49">
        <f>(battery/range_nm)*G25*R25*VLOOKUP(B25,country_opex,3,FALSE)</f>
        <v/>
      </c>
      <c r="Y25" s="49">
        <f>VLOOKUP(B25,country_opex,2,FALSE)*crew_factor</f>
        <v/>
      </c>
      <c r="Z25" s="49">
        <f>VLOOKUP(B25,country_opex,5,FALSE)</f>
        <v/>
      </c>
      <c r="AA25" s="49">
        <f>maint</f>
        <v/>
      </c>
      <c r="AB25" s="49">
        <f>VLOOKUP(B25,country_opex,7,FALSE)*ins_pct</f>
        <v/>
      </c>
      <c r="AC25" s="49">
        <f>charge_berth</f>
        <v/>
      </c>
      <c r="AD25" s="49">
        <f>X25+Y25+Z25+AA25+AB25+AC25</f>
        <v/>
      </c>
      <c r="AE25" s="49">
        <f>VLOOKUP(B25,country_opex,7,FALSE)/dep_years</f>
        <v/>
      </c>
      <c r="AF25" s="49">
        <f>W25-AD25</f>
        <v/>
      </c>
      <c r="AG25" s="46">
        <f>IF(W25=0,"",AF25/W25)</f>
        <v/>
      </c>
      <c r="AH25" s="47">
        <f>IF(AF25&lt;=0,"",VLOOKUP(B25,country_opex,7,FALSE)/AF25)</f>
        <v/>
      </c>
      <c r="AI25" s="44">
        <f>((G25*R25/diesel_nmpg)*diesel_co2pg-(battery/range_nm)*G25*R25*VLOOKUP(B25,country_opex,4,FALSE))/1000</f>
        <v/>
      </c>
      <c r="AJ25" s="42" t="n">
        <v>183000</v>
      </c>
      <c r="AK25" s="43" t="n"/>
      <c r="AL25" s="43" t="n"/>
      <c r="AM25" s="50" t="n">
        <v>0.1</v>
      </c>
      <c r="AN25" s="45">
        <f>IF(AJ25="","",AJ25*AM25)</f>
        <v/>
      </c>
      <c r="AO25" s="45">
        <f>IF(OR(AJ25="",U25=0),"",MIN(IF(AV25="",9.9E+99,AV25),FLOOR(AN25/U25,1)))</f>
        <v/>
      </c>
      <c r="AP25" s="49">
        <f>IF(AO25="","",AO25*W25)</f>
        <v/>
      </c>
      <c r="AQ25" s="47">
        <f>IF(OR(AJ25="",U25=0),"",MIN(IF(AV25="",9.9E+99,AV25),AN25/U25))</f>
        <v/>
      </c>
      <c r="AR25" s="49">
        <f>IF(AQ25="","",AQ25*W25)</f>
        <v/>
      </c>
      <c r="AS25" s="51" t="n"/>
      <c r="AT25" s="52" t="n"/>
      <c r="AU25" s="52" t="n"/>
      <c r="AV25" s="53" t="n"/>
      <c r="AW25" s="54">
        <f>IF(((V25*pax_cap*load_thin*ROUND(N25*O25*revleg_thin,0))-(((battery/range_nm)*G25*ROUND(N25*O25*revleg_thin,0)*VLOOKUP(B25,country_opex,3,FALSE))+Y25+Z25+AA25+AB25+AC25))&lt;=0,"",VLOOKUP(B25,country_opex,7,FALSE)/((V25*pax_cap*load_thin*ROUND(N25*O25*revleg_thin,0))-(((battery/range_nm)*G25*ROUND(N25*O25*revleg_thin,0)*VLOOKUP(B25,country_opex,3,FALSE))+Y25+Z25+AA25+AB25+AC25)))</f>
        <v/>
      </c>
      <c r="AX25" s="54">
        <f>IF(((V25*pax_cap*load_mid*ROUND(N25*O25*revleg_mid,0))-(((battery/range_nm)*G25*ROUND(N25*O25*revleg_mid,0)*VLOOKUP(B25,country_opex,3,FALSE))+Y25+Z25+AA25+AB25+AC25))&lt;=0,"",VLOOKUP(B25,country_opex,7,FALSE)/((V25*pax_cap*load_mid*ROUND(N25*O25*revleg_mid,0))-(((battery/range_nm)*G25*ROUND(N25*O25*revleg_mid,0)*VLOOKUP(B25,country_opex,3,FALSE))+Y25+Z25+AA25+AB25+AC25)))</f>
        <v/>
      </c>
      <c r="AY25" s="54">
        <f>IF(((V25*pax_cap*load_full*ROUND(N25*O25*revleg_full,0))-(((battery/range_nm)*G25*ROUND(N25*O25*revleg_full,0)*VLOOKUP(B25,country_opex,3,FALSE))+Y25+Z25+AA25+AB25+AC25))&lt;=0,"",VLOOKUP(B25,country_opex,7,FALSE)/((V25*pax_cap*load_full*ROUND(N25*O25*revleg_full,0))-(((battery/range_nm)*G25*ROUND(N25*O25*revleg_full,0)*VLOOKUP(B25,country_opex,3,FALSE))+Y25+Z25+AA25+AB25+AC25)))</f>
        <v/>
      </c>
      <c r="AZ25" s="40" t="inlineStr">
        <is>
          <t>PREMIUM tier: high-season fast catamaran Split-&gt;Korčula adult up to EUR 30 (Krilo/TP Line). EUR 30 x 1.08 = $32.4.</t>
        </is>
      </c>
      <c r="BA25" s="40" t="n"/>
    </row>
    <row r="26">
      <c r="A26" s="38" t="inlineStr">
        <is>
          <t>Bolt Croatia</t>
        </is>
      </c>
      <c r="B26" s="38" t="inlineStr">
        <is>
          <t>Croatia</t>
        </is>
      </c>
      <c r="C26" s="39" t="inlineStr">
        <is>
          <t>Dubrovnik → Kotor (Montenegro)</t>
        </is>
      </c>
      <c r="D26" s="38" t="inlineStr">
        <is>
          <t>bolt</t>
        </is>
      </c>
      <c r="E26" s="40" t="inlineStr">
        <is>
          <t>bolt-croatia</t>
        </is>
      </c>
      <c r="F26" s="41" t="n">
        <v>1</v>
      </c>
      <c r="G26" s="42" t="n">
        <v>40</v>
      </c>
      <c r="H26" s="35" t="n"/>
      <c r="I26" s="43" t="n"/>
      <c r="J26" s="43" t="n"/>
      <c r="K26" s="29" t="n">
        <v>1</v>
      </c>
      <c r="L26" s="44">
        <f>60*G26/cruise_kt</f>
        <v/>
      </c>
      <c r="M26" s="44">
        <f>L26+turn_min+dwell_min</f>
        <v/>
      </c>
      <c r="N26" s="45">
        <f>MIN(10,FLOOR(60*service_hr/M26,1))</f>
        <v/>
      </c>
      <c r="O26" s="45">
        <f>ROUND(365*mech_uptime*K26,0)</f>
        <v/>
      </c>
      <c r="P26" s="46">
        <f>mech_uptime</f>
        <v/>
      </c>
      <c r="Q26" s="46">
        <f>revleg_sel</f>
        <v/>
      </c>
      <c r="R26" s="45">
        <f>ROUND(N26*O26*revleg_sel,0)</f>
        <v/>
      </c>
      <c r="S26" s="47">
        <f>load_sel</f>
        <v/>
      </c>
      <c r="T26" s="47">
        <f>pax_cap*S26</f>
        <v/>
      </c>
      <c r="U26" s="45">
        <f>T26*R26</f>
        <v/>
      </c>
      <c r="V26" s="48">
        <f>H26*discount</f>
        <v/>
      </c>
      <c r="W26" s="49">
        <f>V26*U26</f>
        <v/>
      </c>
      <c r="X26" s="49">
        <f>(battery/range_nm)*G26*R26*VLOOKUP(B26,country_opex,3,FALSE)</f>
        <v/>
      </c>
      <c r="Y26" s="49">
        <f>VLOOKUP(B26,country_opex,2,FALSE)*crew_factor</f>
        <v/>
      </c>
      <c r="Z26" s="49">
        <f>VLOOKUP(B26,country_opex,5,FALSE)</f>
        <v/>
      </c>
      <c r="AA26" s="49">
        <f>maint</f>
        <v/>
      </c>
      <c r="AB26" s="49">
        <f>VLOOKUP(B26,country_opex,7,FALSE)*ins_pct</f>
        <v/>
      </c>
      <c r="AC26" s="49">
        <f>charge_berth</f>
        <v/>
      </c>
      <c r="AD26" s="49">
        <f>X26+Y26+Z26+AA26+AB26+AC26</f>
        <v/>
      </c>
      <c r="AE26" s="49">
        <f>VLOOKUP(B26,country_opex,7,FALSE)/dep_years</f>
        <v/>
      </c>
      <c r="AF26" s="49">
        <f>W26-AD26</f>
        <v/>
      </c>
      <c r="AG26" s="46">
        <f>IF(W26=0,"",AF26/W26)</f>
        <v/>
      </c>
      <c r="AH26" s="47">
        <f>IF(AF26&lt;=0,"",VLOOKUP(B26,country_opex,7,FALSE)/AF26)</f>
        <v/>
      </c>
      <c r="AI26" s="44">
        <f>((G26*R26/diesel_nmpg)*diesel_co2pg-(battery/range_nm)*G26*R26*VLOOKUP(B26,country_opex,4,FALSE))/1000</f>
        <v/>
      </c>
      <c r="AJ26" s="42" t="n"/>
      <c r="AK26" s="43" t="n"/>
      <c r="AL26" s="43" t="n"/>
      <c r="AM26" s="50" t="n">
        <v>0.1</v>
      </c>
      <c r="AN26" s="45">
        <f>IF(AJ26="","",AJ26*AM26)</f>
        <v/>
      </c>
      <c r="AO26" s="45">
        <f>IF(OR(AJ26="",U26=0),"",MIN(IF(AV26="",9.9E+99,AV26),FLOOR(AN26/U26,1)))</f>
        <v/>
      </c>
      <c r="AP26" s="49">
        <f>IF(AO26="","",AO26*W26)</f>
        <v/>
      </c>
      <c r="AQ26" s="47">
        <f>IF(OR(AJ26="",U26=0),"",MIN(IF(AV26="",9.9E+99,AV26),AN26/U26))</f>
        <v/>
      </c>
      <c r="AR26" s="49">
        <f>IF(AQ26="","",AQ26*W26)</f>
        <v/>
      </c>
      <c r="AS26" s="51" t="n"/>
      <c r="AT26" s="52" t="n"/>
      <c r="AU26" s="52" t="n"/>
      <c r="AV26" s="53" t="n"/>
      <c r="AW26" s="54">
        <f>IF(((V26*pax_cap*load_thin*ROUND(N26*O26*revleg_thin,0))-(((battery/range_nm)*G26*ROUND(N26*O26*revleg_thin,0)*VLOOKUP(B26,country_opex,3,FALSE))+Y26+Z26+AA26+AB26+AC26))&lt;=0,"",VLOOKUP(B26,country_opex,7,FALSE)/((V26*pax_cap*load_thin*ROUND(N26*O26*revleg_thin,0))-(((battery/range_nm)*G26*ROUND(N26*O26*revleg_thin,0)*VLOOKUP(B26,country_opex,3,FALSE))+Y26+Z26+AA26+AB26+AC26)))</f>
        <v/>
      </c>
      <c r="AX26" s="54">
        <f>IF(((V26*pax_cap*load_mid*ROUND(N26*O26*revleg_mid,0))-(((battery/range_nm)*G26*ROUND(N26*O26*revleg_mid,0)*VLOOKUP(B26,country_opex,3,FALSE))+Y26+Z26+AA26+AB26+AC26))&lt;=0,"",VLOOKUP(B26,country_opex,7,FALSE)/((V26*pax_cap*load_mid*ROUND(N26*O26*revleg_mid,0))-(((battery/range_nm)*G26*ROUND(N26*O26*revleg_mid,0)*VLOOKUP(B26,country_opex,3,FALSE))+Y26+Z26+AA26+AB26+AC26)))</f>
        <v/>
      </c>
      <c r="AY26" s="54">
        <f>IF(((V26*pax_cap*load_full*ROUND(N26*O26*revleg_full,0))-(((battery/range_nm)*G26*ROUND(N26*O26*revleg_full,0)*VLOOKUP(B26,country_opex,3,FALSE))+Y26+Z26+AA26+AB26+AC26))&lt;=0,"",VLOOKUP(B26,country_opex,7,FALSE)/((V26*pax_cap*load_full*ROUND(N26*O26*revleg_full,0))-(((battery/range_nm)*G26*ROUND(N26*O26*revleg_full,0)*VLOOKUP(B26,country_opex,3,FALSE))+Y26+Z26+AA26+AB26+AC26)))</f>
        <v/>
      </c>
      <c r="AZ26" s="40" t="n"/>
      <c r="BA26" s="40" t="n"/>
    </row>
    <row r="27">
      <c r="A27" s="38" t="inlineStr">
        <is>
          <t>Bolt Croatia</t>
        </is>
      </c>
      <c r="B27" s="38" t="inlineStr">
        <is>
          <t>Croatia</t>
        </is>
      </c>
      <c r="C27" s="39" t="inlineStr">
        <is>
          <t>Dubrovnik → Korčula (Korčula Town)</t>
        </is>
      </c>
      <c r="D27" s="38" t="inlineStr">
        <is>
          <t>bolt</t>
        </is>
      </c>
      <c r="E27" s="40" t="inlineStr">
        <is>
          <t>bolt-croatia</t>
        </is>
      </c>
      <c r="F27" s="41" t="n">
        <v>1</v>
      </c>
      <c r="G27" s="42" t="n">
        <v>47</v>
      </c>
      <c r="H27" s="35" t="n">
        <v>32.4</v>
      </c>
      <c r="I27" s="43" t="inlineStr">
        <is>
          <t>T2</t>
        </is>
      </c>
      <c r="J27" s="43" t="inlineStr">
        <is>
          <t>med</t>
        </is>
      </c>
      <c r="K27" s="29" t="n">
        <v>1</v>
      </c>
      <c r="L27" s="44">
        <f>60*G27/cruise_kt</f>
        <v/>
      </c>
      <c r="M27" s="44">
        <f>L27+turn_min+dwell_min</f>
        <v/>
      </c>
      <c r="N27" s="45">
        <f>MIN(10,FLOOR(60*service_hr/M27,1))</f>
        <v/>
      </c>
      <c r="O27" s="45">
        <f>ROUND(365*mech_uptime*K27,0)</f>
        <v/>
      </c>
      <c r="P27" s="46">
        <f>mech_uptime</f>
        <v/>
      </c>
      <c r="Q27" s="46">
        <f>revleg_sel</f>
        <v/>
      </c>
      <c r="R27" s="45">
        <f>ROUND(N27*O27*revleg_sel,0)</f>
        <v/>
      </c>
      <c r="S27" s="47">
        <f>load_sel</f>
        <v/>
      </c>
      <c r="T27" s="47">
        <f>pax_cap*S27</f>
        <v/>
      </c>
      <c r="U27" s="45">
        <f>T27*R27</f>
        <v/>
      </c>
      <c r="V27" s="48">
        <f>H27*discount</f>
        <v/>
      </c>
      <c r="W27" s="49">
        <f>V27*U27</f>
        <v/>
      </c>
      <c r="X27" s="49">
        <f>(battery/range_nm)*G27*R27*VLOOKUP(B27,country_opex,3,FALSE)</f>
        <v/>
      </c>
      <c r="Y27" s="49">
        <f>VLOOKUP(B27,country_opex,2,FALSE)*crew_factor</f>
        <v/>
      </c>
      <c r="Z27" s="49">
        <f>VLOOKUP(B27,country_opex,5,FALSE)</f>
        <v/>
      </c>
      <c r="AA27" s="49">
        <f>maint</f>
        <v/>
      </c>
      <c r="AB27" s="49">
        <f>VLOOKUP(B27,country_opex,7,FALSE)*ins_pct</f>
        <v/>
      </c>
      <c r="AC27" s="49">
        <f>charge_berth</f>
        <v/>
      </c>
      <c r="AD27" s="49">
        <f>X27+Y27+Z27+AA27+AB27+AC27</f>
        <v/>
      </c>
      <c r="AE27" s="49">
        <f>VLOOKUP(B27,country_opex,7,FALSE)/dep_years</f>
        <v/>
      </c>
      <c r="AF27" s="49">
        <f>W27-AD27</f>
        <v/>
      </c>
      <c r="AG27" s="46">
        <f>IF(W27=0,"",AF27/W27)</f>
        <v/>
      </c>
      <c r="AH27" s="47">
        <f>IF(AF27&lt;=0,"",VLOOKUP(B27,country_opex,7,FALSE)/AF27)</f>
        <v/>
      </c>
      <c r="AI27" s="44">
        <f>((G27*R27/diesel_nmpg)*diesel_co2pg-(battery/range_nm)*G27*R27*VLOOKUP(B27,country_opex,4,FALSE))/1000</f>
        <v/>
      </c>
      <c r="AJ27" s="42" t="n"/>
      <c r="AK27" s="43" t="n"/>
      <c r="AL27" s="43" t="n"/>
      <c r="AM27" s="50" t="n">
        <v>0.1</v>
      </c>
      <c r="AN27" s="45">
        <f>IF(AJ27="","",AJ27*AM27)</f>
        <v/>
      </c>
      <c r="AO27" s="45">
        <f>IF(OR(AJ27="",U27=0),"",MIN(IF(AV27="",9.9E+99,AV27),FLOOR(AN27/U27,1)))</f>
        <v/>
      </c>
      <c r="AP27" s="49">
        <f>IF(AO27="","",AO27*W27)</f>
        <v/>
      </c>
      <c r="AQ27" s="47">
        <f>IF(OR(AJ27="",U27=0),"",MIN(IF(AV27="",9.9E+99,AV27),AN27/U27))</f>
        <v/>
      </c>
      <c r="AR27" s="49">
        <f>IF(AQ27="","",AQ27*W27)</f>
        <v/>
      </c>
      <c r="AS27" s="51" t="n"/>
      <c r="AT27" s="52" t="n"/>
      <c r="AU27" s="52" t="n"/>
      <c r="AV27" s="53" t="n"/>
      <c r="AW27" s="54">
        <f>IF(((V27*pax_cap*load_thin*ROUND(N27*O27*revleg_thin,0))-(((battery/range_nm)*G27*ROUND(N27*O27*revleg_thin,0)*VLOOKUP(B27,country_opex,3,FALSE))+Y27+Z27+AA27+AB27+AC27))&lt;=0,"",VLOOKUP(B27,country_opex,7,FALSE)/((V27*pax_cap*load_thin*ROUND(N27*O27*revleg_thin,0))-(((battery/range_nm)*G27*ROUND(N27*O27*revleg_thin,0)*VLOOKUP(B27,country_opex,3,FALSE))+Y27+Z27+AA27+AB27+AC27)))</f>
        <v/>
      </c>
      <c r="AX27" s="54">
        <f>IF(((V27*pax_cap*load_mid*ROUND(N27*O27*revleg_mid,0))-(((battery/range_nm)*G27*ROUND(N27*O27*revleg_mid,0)*VLOOKUP(B27,country_opex,3,FALSE))+Y27+Z27+AA27+AB27+AC27))&lt;=0,"",VLOOKUP(B27,country_opex,7,FALSE)/((V27*pax_cap*load_mid*ROUND(N27*O27*revleg_mid,0))-(((battery/range_nm)*G27*ROUND(N27*O27*revleg_mid,0)*VLOOKUP(B27,country_opex,3,FALSE))+Y27+Z27+AA27+AB27+AC27)))</f>
        <v/>
      </c>
      <c r="AY27" s="54">
        <f>IF(((V27*pax_cap*load_full*ROUND(N27*O27*revleg_full,0))-(((battery/range_nm)*G27*ROUND(N27*O27*revleg_full,0)*VLOOKUP(B27,country_opex,3,FALSE))+Y27+Z27+AA27+AB27+AC27))&lt;=0,"",VLOOKUP(B27,country_opex,7,FALSE)/((V27*pax_cap*load_full*ROUND(N27*O27*revleg_full,0))-(((battery/range_nm)*G27*ROUND(N27*O27*revleg_full,0)*VLOOKUP(B27,country_opex,3,FALSE))+Y27+Z27+AA27+AB27+AC27)))</f>
        <v/>
      </c>
      <c r="AZ27" s="40" t="inlineStr">
        <is>
          <t>PREMIUM tier: high-season catamaran Dubrovnik-&gt;Korčula adult up to EUR 30 (TP Line/Krilo). EUR 30 x 1.08 = $32.4.</t>
        </is>
      </c>
      <c r="BA27" s="40" t="n"/>
    </row>
    <row r="28">
      <c r="A28" s="38" t="inlineStr">
        <is>
          <t>Bolt Cyprus</t>
        </is>
      </c>
      <c r="B28" s="38" t="inlineStr">
        <is>
          <t>Cyprus</t>
        </is>
      </c>
      <c r="C28" s="39" t="inlineStr">
        <is>
          <t>Ayia Napa → Protaras</t>
        </is>
      </c>
      <c r="D28" s="38" t="inlineStr">
        <is>
          <t>bolt</t>
        </is>
      </c>
      <c r="E28" s="40" t="inlineStr">
        <is>
          <t>bolt-cyprus</t>
        </is>
      </c>
      <c r="F28" s="41" t="n">
        <v>1</v>
      </c>
      <c r="G28" s="42" t="n">
        <v>7</v>
      </c>
      <c r="H28" s="35" t="n">
        <v>32</v>
      </c>
      <c r="I28" s="43" t="inlineStr">
        <is>
          <t>T2</t>
        </is>
      </c>
      <c r="J28" s="43" t="inlineStr">
        <is>
          <t>med</t>
        </is>
      </c>
      <c r="K28" s="29" t="n">
        <v>1</v>
      </c>
      <c r="L28" s="44">
        <f>60*G28/cruise_kt</f>
        <v/>
      </c>
      <c r="M28" s="44">
        <f>L28+turn_min+dwell_min</f>
        <v/>
      </c>
      <c r="N28" s="45">
        <f>MIN(16,FLOOR(60*service_hr/M28,1))</f>
        <v/>
      </c>
      <c r="O28" s="45">
        <f>ROUND(365*mech_uptime*K28,0)</f>
        <v/>
      </c>
      <c r="P28" s="46">
        <f>mech_uptime</f>
        <v/>
      </c>
      <c r="Q28" s="46">
        <f>revleg_sel</f>
        <v/>
      </c>
      <c r="R28" s="45">
        <f>ROUND(N28*O28*revleg_sel,0)</f>
        <v/>
      </c>
      <c r="S28" s="47">
        <f>load_sel</f>
        <v/>
      </c>
      <c r="T28" s="47">
        <f>pax_cap*S28</f>
        <v/>
      </c>
      <c r="U28" s="45">
        <f>T28*R28</f>
        <v/>
      </c>
      <c r="V28" s="48">
        <f>H28*discount</f>
        <v/>
      </c>
      <c r="W28" s="49">
        <f>V28*U28</f>
        <v/>
      </c>
      <c r="X28" s="49">
        <f>(battery/range_nm)*G28*R28*VLOOKUP(B28,country_opex,3,FALSE)</f>
        <v/>
      </c>
      <c r="Y28" s="49">
        <f>VLOOKUP(B28,country_opex,2,FALSE)*crew_factor</f>
        <v/>
      </c>
      <c r="Z28" s="49">
        <f>VLOOKUP(B28,country_opex,5,FALSE)</f>
        <v/>
      </c>
      <c r="AA28" s="49">
        <f>maint</f>
        <v/>
      </c>
      <c r="AB28" s="49">
        <f>VLOOKUP(B28,country_opex,7,FALSE)*ins_pct</f>
        <v/>
      </c>
      <c r="AC28" s="49">
        <f>charge_berth</f>
        <v/>
      </c>
      <c r="AD28" s="49">
        <f>X28+Y28+Z28+AA28+AB28+AC28</f>
        <v/>
      </c>
      <c r="AE28" s="49">
        <f>VLOOKUP(B28,country_opex,7,FALSE)/dep_years</f>
        <v/>
      </c>
      <c r="AF28" s="49">
        <f>W28-AD28</f>
        <v/>
      </c>
      <c r="AG28" s="46">
        <f>IF(W28=0,"",AF28/W28)</f>
        <v/>
      </c>
      <c r="AH28" s="47">
        <f>IF(AF28&lt;=0,"",VLOOKUP(B28,country_opex,7,FALSE)/AF28)</f>
        <v/>
      </c>
      <c r="AI28" s="44">
        <f>((G28*R28/diesel_nmpg)*diesel_co2pg-(battery/range_nm)*G28*R28*VLOOKUP(B28,country_opex,4,FALSE))/1000</f>
        <v/>
      </c>
      <c r="AJ28" s="42" t="n"/>
      <c r="AK28" s="43" t="n"/>
      <c r="AL28" s="43" t="n"/>
      <c r="AM28" s="50" t="n">
        <v>0.1</v>
      </c>
      <c r="AN28" s="45">
        <f>IF(AJ28="","",AJ28*AM28)</f>
        <v/>
      </c>
      <c r="AO28" s="45">
        <f>IF(OR(AJ28="",U28=0),"",MIN(IF(AV28="",9.9E+99,AV28),FLOOR(AN28/U28,1)))</f>
        <v/>
      </c>
      <c r="AP28" s="49">
        <f>IF(AO28="","",AO28*W28)</f>
        <v/>
      </c>
      <c r="AQ28" s="47">
        <f>IF(OR(AJ28="",U28=0),"",MIN(IF(AV28="",9.9E+99,AV28),AN28/U28))</f>
        <v/>
      </c>
      <c r="AR28" s="49">
        <f>IF(AQ28="","",AQ28*W28)</f>
        <v/>
      </c>
      <c r="AS28" s="51" t="n"/>
      <c r="AT28" s="52" t="n"/>
      <c r="AU28" s="52" t="n"/>
      <c r="AV28" s="53" t="n"/>
      <c r="AW28" s="54">
        <f>IF(((V28*pax_cap*load_thin*ROUND(N28*O28*revleg_thin,0))-(((battery/range_nm)*G28*ROUND(N28*O28*revleg_thin,0)*VLOOKUP(B28,country_opex,3,FALSE))+Y28+Z28+AA28+AB28+AC28))&lt;=0,"",VLOOKUP(B28,country_opex,7,FALSE)/((V28*pax_cap*load_thin*ROUND(N28*O28*revleg_thin,0))-(((battery/range_nm)*G28*ROUND(N28*O28*revleg_thin,0)*VLOOKUP(B28,country_opex,3,FALSE))+Y28+Z28+AA28+AB28+AC28)))</f>
        <v/>
      </c>
      <c r="AX28" s="54">
        <f>IF(((V28*pax_cap*load_mid*ROUND(N28*O28*revleg_mid,0))-(((battery/range_nm)*G28*ROUND(N28*O28*revleg_mid,0)*VLOOKUP(B28,country_opex,3,FALSE))+Y28+Z28+AA28+AB28+AC28))&lt;=0,"",VLOOKUP(B28,country_opex,7,FALSE)/((V28*pax_cap*load_mid*ROUND(N28*O28*revleg_mid,0))-(((battery/range_nm)*G28*ROUND(N28*O28*revleg_mid,0)*VLOOKUP(B28,country_opex,3,FALSE))+Y28+Z28+AA28+AB28+AC28)))</f>
        <v/>
      </c>
      <c r="AY28" s="54">
        <f>IF(((V28*pax_cap*load_full*ROUND(N28*O28*revleg_full,0))-(((battery/range_nm)*G28*ROUND(N28*O28*revleg_full,0)*VLOOKUP(B28,country_opex,3,FALSE))+Y28+Z28+AA28+AB28+AC28))&lt;=0,"",VLOOKUP(B28,country_opex,7,FALSE)/((V28*pax_cap*load_full*ROUND(N28*O28*revleg_full,0))-(((battery/range_nm)*G28*ROUND(N28*O28*revleg_full,0)*VLOOKUP(B28,country_opex,3,FALSE))+Y28+Z28+AA28+AB28+AC28)))</f>
        <v/>
      </c>
      <c r="AZ28" s="40" t="inlineStr">
        <is>
          <t>PREMIUM tier (sea analogue) = scheduled Ayia Napa/Protaras Cape Greco cruise per-seat ~EUR 30/pax (~$32); semi-private EUR 99/pax (MedCruises) as charter context.</t>
        </is>
      </c>
      <c r="BA28" s="40" t="n"/>
    </row>
    <row r="29">
      <c r="A29" s="38" t="inlineStr">
        <is>
          <t>Bolt Cyprus</t>
        </is>
      </c>
      <c r="B29" s="38" t="inlineStr">
        <is>
          <t>Cyprus</t>
        </is>
      </c>
      <c r="C29" s="39" t="inlineStr">
        <is>
          <t>Paphos Airport (PFO) → Paphos resorts (Coral Bay)</t>
        </is>
      </c>
      <c r="D29" s="38" t="inlineStr">
        <is>
          <t>bolt</t>
        </is>
      </c>
      <c r="E29" s="40" t="inlineStr">
        <is>
          <t>bolt-cyprus</t>
        </is>
      </c>
      <c r="F29" s="41" t="n">
        <v>1</v>
      </c>
      <c r="G29" s="42" t="n">
        <v>12</v>
      </c>
      <c r="H29" s="35" t="n">
        <v>32</v>
      </c>
      <c r="I29" s="43" t="inlineStr">
        <is>
          <t>T2</t>
        </is>
      </c>
      <c r="J29" s="43" t="inlineStr">
        <is>
          <t>med</t>
        </is>
      </c>
      <c r="K29" s="29" t="n">
        <v>1</v>
      </c>
      <c r="L29" s="44">
        <f>60*G29/cruise_kt</f>
        <v/>
      </c>
      <c r="M29" s="44">
        <f>L29+turn_min+dwell_min</f>
        <v/>
      </c>
      <c r="N29" s="45">
        <f>MIN(10,FLOOR(60*service_hr/M29,1))</f>
        <v/>
      </c>
      <c r="O29" s="45">
        <f>ROUND(365*mech_uptime*K29,0)</f>
        <v/>
      </c>
      <c r="P29" s="46">
        <f>mech_uptime</f>
        <v/>
      </c>
      <c r="Q29" s="46">
        <f>revleg_sel</f>
        <v/>
      </c>
      <c r="R29" s="45">
        <f>ROUND(N29*O29*revleg_sel,0)</f>
        <v/>
      </c>
      <c r="S29" s="47">
        <f>load_sel</f>
        <v/>
      </c>
      <c r="T29" s="47">
        <f>pax_cap*S29</f>
        <v/>
      </c>
      <c r="U29" s="45">
        <f>T29*R29</f>
        <v/>
      </c>
      <c r="V29" s="48">
        <f>H29*discount</f>
        <v/>
      </c>
      <c r="W29" s="49">
        <f>V29*U29</f>
        <v/>
      </c>
      <c r="X29" s="49">
        <f>(battery/range_nm)*G29*R29*VLOOKUP(B29,country_opex,3,FALSE)</f>
        <v/>
      </c>
      <c r="Y29" s="49">
        <f>VLOOKUP(B29,country_opex,2,FALSE)*crew_factor</f>
        <v/>
      </c>
      <c r="Z29" s="49">
        <f>VLOOKUP(B29,country_opex,5,FALSE)</f>
        <v/>
      </c>
      <c r="AA29" s="49">
        <f>maint</f>
        <v/>
      </c>
      <c r="AB29" s="49">
        <f>VLOOKUP(B29,country_opex,7,FALSE)*ins_pct</f>
        <v/>
      </c>
      <c r="AC29" s="49">
        <f>charge_berth</f>
        <v/>
      </c>
      <c r="AD29" s="49">
        <f>X29+Y29+Z29+AA29+AB29+AC29</f>
        <v/>
      </c>
      <c r="AE29" s="49">
        <f>VLOOKUP(B29,country_opex,7,FALSE)/dep_years</f>
        <v/>
      </c>
      <c r="AF29" s="49">
        <f>W29-AD29</f>
        <v/>
      </c>
      <c r="AG29" s="46">
        <f>IF(W29=0,"",AF29/W29)</f>
        <v/>
      </c>
      <c r="AH29" s="47">
        <f>IF(AF29&lt;=0,"",VLOOKUP(B29,country_opex,7,FALSE)/AF29)</f>
        <v/>
      </c>
      <c r="AI29" s="44">
        <f>((G29*R29/diesel_nmpg)*diesel_co2pg-(battery/range_nm)*G29*R29*VLOOKUP(B29,country_opex,4,FALSE))/1000</f>
        <v/>
      </c>
      <c r="AJ29" s="42" t="n">
        <v>40000</v>
      </c>
      <c r="AK29" s="43" t="n"/>
      <c r="AL29" s="43" t="n"/>
      <c r="AM29" s="50" t="n">
        <v>0.1</v>
      </c>
      <c r="AN29" s="45">
        <f>IF(AJ29="","",AJ29*AM29)</f>
        <v/>
      </c>
      <c r="AO29" s="45">
        <f>IF(OR(AJ29="",U29=0),"",MIN(IF(AV29="",9.9E+99,AV29),FLOOR(AN29/U29,1)))</f>
        <v/>
      </c>
      <c r="AP29" s="49">
        <f>IF(AO29="","",AO29*W29)</f>
        <v/>
      </c>
      <c r="AQ29" s="47">
        <f>IF(OR(AJ29="",U29=0),"",MIN(IF(AV29="",9.9E+99,AV29),AN29/U29))</f>
        <v/>
      </c>
      <c r="AR29" s="49">
        <f>IF(AQ29="","",AQ29*W29)</f>
        <v/>
      </c>
      <c r="AS29" s="51" t="n"/>
      <c r="AT29" s="52" t="n"/>
      <c r="AU29" s="52" t="n"/>
      <c r="AV29" s="53" t="n"/>
      <c r="AW29" s="54">
        <f>IF(((V29*pax_cap*load_thin*ROUND(N29*O29*revleg_thin,0))-(((battery/range_nm)*G29*ROUND(N29*O29*revleg_thin,0)*VLOOKUP(B29,country_opex,3,FALSE))+Y29+Z29+AA29+AB29+AC29))&lt;=0,"",VLOOKUP(B29,country_opex,7,FALSE)/((V29*pax_cap*load_thin*ROUND(N29*O29*revleg_thin,0))-(((battery/range_nm)*G29*ROUND(N29*O29*revleg_thin,0)*VLOOKUP(B29,country_opex,3,FALSE))+Y29+Z29+AA29+AB29+AC29)))</f>
        <v/>
      </c>
      <c r="AX29" s="54">
        <f>IF(((V29*pax_cap*load_mid*ROUND(N29*O29*revleg_mid,0))-(((battery/range_nm)*G29*ROUND(N29*O29*revleg_mid,0)*VLOOKUP(B29,country_opex,3,FALSE))+Y29+Z29+AA29+AB29+AC29))&lt;=0,"",VLOOKUP(B29,country_opex,7,FALSE)/((V29*pax_cap*load_mid*ROUND(N29*O29*revleg_mid,0))-(((battery/range_nm)*G29*ROUND(N29*O29*revleg_mid,0)*VLOOKUP(B29,country_opex,3,FALSE))+Y29+Z29+AA29+AB29+AC29)))</f>
        <v/>
      </c>
      <c r="AY29" s="54">
        <f>IF(((V29*pax_cap*load_full*ROUND(N29*O29*revleg_full,0))-(((battery/range_nm)*G29*ROUND(N29*O29*revleg_full,0)*VLOOKUP(B29,country_opex,3,FALSE))+Y29+Z29+AA29+AB29+AC29))&lt;=0,"",VLOOKUP(B29,country_opex,7,FALSE)/((V29*pax_cap*load_full*ROUND(N29*O29*revleg_full,0))-(((battery/range_nm)*G29*ROUND(N29*O29*revleg_full,0)*VLOOKUP(B29,country_opex,3,FALSE))+Y29+Z29+AA29+AB29+AC29)))</f>
        <v/>
      </c>
      <c r="AZ29" s="40" t="inlineStr">
        <is>
          <t>PREMIUM tier (sea analogue) = Paphos Harbour scheduled sea-cruise / glass-bottom-boat per-seat ~EUR 30/pax (~$32); premium shared road transfer PFO&lt;-&gt;Paphos ~EUR 20-30 as cross-check.</t>
        </is>
      </c>
      <c r="BA29" s="40" t="n"/>
    </row>
    <row r="30">
      <c r="A30" s="38" t="inlineStr">
        <is>
          <t>Bolt Cyprus</t>
        </is>
      </c>
      <c r="B30" s="38" t="inlineStr">
        <is>
          <t>Cyprus</t>
        </is>
      </c>
      <c r="C30" s="39" t="inlineStr">
        <is>
          <t>Larnaca → Ayia Napa</t>
        </is>
      </c>
      <c r="D30" s="38" t="inlineStr">
        <is>
          <t>bolt</t>
        </is>
      </c>
      <c r="E30" s="40" t="inlineStr">
        <is>
          <t>bolt-cyprus</t>
        </is>
      </c>
      <c r="F30" s="41" t="n">
        <v>1</v>
      </c>
      <c r="G30" s="42" t="n">
        <v>19</v>
      </c>
      <c r="H30" s="35" t="n">
        <v>32</v>
      </c>
      <c r="I30" s="43" t="inlineStr">
        <is>
          <t>T2</t>
        </is>
      </c>
      <c r="J30" s="43" t="inlineStr">
        <is>
          <t>med</t>
        </is>
      </c>
      <c r="K30" s="29" t="n">
        <v>1</v>
      </c>
      <c r="L30" s="44">
        <f>60*G30/cruise_kt</f>
        <v/>
      </c>
      <c r="M30" s="44">
        <f>L30+turn_min+dwell_min</f>
        <v/>
      </c>
      <c r="N30" s="45">
        <f>MIN(16,FLOOR(60*service_hr/M30,1))</f>
        <v/>
      </c>
      <c r="O30" s="45">
        <f>ROUND(365*mech_uptime*K30,0)</f>
        <v/>
      </c>
      <c r="P30" s="46">
        <f>mech_uptime</f>
        <v/>
      </c>
      <c r="Q30" s="46">
        <f>revleg_sel</f>
        <v/>
      </c>
      <c r="R30" s="45">
        <f>ROUND(N30*O30*revleg_sel,0)</f>
        <v/>
      </c>
      <c r="S30" s="47">
        <f>load_sel</f>
        <v/>
      </c>
      <c r="T30" s="47">
        <f>pax_cap*S30</f>
        <v/>
      </c>
      <c r="U30" s="45">
        <f>T30*R30</f>
        <v/>
      </c>
      <c r="V30" s="48">
        <f>H30*discount</f>
        <v/>
      </c>
      <c r="W30" s="49">
        <f>V30*U30</f>
        <v/>
      </c>
      <c r="X30" s="49">
        <f>(battery/range_nm)*G30*R30*VLOOKUP(B30,country_opex,3,FALSE)</f>
        <v/>
      </c>
      <c r="Y30" s="49">
        <f>VLOOKUP(B30,country_opex,2,FALSE)*crew_factor</f>
        <v/>
      </c>
      <c r="Z30" s="49">
        <f>VLOOKUP(B30,country_opex,5,FALSE)</f>
        <v/>
      </c>
      <c r="AA30" s="49">
        <f>maint</f>
        <v/>
      </c>
      <c r="AB30" s="49">
        <f>VLOOKUP(B30,country_opex,7,FALSE)*ins_pct</f>
        <v/>
      </c>
      <c r="AC30" s="49">
        <f>charge_berth</f>
        <v/>
      </c>
      <c r="AD30" s="49">
        <f>X30+Y30+Z30+AA30+AB30+AC30</f>
        <v/>
      </c>
      <c r="AE30" s="49">
        <f>VLOOKUP(B30,country_opex,7,FALSE)/dep_years</f>
        <v/>
      </c>
      <c r="AF30" s="49">
        <f>W30-AD30</f>
        <v/>
      </c>
      <c r="AG30" s="46">
        <f>IF(W30=0,"",AF30/W30)</f>
        <v/>
      </c>
      <c r="AH30" s="47">
        <f>IF(AF30&lt;=0,"",VLOOKUP(B30,country_opex,7,FALSE)/AF30)</f>
        <v/>
      </c>
      <c r="AI30" s="44">
        <f>((G30*R30/diesel_nmpg)*diesel_co2pg-(battery/range_nm)*G30*R30*VLOOKUP(B30,country_opex,4,FALSE))/1000</f>
        <v/>
      </c>
      <c r="AJ30" s="42" t="n"/>
      <c r="AK30" s="43" t="n"/>
      <c r="AL30" s="43" t="n"/>
      <c r="AM30" s="50" t="n">
        <v>0.1</v>
      </c>
      <c r="AN30" s="45">
        <f>IF(AJ30="","",AJ30*AM30)</f>
        <v/>
      </c>
      <c r="AO30" s="45">
        <f>IF(OR(AJ30="",U30=0),"",MIN(IF(AV30="",9.9E+99,AV30),FLOOR(AN30/U30,1)))</f>
        <v/>
      </c>
      <c r="AP30" s="49">
        <f>IF(AO30="","",AO30*W30)</f>
        <v/>
      </c>
      <c r="AQ30" s="47">
        <f>IF(OR(AJ30="",U30=0),"",MIN(IF(AV30="",9.9E+99,AV30),AN30/U30))</f>
        <v/>
      </c>
      <c r="AR30" s="49">
        <f>IF(AQ30="","",AQ30*W30)</f>
        <v/>
      </c>
      <c r="AS30" s="51" t="n"/>
      <c r="AT30" s="52" t="n"/>
      <c r="AU30" s="52" t="n"/>
      <c r="AV30" s="53" t="n"/>
      <c r="AW30" s="54">
        <f>IF(((V30*pax_cap*load_thin*ROUND(N30*O30*revleg_thin,0))-(((battery/range_nm)*G30*ROUND(N30*O30*revleg_thin,0)*VLOOKUP(B30,country_opex,3,FALSE))+Y30+Z30+AA30+AB30+AC30))&lt;=0,"",VLOOKUP(B30,country_opex,7,FALSE)/((V30*pax_cap*load_thin*ROUND(N30*O30*revleg_thin,0))-(((battery/range_nm)*G30*ROUND(N30*O30*revleg_thin,0)*VLOOKUP(B30,country_opex,3,FALSE))+Y30+Z30+AA30+AB30+AC30)))</f>
        <v/>
      </c>
      <c r="AX30" s="54">
        <f>IF(((V30*pax_cap*load_mid*ROUND(N30*O30*revleg_mid,0))-(((battery/range_nm)*G30*ROUND(N30*O30*revleg_mid,0)*VLOOKUP(B30,country_opex,3,FALSE))+Y30+Z30+AA30+AB30+AC30))&lt;=0,"",VLOOKUP(B30,country_opex,7,FALSE)/((V30*pax_cap*load_mid*ROUND(N30*O30*revleg_mid,0))-(((battery/range_nm)*G30*ROUND(N30*O30*revleg_mid,0)*VLOOKUP(B30,country_opex,3,FALSE))+Y30+Z30+AA30+AB30+AC30)))</f>
        <v/>
      </c>
      <c r="AY30" s="54">
        <f>IF(((V30*pax_cap*load_full*ROUND(N30*O30*revleg_full,0))-(((battery/range_nm)*G30*ROUND(N30*O30*revleg_full,0)*VLOOKUP(B30,country_opex,3,FALSE))+Y30+Z30+AA30+AB30+AC30))&lt;=0,"",VLOOKUP(B30,country_opex,7,FALSE)/((V30*pax_cap*load_full*ROUND(N30*O30*revleg_full,0))-(((battery/range_nm)*G30*ROUND(N30*O30*revleg_full,0)*VLOOKUP(B30,country_opex,3,FALSE))+Y30+Z30+AA30+AB30+AC30)))</f>
        <v/>
      </c>
      <c r="AZ30" s="40" t="inlineStr">
        <is>
          <t>PREMIUM tier (sea analogue) = scheduled Ayia Napa leisure sea-cruise per-seat EUR 25-35/pax (e.g. 'The Cyprus Boat' EUR 25-35; loveayianapa cruise EUR 20); EUR 30 mid x 1.08 = ~$32/seat. Semi-private charter EUR 99/pax (MedCruises) recorded as charter context, not the modeled tier.</t>
        </is>
      </c>
      <c r="BA30" s="40" t="n"/>
    </row>
    <row r="31">
      <c r="A31" s="38" t="inlineStr">
        <is>
          <t>Bolt Cyprus</t>
        </is>
      </c>
      <c r="B31" s="38" t="inlineStr">
        <is>
          <t>Cyprus</t>
        </is>
      </c>
      <c r="C31" s="39" t="inlineStr">
        <is>
          <t>Larnaca Airport (LCA) → Ayia Napa</t>
        </is>
      </c>
      <c r="D31" s="38" t="inlineStr">
        <is>
          <t>bolt</t>
        </is>
      </c>
      <c r="E31" s="40" t="inlineStr">
        <is>
          <t>bolt-cyprus</t>
        </is>
      </c>
      <c r="F31" s="41" t="n">
        <v>1</v>
      </c>
      <c r="G31" s="42" t="n">
        <v>20</v>
      </c>
      <c r="H31" s="35" t="n">
        <v>38</v>
      </c>
      <c r="I31" s="43" t="inlineStr">
        <is>
          <t>T2</t>
        </is>
      </c>
      <c r="J31" s="43" t="inlineStr">
        <is>
          <t>med</t>
        </is>
      </c>
      <c r="K31" s="29" t="n">
        <v>1</v>
      </c>
      <c r="L31" s="44">
        <f>60*G31/cruise_kt</f>
        <v/>
      </c>
      <c r="M31" s="44">
        <f>L31+turn_min+dwell_min</f>
        <v/>
      </c>
      <c r="N31" s="45">
        <f>MIN(10,FLOOR(60*service_hr/M31,1))</f>
        <v/>
      </c>
      <c r="O31" s="45">
        <f>ROUND(365*mech_uptime*K31,0)</f>
        <v/>
      </c>
      <c r="P31" s="46">
        <f>mech_uptime</f>
        <v/>
      </c>
      <c r="Q31" s="46">
        <f>revleg_sel</f>
        <v/>
      </c>
      <c r="R31" s="45">
        <f>ROUND(N31*O31*revleg_sel,0)</f>
        <v/>
      </c>
      <c r="S31" s="47">
        <f>load_sel</f>
        <v/>
      </c>
      <c r="T31" s="47">
        <f>pax_cap*S31</f>
        <v/>
      </c>
      <c r="U31" s="45">
        <f>T31*R31</f>
        <v/>
      </c>
      <c r="V31" s="48">
        <f>H31*discount</f>
        <v/>
      </c>
      <c r="W31" s="49">
        <f>V31*U31</f>
        <v/>
      </c>
      <c r="X31" s="49">
        <f>(battery/range_nm)*G31*R31*VLOOKUP(B31,country_opex,3,FALSE)</f>
        <v/>
      </c>
      <c r="Y31" s="49">
        <f>VLOOKUP(B31,country_opex,2,FALSE)*crew_factor</f>
        <v/>
      </c>
      <c r="Z31" s="49">
        <f>VLOOKUP(B31,country_opex,5,FALSE)</f>
        <v/>
      </c>
      <c r="AA31" s="49">
        <f>maint</f>
        <v/>
      </c>
      <c r="AB31" s="49">
        <f>VLOOKUP(B31,country_opex,7,FALSE)*ins_pct</f>
        <v/>
      </c>
      <c r="AC31" s="49">
        <f>charge_berth</f>
        <v/>
      </c>
      <c r="AD31" s="49">
        <f>X31+Y31+Z31+AA31+AB31+AC31</f>
        <v/>
      </c>
      <c r="AE31" s="49">
        <f>VLOOKUP(B31,country_opex,7,FALSE)/dep_years</f>
        <v/>
      </c>
      <c r="AF31" s="49">
        <f>W31-AD31</f>
        <v/>
      </c>
      <c r="AG31" s="46">
        <f>IF(W31=0,"",AF31/W31)</f>
        <v/>
      </c>
      <c r="AH31" s="47">
        <f>IF(AF31&lt;=0,"",VLOOKUP(B31,country_opex,7,FALSE)/AF31)</f>
        <v/>
      </c>
      <c r="AI31" s="44">
        <f>((G31*R31/diesel_nmpg)*diesel_co2pg-(battery/range_nm)*G31*R31*VLOOKUP(B31,country_opex,4,FALSE))/1000</f>
        <v/>
      </c>
      <c r="AJ31" s="42" t="n">
        <v>28000</v>
      </c>
      <c r="AK31" s="43" t="n"/>
      <c r="AL31" s="43" t="n"/>
      <c r="AM31" s="50" t="n">
        <v>0.1</v>
      </c>
      <c r="AN31" s="45">
        <f>IF(AJ31="","",AJ31*AM31)</f>
        <v/>
      </c>
      <c r="AO31" s="45">
        <f>IF(OR(AJ31="",U31=0),"",MIN(IF(AV31="",9.9E+99,AV31),FLOOR(AN31/U31,1)))</f>
        <v/>
      </c>
      <c r="AP31" s="49">
        <f>IF(AO31="","",AO31*W31)</f>
        <v/>
      </c>
      <c r="AQ31" s="47">
        <f>IF(OR(AJ31="",U31=0),"",MIN(IF(AV31="",9.9E+99,AV31),AN31/U31))</f>
        <v/>
      </c>
      <c r="AR31" s="49">
        <f>IF(AQ31="","",AQ31*W31)</f>
        <v/>
      </c>
      <c r="AS31" s="51" t="n"/>
      <c r="AT31" s="52" t="n"/>
      <c r="AU31" s="52" t="n"/>
      <c r="AV31" s="53" t="n"/>
      <c r="AW31" s="54">
        <f>IF(((V31*pax_cap*load_thin*ROUND(N31*O31*revleg_thin,0))-(((battery/range_nm)*G31*ROUND(N31*O31*revleg_thin,0)*VLOOKUP(B31,country_opex,3,FALSE))+Y31+Z31+AA31+AB31+AC31))&lt;=0,"",VLOOKUP(B31,country_opex,7,FALSE)/((V31*pax_cap*load_thin*ROUND(N31*O31*revleg_thin,0))-(((battery/range_nm)*G31*ROUND(N31*O31*revleg_thin,0)*VLOOKUP(B31,country_opex,3,FALSE))+Y31+Z31+AA31+AB31+AC31)))</f>
        <v/>
      </c>
      <c r="AX31" s="54">
        <f>IF(((V31*pax_cap*load_mid*ROUND(N31*O31*revleg_mid,0))-(((battery/range_nm)*G31*ROUND(N31*O31*revleg_mid,0)*VLOOKUP(B31,country_opex,3,FALSE))+Y31+Z31+AA31+AB31+AC31))&lt;=0,"",VLOOKUP(B31,country_opex,7,FALSE)/((V31*pax_cap*load_mid*ROUND(N31*O31*revleg_mid,0))-(((battery/range_nm)*G31*ROUND(N31*O31*revleg_mid,0)*VLOOKUP(B31,country_opex,3,FALSE))+Y31+Z31+AA31+AB31+AC31)))</f>
        <v/>
      </c>
      <c r="AY31" s="54">
        <f>IF(((V31*pax_cap*load_full*ROUND(N31*O31*revleg_full,0))-(((battery/range_nm)*G31*ROUND(N31*O31*revleg_full,0)*VLOOKUP(B31,country_opex,3,FALSE))+Y31+Z31+AA31+AB31+AC31))&lt;=0,"",VLOOKUP(B31,country_opex,7,FALSE)/((V31*pax_cap*load_full*ROUND(N31*O31*revleg_full,0))-(((battery/range_nm)*G31*ROUND(N31*O31*revleg_full,0)*VLOOKUP(B31,country_opex,3,FALSE))+Y31+Z31+AA31+AB31+AC31)))</f>
        <v/>
      </c>
      <c r="AZ31" s="40" t="inlineStr">
        <is>
          <t>PREMIUM tier = premium shared airport transfer LCA&lt;-&gt;Ayia Napa EUR 30-40 each way (Rome2Rio 'fastest, EUR 30-40, 41 min'); EUR 35 mid x 1.08 = ~$38/seat. Closest road analogue to a premium per-seat sea transfer.</t>
        </is>
      </c>
      <c r="BA31" s="40" t="n"/>
    </row>
    <row r="32">
      <c r="A32" s="38" t="inlineStr">
        <is>
          <t>Bolt Cyprus</t>
        </is>
      </c>
      <c r="B32" s="38" t="inlineStr">
        <is>
          <t>Cyprus</t>
        </is>
      </c>
      <c r="C32" s="39" t="inlineStr">
        <is>
          <t>Larnaca → Protaras</t>
        </is>
      </c>
      <c r="D32" s="38" t="inlineStr">
        <is>
          <t>bolt</t>
        </is>
      </c>
      <c r="E32" s="40" t="inlineStr">
        <is>
          <t>bolt-cyprus</t>
        </is>
      </c>
      <c r="F32" s="41" t="n">
        <v>1</v>
      </c>
      <c r="G32" s="42" t="n">
        <v>23</v>
      </c>
      <c r="H32" s="35" t="n">
        <v>32</v>
      </c>
      <c r="I32" s="43" t="inlineStr">
        <is>
          <t>T2</t>
        </is>
      </c>
      <c r="J32" s="43" t="inlineStr">
        <is>
          <t>med</t>
        </is>
      </c>
      <c r="K32" s="29" t="n">
        <v>1</v>
      </c>
      <c r="L32" s="44">
        <f>60*G32/cruise_kt</f>
        <v/>
      </c>
      <c r="M32" s="44">
        <f>L32+turn_min+dwell_min</f>
        <v/>
      </c>
      <c r="N32" s="45">
        <f>MIN(16,FLOOR(60*service_hr/M32,1))</f>
        <v/>
      </c>
      <c r="O32" s="45">
        <f>ROUND(365*mech_uptime*K32,0)</f>
        <v/>
      </c>
      <c r="P32" s="46">
        <f>mech_uptime</f>
        <v/>
      </c>
      <c r="Q32" s="46">
        <f>revleg_sel</f>
        <v/>
      </c>
      <c r="R32" s="45">
        <f>ROUND(N32*O32*revleg_sel,0)</f>
        <v/>
      </c>
      <c r="S32" s="47">
        <f>load_sel</f>
        <v/>
      </c>
      <c r="T32" s="47">
        <f>pax_cap*S32</f>
        <v/>
      </c>
      <c r="U32" s="45">
        <f>T32*R32</f>
        <v/>
      </c>
      <c r="V32" s="48">
        <f>H32*discount</f>
        <v/>
      </c>
      <c r="W32" s="49">
        <f>V32*U32</f>
        <v/>
      </c>
      <c r="X32" s="49">
        <f>(battery/range_nm)*G32*R32*VLOOKUP(B32,country_opex,3,FALSE)</f>
        <v/>
      </c>
      <c r="Y32" s="49">
        <f>VLOOKUP(B32,country_opex,2,FALSE)*crew_factor</f>
        <v/>
      </c>
      <c r="Z32" s="49">
        <f>VLOOKUP(B32,country_opex,5,FALSE)</f>
        <v/>
      </c>
      <c r="AA32" s="49">
        <f>maint</f>
        <v/>
      </c>
      <c r="AB32" s="49">
        <f>VLOOKUP(B32,country_opex,7,FALSE)*ins_pct</f>
        <v/>
      </c>
      <c r="AC32" s="49">
        <f>charge_berth</f>
        <v/>
      </c>
      <c r="AD32" s="49">
        <f>X32+Y32+Z32+AA32+AB32+AC32</f>
        <v/>
      </c>
      <c r="AE32" s="49">
        <f>VLOOKUP(B32,country_opex,7,FALSE)/dep_years</f>
        <v/>
      </c>
      <c r="AF32" s="49">
        <f>W32-AD32</f>
        <v/>
      </c>
      <c r="AG32" s="46">
        <f>IF(W32=0,"",AF32/W32)</f>
        <v/>
      </c>
      <c r="AH32" s="47">
        <f>IF(AF32&lt;=0,"",VLOOKUP(B32,country_opex,7,FALSE)/AF32)</f>
        <v/>
      </c>
      <c r="AI32" s="44">
        <f>((G32*R32/diesel_nmpg)*diesel_co2pg-(battery/range_nm)*G32*R32*VLOOKUP(B32,country_opex,4,FALSE))/1000</f>
        <v/>
      </c>
      <c r="AJ32" s="42" t="n"/>
      <c r="AK32" s="43" t="n"/>
      <c r="AL32" s="43" t="n"/>
      <c r="AM32" s="50" t="n">
        <v>0.1</v>
      </c>
      <c r="AN32" s="45">
        <f>IF(AJ32="","",AJ32*AM32)</f>
        <v/>
      </c>
      <c r="AO32" s="45">
        <f>IF(OR(AJ32="",U32=0),"",MIN(IF(AV32="",9.9E+99,AV32),FLOOR(AN32/U32,1)))</f>
        <v/>
      </c>
      <c r="AP32" s="49">
        <f>IF(AO32="","",AO32*W32)</f>
        <v/>
      </c>
      <c r="AQ32" s="47">
        <f>IF(OR(AJ32="",U32=0),"",MIN(IF(AV32="",9.9E+99,AV32),AN32/U32))</f>
        <v/>
      </c>
      <c r="AR32" s="49">
        <f>IF(AQ32="","",AQ32*W32)</f>
        <v/>
      </c>
      <c r="AS32" s="51" t="n"/>
      <c r="AT32" s="52" t="n"/>
      <c r="AU32" s="52" t="n"/>
      <c r="AV32" s="53" t="n"/>
      <c r="AW32" s="54">
        <f>IF(((V32*pax_cap*load_thin*ROUND(N32*O32*revleg_thin,0))-(((battery/range_nm)*G32*ROUND(N32*O32*revleg_thin,0)*VLOOKUP(B32,country_opex,3,FALSE))+Y32+Z32+AA32+AB32+AC32))&lt;=0,"",VLOOKUP(B32,country_opex,7,FALSE)/((V32*pax_cap*load_thin*ROUND(N32*O32*revleg_thin,0))-(((battery/range_nm)*G32*ROUND(N32*O32*revleg_thin,0)*VLOOKUP(B32,country_opex,3,FALSE))+Y32+Z32+AA32+AB32+AC32)))</f>
        <v/>
      </c>
      <c r="AX32" s="54">
        <f>IF(((V32*pax_cap*load_mid*ROUND(N32*O32*revleg_mid,0))-(((battery/range_nm)*G32*ROUND(N32*O32*revleg_mid,0)*VLOOKUP(B32,country_opex,3,FALSE))+Y32+Z32+AA32+AB32+AC32))&lt;=0,"",VLOOKUP(B32,country_opex,7,FALSE)/((V32*pax_cap*load_mid*ROUND(N32*O32*revleg_mid,0))-(((battery/range_nm)*G32*ROUND(N32*O32*revleg_mid,0)*VLOOKUP(B32,country_opex,3,FALSE))+Y32+Z32+AA32+AB32+AC32)))</f>
        <v/>
      </c>
      <c r="AY32" s="54">
        <f>IF(((V32*pax_cap*load_full*ROUND(N32*O32*revleg_full,0))-(((battery/range_nm)*G32*ROUND(N32*O32*revleg_full,0)*VLOOKUP(B32,country_opex,3,FALSE))+Y32+Z32+AA32+AB32+AC32))&lt;=0,"",VLOOKUP(B32,country_opex,7,FALSE)/((V32*pax_cap*load_full*ROUND(N32*O32*revleg_full,0))-(((battery/range_nm)*G32*ROUND(N32*O32*revleg_full,0)*VLOOKUP(B32,country_opex,3,FALSE))+Y32+Z32+AA32+AB32+AC32)))</f>
        <v/>
      </c>
      <c r="AZ32" s="40" t="inlineStr">
        <is>
          <t>PREMIUM tier (sea analogue) = Protaras/Ayia Napa scheduled sea-cruise per-seat ~EUR 30/pax (~$32). Yellow Boat Cruises / semi-private EUR 99 as charter context.</t>
        </is>
      </c>
      <c r="BA32" s="40" t="n"/>
    </row>
    <row r="33">
      <c r="A33" s="38" t="inlineStr">
        <is>
          <t>Bolt Cyprus</t>
        </is>
      </c>
      <c r="B33" s="38" t="inlineStr">
        <is>
          <t>Cyprus</t>
        </is>
      </c>
      <c r="C33" s="39" t="inlineStr">
        <is>
          <t>Limassol Marina → Larnaca Marina</t>
        </is>
      </c>
      <c r="D33" s="38" t="inlineStr">
        <is>
          <t>bolt</t>
        </is>
      </c>
      <c r="E33" s="40" t="inlineStr">
        <is>
          <t>bolt-cyprus</t>
        </is>
      </c>
      <c r="F33" s="41" t="n">
        <v>1</v>
      </c>
      <c r="G33" s="42" t="n">
        <v>35</v>
      </c>
      <c r="H33" s="35" t="n">
        <v>38</v>
      </c>
      <c r="I33" s="43" t="inlineStr">
        <is>
          <t>T2</t>
        </is>
      </c>
      <c r="J33" s="43" t="inlineStr">
        <is>
          <t>med</t>
        </is>
      </c>
      <c r="K33" s="29" t="n">
        <v>1</v>
      </c>
      <c r="L33" s="44">
        <f>60*G33/cruise_kt</f>
        <v/>
      </c>
      <c r="M33" s="44">
        <f>L33+turn_min+dwell_min</f>
        <v/>
      </c>
      <c r="N33" s="45">
        <f>MIN(10,FLOOR(60*service_hr/M33,1))</f>
        <v/>
      </c>
      <c r="O33" s="45">
        <f>ROUND(365*mech_uptime*K33,0)</f>
        <v/>
      </c>
      <c r="P33" s="46">
        <f>mech_uptime</f>
        <v/>
      </c>
      <c r="Q33" s="46">
        <f>revleg_sel</f>
        <v/>
      </c>
      <c r="R33" s="45">
        <f>ROUND(N33*O33*revleg_sel,0)</f>
        <v/>
      </c>
      <c r="S33" s="47">
        <f>load_sel</f>
        <v/>
      </c>
      <c r="T33" s="47">
        <f>pax_cap*S33</f>
        <v/>
      </c>
      <c r="U33" s="45">
        <f>T33*R33</f>
        <v/>
      </c>
      <c r="V33" s="48">
        <f>H33*discount</f>
        <v/>
      </c>
      <c r="W33" s="49">
        <f>V33*U33</f>
        <v/>
      </c>
      <c r="X33" s="49">
        <f>(battery/range_nm)*G33*R33*VLOOKUP(B33,country_opex,3,FALSE)</f>
        <v/>
      </c>
      <c r="Y33" s="49">
        <f>VLOOKUP(B33,country_opex,2,FALSE)*crew_factor</f>
        <v/>
      </c>
      <c r="Z33" s="49">
        <f>VLOOKUP(B33,country_opex,5,FALSE)</f>
        <v/>
      </c>
      <c r="AA33" s="49">
        <f>maint</f>
        <v/>
      </c>
      <c r="AB33" s="49">
        <f>VLOOKUP(B33,country_opex,7,FALSE)*ins_pct</f>
        <v/>
      </c>
      <c r="AC33" s="49">
        <f>charge_berth</f>
        <v/>
      </c>
      <c r="AD33" s="49">
        <f>X33+Y33+Z33+AA33+AB33+AC33</f>
        <v/>
      </c>
      <c r="AE33" s="49">
        <f>VLOOKUP(B33,country_opex,7,FALSE)/dep_years</f>
        <v/>
      </c>
      <c r="AF33" s="49">
        <f>W33-AD33</f>
        <v/>
      </c>
      <c r="AG33" s="46">
        <f>IF(W33=0,"",AF33/W33)</f>
        <v/>
      </c>
      <c r="AH33" s="47">
        <f>IF(AF33&lt;=0,"",VLOOKUP(B33,country_opex,7,FALSE)/AF33)</f>
        <v/>
      </c>
      <c r="AI33" s="44">
        <f>((G33*R33/diesel_nmpg)*diesel_co2pg-(battery/range_nm)*G33*R33*VLOOKUP(B33,country_opex,4,FALSE))/1000</f>
        <v/>
      </c>
      <c r="AJ33" s="42" t="n">
        <v>99000</v>
      </c>
      <c r="AK33" s="43" t="n"/>
      <c r="AL33" s="43" t="n"/>
      <c r="AM33" s="50" t="n">
        <v>0.1</v>
      </c>
      <c r="AN33" s="45">
        <f>IF(AJ33="","",AJ33*AM33)</f>
        <v/>
      </c>
      <c r="AO33" s="45">
        <f>IF(OR(AJ33="",U33=0),"",MIN(IF(AV33="",9.9E+99,AV33),FLOOR(AN33/U33,1)))</f>
        <v/>
      </c>
      <c r="AP33" s="49">
        <f>IF(AO33="","",AO33*W33)</f>
        <v/>
      </c>
      <c r="AQ33" s="47">
        <f>IF(OR(AJ33="",U33=0),"",MIN(IF(AV33="",9.9E+99,AV33),AN33/U33))</f>
        <v/>
      </c>
      <c r="AR33" s="49">
        <f>IF(AQ33="","",AQ33*W33)</f>
        <v/>
      </c>
      <c r="AS33" s="51" t="n"/>
      <c r="AT33" s="52" t="n"/>
      <c r="AU33" s="52" t="inlineStr">
        <is>
          <t>modal_shift_greenfield</t>
        </is>
      </c>
      <c r="AV33" s="53" t="n"/>
      <c r="AW33" s="54">
        <f>IF(((V33*pax_cap*load_thin*ROUND(N33*O33*revleg_thin,0))-(((battery/range_nm)*G33*ROUND(N33*O33*revleg_thin,0)*VLOOKUP(B33,country_opex,3,FALSE))+Y33+Z33+AA33+AB33+AC33))&lt;=0,"",VLOOKUP(B33,country_opex,7,FALSE)/((V33*pax_cap*load_thin*ROUND(N33*O33*revleg_thin,0))-(((battery/range_nm)*G33*ROUND(N33*O33*revleg_thin,0)*VLOOKUP(B33,country_opex,3,FALSE))+Y33+Z33+AA33+AB33+AC33)))</f>
        <v/>
      </c>
      <c r="AX33" s="54">
        <f>IF(((V33*pax_cap*load_mid*ROUND(N33*O33*revleg_mid,0))-(((battery/range_nm)*G33*ROUND(N33*O33*revleg_mid,0)*VLOOKUP(B33,country_opex,3,FALSE))+Y33+Z33+AA33+AB33+AC33))&lt;=0,"",VLOOKUP(B33,country_opex,7,FALSE)/((V33*pax_cap*load_mid*ROUND(N33*O33*revleg_mid,0))-(((battery/range_nm)*G33*ROUND(N33*O33*revleg_mid,0)*VLOOKUP(B33,country_opex,3,FALSE))+Y33+Z33+AA33+AB33+AC33)))</f>
        <v/>
      </c>
      <c r="AY33" s="54">
        <f>IF(((V33*pax_cap*load_full*ROUND(N33*O33*revleg_full,0))-(((battery/range_nm)*G33*ROUND(N33*O33*revleg_full,0)*VLOOKUP(B33,country_opex,3,FALSE))+Y33+Z33+AA33+AB33+AC33))&lt;=0,"",VLOOKUP(B33,country_opex,7,FALSE)/((V33*pax_cap*load_full*ROUND(N33*O33*revleg_full,0))-(((battery/range_nm)*G33*ROUND(N33*O33*revleg_full,0)*VLOOKUP(B33,country_opex,3,FALSE))+Y33+Z33+AA33+AB33+AC33)))</f>
        <v/>
      </c>
      <c r="AZ33" s="40" t="inlineStr">
        <is>
          <t>PREMIUM tier = premium shared airport/city transfer Limassol&lt;-&gt;Larnaca ~EUR 30-40 each way (Rome2Rio), EUR 35 mid x 1.08 = ~$38/seat. Closest road analogue to a premium per-seat sea shuttle; magnitude matches the Dubai $40.8 RTA convention. No scheduled-marine fare exists (no water-taxi/ferry line).</t>
        </is>
      </c>
      <c r="BA33" s="40" t="n"/>
    </row>
    <row r="34">
      <c r="A34" s="38" t="inlineStr">
        <is>
          <t>Bolt Cyprus</t>
        </is>
      </c>
      <c r="B34" s="38" t="inlineStr">
        <is>
          <t>Cyprus</t>
        </is>
      </c>
      <c r="C34" s="39" t="inlineStr">
        <is>
          <t>Larnaca Airport (LCA) → Limassol</t>
        </is>
      </c>
      <c r="D34" s="38" t="inlineStr">
        <is>
          <t>bolt</t>
        </is>
      </c>
      <c r="E34" s="40" t="inlineStr">
        <is>
          <t>bolt-cyprus</t>
        </is>
      </c>
      <c r="F34" s="41" t="n">
        <v>1</v>
      </c>
      <c r="G34" s="42" t="n">
        <v>35</v>
      </c>
      <c r="H34" s="35" t="n">
        <v>38</v>
      </c>
      <c r="I34" s="43" t="inlineStr">
        <is>
          <t>T2</t>
        </is>
      </c>
      <c r="J34" s="43" t="inlineStr">
        <is>
          <t>med</t>
        </is>
      </c>
      <c r="K34" s="29" t="n">
        <v>1</v>
      </c>
      <c r="L34" s="44">
        <f>60*G34/cruise_kt</f>
        <v/>
      </c>
      <c r="M34" s="44">
        <f>L34+turn_min+dwell_min</f>
        <v/>
      </c>
      <c r="N34" s="45">
        <f>MIN(10,FLOOR(60*service_hr/M34,1))</f>
        <v/>
      </c>
      <c r="O34" s="45">
        <f>ROUND(365*mech_uptime*K34,0)</f>
        <v/>
      </c>
      <c r="P34" s="46">
        <f>mech_uptime</f>
        <v/>
      </c>
      <c r="Q34" s="46">
        <f>revleg_sel</f>
        <v/>
      </c>
      <c r="R34" s="45">
        <f>ROUND(N34*O34*revleg_sel,0)</f>
        <v/>
      </c>
      <c r="S34" s="47">
        <f>load_sel</f>
        <v/>
      </c>
      <c r="T34" s="47">
        <f>pax_cap*S34</f>
        <v/>
      </c>
      <c r="U34" s="45">
        <f>T34*R34</f>
        <v/>
      </c>
      <c r="V34" s="48">
        <f>H34*discount</f>
        <v/>
      </c>
      <c r="W34" s="49">
        <f>V34*U34</f>
        <v/>
      </c>
      <c r="X34" s="49">
        <f>(battery/range_nm)*G34*R34*VLOOKUP(B34,country_opex,3,FALSE)</f>
        <v/>
      </c>
      <c r="Y34" s="49">
        <f>VLOOKUP(B34,country_opex,2,FALSE)*crew_factor</f>
        <v/>
      </c>
      <c r="Z34" s="49">
        <f>VLOOKUP(B34,country_opex,5,FALSE)</f>
        <v/>
      </c>
      <c r="AA34" s="49">
        <f>maint</f>
        <v/>
      </c>
      <c r="AB34" s="49">
        <f>VLOOKUP(B34,country_opex,7,FALSE)*ins_pct</f>
        <v/>
      </c>
      <c r="AC34" s="49">
        <f>charge_berth</f>
        <v/>
      </c>
      <c r="AD34" s="49">
        <f>X34+Y34+Z34+AA34+AB34+AC34</f>
        <v/>
      </c>
      <c r="AE34" s="49">
        <f>VLOOKUP(B34,country_opex,7,FALSE)/dep_years</f>
        <v/>
      </c>
      <c r="AF34" s="49">
        <f>W34-AD34</f>
        <v/>
      </c>
      <c r="AG34" s="46">
        <f>IF(W34=0,"",AF34/W34)</f>
        <v/>
      </c>
      <c r="AH34" s="47">
        <f>IF(AF34&lt;=0,"",VLOOKUP(B34,country_opex,7,FALSE)/AF34)</f>
        <v/>
      </c>
      <c r="AI34" s="44">
        <f>((G34*R34/diesel_nmpg)*diesel_co2pg-(battery/range_nm)*G34*R34*VLOOKUP(B34,country_opex,4,FALSE))/1000</f>
        <v/>
      </c>
      <c r="AJ34" s="42" t="n"/>
      <c r="AK34" s="43" t="n"/>
      <c r="AL34" s="43" t="n"/>
      <c r="AM34" s="50" t="n">
        <v>0.1</v>
      </c>
      <c r="AN34" s="45">
        <f>IF(AJ34="","",AJ34*AM34)</f>
        <v/>
      </c>
      <c r="AO34" s="45">
        <f>IF(OR(AJ34="",U34=0),"",MIN(IF(AV34="",9.9E+99,AV34),FLOOR(AN34/U34,1)))</f>
        <v/>
      </c>
      <c r="AP34" s="49">
        <f>IF(AO34="","",AO34*W34)</f>
        <v/>
      </c>
      <c r="AQ34" s="47">
        <f>IF(OR(AJ34="",U34=0),"",MIN(IF(AV34="",9.9E+99,AV34),AN34/U34))</f>
        <v/>
      </c>
      <c r="AR34" s="49">
        <f>IF(AQ34="","",AQ34*W34)</f>
        <v/>
      </c>
      <c r="AS34" s="51" t="n"/>
      <c r="AT34" s="52" t="n"/>
      <c r="AU34" s="52" t="n"/>
      <c r="AV34" s="53" t="n"/>
      <c r="AW34" s="54">
        <f>IF(((V34*pax_cap*load_thin*ROUND(N34*O34*revleg_thin,0))-(((battery/range_nm)*G34*ROUND(N34*O34*revleg_thin,0)*VLOOKUP(B34,country_opex,3,FALSE))+Y34+Z34+AA34+AB34+AC34))&lt;=0,"",VLOOKUP(B34,country_opex,7,FALSE)/((V34*pax_cap*load_thin*ROUND(N34*O34*revleg_thin,0))-(((battery/range_nm)*G34*ROUND(N34*O34*revleg_thin,0)*VLOOKUP(B34,country_opex,3,FALSE))+Y34+Z34+AA34+AB34+AC34)))</f>
        <v/>
      </c>
      <c r="AX34" s="54">
        <f>IF(((V34*pax_cap*load_mid*ROUND(N34*O34*revleg_mid,0))-(((battery/range_nm)*G34*ROUND(N34*O34*revleg_mid,0)*VLOOKUP(B34,country_opex,3,FALSE))+Y34+Z34+AA34+AB34+AC34))&lt;=0,"",VLOOKUP(B34,country_opex,7,FALSE)/((V34*pax_cap*load_mid*ROUND(N34*O34*revleg_mid,0))-(((battery/range_nm)*G34*ROUND(N34*O34*revleg_mid,0)*VLOOKUP(B34,country_opex,3,FALSE))+Y34+Z34+AA34+AB34+AC34)))</f>
        <v/>
      </c>
      <c r="AY34" s="54">
        <f>IF(((V34*pax_cap*load_full*ROUND(N34*O34*revleg_full,0))-(((battery/range_nm)*G34*ROUND(N34*O34*revleg_full,0)*VLOOKUP(B34,country_opex,3,FALSE))+Y34+Z34+AA34+AB34+AC34))&lt;=0,"",VLOOKUP(B34,country_opex,7,FALSE)/((V34*pax_cap*load_full*ROUND(N34*O34*revleg_full,0))-(((battery/range_nm)*G34*ROUND(N34*O34*revleg_full,0)*VLOOKUP(B34,country_opex,3,FALSE))+Y34+Z34+AA34+AB34+AC34)))</f>
        <v/>
      </c>
      <c r="AZ34" s="40" t="inlineStr">
        <is>
          <t>PREMIUM tier = premium shared airport transfer LCA&lt;-&gt;Limassol EUR 30-40 each way (Rome2Rio), ~$38/seat. Same anchor as the Limassol-&gt;Larnaca corridor.</t>
        </is>
      </c>
      <c r="BA34" s="40" t="n"/>
    </row>
    <row r="35">
      <c r="A35" s="38" t="inlineStr">
        <is>
          <t>Bolt Cyprus</t>
        </is>
      </c>
      <c r="B35" s="38" t="inlineStr">
        <is>
          <t>Cyprus</t>
        </is>
      </c>
      <c r="C35" s="39" t="inlineStr">
        <is>
          <t>Limassol → Paphos</t>
        </is>
      </c>
      <c r="D35" s="38" t="inlineStr">
        <is>
          <t>bolt</t>
        </is>
      </c>
      <c r="E35" s="40" t="inlineStr">
        <is>
          <t>bolt-cyprus</t>
        </is>
      </c>
      <c r="F35" s="41" t="n">
        <v>1</v>
      </c>
      <c r="G35" s="42" t="n">
        <v>40</v>
      </c>
      <c r="H35" s="35" t="n">
        <v>20</v>
      </c>
      <c r="I35" s="43" t="inlineStr">
        <is>
          <t>T2</t>
        </is>
      </c>
      <c r="J35" s="43" t="inlineStr">
        <is>
          <t>med</t>
        </is>
      </c>
      <c r="K35" s="29" t="n">
        <v>1</v>
      </c>
      <c r="L35" s="44">
        <f>60*G35/cruise_kt</f>
        <v/>
      </c>
      <c r="M35" s="44">
        <f>L35+turn_min+dwell_min</f>
        <v/>
      </c>
      <c r="N35" s="45">
        <f>MIN(16,FLOOR(60*service_hr/M35,1))</f>
        <v/>
      </c>
      <c r="O35" s="45">
        <f>ROUND(365*mech_uptime*K35,0)</f>
        <v/>
      </c>
      <c r="P35" s="46">
        <f>mech_uptime</f>
        <v/>
      </c>
      <c r="Q35" s="46">
        <f>revleg_sel</f>
        <v/>
      </c>
      <c r="R35" s="45">
        <f>ROUND(N35*O35*revleg_sel,0)</f>
        <v/>
      </c>
      <c r="S35" s="47">
        <f>load_sel</f>
        <v/>
      </c>
      <c r="T35" s="47">
        <f>pax_cap*S35</f>
        <v/>
      </c>
      <c r="U35" s="45">
        <f>T35*R35</f>
        <v/>
      </c>
      <c r="V35" s="48">
        <f>H35*discount</f>
        <v/>
      </c>
      <c r="W35" s="49">
        <f>V35*U35</f>
        <v/>
      </c>
      <c r="X35" s="49">
        <f>(battery/range_nm)*G35*R35*VLOOKUP(B35,country_opex,3,FALSE)</f>
        <v/>
      </c>
      <c r="Y35" s="49">
        <f>VLOOKUP(B35,country_opex,2,FALSE)*crew_factor</f>
        <v/>
      </c>
      <c r="Z35" s="49">
        <f>VLOOKUP(B35,country_opex,5,FALSE)</f>
        <v/>
      </c>
      <c r="AA35" s="49">
        <f>maint</f>
        <v/>
      </c>
      <c r="AB35" s="49">
        <f>VLOOKUP(B35,country_opex,7,FALSE)*ins_pct</f>
        <v/>
      </c>
      <c r="AC35" s="49">
        <f>charge_berth</f>
        <v/>
      </c>
      <c r="AD35" s="49">
        <f>X35+Y35+Z35+AA35+AB35+AC35</f>
        <v/>
      </c>
      <c r="AE35" s="49">
        <f>VLOOKUP(B35,country_opex,7,FALSE)/dep_years</f>
        <v/>
      </c>
      <c r="AF35" s="49">
        <f>W35-AD35</f>
        <v/>
      </c>
      <c r="AG35" s="46">
        <f>IF(W35=0,"",AF35/W35)</f>
        <v/>
      </c>
      <c r="AH35" s="47">
        <f>IF(AF35&lt;=0,"",VLOOKUP(B35,country_opex,7,FALSE)/AF35)</f>
        <v/>
      </c>
      <c r="AI35" s="44">
        <f>((G35*R35/diesel_nmpg)*diesel_co2pg-(battery/range_nm)*G35*R35*VLOOKUP(B35,country_opex,4,FALSE))/1000</f>
        <v/>
      </c>
      <c r="AJ35" s="42" t="n"/>
      <c r="AK35" s="43" t="n"/>
      <c r="AL35" s="43" t="n"/>
      <c r="AM35" s="50" t="n">
        <v>0.1</v>
      </c>
      <c r="AN35" s="45">
        <f>IF(AJ35="","",AJ35*AM35)</f>
        <v/>
      </c>
      <c r="AO35" s="45">
        <f>IF(OR(AJ35="",U35=0),"",MIN(IF(AV35="",9.9E+99,AV35),FLOOR(AN35/U35,1)))</f>
        <v/>
      </c>
      <c r="AP35" s="49">
        <f>IF(AO35="","",AO35*W35)</f>
        <v/>
      </c>
      <c r="AQ35" s="47">
        <f>IF(OR(AJ35="",U35=0),"",MIN(IF(AV35="",9.9E+99,AV35),AN35/U35))</f>
        <v/>
      </c>
      <c r="AR35" s="49">
        <f>IF(AQ35="","",AQ35*W35)</f>
        <v/>
      </c>
      <c r="AS35" s="51" t="n"/>
      <c r="AT35" s="52" t="n"/>
      <c r="AU35" s="52" t="n"/>
      <c r="AV35" s="53" t="n"/>
      <c r="AW35" s="54">
        <f>IF(((V35*pax_cap*load_thin*ROUND(N35*O35*revleg_thin,0))-(((battery/range_nm)*G35*ROUND(N35*O35*revleg_thin,0)*VLOOKUP(B35,country_opex,3,FALSE))+Y35+Z35+AA35+AB35+AC35))&lt;=0,"",VLOOKUP(B35,country_opex,7,FALSE)/((V35*pax_cap*load_thin*ROUND(N35*O35*revleg_thin,0))-(((battery/range_nm)*G35*ROUND(N35*O35*revleg_thin,0)*VLOOKUP(B35,country_opex,3,FALSE))+Y35+Z35+AA35+AB35+AC35)))</f>
        <v/>
      </c>
      <c r="AX35" s="54">
        <f>IF(((V35*pax_cap*load_mid*ROUND(N35*O35*revleg_mid,0))-(((battery/range_nm)*G35*ROUND(N35*O35*revleg_mid,0)*VLOOKUP(B35,country_opex,3,FALSE))+Y35+Z35+AA35+AB35+AC35))&lt;=0,"",VLOOKUP(B35,country_opex,7,FALSE)/((V35*pax_cap*load_mid*ROUND(N35*O35*revleg_mid,0))-(((battery/range_nm)*G35*ROUND(N35*O35*revleg_mid,0)*VLOOKUP(B35,country_opex,3,FALSE))+Y35+Z35+AA35+AB35+AC35)))</f>
        <v/>
      </c>
      <c r="AY35" s="54">
        <f>IF(((V35*pax_cap*load_full*ROUND(N35*O35*revleg_full,0))-(((battery/range_nm)*G35*ROUND(N35*O35*revleg_full,0)*VLOOKUP(B35,country_opex,3,FALSE))+Y35+Z35+AA35+AB35+AC35))&lt;=0,"",VLOOKUP(B35,country_opex,7,FALSE)/((V35*pax_cap*load_full*ROUND(N35*O35*revleg_full,0))-(((battery/range_nm)*G35*ROUND(N35*O35*revleg_full,0)*VLOOKUP(B35,country_opex,3,FALSE))+Y35+Z35+AA35+AB35+AC35)))</f>
        <v/>
      </c>
      <c r="AZ35" s="40" t="inlineStr">
        <is>
          <t>PREMIUM tier (road analogue) = private taxi/transfer Limassol&lt;-&gt;Paphos EUR 70-80/car divided ~4 pax (~EUR 18-20/seat) and shared shuttle EUR 10-18/pax; EUR 18.5 mid x 1.08 = ~$20/seat. No scheduled-marine fare exists.</t>
        </is>
      </c>
      <c r="BA35" s="40" t="n"/>
    </row>
    <row r="36">
      <c r="A36" s="38" t="inlineStr">
        <is>
          <t>Bolt Cyprus</t>
        </is>
      </c>
      <c r="B36" s="38" t="inlineStr">
        <is>
          <t>Cyprus</t>
        </is>
      </c>
      <c r="C36" s="39" t="inlineStr">
        <is>
          <t>Limassol → Ayia Napa</t>
        </is>
      </c>
      <c r="D36" s="38" t="inlineStr">
        <is>
          <t>bolt</t>
        </is>
      </c>
      <c r="E36" s="40" t="inlineStr">
        <is>
          <t>bolt-cyprus</t>
        </is>
      </c>
      <c r="F36" s="41" t="n">
        <v>1</v>
      </c>
      <c r="G36" s="42" t="n">
        <v>52</v>
      </c>
      <c r="H36" s="35" t="n">
        <v>38</v>
      </c>
      <c r="I36" s="43" t="inlineStr">
        <is>
          <t>T2</t>
        </is>
      </c>
      <c r="J36" s="43" t="inlineStr">
        <is>
          <t>med</t>
        </is>
      </c>
      <c r="K36" s="29" t="n">
        <v>1</v>
      </c>
      <c r="L36" s="44">
        <f>60*G36/cruise_kt</f>
        <v/>
      </c>
      <c r="M36" s="44">
        <f>L36+turn_min+dwell_min</f>
        <v/>
      </c>
      <c r="N36" s="45">
        <f>MIN(16,FLOOR(60*service_hr/M36,1))</f>
        <v/>
      </c>
      <c r="O36" s="45">
        <f>ROUND(365*mech_uptime*K36,0)</f>
        <v/>
      </c>
      <c r="P36" s="46">
        <f>mech_uptime</f>
        <v/>
      </c>
      <c r="Q36" s="46">
        <f>revleg_sel</f>
        <v/>
      </c>
      <c r="R36" s="45">
        <f>ROUND(N36*O36*revleg_sel,0)</f>
        <v/>
      </c>
      <c r="S36" s="47">
        <f>load_sel</f>
        <v/>
      </c>
      <c r="T36" s="47">
        <f>pax_cap*S36</f>
        <v/>
      </c>
      <c r="U36" s="45">
        <f>T36*R36</f>
        <v/>
      </c>
      <c r="V36" s="48">
        <f>H36*discount</f>
        <v/>
      </c>
      <c r="W36" s="49">
        <f>V36*U36</f>
        <v/>
      </c>
      <c r="X36" s="49">
        <f>(battery/range_nm)*G36*R36*VLOOKUP(B36,country_opex,3,FALSE)</f>
        <v/>
      </c>
      <c r="Y36" s="49">
        <f>VLOOKUP(B36,country_opex,2,FALSE)*crew_factor</f>
        <v/>
      </c>
      <c r="Z36" s="49">
        <f>VLOOKUP(B36,country_opex,5,FALSE)</f>
        <v/>
      </c>
      <c r="AA36" s="49">
        <f>maint</f>
        <v/>
      </c>
      <c r="AB36" s="49">
        <f>VLOOKUP(B36,country_opex,7,FALSE)*ins_pct</f>
        <v/>
      </c>
      <c r="AC36" s="49">
        <f>charge_berth</f>
        <v/>
      </c>
      <c r="AD36" s="49">
        <f>X36+Y36+Z36+AA36+AB36+AC36</f>
        <v/>
      </c>
      <c r="AE36" s="49">
        <f>VLOOKUP(B36,country_opex,7,FALSE)/dep_years</f>
        <v/>
      </c>
      <c r="AF36" s="49">
        <f>W36-AD36</f>
        <v/>
      </c>
      <c r="AG36" s="46">
        <f>IF(W36=0,"",AF36/W36)</f>
        <v/>
      </c>
      <c r="AH36" s="47">
        <f>IF(AF36&lt;=0,"",VLOOKUP(B36,country_opex,7,FALSE)/AF36)</f>
        <v/>
      </c>
      <c r="AI36" s="44">
        <f>((G36*R36/diesel_nmpg)*diesel_co2pg-(battery/range_nm)*G36*R36*VLOOKUP(B36,country_opex,4,FALSE))/1000</f>
        <v/>
      </c>
      <c r="AJ36" s="42" t="n"/>
      <c r="AK36" s="43" t="n"/>
      <c r="AL36" s="43" t="n"/>
      <c r="AM36" s="50" t="n">
        <v>0.1</v>
      </c>
      <c r="AN36" s="45">
        <f>IF(AJ36="","",AJ36*AM36)</f>
        <v/>
      </c>
      <c r="AO36" s="45">
        <f>IF(OR(AJ36="",U36=0),"",MIN(IF(AV36="",9.9E+99,AV36),FLOOR(AN36/U36,1)))</f>
        <v/>
      </c>
      <c r="AP36" s="49">
        <f>IF(AO36="","",AO36*W36)</f>
        <v/>
      </c>
      <c r="AQ36" s="47">
        <f>IF(OR(AJ36="",U36=0),"",MIN(IF(AV36="",9.9E+99,AV36),AN36/U36))</f>
        <v/>
      </c>
      <c r="AR36" s="49">
        <f>IF(AQ36="","",AQ36*W36)</f>
        <v/>
      </c>
      <c r="AS36" s="51" t="n"/>
      <c r="AT36" s="52" t="n"/>
      <c r="AU36" s="52" t="n"/>
      <c r="AV36" s="53" t="n"/>
      <c r="AW36" s="54">
        <f>IF(((V36*pax_cap*load_thin*ROUND(N36*O36*revleg_thin,0))-(((battery/range_nm)*G36*ROUND(N36*O36*revleg_thin,0)*VLOOKUP(B36,country_opex,3,FALSE))+Y36+Z36+AA36+AB36+AC36))&lt;=0,"",VLOOKUP(B36,country_opex,7,FALSE)/((V36*pax_cap*load_thin*ROUND(N36*O36*revleg_thin,0))-(((battery/range_nm)*G36*ROUND(N36*O36*revleg_thin,0)*VLOOKUP(B36,country_opex,3,FALSE))+Y36+Z36+AA36+AB36+AC36)))</f>
        <v/>
      </c>
      <c r="AX36" s="54">
        <f>IF(((V36*pax_cap*load_mid*ROUND(N36*O36*revleg_mid,0))-(((battery/range_nm)*G36*ROUND(N36*O36*revleg_mid,0)*VLOOKUP(B36,country_opex,3,FALSE))+Y36+Z36+AA36+AB36+AC36))&lt;=0,"",VLOOKUP(B36,country_opex,7,FALSE)/((V36*pax_cap*load_mid*ROUND(N36*O36*revleg_mid,0))-(((battery/range_nm)*G36*ROUND(N36*O36*revleg_mid,0)*VLOOKUP(B36,country_opex,3,FALSE))+Y36+Z36+AA36+AB36+AC36)))</f>
        <v/>
      </c>
      <c r="AY36" s="54">
        <f>IF(((V36*pax_cap*load_full*ROUND(N36*O36*revleg_full,0))-(((battery/range_nm)*G36*ROUND(N36*O36*revleg_full,0)*VLOOKUP(B36,country_opex,3,FALSE))+Y36+Z36+AA36+AB36+AC36))&lt;=0,"",VLOOKUP(B36,country_opex,7,FALSE)/((V36*pax_cap*load_full*ROUND(N36*O36*revleg_full,0))-(((battery/range_nm)*G36*ROUND(N36*O36*revleg_full,0)*VLOOKUP(B36,country_opex,3,FALSE))+Y36+Z36+AA36+AB36+AC36)))</f>
        <v/>
      </c>
      <c r="AZ36" s="40" t="inlineStr">
        <is>
          <t>PREMIUM tier (sea analogue, distance-scaled) = ~EUR 35/pax (~$38), between the Ayia Napa cruise tier (EUR 30) and a longer-haul premium; indicative given no scheduled service. Private long transfer Limassol-&gt;Ayia Napa ~EUR 100-120/car as charter context.</t>
        </is>
      </c>
      <c r="BA36" s="40" t="n"/>
    </row>
    <row r="37">
      <c r="A37" s="38" t="inlineStr">
        <is>
          <t>Yango Cote Divoire</t>
        </is>
      </c>
      <c r="B37" s="38" t="inlineStr">
        <is>
          <t>Côte d'Ivoire</t>
        </is>
      </c>
      <c r="C37" s="39" t="inlineStr">
        <is>
          <t>Plateau → Treichville</t>
        </is>
      </c>
      <c r="D37" s="38" t="inlineStr">
        <is>
          <t>yango</t>
        </is>
      </c>
      <c r="E37" s="40" t="inlineStr">
        <is>
          <t>yango-cote-divoire</t>
        </is>
      </c>
      <c r="F37" s="41" t="n">
        <v>1</v>
      </c>
      <c r="G37" s="42" t="n">
        <v>1.5</v>
      </c>
      <c r="H37" s="35" t="n">
        <v>18</v>
      </c>
      <c r="I37" s="43" t="inlineStr">
        <is>
          <t>T2</t>
        </is>
      </c>
      <c r="J37" s="43" t="inlineStr">
        <is>
          <t>med</t>
        </is>
      </c>
      <c r="K37" s="29" t="n">
        <v>1</v>
      </c>
      <c r="L37" s="44">
        <f>60*G37/cruise_kt</f>
        <v/>
      </c>
      <c r="M37" s="44">
        <f>L37+turn_min+dwell_min</f>
        <v/>
      </c>
      <c r="N37" s="45">
        <f>MIN(16,FLOOR(60*service_hr/M37,1))</f>
        <v/>
      </c>
      <c r="O37" s="45">
        <f>ROUND(365*mech_uptime*K37,0)</f>
        <v/>
      </c>
      <c r="P37" s="46">
        <f>mech_uptime</f>
        <v/>
      </c>
      <c r="Q37" s="46">
        <f>revleg_sel</f>
        <v/>
      </c>
      <c r="R37" s="45">
        <f>ROUND(N37*O37*revleg_sel,0)</f>
        <v/>
      </c>
      <c r="S37" s="47">
        <f>load_sel</f>
        <v/>
      </c>
      <c r="T37" s="47">
        <f>pax_cap*S37</f>
        <v/>
      </c>
      <c r="U37" s="45">
        <f>T37*R37</f>
        <v/>
      </c>
      <c r="V37" s="48">
        <f>H37*discount</f>
        <v/>
      </c>
      <c r="W37" s="49">
        <f>V37*U37</f>
        <v/>
      </c>
      <c r="X37" s="49">
        <f>(battery/range_nm)*G37*R37*VLOOKUP(B37,country_opex,3,FALSE)</f>
        <v/>
      </c>
      <c r="Y37" s="49">
        <f>VLOOKUP(B37,country_opex,2,FALSE)*crew_factor</f>
        <v/>
      </c>
      <c r="Z37" s="49">
        <f>VLOOKUP(B37,country_opex,5,FALSE)</f>
        <v/>
      </c>
      <c r="AA37" s="49">
        <f>maint</f>
        <v/>
      </c>
      <c r="AB37" s="49">
        <f>VLOOKUP(B37,country_opex,7,FALSE)*ins_pct</f>
        <v/>
      </c>
      <c r="AC37" s="49">
        <f>charge_berth</f>
        <v/>
      </c>
      <c r="AD37" s="49">
        <f>X37+Y37+Z37+AA37+AB37+AC37</f>
        <v/>
      </c>
      <c r="AE37" s="49">
        <f>VLOOKUP(B37,country_opex,7,FALSE)/dep_years</f>
        <v/>
      </c>
      <c r="AF37" s="49">
        <f>W37-AD37</f>
        <v/>
      </c>
      <c r="AG37" s="46">
        <f>IF(W37=0,"",AF37/W37)</f>
        <v/>
      </c>
      <c r="AH37" s="47">
        <f>IF(AF37&lt;=0,"",VLOOKUP(B37,country_opex,7,FALSE)/AF37)</f>
        <v/>
      </c>
      <c r="AI37" s="44">
        <f>((G37*R37/diesel_nmpg)*diesel_co2pg-(battery/range_nm)*G37*R37*VLOOKUP(B37,country_opex,4,FALSE))/1000</f>
        <v/>
      </c>
      <c r="AJ37" s="42" t="n">
        <v>150600</v>
      </c>
      <c r="AK37" s="43" t="n"/>
      <c r="AL37" s="43" t="inlineStr">
        <is>
          <t>med</t>
        </is>
      </c>
      <c r="AM37" s="50" t="n">
        <v>0.25</v>
      </c>
      <c r="AN37" s="45">
        <f>IF(AJ37="","",AJ37*AM37)</f>
        <v/>
      </c>
      <c r="AO37" s="45">
        <f>IF(OR(AJ37="",U37=0),"",MIN(IF(AV37="",9.9E+99,AV37),FLOOR(AN37/U37,1)))</f>
        <v/>
      </c>
      <c r="AP37" s="49">
        <f>IF(AO37="","",AO37*W37)</f>
        <v/>
      </c>
      <c r="AQ37" s="47">
        <f>IF(OR(AJ37="",U37=0),"",MIN(IF(AV37="",9.9E+99,AV37),AN37/U37))</f>
        <v/>
      </c>
      <c r="AR37" s="49">
        <f>IF(AQ37="","",AQ37*W37)</f>
        <v/>
      </c>
      <c r="AS37" s="51" t="n"/>
      <c r="AT37" s="52" t="n"/>
      <c r="AU37" s="52" t="n"/>
      <c r="AV37" s="53" t="n"/>
      <c r="AW37" s="54">
        <f>IF(((V37*pax_cap*load_thin*ROUND(N37*O37*revleg_thin,0))-(((battery/range_nm)*G37*ROUND(N37*O37*revleg_thin,0)*VLOOKUP(B37,country_opex,3,FALSE))+Y37+Z37+AA37+AB37+AC37))&lt;=0,"",VLOOKUP(B37,country_opex,7,FALSE)/((V37*pax_cap*load_thin*ROUND(N37*O37*revleg_thin,0))-(((battery/range_nm)*G37*ROUND(N37*O37*revleg_thin,0)*VLOOKUP(B37,country_opex,3,FALSE))+Y37+Z37+AA37+AB37+AC37)))</f>
        <v/>
      </c>
      <c r="AX37" s="54">
        <f>IF(((V37*pax_cap*load_mid*ROUND(N37*O37*revleg_mid,0))-(((battery/range_nm)*G37*ROUND(N37*O37*revleg_mid,0)*VLOOKUP(B37,country_opex,3,FALSE))+Y37+Z37+AA37+AB37+AC37))&lt;=0,"",VLOOKUP(B37,country_opex,7,FALSE)/((V37*pax_cap*load_mid*ROUND(N37*O37*revleg_mid,0))-(((battery/range_nm)*G37*ROUND(N37*O37*revleg_mid,0)*VLOOKUP(B37,country_opex,3,FALSE))+Y37+Z37+AA37+AB37+AC37)))</f>
        <v/>
      </c>
      <c r="AY37" s="54">
        <f>IF(((V37*pax_cap*load_full*ROUND(N37*O37*revleg_full,0))-(((battery/range_nm)*G37*ROUND(N37*O37*revleg_full,0)*VLOOKUP(B37,country_opex,3,FALSE))+Y37+Z37+AA37+AB37+AC37))&lt;=0,"",VLOOKUP(B37,country_opex,7,FALSE)/((V37*pax_cap*load_full*ROUND(N37*O37*revleg_full,0))-(((battery/range_nm)*G37*ROUND(N37*O37*revleg_full,0)*VLOOKUP(B37,country_opex,3,FALSE))+Y37+Z37+AA37+AB37+AC37)))</f>
        <v/>
      </c>
      <c r="AZ37" s="40" t="inlineStr">
        <is>
          <t>[LB-255 PREMIUM RE-FARE: subsidized comparable $0.87 lifted to premium on-demand floor $18.0] PREMIUM tier: STL/CITRANS VIP cabin 500 FCFA ~ $0.87. (Petit Fute lists STL Plateau&gt;Treichville 300 FCFA economy.)</t>
        </is>
      </c>
      <c r="BA37" s="40" t="n"/>
    </row>
    <row r="38">
      <c r="A38" s="38" t="inlineStr">
        <is>
          <t>Yango Cote Divoire</t>
        </is>
      </c>
      <c r="B38" s="38" t="inlineStr">
        <is>
          <t>Côte d'Ivoire</t>
        </is>
      </c>
      <c r="C38" s="39" t="inlineStr">
        <is>
          <t>Abobo-Doume (Attecoube) → Plateau</t>
        </is>
      </c>
      <c r="D38" s="38" t="inlineStr">
        <is>
          <t>yango</t>
        </is>
      </c>
      <c r="E38" s="40" t="inlineStr">
        <is>
          <t>yango-cote-divoire</t>
        </is>
      </c>
      <c r="F38" s="41" t="n">
        <v>1</v>
      </c>
      <c r="G38" s="42" t="n">
        <v>1.5</v>
      </c>
      <c r="H38" s="35" t="n">
        <v>18</v>
      </c>
      <c r="I38" s="43" t="inlineStr">
        <is>
          <t>T2</t>
        </is>
      </c>
      <c r="J38" s="43" t="inlineStr">
        <is>
          <t>med</t>
        </is>
      </c>
      <c r="K38" s="29" t="n">
        <v>1</v>
      </c>
      <c r="L38" s="44">
        <f>60*G38/cruise_kt</f>
        <v/>
      </c>
      <c r="M38" s="44">
        <f>L38+turn_min+dwell_min</f>
        <v/>
      </c>
      <c r="N38" s="45">
        <f>MIN(16,FLOOR(60*service_hr/M38,1))</f>
        <v/>
      </c>
      <c r="O38" s="45">
        <f>ROUND(365*mech_uptime*K38,0)</f>
        <v/>
      </c>
      <c r="P38" s="46">
        <f>mech_uptime</f>
        <v/>
      </c>
      <c r="Q38" s="46">
        <f>revleg_sel</f>
        <v/>
      </c>
      <c r="R38" s="45">
        <f>ROUND(N38*O38*revleg_sel,0)</f>
        <v/>
      </c>
      <c r="S38" s="47">
        <f>load_sel</f>
        <v/>
      </c>
      <c r="T38" s="47">
        <f>pax_cap*S38</f>
        <v/>
      </c>
      <c r="U38" s="45">
        <f>T38*R38</f>
        <v/>
      </c>
      <c r="V38" s="48">
        <f>H38*discount</f>
        <v/>
      </c>
      <c r="W38" s="49">
        <f>V38*U38</f>
        <v/>
      </c>
      <c r="X38" s="49">
        <f>(battery/range_nm)*G38*R38*VLOOKUP(B38,country_opex,3,FALSE)</f>
        <v/>
      </c>
      <c r="Y38" s="49">
        <f>VLOOKUP(B38,country_opex,2,FALSE)*crew_factor</f>
        <v/>
      </c>
      <c r="Z38" s="49">
        <f>VLOOKUP(B38,country_opex,5,FALSE)</f>
        <v/>
      </c>
      <c r="AA38" s="49">
        <f>maint</f>
        <v/>
      </c>
      <c r="AB38" s="49">
        <f>VLOOKUP(B38,country_opex,7,FALSE)*ins_pct</f>
        <v/>
      </c>
      <c r="AC38" s="49">
        <f>charge_berth</f>
        <v/>
      </c>
      <c r="AD38" s="49">
        <f>X38+Y38+Z38+AA38+AB38+AC38</f>
        <v/>
      </c>
      <c r="AE38" s="49">
        <f>VLOOKUP(B38,country_opex,7,FALSE)/dep_years</f>
        <v/>
      </c>
      <c r="AF38" s="49">
        <f>W38-AD38</f>
        <v/>
      </c>
      <c r="AG38" s="46">
        <f>IF(W38=0,"",AF38/W38)</f>
        <v/>
      </c>
      <c r="AH38" s="47">
        <f>IF(AF38&lt;=0,"",VLOOKUP(B38,country_opex,7,FALSE)/AF38)</f>
        <v/>
      </c>
      <c r="AI38" s="44">
        <f>((G38*R38/diesel_nmpg)*diesel_co2pg-(battery/range_nm)*G38*R38*VLOOKUP(B38,country_opex,4,FALSE))/1000</f>
        <v/>
      </c>
      <c r="AJ38" s="42" t="n">
        <v>150600</v>
      </c>
      <c r="AK38" s="43" t="n"/>
      <c r="AL38" s="43" t="inlineStr">
        <is>
          <t>med</t>
        </is>
      </c>
      <c r="AM38" s="50" t="n">
        <v>0.25</v>
      </c>
      <c r="AN38" s="45">
        <f>IF(AJ38="","",AJ38*AM38)</f>
        <v/>
      </c>
      <c r="AO38" s="45">
        <f>IF(OR(AJ38="",U38=0),"",MIN(IF(AV38="",9.9E+99,AV38),FLOOR(AN38/U38,1)))</f>
        <v/>
      </c>
      <c r="AP38" s="49">
        <f>IF(AO38="","",AO38*W38)</f>
        <v/>
      </c>
      <c r="AQ38" s="47">
        <f>IF(OR(AJ38="",U38=0),"",MIN(IF(AV38="",9.9E+99,AV38),AN38/U38))</f>
        <v/>
      </c>
      <c r="AR38" s="49">
        <f>IF(AQ38="","",AQ38*W38)</f>
        <v/>
      </c>
      <c r="AS38" s="51" t="n"/>
      <c r="AT38" s="52" t="n"/>
      <c r="AU38" s="52" t="n"/>
      <c r="AV38" s="53" t="n"/>
      <c r="AW38" s="54">
        <f>IF(((V38*pax_cap*load_thin*ROUND(N38*O38*revleg_thin,0))-(((battery/range_nm)*G38*ROUND(N38*O38*revleg_thin,0)*VLOOKUP(B38,country_opex,3,FALSE))+Y38+Z38+AA38+AB38+AC38))&lt;=0,"",VLOOKUP(B38,country_opex,7,FALSE)/((V38*pax_cap*load_thin*ROUND(N38*O38*revleg_thin,0))-(((battery/range_nm)*G38*ROUND(N38*O38*revleg_thin,0)*VLOOKUP(B38,country_opex,3,FALSE))+Y38+Z38+AA38+AB38+AC38)))</f>
        <v/>
      </c>
      <c r="AX38" s="54">
        <f>IF(((V38*pax_cap*load_mid*ROUND(N38*O38*revleg_mid,0))-(((battery/range_nm)*G38*ROUND(N38*O38*revleg_mid,0)*VLOOKUP(B38,country_opex,3,FALSE))+Y38+Z38+AA38+AB38+AC38))&lt;=0,"",VLOOKUP(B38,country_opex,7,FALSE)/((V38*pax_cap*load_mid*ROUND(N38*O38*revleg_mid,0))-(((battery/range_nm)*G38*ROUND(N38*O38*revleg_mid,0)*VLOOKUP(B38,country_opex,3,FALSE))+Y38+Z38+AA38+AB38+AC38)))</f>
        <v/>
      </c>
      <c r="AY38" s="54">
        <f>IF(((V38*pax_cap*load_full*ROUND(N38*O38*revleg_full,0))-(((battery/range_nm)*G38*ROUND(N38*O38*revleg_full,0)*VLOOKUP(B38,country_opex,3,FALSE))+Y38+Z38+AA38+AB38+AC38))&lt;=0,"",VLOOKUP(B38,country_opex,7,FALSE)/((V38*pax_cap*load_full*ROUND(N38*O38*revleg_full,0))-(((battery/range_nm)*G38*ROUND(N38*O38*revleg_full,0)*VLOOKUP(B38,country_opex,3,FALSE))+Y38+Z38+AA38+AB38+AC38)))</f>
        <v/>
      </c>
      <c r="AZ38" s="40" t="inlineStr">
        <is>
          <t>[LB-255 PREMIUM RE-FARE: subsidized comparable $0.87 lifted to premium on-demand floor $18.0] PREMIUM tier: STL/CITRANS VIP cabin 500 FCFA ~ $0.87.</t>
        </is>
      </c>
      <c r="BA38" s="40" t="n"/>
    </row>
    <row r="39">
      <c r="A39" s="38" t="inlineStr">
        <is>
          <t>Yango Cote Divoire</t>
        </is>
      </c>
      <c r="B39" s="38" t="inlineStr">
        <is>
          <t>Côte d'Ivoire</t>
        </is>
      </c>
      <c r="C39" s="39" t="inlineStr">
        <is>
          <t>Blockhauss (Cocody / Blokosso) → Plateau</t>
        </is>
      </c>
      <c r="D39" s="38" t="inlineStr">
        <is>
          <t>yango</t>
        </is>
      </c>
      <c r="E39" s="40" t="inlineStr">
        <is>
          <t>yango-cote-divoire</t>
        </is>
      </c>
      <c r="F39" s="41" t="n">
        <v>1</v>
      </c>
      <c r="G39" s="42" t="n">
        <v>1.8</v>
      </c>
      <c r="H39" s="35" t="n">
        <v>18</v>
      </c>
      <c r="I39" s="43" t="inlineStr">
        <is>
          <t>T2</t>
        </is>
      </c>
      <c r="J39" s="43" t="inlineStr">
        <is>
          <t>med</t>
        </is>
      </c>
      <c r="K39" s="29" t="n">
        <v>1</v>
      </c>
      <c r="L39" s="44">
        <f>60*G39/cruise_kt</f>
        <v/>
      </c>
      <c r="M39" s="44">
        <f>L39+turn_min+dwell_min</f>
        <v/>
      </c>
      <c r="N39" s="45">
        <f>MIN(16,FLOOR(60*service_hr/M39,1))</f>
        <v/>
      </c>
      <c r="O39" s="45">
        <f>ROUND(365*mech_uptime*K39,0)</f>
        <v/>
      </c>
      <c r="P39" s="46">
        <f>mech_uptime</f>
        <v/>
      </c>
      <c r="Q39" s="46">
        <f>revleg_sel</f>
        <v/>
      </c>
      <c r="R39" s="45">
        <f>ROUND(N39*O39*revleg_sel,0)</f>
        <v/>
      </c>
      <c r="S39" s="47">
        <f>load_sel</f>
        <v/>
      </c>
      <c r="T39" s="47">
        <f>pax_cap*S39</f>
        <v/>
      </c>
      <c r="U39" s="45">
        <f>T39*R39</f>
        <v/>
      </c>
      <c r="V39" s="48">
        <f>H39*discount</f>
        <v/>
      </c>
      <c r="W39" s="49">
        <f>V39*U39</f>
        <v/>
      </c>
      <c r="X39" s="49">
        <f>(battery/range_nm)*G39*R39*VLOOKUP(B39,country_opex,3,FALSE)</f>
        <v/>
      </c>
      <c r="Y39" s="49">
        <f>VLOOKUP(B39,country_opex,2,FALSE)*crew_factor</f>
        <v/>
      </c>
      <c r="Z39" s="49">
        <f>VLOOKUP(B39,country_opex,5,FALSE)</f>
        <v/>
      </c>
      <c r="AA39" s="49">
        <f>maint</f>
        <v/>
      </c>
      <c r="AB39" s="49">
        <f>VLOOKUP(B39,country_opex,7,FALSE)*ins_pct</f>
        <v/>
      </c>
      <c r="AC39" s="49">
        <f>charge_berth</f>
        <v/>
      </c>
      <c r="AD39" s="49">
        <f>X39+Y39+Z39+AA39+AB39+AC39</f>
        <v/>
      </c>
      <c r="AE39" s="49">
        <f>VLOOKUP(B39,country_opex,7,FALSE)/dep_years</f>
        <v/>
      </c>
      <c r="AF39" s="49">
        <f>W39-AD39</f>
        <v/>
      </c>
      <c r="AG39" s="46">
        <f>IF(W39=0,"",AF39/W39)</f>
        <v/>
      </c>
      <c r="AH39" s="47">
        <f>IF(AF39&lt;=0,"",VLOOKUP(B39,country_opex,7,FALSE)/AF39)</f>
        <v/>
      </c>
      <c r="AI39" s="44">
        <f>((G39*R39/diesel_nmpg)*diesel_co2pg-(battery/range_nm)*G39*R39*VLOOKUP(B39,country_opex,4,FALSE))/1000</f>
        <v/>
      </c>
      <c r="AJ39" s="42" t="n">
        <v>150600</v>
      </c>
      <c r="AK39" s="43" t="n"/>
      <c r="AL39" s="43" t="inlineStr">
        <is>
          <t>med</t>
        </is>
      </c>
      <c r="AM39" s="50" t="n">
        <v>0.25</v>
      </c>
      <c r="AN39" s="45">
        <f>IF(AJ39="","",AJ39*AM39)</f>
        <v/>
      </c>
      <c r="AO39" s="45">
        <f>IF(OR(AJ39="",U39=0),"",MIN(IF(AV39="",9.9E+99,AV39),FLOOR(AN39/U39,1)))</f>
        <v/>
      </c>
      <c r="AP39" s="49">
        <f>IF(AO39="","",AO39*W39)</f>
        <v/>
      </c>
      <c r="AQ39" s="47">
        <f>IF(OR(AJ39="",U39=0),"",MIN(IF(AV39="",9.9E+99,AV39),AN39/U39))</f>
        <v/>
      </c>
      <c r="AR39" s="49">
        <f>IF(AQ39="","",AQ39*W39)</f>
        <v/>
      </c>
      <c r="AS39" s="51" t="n"/>
      <c r="AT39" s="52" t="n"/>
      <c r="AU39" s="52" t="n"/>
      <c r="AV39" s="53" t="n"/>
      <c r="AW39" s="54">
        <f>IF(((V39*pax_cap*load_thin*ROUND(N39*O39*revleg_thin,0))-(((battery/range_nm)*G39*ROUND(N39*O39*revleg_thin,0)*VLOOKUP(B39,country_opex,3,FALSE))+Y39+Z39+AA39+AB39+AC39))&lt;=0,"",VLOOKUP(B39,country_opex,7,FALSE)/((V39*pax_cap*load_thin*ROUND(N39*O39*revleg_thin,0))-(((battery/range_nm)*G39*ROUND(N39*O39*revleg_thin,0)*VLOOKUP(B39,country_opex,3,FALSE))+Y39+Z39+AA39+AB39+AC39)))</f>
        <v/>
      </c>
      <c r="AX39" s="54">
        <f>IF(((V39*pax_cap*load_mid*ROUND(N39*O39*revleg_mid,0))-(((battery/range_nm)*G39*ROUND(N39*O39*revleg_mid,0)*VLOOKUP(B39,country_opex,3,FALSE))+Y39+Z39+AA39+AB39+AC39))&lt;=0,"",VLOOKUP(B39,country_opex,7,FALSE)/((V39*pax_cap*load_mid*ROUND(N39*O39*revleg_mid,0))-(((battery/range_nm)*G39*ROUND(N39*O39*revleg_mid,0)*VLOOKUP(B39,country_opex,3,FALSE))+Y39+Z39+AA39+AB39+AC39)))</f>
        <v/>
      </c>
      <c r="AY39" s="54">
        <f>IF(((V39*pax_cap*load_full*ROUND(N39*O39*revleg_full,0))-(((battery/range_nm)*G39*ROUND(N39*O39*revleg_full,0)*VLOOKUP(B39,country_opex,3,FALSE))+Y39+Z39+AA39+AB39+AC39))&lt;=0,"",VLOOKUP(B39,country_opex,7,FALSE)/((V39*pax_cap*load_full*ROUND(N39*O39*revleg_full,0))-(((battery/range_nm)*G39*ROUND(N39*O39*revleg_full,0)*VLOOKUP(B39,country_opex,3,FALSE))+Y39+Z39+AA39+AB39+AC39)))</f>
        <v/>
      </c>
      <c r="AZ39" s="40" t="inlineStr">
        <is>
          <t>[LB-255 PREMIUM RE-FARE: subsidized comparable $0.87 lifted to premium on-demand floor $18.0] PREMIUM tier: STL/CITRANS VIP cabin 500 FCFA ~ $0.87 (SOTRA standard now ~500 FCFA in 2026).</t>
        </is>
      </c>
      <c r="BA39" s="40" t="n"/>
    </row>
    <row r="40">
      <c r="A40" s="38" t="inlineStr">
        <is>
          <t>Yango Cote Divoire</t>
        </is>
      </c>
      <c r="B40" s="38" t="inlineStr">
        <is>
          <t>Côte d'Ivoire</t>
        </is>
      </c>
      <c r="C40" s="39" t="inlineStr">
        <is>
          <t>Abobo-Doume (Attecoube) → Treichville</t>
        </is>
      </c>
      <c r="D40" s="38" t="inlineStr">
        <is>
          <t>yango</t>
        </is>
      </c>
      <c r="E40" s="40" t="inlineStr">
        <is>
          <t>yango-cote-divoire</t>
        </is>
      </c>
      <c r="F40" s="41" t="n">
        <v>1</v>
      </c>
      <c r="G40" s="42" t="n">
        <v>2</v>
      </c>
      <c r="H40" s="35" t="n">
        <v>18</v>
      </c>
      <c r="I40" s="43" t="inlineStr">
        <is>
          <t>T2</t>
        </is>
      </c>
      <c r="J40" s="43" t="inlineStr">
        <is>
          <t>med</t>
        </is>
      </c>
      <c r="K40" s="29" t="n">
        <v>1</v>
      </c>
      <c r="L40" s="44">
        <f>60*G40/cruise_kt</f>
        <v/>
      </c>
      <c r="M40" s="44">
        <f>L40+turn_min+dwell_min</f>
        <v/>
      </c>
      <c r="N40" s="45">
        <f>MIN(16,FLOOR(60*service_hr/M40,1))</f>
        <v/>
      </c>
      <c r="O40" s="45">
        <f>ROUND(365*mech_uptime*K40,0)</f>
        <v/>
      </c>
      <c r="P40" s="46">
        <f>mech_uptime</f>
        <v/>
      </c>
      <c r="Q40" s="46">
        <f>revleg_sel</f>
        <v/>
      </c>
      <c r="R40" s="45">
        <f>ROUND(N40*O40*revleg_sel,0)</f>
        <v/>
      </c>
      <c r="S40" s="47">
        <f>load_sel</f>
        <v/>
      </c>
      <c r="T40" s="47">
        <f>pax_cap*S40</f>
        <v/>
      </c>
      <c r="U40" s="45">
        <f>T40*R40</f>
        <v/>
      </c>
      <c r="V40" s="48">
        <f>H40*discount</f>
        <v/>
      </c>
      <c r="W40" s="49">
        <f>V40*U40</f>
        <v/>
      </c>
      <c r="X40" s="49">
        <f>(battery/range_nm)*G40*R40*VLOOKUP(B40,country_opex,3,FALSE)</f>
        <v/>
      </c>
      <c r="Y40" s="49">
        <f>VLOOKUP(B40,country_opex,2,FALSE)*crew_factor</f>
        <v/>
      </c>
      <c r="Z40" s="49">
        <f>VLOOKUP(B40,country_opex,5,FALSE)</f>
        <v/>
      </c>
      <c r="AA40" s="49">
        <f>maint</f>
        <v/>
      </c>
      <c r="AB40" s="49">
        <f>VLOOKUP(B40,country_opex,7,FALSE)*ins_pct</f>
        <v/>
      </c>
      <c r="AC40" s="49">
        <f>charge_berth</f>
        <v/>
      </c>
      <c r="AD40" s="49">
        <f>X40+Y40+Z40+AA40+AB40+AC40</f>
        <v/>
      </c>
      <c r="AE40" s="49">
        <f>VLOOKUP(B40,country_opex,7,FALSE)/dep_years</f>
        <v/>
      </c>
      <c r="AF40" s="49">
        <f>W40-AD40</f>
        <v/>
      </c>
      <c r="AG40" s="46">
        <f>IF(W40=0,"",AF40/W40)</f>
        <v/>
      </c>
      <c r="AH40" s="47">
        <f>IF(AF40&lt;=0,"",VLOOKUP(B40,country_opex,7,FALSE)/AF40)</f>
        <v/>
      </c>
      <c r="AI40" s="44">
        <f>((G40*R40/diesel_nmpg)*diesel_co2pg-(battery/range_nm)*G40*R40*VLOOKUP(B40,country_opex,4,FALSE))/1000</f>
        <v/>
      </c>
      <c r="AJ40" s="42" t="n">
        <v>150600</v>
      </c>
      <c r="AK40" s="43" t="n"/>
      <c r="AL40" s="43" t="inlineStr">
        <is>
          <t>med</t>
        </is>
      </c>
      <c r="AM40" s="50" t="n">
        <v>0.25</v>
      </c>
      <c r="AN40" s="45">
        <f>IF(AJ40="","",AJ40*AM40)</f>
        <v/>
      </c>
      <c r="AO40" s="45">
        <f>IF(OR(AJ40="",U40=0),"",MIN(IF(AV40="",9.9E+99,AV40),FLOOR(AN40/U40,1)))</f>
        <v/>
      </c>
      <c r="AP40" s="49">
        <f>IF(AO40="","",AO40*W40)</f>
        <v/>
      </c>
      <c r="AQ40" s="47">
        <f>IF(OR(AJ40="",U40=0),"",MIN(IF(AV40="",9.9E+99,AV40),AN40/U40))</f>
        <v/>
      </c>
      <c r="AR40" s="49">
        <f>IF(AQ40="","",AQ40*W40)</f>
        <v/>
      </c>
      <c r="AS40" s="51" t="n"/>
      <c r="AT40" s="52" t="n"/>
      <c r="AU40" s="52" t="n"/>
      <c r="AV40" s="53" t="n"/>
      <c r="AW40" s="54">
        <f>IF(((V40*pax_cap*load_thin*ROUND(N40*O40*revleg_thin,0))-(((battery/range_nm)*G40*ROUND(N40*O40*revleg_thin,0)*VLOOKUP(B40,country_opex,3,FALSE))+Y40+Z40+AA40+AB40+AC40))&lt;=0,"",VLOOKUP(B40,country_opex,7,FALSE)/((V40*pax_cap*load_thin*ROUND(N40*O40*revleg_thin,0))-(((battery/range_nm)*G40*ROUND(N40*O40*revleg_thin,0)*VLOOKUP(B40,country_opex,3,FALSE))+Y40+Z40+AA40+AB40+AC40)))</f>
        <v/>
      </c>
      <c r="AX40" s="54">
        <f>IF(((V40*pax_cap*load_mid*ROUND(N40*O40*revleg_mid,0))-(((battery/range_nm)*G40*ROUND(N40*O40*revleg_mid,0)*VLOOKUP(B40,country_opex,3,FALSE))+Y40+Z40+AA40+AB40+AC40))&lt;=0,"",VLOOKUP(B40,country_opex,7,FALSE)/((V40*pax_cap*load_mid*ROUND(N40*O40*revleg_mid,0))-(((battery/range_nm)*G40*ROUND(N40*O40*revleg_mid,0)*VLOOKUP(B40,country_opex,3,FALSE))+Y40+Z40+AA40+AB40+AC40)))</f>
        <v/>
      </c>
      <c r="AY40" s="54">
        <f>IF(((V40*pax_cap*load_full*ROUND(N40*O40*revleg_full,0))-(((battery/range_nm)*G40*ROUND(N40*O40*revleg_full,0)*VLOOKUP(B40,country_opex,3,FALSE))+Y40+Z40+AA40+AB40+AC40))&lt;=0,"",VLOOKUP(B40,country_opex,7,FALSE)/((V40*pax_cap*load_full*ROUND(N40*O40*revleg_full,0))-(((battery/range_nm)*G40*ROUND(N40*O40*revleg_full,0)*VLOOKUP(B40,country_opex,3,FALSE))+Y40+Z40+AA40+AB40+AC40)))</f>
        <v/>
      </c>
      <c r="AZ40" s="40" t="inlineStr">
        <is>
          <t>[LB-255 PREMIUM RE-FARE: subsidized comparable $0.87 lifted to premium on-demand floor $18.0] PREMIUM tier: STL/CITRANS VIP cabin 500 FCFA ~ $0.87.</t>
        </is>
      </c>
      <c r="BA40" s="40" t="n"/>
    </row>
    <row r="41">
      <c r="A41" s="38" t="inlineStr">
        <is>
          <t>Yango Cote Divoire</t>
        </is>
      </c>
      <c r="B41" s="38" t="inlineStr">
        <is>
          <t>Côte d'Ivoire</t>
        </is>
      </c>
      <c r="C41" s="39" t="inlineStr">
        <is>
          <t>Plateau → Cocody (Riviera)</t>
        </is>
      </c>
      <c r="D41" s="38" t="inlineStr">
        <is>
          <t>yango</t>
        </is>
      </c>
      <c r="E41" s="40" t="inlineStr">
        <is>
          <t>yango-cote-divoire</t>
        </is>
      </c>
      <c r="F41" s="41" t="n">
        <v>1</v>
      </c>
      <c r="G41" s="42" t="n">
        <v>3</v>
      </c>
      <c r="H41" s="35" t="n">
        <v>18</v>
      </c>
      <c r="I41" s="43" t="inlineStr">
        <is>
          <t>T2</t>
        </is>
      </c>
      <c r="J41" s="43" t="inlineStr">
        <is>
          <t>med</t>
        </is>
      </c>
      <c r="K41" s="29" t="n">
        <v>1</v>
      </c>
      <c r="L41" s="44">
        <f>60*G41/cruise_kt</f>
        <v/>
      </c>
      <c r="M41" s="44">
        <f>L41+turn_min+dwell_min</f>
        <v/>
      </c>
      <c r="N41" s="45">
        <f>MIN(16,FLOOR(60*service_hr/M41,1))</f>
        <v/>
      </c>
      <c r="O41" s="45">
        <f>ROUND(365*mech_uptime*K41,0)</f>
        <v/>
      </c>
      <c r="P41" s="46">
        <f>mech_uptime</f>
        <v/>
      </c>
      <c r="Q41" s="46">
        <f>revleg_sel</f>
        <v/>
      </c>
      <c r="R41" s="45">
        <f>ROUND(N41*O41*revleg_sel,0)</f>
        <v/>
      </c>
      <c r="S41" s="47">
        <f>load_sel</f>
        <v/>
      </c>
      <c r="T41" s="47">
        <f>pax_cap*S41</f>
        <v/>
      </c>
      <c r="U41" s="45">
        <f>T41*R41</f>
        <v/>
      </c>
      <c r="V41" s="48">
        <f>H41*discount</f>
        <v/>
      </c>
      <c r="W41" s="49">
        <f>V41*U41</f>
        <v/>
      </c>
      <c r="X41" s="49">
        <f>(battery/range_nm)*G41*R41*VLOOKUP(B41,country_opex,3,FALSE)</f>
        <v/>
      </c>
      <c r="Y41" s="49">
        <f>VLOOKUP(B41,country_opex,2,FALSE)*crew_factor</f>
        <v/>
      </c>
      <c r="Z41" s="49">
        <f>VLOOKUP(B41,country_opex,5,FALSE)</f>
        <v/>
      </c>
      <c r="AA41" s="49">
        <f>maint</f>
        <v/>
      </c>
      <c r="AB41" s="49">
        <f>VLOOKUP(B41,country_opex,7,FALSE)*ins_pct</f>
        <v/>
      </c>
      <c r="AC41" s="49">
        <f>charge_berth</f>
        <v/>
      </c>
      <c r="AD41" s="49">
        <f>X41+Y41+Z41+AA41+AB41+AC41</f>
        <v/>
      </c>
      <c r="AE41" s="49">
        <f>VLOOKUP(B41,country_opex,7,FALSE)/dep_years</f>
        <v/>
      </c>
      <c r="AF41" s="49">
        <f>W41-AD41</f>
        <v/>
      </c>
      <c r="AG41" s="46">
        <f>IF(W41=0,"",AF41/W41)</f>
        <v/>
      </c>
      <c r="AH41" s="47">
        <f>IF(AF41&lt;=0,"",VLOOKUP(B41,country_opex,7,FALSE)/AF41)</f>
        <v/>
      </c>
      <c r="AI41" s="44">
        <f>((G41*R41/diesel_nmpg)*diesel_co2pg-(battery/range_nm)*G41*R41*VLOOKUP(B41,country_opex,4,FALSE))/1000</f>
        <v/>
      </c>
      <c r="AJ41" s="42" t="n">
        <v>225900</v>
      </c>
      <c r="AK41" s="43" t="n"/>
      <c r="AL41" s="43" t="inlineStr">
        <is>
          <t>med</t>
        </is>
      </c>
      <c r="AM41" s="50" t="n">
        <v>0.25</v>
      </c>
      <c r="AN41" s="45">
        <f>IF(AJ41="","",AJ41*AM41)</f>
        <v/>
      </c>
      <c r="AO41" s="45">
        <f>IF(OR(AJ41="",U41=0),"",MIN(IF(AV41="",9.9E+99,AV41),FLOOR(AN41/U41,1)))</f>
        <v/>
      </c>
      <c r="AP41" s="49">
        <f>IF(AO41="","",AO41*W41)</f>
        <v/>
      </c>
      <c r="AQ41" s="47">
        <f>IF(OR(AJ41="",U41=0),"",MIN(IF(AV41="",9.9E+99,AV41),AN41/U41))</f>
        <v/>
      </c>
      <c r="AR41" s="49">
        <f>IF(AQ41="","",AQ41*W41)</f>
        <v/>
      </c>
      <c r="AS41" s="51" t="n"/>
      <c r="AT41" s="52" t="n"/>
      <c r="AU41" s="52" t="n"/>
      <c r="AV41" s="53" t="n"/>
      <c r="AW41" s="54">
        <f>IF(((V41*pax_cap*load_thin*ROUND(N41*O41*revleg_thin,0))-(((battery/range_nm)*G41*ROUND(N41*O41*revleg_thin,0)*VLOOKUP(B41,country_opex,3,FALSE))+Y41+Z41+AA41+AB41+AC41))&lt;=0,"",VLOOKUP(B41,country_opex,7,FALSE)/((V41*pax_cap*load_thin*ROUND(N41*O41*revleg_thin,0))-(((battery/range_nm)*G41*ROUND(N41*O41*revleg_thin,0)*VLOOKUP(B41,country_opex,3,FALSE))+Y41+Z41+AA41+AB41+AC41)))</f>
        <v/>
      </c>
      <c r="AX41" s="54">
        <f>IF(((V41*pax_cap*load_mid*ROUND(N41*O41*revleg_mid,0))-(((battery/range_nm)*G41*ROUND(N41*O41*revleg_mid,0)*VLOOKUP(B41,country_opex,3,FALSE))+Y41+Z41+AA41+AB41+AC41))&lt;=0,"",VLOOKUP(B41,country_opex,7,FALSE)/((V41*pax_cap*load_mid*ROUND(N41*O41*revleg_mid,0))-(((battery/range_nm)*G41*ROUND(N41*O41*revleg_mid,0)*VLOOKUP(B41,country_opex,3,FALSE))+Y41+Z41+AA41+AB41+AC41)))</f>
        <v/>
      </c>
      <c r="AY41" s="54">
        <f>IF(((V41*pax_cap*load_full*ROUND(N41*O41*revleg_full,0))-(((battery/range_nm)*G41*ROUND(N41*O41*revleg_full,0)*VLOOKUP(B41,country_opex,3,FALSE))+Y41+Z41+AA41+AB41+AC41))&lt;=0,"",VLOOKUP(B41,country_opex,7,FALSE)/((V41*pax_cap*load_full*ROUND(N41*O41*revleg_full,0))-(((battery/range_nm)*G41*ROUND(N41*O41*revleg_full,0)*VLOOKUP(B41,country_opex,3,FALSE))+Y41+Z41+AA41+AB41+AC41)))</f>
        <v/>
      </c>
      <c r="AZ41" s="40" t="inlineStr">
        <is>
          <t>[LB-255 PREMIUM RE-FARE: subsidized comparable $0.87 lifted to premium on-demand floor $18.0] PREMIUM tier: STL/CITRANS air-conditioned VIP cabin (Wifi) 500 FCFA ~ $0.87.</t>
        </is>
      </c>
      <c r="BA41" s="40" t="n"/>
    </row>
    <row r="42">
      <c r="A42" s="38" t="inlineStr">
        <is>
          <t>Yango Cote Divoire</t>
        </is>
      </c>
      <c r="B42" s="38" t="inlineStr">
        <is>
          <t>Côte d'Ivoire</t>
        </is>
      </c>
      <c r="C42" s="39" t="inlineStr">
        <is>
          <t>Marcory → Koumassi</t>
        </is>
      </c>
      <c r="D42" s="38" t="inlineStr">
        <is>
          <t>yango</t>
        </is>
      </c>
      <c r="E42" s="40" t="inlineStr">
        <is>
          <t>yango-cote-divoire</t>
        </is>
      </c>
      <c r="F42" s="41" t="n">
        <v>1</v>
      </c>
      <c r="G42" s="42" t="n">
        <v>3</v>
      </c>
      <c r="H42" s="35" t="n"/>
      <c r="I42" s="43" t="n"/>
      <c r="J42" s="43" t="n"/>
      <c r="K42" s="29" t="n">
        <v>1</v>
      </c>
      <c r="L42" s="44">
        <f>60*G42/cruise_kt</f>
        <v/>
      </c>
      <c r="M42" s="44">
        <f>L42+turn_min+dwell_min</f>
        <v/>
      </c>
      <c r="N42" s="45">
        <f>MIN(16,FLOOR(60*service_hr/M42,1))</f>
        <v/>
      </c>
      <c r="O42" s="45">
        <f>ROUND(365*mech_uptime*K42,0)</f>
        <v/>
      </c>
      <c r="P42" s="46">
        <f>mech_uptime</f>
        <v/>
      </c>
      <c r="Q42" s="46">
        <f>revleg_sel</f>
        <v/>
      </c>
      <c r="R42" s="45">
        <f>ROUND(N42*O42*revleg_sel,0)</f>
        <v/>
      </c>
      <c r="S42" s="47">
        <f>load_sel</f>
        <v/>
      </c>
      <c r="T42" s="47">
        <f>pax_cap*S42</f>
        <v/>
      </c>
      <c r="U42" s="45">
        <f>T42*R42</f>
        <v/>
      </c>
      <c r="V42" s="48">
        <f>H42*discount</f>
        <v/>
      </c>
      <c r="W42" s="49">
        <f>V42*U42</f>
        <v/>
      </c>
      <c r="X42" s="49">
        <f>(battery/range_nm)*G42*R42*VLOOKUP(B42,country_opex,3,FALSE)</f>
        <v/>
      </c>
      <c r="Y42" s="49">
        <f>VLOOKUP(B42,country_opex,2,FALSE)*crew_factor</f>
        <v/>
      </c>
      <c r="Z42" s="49">
        <f>VLOOKUP(B42,country_opex,5,FALSE)</f>
        <v/>
      </c>
      <c r="AA42" s="49">
        <f>maint</f>
        <v/>
      </c>
      <c r="AB42" s="49">
        <f>VLOOKUP(B42,country_opex,7,FALSE)*ins_pct</f>
        <v/>
      </c>
      <c r="AC42" s="49">
        <f>charge_berth</f>
        <v/>
      </c>
      <c r="AD42" s="49">
        <f>X42+Y42+Z42+AA42+AB42+AC42</f>
        <v/>
      </c>
      <c r="AE42" s="49">
        <f>VLOOKUP(B42,country_opex,7,FALSE)/dep_years</f>
        <v/>
      </c>
      <c r="AF42" s="49">
        <f>W42-AD42</f>
        <v/>
      </c>
      <c r="AG42" s="46">
        <f>IF(W42=0,"",AF42/W42)</f>
        <v/>
      </c>
      <c r="AH42" s="47">
        <f>IF(AF42&lt;=0,"",VLOOKUP(B42,country_opex,7,FALSE)/AF42)</f>
        <v/>
      </c>
      <c r="AI42" s="44">
        <f>((G42*R42/diesel_nmpg)*diesel_co2pg-(battery/range_nm)*G42*R42*VLOOKUP(B42,country_opex,4,FALSE))/1000</f>
        <v/>
      </c>
      <c r="AJ42" s="42" t="n"/>
      <c r="AK42" s="43" t="n"/>
      <c r="AL42" s="43" t="n"/>
      <c r="AM42" s="50" t="n">
        <v>0.1</v>
      </c>
      <c r="AN42" s="45">
        <f>IF(AJ42="","",AJ42*AM42)</f>
        <v/>
      </c>
      <c r="AO42" s="45">
        <f>IF(OR(AJ42="",U42=0),"",MIN(IF(AV42="",9.9E+99,AV42),FLOOR(AN42/U42,1)))</f>
        <v/>
      </c>
      <c r="AP42" s="49">
        <f>IF(AO42="","",AO42*W42)</f>
        <v/>
      </c>
      <c r="AQ42" s="47">
        <f>IF(OR(AJ42="",U42=0),"",MIN(IF(AV42="",9.9E+99,AV42),AN42/U42))</f>
        <v/>
      </c>
      <c r="AR42" s="49">
        <f>IF(AQ42="","",AQ42*W42)</f>
        <v/>
      </c>
      <c r="AS42" s="51" t="n"/>
      <c r="AT42" s="52" t="n"/>
      <c r="AU42" s="52" t="n"/>
      <c r="AV42" s="53" t="n"/>
      <c r="AW42" s="54">
        <f>IF(((V42*pax_cap*load_thin*ROUND(N42*O42*revleg_thin,0))-(((battery/range_nm)*G42*ROUND(N42*O42*revleg_thin,0)*VLOOKUP(B42,country_opex,3,FALSE))+Y42+Z42+AA42+AB42+AC42))&lt;=0,"",VLOOKUP(B42,country_opex,7,FALSE)/((V42*pax_cap*load_thin*ROUND(N42*O42*revleg_thin,0))-(((battery/range_nm)*G42*ROUND(N42*O42*revleg_thin,0)*VLOOKUP(B42,country_opex,3,FALSE))+Y42+Z42+AA42+AB42+AC42)))</f>
        <v/>
      </c>
      <c r="AX42" s="54">
        <f>IF(((V42*pax_cap*load_mid*ROUND(N42*O42*revleg_mid,0))-(((battery/range_nm)*G42*ROUND(N42*O42*revleg_mid,0)*VLOOKUP(B42,country_opex,3,FALSE))+Y42+Z42+AA42+AB42+AC42))&lt;=0,"",VLOOKUP(B42,country_opex,7,FALSE)/((V42*pax_cap*load_mid*ROUND(N42*O42*revleg_mid,0))-(((battery/range_nm)*G42*ROUND(N42*O42*revleg_mid,0)*VLOOKUP(B42,country_opex,3,FALSE))+Y42+Z42+AA42+AB42+AC42)))</f>
        <v/>
      </c>
      <c r="AY42" s="54">
        <f>IF(((V42*pax_cap*load_full*ROUND(N42*O42*revleg_full,0))-(((battery/range_nm)*G42*ROUND(N42*O42*revleg_full,0)*VLOOKUP(B42,country_opex,3,FALSE))+Y42+Z42+AA42+AB42+AC42))&lt;=0,"",VLOOKUP(B42,country_opex,7,FALSE)/((V42*pax_cap*load_full*ROUND(N42*O42*revleg_full,0))-(((battery/range_nm)*G42*ROUND(N42*O42*revleg_full,0)*VLOOKUP(B42,country_opex,3,FALSE))+Y42+Z42+AA42+AB42+AC42)))</f>
        <v/>
      </c>
      <c r="AZ42" s="40" t="n"/>
      <c r="BA42" s="40" t="n"/>
    </row>
    <row r="43">
      <c r="A43" s="38" t="inlineStr">
        <is>
          <t>Yango Cote Divoire</t>
        </is>
      </c>
      <c r="B43" s="38" t="inlineStr">
        <is>
          <t>Côte d'Ivoire</t>
        </is>
      </c>
      <c r="C43" s="39" t="inlineStr">
        <is>
          <t>Treichville → Koumassi</t>
        </is>
      </c>
      <c r="D43" s="38" t="inlineStr">
        <is>
          <t>yango</t>
        </is>
      </c>
      <c r="E43" s="40" t="inlineStr">
        <is>
          <t>yango-cote-divoire</t>
        </is>
      </c>
      <c r="F43" s="41" t="n">
        <v>1</v>
      </c>
      <c r="G43" s="42" t="n">
        <v>3.5</v>
      </c>
      <c r="H43" s="35" t="n">
        <v>18</v>
      </c>
      <c r="I43" s="43" t="inlineStr">
        <is>
          <t>T2</t>
        </is>
      </c>
      <c r="J43" s="43" t="inlineStr">
        <is>
          <t>med</t>
        </is>
      </c>
      <c r="K43" s="29" t="n">
        <v>1</v>
      </c>
      <c r="L43" s="44">
        <f>60*G43/cruise_kt</f>
        <v/>
      </c>
      <c r="M43" s="44">
        <f>L43+turn_min+dwell_min</f>
        <v/>
      </c>
      <c r="N43" s="45">
        <f>MIN(16,FLOOR(60*service_hr/M43,1))</f>
        <v/>
      </c>
      <c r="O43" s="45">
        <f>ROUND(365*mech_uptime*K43,0)</f>
        <v/>
      </c>
      <c r="P43" s="46">
        <f>mech_uptime</f>
        <v/>
      </c>
      <c r="Q43" s="46">
        <f>revleg_sel</f>
        <v/>
      </c>
      <c r="R43" s="45">
        <f>ROUND(N43*O43*revleg_sel,0)</f>
        <v/>
      </c>
      <c r="S43" s="47">
        <f>load_sel</f>
        <v/>
      </c>
      <c r="T43" s="47">
        <f>pax_cap*S43</f>
        <v/>
      </c>
      <c r="U43" s="45">
        <f>T43*R43</f>
        <v/>
      </c>
      <c r="V43" s="48">
        <f>H43*discount</f>
        <v/>
      </c>
      <c r="W43" s="49">
        <f>V43*U43</f>
        <v/>
      </c>
      <c r="X43" s="49">
        <f>(battery/range_nm)*G43*R43*VLOOKUP(B43,country_opex,3,FALSE)</f>
        <v/>
      </c>
      <c r="Y43" s="49">
        <f>VLOOKUP(B43,country_opex,2,FALSE)*crew_factor</f>
        <v/>
      </c>
      <c r="Z43" s="49">
        <f>VLOOKUP(B43,country_opex,5,FALSE)</f>
        <v/>
      </c>
      <c r="AA43" s="49">
        <f>maint</f>
        <v/>
      </c>
      <c r="AB43" s="49">
        <f>VLOOKUP(B43,country_opex,7,FALSE)*ins_pct</f>
        <v/>
      </c>
      <c r="AC43" s="49">
        <f>charge_berth</f>
        <v/>
      </c>
      <c r="AD43" s="49">
        <f>X43+Y43+Z43+AA43+AB43+AC43</f>
        <v/>
      </c>
      <c r="AE43" s="49">
        <f>VLOOKUP(B43,country_opex,7,FALSE)/dep_years</f>
        <v/>
      </c>
      <c r="AF43" s="49">
        <f>W43-AD43</f>
        <v/>
      </c>
      <c r="AG43" s="46">
        <f>IF(W43=0,"",AF43/W43)</f>
        <v/>
      </c>
      <c r="AH43" s="47">
        <f>IF(AF43&lt;=0,"",VLOOKUP(B43,country_opex,7,FALSE)/AF43)</f>
        <v/>
      </c>
      <c r="AI43" s="44">
        <f>((G43*R43/diesel_nmpg)*diesel_co2pg-(battery/range_nm)*G43*R43*VLOOKUP(B43,country_opex,4,FALSE))/1000</f>
        <v/>
      </c>
      <c r="AJ43" s="42" t="n">
        <v>225900</v>
      </c>
      <c r="AK43" s="43" t="n"/>
      <c r="AL43" s="43" t="inlineStr">
        <is>
          <t>med</t>
        </is>
      </c>
      <c r="AM43" s="50" t="n">
        <v>0.25</v>
      </c>
      <c r="AN43" s="45">
        <f>IF(AJ43="","",AJ43*AM43)</f>
        <v/>
      </c>
      <c r="AO43" s="45">
        <f>IF(OR(AJ43="",U43=0),"",MIN(IF(AV43="",9.9E+99,AV43),FLOOR(AN43/U43,1)))</f>
        <v/>
      </c>
      <c r="AP43" s="49">
        <f>IF(AO43="","",AO43*W43)</f>
        <v/>
      </c>
      <c r="AQ43" s="47">
        <f>IF(OR(AJ43="",U43=0),"",MIN(IF(AV43="",9.9E+99,AV43),AN43/U43))</f>
        <v/>
      </c>
      <c r="AR43" s="49">
        <f>IF(AQ43="","",AQ43*W43)</f>
        <v/>
      </c>
      <c r="AS43" s="51" t="n"/>
      <c r="AT43" s="52" t="n"/>
      <c r="AU43" s="52" t="n"/>
      <c r="AV43" s="53" t="n"/>
      <c r="AW43" s="54">
        <f>IF(((V43*pax_cap*load_thin*ROUND(N43*O43*revleg_thin,0))-(((battery/range_nm)*G43*ROUND(N43*O43*revleg_thin,0)*VLOOKUP(B43,country_opex,3,FALSE))+Y43+Z43+AA43+AB43+AC43))&lt;=0,"",VLOOKUP(B43,country_opex,7,FALSE)/((V43*pax_cap*load_thin*ROUND(N43*O43*revleg_thin,0))-(((battery/range_nm)*G43*ROUND(N43*O43*revleg_thin,0)*VLOOKUP(B43,country_opex,3,FALSE))+Y43+Z43+AA43+AB43+AC43)))</f>
        <v/>
      </c>
      <c r="AX43" s="54">
        <f>IF(((V43*pax_cap*load_mid*ROUND(N43*O43*revleg_mid,0))-(((battery/range_nm)*G43*ROUND(N43*O43*revleg_mid,0)*VLOOKUP(B43,country_opex,3,FALSE))+Y43+Z43+AA43+AB43+AC43))&lt;=0,"",VLOOKUP(B43,country_opex,7,FALSE)/((V43*pax_cap*load_mid*ROUND(N43*O43*revleg_mid,0))-(((battery/range_nm)*G43*ROUND(N43*O43*revleg_mid,0)*VLOOKUP(B43,country_opex,3,FALSE))+Y43+Z43+AA43+AB43+AC43)))</f>
        <v/>
      </c>
      <c r="AY43" s="54">
        <f>IF(((V43*pax_cap*load_full*ROUND(N43*O43*revleg_full,0))-(((battery/range_nm)*G43*ROUND(N43*O43*revleg_full,0)*VLOOKUP(B43,country_opex,3,FALSE))+Y43+Z43+AA43+AB43+AC43))&lt;=0,"",VLOOKUP(B43,country_opex,7,FALSE)/((V43*pax_cap*load_full*ROUND(N43*O43*revleg_full,0))-(((battery/range_nm)*G43*ROUND(N43*O43*revleg_full,0)*VLOOKUP(B43,country_opex,3,FALSE))+Y43+Z43+AA43+AB43+AC43)))</f>
        <v/>
      </c>
      <c r="AZ43" s="40" t="inlineStr">
        <is>
          <t>[LB-255 PREMIUM RE-FARE: subsidized comparable $1.22 lifted to premium on-demand floor $18.0] PREMIUM tier: STL long-trip/VIP 700 FCFA ~ $1.22 (32-35 min is a long route; STL/Aqualines list M'Pouto/Koumassi 700 FCFA).</t>
        </is>
      </c>
      <c r="BA43" s="40" t="n"/>
    </row>
    <row r="44">
      <c r="A44" s="38" t="inlineStr">
        <is>
          <t>Yango Cote Divoire</t>
        </is>
      </c>
      <c r="B44" s="38" t="inlineStr">
        <is>
          <t>Côte d'Ivoire</t>
        </is>
      </c>
      <c r="C44" s="39" t="inlineStr">
        <is>
          <t>M'Pouto (Cocody) → Koumassi</t>
        </is>
      </c>
      <c r="D44" s="38" t="inlineStr">
        <is>
          <t>yango</t>
        </is>
      </c>
      <c r="E44" s="40" t="inlineStr">
        <is>
          <t>yango-cote-divoire</t>
        </is>
      </c>
      <c r="F44" s="41" t="n">
        <v>1</v>
      </c>
      <c r="G44" s="42" t="n">
        <v>3.5</v>
      </c>
      <c r="H44" s="35" t="n">
        <v>18</v>
      </c>
      <c r="I44" s="43" t="inlineStr">
        <is>
          <t>T2</t>
        </is>
      </c>
      <c r="J44" s="43" t="inlineStr">
        <is>
          <t>med</t>
        </is>
      </c>
      <c r="K44" s="29" t="n">
        <v>1</v>
      </c>
      <c r="L44" s="44">
        <f>60*G44/cruise_kt</f>
        <v/>
      </c>
      <c r="M44" s="44">
        <f>L44+turn_min+dwell_min</f>
        <v/>
      </c>
      <c r="N44" s="45">
        <f>MIN(16,FLOOR(60*service_hr/M44,1))</f>
        <v/>
      </c>
      <c r="O44" s="45">
        <f>ROUND(365*mech_uptime*K44,0)</f>
        <v/>
      </c>
      <c r="P44" s="46">
        <f>mech_uptime</f>
        <v/>
      </c>
      <c r="Q44" s="46">
        <f>revleg_sel</f>
        <v/>
      </c>
      <c r="R44" s="45">
        <f>ROUND(N44*O44*revleg_sel,0)</f>
        <v/>
      </c>
      <c r="S44" s="47">
        <f>load_sel</f>
        <v/>
      </c>
      <c r="T44" s="47">
        <f>pax_cap*S44</f>
        <v/>
      </c>
      <c r="U44" s="45">
        <f>T44*R44</f>
        <v/>
      </c>
      <c r="V44" s="48">
        <f>H44*discount</f>
        <v/>
      </c>
      <c r="W44" s="49">
        <f>V44*U44</f>
        <v/>
      </c>
      <c r="X44" s="49">
        <f>(battery/range_nm)*G44*R44*VLOOKUP(B44,country_opex,3,FALSE)</f>
        <v/>
      </c>
      <c r="Y44" s="49">
        <f>VLOOKUP(B44,country_opex,2,FALSE)*crew_factor</f>
        <v/>
      </c>
      <c r="Z44" s="49">
        <f>VLOOKUP(B44,country_opex,5,FALSE)</f>
        <v/>
      </c>
      <c r="AA44" s="49">
        <f>maint</f>
        <v/>
      </c>
      <c r="AB44" s="49">
        <f>VLOOKUP(B44,country_opex,7,FALSE)*ins_pct</f>
        <v/>
      </c>
      <c r="AC44" s="49">
        <f>charge_berth</f>
        <v/>
      </c>
      <c r="AD44" s="49">
        <f>X44+Y44+Z44+AA44+AB44+AC44</f>
        <v/>
      </c>
      <c r="AE44" s="49">
        <f>VLOOKUP(B44,country_opex,7,FALSE)/dep_years</f>
        <v/>
      </c>
      <c r="AF44" s="49">
        <f>W44-AD44</f>
        <v/>
      </c>
      <c r="AG44" s="46">
        <f>IF(W44=0,"",AF44/W44)</f>
        <v/>
      </c>
      <c r="AH44" s="47">
        <f>IF(AF44&lt;=0,"",VLOOKUP(B44,country_opex,7,FALSE)/AF44)</f>
        <v/>
      </c>
      <c r="AI44" s="44">
        <f>((G44*R44/diesel_nmpg)*diesel_co2pg-(battery/range_nm)*G44*R44*VLOOKUP(B44,country_opex,4,FALSE))/1000</f>
        <v/>
      </c>
      <c r="AJ44" s="42" t="n">
        <v>225900</v>
      </c>
      <c r="AK44" s="43" t="n"/>
      <c r="AL44" s="43" t="inlineStr">
        <is>
          <t>med</t>
        </is>
      </c>
      <c r="AM44" s="50" t="n">
        <v>0.25</v>
      </c>
      <c r="AN44" s="45">
        <f>IF(AJ44="","",AJ44*AM44)</f>
        <v/>
      </c>
      <c r="AO44" s="45">
        <f>IF(OR(AJ44="",U44=0),"",MIN(IF(AV44="",9.9E+99,AV44),FLOOR(AN44/U44,1)))</f>
        <v/>
      </c>
      <c r="AP44" s="49">
        <f>IF(AO44="","",AO44*W44)</f>
        <v/>
      </c>
      <c r="AQ44" s="47">
        <f>IF(OR(AJ44="",U44=0),"",MIN(IF(AV44="",9.9E+99,AV44),AN44/U44))</f>
        <v/>
      </c>
      <c r="AR44" s="49">
        <f>IF(AQ44="","",AQ44*W44)</f>
        <v/>
      </c>
      <c r="AS44" s="51" t="n"/>
      <c r="AT44" s="52" t="n"/>
      <c r="AU44" s="52" t="n"/>
      <c r="AV44" s="53" t="n"/>
      <c r="AW44" s="54">
        <f>IF(((V44*pax_cap*load_thin*ROUND(N44*O44*revleg_thin,0))-(((battery/range_nm)*G44*ROUND(N44*O44*revleg_thin,0)*VLOOKUP(B44,country_opex,3,FALSE))+Y44+Z44+AA44+AB44+AC44))&lt;=0,"",VLOOKUP(B44,country_opex,7,FALSE)/((V44*pax_cap*load_thin*ROUND(N44*O44*revleg_thin,0))-(((battery/range_nm)*G44*ROUND(N44*O44*revleg_thin,0)*VLOOKUP(B44,country_opex,3,FALSE))+Y44+Z44+AA44+AB44+AC44)))</f>
        <v/>
      </c>
      <c r="AX44" s="54">
        <f>IF(((V44*pax_cap*load_mid*ROUND(N44*O44*revleg_mid,0))-(((battery/range_nm)*G44*ROUND(N44*O44*revleg_mid,0)*VLOOKUP(B44,country_opex,3,FALSE))+Y44+Z44+AA44+AB44+AC44))&lt;=0,"",VLOOKUP(B44,country_opex,7,FALSE)/((V44*pax_cap*load_mid*ROUND(N44*O44*revleg_mid,0))-(((battery/range_nm)*G44*ROUND(N44*O44*revleg_mid,0)*VLOOKUP(B44,country_opex,3,FALSE))+Y44+Z44+AA44+AB44+AC44)))</f>
        <v/>
      </c>
      <c r="AY44" s="54">
        <f>IF(((V44*pax_cap*load_full*ROUND(N44*O44*revleg_full,0))-(((battery/range_nm)*G44*ROUND(N44*O44*revleg_full,0)*VLOOKUP(B44,country_opex,3,FALSE))+Y44+Z44+AA44+AB44+AC44))&lt;=0,"",VLOOKUP(B44,country_opex,7,FALSE)/((V44*pax_cap*load_full*ROUND(N44*O44*revleg_full,0))-(((battery/range_nm)*G44*ROUND(N44*O44*revleg_full,0)*VLOOKUP(B44,country_opex,3,FALSE))+Y44+Z44+AA44+AB44+AC44)))</f>
        <v/>
      </c>
      <c r="AZ44" s="40" t="inlineStr">
        <is>
          <t>[LB-255 PREMIUM RE-FARE: subsidized comparable $1.22 lifted to premium on-demand floor $18.0] PREMIUM tier: STL/Aqualines M'Pouto-Koumassi 700 FCFA ~ $1.22.</t>
        </is>
      </c>
      <c r="BA44" s="40" t="n"/>
    </row>
    <row r="45">
      <c r="A45" s="38" t="inlineStr">
        <is>
          <t>Yango Cote Divoire</t>
        </is>
      </c>
      <c r="B45" s="38" t="inlineStr">
        <is>
          <t>Côte d'Ivoire</t>
        </is>
      </c>
      <c r="C45" s="39" t="inlineStr">
        <is>
          <t>Plateau → Yopougon</t>
        </is>
      </c>
      <c r="D45" s="38" t="inlineStr">
        <is>
          <t>yango</t>
        </is>
      </c>
      <c r="E45" s="40" t="inlineStr">
        <is>
          <t>yango-cote-divoire</t>
        </is>
      </c>
      <c r="F45" s="41" t="n">
        <v>1</v>
      </c>
      <c r="G45" s="42" t="n">
        <v>5</v>
      </c>
      <c r="H45" s="35" t="n">
        <v>18</v>
      </c>
      <c r="I45" s="43" t="inlineStr">
        <is>
          <t>T2</t>
        </is>
      </c>
      <c r="J45" s="43" t="inlineStr">
        <is>
          <t>med</t>
        </is>
      </c>
      <c r="K45" s="29" t="n">
        <v>1</v>
      </c>
      <c r="L45" s="44">
        <f>60*G45/cruise_kt</f>
        <v/>
      </c>
      <c r="M45" s="44">
        <f>L45+turn_min+dwell_min</f>
        <v/>
      </c>
      <c r="N45" s="45">
        <f>MIN(16,FLOOR(60*service_hr/M45,1))</f>
        <v/>
      </c>
      <c r="O45" s="45">
        <f>ROUND(365*mech_uptime*K45,0)</f>
        <v/>
      </c>
      <c r="P45" s="46">
        <f>mech_uptime</f>
        <v/>
      </c>
      <c r="Q45" s="46">
        <f>revleg_sel</f>
        <v/>
      </c>
      <c r="R45" s="45">
        <f>ROUND(N45*O45*revleg_sel,0)</f>
        <v/>
      </c>
      <c r="S45" s="47">
        <f>load_sel</f>
        <v/>
      </c>
      <c r="T45" s="47">
        <f>pax_cap*S45</f>
        <v/>
      </c>
      <c r="U45" s="45">
        <f>T45*R45</f>
        <v/>
      </c>
      <c r="V45" s="48">
        <f>H45*discount</f>
        <v/>
      </c>
      <c r="W45" s="49">
        <f>V45*U45</f>
        <v/>
      </c>
      <c r="X45" s="49">
        <f>(battery/range_nm)*G45*R45*VLOOKUP(B45,country_opex,3,FALSE)</f>
        <v/>
      </c>
      <c r="Y45" s="49">
        <f>VLOOKUP(B45,country_opex,2,FALSE)*crew_factor</f>
        <v/>
      </c>
      <c r="Z45" s="49">
        <f>VLOOKUP(B45,country_opex,5,FALSE)</f>
        <v/>
      </c>
      <c r="AA45" s="49">
        <f>maint</f>
        <v/>
      </c>
      <c r="AB45" s="49">
        <f>VLOOKUP(B45,country_opex,7,FALSE)*ins_pct</f>
        <v/>
      </c>
      <c r="AC45" s="49">
        <f>charge_berth</f>
        <v/>
      </c>
      <c r="AD45" s="49">
        <f>X45+Y45+Z45+AA45+AB45+AC45</f>
        <v/>
      </c>
      <c r="AE45" s="49">
        <f>VLOOKUP(B45,country_opex,7,FALSE)/dep_years</f>
        <v/>
      </c>
      <c r="AF45" s="49">
        <f>W45-AD45</f>
        <v/>
      </c>
      <c r="AG45" s="46">
        <f>IF(W45=0,"",AF45/W45)</f>
        <v/>
      </c>
      <c r="AH45" s="47">
        <f>IF(AF45&lt;=0,"",VLOOKUP(B45,country_opex,7,FALSE)/AF45)</f>
        <v/>
      </c>
      <c r="AI45" s="44">
        <f>((G45*R45/diesel_nmpg)*diesel_co2pg-(battery/range_nm)*G45*R45*VLOOKUP(B45,country_opex,4,FALSE))/1000</f>
        <v/>
      </c>
      <c r="AJ45" s="42" t="n">
        <v>225900</v>
      </c>
      <c r="AK45" s="43" t="n"/>
      <c r="AL45" s="43" t="inlineStr">
        <is>
          <t>med</t>
        </is>
      </c>
      <c r="AM45" s="50" t="n">
        <v>0.25</v>
      </c>
      <c r="AN45" s="45">
        <f>IF(AJ45="","",AJ45*AM45)</f>
        <v/>
      </c>
      <c r="AO45" s="45">
        <f>IF(OR(AJ45="",U45=0),"",MIN(IF(AV45="",9.9E+99,AV45),FLOOR(AN45/U45,1)))</f>
        <v/>
      </c>
      <c r="AP45" s="49">
        <f>IF(AO45="","",AO45*W45)</f>
        <v/>
      </c>
      <c r="AQ45" s="47">
        <f>IF(OR(AJ45="",U45=0),"",MIN(IF(AV45="",9.9E+99,AV45),AN45/U45))</f>
        <v/>
      </c>
      <c r="AR45" s="49">
        <f>IF(AQ45="","",AQ45*W45)</f>
        <v/>
      </c>
      <c r="AS45" s="51" t="n"/>
      <c r="AT45" s="52" t="n"/>
      <c r="AU45" s="52" t="n"/>
      <c r="AV45" s="53" t="n"/>
      <c r="AW45" s="54">
        <f>IF(((V45*pax_cap*load_thin*ROUND(N45*O45*revleg_thin,0))-(((battery/range_nm)*G45*ROUND(N45*O45*revleg_thin,0)*VLOOKUP(B45,country_opex,3,FALSE))+Y45+Z45+AA45+AB45+AC45))&lt;=0,"",VLOOKUP(B45,country_opex,7,FALSE)/((V45*pax_cap*load_thin*ROUND(N45*O45*revleg_thin,0))-(((battery/range_nm)*G45*ROUND(N45*O45*revleg_thin,0)*VLOOKUP(B45,country_opex,3,FALSE))+Y45+Z45+AA45+AB45+AC45)))</f>
        <v/>
      </c>
      <c r="AX45" s="54">
        <f>IF(((V45*pax_cap*load_mid*ROUND(N45*O45*revleg_mid,0))-(((battery/range_nm)*G45*ROUND(N45*O45*revleg_mid,0)*VLOOKUP(B45,country_opex,3,FALSE))+Y45+Z45+AA45+AB45+AC45))&lt;=0,"",VLOOKUP(B45,country_opex,7,FALSE)/((V45*pax_cap*load_mid*ROUND(N45*O45*revleg_mid,0))-(((battery/range_nm)*G45*ROUND(N45*O45*revleg_mid,0)*VLOOKUP(B45,country_opex,3,FALSE))+Y45+Z45+AA45+AB45+AC45)))</f>
        <v/>
      </c>
      <c r="AY45" s="54">
        <f>IF(((V45*pax_cap*load_full*ROUND(N45*O45*revleg_full,0))-(((battery/range_nm)*G45*ROUND(N45*O45*revleg_full,0)*VLOOKUP(B45,country_opex,3,FALSE))+Y45+Z45+AA45+AB45+AC45))&lt;=0,"",VLOOKUP(B45,country_opex,7,FALSE)/((V45*pax_cap*load_full*ROUND(N45*O45*revleg_full,0))-(((battery/range_nm)*G45*ROUND(N45*O45*revleg_full,0)*VLOOKUP(B45,country_opex,3,FALSE))+Y45+Z45+AA45+AB45+AC45)))</f>
        <v/>
      </c>
      <c r="AZ45" s="40" t="inlineStr">
        <is>
          <t>[LB-255 PREMIUM RE-FARE: subsidized comparable $1.22 lifted to premium on-demand floor $18.0] PREMIUM tier: STL long-trip / VIP Plateau-Yopougon Azito 700 FCFA ~ $1.22.</t>
        </is>
      </c>
      <c r="BA45" s="40" t="n"/>
    </row>
    <row r="46">
      <c r="A46" s="38" t="inlineStr">
        <is>
          <t>Yango Cote Divoire</t>
        </is>
      </c>
      <c r="B46" s="38" t="inlineStr">
        <is>
          <t>Côte d'Ivoire</t>
        </is>
      </c>
      <c r="C46" s="39" t="inlineStr">
        <is>
          <t>Plateau → Port-Bouet (Aeroport)</t>
        </is>
      </c>
      <c r="D46" s="38" t="inlineStr">
        <is>
          <t>yango</t>
        </is>
      </c>
      <c r="E46" s="40" t="inlineStr">
        <is>
          <t>yango-cote-divoire</t>
        </is>
      </c>
      <c r="F46" s="41" t="n">
        <v>1</v>
      </c>
      <c r="G46" s="42" t="n">
        <v>6</v>
      </c>
      <c r="H46" s="35" t="n">
        <v>8.699999999999999</v>
      </c>
      <c r="I46" s="43" t="inlineStr">
        <is>
          <t>T2</t>
        </is>
      </c>
      <c r="J46" s="43" t="inlineStr">
        <is>
          <t>med</t>
        </is>
      </c>
      <c r="K46" s="29" t="n">
        <v>1</v>
      </c>
      <c r="L46" s="44">
        <f>60*G46/cruise_kt</f>
        <v/>
      </c>
      <c r="M46" s="44">
        <f>L46+turn_min+dwell_min</f>
        <v/>
      </c>
      <c r="N46" s="45">
        <f>MIN(10,FLOOR(60*service_hr/M46,1))</f>
        <v/>
      </c>
      <c r="O46" s="45">
        <f>ROUND(365*mech_uptime*K46,0)</f>
        <v/>
      </c>
      <c r="P46" s="46">
        <f>mech_uptime</f>
        <v/>
      </c>
      <c r="Q46" s="46">
        <f>revleg_sel</f>
        <v/>
      </c>
      <c r="R46" s="45">
        <f>ROUND(N46*O46*revleg_sel,0)</f>
        <v/>
      </c>
      <c r="S46" s="47">
        <f>load_sel</f>
        <v/>
      </c>
      <c r="T46" s="47">
        <f>pax_cap*S46</f>
        <v/>
      </c>
      <c r="U46" s="45">
        <f>T46*R46</f>
        <v/>
      </c>
      <c r="V46" s="48">
        <f>H46*discount</f>
        <v/>
      </c>
      <c r="W46" s="49">
        <f>V46*U46</f>
        <v/>
      </c>
      <c r="X46" s="49">
        <f>(battery/range_nm)*G46*R46*VLOOKUP(B46,country_opex,3,FALSE)</f>
        <v/>
      </c>
      <c r="Y46" s="49">
        <f>VLOOKUP(B46,country_opex,2,FALSE)*crew_factor</f>
        <v/>
      </c>
      <c r="Z46" s="49">
        <f>VLOOKUP(B46,country_opex,5,FALSE)</f>
        <v/>
      </c>
      <c r="AA46" s="49">
        <f>maint</f>
        <v/>
      </c>
      <c r="AB46" s="49">
        <f>VLOOKUP(B46,country_opex,7,FALSE)*ins_pct</f>
        <v/>
      </c>
      <c r="AC46" s="49">
        <f>charge_berth</f>
        <v/>
      </c>
      <c r="AD46" s="49">
        <f>X46+Y46+Z46+AA46+AB46+AC46</f>
        <v/>
      </c>
      <c r="AE46" s="49">
        <f>VLOOKUP(B46,country_opex,7,FALSE)/dep_years</f>
        <v/>
      </c>
      <c r="AF46" s="49">
        <f>W46-AD46</f>
        <v/>
      </c>
      <c r="AG46" s="46">
        <f>IF(W46=0,"",AF46/W46)</f>
        <v/>
      </c>
      <c r="AH46" s="47">
        <f>IF(AF46&lt;=0,"",VLOOKUP(B46,country_opex,7,FALSE)/AF46)</f>
        <v/>
      </c>
      <c r="AI46" s="44">
        <f>((G46*R46/diesel_nmpg)*diesel_co2pg-(battery/range_nm)*G46*R46*VLOOKUP(B46,country_opex,4,FALSE))/1000</f>
        <v/>
      </c>
      <c r="AJ46" s="42" t="n"/>
      <c r="AK46" s="43" t="n"/>
      <c r="AL46" s="43" t="n"/>
      <c r="AM46" s="50" t="n">
        <v>0.1</v>
      </c>
      <c r="AN46" s="45">
        <f>IF(AJ46="","",AJ46*AM46)</f>
        <v/>
      </c>
      <c r="AO46" s="45">
        <f>IF(OR(AJ46="",U46=0),"",MIN(IF(AV46="",9.9E+99,AV46),FLOOR(AN46/U46,1)))</f>
        <v/>
      </c>
      <c r="AP46" s="49">
        <f>IF(AO46="","",AO46*W46)</f>
        <v/>
      </c>
      <c r="AQ46" s="47">
        <f>IF(OR(AJ46="",U46=0),"",MIN(IF(AV46="",9.9E+99,AV46),AN46/U46))</f>
        <v/>
      </c>
      <c r="AR46" s="49">
        <f>IF(AQ46="","",AQ46*W46)</f>
        <v/>
      </c>
      <c r="AS46" s="51" t="n"/>
      <c r="AT46" s="52" t="n"/>
      <c r="AU46" s="52" t="n"/>
      <c r="AV46" s="53" t="n"/>
      <c r="AW46" s="54">
        <f>IF(((V46*pax_cap*load_thin*ROUND(N46*O46*revleg_thin,0))-(((battery/range_nm)*G46*ROUND(N46*O46*revleg_thin,0)*VLOOKUP(B46,country_opex,3,FALSE))+Y46+Z46+AA46+AB46+AC46))&lt;=0,"",VLOOKUP(B46,country_opex,7,FALSE)/((V46*pax_cap*load_thin*ROUND(N46*O46*revleg_thin,0))-(((battery/range_nm)*G46*ROUND(N46*O46*revleg_thin,0)*VLOOKUP(B46,country_opex,3,FALSE))+Y46+Z46+AA46+AB46+AC46)))</f>
        <v/>
      </c>
      <c r="AX46" s="54">
        <f>IF(((V46*pax_cap*load_mid*ROUND(N46*O46*revleg_mid,0))-(((battery/range_nm)*G46*ROUND(N46*O46*revleg_mid,0)*VLOOKUP(B46,country_opex,3,FALSE))+Y46+Z46+AA46+AB46+AC46))&lt;=0,"",VLOOKUP(B46,country_opex,7,FALSE)/((V46*pax_cap*load_mid*ROUND(N46*O46*revleg_mid,0))-(((battery/range_nm)*G46*ROUND(N46*O46*revleg_mid,0)*VLOOKUP(B46,country_opex,3,FALSE))+Y46+Z46+AA46+AB46+AC46)))</f>
        <v/>
      </c>
      <c r="AY46" s="54">
        <f>IF(((V46*pax_cap*load_full*ROUND(N46*O46*revleg_full,0))-(((battery/range_nm)*G46*ROUND(N46*O46*revleg_full,0)*VLOOKUP(B46,country_opex,3,FALSE))+Y46+Z46+AA46+AB46+AC46))&lt;=0,"",VLOOKUP(B46,country_opex,7,FALSE)/((V46*pax_cap*load_full*ROUND(N46*O46*revleg_full,0))-(((battery/range_nm)*G46*ROUND(N46*O46*revleg_full,0)*VLOOKUP(B46,country_opex,3,FALSE))+Y46+Z46+AA46+AB46+AC46)))</f>
        <v/>
      </c>
      <c r="AZ46" s="40" t="inlineStr">
        <is>
          <t>PREMIUM tier (airport transfer): no scheduled boat fare; nearest premium comparable = navette de luxe per-seat 5,000 FCFA ~ $8.7. (Yango/Uber road airport ride 2,000-8,000 FCFA ~ $3.5-$14.)</t>
        </is>
      </c>
      <c r="BA46" s="40" t="n"/>
    </row>
    <row r="47">
      <c r="A47" s="38" t="inlineStr">
        <is>
          <t>Yango Cote Divoire</t>
        </is>
      </c>
      <c r="B47" s="38" t="inlineStr">
        <is>
          <t>Côte d'Ivoire</t>
        </is>
      </c>
      <c r="C47" s="39" t="inlineStr">
        <is>
          <t>Plateau → Abatta (Bingerville)</t>
        </is>
      </c>
      <c r="D47" s="38" t="inlineStr">
        <is>
          <t>yango</t>
        </is>
      </c>
      <c r="E47" s="40" t="inlineStr">
        <is>
          <t>yango-cote-divoire</t>
        </is>
      </c>
      <c r="F47" s="41" t="n">
        <v>1</v>
      </c>
      <c r="G47" s="42" t="n">
        <v>9</v>
      </c>
      <c r="H47" s="35" t="n">
        <v>18</v>
      </c>
      <c r="I47" s="43" t="inlineStr">
        <is>
          <t>T2</t>
        </is>
      </c>
      <c r="J47" s="43" t="inlineStr">
        <is>
          <t>med</t>
        </is>
      </c>
      <c r="K47" s="29" t="n">
        <v>1</v>
      </c>
      <c r="L47" s="44">
        <f>60*G47/cruise_kt</f>
        <v/>
      </c>
      <c r="M47" s="44">
        <f>L47+turn_min+dwell_min</f>
        <v/>
      </c>
      <c r="N47" s="45">
        <f>MIN(16,FLOOR(60*service_hr/M47,1))</f>
        <v/>
      </c>
      <c r="O47" s="45">
        <f>ROUND(365*mech_uptime*K47,0)</f>
        <v/>
      </c>
      <c r="P47" s="46">
        <f>mech_uptime</f>
        <v/>
      </c>
      <c r="Q47" s="46">
        <f>revleg_sel</f>
        <v/>
      </c>
      <c r="R47" s="45">
        <f>ROUND(N47*O47*revleg_sel,0)</f>
        <v/>
      </c>
      <c r="S47" s="47">
        <f>load_sel</f>
        <v/>
      </c>
      <c r="T47" s="47">
        <f>pax_cap*S47</f>
        <v/>
      </c>
      <c r="U47" s="45">
        <f>T47*R47</f>
        <v/>
      </c>
      <c r="V47" s="48">
        <f>H47*discount</f>
        <v/>
      </c>
      <c r="W47" s="49">
        <f>V47*U47</f>
        <v/>
      </c>
      <c r="X47" s="49">
        <f>(battery/range_nm)*G47*R47*VLOOKUP(B47,country_opex,3,FALSE)</f>
        <v/>
      </c>
      <c r="Y47" s="49">
        <f>VLOOKUP(B47,country_opex,2,FALSE)*crew_factor</f>
        <v/>
      </c>
      <c r="Z47" s="49">
        <f>VLOOKUP(B47,country_opex,5,FALSE)</f>
        <v/>
      </c>
      <c r="AA47" s="49">
        <f>maint</f>
        <v/>
      </c>
      <c r="AB47" s="49">
        <f>VLOOKUP(B47,country_opex,7,FALSE)*ins_pct</f>
        <v/>
      </c>
      <c r="AC47" s="49">
        <f>charge_berth</f>
        <v/>
      </c>
      <c r="AD47" s="49">
        <f>X47+Y47+Z47+AA47+AB47+AC47</f>
        <v/>
      </c>
      <c r="AE47" s="49">
        <f>VLOOKUP(B47,country_opex,7,FALSE)/dep_years</f>
        <v/>
      </c>
      <c r="AF47" s="49">
        <f>W47-AD47</f>
        <v/>
      </c>
      <c r="AG47" s="46">
        <f>IF(W47=0,"",AF47/W47)</f>
        <v/>
      </c>
      <c r="AH47" s="47">
        <f>IF(AF47&lt;=0,"",VLOOKUP(B47,country_opex,7,FALSE)/AF47)</f>
        <v/>
      </c>
      <c r="AI47" s="44">
        <f>((G47*R47/diesel_nmpg)*diesel_co2pg-(battery/range_nm)*G47*R47*VLOOKUP(B47,country_opex,4,FALSE))/1000</f>
        <v/>
      </c>
      <c r="AJ47" s="42" t="n"/>
      <c r="AK47" s="43" t="n"/>
      <c r="AL47" s="43" t="n"/>
      <c r="AM47" s="50" t="n">
        <v>0.1</v>
      </c>
      <c r="AN47" s="45">
        <f>IF(AJ47="","",AJ47*AM47)</f>
        <v/>
      </c>
      <c r="AO47" s="45">
        <f>IF(OR(AJ47="",U47=0),"",MIN(IF(AV47="",9.9E+99,AV47),FLOOR(AN47/U47,1)))</f>
        <v/>
      </c>
      <c r="AP47" s="49">
        <f>IF(AO47="","",AO47*W47)</f>
        <v/>
      </c>
      <c r="AQ47" s="47">
        <f>IF(OR(AJ47="",U47=0),"",MIN(IF(AV47="",9.9E+99,AV47),AN47/U47))</f>
        <v/>
      </c>
      <c r="AR47" s="49">
        <f>IF(AQ47="","",AQ47*W47)</f>
        <v/>
      </c>
      <c r="AS47" s="51" t="n"/>
      <c r="AT47" s="52" t="n"/>
      <c r="AU47" s="52" t="n"/>
      <c r="AV47" s="53" t="n"/>
      <c r="AW47" s="54">
        <f>IF(((V47*pax_cap*load_thin*ROUND(N47*O47*revleg_thin,0))-(((battery/range_nm)*G47*ROUND(N47*O47*revleg_thin,0)*VLOOKUP(B47,country_opex,3,FALSE))+Y47+Z47+AA47+AB47+AC47))&lt;=0,"",VLOOKUP(B47,country_opex,7,FALSE)/((V47*pax_cap*load_thin*ROUND(N47*O47*revleg_thin,0))-(((battery/range_nm)*G47*ROUND(N47*O47*revleg_thin,0)*VLOOKUP(B47,country_opex,3,FALSE))+Y47+Z47+AA47+AB47+AC47)))</f>
        <v/>
      </c>
      <c r="AX47" s="54">
        <f>IF(((V47*pax_cap*load_mid*ROUND(N47*O47*revleg_mid,0))-(((battery/range_nm)*G47*ROUND(N47*O47*revleg_mid,0)*VLOOKUP(B47,country_opex,3,FALSE))+Y47+Z47+AA47+AB47+AC47))&lt;=0,"",VLOOKUP(B47,country_opex,7,FALSE)/((V47*pax_cap*load_mid*ROUND(N47*O47*revleg_mid,0))-(((battery/range_nm)*G47*ROUND(N47*O47*revleg_mid,0)*VLOOKUP(B47,country_opex,3,FALSE))+Y47+Z47+AA47+AB47+AC47)))</f>
        <v/>
      </c>
      <c r="AY47" s="54">
        <f>IF(((V47*pax_cap*load_full*ROUND(N47*O47*revleg_full,0))-(((battery/range_nm)*G47*ROUND(N47*O47*revleg_full,0)*VLOOKUP(B47,country_opex,3,FALSE))+Y47+Z47+AA47+AB47+AC47))&lt;=0,"",VLOOKUP(B47,country_opex,7,FALSE)/((V47*pax_cap*load_full*ROUND(N47*O47*revleg_full,0))-(((battery/range_nm)*G47*ROUND(N47*O47*revleg_full,0)*VLOOKUP(B47,country_opex,3,FALSE))+Y47+Z47+AA47+AB47+AC47)))</f>
        <v/>
      </c>
      <c r="AZ47" s="40" t="inlineStr">
        <is>
          <t>[LB-255 PREMIUM RE-FARE: subsidized comparable $0.87 lifted to premium on-demand floor $18.0] PREMIUM tier: CITRANS/STL VIP cabin 500 FCFA ~ $0.87 (when scheduled); Aqualines Abatta-Bingerville shuttle 200 FCFA economy.</t>
        </is>
      </c>
      <c r="BA47" s="40" t="n"/>
    </row>
    <row r="48">
      <c r="A48" s="38" t="inlineStr">
        <is>
          <t>Yango Cote Divoire</t>
        </is>
      </c>
      <c r="B48" s="38" t="inlineStr">
        <is>
          <t>Côte d'Ivoire</t>
        </is>
      </c>
      <c r="C48" s="39" t="inlineStr">
        <is>
          <t>Songon → Plateau</t>
        </is>
      </c>
      <c r="D48" s="38" t="inlineStr">
        <is>
          <t>yango</t>
        </is>
      </c>
      <c r="E48" s="40" t="inlineStr">
        <is>
          <t>yango-cote-divoire</t>
        </is>
      </c>
      <c r="F48" s="41" t="n">
        <v>1</v>
      </c>
      <c r="G48" s="42" t="n">
        <v>12</v>
      </c>
      <c r="H48" s="35" t="n">
        <v>18</v>
      </c>
      <c r="I48" s="43" t="inlineStr">
        <is>
          <t>T2</t>
        </is>
      </c>
      <c r="J48" s="43" t="inlineStr">
        <is>
          <t>med</t>
        </is>
      </c>
      <c r="K48" s="29" t="n">
        <v>1</v>
      </c>
      <c r="L48" s="44">
        <f>60*G48/cruise_kt</f>
        <v/>
      </c>
      <c r="M48" s="44">
        <f>L48+turn_min+dwell_min</f>
        <v/>
      </c>
      <c r="N48" s="45">
        <f>MIN(10,FLOOR(60*service_hr/M48,1))</f>
        <v/>
      </c>
      <c r="O48" s="45">
        <f>ROUND(365*mech_uptime*K48,0)</f>
        <v/>
      </c>
      <c r="P48" s="46">
        <f>mech_uptime</f>
        <v/>
      </c>
      <c r="Q48" s="46">
        <f>revleg_sel</f>
        <v/>
      </c>
      <c r="R48" s="45">
        <f>ROUND(N48*O48*revleg_sel,0)</f>
        <v/>
      </c>
      <c r="S48" s="47">
        <f>load_sel</f>
        <v/>
      </c>
      <c r="T48" s="47">
        <f>pax_cap*S48</f>
        <v/>
      </c>
      <c r="U48" s="45">
        <f>T48*R48</f>
        <v/>
      </c>
      <c r="V48" s="48">
        <f>H48*discount</f>
        <v/>
      </c>
      <c r="W48" s="49">
        <f>V48*U48</f>
        <v/>
      </c>
      <c r="X48" s="49">
        <f>(battery/range_nm)*G48*R48*VLOOKUP(B48,country_opex,3,FALSE)</f>
        <v/>
      </c>
      <c r="Y48" s="49">
        <f>VLOOKUP(B48,country_opex,2,FALSE)*crew_factor</f>
        <v/>
      </c>
      <c r="Z48" s="49">
        <f>VLOOKUP(B48,country_opex,5,FALSE)</f>
        <v/>
      </c>
      <c r="AA48" s="49">
        <f>maint</f>
        <v/>
      </c>
      <c r="AB48" s="49">
        <f>VLOOKUP(B48,country_opex,7,FALSE)*ins_pct</f>
        <v/>
      </c>
      <c r="AC48" s="49">
        <f>charge_berth</f>
        <v/>
      </c>
      <c r="AD48" s="49">
        <f>X48+Y48+Z48+AA48+AB48+AC48</f>
        <v/>
      </c>
      <c r="AE48" s="49">
        <f>VLOOKUP(B48,country_opex,7,FALSE)/dep_years</f>
        <v/>
      </c>
      <c r="AF48" s="49">
        <f>W48-AD48</f>
        <v/>
      </c>
      <c r="AG48" s="46">
        <f>IF(W48=0,"",AF48/W48)</f>
        <v/>
      </c>
      <c r="AH48" s="47">
        <f>IF(AF48&lt;=0,"",VLOOKUP(B48,country_opex,7,FALSE)/AF48)</f>
        <v/>
      </c>
      <c r="AI48" s="44">
        <f>((G48*R48/diesel_nmpg)*diesel_co2pg-(battery/range_nm)*G48*R48*VLOOKUP(B48,country_opex,4,FALSE))/1000</f>
        <v/>
      </c>
      <c r="AJ48" s="42" t="n"/>
      <c r="AK48" s="43" t="n"/>
      <c r="AL48" s="43" t="n"/>
      <c r="AM48" s="50" t="n">
        <v>0.1</v>
      </c>
      <c r="AN48" s="45">
        <f>IF(AJ48="","",AJ48*AM48)</f>
        <v/>
      </c>
      <c r="AO48" s="45">
        <f>IF(OR(AJ48="",U48=0),"",MIN(IF(AV48="",9.9E+99,AV48),FLOOR(AN48/U48,1)))</f>
        <v/>
      </c>
      <c r="AP48" s="49">
        <f>IF(AO48="","",AO48*W48)</f>
        <v/>
      </c>
      <c r="AQ48" s="47">
        <f>IF(OR(AJ48="",U48=0),"",MIN(IF(AV48="",9.9E+99,AV48),AN48/U48))</f>
        <v/>
      </c>
      <c r="AR48" s="49">
        <f>IF(AQ48="","",AQ48*W48)</f>
        <v/>
      </c>
      <c r="AS48" s="51" t="n"/>
      <c r="AT48" s="52" t="n"/>
      <c r="AU48" s="52" t="n"/>
      <c r="AV48" s="53" t="n"/>
      <c r="AW48" s="54">
        <f>IF(((V48*pax_cap*load_thin*ROUND(N48*O48*revleg_thin,0))-(((battery/range_nm)*G48*ROUND(N48*O48*revleg_thin,0)*VLOOKUP(B48,country_opex,3,FALSE))+Y48+Z48+AA48+AB48+AC48))&lt;=0,"",VLOOKUP(B48,country_opex,7,FALSE)/((V48*pax_cap*load_thin*ROUND(N48*O48*revleg_thin,0))-(((battery/range_nm)*G48*ROUND(N48*O48*revleg_thin,0)*VLOOKUP(B48,country_opex,3,FALSE))+Y48+Z48+AA48+AB48+AC48)))</f>
        <v/>
      </c>
      <c r="AX48" s="54">
        <f>IF(((V48*pax_cap*load_mid*ROUND(N48*O48*revleg_mid,0))-(((battery/range_nm)*G48*ROUND(N48*O48*revleg_mid,0)*VLOOKUP(B48,country_opex,3,FALSE))+Y48+Z48+AA48+AB48+AC48))&lt;=0,"",VLOOKUP(B48,country_opex,7,FALSE)/((V48*pax_cap*load_mid*ROUND(N48*O48*revleg_mid,0))-(((battery/range_nm)*G48*ROUND(N48*O48*revleg_mid,0)*VLOOKUP(B48,country_opex,3,FALSE))+Y48+Z48+AA48+AB48+AC48)))</f>
        <v/>
      </c>
      <c r="AY48" s="54">
        <f>IF(((V48*pax_cap*load_full*ROUND(N48*O48*revleg_full,0))-(((battery/range_nm)*G48*ROUND(N48*O48*revleg_full,0)*VLOOKUP(B48,country_opex,3,FALSE))+Y48+Z48+AA48+AB48+AC48))&lt;=0,"",VLOOKUP(B48,country_opex,7,FALSE)/((V48*pax_cap*load_full*ROUND(N48*O48*revleg_full,0))-(((battery/range_nm)*G48*ROUND(N48*O48*revleg_full,0)*VLOOKUP(B48,country_opex,3,FALSE))+Y48+Z48+AA48+AB48+AC48)))</f>
        <v/>
      </c>
      <c r="AZ48" s="40" t="inlineStr">
        <is>
          <t>[LB-255 PREMIUM RE-FARE: subsidized comparable $1.22 lifted to premium on-demand floor $18.0] PREMIUM tier (prospective): STL long-trip/VIP 700 FCFA ~ $1.22 by analogy to the comparable-length Plateau-Yopougon route, if/when operated.</t>
        </is>
      </c>
      <c r="BA48" s="40" t="n"/>
    </row>
    <row r="49">
      <c r="A49" s="38" t="inlineStr">
        <is>
          <t>Yango Cote Divoire</t>
        </is>
      </c>
      <c r="B49" s="38" t="inlineStr">
        <is>
          <t>Côte d'Ivoire</t>
        </is>
      </c>
      <c r="C49" s="39" t="inlineStr">
        <is>
          <t>Abidjan → Grand-Bassam</t>
        </is>
      </c>
      <c r="D49" s="38" t="inlineStr">
        <is>
          <t>yango</t>
        </is>
      </c>
      <c r="E49" s="40" t="inlineStr">
        <is>
          <t>yango-cote-divoire</t>
        </is>
      </c>
      <c r="F49" s="41" t="n">
        <v>1</v>
      </c>
      <c r="G49" s="42" t="n">
        <v>18</v>
      </c>
      <c r="H49" s="35" t="n">
        <v>52</v>
      </c>
      <c r="I49" s="43" t="inlineStr">
        <is>
          <t>T2</t>
        </is>
      </c>
      <c r="J49" s="43" t="inlineStr">
        <is>
          <t>med</t>
        </is>
      </c>
      <c r="K49" s="29" t="n">
        <v>1</v>
      </c>
      <c r="L49" s="44">
        <f>60*G49/cruise_kt</f>
        <v/>
      </c>
      <c r="M49" s="44">
        <f>L49+turn_min+dwell_min</f>
        <v/>
      </c>
      <c r="N49" s="45">
        <f>MIN(16,FLOOR(60*service_hr/M49,1))</f>
        <v/>
      </c>
      <c r="O49" s="45">
        <f>ROUND(365*mech_uptime*K49,0)</f>
        <v/>
      </c>
      <c r="P49" s="46">
        <f>mech_uptime</f>
        <v/>
      </c>
      <c r="Q49" s="46">
        <f>revleg_sel</f>
        <v/>
      </c>
      <c r="R49" s="45">
        <f>ROUND(N49*O49*revleg_sel,0)</f>
        <v/>
      </c>
      <c r="S49" s="47">
        <f>load_sel</f>
        <v/>
      </c>
      <c r="T49" s="47">
        <f>pax_cap*S49</f>
        <v/>
      </c>
      <c r="U49" s="45">
        <f>T49*R49</f>
        <v/>
      </c>
      <c r="V49" s="48">
        <f>H49*discount</f>
        <v/>
      </c>
      <c r="W49" s="49">
        <f>V49*U49</f>
        <v/>
      </c>
      <c r="X49" s="49">
        <f>(battery/range_nm)*G49*R49*VLOOKUP(B49,country_opex,3,FALSE)</f>
        <v/>
      </c>
      <c r="Y49" s="49">
        <f>VLOOKUP(B49,country_opex,2,FALSE)*crew_factor</f>
        <v/>
      </c>
      <c r="Z49" s="49">
        <f>VLOOKUP(B49,country_opex,5,FALSE)</f>
        <v/>
      </c>
      <c r="AA49" s="49">
        <f>maint</f>
        <v/>
      </c>
      <c r="AB49" s="49">
        <f>VLOOKUP(B49,country_opex,7,FALSE)*ins_pct</f>
        <v/>
      </c>
      <c r="AC49" s="49">
        <f>charge_berth</f>
        <v/>
      </c>
      <c r="AD49" s="49">
        <f>X49+Y49+Z49+AA49+AB49+AC49</f>
        <v/>
      </c>
      <c r="AE49" s="49">
        <f>VLOOKUP(B49,country_opex,7,FALSE)/dep_years</f>
        <v/>
      </c>
      <c r="AF49" s="49">
        <f>W49-AD49</f>
        <v/>
      </c>
      <c r="AG49" s="46">
        <f>IF(W49=0,"",AF49/W49)</f>
        <v/>
      </c>
      <c r="AH49" s="47">
        <f>IF(AF49&lt;=0,"",VLOOKUP(B49,country_opex,7,FALSE)/AF49)</f>
        <v/>
      </c>
      <c r="AI49" s="44">
        <f>((G49*R49/diesel_nmpg)*diesel_co2pg-(battery/range_nm)*G49*R49*VLOOKUP(B49,country_opex,4,FALSE))/1000</f>
        <v/>
      </c>
      <c r="AJ49" s="42" t="n"/>
      <c r="AK49" s="43" t="n"/>
      <c r="AL49" s="43" t="n"/>
      <c r="AM49" s="50" t="n">
        <v>0.1</v>
      </c>
      <c r="AN49" s="45">
        <f>IF(AJ49="","",AJ49*AM49)</f>
        <v/>
      </c>
      <c r="AO49" s="45">
        <f>IF(OR(AJ49="",U49=0),"",MIN(IF(AV49="",9.9E+99,AV49),FLOOR(AN49/U49,1)))</f>
        <v/>
      </c>
      <c r="AP49" s="49">
        <f>IF(AO49="","",AO49*W49)</f>
        <v/>
      </c>
      <c r="AQ49" s="47">
        <f>IF(OR(AJ49="",U49=0),"",MIN(IF(AV49="",9.9E+99,AV49),AN49/U49))</f>
        <v/>
      </c>
      <c r="AR49" s="49">
        <f>IF(AQ49="","",AQ49*W49)</f>
        <v/>
      </c>
      <c r="AS49" s="51" t="n"/>
      <c r="AT49" s="52" t="n"/>
      <c r="AU49" s="52" t="n"/>
      <c r="AV49" s="53" t="n"/>
      <c r="AW49" s="54">
        <f>IF(((V49*pax_cap*load_thin*ROUND(N49*O49*revleg_thin,0))-(((battery/range_nm)*G49*ROUND(N49*O49*revleg_thin,0)*VLOOKUP(B49,country_opex,3,FALSE))+Y49+Z49+AA49+AB49+AC49))&lt;=0,"",VLOOKUP(B49,country_opex,7,FALSE)/((V49*pax_cap*load_thin*ROUND(N49*O49*revleg_thin,0))-(((battery/range_nm)*G49*ROUND(N49*O49*revleg_thin,0)*VLOOKUP(B49,country_opex,3,FALSE))+Y49+Z49+AA49+AB49+AC49)))</f>
        <v/>
      </c>
      <c r="AX49" s="54">
        <f>IF(((V49*pax_cap*load_mid*ROUND(N49*O49*revleg_mid,0))-(((battery/range_nm)*G49*ROUND(N49*O49*revleg_mid,0)*VLOOKUP(B49,country_opex,3,FALSE))+Y49+Z49+AA49+AB49+AC49))&lt;=0,"",VLOOKUP(B49,country_opex,7,FALSE)/((V49*pax_cap*load_mid*ROUND(N49*O49*revleg_mid,0))-(((battery/range_nm)*G49*ROUND(N49*O49*revleg_mid,0)*VLOOKUP(B49,country_opex,3,FALSE))+Y49+Z49+AA49+AB49+AC49)))</f>
        <v/>
      </c>
      <c r="AY49" s="54">
        <f>IF(((V49*pax_cap*load_full*ROUND(N49*O49*revleg_full,0))-(((battery/range_nm)*G49*ROUND(N49*O49*revleg_full,0)*VLOOKUP(B49,country_opex,3,FALSE))+Y49+Z49+AA49+AB49+AC49))&lt;=0,"",VLOOKUP(B49,country_opex,7,FALSE)/((V49*pax_cap*load_full*ROUND(N49*O49*revleg_full,0))-(((battery/range_nm)*G49*ROUND(N49*O49*revleg_full,0)*VLOOKUP(B49,country_opex,3,FALSE))+Y49+Z49+AA49+AB49+AC49)))</f>
        <v/>
      </c>
      <c r="AZ49" s="40" t="inlineStr">
        <is>
          <t>PREMIUM leisure/charter tier: STL/Aqualines lagoon cruise charter 25,000-40,000 FCFA/seat ~ $43-$70; midpoint ~$52 (re-derived at 575 FCFA/USD; was $50 at 600).</t>
        </is>
      </c>
      <c r="BA49" s="40" t="n"/>
    </row>
    <row r="50">
      <c r="A50" s="38" t="inlineStr">
        <is>
          <t>Yango Cote Divoire</t>
        </is>
      </c>
      <c r="B50" s="38" t="inlineStr">
        <is>
          <t>Côte d'Ivoire</t>
        </is>
      </c>
      <c r="C50" s="39" t="inlineStr">
        <is>
          <t>Abidjan → Jacqueville</t>
        </is>
      </c>
      <c r="D50" s="38" t="inlineStr">
        <is>
          <t>yango</t>
        </is>
      </c>
      <c r="E50" s="40" t="inlineStr">
        <is>
          <t>yango-cote-divoire</t>
        </is>
      </c>
      <c r="F50" s="41" t="n">
        <v>1</v>
      </c>
      <c r="G50" s="42" t="n">
        <v>22</v>
      </c>
      <c r="H50" s="35" t="n">
        <v>8.699999999999999</v>
      </c>
      <c r="I50" s="43" t="inlineStr">
        <is>
          <t>T2</t>
        </is>
      </c>
      <c r="J50" s="43" t="inlineStr">
        <is>
          <t>med</t>
        </is>
      </c>
      <c r="K50" s="29" t="n">
        <v>1</v>
      </c>
      <c r="L50" s="44">
        <f>60*G50/cruise_kt</f>
        <v/>
      </c>
      <c r="M50" s="44">
        <f>L50+turn_min+dwell_min</f>
        <v/>
      </c>
      <c r="N50" s="45">
        <f>MIN(16,FLOOR(60*service_hr/M50,1))</f>
        <v/>
      </c>
      <c r="O50" s="45">
        <f>ROUND(365*mech_uptime*K50,0)</f>
        <v/>
      </c>
      <c r="P50" s="46">
        <f>mech_uptime</f>
        <v/>
      </c>
      <c r="Q50" s="46">
        <f>revleg_sel</f>
        <v/>
      </c>
      <c r="R50" s="45">
        <f>ROUND(N50*O50*revleg_sel,0)</f>
        <v/>
      </c>
      <c r="S50" s="47">
        <f>load_sel</f>
        <v/>
      </c>
      <c r="T50" s="47">
        <f>pax_cap*S50</f>
        <v/>
      </c>
      <c r="U50" s="45">
        <f>T50*R50</f>
        <v/>
      </c>
      <c r="V50" s="48">
        <f>H50*discount</f>
        <v/>
      </c>
      <c r="W50" s="49">
        <f>V50*U50</f>
        <v/>
      </c>
      <c r="X50" s="49">
        <f>(battery/range_nm)*G50*R50*VLOOKUP(B50,country_opex,3,FALSE)</f>
        <v/>
      </c>
      <c r="Y50" s="49">
        <f>VLOOKUP(B50,country_opex,2,FALSE)*crew_factor</f>
        <v/>
      </c>
      <c r="Z50" s="49">
        <f>VLOOKUP(B50,country_opex,5,FALSE)</f>
        <v/>
      </c>
      <c r="AA50" s="49">
        <f>maint</f>
        <v/>
      </c>
      <c r="AB50" s="49">
        <f>VLOOKUP(B50,country_opex,7,FALSE)*ins_pct</f>
        <v/>
      </c>
      <c r="AC50" s="49">
        <f>charge_berth</f>
        <v/>
      </c>
      <c r="AD50" s="49">
        <f>X50+Y50+Z50+AA50+AB50+AC50</f>
        <v/>
      </c>
      <c r="AE50" s="49">
        <f>VLOOKUP(B50,country_opex,7,FALSE)/dep_years</f>
        <v/>
      </c>
      <c r="AF50" s="49">
        <f>W50-AD50</f>
        <v/>
      </c>
      <c r="AG50" s="46">
        <f>IF(W50=0,"",AF50/W50)</f>
        <v/>
      </c>
      <c r="AH50" s="47">
        <f>IF(AF50&lt;=0,"",VLOOKUP(B50,country_opex,7,FALSE)/AF50)</f>
        <v/>
      </c>
      <c r="AI50" s="44">
        <f>((G50*R50/diesel_nmpg)*diesel_co2pg-(battery/range_nm)*G50*R50*VLOOKUP(B50,country_opex,4,FALSE))/1000</f>
        <v/>
      </c>
      <c r="AJ50" s="42" t="n"/>
      <c r="AK50" s="43" t="n"/>
      <c r="AL50" s="43" t="n"/>
      <c r="AM50" s="50" t="n">
        <v>0.1</v>
      </c>
      <c r="AN50" s="45">
        <f>IF(AJ50="","",AJ50*AM50)</f>
        <v/>
      </c>
      <c r="AO50" s="45">
        <f>IF(OR(AJ50="",U50=0),"",MIN(IF(AV50="",9.9E+99,AV50),FLOOR(AN50/U50,1)))</f>
        <v/>
      </c>
      <c r="AP50" s="49">
        <f>IF(AO50="","",AO50*W50)</f>
        <v/>
      </c>
      <c r="AQ50" s="47">
        <f>IF(OR(AJ50="",U50=0),"",MIN(IF(AV50="",9.9E+99,AV50),AN50/U50))</f>
        <v/>
      </c>
      <c r="AR50" s="49">
        <f>IF(AQ50="","",AQ50*W50)</f>
        <v/>
      </c>
      <c r="AS50" s="51" t="n"/>
      <c r="AT50" s="52" t="n"/>
      <c r="AU50" s="52" t="n"/>
      <c r="AV50" s="53" t="n"/>
      <c r="AW50" s="54">
        <f>IF(((V50*pax_cap*load_thin*ROUND(N50*O50*revleg_thin,0))-(((battery/range_nm)*G50*ROUND(N50*O50*revleg_thin,0)*VLOOKUP(B50,country_opex,3,FALSE))+Y50+Z50+AA50+AB50+AC50))&lt;=0,"",VLOOKUP(B50,country_opex,7,FALSE)/((V50*pax_cap*load_thin*ROUND(N50*O50*revleg_thin,0))-(((battery/range_nm)*G50*ROUND(N50*O50*revleg_thin,0)*VLOOKUP(B50,country_opex,3,FALSE))+Y50+Z50+AA50+AB50+AC50)))</f>
        <v/>
      </c>
      <c r="AX50" s="54">
        <f>IF(((V50*pax_cap*load_mid*ROUND(N50*O50*revleg_mid,0))-(((battery/range_nm)*G50*ROUND(N50*O50*revleg_mid,0)*VLOOKUP(B50,country_opex,3,FALSE))+Y50+Z50+AA50+AB50+AC50))&lt;=0,"",VLOOKUP(B50,country_opex,7,FALSE)/((V50*pax_cap*load_mid*ROUND(N50*O50*revleg_mid,0))-(((battery/range_nm)*G50*ROUND(N50*O50*revleg_mid,0)*VLOOKUP(B50,country_opex,3,FALSE))+Y50+Z50+AA50+AB50+AC50)))</f>
        <v/>
      </c>
      <c r="AY50" s="54">
        <f>IF(((V50*pax_cap*load_full*ROUND(N50*O50*revleg_full,0))-(((battery/range_nm)*G50*ROUND(N50*O50*revleg_full,0)*VLOOKUP(B50,country_opex,3,FALSE))+Y50+Z50+AA50+AB50+AC50))&lt;=0,"",VLOOKUP(B50,country_opex,7,FALSE)/((V50*pax_cap*load_full*ROUND(N50*O50*revleg_full,0))-(((battery/range_nm)*G50*ROUND(N50*O50*revleg_full,0)*VLOOKUP(B50,country_opex,3,FALSE))+Y50+Z50+AA50+AB50+AC50)))</f>
        <v/>
      </c>
      <c r="AZ50" s="40" t="inlineStr">
        <is>
          <t>PREMIUM leisure tier: divided 'navette de luxe / balade VIP' per-seat 5,000 FCFA ~ $8.7 (CITRANS Aqualines VIP balade); cruise-charter range $43-$70 not corridor-specific.</t>
        </is>
      </c>
      <c r="BA50" s="40" t="n"/>
    </row>
    <row r="51">
      <c r="A51" s="38" t="inlineStr">
        <is>
          <t>Bolt Egypt</t>
        </is>
      </c>
      <c r="B51" s="38" t="inlineStr">
        <is>
          <t>Egypt</t>
        </is>
      </c>
      <c r="C51" s="39" t="inlineStr">
        <is>
          <t>El Gouna (internal lagoon) → El Gouna Downtown / Abu Tig</t>
        </is>
      </c>
      <c r="D51" s="38" t="inlineStr">
        <is>
          <t>bolt</t>
        </is>
      </c>
      <c r="E51" s="40" t="inlineStr">
        <is>
          <t>bolt-egypt, yango-egypt</t>
        </is>
      </c>
      <c r="F51" s="41" t="n">
        <v>2</v>
      </c>
      <c r="G51" s="42" t="n">
        <v>2</v>
      </c>
      <c r="H51" s="35" t="n">
        <v>18</v>
      </c>
      <c r="I51" s="43" t="inlineStr">
        <is>
          <t>T2</t>
        </is>
      </c>
      <c r="J51" s="43" t="inlineStr">
        <is>
          <t>med</t>
        </is>
      </c>
      <c r="K51" s="29" t="n">
        <v>1</v>
      </c>
      <c r="L51" s="44">
        <f>60*G51/cruise_kt</f>
        <v/>
      </c>
      <c r="M51" s="44">
        <f>L51+turn_min+dwell_min</f>
        <v/>
      </c>
      <c r="N51" s="45">
        <f>MIN(10,FLOOR(60*service_hr/M51,1))</f>
        <v/>
      </c>
      <c r="O51" s="45">
        <f>ROUND(365*mech_uptime*K51,0)</f>
        <v/>
      </c>
      <c r="P51" s="46">
        <f>mech_uptime</f>
        <v/>
      </c>
      <c r="Q51" s="46">
        <f>revleg_sel</f>
        <v/>
      </c>
      <c r="R51" s="45">
        <f>ROUND(N51*O51*revleg_sel,0)</f>
        <v/>
      </c>
      <c r="S51" s="47">
        <f>load_sel</f>
        <v/>
      </c>
      <c r="T51" s="47">
        <f>pax_cap*S51</f>
        <v/>
      </c>
      <c r="U51" s="45">
        <f>T51*R51</f>
        <v/>
      </c>
      <c r="V51" s="48">
        <f>H51*discount</f>
        <v/>
      </c>
      <c r="W51" s="49">
        <f>V51*U51</f>
        <v/>
      </c>
      <c r="X51" s="49">
        <f>(battery/range_nm)*G51*R51*VLOOKUP(B51,country_opex,3,FALSE)</f>
        <v/>
      </c>
      <c r="Y51" s="49">
        <f>VLOOKUP(B51,country_opex,2,FALSE)*crew_factor</f>
        <v/>
      </c>
      <c r="Z51" s="49">
        <f>VLOOKUP(B51,country_opex,5,FALSE)</f>
        <v/>
      </c>
      <c r="AA51" s="49">
        <f>maint</f>
        <v/>
      </c>
      <c r="AB51" s="49">
        <f>VLOOKUP(B51,country_opex,7,FALSE)*ins_pct</f>
        <v/>
      </c>
      <c r="AC51" s="49">
        <f>charge_berth</f>
        <v/>
      </c>
      <c r="AD51" s="49">
        <f>X51+Y51+Z51+AA51+AB51+AC51</f>
        <v/>
      </c>
      <c r="AE51" s="49">
        <f>VLOOKUP(B51,country_opex,7,FALSE)/dep_years</f>
        <v/>
      </c>
      <c r="AF51" s="49">
        <f>W51-AD51</f>
        <v/>
      </c>
      <c r="AG51" s="46">
        <f>IF(W51=0,"",AF51/W51)</f>
        <v/>
      </c>
      <c r="AH51" s="47">
        <f>IF(AF51&lt;=0,"",VLOOKUP(B51,country_opex,7,FALSE)/AF51)</f>
        <v/>
      </c>
      <c r="AI51" s="44">
        <f>((G51*R51/diesel_nmpg)*diesel_co2pg-(battery/range_nm)*G51*R51*VLOOKUP(B51,country_opex,4,FALSE))/1000</f>
        <v/>
      </c>
      <c r="AJ51" s="42" t="n"/>
      <c r="AK51" s="43" t="n"/>
      <c r="AL51" s="43" t="n"/>
      <c r="AM51" s="50" t="n">
        <v>0.1</v>
      </c>
      <c r="AN51" s="45">
        <f>IF(AJ51="","",AJ51*AM51)</f>
        <v/>
      </c>
      <c r="AO51" s="45">
        <f>IF(OR(AJ51="",U51=0),"",MIN(IF(AV51="",9.9E+99,AV51),FLOOR(AN51/U51,1)))</f>
        <v/>
      </c>
      <c r="AP51" s="49">
        <f>IF(AO51="","",AO51*W51)</f>
        <v/>
      </c>
      <c r="AQ51" s="47">
        <f>IF(OR(AJ51="",U51=0),"",MIN(IF(AV51="",9.9E+99,AV51),AN51/U51))</f>
        <v/>
      </c>
      <c r="AR51" s="49">
        <f>IF(AQ51="","",AQ51*W51)</f>
        <v/>
      </c>
      <c r="AS51" s="51" t="n"/>
      <c r="AT51" s="52" t="n"/>
      <c r="AU51" s="52" t="n"/>
      <c r="AV51" s="53" t="n"/>
      <c r="AW51" s="54">
        <f>IF(((V51*pax_cap*load_thin*ROUND(N51*O51*revleg_thin,0))-(((battery/range_nm)*G51*ROUND(N51*O51*revleg_thin,0)*VLOOKUP(B51,country_opex,3,FALSE))+Y51+Z51+AA51+AB51+AC51))&lt;=0,"",VLOOKUP(B51,country_opex,7,FALSE)/((V51*pax_cap*load_thin*ROUND(N51*O51*revleg_thin,0))-(((battery/range_nm)*G51*ROUND(N51*O51*revleg_thin,0)*VLOOKUP(B51,country_opex,3,FALSE))+Y51+Z51+AA51+AB51+AC51)))</f>
        <v/>
      </c>
      <c r="AX51" s="54">
        <f>IF(((V51*pax_cap*load_mid*ROUND(N51*O51*revleg_mid,0))-(((battery/range_nm)*G51*ROUND(N51*O51*revleg_mid,0)*VLOOKUP(B51,country_opex,3,FALSE))+Y51+Z51+AA51+AB51+AC51))&lt;=0,"",VLOOKUP(B51,country_opex,7,FALSE)/((V51*pax_cap*load_mid*ROUND(N51*O51*revleg_mid,0))-(((battery/range_nm)*G51*ROUND(N51*O51*revleg_mid,0)*VLOOKUP(B51,country_opex,3,FALSE))+Y51+Z51+AA51+AB51+AC51)))</f>
        <v/>
      </c>
      <c r="AY51" s="54">
        <f>IF(((V51*pax_cap*load_full*ROUND(N51*O51*revleg_full,0))-(((battery/range_nm)*G51*ROUND(N51*O51*revleg_full,0)*VLOOKUP(B51,country_opex,3,FALSE))+Y51+Z51+AA51+AB51+AC51))&lt;=0,"",VLOOKUP(B51,country_opex,7,FALSE)/((V51*pax_cap*load_full*ROUND(N51*O51*revleg_full,0))-(((battery/range_nm)*G51*ROUND(N51*O51*revleg_full,0)*VLOOKUP(B51,country_opex,3,FALSE))+Y51+Z51+AA51+AB51+AC51)))</f>
        <v/>
      </c>
      <c r="AZ51" s="40" t="inlineStr">
        <is>
          <t>[LB-255 PREMIUM RE-FARE: subsidized comparable $5.0 lifted to premium on-demand floor $18.0] PREMIUM-floor internal water-taxi tier: El Gouna lagoon boat-taxi short hop ~150-250 EGP (~$3-5). Internal-resort micro-corridor; below the open-sea premium tier.</t>
        </is>
      </c>
      <c r="BA51" s="40" t="n"/>
    </row>
    <row r="52">
      <c r="A52" s="38" t="inlineStr">
        <is>
          <t>Bolt Egypt</t>
        </is>
      </c>
      <c r="B52" s="38" t="inlineStr">
        <is>
          <t>Egypt</t>
        </is>
      </c>
      <c r="C52" s="39" t="inlineStr">
        <is>
          <t>Cairo - Maadi → Cairo - Zamalek / Downtown</t>
        </is>
      </c>
      <c r="D52" s="38" t="inlineStr">
        <is>
          <t>bolt</t>
        </is>
      </c>
      <c r="E52" s="40" t="inlineStr">
        <is>
          <t>bolt-egypt, yango-egypt</t>
        </is>
      </c>
      <c r="F52" s="41" t="n">
        <v>2</v>
      </c>
      <c r="G52" s="42" t="n">
        <v>6</v>
      </c>
      <c r="H52" s="35" t="n">
        <v>18</v>
      </c>
      <c r="I52" s="43" t="inlineStr">
        <is>
          <t>T2</t>
        </is>
      </c>
      <c r="J52" s="43" t="inlineStr">
        <is>
          <t>med</t>
        </is>
      </c>
      <c r="K52" s="29" t="n">
        <v>1</v>
      </c>
      <c r="L52" s="44">
        <f>60*G52/cruise_kt</f>
        <v/>
      </c>
      <c r="M52" s="44">
        <f>L52+turn_min+dwell_min</f>
        <v/>
      </c>
      <c r="N52" s="45">
        <f>MIN(16,FLOOR(60*service_hr/M52,1))</f>
        <v/>
      </c>
      <c r="O52" s="45">
        <f>ROUND(365*mech_uptime*K52,0)</f>
        <v/>
      </c>
      <c r="P52" s="46">
        <f>mech_uptime</f>
        <v/>
      </c>
      <c r="Q52" s="46">
        <f>revleg_sel</f>
        <v/>
      </c>
      <c r="R52" s="45">
        <f>ROUND(N52*O52*revleg_sel,0)</f>
        <v/>
      </c>
      <c r="S52" s="47">
        <f>load_sel</f>
        <v/>
      </c>
      <c r="T52" s="47">
        <f>pax_cap*S52</f>
        <v/>
      </c>
      <c r="U52" s="45">
        <f>T52*R52</f>
        <v/>
      </c>
      <c r="V52" s="48">
        <f>H52*discount</f>
        <v/>
      </c>
      <c r="W52" s="49">
        <f>V52*U52</f>
        <v/>
      </c>
      <c r="X52" s="49">
        <f>(battery/range_nm)*G52*R52*VLOOKUP(B52,country_opex,3,FALSE)</f>
        <v/>
      </c>
      <c r="Y52" s="49">
        <f>VLOOKUP(B52,country_opex,2,FALSE)*crew_factor</f>
        <v/>
      </c>
      <c r="Z52" s="49">
        <f>VLOOKUP(B52,country_opex,5,FALSE)</f>
        <v/>
      </c>
      <c r="AA52" s="49">
        <f>maint</f>
        <v/>
      </c>
      <c r="AB52" s="49">
        <f>VLOOKUP(B52,country_opex,7,FALSE)*ins_pct</f>
        <v/>
      </c>
      <c r="AC52" s="49">
        <f>charge_berth</f>
        <v/>
      </c>
      <c r="AD52" s="49">
        <f>X52+Y52+Z52+AA52+AB52+AC52</f>
        <v/>
      </c>
      <c r="AE52" s="49">
        <f>VLOOKUP(B52,country_opex,7,FALSE)/dep_years</f>
        <v/>
      </c>
      <c r="AF52" s="49">
        <f>W52-AD52</f>
        <v/>
      </c>
      <c r="AG52" s="46">
        <f>IF(W52=0,"",AF52/W52)</f>
        <v/>
      </c>
      <c r="AH52" s="47">
        <f>IF(AF52&lt;=0,"",VLOOKUP(B52,country_opex,7,FALSE)/AF52)</f>
        <v/>
      </c>
      <c r="AI52" s="44">
        <f>((G52*R52/diesel_nmpg)*diesel_co2pg-(battery/range_nm)*G52*R52*VLOOKUP(B52,country_opex,4,FALSE))/1000</f>
        <v/>
      </c>
      <c r="AJ52" s="42" t="n"/>
      <c r="AK52" s="43" t="n"/>
      <c r="AL52" s="43" t="n"/>
      <c r="AM52" s="50" t="n">
        <v>0.1</v>
      </c>
      <c r="AN52" s="45">
        <f>IF(AJ52="","",AJ52*AM52)</f>
        <v/>
      </c>
      <c r="AO52" s="45">
        <f>IF(OR(AJ52="",U52=0),"",MIN(IF(AV52="",9.9E+99,AV52),FLOOR(AN52/U52,1)))</f>
        <v/>
      </c>
      <c r="AP52" s="49">
        <f>IF(AO52="","",AO52*W52)</f>
        <v/>
      </c>
      <c r="AQ52" s="47">
        <f>IF(OR(AJ52="",U52=0),"",MIN(IF(AV52="",9.9E+99,AV52),AN52/U52))</f>
        <v/>
      </c>
      <c r="AR52" s="49">
        <f>IF(AQ52="","",AQ52*W52)</f>
        <v/>
      </c>
      <c r="AS52" s="51" t="n"/>
      <c r="AT52" s="52" t="n"/>
      <c r="AU52" s="52" t="n"/>
      <c r="AV52" s="53" t="n"/>
      <c r="AW52" s="54">
        <f>IF(((V52*pax_cap*load_thin*ROUND(N52*O52*revleg_thin,0))-(((battery/range_nm)*G52*ROUND(N52*O52*revleg_thin,0)*VLOOKUP(B52,country_opex,3,FALSE))+Y52+Z52+AA52+AB52+AC52))&lt;=0,"",VLOOKUP(B52,country_opex,7,FALSE)/((V52*pax_cap*load_thin*ROUND(N52*O52*revleg_thin,0))-(((battery/range_nm)*G52*ROUND(N52*O52*revleg_thin,0)*VLOOKUP(B52,country_opex,3,FALSE))+Y52+Z52+AA52+AB52+AC52)))</f>
        <v/>
      </c>
      <c r="AX52" s="54">
        <f>IF(((V52*pax_cap*load_mid*ROUND(N52*O52*revleg_mid,0))-(((battery/range_nm)*G52*ROUND(N52*O52*revleg_mid,0)*VLOOKUP(B52,country_opex,3,FALSE))+Y52+Z52+AA52+AB52+AC52))&lt;=0,"",VLOOKUP(B52,country_opex,7,FALSE)/((V52*pax_cap*load_mid*ROUND(N52*O52*revleg_mid,0))-(((battery/range_nm)*G52*ROUND(N52*O52*revleg_mid,0)*VLOOKUP(B52,country_opex,3,FALSE))+Y52+Z52+AA52+AB52+AC52)))</f>
        <v/>
      </c>
      <c r="AY52" s="54">
        <f>IF(((V52*pax_cap*load_full*ROUND(N52*O52*revleg_full,0))-(((battery/range_nm)*G52*ROUND(N52*O52*revleg_full,0)*VLOOKUP(B52,country_opex,3,FALSE))+Y52+Z52+AA52+AB52+AC52))&lt;=0,"",VLOOKUP(B52,country_opex,7,FALSE)/((V52*pax_cap*load_full*ROUND(N52*O52*revleg_full,0))-(((battery/range_nm)*G52*ROUND(N52*O52*revleg_full,0)*VLOOKUP(B52,country_opex,3,FALSE))+Y52+Z52+AA52+AB52+AC52)))</f>
        <v/>
      </c>
      <c r="AZ52" s="40" t="inlineStr">
        <is>
          <t>[LB-255 PREMIUM RE-FARE: subsidized comparable $5.1 lifted to premium on-demand floor $18.0] PREMIUM tier = Nile Taxi premium speedboat seat ~250 EGP (~$5.1); range 100-300 EGP/pax (Memphis Tours; US News ~200 EGP ~$4/pax). Private hire ~$110 charter recorded as charter context only.</t>
        </is>
      </c>
      <c r="BA52" s="40" t="n"/>
    </row>
    <row r="53">
      <c r="A53" s="38" t="inlineStr">
        <is>
          <t>Bolt Egypt</t>
        </is>
      </c>
      <c r="B53" s="38" t="inlineStr">
        <is>
          <t>Egypt</t>
        </is>
      </c>
      <c r="C53" s="39" t="inlineStr">
        <is>
          <t>Hurghada → Giftun Island (Orange Bay / Mahmya)</t>
        </is>
      </c>
      <c r="D53" s="38" t="inlineStr">
        <is>
          <t>bolt</t>
        </is>
      </c>
      <c r="E53" s="40" t="inlineStr">
        <is>
          <t>bolt-egypt, yango-egypt</t>
        </is>
      </c>
      <c r="F53" s="41" t="n">
        <v>2</v>
      </c>
      <c r="G53" s="42" t="n">
        <v>9</v>
      </c>
      <c r="H53" s="35" t="n">
        <v>32</v>
      </c>
      <c r="I53" s="43" t="inlineStr">
        <is>
          <t>T2</t>
        </is>
      </c>
      <c r="J53" s="43" t="inlineStr">
        <is>
          <t>med</t>
        </is>
      </c>
      <c r="K53" s="29" t="n">
        <v>1</v>
      </c>
      <c r="L53" s="44">
        <f>60*G53/cruise_kt</f>
        <v/>
      </c>
      <c r="M53" s="44">
        <f>L53+turn_min+dwell_min</f>
        <v/>
      </c>
      <c r="N53" s="45">
        <f>MIN(10,FLOOR(60*service_hr/M53,1))</f>
        <v/>
      </c>
      <c r="O53" s="45">
        <f>ROUND(365*mech_uptime*K53,0)</f>
        <v/>
      </c>
      <c r="P53" s="46">
        <f>mech_uptime</f>
        <v/>
      </c>
      <c r="Q53" s="46">
        <f>revleg_sel</f>
        <v/>
      </c>
      <c r="R53" s="45">
        <f>ROUND(N53*O53*revleg_sel,0)</f>
        <v/>
      </c>
      <c r="S53" s="47">
        <f>load_sel</f>
        <v/>
      </c>
      <c r="T53" s="47">
        <f>pax_cap*S53</f>
        <v/>
      </c>
      <c r="U53" s="45">
        <f>T53*R53</f>
        <v/>
      </c>
      <c r="V53" s="48">
        <f>H53*discount</f>
        <v/>
      </c>
      <c r="W53" s="49">
        <f>V53*U53</f>
        <v/>
      </c>
      <c r="X53" s="49">
        <f>(battery/range_nm)*G53*R53*VLOOKUP(B53,country_opex,3,FALSE)</f>
        <v/>
      </c>
      <c r="Y53" s="49">
        <f>VLOOKUP(B53,country_opex,2,FALSE)*crew_factor</f>
        <v/>
      </c>
      <c r="Z53" s="49">
        <f>VLOOKUP(B53,country_opex,5,FALSE)</f>
        <v/>
      </c>
      <c r="AA53" s="49">
        <f>maint</f>
        <v/>
      </c>
      <c r="AB53" s="49">
        <f>VLOOKUP(B53,country_opex,7,FALSE)*ins_pct</f>
        <v/>
      </c>
      <c r="AC53" s="49">
        <f>charge_berth</f>
        <v/>
      </c>
      <c r="AD53" s="49">
        <f>X53+Y53+Z53+AA53+AB53+AC53</f>
        <v/>
      </c>
      <c r="AE53" s="49">
        <f>VLOOKUP(B53,country_opex,7,FALSE)/dep_years</f>
        <v/>
      </c>
      <c r="AF53" s="49">
        <f>W53-AD53</f>
        <v/>
      </c>
      <c r="AG53" s="46">
        <f>IF(W53=0,"",AF53/W53)</f>
        <v/>
      </c>
      <c r="AH53" s="47">
        <f>IF(AF53&lt;=0,"",VLOOKUP(B53,country_opex,7,FALSE)/AF53)</f>
        <v/>
      </c>
      <c r="AI53" s="44">
        <f>((G53*R53/diesel_nmpg)*diesel_co2pg-(battery/range_nm)*G53*R53*VLOOKUP(B53,country_opex,4,FALSE))/1000</f>
        <v/>
      </c>
      <c r="AJ53" s="42" t="n">
        <v>1204586</v>
      </c>
      <c r="AK53" s="43" t="n"/>
      <c r="AL53" s="43" t="n"/>
      <c r="AM53" s="50" t="n">
        <v>0.1</v>
      </c>
      <c r="AN53" s="45">
        <f>IF(AJ53="","",AJ53*AM53)</f>
        <v/>
      </c>
      <c r="AO53" s="45">
        <f>IF(OR(AJ53="",U53=0),"",MIN(IF(AV53="",9.9E+99,AV53),FLOOR(AN53/U53,1)))</f>
        <v/>
      </c>
      <c r="AP53" s="49">
        <f>IF(AO53="","",AO53*W53)</f>
        <v/>
      </c>
      <c r="AQ53" s="47">
        <f>IF(OR(AJ53="",U53=0),"",MIN(IF(AV53="",9.9E+99,AV53),AN53/U53))</f>
        <v/>
      </c>
      <c r="AR53" s="49">
        <f>IF(AQ53="","",AQ53*W53)</f>
        <v/>
      </c>
      <c r="AS53" s="51" t="n"/>
      <c r="AT53" s="52" t="n"/>
      <c r="AU53" s="52" t="n"/>
      <c r="AV53" s="53" t="n"/>
      <c r="AW53" s="54">
        <f>IF(((V53*pax_cap*load_thin*ROUND(N53*O53*revleg_thin,0))-(((battery/range_nm)*G53*ROUND(N53*O53*revleg_thin,0)*VLOOKUP(B53,country_opex,3,FALSE))+Y53+Z53+AA53+AB53+AC53))&lt;=0,"",VLOOKUP(B53,country_opex,7,FALSE)/((V53*pax_cap*load_thin*ROUND(N53*O53*revleg_thin,0))-(((battery/range_nm)*G53*ROUND(N53*O53*revleg_thin,0)*VLOOKUP(B53,country_opex,3,FALSE))+Y53+Z53+AA53+AB53+AC53)))</f>
        <v/>
      </c>
      <c r="AX53" s="54">
        <f>IF(((V53*pax_cap*load_mid*ROUND(N53*O53*revleg_mid,0))-(((battery/range_nm)*G53*ROUND(N53*O53*revleg_mid,0)*VLOOKUP(B53,country_opex,3,FALSE))+Y53+Z53+AA53+AB53+AC53))&lt;=0,"",VLOOKUP(B53,country_opex,7,FALSE)/((V53*pax_cap*load_mid*ROUND(N53*O53*revleg_mid,0))-(((battery/range_nm)*G53*ROUND(N53*O53*revleg_mid,0)*VLOOKUP(B53,country_opex,3,FALSE))+Y53+Z53+AA53+AB53+AC53)))</f>
        <v/>
      </c>
      <c r="AY53" s="54">
        <f>IF(((V53*pax_cap*load_full*ROUND(N53*O53*revleg_full,0))-(((battery/range_nm)*G53*ROUND(N53*O53*revleg_full,0)*VLOOKUP(B53,country_opex,3,FALSE))+Y53+Z53+AA53+AB53+AC53))&lt;=0,"",VLOOKUP(B53,country_opex,7,FALSE)/((V53*pax_cap*load_full*ROUND(N53*O53*revleg_full,0))-(((battery/range_nm)*G53*ROUND(N53*O53*revleg_full,0)*VLOOKUP(B53,country_opex,3,FALSE))+Y53+Z53+AA53+AB53+AC53)))</f>
        <v/>
      </c>
      <c r="AZ53" s="40" t="inlineStr">
        <is>
          <t>PREMIUM tier = scheduled island day-trip per-seat EUR ~30 (~$32); shared/regular boat day-trips run EUR 15-30/pax (egyptra from EUR 15; GetYourGuide/Marriott activities). Speedboat upgrade priced higher; private Mahmya from $99 recorded as charter context only.</t>
        </is>
      </c>
      <c r="BA53" s="40" t="n"/>
    </row>
    <row r="54">
      <c r="A54" s="38" t="inlineStr">
        <is>
          <t>Bolt Egypt</t>
        </is>
      </c>
      <c r="B54" s="38" t="inlineStr">
        <is>
          <t>Egypt</t>
        </is>
      </c>
      <c r="C54" s="39" t="inlineStr">
        <is>
          <t>Hurghada → Sahl Hasheesh</t>
        </is>
      </c>
      <c r="D54" s="38" t="inlineStr">
        <is>
          <t>bolt</t>
        </is>
      </c>
      <c r="E54" s="40" t="inlineStr">
        <is>
          <t>bolt-egypt, yango-egypt</t>
        </is>
      </c>
      <c r="F54" s="41" t="n">
        <v>2</v>
      </c>
      <c r="G54" s="42" t="n">
        <v>10</v>
      </c>
      <c r="H54" s="35" t="n">
        <v>40.8</v>
      </c>
      <c r="I54" s="43" t="inlineStr">
        <is>
          <t>T2</t>
        </is>
      </c>
      <c r="J54" s="43" t="inlineStr">
        <is>
          <t>med</t>
        </is>
      </c>
      <c r="K54" s="29" t="n">
        <v>1</v>
      </c>
      <c r="L54" s="44">
        <f>60*G54/cruise_kt</f>
        <v/>
      </c>
      <c r="M54" s="44">
        <f>L54+turn_min+dwell_min</f>
        <v/>
      </c>
      <c r="N54" s="45">
        <f>MIN(10,FLOOR(60*service_hr/M54,1))</f>
        <v/>
      </c>
      <c r="O54" s="45">
        <f>ROUND(365*mech_uptime*K54,0)</f>
        <v/>
      </c>
      <c r="P54" s="46">
        <f>mech_uptime</f>
        <v/>
      </c>
      <c r="Q54" s="46">
        <f>revleg_sel</f>
        <v/>
      </c>
      <c r="R54" s="45">
        <f>ROUND(N54*O54*revleg_sel,0)</f>
        <v/>
      </c>
      <c r="S54" s="47">
        <f>load_sel</f>
        <v/>
      </c>
      <c r="T54" s="47">
        <f>pax_cap*S54</f>
        <v/>
      </c>
      <c r="U54" s="45">
        <f>T54*R54</f>
        <v/>
      </c>
      <c r="V54" s="48">
        <f>H54*discount</f>
        <v/>
      </c>
      <c r="W54" s="49">
        <f>V54*U54</f>
        <v/>
      </c>
      <c r="X54" s="49">
        <f>(battery/range_nm)*G54*R54*VLOOKUP(B54,country_opex,3,FALSE)</f>
        <v/>
      </c>
      <c r="Y54" s="49">
        <f>VLOOKUP(B54,country_opex,2,FALSE)*crew_factor</f>
        <v/>
      </c>
      <c r="Z54" s="49">
        <f>VLOOKUP(B54,country_opex,5,FALSE)</f>
        <v/>
      </c>
      <c r="AA54" s="49">
        <f>maint</f>
        <v/>
      </c>
      <c r="AB54" s="49">
        <f>VLOOKUP(B54,country_opex,7,FALSE)*ins_pct</f>
        <v/>
      </c>
      <c r="AC54" s="49">
        <f>charge_berth</f>
        <v/>
      </c>
      <c r="AD54" s="49">
        <f>X54+Y54+Z54+AA54+AB54+AC54</f>
        <v/>
      </c>
      <c r="AE54" s="49">
        <f>VLOOKUP(B54,country_opex,7,FALSE)/dep_years</f>
        <v/>
      </c>
      <c r="AF54" s="49">
        <f>W54-AD54</f>
        <v/>
      </c>
      <c r="AG54" s="46">
        <f>IF(W54=0,"",AF54/W54)</f>
        <v/>
      </c>
      <c r="AH54" s="47">
        <f>IF(AF54&lt;=0,"",VLOOKUP(B54,country_opex,7,FALSE)/AF54)</f>
        <v/>
      </c>
      <c r="AI54" s="44">
        <f>((G54*R54/diesel_nmpg)*diesel_co2pg-(battery/range_nm)*G54*R54*VLOOKUP(B54,country_opex,4,FALSE))/1000</f>
        <v/>
      </c>
      <c r="AJ54" s="42" t="n"/>
      <c r="AK54" s="43" t="n"/>
      <c r="AL54" s="43" t="n"/>
      <c r="AM54" s="50" t="n">
        <v>0.1</v>
      </c>
      <c r="AN54" s="45">
        <f>IF(AJ54="","",AJ54*AM54)</f>
        <v/>
      </c>
      <c r="AO54" s="45">
        <f>IF(OR(AJ54="",U54=0),"",MIN(IF(AV54="",9.9E+99,AV54),FLOOR(AN54/U54,1)))</f>
        <v/>
      </c>
      <c r="AP54" s="49">
        <f>IF(AO54="","",AO54*W54)</f>
        <v/>
      </c>
      <c r="AQ54" s="47">
        <f>IF(OR(AJ54="",U54=0),"",MIN(IF(AV54="",9.9E+99,AV54),AN54/U54))</f>
        <v/>
      </c>
      <c r="AR54" s="49">
        <f>IF(AQ54="","",AQ54*W54)</f>
        <v/>
      </c>
      <c r="AS54" s="51" t="n"/>
      <c r="AT54" s="52" t="n"/>
      <c r="AU54" s="52" t="n"/>
      <c r="AV54" s="53" t="n"/>
      <c r="AW54" s="54">
        <f>IF(((V54*pax_cap*load_thin*ROUND(N54*O54*revleg_thin,0))-(((battery/range_nm)*G54*ROUND(N54*O54*revleg_thin,0)*VLOOKUP(B54,country_opex,3,FALSE))+Y54+Z54+AA54+AB54+AC54))&lt;=0,"",VLOOKUP(B54,country_opex,7,FALSE)/((V54*pax_cap*load_thin*ROUND(N54*O54*revleg_thin,0))-(((battery/range_nm)*G54*ROUND(N54*O54*revleg_thin,0)*VLOOKUP(B54,country_opex,3,FALSE))+Y54+Z54+AA54+AB54+AC54)))</f>
        <v/>
      </c>
      <c r="AX54" s="54">
        <f>IF(((V54*pax_cap*load_mid*ROUND(N54*O54*revleg_mid,0))-(((battery/range_nm)*G54*ROUND(N54*O54*revleg_mid,0)*VLOOKUP(B54,country_opex,3,FALSE))+Y54+Z54+AA54+AB54+AC54))&lt;=0,"",VLOOKUP(B54,country_opex,7,FALSE)/((V54*pax_cap*load_mid*ROUND(N54*O54*revleg_mid,0))-(((battery/range_nm)*G54*ROUND(N54*O54*revleg_mid,0)*VLOOKUP(B54,country_opex,3,FALSE))+Y54+Z54+AA54+AB54+AC54)))</f>
        <v/>
      </c>
      <c r="AY54" s="54">
        <f>IF(((V54*pax_cap*load_full*ROUND(N54*O54*revleg_full,0))-(((battery/range_nm)*G54*ROUND(N54*O54*revleg_full,0)*VLOOKUP(B54,country_opex,3,FALSE))+Y54+Z54+AA54+AB54+AC54))&lt;=0,"",VLOOKUP(B54,country_opex,7,FALSE)/((V54*pax_cap*load_full*ROUND(N54*O54*revleg_full,0))-(((battery/range_nm)*G54*ROUND(N54*O54*revleg_full,0)*VLOOKUP(B54,country_opex,3,FALSE))+Y54+Z54+AA54+AB54+AC54)))</f>
        <v/>
      </c>
      <c r="AZ54" s="40" t="inlineStr">
        <is>
          <t>PREMIUM tier proxy = Dubai RTA convention $40.8/seat (same premium resort-transfer tier as El Gouna). No Egypt-native scheduled water-taxi fare on this leg published.</t>
        </is>
      </c>
      <c r="BA54" s="40" t="n"/>
    </row>
    <row r="55">
      <c r="A55" s="38" t="inlineStr">
        <is>
          <t>Bolt Egypt</t>
        </is>
      </c>
      <c r="B55" s="38" t="inlineStr">
        <is>
          <t>Egypt</t>
        </is>
      </c>
      <c r="C55" s="39" t="inlineStr">
        <is>
          <t>Greater Cairo - Maspero (Downtown) → Greater Cairo - Warraq / El Qanater</t>
        </is>
      </c>
      <c r="D55" s="38" t="inlineStr">
        <is>
          <t>bolt</t>
        </is>
      </c>
      <c r="E55" s="40" t="inlineStr">
        <is>
          <t>bolt-egypt, yango-egypt</t>
        </is>
      </c>
      <c r="F55" s="41" t="n">
        <v>2</v>
      </c>
      <c r="G55" s="42" t="n">
        <v>13</v>
      </c>
      <c r="H55" s="35" t="n">
        <v>18</v>
      </c>
      <c r="I55" s="43" t="inlineStr">
        <is>
          <t>T2</t>
        </is>
      </c>
      <c r="J55" s="43" t="inlineStr">
        <is>
          <t>med</t>
        </is>
      </c>
      <c r="K55" s="29" t="n">
        <v>1</v>
      </c>
      <c r="L55" s="44">
        <f>60*G55/cruise_kt</f>
        <v/>
      </c>
      <c r="M55" s="44">
        <f>L55+turn_min+dwell_min</f>
        <v/>
      </c>
      <c r="N55" s="45">
        <f>MIN(16,FLOOR(60*service_hr/M55,1))</f>
        <v/>
      </c>
      <c r="O55" s="45">
        <f>ROUND(365*mech_uptime*K55,0)</f>
        <v/>
      </c>
      <c r="P55" s="46">
        <f>mech_uptime</f>
        <v/>
      </c>
      <c r="Q55" s="46">
        <f>revleg_sel</f>
        <v/>
      </c>
      <c r="R55" s="45">
        <f>ROUND(N55*O55*revleg_sel,0)</f>
        <v/>
      </c>
      <c r="S55" s="47">
        <f>load_sel</f>
        <v/>
      </c>
      <c r="T55" s="47">
        <f>pax_cap*S55</f>
        <v/>
      </c>
      <c r="U55" s="45">
        <f>T55*R55</f>
        <v/>
      </c>
      <c r="V55" s="48">
        <f>H55*discount</f>
        <v/>
      </c>
      <c r="W55" s="49">
        <f>V55*U55</f>
        <v/>
      </c>
      <c r="X55" s="49">
        <f>(battery/range_nm)*G55*R55*VLOOKUP(B55,country_opex,3,FALSE)</f>
        <v/>
      </c>
      <c r="Y55" s="49">
        <f>VLOOKUP(B55,country_opex,2,FALSE)*crew_factor</f>
        <v/>
      </c>
      <c r="Z55" s="49">
        <f>VLOOKUP(B55,country_opex,5,FALSE)</f>
        <v/>
      </c>
      <c r="AA55" s="49">
        <f>maint</f>
        <v/>
      </c>
      <c r="AB55" s="49">
        <f>VLOOKUP(B55,country_opex,7,FALSE)*ins_pct</f>
        <v/>
      </c>
      <c r="AC55" s="49">
        <f>charge_berth</f>
        <v/>
      </c>
      <c r="AD55" s="49">
        <f>X55+Y55+Z55+AA55+AB55+AC55</f>
        <v/>
      </c>
      <c r="AE55" s="49">
        <f>VLOOKUP(B55,country_opex,7,FALSE)/dep_years</f>
        <v/>
      </c>
      <c r="AF55" s="49">
        <f>W55-AD55</f>
        <v/>
      </c>
      <c r="AG55" s="46">
        <f>IF(W55=0,"",AF55/W55)</f>
        <v/>
      </c>
      <c r="AH55" s="47">
        <f>IF(AF55&lt;=0,"",VLOOKUP(B55,country_opex,7,FALSE)/AF55)</f>
        <v/>
      </c>
      <c r="AI55" s="44">
        <f>((G55*R55/diesel_nmpg)*diesel_co2pg-(battery/range_nm)*G55*R55*VLOOKUP(B55,country_opex,4,FALSE))/1000</f>
        <v/>
      </c>
      <c r="AJ55" s="42" t="n"/>
      <c r="AK55" s="43" t="n"/>
      <c r="AL55" s="43" t="n"/>
      <c r="AM55" s="50" t="n">
        <v>0.1</v>
      </c>
      <c r="AN55" s="45">
        <f>IF(AJ55="","",AJ55*AM55)</f>
        <v/>
      </c>
      <c r="AO55" s="45">
        <f>IF(OR(AJ55="",U55=0),"",MIN(IF(AV55="",9.9E+99,AV55),FLOOR(AN55/U55,1)))</f>
        <v/>
      </c>
      <c r="AP55" s="49">
        <f>IF(AO55="","",AO55*W55)</f>
        <v/>
      </c>
      <c r="AQ55" s="47">
        <f>IF(OR(AJ55="",U55=0),"",MIN(IF(AV55="",9.9E+99,AV55),AN55/U55))</f>
        <v/>
      </c>
      <c r="AR55" s="49">
        <f>IF(AQ55="","",AQ55*W55)</f>
        <v/>
      </c>
      <c r="AS55" s="51" t="n"/>
      <c r="AT55" s="52" t="n"/>
      <c r="AU55" s="52" t="n"/>
      <c r="AV55" s="53" t="n"/>
      <c r="AW55" s="54">
        <f>IF(((V55*pax_cap*load_thin*ROUND(N55*O55*revleg_thin,0))-(((battery/range_nm)*G55*ROUND(N55*O55*revleg_thin,0)*VLOOKUP(B55,country_opex,3,FALSE))+Y55+Z55+AA55+AB55+AC55))&lt;=0,"",VLOOKUP(B55,country_opex,7,FALSE)/((V55*pax_cap*load_thin*ROUND(N55*O55*revleg_thin,0))-(((battery/range_nm)*G55*ROUND(N55*O55*revleg_thin,0)*VLOOKUP(B55,country_opex,3,FALSE))+Y55+Z55+AA55+AB55+AC55)))</f>
        <v/>
      </c>
      <c r="AX55" s="54">
        <f>IF(((V55*pax_cap*load_mid*ROUND(N55*O55*revleg_mid,0))-(((battery/range_nm)*G55*ROUND(N55*O55*revleg_mid,0)*VLOOKUP(B55,country_opex,3,FALSE))+Y55+Z55+AA55+AB55+AC55))&lt;=0,"",VLOOKUP(B55,country_opex,7,FALSE)/((V55*pax_cap*load_mid*ROUND(N55*O55*revleg_mid,0))-(((battery/range_nm)*G55*ROUND(N55*O55*revleg_mid,0)*VLOOKUP(B55,country_opex,3,FALSE))+Y55+Z55+AA55+AB55+AC55)))</f>
        <v/>
      </c>
      <c r="AY55" s="54">
        <f>IF(((V55*pax_cap*load_full*ROUND(N55*O55*revleg_full,0))-(((battery/range_nm)*G55*ROUND(N55*O55*revleg_full,0)*VLOOKUP(B55,country_opex,3,FALSE))+Y55+Z55+AA55+AB55+AC55))&lt;=0,"",VLOOKUP(B55,country_opex,7,FALSE)/((V55*pax_cap*load_full*ROUND(N55*O55*revleg_full,0))-(((battery/range_nm)*G55*ROUND(N55*O55*revleg_full,0)*VLOOKUP(B55,country_opex,3,FALSE))+Y55+Z55+AA55+AB55+AC55)))</f>
        <v/>
      </c>
      <c r="AZ55" s="40" t="inlineStr">
        <is>
          <t>[LB-255 PREMIUM RE-FARE: subsidized comparable $0.2 lifted to premium on-demand floor $18.0] Public river-bus fare ~5-10 EGP (~$0.10-0.20) - the COMMUTER FLOOR, not a premium tier. Recorded as ladder context; Navier would model a premium speedboat tier on this O-D closer to the Nile Taxi ~$5 level if served.</t>
        </is>
      </c>
      <c r="BA55" s="40" t="n"/>
    </row>
    <row r="56">
      <c r="A56" s="38" t="inlineStr">
        <is>
          <t>Bolt Egypt</t>
        </is>
      </c>
      <c r="B56" s="38" t="inlineStr">
        <is>
          <t>Egypt</t>
        </is>
      </c>
      <c r="C56" s="39" t="inlineStr">
        <is>
          <t>Hurghada → El Gouna</t>
        </is>
      </c>
      <c r="D56" s="38" t="inlineStr">
        <is>
          <t>bolt</t>
        </is>
      </c>
      <c r="E56" s="40" t="inlineStr">
        <is>
          <t>bolt-egypt, yango-egypt</t>
        </is>
      </c>
      <c r="F56" s="41" t="n">
        <v>2</v>
      </c>
      <c r="G56" s="42" t="n">
        <v>14</v>
      </c>
      <c r="H56" s="35" t="n">
        <v>40.8</v>
      </c>
      <c r="I56" s="43" t="inlineStr">
        <is>
          <t>T2</t>
        </is>
      </c>
      <c r="J56" s="43" t="inlineStr">
        <is>
          <t>med</t>
        </is>
      </c>
      <c r="K56" s="29" t="n">
        <v>1</v>
      </c>
      <c r="L56" s="44">
        <f>60*G56/cruise_kt</f>
        <v/>
      </c>
      <c r="M56" s="44">
        <f>L56+turn_min+dwell_min</f>
        <v/>
      </c>
      <c r="N56" s="45">
        <f>MIN(10,FLOOR(60*service_hr/M56,1))</f>
        <v/>
      </c>
      <c r="O56" s="45">
        <f>ROUND(365*mech_uptime*K56,0)</f>
        <v/>
      </c>
      <c r="P56" s="46">
        <f>mech_uptime</f>
        <v/>
      </c>
      <c r="Q56" s="46">
        <f>revleg_sel</f>
        <v/>
      </c>
      <c r="R56" s="45">
        <f>ROUND(N56*O56*revleg_sel,0)</f>
        <v/>
      </c>
      <c r="S56" s="47">
        <f>load_sel</f>
        <v/>
      </c>
      <c r="T56" s="47">
        <f>pax_cap*S56</f>
        <v/>
      </c>
      <c r="U56" s="45">
        <f>T56*R56</f>
        <v/>
      </c>
      <c r="V56" s="48">
        <f>H56*discount</f>
        <v/>
      </c>
      <c r="W56" s="49">
        <f>V56*U56</f>
        <v/>
      </c>
      <c r="X56" s="49">
        <f>(battery/range_nm)*G56*R56*VLOOKUP(B56,country_opex,3,FALSE)</f>
        <v/>
      </c>
      <c r="Y56" s="49">
        <f>VLOOKUP(B56,country_opex,2,FALSE)*crew_factor</f>
        <v/>
      </c>
      <c r="Z56" s="49">
        <f>VLOOKUP(B56,country_opex,5,FALSE)</f>
        <v/>
      </c>
      <c r="AA56" s="49">
        <f>maint</f>
        <v/>
      </c>
      <c r="AB56" s="49">
        <f>VLOOKUP(B56,country_opex,7,FALSE)*ins_pct</f>
        <v/>
      </c>
      <c r="AC56" s="49">
        <f>charge_berth</f>
        <v/>
      </c>
      <c r="AD56" s="49">
        <f>X56+Y56+Z56+AA56+AB56+AC56</f>
        <v/>
      </c>
      <c r="AE56" s="49">
        <f>VLOOKUP(B56,country_opex,7,FALSE)/dep_years</f>
        <v/>
      </c>
      <c r="AF56" s="49">
        <f>W56-AD56</f>
        <v/>
      </c>
      <c r="AG56" s="46">
        <f>IF(W56=0,"",AF56/W56)</f>
        <v/>
      </c>
      <c r="AH56" s="47">
        <f>IF(AF56&lt;=0,"",VLOOKUP(B56,country_opex,7,FALSE)/AF56)</f>
        <v/>
      </c>
      <c r="AI56" s="44">
        <f>((G56*R56/diesel_nmpg)*diesel_co2pg-(battery/range_nm)*G56*R56*VLOOKUP(B56,country_opex,4,FALSE))/1000</f>
        <v/>
      </c>
      <c r="AJ56" s="42" t="n">
        <v>10402</v>
      </c>
      <c r="AK56" s="43" t="n"/>
      <c r="AL56" s="43" t="n"/>
      <c r="AM56" s="50" t="n">
        <v>0.1</v>
      </c>
      <c r="AN56" s="45">
        <f>IF(AJ56="","",AJ56*AM56)</f>
        <v/>
      </c>
      <c r="AO56" s="45">
        <f>IF(OR(AJ56="",U56=0),"",MIN(IF(AV56="",9.9E+99,AV56),FLOOR(AN56/U56,1)))</f>
        <v/>
      </c>
      <c r="AP56" s="49">
        <f>IF(AO56="","",AO56*W56)</f>
        <v/>
      </c>
      <c r="AQ56" s="47">
        <f>IF(OR(AJ56="",U56=0),"",MIN(IF(AV56="",9.9E+99,AV56),AN56/U56))</f>
        <v/>
      </c>
      <c r="AR56" s="49">
        <f>IF(AQ56="","",AQ56*W56)</f>
        <v/>
      </c>
      <c r="AS56" s="51" t="n"/>
      <c r="AT56" s="52" t="n"/>
      <c r="AU56" s="52" t="inlineStr">
        <is>
          <t>modal_shift_greenfield</t>
        </is>
      </c>
      <c r="AV56" s="53" t="n"/>
      <c r="AW56" s="54">
        <f>IF(((V56*pax_cap*load_thin*ROUND(N56*O56*revleg_thin,0))-(((battery/range_nm)*G56*ROUND(N56*O56*revleg_thin,0)*VLOOKUP(B56,country_opex,3,FALSE))+Y56+Z56+AA56+AB56+AC56))&lt;=0,"",VLOOKUP(B56,country_opex,7,FALSE)/((V56*pax_cap*load_thin*ROUND(N56*O56*revleg_thin,0))-(((battery/range_nm)*G56*ROUND(N56*O56*revleg_thin,0)*VLOOKUP(B56,country_opex,3,FALSE))+Y56+Z56+AA56+AB56+AC56)))</f>
        <v/>
      </c>
      <c r="AX56" s="54">
        <f>IF(((V56*pax_cap*load_mid*ROUND(N56*O56*revleg_mid,0))-(((battery/range_nm)*G56*ROUND(N56*O56*revleg_mid,0)*VLOOKUP(B56,country_opex,3,FALSE))+Y56+Z56+AA56+AB56+AC56))&lt;=0,"",VLOOKUP(B56,country_opex,7,FALSE)/((V56*pax_cap*load_mid*ROUND(N56*O56*revleg_mid,0))-(((battery/range_nm)*G56*ROUND(N56*O56*revleg_mid,0)*VLOOKUP(B56,country_opex,3,FALSE))+Y56+Z56+AA56+AB56+AC56)))</f>
        <v/>
      </c>
      <c r="AY56" s="54">
        <f>IF(((V56*pax_cap*load_full*ROUND(N56*O56*revleg_full,0))-(((battery/range_nm)*G56*ROUND(N56*O56*revleg_full,0)*VLOOKUP(B56,country_opex,3,FALSE))+Y56+Z56+AA56+AB56+AC56))&lt;=0,"",VLOOKUP(B56,country_opex,7,FALSE)/((V56*pax_cap*load_full*ROUND(N56*O56*revleg_full,0))-(((battery/range_nm)*G56*ROUND(N56*O56*revleg_full,0)*VLOOKUP(B56,country_opex,3,FALSE))+Y56+Z56+AA56+AB56+AC56)))</f>
        <v/>
      </c>
      <c r="AZ56" s="40" t="inlineStr">
        <is>
          <t>Kept from prior registry = Dubai RTA premium water-taxi convention $40.8/seat (placeholder premium tier; no Egypt-native scheduled Hurghada&lt;-&gt;El Gouna water-taxi fare published - current link is private transfer/taxi by road). FLAG: convention placeholder, not an Egypt-sourced marine fare.</t>
        </is>
      </c>
      <c r="BA56" s="40" t="n"/>
    </row>
    <row r="57">
      <c r="A57" s="38" t="inlineStr">
        <is>
          <t>Bolt Egypt</t>
        </is>
      </c>
      <c r="B57" s="38" t="inlineStr">
        <is>
          <t>Egypt</t>
        </is>
      </c>
      <c r="C57" s="39" t="inlineStr">
        <is>
          <t>Sharm El Sheikh → Ras Mohammed / Tiran reefs</t>
        </is>
      </c>
      <c r="D57" s="38" t="inlineStr">
        <is>
          <t>bolt</t>
        </is>
      </c>
      <c r="E57" s="40" t="inlineStr">
        <is>
          <t>bolt-egypt, yango-egypt</t>
        </is>
      </c>
      <c r="F57" s="41" t="n">
        <v>2</v>
      </c>
      <c r="G57" s="42" t="n">
        <v>16</v>
      </c>
      <c r="H57" s="35" t="n">
        <v>50</v>
      </c>
      <c r="I57" s="43" t="inlineStr">
        <is>
          <t>T2</t>
        </is>
      </c>
      <c r="J57" s="43" t="inlineStr">
        <is>
          <t>med</t>
        </is>
      </c>
      <c r="K57" s="29" t="n">
        <v>1</v>
      </c>
      <c r="L57" s="44">
        <f>60*G57/cruise_kt</f>
        <v/>
      </c>
      <c r="M57" s="44">
        <f>L57+turn_min+dwell_min</f>
        <v/>
      </c>
      <c r="N57" s="45">
        <f>MIN(10,FLOOR(60*service_hr/M57,1))</f>
        <v/>
      </c>
      <c r="O57" s="45">
        <f>ROUND(365*mech_uptime*K57,0)</f>
        <v/>
      </c>
      <c r="P57" s="46">
        <f>mech_uptime</f>
        <v/>
      </c>
      <c r="Q57" s="46">
        <f>revleg_sel</f>
        <v/>
      </c>
      <c r="R57" s="45">
        <f>ROUND(N57*O57*revleg_sel,0)</f>
        <v/>
      </c>
      <c r="S57" s="47">
        <f>load_sel</f>
        <v/>
      </c>
      <c r="T57" s="47">
        <f>pax_cap*S57</f>
        <v/>
      </c>
      <c r="U57" s="45">
        <f>T57*R57</f>
        <v/>
      </c>
      <c r="V57" s="48">
        <f>H57*discount</f>
        <v/>
      </c>
      <c r="W57" s="49">
        <f>V57*U57</f>
        <v/>
      </c>
      <c r="X57" s="49">
        <f>(battery/range_nm)*G57*R57*VLOOKUP(B57,country_opex,3,FALSE)</f>
        <v/>
      </c>
      <c r="Y57" s="49">
        <f>VLOOKUP(B57,country_opex,2,FALSE)*crew_factor</f>
        <v/>
      </c>
      <c r="Z57" s="49">
        <f>VLOOKUP(B57,country_opex,5,FALSE)</f>
        <v/>
      </c>
      <c r="AA57" s="49">
        <f>maint</f>
        <v/>
      </c>
      <c r="AB57" s="49">
        <f>VLOOKUP(B57,country_opex,7,FALSE)*ins_pct</f>
        <v/>
      </c>
      <c r="AC57" s="49">
        <f>charge_berth</f>
        <v/>
      </c>
      <c r="AD57" s="49">
        <f>X57+Y57+Z57+AA57+AB57+AC57</f>
        <v/>
      </c>
      <c r="AE57" s="49">
        <f>VLOOKUP(B57,country_opex,7,FALSE)/dep_years</f>
        <v/>
      </c>
      <c r="AF57" s="49">
        <f>W57-AD57</f>
        <v/>
      </c>
      <c r="AG57" s="46">
        <f>IF(W57=0,"",AF57/W57)</f>
        <v/>
      </c>
      <c r="AH57" s="47">
        <f>IF(AF57&lt;=0,"",VLOOKUP(B57,country_opex,7,FALSE)/AF57)</f>
        <v/>
      </c>
      <c r="AI57" s="44">
        <f>((G57*R57/diesel_nmpg)*diesel_co2pg-(battery/range_nm)*G57*R57*VLOOKUP(B57,country_opex,4,FALSE))/1000</f>
        <v/>
      </c>
      <c r="AJ57" s="42" t="n">
        <v>50000</v>
      </c>
      <c r="AK57" s="43" t="n"/>
      <c r="AL57" s="43" t="n"/>
      <c r="AM57" s="50" t="n">
        <v>0.1</v>
      </c>
      <c r="AN57" s="45">
        <f>IF(AJ57="","",AJ57*AM57)</f>
        <v/>
      </c>
      <c r="AO57" s="45">
        <f>IF(OR(AJ57="",U57=0),"",MIN(IF(AV57="",9.9E+99,AV57),FLOOR(AN57/U57,1)))</f>
        <v/>
      </c>
      <c r="AP57" s="49">
        <f>IF(AO57="","",AO57*W57)</f>
        <v/>
      </c>
      <c r="AQ57" s="47">
        <f>IF(OR(AJ57="",U57=0),"",MIN(IF(AV57="",9.9E+99,AV57),AN57/U57))</f>
        <v/>
      </c>
      <c r="AR57" s="49">
        <f>IF(AQ57="","",AQ57*W57)</f>
        <v/>
      </c>
      <c r="AS57" s="51" t="n"/>
      <c r="AT57" s="52" t="n"/>
      <c r="AU57" s="52" t="n"/>
      <c r="AV57" s="53" t="n"/>
      <c r="AW57" s="54">
        <f>IF(((V57*pax_cap*load_thin*ROUND(N57*O57*revleg_thin,0))-(((battery/range_nm)*G57*ROUND(N57*O57*revleg_thin,0)*VLOOKUP(B57,country_opex,3,FALSE))+Y57+Z57+AA57+AB57+AC57))&lt;=0,"",VLOOKUP(B57,country_opex,7,FALSE)/((V57*pax_cap*load_thin*ROUND(N57*O57*revleg_thin,0))-(((battery/range_nm)*G57*ROUND(N57*O57*revleg_thin,0)*VLOOKUP(B57,country_opex,3,FALSE))+Y57+Z57+AA57+AB57+AC57)))</f>
        <v/>
      </c>
      <c r="AX57" s="54">
        <f>IF(((V57*pax_cap*load_mid*ROUND(N57*O57*revleg_mid,0))-(((battery/range_nm)*G57*ROUND(N57*O57*revleg_mid,0)*VLOOKUP(B57,country_opex,3,FALSE))+Y57+Z57+AA57+AB57+AC57))&lt;=0,"",VLOOKUP(B57,country_opex,7,FALSE)/((V57*pax_cap*load_mid*ROUND(N57*O57*revleg_mid,0))-(((battery/range_nm)*G57*ROUND(N57*O57*revleg_mid,0)*VLOOKUP(B57,country_opex,3,FALSE))+Y57+Z57+AA57+AB57+AC57)))</f>
        <v/>
      </c>
      <c r="AY57" s="54">
        <f>IF(((V57*pax_cap*load_full*ROUND(N57*O57*revleg_full,0))-(((battery/range_nm)*G57*ROUND(N57*O57*revleg_full,0)*VLOOKUP(B57,country_opex,3,FALSE))+Y57+Z57+AA57+AB57+AC57))&lt;=0,"",VLOOKUP(B57,country_opex,7,FALSE)/((V57*pax_cap*load_full*ROUND(N57*O57*revleg_full,0))-(((battery/range_nm)*G57*ROUND(N57*O57*revleg_full,0)*VLOOKUP(B57,country_opex,3,FALSE))+Y57+Z57+AA57+AB57+AC57)))</f>
        <v/>
      </c>
      <c r="AZ57" s="40" t="inlineStr">
        <is>
          <t>PREMIUM tier = VIP/premium Ras Mohammed + White Island boat sea-trip ~$52/adult (Tripadvisor VIP boat); standard scheduled boat day-trips from EUR 24 (~$26). Modeled premium tier ~$50.</t>
        </is>
      </c>
      <c r="BA57" s="40" t="n"/>
    </row>
    <row r="58">
      <c r="A58" s="38" t="inlineStr">
        <is>
          <t>Bolt Egypt</t>
        </is>
      </c>
      <c r="B58" s="38" t="inlineStr">
        <is>
          <t>Egypt</t>
        </is>
      </c>
      <c r="C58" s="39" t="inlineStr">
        <is>
          <t>Hurghada → Soma Bay</t>
        </is>
      </c>
      <c r="D58" s="38" t="inlineStr">
        <is>
          <t>bolt</t>
        </is>
      </c>
      <c r="E58" s="40" t="inlineStr">
        <is>
          <t>bolt-egypt, yango-egypt</t>
        </is>
      </c>
      <c r="F58" s="41" t="n">
        <v>2</v>
      </c>
      <c r="G58" s="42" t="n">
        <v>25</v>
      </c>
      <c r="H58" s="35" t="n">
        <v>40.8</v>
      </c>
      <c r="I58" s="43" t="inlineStr">
        <is>
          <t>T2</t>
        </is>
      </c>
      <c r="J58" s="43" t="inlineStr">
        <is>
          <t>med</t>
        </is>
      </c>
      <c r="K58" s="29" t="n">
        <v>1</v>
      </c>
      <c r="L58" s="44">
        <f>60*G58/cruise_kt</f>
        <v/>
      </c>
      <c r="M58" s="44">
        <f>L58+turn_min+dwell_min</f>
        <v/>
      </c>
      <c r="N58" s="45">
        <f>MIN(10,FLOOR(60*service_hr/M58,1))</f>
        <v/>
      </c>
      <c r="O58" s="45">
        <f>ROUND(365*mech_uptime*K58,0)</f>
        <v/>
      </c>
      <c r="P58" s="46">
        <f>mech_uptime</f>
        <v/>
      </c>
      <c r="Q58" s="46">
        <f>revleg_sel</f>
        <v/>
      </c>
      <c r="R58" s="45">
        <f>ROUND(N58*O58*revleg_sel,0)</f>
        <v/>
      </c>
      <c r="S58" s="47">
        <f>load_sel</f>
        <v/>
      </c>
      <c r="T58" s="47">
        <f>pax_cap*S58</f>
        <v/>
      </c>
      <c r="U58" s="45">
        <f>T58*R58</f>
        <v/>
      </c>
      <c r="V58" s="48">
        <f>H58*discount</f>
        <v/>
      </c>
      <c r="W58" s="49">
        <f>V58*U58</f>
        <v/>
      </c>
      <c r="X58" s="49">
        <f>(battery/range_nm)*G58*R58*VLOOKUP(B58,country_opex,3,FALSE)</f>
        <v/>
      </c>
      <c r="Y58" s="49">
        <f>VLOOKUP(B58,country_opex,2,FALSE)*crew_factor</f>
        <v/>
      </c>
      <c r="Z58" s="49">
        <f>VLOOKUP(B58,country_opex,5,FALSE)</f>
        <v/>
      </c>
      <c r="AA58" s="49">
        <f>maint</f>
        <v/>
      </c>
      <c r="AB58" s="49">
        <f>VLOOKUP(B58,country_opex,7,FALSE)*ins_pct</f>
        <v/>
      </c>
      <c r="AC58" s="49">
        <f>charge_berth</f>
        <v/>
      </c>
      <c r="AD58" s="49">
        <f>X58+Y58+Z58+AA58+AB58+AC58</f>
        <v/>
      </c>
      <c r="AE58" s="49">
        <f>VLOOKUP(B58,country_opex,7,FALSE)/dep_years</f>
        <v/>
      </c>
      <c r="AF58" s="49">
        <f>W58-AD58</f>
        <v/>
      </c>
      <c r="AG58" s="46">
        <f>IF(W58=0,"",AF58/W58)</f>
        <v/>
      </c>
      <c r="AH58" s="47">
        <f>IF(AF58&lt;=0,"",VLOOKUP(B58,country_opex,7,FALSE)/AF58)</f>
        <v/>
      </c>
      <c r="AI58" s="44">
        <f>((G58*R58/diesel_nmpg)*diesel_co2pg-(battery/range_nm)*G58*R58*VLOOKUP(B58,country_opex,4,FALSE))/1000</f>
        <v/>
      </c>
      <c r="AJ58" s="42" t="n">
        <v>6935</v>
      </c>
      <c r="AK58" s="43" t="n"/>
      <c r="AL58" s="43" t="n"/>
      <c r="AM58" s="50" t="n">
        <v>0.1</v>
      </c>
      <c r="AN58" s="45">
        <f>IF(AJ58="","",AJ58*AM58)</f>
        <v/>
      </c>
      <c r="AO58" s="45">
        <f>IF(OR(AJ58="",U58=0),"",MIN(IF(AV58="",9.9E+99,AV58),FLOOR(AN58/U58,1)))</f>
        <v/>
      </c>
      <c r="AP58" s="49">
        <f>IF(AO58="","",AO58*W58)</f>
        <v/>
      </c>
      <c r="AQ58" s="47">
        <f>IF(OR(AJ58="",U58=0),"",MIN(IF(AV58="",9.9E+99,AV58),AN58/U58))</f>
        <v/>
      </c>
      <c r="AR58" s="49">
        <f>IF(AQ58="","",AQ58*W58)</f>
        <v/>
      </c>
      <c r="AS58" s="51" t="n"/>
      <c r="AT58" s="52" t="n"/>
      <c r="AU58" s="52" t="n"/>
      <c r="AV58" s="53" t="n"/>
      <c r="AW58" s="54">
        <f>IF(((V58*pax_cap*load_thin*ROUND(N58*O58*revleg_thin,0))-(((battery/range_nm)*G58*ROUND(N58*O58*revleg_thin,0)*VLOOKUP(B58,country_opex,3,FALSE))+Y58+Z58+AA58+AB58+AC58))&lt;=0,"",VLOOKUP(B58,country_opex,7,FALSE)/((V58*pax_cap*load_thin*ROUND(N58*O58*revleg_thin,0))-(((battery/range_nm)*G58*ROUND(N58*O58*revleg_thin,0)*VLOOKUP(B58,country_opex,3,FALSE))+Y58+Z58+AA58+AB58+AC58)))</f>
        <v/>
      </c>
      <c r="AX58" s="54">
        <f>IF(((V58*pax_cap*load_mid*ROUND(N58*O58*revleg_mid,0))-(((battery/range_nm)*G58*ROUND(N58*O58*revleg_mid,0)*VLOOKUP(B58,country_opex,3,FALSE))+Y58+Z58+AA58+AB58+AC58))&lt;=0,"",VLOOKUP(B58,country_opex,7,FALSE)/((V58*pax_cap*load_mid*ROUND(N58*O58*revleg_mid,0))-(((battery/range_nm)*G58*ROUND(N58*O58*revleg_mid,0)*VLOOKUP(B58,country_opex,3,FALSE))+Y58+Z58+AA58+AB58+AC58)))</f>
        <v/>
      </c>
      <c r="AY58" s="54">
        <f>IF(((V58*pax_cap*load_full*ROUND(N58*O58*revleg_full,0))-(((battery/range_nm)*G58*ROUND(N58*O58*revleg_full,0)*VLOOKUP(B58,country_opex,3,FALSE))+Y58+Z58+AA58+AB58+AC58))&lt;=0,"",VLOOKUP(B58,country_opex,7,FALSE)/((V58*pax_cap*load_full*ROUND(N58*O58*revleg_full,0))-(((battery/range_nm)*G58*ROUND(N58*O58*revleg_full,0)*VLOOKUP(B58,country_opex,3,FALSE))+Y58+Z58+AA58+AB58+AC58)))</f>
        <v/>
      </c>
      <c r="AZ58" s="40" t="inlineStr">
        <is>
          <t>PREMIUM tier proxy = Dubai RTA convention $40.8/seat (premium resort-transfer tier). No scheduled Egypt-native marine fare on this leg.</t>
        </is>
      </c>
      <c r="BA58" s="40" t="n"/>
    </row>
    <row r="59">
      <c r="A59" s="38" t="inlineStr">
        <is>
          <t>Bolt Egypt</t>
        </is>
      </c>
      <c r="B59" s="38" t="inlineStr">
        <is>
          <t>Egypt</t>
        </is>
      </c>
      <c r="C59" s="39" t="inlineStr">
        <is>
          <t>Sharm El Sheikh → Dahab</t>
        </is>
      </c>
      <c r="D59" s="38" t="inlineStr">
        <is>
          <t>bolt</t>
        </is>
      </c>
      <c r="E59" s="40" t="inlineStr">
        <is>
          <t>bolt-egypt, yango-egypt</t>
        </is>
      </c>
      <c r="F59" s="41" t="n">
        <v>2</v>
      </c>
      <c r="G59" s="42" t="n">
        <v>28</v>
      </c>
      <c r="H59" s="35" t="n">
        <v>15</v>
      </c>
      <c r="I59" s="43" t="inlineStr">
        <is>
          <t>T2</t>
        </is>
      </c>
      <c r="J59" s="43" t="inlineStr">
        <is>
          <t>med</t>
        </is>
      </c>
      <c r="K59" s="29" t="n">
        <v>1</v>
      </c>
      <c r="L59" s="44">
        <f>60*G59/cruise_kt</f>
        <v/>
      </c>
      <c r="M59" s="44">
        <f>L59+turn_min+dwell_min</f>
        <v/>
      </c>
      <c r="N59" s="45">
        <f>MIN(16,FLOOR(60*service_hr/M59,1))</f>
        <v/>
      </c>
      <c r="O59" s="45">
        <f>ROUND(365*mech_uptime*K59,0)</f>
        <v/>
      </c>
      <c r="P59" s="46">
        <f>mech_uptime</f>
        <v/>
      </c>
      <c r="Q59" s="46">
        <f>revleg_sel</f>
        <v/>
      </c>
      <c r="R59" s="45">
        <f>ROUND(N59*O59*revleg_sel,0)</f>
        <v/>
      </c>
      <c r="S59" s="47">
        <f>load_sel</f>
        <v/>
      </c>
      <c r="T59" s="47">
        <f>pax_cap*S59</f>
        <v/>
      </c>
      <c r="U59" s="45">
        <f>T59*R59</f>
        <v/>
      </c>
      <c r="V59" s="48">
        <f>H59*discount</f>
        <v/>
      </c>
      <c r="W59" s="49">
        <f>V59*U59</f>
        <v/>
      </c>
      <c r="X59" s="49">
        <f>(battery/range_nm)*G59*R59*VLOOKUP(B59,country_opex,3,FALSE)</f>
        <v/>
      </c>
      <c r="Y59" s="49">
        <f>VLOOKUP(B59,country_opex,2,FALSE)*crew_factor</f>
        <v/>
      </c>
      <c r="Z59" s="49">
        <f>VLOOKUP(B59,country_opex,5,FALSE)</f>
        <v/>
      </c>
      <c r="AA59" s="49">
        <f>maint</f>
        <v/>
      </c>
      <c r="AB59" s="49">
        <f>VLOOKUP(B59,country_opex,7,FALSE)*ins_pct</f>
        <v/>
      </c>
      <c r="AC59" s="49">
        <f>charge_berth</f>
        <v/>
      </c>
      <c r="AD59" s="49">
        <f>X59+Y59+Z59+AA59+AB59+AC59</f>
        <v/>
      </c>
      <c r="AE59" s="49">
        <f>VLOOKUP(B59,country_opex,7,FALSE)/dep_years</f>
        <v/>
      </c>
      <c r="AF59" s="49">
        <f>W59-AD59</f>
        <v/>
      </c>
      <c r="AG59" s="46">
        <f>IF(W59=0,"",AF59/W59)</f>
        <v/>
      </c>
      <c r="AH59" s="47">
        <f>IF(AF59&lt;=0,"",VLOOKUP(B59,country_opex,7,FALSE)/AF59)</f>
        <v/>
      </c>
      <c r="AI59" s="44">
        <f>((G59*R59/diesel_nmpg)*diesel_co2pg-(battery/range_nm)*G59*R59*VLOOKUP(B59,country_opex,4,FALSE))/1000</f>
        <v/>
      </c>
      <c r="AJ59" s="42" t="n"/>
      <c r="AK59" s="43" t="n"/>
      <c r="AL59" s="43" t="n"/>
      <c r="AM59" s="50" t="n">
        <v>0.1</v>
      </c>
      <c r="AN59" s="45">
        <f>IF(AJ59="","",AJ59*AM59)</f>
        <v/>
      </c>
      <c r="AO59" s="45">
        <f>IF(OR(AJ59="",U59=0),"",MIN(IF(AV59="",9.9E+99,AV59),FLOOR(AN59/U59,1)))</f>
        <v/>
      </c>
      <c r="AP59" s="49">
        <f>IF(AO59="","",AO59*W59)</f>
        <v/>
      </c>
      <c r="AQ59" s="47">
        <f>IF(OR(AJ59="",U59=0),"",MIN(IF(AV59="",9.9E+99,AV59),AN59/U59))</f>
        <v/>
      </c>
      <c r="AR59" s="49">
        <f>IF(AQ59="","",AQ59*W59)</f>
        <v/>
      </c>
      <c r="AS59" s="51" t="n"/>
      <c r="AT59" s="52" t="n"/>
      <c r="AU59" s="52" t="n"/>
      <c r="AV59" s="53" t="n"/>
      <c r="AW59" s="54">
        <f>IF(((V59*pax_cap*load_thin*ROUND(N59*O59*revleg_thin,0))-(((battery/range_nm)*G59*ROUND(N59*O59*revleg_thin,0)*VLOOKUP(B59,country_opex,3,FALSE))+Y59+Z59+AA59+AB59+AC59))&lt;=0,"",VLOOKUP(B59,country_opex,7,FALSE)/((V59*pax_cap*load_thin*ROUND(N59*O59*revleg_thin,0))-(((battery/range_nm)*G59*ROUND(N59*O59*revleg_thin,0)*VLOOKUP(B59,country_opex,3,FALSE))+Y59+Z59+AA59+AB59+AC59)))</f>
        <v/>
      </c>
      <c r="AX59" s="54">
        <f>IF(((V59*pax_cap*load_mid*ROUND(N59*O59*revleg_mid,0))-(((battery/range_nm)*G59*ROUND(N59*O59*revleg_mid,0)*VLOOKUP(B59,country_opex,3,FALSE))+Y59+Z59+AA59+AB59+AC59))&lt;=0,"",VLOOKUP(B59,country_opex,7,FALSE)/((V59*pax_cap*load_mid*ROUND(N59*O59*revleg_mid,0))-(((battery/range_nm)*G59*ROUND(N59*O59*revleg_mid,0)*VLOOKUP(B59,country_opex,3,FALSE))+Y59+Z59+AA59+AB59+AC59)))</f>
        <v/>
      </c>
      <c r="AY59" s="54">
        <f>IF(((V59*pax_cap*load_full*ROUND(N59*O59*revleg_full,0))-(((battery/range_nm)*G59*ROUND(N59*O59*revleg_full,0)*VLOOKUP(B59,country_opex,3,FALSE))+Y59+Z59+AA59+AB59+AC59))&lt;=0,"",VLOOKUP(B59,country_opex,7,FALSE)/((V59*pax_cap*load_full*ROUND(N59*O59*revleg_full,0))-(((battery/range_nm)*G59*ROUND(N59*O59*revleg_full,0)*VLOOKUP(B59,country_opex,3,FALSE))+Y59+Z59+AA59+AB59+AC59)))</f>
        <v/>
      </c>
      <c r="AZ59" s="40" t="inlineStr">
        <is>
          <t>PREMIUM tier (road analogue) = private transfer Sharm&lt;-&gt;Dahab ~1400-1500 EGP/car (~$29-31) divided ~4 pax (~$7.5/seat) up to premium per-seat ~$15; no scheduled marine fare exists.</t>
        </is>
      </c>
      <c r="BA59" s="40" t="n"/>
    </row>
    <row r="60">
      <c r="A60" s="38" t="inlineStr">
        <is>
          <t>Bolt Egypt</t>
        </is>
      </c>
      <c r="B60" s="38" t="inlineStr">
        <is>
          <t>Egypt</t>
        </is>
      </c>
      <c r="C60" s="39" t="inlineStr">
        <is>
          <t>Hurghada / El Gouna → Sharm El Sheikh</t>
        </is>
      </c>
      <c r="D60" s="38" t="inlineStr">
        <is>
          <t>bolt</t>
        </is>
      </c>
      <c r="E60" s="40" t="inlineStr">
        <is>
          <t>bolt-egypt, yango-egypt</t>
        </is>
      </c>
      <c r="F60" s="41" t="n">
        <v>2</v>
      </c>
      <c r="G60" s="42" t="n">
        <v>49.8</v>
      </c>
      <c r="H60" s="35" t="n">
        <v>110</v>
      </c>
      <c r="I60" s="43" t="inlineStr">
        <is>
          <t>T2</t>
        </is>
      </c>
      <c r="J60" s="43" t="inlineStr">
        <is>
          <t>med</t>
        </is>
      </c>
      <c r="K60" s="29" t="n">
        <v>1</v>
      </c>
      <c r="L60" s="44">
        <f>60*G60/cruise_kt</f>
        <v/>
      </c>
      <c r="M60" s="44">
        <f>L60+turn_min+dwell_min</f>
        <v/>
      </c>
      <c r="N60" s="45">
        <f>MIN(10,FLOOR(60*service_hr/M60,1))</f>
        <v/>
      </c>
      <c r="O60" s="45">
        <f>ROUND(365*mech_uptime*K60,0)</f>
        <v/>
      </c>
      <c r="P60" s="46">
        <f>mech_uptime</f>
        <v/>
      </c>
      <c r="Q60" s="46">
        <f>revleg_sel</f>
        <v/>
      </c>
      <c r="R60" s="45">
        <f>ROUND(N60*O60*revleg_sel,0)</f>
        <v/>
      </c>
      <c r="S60" s="47">
        <f>load_sel</f>
        <v/>
      </c>
      <c r="T60" s="47">
        <f>pax_cap*S60</f>
        <v/>
      </c>
      <c r="U60" s="45">
        <f>T60*R60</f>
        <v/>
      </c>
      <c r="V60" s="48">
        <f>H60*discount</f>
        <v/>
      </c>
      <c r="W60" s="49">
        <f>V60*U60</f>
        <v/>
      </c>
      <c r="X60" s="49">
        <f>(battery/range_nm)*G60*R60*VLOOKUP(B60,country_opex,3,FALSE)</f>
        <v/>
      </c>
      <c r="Y60" s="49">
        <f>VLOOKUP(B60,country_opex,2,FALSE)*crew_factor</f>
        <v/>
      </c>
      <c r="Z60" s="49">
        <f>VLOOKUP(B60,country_opex,5,FALSE)</f>
        <v/>
      </c>
      <c r="AA60" s="49">
        <f>maint</f>
        <v/>
      </c>
      <c r="AB60" s="49">
        <f>VLOOKUP(B60,country_opex,7,FALSE)*ins_pct</f>
        <v/>
      </c>
      <c r="AC60" s="49">
        <f>charge_berth</f>
        <v/>
      </c>
      <c r="AD60" s="49">
        <f>X60+Y60+Z60+AA60+AB60+AC60</f>
        <v/>
      </c>
      <c r="AE60" s="49">
        <f>VLOOKUP(B60,country_opex,7,FALSE)/dep_years</f>
        <v/>
      </c>
      <c r="AF60" s="49">
        <f>W60-AD60</f>
        <v/>
      </c>
      <c r="AG60" s="46">
        <f>IF(W60=0,"",AF60/W60)</f>
        <v/>
      </c>
      <c r="AH60" s="47">
        <f>IF(AF60&lt;=0,"",VLOOKUP(B60,country_opex,7,FALSE)/AF60)</f>
        <v/>
      </c>
      <c r="AI60" s="44">
        <f>((G60*R60/diesel_nmpg)*diesel_co2pg-(battery/range_nm)*G60*R60*VLOOKUP(B60,country_opex,4,FALSE))/1000</f>
        <v/>
      </c>
      <c r="AJ60" s="42" t="n"/>
      <c r="AK60" s="43" t="inlineStr">
        <is>
          <t>T5</t>
        </is>
      </c>
      <c r="AL60" s="43" t="inlineStr">
        <is>
          <t>low</t>
        </is>
      </c>
      <c r="AM60" s="50" t="n">
        <v>0.1</v>
      </c>
      <c r="AN60" s="45">
        <f>IF(AJ60="","",AJ60*AM60)</f>
        <v/>
      </c>
      <c r="AO60" s="45">
        <f>IF(OR(AJ60="",U60=0),"",MIN(IF(AV60="",9.9E+99,AV60),FLOOR(AN60/U60,1)))</f>
        <v/>
      </c>
      <c r="AP60" s="49">
        <f>IF(AO60="","",AO60*W60)</f>
        <v/>
      </c>
      <c r="AQ60" s="47">
        <f>IF(OR(AJ60="",U60=0),"",MIN(IF(AV60="",9.9E+99,AV60),AN60/U60))</f>
        <v/>
      </c>
      <c r="AR60" s="49">
        <f>IF(AQ60="","",AQ60*W60)</f>
        <v/>
      </c>
      <c r="AS60" s="51" t="n"/>
      <c r="AT60" s="52" t="n"/>
      <c r="AU60" s="52" t="inlineStr">
        <is>
          <t>modal_shift_greenfield</t>
        </is>
      </c>
      <c r="AV60" s="53" t="n"/>
      <c r="AW60" s="54">
        <f>IF(((V60*pax_cap*load_thin*ROUND(N60*O60*revleg_thin,0))-(((battery/range_nm)*G60*ROUND(N60*O60*revleg_thin,0)*VLOOKUP(B60,country_opex,3,FALSE))+Y60+Z60+AA60+AB60+AC60))&lt;=0,"",VLOOKUP(B60,country_opex,7,FALSE)/((V60*pax_cap*load_thin*ROUND(N60*O60*revleg_thin,0))-(((battery/range_nm)*G60*ROUND(N60*O60*revleg_thin,0)*VLOOKUP(B60,country_opex,3,FALSE))+Y60+Z60+AA60+AB60+AC60)))</f>
        <v/>
      </c>
      <c r="AX60" s="54">
        <f>IF(((V60*pax_cap*load_mid*ROUND(N60*O60*revleg_mid,0))-(((battery/range_nm)*G60*ROUND(N60*O60*revleg_mid,0)*VLOOKUP(B60,country_opex,3,FALSE))+Y60+Z60+AA60+AB60+AC60))&lt;=0,"",VLOOKUP(B60,country_opex,7,FALSE)/((V60*pax_cap*load_mid*ROUND(N60*O60*revleg_mid,0))-(((battery/range_nm)*G60*ROUND(N60*O60*revleg_mid,0)*VLOOKUP(B60,country_opex,3,FALSE))+Y60+Z60+AA60+AB60+AC60)))</f>
        <v/>
      </c>
      <c r="AY60" s="54">
        <f>IF(((V60*pax_cap*load_full*ROUND(N60*O60*revleg_full,0))-(((battery/range_nm)*G60*ROUND(N60*O60*revleg_full,0)*VLOOKUP(B60,country_opex,3,FALSE))+Y60+Z60+AA60+AB60+AC60))&lt;=0,"",VLOOKUP(B60,country_opex,7,FALSE)/((V60*pax_cap*load_full*ROUND(N60*O60*revleg_full,0))-(((battery/range_nm)*G60*ROUND(N60*O60*revleg_full,0)*VLOOKUP(B60,country_opex,3,FALSE))+Y60+Z60+AA60+AB60+AC60)))</f>
        <v/>
      </c>
      <c r="AZ60" s="40" t="inlineStr">
        <is>
          <t>Kept from prior registry = $110/seat (historic fast-ferry premium fare level / cross-gulf premium tier). FLAG: legacy/aspirational - no active service.</t>
        </is>
      </c>
      <c r="BA60" s="40" t="inlineStr">
        <is>
          <t>tourism</t>
        </is>
      </c>
    </row>
    <row r="61">
      <c r="A61" s="38" t="inlineStr">
        <is>
          <t>Bolt Estonia</t>
        </is>
      </c>
      <c r="B61" s="38" t="inlineStr">
        <is>
          <t>Estonia</t>
        </is>
      </c>
      <c r="C61" s="39" t="inlineStr">
        <is>
          <t>Tallinn Old City Harbour → Pirita Marina</t>
        </is>
      </c>
      <c r="D61" s="38" t="inlineStr">
        <is>
          <t>bolt</t>
        </is>
      </c>
      <c r="E61" s="40" t="inlineStr">
        <is>
          <t>bolt-estonia</t>
        </is>
      </c>
      <c r="F61" s="41" t="n">
        <v>1</v>
      </c>
      <c r="G61" s="42" t="n">
        <v>4.5</v>
      </c>
      <c r="H61" s="35" t="n"/>
      <c r="I61" s="43" t="inlineStr">
        <is>
          <t>T5</t>
        </is>
      </c>
      <c r="J61" s="43" t="inlineStr">
        <is>
          <t>low</t>
        </is>
      </c>
      <c r="K61" s="29" t="n">
        <v>1</v>
      </c>
      <c r="L61" s="44">
        <f>60*G61/cruise_kt</f>
        <v/>
      </c>
      <c r="M61" s="44">
        <f>L61+turn_min+dwell_min</f>
        <v/>
      </c>
      <c r="N61" s="45">
        <f>MIN(16,FLOOR(60*service_hr/M61,1))</f>
        <v/>
      </c>
      <c r="O61" s="45">
        <f>ROUND(365*mech_uptime*K61,0)</f>
        <v/>
      </c>
      <c r="P61" s="46">
        <f>mech_uptime</f>
        <v/>
      </c>
      <c r="Q61" s="46">
        <f>revleg_sel</f>
        <v/>
      </c>
      <c r="R61" s="45">
        <f>ROUND(N61*O61*revleg_sel,0)</f>
        <v/>
      </c>
      <c r="S61" s="47">
        <f>load_sel</f>
        <v/>
      </c>
      <c r="T61" s="47">
        <f>pax_cap*S61</f>
        <v/>
      </c>
      <c r="U61" s="45">
        <f>T61*R61</f>
        <v/>
      </c>
      <c r="V61" s="48">
        <f>H61*discount</f>
        <v/>
      </c>
      <c r="W61" s="49">
        <f>V61*U61</f>
        <v/>
      </c>
      <c r="X61" s="49">
        <f>(battery/range_nm)*G61*R61*VLOOKUP(B61,country_opex,3,FALSE)</f>
        <v/>
      </c>
      <c r="Y61" s="49">
        <f>VLOOKUP(B61,country_opex,2,FALSE)*crew_factor</f>
        <v/>
      </c>
      <c r="Z61" s="49">
        <f>VLOOKUP(B61,country_opex,5,FALSE)</f>
        <v/>
      </c>
      <c r="AA61" s="49">
        <f>maint</f>
        <v/>
      </c>
      <c r="AB61" s="49">
        <f>VLOOKUP(B61,country_opex,7,FALSE)*ins_pct</f>
        <v/>
      </c>
      <c r="AC61" s="49">
        <f>charge_berth</f>
        <v/>
      </c>
      <c r="AD61" s="49">
        <f>X61+Y61+Z61+AA61+AB61+AC61</f>
        <v/>
      </c>
      <c r="AE61" s="49">
        <f>VLOOKUP(B61,country_opex,7,FALSE)/dep_years</f>
        <v/>
      </c>
      <c r="AF61" s="49">
        <f>W61-AD61</f>
        <v/>
      </c>
      <c r="AG61" s="46">
        <f>IF(W61=0,"",AF61/W61)</f>
        <v/>
      </c>
      <c r="AH61" s="47">
        <f>IF(AF61&lt;=0,"",VLOOKUP(B61,country_opex,7,FALSE)/AF61)</f>
        <v/>
      </c>
      <c r="AI61" s="44">
        <f>((G61*R61/diesel_nmpg)*diesel_co2pg-(battery/range_nm)*G61*R61*VLOOKUP(B61,country_opex,4,FALSE))/1000</f>
        <v/>
      </c>
      <c r="AJ61" s="42" t="n"/>
      <c r="AK61" s="43" t="inlineStr">
        <is>
          <t>T5</t>
        </is>
      </c>
      <c r="AL61" s="43" t="inlineStr">
        <is>
          <t>low</t>
        </is>
      </c>
      <c r="AM61" s="50" t="n">
        <v>0.1</v>
      </c>
      <c r="AN61" s="45">
        <f>IF(AJ61="","",AJ61*AM61)</f>
        <v/>
      </c>
      <c r="AO61" s="45">
        <f>IF(OR(AJ61="",U61=0),"",MIN(IF(AV61="",9.9E+99,AV61),FLOOR(AN61/U61,1)))</f>
        <v/>
      </c>
      <c r="AP61" s="49">
        <f>IF(AO61="","",AO61*W61)</f>
        <v/>
      </c>
      <c r="AQ61" s="47">
        <f>IF(OR(AJ61="",U61=0),"",MIN(IF(AV61="",9.9E+99,AV61),AN61/U61))</f>
        <v/>
      </c>
      <c r="AR61" s="49">
        <f>IF(AQ61="","",AQ61*W61)</f>
        <v/>
      </c>
      <c r="AS61" s="51" t="n"/>
      <c r="AT61" s="52" t="n"/>
      <c r="AU61" s="52" t="n"/>
      <c r="AV61" s="53" t="n"/>
      <c r="AW61" s="54">
        <f>IF(((V61*pax_cap*load_thin*ROUND(N61*O61*revleg_thin,0))-(((battery/range_nm)*G61*ROUND(N61*O61*revleg_thin,0)*VLOOKUP(B61,country_opex,3,FALSE))+Y61+Z61+AA61+AB61+AC61))&lt;=0,"",VLOOKUP(B61,country_opex,7,FALSE)/((V61*pax_cap*load_thin*ROUND(N61*O61*revleg_thin,0))-(((battery/range_nm)*G61*ROUND(N61*O61*revleg_thin,0)*VLOOKUP(B61,country_opex,3,FALSE))+Y61+Z61+AA61+AB61+AC61)))</f>
        <v/>
      </c>
      <c r="AX61" s="54">
        <f>IF(((V61*pax_cap*load_mid*ROUND(N61*O61*revleg_mid,0))-(((battery/range_nm)*G61*ROUND(N61*O61*revleg_mid,0)*VLOOKUP(B61,country_opex,3,FALSE))+Y61+Z61+AA61+AB61+AC61))&lt;=0,"",VLOOKUP(B61,country_opex,7,FALSE)/((V61*pax_cap*load_mid*ROUND(N61*O61*revleg_mid,0))-(((battery/range_nm)*G61*ROUND(N61*O61*revleg_mid,0)*VLOOKUP(B61,country_opex,3,FALSE))+Y61+Z61+AA61+AB61+AC61)))</f>
        <v/>
      </c>
      <c r="AY61" s="54">
        <f>IF(((V61*pax_cap*load_full*ROUND(N61*O61*revleg_full,0))-(((battery/range_nm)*G61*ROUND(N61*O61*revleg_full,0)*VLOOKUP(B61,country_opex,3,FALSE))+Y61+Z61+AA61+AB61+AC61))&lt;=0,"",VLOOKUP(B61,country_opex,7,FALSE)/((V61*pax_cap*load_full*ROUND(N61*O61*revleg_full,0))-(((battery/range_nm)*G61*ROUND(N61*O61*revleg_full,0)*VLOOKUP(B61,country_opex,3,FALSE))+Y61+Z61+AA61+AB61+AC61)))</f>
        <v/>
      </c>
      <c r="AZ61" s="40" t="inlineStr">
        <is>
          <t>TBD — Tier-B headline placeholder</t>
        </is>
      </c>
      <c r="BA61" s="40" t="inlineStr">
        <is>
          <t>TBD — Tier-B headline placeholder</t>
        </is>
      </c>
    </row>
    <row r="62">
      <c r="A62" s="38" t="inlineStr">
        <is>
          <t>Bolt Estonia</t>
        </is>
      </c>
      <c r="B62" s="38" t="inlineStr">
        <is>
          <t>Estonia</t>
        </is>
      </c>
      <c r="C62" s="39" t="inlineStr">
        <is>
          <t>Tallinn → Prangli</t>
        </is>
      </c>
      <c r="D62" s="38" t="inlineStr">
        <is>
          <t>bolt</t>
        </is>
      </c>
      <c r="E62" s="40" t="inlineStr">
        <is>
          <t>bolt-estonia</t>
        </is>
      </c>
      <c r="F62" s="41" t="n">
        <v>1</v>
      </c>
      <c r="G62" s="42" t="n">
        <v>5</v>
      </c>
      <c r="H62" s="35" t="n">
        <v>6.5</v>
      </c>
      <c r="I62" s="43" t="inlineStr">
        <is>
          <t>T2</t>
        </is>
      </c>
      <c r="J62" s="43" t="inlineStr">
        <is>
          <t>med</t>
        </is>
      </c>
      <c r="K62" s="29" t="n">
        <v>1</v>
      </c>
      <c r="L62" s="44">
        <f>60*G62/cruise_kt</f>
        <v/>
      </c>
      <c r="M62" s="44">
        <f>L62+turn_min+dwell_min</f>
        <v/>
      </c>
      <c r="N62" s="45">
        <f>MIN(10,FLOOR(60*service_hr/M62,1))</f>
        <v/>
      </c>
      <c r="O62" s="45">
        <f>ROUND(365*mech_uptime*K62,0)</f>
        <v/>
      </c>
      <c r="P62" s="46">
        <f>mech_uptime</f>
        <v/>
      </c>
      <c r="Q62" s="46">
        <f>revleg_sel</f>
        <v/>
      </c>
      <c r="R62" s="45">
        <f>ROUND(N62*O62*revleg_sel,0)</f>
        <v/>
      </c>
      <c r="S62" s="47">
        <f>load_sel</f>
        <v/>
      </c>
      <c r="T62" s="47">
        <f>pax_cap*S62</f>
        <v/>
      </c>
      <c r="U62" s="45">
        <f>T62*R62</f>
        <v/>
      </c>
      <c r="V62" s="48">
        <f>H62*discount</f>
        <v/>
      </c>
      <c r="W62" s="49">
        <f>V62*U62</f>
        <v/>
      </c>
      <c r="X62" s="49">
        <f>(battery/range_nm)*G62*R62*VLOOKUP(B62,country_opex,3,FALSE)</f>
        <v/>
      </c>
      <c r="Y62" s="49">
        <f>VLOOKUP(B62,country_opex,2,FALSE)*crew_factor</f>
        <v/>
      </c>
      <c r="Z62" s="49">
        <f>VLOOKUP(B62,country_opex,5,FALSE)</f>
        <v/>
      </c>
      <c r="AA62" s="49">
        <f>maint</f>
        <v/>
      </c>
      <c r="AB62" s="49">
        <f>VLOOKUP(B62,country_opex,7,FALSE)*ins_pct</f>
        <v/>
      </c>
      <c r="AC62" s="49">
        <f>charge_berth</f>
        <v/>
      </c>
      <c r="AD62" s="49">
        <f>X62+Y62+Z62+AA62+AB62+AC62</f>
        <v/>
      </c>
      <c r="AE62" s="49">
        <f>VLOOKUP(B62,country_opex,7,FALSE)/dep_years</f>
        <v/>
      </c>
      <c r="AF62" s="49">
        <f>W62-AD62</f>
        <v/>
      </c>
      <c r="AG62" s="46">
        <f>IF(W62=0,"",AF62/W62)</f>
        <v/>
      </c>
      <c r="AH62" s="47">
        <f>IF(AF62&lt;=0,"",VLOOKUP(B62,country_opex,7,FALSE)/AF62)</f>
        <v/>
      </c>
      <c r="AI62" s="44">
        <f>((G62*R62/diesel_nmpg)*diesel_co2pg-(battery/range_nm)*G62*R62*VLOOKUP(B62,country_opex,4,FALSE))/1000</f>
        <v/>
      </c>
      <c r="AJ62" s="42" t="n">
        <v>4500</v>
      </c>
      <c r="AK62" s="43" t="n"/>
      <c r="AL62" s="43" t="inlineStr">
        <is>
          <t>med</t>
        </is>
      </c>
      <c r="AM62" s="50" t="n">
        <v>0.25</v>
      </c>
      <c r="AN62" s="45">
        <f>IF(AJ62="","",AJ62*AM62)</f>
        <v/>
      </c>
      <c r="AO62" s="45">
        <f>IF(OR(AJ62="",U62=0),"",MIN(IF(AV62="",9.9E+99,AV62),FLOOR(AN62/U62,1)))</f>
        <v/>
      </c>
      <c r="AP62" s="49">
        <f>IF(AO62="","",AO62*W62)</f>
        <v/>
      </c>
      <c r="AQ62" s="47">
        <f>IF(OR(AJ62="",U62=0),"",MIN(IF(AV62="",9.9E+99,AV62),AN62/U62))</f>
        <v/>
      </c>
      <c r="AR62" s="49">
        <f>IF(AQ62="","",AQ62*W62)</f>
        <v/>
      </c>
      <c r="AS62" s="51" t="n"/>
      <c r="AT62" s="52" t="n"/>
      <c r="AU62" s="52" t="n"/>
      <c r="AV62" s="53" t="n"/>
      <c r="AW62" s="54">
        <f>IF(((V62*pax_cap*load_thin*ROUND(N62*O62*revleg_thin,0))-(((battery/range_nm)*G62*ROUND(N62*O62*revleg_thin,0)*VLOOKUP(B62,country_opex,3,FALSE))+Y62+Z62+AA62+AB62+AC62))&lt;=0,"",VLOOKUP(B62,country_opex,7,FALSE)/((V62*pax_cap*load_thin*ROUND(N62*O62*revleg_thin,0))-(((battery/range_nm)*G62*ROUND(N62*O62*revleg_thin,0)*VLOOKUP(B62,country_opex,3,FALSE))+Y62+Z62+AA62+AB62+AC62)))</f>
        <v/>
      </c>
      <c r="AX62" s="54">
        <f>IF(((V62*pax_cap*load_mid*ROUND(N62*O62*revleg_mid,0))-(((battery/range_nm)*G62*ROUND(N62*O62*revleg_mid,0)*VLOOKUP(B62,country_opex,3,FALSE))+Y62+Z62+AA62+AB62+AC62))&lt;=0,"",VLOOKUP(B62,country_opex,7,FALSE)/((V62*pax_cap*load_mid*ROUND(N62*O62*revleg_mid,0))-(((battery/range_nm)*G62*ROUND(N62*O62*revleg_mid,0)*VLOOKUP(B62,country_opex,3,FALSE))+Y62+Z62+AA62+AB62+AC62)))</f>
        <v/>
      </c>
      <c r="AY62" s="54">
        <f>IF(((V62*pax_cap*load_full*ROUND(N62*O62*revleg_full,0))-(((battery/range_nm)*G62*ROUND(N62*O62*revleg_full,0)*VLOOKUP(B62,country_opex,3,FALSE))+Y62+Z62+AA62+AB62+AC62))&lt;=0,"",VLOOKUP(B62,country_opex,7,FALSE)/((V62*pax_cap*load_full*ROUND(N62*O62*revleg_full,0))-(((battery/range_nm)*G62*ROUND(N62*O62*revleg_full,0)*VLOOKUP(B62,country_opex,3,FALSE))+Y62+Z62+AA62+AB62+AC62)))</f>
        <v/>
      </c>
      <c r="AZ62" s="40" t="inlineStr">
        <is>
          <t>Wrango ferry Leppneeme&lt;-&gt;Kelnase adult EUR 6 one-way (Viimsi municipality). EUR 6 x 1.08 = $6.5.</t>
        </is>
      </c>
      <c r="BA62" s="40" t="n"/>
    </row>
    <row r="63">
      <c r="A63" s="38" t="inlineStr">
        <is>
          <t>Bolt Estonia</t>
        </is>
      </c>
      <c r="B63" s="38" t="inlineStr">
        <is>
          <t>Estonia</t>
        </is>
      </c>
      <c r="C63" s="39" t="inlineStr">
        <is>
          <t>Tallinn → Viimsi</t>
        </is>
      </c>
      <c r="D63" s="38" t="inlineStr">
        <is>
          <t>bolt</t>
        </is>
      </c>
      <c r="E63" s="40" t="inlineStr">
        <is>
          <t>bolt-estonia</t>
        </is>
      </c>
      <c r="F63" s="41" t="n">
        <v>1</v>
      </c>
      <c r="G63" s="42" t="n">
        <v>5</v>
      </c>
      <c r="H63" s="35" t="n"/>
      <c r="I63" s="43" t="n"/>
      <c r="J63" s="43" t="n"/>
      <c r="K63" s="29" t="n">
        <v>1</v>
      </c>
      <c r="L63" s="44">
        <f>60*G63/cruise_kt</f>
        <v/>
      </c>
      <c r="M63" s="44">
        <f>L63+turn_min+dwell_min</f>
        <v/>
      </c>
      <c r="N63" s="45">
        <f>MIN(16,FLOOR(60*service_hr/M63,1))</f>
        <v/>
      </c>
      <c r="O63" s="45">
        <f>ROUND(365*mech_uptime*K63,0)</f>
        <v/>
      </c>
      <c r="P63" s="46">
        <f>mech_uptime</f>
        <v/>
      </c>
      <c r="Q63" s="46">
        <f>revleg_sel</f>
        <v/>
      </c>
      <c r="R63" s="45">
        <f>ROUND(N63*O63*revleg_sel,0)</f>
        <v/>
      </c>
      <c r="S63" s="47">
        <f>load_sel</f>
        <v/>
      </c>
      <c r="T63" s="47">
        <f>pax_cap*S63</f>
        <v/>
      </c>
      <c r="U63" s="45">
        <f>T63*R63</f>
        <v/>
      </c>
      <c r="V63" s="48">
        <f>H63*discount</f>
        <v/>
      </c>
      <c r="W63" s="49">
        <f>V63*U63</f>
        <v/>
      </c>
      <c r="X63" s="49">
        <f>(battery/range_nm)*G63*R63*VLOOKUP(B63,country_opex,3,FALSE)</f>
        <v/>
      </c>
      <c r="Y63" s="49">
        <f>VLOOKUP(B63,country_opex,2,FALSE)*crew_factor</f>
        <v/>
      </c>
      <c r="Z63" s="49">
        <f>VLOOKUP(B63,country_opex,5,FALSE)</f>
        <v/>
      </c>
      <c r="AA63" s="49">
        <f>maint</f>
        <v/>
      </c>
      <c r="AB63" s="49">
        <f>VLOOKUP(B63,country_opex,7,FALSE)*ins_pct</f>
        <v/>
      </c>
      <c r="AC63" s="49">
        <f>charge_berth</f>
        <v/>
      </c>
      <c r="AD63" s="49">
        <f>X63+Y63+Z63+AA63+AB63+AC63</f>
        <v/>
      </c>
      <c r="AE63" s="49">
        <f>VLOOKUP(B63,country_opex,7,FALSE)/dep_years</f>
        <v/>
      </c>
      <c r="AF63" s="49">
        <f>W63-AD63</f>
        <v/>
      </c>
      <c r="AG63" s="46">
        <f>IF(W63=0,"",AF63/W63)</f>
        <v/>
      </c>
      <c r="AH63" s="47">
        <f>IF(AF63&lt;=0,"",VLOOKUP(B63,country_opex,7,FALSE)/AF63)</f>
        <v/>
      </c>
      <c r="AI63" s="44">
        <f>((G63*R63/diesel_nmpg)*diesel_co2pg-(battery/range_nm)*G63*R63*VLOOKUP(B63,country_opex,4,FALSE))/1000</f>
        <v/>
      </c>
      <c r="AJ63" s="42" t="n"/>
      <c r="AK63" s="43" t="n"/>
      <c r="AL63" s="43" t="n"/>
      <c r="AM63" s="50" t="n">
        <v>0.1</v>
      </c>
      <c r="AN63" s="45">
        <f>IF(AJ63="","",AJ63*AM63)</f>
        <v/>
      </c>
      <c r="AO63" s="45">
        <f>IF(OR(AJ63="",U63=0),"",MIN(IF(AV63="",9.9E+99,AV63),FLOOR(AN63/U63,1)))</f>
        <v/>
      </c>
      <c r="AP63" s="49">
        <f>IF(AO63="","",AO63*W63)</f>
        <v/>
      </c>
      <c r="AQ63" s="47">
        <f>IF(OR(AJ63="",U63=0),"",MIN(IF(AV63="",9.9E+99,AV63),AN63/U63))</f>
        <v/>
      </c>
      <c r="AR63" s="49">
        <f>IF(AQ63="","",AQ63*W63)</f>
        <v/>
      </c>
      <c r="AS63" s="51" t="n"/>
      <c r="AT63" s="52" t="n"/>
      <c r="AU63" s="52" t="n"/>
      <c r="AV63" s="53" t="n"/>
      <c r="AW63" s="54">
        <f>IF(((V63*pax_cap*load_thin*ROUND(N63*O63*revleg_thin,0))-(((battery/range_nm)*G63*ROUND(N63*O63*revleg_thin,0)*VLOOKUP(B63,country_opex,3,FALSE))+Y63+Z63+AA63+AB63+AC63))&lt;=0,"",VLOOKUP(B63,country_opex,7,FALSE)/((V63*pax_cap*load_thin*ROUND(N63*O63*revleg_thin,0))-(((battery/range_nm)*G63*ROUND(N63*O63*revleg_thin,0)*VLOOKUP(B63,country_opex,3,FALSE))+Y63+Z63+AA63+AB63+AC63)))</f>
        <v/>
      </c>
      <c r="AX63" s="54">
        <f>IF(((V63*pax_cap*load_mid*ROUND(N63*O63*revleg_mid,0))-(((battery/range_nm)*G63*ROUND(N63*O63*revleg_mid,0)*VLOOKUP(B63,country_opex,3,FALSE))+Y63+Z63+AA63+AB63+AC63))&lt;=0,"",VLOOKUP(B63,country_opex,7,FALSE)/((V63*pax_cap*load_mid*ROUND(N63*O63*revleg_mid,0))-(((battery/range_nm)*G63*ROUND(N63*O63*revleg_mid,0)*VLOOKUP(B63,country_opex,3,FALSE))+Y63+Z63+AA63+AB63+AC63)))</f>
        <v/>
      </c>
      <c r="AY63" s="54">
        <f>IF(((V63*pax_cap*load_full*ROUND(N63*O63*revleg_full,0))-(((battery/range_nm)*G63*ROUND(N63*O63*revleg_full,0)*VLOOKUP(B63,country_opex,3,FALSE))+Y63+Z63+AA63+AB63+AC63))&lt;=0,"",VLOOKUP(B63,country_opex,7,FALSE)/((V63*pax_cap*load_full*ROUND(N63*O63*revleg_full,0))-(((battery/range_nm)*G63*ROUND(N63*O63*revleg_full,0)*VLOOKUP(B63,country_opex,3,FALSE))+Y63+Z63+AA63+AB63+AC63)))</f>
        <v/>
      </c>
      <c r="AZ63" s="40" t="n"/>
      <c r="BA63" s="40" t="n"/>
    </row>
    <row r="64">
      <c r="A64" s="38" t="inlineStr">
        <is>
          <t>Bolt Estonia</t>
        </is>
      </c>
      <c r="B64" s="38" t="inlineStr">
        <is>
          <t>Estonia</t>
        </is>
      </c>
      <c r="C64" s="39" t="inlineStr">
        <is>
          <t>Tallinn → Kakumäe</t>
        </is>
      </c>
      <c r="D64" s="38" t="inlineStr">
        <is>
          <t>bolt</t>
        </is>
      </c>
      <c r="E64" s="40" t="inlineStr">
        <is>
          <t>bolt-estonia</t>
        </is>
      </c>
      <c r="F64" s="41" t="n">
        <v>1</v>
      </c>
      <c r="G64" s="42" t="n">
        <v>6</v>
      </c>
      <c r="H64" s="35" t="n"/>
      <c r="I64" s="43" t="n"/>
      <c r="J64" s="43" t="n"/>
      <c r="K64" s="29" t="n">
        <v>1</v>
      </c>
      <c r="L64" s="44">
        <f>60*G64/cruise_kt</f>
        <v/>
      </c>
      <c r="M64" s="44">
        <f>L64+turn_min+dwell_min</f>
        <v/>
      </c>
      <c r="N64" s="45">
        <f>MIN(16,FLOOR(60*service_hr/M64,1))</f>
        <v/>
      </c>
      <c r="O64" s="45">
        <f>ROUND(365*mech_uptime*K64,0)</f>
        <v/>
      </c>
      <c r="P64" s="46">
        <f>mech_uptime</f>
        <v/>
      </c>
      <c r="Q64" s="46">
        <f>revleg_sel</f>
        <v/>
      </c>
      <c r="R64" s="45">
        <f>ROUND(N64*O64*revleg_sel,0)</f>
        <v/>
      </c>
      <c r="S64" s="47">
        <f>load_sel</f>
        <v/>
      </c>
      <c r="T64" s="47">
        <f>pax_cap*S64</f>
        <v/>
      </c>
      <c r="U64" s="45">
        <f>T64*R64</f>
        <v/>
      </c>
      <c r="V64" s="48">
        <f>H64*discount</f>
        <v/>
      </c>
      <c r="W64" s="49">
        <f>V64*U64</f>
        <v/>
      </c>
      <c r="X64" s="49">
        <f>(battery/range_nm)*G64*R64*VLOOKUP(B64,country_opex,3,FALSE)</f>
        <v/>
      </c>
      <c r="Y64" s="49">
        <f>VLOOKUP(B64,country_opex,2,FALSE)*crew_factor</f>
        <v/>
      </c>
      <c r="Z64" s="49">
        <f>VLOOKUP(B64,country_opex,5,FALSE)</f>
        <v/>
      </c>
      <c r="AA64" s="49">
        <f>maint</f>
        <v/>
      </c>
      <c r="AB64" s="49">
        <f>VLOOKUP(B64,country_opex,7,FALSE)*ins_pct</f>
        <v/>
      </c>
      <c r="AC64" s="49">
        <f>charge_berth</f>
        <v/>
      </c>
      <c r="AD64" s="49">
        <f>X64+Y64+Z64+AA64+AB64+AC64</f>
        <v/>
      </c>
      <c r="AE64" s="49">
        <f>VLOOKUP(B64,country_opex,7,FALSE)/dep_years</f>
        <v/>
      </c>
      <c r="AF64" s="49">
        <f>W64-AD64</f>
        <v/>
      </c>
      <c r="AG64" s="46">
        <f>IF(W64=0,"",AF64/W64)</f>
        <v/>
      </c>
      <c r="AH64" s="47">
        <f>IF(AF64&lt;=0,"",VLOOKUP(B64,country_opex,7,FALSE)/AF64)</f>
        <v/>
      </c>
      <c r="AI64" s="44">
        <f>((G64*R64/diesel_nmpg)*diesel_co2pg-(battery/range_nm)*G64*R64*VLOOKUP(B64,country_opex,4,FALSE))/1000</f>
        <v/>
      </c>
      <c r="AJ64" s="42" t="n"/>
      <c r="AK64" s="43" t="n"/>
      <c r="AL64" s="43" t="n"/>
      <c r="AM64" s="50" t="n">
        <v>0.1</v>
      </c>
      <c r="AN64" s="45">
        <f>IF(AJ64="","",AJ64*AM64)</f>
        <v/>
      </c>
      <c r="AO64" s="45">
        <f>IF(OR(AJ64="",U64=0),"",MIN(IF(AV64="",9.9E+99,AV64),FLOOR(AN64/U64,1)))</f>
        <v/>
      </c>
      <c r="AP64" s="49">
        <f>IF(AO64="","",AO64*W64)</f>
        <v/>
      </c>
      <c r="AQ64" s="47">
        <f>IF(OR(AJ64="",U64=0),"",MIN(IF(AV64="",9.9E+99,AV64),AN64/U64))</f>
        <v/>
      </c>
      <c r="AR64" s="49">
        <f>IF(AQ64="","",AQ64*W64)</f>
        <v/>
      </c>
      <c r="AS64" s="51" t="n"/>
      <c r="AT64" s="52" t="n"/>
      <c r="AU64" s="52" t="n"/>
      <c r="AV64" s="53" t="n"/>
      <c r="AW64" s="54">
        <f>IF(((V64*pax_cap*load_thin*ROUND(N64*O64*revleg_thin,0))-(((battery/range_nm)*G64*ROUND(N64*O64*revleg_thin,0)*VLOOKUP(B64,country_opex,3,FALSE))+Y64+Z64+AA64+AB64+AC64))&lt;=0,"",VLOOKUP(B64,country_opex,7,FALSE)/((V64*pax_cap*load_thin*ROUND(N64*O64*revleg_thin,0))-(((battery/range_nm)*G64*ROUND(N64*O64*revleg_thin,0)*VLOOKUP(B64,country_opex,3,FALSE))+Y64+Z64+AA64+AB64+AC64)))</f>
        <v/>
      </c>
      <c r="AX64" s="54">
        <f>IF(((V64*pax_cap*load_mid*ROUND(N64*O64*revleg_mid,0))-(((battery/range_nm)*G64*ROUND(N64*O64*revleg_mid,0)*VLOOKUP(B64,country_opex,3,FALSE))+Y64+Z64+AA64+AB64+AC64))&lt;=0,"",VLOOKUP(B64,country_opex,7,FALSE)/((V64*pax_cap*load_mid*ROUND(N64*O64*revleg_mid,0))-(((battery/range_nm)*G64*ROUND(N64*O64*revleg_mid,0)*VLOOKUP(B64,country_opex,3,FALSE))+Y64+Z64+AA64+AB64+AC64)))</f>
        <v/>
      </c>
      <c r="AY64" s="54">
        <f>IF(((V64*pax_cap*load_full*ROUND(N64*O64*revleg_full,0))-(((battery/range_nm)*G64*ROUND(N64*O64*revleg_full,0)*VLOOKUP(B64,country_opex,3,FALSE))+Y64+Z64+AA64+AB64+AC64))&lt;=0,"",VLOOKUP(B64,country_opex,7,FALSE)/((V64*pax_cap*load_full*ROUND(N64*O64*revleg_full,0))-(((battery/range_nm)*G64*ROUND(N64*O64*revleg_full,0)*VLOOKUP(B64,country_opex,3,FALSE))+Y64+Z64+AA64+AB64+AC64)))</f>
        <v/>
      </c>
      <c r="AZ64" s="40" t="n"/>
      <c r="BA64" s="40" t="n"/>
    </row>
    <row r="65">
      <c r="A65" s="38" t="inlineStr">
        <is>
          <t>Bolt Estonia</t>
        </is>
      </c>
      <c r="B65" s="38" t="inlineStr">
        <is>
          <t>Estonia</t>
        </is>
      </c>
      <c r="C65" s="39" t="inlineStr">
        <is>
          <t>Tallinn → Aegna</t>
        </is>
      </c>
      <c r="D65" s="38" t="inlineStr">
        <is>
          <t>bolt</t>
        </is>
      </c>
      <c r="E65" s="40" t="inlineStr">
        <is>
          <t>bolt-estonia</t>
        </is>
      </c>
      <c r="F65" s="41" t="n">
        <v>1</v>
      </c>
      <c r="G65" s="42" t="n">
        <v>7</v>
      </c>
      <c r="H65" s="35" t="n">
        <v>6.5</v>
      </c>
      <c r="I65" s="43" t="inlineStr">
        <is>
          <t>T2</t>
        </is>
      </c>
      <c r="J65" s="43" t="inlineStr">
        <is>
          <t>med</t>
        </is>
      </c>
      <c r="K65" s="29" t="n">
        <v>1</v>
      </c>
      <c r="L65" s="44">
        <f>60*G65/cruise_kt</f>
        <v/>
      </c>
      <c r="M65" s="44">
        <f>L65+turn_min+dwell_min</f>
        <v/>
      </c>
      <c r="N65" s="45">
        <f>MIN(10,FLOOR(60*service_hr/M65,1))</f>
        <v/>
      </c>
      <c r="O65" s="45">
        <f>ROUND(365*mech_uptime*K65,0)</f>
        <v/>
      </c>
      <c r="P65" s="46">
        <f>mech_uptime</f>
        <v/>
      </c>
      <c r="Q65" s="46">
        <f>revleg_sel</f>
        <v/>
      </c>
      <c r="R65" s="45">
        <f>ROUND(N65*O65*revleg_sel,0)</f>
        <v/>
      </c>
      <c r="S65" s="47">
        <f>load_sel</f>
        <v/>
      </c>
      <c r="T65" s="47">
        <f>pax_cap*S65</f>
        <v/>
      </c>
      <c r="U65" s="45">
        <f>T65*R65</f>
        <v/>
      </c>
      <c r="V65" s="48">
        <f>H65*discount</f>
        <v/>
      </c>
      <c r="W65" s="49">
        <f>V65*U65</f>
        <v/>
      </c>
      <c r="X65" s="49">
        <f>(battery/range_nm)*G65*R65*VLOOKUP(B65,country_opex,3,FALSE)</f>
        <v/>
      </c>
      <c r="Y65" s="49">
        <f>VLOOKUP(B65,country_opex,2,FALSE)*crew_factor</f>
        <v/>
      </c>
      <c r="Z65" s="49">
        <f>VLOOKUP(B65,country_opex,5,FALSE)</f>
        <v/>
      </c>
      <c r="AA65" s="49">
        <f>maint</f>
        <v/>
      </c>
      <c r="AB65" s="49">
        <f>VLOOKUP(B65,country_opex,7,FALSE)*ins_pct</f>
        <v/>
      </c>
      <c r="AC65" s="49">
        <f>charge_berth</f>
        <v/>
      </c>
      <c r="AD65" s="49">
        <f>X65+Y65+Z65+AA65+AB65+AC65</f>
        <v/>
      </c>
      <c r="AE65" s="49">
        <f>VLOOKUP(B65,country_opex,7,FALSE)/dep_years</f>
        <v/>
      </c>
      <c r="AF65" s="49">
        <f>W65-AD65</f>
        <v/>
      </c>
      <c r="AG65" s="46">
        <f>IF(W65=0,"",AF65/W65)</f>
        <v/>
      </c>
      <c r="AH65" s="47">
        <f>IF(AF65&lt;=0,"",VLOOKUP(B65,country_opex,7,FALSE)/AF65)</f>
        <v/>
      </c>
      <c r="AI65" s="44">
        <f>((G65*R65/diesel_nmpg)*diesel_co2pg-(battery/range_nm)*G65*R65*VLOOKUP(B65,country_opex,4,FALSE))/1000</f>
        <v/>
      </c>
      <c r="AJ65" s="42" t="n">
        <v>3300</v>
      </c>
      <c r="AK65" s="43" t="n"/>
      <c r="AL65" s="43" t="inlineStr">
        <is>
          <t>med</t>
        </is>
      </c>
      <c r="AM65" s="50" t="n">
        <v>0.25</v>
      </c>
      <c r="AN65" s="45">
        <f>IF(AJ65="","",AJ65*AM65)</f>
        <v/>
      </c>
      <c r="AO65" s="45">
        <f>IF(OR(AJ65="",U65=0),"",MIN(IF(AV65="",9.9E+99,AV65),FLOOR(AN65/U65,1)))</f>
        <v/>
      </c>
      <c r="AP65" s="49">
        <f>IF(AO65="","",AO65*W65)</f>
        <v/>
      </c>
      <c r="AQ65" s="47">
        <f>IF(OR(AJ65="",U65=0),"",MIN(IF(AV65="",9.9E+99,AV65),AN65/U65))</f>
        <v/>
      </c>
      <c r="AR65" s="49">
        <f>IF(AQ65="","",AQ65*W65)</f>
        <v/>
      </c>
      <c r="AS65" s="51" t="n"/>
      <c r="AT65" s="52" t="n"/>
      <c r="AU65" s="52" t="n"/>
      <c r="AV65" s="53" t="n"/>
      <c r="AW65" s="54">
        <f>IF(((V65*pax_cap*load_thin*ROUND(N65*O65*revleg_thin,0))-(((battery/range_nm)*G65*ROUND(N65*O65*revleg_thin,0)*VLOOKUP(B65,country_opex,3,FALSE))+Y65+Z65+AA65+AB65+AC65))&lt;=0,"",VLOOKUP(B65,country_opex,7,FALSE)/((V65*pax_cap*load_thin*ROUND(N65*O65*revleg_thin,0))-(((battery/range_nm)*G65*ROUND(N65*O65*revleg_thin,0)*VLOOKUP(B65,country_opex,3,FALSE))+Y65+Z65+AA65+AB65+AC65)))</f>
        <v/>
      </c>
      <c r="AX65" s="54">
        <f>IF(((V65*pax_cap*load_mid*ROUND(N65*O65*revleg_mid,0))-(((battery/range_nm)*G65*ROUND(N65*O65*revleg_mid,0)*VLOOKUP(B65,country_opex,3,FALSE))+Y65+Z65+AA65+AB65+AC65))&lt;=0,"",VLOOKUP(B65,country_opex,7,FALSE)/((V65*pax_cap*load_mid*ROUND(N65*O65*revleg_mid,0))-(((battery/range_nm)*G65*ROUND(N65*O65*revleg_mid,0)*VLOOKUP(B65,country_opex,3,FALSE))+Y65+Z65+AA65+AB65+AC65)))</f>
        <v/>
      </c>
      <c r="AY65" s="54">
        <f>IF(((V65*pax_cap*load_full*ROUND(N65*O65*revleg_full,0))-(((battery/range_nm)*G65*ROUND(N65*O65*revleg_full,0)*VLOOKUP(B65,country_opex,3,FALSE))+Y65+Z65+AA65+AB65+AC65))&lt;=0,"",VLOOKUP(B65,country_opex,7,FALSE)/((V65*pax_cap*load_full*ROUND(N65*O65*revleg_full,0))-(((battery/range_nm)*G65*ROUND(N65*O65*revleg_full,0)*VLOOKUP(B65,country_opex,3,FALSE))+Y65+Z65+AA65+AB65+AC65)))</f>
        <v/>
      </c>
      <c r="AZ65" s="40" t="inlineStr">
        <is>
          <t>Sunlines Tallinn-&gt;Aegna adult scheduled fare ~EUR 6 one-way (Rome2Rio cites EUR 5; FB users ~EUR 8 round-trip). EUR 6 x 1.08 = $6.5. No premium fast-craft tier exists above this on so short a hop.</t>
        </is>
      </c>
      <c r="BA65" s="40" t="n"/>
    </row>
    <row r="66">
      <c r="A66" s="38" t="inlineStr">
        <is>
          <t>Bolt Estonia</t>
        </is>
      </c>
      <c r="B66" s="38" t="inlineStr">
        <is>
          <t>Estonia</t>
        </is>
      </c>
      <c r="C66" s="39" t="inlineStr">
        <is>
          <t>Tallinn → Naissaar</t>
        </is>
      </c>
      <c r="D66" s="38" t="inlineStr">
        <is>
          <t>bolt</t>
        </is>
      </c>
      <c r="E66" s="40" t="inlineStr">
        <is>
          <t>bolt-estonia</t>
        </is>
      </c>
      <c r="F66" s="41" t="n">
        <v>1</v>
      </c>
      <c r="G66" s="42" t="n">
        <v>11</v>
      </c>
      <c r="H66" s="35" t="n">
        <v>10.8</v>
      </c>
      <c r="I66" s="43" t="inlineStr">
        <is>
          <t>T2</t>
        </is>
      </c>
      <c r="J66" s="43" t="inlineStr">
        <is>
          <t>med</t>
        </is>
      </c>
      <c r="K66" s="29" t="n">
        <v>1</v>
      </c>
      <c r="L66" s="44">
        <f>60*G66/cruise_kt</f>
        <v/>
      </c>
      <c r="M66" s="44">
        <f>L66+turn_min+dwell_min</f>
        <v/>
      </c>
      <c r="N66" s="45">
        <f>MIN(10,FLOOR(60*service_hr/M66,1))</f>
        <v/>
      </c>
      <c r="O66" s="45">
        <f>ROUND(365*mech_uptime*K66,0)</f>
        <v/>
      </c>
      <c r="P66" s="46">
        <f>mech_uptime</f>
        <v/>
      </c>
      <c r="Q66" s="46">
        <f>revleg_sel</f>
        <v/>
      </c>
      <c r="R66" s="45">
        <f>ROUND(N66*O66*revleg_sel,0)</f>
        <v/>
      </c>
      <c r="S66" s="47">
        <f>load_sel</f>
        <v/>
      </c>
      <c r="T66" s="47">
        <f>pax_cap*S66</f>
        <v/>
      </c>
      <c r="U66" s="45">
        <f>T66*R66</f>
        <v/>
      </c>
      <c r="V66" s="48">
        <f>H66*discount</f>
        <v/>
      </c>
      <c r="W66" s="49">
        <f>V66*U66</f>
        <v/>
      </c>
      <c r="X66" s="49">
        <f>(battery/range_nm)*G66*R66*VLOOKUP(B66,country_opex,3,FALSE)</f>
        <v/>
      </c>
      <c r="Y66" s="49">
        <f>VLOOKUP(B66,country_opex,2,FALSE)*crew_factor</f>
        <v/>
      </c>
      <c r="Z66" s="49">
        <f>VLOOKUP(B66,country_opex,5,FALSE)</f>
        <v/>
      </c>
      <c r="AA66" s="49">
        <f>maint</f>
        <v/>
      </c>
      <c r="AB66" s="49">
        <f>VLOOKUP(B66,country_opex,7,FALSE)*ins_pct</f>
        <v/>
      </c>
      <c r="AC66" s="49">
        <f>charge_berth</f>
        <v/>
      </c>
      <c r="AD66" s="49">
        <f>X66+Y66+Z66+AA66+AB66+AC66</f>
        <v/>
      </c>
      <c r="AE66" s="49">
        <f>VLOOKUP(B66,country_opex,7,FALSE)/dep_years</f>
        <v/>
      </c>
      <c r="AF66" s="49">
        <f>W66-AD66</f>
        <v/>
      </c>
      <c r="AG66" s="46">
        <f>IF(W66=0,"",AF66/W66)</f>
        <v/>
      </c>
      <c r="AH66" s="47">
        <f>IF(AF66&lt;=0,"",VLOOKUP(B66,country_opex,7,FALSE)/AF66)</f>
        <v/>
      </c>
      <c r="AI66" s="44">
        <f>((G66*R66/diesel_nmpg)*diesel_co2pg-(battery/range_nm)*G66*R66*VLOOKUP(B66,country_opex,4,FALSE))/1000</f>
        <v/>
      </c>
      <c r="AJ66" s="42" t="n">
        <v>50000</v>
      </c>
      <c r="AK66" s="43" t="n"/>
      <c r="AL66" s="43" t="n"/>
      <c r="AM66" s="50" t="n">
        <v>0.1</v>
      </c>
      <c r="AN66" s="45">
        <f>IF(AJ66="","",AJ66*AM66)</f>
        <v/>
      </c>
      <c r="AO66" s="45">
        <f>IF(OR(AJ66="",U66=0),"",MIN(IF(AV66="",9.9E+99,AV66),FLOOR(AN66/U66,1)))</f>
        <v/>
      </c>
      <c r="AP66" s="49">
        <f>IF(AO66="","",AO66*W66)</f>
        <v/>
      </c>
      <c r="AQ66" s="47">
        <f>IF(OR(AJ66="",U66=0),"",MIN(IF(AV66="",9.9E+99,AV66),AN66/U66))</f>
        <v/>
      </c>
      <c r="AR66" s="49">
        <f>IF(AQ66="","",AQ66*W66)</f>
        <v/>
      </c>
      <c r="AS66" s="51" t="n"/>
      <c r="AT66" s="52" t="n"/>
      <c r="AU66" s="52" t="n"/>
      <c r="AV66" s="53" t="n"/>
      <c r="AW66" s="54">
        <f>IF(((V66*pax_cap*load_thin*ROUND(N66*O66*revleg_thin,0))-(((battery/range_nm)*G66*ROUND(N66*O66*revleg_thin,0)*VLOOKUP(B66,country_opex,3,FALSE))+Y66+Z66+AA66+AB66+AC66))&lt;=0,"",VLOOKUP(B66,country_opex,7,FALSE)/((V66*pax_cap*load_thin*ROUND(N66*O66*revleg_thin,0))-(((battery/range_nm)*G66*ROUND(N66*O66*revleg_thin,0)*VLOOKUP(B66,country_opex,3,FALSE))+Y66+Z66+AA66+AB66+AC66)))</f>
        <v/>
      </c>
      <c r="AX66" s="54">
        <f>IF(((V66*pax_cap*load_mid*ROUND(N66*O66*revleg_mid,0))-(((battery/range_nm)*G66*ROUND(N66*O66*revleg_mid,0)*VLOOKUP(B66,country_opex,3,FALSE))+Y66+Z66+AA66+AB66+AC66))&lt;=0,"",VLOOKUP(B66,country_opex,7,FALSE)/((V66*pax_cap*load_mid*ROUND(N66*O66*revleg_mid,0))-(((battery/range_nm)*G66*ROUND(N66*O66*revleg_mid,0)*VLOOKUP(B66,country_opex,3,FALSE))+Y66+Z66+AA66+AB66+AC66)))</f>
        <v/>
      </c>
      <c r="AY66" s="54">
        <f>IF(((V66*pax_cap*load_full*ROUND(N66*O66*revleg_full,0))-(((battery/range_nm)*G66*ROUND(N66*O66*revleg_full,0)*VLOOKUP(B66,country_opex,3,FALSE))+Y66+Z66+AA66+AB66+AC66))&lt;=0,"",VLOOKUP(B66,country_opex,7,FALSE)/((V66*pax_cap*load_full*ROUND(N66*O66*revleg_full,0))-(((battery/range_nm)*G66*ROUND(N66*O66*revleg_full,0)*VLOOKUP(B66,country_opex,3,FALSE))+Y66+Z66+AA66+AB66+AC66)))</f>
        <v/>
      </c>
      <c r="AZ66" s="40" t="inlineStr">
        <is>
          <t>Sunlines 'Strande' (300 pax) adult scheduled fare EUR 10 one-way / EUR 20 round-trip, departing Linnahall 11:00. EUR 10 x 1.08 = $10.8.</t>
        </is>
      </c>
      <c r="BA66" s="40" t="n"/>
    </row>
    <row r="67">
      <c r="A67" s="38" t="inlineStr">
        <is>
          <t>Bolt Estonia</t>
        </is>
      </c>
      <c r="B67" s="38" t="inlineStr">
        <is>
          <t>Estonia</t>
        </is>
      </c>
      <c r="C67" s="39" t="inlineStr">
        <is>
          <t>Tallinn → Helsinki</t>
        </is>
      </c>
      <c r="D67" s="38" t="inlineStr">
        <is>
          <t>bolt</t>
        </is>
      </c>
      <c r="E67" s="40" t="inlineStr">
        <is>
          <t>bolt-estonia</t>
        </is>
      </c>
      <c r="F67" s="41" t="n">
        <v>1</v>
      </c>
      <c r="G67" s="42" t="n">
        <v>43</v>
      </c>
      <c r="H67" s="35" t="n">
        <v>27</v>
      </c>
      <c r="I67" s="43" t="inlineStr">
        <is>
          <t>T2</t>
        </is>
      </c>
      <c r="J67" s="43" t="inlineStr">
        <is>
          <t>med</t>
        </is>
      </c>
      <c r="K67" s="29" t="n">
        <v>1</v>
      </c>
      <c r="L67" s="44">
        <f>60*G67/cruise_kt</f>
        <v/>
      </c>
      <c r="M67" s="44">
        <f>L67+turn_min+dwell_min</f>
        <v/>
      </c>
      <c r="N67" s="45">
        <f>MIN(10,FLOOR(60*service_hr/M67,1))</f>
        <v/>
      </c>
      <c r="O67" s="45">
        <f>ROUND(365*mech_uptime*K67,0)</f>
        <v/>
      </c>
      <c r="P67" s="46">
        <f>mech_uptime</f>
        <v/>
      </c>
      <c r="Q67" s="46">
        <f>revleg_sel</f>
        <v/>
      </c>
      <c r="R67" s="45">
        <f>ROUND(N67*O67*revleg_sel,0)</f>
        <v/>
      </c>
      <c r="S67" s="47">
        <f>load_sel</f>
        <v/>
      </c>
      <c r="T67" s="47">
        <f>pax_cap*S67</f>
        <v/>
      </c>
      <c r="U67" s="45">
        <f>T67*R67</f>
        <v/>
      </c>
      <c r="V67" s="48">
        <f>H67*discount</f>
        <v/>
      </c>
      <c r="W67" s="49">
        <f>V67*U67</f>
        <v/>
      </c>
      <c r="X67" s="49">
        <f>(battery/range_nm)*G67*R67*VLOOKUP(B67,country_opex,3,FALSE)</f>
        <v/>
      </c>
      <c r="Y67" s="49">
        <f>VLOOKUP(B67,country_opex,2,FALSE)*crew_factor</f>
        <v/>
      </c>
      <c r="Z67" s="49">
        <f>VLOOKUP(B67,country_opex,5,FALSE)</f>
        <v/>
      </c>
      <c r="AA67" s="49">
        <f>maint</f>
        <v/>
      </c>
      <c r="AB67" s="49">
        <f>VLOOKUP(B67,country_opex,7,FALSE)*ins_pct</f>
        <v/>
      </c>
      <c r="AC67" s="49">
        <f>charge_berth</f>
        <v/>
      </c>
      <c r="AD67" s="49">
        <f>X67+Y67+Z67+AA67+AB67+AC67</f>
        <v/>
      </c>
      <c r="AE67" s="49">
        <f>VLOOKUP(B67,country_opex,7,FALSE)/dep_years</f>
        <v/>
      </c>
      <c r="AF67" s="49">
        <f>W67-AD67</f>
        <v/>
      </c>
      <c r="AG67" s="46">
        <f>IF(W67=0,"",AF67/W67)</f>
        <v/>
      </c>
      <c r="AH67" s="47">
        <f>IF(AF67&lt;=0,"",VLOOKUP(B67,country_opex,7,FALSE)/AF67)</f>
        <v/>
      </c>
      <c r="AI67" s="44">
        <f>((G67*R67/diesel_nmpg)*diesel_co2pg-(battery/range_nm)*G67*R67*VLOOKUP(B67,country_opex,4,FALSE))/1000</f>
        <v/>
      </c>
      <c r="AJ67" s="42" t="n">
        <v>750000</v>
      </c>
      <c r="AK67" s="43" t="n"/>
      <c r="AL67" s="43" t="inlineStr">
        <is>
          <t>med</t>
        </is>
      </c>
      <c r="AM67" s="50" t="n">
        <v>0.25</v>
      </c>
      <c r="AN67" s="45">
        <f>IF(AJ67="","",AJ67*AM67)</f>
        <v/>
      </c>
      <c r="AO67" s="45">
        <f>IF(OR(AJ67="",U67=0),"",MIN(IF(AV67="",9.9E+99,AV67),FLOOR(AN67/U67,1)))</f>
        <v/>
      </c>
      <c r="AP67" s="49">
        <f>IF(AO67="","",AO67*W67)</f>
        <v/>
      </c>
      <c r="AQ67" s="47">
        <f>IF(OR(AJ67="",U67=0),"",MIN(IF(AV67="",9.9E+99,AV67),AN67/U67))</f>
        <v/>
      </c>
      <c r="AR67" s="49">
        <f>IF(AQ67="","",AQ67*W67)</f>
        <v/>
      </c>
      <c r="AS67" s="51" t="n"/>
      <c r="AT67" s="52" t="n"/>
      <c r="AU67" s="52" t="n"/>
      <c r="AV67" s="53" t="n"/>
      <c r="AW67" s="54">
        <f>IF(((V67*pax_cap*load_thin*ROUND(N67*O67*revleg_thin,0))-(((battery/range_nm)*G67*ROUND(N67*O67*revleg_thin,0)*VLOOKUP(B67,country_opex,3,FALSE))+Y67+Z67+AA67+AB67+AC67))&lt;=0,"",VLOOKUP(B67,country_opex,7,FALSE)/((V67*pax_cap*load_thin*ROUND(N67*O67*revleg_thin,0))-(((battery/range_nm)*G67*ROUND(N67*O67*revleg_thin,0)*VLOOKUP(B67,country_opex,3,FALSE))+Y67+Z67+AA67+AB67+AC67)))</f>
        <v/>
      </c>
      <c r="AX67" s="54">
        <f>IF(((V67*pax_cap*load_mid*ROUND(N67*O67*revleg_mid,0))-(((battery/range_nm)*G67*ROUND(N67*O67*revleg_mid,0)*VLOOKUP(B67,country_opex,3,FALSE))+Y67+Z67+AA67+AB67+AC67))&lt;=0,"",VLOOKUP(B67,country_opex,7,FALSE)/((V67*pax_cap*load_mid*ROUND(N67*O67*revleg_mid,0))-(((battery/range_nm)*G67*ROUND(N67*O67*revleg_mid,0)*VLOOKUP(B67,country_opex,3,FALSE))+Y67+Z67+AA67+AB67+AC67)))</f>
        <v/>
      </c>
      <c r="AY67" s="54">
        <f>IF(((V67*pax_cap*load_full*ROUND(N67*O67*revleg_full,0))-(((battery/range_nm)*G67*ROUND(N67*O67*revleg_full,0)*VLOOKUP(B67,country_opex,3,FALSE))+Y67+Z67+AA67+AB67+AC67))&lt;=0,"",VLOOKUP(B67,country_opex,7,FALSE)/((V67*pax_cap*load_full*ROUND(N67*O67*revleg_full,0))-(((battery/range_nm)*G67*ROUND(N67*O67*revleg_full,0)*VLOOKUP(B67,country_opex,3,FALSE))+Y67+Z67+AA67+AB67+AC67)))</f>
        <v/>
      </c>
      <c r="AZ67" s="40" t="inlineStr">
        <is>
          <t>PREMIUM tier: standard adult walk-up fast-ferry seat ~EUR 25 (range EUR 18-35 by season/operator/advance; Tallink Megastar/MyStar, Viking from EUR 18, Eckero). EUR 25 x 1.08 = $27.0.</t>
        </is>
      </c>
      <c r="BA67" s="40" t="n"/>
    </row>
    <row r="68">
      <c r="A68" s="38" t="inlineStr">
        <is>
          <t>Bolt Finland</t>
        </is>
      </c>
      <c r="B68" s="38" t="inlineStr">
        <is>
          <t>Finland</t>
        </is>
      </c>
      <c r="C68" s="39" t="inlineStr">
        <is>
          <t>Helsinki → Lonna</t>
        </is>
      </c>
      <c r="D68" s="38" t="inlineStr">
        <is>
          <t>bolt</t>
        </is>
      </c>
      <c r="E68" s="40" t="inlineStr">
        <is>
          <t>bolt-finland</t>
        </is>
      </c>
      <c r="F68" s="41" t="n">
        <v>1</v>
      </c>
      <c r="G68" s="42" t="n">
        <v>1.2</v>
      </c>
      <c r="H68" s="35" t="n">
        <v>8.640000000000001</v>
      </c>
      <c r="I68" s="43" t="inlineStr">
        <is>
          <t>T2</t>
        </is>
      </c>
      <c r="J68" s="43" t="inlineStr">
        <is>
          <t>med</t>
        </is>
      </c>
      <c r="K68" s="29" t="n">
        <v>1</v>
      </c>
      <c r="L68" s="44">
        <f>60*G68/cruise_kt</f>
        <v/>
      </c>
      <c r="M68" s="44">
        <f>L68+turn_min+dwell_min</f>
        <v/>
      </c>
      <c r="N68" s="45">
        <f>MIN(10,FLOOR(60*service_hr/M68,1))</f>
        <v/>
      </c>
      <c r="O68" s="45">
        <f>ROUND(365*mech_uptime*K68,0)</f>
        <v/>
      </c>
      <c r="P68" s="46">
        <f>mech_uptime</f>
        <v/>
      </c>
      <c r="Q68" s="46">
        <f>revleg_sel</f>
        <v/>
      </c>
      <c r="R68" s="45">
        <f>ROUND(N68*O68*revleg_sel,0)</f>
        <v/>
      </c>
      <c r="S68" s="47">
        <f>load_sel</f>
        <v/>
      </c>
      <c r="T68" s="47">
        <f>pax_cap*S68</f>
        <v/>
      </c>
      <c r="U68" s="45">
        <f>T68*R68</f>
        <v/>
      </c>
      <c r="V68" s="48">
        <f>H68*discount</f>
        <v/>
      </c>
      <c r="W68" s="49">
        <f>V68*U68</f>
        <v/>
      </c>
      <c r="X68" s="49">
        <f>(battery/range_nm)*G68*R68*VLOOKUP(B68,country_opex,3,FALSE)</f>
        <v/>
      </c>
      <c r="Y68" s="49">
        <f>VLOOKUP(B68,country_opex,2,FALSE)*crew_factor</f>
        <v/>
      </c>
      <c r="Z68" s="49">
        <f>VLOOKUP(B68,country_opex,5,FALSE)</f>
        <v/>
      </c>
      <c r="AA68" s="49">
        <f>maint</f>
        <v/>
      </c>
      <c r="AB68" s="49">
        <f>VLOOKUP(B68,country_opex,7,FALSE)*ins_pct</f>
        <v/>
      </c>
      <c r="AC68" s="49">
        <f>charge_berth</f>
        <v/>
      </c>
      <c r="AD68" s="49">
        <f>X68+Y68+Z68+AA68+AB68+AC68</f>
        <v/>
      </c>
      <c r="AE68" s="49">
        <f>VLOOKUP(B68,country_opex,7,FALSE)/dep_years</f>
        <v/>
      </c>
      <c r="AF68" s="49">
        <f>W68-AD68</f>
        <v/>
      </c>
      <c r="AG68" s="46">
        <f>IF(W68=0,"",AF68/W68)</f>
        <v/>
      </c>
      <c r="AH68" s="47">
        <f>IF(AF68&lt;=0,"",VLOOKUP(B68,country_opex,7,FALSE)/AF68)</f>
        <v/>
      </c>
      <c r="AI68" s="44">
        <f>((G68*R68/diesel_nmpg)*diesel_co2pg-(battery/range_nm)*G68*R68*VLOOKUP(B68,country_opex,4,FALSE))/1000</f>
        <v/>
      </c>
      <c r="AJ68" s="42" t="n"/>
      <c r="AK68" s="43" t="n"/>
      <c r="AL68" s="43" t="n"/>
      <c r="AM68" s="50" t="n">
        <v>0.1</v>
      </c>
      <c r="AN68" s="45">
        <f>IF(AJ68="","",AJ68*AM68)</f>
        <v/>
      </c>
      <c r="AO68" s="45">
        <f>IF(OR(AJ68="",U68=0),"",MIN(IF(AV68="",9.9E+99,AV68),FLOOR(AN68/U68,1)))</f>
        <v/>
      </c>
      <c r="AP68" s="49">
        <f>IF(AO68="","",AO68*W68)</f>
        <v/>
      </c>
      <c r="AQ68" s="47">
        <f>IF(OR(AJ68="",U68=0),"",MIN(IF(AV68="",9.9E+99,AV68),AN68/U68))</f>
        <v/>
      </c>
      <c r="AR68" s="49">
        <f>IF(AQ68="","",AQ68*W68)</f>
        <v/>
      </c>
      <c r="AS68" s="51" t="n"/>
      <c r="AT68" s="52" t="n"/>
      <c r="AU68" s="52" t="n"/>
      <c r="AV68" s="53" t="n"/>
      <c r="AW68" s="54">
        <f>IF(((V68*pax_cap*load_thin*ROUND(N68*O68*revleg_thin,0))-(((battery/range_nm)*G68*ROUND(N68*O68*revleg_thin,0)*VLOOKUP(B68,country_opex,3,FALSE))+Y68+Z68+AA68+AB68+AC68))&lt;=0,"",VLOOKUP(B68,country_opex,7,FALSE)/((V68*pax_cap*load_thin*ROUND(N68*O68*revleg_thin,0))-(((battery/range_nm)*G68*ROUND(N68*O68*revleg_thin,0)*VLOOKUP(B68,country_opex,3,FALSE))+Y68+Z68+AA68+AB68+AC68)))</f>
        <v/>
      </c>
      <c r="AX68" s="54">
        <f>IF(((V68*pax_cap*load_mid*ROUND(N68*O68*revleg_mid,0))-(((battery/range_nm)*G68*ROUND(N68*O68*revleg_mid,0)*VLOOKUP(B68,country_opex,3,FALSE))+Y68+Z68+AA68+AB68+AC68))&lt;=0,"",VLOOKUP(B68,country_opex,7,FALSE)/((V68*pax_cap*load_mid*ROUND(N68*O68*revleg_mid,0))-(((battery/range_nm)*G68*ROUND(N68*O68*revleg_mid,0)*VLOOKUP(B68,country_opex,3,FALSE))+Y68+Z68+AA68+AB68+AC68)))</f>
        <v/>
      </c>
      <c r="AY68" s="54">
        <f>IF(((V68*pax_cap*load_full*ROUND(N68*O68*revleg_full,0))-(((battery/range_nm)*G68*ROUND(N68*O68*revleg_full,0)*VLOOKUP(B68,country_opex,3,FALSE))+Y68+Z68+AA68+AB68+AC68))&lt;=0,"",VLOOKUP(B68,country_opex,7,FALSE)/((V68*pax_cap*load_full*ROUND(N68*O68*revleg_full,0))-(((battery/range_nm)*G68*ROUND(N68*O68*revleg_full,0)*VLOOKUP(B68,country_opex,3,FALSE))+Y68+Z68+AA68+AB68+AC68)))</f>
        <v/>
      </c>
      <c r="AZ68" s="40" t="inlineStr">
        <is>
          <t>JT-Line Kauppatori-&gt;Lonna adult fare EUR 8 (Rome2Rio; 10 min). EUR 8 x 1.08 = $8.64.</t>
        </is>
      </c>
      <c r="BA68" s="40" t="n"/>
    </row>
    <row r="69">
      <c r="A69" s="38" t="inlineStr">
        <is>
          <t>Bolt Finland</t>
        </is>
      </c>
      <c r="B69" s="38" t="inlineStr">
        <is>
          <t>Finland</t>
        </is>
      </c>
      <c r="C69" s="39" t="inlineStr">
        <is>
          <t>Helsinki Market Square → Suomenlinna</t>
        </is>
      </c>
      <c r="D69" s="38" t="inlineStr">
        <is>
          <t>bolt</t>
        </is>
      </c>
      <c r="E69" s="40" t="inlineStr">
        <is>
          <t>bolt-finland</t>
        </is>
      </c>
      <c r="F69" s="41" t="n">
        <v>1</v>
      </c>
      <c r="G69" s="42" t="n">
        <v>1.5</v>
      </c>
      <c r="H69" s="35" t="n">
        <v>8.640000000000001</v>
      </c>
      <c r="I69" s="43" t="inlineStr">
        <is>
          <t>T2</t>
        </is>
      </c>
      <c r="J69" s="43" t="inlineStr">
        <is>
          <t>med</t>
        </is>
      </c>
      <c r="K69" s="29" t="n">
        <v>1</v>
      </c>
      <c r="L69" s="44">
        <f>60*G69/cruise_kt</f>
        <v/>
      </c>
      <c r="M69" s="44">
        <f>L69+turn_min+dwell_min</f>
        <v/>
      </c>
      <c r="N69" s="45">
        <f>MIN(10,FLOOR(60*service_hr/M69,1))</f>
        <v/>
      </c>
      <c r="O69" s="45">
        <f>ROUND(365*mech_uptime*K69,0)</f>
        <v/>
      </c>
      <c r="P69" s="46">
        <f>mech_uptime</f>
        <v/>
      </c>
      <c r="Q69" s="46">
        <f>revleg_sel</f>
        <v/>
      </c>
      <c r="R69" s="45">
        <f>ROUND(N69*O69*revleg_sel,0)</f>
        <v/>
      </c>
      <c r="S69" s="47">
        <f>load_sel</f>
        <v/>
      </c>
      <c r="T69" s="47">
        <f>pax_cap*S69</f>
        <v/>
      </c>
      <c r="U69" s="45">
        <f>T69*R69</f>
        <v/>
      </c>
      <c r="V69" s="48">
        <f>H69*discount</f>
        <v/>
      </c>
      <c r="W69" s="49">
        <f>V69*U69</f>
        <v/>
      </c>
      <c r="X69" s="49">
        <f>(battery/range_nm)*G69*R69*VLOOKUP(B69,country_opex,3,FALSE)</f>
        <v/>
      </c>
      <c r="Y69" s="49">
        <f>VLOOKUP(B69,country_opex,2,FALSE)*crew_factor</f>
        <v/>
      </c>
      <c r="Z69" s="49">
        <f>VLOOKUP(B69,country_opex,5,FALSE)</f>
        <v/>
      </c>
      <c r="AA69" s="49">
        <f>maint</f>
        <v/>
      </c>
      <c r="AB69" s="49">
        <f>VLOOKUP(B69,country_opex,7,FALSE)*ins_pct</f>
        <v/>
      </c>
      <c r="AC69" s="49">
        <f>charge_berth</f>
        <v/>
      </c>
      <c r="AD69" s="49">
        <f>X69+Y69+Z69+AA69+AB69+AC69</f>
        <v/>
      </c>
      <c r="AE69" s="49">
        <f>VLOOKUP(B69,country_opex,7,FALSE)/dep_years</f>
        <v/>
      </c>
      <c r="AF69" s="49">
        <f>W69-AD69</f>
        <v/>
      </c>
      <c r="AG69" s="46">
        <f>IF(W69=0,"",AF69/W69)</f>
        <v/>
      </c>
      <c r="AH69" s="47">
        <f>IF(AF69&lt;=0,"",VLOOKUP(B69,country_opex,7,FALSE)/AF69)</f>
        <v/>
      </c>
      <c r="AI69" s="44">
        <f>((G69*R69/diesel_nmpg)*diesel_co2pg-(battery/range_nm)*G69*R69*VLOOKUP(B69,country_opex,4,FALSE))/1000</f>
        <v/>
      </c>
      <c r="AJ69" s="42" t="n">
        <v>1000000</v>
      </c>
      <c r="AK69" s="43" t="n"/>
      <c r="AL69" s="43" t="n"/>
      <c r="AM69" s="50" t="n">
        <v>0.1</v>
      </c>
      <c r="AN69" s="45">
        <f>IF(AJ69="","",AJ69*AM69)</f>
        <v/>
      </c>
      <c r="AO69" s="45">
        <f>IF(OR(AJ69="",U69=0),"",MIN(IF(AV69="",9.9E+99,AV69),FLOOR(AN69/U69,1)))</f>
        <v/>
      </c>
      <c r="AP69" s="49">
        <f>IF(AO69="","",AO69*W69)</f>
        <v/>
      </c>
      <c r="AQ69" s="47">
        <f>IF(OR(AJ69="",U69=0),"",MIN(IF(AV69="",9.9E+99,AV69),AN69/U69))</f>
        <v/>
      </c>
      <c r="AR69" s="49">
        <f>IF(AQ69="","",AQ69*W69)</f>
        <v/>
      </c>
      <c r="AS69" s="51" t="n"/>
      <c r="AT69" s="52" t="n"/>
      <c r="AU69" s="52" t="n"/>
      <c r="AV69" s="53" t="n"/>
      <c r="AW69" s="54">
        <f>IF(((V69*pax_cap*load_thin*ROUND(N69*O69*revleg_thin,0))-(((battery/range_nm)*G69*ROUND(N69*O69*revleg_thin,0)*VLOOKUP(B69,country_opex,3,FALSE))+Y69+Z69+AA69+AB69+AC69))&lt;=0,"",VLOOKUP(B69,country_opex,7,FALSE)/((V69*pax_cap*load_thin*ROUND(N69*O69*revleg_thin,0))-(((battery/range_nm)*G69*ROUND(N69*O69*revleg_thin,0)*VLOOKUP(B69,country_opex,3,FALSE))+Y69+Z69+AA69+AB69+AC69)))</f>
        <v/>
      </c>
      <c r="AX69" s="54">
        <f>IF(((V69*pax_cap*load_mid*ROUND(N69*O69*revleg_mid,0))-(((battery/range_nm)*G69*ROUND(N69*O69*revleg_mid,0)*VLOOKUP(B69,country_opex,3,FALSE))+Y69+Z69+AA69+AB69+AC69))&lt;=0,"",VLOOKUP(B69,country_opex,7,FALSE)/((V69*pax_cap*load_mid*ROUND(N69*O69*revleg_mid,0))-(((battery/range_nm)*G69*ROUND(N69*O69*revleg_mid,0)*VLOOKUP(B69,country_opex,3,FALSE))+Y69+Z69+AA69+AB69+AC69)))</f>
        <v/>
      </c>
      <c r="AY69" s="54">
        <f>IF(((V69*pax_cap*load_full*ROUND(N69*O69*revleg_full,0))-(((battery/range_nm)*G69*ROUND(N69*O69*revleg_full,0)*VLOOKUP(B69,country_opex,3,FALSE))+Y69+Z69+AA69+AB69+AC69))&lt;=0,"",VLOOKUP(B69,country_opex,7,FALSE)/((V69*pax_cap*load_full*ROUND(N69*O69*revleg_full,0))-(((battery/range_nm)*G69*ROUND(N69*O69*revleg_full,0)*VLOOKUP(B69,country_opex,3,FALSE))+Y69+Z69+AA69+AB69+AC69)))</f>
        <v/>
      </c>
      <c r="AZ69" s="40" t="inlineStr">
        <is>
          <t>PREMIUM leisure tier: JT-Line-style adult archipelago ferry seat ~EUR 8 (the comparable premium per-seat on the Helsinki island web; JT-Line ran a Market Square-&gt;Suomenlinna waterbus at this tier until 2022). EUR 8 x 1.08 = $8.64.</t>
        </is>
      </c>
      <c r="BA69" s="40" t="n"/>
    </row>
    <row r="70">
      <c r="A70" s="38" t="inlineStr">
        <is>
          <t>Bolt Finland</t>
        </is>
      </c>
      <c r="B70" s="38" t="inlineStr">
        <is>
          <t>Finland</t>
        </is>
      </c>
      <c r="C70" s="39" t="inlineStr">
        <is>
          <t>Helsinki → Pihlajasaari</t>
        </is>
      </c>
      <c r="D70" s="38" t="inlineStr">
        <is>
          <t>bolt</t>
        </is>
      </c>
      <c r="E70" s="40" t="inlineStr">
        <is>
          <t>bolt-finland</t>
        </is>
      </c>
      <c r="F70" s="41" t="n">
        <v>1</v>
      </c>
      <c r="G70" s="42" t="n">
        <v>1.5</v>
      </c>
      <c r="H70" s="35" t="n">
        <v>8.640000000000001</v>
      </c>
      <c r="I70" s="43" t="inlineStr">
        <is>
          <t>T2</t>
        </is>
      </c>
      <c r="J70" s="43" t="inlineStr">
        <is>
          <t>med</t>
        </is>
      </c>
      <c r="K70" s="29" t="n">
        <v>1</v>
      </c>
      <c r="L70" s="44">
        <f>60*G70/cruise_kt</f>
        <v/>
      </c>
      <c r="M70" s="44">
        <f>L70+turn_min+dwell_min</f>
        <v/>
      </c>
      <c r="N70" s="45">
        <f>MIN(10,FLOOR(60*service_hr/M70,1))</f>
        <v/>
      </c>
      <c r="O70" s="45">
        <f>ROUND(365*mech_uptime*K70,0)</f>
        <v/>
      </c>
      <c r="P70" s="46">
        <f>mech_uptime</f>
        <v/>
      </c>
      <c r="Q70" s="46">
        <f>revleg_sel</f>
        <v/>
      </c>
      <c r="R70" s="45">
        <f>ROUND(N70*O70*revleg_sel,0)</f>
        <v/>
      </c>
      <c r="S70" s="47">
        <f>load_sel</f>
        <v/>
      </c>
      <c r="T70" s="47">
        <f>pax_cap*S70</f>
        <v/>
      </c>
      <c r="U70" s="45">
        <f>T70*R70</f>
        <v/>
      </c>
      <c r="V70" s="48">
        <f>H70*discount</f>
        <v/>
      </c>
      <c r="W70" s="49">
        <f>V70*U70</f>
        <v/>
      </c>
      <c r="X70" s="49">
        <f>(battery/range_nm)*G70*R70*VLOOKUP(B70,country_opex,3,FALSE)</f>
        <v/>
      </c>
      <c r="Y70" s="49">
        <f>VLOOKUP(B70,country_opex,2,FALSE)*crew_factor</f>
        <v/>
      </c>
      <c r="Z70" s="49">
        <f>VLOOKUP(B70,country_opex,5,FALSE)</f>
        <v/>
      </c>
      <c r="AA70" s="49">
        <f>maint</f>
        <v/>
      </c>
      <c r="AB70" s="49">
        <f>VLOOKUP(B70,country_opex,7,FALSE)*ins_pct</f>
        <v/>
      </c>
      <c r="AC70" s="49">
        <f>charge_berth</f>
        <v/>
      </c>
      <c r="AD70" s="49">
        <f>X70+Y70+Z70+AA70+AB70+AC70</f>
        <v/>
      </c>
      <c r="AE70" s="49">
        <f>VLOOKUP(B70,country_opex,7,FALSE)/dep_years</f>
        <v/>
      </c>
      <c r="AF70" s="49">
        <f>W70-AD70</f>
        <v/>
      </c>
      <c r="AG70" s="46">
        <f>IF(W70=0,"",AF70/W70)</f>
        <v/>
      </c>
      <c r="AH70" s="47">
        <f>IF(AF70&lt;=0,"",VLOOKUP(B70,country_opex,7,FALSE)/AF70)</f>
        <v/>
      </c>
      <c r="AI70" s="44">
        <f>((G70*R70/diesel_nmpg)*diesel_co2pg-(battery/range_nm)*G70*R70*VLOOKUP(B70,country_opex,4,FALSE))/1000</f>
        <v/>
      </c>
      <c r="AJ70" s="42" t="n"/>
      <c r="AK70" s="43" t="n"/>
      <c r="AL70" s="43" t="n"/>
      <c r="AM70" s="50" t="n">
        <v>0.1</v>
      </c>
      <c r="AN70" s="45">
        <f>IF(AJ70="","",AJ70*AM70)</f>
        <v/>
      </c>
      <c r="AO70" s="45">
        <f>IF(OR(AJ70="",U70=0),"",MIN(IF(AV70="",9.9E+99,AV70),FLOOR(AN70/U70,1)))</f>
        <v/>
      </c>
      <c r="AP70" s="49">
        <f>IF(AO70="","",AO70*W70)</f>
        <v/>
      </c>
      <c r="AQ70" s="47">
        <f>IF(OR(AJ70="",U70=0),"",MIN(IF(AV70="",9.9E+99,AV70),AN70/U70))</f>
        <v/>
      </c>
      <c r="AR70" s="49">
        <f>IF(AQ70="","",AQ70*W70)</f>
        <v/>
      </c>
      <c r="AS70" s="51" t="n"/>
      <c r="AT70" s="52" t="n"/>
      <c r="AU70" s="52" t="n"/>
      <c r="AV70" s="53" t="n"/>
      <c r="AW70" s="54">
        <f>IF(((V70*pax_cap*load_thin*ROUND(N70*O70*revleg_thin,0))-(((battery/range_nm)*G70*ROUND(N70*O70*revleg_thin,0)*VLOOKUP(B70,country_opex,3,FALSE))+Y70+Z70+AA70+AB70+AC70))&lt;=0,"",VLOOKUP(B70,country_opex,7,FALSE)/((V70*pax_cap*load_thin*ROUND(N70*O70*revleg_thin,0))-(((battery/range_nm)*G70*ROUND(N70*O70*revleg_thin,0)*VLOOKUP(B70,country_opex,3,FALSE))+Y70+Z70+AA70+AB70+AC70)))</f>
        <v/>
      </c>
      <c r="AX70" s="54">
        <f>IF(((V70*pax_cap*load_mid*ROUND(N70*O70*revleg_mid,0))-(((battery/range_nm)*G70*ROUND(N70*O70*revleg_mid,0)*VLOOKUP(B70,country_opex,3,FALSE))+Y70+Z70+AA70+AB70+AC70))&lt;=0,"",VLOOKUP(B70,country_opex,7,FALSE)/((V70*pax_cap*load_mid*ROUND(N70*O70*revleg_mid,0))-(((battery/range_nm)*G70*ROUND(N70*O70*revleg_mid,0)*VLOOKUP(B70,country_opex,3,FALSE))+Y70+Z70+AA70+AB70+AC70)))</f>
        <v/>
      </c>
      <c r="AY70" s="54">
        <f>IF(((V70*pax_cap*load_full*ROUND(N70*O70*revleg_full,0))-(((battery/range_nm)*G70*ROUND(N70*O70*revleg_full,0)*VLOOKUP(B70,country_opex,3,FALSE))+Y70+Z70+AA70+AB70+AC70))&lt;=0,"",VLOOKUP(B70,country_opex,7,FALSE)/((V70*pax_cap*load_full*ROUND(N70*O70*revleg_full,0))-(((battery/range_nm)*G70*ROUND(N70*O70*revleg_full,0)*VLOOKUP(B70,country_opex,3,FALSE))+Y70+Z70+AA70+AB70+AC70)))</f>
        <v/>
      </c>
      <c r="AZ70" s="40" t="inlineStr">
        <is>
          <t>JT-Line adult ferry seat EUR 8 (Summer 2026; EUR 9 quoted 2024). EUR 8 x 1.08 = $8.64.</t>
        </is>
      </c>
      <c r="BA70" s="40" t="n"/>
    </row>
    <row r="71">
      <c r="A71" s="38" t="inlineStr">
        <is>
          <t>Bolt Finland</t>
        </is>
      </c>
      <c r="B71" s="38" t="inlineStr">
        <is>
          <t>Finland</t>
        </is>
      </c>
      <c r="C71" s="39" t="inlineStr">
        <is>
          <t>Helsinki → Korkeasaari (Zoo island)</t>
        </is>
      </c>
      <c r="D71" s="38" t="inlineStr">
        <is>
          <t>bolt</t>
        </is>
      </c>
      <c r="E71" s="40" t="inlineStr">
        <is>
          <t>bolt-finland</t>
        </is>
      </c>
      <c r="F71" s="41" t="n">
        <v>1</v>
      </c>
      <c r="G71" s="42" t="n">
        <v>2</v>
      </c>
      <c r="H71" s="35" t="n">
        <v>8.640000000000001</v>
      </c>
      <c r="I71" s="43" t="inlineStr">
        <is>
          <t>T2</t>
        </is>
      </c>
      <c r="J71" s="43" t="inlineStr">
        <is>
          <t>med</t>
        </is>
      </c>
      <c r="K71" s="29" t="n">
        <v>1</v>
      </c>
      <c r="L71" s="44">
        <f>60*G71/cruise_kt</f>
        <v/>
      </c>
      <c r="M71" s="44">
        <f>L71+turn_min+dwell_min</f>
        <v/>
      </c>
      <c r="N71" s="45">
        <f>MIN(10,FLOOR(60*service_hr/M71,1))</f>
        <v/>
      </c>
      <c r="O71" s="45">
        <f>ROUND(365*mech_uptime*K71,0)</f>
        <v/>
      </c>
      <c r="P71" s="46">
        <f>mech_uptime</f>
        <v/>
      </c>
      <c r="Q71" s="46">
        <f>revleg_sel</f>
        <v/>
      </c>
      <c r="R71" s="45">
        <f>ROUND(N71*O71*revleg_sel,0)</f>
        <v/>
      </c>
      <c r="S71" s="47">
        <f>load_sel</f>
        <v/>
      </c>
      <c r="T71" s="47">
        <f>pax_cap*S71</f>
        <v/>
      </c>
      <c r="U71" s="45">
        <f>T71*R71</f>
        <v/>
      </c>
      <c r="V71" s="48">
        <f>H71*discount</f>
        <v/>
      </c>
      <c r="W71" s="49">
        <f>V71*U71</f>
        <v/>
      </c>
      <c r="X71" s="49">
        <f>(battery/range_nm)*G71*R71*VLOOKUP(B71,country_opex,3,FALSE)</f>
        <v/>
      </c>
      <c r="Y71" s="49">
        <f>VLOOKUP(B71,country_opex,2,FALSE)*crew_factor</f>
        <v/>
      </c>
      <c r="Z71" s="49">
        <f>VLOOKUP(B71,country_opex,5,FALSE)</f>
        <v/>
      </c>
      <c r="AA71" s="49">
        <f>maint</f>
        <v/>
      </c>
      <c r="AB71" s="49">
        <f>VLOOKUP(B71,country_opex,7,FALSE)*ins_pct</f>
        <v/>
      </c>
      <c r="AC71" s="49">
        <f>charge_berth</f>
        <v/>
      </c>
      <c r="AD71" s="49">
        <f>X71+Y71+Z71+AA71+AB71+AC71</f>
        <v/>
      </c>
      <c r="AE71" s="49">
        <f>VLOOKUP(B71,country_opex,7,FALSE)/dep_years</f>
        <v/>
      </c>
      <c r="AF71" s="49">
        <f>W71-AD71</f>
        <v/>
      </c>
      <c r="AG71" s="46">
        <f>IF(W71=0,"",AF71/W71)</f>
        <v/>
      </c>
      <c r="AH71" s="47">
        <f>IF(AF71&lt;=0,"",VLOOKUP(B71,country_opex,7,FALSE)/AF71)</f>
        <v/>
      </c>
      <c r="AI71" s="44">
        <f>((G71*R71/diesel_nmpg)*diesel_co2pg-(battery/range_nm)*G71*R71*VLOOKUP(B71,country_opex,4,FALSE))/1000</f>
        <v/>
      </c>
      <c r="AJ71" s="42" t="n">
        <v>500000</v>
      </c>
      <c r="AK71" s="43" t="n"/>
      <c r="AL71" s="43" t="n"/>
      <c r="AM71" s="50" t="n">
        <v>0.1</v>
      </c>
      <c r="AN71" s="45">
        <f>IF(AJ71="","",AJ71*AM71)</f>
        <v/>
      </c>
      <c r="AO71" s="45">
        <f>IF(OR(AJ71="",U71=0),"",MIN(IF(AV71="",9.9E+99,AV71),FLOOR(AN71/U71,1)))</f>
        <v/>
      </c>
      <c r="AP71" s="49">
        <f>IF(AO71="","",AO71*W71)</f>
        <v/>
      </c>
      <c r="AQ71" s="47">
        <f>IF(OR(AJ71="",U71=0),"",MIN(IF(AV71="",9.9E+99,AV71),AN71/U71))</f>
        <v/>
      </c>
      <c r="AR71" s="49">
        <f>IF(AQ71="","",AQ71*W71)</f>
        <v/>
      </c>
      <c r="AS71" s="51" t="n"/>
      <c r="AT71" s="52" t="n"/>
      <c r="AU71" s="52" t="n"/>
      <c r="AV71" s="53" t="n"/>
      <c r="AW71" s="54">
        <f>IF(((V71*pax_cap*load_thin*ROUND(N71*O71*revleg_thin,0))-(((battery/range_nm)*G71*ROUND(N71*O71*revleg_thin,0)*VLOOKUP(B71,country_opex,3,FALSE))+Y71+Z71+AA71+AB71+AC71))&lt;=0,"",VLOOKUP(B71,country_opex,7,FALSE)/((V71*pax_cap*load_thin*ROUND(N71*O71*revleg_thin,0))-(((battery/range_nm)*G71*ROUND(N71*O71*revleg_thin,0)*VLOOKUP(B71,country_opex,3,FALSE))+Y71+Z71+AA71+AB71+AC71)))</f>
        <v/>
      </c>
      <c r="AX71" s="54">
        <f>IF(((V71*pax_cap*load_mid*ROUND(N71*O71*revleg_mid,0))-(((battery/range_nm)*G71*ROUND(N71*O71*revleg_mid,0)*VLOOKUP(B71,country_opex,3,FALSE))+Y71+Z71+AA71+AB71+AC71))&lt;=0,"",VLOOKUP(B71,country_opex,7,FALSE)/((V71*pax_cap*load_mid*ROUND(N71*O71*revleg_mid,0))-(((battery/range_nm)*G71*ROUND(N71*O71*revleg_mid,0)*VLOOKUP(B71,country_opex,3,FALSE))+Y71+Z71+AA71+AB71+AC71)))</f>
        <v/>
      </c>
      <c r="AY71" s="54">
        <f>IF(((V71*pax_cap*load_full*ROUND(N71*O71*revleg_full,0))-(((battery/range_nm)*G71*ROUND(N71*O71*revleg_full,0)*VLOOKUP(B71,country_opex,3,FALSE))+Y71+Z71+AA71+AB71+AC71))&lt;=0,"",VLOOKUP(B71,country_opex,7,FALSE)/((V71*pax_cap*load_full*ROUND(N71*O71*revleg_full,0))-(((battery/range_nm)*G71*ROUND(N71*O71*revleg_full,0)*VLOOKUP(B71,country_opex,3,FALSE))+Y71+Z71+AA71+AB71+AC71)))</f>
        <v/>
      </c>
      <c r="AZ71" s="40" t="inlineStr">
        <is>
          <t>Seasonal Market Square-&gt;Korkeasaari ferry adult seat ~EUR 8 (archipelago leisure tier; zoo admission separate). EUR 8 x 1.08 = $8.64.</t>
        </is>
      </c>
      <c r="BA71" s="40" t="n"/>
    </row>
    <row r="72">
      <c r="A72" s="38" t="inlineStr">
        <is>
          <t>Bolt Finland</t>
        </is>
      </c>
      <c r="B72" s="38" t="inlineStr">
        <is>
          <t>Finland</t>
        </is>
      </c>
      <c r="C72" s="39" t="inlineStr">
        <is>
          <t>Helsinki → Kruunuvuorenranta (Laajasalo)</t>
        </is>
      </c>
      <c r="D72" s="38" t="inlineStr">
        <is>
          <t>bolt</t>
        </is>
      </c>
      <c r="E72" s="40" t="inlineStr">
        <is>
          <t>bolt-finland</t>
        </is>
      </c>
      <c r="F72" s="41" t="n">
        <v>1</v>
      </c>
      <c r="G72" s="42" t="n">
        <v>2</v>
      </c>
      <c r="H72" s="35" t="n">
        <v>18</v>
      </c>
      <c r="I72" s="43" t="inlineStr">
        <is>
          <t>T2</t>
        </is>
      </c>
      <c r="J72" s="43" t="inlineStr">
        <is>
          <t>med</t>
        </is>
      </c>
      <c r="K72" s="29" t="n">
        <v>1</v>
      </c>
      <c r="L72" s="44">
        <f>60*G72/cruise_kt</f>
        <v/>
      </c>
      <c r="M72" s="44">
        <f>L72+turn_min+dwell_min</f>
        <v/>
      </c>
      <c r="N72" s="45">
        <f>MIN(16,FLOOR(60*service_hr/M72,1))</f>
        <v/>
      </c>
      <c r="O72" s="45">
        <f>ROUND(365*mech_uptime*K72,0)</f>
        <v/>
      </c>
      <c r="P72" s="46">
        <f>mech_uptime</f>
        <v/>
      </c>
      <c r="Q72" s="46">
        <f>revleg_sel</f>
        <v/>
      </c>
      <c r="R72" s="45">
        <f>ROUND(N72*O72*revleg_sel,0)</f>
        <v/>
      </c>
      <c r="S72" s="47">
        <f>load_sel</f>
        <v/>
      </c>
      <c r="T72" s="47">
        <f>pax_cap*S72</f>
        <v/>
      </c>
      <c r="U72" s="45">
        <f>T72*R72</f>
        <v/>
      </c>
      <c r="V72" s="48">
        <f>H72*discount</f>
        <v/>
      </c>
      <c r="W72" s="49">
        <f>V72*U72</f>
        <v/>
      </c>
      <c r="X72" s="49">
        <f>(battery/range_nm)*G72*R72*VLOOKUP(B72,country_opex,3,FALSE)</f>
        <v/>
      </c>
      <c r="Y72" s="49">
        <f>VLOOKUP(B72,country_opex,2,FALSE)*crew_factor</f>
        <v/>
      </c>
      <c r="Z72" s="49">
        <f>VLOOKUP(B72,country_opex,5,FALSE)</f>
        <v/>
      </c>
      <c r="AA72" s="49">
        <f>maint</f>
        <v/>
      </c>
      <c r="AB72" s="49">
        <f>VLOOKUP(B72,country_opex,7,FALSE)*ins_pct</f>
        <v/>
      </c>
      <c r="AC72" s="49">
        <f>charge_berth</f>
        <v/>
      </c>
      <c r="AD72" s="49">
        <f>X72+Y72+Z72+AA72+AB72+AC72</f>
        <v/>
      </c>
      <c r="AE72" s="49">
        <f>VLOOKUP(B72,country_opex,7,FALSE)/dep_years</f>
        <v/>
      </c>
      <c r="AF72" s="49">
        <f>W72-AD72</f>
        <v/>
      </c>
      <c r="AG72" s="46">
        <f>IF(W72=0,"",AF72/W72)</f>
        <v/>
      </c>
      <c r="AH72" s="47">
        <f>IF(AF72&lt;=0,"",VLOOKUP(B72,country_opex,7,FALSE)/AF72)</f>
        <v/>
      </c>
      <c r="AI72" s="44">
        <f>((G72*R72/diesel_nmpg)*diesel_co2pg-(battery/range_nm)*G72*R72*VLOOKUP(B72,country_opex,4,FALSE))/1000</f>
        <v/>
      </c>
      <c r="AJ72" s="42" t="n"/>
      <c r="AK72" s="43" t="n"/>
      <c r="AL72" s="43" t="n"/>
      <c r="AM72" s="50" t="n">
        <v>0.1</v>
      </c>
      <c r="AN72" s="45">
        <f>IF(AJ72="","",AJ72*AM72)</f>
        <v/>
      </c>
      <c r="AO72" s="45">
        <f>IF(OR(AJ72="",U72=0),"",MIN(IF(AV72="",9.9E+99,AV72),FLOOR(AN72/U72,1)))</f>
        <v/>
      </c>
      <c r="AP72" s="49">
        <f>IF(AO72="","",AO72*W72)</f>
        <v/>
      </c>
      <c r="AQ72" s="47">
        <f>IF(OR(AJ72="",U72=0),"",MIN(IF(AV72="",9.9E+99,AV72),AN72/U72))</f>
        <v/>
      </c>
      <c r="AR72" s="49">
        <f>IF(AQ72="","",AQ72*W72)</f>
        <v/>
      </c>
      <c r="AS72" s="51" t="n"/>
      <c r="AT72" s="52" t="n"/>
      <c r="AU72" s="52" t="n"/>
      <c r="AV72" s="53" t="n"/>
      <c r="AW72" s="54">
        <f>IF(((V72*pax_cap*load_thin*ROUND(N72*O72*revleg_thin,0))-(((battery/range_nm)*G72*ROUND(N72*O72*revleg_thin,0)*VLOOKUP(B72,country_opex,3,FALSE))+Y72+Z72+AA72+AB72+AC72))&lt;=0,"",VLOOKUP(B72,country_opex,7,FALSE)/((V72*pax_cap*load_thin*ROUND(N72*O72*revleg_thin,0))-(((battery/range_nm)*G72*ROUND(N72*O72*revleg_thin,0)*VLOOKUP(B72,country_opex,3,FALSE))+Y72+Z72+AA72+AB72+AC72)))</f>
        <v/>
      </c>
      <c r="AX72" s="54">
        <f>IF(((V72*pax_cap*load_mid*ROUND(N72*O72*revleg_mid,0))-(((battery/range_nm)*G72*ROUND(N72*O72*revleg_mid,0)*VLOOKUP(B72,country_opex,3,FALSE))+Y72+Z72+AA72+AB72+AC72))&lt;=0,"",VLOOKUP(B72,country_opex,7,FALSE)/((V72*pax_cap*load_mid*ROUND(N72*O72*revleg_mid,0))-(((battery/range_nm)*G72*ROUND(N72*O72*revleg_mid,0)*VLOOKUP(B72,country_opex,3,FALSE))+Y72+Z72+AA72+AB72+AC72)))</f>
        <v/>
      </c>
      <c r="AY72" s="54">
        <f>IF(((V72*pax_cap*load_full*ROUND(N72*O72*revleg_full,0))-(((battery/range_nm)*G72*ROUND(N72*O72*revleg_full,0)*VLOOKUP(B72,country_opex,3,FALSE))+Y72+Z72+AA72+AB72+AC72))&lt;=0,"",VLOOKUP(B72,country_opex,7,FALSE)/((V72*pax_cap*load_full*ROUND(N72*O72*revleg_full,0))-(((battery/range_nm)*G72*ROUND(N72*O72*revleg_full,0)*VLOOKUP(B72,country_opex,3,FALSE))+Y72+Z72+AA72+AB72+AC72)))</f>
        <v/>
      </c>
      <c r="AZ72" s="40" t="inlineStr">
        <is>
          <t>[LB-255 PREMIUM RE-FARE: subsidized comparable $3.56 lifted to premium on-demand floor $18.0] HSL AB-zone single EUR 3.30 (the route is a public-transit substitute; no premium scheduled tier exists). EUR 3.30 x 1.08 = $3.56. Recorded as commuter-grade.</t>
        </is>
      </c>
      <c r="BA72" s="40" t="n"/>
    </row>
    <row r="73">
      <c r="A73" s="38" t="inlineStr">
        <is>
          <t>Bolt Finland</t>
        </is>
      </c>
      <c r="B73" s="38" t="inlineStr">
        <is>
          <t>Finland</t>
        </is>
      </c>
      <c r="C73" s="39" t="inlineStr">
        <is>
          <t>Helsinki → Vallisaari</t>
        </is>
      </c>
      <c r="D73" s="38" t="inlineStr">
        <is>
          <t>bolt</t>
        </is>
      </c>
      <c r="E73" s="40" t="inlineStr">
        <is>
          <t>bolt-finland</t>
        </is>
      </c>
      <c r="F73" s="41" t="n">
        <v>1</v>
      </c>
      <c r="G73" s="42" t="n">
        <v>2.5</v>
      </c>
      <c r="H73" s="35" t="n">
        <v>8.640000000000001</v>
      </c>
      <c r="I73" s="43" t="inlineStr">
        <is>
          <t>T2</t>
        </is>
      </c>
      <c r="J73" s="43" t="inlineStr">
        <is>
          <t>med</t>
        </is>
      </c>
      <c r="K73" s="29" t="n">
        <v>1</v>
      </c>
      <c r="L73" s="44">
        <f>60*G73/cruise_kt</f>
        <v/>
      </c>
      <c r="M73" s="44">
        <f>L73+turn_min+dwell_min</f>
        <v/>
      </c>
      <c r="N73" s="45">
        <f>MIN(10,FLOOR(60*service_hr/M73,1))</f>
        <v/>
      </c>
      <c r="O73" s="45">
        <f>ROUND(365*mech_uptime*K73,0)</f>
        <v/>
      </c>
      <c r="P73" s="46">
        <f>mech_uptime</f>
        <v/>
      </c>
      <c r="Q73" s="46">
        <f>revleg_sel</f>
        <v/>
      </c>
      <c r="R73" s="45">
        <f>ROUND(N73*O73*revleg_sel,0)</f>
        <v/>
      </c>
      <c r="S73" s="47">
        <f>load_sel</f>
        <v/>
      </c>
      <c r="T73" s="47">
        <f>pax_cap*S73</f>
        <v/>
      </c>
      <c r="U73" s="45">
        <f>T73*R73</f>
        <v/>
      </c>
      <c r="V73" s="48">
        <f>H73*discount</f>
        <v/>
      </c>
      <c r="W73" s="49">
        <f>V73*U73</f>
        <v/>
      </c>
      <c r="X73" s="49">
        <f>(battery/range_nm)*G73*R73*VLOOKUP(B73,country_opex,3,FALSE)</f>
        <v/>
      </c>
      <c r="Y73" s="49">
        <f>VLOOKUP(B73,country_opex,2,FALSE)*crew_factor</f>
        <v/>
      </c>
      <c r="Z73" s="49">
        <f>VLOOKUP(B73,country_opex,5,FALSE)</f>
        <v/>
      </c>
      <c r="AA73" s="49">
        <f>maint</f>
        <v/>
      </c>
      <c r="AB73" s="49">
        <f>VLOOKUP(B73,country_opex,7,FALSE)*ins_pct</f>
        <v/>
      </c>
      <c r="AC73" s="49">
        <f>charge_berth</f>
        <v/>
      </c>
      <c r="AD73" s="49">
        <f>X73+Y73+Z73+AA73+AB73+AC73</f>
        <v/>
      </c>
      <c r="AE73" s="49">
        <f>VLOOKUP(B73,country_opex,7,FALSE)/dep_years</f>
        <v/>
      </c>
      <c r="AF73" s="49">
        <f>W73-AD73</f>
        <v/>
      </c>
      <c r="AG73" s="46">
        <f>IF(W73=0,"",AF73/W73)</f>
        <v/>
      </c>
      <c r="AH73" s="47">
        <f>IF(AF73&lt;=0,"",VLOOKUP(B73,country_opex,7,FALSE)/AF73)</f>
        <v/>
      </c>
      <c r="AI73" s="44">
        <f>((G73*R73/diesel_nmpg)*diesel_co2pg-(battery/range_nm)*G73*R73*VLOOKUP(B73,country_opex,4,FALSE))/1000</f>
        <v/>
      </c>
      <c r="AJ73" s="42" t="n">
        <v>500000</v>
      </c>
      <c r="AK73" s="43" t="n"/>
      <c r="AL73" s="43" t="n"/>
      <c r="AM73" s="50" t="n">
        <v>0.1</v>
      </c>
      <c r="AN73" s="45">
        <f>IF(AJ73="","",AJ73*AM73)</f>
        <v/>
      </c>
      <c r="AO73" s="45">
        <f>IF(OR(AJ73="",U73=0),"",MIN(IF(AV73="",9.9E+99,AV73),FLOOR(AN73/U73,1)))</f>
        <v/>
      </c>
      <c r="AP73" s="49">
        <f>IF(AO73="","",AO73*W73)</f>
        <v/>
      </c>
      <c r="AQ73" s="47">
        <f>IF(OR(AJ73="",U73=0),"",MIN(IF(AV73="",9.9E+99,AV73),AN73/U73))</f>
        <v/>
      </c>
      <c r="AR73" s="49">
        <f>IF(AQ73="","",AQ73*W73)</f>
        <v/>
      </c>
      <c r="AS73" s="51" t="n"/>
      <c r="AT73" s="52" t="n"/>
      <c r="AU73" s="52" t="n"/>
      <c r="AV73" s="53" t="n"/>
      <c r="AW73" s="54">
        <f>IF(((V73*pax_cap*load_thin*ROUND(N73*O73*revleg_thin,0))-(((battery/range_nm)*G73*ROUND(N73*O73*revleg_thin,0)*VLOOKUP(B73,country_opex,3,FALSE))+Y73+Z73+AA73+AB73+AC73))&lt;=0,"",VLOOKUP(B73,country_opex,7,FALSE)/((V73*pax_cap*load_thin*ROUND(N73*O73*revleg_thin,0))-(((battery/range_nm)*G73*ROUND(N73*O73*revleg_thin,0)*VLOOKUP(B73,country_opex,3,FALSE))+Y73+Z73+AA73+AB73+AC73)))</f>
        <v/>
      </c>
      <c r="AX73" s="54">
        <f>IF(((V73*pax_cap*load_mid*ROUND(N73*O73*revleg_mid,0))-(((battery/range_nm)*G73*ROUND(N73*O73*revleg_mid,0)*VLOOKUP(B73,country_opex,3,FALSE))+Y73+Z73+AA73+AB73+AC73))&lt;=0,"",VLOOKUP(B73,country_opex,7,FALSE)/((V73*pax_cap*load_mid*ROUND(N73*O73*revleg_mid,0))-(((battery/range_nm)*G73*ROUND(N73*O73*revleg_mid,0)*VLOOKUP(B73,country_opex,3,FALSE))+Y73+Z73+AA73+AB73+AC73)))</f>
        <v/>
      </c>
      <c r="AY73" s="54">
        <f>IF(((V73*pax_cap*load_full*ROUND(N73*O73*revleg_full,0))-(((battery/range_nm)*G73*ROUND(N73*O73*revleg_full,0)*VLOOKUP(B73,country_opex,3,FALSE))+Y73+Z73+AA73+AB73+AC73))&lt;=0,"",VLOOKUP(B73,country_opex,7,FALSE)/((V73*pax_cap*load_full*ROUND(N73*O73*revleg_full,0))-(((battery/range_nm)*G73*ROUND(N73*O73*revleg_full,0)*VLOOKUP(B73,country_opex,3,FALSE))+Y73+Z73+AA73+AB73+AC73)))</f>
        <v/>
      </c>
      <c r="AZ73" s="40" t="inlineStr">
        <is>
          <t>JT-Line adult island ferry seat ~EUR 8 (2026 island-hop tariff; EUR 9 quoted 2024). EUR 8 x 1.08 = $8.64.</t>
        </is>
      </c>
      <c r="BA73" s="40" t="n"/>
    </row>
    <row r="74">
      <c r="A74" s="38" t="inlineStr">
        <is>
          <t>Bolt Finland</t>
        </is>
      </c>
      <c r="B74" s="38" t="inlineStr">
        <is>
          <t>Finland</t>
        </is>
      </c>
      <c r="C74" s="39" t="inlineStr">
        <is>
          <t>Helsinki → Porvoo</t>
        </is>
      </c>
      <c r="D74" s="38" t="inlineStr">
        <is>
          <t>bolt</t>
        </is>
      </c>
      <c r="E74" s="40" t="inlineStr">
        <is>
          <t>bolt-finland</t>
        </is>
      </c>
      <c r="F74" s="41" t="n">
        <v>1</v>
      </c>
      <c r="G74" s="42" t="n">
        <v>26</v>
      </c>
      <c r="H74" s="35" t="n"/>
      <c r="I74" s="43" t="n"/>
      <c r="J74" s="43" t="n"/>
      <c r="K74" s="29" t="n">
        <v>1</v>
      </c>
      <c r="L74" s="44">
        <f>60*G74/cruise_kt</f>
        <v/>
      </c>
      <c r="M74" s="44">
        <f>L74+turn_min+dwell_min</f>
        <v/>
      </c>
      <c r="N74" s="45">
        <f>MIN(16,FLOOR(60*service_hr/M74,1))</f>
        <v/>
      </c>
      <c r="O74" s="45">
        <f>ROUND(365*mech_uptime*K74,0)</f>
        <v/>
      </c>
      <c r="P74" s="46">
        <f>mech_uptime</f>
        <v/>
      </c>
      <c r="Q74" s="46">
        <f>revleg_sel</f>
        <v/>
      </c>
      <c r="R74" s="45">
        <f>ROUND(N74*O74*revleg_sel,0)</f>
        <v/>
      </c>
      <c r="S74" s="47">
        <f>load_sel</f>
        <v/>
      </c>
      <c r="T74" s="47">
        <f>pax_cap*S74</f>
        <v/>
      </c>
      <c r="U74" s="45">
        <f>T74*R74</f>
        <v/>
      </c>
      <c r="V74" s="48">
        <f>H74*discount</f>
        <v/>
      </c>
      <c r="W74" s="49">
        <f>V74*U74</f>
        <v/>
      </c>
      <c r="X74" s="49">
        <f>(battery/range_nm)*G74*R74*VLOOKUP(B74,country_opex,3,FALSE)</f>
        <v/>
      </c>
      <c r="Y74" s="49">
        <f>VLOOKUP(B74,country_opex,2,FALSE)*crew_factor</f>
        <v/>
      </c>
      <c r="Z74" s="49">
        <f>VLOOKUP(B74,country_opex,5,FALSE)</f>
        <v/>
      </c>
      <c r="AA74" s="49">
        <f>maint</f>
        <v/>
      </c>
      <c r="AB74" s="49">
        <f>VLOOKUP(B74,country_opex,7,FALSE)*ins_pct</f>
        <v/>
      </c>
      <c r="AC74" s="49">
        <f>charge_berth</f>
        <v/>
      </c>
      <c r="AD74" s="49">
        <f>X74+Y74+Z74+AA74+AB74+AC74</f>
        <v/>
      </c>
      <c r="AE74" s="49">
        <f>VLOOKUP(B74,country_opex,7,FALSE)/dep_years</f>
        <v/>
      </c>
      <c r="AF74" s="49">
        <f>W74-AD74</f>
        <v/>
      </c>
      <c r="AG74" s="46">
        <f>IF(W74=0,"",AF74/W74)</f>
        <v/>
      </c>
      <c r="AH74" s="47">
        <f>IF(AF74&lt;=0,"",VLOOKUP(B74,country_opex,7,FALSE)/AF74)</f>
        <v/>
      </c>
      <c r="AI74" s="44">
        <f>((G74*R74/diesel_nmpg)*diesel_co2pg-(battery/range_nm)*G74*R74*VLOOKUP(B74,country_opex,4,FALSE))/1000</f>
        <v/>
      </c>
      <c r="AJ74" s="42" t="n"/>
      <c r="AK74" s="43" t="n"/>
      <c r="AL74" s="43" t="n"/>
      <c r="AM74" s="50" t="n">
        <v>0.1</v>
      </c>
      <c r="AN74" s="45">
        <f>IF(AJ74="","",AJ74*AM74)</f>
        <v/>
      </c>
      <c r="AO74" s="45">
        <f>IF(OR(AJ74="",U74=0),"",MIN(IF(AV74="",9.9E+99,AV74),FLOOR(AN74/U74,1)))</f>
        <v/>
      </c>
      <c r="AP74" s="49">
        <f>IF(AO74="","",AO74*W74)</f>
        <v/>
      </c>
      <c r="AQ74" s="47">
        <f>IF(OR(AJ74="",U74=0),"",MIN(IF(AV74="",9.9E+99,AV74),AN74/U74))</f>
        <v/>
      </c>
      <c r="AR74" s="49">
        <f>IF(AQ74="","",AQ74*W74)</f>
        <v/>
      </c>
      <c r="AS74" s="51" t="n"/>
      <c r="AT74" s="52" t="n"/>
      <c r="AU74" s="52" t="n"/>
      <c r="AV74" s="53" t="n"/>
      <c r="AW74" s="54">
        <f>IF(((V74*pax_cap*load_thin*ROUND(N74*O74*revleg_thin,0))-(((battery/range_nm)*G74*ROUND(N74*O74*revleg_thin,0)*VLOOKUP(B74,country_opex,3,FALSE))+Y74+Z74+AA74+AB74+AC74))&lt;=0,"",VLOOKUP(B74,country_opex,7,FALSE)/((V74*pax_cap*load_thin*ROUND(N74*O74*revleg_thin,0))-(((battery/range_nm)*G74*ROUND(N74*O74*revleg_thin,0)*VLOOKUP(B74,country_opex,3,FALSE))+Y74+Z74+AA74+AB74+AC74)))</f>
        <v/>
      </c>
      <c r="AX74" s="54">
        <f>IF(((V74*pax_cap*load_mid*ROUND(N74*O74*revleg_mid,0))-(((battery/range_nm)*G74*ROUND(N74*O74*revleg_mid,0)*VLOOKUP(B74,country_opex,3,FALSE))+Y74+Z74+AA74+AB74+AC74))&lt;=0,"",VLOOKUP(B74,country_opex,7,FALSE)/((V74*pax_cap*load_mid*ROUND(N74*O74*revleg_mid,0))-(((battery/range_nm)*G74*ROUND(N74*O74*revleg_mid,0)*VLOOKUP(B74,country_opex,3,FALSE))+Y74+Z74+AA74+AB74+AC74)))</f>
        <v/>
      </c>
      <c r="AY74" s="54">
        <f>IF(((V74*pax_cap*load_full*ROUND(N74*O74*revleg_full,0))-(((battery/range_nm)*G74*ROUND(N74*O74*revleg_full,0)*VLOOKUP(B74,country_opex,3,FALSE))+Y74+Z74+AA74+AB74+AC74))&lt;=0,"",VLOOKUP(B74,country_opex,7,FALSE)/((V74*pax_cap*load_full*ROUND(N74*O74*revleg_full,0))-(((battery/range_nm)*G74*ROUND(N74*O74*revleg_full,0)*VLOOKUP(B74,country_opex,3,FALSE))+Y74+Z74+AA74+AB74+AC74)))</f>
        <v/>
      </c>
      <c r="AZ74" s="40" t="n"/>
      <c r="BA74" s="40" t="n"/>
    </row>
    <row r="75">
      <c r="A75" s="38" t="inlineStr">
        <is>
          <t>Bolt Finland</t>
        </is>
      </c>
      <c r="B75" s="38" t="inlineStr">
        <is>
          <t>Finland</t>
        </is>
      </c>
      <c r="C75" s="39" t="inlineStr">
        <is>
          <t>Helsinki → Tallinn</t>
        </is>
      </c>
      <c r="D75" s="38" t="inlineStr">
        <is>
          <t>bolt</t>
        </is>
      </c>
      <c r="E75" s="40" t="inlineStr">
        <is>
          <t>bolt-finland</t>
        </is>
      </c>
      <c r="F75" s="41" t="n">
        <v>1</v>
      </c>
      <c r="G75" s="42" t="n">
        <v>43</v>
      </c>
      <c r="H75" s="35" t="n">
        <v>27</v>
      </c>
      <c r="I75" s="43" t="inlineStr">
        <is>
          <t>T2</t>
        </is>
      </c>
      <c r="J75" s="43" t="inlineStr">
        <is>
          <t>med</t>
        </is>
      </c>
      <c r="K75" s="29" t="n">
        <v>1</v>
      </c>
      <c r="L75" s="44">
        <f>60*G75/cruise_kt</f>
        <v/>
      </c>
      <c r="M75" s="44">
        <f>L75+turn_min+dwell_min</f>
        <v/>
      </c>
      <c r="N75" s="45">
        <f>MIN(10,FLOOR(60*service_hr/M75,1))</f>
        <v/>
      </c>
      <c r="O75" s="45">
        <f>ROUND(365*mech_uptime*K75,0)</f>
        <v/>
      </c>
      <c r="P75" s="46">
        <f>mech_uptime</f>
        <v/>
      </c>
      <c r="Q75" s="46">
        <f>revleg_sel</f>
        <v/>
      </c>
      <c r="R75" s="45">
        <f>ROUND(N75*O75*revleg_sel,0)</f>
        <v/>
      </c>
      <c r="S75" s="47">
        <f>load_sel</f>
        <v/>
      </c>
      <c r="T75" s="47">
        <f>pax_cap*S75</f>
        <v/>
      </c>
      <c r="U75" s="45">
        <f>T75*R75</f>
        <v/>
      </c>
      <c r="V75" s="48">
        <f>H75*discount</f>
        <v/>
      </c>
      <c r="W75" s="49">
        <f>V75*U75</f>
        <v/>
      </c>
      <c r="X75" s="49">
        <f>(battery/range_nm)*G75*R75*VLOOKUP(B75,country_opex,3,FALSE)</f>
        <v/>
      </c>
      <c r="Y75" s="49">
        <f>VLOOKUP(B75,country_opex,2,FALSE)*crew_factor</f>
        <v/>
      </c>
      <c r="Z75" s="49">
        <f>VLOOKUP(B75,country_opex,5,FALSE)</f>
        <v/>
      </c>
      <c r="AA75" s="49">
        <f>maint</f>
        <v/>
      </c>
      <c r="AB75" s="49">
        <f>VLOOKUP(B75,country_opex,7,FALSE)*ins_pct</f>
        <v/>
      </c>
      <c r="AC75" s="49">
        <f>charge_berth</f>
        <v/>
      </c>
      <c r="AD75" s="49">
        <f>X75+Y75+Z75+AA75+AB75+AC75</f>
        <v/>
      </c>
      <c r="AE75" s="49">
        <f>VLOOKUP(B75,country_opex,7,FALSE)/dep_years</f>
        <v/>
      </c>
      <c r="AF75" s="49">
        <f>W75-AD75</f>
        <v/>
      </c>
      <c r="AG75" s="46">
        <f>IF(W75=0,"",AF75/W75)</f>
        <v/>
      </c>
      <c r="AH75" s="47">
        <f>IF(AF75&lt;=0,"",VLOOKUP(B75,country_opex,7,FALSE)/AF75)</f>
        <v/>
      </c>
      <c r="AI75" s="44">
        <f>((G75*R75/diesel_nmpg)*diesel_co2pg-(battery/range_nm)*G75*R75*VLOOKUP(B75,country_opex,4,FALSE))/1000</f>
        <v/>
      </c>
      <c r="AJ75" s="42" t="n">
        <v>750000</v>
      </c>
      <c r="AK75" s="43" t="n"/>
      <c r="AL75" s="43" t="inlineStr">
        <is>
          <t>med</t>
        </is>
      </c>
      <c r="AM75" s="50" t="n">
        <v>0.25</v>
      </c>
      <c r="AN75" s="45">
        <f>IF(AJ75="","",AJ75*AM75)</f>
        <v/>
      </c>
      <c r="AO75" s="45">
        <f>IF(OR(AJ75="",U75=0),"",MIN(IF(AV75="",9.9E+99,AV75),FLOOR(AN75/U75,1)))</f>
        <v/>
      </c>
      <c r="AP75" s="49">
        <f>IF(AO75="","",AO75*W75)</f>
        <v/>
      </c>
      <c r="AQ75" s="47">
        <f>IF(OR(AJ75="",U75=0),"",MIN(IF(AV75="",9.9E+99,AV75),AN75/U75))</f>
        <v/>
      </c>
      <c r="AR75" s="49">
        <f>IF(AQ75="","",AQ75*W75)</f>
        <v/>
      </c>
      <c r="AS75" s="51" t="n"/>
      <c r="AT75" s="52" t="n"/>
      <c r="AU75" s="52" t="n"/>
      <c r="AV75" s="53" t="n"/>
      <c r="AW75" s="54">
        <f>IF(((V75*pax_cap*load_thin*ROUND(N75*O75*revleg_thin,0))-(((battery/range_nm)*G75*ROUND(N75*O75*revleg_thin,0)*VLOOKUP(B75,country_opex,3,FALSE))+Y75+Z75+AA75+AB75+AC75))&lt;=0,"",VLOOKUP(B75,country_opex,7,FALSE)/((V75*pax_cap*load_thin*ROUND(N75*O75*revleg_thin,0))-(((battery/range_nm)*G75*ROUND(N75*O75*revleg_thin,0)*VLOOKUP(B75,country_opex,3,FALSE))+Y75+Z75+AA75+AB75+AC75)))</f>
        <v/>
      </c>
      <c r="AX75" s="54">
        <f>IF(((V75*pax_cap*load_mid*ROUND(N75*O75*revleg_mid,0))-(((battery/range_nm)*G75*ROUND(N75*O75*revleg_mid,0)*VLOOKUP(B75,country_opex,3,FALSE))+Y75+Z75+AA75+AB75+AC75))&lt;=0,"",VLOOKUP(B75,country_opex,7,FALSE)/((V75*pax_cap*load_mid*ROUND(N75*O75*revleg_mid,0))-(((battery/range_nm)*G75*ROUND(N75*O75*revleg_mid,0)*VLOOKUP(B75,country_opex,3,FALSE))+Y75+Z75+AA75+AB75+AC75)))</f>
        <v/>
      </c>
      <c r="AY75" s="54">
        <f>IF(((V75*pax_cap*load_full*ROUND(N75*O75*revleg_full,0))-(((battery/range_nm)*G75*ROUND(N75*O75*revleg_full,0)*VLOOKUP(B75,country_opex,3,FALSE))+Y75+Z75+AA75+AB75+AC75))&lt;=0,"",VLOOKUP(B75,country_opex,7,FALSE)/((V75*pax_cap*load_full*ROUND(N75*O75*revleg_full,0))-(((battery/range_nm)*G75*ROUND(N75*O75*revleg_full,0)*VLOOKUP(B75,country_opex,3,FALSE))+Y75+Z75+AA75+AB75+AC75)))</f>
        <v/>
      </c>
      <c r="AZ75" s="40" t="inlineStr">
        <is>
          <t>PREMIUM tier: standard adult walk-up fast-ferry seat ~EUR 25 (range EUR 18-35 by season/operator/advance; Tallink Megastar/MyStar, Viking from EUR 18, Eckero). EUR 25 x 1.08 = $27.0.</t>
        </is>
      </c>
      <c r="BA75" s="40" t="n"/>
    </row>
    <row r="76">
      <c r="A76" s="38" t="inlineStr">
        <is>
          <t>Bolt France Riviera</t>
        </is>
      </c>
      <c r="B76" s="38" t="inlineStr">
        <is>
          <t>France</t>
        </is>
      </c>
      <c r="C76" s="39" t="inlineStr">
        <is>
          <t>Cannes → Ile Sainte-Marguerite (Iles de Lerins)</t>
        </is>
      </c>
      <c r="D76" s="38" t="inlineStr">
        <is>
          <t>bolt</t>
        </is>
      </c>
      <c r="E76" s="40" t="inlineStr">
        <is>
          <t>bolt-france-riviera</t>
        </is>
      </c>
      <c r="F76" s="41" t="n">
        <v>1</v>
      </c>
      <c r="G76" s="42" t="n">
        <v>1.5</v>
      </c>
      <c r="H76" s="35" t="n">
        <v>10.3</v>
      </c>
      <c r="I76" s="43" t="inlineStr">
        <is>
          <t>T2</t>
        </is>
      </c>
      <c r="J76" s="43" t="inlineStr">
        <is>
          <t>med</t>
        </is>
      </c>
      <c r="K76" s="29" t="n">
        <v>1</v>
      </c>
      <c r="L76" s="44">
        <f>60*G76/cruise_kt</f>
        <v/>
      </c>
      <c r="M76" s="44">
        <f>L76+turn_min+dwell_min</f>
        <v/>
      </c>
      <c r="N76" s="45">
        <f>MIN(10,FLOOR(60*service_hr/M76,1))</f>
        <v/>
      </c>
      <c r="O76" s="45">
        <f>ROUND(365*mech_uptime*K76,0)</f>
        <v/>
      </c>
      <c r="P76" s="46">
        <f>mech_uptime</f>
        <v/>
      </c>
      <c r="Q76" s="46">
        <f>revleg_sel</f>
        <v/>
      </c>
      <c r="R76" s="45">
        <f>ROUND(N76*O76*revleg_sel,0)</f>
        <v/>
      </c>
      <c r="S76" s="47">
        <f>load_sel</f>
        <v/>
      </c>
      <c r="T76" s="47">
        <f>pax_cap*S76</f>
        <v/>
      </c>
      <c r="U76" s="45">
        <f>T76*R76</f>
        <v/>
      </c>
      <c r="V76" s="48">
        <f>H76*discount</f>
        <v/>
      </c>
      <c r="W76" s="49">
        <f>V76*U76</f>
        <v/>
      </c>
      <c r="X76" s="49">
        <f>(battery/range_nm)*G76*R76*VLOOKUP(B76,country_opex,3,FALSE)</f>
        <v/>
      </c>
      <c r="Y76" s="49">
        <f>VLOOKUP(B76,country_opex,2,FALSE)*crew_factor</f>
        <v/>
      </c>
      <c r="Z76" s="49">
        <f>VLOOKUP(B76,country_opex,5,FALSE)</f>
        <v/>
      </c>
      <c r="AA76" s="49">
        <f>maint</f>
        <v/>
      </c>
      <c r="AB76" s="49">
        <f>VLOOKUP(B76,country_opex,7,FALSE)*ins_pct</f>
        <v/>
      </c>
      <c r="AC76" s="49">
        <f>charge_berth</f>
        <v/>
      </c>
      <c r="AD76" s="49">
        <f>X76+Y76+Z76+AA76+AB76+AC76</f>
        <v/>
      </c>
      <c r="AE76" s="49">
        <f>VLOOKUP(B76,country_opex,7,FALSE)/dep_years</f>
        <v/>
      </c>
      <c r="AF76" s="49">
        <f>W76-AD76</f>
        <v/>
      </c>
      <c r="AG76" s="46">
        <f>IF(W76=0,"",AF76/W76)</f>
        <v/>
      </c>
      <c r="AH76" s="47">
        <f>IF(AF76&lt;=0,"",VLOOKUP(B76,country_opex,7,FALSE)/AF76)</f>
        <v/>
      </c>
      <c r="AI76" s="44">
        <f>((G76*R76/diesel_nmpg)*diesel_co2pg-(battery/range_nm)*G76*R76*VLOOKUP(B76,country_opex,4,FALSE))/1000</f>
        <v/>
      </c>
      <c r="AJ76" s="42" t="n">
        <v>300000</v>
      </c>
      <c r="AK76" s="43" t="n"/>
      <c r="AL76" s="43" t="n"/>
      <c r="AM76" s="50" t="n">
        <v>0.1</v>
      </c>
      <c r="AN76" s="45">
        <f>IF(AJ76="","",AJ76*AM76)</f>
        <v/>
      </c>
      <c r="AO76" s="45">
        <f>IF(OR(AJ76="",U76=0),"",MIN(IF(AV76="",9.9E+99,AV76),FLOOR(AN76/U76,1)))</f>
        <v/>
      </c>
      <c r="AP76" s="49">
        <f>IF(AO76="","",AO76*W76)</f>
        <v/>
      </c>
      <c r="AQ76" s="47">
        <f>IF(OR(AJ76="",U76=0),"",MIN(IF(AV76="",9.9E+99,AV76),AN76/U76))</f>
        <v/>
      </c>
      <c r="AR76" s="49">
        <f>IF(AQ76="","",AQ76*W76)</f>
        <v/>
      </c>
      <c r="AS76" s="51" t="n"/>
      <c r="AT76" s="52" t="n"/>
      <c r="AU76" s="52" t="n"/>
      <c r="AV76" s="53" t="n"/>
      <c r="AW76" s="54">
        <f>IF(((V76*pax_cap*load_thin*ROUND(N76*O76*revleg_thin,0))-(((battery/range_nm)*G76*ROUND(N76*O76*revleg_thin,0)*VLOOKUP(B76,country_opex,3,FALSE))+Y76+Z76+AA76+AB76+AC76))&lt;=0,"",VLOOKUP(B76,country_opex,7,FALSE)/((V76*pax_cap*load_thin*ROUND(N76*O76*revleg_thin,0))-(((battery/range_nm)*G76*ROUND(N76*O76*revleg_thin,0)*VLOOKUP(B76,country_opex,3,FALSE))+Y76+Z76+AA76+AB76+AC76)))</f>
        <v/>
      </c>
      <c r="AX76" s="54">
        <f>IF(((V76*pax_cap*load_mid*ROUND(N76*O76*revleg_mid,0))-(((battery/range_nm)*G76*ROUND(N76*O76*revleg_mid,0)*VLOOKUP(B76,country_opex,3,FALSE))+Y76+Z76+AA76+AB76+AC76))&lt;=0,"",VLOOKUP(B76,country_opex,7,FALSE)/((V76*pax_cap*load_mid*ROUND(N76*O76*revleg_mid,0))-(((battery/range_nm)*G76*ROUND(N76*O76*revleg_mid,0)*VLOOKUP(B76,country_opex,3,FALSE))+Y76+Z76+AA76+AB76+AC76)))</f>
        <v/>
      </c>
      <c r="AY76" s="54">
        <f>IF(((V76*pax_cap*load_full*ROUND(N76*O76*revleg_full,0))-(((battery/range_nm)*G76*ROUND(N76*O76*revleg_full,0)*VLOOKUP(B76,country_opex,3,FALSE))+Y76+Z76+AA76+AB76+AC76))&lt;=0,"",VLOOKUP(B76,country_opex,7,FALSE)/((V76*pax_cap*load_full*ROUND(N76*O76*revleg_full,0))-(((battery/range_nm)*G76*ROUND(N76*O76*revleg_full,0)*VLOOKUP(B76,country_opex,3,FALSE))+Y76+Z76+AA76+AB76+AC76)))</f>
        <v/>
      </c>
      <c r="AZ76" s="40" t="inlineStr">
        <is>
          <t>PREMIUM scheduled per-seat: Trans Cote d'Azur Cannes&lt;-&gt;Sainte-Marguerite navette EUR 19.00 adult RT (2026, all year) = ~EUR 9.5 one-way x 1.08 = ~$10.3. (Short hop, so the premium tier itself is inexpensive.)</t>
        </is>
      </c>
      <c r="BA76" s="40" t="n"/>
    </row>
    <row r="77">
      <c r="A77" s="38" t="inlineStr">
        <is>
          <t>Bolt France Riviera</t>
        </is>
      </c>
      <c r="B77" s="38" t="inlineStr">
        <is>
          <t>France</t>
        </is>
      </c>
      <c r="C77" s="39" t="inlineStr">
        <is>
          <t>Menton → Monaco</t>
        </is>
      </c>
      <c r="D77" s="38" t="inlineStr">
        <is>
          <t>bolt</t>
        </is>
      </c>
      <c r="E77" s="40" t="inlineStr">
        <is>
          <t>bolt-france-riviera</t>
        </is>
      </c>
      <c r="F77" s="41" t="n">
        <v>1</v>
      </c>
      <c r="G77" s="42" t="n">
        <v>4</v>
      </c>
      <c r="H77" s="35" t="n"/>
      <c r="I77" s="43" t="n"/>
      <c r="J77" s="43" t="n"/>
      <c r="K77" s="29" t="n">
        <v>1</v>
      </c>
      <c r="L77" s="44">
        <f>60*G77/cruise_kt</f>
        <v/>
      </c>
      <c r="M77" s="44">
        <f>L77+turn_min+dwell_min</f>
        <v/>
      </c>
      <c r="N77" s="45">
        <f>MIN(16,FLOOR(60*service_hr/M77,1))</f>
        <v/>
      </c>
      <c r="O77" s="45">
        <f>ROUND(365*mech_uptime*K77,0)</f>
        <v/>
      </c>
      <c r="P77" s="46">
        <f>mech_uptime</f>
        <v/>
      </c>
      <c r="Q77" s="46">
        <f>revleg_sel</f>
        <v/>
      </c>
      <c r="R77" s="45">
        <f>ROUND(N77*O77*revleg_sel,0)</f>
        <v/>
      </c>
      <c r="S77" s="47">
        <f>load_sel</f>
        <v/>
      </c>
      <c r="T77" s="47">
        <f>pax_cap*S77</f>
        <v/>
      </c>
      <c r="U77" s="45">
        <f>T77*R77</f>
        <v/>
      </c>
      <c r="V77" s="48">
        <f>H77*discount</f>
        <v/>
      </c>
      <c r="W77" s="49">
        <f>V77*U77</f>
        <v/>
      </c>
      <c r="X77" s="49">
        <f>(battery/range_nm)*G77*R77*VLOOKUP(B77,country_opex,3,FALSE)</f>
        <v/>
      </c>
      <c r="Y77" s="49">
        <f>VLOOKUP(B77,country_opex,2,FALSE)*crew_factor</f>
        <v/>
      </c>
      <c r="Z77" s="49">
        <f>VLOOKUP(B77,country_opex,5,FALSE)</f>
        <v/>
      </c>
      <c r="AA77" s="49">
        <f>maint</f>
        <v/>
      </c>
      <c r="AB77" s="49">
        <f>VLOOKUP(B77,country_opex,7,FALSE)*ins_pct</f>
        <v/>
      </c>
      <c r="AC77" s="49">
        <f>charge_berth</f>
        <v/>
      </c>
      <c r="AD77" s="49">
        <f>X77+Y77+Z77+AA77+AB77+AC77</f>
        <v/>
      </c>
      <c r="AE77" s="49">
        <f>VLOOKUP(B77,country_opex,7,FALSE)/dep_years</f>
        <v/>
      </c>
      <c r="AF77" s="49">
        <f>W77-AD77</f>
        <v/>
      </c>
      <c r="AG77" s="46">
        <f>IF(W77=0,"",AF77/W77)</f>
        <v/>
      </c>
      <c r="AH77" s="47">
        <f>IF(AF77&lt;=0,"",VLOOKUP(B77,country_opex,7,FALSE)/AF77)</f>
        <v/>
      </c>
      <c r="AI77" s="44">
        <f>((G77*R77/diesel_nmpg)*diesel_co2pg-(battery/range_nm)*G77*R77*VLOOKUP(B77,country_opex,4,FALSE))/1000</f>
        <v/>
      </c>
      <c r="AJ77" s="42" t="n">
        <v>110565</v>
      </c>
      <c r="AK77" s="43" t="n"/>
      <c r="AL77" s="43" t="n"/>
      <c r="AM77" s="50" t="n">
        <v>0.1</v>
      </c>
      <c r="AN77" s="45">
        <f>IF(AJ77="","",AJ77*AM77)</f>
        <v/>
      </c>
      <c r="AO77" s="45">
        <f>IF(OR(AJ77="",U77=0),"",MIN(IF(AV77="",9.9E+99,AV77),FLOOR(AN77/U77,1)))</f>
        <v/>
      </c>
      <c r="AP77" s="49">
        <f>IF(AO77="","",AO77*W77)</f>
        <v/>
      </c>
      <c r="AQ77" s="47">
        <f>IF(OR(AJ77="",U77=0),"",MIN(IF(AV77="",9.9E+99,AV77),AN77/U77))</f>
        <v/>
      </c>
      <c r="AR77" s="49">
        <f>IF(AQ77="","",AQ77*W77)</f>
        <v/>
      </c>
      <c r="AS77" s="51" t="n"/>
      <c r="AT77" s="52" t="n"/>
      <c r="AU77" s="52" t="n"/>
      <c r="AV77" s="53" t="n"/>
      <c r="AW77" s="54">
        <f>IF(((V77*pax_cap*load_thin*ROUND(N77*O77*revleg_thin,0))-(((battery/range_nm)*G77*ROUND(N77*O77*revleg_thin,0)*VLOOKUP(B77,country_opex,3,FALSE))+Y77+Z77+AA77+AB77+AC77))&lt;=0,"",VLOOKUP(B77,country_opex,7,FALSE)/((V77*pax_cap*load_thin*ROUND(N77*O77*revleg_thin,0))-(((battery/range_nm)*G77*ROUND(N77*O77*revleg_thin,0)*VLOOKUP(B77,country_opex,3,FALSE))+Y77+Z77+AA77+AB77+AC77)))</f>
        <v/>
      </c>
      <c r="AX77" s="54">
        <f>IF(((V77*pax_cap*load_mid*ROUND(N77*O77*revleg_mid,0))-(((battery/range_nm)*G77*ROUND(N77*O77*revleg_mid,0)*VLOOKUP(B77,country_opex,3,FALSE))+Y77+Z77+AA77+AB77+AC77))&lt;=0,"",VLOOKUP(B77,country_opex,7,FALSE)/((V77*pax_cap*load_mid*ROUND(N77*O77*revleg_mid,0))-(((battery/range_nm)*G77*ROUND(N77*O77*revleg_mid,0)*VLOOKUP(B77,country_opex,3,FALSE))+Y77+Z77+AA77+AB77+AC77)))</f>
        <v/>
      </c>
      <c r="AY77" s="54">
        <f>IF(((V77*pax_cap*load_full*ROUND(N77*O77*revleg_full,0))-(((battery/range_nm)*G77*ROUND(N77*O77*revleg_full,0)*VLOOKUP(B77,country_opex,3,FALSE))+Y77+Z77+AA77+AB77+AC77))&lt;=0,"",VLOOKUP(B77,country_opex,7,FALSE)/((V77*pax_cap*load_full*ROUND(N77*O77*revleg_full,0))-(((battery/range_nm)*G77*ROUND(N77*O77*revleg_full,0)*VLOOKUP(B77,country_opex,3,FALSE))+Y77+Z77+AA77+AB77+AC77)))</f>
        <v/>
      </c>
      <c r="AZ77" s="40" t="n"/>
      <c r="BA77" s="40" t="n"/>
    </row>
    <row r="78">
      <c r="A78" s="38" t="inlineStr">
        <is>
          <t>Bolt France Riviera</t>
        </is>
      </c>
      <c r="B78" s="38" t="inlineStr">
        <is>
          <t>France</t>
        </is>
      </c>
      <c r="C78" s="39" t="inlineStr">
        <is>
          <t>Villefranche-sur-Mer → Monaco</t>
        </is>
      </c>
      <c r="D78" s="38" t="inlineStr">
        <is>
          <t>bolt</t>
        </is>
      </c>
      <c r="E78" s="40" t="inlineStr">
        <is>
          <t>bolt-france-riviera</t>
        </is>
      </c>
      <c r="F78" s="41" t="n">
        <v>1</v>
      </c>
      <c r="G78" s="42" t="n">
        <v>5</v>
      </c>
      <c r="H78" s="35" t="n"/>
      <c r="I78" s="43" t="n"/>
      <c r="J78" s="43" t="n"/>
      <c r="K78" s="29" t="n">
        <v>1</v>
      </c>
      <c r="L78" s="44">
        <f>60*G78/cruise_kt</f>
        <v/>
      </c>
      <c r="M78" s="44">
        <f>L78+turn_min+dwell_min</f>
        <v/>
      </c>
      <c r="N78" s="45">
        <f>MIN(16,FLOOR(60*service_hr/M78,1))</f>
        <v/>
      </c>
      <c r="O78" s="45">
        <f>ROUND(365*mech_uptime*K78,0)</f>
        <v/>
      </c>
      <c r="P78" s="46">
        <f>mech_uptime</f>
        <v/>
      </c>
      <c r="Q78" s="46">
        <f>revleg_sel</f>
        <v/>
      </c>
      <c r="R78" s="45">
        <f>ROUND(N78*O78*revleg_sel,0)</f>
        <v/>
      </c>
      <c r="S78" s="47">
        <f>load_sel</f>
        <v/>
      </c>
      <c r="T78" s="47">
        <f>pax_cap*S78</f>
        <v/>
      </c>
      <c r="U78" s="45">
        <f>T78*R78</f>
        <v/>
      </c>
      <c r="V78" s="48">
        <f>H78*discount</f>
        <v/>
      </c>
      <c r="W78" s="49">
        <f>V78*U78</f>
        <v/>
      </c>
      <c r="X78" s="49">
        <f>(battery/range_nm)*G78*R78*VLOOKUP(B78,country_opex,3,FALSE)</f>
        <v/>
      </c>
      <c r="Y78" s="49">
        <f>VLOOKUP(B78,country_opex,2,FALSE)*crew_factor</f>
        <v/>
      </c>
      <c r="Z78" s="49">
        <f>VLOOKUP(B78,country_opex,5,FALSE)</f>
        <v/>
      </c>
      <c r="AA78" s="49">
        <f>maint</f>
        <v/>
      </c>
      <c r="AB78" s="49">
        <f>VLOOKUP(B78,country_opex,7,FALSE)*ins_pct</f>
        <v/>
      </c>
      <c r="AC78" s="49">
        <f>charge_berth</f>
        <v/>
      </c>
      <c r="AD78" s="49">
        <f>X78+Y78+Z78+AA78+AB78+AC78</f>
        <v/>
      </c>
      <c r="AE78" s="49">
        <f>VLOOKUP(B78,country_opex,7,FALSE)/dep_years</f>
        <v/>
      </c>
      <c r="AF78" s="49">
        <f>W78-AD78</f>
        <v/>
      </c>
      <c r="AG78" s="46">
        <f>IF(W78=0,"",AF78/W78)</f>
        <v/>
      </c>
      <c r="AH78" s="47">
        <f>IF(AF78&lt;=0,"",VLOOKUP(B78,country_opex,7,FALSE)/AF78)</f>
        <v/>
      </c>
      <c r="AI78" s="44">
        <f>((G78*R78/diesel_nmpg)*diesel_co2pg-(battery/range_nm)*G78*R78*VLOOKUP(B78,country_opex,4,FALSE))/1000</f>
        <v/>
      </c>
      <c r="AJ78" s="42" t="n"/>
      <c r="AK78" s="43" t="n"/>
      <c r="AL78" s="43" t="n"/>
      <c r="AM78" s="50" t="n">
        <v>0.1</v>
      </c>
      <c r="AN78" s="45">
        <f>IF(AJ78="","",AJ78*AM78)</f>
        <v/>
      </c>
      <c r="AO78" s="45">
        <f>IF(OR(AJ78="",U78=0),"",MIN(IF(AV78="",9.9E+99,AV78),FLOOR(AN78/U78,1)))</f>
        <v/>
      </c>
      <c r="AP78" s="49">
        <f>IF(AO78="","",AO78*W78)</f>
        <v/>
      </c>
      <c r="AQ78" s="47">
        <f>IF(OR(AJ78="",U78=0),"",MIN(IF(AV78="",9.9E+99,AV78),AN78/U78))</f>
        <v/>
      </c>
      <c r="AR78" s="49">
        <f>IF(AQ78="","",AQ78*W78)</f>
        <v/>
      </c>
      <c r="AS78" s="51" t="n"/>
      <c r="AT78" s="52" t="n"/>
      <c r="AU78" s="52" t="n"/>
      <c r="AV78" s="53" t="n"/>
      <c r="AW78" s="54">
        <f>IF(((V78*pax_cap*load_thin*ROUND(N78*O78*revleg_thin,0))-(((battery/range_nm)*G78*ROUND(N78*O78*revleg_thin,0)*VLOOKUP(B78,country_opex,3,FALSE))+Y78+Z78+AA78+AB78+AC78))&lt;=0,"",VLOOKUP(B78,country_opex,7,FALSE)/((V78*pax_cap*load_thin*ROUND(N78*O78*revleg_thin,0))-(((battery/range_nm)*G78*ROUND(N78*O78*revleg_thin,0)*VLOOKUP(B78,country_opex,3,FALSE))+Y78+Z78+AA78+AB78+AC78)))</f>
        <v/>
      </c>
      <c r="AX78" s="54">
        <f>IF(((V78*pax_cap*load_mid*ROUND(N78*O78*revleg_mid,0))-(((battery/range_nm)*G78*ROUND(N78*O78*revleg_mid,0)*VLOOKUP(B78,country_opex,3,FALSE))+Y78+Z78+AA78+AB78+AC78))&lt;=0,"",VLOOKUP(B78,country_opex,7,FALSE)/((V78*pax_cap*load_mid*ROUND(N78*O78*revleg_mid,0))-(((battery/range_nm)*G78*ROUND(N78*O78*revleg_mid,0)*VLOOKUP(B78,country_opex,3,FALSE))+Y78+Z78+AA78+AB78+AC78)))</f>
        <v/>
      </c>
      <c r="AY78" s="54">
        <f>IF(((V78*pax_cap*load_full*ROUND(N78*O78*revleg_full,0))-(((battery/range_nm)*G78*ROUND(N78*O78*revleg_full,0)*VLOOKUP(B78,country_opex,3,FALSE))+Y78+Z78+AA78+AB78+AC78))&lt;=0,"",VLOOKUP(B78,country_opex,7,FALSE)/((V78*pax_cap*load_full*ROUND(N78*O78*revleg_full,0))-(((battery/range_nm)*G78*ROUND(N78*O78*revleg_full,0)*VLOOKUP(B78,country_opex,3,FALSE))+Y78+Z78+AA78+AB78+AC78)))</f>
        <v/>
      </c>
      <c r="AZ78" s="40" t="n"/>
      <c r="BA78" s="40" t="n"/>
    </row>
    <row r="79">
      <c r="A79" s="38" t="inlineStr">
        <is>
          <t>Bolt France Riviera</t>
        </is>
      </c>
      <c r="B79" s="38" t="inlineStr">
        <is>
          <t>France</t>
        </is>
      </c>
      <c r="C79" s="39" t="inlineStr">
        <is>
          <t>Antibes → Cannes</t>
        </is>
      </c>
      <c r="D79" s="38" t="inlineStr">
        <is>
          <t>bolt</t>
        </is>
      </c>
      <c r="E79" s="40" t="inlineStr">
        <is>
          <t>bolt-france-riviera</t>
        </is>
      </c>
      <c r="F79" s="41" t="n">
        <v>1</v>
      </c>
      <c r="G79" s="42" t="n">
        <v>6</v>
      </c>
      <c r="H79" s="35" t="n"/>
      <c r="I79" s="43" t="n"/>
      <c r="J79" s="43" t="n"/>
      <c r="K79" s="29" t="n">
        <v>1</v>
      </c>
      <c r="L79" s="44">
        <f>60*G79/cruise_kt</f>
        <v/>
      </c>
      <c r="M79" s="44">
        <f>L79+turn_min+dwell_min</f>
        <v/>
      </c>
      <c r="N79" s="45">
        <f>MIN(16,FLOOR(60*service_hr/M79,1))</f>
        <v/>
      </c>
      <c r="O79" s="45">
        <f>ROUND(365*mech_uptime*K79,0)</f>
        <v/>
      </c>
      <c r="P79" s="46">
        <f>mech_uptime</f>
        <v/>
      </c>
      <c r="Q79" s="46">
        <f>revleg_sel</f>
        <v/>
      </c>
      <c r="R79" s="45">
        <f>ROUND(N79*O79*revleg_sel,0)</f>
        <v/>
      </c>
      <c r="S79" s="47">
        <f>load_sel</f>
        <v/>
      </c>
      <c r="T79" s="47">
        <f>pax_cap*S79</f>
        <v/>
      </c>
      <c r="U79" s="45">
        <f>T79*R79</f>
        <v/>
      </c>
      <c r="V79" s="48">
        <f>H79*discount</f>
        <v/>
      </c>
      <c r="W79" s="49">
        <f>V79*U79</f>
        <v/>
      </c>
      <c r="X79" s="49">
        <f>(battery/range_nm)*G79*R79*VLOOKUP(B79,country_opex,3,FALSE)</f>
        <v/>
      </c>
      <c r="Y79" s="49">
        <f>VLOOKUP(B79,country_opex,2,FALSE)*crew_factor</f>
        <v/>
      </c>
      <c r="Z79" s="49">
        <f>VLOOKUP(B79,country_opex,5,FALSE)</f>
        <v/>
      </c>
      <c r="AA79" s="49">
        <f>maint</f>
        <v/>
      </c>
      <c r="AB79" s="49">
        <f>VLOOKUP(B79,country_opex,7,FALSE)*ins_pct</f>
        <v/>
      </c>
      <c r="AC79" s="49">
        <f>charge_berth</f>
        <v/>
      </c>
      <c r="AD79" s="49">
        <f>X79+Y79+Z79+AA79+AB79+AC79</f>
        <v/>
      </c>
      <c r="AE79" s="49">
        <f>VLOOKUP(B79,country_opex,7,FALSE)/dep_years</f>
        <v/>
      </c>
      <c r="AF79" s="49">
        <f>W79-AD79</f>
        <v/>
      </c>
      <c r="AG79" s="46">
        <f>IF(W79=0,"",AF79/W79)</f>
        <v/>
      </c>
      <c r="AH79" s="47">
        <f>IF(AF79&lt;=0,"",VLOOKUP(B79,country_opex,7,FALSE)/AF79)</f>
        <v/>
      </c>
      <c r="AI79" s="44">
        <f>((G79*R79/diesel_nmpg)*diesel_co2pg-(battery/range_nm)*G79*R79*VLOOKUP(B79,country_opex,4,FALSE))/1000</f>
        <v/>
      </c>
      <c r="AJ79" s="42" t="n">
        <v>136595</v>
      </c>
      <c r="AK79" s="43" t="n"/>
      <c r="AL79" s="43" t="n"/>
      <c r="AM79" s="50" t="n">
        <v>0.1</v>
      </c>
      <c r="AN79" s="45">
        <f>IF(AJ79="","",AJ79*AM79)</f>
        <v/>
      </c>
      <c r="AO79" s="45">
        <f>IF(OR(AJ79="",U79=0),"",MIN(IF(AV79="",9.9E+99,AV79),FLOOR(AN79/U79,1)))</f>
        <v/>
      </c>
      <c r="AP79" s="49">
        <f>IF(AO79="","",AO79*W79)</f>
        <v/>
      </c>
      <c r="AQ79" s="47">
        <f>IF(OR(AJ79="",U79=0),"",MIN(IF(AV79="",9.9E+99,AV79),AN79/U79))</f>
        <v/>
      </c>
      <c r="AR79" s="49">
        <f>IF(AQ79="","",AQ79*W79)</f>
        <v/>
      </c>
      <c r="AS79" s="51" t="n"/>
      <c r="AT79" s="52" t="n"/>
      <c r="AU79" s="52" t="n"/>
      <c r="AV79" s="53" t="n"/>
      <c r="AW79" s="54">
        <f>IF(((V79*pax_cap*load_thin*ROUND(N79*O79*revleg_thin,0))-(((battery/range_nm)*G79*ROUND(N79*O79*revleg_thin,0)*VLOOKUP(B79,country_opex,3,FALSE))+Y79+Z79+AA79+AB79+AC79))&lt;=0,"",VLOOKUP(B79,country_opex,7,FALSE)/((V79*pax_cap*load_thin*ROUND(N79*O79*revleg_thin,0))-(((battery/range_nm)*G79*ROUND(N79*O79*revleg_thin,0)*VLOOKUP(B79,country_opex,3,FALSE))+Y79+Z79+AA79+AB79+AC79)))</f>
        <v/>
      </c>
      <c r="AX79" s="54">
        <f>IF(((V79*pax_cap*load_mid*ROUND(N79*O79*revleg_mid,0))-(((battery/range_nm)*G79*ROUND(N79*O79*revleg_mid,0)*VLOOKUP(B79,country_opex,3,FALSE))+Y79+Z79+AA79+AB79+AC79))&lt;=0,"",VLOOKUP(B79,country_opex,7,FALSE)/((V79*pax_cap*load_mid*ROUND(N79*O79*revleg_mid,0))-(((battery/range_nm)*G79*ROUND(N79*O79*revleg_mid,0)*VLOOKUP(B79,country_opex,3,FALSE))+Y79+Z79+AA79+AB79+AC79)))</f>
        <v/>
      </c>
      <c r="AY79" s="54">
        <f>IF(((V79*pax_cap*load_full*ROUND(N79*O79*revleg_full,0))-(((battery/range_nm)*G79*ROUND(N79*O79*revleg_full,0)*VLOOKUP(B79,country_opex,3,FALSE))+Y79+Z79+AA79+AB79+AC79))&lt;=0,"",VLOOKUP(B79,country_opex,7,FALSE)/((V79*pax_cap*load_full*ROUND(N79*O79*revleg_full,0))-(((battery/range_nm)*G79*ROUND(N79*O79*revleg_full,0)*VLOOKUP(B79,country_opex,3,FALSE))+Y79+Z79+AA79+AB79+AC79)))</f>
        <v/>
      </c>
      <c r="AZ79" s="40" t="n"/>
      <c r="BA79" s="40" t="n"/>
    </row>
    <row r="80">
      <c r="A80" s="38" t="inlineStr">
        <is>
          <t>Bolt France Riviera</t>
        </is>
      </c>
      <c r="B80" s="38" t="inlineStr">
        <is>
          <t>France</t>
        </is>
      </c>
      <c r="C80" s="39" t="inlineStr">
        <is>
          <t>Nice → Monaco</t>
        </is>
      </c>
      <c r="D80" s="38" t="inlineStr">
        <is>
          <t>bolt</t>
        </is>
      </c>
      <c r="E80" s="40" t="inlineStr">
        <is>
          <t>bolt-france-riviera</t>
        </is>
      </c>
      <c r="F80" s="41" t="n">
        <v>1</v>
      </c>
      <c r="G80" s="42" t="n">
        <v>6.5</v>
      </c>
      <c r="H80" s="35" t="n">
        <v>26.7</v>
      </c>
      <c r="I80" s="43" t="inlineStr">
        <is>
          <t>T2</t>
        </is>
      </c>
      <c r="J80" s="43" t="inlineStr">
        <is>
          <t>med</t>
        </is>
      </c>
      <c r="K80" s="29" t="n">
        <v>1</v>
      </c>
      <c r="L80" s="44">
        <f>60*G80/cruise_kt</f>
        <v/>
      </c>
      <c r="M80" s="44">
        <f>L80+turn_min+dwell_min</f>
        <v/>
      </c>
      <c r="N80" s="45">
        <f>MIN(16,FLOOR(60*service_hr/M80,1))</f>
        <v/>
      </c>
      <c r="O80" s="45">
        <f>ROUND(365*mech_uptime*K80,0)</f>
        <v/>
      </c>
      <c r="P80" s="46">
        <f>mech_uptime</f>
        <v/>
      </c>
      <c r="Q80" s="46">
        <f>revleg_sel</f>
        <v/>
      </c>
      <c r="R80" s="45">
        <f>ROUND(N80*O80*revleg_sel,0)</f>
        <v/>
      </c>
      <c r="S80" s="47">
        <f>load_sel</f>
        <v/>
      </c>
      <c r="T80" s="47">
        <f>pax_cap*S80</f>
        <v/>
      </c>
      <c r="U80" s="45">
        <f>T80*R80</f>
        <v/>
      </c>
      <c r="V80" s="48">
        <f>H80*discount</f>
        <v/>
      </c>
      <c r="W80" s="49">
        <f>V80*U80</f>
        <v/>
      </c>
      <c r="X80" s="49">
        <f>(battery/range_nm)*G80*R80*VLOOKUP(B80,country_opex,3,FALSE)</f>
        <v/>
      </c>
      <c r="Y80" s="49">
        <f>VLOOKUP(B80,country_opex,2,FALSE)*crew_factor</f>
        <v/>
      </c>
      <c r="Z80" s="49">
        <f>VLOOKUP(B80,country_opex,5,FALSE)</f>
        <v/>
      </c>
      <c r="AA80" s="49">
        <f>maint</f>
        <v/>
      </c>
      <c r="AB80" s="49">
        <f>VLOOKUP(B80,country_opex,7,FALSE)*ins_pct</f>
        <v/>
      </c>
      <c r="AC80" s="49">
        <f>charge_berth</f>
        <v/>
      </c>
      <c r="AD80" s="49">
        <f>X80+Y80+Z80+AA80+AB80+AC80</f>
        <v/>
      </c>
      <c r="AE80" s="49">
        <f>VLOOKUP(B80,country_opex,7,FALSE)/dep_years</f>
        <v/>
      </c>
      <c r="AF80" s="49">
        <f>W80-AD80</f>
        <v/>
      </c>
      <c r="AG80" s="46">
        <f>IF(W80=0,"",AF80/W80)</f>
        <v/>
      </c>
      <c r="AH80" s="47">
        <f>IF(AF80&lt;=0,"",VLOOKUP(B80,country_opex,7,FALSE)/AF80)</f>
        <v/>
      </c>
      <c r="AI80" s="44">
        <f>((G80*R80/diesel_nmpg)*diesel_co2pg-(battery/range_nm)*G80*R80*VLOOKUP(B80,country_opex,4,FALSE))/1000</f>
        <v/>
      </c>
      <c r="AJ80" s="42" t="n">
        <v>368966</v>
      </c>
      <c r="AK80" s="43" t="n"/>
      <c r="AL80" s="43" t="n"/>
      <c r="AM80" s="50" t="n">
        <v>0.1</v>
      </c>
      <c r="AN80" s="45">
        <f>IF(AJ80="","",AJ80*AM80)</f>
        <v/>
      </c>
      <c r="AO80" s="45">
        <f>IF(OR(AJ80="",U80=0),"",MIN(IF(AV80="",9.9E+99,AV80),FLOOR(AN80/U80,1)))</f>
        <v/>
      </c>
      <c r="AP80" s="49">
        <f>IF(AO80="","",AO80*W80)</f>
        <v/>
      </c>
      <c r="AQ80" s="47">
        <f>IF(OR(AJ80="",U80=0),"",MIN(IF(AV80="",9.9E+99,AV80),AN80/U80))</f>
        <v/>
      </c>
      <c r="AR80" s="49">
        <f>IF(AQ80="","",AQ80*W80)</f>
        <v/>
      </c>
      <c r="AS80" s="51" t="n"/>
      <c r="AT80" s="52" t="n"/>
      <c r="AU80" s="52" t="n"/>
      <c r="AV80" s="53" t="n"/>
      <c r="AW80" s="54">
        <f>IF(((V80*pax_cap*load_thin*ROUND(N80*O80*revleg_thin,0))-(((battery/range_nm)*G80*ROUND(N80*O80*revleg_thin,0)*VLOOKUP(B80,country_opex,3,FALSE))+Y80+Z80+AA80+AB80+AC80))&lt;=0,"",VLOOKUP(B80,country_opex,7,FALSE)/((V80*pax_cap*load_thin*ROUND(N80*O80*revleg_thin,0))-(((battery/range_nm)*G80*ROUND(N80*O80*revleg_thin,0)*VLOOKUP(B80,country_opex,3,FALSE))+Y80+Z80+AA80+AB80+AC80)))</f>
        <v/>
      </c>
      <c r="AX80" s="54">
        <f>IF(((V80*pax_cap*load_mid*ROUND(N80*O80*revleg_mid,0))-(((battery/range_nm)*G80*ROUND(N80*O80*revleg_mid,0)*VLOOKUP(B80,country_opex,3,FALSE))+Y80+Z80+AA80+AB80+AC80))&lt;=0,"",VLOOKUP(B80,country_opex,7,FALSE)/((V80*pax_cap*load_mid*ROUND(N80*O80*revleg_mid,0))-(((battery/range_nm)*G80*ROUND(N80*O80*revleg_mid,0)*VLOOKUP(B80,country_opex,3,FALSE))+Y80+Z80+AA80+AB80+AC80)))</f>
        <v/>
      </c>
      <c r="AY80" s="54">
        <f>IF(((V80*pax_cap*load_full*ROUND(N80*O80*revleg_full,0))-(((battery/range_nm)*G80*ROUND(N80*O80*revleg_full,0)*VLOOKUP(B80,country_opex,3,FALSE))+Y80+Z80+AA80+AB80+AC80))&lt;=0,"",VLOOKUP(B80,country_opex,7,FALSE)/((V80*pax_cap*load_full*ROUND(N80*O80*revleg_full,0))-(((battery/range_nm)*G80*ROUND(N80*O80*revleg_full,0)*VLOOKUP(B80,country_opex,3,FALSE))+Y80+Z80+AA80+AB80+AC80)))</f>
        <v/>
      </c>
      <c r="AZ80" s="40" t="inlineStr">
        <is>
          <t>PREMIUM scheduled per-seat: Trans Cote d'Azur scheduled catamaran Nice-&gt;Monaco WITH landing at Port Hercule, EUR 49.50 adult round-trip (2026) = ~EUR 24.75 one-way x 1.08 = ~$26.7. (Their no-landing 'Promenade Nice-Monaco' is EUR 39.50 RT; the EUR 49.50 escale fare is the true point-to-point analog.)</t>
        </is>
      </c>
      <c r="BA80" s="40" t="n"/>
    </row>
    <row r="81">
      <c r="A81" s="38" t="inlineStr">
        <is>
          <t>Bolt France Riviera</t>
        </is>
      </c>
      <c r="B81" s="38" t="inlineStr">
        <is>
          <t>France</t>
        </is>
      </c>
      <c r="C81" s="39" t="inlineStr">
        <is>
          <t>Nice Airport → Monaco</t>
        </is>
      </c>
      <c r="D81" s="38" t="inlineStr">
        <is>
          <t>bolt</t>
        </is>
      </c>
      <c r="E81" s="40" t="inlineStr">
        <is>
          <t>bolt-france-riviera</t>
        </is>
      </c>
      <c r="F81" s="41" t="n">
        <v>1</v>
      </c>
      <c r="G81" s="42" t="n">
        <v>6.7</v>
      </c>
      <c r="H81" s="35" t="n">
        <v>210.6</v>
      </c>
      <c r="I81" s="43" t="inlineStr">
        <is>
          <t>T2</t>
        </is>
      </c>
      <c r="J81" s="43" t="inlineStr">
        <is>
          <t>med</t>
        </is>
      </c>
      <c r="K81" s="29" t="n">
        <v>1</v>
      </c>
      <c r="L81" s="44">
        <f>60*G81/cruise_kt</f>
        <v/>
      </c>
      <c r="M81" s="44">
        <f>L81+turn_min+dwell_min</f>
        <v/>
      </c>
      <c r="N81" s="45">
        <f>MIN(10,FLOOR(60*service_hr/M81,1))</f>
        <v/>
      </c>
      <c r="O81" s="45">
        <f>ROUND(365*mech_uptime*K81,0)</f>
        <v/>
      </c>
      <c r="P81" s="46">
        <f>mech_uptime</f>
        <v/>
      </c>
      <c r="Q81" s="46">
        <f>revleg_sel</f>
        <v/>
      </c>
      <c r="R81" s="45">
        <f>ROUND(N81*O81*revleg_sel,0)</f>
        <v/>
      </c>
      <c r="S81" s="47">
        <f>load_sel</f>
        <v/>
      </c>
      <c r="T81" s="47">
        <f>pax_cap*S81</f>
        <v/>
      </c>
      <c r="U81" s="45">
        <f>T81*R81</f>
        <v/>
      </c>
      <c r="V81" s="48">
        <f>H81*discount</f>
        <v/>
      </c>
      <c r="W81" s="49">
        <f>V81*U81</f>
        <v/>
      </c>
      <c r="X81" s="49">
        <f>(battery/range_nm)*G81*R81*VLOOKUP(B81,country_opex,3,FALSE)</f>
        <v/>
      </c>
      <c r="Y81" s="49">
        <f>VLOOKUP(B81,country_opex,2,FALSE)*crew_factor</f>
        <v/>
      </c>
      <c r="Z81" s="49">
        <f>VLOOKUP(B81,country_opex,5,FALSE)</f>
        <v/>
      </c>
      <c r="AA81" s="49">
        <f>maint</f>
        <v/>
      </c>
      <c r="AB81" s="49">
        <f>VLOOKUP(B81,country_opex,7,FALSE)*ins_pct</f>
        <v/>
      </c>
      <c r="AC81" s="49">
        <f>charge_berth</f>
        <v/>
      </c>
      <c r="AD81" s="49">
        <f>X81+Y81+Z81+AA81+AB81+AC81</f>
        <v/>
      </c>
      <c r="AE81" s="49">
        <f>VLOOKUP(B81,country_opex,7,FALSE)/dep_years</f>
        <v/>
      </c>
      <c r="AF81" s="49">
        <f>W81-AD81</f>
        <v/>
      </c>
      <c r="AG81" s="46">
        <f>IF(W81=0,"",AF81/W81)</f>
        <v/>
      </c>
      <c r="AH81" s="47">
        <f>IF(AF81&lt;=0,"",VLOOKUP(B81,country_opex,7,FALSE)/AF81)</f>
        <v/>
      </c>
      <c r="AI81" s="44">
        <f>((G81*R81/diesel_nmpg)*diesel_co2pg-(battery/range_nm)*G81*R81*VLOOKUP(B81,country_opex,4,FALSE))/1000</f>
        <v/>
      </c>
      <c r="AJ81" s="42" t="n">
        <v>79000</v>
      </c>
      <c r="AK81" s="43" t="n"/>
      <c r="AL81" s="43" t="n"/>
      <c r="AM81" s="50" t="n">
        <v>0.1</v>
      </c>
      <c r="AN81" s="45">
        <f>IF(AJ81="","",AJ81*AM81)</f>
        <v/>
      </c>
      <c r="AO81" s="45">
        <f>IF(OR(AJ81="",U81=0),"",MIN(IF(AV81="",9.9E+99,AV81),FLOOR(AN81/U81,1)))</f>
        <v/>
      </c>
      <c r="AP81" s="49">
        <f>IF(AO81="","",AO81*W81)</f>
        <v/>
      </c>
      <c r="AQ81" s="47">
        <f>IF(OR(AJ81="",U81=0),"",MIN(IF(AV81="",9.9E+99,AV81),AN81/U81))</f>
        <v/>
      </c>
      <c r="AR81" s="49">
        <f>IF(AQ81="","",AQ81*W81)</f>
        <v/>
      </c>
      <c r="AS81" s="51" t="n"/>
      <c r="AT81" s="52" t="n"/>
      <c r="AU81" s="52" t="inlineStr">
        <is>
          <t>modal_shift_greenfield</t>
        </is>
      </c>
      <c r="AV81" s="53" t="n"/>
      <c r="AW81" s="54">
        <f>IF(((V81*pax_cap*load_thin*ROUND(N81*O81*revleg_thin,0))-(((battery/range_nm)*G81*ROUND(N81*O81*revleg_thin,0)*VLOOKUP(B81,country_opex,3,FALSE))+Y81+Z81+AA81+AB81+AC81))&lt;=0,"",VLOOKUP(B81,country_opex,7,FALSE)/((V81*pax_cap*load_thin*ROUND(N81*O81*revleg_thin,0))-(((battery/range_nm)*G81*ROUND(N81*O81*revleg_thin,0)*VLOOKUP(B81,country_opex,3,FALSE))+Y81+Z81+AA81+AB81+AC81)))</f>
        <v/>
      </c>
      <c r="AX81" s="54">
        <f>IF(((V81*pax_cap*load_mid*ROUND(N81*O81*revleg_mid,0))-(((battery/range_nm)*G81*ROUND(N81*O81*revleg_mid,0)*VLOOKUP(B81,country_opex,3,FALSE))+Y81+Z81+AA81+AB81+AC81))&lt;=0,"",VLOOKUP(B81,country_opex,7,FALSE)/((V81*pax_cap*load_mid*ROUND(N81*O81*revleg_mid,0))-(((battery/range_nm)*G81*ROUND(N81*O81*revleg_mid,0)*VLOOKUP(B81,country_opex,3,FALSE))+Y81+Z81+AA81+AB81+AC81)))</f>
        <v/>
      </c>
      <c r="AY81" s="54">
        <f>IF(((V81*pax_cap*load_full*ROUND(N81*O81*revleg_full,0))-(((battery/range_nm)*G81*ROUND(N81*O81*revleg_full,0)*VLOOKUP(B81,country_opex,3,FALSE))+Y81+Z81+AA81+AB81+AC81))&lt;=0,"",VLOOKUP(B81,country_opex,7,FALSE)/((V81*pax_cap*load_full*ROUND(N81*O81*revleg_full,0))-(((battery/range_nm)*G81*ROUND(N81*O81*revleg_full,0)*VLOOKUP(B81,country_opex,3,FALSE))+Y81+Z81+AA81+AB81+AC81)))</f>
        <v/>
      </c>
      <c r="AZ81" s="40" t="inlineStr">
        <is>
          <t>PREMIUM tier = scheduled by-the-seat helicopter Nice Airport&lt;-&gt;Monaco, EUR 195/seat (Blade &amp; Monacair regular line, 7-min flight, ~every 30 min, year-round). EUR 195 x 1.08 = ~$210.6. This is the helicopter-alternative anchor (corridor has NO scheduled boat today). A Navier fast sea-shuttle would price well below this (~$30-60 band), expanding the pool.</t>
        </is>
      </c>
      <c r="BA81" s="40" t="n"/>
    </row>
    <row r="82">
      <c r="A82" s="38" t="inlineStr">
        <is>
          <t>Bolt France Riviera</t>
        </is>
      </c>
      <c r="B82" s="38" t="inlineStr">
        <is>
          <t>France</t>
        </is>
      </c>
      <c r="C82" s="39" t="inlineStr">
        <is>
          <t>Nice Airport → Cannes</t>
        </is>
      </c>
      <c r="D82" s="38" t="inlineStr">
        <is>
          <t>bolt</t>
        </is>
      </c>
      <c r="E82" s="40" t="inlineStr">
        <is>
          <t>bolt-france-riviera</t>
        </is>
      </c>
      <c r="F82" s="41" t="n">
        <v>1</v>
      </c>
      <c r="G82" s="42" t="n">
        <v>9</v>
      </c>
      <c r="H82" s="35" t="n"/>
      <c r="I82" s="43" t="n"/>
      <c r="J82" s="43" t="n"/>
      <c r="K82" s="29" t="n">
        <v>1</v>
      </c>
      <c r="L82" s="44">
        <f>60*G82/cruise_kt</f>
        <v/>
      </c>
      <c r="M82" s="44">
        <f>L82+turn_min+dwell_min</f>
        <v/>
      </c>
      <c r="N82" s="45">
        <f>MIN(10,FLOOR(60*service_hr/M82,1))</f>
        <v/>
      </c>
      <c r="O82" s="45">
        <f>ROUND(365*mech_uptime*K82,0)</f>
        <v/>
      </c>
      <c r="P82" s="46">
        <f>mech_uptime</f>
        <v/>
      </c>
      <c r="Q82" s="46">
        <f>revleg_sel</f>
        <v/>
      </c>
      <c r="R82" s="45">
        <f>ROUND(N82*O82*revleg_sel,0)</f>
        <v/>
      </c>
      <c r="S82" s="47">
        <f>load_sel</f>
        <v/>
      </c>
      <c r="T82" s="47">
        <f>pax_cap*S82</f>
        <v/>
      </c>
      <c r="U82" s="45">
        <f>T82*R82</f>
        <v/>
      </c>
      <c r="V82" s="48">
        <f>H82*discount</f>
        <v/>
      </c>
      <c r="W82" s="49">
        <f>V82*U82</f>
        <v/>
      </c>
      <c r="X82" s="49">
        <f>(battery/range_nm)*G82*R82*VLOOKUP(B82,country_opex,3,FALSE)</f>
        <v/>
      </c>
      <c r="Y82" s="49">
        <f>VLOOKUP(B82,country_opex,2,FALSE)*crew_factor</f>
        <v/>
      </c>
      <c r="Z82" s="49">
        <f>VLOOKUP(B82,country_opex,5,FALSE)</f>
        <v/>
      </c>
      <c r="AA82" s="49">
        <f>maint</f>
        <v/>
      </c>
      <c r="AB82" s="49">
        <f>VLOOKUP(B82,country_opex,7,FALSE)*ins_pct</f>
        <v/>
      </c>
      <c r="AC82" s="49">
        <f>charge_berth</f>
        <v/>
      </c>
      <c r="AD82" s="49">
        <f>X82+Y82+Z82+AA82+AB82+AC82</f>
        <v/>
      </c>
      <c r="AE82" s="49">
        <f>VLOOKUP(B82,country_opex,7,FALSE)/dep_years</f>
        <v/>
      </c>
      <c r="AF82" s="49">
        <f>W82-AD82</f>
        <v/>
      </c>
      <c r="AG82" s="46">
        <f>IF(W82=0,"",AF82/W82)</f>
        <v/>
      </c>
      <c r="AH82" s="47">
        <f>IF(AF82&lt;=0,"",VLOOKUP(B82,country_opex,7,FALSE)/AF82)</f>
        <v/>
      </c>
      <c r="AI82" s="44">
        <f>((G82*R82/diesel_nmpg)*diesel_co2pg-(battery/range_nm)*G82*R82*VLOOKUP(B82,country_opex,4,FALSE))/1000</f>
        <v/>
      </c>
      <c r="AJ82" s="42" t="n"/>
      <c r="AK82" s="43" t="n"/>
      <c r="AL82" s="43" t="n"/>
      <c r="AM82" s="50" t="n">
        <v>0.1</v>
      </c>
      <c r="AN82" s="45">
        <f>IF(AJ82="","",AJ82*AM82)</f>
        <v/>
      </c>
      <c r="AO82" s="45">
        <f>IF(OR(AJ82="",U82=0),"",MIN(IF(AV82="",9.9E+99,AV82),FLOOR(AN82/U82,1)))</f>
        <v/>
      </c>
      <c r="AP82" s="49">
        <f>IF(AO82="","",AO82*W82)</f>
        <v/>
      </c>
      <c r="AQ82" s="47">
        <f>IF(OR(AJ82="",U82=0),"",MIN(IF(AV82="",9.9E+99,AV82),AN82/U82))</f>
        <v/>
      </c>
      <c r="AR82" s="49">
        <f>IF(AQ82="","",AQ82*W82)</f>
        <v/>
      </c>
      <c r="AS82" s="51" t="n"/>
      <c r="AT82" s="52" t="n"/>
      <c r="AU82" s="52" t="n"/>
      <c r="AV82" s="53" t="n"/>
      <c r="AW82" s="54">
        <f>IF(((V82*pax_cap*load_thin*ROUND(N82*O82*revleg_thin,0))-(((battery/range_nm)*G82*ROUND(N82*O82*revleg_thin,0)*VLOOKUP(B82,country_opex,3,FALSE))+Y82+Z82+AA82+AB82+AC82))&lt;=0,"",VLOOKUP(B82,country_opex,7,FALSE)/((V82*pax_cap*load_thin*ROUND(N82*O82*revleg_thin,0))-(((battery/range_nm)*G82*ROUND(N82*O82*revleg_thin,0)*VLOOKUP(B82,country_opex,3,FALSE))+Y82+Z82+AA82+AB82+AC82)))</f>
        <v/>
      </c>
      <c r="AX82" s="54">
        <f>IF(((V82*pax_cap*load_mid*ROUND(N82*O82*revleg_mid,0))-(((battery/range_nm)*G82*ROUND(N82*O82*revleg_mid,0)*VLOOKUP(B82,country_opex,3,FALSE))+Y82+Z82+AA82+AB82+AC82))&lt;=0,"",VLOOKUP(B82,country_opex,7,FALSE)/((V82*pax_cap*load_mid*ROUND(N82*O82*revleg_mid,0))-(((battery/range_nm)*G82*ROUND(N82*O82*revleg_mid,0)*VLOOKUP(B82,country_opex,3,FALSE))+Y82+Z82+AA82+AB82+AC82)))</f>
        <v/>
      </c>
      <c r="AY82" s="54">
        <f>IF(((V82*pax_cap*load_full*ROUND(N82*O82*revleg_full,0))-(((battery/range_nm)*G82*ROUND(N82*O82*revleg_full,0)*VLOOKUP(B82,country_opex,3,FALSE))+Y82+Z82+AA82+AB82+AC82))&lt;=0,"",VLOOKUP(B82,country_opex,7,FALSE)/((V82*pax_cap*load_full*ROUND(N82*O82*revleg_full,0))-(((battery/range_nm)*G82*ROUND(N82*O82*revleg_full,0)*VLOOKUP(B82,country_opex,3,FALSE))+Y82+Z82+AA82+AB82+AC82)))</f>
        <v/>
      </c>
      <c r="AZ82" s="40" t="n"/>
      <c r="BA82" s="40" t="n"/>
    </row>
    <row r="83">
      <c r="A83" s="38" t="inlineStr">
        <is>
          <t>Bolt France Riviera</t>
        </is>
      </c>
      <c r="B83" s="38" t="inlineStr">
        <is>
          <t>France</t>
        </is>
      </c>
      <c r="C83" s="39" t="inlineStr">
        <is>
          <t>Nice → Cannes</t>
        </is>
      </c>
      <c r="D83" s="38" t="inlineStr">
        <is>
          <t>bolt</t>
        </is>
      </c>
      <c r="E83" s="40" t="inlineStr">
        <is>
          <t>bolt-france-riviera</t>
        </is>
      </c>
      <c r="F83" s="41" t="n">
        <v>1</v>
      </c>
      <c r="G83" s="42" t="n">
        <v>13</v>
      </c>
      <c r="H83" s="35" t="n">
        <v>26.7</v>
      </c>
      <c r="I83" s="43" t="inlineStr">
        <is>
          <t>T2</t>
        </is>
      </c>
      <c r="J83" s="43" t="inlineStr">
        <is>
          <t>med</t>
        </is>
      </c>
      <c r="K83" s="29" t="n">
        <v>1</v>
      </c>
      <c r="L83" s="44">
        <f>60*G83/cruise_kt</f>
        <v/>
      </c>
      <c r="M83" s="44">
        <f>L83+turn_min+dwell_min</f>
        <v/>
      </c>
      <c r="N83" s="45">
        <f>MIN(16,FLOOR(60*service_hr/M83,1))</f>
        <v/>
      </c>
      <c r="O83" s="45">
        <f>ROUND(365*mech_uptime*K83,0)</f>
        <v/>
      </c>
      <c r="P83" s="46">
        <f>mech_uptime</f>
        <v/>
      </c>
      <c r="Q83" s="46">
        <f>revleg_sel</f>
        <v/>
      </c>
      <c r="R83" s="45">
        <f>ROUND(N83*O83*revleg_sel,0)</f>
        <v/>
      </c>
      <c r="S83" s="47">
        <f>load_sel</f>
        <v/>
      </c>
      <c r="T83" s="47">
        <f>pax_cap*S83</f>
        <v/>
      </c>
      <c r="U83" s="45">
        <f>T83*R83</f>
        <v/>
      </c>
      <c r="V83" s="48">
        <f>H83*discount</f>
        <v/>
      </c>
      <c r="W83" s="49">
        <f>V83*U83</f>
        <v/>
      </c>
      <c r="X83" s="49">
        <f>(battery/range_nm)*G83*R83*VLOOKUP(B83,country_opex,3,FALSE)</f>
        <v/>
      </c>
      <c r="Y83" s="49">
        <f>VLOOKUP(B83,country_opex,2,FALSE)*crew_factor</f>
        <v/>
      </c>
      <c r="Z83" s="49">
        <f>VLOOKUP(B83,country_opex,5,FALSE)</f>
        <v/>
      </c>
      <c r="AA83" s="49">
        <f>maint</f>
        <v/>
      </c>
      <c r="AB83" s="49">
        <f>VLOOKUP(B83,country_opex,7,FALSE)*ins_pct</f>
        <v/>
      </c>
      <c r="AC83" s="49">
        <f>charge_berth</f>
        <v/>
      </c>
      <c r="AD83" s="49">
        <f>X83+Y83+Z83+AA83+AB83+AC83</f>
        <v/>
      </c>
      <c r="AE83" s="49">
        <f>VLOOKUP(B83,country_opex,7,FALSE)/dep_years</f>
        <v/>
      </c>
      <c r="AF83" s="49">
        <f>W83-AD83</f>
        <v/>
      </c>
      <c r="AG83" s="46">
        <f>IF(W83=0,"",AF83/W83)</f>
        <v/>
      </c>
      <c r="AH83" s="47">
        <f>IF(AF83&lt;=0,"",VLOOKUP(B83,country_opex,7,FALSE)/AF83)</f>
        <v/>
      </c>
      <c r="AI83" s="44">
        <f>((G83*R83/diesel_nmpg)*diesel_co2pg-(battery/range_nm)*G83*R83*VLOOKUP(B83,country_opex,4,FALSE))/1000</f>
        <v/>
      </c>
      <c r="AJ83" s="42" t="n">
        <v>224880</v>
      </c>
      <c r="AK83" s="43" t="n"/>
      <c r="AL83" s="43" t="n"/>
      <c r="AM83" s="50" t="n">
        <v>0.1</v>
      </c>
      <c r="AN83" s="45">
        <f>IF(AJ83="","",AJ83*AM83)</f>
        <v/>
      </c>
      <c r="AO83" s="45">
        <f>IF(OR(AJ83="",U83=0),"",MIN(IF(AV83="",9.9E+99,AV83),FLOOR(AN83/U83,1)))</f>
        <v/>
      </c>
      <c r="AP83" s="49">
        <f>IF(AO83="","",AO83*W83)</f>
        <v/>
      </c>
      <c r="AQ83" s="47">
        <f>IF(OR(AJ83="",U83=0),"",MIN(IF(AV83="",9.9E+99,AV83),AN83/U83))</f>
        <v/>
      </c>
      <c r="AR83" s="49">
        <f>IF(AQ83="","",AQ83*W83)</f>
        <v/>
      </c>
      <c r="AS83" s="51" t="n"/>
      <c r="AT83" s="52" t="n"/>
      <c r="AU83" s="52" t="n"/>
      <c r="AV83" s="53" t="n"/>
      <c r="AW83" s="54">
        <f>IF(((V83*pax_cap*load_thin*ROUND(N83*O83*revleg_thin,0))-(((battery/range_nm)*G83*ROUND(N83*O83*revleg_thin,0)*VLOOKUP(B83,country_opex,3,FALSE))+Y83+Z83+AA83+AB83+AC83))&lt;=0,"",VLOOKUP(B83,country_opex,7,FALSE)/((V83*pax_cap*load_thin*ROUND(N83*O83*revleg_thin,0))-(((battery/range_nm)*G83*ROUND(N83*O83*revleg_thin,0)*VLOOKUP(B83,country_opex,3,FALSE))+Y83+Z83+AA83+AB83+AC83)))</f>
        <v/>
      </c>
      <c r="AX83" s="54">
        <f>IF(((V83*pax_cap*load_mid*ROUND(N83*O83*revleg_mid,0))-(((battery/range_nm)*G83*ROUND(N83*O83*revleg_mid,0)*VLOOKUP(B83,country_opex,3,FALSE))+Y83+Z83+AA83+AB83+AC83))&lt;=0,"",VLOOKUP(B83,country_opex,7,FALSE)/((V83*pax_cap*load_mid*ROUND(N83*O83*revleg_mid,0))-(((battery/range_nm)*G83*ROUND(N83*O83*revleg_mid,0)*VLOOKUP(B83,country_opex,3,FALSE))+Y83+Z83+AA83+AB83+AC83)))</f>
        <v/>
      </c>
      <c r="AY83" s="54">
        <f>IF(((V83*pax_cap*load_full*ROUND(N83*O83*revleg_full,0))-(((battery/range_nm)*G83*ROUND(N83*O83*revleg_full,0)*VLOOKUP(B83,country_opex,3,FALSE))+Y83+Z83+AA83+AB83+AC83))&lt;=0,"",VLOOKUP(B83,country_opex,7,FALSE)/((V83*pax_cap*load_full*ROUND(N83*O83*revleg_full,0))-(((battery/range_nm)*G83*ROUND(N83*O83*revleg_full,0)*VLOOKUP(B83,country_opex,3,FALSE))+Y83+Z83+AA83+AB83+AC83)))</f>
        <v/>
      </c>
      <c r="AZ83" s="40" t="inlineStr">
        <is>
          <t>COMPARABLE premium per-seat (no scheduled boat on this exact O-D today): Trans Cote d'Azur Riviera catamaran tier, anchored to the same operator's Nice-&gt;Monaco-with-landing EUR 49.50 RT (~$26.7 one-way). Conservative -- Nice-Cannes is ~2x the distance of Nice-Monaco, so a true scheduled fare would likely be higher (cf. Cannes-&gt;Saint-Tropez EUR 71 RT for 25 nm).</t>
        </is>
      </c>
      <c r="BA83" s="40" t="n"/>
    </row>
    <row r="84">
      <c r="A84" s="38" t="inlineStr">
        <is>
          <t>Bolt France Riviera</t>
        </is>
      </c>
      <c r="B84" s="38" t="inlineStr">
        <is>
          <t>France</t>
        </is>
      </c>
      <c r="C84" s="39" t="inlineStr">
        <is>
          <t>Monaco → Sanremo</t>
        </is>
      </c>
      <c r="D84" s="38" t="inlineStr">
        <is>
          <t>bolt</t>
        </is>
      </c>
      <c r="E84" s="40" t="inlineStr">
        <is>
          <t>bolt-france-riviera</t>
        </is>
      </c>
      <c r="F84" s="41" t="n">
        <v>1</v>
      </c>
      <c r="G84" s="42" t="n">
        <v>13</v>
      </c>
      <c r="H84" s="35" t="n"/>
      <c r="I84" s="43" t="n"/>
      <c r="J84" s="43" t="n"/>
      <c r="K84" s="29" t="n">
        <v>1</v>
      </c>
      <c r="L84" s="44">
        <f>60*G84/cruise_kt</f>
        <v/>
      </c>
      <c r="M84" s="44">
        <f>L84+turn_min+dwell_min</f>
        <v/>
      </c>
      <c r="N84" s="45">
        <f>MIN(10,FLOOR(60*service_hr/M84,1))</f>
        <v/>
      </c>
      <c r="O84" s="45">
        <f>ROUND(365*mech_uptime*K84,0)</f>
        <v/>
      </c>
      <c r="P84" s="46">
        <f>mech_uptime</f>
        <v/>
      </c>
      <c r="Q84" s="46">
        <f>revleg_sel</f>
        <v/>
      </c>
      <c r="R84" s="45">
        <f>ROUND(N84*O84*revleg_sel,0)</f>
        <v/>
      </c>
      <c r="S84" s="47">
        <f>load_sel</f>
        <v/>
      </c>
      <c r="T84" s="47">
        <f>pax_cap*S84</f>
        <v/>
      </c>
      <c r="U84" s="45">
        <f>T84*R84</f>
        <v/>
      </c>
      <c r="V84" s="48">
        <f>H84*discount</f>
        <v/>
      </c>
      <c r="W84" s="49">
        <f>V84*U84</f>
        <v/>
      </c>
      <c r="X84" s="49">
        <f>(battery/range_nm)*G84*R84*VLOOKUP(B84,country_opex,3,FALSE)</f>
        <v/>
      </c>
      <c r="Y84" s="49">
        <f>VLOOKUP(B84,country_opex,2,FALSE)*crew_factor</f>
        <v/>
      </c>
      <c r="Z84" s="49">
        <f>VLOOKUP(B84,country_opex,5,FALSE)</f>
        <v/>
      </c>
      <c r="AA84" s="49">
        <f>maint</f>
        <v/>
      </c>
      <c r="AB84" s="49">
        <f>VLOOKUP(B84,country_opex,7,FALSE)*ins_pct</f>
        <v/>
      </c>
      <c r="AC84" s="49">
        <f>charge_berth</f>
        <v/>
      </c>
      <c r="AD84" s="49">
        <f>X84+Y84+Z84+AA84+AB84+AC84</f>
        <v/>
      </c>
      <c r="AE84" s="49">
        <f>VLOOKUP(B84,country_opex,7,FALSE)/dep_years</f>
        <v/>
      </c>
      <c r="AF84" s="49">
        <f>W84-AD84</f>
        <v/>
      </c>
      <c r="AG84" s="46">
        <f>IF(W84=0,"",AF84/W84)</f>
        <v/>
      </c>
      <c r="AH84" s="47">
        <f>IF(AF84&lt;=0,"",VLOOKUP(B84,country_opex,7,FALSE)/AF84)</f>
        <v/>
      </c>
      <c r="AI84" s="44">
        <f>((G84*R84/diesel_nmpg)*diesel_co2pg-(battery/range_nm)*G84*R84*VLOOKUP(B84,country_opex,4,FALSE))/1000</f>
        <v/>
      </c>
      <c r="AJ84" s="42" t="n">
        <v>4748</v>
      </c>
      <c r="AK84" s="43" t="n"/>
      <c r="AL84" s="43" t="n"/>
      <c r="AM84" s="50" t="n">
        <v>0.1</v>
      </c>
      <c r="AN84" s="45">
        <f>IF(AJ84="","",AJ84*AM84)</f>
        <v/>
      </c>
      <c r="AO84" s="45">
        <f>IF(OR(AJ84="",U84=0),"",MIN(IF(AV84="",9.9E+99,AV84),FLOOR(AN84/U84,1)))</f>
        <v/>
      </c>
      <c r="AP84" s="49">
        <f>IF(AO84="","",AO84*W84)</f>
        <v/>
      </c>
      <c r="AQ84" s="47">
        <f>IF(OR(AJ84="",U84=0),"",MIN(IF(AV84="",9.9E+99,AV84),AN84/U84))</f>
        <v/>
      </c>
      <c r="AR84" s="49">
        <f>IF(AQ84="","",AQ84*W84)</f>
        <v/>
      </c>
      <c r="AS84" s="51" t="n"/>
      <c r="AT84" s="52" t="n"/>
      <c r="AU84" s="52" t="n"/>
      <c r="AV84" s="53" t="n"/>
      <c r="AW84" s="54">
        <f>IF(((V84*pax_cap*load_thin*ROUND(N84*O84*revleg_thin,0))-(((battery/range_nm)*G84*ROUND(N84*O84*revleg_thin,0)*VLOOKUP(B84,country_opex,3,FALSE))+Y84+Z84+AA84+AB84+AC84))&lt;=0,"",VLOOKUP(B84,country_opex,7,FALSE)/((V84*pax_cap*load_thin*ROUND(N84*O84*revleg_thin,0))-(((battery/range_nm)*G84*ROUND(N84*O84*revleg_thin,0)*VLOOKUP(B84,country_opex,3,FALSE))+Y84+Z84+AA84+AB84+AC84)))</f>
        <v/>
      </c>
      <c r="AX84" s="54">
        <f>IF(((V84*pax_cap*load_mid*ROUND(N84*O84*revleg_mid,0))-(((battery/range_nm)*G84*ROUND(N84*O84*revleg_mid,0)*VLOOKUP(B84,country_opex,3,FALSE))+Y84+Z84+AA84+AB84+AC84))&lt;=0,"",VLOOKUP(B84,country_opex,7,FALSE)/((V84*pax_cap*load_mid*ROUND(N84*O84*revleg_mid,0))-(((battery/range_nm)*G84*ROUND(N84*O84*revleg_mid,0)*VLOOKUP(B84,country_opex,3,FALSE))+Y84+Z84+AA84+AB84+AC84)))</f>
        <v/>
      </c>
      <c r="AY84" s="54">
        <f>IF(((V84*pax_cap*load_full*ROUND(N84*O84*revleg_full,0))-(((battery/range_nm)*G84*ROUND(N84*O84*revleg_full,0)*VLOOKUP(B84,country_opex,3,FALSE))+Y84+Z84+AA84+AB84+AC84))&lt;=0,"",VLOOKUP(B84,country_opex,7,FALSE)/((V84*pax_cap*load_full*ROUND(N84*O84*revleg_full,0))-(((battery/range_nm)*G84*ROUND(N84*O84*revleg_full,0)*VLOOKUP(B84,country_opex,3,FALSE))+Y84+Z84+AA84+AB84+AC84)))</f>
        <v/>
      </c>
      <c r="AZ84" s="40" t="n"/>
      <c r="BA84" s="40" t="n"/>
    </row>
    <row r="85">
      <c r="A85" s="38" t="inlineStr">
        <is>
          <t>Bolt France Riviera</t>
        </is>
      </c>
      <c r="B85" s="38" t="inlineStr">
        <is>
          <t>France</t>
        </is>
      </c>
      <c r="C85" s="39" t="inlineStr">
        <is>
          <t>Cannes → Saint-Tropez</t>
        </is>
      </c>
      <c r="D85" s="38" t="inlineStr">
        <is>
          <t>bolt</t>
        </is>
      </c>
      <c r="E85" s="40" t="inlineStr">
        <is>
          <t>bolt-france-riviera</t>
        </is>
      </c>
      <c r="F85" s="41" t="n">
        <v>1</v>
      </c>
      <c r="G85" s="42" t="n">
        <v>25</v>
      </c>
      <c r="H85" s="35" t="n">
        <v>38.3</v>
      </c>
      <c r="I85" s="43" t="inlineStr">
        <is>
          <t>T2</t>
        </is>
      </c>
      <c r="J85" s="43" t="inlineStr">
        <is>
          <t>med</t>
        </is>
      </c>
      <c r="K85" s="29" t="n">
        <v>1</v>
      </c>
      <c r="L85" s="44">
        <f>60*G85/cruise_kt</f>
        <v/>
      </c>
      <c r="M85" s="44">
        <f>L85+turn_min+dwell_min</f>
        <v/>
      </c>
      <c r="N85" s="45">
        <f>MIN(10,FLOOR(60*service_hr/M85,1))</f>
        <v/>
      </c>
      <c r="O85" s="45">
        <f>ROUND(365*mech_uptime*K85,0)</f>
        <v/>
      </c>
      <c r="P85" s="46">
        <f>mech_uptime</f>
        <v/>
      </c>
      <c r="Q85" s="46">
        <f>revleg_sel</f>
        <v/>
      </c>
      <c r="R85" s="45">
        <f>ROUND(N85*O85*revleg_sel,0)</f>
        <v/>
      </c>
      <c r="S85" s="47">
        <f>load_sel</f>
        <v/>
      </c>
      <c r="T85" s="47">
        <f>pax_cap*S85</f>
        <v/>
      </c>
      <c r="U85" s="45">
        <f>T85*R85</f>
        <v/>
      </c>
      <c r="V85" s="48">
        <f>H85*discount</f>
        <v/>
      </c>
      <c r="W85" s="49">
        <f>V85*U85</f>
        <v/>
      </c>
      <c r="X85" s="49">
        <f>(battery/range_nm)*G85*R85*VLOOKUP(B85,country_opex,3,FALSE)</f>
        <v/>
      </c>
      <c r="Y85" s="49">
        <f>VLOOKUP(B85,country_opex,2,FALSE)*crew_factor</f>
        <v/>
      </c>
      <c r="Z85" s="49">
        <f>VLOOKUP(B85,country_opex,5,FALSE)</f>
        <v/>
      </c>
      <c r="AA85" s="49">
        <f>maint</f>
        <v/>
      </c>
      <c r="AB85" s="49">
        <f>VLOOKUP(B85,country_opex,7,FALSE)*ins_pct</f>
        <v/>
      </c>
      <c r="AC85" s="49">
        <f>charge_berth</f>
        <v/>
      </c>
      <c r="AD85" s="49">
        <f>X85+Y85+Z85+AA85+AB85+AC85</f>
        <v/>
      </c>
      <c r="AE85" s="49">
        <f>VLOOKUP(B85,country_opex,7,FALSE)/dep_years</f>
        <v/>
      </c>
      <c r="AF85" s="49">
        <f>W85-AD85</f>
        <v/>
      </c>
      <c r="AG85" s="46">
        <f>IF(W85=0,"",AF85/W85)</f>
        <v/>
      </c>
      <c r="AH85" s="47">
        <f>IF(AF85&lt;=0,"",VLOOKUP(B85,country_opex,7,FALSE)/AF85)</f>
        <v/>
      </c>
      <c r="AI85" s="44">
        <f>((G85*R85/diesel_nmpg)*diesel_co2pg-(battery/range_nm)*G85*R85*VLOOKUP(B85,country_opex,4,FALSE))/1000</f>
        <v/>
      </c>
      <c r="AJ85" s="42" t="n">
        <v>32000</v>
      </c>
      <c r="AK85" s="43" t="n"/>
      <c r="AL85" s="43" t="n"/>
      <c r="AM85" s="50" t="n">
        <v>0.1</v>
      </c>
      <c r="AN85" s="45">
        <f>IF(AJ85="","",AJ85*AM85)</f>
        <v/>
      </c>
      <c r="AO85" s="45">
        <f>IF(OR(AJ85="",U85=0),"",MIN(IF(AV85="",9.9E+99,AV85),FLOOR(AN85/U85,1)))</f>
        <v/>
      </c>
      <c r="AP85" s="49">
        <f>IF(AO85="","",AO85*W85)</f>
        <v/>
      </c>
      <c r="AQ85" s="47">
        <f>IF(OR(AJ85="",U85=0),"",MIN(IF(AV85="",9.9E+99,AV85),AN85/U85))</f>
        <v/>
      </c>
      <c r="AR85" s="49">
        <f>IF(AQ85="","",AQ85*W85)</f>
        <v/>
      </c>
      <c r="AS85" s="51" t="n"/>
      <c r="AT85" s="52" t="n"/>
      <c r="AU85" s="52" t="n"/>
      <c r="AV85" s="53" t="n"/>
      <c r="AW85" s="54">
        <f>IF(((V85*pax_cap*load_thin*ROUND(N85*O85*revleg_thin,0))-(((battery/range_nm)*G85*ROUND(N85*O85*revleg_thin,0)*VLOOKUP(B85,country_opex,3,FALSE))+Y85+Z85+AA85+AB85+AC85))&lt;=0,"",VLOOKUP(B85,country_opex,7,FALSE)/((V85*pax_cap*load_thin*ROUND(N85*O85*revleg_thin,0))-(((battery/range_nm)*G85*ROUND(N85*O85*revleg_thin,0)*VLOOKUP(B85,country_opex,3,FALSE))+Y85+Z85+AA85+AB85+AC85)))</f>
        <v/>
      </c>
      <c r="AX85" s="54">
        <f>IF(((V85*pax_cap*load_mid*ROUND(N85*O85*revleg_mid,0))-(((battery/range_nm)*G85*ROUND(N85*O85*revleg_mid,0)*VLOOKUP(B85,country_opex,3,FALSE))+Y85+Z85+AA85+AB85+AC85))&lt;=0,"",VLOOKUP(B85,country_opex,7,FALSE)/((V85*pax_cap*load_mid*ROUND(N85*O85*revleg_mid,0))-(((battery/range_nm)*G85*ROUND(N85*O85*revleg_mid,0)*VLOOKUP(B85,country_opex,3,FALSE))+Y85+Z85+AA85+AB85+AC85)))</f>
        <v/>
      </c>
      <c r="AY85" s="54">
        <f>IF(((V85*pax_cap*load_full*ROUND(N85*O85*revleg_full,0))-(((battery/range_nm)*G85*ROUND(N85*O85*revleg_full,0)*VLOOKUP(B85,country_opex,3,FALSE))+Y85+Z85+AA85+AB85+AC85))&lt;=0,"",VLOOKUP(B85,country_opex,7,FALSE)/((V85*pax_cap*load_full*ROUND(N85*O85*revleg_full,0))-(((battery/range_nm)*G85*ROUND(N85*O85*revleg_full,0)*VLOOKUP(B85,country_opex,3,FALSE))+Y85+Z85+AA85+AB85+AC85)))</f>
        <v/>
      </c>
      <c r="AZ85" s="40" t="inlineStr">
        <is>
          <t>PREMIUM tier: Trans Cote d'Azur scheduled fast catamaran Cannes&lt;-&gt;Saint-Tropez EUR 71 adult RT (2026) = ~EUR 35.5 one-way x 1.08 = ~$38.3.</t>
        </is>
      </c>
      <c r="BA85" s="40" t="n"/>
    </row>
    <row r="86">
      <c r="A86" s="38" t="inlineStr">
        <is>
          <t>Bolt France Riviera</t>
        </is>
      </c>
      <c r="B86" s="38" t="inlineStr">
        <is>
          <t>France</t>
        </is>
      </c>
      <c r="C86" s="39" t="inlineStr">
        <is>
          <t>Nice → Saint-Tropez</t>
        </is>
      </c>
      <c r="D86" s="38" t="inlineStr">
        <is>
          <t>bolt</t>
        </is>
      </c>
      <c r="E86" s="40" t="inlineStr">
        <is>
          <t>bolt-france-riviera</t>
        </is>
      </c>
      <c r="F86" s="41" t="n">
        <v>1</v>
      </c>
      <c r="G86" s="42" t="n">
        <v>32</v>
      </c>
      <c r="H86" s="35" t="n">
        <v>45.4</v>
      </c>
      <c r="I86" s="43" t="inlineStr">
        <is>
          <t>T2</t>
        </is>
      </c>
      <c r="J86" s="43" t="inlineStr">
        <is>
          <t>med</t>
        </is>
      </c>
      <c r="K86" s="29" t="n">
        <v>1</v>
      </c>
      <c r="L86" s="44">
        <f>60*G86/cruise_kt</f>
        <v/>
      </c>
      <c r="M86" s="44">
        <f>L86+turn_min+dwell_min</f>
        <v/>
      </c>
      <c r="N86" s="45">
        <f>MIN(10,FLOOR(60*service_hr/M86,1))</f>
        <v/>
      </c>
      <c r="O86" s="45">
        <f>ROUND(365*mech_uptime*K86,0)</f>
        <v/>
      </c>
      <c r="P86" s="46">
        <f>mech_uptime</f>
        <v/>
      </c>
      <c r="Q86" s="46">
        <f>revleg_sel</f>
        <v/>
      </c>
      <c r="R86" s="45">
        <f>ROUND(N86*O86*revleg_sel,0)</f>
        <v/>
      </c>
      <c r="S86" s="47">
        <f>load_sel</f>
        <v/>
      </c>
      <c r="T86" s="47">
        <f>pax_cap*S86</f>
        <v/>
      </c>
      <c r="U86" s="45">
        <f>T86*R86</f>
        <v/>
      </c>
      <c r="V86" s="48">
        <f>H86*discount</f>
        <v/>
      </c>
      <c r="W86" s="49">
        <f>V86*U86</f>
        <v/>
      </c>
      <c r="X86" s="49">
        <f>(battery/range_nm)*G86*R86*VLOOKUP(B86,country_opex,3,FALSE)</f>
        <v/>
      </c>
      <c r="Y86" s="49">
        <f>VLOOKUP(B86,country_opex,2,FALSE)*crew_factor</f>
        <v/>
      </c>
      <c r="Z86" s="49">
        <f>VLOOKUP(B86,country_opex,5,FALSE)</f>
        <v/>
      </c>
      <c r="AA86" s="49">
        <f>maint</f>
        <v/>
      </c>
      <c r="AB86" s="49">
        <f>VLOOKUP(B86,country_opex,7,FALSE)*ins_pct</f>
        <v/>
      </c>
      <c r="AC86" s="49">
        <f>charge_berth</f>
        <v/>
      </c>
      <c r="AD86" s="49">
        <f>X86+Y86+Z86+AA86+AB86+AC86</f>
        <v/>
      </c>
      <c r="AE86" s="49">
        <f>VLOOKUP(B86,country_opex,7,FALSE)/dep_years</f>
        <v/>
      </c>
      <c r="AF86" s="49">
        <f>W86-AD86</f>
        <v/>
      </c>
      <c r="AG86" s="46">
        <f>IF(W86=0,"",AF86/W86)</f>
        <v/>
      </c>
      <c r="AH86" s="47">
        <f>IF(AF86&lt;=0,"",VLOOKUP(B86,country_opex,7,FALSE)/AF86)</f>
        <v/>
      </c>
      <c r="AI86" s="44">
        <f>((G86*R86/diesel_nmpg)*diesel_co2pg-(battery/range_nm)*G86*R86*VLOOKUP(B86,country_opex,4,FALSE))/1000</f>
        <v/>
      </c>
      <c r="AJ86" s="42" t="n">
        <v>32000</v>
      </c>
      <c r="AK86" s="43" t="n"/>
      <c r="AL86" s="43" t="n"/>
      <c r="AM86" s="50" t="n">
        <v>0.1</v>
      </c>
      <c r="AN86" s="45">
        <f>IF(AJ86="","",AJ86*AM86)</f>
        <v/>
      </c>
      <c r="AO86" s="45">
        <f>IF(OR(AJ86="",U86=0),"",MIN(IF(AV86="",9.9E+99,AV86),FLOOR(AN86/U86,1)))</f>
        <v/>
      </c>
      <c r="AP86" s="49">
        <f>IF(AO86="","",AO86*W86)</f>
        <v/>
      </c>
      <c r="AQ86" s="47">
        <f>IF(OR(AJ86="",U86=0),"",MIN(IF(AV86="",9.9E+99,AV86),AN86/U86))</f>
        <v/>
      </c>
      <c r="AR86" s="49">
        <f>IF(AQ86="","",AQ86*W86)</f>
        <v/>
      </c>
      <c r="AS86" s="51" t="n"/>
      <c r="AT86" s="52" t="n"/>
      <c r="AU86" s="52" t="n"/>
      <c r="AV86" s="53" t="n"/>
      <c r="AW86" s="54">
        <f>IF(((V86*pax_cap*load_thin*ROUND(N86*O86*revleg_thin,0))-(((battery/range_nm)*G86*ROUND(N86*O86*revleg_thin,0)*VLOOKUP(B86,country_opex,3,FALSE))+Y86+Z86+AA86+AB86+AC86))&lt;=0,"",VLOOKUP(B86,country_opex,7,FALSE)/((V86*pax_cap*load_thin*ROUND(N86*O86*revleg_thin,0))-(((battery/range_nm)*G86*ROUND(N86*O86*revleg_thin,0)*VLOOKUP(B86,country_opex,3,FALSE))+Y86+Z86+AA86+AB86+AC86)))</f>
        <v/>
      </c>
      <c r="AX86" s="54">
        <f>IF(((V86*pax_cap*load_mid*ROUND(N86*O86*revleg_mid,0))-(((battery/range_nm)*G86*ROUND(N86*O86*revleg_mid,0)*VLOOKUP(B86,country_opex,3,FALSE))+Y86+Z86+AA86+AB86+AC86))&lt;=0,"",VLOOKUP(B86,country_opex,7,FALSE)/((V86*pax_cap*load_mid*ROUND(N86*O86*revleg_mid,0))-(((battery/range_nm)*G86*ROUND(N86*O86*revleg_mid,0)*VLOOKUP(B86,country_opex,3,FALSE))+Y86+Z86+AA86+AB86+AC86)))</f>
        <v/>
      </c>
      <c r="AY86" s="54">
        <f>IF(((V86*pax_cap*load_full*ROUND(N86*O86*revleg_full,0))-(((battery/range_nm)*G86*ROUND(N86*O86*revleg_full,0)*VLOOKUP(B86,country_opex,3,FALSE))+Y86+Z86+AA86+AB86+AC86))&lt;=0,"",VLOOKUP(B86,country_opex,7,FALSE)/((V86*pax_cap*load_full*ROUND(N86*O86*revleg_full,0))-(((battery/range_nm)*G86*ROUND(N86*O86*revleg_full,0)*VLOOKUP(B86,country_opex,3,FALSE))+Y86+Z86+AA86+AB86+AC86)))</f>
        <v/>
      </c>
      <c r="AZ86" s="40" t="inlineStr">
        <is>
          <t>PREMIUM tier: Trans Cote d'Azur scheduled catamaran Nice&lt;-&gt;Saint-Tropez EUR 84 adult RT (2026) = ~EUR 42 one-way x 1.08 = ~$45.4 (higher than the Cannes route, reflecting the longer leg).</t>
        </is>
      </c>
      <c r="BA86" s="40" t="n"/>
    </row>
    <row r="87">
      <c r="A87" s="38" t="inlineStr">
        <is>
          <t>French Polynesia</t>
        </is>
      </c>
      <c r="B87" s="38" t="inlineStr">
        <is>
          <t>French Polynesia</t>
        </is>
      </c>
      <c r="C87" s="39" t="inlineStr">
        <is>
          <t>Vaitape (Bora Bora) → Motu Mute Airport</t>
        </is>
      </c>
      <c r="D87" s="38" t="inlineStr">
        <is>
          <t>french-polynesia</t>
        </is>
      </c>
      <c r="E87" s="40" t="inlineStr">
        <is>
          <t>french-polynesia</t>
        </is>
      </c>
      <c r="F87" s="41" t="n">
        <v>1</v>
      </c>
      <c r="G87" s="42" t="n">
        <v>3</v>
      </c>
      <c r="H87" s="35" t="n">
        <v>65</v>
      </c>
      <c r="I87" s="43" t="inlineStr">
        <is>
          <t>T1</t>
        </is>
      </c>
      <c r="J87" s="43" t="inlineStr">
        <is>
          <t>high</t>
        </is>
      </c>
      <c r="K87" s="29" t="n">
        <v>0.93</v>
      </c>
      <c r="L87" s="44">
        <f>60*G87/cruise_kt</f>
        <v/>
      </c>
      <c r="M87" s="44">
        <f>L87+turn_min+dwell_min</f>
        <v/>
      </c>
      <c r="N87" s="45">
        <f>MIN(10,FLOOR(60*service_hr/M87,1))</f>
        <v/>
      </c>
      <c r="O87" s="45">
        <f>ROUND(365*mech_uptime*K87,0)</f>
        <v/>
      </c>
      <c r="P87" s="46">
        <f>mech_uptime</f>
        <v/>
      </c>
      <c r="Q87" s="46">
        <f>revleg_sel</f>
        <v/>
      </c>
      <c r="R87" s="45">
        <f>ROUND(N87*O87*revleg_sel,0)</f>
        <v/>
      </c>
      <c r="S87" s="47">
        <f>load_sel</f>
        <v/>
      </c>
      <c r="T87" s="47">
        <f>pax_cap*S87</f>
        <v/>
      </c>
      <c r="U87" s="45">
        <f>T87*R87</f>
        <v/>
      </c>
      <c r="V87" s="48">
        <f>H87*discount</f>
        <v/>
      </c>
      <c r="W87" s="49">
        <f>V87*U87</f>
        <v/>
      </c>
      <c r="X87" s="49">
        <f>(battery/range_nm)*G87*R87*VLOOKUP(B87,country_opex,3,FALSE)</f>
        <v/>
      </c>
      <c r="Y87" s="49">
        <f>VLOOKUP(B87,country_opex,2,FALSE)*crew_factor</f>
        <v/>
      </c>
      <c r="Z87" s="49">
        <f>VLOOKUP(B87,country_opex,5,FALSE)</f>
        <v/>
      </c>
      <c r="AA87" s="49">
        <f>maint</f>
        <v/>
      </c>
      <c r="AB87" s="49">
        <f>VLOOKUP(B87,country_opex,7,FALSE)*ins_pct</f>
        <v/>
      </c>
      <c r="AC87" s="49">
        <f>charge_berth</f>
        <v/>
      </c>
      <c r="AD87" s="49">
        <f>X87+Y87+Z87+AA87+AB87+AC87</f>
        <v/>
      </c>
      <c r="AE87" s="49">
        <f>VLOOKUP(B87,country_opex,7,FALSE)/dep_years</f>
        <v/>
      </c>
      <c r="AF87" s="49">
        <f>W87-AD87</f>
        <v/>
      </c>
      <c r="AG87" s="46">
        <f>IF(W87=0,"",AF87/W87)</f>
        <v/>
      </c>
      <c r="AH87" s="47">
        <f>IF(AF87&lt;=0,"",VLOOKUP(B87,country_opex,7,FALSE)/AF87)</f>
        <v/>
      </c>
      <c r="AI87" s="44">
        <f>((G87*R87/diesel_nmpg)*diesel_co2pg-(battery/range_nm)*G87*R87*VLOOKUP(B87,country_opex,4,FALSE))/1000</f>
        <v/>
      </c>
      <c r="AJ87" s="42" t="n">
        <v>600000</v>
      </c>
      <c r="AK87" s="43" t="inlineStr">
        <is>
          <t>T2</t>
        </is>
      </c>
      <c r="AL87" s="43" t="inlineStr">
        <is>
          <t>med-high</t>
        </is>
      </c>
      <c r="AM87" s="50" t="n">
        <v>0.9</v>
      </c>
      <c r="AN87" s="45">
        <f>IF(AJ87="","",AJ87*AM87)</f>
        <v/>
      </c>
      <c r="AO87" s="45">
        <f>IF(OR(AJ87="",U87=0),"",MIN(IF(AV87="",9.9E+99,AV87),FLOOR(AN87/U87,1)))</f>
        <v/>
      </c>
      <c r="AP87" s="49">
        <f>IF(AO87="","",AO87*W87)</f>
        <v/>
      </c>
      <c r="AQ87" s="47">
        <f>IF(OR(AJ87="",U87=0),"",MIN(IF(AV87="",9.9E+99,AV87),AN87/U87))</f>
        <v/>
      </c>
      <c r="AR87" s="49">
        <f>IF(AQ87="","",AQ87*W87)</f>
        <v/>
      </c>
      <c r="AS87" s="51" t="n"/>
      <c r="AT87" s="52" t="n"/>
      <c r="AU87" s="52" t="n"/>
      <c r="AV87" s="53" t="n"/>
      <c r="AW87" s="54">
        <f>IF(((V87*pax_cap*load_thin*ROUND(N87*O87*revleg_thin,0))-(((battery/range_nm)*G87*ROUND(N87*O87*revleg_thin,0)*VLOOKUP(B87,country_opex,3,FALSE))+Y87+Z87+AA87+AB87+AC87))&lt;=0,"",VLOOKUP(B87,country_opex,7,FALSE)/((V87*pax_cap*load_thin*ROUND(N87*O87*revleg_thin,0))-(((battery/range_nm)*G87*ROUND(N87*O87*revleg_thin,0)*VLOOKUP(B87,country_opex,3,FALSE))+Y87+Z87+AA87+AB87+AC87)))</f>
        <v/>
      </c>
      <c r="AX87" s="54">
        <f>IF(((V87*pax_cap*load_mid*ROUND(N87*O87*revleg_mid,0))-(((battery/range_nm)*G87*ROUND(N87*O87*revleg_mid,0)*VLOOKUP(B87,country_opex,3,FALSE))+Y87+Z87+AA87+AB87+AC87))&lt;=0,"",VLOOKUP(B87,country_opex,7,FALSE)/((V87*pax_cap*load_mid*ROUND(N87*O87*revleg_mid,0))-(((battery/range_nm)*G87*ROUND(N87*O87*revleg_mid,0)*VLOOKUP(B87,country_opex,3,FALSE))+Y87+Z87+AA87+AB87+AC87)))</f>
        <v/>
      </c>
      <c r="AY87" s="54">
        <f>IF(((V87*pax_cap*load_full*ROUND(N87*O87*revleg_full,0))-(((battery/range_nm)*G87*ROUND(N87*O87*revleg_full,0)*VLOOKUP(B87,country_opex,3,FALSE))+Y87+Z87+AA87+AB87+AC87))&lt;=0,"",VLOOKUP(B87,country_opex,7,FALSE)/((V87*pax_cap*load_full*ROUND(N87*O87*revleg_full,0))-(((battery/range_nm)*G87*ROUND(N87*O87*revleg_full,0)*VLOOKUP(B87,country_opex,3,FALSE))+Y87+Z87+AA87+AB87+AC87)))</f>
        <v/>
      </c>
      <c r="AZ87" s="40" t="inlineStr">
        <is>
          <t>Westin Bora Bora resort shuttle 7,000 XPF/way (~$64.2 @109); WanderInParadise / AirportTransferPortal: private boat transfers 5,000-15,000 XPF (~$46-138). Free Air Tahiti shuttle exists for Air Tahiti pax (Bora Bora Navette - airtahiti.com) - that is budget tier. Premium per-seat = resort-branded scheduled speedboat ~$65.</t>
        </is>
      </c>
      <c r="BA87" s="40" t="inlineStr">
        <is>
          <t>Bora Bora 2023 ~305,700 visitors / 2024 ~326,632 (hotelagio.com citing ISPF). Motu Mute is BB's ONLY airport - every arrival/departure must cross the lagoon (R3-EXCEPTION). 326k × 2 directions = ~650k one-way crossings/yr; trim slightly for cruise-only (no Motu Mute) ~600k.</t>
        </is>
      </c>
    </row>
    <row r="88">
      <c r="A88" s="38" t="inlineStr">
        <is>
          <t>French Polynesia</t>
        </is>
      </c>
      <c r="B88" s="38" t="inlineStr">
        <is>
          <t>French Polynesia</t>
        </is>
      </c>
      <c r="C88" s="39" t="inlineStr">
        <is>
          <t>Bora Bora intra-lagoon resort mesh → (captive motu hop network)</t>
        </is>
      </c>
      <c r="D88" s="38" t="inlineStr">
        <is>
          <t>french-polynesia</t>
        </is>
      </c>
      <c r="E88" s="40" t="inlineStr">
        <is>
          <t>french-polynesia</t>
        </is>
      </c>
      <c r="F88" s="41" t="n">
        <v>1</v>
      </c>
      <c r="G88" s="42" t="n">
        <v>4</v>
      </c>
      <c r="H88" s="35" t="n">
        <v>55</v>
      </c>
      <c r="I88" s="43" t="inlineStr">
        <is>
          <t>T5</t>
        </is>
      </c>
      <c r="J88" s="43" t="inlineStr">
        <is>
          <t>low</t>
        </is>
      </c>
      <c r="K88" s="29" t="n">
        <v>0.93</v>
      </c>
      <c r="L88" s="44">
        <f>60*G88/cruise_kt</f>
        <v/>
      </c>
      <c r="M88" s="44">
        <f>L88+turn_min+dwell_min</f>
        <v/>
      </c>
      <c r="N88" s="45">
        <f>MIN(10,FLOOR(60*service_hr/M88,1))</f>
        <v/>
      </c>
      <c r="O88" s="45">
        <f>ROUND(365*mech_uptime*K88,0)</f>
        <v/>
      </c>
      <c r="P88" s="46">
        <f>mech_uptime</f>
        <v/>
      </c>
      <c r="Q88" s="46">
        <f>revleg_sel</f>
        <v/>
      </c>
      <c r="R88" s="45">
        <f>ROUND(N88*O88*revleg_sel,0)</f>
        <v/>
      </c>
      <c r="S88" s="47">
        <f>load_sel</f>
        <v/>
      </c>
      <c r="T88" s="47">
        <f>pax_cap*S88</f>
        <v/>
      </c>
      <c r="U88" s="45">
        <f>T88*R88</f>
        <v/>
      </c>
      <c r="V88" s="48">
        <f>H88*discount</f>
        <v/>
      </c>
      <c r="W88" s="49">
        <f>V88*U88</f>
        <v/>
      </c>
      <c r="X88" s="49">
        <f>(battery/range_nm)*G88*R88*VLOOKUP(B88,country_opex,3,FALSE)</f>
        <v/>
      </c>
      <c r="Y88" s="49">
        <f>VLOOKUP(B88,country_opex,2,FALSE)*crew_factor</f>
        <v/>
      </c>
      <c r="Z88" s="49">
        <f>VLOOKUP(B88,country_opex,5,FALSE)</f>
        <v/>
      </c>
      <c r="AA88" s="49">
        <f>maint</f>
        <v/>
      </c>
      <c r="AB88" s="49">
        <f>VLOOKUP(B88,country_opex,7,FALSE)*ins_pct</f>
        <v/>
      </c>
      <c r="AC88" s="49">
        <f>charge_berth</f>
        <v/>
      </c>
      <c r="AD88" s="49">
        <f>X88+Y88+Z88+AA88+AB88+AC88</f>
        <v/>
      </c>
      <c r="AE88" s="49">
        <f>VLOOKUP(B88,country_opex,7,FALSE)/dep_years</f>
        <v/>
      </c>
      <c r="AF88" s="49">
        <f>W88-AD88</f>
        <v/>
      </c>
      <c r="AG88" s="46">
        <f>IF(W88=0,"",AF88/W88)</f>
        <v/>
      </c>
      <c r="AH88" s="47">
        <f>IF(AF88&lt;=0,"",VLOOKUP(B88,country_opex,7,FALSE)/AF88)</f>
        <v/>
      </c>
      <c r="AI88" s="44">
        <f>((G88*R88/diesel_nmpg)*diesel_co2pg-(battery/range_nm)*G88*R88*VLOOKUP(B88,country_opex,4,FALSE))/1000</f>
        <v/>
      </c>
      <c r="AJ88" s="42" t="n"/>
      <c r="AK88" s="43" t="inlineStr">
        <is>
          <t>T5</t>
        </is>
      </c>
      <c r="AL88" s="43" t="inlineStr">
        <is>
          <t>low</t>
        </is>
      </c>
      <c r="AM88" s="50" t="n">
        <v>0.9</v>
      </c>
      <c r="AN88" s="45">
        <f>IF(AJ88="","",AJ88*AM88)</f>
        <v/>
      </c>
      <c r="AO88" s="45">
        <f>IF(OR(AJ88="",U88=0),"",MIN(IF(AV88="",9.9E+99,AV88),FLOOR(AN88/U88,1)))</f>
        <v/>
      </c>
      <c r="AP88" s="49">
        <f>IF(AO88="","",AO88*W88)</f>
        <v/>
      </c>
      <c r="AQ88" s="47">
        <f>IF(OR(AJ88="",U88=0),"",MIN(IF(AV88="",9.9E+99,AV88),AN88/U88))</f>
        <v/>
      </c>
      <c r="AR88" s="49">
        <f>IF(AQ88="","",AQ88*W88)</f>
        <v/>
      </c>
      <c r="AS88" s="51" t="n"/>
      <c r="AT88" s="52" t="n"/>
      <c r="AU88" s="52" t="n"/>
      <c r="AV88" s="53" t="n"/>
      <c r="AW88" s="54">
        <f>IF(((V88*pax_cap*load_thin*ROUND(N88*O88*revleg_thin,0))-(((battery/range_nm)*G88*ROUND(N88*O88*revleg_thin,0)*VLOOKUP(B88,country_opex,3,FALSE))+Y88+Z88+AA88+AB88+AC88))&lt;=0,"",VLOOKUP(B88,country_opex,7,FALSE)/((V88*pax_cap*load_thin*ROUND(N88*O88*revleg_thin,0))-(((battery/range_nm)*G88*ROUND(N88*O88*revleg_thin,0)*VLOOKUP(B88,country_opex,3,FALSE))+Y88+Z88+AA88+AB88+AC88)))</f>
        <v/>
      </c>
      <c r="AX88" s="54">
        <f>IF(((V88*pax_cap*load_mid*ROUND(N88*O88*revleg_mid,0))-(((battery/range_nm)*G88*ROUND(N88*O88*revleg_mid,0)*VLOOKUP(B88,country_opex,3,FALSE))+Y88+Z88+AA88+AB88+AC88))&lt;=0,"",VLOOKUP(B88,country_opex,7,FALSE)/((V88*pax_cap*load_mid*ROUND(N88*O88*revleg_mid,0))-(((battery/range_nm)*G88*ROUND(N88*O88*revleg_mid,0)*VLOOKUP(B88,country_opex,3,FALSE))+Y88+Z88+AA88+AB88+AC88)))</f>
        <v/>
      </c>
      <c r="AY88" s="54">
        <f>IF(((V88*pax_cap*load_full*ROUND(N88*O88*revleg_full,0))-(((battery/range_nm)*G88*ROUND(N88*O88*revleg_full,0)*VLOOKUP(B88,country_opex,3,FALSE))+Y88+Z88+AA88+AB88+AC88))&lt;=0,"",VLOOKUP(B88,country_opex,7,FALSE)/((V88*pax_cap*load_full*ROUND(N88*O88*revleg_full,0))-(((battery/range_nm)*G88*ROUND(N88*O88*revleg_full,0)*VLOOKUP(B88,country_opex,3,FALSE))+Y88+Z88+AA88+AB88+AC88)))</f>
        <v/>
      </c>
      <c r="AZ88" s="40" t="inlineStr">
        <is>
          <t>No published per-seat tariff for intra-lagoon resort hops (St Regis-Four Seasons-Conrad-Le Bora Bora etc.). Modeled between Westin airport speedboat 7,000 XPF ($65) and free intra-resort shuttles; private boat charters cited at 5-15k XPF per group ~$46-138/group → blended per-seat ~$55.</t>
        </is>
      </c>
      <c r="BA88" s="40" t="inlineStr">
        <is>
          <t>Intra-lagoon resort mesh has no public ridership; activity is bundled into resort stays. BB ~250k room-nights/yr × ~1 intra-lagoon hop/stay = ~250k pax/yr indicative but not verifiable.</t>
        </is>
      </c>
    </row>
    <row r="89">
      <c r="A89" s="38" t="inlineStr">
        <is>
          <t>French Polynesia</t>
        </is>
      </c>
      <c r="B89" s="38" t="inlineStr">
        <is>
          <t>French Polynesia</t>
        </is>
      </c>
      <c r="C89" s="39" t="inlineStr">
        <is>
          <t>Tahaa intra-lagoon resort shuttle (Le Taha'a / Vahine / Patio) → (intra-lagoon)</t>
        </is>
      </c>
      <c r="D89" s="38" t="inlineStr">
        <is>
          <t>french-polynesia</t>
        </is>
      </c>
      <c r="E89" s="40" t="inlineStr">
        <is>
          <t>french-polynesia</t>
        </is>
      </c>
      <c r="F89" s="41" t="n">
        <v>1</v>
      </c>
      <c r="G89" s="42" t="n">
        <v>4</v>
      </c>
      <c r="H89" s="35" t="n">
        <v>50</v>
      </c>
      <c r="I89" s="43" t="inlineStr">
        <is>
          <t>T5</t>
        </is>
      </c>
      <c r="J89" s="43" t="inlineStr">
        <is>
          <t>low</t>
        </is>
      </c>
      <c r="K89" s="29" t="n">
        <v>0.93</v>
      </c>
      <c r="L89" s="44">
        <f>60*G89/cruise_kt</f>
        <v/>
      </c>
      <c r="M89" s="44">
        <f>L89+turn_min+dwell_min</f>
        <v/>
      </c>
      <c r="N89" s="45">
        <f>MIN(10,FLOOR(60*service_hr/M89,1))</f>
        <v/>
      </c>
      <c r="O89" s="45">
        <f>ROUND(365*mech_uptime*K89,0)</f>
        <v/>
      </c>
      <c r="P89" s="46">
        <f>mech_uptime</f>
        <v/>
      </c>
      <c r="Q89" s="46">
        <f>revleg_sel</f>
        <v/>
      </c>
      <c r="R89" s="45">
        <f>ROUND(N89*O89*revleg_sel,0)</f>
        <v/>
      </c>
      <c r="S89" s="47">
        <f>load_sel</f>
        <v/>
      </c>
      <c r="T89" s="47">
        <f>pax_cap*S89</f>
        <v/>
      </c>
      <c r="U89" s="45">
        <f>T89*R89</f>
        <v/>
      </c>
      <c r="V89" s="48">
        <f>H89*discount</f>
        <v/>
      </c>
      <c r="W89" s="49">
        <f>V89*U89</f>
        <v/>
      </c>
      <c r="X89" s="49">
        <f>(battery/range_nm)*G89*R89*VLOOKUP(B89,country_opex,3,FALSE)</f>
        <v/>
      </c>
      <c r="Y89" s="49">
        <f>VLOOKUP(B89,country_opex,2,FALSE)*crew_factor</f>
        <v/>
      </c>
      <c r="Z89" s="49">
        <f>VLOOKUP(B89,country_opex,5,FALSE)</f>
        <v/>
      </c>
      <c r="AA89" s="49">
        <f>maint</f>
        <v/>
      </c>
      <c r="AB89" s="49">
        <f>VLOOKUP(B89,country_opex,7,FALSE)*ins_pct</f>
        <v/>
      </c>
      <c r="AC89" s="49">
        <f>charge_berth</f>
        <v/>
      </c>
      <c r="AD89" s="49">
        <f>X89+Y89+Z89+AA89+AB89+AC89</f>
        <v/>
      </c>
      <c r="AE89" s="49">
        <f>VLOOKUP(B89,country_opex,7,FALSE)/dep_years</f>
        <v/>
      </c>
      <c r="AF89" s="49">
        <f>W89-AD89</f>
        <v/>
      </c>
      <c r="AG89" s="46">
        <f>IF(W89=0,"",AF89/W89)</f>
        <v/>
      </c>
      <c r="AH89" s="47">
        <f>IF(AF89&lt;=0,"",VLOOKUP(B89,country_opex,7,FALSE)/AF89)</f>
        <v/>
      </c>
      <c r="AI89" s="44">
        <f>((G89*R89/diesel_nmpg)*diesel_co2pg-(battery/range_nm)*G89*R89*VLOOKUP(B89,country_opex,4,FALSE))/1000</f>
        <v/>
      </c>
      <c r="AJ89" s="42" t="n"/>
      <c r="AK89" s="43" t="inlineStr">
        <is>
          <t>T5</t>
        </is>
      </c>
      <c r="AL89" s="43" t="inlineStr">
        <is>
          <t>low</t>
        </is>
      </c>
      <c r="AM89" s="50" t="n">
        <v>0.9</v>
      </c>
      <c r="AN89" s="45">
        <f>IF(AJ89="","",AJ89*AM89)</f>
        <v/>
      </c>
      <c r="AO89" s="45">
        <f>IF(OR(AJ89="",U89=0),"",MIN(IF(AV89="",9.9E+99,AV89),FLOOR(AN89/U89,1)))</f>
        <v/>
      </c>
      <c r="AP89" s="49">
        <f>IF(AO89="","",AO89*W89)</f>
        <v/>
      </c>
      <c r="AQ89" s="47">
        <f>IF(OR(AJ89="",U89=0),"",MIN(IF(AV89="",9.9E+99,AV89),AN89/U89))</f>
        <v/>
      </c>
      <c r="AR89" s="49">
        <f>IF(AQ89="","",AQ89*W89)</f>
        <v/>
      </c>
      <c r="AS89" s="51" t="n"/>
      <c r="AT89" s="52" t="n"/>
      <c r="AU89" s="52" t="n"/>
      <c r="AV89" s="53" t="n"/>
      <c r="AW89" s="54">
        <f>IF(((V89*pax_cap*load_thin*ROUND(N89*O89*revleg_thin,0))-(((battery/range_nm)*G89*ROUND(N89*O89*revleg_thin,0)*VLOOKUP(B89,country_opex,3,FALSE))+Y89+Z89+AA89+AB89+AC89))&lt;=0,"",VLOOKUP(B89,country_opex,7,FALSE)/((V89*pax_cap*load_thin*ROUND(N89*O89*revleg_thin,0))-(((battery/range_nm)*G89*ROUND(N89*O89*revleg_thin,0)*VLOOKUP(B89,country_opex,3,FALSE))+Y89+Z89+AA89+AB89+AC89)))</f>
        <v/>
      </c>
      <c r="AX89" s="54">
        <f>IF(((V89*pax_cap*load_mid*ROUND(N89*O89*revleg_mid,0))-(((battery/range_nm)*G89*ROUND(N89*O89*revleg_mid,0)*VLOOKUP(B89,country_opex,3,FALSE))+Y89+Z89+AA89+AB89+AC89))&lt;=0,"",VLOOKUP(B89,country_opex,7,FALSE)/((V89*pax_cap*load_mid*ROUND(N89*O89*revleg_mid,0))-(((battery/range_nm)*G89*ROUND(N89*O89*revleg_mid,0)*VLOOKUP(B89,country_opex,3,FALSE))+Y89+Z89+AA89+AB89+AC89)))</f>
        <v/>
      </c>
      <c r="AY89" s="54">
        <f>IF(((V89*pax_cap*load_full*ROUND(N89*O89*revleg_full,0))-(((battery/range_nm)*G89*ROUND(N89*O89*revleg_full,0)*VLOOKUP(B89,country_opex,3,FALSE))+Y89+Z89+AA89+AB89+AC89))&lt;=0,"",VLOOKUP(B89,country_opex,7,FALSE)/((V89*pax_cap*load_full*ROUND(N89*O89*revleg_full,0))-(((battery/range_nm)*G89*ROUND(N89*O89*revleg_full,0)*VLOOKUP(B89,country_opex,3,FALSE))+Y89+Z89+AA89+AB89+AC89)))</f>
        <v/>
      </c>
      <c r="AZ89" s="40" t="inlineStr">
        <is>
          <t>No published per-seat tariff for intra-Tahaa-lagoon resort shuttles. Modeled below Le Taha'a Pearl 7,100 XPF airport transfer (~$65) since intra-lagoon hops are shorter; per-seat ~$50.</t>
        </is>
      </c>
      <c r="BA89" s="40" t="inlineStr">
        <is>
          <t>Captive resort intra-lagoon shuttle; bundled into resort stays.</t>
        </is>
      </c>
    </row>
    <row r="90">
      <c r="A90" s="38" t="inlineStr">
        <is>
          <t>French Polynesia</t>
        </is>
      </c>
      <c r="B90" s="38" t="inlineStr">
        <is>
          <t>French Polynesia</t>
        </is>
      </c>
      <c r="C90" s="39" t="inlineStr">
        <is>
          <t>Raiatea (Marina Apooiti) → Tahaa (Le Taha'a Pearl)</t>
        </is>
      </c>
      <c r="D90" s="38" t="inlineStr">
        <is>
          <t>french-polynesia</t>
        </is>
      </c>
      <c r="E90" s="40" t="inlineStr">
        <is>
          <t>french-polynesia</t>
        </is>
      </c>
      <c r="F90" s="41" t="n">
        <v>1</v>
      </c>
      <c r="G90" s="42" t="n">
        <v>5</v>
      </c>
      <c r="H90" s="35" t="n">
        <v>65</v>
      </c>
      <c r="I90" s="43" t="inlineStr">
        <is>
          <t>T1</t>
        </is>
      </c>
      <c r="J90" s="43" t="inlineStr">
        <is>
          <t>high</t>
        </is>
      </c>
      <c r="K90" s="29" t="n">
        <v>0.93</v>
      </c>
      <c r="L90" s="44">
        <f>60*G90/cruise_kt</f>
        <v/>
      </c>
      <c r="M90" s="44">
        <f>L90+turn_min+dwell_min</f>
        <v/>
      </c>
      <c r="N90" s="45">
        <f>MIN(10,FLOOR(60*service_hr/M90,1))</f>
        <v/>
      </c>
      <c r="O90" s="45">
        <f>ROUND(365*mech_uptime*K90,0)</f>
        <v/>
      </c>
      <c r="P90" s="46">
        <f>mech_uptime</f>
        <v/>
      </c>
      <c r="Q90" s="46">
        <f>revleg_sel</f>
        <v/>
      </c>
      <c r="R90" s="45">
        <f>ROUND(N90*O90*revleg_sel,0)</f>
        <v/>
      </c>
      <c r="S90" s="47">
        <f>load_sel</f>
        <v/>
      </c>
      <c r="T90" s="47">
        <f>pax_cap*S90</f>
        <v/>
      </c>
      <c r="U90" s="45">
        <f>T90*R90</f>
        <v/>
      </c>
      <c r="V90" s="48">
        <f>H90*discount</f>
        <v/>
      </c>
      <c r="W90" s="49">
        <f>V90*U90</f>
        <v/>
      </c>
      <c r="X90" s="49">
        <f>(battery/range_nm)*G90*R90*VLOOKUP(B90,country_opex,3,FALSE)</f>
        <v/>
      </c>
      <c r="Y90" s="49">
        <f>VLOOKUP(B90,country_opex,2,FALSE)*crew_factor</f>
        <v/>
      </c>
      <c r="Z90" s="49">
        <f>VLOOKUP(B90,country_opex,5,FALSE)</f>
        <v/>
      </c>
      <c r="AA90" s="49">
        <f>maint</f>
        <v/>
      </c>
      <c r="AB90" s="49">
        <f>VLOOKUP(B90,country_opex,7,FALSE)*ins_pct</f>
        <v/>
      </c>
      <c r="AC90" s="49">
        <f>charge_berth</f>
        <v/>
      </c>
      <c r="AD90" s="49">
        <f>X90+Y90+Z90+AA90+AB90+AC90</f>
        <v/>
      </c>
      <c r="AE90" s="49">
        <f>VLOOKUP(B90,country_opex,7,FALSE)/dep_years</f>
        <v/>
      </c>
      <c r="AF90" s="49">
        <f>W90-AD90</f>
        <v/>
      </c>
      <c r="AG90" s="46">
        <f>IF(W90=0,"",AF90/W90)</f>
        <v/>
      </c>
      <c r="AH90" s="47">
        <f>IF(AF90&lt;=0,"",VLOOKUP(B90,country_opex,7,FALSE)/AF90)</f>
        <v/>
      </c>
      <c r="AI90" s="44">
        <f>((G90*R90/diesel_nmpg)*diesel_co2pg-(battery/range_nm)*G90*R90*VLOOKUP(B90,country_opex,4,FALSE))/1000</f>
        <v/>
      </c>
      <c r="AJ90" s="42" t="n">
        <v>12000</v>
      </c>
      <c r="AK90" s="43" t="inlineStr">
        <is>
          <t>T5</t>
        </is>
      </c>
      <c r="AL90" s="43" t="inlineStr">
        <is>
          <t>low</t>
        </is>
      </c>
      <c r="AM90" s="50" t="n">
        <v>0.9</v>
      </c>
      <c r="AN90" s="45">
        <f>IF(AJ90="","",AJ90*AM90)</f>
        <v/>
      </c>
      <c r="AO90" s="45">
        <f>IF(OR(AJ90="",U90=0),"",MIN(IF(AV90="",9.9E+99,AV90),FLOOR(AN90/U90,1)))</f>
        <v/>
      </c>
      <c r="AP90" s="49">
        <f>IF(AO90="","",AO90*W90)</f>
        <v/>
      </c>
      <c r="AQ90" s="47">
        <f>IF(OR(AJ90="",U90=0),"",MIN(IF(AV90="",9.9E+99,AV90),AN90/U90))</f>
        <v/>
      </c>
      <c r="AR90" s="49">
        <f>IF(AQ90="","",AQ90*W90)</f>
        <v/>
      </c>
      <c r="AS90" s="51" t="n"/>
      <c r="AT90" s="52" t="n"/>
      <c r="AU90" s="52" t="n"/>
      <c r="AV90" s="53" t="n"/>
      <c r="AW90" s="54">
        <f>IF(((V90*pax_cap*load_thin*ROUND(N90*O90*revleg_thin,0))-(((battery/range_nm)*G90*ROUND(N90*O90*revleg_thin,0)*VLOOKUP(B90,country_opex,3,FALSE))+Y90+Z90+AA90+AB90+AC90))&lt;=0,"",VLOOKUP(B90,country_opex,7,FALSE)/((V90*pax_cap*load_thin*ROUND(N90*O90*revleg_thin,0))-(((battery/range_nm)*G90*ROUND(N90*O90*revleg_thin,0)*VLOOKUP(B90,country_opex,3,FALSE))+Y90+Z90+AA90+AB90+AC90)))</f>
        <v/>
      </c>
      <c r="AX90" s="54">
        <f>IF(((V90*pax_cap*load_mid*ROUND(N90*O90*revleg_mid,0))-(((battery/range_nm)*G90*ROUND(N90*O90*revleg_mid,0)*VLOOKUP(B90,country_opex,3,FALSE))+Y90+Z90+AA90+AB90+AC90))&lt;=0,"",VLOOKUP(B90,country_opex,7,FALSE)/((V90*pax_cap*load_mid*ROUND(N90*O90*revleg_mid,0))-(((battery/range_nm)*G90*ROUND(N90*O90*revleg_mid,0)*VLOOKUP(B90,country_opex,3,FALSE))+Y90+Z90+AA90+AB90+AC90)))</f>
        <v/>
      </c>
      <c r="AY90" s="54">
        <f>IF(((V90*pax_cap*load_full*ROUND(N90*O90*revleg_full,0))-(((battery/range_nm)*G90*ROUND(N90*O90*revleg_full,0)*VLOOKUP(B90,country_opex,3,FALSE))+Y90+Z90+AA90+AB90+AC90))&lt;=0,"",VLOOKUP(B90,country_opex,7,FALSE)/((V90*pax_cap*load_full*ROUND(N90*O90*revleg_full,0))-(((battery/range_nm)*G90*ROUND(N90*O90*revleg_full,0)*VLOOKUP(B90,country_opex,3,FALSE))+Y90+Z90+AA90+AB90+AC90)))</f>
        <v/>
      </c>
      <c r="AZ90" s="40" t="inlineStr">
        <is>
          <t>Le Taha'a by Pearl Resorts official site (bookings.letahaa.com): 7,100 XPF per adult one-way Raiatea airport → Le Taha'a (35-min boat). Tripadvisor confirms 22,260 XPF RT for 2 = 5,565/pax/way.</t>
        </is>
      </c>
      <c r="BA90" s="40" t="inlineStr">
        <is>
          <t>Le Taha'a Pearl (60 villas) + Vahine Island (9 villas) + small pensions ~80 keys × ~65% occ × 2.5 pax × 365/4 nights ÷ 1-way ≈ ~12k arrivals/yr to Tahaa via Raiatea airport.</t>
        </is>
      </c>
    </row>
    <row r="91">
      <c r="A91" s="38" t="inlineStr">
        <is>
          <t>French Polynesia</t>
        </is>
      </c>
      <c r="B91" s="38" t="inlineStr">
        <is>
          <t>French Polynesia</t>
        </is>
      </c>
      <c r="C91" s="39" t="inlineStr">
        <is>
          <t>Hiva Oa (Atuona) → Tahuata (Vaitahu)</t>
        </is>
      </c>
      <c r="D91" s="38" t="inlineStr">
        <is>
          <t>french-polynesia</t>
        </is>
      </c>
      <c r="E91" s="40" t="inlineStr">
        <is>
          <t>french-polynesia</t>
        </is>
      </c>
      <c r="F91" s="41" t="n">
        <v>1</v>
      </c>
      <c r="G91" s="42" t="n">
        <v>5</v>
      </c>
      <c r="H91" s="35" t="n">
        <v>40</v>
      </c>
      <c r="I91" s="43" t="inlineStr">
        <is>
          <t>T4</t>
        </is>
      </c>
      <c r="J91" s="43" t="inlineStr">
        <is>
          <t>low</t>
        </is>
      </c>
      <c r="K91" s="29" t="n">
        <v>0.93</v>
      </c>
      <c r="L91" s="44">
        <f>60*G91/cruise_kt</f>
        <v/>
      </c>
      <c r="M91" s="44">
        <f>L91+turn_min+dwell_min</f>
        <v/>
      </c>
      <c r="N91" s="45">
        <f>MIN(10,FLOOR(60*service_hr/M91,1))</f>
        <v/>
      </c>
      <c r="O91" s="45">
        <f>ROUND(365*mech_uptime*K91,0)</f>
        <v/>
      </c>
      <c r="P91" s="46">
        <f>mech_uptime</f>
        <v/>
      </c>
      <c r="Q91" s="46">
        <f>revleg_sel</f>
        <v/>
      </c>
      <c r="R91" s="45">
        <f>ROUND(N91*O91*revleg_sel,0)</f>
        <v/>
      </c>
      <c r="S91" s="47">
        <f>load_sel</f>
        <v/>
      </c>
      <c r="T91" s="47">
        <f>pax_cap*S91</f>
        <v/>
      </c>
      <c r="U91" s="45">
        <f>T91*R91</f>
        <v/>
      </c>
      <c r="V91" s="48">
        <f>H91*discount</f>
        <v/>
      </c>
      <c r="W91" s="49">
        <f>V91*U91</f>
        <v/>
      </c>
      <c r="X91" s="49">
        <f>(battery/range_nm)*G91*R91*VLOOKUP(B91,country_opex,3,FALSE)</f>
        <v/>
      </c>
      <c r="Y91" s="49">
        <f>VLOOKUP(B91,country_opex,2,FALSE)*crew_factor</f>
        <v/>
      </c>
      <c r="Z91" s="49">
        <f>VLOOKUP(B91,country_opex,5,FALSE)</f>
        <v/>
      </c>
      <c r="AA91" s="49">
        <f>maint</f>
        <v/>
      </c>
      <c r="AB91" s="49">
        <f>VLOOKUP(B91,country_opex,7,FALSE)*ins_pct</f>
        <v/>
      </c>
      <c r="AC91" s="49">
        <f>charge_berth</f>
        <v/>
      </c>
      <c r="AD91" s="49">
        <f>X91+Y91+Z91+AA91+AB91+AC91</f>
        <v/>
      </c>
      <c r="AE91" s="49">
        <f>VLOOKUP(B91,country_opex,7,FALSE)/dep_years</f>
        <v/>
      </c>
      <c r="AF91" s="49">
        <f>W91-AD91</f>
        <v/>
      </c>
      <c r="AG91" s="46">
        <f>IF(W91=0,"",AF91/W91)</f>
        <v/>
      </c>
      <c r="AH91" s="47">
        <f>IF(AF91&lt;=0,"",VLOOKUP(B91,country_opex,7,FALSE)/AF91)</f>
        <v/>
      </c>
      <c r="AI91" s="44">
        <f>((G91*R91/diesel_nmpg)*diesel_co2pg-(battery/range_nm)*G91*R91*VLOOKUP(B91,country_opex,4,FALSE))/1000</f>
        <v/>
      </c>
      <c r="AJ91" s="42" t="n"/>
      <c r="AK91" s="43" t="inlineStr">
        <is>
          <t>T5</t>
        </is>
      </c>
      <c r="AL91" s="43" t="inlineStr">
        <is>
          <t>low</t>
        </is>
      </c>
      <c r="AM91" s="50" t="n">
        <v>0.1</v>
      </c>
      <c r="AN91" s="45">
        <f>IF(AJ91="","",AJ91*AM91)</f>
        <v/>
      </c>
      <c r="AO91" s="45">
        <f>IF(OR(AJ91="",U91=0),"",MIN(IF(AV91="",9.9E+99,AV91),FLOOR(AN91/U91,1)))</f>
        <v/>
      </c>
      <c r="AP91" s="49">
        <f>IF(AO91="","",AO91*W91)</f>
        <v/>
      </c>
      <c r="AQ91" s="47">
        <f>IF(OR(AJ91="",U91=0),"",MIN(IF(AV91="",9.9E+99,AV91),AN91/U91))</f>
        <v/>
      </c>
      <c r="AR91" s="49">
        <f>IF(AQ91="","",AQ91*W91)</f>
        <v/>
      </c>
      <c r="AS91" s="51" t="n"/>
      <c r="AT91" s="52" t="n"/>
      <c r="AU91" s="52" t="n"/>
      <c r="AV91" s="53" t="n"/>
      <c r="AW91" s="54">
        <f>IF(((V91*pax_cap*load_thin*ROUND(N91*O91*revleg_thin,0))-(((battery/range_nm)*G91*ROUND(N91*O91*revleg_thin,0)*VLOOKUP(B91,country_opex,3,FALSE))+Y91+Z91+AA91+AB91+AC91))&lt;=0,"",VLOOKUP(B91,country_opex,7,FALSE)/((V91*pax_cap*load_thin*ROUND(N91*O91*revleg_thin,0))-(((battery/range_nm)*G91*ROUND(N91*O91*revleg_thin,0)*VLOOKUP(B91,country_opex,3,FALSE))+Y91+Z91+AA91+AB91+AC91)))</f>
        <v/>
      </c>
      <c r="AX91" s="54">
        <f>IF(((V91*pax_cap*load_mid*ROUND(N91*O91*revleg_mid,0))-(((battery/range_nm)*G91*ROUND(N91*O91*revleg_mid,0)*VLOOKUP(B91,country_opex,3,FALSE))+Y91+Z91+AA91+AB91+AC91))&lt;=0,"",VLOOKUP(B91,country_opex,7,FALSE)/((V91*pax_cap*load_mid*ROUND(N91*O91*revleg_mid,0))-(((battery/range_nm)*G91*ROUND(N91*O91*revleg_mid,0)*VLOOKUP(B91,country_opex,3,FALSE))+Y91+Z91+AA91+AB91+AC91)))</f>
        <v/>
      </c>
      <c r="AY91" s="54">
        <f>IF(((V91*pax_cap*load_full*ROUND(N91*O91*revleg_full,0))-(((battery/range_nm)*G91*ROUND(N91*O91*revleg_full,0)*VLOOKUP(B91,country_opex,3,FALSE))+Y91+Z91+AA91+AB91+AC91))&lt;=0,"",VLOOKUP(B91,country_opex,7,FALSE)/((V91*pax_cap*load_full*ROUND(N91*O91*revleg_full,0))-(((battery/range_nm)*G91*ROUND(N91*O91*revleg_full,0)*VLOOKUP(B91,country_opex,3,FALSE))+Y91+Z91+AA91+AB91+AC91)))</f>
        <v/>
      </c>
      <c r="AZ91" s="40" t="inlineStr">
        <is>
          <t>Local Marquesas inter-island boats (Tahuata bonitiers); Tahuata has no airport - boat is the only access. Local schoolboat/communal boat ~2,000-4,000 XPF (~$18-37); private speedboat charter shared per-seat ~$40-60.</t>
        </is>
      </c>
      <c r="BA91" s="40" t="inlineStr">
        <is>
          <t>Tahuata ~700 residents + tourists from Hiva Oa ~1-2k/yr. Crossing ~5nm daily local boat.</t>
        </is>
      </c>
    </row>
    <row r="92">
      <c r="A92" s="38" t="inlineStr">
        <is>
          <t>French Polynesia</t>
        </is>
      </c>
      <c r="B92" s="38" t="inlineStr">
        <is>
          <t>French Polynesia</t>
        </is>
      </c>
      <c r="C92" s="39" t="inlineStr">
        <is>
          <t>Papeete (Tahiti) → Vaiare (Moorea)</t>
        </is>
      </c>
      <c r="D92" s="38" t="inlineStr">
        <is>
          <t>french-polynesia</t>
        </is>
      </c>
      <c r="E92" s="40" t="inlineStr">
        <is>
          <t>french-polynesia</t>
        </is>
      </c>
      <c r="F92" s="41" t="n">
        <v>1</v>
      </c>
      <c r="G92" s="42" t="n">
        <v>12</v>
      </c>
      <c r="H92" s="35" t="n">
        <v>18.5</v>
      </c>
      <c r="I92" s="43" t="inlineStr">
        <is>
          <t>T1</t>
        </is>
      </c>
      <c r="J92" s="43" t="inlineStr">
        <is>
          <t>high</t>
        </is>
      </c>
      <c r="K92" s="29" t="n">
        <v>0.93</v>
      </c>
      <c r="L92" s="44">
        <f>60*G92/cruise_kt</f>
        <v/>
      </c>
      <c r="M92" s="44">
        <f>L92+turn_min+dwell_min</f>
        <v/>
      </c>
      <c r="N92" s="45">
        <f>MIN(10,FLOOR(60*service_hr/M92,1))</f>
        <v/>
      </c>
      <c r="O92" s="45">
        <f>ROUND(365*mech_uptime*K92,0)</f>
        <v/>
      </c>
      <c r="P92" s="46">
        <f>mech_uptime</f>
        <v/>
      </c>
      <c r="Q92" s="46">
        <f>revleg_sel</f>
        <v/>
      </c>
      <c r="R92" s="45">
        <f>ROUND(N92*O92*revleg_sel,0)</f>
        <v/>
      </c>
      <c r="S92" s="47">
        <f>load_sel</f>
        <v/>
      </c>
      <c r="T92" s="47">
        <f>pax_cap*S92</f>
        <v/>
      </c>
      <c r="U92" s="45">
        <f>T92*R92</f>
        <v/>
      </c>
      <c r="V92" s="48">
        <f>H92*discount</f>
        <v/>
      </c>
      <c r="W92" s="49">
        <f>V92*U92</f>
        <v/>
      </c>
      <c r="X92" s="49">
        <f>(battery/range_nm)*G92*R92*VLOOKUP(B92,country_opex,3,FALSE)</f>
        <v/>
      </c>
      <c r="Y92" s="49">
        <f>VLOOKUP(B92,country_opex,2,FALSE)*crew_factor</f>
        <v/>
      </c>
      <c r="Z92" s="49">
        <f>VLOOKUP(B92,country_opex,5,FALSE)</f>
        <v/>
      </c>
      <c r="AA92" s="49">
        <f>maint</f>
        <v/>
      </c>
      <c r="AB92" s="49">
        <f>VLOOKUP(B92,country_opex,7,FALSE)*ins_pct</f>
        <v/>
      </c>
      <c r="AC92" s="49">
        <f>charge_berth</f>
        <v/>
      </c>
      <c r="AD92" s="49">
        <f>X92+Y92+Z92+AA92+AB92+AC92</f>
        <v/>
      </c>
      <c r="AE92" s="49">
        <f>VLOOKUP(B92,country_opex,7,FALSE)/dep_years</f>
        <v/>
      </c>
      <c r="AF92" s="49">
        <f>W92-AD92</f>
        <v/>
      </c>
      <c r="AG92" s="46">
        <f>IF(W92=0,"",AF92/W92)</f>
        <v/>
      </c>
      <c r="AH92" s="47">
        <f>IF(AF92&lt;=0,"",VLOOKUP(B92,country_opex,7,FALSE)/AF92)</f>
        <v/>
      </c>
      <c r="AI92" s="44">
        <f>((G92*R92/diesel_nmpg)*diesel_co2pg-(battery/range_nm)*G92*R92*VLOOKUP(B92,country_opex,4,FALSE))/1000</f>
        <v/>
      </c>
      <c r="AJ92" s="42" t="n">
        <v>1600000</v>
      </c>
      <c r="AK92" s="43" t="inlineStr">
        <is>
          <t>T2</t>
        </is>
      </c>
      <c r="AL92" s="43" t="inlineStr">
        <is>
          <t>high</t>
        </is>
      </c>
      <c r="AM92" s="50" t="n">
        <v>0.1</v>
      </c>
      <c r="AN92" s="45">
        <f>IF(AJ92="","",AJ92*AM92)</f>
        <v/>
      </c>
      <c r="AO92" s="45">
        <f>IF(OR(AJ92="",U92=0),"",MIN(IF(AV92="",9.9E+99,AV92),FLOOR(AN92/U92,1)))</f>
        <v/>
      </c>
      <c r="AP92" s="49">
        <f>IF(AO92="","",AO92*W92)</f>
        <v/>
      </c>
      <c r="AQ92" s="47">
        <f>IF(OR(AJ92="",U92=0),"",MIN(IF(AV92="",9.9E+99,AV92),AN92/U92))</f>
        <v/>
      </c>
      <c r="AR92" s="49">
        <f>IF(AQ92="","",AQ92*W92)</f>
        <v/>
      </c>
      <c r="AS92" s="51" t="n"/>
      <c r="AT92" s="52" t="n"/>
      <c r="AU92" s="52" t="n"/>
      <c r="AV92" s="53" t="n"/>
      <c r="AW92" s="54">
        <f>IF(((V92*pax_cap*load_thin*ROUND(N92*O92*revleg_thin,0))-(((battery/range_nm)*G92*ROUND(N92*O92*revleg_thin,0)*VLOOKUP(B92,country_opex,3,FALSE))+Y92+Z92+AA92+AB92+AC92))&lt;=0,"",VLOOKUP(B92,country_opex,7,FALSE)/((V92*pax_cap*load_thin*ROUND(N92*O92*revleg_thin,0))-(((battery/range_nm)*G92*ROUND(N92*O92*revleg_thin,0)*VLOOKUP(B92,country_opex,3,FALSE))+Y92+Z92+AA92+AB92+AC92)))</f>
        <v/>
      </c>
      <c r="AX92" s="54">
        <f>IF(((V92*pax_cap*load_mid*ROUND(N92*O92*revleg_mid,0))-(((battery/range_nm)*G92*ROUND(N92*O92*revleg_mid,0)*VLOOKUP(B92,country_opex,3,FALSE))+Y92+Z92+AA92+AB92+AC92))&lt;=0,"",VLOOKUP(B92,country_opex,7,FALSE)/((V92*pax_cap*load_mid*ROUND(N92*O92*revleg_mid,0))-(((battery/range_nm)*G92*ROUND(N92*O92*revleg_mid,0)*VLOOKUP(B92,country_opex,3,FALSE))+Y92+Z92+AA92+AB92+AC92)))</f>
        <v/>
      </c>
      <c r="AY92" s="54">
        <f>IF(((V92*pax_cap*load_full*ROUND(N92*O92*revleg_full,0))-(((battery/range_nm)*G92*ROUND(N92*O92*revleg_full,0)*VLOOKUP(B92,country_opex,3,FALSE))+Y92+Z92+AA92+AB92+AC92))&lt;=0,"",VLOOKUP(B92,country_opex,7,FALSE)/((V92*pax_cap*load_full*ROUND(N92*O92*revleg_full,0))-(((battery/range_nm)*G92*ROUND(N92*O92*revleg_full,0)*VLOOKUP(B92,country_opex,3,FALSE))+Y92+Z92+AA92+AB92+AC92)))</f>
        <v/>
      </c>
      <c r="AZ92" s="40" t="inlineStr">
        <is>
          <t>SNC Aremiti tariffs (aremitiexpress.com): Tourist adult one-way Papeete-Moorea 2,030 XPF (~$18.6 @109). Premium express tier (Aremiti 5/6 high-speed catamarans; ~30-min crossing vs Tauati 'slow' ferry at 1,000-1,350 XPF).</t>
        </is>
      </c>
      <c r="BA92" s="40" t="inlineStr">
        <is>
          <t>AIVP (Papeete Port Authority): '1.5 to 1.8 million passengers a year pass through Papeete's ferry terminal (Tahiti-Moorea)'. Three operators Aremiti+Terevau+Tauati combined. Anchor 1.6M.</t>
        </is>
      </c>
    </row>
    <row r="93">
      <c r="A93" s="38" t="inlineStr">
        <is>
          <t>French Polynesia</t>
        </is>
      </c>
      <c r="B93" s="38" t="inlineStr">
        <is>
          <t>French Polynesia</t>
        </is>
      </c>
      <c r="C93" s="39" t="inlineStr">
        <is>
          <t>Rangiroa intra-lagoon (Avatoru ↔ Blue Lagoon) → (intra-atoll)</t>
        </is>
      </c>
      <c r="D93" s="38" t="inlineStr">
        <is>
          <t>french-polynesia</t>
        </is>
      </c>
      <c r="E93" s="40" t="inlineStr">
        <is>
          <t>french-polynesia</t>
        </is>
      </c>
      <c r="F93" s="41" t="n">
        <v>1</v>
      </c>
      <c r="G93" s="42" t="n">
        <v>20</v>
      </c>
      <c r="H93" s="35" t="n">
        <v>75</v>
      </c>
      <c r="I93" s="43" t="inlineStr">
        <is>
          <t>T4</t>
        </is>
      </c>
      <c r="J93" s="43" t="inlineStr">
        <is>
          <t>med-low</t>
        </is>
      </c>
      <c r="K93" s="29" t="n">
        <v>0.93</v>
      </c>
      <c r="L93" s="44">
        <f>60*G93/cruise_kt</f>
        <v/>
      </c>
      <c r="M93" s="44">
        <f>L93+turn_min+dwell_min</f>
        <v/>
      </c>
      <c r="N93" s="45">
        <f>MIN(10,FLOOR(60*service_hr/M93,1))</f>
        <v/>
      </c>
      <c r="O93" s="45">
        <f>ROUND(365*mech_uptime*K93,0)</f>
        <v/>
      </c>
      <c r="P93" s="46">
        <f>mech_uptime</f>
        <v/>
      </c>
      <c r="Q93" s="46">
        <f>revleg_sel</f>
        <v/>
      </c>
      <c r="R93" s="45">
        <f>ROUND(N93*O93*revleg_sel,0)</f>
        <v/>
      </c>
      <c r="S93" s="47">
        <f>load_sel</f>
        <v/>
      </c>
      <c r="T93" s="47">
        <f>pax_cap*S93</f>
        <v/>
      </c>
      <c r="U93" s="45">
        <f>T93*R93</f>
        <v/>
      </c>
      <c r="V93" s="48">
        <f>H93*discount</f>
        <v/>
      </c>
      <c r="W93" s="49">
        <f>V93*U93</f>
        <v/>
      </c>
      <c r="X93" s="49">
        <f>(battery/range_nm)*G93*R93*VLOOKUP(B93,country_opex,3,FALSE)</f>
        <v/>
      </c>
      <c r="Y93" s="49">
        <f>VLOOKUP(B93,country_opex,2,FALSE)*crew_factor</f>
        <v/>
      </c>
      <c r="Z93" s="49">
        <f>VLOOKUP(B93,country_opex,5,FALSE)</f>
        <v/>
      </c>
      <c r="AA93" s="49">
        <f>maint</f>
        <v/>
      </c>
      <c r="AB93" s="49">
        <f>VLOOKUP(B93,country_opex,7,FALSE)*ins_pct</f>
        <v/>
      </c>
      <c r="AC93" s="49">
        <f>charge_berth</f>
        <v/>
      </c>
      <c r="AD93" s="49">
        <f>X93+Y93+Z93+AA93+AB93+AC93</f>
        <v/>
      </c>
      <c r="AE93" s="49">
        <f>VLOOKUP(B93,country_opex,7,FALSE)/dep_years</f>
        <v/>
      </c>
      <c r="AF93" s="49">
        <f>W93-AD93</f>
        <v/>
      </c>
      <c r="AG93" s="46">
        <f>IF(W93=0,"",AF93/W93)</f>
        <v/>
      </c>
      <c r="AH93" s="47">
        <f>IF(AF93&lt;=0,"",VLOOKUP(B93,country_opex,7,FALSE)/AF93)</f>
        <v/>
      </c>
      <c r="AI93" s="44">
        <f>((G93*R93/diesel_nmpg)*diesel_co2pg-(battery/range_nm)*G93*R93*VLOOKUP(B93,country_opex,4,FALSE))/1000</f>
        <v/>
      </c>
      <c r="AJ93" s="42" t="n">
        <v>30000</v>
      </c>
      <c r="AK93" s="43" t="inlineStr">
        <is>
          <t>T5</t>
        </is>
      </c>
      <c r="AL93" s="43" t="inlineStr">
        <is>
          <t>med-low</t>
        </is>
      </c>
      <c r="AM93" s="50" t="n">
        <v>0.9</v>
      </c>
      <c r="AN93" s="45">
        <f>IF(AJ93="","",AJ93*AM93)</f>
        <v/>
      </c>
      <c r="AO93" s="45">
        <f>IF(OR(AJ93="",U93=0),"",MIN(IF(AV93="",9.9E+99,AV93),FLOOR(AN93/U93,1)))</f>
        <v/>
      </c>
      <c r="AP93" s="49">
        <f>IF(AO93="","",AO93*W93)</f>
        <v/>
      </c>
      <c r="AQ93" s="47">
        <f>IF(OR(AJ93="",U93=0),"",MIN(IF(AV93="",9.9E+99,AV93),AN93/U93))</f>
        <v/>
      </c>
      <c r="AR93" s="49">
        <f>IF(AQ93="","",AQ93*W93)</f>
        <v/>
      </c>
      <c r="AS93" s="51" t="n"/>
      <c r="AT93" s="52" t="n"/>
      <c r="AU93" s="52" t="n"/>
      <c r="AV93" s="53" t="n"/>
      <c r="AW93" s="54">
        <f>IF(((V93*pax_cap*load_thin*ROUND(N93*O93*revleg_thin,0))-(((battery/range_nm)*G93*ROUND(N93*O93*revleg_thin,0)*VLOOKUP(B93,country_opex,3,FALSE))+Y93+Z93+AA93+AB93+AC93))&lt;=0,"",VLOOKUP(B93,country_opex,7,FALSE)/((V93*pax_cap*load_thin*ROUND(N93*O93*revleg_thin,0))-(((battery/range_nm)*G93*ROUND(N93*O93*revleg_thin,0)*VLOOKUP(B93,country_opex,3,FALSE))+Y93+Z93+AA93+AB93+AC93)))</f>
        <v/>
      </c>
      <c r="AX93" s="54">
        <f>IF(((V93*pax_cap*load_mid*ROUND(N93*O93*revleg_mid,0))-(((battery/range_nm)*G93*ROUND(N93*O93*revleg_mid,0)*VLOOKUP(B93,country_opex,3,FALSE))+Y93+Z93+AA93+AB93+AC93))&lt;=0,"",VLOOKUP(B93,country_opex,7,FALSE)/((V93*pax_cap*load_mid*ROUND(N93*O93*revleg_mid,0))-(((battery/range_nm)*G93*ROUND(N93*O93*revleg_mid,0)*VLOOKUP(B93,country_opex,3,FALSE))+Y93+Z93+AA93+AB93+AC93)))</f>
        <v/>
      </c>
      <c r="AY93" s="54">
        <f>IF(((V93*pax_cap*load_full*ROUND(N93*O93*revleg_full,0))-(((battery/range_nm)*G93*ROUND(N93*O93*revleg_full,0)*VLOOKUP(B93,country_opex,3,FALSE))+Y93+Z93+AA93+AB93+AC93))&lt;=0,"",VLOOKUP(B93,country_opex,7,FALSE)/((V93*pax_cap*load_full*ROUND(N93*O93*revleg_full,0))-(((battery/range_nm)*G93*ROUND(N93*O93*revleg_full,0)*VLOOKUP(B93,country_opex,3,FALSE))+Y93+Z93+AA93+AB93+AC93)))</f>
        <v/>
      </c>
      <c r="AZ93" s="40" t="inlineStr">
        <is>
          <t>Rangiroa Avatoru-Blue Lagoon excursion boats (Tahiti Tourisme listings, GetYourGuide, Viator): typical day-trip 8,000-15,000 XPF (~$75-140/pax) but bundles snorkel+lunch+park fees. Net transfer-only component ~$75.</t>
        </is>
      </c>
      <c r="BA93" s="40" t="inlineStr">
        <is>
          <t>Rangiroa ~10-15k tourists/yr (Hotel Kia Ora + pensions); Blue Lagoon is the main excursion - ~70% of guests do it. ~10-15k × 2 trips ≈ 25-30k pax/yr one-way intra-lagoon.</t>
        </is>
      </c>
    </row>
    <row r="94">
      <c r="A94" s="38" t="inlineStr">
        <is>
          <t>French Polynesia</t>
        </is>
      </c>
      <c r="B94" s="38" t="inlineStr">
        <is>
          <t>French Polynesia</t>
        </is>
      </c>
      <c r="C94" s="39" t="inlineStr">
        <is>
          <t>Bora Bora → Raiatea (Uturoa)</t>
        </is>
      </c>
      <c r="D94" s="38" t="inlineStr">
        <is>
          <t>french-polynesia</t>
        </is>
      </c>
      <c r="E94" s="40" t="inlineStr">
        <is>
          <t>french-polynesia</t>
        </is>
      </c>
      <c r="F94" s="41" t="n">
        <v>1</v>
      </c>
      <c r="G94" s="42" t="n">
        <v>22</v>
      </c>
      <c r="H94" s="35" t="n">
        <v>64</v>
      </c>
      <c r="I94" s="43" t="inlineStr">
        <is>
          <t>T1</t>
        </is>
      </c>
      <c r="J94" s="43" t="inlineStr">
        <is>
          <t>high</t>
        </is>
      </c>
      <c r="K94" s="29" t="n">
        <v>0.93</v>
      </c>
      <c r="L94" s="44">
        <f>60*G94/cruise_kt</f>
        <v/>
      </c>
      <c r="M94" s="44">
        <f>L94+turn_min+dwell_min</f>
        <v/>
      </c>
      <c r="N94" s="45">
        <f>MIN(10,FLOOR(60*service_hr/M94,1))</f>
        <v/>
      </c>
      <c r="O94" s="45">
        <f>ROUND(365*mech_uptime*K94,0)</f>
        <v/>
      </c>
      <c r="P94" s="46">
        <f>mech_uptime</f>
        <v/>
      </c>
      <c r="Q94" s="46">
        <f>revleg_sel</f>
        <v/>
      </c>
      <c r="R94" s="45">
        <f>ROUND(N94*O94*revleg_sel,0)</f>
        <v/>
      </c>
      <c r="S94" s="47">
        <f>load_sel</f>
        <v/>
      </c>
      <c r="T94" s="47">
        <f>pax_cap*S94</f>
        <v/>
      </c>
      <c r="U94" s="45">
        <f>T94*R94</f>
        <v/>
      </c>
      <c r="V94" s="48">
        <f>H94*discount</f>
        <v/>
      </c>
      <c r="W94" s="49">
        <f>V94*U94</f>
        <v/>
      </c>
      <c r="X94" s="49">
        <f>(battery/range_nm)*G94*R94*VLOOKUP(B94,country_opex,3,FALSE)</f>
        <v/>
      </c>
      <c r="Y94" s="49">
        <f>VLOOKUP(B94,country_opex,2,FALSE)*crew_factor</f>
        <v/>
      </c>
      <c r="Z94" s="49">
        <f>VLOOKUP(B94,country_opex,5,FALSE)</f>
        <v/>
      </c>
      <c r="AA94" s="49">
        <f>maint</f>
        <v/>
      </c>
      <c r="AB94" s="49">
        <f>VLOOKUP(B94,country_opex,7,FALSE)*ins_pct</f>
        <v/>
      </c>
      <c r="AC94" s="49">
        <f>charge_berth</f>
        <v/>
      </c>
      <c r="AD94" s="49">
        <f>X94+Y94+Z94+AA94+AB94+AC94</f>
        <v/>
      </c>
      <c r="AE94" s="49">
        <f>VLOOKUP(B94,country_opex,7,FALSE)/dep_years</f>
        <v/>
      </c>
      <c r="AF94" s="49">
        <f>W94-AD94</f>
        <v/>
      </c>
      <c r="AG94" s="46">
        <f>IF(W94=0,"",AF94/W94)</f>
        <v/>
      </c>
      <c r="AH94" s="47">
        <f>IF(AF94&lt;=0,"",VLOOKUP(B94,country_opex,7,FALSE)/AF94)</f>
        <v/>
      </c>
      <c r="AI94" s="44">
        <f>((G94*R94/diesel_nmpg)*diesel_co2pg-(battery/range_nm)*G94*R94*VLOOKUP(B94,country_opex,4,FALSE))/1000</f>
        <v/>
      </c>
      <c r="AJ94" s="42" t="n">
        <v>35000</v>
      </c>
      <c r="AK94" s="43" t="inlineStr">
        <is>
          <t>T2</t>
        </is>
      </c>
      <c r="AL94" s="43" t="inlineStr">
        <is>
          <t>med</t>
        </is>
      </c>
      <c r="AM94" s="50" t="n">
        <v>0.1</v>
      </c>
      <c r="AN94" s="45">
        <f>IF(AJ94="","",AJ94*AM94)</f>
        <v/>
      </c>
      <c r="AO94" s="45">
        <f>IF(OR(AJ94="",U94=0),"",MIN(IF(AV94="",9.9E+99,AV94),FLOOR(AN94/U94,1)))</f>
        <v/>
      </c>
      <c r="AP94" s="49">
        <f>IF(AO94="","",AO94*W94)</f>
        <v/>
      </c>
      <c r="AQ94" s="47">
        <f>IF(OR(AJ94="",U94=0),"",MIN(IF(AV94="",9.9E+99,AV94),AN94/U94))</f>
        <v/>
      </c>
      <c r="AR94" s="49">
        <f>IF(AQ94="","",AQ94*W94)</f>
        <v/>
      </c>
      <c r="AS94" s="51" t="n"/>
      <c r="AT94" s="52" t="n"/>
      <c r="AU94" s="52" t="n"/>
      <c r="AV94" s="53" t="n"/>
      <c r="AW94" s="54">
        <f>IF(((V94*pax_cap*load_thin*ROUND(N94*O94*revleg_thin,0))-(((battery/range_nm)*G94*ROUND(N94*O94*revleg_thin,0)*VLOOKUP(B94,country_opex,3,FALSE))+Y94+Z94+AA94+AB94+AC94))&lt;=0,"",VLOOKUP(B94,country_opex,7,FALSE)/((V94*pax_cap*load_thin*ROUND(N94*O94*revleg_thin,0))-(((battery/range_nm)*G94*ROUND(N94*O94*revleg_thin,0)*VLOOKUP(B94,country_opex,3,FALSE))+Y94+Z94+AA94+AB94+AC94)))</f>
        <v/>
      </c>
      <c r="AX94" s="54">
        <f>IF(((V94*pax_cap*load_mid*ROUND(N94*O94*revleg_mid,0))-(((battery/range_nm)*G94*ROUND(N94*O94*revleg_mid,0)*VLOOKUP(B94,country_opex,3,FALSE))+Y94+Z94+AA94+AB94+AC94))&lt;=0,"",VLOOKUP(B94,country_opex,7,FALSE)/((V94*pax_cap*load_mid*ROUND(N94*O94*revleg_mid,0))-(((battery/range_nm)*G94*ROUND(N94*O94*revleg_mid,0)*VLOOKUP(B94,country_opex,3,FALSE))+Y94+Z94+AA94+AB94+AC94)))</f>
        <v/>
      </c>
      <c r="AY94" s="54">
        <f>IF(((V94*pax_cap*load_full*ROUND(N94*O94*revleg_full,0))-(((battery/range_nm)*G94*ROUND(N94*O94*revleg_full,0)*VLOOKUP(B94,country_opex,3,FALSE))+Y94+Z94+AA94+AB94+AC94))&lt;=0,"",VLOOKUP(B94,country_opex,7,FALSE)/((V94*pax_cap*load_full*ROUND(N94*O94*revleg_full,0))-(((battery/range_nm)*G94*ROUND(N94*O94*revleg_full,0)*VLOOKUP(B94,country_opex,3,FALSE))+Y94+Z94+AA94+AB94+AC94)))</f>
        <v/>
      </c>
      <c r="AZ94" s="40" t="inlineStr">
        <is>
          <t>Apetahi Express (tuateaferries.com / mylittlepolynesia.com): 7,000 XPF per inter-island trip (~$64.2 @109). Premium 2023-launched high-speed catamaran connecting Tahiti-Huahine-Raiatea-Tahaa-Bora Bora-Maupiti. Le Pass Tuatea 30-day unlimited 20,000-24,000 XPF.</t>
        </is>
      </c>
      <c r="BA94" s="40" t="inlineStr">
        <is>
          <t>Apetahi Express: '400,000 passengers since debut in 2021' (tuateaferries.com) → ~100-130k/yr across ~6 served legs (Pap-Hua, Pap-Rai, Pap-Tah, Pap-BB, BB-Rai, BB-Hua etc). BB-Raiatea is a core inter-island leg; allocate ~30-40k/yr.</t>
        </is>
      </c>
    </row>
    <row r="95">
      <c r="A95" s="38" t="inlineStr">
        <is>
          <t>French Polynesia</t>
        </is>
      </c>
      <c r="B95" s="38" t="inlineStr">
        <is>
          <t>French Polynesia</t>
        </is>
      </c>
      <c r="C95" s="39" t="inlineStr">
        <is>
          <t>Bora Bora → Tahaa (Patio)</t>
        </is>
      </c>
      <c r="D95" s="38" t="inlineStr">
        <is>
          <t>french-polynesia</t>
        </is>
      </c>
      <c r="E95" s="40" t="inlineStr">
        <is>
          <t>french-polynesia</t>
        </is>
      </c>
      <c r="F95" s="41" t="n">
        <v>1</v>
      </c>
      <c r="G95" s="42" t="n">
        <v>25</v>
      </c>
      <c r="H95" s="35" t="n">
        <v>65</v>
      </c>
      <c r="I95" s="43" t="inlineStr">
        <is>
          <t>T1</t>
        </is>
      </c>
      <c r="J95" s="43" t="inlineStr">
        <is>
          <t>high</t>
        </is>
      </c>
      <c r="K95" s="29" t="n">
        <v>0.93</v>
      </c>
      <c r="L95" s="44">
        <f>60*G95/cruise_kt</f>
        <v/>
      </c>
      <c r="M95" s="44">
        <f>L95+turn_min+dwell_min</f>
        <v/>
      </c>
      <c r="N95" s="45">
        <f>MIN(10,FLOOR(60*service_hr/M95,1))</f>
        <v/>
      </c>
      <c r="O95" s="45">
        <f>ROUND(365*mech_uptime*K95,0)</f>
        <v/>
      </c>
      <c r="P95" s="46">
        <f>mech_uptime</f>
        <v/>
      </c>
      <c r="Q95" s="46">
        <f>revleg_sel</f>
        <v/>
      </c>
      <c r="R95" s="45">
        <f>ROUND(N95*O95*revleg_sel,0)</f>
        <v/>
      </c>
      <c r="S95" s="47">
        <f>load_sel</f>
        <v/>
      </c>
      <c r="T95" s="47">
        <f>pax_cap*S95</f>
        <v/>
      </c>
      <c r="U95" s="45">
        <f>T95*R95</f>
        <v/>
      </c>
      <c r="V95" s="48">
        <f>H95*discount</f>
        <v/>
      </c>
      <c r="W95" s="49">
        <f>V95*U95</f>
        <v/>
      </c>
      <c r="X95" s="49">
        <f>(battery/range_nm)*G95*R95*VLOOKUP(B95,country_opex,3,FALSE)</f>
        <v/>
      </c>
      <c r="Y95" s="49">
        <f>VLOOKUP(B95,country_opex,2,FALSE)*crew_factor</f>
        <v/>
      </c>
      <c r="Z95" s="49">
        <f>VLOOKUP(B95,country_opex,5,FALSE)</f>
        <v/>
      </c>
      <c r="AA95" s="49">
        <f>maint</f>
        <v/>
      </c>
      <c r="AB95" s="49">
        <f>VLOOKUP(B95,country_opex,7,FALSE)*ins_pct</f>
        <v/>
      </c>
      <c r="AC95" s="49">
        <f>charge_berth</f>
        <v/>
      </c>
      <c r="AD95" s="49">
        <f>X95+Y95+Z95+AA95+AB95+AC95</f>
        <v/>
      </c>
      <c r="AE95" s="49">
        <f>VLOOKUP(B95,country_opex,7,FALSE)/dep_years</f>
        <v/>
      </c>
      <c r="AF95" s="49">
        <f>W95-AD95</f>
        <v/>
      </c>
      <c r="AG95" s="46">
        <f>IF(W95=0,"",AF95/W95)</f>
        <v/>
      </c>
      <c r="AH95" s="47">
        <f>IF(AF95&lt;=0,"",VLOOKUP(B95,country_opex,7,FALSE)/AF95)</f>
        <v/>
      </c>
      <c r="AI95" s="44">
        <f>((G95*R95/diesel_nmpg)*diesel_co2pg-(battery/range_nm)*G95*R95*VLOOKUP(B95,country_opex,4,FALSE))/1000</f>
        <v/>
      </c>
      <c r="AJ95" s="42" t="n"/>
      <c r="AK95" s="43" t="inlineStr">
        <is>
          <t>T5</t>
        </is>
      </c>
      <c r="AL95" s="43" t="inlineStr">
        <is>
          <t>low</t>
        </is>
      </c>
      <c r="AM95" s="50" t="n">
        <v>0.9</v>
      </c>
      <c r="AN95" s="45">
        <f>IF(AJ95="","",AJ95*AM95)</f>
        <v/>
      </c>
      <c r="AO95" s="45">
        <f>IF(OR(AJ95="",U95=0),"",MIN(IF(AV95="",9.9E+99,AV95),FLOOR(AN95/U95,1)))</f>
        <v/>
      </c>
      <c r="AP95" s="49">
        <f>IF(AO95="","",AO95*W95)</f>
        <v/>
      </c>
      <c r="AQ95" s="47">
        <f>IF(OR(AJ95="",U95=0),"",MIN(IF(AV95="",9.9E+99,AV95),AN95/U95))</f>
        <v/>
      </c>
      <c r="AR95" s="49">
        <f>IF(AQ95="","",AQ95*W95)</f>
        <v/>
      </c>
      <c r="AS95" s="51" t="n"/>
      <c r="AT95" s="52" t="n"/>
      <c r="AU95" s="52" t="n"/>
      <c r="AV95" s="53" t="n"/>
      <c r="AW95" s="54">
        <f>IF(((V95*pax_cap*load_thin*ROUND(N95*O95*revleg_thin,0))-(((battery/range_nm)*G95*ROUND(N95*O95*revleg_thin,0)*VLOOKUP(B95,country_opex,3,FALSE))+Y95+Z95+AA95+AB95+AC95))&lt;=0,"",VLOOKUP(B95,country_opex,7,FALSE)/((V95*pax_cap*load_thin*ROUND(N95*O95*revleg_thin,0))-(((battery/range_nm)*G95*ROUND(N95*O95*revleg_thin,0)*VLOOKUP(B95,country_opex,3,FALSE))+Y95+Z95+AA95+AB95+AC95)))</f>
        <v/>
      </c>
      <c r="AX95" s="54">
        <f>IF(((V95*pax_cap*load_mid*ROUND(N95*O95*revleg_mid,0))-(((battery/range_nm)*G95*ROUND(N95*O95*revleg_mid,0)*VLOOKUP(B95,country_opex,3,FALSE))+Y95+Z95+AA95+AB95+AC95))&lt;=0,"",VLOOKUP(B95,country_opex,7,FALSE)/((V95*pax_cap*load_mid*ROUND(N95*O95*revleg_mid,0))-(((battery/range_nm)*G95*ROUND(N95*O95*revleg_mid,0)*VLOOKUP(B95,country_opex,3,FALSE))+Y95+Z95+AA95+AB95+AC95)))</f>
        <v/>
      </c>
      <c r="AY95" s="54">
        <f>IF(((V95*pax_cap*load_full*ROUND(N95*O95*revleg_full,0))-(((battery/range_nm)*G95*ROUND(N95*O95*revleg_full,0)*VLOOKUP(B95,country_opex,3,FALSE))+Y95+Z95+AA95+AB95+AC95))&lt;=0,"",VLOOKUP(B95,country_opex,7,FALSE)/((V95*pax_cap*load_full*ROUND(N95*O95*revleg_full,0))-(((battery/range_nm)*G95*ROUND(N95*O95*revleg_full,0)*VLOOKUP(B95,country_opex,3,FALSE))+Y95+Z95+AA95+AB95+AC95)))</f>
        <v/>
      </c>
      <c r="AZ95" s="40" t="inlineStr">
        <is>
          <t>Le Taha'a by Pearl Resorts official transfer (bookings.letahaa.com / Pearl Resorts): 7,100 XPF per adult per way (~$65.1 @109). Apetahi Express also calls Tahaa 7,000 XPF.</t>
        </is>
      </c>
      <c r="BA95" s="40" t="inlineStr">
        <is>
          <t>Tahaa = small luxury-resort island (Le Taha'a Pearl, Vahine Island). No published BB-Tahaa specific ridership; subset of Apetahi network + private resort shuttles. Le Taha'a Pearl ~60 villas × ~70% occ × ~2 arrivals/yr per villa ≈ ~5-7k/yr but mostly via Raiatea (closer airport), not BB.</t>
        </is>
      </c>
    </row>
    <row r="96">
      <c r="A96" s="38" t="inlineStr">
        <is>
          <t>French Polynesia</t>
        </is>
      </c>
      <c r="B96" s="38" t="inlineStr">
        <is>
          <t>French Polynesia</t>
        </is>
      </c>
      <c r="C96" s="39" t="inlineStr">
        <is>
          <t>Raiatea (Uturoa) → Huahine (Fare)</t>
        </is>
      </c>
      <c r="D96" s="38" t="inlineStr">
        <is>
          <t>french-polynesia</t>
        </is>
      </c>
      <c r="E96" s="40" t="inlineStr">
        <is>
          <t>french-polynesia</t>
        </is>
      </c>
      <c r="F96" s="41" t="n">
        <v>1</v>
      </c>
      <c r="G96" s="42" t="n">
        <v>25</v>
      </c>
      <c r="H96" s="35" t="n">
        <v>64</v>
      </c>
      <c r="I96" s="43" t="inlineStr">
        <is>
          <t>T1</t>
        </is>
      </c>
      <c r="J96" s="43" t="inlineStr">
        <is>
          <t>high</t>
        </is>
      </c>
      <c r="K96" s="29" t="n">
        <v>0.93</v>
      </c>
      <c r="L96" s="44">
        <f>60*G96/cruise_kt</f>
        <v/>
      </c>
      <c r="M96" s="44">
        <f>L96+turn_min+dwell_min</f>
        <v/>
      </c>
      <c r="N96" s="45">
        <f>MIN(10,FLOOR(60*service_hr/M96,1))</f>
        <v/>
      </c>
      <c r="O96" s="45">
        <f>ROUND(365*mech_uptime*K96,0)</f>
        <v/>
      </c>
      <c r="P96" s="46">
        <f>mech_uptime</f>
        <v/>
      </c>
      <c r="Q96" s="46">
        <f>revleg_sel</f>
        <v/>
      </c>
      <c r="R96" s="45">
        <f>ROUND(N96*O96*revleg_sel,0)</f>
        <v/>
      </c>
      <c r="S96" s="47">
        <f>load_sel</f>
        <v/>
      </c>
      <c r="T96" s="47">
        <f>pax_cap*S96</f>
        <v/>
      </c>
      <c r="U96" s="45">
        <f>T96*R96</f>
        <v/>
      </c>
      <c r="V96" s="48">
        <f>H96*discount</f>
        <v/>
      </c>
      <c r="W96" s="49">
        <f>V96*U96</f>
        <v/>
      </c>
      <c r="X96" s="49">
        <f>(battery/range_nm)*G96*R96*VLOOKUP(B96,country_opex,3,FALSE)</f>
        <v/>
      </c>
      <c r="Y96" s="49">
        <f>VLOOKUP(B96,country_opex,2,FALSE)*crew_factor</f>
        <v/>
      </c>
      <c r="Z96" s="49">
        <f>VLOOKUP(B96,country_opex,5,FALSE)</f>
        <v/>
      </c>
      <c r="AA96" s="49">
        <f>maint</f>
        <v/>
      </c>
      <c r="AB96" s="49">
        <f>VLOOKUP(B96,country_opex,7,FALSE)*ins_pct</f>
        <v/>
      </c>
      <c r="AC96" s="49">
        <f>charge_berth</f>
        <v/>
      </c>
      <c r="AD96" s="49">
        <f>X96+Y96+Z96+AA96+AB96+AC96</f>
        <v/>
      </c>
      <c r="AE96" s="49">
        <f>VLOOKUP(B96,country_opex,7,FALSE)/dep_years</f>
        <v/>
      </c>
      <c r="AF96" s="49">
        <f>W96-AD96</f>
        <v/>
      </c>
      <c r="AG96" s="46">
        <f>IF(W96=0,"",AF96/W96)</f>
        <v/>
      </c>
      <c r="AH96" s="47">
        <f>IF(AF96&lt;=0,"",VLOOKUP(B96,country_opex,7,FALSE)/AF96)</f>
        <v/>
      </c>
      <c r="AI96" s="44">
        <f>((G96*R96/diesel_nmpg)*diesel_co2pg-(battery/range_nm)*G96*R96*VLOOKUP(B96,country_opex,4,FALSE))/1000</f>
        <v/>
      </c>
      <c r="AJ96" s="42" t="n">
        <v>20000</v>
      </c>
      <c r="AK96" s="43" t="inlineStr">
        <is>
          <t>T5</t>
        </is>
      </c>
      <c r="AL96" s="43" t="inlineStr">
        <is>
          <t>med-low</t>
        </is>
      </c>
      <c r="AM96" s="50" t="n">
        <v>0.1</v>
      </c>
      <c r="AN96" s="45">
        <f>IF(AJ96="","",AJ96*AM96)</f>
        <v/>
      </c>
      <c r="AO96" s="45">
        <f>IF(OR(AJ96="",U96=0),"",MIN(IF(AV96="",9.9E+99,AV96),FLOOR(AN96/U96,1)))</f>
        <v/>
      </c>
      <c r="AP96" s="49">
        <f>IF(AO96="","",AO96*W96)</f>
        <v/>
      </c>
      <c r="AQ96" s="47">
        <f>IF(OR(AJ96="",U96=0),"",MIN(IF(AV96="",9.9E+99,AV96),AN96/U96))</f>
        <v/>
      </c>
      <c r="AR96" s="49">
        <f>IF(AQ96="","",AQ96*W96)</f>
        <v/>
      </c>
      <c r="AS96" s="51" t="n"/>
      <c r="AT96" s="52" t="n"/>
      <c r="AU96" s="52" t="n"/>
      <c r="AV96" s="53" t="n"/>
      <c r="AW96" s="54">
        <f>IF(((V96*pax_cap*load_thin*ROUND(N96*O96*revleg_thin,0))-(((battery/range_nm)*G96*ROUND(N96*O96*revleg_thin,0)*VLOOKUP(B96,country_opex,3,FALSE))+Y96+Z96+AA96+AB96+AC96))&lt;=0,"",VLOOKUP(B96,country_opex,7,FALSE)/((V96*pax_cap*load_thin*ROUND(N96*O96*revleg_thin,0))-(((battery/range_nm)*G96*ROUND(N96*O96*revleg_thin,0)*VLOOKUP(B96,country_opex,3,FALSE))+Y96+Z96+AA96+AB96+AC96)))</f>
        <v/>
      </c>
      <c r="AX96" s="54">
        <f>IF(((V96*pax_cap*load_mid*ROUND(N96*O96*revleg_mid,0))-(((battery/range_nm)*G96*ROUND(N96*O96*revleg_mid,0)*VLOOKUP(B96,country_opex,3,FALSE))+Y96+Z96+AA96+AB96+AC96))&lt;=0,"",VLOOKUP(B96,country_opex,7,FALSE)/((V96*pax_cap*load_mid*ROUND(N96*O96*revleg_mid,0))-(((battery/range_nm)*G96*ROUND(N96*O96*revleg_mid,0)*VLOOKUP(B96,country_opex,3,FALSE))+Y96+Z96+AA96+AB96+AC96)))</f>
        <v/>
      </c>
      <c r="AY96" s="54">
        <f>IF(((V96*pax_cap*load_full*ROUND(N96*O96*revleg_full,0))-(((battery/range_nm)*G96*ROUND(N96*O96*revleg_full,0)*VLOOKUP(B96,country_opex,3,FALSE))+Y96+Z96+AA96+AB96+AC96))&lt;=0,"",VLOOKUP(B96,country_opex,7,FALSE)/((V96*pax_cap*load_full*ROUND(N96*O96*revleg_full,0))-(((battery/range_nm)*G96*ROUND(N96*O96*revleg_full,0)*VLOOKUP(B96,country_opex,3,FALSE))+Y96+Z96+AA96+AB96+AC96)))</f>
        <v/>
      </c>
      <c r="AZ96" s="40" t="inlineStr">
        <is>
          <t>Apetahi Express 7,000 XPF per inter-island leg (~$64).</t>
        </is>
      </c>
      <c r="BA96" s="40" t="inlineStr">
        <is>
          <t>Apetahi network ~120k/yr split across 6 inter-island legs. Raiatea-Huahine is the second-densest Leeward inter-island leg after BB-Raiatea. Allocate ~20k/yr.</t>
        </is>
      </c>
    </row>
    <row r="97">
      <c r="A97" s="38" t="inlineStr">
        <is>
          <t>French Polynesia</t>
        </is>
      </c>
      <c r="B97" s="38" t="inlineStr">
        <is>
          <t>French Polynesia</t>
        </is>
      </c>
      <c r="C97" s="39" t="inlineStr">
        <is>
          <t>Papeete (Tahiti) → Tetiaroa / The Brando</t>
        </is>
      </c>
      <c r="D97" s="38" t="inlineStr">
        <is>
          <t>french-polynesia</t>
        </is>
      </c>
      <c r="E97" s="40" t="inlineStr">
        <is>
          <t>french-polynesia</t>
        </is>
      </c>
      <c r="F97" s="41" t="n">
        <v>1</v>
      </c>
      <c r="G97" s="42" t="n">
        <v>30</v>
      </c>
      <c r="H97" s="35" t="n">
        <v>335</v>
      </c>
      <c r="I97" s="43" t="inlineStr">
        <is>
          <t>T1</t>
        </is>
      </c>
      <c r="J97" s="43" t="inlineStr">
        <is>
          <t>med</t>
        </is>
      </c>
      <c r="K97" s="29" t="n">
        <v>0.93</v>
      </c>
      <c r="L97" s="44">
        <f>60*G97/cruise_kt</f>
        <v/>
      </c>
      <c r="M97" s="44">
        <f>L97+turn_min+dwell_min</f>
        <v/>
      </c>
      <c r="N97" s="45">
        <f>MIN(10,FLOOR(60*service_hr/M97,1))</f>
        <v/>
      </c>
      <c r="O97" s="45">
        <f>ROUND(365*mech_uptime*K97,0)</f>
        <v/>
      </c>
      <c r="P97" s="46">
        <f>mech_uptime</f>
        <v/>
      </c>
      <c r="Q97" s="46">
        <f>revleg_sel</f>
        <v/>
      </c>
      <c r="R97" s="45">
        <f>ROUND(N97*O97*revleg_sel,0)</f>
        <v/>
      </c>
      <c r="S97" s="47">
        <f>load_sel</f>
        <v/>
      </c>
      <c r="T97" s="47">
        <f>pax_cap*S97</f>
        <v/>
      </c>
      <c r="U97" s="45">
        <f>T97*R97</f>
        <v/>
      </c>
      <c r="V97" s="48">
        <f>H97*discount</f>
        <v/>
      </c>
      <c r="W97" s="49">
        <f>V97*U97</f>
        <v/>
      </c>
      <c r="X97" s="49">
        <f>(battery/range_nm)*G97*R97*VLOOKUP(B97,country_opex,3,FALSE)</f>
        <v/>
      </c>
      <c r="Y97" s="49">
        <f>VLOOKUP(B97,country_opex,2,FALSE)*crew_factor</f>
        <v/>
      </c>
      <c r="Z97" s="49">
        <f>VLOOKUP(B97,country_opex,5,FALSE)</f>
        <v/>
      </c>
      <c r="AA97" s="49">
        <f>maint</f>
        <v/>
      </c>
      <c r="AB97" s="49">
        <f>VLOOKUP(B97,country_opex,7,FALSE)*ins_pct</f>
        <v/>
      </c>
      <c r="AC97" s="49">
        <f>charge_berth</f>
        <v/>
      </c>
      <c r="AD97" s="49">
        <f>X97+Y97+Z97+AA97+AB97+AC97</f>
        <v/>
      </c>
      <c r="AE97" s="49">
        <f>VLOOKUP(B97,country_opex,7,FALSE)/dep_years</f>
        <v/>
      </c>
      <c r="AF97" s="49">
        <f>W97-AD97</f>
        <v/>
      </c>
      <c r="AG97" s="46">
        <f>IF(W97=0,"",AF97/W97)</f>
        <v/>
      </c>
      <c r="AH97" s="47">
        <f>IF(AF97&lt;=0,"",VLOOKUP(B97,country_opex,7,FALSE)/AF97)</f>
        <v/>
      </c>
      <c r="AI97" s="44">
        <f>((G97*R97/diesel_nmpg)*diesel_co2pg-(battery/range_nm)*G97*R97*VLOOKUP(B97,country_opex,4,FALSE))/1000</f>
        <v/>
      </c>
      <c r="AJ97" s="42" t="n"/>
      <c r="AK97" s="43" t="inlineStr">
        <is>
          <t>T5</t>
        </is>
      </c>
      <c r="AL97" s="43" t="inlineStr">
        <is>
          <t>low</t>
        </is>
      </c>
      <c r="AM97" s="50" t="n">
        <v>0.9</v>
      </c>
      <c r="AN97" s="45">
        <f>IF(AJ97="","",AJ97*AM97)</f>
        <v/>
      </c>
      <c r="AO97" s="45">
        <f>IF(OR(AJ97="",U97=0),"",MIN(IF(AV97="",9.9E+99,AV97),FLOOR(AN97/U97,1)))</f>
        <v/>
      </c>
      <c r="AP97" s="49">
        <f>IF(AO97="","",AO97*W97)</f>
        <v/>
      </c>
      <c r="AQ97" s="47">
        <f>IF(OR(AJ97="",U97=0),"",MIN(IF(AV97="",9.9E+99,AV97),AN97/U97))</f>
        <v/>
      </c>
      <c r="AR97" s="49">
        <f>IF(AQ97="","",AQ97*W97)</f>
        <v/>
      </c>
      <c r="AS97" s="51" t="n"/>
      <c r="AT97" s="52" t="n"/>
      <c r="AU97" s="52" t="n"/>
      <c r="AV97" s="53" t="n"/>
      <c r="AW97" s="54">
        <f>IF(((V97*pax_cap*load_thin*ROUND(N97*O97*revleg_thin,0))-(((battery/range_nm)*G97*ROUND(N97*O97*revleg_thin,0)*VLOOKUP(B97,country_opex,3,FALSE))+Y97+Z97+AA97+AB97+AC97))&lt;=0,"",VLOOKUP(B97,country_opex,7,FALSE)/((V97*pax_cap*load_thin*ROUND(N97*O97*revleg_thin,0))-(((battery/range_nm)*G97*ROUND(N97*O97*revleg_thin,0)*VLOOKUP(B97,country_opex,3,FALSE))+Y97+Z97+AA97+AB97+AC97)))</f>
        <v/>
      </c>
      <c r="AX97" s="54">
        <f>IF(((V97*pax_cap*load_mid*ROUND(N97*O97*revleg_mid,0))-(((battery/range_nm)*G97*ROUND(N97*O97*revleg_mid,0)*VLOOKUP(B97,country_opex,3,FALSE))+Y97+Z97+AA97+AB97+AC97))&lt;=0,"",VLOOKUP(B97,country_opex,7,FALSE)/((V97*pax_cap*load_mid*ROUND(N97*O97*revleg_mid,0))-(((battery/range_nm)*G97*ROUND(N97*O97*revleg_mid,0)*VLOOKUP(B97,country_opex,3,FALSE))+Y97+Z97+AA97+AB97+AC97)))</f>
        <v/>
      </c>
      <c r="AY97" s="54">
        <f>IF(((V97*pax_cap*load_full*ROUND(N97*O97*revleg_full,0))-(((battery/range_nm)*G97*ROUND(N97*O97*revleg_full,0)*VLOOKUP(B97,country_opex,3,FALSE))+Y97+Z97+AA97+AB97+AC97))&lt;=0,"",VLOOKUP(B97,country_opex,7,FALSE)/((V97*pax_cap*load_full*ROUND(N97*O97*revleg_full,0))-(((battery/range_nm)*G97*ROUND(N97*O97*revleg_full,0)*VLOOKUP(B97,country_opex,3,FALSE))+Y97+Z97+AA97+AB97+AC97)))</f>
        <v/>
      </c>
      <c r="AZ97" s="40" t="inlineStr">
        <is>
          <t>The Brando official transfer fares (book-directonline / ministryofvillas / Prince of Travel review): private RT seaplane/Air Tetiaroa $670 RT = $335 OW per adult; private boat charter €483-642 pp ($510-680); shared boat $30 pp (rare). GetYourGuide Tetiaroa day-trip $228 (whole-day excursion, not transfer).</t>
        </is>
      </c>
      <c r="BA97" s="40" t="inlineStr">
        <is>
          <t>The Brando = 35 villas, ~70 guests max, occupancy ~60-70% ~15-18k guest-nights/yr → ~5-7k arrivals/yr. No published transfer count. Tetiaroa day-tours from Papeete (Marlon Brando Excursion) add a few thousand pax. Honest demand floor too thin to size without operator data.</t>
        </is>
      </c>
    </row>
    <row r="98">
      <c r="A98" s="38" t="inlineStr">
        <is>
          <t>French Polynesia</t>
        </is>
      </c>
      <c r="B98" s="38" t="inlineStr">
        <is>
          <t>French Polynesia</t>
        </is>
      </c>
      <c r="C98" s="39" t="inlineStr">
        <is>
          <t>Bora Bora → Maupiti (Vai'ea)</t>
        </is>
      </c>
      <c r="D98" s="38" t="inlineStr">
        <is>
          <t>french-polynesia</t>
        </is>
      </c>
      <c r="E98" s="40" t="inlineStr">
        <is>
          <t>french-polynesia</t>
        </is>
      </c>
      <c r="F98" s="41" t="n">
        <v>1</v>
      </c>
      <c r="G98" s="42" t="n">
        <v>30</v>
      </c>
      <c r="H98" s="35" t="n">
        <v>37</v>
      </c>
      <c r="I98" s="43" t="inlineStr">
        <is>
          <t>T2</t>
        </is>
      </c>
      <c r="J98" s="43" t="inlineStr">
        <is>
          <t>med</t>
        </is>
      </c>
      <c r="K98" s="29" t="n">
        <v>0.93</v>
      </c>
      <c r="L98" s="44">
        <f>60*G98/cruise_kt</f>
        <v/>
      </c>
      <c r="M98" s="44">
        <f>L98+turn_min+dwell_min</f>
        <v/>
      </c>
      <c r="N98" s="45">
        <f>MIN(10,FLOOR(60*service_hr/M98,1))</f>
        <v/>
      </c>
      <c r="O98" s="45">
        <f>ROUND(365*mech_uptime*K98,0)</f>
        <v/>
      </c>
      <c r="P98" s="46">
        <f>mech_uptime</f>
        <v/>
      </c>
      <c r="Q98" s="46">
        <f>revleg_sel</f>
        <v/>
      </c>
      <c r="R98" s="45">
        <f>ROUND(N98*O98*revleg_sel,0)</f>
        <v/>
      </c>
      <c r="S98" s="47">
        <f>load_sel</f>
        <v/>
      </c>
      <c r="T98" s="47">
        <f>pax_cap*S98</f>
        <v/>
      </c>
      <c r="U98" s="45">
        <f>T98*R98</f>
        <v/>
      </c>
      <c r="V98" s="48">
        <f>H98*discount</f>
        <v/>
      </c>
      <c r="W98" s="49">
        <f>V98*U98</f>
        <v/>
      </c>
      <c r="X98" s="49">
        <f>(battery/range_nm)*G98*R98*VLOOKUP(B98,country_opex,3,FALSE)</f>
        <v/>
      </c>
      <c r="Y98" s="49">
        <f>VLOOKUP(B98,country_opex,2,FALSE)*crew_factor</f>
        <v/>
      </c>
      <c r="Z98" s="49">
        <f>VLOOKUP(B98,country_opex,5,FALSE)</f>
        <v/>
      </c>
      <c r="AA98" s="49">
        <f>maint</f>
        <v/>
      </c>
      <c r="AB98" s="49">
        <f>VLOOKUP(B98,country_opex,7,FALSE)*ins_pct</f>
        <v/>
      </c>
      <c r="AC98" s="49">
        <f>charge_berth</f>
        <v/>
      </c>
      <c r="AD98" s="49">
        <f>X98+Y98+Z98+AA98+AB98+AC98</f>
        <v/>
      </c>
      <c r="AE98" s="49">
        <f>VLOOKUP(B98,country_opex,7,FALSE)/dep_years</f>
        <v/>
      </c>
      <c r="AF98" s="49">
        <f>W98-AD98</f>
        <v/>
      </c>
      <c r="AG98" s="46">
        <f>IF(W98=0,"",AF98/W98)</f>
        <v/>
      </c>
      <c r="AH98" s="47">
        <f>IF(AF98&lt;=0,"",VLOOKUP(B98,country_opex,7,FALSE)/AF98)</f>
        <v/>
      </c>
      <c r="AI98" s="44">
        <f>((G98*R98/diesel_nmpg)*diesel_co2pg-(battery/range_nm)*G98*R98*VLOOKUP(B98,country_opex,4,FALSE))/1000</f>
        <v/>
      </c>
      <c r="AJ98" s="42" t="n"/>
      <c r="AK98" s="43" t="inlineStr">
        <is>
          <t>T5</t>
        </is>
      </c>
      <c r="AL98" s="43" t="inlineStr">
        <is>
          <t>low</t>
        </is>
      </c>
      <c r="AM98" s="50" t="n">
        <v>0.1</v>
      </c>
      <c r="AN98" s="45">
        <f>IF(AJ98="","",AJ98*AM98)</f>
        <v/>
      </c>
      <c r="AO98" s="45">
        <f>IF(OR(AJ98="",U98=0),"",MIN(IF(AV98="",9.9E+99,AV98),FLOOR(AN98/U98,1)))</f>
        <v/>
      </c>
      <c r="AP98" s="49">
        <f>IF(AO98="","",AO98*W98)</f>
        <v/>
      </c>
      <c r="AQ98" s="47">
        <f>IF(OR(AJ98="",U98=0),"",MIN(IF(AV98="",9.9E+99,AV98),AN98/U98))</f>
        <v/>
      </c>
      <c r="AR98" s="49">
        <f>IF(AQ98="","",AQ98*W98)</f>
        <v/>
      </c>
      <c r="AS98" s="51" t="n"/>
      <c r="AT98" s="52" t="n"/>
      <c r="AU98" s="52" t="n"/>
      <c r="AV98" s="53" t="n"/>
      <c r="AW98" s="54">
        <f>IF(((V98*pax_cap*load_thin*ROUND(N98*O98*revleg_thin,0))-(((battery/range_nm)*G98*ROUND(N98*O98*revleg_thin,0)*VLOOKUP(B98,country_opex,3,FALSE))+Y98+Z98+AA98+AB98+AC98))&lt;=0,"",VLOOKUP(B98,country_opex,7,FALSE)/((V98*pax_cap*load_thin*ROUND(N98*O98*revleg_thin,0))-(((battery/range_nm)*G98*ROUND(N98*O98*revleg_thin,0)*VLOOKUP(B98,country_opex,3,FALSE))+Y98+Z98+AA98+AB98+AC98)))</f>
        <v/>
      </c>
      <c r="AX98" s="54">
        <f>IF(((V98*pax_cap*load_mid*ROUND(N98*O98*revleg_mid,0))-(((battery/range_nm)*G98*ROUND(N98*O98*revleg_mid,0)*VLOOKUP(B98,country_opex,3,FALSE))+Y98+Z98+AA98+AB98+AC98))&lt;=0,"",VLOOKUP(B98,country_opex,7,FALSE)/((V98*pax_cap*load_mid*ROUND(N98*O98*revleg_mid,0))-(((battery/range_nm)*G98*ROUND(N98*O98*revleg_mid,0)*VLOOKUP(B98,country_opex,3,FALSE))+Y98+Z98+AA98+AB98+AC98)))</f>
        <v/>
      </c>
      <c r="AY98" s="54">
        <f>IF(((V98*pax_cap*load_full*ROUND(N98*O98*revleg_full,0))-(((battery/range_nm)*G98*ROUND(N98*O98*revleg_full,0)*VLOOKUP(B98,country_opex,3,FALSE))+Y98+Z98+AA98+AB98+AC98))&lt;=0,"",VLOOKUP(B98,country_opex,7,FALSE)/((V98*pax_cap*load_full*ROUND(N98*O98*revleg_full,0))-(((battery/range_nm)*G98*ROUND(N98*O98*revleg_full,0)*VLOOKUP(B98,country_opex,3,FALSE))+Y98+Z98+AA98+AB98+AC98)))</f>
        <v/>
      </c>
      <c r="AZ98" s="40" t="inlineStr">
        <is>
          <t>Maupiti Express II (tahititourisme.com): 3 trips/week between Bora Bora-Maupiti-Tahaa-Raiatea. Tripadvisor/Facebook: '$30-$40' BB-Maupiti one-way. Anchor 4,000 XPF (~$37). Apetahi Express also serves Maupiti at 7,000 XPF (premium tier).</t>
        </is>
      </c>
      <c r="BA98" s="40" t="inlineStr">
        <is>
          <t>Maupiti = ~1,300 residents + ~2-3k tourists/yr (remote pension-only island). Maupiti Express II 140-pax × 3 trips/wk × 50% load × 52 ≈ ~11k/yr but split across all 4 ports.</t>
        </is>
      </c>
    </row>
    <row r="99">
      <c r="A99" s="38" t="inlineStr">
        <is>
          <t>French Polynesia</t>
        </is>
      </c>
      <c r="B99" s="38" t="inlineStr">
        <is>
          <t>French Polynesia</t>
        </is>
      </c>
      <c r="C99" s="39" t="inlineStr">
        <is>
          <t>Fakarava (Rotoava ↔ Tetamanu south pass) → (intra-atoll)</t>
        </is>
      </c>
      <c r="D99" s="38" t="inlineStr">
        <is>
          <t>french-polynesia</t>
        </is>
      </c>
      <c r="E99" s="40" t="inlineStr">
        <is>
          <t>french-polynesia</t>
        </is>
      </c>
      <c r="F99" s="41" t="n">
        <v>1</v>
      </c>
      <c r="G99" s="42" t="n">
        <v>30</v>
      </c>
      <c r="H99" s="35" t="n">
        <v>95</v>
      </c>
      <c r="I99" s="43" t="inlineStr">
        <is>
          <t>T4</t>
        </is>
      </c>
      <c r="J99" s="43" t="inlineStr">
        <is>
          <t>med-low</t>
        </is>
      </c>
      <c r="K99" s="29" t="n">
        <v>0.93</v>
      </c>
      <c r="L99" s="44">
        <f>60*G99/cruise_kt</f>
        <v/>
      </c>
      <c r="M99" s="44">
        <f>L99+turn_min+dwell_min</f>
        <v/>
      </c>
      <c r="N99" s="45">
        <f>MIN(10,FLOOR(60*service_hr/M99,1))</f>
        <v/>
      </c>
      <c r="O99" s="45">
        <f>ROUND(365*mech_uptime*K99,0)</f>
        <v/>
      </c>
      <c r="P99" s="46">
        <f>mech_uptime</f>
        <v/>
      </c>
      <c r="Q99" s="46">
        <f>revleg_sel</f>
        <v/>
      </c>
      <c r="R99" s="45">
        <f>ROUND(N99*O99*revleg_sel,0)</f>
        <v/>
      </c>
      <c r="S99" s="47">
        <f>load_sel</f>
        <v/>
      </c>
      <c r="T99" s="47">
        <f>pax_cap*S99</f>
        <v/>
      </c>
      <c r="U99" s="45">
        <f>T99*R99</f>
        <v/>
      </c>
      <c r="V99" s="48">
        <f>H99*discount</f>
        <v/>
      </c>
      <c r="W99" s="49">
        <f>V99*U99</f>
        <v/>
      </c>
      <c r="X99" s="49">
        <f>(battery/range_nm)*G99*R99*VLOOKUP(B99,country_opex,3,FALSE)</f>
        <v/>
      </c>
      <c r="Y99" s="49">
        <f>VLOOKUP(B99,country_opex,2,FALSE)*crew_factor</f>
        <v/>
      </c>
      <c r="Z99" s="49">
        <f>VLOOKUP(B99,country_opex,5,FALSE)</f>
        <v/>
      </c>
      <c r="AA99" s="49">
        <f>maint</f>
        <v/>
      </c>
      <c r="AB99" s="49">
        <f>VLOOKUP(B99,country_opex,7,FALSE)*ins_pct</f>
        <v/>
      </c>
      <c r="AC99" s="49">
        <f>charge_berth</f>
        <v/>
      </c>
      <c r="AD99" s="49">
        <f>X99+Y99+Z99+AA99+AB99+AC99</f>
        <v/>
      </c>
      <c r="AE99" s="49">
        <f>VLOOKUP(B99,country_opex,7,FALSE)/dep_years</f>
        <v/>
      </c>
      <c r="AF99" s="49">
        <f>W99-AD99</f>
        <v/>
      </c>
      <c r="AG99" s="46">
        <f>IF(W99=0,"",AF99/W99)</f>
        <v/>
      </c>
      <c r="AH99" s="47">
        <f>IF(AF99&lt;=0,"",VLOOKUP(B99,country_opex,7,FALSE)/AF99)</f>
        <v/>
      </c>
      <c r="AI99" s="44">
        <f>((G99*R99/diesel_nmpg)*diesel_co2pg-(battery/range_nm)*G99*R99*VLOOKUP(B99,country_opex,4,FALSE))/1000</f>
        <v/>
      </c>
      <c r="AJ99" s="42" t="n">
        <v>15000</v>
      </c>
      <c r="AK99" s="43" t="inlineStr">
        <is>
          <t>T5</t>
        </is>
      </c>
      <c r="AL99" s="43" t="inlineStr">
        <is>
          <t>low</t>
        </is>
      </c>
      <c r="AM99" s="50" t="n">
        <v>0.9</v>
      </c>
      <c r="AN99" s="45">
        <f>IF(AJ99="","",AJ99*AM99)</f>
        <v/>
      </c>
      <c r="AO99" s="45">
        <f>IF(OR(AJ99="",U99=0),"",MIN(IF(AV99="",9.9E+99,AV99),FLOOR(AN99/U99,1)))</f>
        <v/>
      </c>
      <c r="AP99" s="49">
        <f>IF(AO99="","",AO99*W99)</f>
        <v/>
      </c>
      <c r="AQ99" s="47">
        <f>IF(OR(AJ99="",U99=0),"",MIN(IF(AV99="",9.9E+99,AV99),AN99/U99))</f>
        <v/>
      </c>
      <c r="AR99" s="49">
        <f>IF(AQ99="","",AQ99*W99)</f>
        <v/>
      </c>
      <c r="AS99" s="51" t="n"/>
      <c r="AT99" s="52" t="n"/>
      <c r="AU99" s="52" t="n"/>
      <c r="AV99" s="53" t="n"/>
      <c r="AW99" s="54">
        <f>IF(((V99*pax_cap*load_thin*ROUND(N99*O99*revleg_thin,0))-(((battery/range_nm)*G99*ROUND(N99*O99*revleg_thin,0)*VLOOKUP(B99,country_opex,3,FALSE))+Y99+Z99+AA99+AB99+AC99))&lt;=0,"",VLOOKUP(B99,country_opex,7,FALSE)/((V99*pax_cap*load_thin*ROUND(N99*O99*revleg_thin,0))-(((battery/range_nm)*G99*ROUND(N99*O99*revleg_thin,0)*VLOOKUP(B99,country_opex,3,FALSE))+Y99+Z99+AA99+AB99+AC99)))</f>
        <v/>
      </c>
      <c r="AX99" s="54">
        <f>IF(((V99*pax_cap*load_mid*ROUND(N99*O99*revleg_mid,0))-(((battery/range_nm)*G99*ROUND(N99*O99*revleg_mid,0)*VLOOKUP(B99,country_opex,3,FALSE))+Y99+Z99+AA99+AB99+AC99))&lt;=0,"",VLOOKUP(B99,country_opex,7,FALSE)/((V99*pax_cap*load_mid*ROUND(N99*O99*revleg_mid,0))-(((battery/range_nm)*G99*ROUND(N99*O99*revleg_mid,0)*VLOOKUP(B99,country_opex,3,FALSE))+Y99+Z99+AA99+AB99+AC99)))</f>
        <v/>
      </c>
      <c r="AY99" s="54">
        <f>IF(((V99*pax_cap*load_full*ROUND(N99*O99*revleg_full,0))-(((battery/range_nm)*G99*ROUND(N99*O99*revleg_full,0)*VLOOKUP(B99,country_opex,3,FALSE))+Y99+Z99+AA99+AB99+AC99))&lt;=0,"",VLOOKUP(B99,country_opex,7,FALSE)/((V99*pax_cap*load_full*ROUND(N99*O99*revleg_full,0))-(((battery/range_nm)*G99*ROUND(N99*O99*revleg_full,0)*VLOOKUP(B99,country_opex,3,FALSE))+Y99+Z99+AA99+AB99+AC99)))</f>
        <v/>
      </c>
      <c r="AZ99" s="40" t="inlineStr">
        <is>
          <t>Fakarava Rotoava-Tetamanu South Pass dive/excursion boats: typical 10,000-14,000 XPF day-trip (~$90-130) incl dive/lunch; net transport ~$95/pax.</t>
        </is>
      </c>
      <c r="BA99" s="40" t="inlineStr">
        <is>
          <t>Fakarava UNESCO biosphere ~8-12k tourists/yr; South Pass is THE attraction. ~7-10k pax × 2 trips ≈ 15-20k one-way intra-atoll.</t>
        </is>
      </c>
    </row>
    <row r="100">
      <c r="A100" s="38" t="inlineStr">
        <is>
          <t>French Polynesia</t>
        </is>
      </c>
      <c r="B100" s="38" t="inlineStr">
        <is>
          <t>French Polynesia</t>
        </is>
      </c>
      <c r="C100" s="39" t="inlineStr">
        <is>
          <t>Nuku Hiva (Taiohae) → Ua Pou (Hakahau)</t>
        </is>
      </c>
      <c r="D100" s="38" t="inlineStr">
        <is>
          <t>french-polynesia</t>
        </is>
      </c>
      <c r="E100" s="40" t="inlineStr">
        <is>
          <t>french-polynesia</t>
        </is>
      </c>
      <c r="F100" s="41" t="n">
        <v>1</v>
      </c>
      <c r="G100" s="42" t="n">
        <v>30</v>
      </c>
      <c r="H100" s="35" t="n">
        <v>60</v>
      </c>
      <c r="I100" s="43" t="inlineStr">
        <is>
          <t>T4</t>
        </is>
      </c>
      <c r="J100" s="43" t="inlineStr">
        <is>
          <t>low</t>
        </is>
      </c>
      <c r="K100" s="29" t="n">
        <v>0.93</v>
      </c>
      <c r="L100" s="44">
        <f>60*G100/cruise_kt</f>
        <v/>
      </c>
      <c r="M100" s="44">
        <f>L100+turn_min+dwell_min</f>
        <v/>
      </c>
      <c r="N100" s="45">
        <f>MIN(10,FLOOR(60*service_hr/M100,1))</f>
        <v/>
      </c>
      <c r="O100" s="45">
        <f>ROUND(365*mech_uptime*K100,0)</f>
        <v/>
      </c>
      <c r="P100" s="46">
        <f>mech_uptime</f>
        <v/>
      </c>
      <c r="Q100" s="46">
        <f>revleg_sel</f>
        <v/>
      </c>
      <c r="R100" s="45">
        <f>ROUND(N100*O100*revleg_sel,0)</f>
        <v/>
      </c>
      <c r="S100" s="47">
        <f>load_sel</f>
        <v/>
      </c>
      <c r="T100" s="47">
        <f>pax_cap*S100</f>
        <v/>
      </c>
      <c r="U100" s="45">
        <f>T100*R100</f>
        <v/>
      </c>
      <c r="V100" s="48">
        <f>H100*discount</f>
        <v/>
      </c>
      <c r="W100" s="49">
        <f>V100*U100</f>
        <v/>
      </c>
      <c r="X100" s="49">
        <f>(battery/range_nm)*G100*R100*VLOOKUP(B100,country_opex,3,FALSE)</f>
        <v/>
      </c>
      <c r="Y100" s="49">
        <f>VLOOKUP(B100,country_opex,2,FALSE)*crew_factor</f>
        <v/>
      </c>
      <c r="Z100" s="49">
        <f>VLOOKUP(B100,country_opex,5,FALSE)</f>
        <v/>
      </c>
      <c r="AA100" s="49">
        <f>maint</f>
        <v/>
      </c>
      <c r="AB100" s="49">
        <f>VLOOKUP(B100,country_opex,7,FALSE)*ins_pct</f>
        <v/>
      </c>
      <c r="AC100" s="49">
        <f>charge_berth</f>
        <v/>
      </c>
      <c r="AD100" s="49">
        <f>X100+Y100+Z100+AA100+AB100+AC100</f>
        <v/>
      </c>
      <c r="AE100" s="49">
        <f>VLOOKUP(B100,country_opex,7,FALSE)/dep_years</f>
        <v/>
      </c>
      <c r="AF100" s="49">
        <f>W100-AD100</f>
        <v/>
      </c>
      <c r="AG100" s="46">
        <f>IF(W100=0,"",AF100/W100)</f>
        <v/>
      </c>
      <c r="AH100" s="47">
        <f>IF(AF100&lt;=0,"",VLOOKUP(B100,country_opex,7,FALSE)/AF100)</f>
        <v/>
      </c>
      <c r="AI100" s="44">
        <f>((G100*R100/diesel_nmpg)*diesel_co2pg-(battery/range_nm)*G100*R100*VLOOKUP(B100,country_opex,4,FALSE))/1000</f>
        <v/>
      </c>
      <c r="AJ100" s="42" t="n"/>
      <c r="AK100" s="43" t="inlineStr">
        <is>
          <t>T5</t>
        </is>
      </c>
      <c r="AL100" s="43" t="inlineStr">
        <is>
          <t>low</t>
        </is>
      </c>
      <c r="AM100" s="50" t="n">
        <v>0.1</v>
      </c>
      <c r="AN100" s="45">
        <f>IF(AJ100="","",AJ100*AM100)</f>
        <v/>
      </c>
      <c r="AO100" s="45">
        <f>IF(OR(AJ100="",U100=0),"",MIN(IF(AV100="",9.9E+99,AV100),FLOOR(AN100/U100,1)))</f>
        <v/>
      </c>
      <c r="AP100" s="49">
        <f>IF(AO100="","",AO100*W100)</f>
        <v/>
      </c>
      <c r="AQ100" s="47">
        <f>IF(OR(AJ100="",U100=0),"",MIN(IF(AV100="",9.9E+99,AV100),AN100/U100))</f>
        <v/>
      </c>
      <c r="AR100" s="49">
        <f>IF(AQ100="","",AQ100*W100)</f>
        <v/>
      </c>
      <c r="AS100" s="51" t="n"/>
      <c r="AT100" s="52" t="n"/>
      <c r="AU100" s="52" t="n"/>
      <c r="AV100" s="53" t="n"/>
      <c r="AW100" s="54">
        <f>IF(((V100*pax_cap*load_thin*ROUND(N100*O100*revleg_thin,0))-(((battery/range_nm)*G100*ROUND(N100*O100*revleg_thin,0)*VLOOKUP(B100,country_opex,3,FALSE))+Y100+Z100+AA100+AB100+AC100))&lt;=0,"",VLOOKUP(B100,country_opex,7,FALSE)/((V100*pax_cap*load_thin*ROUND(N100*O100*revleg_thin,0))-(((battery/range_nm)*G100*ROUND(N100*O100*revleg_thin,0)*VLOOKUP(B100,country_opex,3,FALSE))+Y100+Z100+AA100+AB100+AC100)))</f>
        <v/>
      </c>
      <c r="AX100" s="54">
        <f>IF(((V100*pax_cap*load_mid*ROUND(N100*O100*revleg_mid,0))-(((battery/range_nm)*G100*ROUND(N100*O100*revleg_mid,0)*VLOOKUP(B100,country_opex,3,FALSE))+Y100+Z100+AA100+AB100+AC100))&lt;=0,"",VLOOKUP(B100,country_opex,7,FALSE)/((V100*pax_cap*load_mid*ROUND(N100*O100*revleg_mid,0))-(((battery/range_nm)*G100*ROUND(N100*O100*revleg_mid,0)*VLOOKUP(B100,country_opex,3,FALSE))+Y100+Z100+AA100+AB100+AC100)))</f>
        <v/>
      </c>
      <c r="AY100" s="54">
        <f>IF(((V100*pax_cap*load_full*ROUND(N100*O100*revleg_full,0))-(((battery/range_nm)*G100*ROUND(N100*O100*revleg_full,0)*VLOOKUP(B100,country_opex,3,FALSE))+Y100+Z100+AA100+AB100+AC100))&lt;=0,"",VLOOKUP(B100,country_opex,7,FALSE)/((V100*pax_cap*load_full*ROUND(N100*O100*revleg_full,0))-(((battery/range_nm)*G100*ROUND(N100*O100*revleg_full,0)*VLOOKUP(B100,country_opex,3,FALSE))+Y100+Z100+AA100+AB100+AC100)))</f>
        <v/>
      </c>
      <c r="AZ100" s="40" t="inlineStr">
        <is>
          <t>No published scheduled per-seat boat Nuku Hiva-Ua Pou. Aranui freighter (cruise product, R12 exclude). Te Ata O Hiva inter-island boat operates Marquesas circuit at ~5,000-8,000 XPF/leg (~$45-75). Air Tahiti 35-min flight ~17,000 XPF ($156).</t>
        </is>
      </c>
      <c r="BA100" s="40" t="inlineStr">
        <is>
          <t>Marquesas total 10,995 tourists 2023 (ISPF, waaytv citing) + ~9,500 residents across 6 islands. Inter-island demand tiny; Te Ata O Hiva weekly.</t>
        </is>
      </c>
    </row>
    <row r="101">
      <c r="A101" s="38" t="inlineStr">
        <is>
          <t>French Polynesia</t>
        </is>
      </c>
      <c r="B101" s="38" t="inlineStr">
        <is>
          <t>French Polynesia</t>
        </is>
      </c>
      <c r="C101" s="39" t="inlineStr">
        <is>
          <t>Rangiroa (Avatoru) → Tikehau (Tuherahera)</t>
        </is>
      </c>
      <c r="D101" s="38" t="inlineStr">
        <is>
          <t>french-polynesia</t>
        </is>
      </c>
      <c r="E101" s="40" t="inlineStr">
        <is>
          <t>french-polynesia</t>
        </is>
      </c>
      <c r="F101" s="41" t="n">
        <v>1</v>
      </c>
      <c r="G101" s="42" t="n">
        <v>35</v>
      </c>
      <c r="H101" s="35" t="n">
        <v>150</v>
      </c>
      <c r="I101" s="43" t="inlineStr">
        <is>
          <t>T2</t>
        </is>
      </c>
      <c r="J101" s="43" t="inlineStr">
        <is>
          <t>med</t>
        </is>
      </c>
      <c r="K101" s="29" t="n">
        <v>0.93</v>
      </c>
      <c r="L101" s="44">
        <f>60*G101/cruise_kt</f>
        <v/>
      </c>
      <c r="M101" s="44">
        <f>L101+turn_min+dwell_min</f>
        <v/>
      </c>
      <c r="N101" s="45">
        <f>MIN(10,FLOOR(60*service_hr/M101,1))</f>
        <v/>
      </c>
      <c r="O101" s="45">
        <f>ROUND(365*mech_uptime*K101,0)</f>
        <v/>
      </c>
      <c r="P101" s="46">
        <f>mech_uptime</f>
        <v/>
      </c>
      <c r="Q101" s="46">
        <f>revleg_sel</f>
        <v/>
      </c>
      <c r="R101" s="45">
        <f>ROUND(N101*O101*revleg_sel,0)</f>
        <v/>
      </c>
      <c r="S101" s="47">
        <f>load_sel</f>
        <v/>
      </c>
      <c r="T101" s="47">
        <f>pax_cap*S101</f>
        <v/>
      </c>
      <c r="U101" s="45">
        <f>T101*R101</f>
        <v/>
      </c>
      <c r="V101" s="48">
        <f>H101*discount</f>
        <v/>
      </c>
      <c r="W101" s="49">
        <f>V101*U101</f>
        <v/>
      </c>
      <c r="X101" s="49">
        <f>(battery/range_nm)*G101*R101*VLOOKUP(B101,country_opex,3,FALSE)</f>
        <v/>
      </c>
      <c r="Y101" s="49">
        <f>VLOOKUP(B101,country_opex,2,FALSE)*crew_factor</f>
        <v/>
      </c>
      <c r="Z101" s="49">
        <f>VLOOKUP(B101,country_opex,5,FALSE)</f>
        <v/>
      </c>
      <c r="AA101" s="49">
        <f>maint</f>
        <v/>
      </c>
      <c r="AB101" s="49">
        <f>VLOOKUP(B101,country_opex,7,FALSE)*ins_pct</f>
        <v/>
      </c>
      <c r="AC101" s="49">
        <f>charge_berth</f>
        <v/>
      </c>
      <c r="AD101" s="49">
        <f>X101+Y101+Z101+AA101+AB101+AC101</f>
        <v/>
      </c>
      <c r="AE101" s="49">
        <f>VLOOKUP(B101,country_opex,7,FALSE)/dep_years</f>
        <v/>
      </c>
      <c r="AF101" s="49">
        <f>W101-AD101</f>
        <v/>
      </c>
      <c r="AG101" s="46">
        <f>IF(W101=0,"",AF101/W101)</f>
        <v/>
      </c>
      <c r="AH101" s="47">
        <f>IF(AF101&lt;=0,"",VLOOKUP(B101,country_opex,7,FALSE)/AF101)</f>
        <v/>
      </c>
      <c r="AI101" s="44">
        <f>((G101*R101/diesel_nmpg)*diesel_co2pg-(battery/range_nm)*G101*R101*VLOOKUP(B101,country_opex,4,FALSE))/1000</f>
        <v/>
      </c>
      <c r="AJ101" s="42" t="n"/>
      <c r="AK101" s="43" t="inlineStr">
        <is>
          <t>T5</t>
        </is>
      </c>
      <c r="AL101" s="43" t="inlineStr">
        <is>
          <t>low</t>
        </is>
      </c>
      <c r="AM101" s="50" t="n">
        <v>0.9</v>
      </c>
      <c r="AN101" s="45">
        <f>IF(AJ101="","",AJ101*AM101)</f>
        <v/>
      </c>
      <c r="AO101" s="45">
        <f>IF(OR(AJ101="",U101=0),"",MIN(IF(AV101="",9.9E+99,AV101),FLOOR(AN101/U101,1)))</f>
        <v/>
      </c>
      <c r="AP101" s="49">
        <f>IF(AO101="","",AO101*W101)</f>
        <v/>
      </c>
      <c r="AQ101" s="47">
        <f>IF(OR(AJ101="",U101=0),"",MIN(IF(AV101="",9.9E+99,AV101),AN101/U101))</f>
        <v/>
      </c>
      <c r="AR101" s="49">
        <f>IF(AQ101="","",AQ101*W101)</f>
        <v/>
      </c>
      <c r="AS101" s="51" t="n"/>
      <c r="AT101" s="52" t="n"/>
      <c r="AU101" s="52" t="n"/>
      <c r="AV101" s="53" t="n"/>
      <c r="AW101" s="54">
        <f>IF(((V101*pax_cap*load_thin*ROUND(N101*O101*revleg_thin,0))-(((battery/range_nm)*G101*ROUND(N101*O101*revleg_thin,0)*VLOOKUP(B101,country_opex,3,FALSE))+Y101+Z101+AA101+AB101+AC101))&lt;=0,"",VLOOKUP(B101,country_opex,7,FALSE)/((V101*pax_cap*load_thin*ROUND(N101*O101*revleg_thin,0))-(((battery/range_nm)*G101*ROUND(N101*O101*revleg_thin,0)*VLOOKUP(B101,country_opex,3,FALSE))+Y101+Z101+AA101+AB101+AC101)))</f>
        <v/>
      </c>
      <c r="AX101" s="54">
        <f>IF(((V101*pax_cap*load_mid*ROUND(N101*O101*revleg_mid,0))-(((battery/range_nm)*G101*ROUND(N101*O101*revleg_mid,0)*VLOOKUP(B101,country_opex,3,FALSE))+Y101+Z101+AA101+AB101+AC101))&lt;=0,"",VLOOKUP(B101,country_opex,7,FALSE)/((V101*pax_cap*load_mid*ROUND(N101*O101*revleg_mid,0))-(((battery/range_nm)*G101*ROUND(N101*O101*revleg_mid,0)*VLOOKUP(B101,country_opex,3,FALSE))+Y101+Z101+AA101+AB101+AC101)))</f>
        <v/>
      </c>
      <c r="AY101" s="54">
        <f>IF(((V101*pax_cap*load_full*ROUND(N101*O101*revleg_full,0))-(((battery/range_nm)*G101*ROUND(N101*O101*revleg_full,0)*VLOOKUP(B101,country_opex,3,FALSE))+Y101+Z101+AA101+AB101+AC101))&lt;=0,"",VLOOKUP(B101,country_opex,7,FALSE)/((V101*pax_cap*load_full*ROUND(N101*O101*revleg_full,0))-(((battery/range_nm)*G101*ROUND(N101*O101*revleg_full,0)*VLOOKUP(B101,country_opex,3,FALSE))+Y101+Z101+AA101+AB101+AC101)))</f>
        <v/>
      </c>
      <c r="AZ101" s="40" t="inlineStr">
        <is>
          <t>No regular scheduled per-seat boat Rangiroa-Tikehau. Substitute = Air Tahiti 20-min hop ~16,500 XPF one-way (~$150). Skyscanner shows $211 RT typical = $106 OW low-side; charter boat available but priced per-boat.</t>
        </is>
      </c>
      <c r="BA101" s="40" t="inlineStr">
        <is>
          <t>Rangiroa+Tikehau combined ~20k tourists; inter-atoll demand thin; Air Tahiti carries it.</t>
        </is>
      </c>
    </row>
    <row r="102">
      <c r="A102" s="38" t="inlineStr">
        <is>
          <t>French Polynesia</t>
        </is>
      </c>
      <c r="B102" s="38" t="inlineStr">
        <is>
          <t>French Polynesia</t>
        </is>
      </c>
      <c r="C102" s="39" t="inlineStr">
        <is>
          <t>Hiva Oa (Atuona) → Fatu Hiva (Hanavave / Bay of Virgins)</t>
        </is>
      </c>
      <c r="D102" s="38" t="inlineStr">
        <is>
          <t>french-polynesia</t>
        </is>
      </c>
      <c r="E102" s="40" t="inlineStr">
        <is>
          <t>french-polynesia</t>
        </is>
      </c>
      <c r="F102" s="41" t="n">
        <v>1</v>
      </c>
      <c r="G102" s="42" t="n">
        <v>45</v>
      </c>
      <c r="H102" s="35" t="n">
        <v>75</v>
      </c>
      <c r="I102" s="43" t="inlineStr">
        <is>
          <t>T4</t>
        </is>
      </c>
      <c r="J102" s="43" t="inlineStr">
        <is>
          <t>low</t>
        </is>
      </c>
      <c r="K102" s="29" t="n">
        <v>0.93</v>
      </c>
      <c r="L102" s="44">
        <f>60*G102/cruise_kt</f>
        <v/>
      </c>
      <c r="M102" s="44">
        <f>L102+turn_min+dwell_min</f>
        <v/>
      </c>
      <c r="N102" s="45">
        <f>MIN(10,FLOOR(60*service_hr/M102,1))</f>
        <v/>
      </c>
      <c r="O102" s="45">
        <f>ROUND(365*mech_uptime*K102,0)</f>
        <v/>
      </c>
      <c r="P102" s="46">
        <f>mech_uptime</f>
        <v/>
      </c>
      <c r="Q102" s="46">
        <f>revleg_sel</f>
        <v/>
      </c>
      <c r="R102" s="45">
        <f>ROUND(N102*O102*revleg_sel,0)</f>
        <v/>
      </c>
      <c r="S102" s="47">
        <f>load_sel</f>
        <v/>
      </c>
      <c r="T102" s="47">
        <f>pax_cap*S102</f>
        <v/>
      </c>
      <c r="U102" s="45">
        <f>T102*R102</f>
        <v/>
      </c>
      <c r="V102" s="48">
        <f>H102*discount</f>
        <v/>
      </c>
      <c r="W102" s="49">
        <f>V102*U102</f>
        <v/>
      </c>
      <c r="X102" s="49">
        <f>(battery/range_nm)*G102*R102*VLOOKUP(B102,country_opex,3,FALSE)</f>
        <v/>
      </c>
      <c r="Y102" s="49">
        <f>VLOOKUP(B102,country_opex,2,FALSE)*crew_factor</f>
        <v/>
      </c>
      <c r="Z102" s="49">
        <f>VLOOKUP(B102,country_opex,5,FALSE)</f>
        <v/>
      </c>
      <c r="AA102" s="49">
        <f>maint</f>
        <v/>
      </c>
      <c r="AB102" s="49">
        <f>VLOOKUP(B102,country_opex,7,FALSE)*ins_pct</f>
        <v/>
      </c>
      <c r="AC102" s="49">
        <f>charge_berth</f>
        <v/>
      </c>
      <c r="AD102" s="49">
        <f>X102+Y102+Z102+AA102+AB102+AC102</f>
        <v/>
      </c>
      <c r="AE102" s="49">
        <f>VLOOKUP(B102,country_opex,7,FALSE)/dep_years</f>
        <v/>
      </c>
      <c r="AF102" s="49">
        <f>W102-AD102</f>
        <v/>
      </c>
      <c r="AG102" s="46">
        <f>IF(W102=0,"",AF102/W102)</f>
        <v/>
      </c>
      <c r="AH102" s="47">
        <f>IF(AF102&lt;=0,"",VLOOKUP(B102,country_opex,7,FALSE)/AF102)</f>
        <v/>
      </c>
      <c r="AI102" s="44">
        <f>((G102*R102/diesel_nmpg)*diesel_co2pg-(battery/range_nm)*G102*R102*VLOOKUP(B102,country_opex,4,FALSE))/1000</f>
        <v/>
      </c>
      <c r="AJ102" s="42" t="n"/>
      <c r="AK102" s="43" t="inlineStr">
        <is>
          <t>T5</t>
        </is>
      </c>
      <c r="AL102" s="43" t="inlineStr">
        <is>
          <t>low</t>
        </is>
      </c>
      <c r="AM102" s="50" t="n">
        <v>0.1</v>
      </c>
      <c r="AN102" s="45">
        <f>IF(AJ102="","",AJ102*AM102)</f>
        <v/>
      </c>
      <c r="AO102" s="45">
        <f>IF(OR(AJ102="",U102=0),"",MIN(IF(AV102="",9.9E+99,AV102),FLOOR(AN102/U102,1)))</f>
        <v/>
      </c>
      <c r="AP102" s="49">
        <f>IF(AO102="","",AO102*W102)</f>
        <v/>
      </c>
      <c r="AQ102" s="47">
        <f>IF(OR(AJ102="",U102=0),"",MIN(IF(AV102="",9.9E+99,AV102),AN102/U102))</f>
        <v/>
      </c>
      <c r="AR102" s="49">
        <f>IF(AQ102="","",AQ102*W102)</f>
        <v/>
      </c>
      <c r="AS102" s="51" t="n"/>
      <c r="AT102" s="52" t="n"/>
      <c r="AU102" s="52" t="n"/>
      <c r="AV102" s="53" t="n"/>
      <c r="AW102" s="54">
        <f>IF(((V102*pax_cap*load_thin*ROUND(N102*O102*revleg_thin,0))-(((battery/range_nm)*G102*ROUND(N102*O102*revleg_thin,0)*VLOOKUP(B102,country_opex,3,FALSE))+Y102+Z102+AA102+AB102+AC102))&lt;=0,"",VLOOKUP(B102,country_opex,7,FALSE)/((V102*pax_cap*load_thin*ROUND(N102*O102*revleg_thin,0))-(((battery/range_nm)*G102*ROUND(N102*O102*revleg_thin,0)*VLOOKUP(B102,country_opex,3,FALSE))+Y102+Z102+AA102+AB102+AC102)))</f>
        <v/>
      </c>
      <c r="AX102" s="54">
        <f>IF(((V102*pax_cap*load_mid*ROUND(N102*O102*revleg_mid,0))-(((battery/range_nm)*G102*ROUND(N102*O102*revleg_mid,0)*VLOOKUP(B102,country_opex,3,FALSE))+Y102+Z102+AA102+AB102+AC102))&lt;=0,"",VLOOKUP(B102,country_opex,7,FALSE)/((V102*pax_cap*load_mid*ROUND(N102*O102*revleg_mid,0))-(((battery/range_nm)*G102*ROUND(N102*O102*revleg_mid,0)*VLOOKUP(B102,country_opex,3,FALSE))+Y102+Z102+AA102+AB102+AC102)))</f>
        <v/>
      </c>
      <c r="AY102" s="54">
        <f>IF(((V102*pax_cap*load_full*ROUND(N102*O102*revleg_full,0))-(((battery/range_nm)*G102*ROUND(N102*O102*revleg_full,0)*VLOOKUP(B102,country_opex,3,FALSE))+Y102+Z102+AA102+AB102+AC102))&lt;=0,"",VLOOKUP(B102,country_opex,7,FALSE)/((V102*pax_cap*load_full*ROUND(N102*O102*revleg_full,0))-(((battery/range_nm)*G102*ROUND(N102*O102*revleg_full,0)*VLOOKUP(B102,country_opex,3,FALSE))+Y102+Z102+AA102+AB102+AC102)))</f>
        <v/>
      </c>
      <c r="AZ102" s="40" t="inlineStr">
        <is>
          <t>Fatu Hiva has no airport - only access is by boat/Aranui. Local bonitier charter Hiva Oa-Fatu Hiva (~45nm, ~3hr) typically 8,000-10,000 XPF/pax shared (~$75-90). Tripadvisor 2024 thread: 'very limited transportation options'.</t>
        </is>
      </c>
      <c r="BA102" s="40" t="inlineStr">
        <is>
          <t>Fatu Hiva ~600 residents + ~1-2k tourists/yr (Aranui calls + adventurers); demand a few thousand pax/yr inter-island including supply runs.</t>
        </is>
      </c>
    </row>
    <row r="103">
      <c r="A103" s="38" t="inlineStr">
        <is>
          <t>French Polynesia</t>
        </is>
      </c>
      <c r="B103" s="38" t="inlineStr">
        <is>
          <t>French Polynesia</t>
        </is>
      </c>
      <c r="C103" s="39" t="inlineStr">
        <is>
          <t>Bora Bora → Huahine (Fare)</t>
        </is>
      </c>
      <c r="D103" s="38" t="inlineStr">
        <is>
          <t>french-polynesia</t>
        </is>
      </c>
      <c r="E103" s="40" t="inlineStr">
        <is>
          <t>french-polynesia</t>
        </is>
      </c>
      <c r="F103" s="41" t="n">
        <v>1</v>
      </c>
      <c r="G103" s="42" t="n">
        <v>50</v>
      </c>
      <c r="H103" s="35" t="n">
        <v>64</v>
      </c>
      <c r="I103" s="43" t="inlineStr">
        <is>
          <t>T1</t>
        </is>
      </c>
      <c r="J103" s="43" t="inlineStr">
        <is>
          <t>high</t>
        </is>
      </c>
      <c r="K103" s="29" t="n">
        <v>0.93</v>
      </c>
      <c r="L103" s="44">
        <f>60*G103/cruise_kt</f>
        <v/>
      </c>
      <c r="M103" s="44">
        <f>L103+turn_min+dwell_min</f>
        <v/>
      </c>
      <c r="N103" s="45">
        <f>MIN(10,FLOOR(60*service_hr/M103,1))</f>
        <v/>
      </c>
      <c r="O103" s="45">
        <f>ROUND(365*mech_uptime*K103,0)</f>
        <v/>
      </c>
      <c r="P103" s="46">
        <f>mech_uptime</f>
        <v/>
      </c>
      <c r="Q103" s="46">
        <f>revleg_sel</f>
        <v/>
      </c>
      <c r="R103" s="45">
        <f>ROUND(N103*O103*revleg_sel,0)</f>
        <v/>
      </c>
      <c r="S103" s="47">
        <f>load_sel</f>
        <v/>
      </c>
      <c r="T103" s="47">
        <f>pax_cap*S103</f>
        <v/>
      </c>
      <c r="U103" s="45">
        <f>T103*R103</f>
        <v/>
      </c>
      <c r="V103" s="48">
        <f>H103*discount</f>
        <v/>
      </c>
      <c r="W103" s="49">
        <f>V103*U103</f>
        <v/>
      </c>
      <c r="X103" s="49">
        <f>(battery/range_nm)*G103*R103*VLOOKUP(B103,country_opex,3,FALSE)</f>
        <v/>
      </c>
      <c r="Y103" s="49">
        <f>VLOOKUP(B103,country_opex,2,FALSE)*crew_factor</f>
        <v/>
      </c>
      <c r="Z103" s="49">
        <f>VLOOKUP(B103,country_opex,5,FALSE)</f>
        <v/>
      </c>
      <c r="AA103" s="49">
        <f>maint</f>
        <v/>
      </c>
      <c r="AB103" s="49">
        <f>VLOOKUP(B103,country_opex,7,FALSE)*ins_pct</f>
        <v/>
      </c>
      <c r="AC103" s="49">
        <f>charge_berth</f>
        <v/>
      </c>
      <c r="AD103" s="49">
        <f>X103+Y103+Z103+AA103+AB103+AC103</f>
        <v/>
      </c>
      <c r="AE103" s="49">
        <f>VLOOKUP(B103,country_opex,7,FALSE)/dep_years</f>
        <v/>
      </c>
      <c r="AF103" s="49">
        <f>W103-AD103</f>
        <v/>
      </c>
      <c r="AG103" s="46">
        <f>IF(W103=0,"",AF103/W103)</f>
        <v/>
      </c>
      <c r="AH103" s="47">
        <f>IF(AF103&lt;=0,"",VLOOKUP(B103,country_opex,7,FALSE)/AF103)</f>
        <v/>
      </c>
      <c r="AI103" s="44">
        <f>((G103*R103/diesel_nmpg)*diesel_co2pg-(battery/range_nm)*G103*R103*VLOOKUP(B103,country_opex,4,FALSE))/1000</f>
        <v/>
      </c>
      <c r="AJ103" s="42" t="n">
        <v>25000</v>
      </c>
      <c r="AK103" s="43" t="inlineStr">
        <is>
          <t>T5</t>
        </is>
      </c>
      <c r="AL103" s="43" t="inlineStr">
        <is>
          <t>med-low</t>
        </is>
      </c>
      <c r="AM103" s="50" t="n">
        <v>0.1</v>
      </c>
      <c r="AN103" s="45">
        <f>IF(AJ103="","",AJ103*AM103)</f>
        <v/>
      </c>
      <c r="AO103" s="45">
        <f>IF(OR(AJ103="",U103=0),"",MIN(IF(AV103="",9.9E+99,AV103),FLOOR(AN103/U103,1)))</f>
        <v/>
      </c>
      <c r="AP103" s="49">
        <f>IF(AO103="","",AO103*W103)</f>
        <v/>
      </c>
      <c r="AQ103" s="47">
        <f>IF(OR(AJ103="",U103=0),"",MIN(IF(AV103="",9.9E+99,AV103),AN103/U103))</f>
        <v/>
      </c>
      <c r="AR103" s="49">
        <f>IF(AQ103="","",AQ103*W103)</f>
        <v/>
      </c>
      <c r="AS103" s="51" t="n"/>
      <c r="AT103" s="52" t="n"/>
      <c r="AU103" s="52" t="n"/>
      <c r="AV103" s="53" t="n"/>
      <c r="AW103" s="54">
        <f>IF(((V103*pax_cap*load_thin*ROUND(N103*O103*revleg_thin,0))-(((battery/range_nm)*G103*ROUND(N103*O103*revleg_thin,0)*VLOOKUP(B103,country_opex,3,FALSE))+Y103+Z103+AA103+AB103+AC103))&lt;=0,"",VLOOKUP(B103,country_opex,7,FALSE)/((V103*pax_cap*load_thin*ROUND(N103*O103*revleg_thin,0))-(((battery/range_nm)*G103*ROUND(N103*O103*revleg_thin,0)*VLOOKUP(B103,country_opex,3,FALSE))+Y103+Z103+AA103+AB103+AC103)))</f>
        <v/>
      </c>
      <c r="AX103" s="54">
        <f>IF(((V103*pax_cap*load_mid*ROUND(N103*O103*revleg_mid,0))-(((battery/range_nm)*G103*ROUND(N103*O103*revleg_mid,0)*VLOOKUP(B103,country_opex,3,FALSE))+Y103+Z103+AA103+AB103+AC103))&lt;=0,"",VLOOKUP(B103,country_opex,7,FALSE)/((V103*pax_cap*load_mid*ROUND(N103*O103*revleg_mid,0))-(((battery/range_nm)*G103*ROUND(N103*O103*revleg_mid,0)*VLOOKUP(B103,country_opex,3,FALSE))+Y103+Z103+AA103+AB103+AC103)))</f>
        <v/>
      </c>
      <c r="AY103" s="54">
        <f>IF(((V103*pax_cap*load_full*ROUND(N103*O103*revleg_full,0))-(((battery/range_nm)*G103*ROUND(N103*O103*revleg_full,0)*VLOOKUP(B103,country_opex,3,FALSE))+Y103+Z103+AA103+AB103+AC103))&lt;=0,"",VLOOKUP(B103,country_opex,7,FALSE)/((V103*pax_cap*load_full*ROUND(N103*O103*revleg_full,0))-(((battery/range_nm)*G103*ROUND(N103*O103*revleg_full,0)*VLOOKUP(B103,country_opex,3,FALSE))+Y103+Z103+AA103+AB103+AC103)))</f>
        <v/>
      </c>
      <c r="AZ103" s="40" t="inlineStr">
        <is>
          <t>Apetahi Express 7,000 XPF per inter-island leg (tuateaferries.com); 50nm BB-Huahine ~2-hour crossing.</t>
        </is>
      </c>
      <c r="BA103" s="40" t="inlineStr">
        <is>
          <t>Apetahi network ~120k/yr (400k since 2021) split across legs; BB-Huahine is a less-core leg than BB-Raiatea or Pap-BB. Allocate ~20-30k/yr.</t>
        </is>
      </c>
    </row>
    <row r="104">
      <c r="A104" s="38" t="inlineStr">
        <is>
          <t>Bolt Greece</t>
        </is>
      </c>
      <c r="B104" s="38" t="inlineStr">
        <is>
          <t>Greece</t>
        </is>
      </c>
      <c r="C104" s="39" t="inlineStr">
        <is>
          <t>Mykonos Town → Delos</t>
        </is>
      </c>
      <c r="D104" s="38" t="inlineStr">
        <is>
          <t>bolt</t>
        </is>
      </c>
      <c r="E104" s="40" t="inlineStr">
        <is>
          <t>bolt-greece</t>
        </is>
      </c>
      <c r="F104" s="41" t="n">
        <v>1</v>
      </c>
      <c r="G104" s="42" t="n">
        <v>3.5</v>
      </c>
      <c r="H104" s="35" t="n">
        <v>54</v>
      </c>
      <c r="I104" s="43" t="inlineStr">
        <is>
          <t>T2</t>
        </is>
      </c>
      <c r="J104" s="43" t="inlineStr">
        <is>
          <t>med</t>
        </is>
      </c>
      <c r="K104" s="29" t="n">
        <v>1</v>
      </c>
      <c r="L104" s="44">
        <f>60*G104/cruise_kt</f>
        <v/>
      </c>
      <c r="M104" s="44">
        <f>L104+turn_min+dwell_min</f>
        <v/>
      </c>
      <c r="N104" s="45">
        <f>MIN(10,FLOOR(60*service_hr/M104,1))</f>
        <v/>
      </c>
      <c r="O104" s="45">
        <f>ROUND(365*mech_uptime*K104,0)</f>
        <v/>
      </c>
      <c r="P104" s="46">
        <f>mech_uptime</f>
        <v/>
      </c>
      <c r="Q104" s="46">
        <f>revleg_sel</f>
        <v/>
      </c>
      <c r="R104" s="45">
        <f>ROUND(N104*O104*revleg_sel,0)</f>
        <v/>
      </c>
      <c r="S104" s="47">
        <f>load_sel</f>
        <v/>
      </c>
      <c r="T104" s="47">
        <f>pax_cap*S104</f>
        <v/>
      </c>
      <c r="U104" s="45">
        <f>T104*R104</f>
        <v/>
      </c>
      <c r="V104" s="48">
        <f>H104*discount</f>
        <v/>
      </c>
      <c r="W104" s="49">
        <f>V104*U104</f>
        <v/>
      </c>
      <c r="X104" s="49">
        <f>(battery/range_nm)*G104*R104*VLOOKUP(B104,country_opex,3,FALSE)</f>
        <v/>
      </c>
      <c r="Y104" s="49">
        <f>VLOOKUP(B104,country_opex,2,FALSE)*crew_factor</f>
        <v/>
      </c>
      <c r="Z104" s="49">
        <f>VLOOKUP(B104,country_opex,5,FALSE)</f>
        <v/>
      </c>
      <c r="AA104" s="49">
        <f>maint</f>
        <v/>
      </c>
      <c r="AB104" s="49">
        <f>VLOOKUP(B104,country_opex,7,FALSE)*ins_pct</f>
        <v/>
      </c>
      <c r="AC104" s="49">
        <f>charge_berth</f>
        <v/>
      </c>
      <c r="AD104" s="49">
        <f>X104+Y104+Z104+AA104+AB104+AC104</f>
        <v/>
      </c>
      <c r="AE104" s="49">
        <f>VLOOKUP(B104,country_opex,7,FALSE)/dep_years</f>
        <v/>
      </c>
      <c r="AF104" s="49">
        <f>W104-AD104</f>
        <v/>
      </c>
      <c r="AG104" s="46">
        <f>IF(W104=0,"",AF104/W104)</f>
        <v/>
      </c>
      <c r="AH104" s="47">
        <f>IF(AF104&lt;=0,"",VLOOKUP(B104,country_opex,7,FALSE)/AF104)</f>
        <v/>
      </c>
      <c r="AI104" s="44">
        <f>((G104*R104/diesel_nmpg)*diesel_co2pg-(battery/range_nm)*G104*R104*VLOOKUP(B104,country_opex,4,FALSE))/1000</f>
        <v/>
      </c>
      <c r="AJ104" s="42" t="n">
        <v>120000</v>
      </c>
      <c r="AK104" s="43" t="n"/>
      <c r="AL104" s="43" t="n"/>
      <c r="AM104" s="50" t="n">
        <v>0.1</v>
      </c>
      <c r="AN104" s="45">
        <f>IF(AJ104="","",AJ104*AM104)</f>
        <v/>
      </c>
      <c r="AO104" s="45">
        <f>IF(OR(AJ104="",U104=0),"",MIN(IF(AV104="",9.9E+99,AV104),FLOOR(AN104/U104,1)))</f>
        <v/>
      </c>
      <c r="AP104" s="49">
        <f>IF(AO104="","",AO104*W104)</f>
        <v/>
      </c>
      <c r="AQ104" s="47">
        <f>IF(OR(AJ104="",U104=0),"",MIN(IF(AV104="",9.9E+99,AV104),AN104/U104))</f>
        <v/>
      </c>
      <c r="AR104" s="49">
        <f>IF(AQ104="","",AQ104*W104)</f>
        <v/>
      </c>
      <c r="AS104" s="51" t="n"/>
      <c r="AT104" s="52" t="n"/>
      <c r="AU104" s="52" t="n"/>
      <c r="AV104" s="53" t="n"/>
      <c r="AW104" s="54">
        <f>IF(((V104*pax_cap*load_thin*ROUND(N104*O104*revleg_thin,0))-(((battery/range_nm)*G104*ROUND(N104*O104*revleg_thin,0)*VLOOKUP(B104,country_opex,3,FALSE))+Y104+Z104+AA104+AB104+AC104))&lt;=0,"",VLOOKUP(B104,country_opex,7,FALSE)/((V104*pax_cap*load_thin*ROUND(N104*O104*revleg_thin,0))-(((battery/range_nm)*G104*ROUND(N104*O104*revleg_thin,0)*VLOOKUP(B104,country_opex,3,FALSE))+Y104+Z104+AA104+AB104+AC104)))</f>
        <v/>
      </c>
      <c r="AX104" s="54">
        <f>IF(((V104*pax_cap*load_mid*ROUND(N104*O104*revleg_mid,0))-(((battery/range_nm)*G104*ROUND(N104*O104*revleg_mid,0)*VLOOKUP(B104,country_opex,3,FALSE))+Y104+Z104+AA104+AB104+AC104))&lt;=0,"",VLOOKUP(B104,country_opex,7,FALSE)/((V104*pax_cap*load_mid*ROUND(N104*O104*revleg_mid,0))-(((battery/range_nm)*G104*ROUND(N104*O104*revleg_mid,0)*VLOOKUP(B104,country_opex,3,FALSE))+Y104+Z104+AA104+AB104+AC104)))</f>
        <v/>
      </c>
      <c r="AY104" s="54">
        <f>IF(((V104*pax_cap*load_full*ROUND(N104*O104*revleg_full,0))-(((battery/range_nm)*G104*ROUND(N104*O104*revleg_full,0)*VLOOKUP(B104,country_opex,3,FALSE))+Y104+Z104+AA104+AB104+AC104))&lt;=0,"",VLOOKUP(B104,country_opex,7,FALSE)/((V104*pax_cap*load_full*ROUND(N104*O104*revleg_full,0))-(((battery/range_nm)*G104*ROUND(N104*O104*revleg_full,0)*VLOOKUP(B104,country_opex,3,FALSE))+Y104+Z104+AA104+AB104+AC104)))</f>
        <v/>
      </c>
      <c r="AZ104" s="40" t="inlineStr">
        <is>
          <t>PREMIUM scheduled per-seat = guided half-day boat tour ~EUR 50 (~$54, delostours.gr / Tripadvisor); EUR 79 all-in incl. ferry+entry+guide (archaeology-travel). The modeling tier uses the EUR 50 guided per-seat.</t>
        </is>
      </c>
      <c r="BA104" s="40" t="n"/>
    </row>
    <row r="105">
      <c r="A105" s="38" t="inlineStr">
        <is>
          <t>Bolt Greece</t>
        </is>
      </c>
      <c r="B105" s="38" t="inlineStr">
        <is>
          <t>Greece</t>
        </is>
      </c>
      <c r="C105" s="39" t="inlineStr">
        <is>
          <t>Glyfada (Athens Riviera) → Vouliagmeni (Astir resort cluster)</t>
        </is>
      </c>
      <c r="D105" s="38" t="inlineStr">
        <is>
          <t>bolt</t>
        </is>
      </c>
      <c r="E105" s="40" t="inlineStr">
        <is>
          <t>bolt-greece</t>
        </is>
      </c>
      <c r="F105" s="41" t="n">
        <v>1</v>
      </c>
      <c r="G105" s="42" t="n">
        <v>5</v>
      </c>
      <c r="H105" s="35" t="n"/>
      <c r="I105" s="43" t="n"/>
      <c r="J105" s="43" t="n"/>
      <c r="K105" s="29" t="n">
        <v>1</v>
      </c>
      <c r="L105" s="44">
        <f>60*G105/cruise_kt</f>
        <v/>
      </c>
      <c r="M105" s="44">
        <f>L105+turn_min+dwell_min</f>
        <v/>
      </c>
      <c r="N105" s="45">
        <f>MIN(16,FLOOR(60*service_hr/M105,1))</f>
        <v/>
      </c>
      <c r="O105" s="45">
        <f>ROUND(365*mech_uptime*K105,0)</f>
        <v/>
      </c>
      <c r="P105" s="46">
        <f>mech_uptime</f>
        <v/>
      </c>
      <c r="Q105" s="46">
        <f>revleg_sel</f>
        <v/>
      </c>
      <c r="R105" s="45">
        <f>ROUND(N105*O105*revleg_sel,0)</f>
        <v/>
      </c>
      <c r="S105" s="47">
        <f>load_sel</f>
        <v/>
      </c>
      <c r="T105" s="47">
        <f>pax_cap*S105</f>
        <v/>
      </c>
      <c r="U105" s="45">
        <f>T105*R105</f>
        <v/>
      </c>
      <c r="V105" s="48">
        <f>H105*discount</f>
        <v/>
      </c>
      <c r="W105" s="49">
        <f>V105*U105</f>
        <v/>
      </c>
      <c r="X105" s="49">
        <f>(battery/range_nm)*G105*R105*VLOOKUP(B105,country_opex,3,FALSE)</f>
        <v/>
      </c>
      <c r="Y105" s="49">
        <f>VLOOKUP(B105,country_opex,2,FALSE)*crew_factor</f>
        <v/>
      </c>
      <c r="Z105" s="49">
        <f>VLOOKUP(B105,country_opex,5,FALSE)</f>
        <v/>
      </c>
      <c r="AA105" s="49">
        <f>maint</f>
        <v/>
      </c>
      <c r="AB105" s="49">
        <f>VLOOKUP(B105,country_opex,7,FALSE)*ins_pct</f>
        <v/>
      </c>
      <c r="AC105" s="49">
        <f>charge_berth</f>
        <v/>
      </c>
      <c r="AD105" s="49">
        <f>X105+Y105+Z105+AA105+AB105+AC105</f>
        <v/>
      </c>
      <c r="AE105" s="49">
        <f>VLOOKUP(B105,country_opex,7,FALSE)/dep_years</f>
        <v/>
      </c>
      <c r="AF105" s="49">
        <f>W105-AD105</f>
        <v/>
      </c>
      <c r="AG105" s="46">
        <f>IF(W105=0,"",AF105/W105)</f>
        <v/>
      </c>
      <c r="AH105" s="47">
        <f>IF(AF105&lt;=0,"",VLOOKUP(B105,country_opex,7,FALSE)/AF105)</f>
        <v/>
      </c>
      <c r="AI105" s="44">
        <f>((G105*R105/diesel_nmpg)*diesel_co2pg-(battery/range_nm)*G105*R105*VLOOKUP(B105,country_opex,4,FALSE))/1000</f>
        <v/>
      </c>
      <c r="AJ105" s="42" t="n"/>
      <c r="AK105" s="43" t="n"/>
      <c r="AL105" s="43" t="n"/>
      <c r="AM105" s="50" t="n">
        <v>0.1</v>
      </c>
      <c r="AN105" s="45">
        <f>IF(AJ105="","",AJ105*AM105)</f>
        <v/>
      </c>
      <c r="AO105" s="45">
        <f>IF(OR(AJ105="",U105=0),"",MIN(IF(AV105="",9.9E+99,AV105),FLOOR(AN105/U105,1)))</f>
        <v/>
      </c>
      <c r="AP105" s="49">
        <f>IF(AO105="","",AO105*W105)</f>
        <v/>
      </c>
      <c r="AQ105" s="47">
        <f>IF(OR(AJ105="",U105=0),"",MIN(IF(AV105="",9.9E+99,AV105),AN105/U105))</f>
        <v/>
      </c>
      <c r="AR105" s="49">
        <f>IF(AQ105="","",AQ105*W105)</f>
        <v/>
      </c>
      <c r="AS105" s="51" t="n"/>
      <c r="AT105" s="52" t="n"/>
      <c r="AU105" s="52" t="n"/>
      <c r="AV105" s="53" t="n"/>
      <c r="AW105" s="54">
        <f>IF(((V105*pax_cap*load_thin*ROUND(N105*O105*revleg_thin,0))-(((battery/range_nm)*G105*ROUND(N105*O105*revleg_thin,0)*VLOOKUP(B105,country_opex,3,FALSE))+Y105+Z105+AA105+AB105+AC105))&lt;=0,"",VLOOKUP(B105,country_opex,7,FALSE)/((V105*pax_cap*load_thin*ROUND(N105*O105*revleg_thin,0))-(((battery/range_nm)*G105*ROUND(N105*O105*revleg_thin,0)*VLOOKUP(B105,country_opex,3,FALSE))+Y105+Z105+AA105+AB105+AC105)))</f>
        <v/>
      </c>
      <c r="AX105" s="54">
        <f>IF(((V105*pax_cap*load_mid*ROUND(N105*O105*revleg_mid,0))-(((battery/range_nm)*G105*ROUND(N105*O105*revleg_mid,0)*VLOOKUP(B105,country_opex,3,FALSE))+Y105+Z105+AA105+AB105+AC105))&lt;=0,"",VLOOKUP(B105,country_opex,7,FALSE)/((V105*pax_cap*load_mid*ROUND(N105*O105*revleg_mid,0))-(((battery/range_nm)*G105*ROUND(N105*O105*revleg_mid,0)*VLOOKUP(B105,country_opex,3,FALSE))+Y105+Z105+AA105+AB105+AC105)))</f>
        <v/>
      </c>
      <c r="AY105" s="54">
        <f>IF(((V105*pax_cap*load_full*ROUND(N105*O105*revleg_full,0))-(((battery/range_nm)*G105*ROUND(N105*O105*revleg_full,0)*VLOOKUP(B105,country_opex,3,FALSE))+Y105+Z105+AA105+AB105+AC105))&lt;=0,"",VLOOKUP(B105,country_opex,7,FALSE)/((V105*pax_cap*load_full*ROUND(N105*O105*revleg_full,0))-(((battery/range_nm)*G105*ROUND(N105*O105*revleg_full,0)*VLOOKUP(B105,country_opex,3,FALSE))+Y105+Z105+AA105+AB105+AC105)))</f>
        <v/>
      </c>
      <c r="AZ105" s="40" t="n"/>
      <c r="BA105" s="40" t="n"/>
    </row>
    <row r="106">
      <c r="A106" s="38" t="inlineStr">
        <is>
          <t>Bolt Greece</t>
        </is>
      </c>
      <c r="B106" s="38" t="inlineStr">
        <is>
          <t>Greece</t>
        </is>
      </c>
      <c r="C106" s="39" t="inlineStr">
        <is>
          <t>Naxos → Paros</t>
        </is>
      </c>
      <c r="D106" s="38" t="inlineStr">
        <is>
          <t>bolt</t>
        </is>
      </c>
      <c r="E106" s="40" t="inlineStr">
        <is>
          <t>bolt-greece</t>
        </is>
      </c>
      <c r="F106" s="41" t="n">
        <v>1</v>
      </c>
      <c r="G106" s="42" t="n">
        <v>6</v>
      </c>
      <c r="H106" s="35" t="n">
        <v>33.5</v>
      </c>
      <c r="I106" s="43" t="inlineStr">
        <is>
          <t>T2</t>
        </is>
      </c>
      <c r="J106" s="43" t="inlineStr">
        <is>
          <t>med</t>
        </is>
      </c>
      <c r="K106" s="29" t="n">
        <v>1</v>
      </c>
      <c r="L106" s="44">
        <f>60*G106/cruise_kt</f>
        <v/>
      </c>
      <c r="M106" s="44">
        <f>L106+turn_min+dwell_min</f>
        <v/>
      </c>
      <c r="N106" s="45">
        <f>MIN(10,FLOOR(60*service_hr/M106,1))</f>
        <v/>
      </c>
      <c r="O106" s="45">
        <f>ROUND(365*mech_uptime*K106,0)</f>
        <v/>
      </c>
      <c r="P106" s="46">
        <f>mech_uptime</f>
        <v/>
      </c>
      <c r="Q106" s="46">
        <f>revleg_sel</f>
        <v/>
      </c>
      <c r="R106" s="45">
        <f>ROUND(N106*O106*revleg_sel,0)</f>
        <v/>
      </c>
      <c r="S106" s="47">
        <f>load_sel</f>
        <v/>
      </c>
      <c r="T106" s="47">
        <f>pax_cap*S106</f>
        <v/>
      </c>
      <c r="U106" s="45">
        <f>T106*R106</f>
        <v/>
      </c>
      <c r="V106" s="48">
        <f>H106*discount</f>
        <v/>
      </c>
      <c r="W106" s="49">
        <f>V106*U106</f>
        <v/>
      </c>
      <c r="X106" s="49">
        <f>(battery/range_nm)*G106*R106*VLOOKUP(B106,country_opex,3,FALSE)</f>
        <v/>
      </c>
      <c r="Y106" s="49">
        <f>VLOOKUP(B106,country_opex,2,FALSE)*crew_factor</f>
        <v/>
      </c>
      <c r="Z106" s="49">
        <f>VLOOKUP(B106,country_opex,5,FALSE)</f>
        <v/>
      </c>
      <c r="AA106" s="49">
        <f>maint</f>
        <v/>
      </c>
      <c r="AB106" s="49">
        <f>VLOOKUP(B106,country_opex,7,FALSE)*ins_pct</f>
        <v/>
      </c>
      <c r="AC106" s="49">
        <f>charge_berth</f>
        <v/>
      </c>
      <c r="AD106" s="49">
        <f>X106+Y106+Z106+AA106+AB106+AC106</f>
        <v/>
      </c>
      <c r="AE106" s="49">
        <f>VLOOKUP(B106,country_opex,7,FALSE)/dep_years</f>
        <v/>
      </c>
      <c r="AF106" s="49">
        <f>W106-AD106</f>
        <v/>
      </c>
      <c r="AG106" s="46">
        <f>IF(W106=0,"",AF106/W106)</f>
        <v/>
      </c>
      <c r="AH106" s="47">
        <f>IF(AF106&lt;=0,"",VLOOKUP(B106,country_opex,7,FALSE)/AF106)</f>
        <v/>
      </c>
      <c r="AI106" s="44">
        <f>((G106*R106/diesel_nmpg)*diesel_co2pg-(battery/range_nm)*G106*R106*VLOOKUP(B106,country_opex,4,FALSE))/1000</f>
        <v/>
      </c>
      <c r="AJ106" s="42" t="n"/>
      <c r="AK106" s="43" t="n"/>
      <c r="AL106" s="43" t="n"/>
      <c r="AM106" s="50" t="n">
        <v>0.1</v>
      </c>
      <c r="AN106" s="45">
        <f>IF(AJ106="","",AJ106*AM106)</f>
        <v/>
      </c>
      <c r="AO106" s="45">
        <f>IF(OR(AJ106="",U106=0),"",MIN(IF(AV106="",9.9E+99,AV106),FLOOR(AN106/U106,1)))</f>
        <v/>
      </c>
      <c r="AP106" s="49">
        <f>IF(AO106="","",AO106*W106)</f>
        <v/>
      </c>
      <c r="AQ106" s="47">
        <f>IF(OR(AJ106="",U106=0),"",MIN(IF(AV106="",9.9E+99,AV106),AN106/U106))</f>
        <v/>
      </c>
      <c r="AR106" s="49">
        <f>IF(AQ106="","",AQ106*W106)</f>
        <v/>
      </c>
      <c r="AS106" s="51" t="n"/>
      <c r="AT106" s="52" t="n"/>
      <c r="AU106" s="52" t="n"/>
      <c r="AV106" s="53" t="n"/>
      <c r="AW106" s="54">
        <f>IF(((V106*pax_cap*load_thin*ROUND(N106*O106*revleg_thin,0))-(((battery/range_nm)*G106*ROUND(N106*O106*revleg_thin,0)*VLOOKUP(B106,country_opex,3,FALSE))+Y106+Z106+AA106+AB106+AC106))&lt;=0,"",VLOOKUP(B106,country_opex,7,FALSE)/((V106*pax_cap*load_thin*ROUND(N106*O106*revleg_thin,0))-(((battery/range_nm)*G106*ROUND(N106*O106*revleg_thin,0)*VLOOKUP(B106,country_opex,3,FALSE))+Y106+Z106+AA106+AB106+AC106)))</f>
        <v/>
      </c>
      <c r="AX106" s="54">
        <f>IF(((V106*pax_cap*load_mid*ROUND(N106*O106*revleg_mid,0))-(((battery/range_nm)*G106*ROUND(N106*O106*revleg_mid,0)*VLOOKUP(B106,country_opex,3,FALSE))+Y106+Z106+AA106+AB106+AC106))&lt;=0,"",VLOOKUP(B106,country_opex,7,FALSE)/((V106*pax_cap*load_mid*ROUND(N106*O106*revleg_mid,0))-(((battery/range_nm)*G106*ROUND(N106*O106*revleg_mid,0)*VLOOKUP(B106,country_opex,3,FALSE))+Y106+Z106+AA106+AB106+AC106)))</f>
        <v/>
      </c>
      <c r="AY106" s="54">
        <f>IF(((V106*pax_cap*load_full*ROUND(N106*O106*revleg_full,0))-(((battery/range_nm)*G106*ROUND(N106*O106*revleg_full,0)*VLOOKUP(B106,country_opex,3,FALSE))+Y106+Z106+AA106+AB106+AC106))&lt;=0,"",VLOOKUP(B106,country_opex,7,FALSE)/((V106*pax_cap*load_full*ROUND(N106*O106*revleg_full,0))-(((battery/range_nm)*G106*ROUND(N106*O106*revleg_full,0)*VLOOKUP(B106,country_opex,3,FALSE))+Y106+Z106+AA106+AB106+AC106)))</f>
        <v/>
      </c>
      <c r="AZ106" s="40" t="inlineStr">
        <is>
          <t>PREMIUM scheduled per-seat = fast-ferry Naxos-&gt;Paros ~EUR 31 one-way (AFerry foot-passenger from GBP 27 ~ EUR 31; ~$33.5). Short hop, so cheaper conventional options exist below.</t>
        </is>
      </c>
      <c r="BA106" s="40" t="n"/>
    </row>
    <row r="107">
      <c r="A107" s="38" t="inlineStr">
        <is>
          <t>Bolt Greece</t>
        </is>
      </c>
      <c r="B107" s="38" t="inlineStr">
        <is>
          <t>Greece</t>
        </is>
      </c>
      <c r="C107" s="39" t="inlineStr">
        <is>
          <t>Athens (Piraeus) → Glyfada (Athens Riviera)</t>
        </is>
      </c>
      <c r="D107" s="38" t="inlineStr">
        <is>
          <t>bolt</t>
        </is>
      </c>
      <c r="E107" s="40" t="inlineStr">
        <is>
          <t>bolt-greece</t>
        </is>
      </c>
      <c r="F107" s="41" t="n">
        <v>1</v>
      </c>
      <c r="G107" s="42" t="n">
        <v>8</v>
      </c>
      <c r="H107" s="35" t="n"/>
      <c r="I107" s="43" t="n"/>
      <c r="J107" s="43" t="n"/>
      <c r="K107" s="29" t="n">
        <v>1</v>
      </c>
      <c r="L107" s="44">
        <f>60*G107/cruise_kt</f>
        <v/>
      </c>
      <c r="M107" s="44">
        <f>L107+turn_min+dwell_min</f>
        <v/>
      </c>
      <c r="N107" s="45">
        <f>MIN(16,FLOOR(60*service_hr/M107,1))</f>
        <v/>
      </c>
      <c r="O107" s="45">
        <f>ROUND(365*mech_uptime*K107,0)</f>
        <v/>
      </c>
      <c r="P107" s="46">
        <f>mech_uptime</f>
        <v/>
      </c>
      <c r="Q107" s="46">
        <f>revleg_sel</f>
        <v/>
      </c>
      <c r="R107" s="45">
        <f>ROUND(N107*O107*revleg_sel,0)</f>
        <v/>
      </c>
      <c r="S107" s="47">
        <f>load_sel</f>
        <v/>
      </c>
      <c r="T107" s="47">
        <f>pax_cap*S107</f>
        <v/>
      </c>
      <c r="U107" s="45">
        <f>T107*R107</f>
        <v/>
      </c>
      <c r="V107" s="48">
        <f>H107*discount</f>
        <v/>
      </c>
      <c r="W107" s="49">
        <f>V107*U107</f>
        <v/>
      </c>
      <c r="X107" s="49">
        <f>(battery/range_nm)*G107*R107*VLOOKUP(B107,country_opex,3,FALSE)</f>
        <v/>
      </c>
      <c r="Y107" s="49">
        <f>VLOOKUP(B107,country_opex,2,FALSE)*crew_factor</f>
        <v/>
      </c>
      <c r="Z107" s="49">
        <f>VLOOKUP(B107,country_opex,5,FALSE)</f>
        <v/>
      </c>
      <c r="AA107" s="49">
        <f>maint</f>
        <v/>
      </c>
      <c r="AB107" s="49">
        <f>VLOOKUP(B107,country_opex,7,FALSE)*ins_pct</f>
        <v/>
      </c>
      <c r="AC107" s="49">
        <f>charge_berth</f>
        <v/>
      </c>
      <c r="AD107" s="49">
        <f>X107+Y107+Z107+AA107+AB107+AC107</f>
        <v/>
      </c>
      <c r="AE107" s="49">
        <f>VLOOKUP(B107,country_opex,7,FALSE)/dep_years</f>
        <v/>
      </c>
      <c r="AF107" s="49">
        <f>W107-AD107</f>
        <v/>
      </c>
      <c r="AG107" s="46">
        <f>IF(W107=0,"",AF107/W107)</f>
        <v/>
      </c>
      <c r="AH107" s="47">
        <f>IF(AF107&lt;=0,"",VLOOKUP(B107,country_opex,7,FALSE)/AF107)</f>
        <v/>
      </c>
      <c r="AI107" s="44">
        <f>((G107*R107/diesel_nmpg)*diesel_co2pg-(battery/range_nm)*G107*R107*VLOOKUP(B107,country_opex,4,FALSE))/1000</f>
        <v/>
      </c>
      <c r="AJ107" s="42" t="n">
        <v>949000</v>
      </c>
      <c r="AK107" s="43" t="n"/>
      <c r="AL107" s="43" t="n"/>
      <c r="AM107" s="50" t="n">
        <v>0.1</v>
      </c>
      <c r="AN107" s="45">
        <f>IF(AJ107="","",AJ107*AM107)</f>
        <v/>
      </c>
      <c r="AO107" s="45">
        <f>IF(OR(AJ107="",U107=0),"",MIN(IF(AV107="",9.9E+99,AV107),FLOOR(AN107/U107,1)))</f>
        <v/>
      </c>
      <c r="AP107" s="49">
        <f>IF(AO107="","",AO107*W107)</f>
        <v/>
      </c>
      <c r="AQ107" s="47">
        <f>IF(OR(AJ107="",U107=0),"",MIN(IF(AV107="",9.9E+99,AV107),AN107/U107))</f>
        <v/>
      </c>
      <c r="AR107" s="49">
        <f>IF(AQ107="","",AQ107*W107)</f>
        <v/>
      </c>
      <c r="AS107" s="51" t="n"/>
      <c r="AT107" s="52" t="n"/>
      <c r="AU107" s="52" t="n"/>
      <c r="AV107" s="53" t="n"/>
      <c r="AW107" s="54">
        <f>IF(((V107*pax_cap*load_thin*ROUND(N107*O107*revleg_thin,0))-(((battery/range_nm)*G107*ROUND(N107*O107*revleg_thin,0)*VLOOKUP(B107,country_opex,3,FALSE))+Y107+Z107+AA107+AB107+AC107))&lt;=0,"",VLOOKUP(B107,country_opex,7,FALSE)/((V107*pax_cap*load_thin*ROUND(N107*O107*revleg_thin,0))-(((battery/range_nm)*G107*ROUND(N107*O107*revleg_thin,0)*VLOOKUP(B107,country_opex,3,FALSE))+Y107+Z107+AA107+AB107+AC107)))</f>
        <v/>
      </c>
      <c r="AX107" s="54">
        <f>IF(((V107*pax_cap*load_mid*ROUND(N107*O107*revleg_mid,0))-(((battery/range_nm)*G107*ROUND(N107*O107*revleg_mid,0)*VLOOKUP(B107,country_opex,3,FALSE))+Y107+Z107+AA107+AB107+AC107))&lt;=0,"",VLOOKUP(B107,country_opex,7,FALSE)/((V107*pax_cap*load_mid*ROUND(N107*O107*revleg_mid,0))-(((battery/range_nm)*G107*ROUND(N107*O107*revleg_mid,0)*VLOOKUP(B107,country_opex,3,FALSE))+Y107+Z107+AA107+AB107+AC107)))</f>
        <v/>
      </c>
      <c r="AY107" s="54">
        <f>IF(((V107*pax_cap*load_full*ROUND(N107*O107*revleg_full,0))-(((battery/range_nm)*G107*ROUND(N107*O107*revleg_full,0)*VLOOKUP(B107,country_opex,3,FALSE))+Y107+Z107+AA107+AB107+AC107))&lt;=0,"",VLOOKUP(B107,country_opex,7,FALSE)/((V107*pax_cap*load_full*ROUND(N107*O107*revleg_full,0))-(((battery/range_nm)*G107*ROUND(N107*O107*revleg_full,0)*VLOOKUP(B107,country_opex,3,FALSE))+Y107+Z107+AA107+AB107+AC107)))</f>
        <v/>
      </c>
      <c r="AZ107" s="40" t="n"/>
      <c r="BA107" s="40" t="n"/>
    </row>
    <row r="108">
      <c r="A108" s="38" t="inlineStr">
        <is>
          <t>Bolt Greece</t>
        </is>
      </c>
      <c r="B108" s="38" t="inlineStr">
        <is>
          <t>Greece</t>
        </is>
      </c>
      <c r="C108" s="39" t="inlineStr">
        <is>
          <t>Athens (Piraeus) → Aegina</t>
        </is>
      </c>
      <c r="D108" s="38" t="inlineStr">
        <is>
          <t>bolt</t>
        </is>
      </c>
      <c r="E108" s="40" t="inlineStr">
        <is>
          <t>bolt-greece</t>
        </is>
      </c>
      <c r="F108" s="41" t="n">
        <v>1</v>
      </c>
      <c r="G108" s="42" t="n">
        <v>17</v>
      </c>
      <c r="H108" s="35" t="n">
        <v>14</v>
      </c>
      <c r="I108" s="43" t="inlineStr">
        <is>
          <t>T2</t>
        </is>
      </c>
      <c r="J108" s="43" t="inlineStr">
        <is>
          <t>med</t>
        </is>
      </c>
      <c r="K108" s="29" t="n">
        <v>1</v>
      </c>
      <c r="L108" s="44">
        <f>60*G108/cruise_kt</f>
        <v/>
      </c>
      <c r="M108" s="44">
        <f>L108+turn_min+dwell_min</f>
        <v/>
      </c>
      <c r="N108" s="45">
        <f>MIN(10,FLOOR(60*service_hr/M108,1))</f>
        <v/>
      </c>
      <c r="O108" s="45">
        <f>ROUND(365*mech_uptime*K108,0)</f>
        <v/>
      </c>
      <c r="P108" s="46">
        <f>mech_uptime</f>
        <v/>
      </c>
      <c r="Q108" s="46">
        <f>revleg_sel</f>
        <v/>
      </c>
      <c r="R108" s="45">
        <f>ROUND(N108*O108*revleg_sel,0)</f>
        <v/>
      </c>
      <c r="S108" s="47">
        <f>load_sel</f>
        <v/>
      </c>
      <c r="T108" s="47">
        <f>pax_cap*S108</f>
        <v/>
      </c>
      <c r="U108" s="45">
        <f>T108*R108</f>
        <v/>
      </c>
      <c r="V108" s="48">
        <f>H108*discount</f>
        <v/>
      </c>
      <c r="W108" s="49">
        <f>V108*U108</f>
        <v/>
      </c>
      <c r="X108" s="49">
        <f>(battery/range_nm)*G108*R108*VLOOKUP(B108,country_opex,3,FALSE)</f>
        <v/>
      </c>
      <c r="Y108" s="49">
        <f>VLOOKUP(B108,country_opex,2,FALSE)*crew_factor</f>
        <v/>
      </c>
      <c r="Z108" s="49">
        <f>VLOOKUP(B108,country_opex,5,FALSE)</f>
        <v/>
      </c>
      <c r="AA108" s="49">
        <f>maint</f>
        <v/>
      </c>
      <c r="AB108" s="49">
        <f>VLOOKUP(B108,country_opex,7,FALSE)*ins_pct</f>
        <v/>
      </c>
      <c r="AC108" s="49">
        <f>charge_berth</f>
        <v/>
      </c>
      <c r="AD108" s="49">
        <f>X108+Y108+Z108+AA108+AB108+AC108</f>
        <v/>
      </c>
      <c r="AE108" s="49">
        <f>VLOOKUP(B108,country_opex,7,FALSE)/dep_years</f>
        <v/>
      </c>
      <c r="AF108" s="49">
        <f>W108-AD108</f>
        <v/>
      </c>
      <c r="AG108" s="46">
        <f>IF(W108=0,"",AF108/W108)</f>
        <v/>
      </c>
      <c r="AH108" s="47">
        <f>IF(AF108&lt;=0,"",VLOOKUP(B108,country_opex,7,FALSE)/AF108)</f>
        <v/>
      </c>
      <c r="AI108" s="44">
        <f>((G108*R108/diesel_nmpg)*diesel_co2pg-(battery/range_nm)*G108*R108*VLOOKUP(B108,country_opex,4,FALSE))/1000</f>
        <v/>
      </c>
      <c r="AJ108" s="42" t="n">
        <v>1000000</v>
      </c>
      <c r="AK108" s="43" t="n"/>
      <c r="AL108" s="43" t="n"/>
      <c r="AM108" s="50" t="n">
        <v>0.1</v>
      </c>
      <c r="AN108" s="45">
        <f>IF(AJ108="","",AJ108*AM108)</f>
        <v/>
      </c>
      <c r="AO108" s="45">
        <f>IF(OR(AJ108="",U108=0),"",MIN(IF(AV108="",9.9E+99,AV108),FLOOR(AN108/U108,1)))</f>
        <v/>
      </c>
      <c r="AP108" s="49">
        <f>IF(AO108="","",AO108*W108)</f>
        <v/>
      </c>
      <c r="AQ108" s="47">
        <f>IF(OR(AJ108="",U108=0),"",MIN(IF(AV108="",9.9E+99,AV108),AN108/U108))</f>
        <v/>
      </c>
      <c r="AR108" s="49">
        <f>IF(AQ108="","",AQ108*W108)</f>
        <v/>
      </c>
      <c r="AS108" s="51" t="n"/>
      <c r="AT108" s="52" t="n"/>
      <c r="AU108" s="52" t="n"/>
      <c r="AV108" s="53" t="n"/>
      <c r="AW108" s="54">
        <f>IF(((V108*pax_cap*load_thin*ROUND(N108*O108*revleg_thin,0))-(((battery/range_nm)*G108*ROUND(N108*O108*revleg_thin,0)*VLOOKUP(B108,country_opex,3,FALSE))+Y108+Z108+AA108+AB108+AC108))&lt;=0,"",VLOOKUP(B108,country_opex,7,FALSE)/((V108*pax_cap*load_thin*ROUND(N108*O108*revleg_thin,0))-(((battery/range_nm)*G108*ROUND(N108*O108*revleg_thin,0)*VLOOKUP(B108,country_opex,3,FALSE))+Y108+Z108+AA108+AB108+AC108)))</f>
        <v/>
      </c>
      <c r="AX108" s="54">
        <f>IF(((V108*pax_cap*load_mid*ROUND(N108*O108*revleg_mid,0))-(((battery/range_nm)*G108*ROUND(N108*O108*revleg_mid,0)*VLOOKUP(B108,country_opex,3,FALSE))+Y108+Z108+AA108+AB108+AC108))&lt;=0,"",VLOOKUP(B108,country_opex,7,FALSE)/((V108*pax_cap*load_mid*ROUND(N108*O108*revleg_mid,0))-(((battery/range_nm)*G108*ROUND(N108*O108*revleg_mid,0)*VLOOKUP(B108,country_opex,3,FALSE))+Y108+Z108+AA108+AB108+AC108)))</f>
        <v/>
      </c>
      <c r="AY108" s="54">
        <f>IF(((V108*pax_cap*load_full*ROUND(N108*O108*revleg_full,0))-(((battery/range_nm)*G108*ROUND(N108*O108*revleg_full,0)*VLOOKUP(B108,country_opex,3,FALSE))+Y108+Z108+AA108+AB108+AC108))&lt;=0,"",VLOOKUP(B108,country_opex,7,FALSE)/((V108*pax_cap*load_full*ROUND(N108*O108*revleg_full,0))-(((battery/range_nm)*G108*ROUND(N108*O108*revleg_full,0)*VLOOKUP(B108,country_opex,3,FALSE))+Y108+Z108+AA108+AB108+AC108)))</f>
        <v/>
      </c>
      <c r="AZ108" s="40" t="inlineStr">
        <is>
          <t>PREMIUM scheduled per-seat = Aegean Flying Dolphins hydrofoil Piraeus-&gt;Aegina EUR 13.00 one-way (2026, ~$14.0). Faster Hellenic Seaways high-speed cat runs ~EUR 18 on the same route. (Slow Saronic Ferries conventional ferry is the cheaper floor below.)</t>
        </is>
      </c>
      <c r="BA108" s="40" t="n"/>
    </row>
    <row r="109">
      <c r="A109" s="38" t="inlineStr">
        <is>
          <t>Bolt Greece</t>
        </is>
      </c>
      <c r="B109" s="38" t="inlineStr">
        <is>
          <t>Greece</t>
        </is>
      </c>
      <c r="C109" s="39" t="inlineStr">
        <is>
          <t>Santorini (Thira) → Ios</t>
        </is>
      </c>
      <c r="D109" s="38" t="inlineStr">
        <is>
          <t>bolt</t>
        </is>
      </c>
      <c r="E109" s="40" t="inlineStr">
        <is>
          <t>bolt-greece</t>
        </is>
      </c>
      <c r="F109" s="41" t="n">
        <v>1</v>
      </c>
      <c r="G109" s="42" t="n">
        <v>17</v>
      </c>
      <c r="H109" s="35" t="n">
        <v>54</v>
      </c>
      <c r="I109" s="43" t="inlineStr">
        <is>
          <t>T2</t>
        </is>
      </c>
      <c r="J109" s="43" t="inlineStr">
        <is>
          <t>med</t>
        </is>
      </c>
      <c r="K109" s="29" t="n">
        <v>1</v>
      </c>
      <c r="L109" s="44">
        <f>60*G109/cruise_kt</f>
        <v/>
      </c>
      <c r="M109" s="44">
        <f>L109+turn_min+dwell_min</f>
        <v/>
      </c>
      <c r="N109" s="45">
        <f>MIN(10,FLOOR(60*service_hr/M109,1))</f>
        <v/>
      </c>
      <c r="O109" s="45">
        <f>ROUND(365*mech_uptime*K109,0)</f>
        <v/>
      </c>
      <c r="P109" s="46">
        <f>mech_uptime</f>
        <v/>
      </c>
      <c r="Q109" s="46">
        <f>revleg_sel</f>
        <v/>
      </c>
      <c r="R109" s="45">
        <f>ROUND(N109*O109*revleg_sel,0)</f>
        <v/>
      </c>
      <c r="S109" s="47">
        <f>load_sel</f>
        <v/>
      </c>
      <c r="T109" s="47">
        <f>pax_cap*S109</f>
        <v/>
      </c>
      <c r="U109" s="45">
        <f>T109*R109</f>
        <v/>
      </c>
      <c r="V109" s="48">
        <f>H109*discount</f>
        <v/>
      </c>
      <c r="W109" s="49">
        <f>V109*U109</f>
        <v/>
      </c>
      <c r="X109" s="49">
        <f>(battery/range_nm)*G109*R109*VLOOKUP(B109,country_opex,3,FALSE)</f>
        <v/>
      </c>
      <c r="Y109" s="49">
        <f>VLOOKUP(B109,country_opex,2,FALSE)*crew_factor</f>
        <v/>
      </c>
      <c r="Z109" s="49">
        <f>VLOOKUP(B109,country_opex,5,FALSE)</f>
        <v/>
      </c>
      <c r="AA109" s="49">
        <f>maint</f>
        <v/>
      </c>
      <c r="AB109" s="49">
        <f>VLOOKUP(B109,country_opex,7,FALSE)*ins_pct</f>
        <v/>
      </c>
      <c r="AC109" s="49">
        <f>charge_berth</f>
        <v/>
      </c>
      <c r="AD109" s="49">
        <f>X109+Y109+Z109+AA109+AB109+AC109</f>
        <v/>
      </c>
      <c r="AE109" s="49">
        <f>VLOOKUP(B109,country_opex,7,FALSE)/dep_years</f>
        <v/>
      </c>
      <c r="AF109" s="49">
        <f>W109-AD109</f>
        <v/>
      </c>
      <c r="AG109" s="46">
        <f>IF(W109=0,"",AF109/W109)</f>
        <v/>
      </c>
      <c r="AH109" s="47">
        <f>IF(AF109&lt;=0,"",VLOOKUP(B109,country_opex,7,FALSE)/AF109)</f>
        <v/>
      </c>
      <c r="AI109" s="44">
        <f>((G109*R109/diesel_nmpg)*diesel_co2pg-(battery/range_nm)*G109*R109*VLOOKUP(B109,country_opex,4,FALSE))/1000</f>
        <v/>
      </c>
      <c r="AJ109" s="42" t="n"/>
      <c r="AK109" s="43" t="n"/>
      <c r="AL109" s="43" t="n"/>
      <c r="AM109" s="50" t="n">
        <v>0.1</v>
      </c>
      <c r="AN109" s="45">
        <f>IF(AJ109="","",AJ109*AM109)</f>
        <v/>
      </c>
      <c r="AO109" s="45">
        <f>IF(OR(AJ109="",U109=0),"",MIN(IF(AV109="",9.9E+99,AV109),FLOOR(AN109/U109,1)))</f>
        <v/>
      </c>
      <c r="AP109" s="49">
        <f>IF(AO109="","",AO109*W109)</f>
        <v/>
      </c>
      <c r="AQ109" s="47">
        <f>IF(OR(AJ109="",U109=0),"",MIN(IF(AV109="",9.9E+99,AV109),AN109/U109))</f>
        <v/>
      </c>
      <c r="AR109" s="49">
        <f>IF(AQ109="","",AQ109*W109)</f>
        <v/>
      </c>
      <c r="AS109" s="51" t="n"/>
      <c r="AT109" s="52" t="n"/>
      <c r="AU109" s="52" t="n"/>
      <c r="AV109" s="53" t="n"/>
      <c r="AW109" s="54">
        <f>IF(((V109*pax_cap*load_thin*ROUND(N109*O109*revleg_thin,0))-(((battery/range_nm)*G109*ROUND(N109*O109*revleg_thin,0)*VLOOKUP(B109,country_opex,3,FALSE))+Y109+Z109+AA109+AB109+AC109))&lt;=0,"",VLOOKUP(B109,country_opex,7,FALSE)/((V109*pax_cap*load_thin*ROUND(N109*O109*revleg_thin,0))-(((battery/range_nm)*G109*ROUND(N109*O109*revleg_thin,0)*VLOOKUP(B109,country_opex,3,FALSE))+Y109+Z109+AA109+AB109+AC109)))</f>
        <v/>
      </c>
      <c r="AX109" s="54">
        <f>IF(((V109*pax_cap*load_mid*ROUND(N109*O109*revleg_mid,0))-(((battery/range_nm)*G109*ROUND(N109*O109*revleg_mid,0)*VLOOKUP(B109,country_opex,3,FALSE))+Y109+Z109+AA109+AB109+AC109))&lt;=0,"",VLOOKUP(B109,country_opex,7,FALSE)/((V109*pax_cap*load_mid*ROUND(N109*O109*revleg_mid,0))-(((battery/range_nm)*G109*ROUND(N109*O109*revleg_mid,0)*VLOOKUP(B109,country_opex,3,FALSE))+Y109+Z109+AA109+AB109+AC109)))</f>
        <v/>
      </c>
      <c r="AY109" s="54">
        <f>IF(((V109*pax_cap*load_full*ROUND(N109*O109*revleg_full,0))-(((battery/range_nm)*G109*ROUND(N109*O109*revleg_full,0)*VLOOKUP(B109,country_opex,3,FALSE))+Y109+Z109+AA109+AB109+AC109))&lt;=0,"",VLOOKUP(B109,country_opex,7,FALSE)/((V109*pax_cap*load_full*ROUND(N109*O109*revleg_full,0))-(((battery/range_nm)*G109*ROUND(N109*O109*revleg_full,0)*VLOOKUP(B109,country_opex,3,FALSE))+Y109+Z109+AA109+AB109+AC109)))</f>
        <v/>
      </c>
      <c r="AZ109" s="40" t="inlineStr">
        <is>
          <t>PREMIUM scheduled per-seat = fast-ferry Santorini-&gt;Ios ~EUR 50 one-way (range to EUR 69.7; ~$54). Up to 7 daily crossings year-round.</t>
        </is>
      </c>
      <c r="BA109" s="40" t="n"/>
    </row>
    <row r="110">
      <c r="A110" s="38" t="inlineStr">
        <is>
          <t>Bolt Greece</t>
        </is>
      </c>
      <c r="B110" s="38" t="inlineStr">
        <is>
          <t>Greece</t>
        </is>
      </c>
      <c r="C110" s="39" t="inlineStr">
        <is>
          <t>Athens (Piraeus) → Agistri (Saronic)</t>
        </is>
      </c>
      <c r="D110" s="38" t="inlineStr">
        <is>
          <t>bolt</t>
        </is>
      </c>
      <c r="E110" s="40" t="inlineStr">
        <is>
          <t>bolt-greece</t>
        </is>
      </c>
      <c r="F110" s="41" t="n">
        <v>1</v>
      </c>
      <c r="G110" s="42" t="n">
        <v>18</v>
      </c>
      <c r="H110" s="35" t="n">
        <v>14.6</v>
      </c>
      <c r="I110" s="43" t="inlineStr">
        <is>
          <t>T2</t>
        </is>
      </c>
      <c r="J110" s="43" t="inlineStr">
        <is>
          <t>med</t>
        </is>
      </c>
      <c r="K110" s="29" t="n">
        <v>1</v>
      </c>
      <c r="L110" s="44">
        <f>60*G110/cruise_kt</f>
        <v/>
      </c>
      <c r="M110" s="44">
        <f>L110+turn_min+dwell_min</f>
        <v/>
      </c>
      <c r="N110" s="45">
        <f>MIN(10,FLOOR(60*service_hr/M110,1))</f>
        <v/>
      </c>
      <c r="O110" s="45">
        <f>ROUND(365*mech_uptime*K110,0)</f>
        <v/>
      </c>
      <c r="P110" s="46">
        <f>mech_uptime</f>
        <v/>
      </c>
      <c r="Q110" s="46">
        <f>revleg_sel</f>
        <v/>
      </c>
      <c r="R110" s="45">
        <f>ROUND(N110*O110*revleg_sel,0)</f>
        <v/>
      </c>
      <c r="S110" s="47">
        <f>load_sel</f>
        <v/>
      </c>
      <c r="T110" s="47">
        <f>pax_cap*S110</f>
        <v/>
      </c>
      <c r="U110" s="45">
        <f>T110*R110</f>
        <v/>
      </c>
      <c r="V110" s="48">
        <f>H110*discount</f>
        <v/>
      </c>
      <c r="W110" s="49">
        <f>V110*U110</f>
        <v/>
      </c>
      <c r="X110" s="49">
        <f>(battery/range_nm)*G110*R110*VLOOKUP(B110,country_opex,3,FALSE)</f>
        <v/>
      </c>
      <c r="Y110" s="49">
        <f>VLOOKUP(B110,country_opex,2,FALSE)*crew_factor</f>
        <v/>
      </c>
      <c r="Z110" s="49">
        <f>VLOOKUP(B110,country_opex,5,FALSE)</f>
        <v/>
      </c>
      <c r="AA110" s="49">
        <f>maint</f>
        <v/>
      </c>
      <c r="AB110" s="49">
        <f>VLOOKUP(B110,country_opex,7,FALSE)*ins_pct</f>
        <v/>
      </c>
      <c r="AC110" s="49">
        <f>charge_berth</f>
        <v/>
      </c>
      <c r="AD110" s="49">
        <f>X110+Y110+Z110+AA110+AB110+AC110</f>
        <v/>
      </c>
      <c r="AE110" s="49">
        <f>VLOOKUP(B110,country_opex,7,FALSE)/dep_years</f>
        <v/>
      </c>
      <c r="AF110" s="49">
        <f>W110-AD110</f>
        <v/>
      </c>
      <c r="AG110" s="46">
        <f>IF(W110=0,"",AF110/W110)</f>
        <v/>
      </c>
      <c r="AH110" s="47">
        <f>IF(AF110&lt;=0,"",VLOOKUP(B110,country_opex,7,FALSE)/AF110)</f>
        <v/>
      </c>
      <c r="AI110" s="44">
        <f>((G110*R110/diesel_nmpg)*diesel_co2pg-(battery/range_nm)*G110*R110*VLOOKUP(B110,country_opex,4,FALSE))/1000</f>
        <v/>
      </c>
      <c r="AJ110" s="42" t="n"/>
      <c r="AK110" s="43" t="n"/>
      <c r="AL110" s="43" t="n"/>
      <c r="AM110" s="50" t="n">
        <v>0.1</v>
      </c>
      <c r="AN110" s="45">
        <f>IF(AJ110="","",AJ110*AM110)</f>
        <v/>
      </c>
      <c r="AO110" s="45">
        <f>IF(OR(AJ110="",U110=0),"",MIN(IF(AV110="",9.9E+99,AV110),FLOOR(AN110/U110,1)))</f>
        <v/>
      </c>
      <c r="AP110" s="49">
        <f>IF(AO110="","",AO110*W110)</f>
        <v/>
      </c>
      <c r="AQ110" s="47">
        <f>IF(OR(AJ110="",U110=0),"",MIN(IF(AV110="",9.9E+99,AV110),AN110/U110))</f>
        <v/>
      </c>
      <c r="AR110" s="49">
        <f>IF(AQ110="","",AQ110*W110)</f>
        <v/>
      </c>
      <c r="AS110" s="51" t="n"/>
      <c r="AT110" s="52" t="n"/>
      <c r="AU110" s="52" t="n"/>
      <c r="AV110" s="53" t="n"/>
      <c r="AW110" s="54">
        <f>IF(((V110*pax_cap*load_thin*ROUND(N110*O110*revleg_thin,0))-(((battery/range_nm)*G110*ROUND(N110*O110*revleg_thin,0)*VLOOKUP(B110,country_opex,3,FALSE))+Y110+Z110+AA110+AB110+AC110))&lt;=0,"",VLOOKUP(B110,country_opex,7,FALSE)/((V110*pax_cap*load_thin*ROUND(N110*O110*revleg_thin,0))-(((battery/range_nm)*G110*ROUND(N110*O110*revleg_thin,0)*VLOOKUP(B110,country_opex,3,FALSE))+Y110+Z110+AA110+AB110+AC110)))</f>
        <v/>
      </c>
      <c r="AX110" s="54">
        <f>IF(((V110*pax_cap*load_mid*ROUND(N110*O110*revleg_mid,0))-(((battery/range_nm)*G110*ROUND(N110*O110*revleg_mid,0)*VLOOKUP(B110,country_opex,3,FALSE))+Y110+Z110+AA110+AB110+AC110))&lt;=0,"",VLOOKUP(B110,country_opex,7,FALSE)/((V110*pax_cap*load_mid*ROUND(N110*O110*revleg_mid,0))-(((battery/range_nm)*G110*ROUND(N110*O110*revleg_mid,0)*VLOOKUP(B110,country_opex,3,FALSE))+Y110+Z110+AA110+AB110+AC110)))</f>
        <v/>
      </c>
      <c r="AY110" s="54">
        <f>IF(((V110*pax_cap*load_full*ROUND(N110*O110*revleg_full,0))-(((battery/range_nm)*G110*ROUND(N110*O110*revleg_full,0)*VLOOKUP(B110,country_opex,3,FALSE))+Y110+Z110+AA110+AB110+AC110))&lt;=0,"",VLOOKUP(B110,country_opex,7,FALSE)/((V110*pax_cap*load_full*ROUND(N110*O110*revleg_full,0))-(((battery/range_nm)*G110*ROUND(N110*O110*revleg_full,0)*VLOOKUP(B110,country_opex,3,FALSE))+Y110+Z110+AA110+AB110+AC110)))</f>
        <v/>
      </c>
      <c r="AZ110" s="40" t="inlineStr">
        <is>
          <t>PREMIUM scheduled per-seat = Aegean Flying Dolphins Piraeus-&gt;Agistri (Myli) EUR 13.50 one-way (2026, ~$14.6).</t>
        </is>
      </c>
      <c r="BA110" s="40" t="n"/>
    </row>
    <row r="111">
      <c r="A111" s="38" t="inlineStr">
        <is>
          <t>Bolt Greece</t>
        </is>
      </c>
      <c r="B111" s="38" t="inlineStr">
        <is>
          <t>Greece</t>
        </is>
      </c>
      <c r="C111" s="39" t="inlineStr">
        <is>
          <t>Mykonos → Paros</t>
        </is>
      </c>
      <c r="D111" s="38" t="inlineStr">
        <is>
          <t>bolt</t>
        </is>
      </c>
      <c r="E111" s="40" t="inlineStr">
        <is>
          <t>bolt-greece</t>
        </is>
      </c>
      <c r="F111" s="41" t="n">
        <v>1</v>
      </c>
      <c r="G111" s="42" t="n">
        <v>22</v>
      </c>
      <c r="H111" s="35" t="n">
        <v>54</v>
      </c>
      <c r="I111" s="43" t="inlineStr">
        <is>
          <t>T2</t>
        </is>
      </c>
      <c r="J111" s="43" t="inlineStr">
        <is>
          <t>med</t>
        </is>
      </c>
      <c r="K111" s="29" t="n">
        <v>1</v>
      </c>
      <c r="L111" s="44">
        <f>60*G111/cruise_kt</f>
        <v/>
      </c>
      <c r="M111" s="44">
        <f>L111+turn_min+dwell_min</f>
        <v/>
      </c>
      <c r="N111" s="45">
        <f>MIN(10,FLOOR(60*service_hr/M111,1))</f>
        <v/>
      </c>
      <c r="O111" s="45">
        <f>ROUND(365*mech_uptime*K111,0)</f>
        <v/>
      </c>
      <c r="P111" s="46">
        <f>mech_uptime</f>
        <v/>
      </c>
      <c r="Q111" s="46">
        <f>revleg_sel</f>
        <v/>
      </c>
      <c r="R111" s="45">
        <f>ROUND(N111*O111*revleg_sel,0)</f>
        <v/>
      </c>
      <c r="S111" s="47">
        <f>load_sel</f>
        <v/>
      </c>
      <c r="T111" s="47">
        <f>pax_cap*S111</f>
        <v/>
      </c>
      <c r="U111" s="45">
        <f>T111*R111</f>
        <v/>
      </c>
      <c r="V111" s="48">
        <f>H111*discount</f>
        <v/>
      </c>
      <c r="W111" s="49">
        <f>V111*U111</f>
        <v/>
      </c>
      <c r="X111" s="49">
        <f>(battery/range_nm)*G111*R111*VLOOKUP(B111,country_opex,3,FALSE)</f>
        <v/>
      </c>
      <c r="Y111" s="49">
        <f>VLOOKUP(B111,country_opex,2,FALSE)*crew_factor</f>
        <v/>
      </c>
      <c r="Z111" s="49">
        <f>VLOOKUP(B111,country_opex,5,FALSE)</f>
        <v/>
      </c>
      <c r="AA111" s="49">
        <f>maint</f>
        <v/>
      </c>
      <c r="AB111" s="49">
        <f>VLOOKUP(B111,country_opex,7,FALSE)*ins_pct</f>
        <v/>
      </c>
      <c r="AC111" s="49">
        <f>charge_berth</f>
        <v/>
      </c>
      <c r="AD111" s="49">
        <f>X111+Y111+Z111+AA111+AB111+AC111</f>
        <v/>
      </c>
      <c r="AE111" s="49">
        <f>VLOOKUP(B111,country_opex,7,FALSE)/dep_years</f>
        <v/>
      </c>
      <c r="AF111" s="49">
        <f>W111-AD111</f>
        <v/>
      </c>
      <c r="AG111" s="46">
        <f>IF(W111=0,"",AF111/W111)</f>
        <v/>
      </c>
      <c r="AH111" s="47">
        <f>IF(AF111&lt;=0,"",VLOOKUP(B111,country_opex,7,FALSE)/AF111)</f>
        <v/>
      </c>
      <c r="AI111" s="44">
        <f>((G111*R111/diesel_nmpg)*diesel_co2pg-(battery/range_nm)*G111*R111*VLOOKUP(B111,country_opex,4,FALSE))/1000</f>
        <v/>
      </c>
      <c r="AJ111" s="42" t="n"/>
      <c r="AK111" s="43" t="n"/>
      <c r="AL111" s="43" t="n"/>
      <c r="AM111" s="50" t="n">
        <v>0.1</v>
      </c>
      <c r="AN111" s="45">
        <f>IF(AJ111="","",AJ111*AM111)</f>
        <v/>
      </c>
      <c r="AO111" s="45">
        <f>IF(OR(AJ111="",U111=0),"",MIN(IF(AV111="",9.9E+99,AV111),FLOOR(AN111/U111,1)))</f>
        <v/>
      </c>
      <c r="AP111" s="49">
        <f>IF(AO111="","",AO111*W111)</f>
        <v/>
      </c>
      <c r="AQ111" s="47">
        <f>IF(OR(AJ111="",U111=0),"",MIN(IF(AV111="",9.9E+99,AV111),AN111/U111))</f>
        <v/>
      </c>
      <c r="AR111" s="49">
        <f>IF(AQ111="","",AQ111*W111)</f>
        <v/>
      </c>
      <c r="AS111" s="51" t="n"/>
      <c r="AT111" s="52" t="n"/>
      <c r="AU111" s="52" t="n"/>
      <c r="AV111" s="53" t="n"/>
      <c r="AW111" s="54">
        <f>IF(((V111*pax_cap*load_thin*ROUND(N111*O111*revleg_thin,0))-(((battery/range_nm)*G111*ROUND(N111*O111*revleg_thin,0)*VLOOKUP(B111,country_opex,3,FALSE))+Y111+Z111+AA111+AB111+AC111))&lt;=0,"",VLOOKUP(B111,country_opex,7,FALSE)/((V111*pax_cap*load_thin*ROUND(N111*O111*revleg_thin,0))-(((battery/range_nm)*G111*ROUND(N111*O111*revleg_thin,0)*VLOOKUP(B111,country_opex,3,FALSE))+Y111+Z111+AA111+AB111+AC111)))</f>
        <v/>
      </c>
      <c r="AX111" s="54">
        <f>IF(((V111*pax_cap*load_mid*ROUND(N111*O111*revleg_mid,0))-(((battery/range_nm)*G111*ROUND(N111*O111*revleg_mid,0)*VLOOKUP(B111,country_opex,3,FALSE))+Y111+Z111+AA111+AB111+AC111))&lt;=0,"",VLOOKUP(B111,country_opex,7,FALSE)/((V111*pax_cap*load_mid*ROUND(N111*O111*revleg_mid,0))-(((battery/range_nm)*G111*ROUND(N111*O111*revleg_mid,0)*VLOOKUP(B111,country_opex,3,FALSE))+Y111+Z111+AA111+AB111+AC111)))</f>
        <v/>
      </c>
      <c r="AY111" s="54">
        <f>IF(((V111*pax_cap*load_full*ROUND(N111*O111*revleg_full,0))-(((battery/range_nm)*G111*ROUND(N111*O111*revleg_full,0)*VLOOKUP(B111,country_opex,3,FALSE))+Y111+Z111+AA111+AB111+AC111))&lt;=0,"",VLOOKUP(B111,country_opex,7,FALSE)/((V111*pax_cap*load_full*ROUND(N111*O111*revleg_full,0))-(((battery/range_nm)*G111*ROUND(N111*O111*revleg_full,0)*VLOOKUP(B111,country_opex,3,FALSE))+Y111+Z111+AA111+AB111+AC111)))</f>
        <v/>
      </c>
      <c r="AZ111" s="40" t="inlineStr">
        <is>
          <t>PREMIUM scheduled per-seat = Seajets/fast-ferry Mykonos-&gt;Paros ~EUR 50 one-way (range EUR 36-66; ~$54).</t>
        </is>
      </c>
      <c r="BA111" s="40" t="n"/>
    </row>
    <row r="112">
      <c r="A112" s="38" t="inlineStr">
        <is>
          <t>Bolt Greece</t>
        </is>
      </c>
      <c r="B112" s="38" t="inlineStr">
        <is>
          <t>Greece</t>
        </is>
      </c>
      <c r="C112" s="39" t="inlineStr">
        <is>
          <t>Rhodes → Marmaris (Turkey)</t>
        </is>
      </c>
      <c r="D112" s="38" t="inlineStr">
        <is>
          <t>bolt</t>
        </is>
      </c>
      <c r="E112" s="40" t="inlineStr">
        <is>
          <t>bolt-greece</t>
        </is>
      </c>
      <c r="F112" s="41" t="n">
        <v>1</v>
      </c>
      <c r="G112" s="42" t="n">
        <v>22</v>
      </c>
      <c r="H112" s="35" t="n"/>
      <c r="I112" s="43" t="n"/>
      <c r="J112" s="43" t="n"/>
      <c r="K112" s="29" t="n">
        <v>1</v>
      </c>
      <c r="L112" s="44">
        <f>60*G112/cruise_kt</f>
        <v/>
      </c>
      <c r="M112" s="44">
        <f>L112+turn_min+dwell_min</f>
        <v/>
      </c>
      <c r="N112" s="45">
        <f>MIN(10,FLOOR(60*service_hr/M112,1))</f>
        <v/>
      </c>
      <c r="O112" s="45">
        <f>ROUND(365*mech_uptime*K112,0)</f>
        <v/>
      </c>
      <c r="P112" s="46">
        <f>mech_uptime</f>
        <v/>
      </c>
      <c r="Q112" s="46">
        <f>revleg_sel</f>
        <v/>
      </c>
      <c r="R112" s="45">
        <f>ROUND(N112*O112*revleg_sel,0)</f>
        <v/>
      </c>
      <c r="S112" s="47">
        <f>load_sel</f>
        <v/>
      </c>
      <c r="T112" s="47">
        <f>pax_cap*S112</f>
        <v/>
      </c>
      <c r="U112" s="45">
        <f>T112*R112</f>
        <v/>
      </c>
      <c r="V112" s="48">
        <f>H112*discount</f>
        <v/>
      </c>
      <c r="W112" s="49">
        <f>V112*U112</f>
        <v/>
      </c>
      <c r="X112" s="49">
        <f>(battery/range_nm)*G112*R112*VLOOKUP(B112,country_opex,3,FALSE)</f>
        <v/>
      </c>
      <c r="Y112" s="49">
        <f>VLOOKUP(B112,country_opex,2,FALSE)*crew_factor</f>
        <v/>
      </c>
      <c r="Z112" s="49">
        <f>VLOOKUP(B112,country_opex,5,FALSE)</f>
        <v/>
      </c>
      <c r="AA112" s="49">
        <f>maint</f>
        <v/>
      </c>
      <c r="AB112" s="49">
        <f>VLOOKUP(B112,country_opex,7,FALSE)*ins_pct</f>
        <v/>
      </c>
      <c r="AC112" s="49">
        <f>charge_berth</f>
        <v/>
      </c>
      <c r="AD112" s="49">
        <f>X112+Y112+Z112+AA112+AB112+AC112</f>
        <v/>
      </c>
      <c r="AE112" s="49">
        <f>VLOOKUP(B112,country_opex,7,FALSE)/dep_years</f>
        <v/>
      </c>
      <c r="AF112" s="49">
        <f>W112-AD112</f>
        <v/>
      </c>
      <c r="AG112" s="46">
        <f>IF(W112=0,"",AF112/W112)</f>
        <v/>
      </c>
      <c r="AH112" s="47">
        <f>IF(AF112&lt;=0,"",VLOOKUP(B112,country_opex,7,FALSE)/AF112)</f>
        <v/>
      </c>
      <c r="AI112" s="44">
        <f>((G112*R112/diesel_nmpg)*diesel_co2pg-(battery/range_nm)*G112*R112*VLOOKUP(B112,country_opex,4,FALSE))/1000</f>
        <v/>
      </c>
      <c r="AJ112" s="42" t="n"/>
      <c r="AK112" s="43" t="n"/>
      <c r="AL112" s="43" t="n"/>
      <c r="AM112" s="50" t="n">
        <v>0.1</v>
      </c>
      <c r="AN112" s="45">
        <f>IF(AJ112="","",AJ112*AM112)</f>
        <v/>
      </c>
      <c r="AO112" s="45">
        <f>IF(OR(AJ112="",U112=0),"",MIN(IF(AV112="",9.9E+99,AV112),FLOOR(AN112/U112,1)))</f>
        <v/>
      </c>
      <c r="AP112" s="49">
        <f>IF(AO112="","",AO112*W112)</f>
        <v/>
      </c>
      <c r="AQ112" s="47">
        <f>IF(OR(AJ112="",U112=0),"",MIN(IF(AV112="",9.9E+99,AV112),AN112/U112))</f>
        <v/>
      </c>
      <c r="AR112" s="49">
        <f>IF(AQ112="","",AQ112*W112)</f>
        <v/>
      </c>
      <c r="AS112" s="51" t="n"/>
      <c r="AT112" s="52" t="n"/>
      <c r="AU112" s="52" t="n"/>
      <c r="AV112" s="53" t="n"/>
      <c r="AW112" s="54">
        <f>IF(((V112*pax_cap*load_thin*ROUND(N112*O112*revleg_thin,0))-(((battery/range_nm)*G112*ROUND(N112*O112*revleg_thin,0)*VLOOKUP(B112,country_opex,3,FALSE))+Y112+Z112+AA112+AB112+AC112))&lt;=0,"",VLOOKUP(B112,country_opex,7,FALSE)/((V112*pax_cap*load_thin*ROUND(N112*O112*revleg_thin,0))-(((battery/range_nm)*G112*ROUND(N112*O112*revleg_thin,0)*VLOOKUP(B112,country_opex,3,FALSE))+Y112+Z112+AA112+AB112+AC112)))</f>
        <v/>
      </c>
      <c r="AX112" s="54">
        <f>IF(((V112*pax_cap*load_mid*ROUND(N112*O112*revleg_mid,0))-(((battery/range_nm)*G112*ROUND(N112*O112*revleg_mid,0)*VLOOKUP(B112,country_opex,3,FALSE))+Y112+Z112+AA112+AB112+AC112))&lt;=0,"",VLOOKUP(B112,country_opex,7,FALSE)/((V112*pax_cap*load_mid*ROUND(N112*O112*revleg_mid,0))-(((battery/range_nm)*G112*ROUND(N112*O112*revleg_mid,0)*VLOOKUP(B112,country_opex,3,FALSE))+Y112+Z112+AA112+AB112+AC112)))</f>
        <v/>
      </c>
      <c r="AY112" s="54">
        <f>IF(((V112*pax_cap*load_full*ROUND(N112*O112*revleg_full,0))-(((battery/range_nm)*G112*ROUND(N112*O112*revleg_full,0)*VLOOKUP(B112,country_opex,3,FALSE))+Y112+Z112+AA112+AB112+AC112))&lt;=0,"",VLOOKUP(B112,country_opex,7,FALSE)/((V112*pax_cap*load_full*ROUND(N112*O112*revleg_full,0))-(((battery/range_nm)*G112*ROUND(N112*O112*revleg_full,0)*VLOOKUP(B112,country_opex,3,FALSE))+Y112+Z112+AA112+AB112+AC112)))</f>
        <v/>
      </c>
      <c r="AZ112" s="40" t="n"/>
      <c r="BA112" s="40" t="n"/>
    </row>
    <row r="113">
      <c r="A113" s="38" t="inlineStr">
        <is>
          <t>Bolt Greece</t>
        </is>
      </c>
      <c r="B113" s="38" t="inlineStr">
        <is>
          <t>Greece</t>
        </is>
      </c>
      <c r="C113" s="39" t="inlineStr">
        <is>
          <t>Athens (Piraeus) → Poros (Saronic)</t>
        </is>
      </c>
      <c r="D113" s="38" t="inlineStr">
        <is>
          <t>bolt</t>
        </is>
      </c>
      <c r="E113" s="40" t="inlineStr">
        <is>
          <t>bolt-greece</t>
        </is>
      </c>
      <c r="F113" s="41" t="n">
        <v>1</v>
      </c>
      <c r="G113" s="42" t="n">
        <v>27</v>
      </c>
      <c r="H113" s="35" t="n">
        <v>18.4</v>
      </c>
      <c r="I113" s="43" t="inlineStr">
        <is>
          <t>T2</t>
        </is>
      </c>
      <c r="J113" s="43" t="inlineStr">
        <is>
          <t>med</t>
        </is>
      </c>
      <c r="K113" s="29" t="n">
        <v>1</v>
      </c>
      <c r="L113" s="44">
        <f>60*G113/cruise_kt</f>
        <v/>
      </c>
      <c r="M113" s="44">
        <f>L113+turn_min+dwell_min</f>
        <v/>
      </c>
      <c r="N113" s="45">
        <f>MIN(10,FLOOR(60*service_hr/M113,1))</f>
        <v/>
      </c>
      <c r="O113" s="45">
        <f>ROUND(365*mech_uptime*K113,0)</f>
        <v/>
      </c>
      <c r="P113" s="46">
        <f>mech_uptime</f>
        <v/>
      </c>
      <c r="Q113" s="46">
        <f>revleg_sel</f>
        <v/>
      </c>
      <c r="R113" s="45">
        <f>ROUND(N113*O113*revleg_sel,0)</f>
        <v/>
      </c>
      <c r="S113" s="47">
        <f>load_sel</f>
        <v/>
      </c>
      <c r="T113" s="47">
        <f>pax_cap*S113</f>
        <v/>
      </c>
      <c r="U113" s="45">
        <f>T113*R113</f>
        <v/>
      </c>
      <c r="V113" s="48">
        <f>H113*discount</f>
        <v/>
      </c>
      <c r="W113" s="49">
        <f>V113*U113</f>
        <v/>
      </c>
      <c r="X113" s="49">
        <f>(battery/range_nm)*G113*R113*VLOOKUP(B113,country_opex,3,FALSE)</f>
        <v/>
      </c>
      <c r="Y113" s="49">
        <f>VLOOKUP(B113,country_opex,2,FALSE)*crew_factor</f>
        <v/>
      </c>
      <c r="Z113" s="49">
        <f>VLOOKUP(B113,country_opex,5,FALSE)</f>
        <v/>
      </c>
      <c r="AA113" s="49">
        <f>maint</f>
        <v/>
      </c>
      <c r="AB113" s="49">
        <f>VLOOKUP(B113,country_opex,7,FALSE)*ins_pct</f>
        <v/>
      </c>
      <c r="AC113" s="49">
        <f>charge_berth</f>
        <v/>
      </c>
      <c r="AD113" s="49">
        <f>X113+Y113+Z113+AA113+AB113+AC113</f>
        <v/>
      </c>
      <c r="AE113" s="49">
        <f>VLOOKUP(B113,country_opex,7,FALSE)/dep_years</f>
        <v/>
      </c>
      <c r="AF113" s="49">
        <f>W113-AD113</f>
        <v/>
      </c>
      <c r="AG113" s="46">
        <f>IF(W113=0,"",AF113/W113)</f>
        <v/>
      </c>
      <c r="AH113" s="47">
        <f>IF(AF113&lt;=0,"",VLOOKUP(B113,country_opex,7,FALSE)/AF113)</f>
        <v/>
      </c>
      <c r="AI113" s="44">
        <f>((G113*R113/diesel_nmpg)*diesel_co2pg-(battery/range_nm)*G113*R113*VLOOKUP(B113,country_opex,4,FALSE))/1000</f>
        <v/>
      </c>
      <c r="AJ113" s="42" t="n"/>
      <c r="AK113" s="43" t="n"/>
      <c r="AL113" s="43" t="n"/>
      <c r="AM113" s="50" t="n">
        <v>0.1</v>
      </c>
      <c r="AN113" s="45">
        <f>IF(AJ113="","",AJ113*AM113)</f>
        <v/>
      </c>
      <c r="AO113" s="45">
        <f>IF(OR(AJ113="",U113=0),"",MIN(IF(AV113="",9.9E+99,AV113),FLOOR(AN113/U113,1)))</f>
        <v/>
      </c>
      <c r="AP113" s="49">
        <f>IF(AO113="","",AO113*W113)</f>
        <v/>
      </c>
      <c r="AQ113" s="47">
        <f>IF(OR(AJ113="",U113=0),"",MIN(IF(AV113="",9.9E+99,AV113),AN113/U113))</f>
        <v/>
      </c>
      <c r="AR113" s="49">
        <f>IF(AQ113="","",AQ113*W113)</f>
        <v/>
      </c>
      <c r="AS113" s="51" t="n"/>
      <c r="AT113" s="52" t="n"/>
      <c r="AU113" s="52" t="n"/>
      <c r="AV113" s="53" t="n"/>
      <c r="AW113" s="54">
        <f>IF(((V113*pax_cap*load_thin*ROUND(N113*O113*revleg_thin,0))-(((battery/range_nm)*G113*ROUND(N113*O113*revleg_thin,0)*VLOOKUP(B113,country_opex,3,FALSE))+Y113+Z113+AA113+AB113+AC113))&lt;=0,"",VLOOKUP(B113,country_opex,7,FALSE)/((V113*pax_cap*load_thin*ROUND(N113*O113*revleg_thin,0))-(((battery/range_nm)*G113*ROUND(N113*O113*revleg_thin,0)*VLOOKUP(B113,country_opex,3,FALSE))+Y113+Z113+AA113+AB113+AC113)))</f>
        <v/>
      </c>
      <c r="AX113" s="54">
        <f>IF(((V113*pax_cap*load_mid*ROUND(N113*O113*revleg_mid,0))-(((battery/range_nm)*G113*ROUND(N113*O113*revleg_mid,0)*VLOOKUP(B113,country_opex,3,FALSE))+Y113+Z113+AA113+AB113+AC113))&lt;=0,"",VLOOKUP(B113,country_opex,7,FALSE)/((V113*pax_cap*load_mid*ROUND(N113*O113*revleg_mid,0))-(((battery/range_nm)*G113*ROUND(N113*O113*revleg_mid,0)*VLOOKUP(B113,country_opex,3,FALSE))+Y113+Z113+AA113+AB113+AC113)))</f>
        <v/>
      </c>
      <c r="AY113" s="54">
        <f>IF(((V113*pax_cap*load_full*ROUND(N113*O113*revleg_full,0))-(((battery/range_nm)*G113*ROUND(N113*O113*revleg_full,0)*VLOOKUP(B113,country_opex,3,FALSE))+Y113+Z113+AA113+AB113+AC113))&lt;=0,"",VLOOKUP(B113,country_opex,7,FALSE)/((V113*pax_cap*load_full*ROUND(N113*O113*revleg_full,0))-(((battery/range_nm)*G113*ROUND(N113*O113*revleg_full,0)*VLOOKUP(B113,country_opex,3,FALSE))+Y113+Z113+AA113+AB113+AC113)))</f>
        <v/>
      </c>
      <c r="AZ113" s="40" t="inlineStr">
        <is>
          <t>PREMIUM scheduled per-seat = Hellenic Seaways fast craft Piraeus-&gt;Poros EUR 17.00 one-way (~$18.4).</t>
        </is>
      </c>
      <c r="BA113" s="40" t="n"/>
    </row>
    <row r="114">
      <c r="A114" s="38" t="inlineStr">
        <is>
          <t>Bolt Greece</t>
        </is>
      </c>
      <c r="B114" s="38" t="inlineStr">
        <is>
          <t>Greece</t>
        </is>
      </c>
      <c r="C114" s="39" t="inlineStr">
        <is>
          <t>Mykonos → Naxos</t>
        </is>
      </c>
      <c r="D114" s="38" t="inlineStr">
        <is>
          <t>bolt</t>
        </is>
      </c>
      <c r="E114" s="40" t="inlineStr">
        <is>
          <t>bolt-greece</t>
        </is>
      </c>
      <c r="F114" s="41" t="n">
        <v>1</v>
      </c>
      <c r="G114" s="42" t="n">
        <v>28</v>
      </c>
      <c r="H114" s="35" t="n">
        <v>54</v>
      </c>
      <c r="I114" s="43" t="inlineStr">
        <is>
          <t>T2</t>
        </is>
      </c>
      <c r="J114" s="43" t="inlineStr">
        <is>
          <t>med</t>
        </is>
      </c>
      <c r="K114" s="29" t="n">
        <v>1</v>
      </c>
      <c r="L114" s="44">
        <f>60*G114/cruise_kt</f>
        <v/>
      </c>
      <c r="M114" s="44">
        <f>L114+turn_min+dwell_min</f>
        <v/>
      </c>
      <c r="N114" s="45">
        <f>MIN(10,FLOOR(60*service_hr/M114,1))</f>
        <v/>
      </c>
      <c r="O114" s="45">
        <f>ROUND(365*mech_uptime*K114,0)</f>
        <v/>
      </c>
      <c r="P114" s="46">
        <f>mech_uptime</f>
        <v/>
      </c>
      <c r="Q114" s="46">
        <f>revleg_sel</f>
        <v/>
      </c>
      <c r="R114" s="45">
        <f>ROUND(N114*O114*revleg_sel,0)</f>
        <v/>
      </c>
      <c r="S114" s="47">
        <f>load_sel</f>
        <v/>
      </c>
      <c r="T114" s="47">
        <f>pax_cap*S114</f>
        <v/>
      </c>
      <c r="U114" s="45">
        <f>T114*R114</f>
        <v/>
      </c>
      <c r="V114" s="48">
        <f>H114*discount</f>
        <v/>
      </c>
      <c r="W114" s="49">
        <f>V114*U114</f>
        <v/>
      </c>
      <c r="X114" s="49">
        <f>(battery/range_nm)*G114*R114*VLOOKUP(B114,country_opex,3,FALSE)</f>
        <v/>
      </c>
      <c r="Y114" s="49">
        <f>VLOOKUP(B114,country_opex,2,FALSE)*crew_factor</f>
        <v/>
      </c>
      <c r="Z114" s="49">
        <f>VLOOKUP(B114,country_opex,5,FALSE)</f>
        <v/>
      </c>
      <c r="AA114" s="49">
        <f>maint</f>
        <v/>
      </c>
      <c r="AB114" s="49">
        <f>VLOOKUP(B114,country_opex,7,FALSE)*ins_pct</f>
        <v/>
      </c>
      <c r="AC114" s="49">
        <f>charge_berth</f>
        <v/>
      </c>
      <c r="AD114" s="49">
        <f>X114+Y114+Z114+AA114+AB114+AC114</f>
        <v/>
      </c>
      <c r="AE114" s="49">
        <f>VLOOKUP(B114,country_opex,7,FALSE)/dep_years</f>
        <v/>
      </c>
      <c r="AF114" s="49">
        <f>W114-AD114</f>
        <v/>
      </c>
      <c r="AG114" s="46">
        <f>IF(W114=0,"",AF114/W114)</f>
        <v/>
      </c>
      <c r="AH114" s="47">
        <f>IF(AF114&lt;=0,"",VLOOKUP(B114,country_opex,7,FALSE)/AF114)</f>
        <v/>
      </c>
      <c r="AI114" s="44">
        <f>((G114*R114/diesel_nmpg)*diesel_co2pg-(battery/range_nm)*G114*R114*VLOOKUP(B114,country_opex,4,FALSE))/1000</f>
        <v/>
      </c>
      <c r="AJ114" s="42" t="n"/>
      <c r="AK114" s="43" t="n"/>
      <c r="AL114" s="43" t="n"/>
      <c r="AM114" s="50" t="n">
        <v>0.1</v>
      </c>
      <c r="AN114" s="45">
        <f>IF(AJ114="","",AJ114*AM114)</f>
        <v/>
      </c>
      <c r="AO114" s="45">
        <f>IF(OR(AJ114="",U114=0),"",MIN(IF(AV114="",9.9E+99,AV114),FLOOR(AN114/U114,1)))</f>
        <v/>
      </c>
      <c r="AP114" s="49">
        <f>IF(AO114="","",AO114*W114)</f>
        <v/>
      </c>
      <c r="AQ114" s="47">
        <f>IF(OR(AJ114="",U114=0),"",MIN(IF(AV114="",9.9E+99,AV114),AN114/U114))</f>
        <v/>
      </c>
      <c r="AR114" s="49">
        <f>IF(AQ114="","",AQ114*W114)</f>
        <v/>
      </c>
      <c r="AS114" s="51" t="n"/>
      <c r="AT114" s="52" t="n"/>
      <c r="AU114" s="52" t="n"/>
      <c r="AV114" s="53" t="n"/>
      <c r="AW114" s="54">
        <f>IF(((V114*pax_cap*load_thin*ROUND(N114*O114*revleg_thin,0))-(((battery/range_nm)*G114*ROUND(N114*O114*revleg_thin,0)*VLOOKUP(B114,country_opex,3,FALSE))+Y114+Z114+AA114+AB114+AC114))&lt;=0,"",VLOOKUP(B114,country_opex,7,FALSE)/((V114*pax_cap*load_thin*ROUND(N114*O114*revleg_thin,0))-(((battery/range_nm)*G114*ROUND(N114*O114*revleg_thin,0)*VLOOKUP(B114,country_opex,3,FALSE))+Y114+Z114+AA114+AB114+AC114)))</f>
        <v/>
      </c>
      <c r="AX114" s="54">
        <f>IF(((V114*pax_cap*load_mid*ROUND(N114*O114*revleg_mid,0))-(((battery/range_nm)*G114*ROUND(N114*O114*revleg_mid,0)*VLOOKUP(B114,country_opex,3,FALSE))+Y114+Z114+AA114+AB114+AC114))&lt;=0,"",VLOOKUP(B114,country_opex,7,FALSE)/((V114*pax_cap*load_mid*ROUND(N114*O114*revleg_mid,0))-(((battery/range_nm)*G114*ROUND(N114*O114*revleg_mid,0)*VLOOKUP(B114,country_opex,3,FALSE))+Y114+Z114+AA114+AB114+AC114)))</f>
        <v/>
      </c>
      <c r="AY114" s="54">
        <f>IF(((V114*pax_cap*load_full*ROUND(N114*O114*revleg_full,0))-(((battery/range_nm)*G114*ROUND(N114*O114*revleg_full,0)*VLOOKUP(B114,country_opex,3,FALSE))+Y114+Z114+AA114+AB114+AC114))&lt;=0,"",VLOOKUP(B114,country_opex,7,FALSE)/((V114*pax_cap*load_full*ROUND(N114*O114*revleg_full,0))-(((battery/range_nm)*G114*ROUND(N114*O114*revleg_full,0)*VLOOKUP(B114,country_opex,3,FALSE))+Y114+Z114+AA114+AB114+AC114)))</f>
        <v/>
      </c>
      <c r="AZ114" s="40" t="inlineStr">
        <is>
          <t>PREMIUM scheduled per-seat = Seajets/fast-ferry Mykonos-&gt;Naxos ~EUR 50 one-way (~$54), in line with the Mykonos-&gt;Paros tier (similar distance). Approximate.</t>
        </is>
      </c>
      <c r="BA114" s="40" t="n"/>
    </row>
    <row r="115">
      <c r="A115" s="38" t="inlineStr">
        <is>
          <t>Bolt Greece</t>
        </is>
      </c>
      <c r="B115" s="38" t="inlineStr">
        <is>
          <t>Greece</t>
        </is>
      </c>
      <c r="C115" s="39" t="inlineStr">
        <is>
          <t>Athens → Hydra (Saronic)</t>
        </is>
      </c>
      <c r="D115" s="38" t="inlineStr">
        <is>
          <t>bolt</t>
        </is>
      </c>
      <c r="E115" s="40" t="inlineStr">
        <is>
          <t>bolt-greece</t>
        </is>
      </c>
      <c r="F115" s="41" t="n">
        <v>1</v>
      </c>
      <c r="G115" s="42" t="n">
        <v>30</v>
      </c>
      <c r="H115" s="35" t="n">
        <v>43.2</v>
      </c>
      <c r="I115" s="43" t="inlineStr">
        <is>
          <t>T2</t>
        </is>
      </c>
      <c r="J115" s="43" t="inlineStr">
        <is>
          <t>med</t>
        </is>
      </c>
      <c r="K115" s="29" t="n">
        <v>1</v>
      </c>
      <c r="L115" s="44">
        <f>60*G115/cruise_kt</f>
        <v/>
      </c>
      <c r="M115" s="44">
        <f>L115+turn_min+dwell_min</f>
        <v/>
      </c>
      <c r="N115" s="45">
        <f>MIN(10,FLOOR(60*service_hr/M115,1))</f>
        <v/>
      </c>
      <c r="O115" s="45">
        <f>ROUND(365*mech_uptime*K115,0)</f>
        <v/>
      </c>
      <c r="P115" s="46">
        <f>mech_uptime</f>
        <v/>
      </c>
      <c r="Q115" s="46">
        <f>revleg_sel</f>
        <v/>
      </c>
      <c r="R115" s="45">
        <f>ROUND(N115*O115*revleg_sel,0)</f>
        <v/>
      </c>
      <c r="S115" s="47">
        <f>load_sel</f>
        <v/>
      </c>
      <c r="T115" s="47">
        <f>pax_cap*S115</f>
        <v/>
      </c>
      <c r="U115" s="45">
        <f>T115*R115</f>
        <v/>
      </c>
      <c r="V115" s="48">
        <f>H115*discount</f>
        <v/>
      </c>
      <c r="W115" s="49">
        <f>V115*U115</f>
        <v/>
      </c>
      <c r="X115" s="49">
        <f>(battery/range_nm)*G115*R115*VLOOKUP(B115,country_opex,3,FALSE)</f>
        <v/>
      </c>
      <c r="Y115" s="49">
        <f>VLOOKUP(B115,country_opex,2,FALSE)*crew_factor</f>
        <v/>
      </c>
      <c r="Z115" s="49">
        <f>VLOOKUP(B115,country_opex,5,FALSE)</f>
        <v/>
      </c>
      <c r="AA115" s="49">
        <f>maint</f>
        <v/>
      </c>
      <c r="AB115" s="49">
        <f>VLOOKUP(B115,country_opex,7,FALSE)*ins_pct</f>
        <v/>
      </c>
      <c r="AC115" s="49">
        <f>charge_berth</f>
        <v/>
      </c>
      <c r="AD115" s="49">
        <f>X115+Y115+Z115+AA115+AB115+AC115</f>
        <v/>
      </c>
      <c r="AE115" s="49">
        <f>VLOOKUP(B115,country_opex,7,FALSE)/dep_years</f>
        <v/>
      </c>
      <c r="AF115" s="49">
        <f>W115-AD115</f>
        <v/>
      </c>
      <c r="AG115" s="46">
        <f>IF(W115=0,"",AF115/W115)</f>
        <v/>
      </c>
      <c r="AH115" s="47">
        <f>IF(AF115&lt;=0,"",VLOOKUP(B115,country_opex,7,FALSE)/AF115)</f>
        <v/>
      </c>
      <c r="AI115" s="44">
        <f>((G115*R115/diesel_nmpg)*diesel_co2pg-(battery/range_nm)*G115*R115*VLOOKUP(B115,country_opex,4,FALSE))/1000</f>
        <v/>
      </c>
      <c r="AJ115" s="42" t="n"/>
      <c r="AK115" s="43" t="inlineStr">
        <is>
          <t>T5</t>
        </is>
      </c>
      <c r="AL115" s="43" t="inlineStr">
        <is>
          <t>low</t>
        </is>
      </c>
      <c r="AM115" s="50" t="n">
        <v>0.1</v>
      </c>
      <c r="AN115" s="45">
        <f>IF(AJ115="","",AJ115*AM115)</f>
        <v/>
      </c>
      <c r="AO115" s="45">
        <f>IF(OR(AJ115="",U115=0),"",MIN(IF(AV115="",9.9E+99,AV115),FLOOR(AN115/U115,1)))</f>
        <v/>
      </c>
      <c r="AP115" s="49">
        <f>IF(AO115="","",AO115*W115)</f>
        <v/>
      </c>
      <c r="AQ115" s="47">
        <f>IF(OR(AJ115="",U115=0),"",MIN(IF(AV115="",9.9E+99,AV115),AN115/U115))</f>
        <v/>
      </c>
      <c r="AR115" s="49">
        <f>IF(AQ115="","",AQ115*W115)</f>
        <v/>
      </c>
      <c r="AS115" s="51" t="n"/>
      <c r="AT115" s="52" t="n"/>
      <c r="AU115" s="52" t="n"/>
      <c r="AV115" s="53" t="n"/>
      <c r="AW115" s="54">
        <f>IF(((V115*pax_cap*load_thin*ROUND(N115*O115*revleg_thin,0))-(((battery/range_nm)*G115*ROUND(N115*O115*revleg_thin,0)*VLOOKUP(B115,country_opex,3,FALSE))+Y115+Z115+AA115+AB115+AC115))&lt;=0,"",VLOOKUP(B115,country_opex,7,FALSE)/((V115*pax_cap*load_thin*ROUND(N115*O115*revleg_thin,0))-(((battery/range_nm)*G115*ROUND(N115*O115*revleg_thin,0)*VLOOKUP(B115,country_opex,3,FALSE))+Y115+Z115+AA115+AB115+AC115)))</f>
        <v/>
      </c>
      <c r="AX115" s="54">
        <f>IF(((V115*pax_cap*load_mid*ROUND(N115*O115*revleg_mid,0))-(((battery/range_nm)*G115*ROUND(N115*O115*revleg_mid,0)*VLOOKUP(B115,country_opex,3,FALSE))+Y115+Z115+AA115+AB115+AC115))&lt;=0,"",VLOOKUP(B115,country_opex,7,FALSE)/((V115*pax_cap*load_mid*ROUND(N115*O115*revleg_mid,0))-(((battery/range_nm)*G115*ROUND(N115*O115*revleg_mid,0)*VLOOKUP(B115,country_opex,3,FALSE))+Y115+Z115+AA115+AB115+AC115)))</f>
        <v/>
      </c>
      <c r="AY115" s="54">
        <f>IF(((V115*pax_cap*load_full*ROUND(N115*O115*revleg_full,0))-(((battery/range_nm)*G115*ROUND(N115*O115*revleg_full,0)*VLOOKUP(B115,country_opex,3,FALSE))+Y115+Z115+AA115+AB115+AC115))&lt;=0,"",VLOOKUP(B115,country_opex,7,FALSE)/((V115*pax_cap*load_full*ROUND(N115*O115*revleg_full,0))-(((battery/range_nm)*G115*ROUND(N115*O115*revleg_full,0)*VLOOKUP(B115,country_opex,3,FALSE))+Y115+Z115+AA115+AB115+AC115)))</f>
        <v/>
      </c>
      <c r="AZ115" s="40" t="inlineStr">
        <is>
          <t>PREMIUM scheduled per-seat = Hellenic Seaways high-speed catamaran (Flying Cat) Piraeus-&gt;Hydra EUR 40 each way (~$43.2). Hydra has NO slow car-ferry (no cars), so the fast-ferry ticket IS the premium scheduled tier and the correct Navier modeling fare.</t>
        </is>
      </c>
      <c r="BA115" s="40" t="n"/>
    </row>
    <row r="116">
      <c r="A116" s="38" t="inlineStr">
        <is>
          <t>Bolt Greece</t>
        </is>
      </c>
      <c r="B116" s="38" t="inlineStr">
        <is>
          <t>Greece</t>
        </is>
      </c>
      <c r="C116" s="39" t="inlineStr">
        <is>
          <t>Athens (Piraeus) → Spetses (Saronic)</t>
        </is>
      </c>
      <c r="D116" s="38" t="inlineStr">
        <is>
          <t>bolt</t>
        </is>
      </c>
      <c r="E116" s="40" t="inlineStr">
        <is>
          <t>bolt-greece</t>
        </is>
      </c>
      <c r="F116" s="41" t="n">
        <v>1</v>
      </c>
      <c r="G116" s="42" t="n">
        <v>50</v>
      </c>
      <c r="H116" s="35" t="n">
        <v>37.8</v>
      </c>
      <c r="I116" s="43" t="inlineStr">
        <is>
          <t>T2</t>
        </is>
      </c>
      <c r="J116" s="43" t="inlineStr">
        <is>
          <t>med</t>
        </is>
      </c>
      <c r="K116" s="29" t="n">
        <v>1</v>
      </c>
      <c r="L116" s="44">
        <f>60*G116/cruise_kt</f>
        <v/>
      </c>
      <c r="M116" s="44">
        <f>L116+turn_min+dwell_min</f>
        <v/>
      </c>
      <c r="N116" s="45">
        <f>MIN(10,FLOOR(60*service_hr/M116,1))</f>
        <v/>
      </c>
      <c r="O116" s="45">
        <f>ROUND(365*mech_uptime*K116,0)</f>
        <v/>
      </c>
      <c r="P116" s="46">
        <f>mech_uptime</f>
        <v/>
      </c>
      <c r="Q116" s="46">
        <f>revleg_sel</f>
        <v/>
      </c>
      <c r="R116" s="45">
        <f>ROUND(N116*O116*revleg_sel,0)</f>
        <v/>
      </c>
      <c r="S116" s="47">
        <f>load_sel</f>
        <v/>
      </c>
      <c r="T116" s="47">
        <f>pax_cap*S116</f>
        <v/>
      </c>
      <c r="U116" s="45">
        <f>T116*R116</f>
        <v/>
      </c>
      <c r="V116" s="48">
        <f>H116*discount</f>
        <v/>
      </c>
      <c r="W116" s="49">
        <f>V116*U116</f>
        <v/>
      </c>
      <c r="X116" s="49">
        <f>(battery/range_nm)*G116*R116*VLOOKUP(B116,country_opex,3,FALSE)</f>
        <v/>
      </c>
      <c r="Y116" s="49">
        <f>VLOOKUP(B116,country_opex,2,FALSE)*crew_factor</f>
        <v/>
      </c>
      <c r="Z116" s="49">
        <f>VLOOKUP(B116,country_opex,5,FALSE)</f>
        <v/>
      </c>
      <c r="AA116" s="49">
        <f>maint</f>
        <v/>
      </c>
      <c r="AB116" s="49">
        <f>VLOOKUP(B116,country_opex,7,FALSE)*ins_pct</f>
        <v/>
      </c>
      <c r="AC116" s="49">
        <f>charge_berth</f>
        <v/>
      </c>
      <c r="AD116" s="49">
        <f>X116+Y116+Z116+AA116+AB116+AC116</f>
        <v/>
      </c>
      <c r="AE116" s="49">
        <f>VLOOKUP(B116,country_opex,7,FALSE)/dep_years</f>
        <v/>
      </c>
      <c r="AF116" s="49">
        <f>W116-AD116</f>
        <v/>
      </c>
      <c r="AG116" s="46">
        <f>IF(W116=0,"",AF116/W116)</f>
        <v/>
      </c>
      <c r="AH116" s="47">
        <f>IF(AF116&lt;=0,"",VLOOKUP(B116,country_opex,7,FALSE)/AF116)</f>
        <v/>
      </c>
      <c r="AI116" s="44">
        <f>((G116*R116/diesel_nmpg)*diesel_co2pg-(battery/range_nm)*G116*R116*VLOOKUP(B116,country_opex,4,FALSE))/1000</f>
        <v/>
      </c>
      <c r="AJ116" s="42" t="n"/>
      <c r="AK116" s="43" t="n"/>
      <c r="AL116" s="43" t="n"/>
      <c r="AM116" s="50" t="n">
        <v>0.1</v>
      </c>
      <c r="AN116" s="45">
        <f>IF(AJ116="","",AJ116*AM116)</f>
        <v/>
      </c>
      <c r="AO116" s="45">
        <f>IF(OR(AJ116="",U116=0),"",MIN(IF(AV116="",9.9E+99,AV116),FLOOR(AN116/U116,1)))</f>
        <v/>
      </c>
      <c r="AP116" s="49">
        <f>IF(AO116="","",AO116*W116)</f>
        <v/>
      </c>
      <c r="AQ116" s="47">
        <f>IF(OR(AJ116="",U116=0),"",MIN(IF(AV116="",9.9E+99,AV116),AN116/U116))</f>
        <v/>
      </c>
      <c r="AR116" s="49">
        <f>IF(AQ116="","",AQ116*W116)</f>
        <v/>
      </c>
      <c r="AS116" s="51" t="n"/>
      <c r="AT116" s="52" t="n"/>
      <c r="AU116" s="52" t="n"/>
      <c r="AV116" s="53" t="n"/>
      <c r="AW116" s="54">
        <f>IF(((V116*pax_cap*load_thin*ROUND(N116*O116*revleg_thin,0))-(((battery/range_nm)*G116*ROUND(N116*O116*revleg_thin,0)*VLOOKUP(B116,country_opex,3,FALSE))+Y116+Z116+AA116+AB116+AC116))&lt;=0,"",VLOOKUP(B116,country_opex,7,FALSE)/((V116*pax_cap*load_thin*ROUND(N116*O116*revleg_thin,0))-(((battery/range_nm)*G116*ROUND(N116*O116*revleg_thin,0)*VLOOKUP(B116,country_opex,3,FALSE))+Y116+Z116+AA116+AB116+AC116)))</f>
        <v/>
      </c>
      <c r="AX116" s="54">
        <f>IF(((V116*pax_cap*load_mid*ROUND(N116*O116*revleg_mid,0))-(((battery/range_nm)*G116*ROUND(N116*O116*revleg_mid,0)*VLOOKUP(B116,country_opex,3,FALSE))+Y116+Z116+AA116+AB116+AC116))&lt;=0,"",VLOOKUP(B116,country_opex,7,FALSE)/((V116*pax_cap*load_mid*ROUND(N116*O116*revleg_mid,0))-(((battery/range_nm)*G116*ROUND(N116*O116*revleg_mid,0)*VLOOKUP(B116,country_opex,3,FALSE))+Y116+Z116+AA116+AB116+AC116)))</f>
        <v/>
      </c>
      <c r="AY116" s="54">
        <f>IF(((V116*pax_cap*load_full*ROUND(N116*O116*revleg_full,0))-(((battery/range_nm)*G116*ROUND(N116*O116*revleg_full,0)*VLOOKUP(B116,country_opex,3,FALSE))+Y116+Z116+AA116+AB116+AC116))&lt;=0,"",VLOOKUP(B116,country_opex,7,FALSE)/((V116*pax_cap*load_full*ROUND(N116*O116*revleg_full,0))-(((battery/range_nm)*G116*ROUND(N116*O116*revleg_full,0)*VLOOKUP(B116,country_opex,3,FALSE))+Y116+Z116+AA116+AB116+AC116)))</f>
        <v/>
      </c>
      <c r="AZ116" s="40" t="inlineStr">
        <is>
          <t>PREMIUM scheduled per-seat = Hellenic Seaways Flying Cat Piraeus-&gt;Spetses ~EUR 35 one-way (~$37.8); Spetses sits beyond Hydra (EUR 40) on the same Flying Cat line, so this is an approximate lower bound. Labeled approximate.</t>
        </is>
      </c>
      <c r="BA116" s="40" t="n"/>
    </row>
    <row r="117">
      <c r="A117" s="38" t="inlineStr">
        <is>
          <t>Bolt Greece</t>
        </is>
      </c>
      <c r="B117" s="38" t="inlineStr">
        <is>
          <t>Greece</t>
        </is>
      </c>
      <c r="C117" s="39" t="inlineStr">
        <is>
          <t>Naxos → Santorini (Thira)</t>
        </is>
      </c>
      <c r="D117" s="38" t="inlineStr">
        <is>
          <t>bolt</t>
        </is>
      </c>
      <c r="E117" s="40" t="inlineStr">
        <is>
          <t>bolt-greece</t>
        </is>
      </c>
      <c r="F117" s="41" t="n">
        <v>1</v>
      </c>
      <c r="G117" s="42" t="n">
        <v>50</v>
      </c>
      <c r="H117" s="35" t="n">
        <v>54</v>
      </c>
      <c r="I117" s="43" t="inlineStr">
        <is>
          <t>T2</t>
        </is>
      </c>
      <c r="J117" s="43" t="inlineStr">
        <is>
          <t>med</t>
        </is>
      </c>
      <c r="K117" s="29" t="n">
        <v>1</v>
      </c>
      <c r="L117" s="44">
        <f>60*G117/cruise_kt</f>
        <v/>
      </c>
      <c r="M117" s="44">
        <f>L117+turn_min+dwell_min</f>
        <v/>
      </c>
      <c r="N117" s="45">
        <f>MIN(10,FLOOR(60*service_hr/M117,1))</f>
        <v/>
      </c>
      <c r="O117" s="45">
        <f>ROUND(365*mech_uptime*K117,0)</f>
        <v/>
      </c>
      <c r="P117" s="46">
        <f>mech_uptime</f>
        <v/>
      </c>
      <c r="Q117" s="46">
        <f>revleg_sel</f>
        <v/>
      </c>
      <c r="R117" s="45">
        <f>ROUND(N117*O117*revleg_sel,0)</f>
        <v/>
      </c>
      <c r="S117" s="47">
        <f>load_sel</f>
        <v/>
      </c>
      <c r="T117" s="47">
        <f>pax_cap*S117</f>
        <v/>
      </c>
      <c r="U117" s="45">
        <f>T117*R117</f>
        <v/>
      </c>
      <c r="V117" s="48">
        <f>H117*discount</f>
        <v/>
      </c>
      <c r="W117" s="49">
        <f>V117*U117</f>
        <v/>
      </c>
      <c r="X117" s="49">
        <f>(battery/range_nm)*G117*R117*VLOOKUP(B117,country_opex,3,FALSE)</f>
        <v/>
      </c>
      <c r="Y117" s="49">
        <f>VLOOKUP(B117,country_opex,2,FALSE)*crew_factor</f>
        <v/>
      </c>
      <c r="Z117" s="49">
        <f>VLOOKUP(B117,country_opex,5,FALSE)</f>
        <v/>
      </c>
      <c r="AA117" s="49">
        <f>maint</f>
        <v/>
      </c>
      <c r="AB117" s="49">
        <f>VLOOKUP(B117,country_opex,7,FALSE)*ins_pct</f>
        <v/>
      </c>
      <c r="AC117" s="49">
        <f>charge_berth</f>
        <v/>
      </c>
      <c r="AD117" s="49">
        <f>X117+Y117+Z117+AA117+AB117+AC117</f>
        <v/>
      </c>
      <c r="AE117" s="49">
        <f>VLOOKUP(B117,country_opex,7,FALSE)/dep_years</f>
        <v/>
      </c>
      <c r="AF117" s="49">
        <f>W117-AD117</f>
        <v/>
      </c>
      <c r="AG117" s="46">
        <f>IF(W117=0,"",AF117/W117)</f>
        <v/>
      </c>
      <c r="AH117" s="47">
        <f>IF(AF117&lt;=0,"",VLOOKUP(B117,country_opex,7,FALSE)/AF117)</f>
        <v/>
      </c>
      <c r="AI117" s="44">
        <f>((G117*R117/diesel_nmpg)*diesel_co2pg-(battery/range_nm)*G117*R117*VLOOKUP(B117,country_opex,4,FALSE))/1000</f>
        <v/>
      </c>
      <c r="AJ117" s="42" t="n"/>
      <c r="AK117" s="43" t="n"/>
      <c r="AL117" s="43" t="n"/>
      <c r="AM117" s="50" t="n">
        <v>0.1</v>
      </c>
      <c r="AN117" s="45">
        <f>IF(AJ117="","",AJ117*AM117)</f>
        <v/>
      </c>
      <c r="AO117" s="45">
        <f>IF(OR(AJ117="",U117=0),"",MIN(IF(AV117="",9.9E+99,AV117),FLOOR(AN117/U117,1)))</f>
        <v/>
      </c>
      <c r="AP117" s="49">
        <f>IF(AO117="","",AO117*W117)</f>
        <v/>
      </c>
      <c r="AQ117" s="47">
        <f>IF(OR(AJ117="",U117=0),"",MIN(IF(AV117="",9.9E+99,AV117),AN117/U117))</f>
        <v/>
      </c>
      <c r="AR117" s="49">
        <f>IF(AQ117="","",AQ117*W117)</f>
        <v/>
      </c>
      <c r="AS117" s="51" t="n"/>
      <c r="AT117" s="52" t="n"/>
      <c r="AU117" s="52" t="n"/>
      <c r="AV117" s="53" t="n"/>
      <c r="AW117" s="54">
        <f>IF(((V117*pax_cap*load_thin*ROUND(N117*O117*revleg_thin,0))-(((battery/range_nm)*G117*ROUND(N117*O117*revleg_thin,0)*VLOOKUP(B117,country_opex,3,FALSE))+Y117+Z117+AA117+AB117+AC117))&lt;=0,"",VLOOKUP(B117,country_opex,7,FALSE)/((V117*pax_cap*load_thin*ROUND(N117*O117*revleg_thin,0))-(((battery/range_nm)*G117*ROUND(N117*O117*revleg_thin,0)*VLOOKUP(B117,country_opex,3,FALSE))+Y117+Z117+AA117+AB117+AC117)))</f>
        <v/>
      </c>
      <c r="AX117" s="54">
        <f>IF(((V117*pax_cap*load_mid*ROUND(N117*O117*revleg_mid,0))-(((battery/range_nm)*G117*ROUND(N117*O117*revleg_mid,0)*VLOOKUP(B117,country_opex,3,FALSE))+Y117+Z117+AA117+AB117+AC117))&lt;=0,"",VLOOKUP(B117,country_opex,7,FALSE)/((V117*pax_cap*load_mid*ROUND(N117*O117*revleg_mid,0))-(((battery/range_nm)*G117*ROUND(N117*O117*revleg_mid,0)*VLOOKUP(B117,country_opex,3,FALSE))+Y117+Z117+AA117+AB117+AC117)))</f>
        <v/>
      </c>
      <c r="AY117" s="54">
        <f>IF(((V117*pax_cap*load_full*ROUND(N117*O117*revleg_full,0))-(((battery/range_nm)*G117*ROUND(N117*O117*revleg_full,0)*VLOOKUP(B117,country_opex,3,FALSE))+Y117+Z117+AA117+AB117+AC117))&lt;=0,"",VLOOKUP(B117,country_opex,7,FALSE)/((V117*pax_cap*load_full*ROUND(N117*O117*revleg_full,0))-(((battery/range_nm)*G117*ROUND(N117*O117*revleg_full,0)*VLOOKUP(B117,country_opex,3,FALSE))+Y117+Z117+AA117+AB117+AC117)))</f>
        <v/>
      </c>
      <c r="AZ117" s="40" t="inlineStr">
        <is>
          <t>PREMIUM scheduled per-seat = fast-ferry Naxos-&gt;Santorini ~EUR 50 one-way (~$54); standard fast-ferry tier on the central-to-southern Cyclades leg. Approximate.</t>
        </is>
      </c>
      <c r="BA117" s="40" t="n"/>
    </row>
    <row r="118">
      <c r="A118" s="38" t="inlineStr">
        <is>
          <t>India Andaman Rapido</t>
        </is>
      </c>
      <c r="B118" s="38" t="inlineStr">
        <is>
          <t>India</t>
        </is>
      </c>
      <c r="C118" s="39" t="inlineStr">
        <is>
          <t>Middle Strait Jetty → Oralkatcha Jetty</t>
        </is>
      </c>
      <c r="D118" s="38" t="inlineStr">
        <is>
          <t>rapido</t>
        </is>
      </c>
      <c r="E118" s="40" t="inlineStr">
        <is>
          <t>india-andaman-ola, india-andaman-rapido</t>
        </is>
      </c>
      <c r="F118" s="41" t="n">
        <v>2</v>
      </c>
      <c r="G118" s="42" t="n">
        <v>0.7</v>
      </c>
      <c r="H118" s="35" t="n">
        <v>22</v>
      </c>
      <c r="I118" s="43" t="inlineStr">
        <is>
          <t>T3</t>
        </is>
      </c>
      <c r="J118" s="43" t="inlineStr">
        <is>
          <t>med-low</t>
        </is>
      </c>
      <c r="K118" s="29" t="n">
        <v>1</v>
      </c>
      <c r="L118" s="44">
        <f>60*G118/cruise_kt</f>
        <v/>
      </c>
      <c r="M118" s="44">
        <f>L118+turn_min+dwell_min</f>
        <v/>
      </c>
      <c r="N118" s="45">
        <f>MIN(10,FLOOR(60*service_hr/M118,1))</f>
        <v/>
      </c>
      <c r="O118" s="45">
        <f>ROUND(365*mech_uptime*K118,0)</f>
        <v/>
      </c>
      <c r="P118" s="46">
        <f>mech_uptime</f>
        <v/>
      </c>
      <c r="Q118" s="46">
        <f>revleg_sel</f>
        <v/>
      </c>
      <c r="R118" s="45">
        <f>ROUND(N118*O118*revleg_sel,0)</f>
        <v/>
      </c>
      <c r="S118" s="47">
        <f>load_sel</f>
        <v/>
      </c>
      <c r="T118" s="47">
        <f>pax_cap*S118</f>
        <v/>
      </c>
      <c r="U118" s="45">
        <f>T118*R118</f>
        <v/>
      </c>
      <c r="V118" s="48">
        <f>H118*discount</f>
        <v/>
      </c>
      <c r="W118" s="49">
        <f>V118*U118</f>
        <v/>
      </c>
      <c r="X118" s="49">
        <f>(battery/range_nm)*G118*R118*VLOOKUP(B118,country_opex,3,FALSE)</f>
        <v/>
      </c>
      <c r="Y118" s="49">
        <f>VLOOKUP(B118,country_opex,2,FALSE)*crew_factor</f>
        <v/>
      </c>
      <c r="Z118" s="49">
        <f>VLOOKUP(B118,country_opex,5,FALSE)</f>
        <v/>
      </c>
      <c r="AA118" s="49">
        <f>maint</f>
        <v/>
      </c>
      <c r="AB118" s="49">
        <f>VLOOKUP(B118,country_opex,7,FALSE)*ins_pct</f>
        <v/>
      </c>
      <c r="AC118" s="49">
        <f>charge_berth</f>
        <v/>
      </c>
      <c r="AD118" s="49">
        <f>X118+Y118+Z118+AA118+AB118+AC118</f>
        <v/>
      </c>
      <c r="AE118" s="49">
        <f>VLOOKUP(B118,country_opex,7,FALSE)/dep_years</f>
        <v/>
      </c>
      <c r="AF118" s="49">
        <f>W118-AD118</f>
        <v/>
      </c>
      <c r="AG118" s="46">
        <f>IF(W118=0,"",AF118/W118)</f>
        <v/>
      </c>
      <c r="AH118" s="47">
        <f>IF(AF118&lt;=0,"",VLOOKUP(B118,country_opex,7,FALSE)/AF118)</f>
        <v/>
      </c>
      <c r="AI118" s="44">
        <f>((G118*R118/diesel_nmpg)*diesel_co2pg-(battery/range_nm)*G118*R118*VLOOKUP(B118,country_opex,4,FALSE))/1000</f>
        <v/>
      </c>
      <c r="AJ118" s="42" t="n">
        <v>5000</v>
      </c>
      <c r="AK118" s="43" t="inlineStr">
        <is>
          <t>T3</t>
        </is>
      </c>
      <c r="AL118" s="43" t="inlineStr">
        <is>
          <t>med-low</t>
        </is>
      </c>
      <c r="AM118" s="50" t="n">
        <v>0.1</v>
      </c>
      <c r="AN118" s="45">
        <f>IF(AJ118="","",AJ118*AM118)</f>
        <v/>
      </c>
      <c r="AO118" s="45">
        <f>IF(OR(AJ118="",U118=0),"",MIN(IF(AV118="",9.9E+99,AV118),FLOOR(AN118/U118,1)))</f>
        <v/>
      </c>
      <c r="AP118" s="49">
        <f>IF(AO118="","",AO118*W118)</f>
        <v/>
      </c>
      <c r="AQ118" s="47">
        <f>IF(OR(AJ118="",U118=0),"",MIN(IF(AV118="",9.9E+99,AV118),AN118/U118))</f>
        <v/>
      </c>
      <c r="AR118" s="49">
        <f>IF(AQ118="","",AQ118*W118)</f>
        <v/>
      </c>
      <c r="AS118" s="51" t="n"/>
      <c r="AT118" s="52" t="n"/>
      <c r="AU118" s="52" t="n"/>
      <c r="AV118" s="53" t="n"/>
      <c r="AW118" s="54">
        <f>IF(((V118*pax_cap*load_thin*ROUND(N118*O118*revleg_thin,0))-(((battery/range_nm)*G118*ROUND(N118*O118*revleg_thin,0)*VLOOKUP(B118,country_opex,3,FALSE))+Y118+Z118+AA118+AB118+AC118))&lt;=0,"",VLOOKUP(B118,country_opex,7,FALSE)/((V118*pax_cap*load_thin*ROUND(N118*O118*revleg_thin,0))-(((battery/range_nm)*G118*ROUND(N118*O118*revleg_thin,0)*VLOOKUP(B118,country_opex,3,FALSE))+Y118+Z118+AA118+AB118+AC118)))</f>
        <v/>
      </c>
      <c r="AX118" s="54">
        <f>IF(((V118*pax_cap*load_mid*ROUND(N118*O118*revleg_mid,0))-(((battery/range_nm)*G118*ROUND(N118*O118*revleg_mid,0)*VLOOKUP(B118,country_opex,3,FALSE))+Y118+Z118+AA118+AB118+AC118))&lt;=0,"",VLOOKUP(B118,country_opex,7,FALSE)/((V118*pax_cap*load_mid*ROUND(N118*O118*revleg_mid,0))-(((battery/range_nm)*G118*ROUND(N118*O118*revleg_mid,0)*VLOOKUP(B118,country_opex,3,FALSE))+Y118+Z118+AA118+AB118+AC118)))</f>
        <v/>
      </c>
      <c r="AY118" s="54">
        <f>IF(((V118*pax_cap*load_full*ROUND(N118*O118*revleg_full,0))-(((battery/range_nm)*G118*ROUND(N118*O118*revleg_full,0)*VLOOKUP(B118,country_opex,3,FALSE))+Y118+Z118+AA118+AB118+AC118))&lt;=0,"",VLOOKUP(B118,country_opex,7,FALSE)/((V118*pax_cap*load_full*ROUND(N118*O118*revleg_full,0))-(((battery/range_nm)*G118*ROUND(N118*O118*revleg_full,0)*VLOOKUP(B118,country_opex,3,FALSE))+Y118+Z118+AA118+AB118+AC118)))</f>
        <v/>
      </c>
      <c r="AZ118" s="40" t="inlineStr">
        <is>
          <t>handoff/INDIA-ECONOMICS-SIDECAR-V0-2026-06-20.json (andaman)</t>
        </is>
      </c>
      <c r="BA118" s="40" t="inlineStr">
        <is>
          <t>handoff/INDIA-ECONOMICS-SIDECAR-V0-2026-06-20.json (andaman)</t>
        </is>
      </c>
    </row>
    <row r="119">
      <c r="A119" s="38" t="inlineStr">
        <is>
          <t>India Andaman Rapido</t>
        </is>
      </c>
      <c r="B119" s="38" t="inlineStr">
        <is>
          <t>India</t>
        </is>
      </c>
      <c r="C119" s="39" t="inlineStr">
        <is>
          <t>Junglighat Jetty → Port Blair</t>
        </is>
      </c>
      <c r="D119" s="38" t="inlineStr">
        <is>
          <t>rapido</t>
        </is>
      </c>
      <c r="E119" s="40" t="inlineStr">
        <is>
          <t>india-andaman-ola, india-andaman-rapido</t>
        </is>
      </c>
      <c r="F119" s="41" t="n">
        <v>2</v>
      </c>
      <c r="G119" s="42" t="n">
        <v>0.8</v>
      </c>
      <c r="H119" s="35" t="n">
        <v>22</v>
      </c>
      <c r="I119" s="43" t="inlineStr">
        <is>
          <t>T3</t>
        </is>
      </c>
      <c r="J119" s="43" t="inlineStr">
        <is>
          <t>med-low</t>
        </is>
      </c>
      <c r="K119" s="29" t="n">
        <v>1</v>
      </c>
      <c r="L119" s="44">
        <f>60*G119/cruise_kt</f>
        <v/>
      </c>
      <c r="M119" s="44">
        <f>L119+turn_min+dwell_min</f>
        <v/>
      </c>
      <c r="N119" s="45">
        <f>MIN(10,FLOOR(60*service_hr/M119,1))</f>
        <v/>
      </c>
      <c r="O119" s="45">
        <f>ROUND(365*mech_uptime*K119,0)</f>
        <v/>
      </c>
      <c r="P119" s="46">
        <f>mech_uptime</f>
        <v/>
      </c>
      <c r="Q119" s="46">
        <f>revleg_sel</f>
        <v/>
      </c>
      <c r="R119" s="45">
        <f>ROUND(N119*O119*revleg_sel,0)</f>
        <v/>
      </c>
      <c r="S119" s="47">
        <f>load_sel</f>
        <v/>
      </c>
      <c r="T119" s="47">
        <f>pax_cap*S119</f>
        <v/>
      </c>
      <c r="U119" s="45">
        <f>T119*R119</f>
        <v/>
      </c>
      <c r="V119" s="48">
        <f>H119*discount</f>
        <v/>
      </c>
      <c r="W119" s="49">
        <f>V119*U119</f>
        <v/>
      </c>
      <c r="X119" s="49">
        <f>(battery/range_nm)*G119*R119*VLOOKUP(B119,country_opex,3,FALSE)</f>
        <v/>
      </c>
      <c r="Y119" s="49">
        <f>VLOOKUP(B119,country_opex,2,FALSE)*crew_factor</f>
        <v/>
      </c>
      <c r="Z119" s="49">
        <f>VLOOKUP(B119,country_opex,5,FALSE)</f>
        <v/>
      </c>
      <c r="AA119" s="49">
        <f>maint</f>
        <v/>
      </c>
      <c r="AB119" s="49">
        <f>VLOOKUP(B119,country_opex,7,FALSE)*ins_pct</f>
        <v/>
      </c>
      <c r="AC119" s="49">
        <f>charge_berth</f>
        <v/>
      </c>
      <c r="AD119" s="49">
        <f>X119+Y119+Z119+AA119+AB119+AC119</f>
        <v/>
      </c>
      <c r="AE119" s="49">
        <f>VLOOKUP(B119,country_opex,7,FALSE)/dep_years</f>
        <v/>
      </c>
      <c r="AF119" s="49">
        <f>W119-AD119</f>
        <v/>
      </c>
      <c r="AG119" s="46">
        <f>IF(W119=0,"",AF119/W119)</f>
        <v/>
      </c>
      <c r="AH119" s="47">
        <f>IF(AF119&lt;=0,"",VLOOKUP(B119,country_opex,7,FALSE)/AF119)</f>
        <v/>
      </c>
      <c r="AI119" s="44">
        <f>((G119*R119/diesel_nmpg)*diesel_co2pg-(battery/range_nm)*G119*R119*VLOOKUP(B119,country_opex,4,FALSE))/1000</f>
        <v/>
      </c>
      <c r="AJ119" s="42" t="n">
        <v>5000</v>
      </c>
      <c r="AK119" s="43" t="inlineStr">
        <is>
          <t>T3</t>
        </is>
      </c>
      <c r="AL119" s="43" t="inlineStr">
        <is>
          <t>med-low</t>
        </is>
      </c>
      <c r="AM119" s="50" t="n">
        <v>0.1</v>
      </c>
      <c r="AN119" s="45">
        <f>IF(AJ119="","",AJ119*AM119)</f>
        <v/>
      </c>
      <c r="AO119" s="45">
        <f>IF(OR(AJ119="",U119=0),"",MIN(IF(AV119="",9.9E+99,AV119),FLOOR(AN119/U119,1)))</f>
        <v/>
      </c>
      <c r="AP119" s="49">
        <f>IF(AO119="","",AO119*W119)</f>
        <v/>
      </c>
      <c r="AQ119" s="47">
        <f>IF(OR(AJ119="",U119=0),"",MIN(IF(AV119="",9.9E+99,AV119),AN119/U119))</f>
        <v/>
      </c>
      <c r="AR119" s="49">
        <f>IF(AQ119="","",AQ119*W119)</f>
        <v/>
      </c>
      <c r="AS119" s="51" t="n"/>
      <c r="AT119" s="52" t="n"/>
      <c r="AU119" s="52" t="n"/>
      <c r="AV119" s="53" t="n"/>
      <c r="AW119" s="54">
        <f>IF(((V119*pax_cap*load_thin*ROUND(N119*O119*revleg_thin,0))-(((battery/range_nm)*G119*ROUND(N119*O119*revleg_thin,0)*VLOOKUP(B119,country_opex,3,FALSE))+Y119+Z119+AA119+AB119+AC119))&lt;=0,"",VLOOKUP(B119,country_opex,7,FALSE)/((V119*pax_cap*load_thin*ROUND(N119*O119*revleg_thin,0))-(((battery/range_nm)*G119*ROUND(N119*O119*revleg_thin,0)*VLOOKUP(B119,country_opex,3,FALSE))+Y119+Z119+AA119+AB119+AC119)))</f>
        <v/>
      </c>
      <c r="AX119" s="54">
        <f>IF(((V119*pax_cap*load_mid*ROUND(N119*O119*revleg_mid,0))-(((battery/range_nm)*G119*ROUND(N119*O119*revleg_mid,0)*VLOOKUP(B119,country_opex,3,FALSE))+Y119+Z119+AA119+AB119+AC119))&lt;=0,"",VLOOKUP(B119,country_opex,7,FALSE)/((V119*pax_cap*load_mid*ROUND(N119*O119*revleg_mid,0))-(((battery/range_nm)*G119*ROUND(N119*O119*revleg_mid,0)*VLOOKUP(B119,country_opex,3,FALSE))+Y119+Z119+AA119+AB119+AC119)))</f>
        <v/>
      </c>
      <c r="AY119" s="54">
        <f>IF(((V119*pax_cap*load_full*ROUND(N119*O119*revleg_full,0))-(((battery/range_nm)*G119*ROUND(N119*O119*revleg_full,0)*VLOOKUP(B119,country_opex,3,FALSE))+Y119+Z119+AA119+AB119+AC119))&lt;=0,"",VLOOKUP(B119,country_opex,7,FALSE)/((V119*pax_cap*load_full*ROUND(N119*O119*revleg_full,0))-(((battery/range_nm)*G119*ROUND(N119*O119*revleg_full,0)*VLOOKUP(B119,country_opex,3,FALSE))+Y119+Z119+AA119+AB119+AC119)))</f>
        <v/>
      </c>
      <c r="AZ119" s="40" t="inlineStr">
        <is>
          <t>handoff/INDIA-ECONOMICS-SIDECAR-V0-2026-06-20.json (andaman)</t>
        </is>
      </c>
      <c r="BA119" s="40" t="inlineStr">
        <is>
          <t>handoff/INDIA-ECONOMICS-SIDECAR-V0-2026-06-20.json (andaman)</t>
        </is>
      </c>
    </row>
    <row r="120">
      <c r="A120" s="38" t="inlineStr">
        <is>
          <t>India Andaman Rapido</t>
        </is>
      </c>
      <c r="B120" s="38" t="inlineStr">
        <is>
          <t>India</t>
        </is>
      </c>
      <c r="C120" s="39" t="inlineStr">
        <is>
          <t>Marina Park → Aberdeen Jetty</t>
        </is>
      </c>
      <c r="D120" s="38" t="inlineStr">
        <is>
          <t>rapido</t>
        </is>
      </c>
      <c r="E120" s="40" t="inlineStr">
        <is>
          <t>india-andaman-ola, india-andaman-rapido</t>
        </is>
      </c>
      <c r="F120" s="41" t="n">
        <v>2</v>
      </c>
      <c r="G120" s="42" t="n">
        <v>0.9</v>
      </c>
      <c r="H120" s="35" t="n">
        <v>22</v>
      </c>
      <c r="I120" s="43" t="inlineStr">
        <is>
          <t>T3</t>
        </is>
      </c>
      <c r="J120" s="43" t="inlineStr">
        <is>
          <t>med-low</t>
        </is>
      </c>
      <c r="K120" s="29" t="n">
        <v>1</v>
      </c>
      <c r="L120" s="44">
        <f>60*G120/cruise_kt</f>
        <v/>
      </c>
      <c r="M120" s="44">
        <f>L120+turn_min+dwell_min</f>
        <v/>
      </c>
      <c r="N120" s="45">
        <f>MIN(10,FLOOR(60*service_hr/M120,1))</f>
        <v/>
      </c>
      <c r="O120" s="45">
        <f>ROUND(365*mech_uptime*K120,0)</f>
        <v/>
      </c>
      <c r="P120" s="46">
        <f>mech_uptime</f>
        <v/>
      </c>
      <c r="Q120" s="46">
        <f>revleg_sel</f>
        <v/>
      </c>
      <c r="R120" s="45">
        <f>ROUND(N120*O120*revleg_sel,0)</f>
        <v/>
      </c>
      <c r="S120" s="47">
        <f>load_sel</f>
        <v/>
      </c>
      <c r="T120" s="47">
        <f>pax_cap*S120</f>
        <v/>
      </c>
      <c r="U120" s="45">
        <f>T120*R120</f>
        <v/>
      </c>
      <c r="V120" s="48">
        <f>H120*discount</f>
        <v/>
      </c>
      <c r="W120" s="49">
        <f>V120*U120</f>
        <v/>
      </c>
      <c r="X120" s="49">
        <f>(battery/range_nm)*G120*R120*VLOOKUP(B120,country_opex,3,FALSE)</f>
        <v/>
      </c>
      <c r="Y120" s="49">
        <f>VLOOKUP(B120,country_opex,2,FALSE)*crew_factor</f>
        <v/>
      </c>
      <c r="Z120" s="49">
        <f>VLOOKUP(B120,country_opex,5,FALSE)</f>
        <v/>
      </c>
      <c r="AA120" s="49">
        <f>maint</f>
        <v/>
      </c>
      <c r="AB120" s="49">
        <f>VLOOKUP(B120,country_opex,7,FALSE)*ins_pct</f>
        <v/>
      </c>
      <c r="AC120" s="49">
        <f>charge_berth</f>
        <v/>
      </c>
      <c r="AD120" s="49">
        <f>X120+Y120+Z120+AA120+AB120+AC120</f>
        <v/>
      </c>
      <c r="AE120" s="49">
        <f>VLOOKUP(B120,country_opex,7,FALSE)/dep_years</f>
        <v/>
      </c>
      <c r="AF120" s="49">
        <f>W120-AD120</f>
        <v/>
      </c>
      <c r="AG120" s="46">
        <f>IF(W120=0,"",AF120/W120)</f>
        <v/>
      </c>
      <c r="AH120" s="47">
        <f>IF(AF120&lt;=0,"",VLOOKUP(B120,country_opex,7,FALSE)/AF120)</f>
        <v/>
      </c>
      <c r="AI120" s="44">
        <f>((G120*R120/diesel_nmpg)*diesel_co2pg-(battery/range_nm)*G120*R120*VLOOKUP(B120,country_opex,4,FALSE))/1000</f>
        <v/>
      </c>
      <c r="AJ120" s="42" t="n">
        <v>5000</v>
      </c>
      <c r="AK120" s="43" t="inlineStr">
        <is>
          <t>T3</t>
        </is>
      </c>
      <c r="AL120" s="43" t="inlineStr">
        <is>
          <t>med-low</t>
        </is>
      </c>
      <c r="AM120" s="50" t="n">
        <v>0.1</v>
      </c>
      <c r="AN120" s="45">
        <f>IF(AJ120="","",AJ120*AM120)</f>
        <v/>
      </c>
      <c r="AO120" s="45">
        <f>IF(OR(AJ120="",U120=0),"",MIN(IF(AV120="",9.9E+99,AV120),FLOOR(AN120/U120,1)))</f>
        <v/>
      </c>
      <c r="AP120" s="49">
        <f>IF(AO120="","",AO120*W120)</f>
        <v/>
      </c>
      <c r="AQ120" s="47">
        <f>IF(OR(AJ120="",U120=0),"",MIN(IF(AV120="",9.9E+99,AV120),AN120/U120))</f>
        <v/>
      </c>
      <c r="AR120" s="49">
        <f>IF(AQ120="","",AQ120*W120)</f>
        <v/>
      </c>
      <c r="AS120" s="51" t="n"/>
      <c r="AT120" s="52" t="n"/>
      <c r="AU120" s="52" t="n"/>
      <c r="AV120" s="53" t="n"/>
      <c r="AW120" s="54">
        <f>IF(((V120*pax_cap*load_thin*ROUND(N120*O120*revleg_thin,0))-(((battery/range_nm)*G120*ROUND(N120*O120*revleg_thin,0)*VLOOKUP(B120,country_opex,3,FALSE))+Y120+Z120+AA120+AB120+AC120))&lt;=0,"",VLOOKUP(B120,country_opex,7,FALSE)/((V120*pax_cap*load_thin*ROUND(N120*O120*revleg_thin,0))-(((battery/range_nm)*G120*ROUND(N120*O120*revleg_thin,0)*VLOOKUP(B120,country_opex,3,FALSE))+Y120+Z120+AA120+AB120+AC120)))</f>
        <v/>
      </c>
      <c r="AX120" s="54">
        <f>IF(((V120*pax_cap*load_mid*ROUND(N120*O120*revleg_mid,0))-(((battery/range_nm)*G120*ROUND(N120*O120*revleg_mid,0)*VLOOKUP(B120,country_opex,3,FALSE))+Y120+Z120+AA120+AB120+AC120))&lt;=0,"",VLOOKUP(B120,country_opex,7,FALSE)/((V120*pax_cap*load_mid*ROUND(N120*O120*revleg_mid,0))-(((battery/range_nm)*G120*ROUND(N120*O120*revleg_mid,0)*VLOOKUP(B120,country_opex,3,FALSE))+Y120+Z120+AA120+AB120+AC120)))</f>
        <v/>
      </c>
      <c r="AY120" s="54">
        <f>IF(((V120*pax_cap*load_full*ROUND(N120*O120*revleg_full,0))-(((battery/range_nm)*G120*ROUND(N120*O120*revleg_full,0)*VLOOKUP(B120,country_opex,3,FALSE))+Y120+Z120+AA120+AB120+AC120))&lt;=0,"",VLOOKUP(B120,country_opex,7,FALSE)/((V120*pax_cap*load_full*ROUND(N120*O120*revleg_full,0))-(((battery/range_nm)*G120*ROUND(N120*O120*revleg_full,0)*VLOOKUP(B120,country_opex,3,FALSE))+Y120+Z120+AA120+AB120+AC120)))</f>
        <v/>
      </c>
      <c r="AZ120" s="40" t="inlineStr">
        <is>
          <t>handoff/INDIA-ECONOMICS-SIDECAR-V0-2026-06-20.json (andaman)</t>
        </is>
      </c>
      <c r="BA120" s="40" t="inlineStr">
        <is>
          <t>handoff/INDIA-ECONOMICS-SIDECAR-V0-2026-06-20.json (andaman)</t>
        </is>
      </c>
    </row>
    <row r="121">
      <c r="A121" s="38" t="inlineStr">
        <is>
          <t>India Andaman Rapido</t>
        </is>
      </c>
      <c r="B121" s="38" t="inlineStr">
        <is>
          <t>India</t>
        </is>
      </c>
      <c r="C121" s="39" t="inlineStr">
        <is>
          <t>Marina View Point → Aberdeen Jetty</t>
        </is>
      </c>
      <c r="D121" s="38" t="inlineStr">
        <is>
          <t>rapido</t>
        </is>
      </c>
      <c r="E121" s="40" t="inlineStr">
        <is>
          <t>india-andaman-ola, india-andaman-rapido</t>
        </is>
      </c>
      <c r="F121" s="41" t="n">
        <v>2</v>
      </c>
      <c r="G121" s="42" t="n">
        <v>0.9</v>
      </c>
      <c r="H121" s="35" t="n">
        <v>22</v>
      </c>
      <c r="I121" s="43" t="inlineStr">
        <is>
          <t>T3</t>
        </is>
      </c>
      <c r="J121" s="43" t="inlineStr">
        <is>
          <t>med-low</t>
        </is>
      </c>
      <c r="K121" s="29" t="n">
        <v>1</v>
      </c>
      <c r="L121" s="44">
        <f>60*G121/cruise_kt</f>
        <v/>
      </c>
      <c r="M121" s="44">
        <f>L121+turn_min+dwell_min</f>
        <v/>
      </c>
      <c r="N121" s="45">
        <f>MIN(10,FLOOR(60*service_hr/M121,1))</f>
        <v/>
      </c>
      <c r="O121" s="45">
        <f>ROUND(365*mech_uptime*K121,0)</f>
        <v/>
      </c>
      <c r="P121" s="46">
        <f>mech_uptime</f>
        <v/>
      </c>
      <c r="Q121" s="46">
        <f>revleg_sel</f>
        <v/>
      </c>
      <c r="R121" s="45">
        <f>ROUND(N121*O121*revleg_sel,0)</f>
        <v/>
      </c>
      <c r="S121" s="47">
        <f>load_sel</f>
        <v/>
      </c>
      <c r="T121" s="47">
        <f>pax_cap*S121</f>
        <v/>
      </c>
      <c r="U121" s="45">
        <f>T121*R121</f>
        <v/>
      </c>
      <c r="V121" s="48">
        <f>H121*discount</f>
        <v/>
      </c>
      <c r="W121" s="49">
        <f>V121*U121</f>
        <v/>
      </c>
      <c r="X121" s="49">
        <f>(battery/range_nm)*G121*R121*VLOOKUP(B121,country_opex,3,FALSE)</f>
        <v/>
      </c>
      <c r="Y121" s="49">
        <f>VLOOKUP(B121,country_opex,2,FALSE)*crew_factor</f>
        <v/>
      </c>
      <c r="Z121" s="49">
        <f>VLOOKUP(B121,country_opex,5,FALSE)</f>
        <v/>
      </c>
      <c r="AA121" s="49">
        <f>maint</f>
        <v/>
      </c>
      <c r="AB121" s="49">
        <f>VLOOKUP(B121,country_opex,7,FALSE)*ins_pct</f>
        <v/>
      </c>
      <c r="AC121" s="49">
        <f>charge_berth</f>
        <v/>
      </c>
      <c r="AD121" s="49">
        <f>X121+Y121+Z121+AA121+AB121+AC121</f>
        <v/>
      </c>
      <c r="AE121" s="49">
        <f>VLOOKUP(B121,country_opex,7,FALSE)/dep_years</f>
        <v/>
      </c>
      <c r="AF121" s="49">
        <f>W121-AD121</f>
        <v/>
      </c>
      <c r="AG121" s="46">
        <f>IF(W121=0,"",AF121/W121)</f>
        <v/>
      </c>
      <c r="AH121" s="47">
        <f>IF(AF121&lt;=0,"",VLOOKUP(B121,country_opex,7,FALSE)/AF121)</f>
        <v/>
      </c>
      <c r="AI121" s="44">
        <f>((G121*R121/diesel_nmpg)*diesel_co2pg-(battery/range_nm)*G121*R121*VLOOKUP(B121,country_opex,4,FALSE))/1000</f>
        <v/>
      </c>
      <c r="AJ121" s="42" t="n">
        <v>5000</v>
      </c>
      <c r="AK121" s="43" t="inlineStr">
        <is>
          <t>T3</t>
        </is>
      </c>
      <c r="AL121" s="43" t="inlineStr">
        <is>
          <t>med-low</t>
        </is>
      </c>
      <c r="AM121" s="50" t="n">
        <v>0.1</v>
      </c>
      <c r="AN121" s="45">
        <f>IF(AJ121="","",AJ121*AM121)</f>
        <v/>
      </c>
      <c r="AO121" s="45">
        <f>IF(OR(AJ121="",U121=0),"",MIN(IF(AV121="",9.9E+99,AV121),FLOOR(AN121/U121,1)))</f>
        <v/>
      </c>
      <c r="AP121" s="49">
        <f>IF(AO121="","",AO121*W121)</f>
        <v/>
      </c>
      <c r="AQ121" s="47">
        <f>IF(OR(AJ121="",U121=0),"",MIN(IF(AV121="",9.9E+99,AV121),AN121/U121))</f>
        <v/>
      </c>
      <c r="AR121" s="49">
        <f>IF(AQ121="","",AQ121*W121)</f>
        <v/>
      </c>
      <c r="AS121" s="51" t="n"/>
      <c r="AT121" s="52" t="n"/>
      <c r="AU121" s="52" t="n"/>
      <c r="AV121" s="53" t="n"/>
      <c r="AW121" s="54">
        <f>IF(((V121*pax_cap*load_thin*ROUND(N121*O121*revleg_thin,0))-(((battery/range_nm)*G121*ROUND(N121*O121*revleg_thin,0)*VLOOKUP(B121,country_opex,3,FALSE))+Y121+Z121+AA121+AB121+AC121))&lt;=0,"",VLOOKUP(B121,country_opex,7,FALSE)/((V121*pax_cap*load_thin*ROUND(N121*O121*revleg_thin,0))-(((battery/range_nm)*G121*ROUND(N121*O121*revleg_thin,0)*VLOOKUP(B121,country_opex,3,FALSE))+Y121+Z121+AA121+AB121+AC121)))</f>
        <v/>
      </c>
      <c r="AX121" s="54">
        <f>IF(((V121*pax_cap*load_mid*ROUND(N121*O121*revleg_mid,0))-(((battery/range_nm)*G121*ROUND(N121*O121*revleg_mid,0)*VLOOKUP(B121,country_opex,3,FALSE))+Y121+Z121+AA121+AB121+AC121))&lt;=0,"",VLOOKUP(B121,country_opex,7,FALSE)/((V121*pax_cap*load_mid*ROUND(N121*O121*revleg_mid,0))-(((battery/range_nm)*G121*ROUND(N121*O121*revleg_mid,0)*VLOOKUP(B121,country_opex,3,FALSE))+Y121+Z121+AA121+AB121+AC121)))</f>
        <v/>
      </c>
      <c r="AY121" s="54">
        <f>IF(((V121*pax_cap*load_full*ROUND(N121*O121*revleg_full,0))-(((battery/range_nm)*G121*ROUND(N121*O121*revleg_full,0)*VLOOKUP(B121,country_opex,3,FALSE))+Y121+Z121+AA121+AB121+AC121))&lt;=0,"",VLOOKUP(B121,country_opex,7,FALSE)/((V121*pax_cap*load_full*ROUND(N121*O121*revleg_full,0))-(((battery/range_nm)*G121*ROUND(N121*O121*revleg_full,0)*VLOOKUP(B121,country_opex,3,FALSE))+Y121+Z121+AA121+AB121+AC121)))</f>
        <v/>
      </c>
      <c r="AZ121" s="40" t="inlineStr">
        <is>
          <t>handoff/INDIA-ECONOMICS-SIDECAR-V0-2026-06-20.json (andaman)</t>
        </is>
      </c>
      <c r="BA121" s="40" t="inlineStr">
        <is>
          <t>handoff/INDIA-ECONOMICS-SIDECAR-V0-2026-06-20.json (andaman)</t>
        </is>
      </c>
    </row>
    <row r="122">
      <c r="A122" s="38" t="inlineStr">
        <is>
          <t>India Andaman Rapido</t>
        </is>
      </c>
      <c r="B122" s="38" t="inlineStr">
        <is>
          <t>India</t>
        </is>
      </c>
      <c r="C122" s="39" t="inlineStr">
        <is>
          <t>APARUPA SANDS MARINA → Office Of Assistant Engineer Civil, Andaman Lakshdweep Harbour Work Havelock</t>
        </is>
      </c>
      <c r="D122" s="38" t="inlineStr">
        <is>
          <t>rapido</t>
        </is>
      </c>
      <c r="E122" s="40" t="inlineStr">
        <is>
          <t>india-andaman-ola, india-andaman-rapido</t>
        </is>
      </c>
      <c r="F122" s="41" t="n">
        <v>2</v>
      </c>
      <c r="G122" s="42" t="n">
        <v>1.2</v>
      </c>
      <c r="H122" s="35" t="n">
        <v>22</v>
      </c>
      <c r="I122" s="43" t="inlineStr">
        <is>
          <t>T3</t>
        </is>
      </c>
      <c r="J122" s="43" t="inlineStr">
        <is>
          <t>med-low</t>
        </is>
      </c>
      <c r="K122" s="29" t="n">
        <v>1</v>
      </c>
      <c r="L122" s="44">
        <f>60*G122/cruise_kt</f>
        <v/>
      </c>
      <c r="M122" s="44">
        <f>L122+turn_min+dwell_min</f>
        <v/>
      </c>
      <c r="N122" s="45">
        <f>MIN(10,FLOOR(60*service_hr/M122,1))</f>
        <v/>
      </c>
      <c r="O122" s="45">
        <f>ROUND(365*mech_uptime*K122,0)</f>
        <v/>
      </c>
      <c r="P122" s="46">
        <f>mech_uptime</f>
        <v/>
      </c>
      <c r="Q122" s="46">
        <f>revleg_sel</f>
        <v/>
      </c>
      <c r="R122" s="45">
        <f>ROUND(N122*O122*revleg_sel,0)</f>
        <v/>
      </c>
      <c r="S122" s="47">
        <f>load_sel</f>
        <v/>
      </c>
      <c r="T122" s="47">
        <f>pax_cap*S122</f>
        <v/>
      </c>
      <c r="U122" s="45">
        <f>T122*R122</f>
        <v/>
      </c>
      <c r="V122" s="48">
        <f>H122*discount</f>
        <v/>
      </c>
      <c r="W122" s="49">
        <f>V122*U122</f>
        <v/>
      </c>
      <c r="X122" s="49">
        <f>(battery/range_nm)*G122*R122*VLOOKUP(B122,country_opex,3,FALSE)</f>
        <v/>
      </c>
      <c r="Y122" s="49">
        <f>VLOOKUP(B122,country_opex,2,FALSE)*crew_factor</f>
        <v/>
      </c>
      <c r="Z122" s="49">
        <f>VLOOKUP(B122,country_opex,5,FALSE)</f>
        <v/>
      </c>
      <c r="AA122" s="49">
        <f>maint</f>
        <v/>
      </c>
      <c r="AB122" s="49">
        <f>VLOOKUP(B122,country_opex,7,FALSE)*ins_pct</f>
        <v/>
      </c>
      <c r="AC122" s="49">
        <f>charge_berth</f>
        <v/>
      </c>
      <c r="AD122" s="49">
        <f>X122+Y122+Z122+AA122+AB122+AC122</f>
        <v/>
      </c>
      <c r="AE122" s="49">
        <f>VLOOKUP(B122,country_opex,7,FALSE)/dep_years</f>
        <v/>
      </c>
      <c r="AF122" s="49">
        <f>W122-AD122</f>
        <v/>
      </c>
      <c r="AG122" s="46">
        <f>IF(W122=0,"",AF122/W122)</f>
        <v/>
      </c>
      <c r="AH122" s="47">
        <f>IF(AF122&lt;=0,"",VLOOKUP(B122,country_opex,7,FALSE)/AF122)</f>
        <v/>
      </c>
      <c r="AI122" s="44">
        <f>((G122*R122/diesel_nmpg)*diesel_co2pg-(battery/range_nm)*G122*R122*VLOOKUP(B122,country_opex,4,FALSE))/1000</f>
        <v/>
      </c>
      <c r="AJ122" s="42" t="n">
        <v>5000</v>
      </c>
      <c r="AK122" s="43" t="inlineStr">
        <is>
          <t>T3</t>
        </is>
      </c>
      <c r="AL122" s="43" t="inlineStr">
        <is>
          <t>med-low</t>
        </is>
      </c>
      <c r="AM122" s="50" t="n">
        <v>0.1</v>
      </c>
      <c r="AN122" s="45">
        <f>IF(AJ122="","",AJ122*AM122)</f>
        <v/>
      </c>
      <c r="AO122" s="45">
        <f>IF(OR(AJ122="",U122=0),"",MIN(IF(AV122="",9.9E+99,AV122),FLOOR(AN122/U122,1)))</f>
        <v/>
      </c>
      <c r="AP122" s="49">
        <f>IF(AO122="","",AO122*W122)</f>
        <v/>
      </c>
      <c r="AQ122" s="47">
        <f>IF(OR(AJ122="",U122=0),"",MIN(IF(AV122="",9.9E+99,AV122),AN122/U122))</f>
        <v/>
      </c>
      <c r="AR122" s="49">
        <f>IF(AQ122="","",AQ122*W122)</f>
        <v/>
      </c>
      <c r="AS122" s="51" t="n"/>
      <c r="AT122" s="52" t="n"/>
      <c r="AU122" s="52" t="n"/>
      <c r="AV122" s="53" t="n"/>
      <c r="AW122" s="54">
        <f>IF(((V122*pax_cap*load_thin*ROUND(N122*O122*revleg_thin,0))-(((battery/range_nm)*G122*ROUND(N122*O122*revleg_thin,0)*VLOOKUP(B122,country_opex,3,FALSE))+Y122+Z122+AA122+AB122+AC122))&lt;=0,"",VLOOKUP(B122,country_opex,7,FALSE)/((V122*pax_cap*load_thin*ROUND(N122*O122*revleg_thin,0))-(((battery/range_nm)*G122*ROUND(N122*O122*revleg_thin,0)*VLOOKUP(B122,country_opex,3,FALSE))+Y122+Z122+AA122+AB122+AC122)))</f>
        <v/>
      </c>
      <c r="AX122" s="54">
        <f>IF(((V122*pax_cap*load_mid*ROUND(N122*O122*revleg_mid,0))-(((battery/range_nm)*G122*ROUND(N122*O122*revleg_mid,0)*VLOOKUP(B122,country_opex,3,FALSE))+Y122+Z122+AA122+AB122+AC122))&lt;=0,"",VLOOKUP(B122,country_opex,7,FALSE)/((V122*pax_cap*load_mid*ROUND(N122*O122*revleg_mid,0))-(((battery/range_nm)*G122*ROUND(N122*O122*revleg_mid,0)*VLOOKUP(B122,country_opex,3,FALSE))+Y122+Z122+AA122+AB122+AC122)))</f>
        <v/>
      </c>
      <c r="AY122" s="54">
        <f>IF(((V122*pax_cap*load_full*ROUND(N122*O122*revleg_full,0))-(((battery/range_nm)*G122*ROUND(N122*O122*revleg_full,0)*VLOOKUP(B122,country_opex,3,FALSE))+Y122+Z122+AA122+AB122+AC122))&lt;=0,"",VLOOKUP(B122,country_opex,7,FALSE)/((V122*pax_cap*load_full*ROUND(N122*O122*revleg_full,0))-(((battery/range_nm)*G122*ROUND(N122*O122*revleg_full,0)*VLOOKUP(B122,country_opex,3,FALSE))+Y122+Z122+AA122+AB122+AC122)))</f>
        <v/>
      </c>
      <c r="AZ122" s="40" t="inlineStr">
        <is>
          <t>handoff/INDIA-ECONOMICS-SIDECAR-V0-2026-06-20.json (andaman)</t>
        </is>
      </c>
      <c r="BA122" s="40" t="inlineStr">
        <is>
          <t>handoff/INDIA-ECONOMICS-SIDECAR-V0-2026-06-20.json (andaman)</t>
        </is>
      </c>
    </row>
    <row r="123">
      <c r="A123" s="38" t="inlineStr">
        <is>
          <t>India Andaman Rapido</t>
        </is>
      </c>
      <c r="B123" s="38" t="inlineStr">
        <is>
          <t>India</t>
        </is>
      </c>
      <c r="C123" s="39" t="inlineStr">
        <is>
          <t>Marina Park → Marina View Point</t>
        </is>
      </c>
      <c r="D123" s="38" t="inlineStr">
        <is>
          <t>rapido</t>
        </is>
      </c>
      <c r="E123" s="40" t="inlineStr">
        <is>
          <t>india-andaman-ola, india-andaman-rapido</t>
        </is>
      </c>
      <c r="F123" s="41" t="n">
        <v>2</v>
      </c>
      <c r="G123" s="42" t="n">
        <v>1.4</v>
      </c>
      <c r="H123" s="35" t="n">
        <v>22</v>
      </c>
      <c r="I123" s="43" t="inlineStr">
        <is>
          <t>T3</t>
        </is>
      </c>
      <c r="J123" s="43" t="inlineStr">
        <is>
          <t>med-low</t>
        </is>
      </c>
      <c r="K123" s="29" t="n">
        <v>1</v>
      </c>
      <c r="L123" s="44">
        <f>60*G123/cruise_kt</f>
        <v/>
      </c>
      <c r="M123" s="44">
        <f>L123+turn_min+dwell_min</f>
        <v/>
      </c>
      <c r="N123" s="45">
        <f>MIN(10,FLOOR(60*service_hr/M123,1))</f>
        <v/>
      </c>
      <c r="O123" s="45">
        <f>ROUND(365*mech_uptime*K123,0)</f>
        <v/>
      </c>
      <c r="P123" s="46">
        <f>mech_uptime</f>
        <v/>
      </c>
      <c r="Q123" s="46">
        <f>revleg_sel</f>
        <v/>
      </c>
      <c r="R123" s="45">
        <f>ROUND(N123*O123*revleg_sel,0)</f>
        <v/>
      </c>
      <c r="S123" s="47">
        <f>load_sel</f>
        <v/>
      </c>
      <c r="T123" s="47">
        <f>pax_cap*S123</f>
        <v/>
      </c>
      <c r="U123" s="45">
        <f>T123*R123</f>
        <v/>
      </c>
      <c r="V123" s="48">
        <f>H123*discount</f>
        <v/>
      </c>
      <c r="W123" s="49">
        <f>V123*U123</f>
        <v/>
      </c>
      <c r="X123" s="49">
        <f>(battery/range_nm)*G123*R123*VLOOKUP(B123,country_opex,3,FALSE)</f>
        <v/>
      </c>
      <c r="Y123" s="49">
        <f>VLOOKUP(B123,country_opex,2,FALSE)*crew_factor</f>
        <v/>
      </c>
      <c r="Z123" s="49">
        <f>VLOOKUP(B123,country_opex,5,FALSE)</f>
        <v/>
      </c>
      <c r="AA123" s="49">
        <f>maint</f>
        <v/>
      </c>
      <c r="AB123" s="49">
        <f>VLOOKUP(B123,country_opex,7,FALSE)*ins_pct</f>
        <v/>
      </c>
      <c r="AC123" s="49">
        <f>charge_berth</f>
        <v/>
      </c>
      <c r="AD123" s="49">
        <f>X123+Y123+Z123+AA123+AB123+AC123</f>
        <v/>
      </c>
      <c r="AE123" s="49">
        <f>VLOOKUP(B123,country_opex,7,FALSE)/dep_years</f>
        <v/>
      </c>
      <c r="AF123" s="49">
        <f>W123-AD123</f>
        <v/>
      </c>
      <c r="AG123" s="46">
        <f>IF(W123=0,"",AF123/W123)</f>
        <v/>
      </c>
      <c r="AH123" s="47">
        <f>IF(AF123&lt;=0,"",VLOOKUP(B123,country_opex,7,FALSE)/AF123)</f>
        <v/>
      </c>
      <c r="AI123" s="44">
        <f>((G123*R123/diesel_nmpg)*diesel_co2pg-(battery/range_nm)*G123*R123*VLOOKUP(B123,country_opex,4,FALSE))/1000</f>
        <v/>
      </c>
      <c r="AJ123" s="42" t="n">
        <v>5000</v>
      </c>
      <c r="AK123" s="43" t="inlineStr">
        <is>
          <t>T3</t>
        </is>
      </c>
      <c r="AL123" s="43" t="inlineStr">
        <is>
          <t>med-low</t>
        </is>
      </c>
      <c r="AM123" s="50" t="n">
        <v>0.1</v>
      </c>
      <c r="AN123" s="45">
        <f>IF(AJ123="","",AJ123*AM123)</f>
        <v/>
      </c>
      <c r="AO123" s="45">
        <f>IF(OR(AJ123="",U123=0),"",MIN(IF(AV123="",9.9E+99,AV123),FLOOR(AN123/U123,1)))</f>
        <v/>
      </c>
      <c r="AP123" s="49">
        <f>IF(AO123="","",AO123*W123)</f>
        <v/>
      </c>
      <c r="AQ123" s="47">
        <f>IF(OR(AJ123="",U123=0),"",MIN(IF(AV123="",9.9E+99,AV123),AN123/U123))</f>
        <v/>
      </c>
      <c r="AR123" s="49">
        <f>IF(AQ123="","",AQ123*W123)</f>
        <v/>
      </c>
      <c r="AS123" s="51" t="n"/>
      <c r="AT123" s="52" t="n"/>
      <c r="AU123" s="52" t="n"/>
      <c r="AV123" s="53" t="n"/>
      <c r="AW123" s="54">
        <f>IF(((V123*pax_cap*load_thin*ROUND(N123*O123*revleg_thin,0))-(((battery/range_nm)*G123*ROUND(N123*O123*revleg_thin,0)*VLOOKUP(B123,country_opex,3,FALSE))+Y123+Z123+AA123+AB123+AC123))&lt;=0,"",VLOOKUP(B123,country_opex,7,FALSE)/((V123*pax_cap*load_thin*ROUND(N123*O123*revleg_thin,0))-(((battery/range_nm)*G123*ROUND(N123*O123*revleg_thin,0)*VLOOKUP(B123,country_opex,3,FALSE))+Y123+Z123+AA123+AB123+AC123)))</f>
        <v/>
      </c>
      <c r="AX123" s="54">
        <f>IF(((V123*pax_cap*load_mid*ROUND(N123*O123*revleg_mid,0))-(((battery/range_nm)*G123*ROUND(N123*O123*revleg_mid,0)*VLOOKUP(B123,country_opex,3,FALSE))+Y123+Z123+AA123+AB123+AC123))&lt;=0,"",VLOOKUP(B123,country_opex,7,FALSE)/((V123*pax_cap*load_mid*ROUND(N123*O123*revleg_mid,0))-(((battery/range_nm)*G123*ROUND(N123*O123*revleg_mid,0)*VLOOKUP(B123,country_opex,3,FALSE))+Y123+Z123+AA123+AB123+AC123)))</f>
        <v/>
      </c>
      <c r="AY123" s="54">
        <f>IF(((V123*pax_cap*load_full*ROUND(N123*O123*revleg_full,0))-(((battery/range_nm)*G123*ROUND(N123*O123*revleg_full,0)*VLOOKUP(B123,country_opex,3,FALSE))+Y123+Z123+AA123+AB123+AC123))&lt;=0,"",VLOOKUP(B123,country_opex,7,FALSE)/((V123*pax_cap*load_full*ROUND(N123*O123*revleg_full,0))-(((battery/range_nm)*G123*ROUND(N123*O123*revleg_full,0)*VLOOKUP(B123,country_opex,3,FALSE))+Y123+Z123+AA123+AB123+AC123)))</f>
        <v/>
      </c>
      <c r="AZ123" s="40" t="inlineStr">
        <is>
          <t>handoff/INDIA-ECONOMICS-SIDECAR-V0-2026-06-20.json (andaman)</t>
        </is>
      </c>
      <c r="BA123" s="40" t="inlineStr">
        <is>
          <t>handoff/INDIA-ECONOMICS-SIDECAR-V0-2026-06-20.json (andaman)</t>
        </is>
      </c>
    </row>
    <row r="124">
      <c r="A124" s="38" t="inlineStr">
        <is>
          <t>India Andaman Rapido</t>
        </is>
      </c>
      <c r="B124" s="38" t="inlineStr">
        <is>
          <t>India</t>
        </is>
      </c>
      <c r="C124" s="39" t="inlineStr">
        <is>
          <t>Game Fishing In Andaman | Bite Me Charter | Best Sport fishing in Andaman Islands → Port Blair</t>
        </is>
      </c>
      <c r="D124" s="38" t="inlineStr">
        <is>
          <t>rapido</t>
        </is>
      </c>
      <c r="E124" s="40" t="inlineStr">
        <is>
          <t>india-andaman-ola, india-andaman-rapido</t>
        </is>
      </c>
      <c r="F124" s="41" t="n">
        <v>2</v>
      </c>
      <c r="G124" s="42" t="n">
        <v>1.5</v>
      </c>
      <c r="H124" s="35" t="n">
        <v>22</v>
      </c>
      <c r="I124" s="43" t="inlineStr">
        <is>
          <t>T3</t>
        </is>
      </c>
      <c r="J124" s="43" t="inlineStr">
        <is>
          <t>med-low</t>
        </is>
      </c>
      <c r="K124" s="29" t="n">
        <v>1</v>
      </c>
      <c r="L124" s="44">
        <f>60*G124/cruise_kt</f>
        <v/>
      </c>
      <c r="M124" s="44">
        <f>L124+turn_min+dwell_min</f>
        <v/>
      </c>
      <c r="N124" s="45">
        <f>MIN(10,FLOOR(60*service_hr/M124,1))</f>
        <v/>
      </c>
      <c r="O124" s="45">
        <f>ROUND(365*mech_uptime*K124,0)</f>
        <v/>
      </c>
      <c r="P124" s="46">
        <f>mech_uptime</f>
        <v/>
      </c>
      <c r="Q124" s="46">
        <f>revleg_sel</f>
        <v/>
      </c>
      <c r="R124" s="45">
        <f>ROUND(N124*O124*revleg_sel,0)</f>
        <v/>
      </c>
      <c r="S124" s="47">
        <f>load_sel</f>
        <v/>
      </c>
      <c r="T124" s="47">
        <f>pax_cap*S124</f>
        <v/>
      </c>
      <c r="U124" s="45">
        <f>T124*R124</f>
        <v/>
      </c>
      <c r="V124" s="48">
        <f>H124*discount</f>
        <v/>
      </c>
      <c r="W124" s="49">
        <f>V124*U124</f>
        <v/>
      </c>
      <c r="X124" s="49">
        <f>(battery/range_nm)*G124*R124*VLOOKUP(B124,country_opex,3,FALSE)</f>
        <v/>
      </c>
      <c r="Y124" s="49">
        <f>VLOOKUP(B124,country_opex,2,FALSE)*crew_factor</f>
        <v/>
      </c>
      <c r="Z124" s="49">
        <f>VLOOKUP(B124,country_opex,5,FALSE)</f>
        <v/>
      </c>
      <c r="AA124" s="49">
        <f>maint</f>
        <v/>
      </c>
      <c r="AB124" s="49">
        <f>VLOOKUP(B124,country_opex,7,FALSE)*ins_pct</f>
        <v/>
      </c>
      <c r="AC124" s="49">
        <f>charge_berth</f>
        <v/>
      </c>
      <c r="AD124" s="49">
        <f>X124+Y124+Z124+AA124+AB124+AC124</f>
        <v/>
      </c>
      <c r="AE124" s="49">
        <f>VLOOKUP(B124,country_opex,7,FALSE)/dep_years</f>
        <v/>
      </c>
      <c r="AF124" s="49">
        <f>W124-AD124</f>
        <v/>
      </c>
      <c r="AG124" s="46">
        <f>IF(W124=0,"",AF124/W124)</f>
        <v/>
      </c>
      <c r="AH124" s="47">
        <f>IF(AF124&lt;=0,"",VLOOKUP(B124,country_opex,7,FALSE)/AF124)</f>
        <v/>
      </c>
      <c r="AI124" s="44">
        <f>((G124*R124/diesel_nmpg)*diesel_co2pg-(battery/range_nm)*G124*R124*VLOOKUP(B124,country_opex,4,FALSE))/1000</f>
        <v/>
      </c>
      <c r="AJ124" s="42" t="n">
        <v>5000</v>
      </c>
      <c r="AK124" s="43" t="inlineStr">
        <is>
          <t>T3</t>
        </is>
      </c>
      <c r="AL124" s="43" t="inlineStr">
        <is>
          <t>med-low</t>
        </is>
      </c>
      <c r="AM124" s="50" t="n">
        <v>0.1</v>
      </c>
      <c r="AN124" s="45">
        <f>IF(AJ124="","",AJ124*AM124)</f>
        <v/>
      </c>
      <c r="AO124" s="45">
        <f>IF(OR(AJ124="",U124=0),"",MIN(IF(AV124="",9.9E+99,AV124),FLOOR(AN124/U124,1)))</f>
        <v/>
      </c>
      <c r="AP124" s="49">
        <f>IF(AO124="","",AO124*W124)</f>
        <v/>
      </c>
      <c r="AQ124" s="47">
        <f>IF(OR(AJ124="",U124=0),"",MIN(IF(AV124="",9.9E+99,AV124),AN124/U124))</f>
        <v/>
      </c>
      <c r="AR124" s="49">
        <f>IF(AQ124="","",AQ124*W124)</f>
        <v/>
      </c>
      <c r="AS124" s="51" t="n"/>
      <c r="AT124" s="52" t="n"/>
      <c r="AU124" s="52" t="n"/>
      <c r="AV124" s="53" t="n"/>
      <c r="AW124" s="54">
        <f>IF(((V124*pax_cap*load_thin*ROUND(N124*O124*revleg_thin,0))-(((battery/range_nm)*G124*ROUND(N124*O124*revleg_thin,0)*VLOOKUP(B124,country_opex,3,FALSE))+Y124+Z124+AA124+AB124+AC124))&lt;=0,"",VLOOKUP(B124,country_opex,7,FALSE)/((V124*pax_cap*load_thin*ROUND(N124*O124*revleg_thin,0))-(((battery/range_nm)*G124*ROUND(N124*O124*revleg_thin,0)*VLOOKUP(B124,country_opex,3,FALSE))+Y124+Z124+AA124+AB124+AC124)))</f>
        <v/>
      </c>
      <c r="AX124" s="54">
        <f>IF(((V124*pax_cap*load_mid*ROUND(N124*O124*revleg_mid,0))-(((battery/range_nm)*G124*ROUND(N124*O124*revleg_mid,0)*VLOOKUP(B124,country_opex,3,FALSE))+Y124+Z124+AA124+AB124+AC124))&lt;=0,"",VLOOKUP(B124,country_opex,7,FALSE)/((V124*pax_cap*load_mid*ROUND(N124*O124*revleg_mid,0))-(((battery/range_nm)*G124*ROUND(N124*O124*revleg_mid,0)*VLOOKUP(B124,country_opex,3,FALSE))+Y124+Z124+AA124+AB124+AC124)))</f>
        <v/>
      </c>
      <c r="AY124" s="54">
        <f>IF(((V124*pax_cap*load_full*ROUND(N124*O124*revleg_full,0))-(((battery/range_nm)*G124*ROUND(N124*O124*revleg_full,0)*VLOOKUP(B124,country_opex,3,FALSE))+Y124+Z124+AA124+AB124+AC124))&lt;=0,"",VLOOKUP(B124,country_opex,7,FALSE)/((V124*pax_cap*load_full*ROUND(N124*O124*revleg_full,0))-(((battery/range_nm)*G124*ROUND(N124*O124*revleg_full,0)*VLOOKUP(B124,country_opex,3,FALSE))+Y124+Z124+AA124+AB124+AC124)))</f>
        <v/>
      </c>
      <c r="AZ124" s="40" t="inlineStr">
        <is>
          <t>handoff/INDIA-ECONOMICS-SIDECAR-V0-2026-06-20.json (andaman)</t>
        </is>
      </c>
      <c r="BA124" s="40" t="inlineStr">
        <is>
          <t>handoff/INDIA-ECONOMICS-SIDECAR-V0-2026-06-20.json (andaman)</t>
        </is>
      </c>
    </row>
    <row r="125">
      <c r="A125" s="38" t="inlineStr">
        <is>
          <t>India Andaman Rapido</t>
        </is>
      </c>
      <c r="B125" s="38" t="inlineStr">
        <is>
          <t>India</t>
        </is>
      </c>
      <c r="C125" s="39" t="inlineStr">
        <is>
          <t>Fisheries Jetty → BookMyBoat Andaman Ferry Booking</t>
        </is>
      </c>
      <c r="D125" s="38" t="inlineStr">
        <is>
          <t>rapido</t>
        </is>
      </c>
      <c r="E125" s="40" t="inlineStr">
        <is>
          <t>india-andaman-ola, india-andaman-rapido</t>
        </is>
      </c>
      <c r="F125" s="41" t="n">
        <v>2</v>
      </c>
      <c r="G125" s="42" t="n">
        <v>1.8</v>
      </c>
      <c r="H125" s="35" t="n">
        <v>22</v>
      </c>
      <c r="I125" s="43" t="inlineStr">
        <is>
          <t>T3</t>
        </is>
      </c>
      <c r="J125" s="43" t="inlineStr">
        <is>
          <t>med-low</t>
        </is>
      </c>
      <c r="K125" s="29" t="n">
        <v>1</v>
      </c>
      <c r="L125" s="44">
        <f>60*G125/cruise_kt</f>
        <v/>
      </c>
      <c r="M125" s="44">
        <f>L125+turn_min+dwell_min</f>
        <v/>
      </c>
      <c r="N125" s="45">
        <f>MIN(10,FLOOR(60*service_hr/M125,1))</f>
        <v/>
      </c>
      <c r="O125" s="45">
        <f>ROUND(365*mech_uptime*K125,0)</f>
        <v/>
      </c>
      <c r="P125" s="46">
        <f>mech_uptime</f>
        <v/>
      </c>
      <c r="Q125" s="46">
        <f>revleg_sel</f>
        <v/>
      </c>
      <c r="R125" s="45">
        <f>ROUND(N125*O125*revleg_sel,0)</f>
        <v/>
      </c>
      <c r="S125" s="47">
        <f>load_sel</f>
        <v/>
      </c>
      <c r="T125" s="47">
        <f>pax_cap*S125</f>
        <v/>
      </c>
      <c r="U125" s="45">
        <f>T125*R125</f>
        <v/>
      </c>
      <c r="V125" s="48">
        <f>H125*discount</f>
        <v/>
      </c>
      <c r="W125" s="49">
        <f>V125*U125</f>
        <v/>
      </c>
      <c r="X125" s="49">
        <f>(battery/range_nm)*G125*R125*VLOOKUP(B125,country_opex,3,FALSE)</f>
        <v/>
      </c>
      <c r="Y125" s="49">
        <f>VLOOKUP(B125,country_opex,2,FALSE)*crew_factor</f>
        <v/>
      </c>
      <c r="Z125" s="49">
        <f>VLOOKUP(B125,country_opex,5,FALSE)</f>
        <v/>
      </c>
      <c r="AA125" s="49">
        <f>maint</f>
        <v/>
      </c>
      <c r="AB125" s="49">
        <f>VLOOKUP(B125,country_opex,7,FALSE)*ins_pct</f>
        <v/>
      </c>
      <c r="AC125" s="49">
        <f>charge_berth</f>
        <v/>
      </c>
      <c r="AD125" s="49">
        <f>X125+Y125+Z125+AA125+AB125+AC125</f>
        <v/>
      </c>
      <c r="AE125" s="49">
        <f>VLOOKUP(B125,country_opex,7,FALSE)/dep_years</f>
        <v/>
      </c>
      <c r="AF125" s="49">
        <f>W125-AD125</f>
        <v/>
      </c>
      <c r="AG125" s="46">
        <f>IF(W125=0,"",AF125/W125)</f>
        <v/>
      </c>
      <c r="AH125" s="47">
        <f>IF(AF125&lt;=0,"",VLOOKUP(B125,country_opex,7,FALSE)/AF125)</f>
        <v/>
      </c>
      <c r="AI125" s="44">
        <f>((G125*R125/diesel_nmpg)*diesel_co2pg-(battery/range_nm)*G125*R125*VLOOKUP(B125,country_opex,4,FALSE))/1000</f>
        <v/>
      </c>
      <c r="AJ125" s="42" t="n">
        <v>5000</v>
      </c>
      <c r="AK125" s="43" t="inlineStr">
        <is>
          <t>T3</t>
        </is>
      </c>
      <c r="AL125" s="43" t="inlineStr">
        <is>
          <t>med-low</t>
        </is>
      </c>
      <c r="AM125" s="50" t="n">
        <v>0.1</v>
      </c>
      <c r="AN125" s="45">
        <f>IF(AJ125="","",AJ125*AM125)</f>
        <v/>
      </c>
      <c r="AO125" s="45">
        <f>IF(OR(AJ125="",U125=0),"",MIN(IF(AV125="",9.9E+99,AV125),FLOOR(AN125/U125,1)))</f>
        <v/>
      </c>
      <c r="AP125" s="49">
        <f>IF(AO125="","",AO125*W125)</f>
        <v/>
      </c>
      <c r="AQ125" s="47">
        <f>IF(OR(AJ125="",U125=0),"",MIN(IF(AV125="",9.9E+99,AV125),AN125/U125))</f>
        <v/>
      </c>
      <c r="AR125" s="49">
        <f>IF(AQ125="","",AQ125*W125)</f>
        <v/>
      </c>
      <c r="AS125" s="51" t="n"/>
      <c r="AT125" s="52" t="n"/>
      <c r="AU125" s="52" t="n"/>
      <c r="AV125" s="53" t="n"/>
      <c r="AW125" s="54">
        <f>IF(((V125*pax_cap*load_thin*ROUND(N125*O125*revleg_thin,0))-(((battery/range_nm)*G125*ROUND(N125*O125*revleg_thin,0)*VLOOKUP(B125,country_opex,3,FALSE))+Y125+Z125+AA125+AB125+AC125))&lt;=0,"",VLOOKUP(B125,country_opex,7,FALSE)/((V125*pax_cap*load_thin*ROUND(N125*O125*revleg_thin,0))-(((battery/range_nm)*G125*ROUND(N125*O125*revleg_thin,0)*VLOOKUP(B125,country_opex,3,FALSE))+Y125+Z125+AA125+AB125+AC125)))</f>
        <v/>
      </c>
      <c r="AX125" s="54">
        <f>IF(((V125*pax_cap*load_mid*ROUND(N125*O125*revleg_mid,0))-(((battery/range_nm)*G125*ROUND(N125*O125*revleg_mid,0)*VLOOKUP(B125,country_opex,3,FALSE))+Y125+Z125+AA125+AB125+AC125))&lt;=0,"",VLOOKUP(B125,country_opex,7,FALSE)/((V125*pax_cap*load_mid*ROUND(N125*O125*revleg_mid,0))-(((battery/range_nm)*G125*ROUND(N125*O125*revleg_mid,0)*VLOOKUP(B125,country_opex,3,FALSE))+Y125+Z125+AA125+AB125+AC125)))</f>
        <v/>
      </c>
      <c r="AY125" s="54">
        <f>IF(((V125*pax_cap*load_full*ROUND(N125*O125*revleg_full,0))-(((battery/range_nm)*G125*ROUND(N125*O125*revleg_full,0)*VLOOKUP(B125,country_opex,3,FALSE))+Y125+Z125+AA125+AB125+AC125))&lt;=0,"",VLOOKUP(B125,country_opex,7,FALSE)/((V125*pax_cap*load_full*ROUND(N125*O125*revleg_full,0))-(((battery/range_nm)*G125*ROUND(N125*O125*revleg_full,0)*VLOOKUP(B125,country_opex,3,FALSE))+Y125+Z125+AA125+AB125+AC125)))</f>
        <v/>
      </c>
      <c r="AZ125" s="40" t="inlineStr">
        <is>
          <t>handoff/INDIA-ECONOMICS-SIDECAR-V0-2026-06-20.json (andaman)</t>
        </is>
      </c>
      <c r="BA125" s="40" t="inlineStr">
        <is>
          <t>handoff/INDIA-ECONOMICS-SIDECAR-V0-2026-06-20.json (andaman)</t>
        </is>
      </c>
    </row>
    <row r="126">
      <c r="A126" s="38" t="inlineStr">
        <is>
          <t>India Andaman Rapido</t>
        </is>
      </c>
      <c r="B126" s="38" t="inlineStr">
        <is>
          <t>India</t>
        </is>
      </c>
      <c r="C126" s="39" t="inlineStr">
        <is>
          <t>Fisheries Jetty → Gamefishing Asia</t>
        </is>
      </c>
      <c r="D126" s="38" t="inlineStr">
        <is>
          <t>rapido</t>
        </is>
      </c>
      <c r="E126" s="40" t="inlineStr">
        <is>
          <t>india-andaman-ola, india-andaman-rapido</t>
        </is>
      </c>
      <c r="F126" s="41" t="n">
        <v>2</v>
      </c>
      <c r="G126" s="42" t="n">
        <v>2</v>
      </c>
      <c r="H126" s="35" t="n">
        <v>22</v>
      </c>
      <c r="I126" s="43" t="inlineStr">
        <is>
          <t>T3</t>
        </is>
      </c>
      <c r="J126" s="43" t="inlineStr">
        <is>
          <t>med-low</t>
        </is>
      </c>
      <c r="K126" s="29" t="n">
        <v>1</v>
      </c>
      <c r="L126" s="44">
        <f>60*G126/cruise_kt</f>
        <v/>
      </c>
      <c r="M126" s="44">
        <f>L126+turn_min+dwell_min</f>
        <v/>
      </c>
      <c r="N126" s="45">
        <f>MIN(10,FLOOR(60*service_hr/M126,1))</f>
        <v/>
      </c>
      <c r="O126" s="45">
        <f>ROUND(365*mech_uptime*K126,0)</f>
        <v/>
      </c>
      <c r="P126" s="46">
        <f>mech_uptime</f>
        <v/>
      </c>
      <c r="Q126" s="46">
        <f>revleg_sel</f>
        <v/>
      </c>
      <c r="R126" s="45">
        <f>ROUND(N126*O126*revleg_sel,0)</f>
        <v/>
      </c>
      <c r="S126" s="47">
        <f>load_sel</f>
        <v/>
      </c>
      <c r="T126" s="47">
        <f>pax_cap*S126</f>
        <v/>
      </c>
      <c r="U126" s="45">
        <f>T126*R126</f>
        <v/>
      </c>
      <c r="V126" s="48">
        <f>H126*discount</f>
        <v/>
      </c>
      <c r="W126" s="49">
        <f>V126*U126</f>
        <v/>
      </c>
      <c r="X126" s="49">
        <f>(battery/range_nm)*G126*R126*VLOOKUP(B126,country_opex,3,FALSE)</f>
        <v/>
      </c>
      <c r="Y126" s="49">
        <f>VLOOKUP(B126,country_opex,2,FALSE)*crew_factor</f>
        <v/>
      </c>
      <c r="Z126" s="49">
        <f>VLOOKUP(B126,country_opex,5,FALSE)</f>
        <v/>
      </c>
      <c r="AA126" s="49">
        <f>maint</f>
        <v/>
      </c>
      <c r="AB126" s="49">
        <f>VLOOKUP(B126,country_opex,7,FALSE)*ins_pct</f>
        <v/>
      </c>
      <c r="AC126" s="49">
        <f>charge_berth</f>
        <v/>
      </c>
      <c r="AD126" s="49">
        <f>X126+Y126+Z126+AA126+AB126+AC126</f>
        <v/>
      </c>
      <c r="AE126" s="49">
        <f>VLOOKUP(B126,country_opex,7,FALSE)/dep_years</f>
        <v/>
      </c>
      <c r="AF126" s="49">
        <f>W126-AD126</f>
        <v/>
      </c>
      <c r="AG126" s="46">
        <f>IF(W126=0,"",AF126/W126)</f>
        <v/>
      </c>
      <c r="AH126" s="47">
        <f>IF(AF126&lt;=0,"",VLOOKUP(B126,country_opex,7,FALSE)/AF126)</f>
        <v/>
      </c>
      <c r="AI126" s="44">
        <f>((G126*R126/diesel_nmpg)*diesel_co2pg-(battery/range_nm)*G126*R126*VLOOKUP(B126,country_opex,4,FALSE))/1000</f>
        <v/>
      </c>
      <c r="AJ126" s="42" t="n">
        <v>5000</v>
      </c>
      <c r="AK126" s="43" t="inlineStr">
        <is>
          <t>T3</t>
        </is>
      </c>
      <c r="AL126" s="43" t="inlineStr">
        <is>
          <t>med-low</t>
        </is>
      </c>
      <c r="AM126" s="50" t="n">
        <v>0.1</v>
      </c>
      <c r="AN126" s="45">
        <f>IF(AJ126="","",AJ126*AM126)</f>
        <v/>
      </c>
      <c r="AO126" s="45">
        <f>IF(OR(AJ126="",U126=0),"",MIN(IF(AV126="",9.9E+99,AV126),FLOOR(AN126/U126,1)))</f>
        <v/>
      </c>
      <c r="AP126" s="49">
        <f>IF(AO126="","",AO126*W126)</f>
        <v/>
      </c>
      <c r="AQ126" s="47">
        <f>IF(OR(AJ126="",U126=0),"",MIN(IF(AV126="",9.9E+99,AV126),AN126/U126))</f>
        <v/>
      </c>
      <c r="AR126" s="49">
        <f>IF(AQ126="","",AQ126*W126)</f>
        <v/>
      </c>
      <c r="AS126" s="51" t="n"/>
      <c r="AT126" s="52" t="n"/>
      <c r="AU126" s="52" t="n"/>
      <c r="AV126" s="53" t="n"/>
      <c r="AW126" s="54">
        <f>IF(((V126*pax_cap*load_thin*ROUND(N126*O126*revleg_thin,0))-(((battery/range_nm)*G126*ROUND(N126*O126*revleg_thin,0)*VLOOKUP(B126,country_opex,3,FALSE))+Y126+Z126+AA126+AB126+AC126))&lt;=0,"",VLOOKUP(B126,country_opex,7,FALSE)/((V126*pax_cap*load_thin*ROUND(N126*O126*revleg_thin,0))-(((battery/range_nm)*G126*ROUND(N126*O126*revleg_thin,0)*VLOOKUP(B126,country_opex,3,FALSE))+Y126+Z126+AA126+AB126+AC126)))</f>
        <v/>
      </c>
      <c r="AX126" s="54">
        <f>IF(((V126*pax_cap*load_mid*ROUND(N126*O126*revleg_mid,0))-(((battery/range_nm)*G126*ROUND(N126*O126*revleg_mid,0)*VLOOKUP(B126,country_opex,3,FALSE))+Y126+Z126+AA126+AB126+AC126))&lt;=0,"",VLOOKUP(B126,country_opex,7,FALSE)/((V126*pax_cap*load_mid*ROUND(N126*O126*revleg_mid,0))-(((battery/range_nm)*G126*ROUND(N126*O126*revleg_mid,0)*VLOOKUP(B126,country_opex,3,FALSE))+Y126+Z126+AA126+AB126+AC126)))</f>
        <v/>
      </c>
      <c r="AY126" s="54">
        <f>IF(((V126*pax_cap*load_full*ROUND(N126*O126*revleg_full,0))-(((battery/range_nm)*G126*ROUND(N126*O126*revleg_full,0)*VLOOKUP(B126,country_opex,3,FALSE))+Y126+Z126+AA126+AB126+AC126))&lt;=0,"",VLOOKUP(B126,country_opex,7,FALSE)/((V126*pax_cap*load_full*ROUND(N126*O126*revleg_full,0))-(((battery/range_nm)*G126*ROUND(N126*O126*revleg_full,0)*VLOOKUP(B126,country_opex,3,FALSE))+Y126+Z126+AA126+AB126+AC126)))</f>
        <v/>
      </c>
      <c r="AZ126" s="40" t="inlineStr">
        <is>
          <t>handoff/INDIA-ECONOMICS-SIDECAR-V0-2026-06-20.json (andaman)</t>
        </is>
      </c>
      <c r="BA126" s="40" t="inlineStr">
        <is>
          <t>handoff/INDIA-ECONOMICS-SIDECAR-V0-2026-06-20.json (andaman)</t>
        </is>
      </c>
    </row>
    <row r="127">
      <c r="A127" s="38" t="inlineStr">
        <is>
          <t>India Andaman Rapido</t>
        </is>
      </c>
      <c r="B127" s="38" t="inlineStr">
        <is>
          <t>India</t>
        </is>
      </c>
      <c r="C127" s="39" t="inlineStr">
        <is>
          <t>Panighat Ferry Jetty → Chatham Harbour</t>
        </is>
      </c>
      <c r="D127" s="38" t="inlineStr">
        <is>
          <t>rapido</t>
        </is>
      </c>
      <c r="E127" s="40" t="inlineStr">
        <is>
          <t>india-andaman-ola, india-andaman-rapido</t>
        </is>
      </c>
      <c r="F127" s="41" t="n">
        <v>2</v>
      </c>
      <c r="G127" s="42" t="n">
        <v>2</v>
      </c>
      <c r="H127" s="35" t="n">
        <v>22</v>
      </c>
      <c r="I127" s="43" t="inlineStr">
        <is>
          <t>T3</t>
        </is>
      </c>
      <c r="J127" s="43" t="inlineStr">
        <is>
          <t>med-low</t>
        </is>
      </c>
      <c r="K127" s="29" t="n">
        <v>1</v>
      </c>
      <c r="L127" s="44">
        <f>60*G127/cruise_kt</f>
        <v/>
      </c>
      <c r="M127" s="44">
        <f>L127+turn_min+dwell_min</f>
        <v/>
      </c>
      <c r="N127" s="45">
        <f>MIN(10,FLOOR(60*service_hr/M127,1))</f>
        <v/>
      </c>
      <c r="O127" s="45">
        <f>ROUND(365*mech_uptime*K127,0)</f>
        <v/>
      </c>
      <c r="P127" s="46">
        <f>mech_uptime</f>
        <v/>
      </c>
      <c r="Q127" s="46">
        <f>revleg_sel</f>
        <v/>
      </c>
      <c r="R127" s="45">
        <f>ROUND(N127*O127*revleg_sel,0)</f>
        <v/>
      </c>
      <c r="S127" s="47">
        <f>load_sel</f>
        <v/>
      </c>
      <c r="T127" s="47">
        <f>pax_cap*S127</f>
        <v/>
      </c>
      <c r="U127" s="45">
        <f>T127*R127</f>
        <v/>
      </c>
      <c r="V127" s="48">
        <f>H127*discount</f>
        <v/>
      </c>
      <c r="W127" s="49">
        <f>V127*U127</f>
        <v/>
      </c>
      <c r="X127" s="49">
        <f>(battery/range_nm)*G127*R127*VLOOKUP(B127,country_opex,3,FALSE)</f>
        <v/>
      </c>
      <c r="Y127" s="49">
        <f>VLOOKUP(B127,country_opex,2,FALSE)*crew_factor</f>
        <v/>
      </c>
      <c r="Z127" s="49">
        <f>VLOOKUP(B127,country_opex,5,FALSE)</f>
        <v/>
      </c>
      <c r="AA127" s="49">
        <f>maint</f>
        <v/>
      </c>
      <c r="AB127" s="49">
        <f>VLOOKUP(B127,country_opex,7,FALSE)*ins_pct</f>
        <v/>
      </c>
      <c r="AC127" s="49">
        <f>charge_berth</f>
        <v/>
      </c>
      <c r="AD127" s="49">
        <f>X127+Y127+Z127+AA127+AB127+AC127</f>
        <v/>
      </c>
      <c r="AE127" s="49">
        <f>VLOOKUP(B127,country_opex,7,FALSE)/dep_years</f>
        <v/>
      </c>
      <c r="AF127" s="49">
        <f>W127-AD127</f>
        <v/>
      </c>
      <c r="AG127" s="46">
        <f>IF(W127=0,"",AF127/W127)</f>
        <v/>
      </c>
      <c r="AH127" s="47">
        <f>IF(AF127&lt;=0,"",VLOOKUP(B127,country_opex,7,FALSE)/AF127)</f>
        <v/>
      </c>
      <c r="AI127" s="44">
        <f>((G127*R127/diesel_nmpg)*diesel_co2pg-(battery/range_nm)*G127*R127*VLOOKUP(B127,country_opex,4,FALSE))/1000</f>
        <v/>
      </c>
      <c r="AJ127" s="42" t="n">
        <v>5000</v>
      </c>
      <c r="AK127" s="43" t="inlineStr">
        <is>
          <t>T3</t>
        </is>
      </c>
      <c r="AL127" s="43" t="inlineStr">
        <is>
          <t>med-low</t>
        </is>
      </c>
      <c r="AM127" s="50" t="n">
        <v>0.1</v>
      </c>
      <c r="AN127" s="45">
        <f>IF(AJ127="","",AJ127*AM127)</f>
        <v/>
      </c>
      <c r="AO127" s="45">
        <f>IF(OR(AJ127="",U127=0),"",MIN(IF(AV127="",9.9E+99,AV127),FLOOR(AN127/U127,1)))</f>
        <v/>
      </c>
      <c r="AP127" s="49">
        <f>IF(AO127="","",AO127*W127)</f>
        <v/>
      </c>
      <c r="AQ127" s="47">
        <f>IF(OR(AJ127="",U127=0),"",MIN(IF(AV127="",9.9E+99,AV127),AN127/U127))</f>
        <v/>
      </c>
      <c r="AR127" s="49">
        <f>IF(AQ127="","",AQ127*W127)</f>
        <v/>
      </c>
      <c r="AS127" s="51" t="n"/>
      <c r="AT127" s="52" t="n"/>
      <c r="AU127" s="52" t="n"/>
      <c r="AV127" s="53" t="n"/>
      <c r="AW127" s="54">
        <f>IF(((V127*pax_cap*load_thin*ROUND(N127*O127*revleg_thin,0))-(((battery/range_nm)*G127*ROUND(N127*O127*revleg_thin,0)*VLOOKUP(B127,country_opex,3,FALSE))+Y127+Z127+AA127+AB127+AC127))&lt;=0,"",VLOOKUP(B127,country_opex,7,FALSE)/((V127*pax_cap*load_thin*ROUND(N127*O127*revleg_thin,0))-(((battery/range_nm)*G127*ROUND(N127*O127*revleg_thin,0)*VLOOKUP(B127,country_opex,3,FALSE))+Y127+Z127+AA127+AB127+AC127)))</f>
        <v/>
      </c>
      <c r="AX127" s="54">
        <f>IF(((V127*pax_cap*load_mid*ROUND(N127*O127*revleg_mid,0))-(((battery/range_nm)*G127*ROUND(N127*O127*revleg_mid,0)*VLOOKUP(B127,country_opex,3,FALSE))+Y127+Z127+AA127+AB127+AC127))&lt;=0,"",VLOOKUP(B127,country_opex,7,FALSE)/((V127*pax_cap*load_mid*ROUND(N127*O127*revleg_mid,0))-(((battery/range_nm)*G127*ROUND(N127*O127*revleg_mid,0)*VLOOKUP(B127,country_opex,3,FALSE))+Y127+Z127+AA127+AB127+AC127)))</f>
        <v/>
      </c>
      <c r="AY127" s="54">
        <f>IF(((V127*pax_cap*load_full*ROUND(N127*O127*revleg_full,0))-(((battery/range_nm)*G127*ROUND(N127*O127*revleg_full,0)*VLOOKUP(B127,country_opex,3,FALSE))+Y127+Z127+AA127+AB127+AC127))&lt;=0,"",VLOOKUP(B127,country_opex,7,FALSE)/((V127*pax_cap*load_full*ROUND(N127*O127*revleg_full,0))-(((battery/range_nm)*G127*ROUND(N127*O127*revleg_full,0)*VLOOKUP(B127,country_opex,3,FALSE))+Y127+Z127+AA127+AB127+AC127)))</f>
        <v/>
      </c>
      <c r="AZ127" s="40" t="inlineStr">
        <is>
          <t>handoff/INDIA-ECONOMICS-SIDECAR-V0-2026-06-20.json (andaman)</t>
        </is>
      </c>
      <c r="BA127" s="40" t="inlineStr">
        <is>
          <t>handoff/INDIA-ECONOMICS-SIDECAR-V0-2026-06-20.json (andaman)</t>
        </is>
      </c>
    </row>
    <row r="128">
      <c r="A128" s="38" t="inlineStr">
        <is>
          <t>India Goa Rapido</t>
        </is>
      </c>
      <c r="B128" s="38" t="inlineStr">
        <is>
          <t>India</t>
        </is>
      </c>
      <c r="C128" s="39" t="inlineStr">
        <is>
          <t>Panaji Jetty → Goa</t>
        </is>
      </c>
      <c r="D128" s="38" t="inlineStr">
        <is>
          <t>rapido</t>
        </is>
      </c>
      <c r="E128" s="40" t="inlineStr">
        <is>
          <t>india-goa-ola, india-goa-rapido</t>
        </is>
      </c>
      <c r="F128" s="41" t="n">
        <v>8</v>
      </c>
      <c r="G128" s="42" t="n">
        <v>2.1</v>
      </c>
      <c r="H128" s="35" t="n">
        <v>8</v>
      </c>
      <c r="I128" s="43" t="inlineStr">
        <is>
          <t>T3</t>
        </is>
      </c>
      <c r="J128" s="43" t="inlineStr">
        <is>
          <t>med-low</t>
        </is>
      </c>
      <c r="K128" s="29" t="n">
        <v>1</v>
      </c>
      <c r="L128" s="44">
        <f>60*G128/cruise_kt</f>
        <v/>
      </c>
      <c r="M128" s="44">
        <f>L128+turn_min+dwell_min</f>
        <v/>
      </c>
      <c r="N128" s="45">
        <f>MIN(10,FLOOR(60*service_hr/M128,1))</f>
        <v/>
      </c>
      <c r="O128" s="45">
        <f>ROUND(365*mech_uptime*K128,0)</f>
        <v/>
      </c>
      <c r="P128" s="46">
        <f>mech_uptime</f>
        <v/>
      </c>
      <c r="Q128" s="46">
        <f>revleg_sel</f>
        <v/>
      </c>
      <c r="R128" s="45">
        <f>ROUND(N128*O128*revleg_sel,0)</f>
        <v/>
      </c>
      <c r="S128" s="47">
        <f>load_sel</f>
        <v/>
      </c>
      <c r="T128" s="47">
        <f>pax_cap*S128</f>
        <v/>
      </c>
      <c r="U128" s="45">
        <f>T128*R128</f>
        <v/>
      </c>
      <c r="V128" s="48">
        <f>H128*discount</f>
        <v/>
      </c>
      <c r="W128" s="49">
        <f>V128*U128</f>
        <v/>
      </c>
      <c r="X128" s="49">
        <f>(battery/range_nm)*G128*R128*VLOOKUP(B128,country_opex,3,FALSE)</f>
        <v/>
      </c>
      <c r="Y128" s="49">
        <f>VLOOKUP(B128,country_opex,2,FALSE)*crew_factor</f>
        <v/>
      </c>
      <c r="Z128" s="49">
        <f>VLOOKUP(B128,country_opex,5,FALSE)</f>
        <v/>
      </c>
      <c r="AA128" s="49">
        <f>maint</f>
        <v/>
      </c>
      <c r="AB128" s="49">
        <f>VLOOKUP(B128,country_opex,7,FALSE)*ins_pct</f>
        <v/>
      </c>
      <c r="AC128" s="49">
        <f>charge_berth</f>
        <v/>
      </c>
      <c r="AD128" s="49">
        <f>X128+Y128+Z128+AA128+AB128+AC128</f>
        <v/>
      </c>
      <c r="AE128" s="49">
        <f>VLOOKUP(B128,country_opex,7,FALSE)/dep_years</f>
        <v/>
      </c>
      <c r="AF128" s="49">
        <f>W128-AD128</f>
        <v/>
      </c>
      <c r="AG128" s="46">
        <f>IF(W128=0,"",AF128/W128)</f>
        <v/>
      </c>
      <c r="AH128" s="47">
        <f>IF(AF128&lt;=0,"",VLOOKUP(B128,country_opex,7,FALSE)/AF128)</f>
        <v/>
      </c>
      <c r="AI128" s="44">
        <f>((G128*R128/diesel_nmpg)*diesel_co2pg-(battery/range_nm)*G128*R128*VLOOKUP(B128,country_opex,4,FALSE))/1000</f>
        <v/>
      </c>
      <c r="AJ128" s="42" t="n">
        <v>11250</v>
      </c>
      <c r="AK128" s="43" t="inlineStr">
        <is>
          <t>T3</t>
        </is>
      </c>
      <c r="AL128" s="43" t="inlineStr">
        <is>
          <t>med-low</t>
        </is>
      </c>
      <c r="AM128" s="50" t="n">
        <v>0.1</v>
      </c>
      <c r="AN128" s="45">
        <f>IF(AJ128="","",AJ128*AM128)</f>
        <v/>
      </c>
      <c r="AO128" s="45">
        <f>IF(OR(AJ128="",U128=0),"",MIN(IF(AV128="",9.9E+99,AV128),FLOOR(AN128/U128,1)))</f>
        <v/>
      </c>
      <c r="AP128" s="49">
        <f>IF(AO128="","",AO128*W128)</f>
        <v/>
      </c>
      <c r="AQ128" s="47">
        <f>IF(OR(AJ128="",U128=0),"",MIN(IF(AV128="",9.9E+99,AV128),AN128/U128))</f>
        <v/>
      </c>
      <c r="AR128" s="49">
        <f>IF(AQ128="","",AQ128*W128)</f>
        <v/>
      </c>
      <c r="AS128" s="51" t="n"/>
      <c r="AT128" s="52" t="n"/>
      <c r="AU128" s="52" t="n"/>
      <c r="AV128" s="53" t="n"/>
      <c r="AW128" s="54">
        <f>IF(((V128*pax_cap*load_thin*ROUND(N128*O128*revleg_thin,0))-(((battery/range_nm)*G128*ROUND(N128*O128*revleg_thin,0)*VLOOKUP(B128,country_opex,3,FALSE))+Y128+Z128+AA128+AB128+AC128))&lt;=0,"",VLOOKUP(B128,country_opex,7,FALSE)/((V128*pax_cap*load_thin*ROUND(N128*O128*revleg_thin,0))-(((battery/range_nm)*G128*ROUND(N128*O128*revleg_thin,0)*VLOOKUP(B128,country_opex,3,FALSE))+Y128+Z128+AA128+AB128+AC128)))</f>
        <v/>
      </c>
      <c r="AX128" s="54">
        <f>IF(((V128*pax_cap*load_mid*ROUND(N128*O128*revleg_mid,0))-(((battery/range_nm)*G128*ROUND(N128*O128*revleg_mid,0)*VLOOKUP(B128,country_opex,3,FALSE))+Y128+Z128+AA128+AB128+AC128))&lt;=0,"",VLOOKUP(B128,country_opex,7,FALSE)/((V128*pax_cap*load_mid*ROUND(N128*O128*revleg_mid,0))-(((battery/range_nm)*G128*ROUND(N128*O128*revleg_mid,0)*VLOOKUP(B128,country_opex,3,FALSE))+Y128+Z128+AA128+AB128+AC128)))</f>
        <v/>
      </c>
      <c r="AY128" s="54">
        <f>IF(((V128*pax_cap*load_full*ROUND(N128*O128*revleg_full,0))-(((battery/range_nm)*G128*ROUND(N128*O128*revleg_full,0)*VLOOKUP(B128,country_opex,3,FALSE))+Y128+Z128+AA128+AB128+AC128))&lt;=0,"",VLOOKUP(B128,country_opex,7,FALSE)/((V128*pax_cap*load_full*ROUND(N128*O128*revleg_full,0))-(((battery/range_nm)*G128*ROUND(N128*O128*revleg_full,0)*VLOOKUP(B128,country_opex,3,FALSE))+Y128+Z128+AA128+AB128+AC128)))</f>
        <v/>
      </c>
      <c r="AZ128" s="40" t="inlineStr">
        <is>
          <t>handoff/INDIA-ECONOMICS-SIDECAR-V0-2026-06-20.json (goa)</t>
        </is>
      </c>
      <c r="BA128" s="40" t="inlineStr">
        <is>
          <t>handoff/INDIA-ECONOMICS-SIDECAR-V0-2026-06-20.json (goa)</t>
        </is>
      </c>
    </row>
    <row r="129">
      <c r="A129" s="38" t="inlineStr">
        <is>
          <t>India Kerala Rapido</t>
        </is>
      </c>
      <c r="B129" s="38" t="inlineStr">
        <is>
          <t>India</t>
        </is>
      </c>
      <c r="C129" s="39" t="inlineStr">
        <is>
          <t>Marina One, Kochi → Harbour Roof Garden</t>
        </is>
      </c>
      <c r="D129" s="38" t="inlineStr">
        <is>
          <t>rapido</t>
        </is>
      </c>
      <c r="E129" s="40" t="inlineStr">
        <is>
          <t>india-kerala-ola, india-kerala-rapido</t>
        </is>
      </c>
      <c r="F129" s="41" t="n">
        <v>2</v>
      </c>
      <c r="G129" s="42" t="n">
        <v>2.1</v>
      </c>
      <c r="H129" s="35" t="n">
        <v>18</v>
      </c>
      <c r="I129" s="43" t="inlineStr">
        <is>
          <t>T3</t>
        </is>
      </c>
      <c r="J129" s="43" t="inlineStr">
        <is>
          <t>med-low</t>
        </is>
      </c>
      <c r="K129" s="29" t="n">
        <v>1</v>
      </c>
      <c r="L129" s="44">
        <f>60*G129/cruise_kt</f>
        <v/>
      </c>
      <c r="M129" s="44">
        <f>L129+turn_min+dwell_min</f>
        <v/>
      </c>
      <c r="N129" s="45">
        <f>MIN(10,FLOOR(60*service_hr/M129,1))</f>
        <v/>
      </c>
      <c r="O129" s="45">
        <f>ROUND(365*mech_uptime*K129,0)</f>
        <v/>
      </c>
      <c r="P129" s="46">
        <f>mech_uptime</f>
        <v/>
      </c>
      <c r="Q129" s="46">
        <f>revleg_sel</f>
        <v/>
      </c>
      <c r="R129" s="45">
        <f>ROUND(N129*O129*revleg_sel,0)</f>
        <v/>
      </c>
      <c r="S129" s="47">
        <f>load_sel</f>
        <v/>
      </c>
      <c r="T129" s="47">
        <f>pax_cap*S129</f>
        <v/>
      </c>
      <c r="U129" s="45">
        <f>T129*R129</f>
        <v/>
      </c>
      <c r="V129" s="48">
        <f>H129*discount</f>
        <v/>
      </c>
      <c r="W129" s="49">
        <f>V129*U129</f>
        <v/>
      </c>
      <c r="X129" s="49">
        <f>(battery/range_nm)*G129*R129*VLOOKUP(B129,country_opex,3,FALSE)</f>
        <v/>
      </c>
      <c r="Y129" s="49">
        <f>VLOOKUP(B129,country_opex,2,FALSE)*crew_factor</f>
        <v/>
      </c>
      <c r="Z129" s="49">
        <f>VLOOKUP(B129,country_opex,5,FALSE)</f>
        <v/>
      </c>
      <c r="AA129" s="49">
        <f>maint</f>
        <v/>
      </c>
      <c r="AB129" s="49">
        <f>VLOOKUP(B129,country_opex,7,FALSE)*ins_pct</f>
        <v/>
      </c>
      <c r="AC129" s="49">
        <f>charge_berth</f>
        <v/>
      </c>
      <c r="AD129" s="49">
        <f>X129+Y129+Z129+AA129+AB129+AC129</f>
        <v/>
      </c>
      <c r="AE129" s="49">
        <f>VLOOKUP(B129,country_opex,7,FALSE)/dep_years</f>
        <v/>
      </c>
      <c r="AF129" s="49">
        <f>W129-AD129</f>
        <v/>
      </c>
      <c r="AG129" s="46">
        <f>IF(W129=0,"",AF129/W129)</f>
        <v/>
      </c>
      <c r="AH129" s="47">
        <f>IF(AF129&lt;=0,"",VLOOKUP(B129,country_opex,7,FALSE)/AF129)</f>
        <v/>
      </c>
      <c r="AI129" s="44">
        <f>((G129*R129/diesel_nmpg)*diesel_co2pg-(battery/range_nm)*G129*R129*VLOOKUP(B129,country_opex,4,FALSE))/1000</f>
        <v/>
      </c>
      <c r="AJ129" s="42" t="n">
        <v>29166</v>
      </c>
      <c r="AK129" s="43" t="inlineStr">
        <is>
          <t>T3</t>
        </is>
      </c>
      <c r="AL129" s="43" t="inlineStr">
        <is>
          <t>med-low</t>
        </is>
      </c>
      <c r="AM129" s="50" t="n">
        <v>0.1</v>
      </c>
      <c r="AN129" s="45">
        <f>IF(AJ129="","",AJ129*AM129)</f>
        <v/>
      </c>
      <c r="AO129" s="45">
        <f>IF(OR(AJ129="",U129=0),"",MIN(IF(AV129="",9.9E+99,AV129),FLOOR(AN129/U129,1)))</f>
        <v/>
      </c>
      <c r="AP129" s="49">
        <f>IF(AO129="","",AO129*W129)</f>
        <v/>
      </c>
      <c r="AQ129" s="47">
        <f>IF(OR(AJ129="",U129=0),"",MIN(IF(AV129="",9.9E+99,AV129),AN129/U129))</f>
        <v/>
      </c>
      <c r="AR129" s="49">
        <f>IF(AQ129="","",AQ129*W129)</f>
        <v/>
      </c>
      <c r="AS129" s="51" t="n"/>
      <c r="AT129" s="52" t="n"/>
      <c r="AU129" s="52" t="n"/>
      <c r="AV129" s="53" t="n"/>
      <c r="AW129" s="54">
        <f>IF(((V129*pax_cap*load_thin*ROUND(N129*O129*revleg_thin,0))-(((battery/range_nm)*G129*ROUND(N129*O129*revleg_thin,0)*VLOOKUP(B129,country_opex,3,FALSE))+Y129+Z129+AA129+AB129+AC129))&lt;=0,"",VLOOKUP(B129,country_opex,7,FALSE)/((V129*pax_cap*load_thin*ROUND(N129*O129*revleg_thin,0))-(((battery/range_nm)*G129*ROUND(N129*O129*revleg_thin,0)*VLOOKUP(B129,country_opex,3,FALSE))+Y129+Z129+AA129+AB129+AC129)))</f>
        <v/>
      </c>
      <c r="AX129" s="54">
        <f>IF(((V129*pax_cap*load_mid*ROUND(N129*O129*revleg_mid,0))-(((battery/range_nm)*G129*ROUND(N129*O129*revleg_mid,0)*VLOOKUP(B129,country_opex,3,FALSE))+Y129+Z129+AA129+AB129+AC129))&lt;=0,"",VLOOKUP(B129,country_opex,7,FALSE)/((V129*pax_cap*load_mid*ROUND(N129*O129*revleg_mid,0))-(((battery/range_nm)*G129*ROUND(N129*O129*revleg_mid,0)*VLOOKUP(B129,country_opex,3,FALSE))+Y129+Z129+AA129+AB129+AC129)))</f>
        <v/>
      </c>
      <c r="AY129" s="54">
        <f>IF(((V129*pax_cap*load_full*ROUND(N129*O129*revleg_full,0))-(((battery/range_nm)*G129*ROUND(N129*O129*revleg_full,0)*VLOOKUP(B129,country_opex,3,FALSE))+Y129+Z129+AA129+AB129+AC129))&lt;=0,"",VLOOKUP(B129,country_opex,7,FALSE)/((V129*pax_cap*load_full*ROUND(N129*O129*revleg_full,0))-(((battery/range_nm)*G129*ROUND(N129*O129*revleg_full,0)*VLOOKUP(B129,country_opex,3,FALSE))+Y129+Z129+AA129+AB129+AC129)))</f>
        <v/>
      </c>
      <c r="AZ129" s="40" t="inlineStr">
        <is>
          <t>[LB-255 PREMIUM RE-FARE: subsidized comparable $3.5 lifted to premium on-demand floor $18.0] handoff/INDIA-ECONOMICS-SIDECAR-V0-2026-06-20.json (kerala)</t>
        </is>
      </c>
      <c r="BA129" s="40" t="inlineStr">
        <is>
          <t>handoff/INDIA-ECONOMICS-SIDECAR-V0-2026-06-20.json (kerala)</t>
        </is>
      </c>
    </row>
    <row r="130">
      <c r="A130" s="38" t="inlineStr">
        <is>
          <t>India Kerala Rapido</t>
        </is>
      </c>
      <c r="B130" s="38" t="inlineStr">
        <is>
          <t>India</t>
        </is>
      </c>
      <c r="C130" s="39" t="inlineStr">
        <is>
          <t>Water Wolf Speed Boat - Boating Kadamakudy → Ferry Terminal</t>
        </is>
      </c>
      <c r="D130" s="38" t="inlineStr">
        <is>
          <t>rapido</t>
        </is>
      </c>
      <c r="E130" s="40" t="inlineStr">
        <is>
          <t>india-kerala-ola, india-kerala-rapido</t>
        </is>
      </c>
      <c r="F130" s="41" t="n">
        <v>2</v>
      </c>
      <c r="G130" s="42" t="n">
        <v>2.1</v>
      </c>
      <c r="H130" s="35" t="n">
        <v>18</v>
      </c>
      <c r="I130" s="43" t="inlineStr">
        <is>
          <t>T3</t>
        </is>
      </c>
      <c r="J130" s="43" t="inlineStr">
        <is>
          <t>med-low</t>
        </is>
      </c>
      <c r="K130" s="29" t="n">
        <v>1</v>
      </c>
      <c r="L130" s="44">
        <f>60*G130/cruise_kt</f>
        <v/>
      </c>
      <c r="M130" s="44">
        <f>L130+turn_min+dwell_min</f>
        <v/>
      </c>
      <c r="N130" s="45">
        <f>MIN(10,FLOOR(60*service_hr/M130,1))</f>
        <v/>
      </c>
      <c r="O130" s="45">
        <f>ROUND(365*mech_uptime*K130,0)</f>
        <v/>
      </c>
      <c r="P130" s="46">
        <f>mech_uptime</f>
        <v/>
      </c>
      <c r="Q130" s="46">
        <f>revleg_sel</f>
        <v/>
      </c>
      <c r="R130" s="45">
        <f>ROUND(N130*O130*revleg_sel,0)</f>
        <v/>
      </c>
      <c r="S130" s="47">
        <f>load_sel</f>
        <v/>
      </c>
      <c r="T130" s="47">
        <f>pax_cap*S130</f>
        <v/>
      </c>
      <c r="U130" s="45">
        <f>T130*R130</f>
        <v/>
      </c>
      <c r="V130" s="48">
        <f>H130*discount</f>
        <v/>
      </c>
      <c r="W130" s="49">
        <f>V130*U130</f>
        <v/>
      </c>
      <c r="X130" s="49">
        <f>(battery/range_nm)*G130*R130*VLOOKUP(B130,country_opex,3,FALSE)</f>
        <v/>
      </c>
      <c r="Y130" s="49">
        <f>VLOOKUP(B130,country_opex,2,FALSE)*crew_factor</f>
        <v/>
      </c>
      <c r="Z130" s="49">
        <f>VLOOKUP(B130,country_opex,5,FALSE)</f>
        <v/>
      </c>
      <c r="AA130" s="49">
        <f>maint</f>
        <v/>
      </c>
      <c r="AB130" s="49">
        <f>VLOOKUP(B130,country_opex,7,FALSE)*ins_pct</f>
        <v/>
      </c>
      <c r="AC130" s="49">
        <f>charge_berth</f>
        <v/>
      </c>
      <c r="AD130" s="49">
        <f>X130+Y130+Z130+AA130+AB130+AC130</f>
        <v/>
      </c>
      <c r="AE130" s="49">
        <f>VLOOKUP(B130,country_opex,7,FALSE)/dep_years</f>
        <v/>
      </c>
      <c r="AF130" s="49">
        <f>W130-AD130</f>
        <v/>
      </c>
      <c r="AG130" s="46">
        <f>IF(W130=0,"",AF130/W130)</f>
        <v/>
      </c>
      <c r="AH130" s="47">
        <f>IF(AF130&lt;=0,"",VLOOKUP(B130,country_opex,7,FALSE)/AF130)</f>
        <v/>
      </c>
      <c r="AI130" s="44">
        <f>((G130*R130/diesel_nmpg)*diesel_co2pg-(battery/range_nm)*G130*R130*VLOOKUP(B130,country_opex,4,FALSE))/1000</f>
        <v/>
      </c>
      <c r="AJ130" s="42" t="n">
        <v>29166</v>
      </c>
      <c r="AK130" s="43" t="inlineStr">
        <is>
          <t>T3</t>
        </is>
      </c>
      <c r="AL130" s="43" t="inlineStr">
        <is>
          <t>med-low</t>
        </is>
      </c>
      <c r="AM130" s="50" t="n">
        <v>0.1</v>
      </c>
      <c r="AN130" s="45">
        <f>IF(AJ130="","",AJ130*AM130)</f>
        <v/>
      </c>
      <c r="AO130" s="45">
        <f>IF(OR(AJ130="",U130=0),"",MIN(IF(AV130="",9.9E+99,AV130),FLOOR(AN130/U130,1)))</f>
        <v/>
      </c>
      <c r="AP130" s="49">
        <f>IF(AO130="","",AO130*W130)</f>
        <v/>
      </c>
      <c r="AQ130" s="47">
        <f>IF(OR(AJ130="",U130=0),"",MIN(IF(AV130="",9.9E+99,AV130),AN130/U130))</f>
        <v/>
      </c>
      <c r="AR130" s="49">
        <f>IF(AQ130="","",AQ130*W130)</f>
        <v/>
      </c>
      <c r="AS130" s="51" t="n"/>
      <c r="AT130" s="52" t="n"/>
      <c r="AU130" s="52" t="n"/>
      <c r="AV130" s="53" t="n"/>
      <c r="AW130" s="54">
        <f>IF(((V130*pax_cap*load_thin*ROUND(N130*O130*revleg_thin,0))-(((battery/range_nm)*G130*ROUND(N130*O130*revleg_thin,0)*VLOOKUP(B130,country_opex,3,FALSE))+Y130+Z130+AA130+AB130+AC130))&lt;=0,"",VLOOKUP(B130,country_opex,7,FALSE)/((V130*pax_cap*load_thin*ROUND(N130*O130*revleg_thin,0))-(((battery/range_nm)*G130*ROUND(N130*O130*revleg_thin,0)*VLOOKUP(B130,country_opex,3,FALSE))+Y130+Z130+AA130+AB130+AC130)))</f>
        <v/>
      </c>
      <c r="AX130" s="54">
        <f>IF(((V130*pax_cap*load_mid*ROUND(N130*O130*revleg_mid,0))-(((battery/range_nm)*G130*ROUND(N130*O130*revleg_mid,0)*VLOOKUP(B130,country_opex,3,FALSE))+Y130+Z130+AA130+AB130+AC130))&lt;=0,"",VLOOKUP(B130,country_opex,7,FALSE)/((V130*pax_cap*load_mid*ROUND(N130*O130*revleg_mid,0))-(((battery/range_nm)*G130*ROUND(N130*O130*revleg_mid,0)*VLOOKUP(B130,country_opex,3,FALSE))+Y130+Z130+AA130+AB130+AC130)))</f>
        <v/>
      </c>
      <c r="AY130" s="54">
        <f>IF(((V130*pax_cap*load_full*ROUND(N130*O130*revleg_full,0))-(((battery/range_nm)*G130*ROUND(N130*O130*revleg_full,0)*VLOOKUP(B130,country_opex,3,FALSE))+Y130+Z130+AA130+AB130+AC130))&lt;=0,"",VLOOKUP(B130,country_opex,7,FALSE)/((V130*pax_cap*load_full*ROUND(N130*O130*revleg_full,0))-(((battery/range_nm)*G130*ROUND(N130*O130*revleg_full,0)*VLOOKUP(B130,country_opex,3,FALSE))+Y130+Z130+AA130+AB130+AC130)))</f>
        <v/>
      </c>
      <c r="AZ130" s="40" t="inlineStr">
        <is>
          <t>[LB-255 PREMIUM RE-FARE: subsidized comparable $3.5 lifted to premium on-demand floor $18.0] handoff/INDIA-ECONOMICS-SIDECAR-V0-2026-06-20.json (kerala)</t>
        </is>
      </c>
      <c r="BA130" s="40" t="inlineStr">
        <is>
          <t>handoff/INDIA-ECONOMICS-SIDECAR-V0-2026-06-20.json (kerala)</t>
        </is>
      </c>
    </row>
    <row r="131">
      <c r="A131" s="38" t="inlineStr">
        <is>
          <t>India Kerala Rapido</t>
        </is>
      </c>
      <c r="B131" s="38" t="inlineStr">
        <is>
          <t>India</t>
        </is>
      </c>
      <c r="C131" s="39" t="inlineStr">
        <is>
          <t>Kochi International Marina KTDC → Martins Harbour</t>
        </is>
      </c>
      <c r="D131" s="38" t="inlineStr">
        <is>
          <t>rapido</t>
        </is>
      </c>
      <c r="E131" s="40" t="inlineStr">
        <is>
          <t>india-kerala-ola, india-kerala-rapido</t>
        </is>
      </c>
      <c r="F131" s="41" t="n">
        <v>2</v>
      </c>
      <c r="G131" s="42" t="n">
        <v>2.1</v>
      </c>
      <c r="H131" s="35" t="n">
        <v>18</v>
      </c>
      <c r="I131" s="43" t="inlineStr">
        <is>
          <t>T3</t>
        </is>
      </c>
      <c r="J131" s="43" t="inlineStr">
        <is>
          <t>med-low</t>
        </is>
      </c>
      <c r="K131" s="29" t="n">
        <v>1</v>
      </c>
      <c r="L131" s="44">
        <f>60*G131/cruise_kt</f>
        <v/>
      </c>
      <c r="M131" s="44">
        <f>L131+turn_min+dwell_min</f>
        <v/>
      </c>
      <c r="N131" s="45">
        <f>MIN(10,FLOOR(60*service_hr/M131,1))</f>
        <v/>
      </c>
      <c r="O131" s="45">
        <f>ROUND(365*mech_uptime*K131,0)</f>
        <v/>
      </c>
      <c r="P131" s="46">
        <f>mech_uptime</f>
        <v/>
      </c>
      <c r="Q131" s="46">
        <f>revleg_sel</f>
        <v/>
      </c>
      <c r="R131" s="45">
        <f>ROUND(N131*O131*revleg_sel,0)</f>
        <v/>
      </c>
      <c r="S131" s="47">
        <f>load_sel</f>
        <v/>
      </c>
      <c r="T131" s="47">
        <f>pax_cap*S131</f>
        <v/>
      </c>
      <c r="U131" s="45">
        <f>T131*R131</f>
        <v/>
      </c>
      <c r="V131" s="48">
        <f>H131*discount</f>
        <v/>
      </c>
      <c r="W131" s="49">
        <f>V131*U131</f>
        <v/>
      </c>
      <c r="X131" s="49">
        <f>(battery/range_nm)*G131*R131*VLOOKUP(B131,country_opex,3,FALSE)</f>
        <v/>
      </c>
      <c r="Y131" s="49">
        <f>VLOOKUP(B131,country_opex,2,FALSE)*crew_factor</f>
        <v/>
      </c>
      <c r="Z131" s="49">
        <f>VLOOKUP(B131,country_opex,5,FALSE)</f>
        <v/>
      </c>
      <c r="AA131" s="49">
        <f>maint</f>
        <v/>
      </c>
      <c r="AB131" s="49">
        <f>VLOOKUP(B131,country_opex,7,FALSE)*ins_pct</f>
        <v/>
      </c>
      <c r="AC131" s="49">
        <f>charge_berth</f>
        <v/>
      </c>
      <c r="AD131" s="49">
        <f>X131+Y131+Z131+AA131+AB131+AC131</f>
        <v/>
      </c>
      <c r="AE131" s="49">
        <f>VLOOKUP(B131,country_opex,7,FALSE)/dep_years</f>
        <v/>
      </c>
      <c r="AF131" s="49">
        <f>W131-AD131</f>
        <v/>
      </c>
      <c r="AG131" s="46">
        <f>IF(W131=0,"",AF131/W131)</f>
        <v/>
      </c>
      <c r="AH131" s="47">
        <f>IF(AF131&lt;=0,"",VLOOKUP(B131,country_opex,7,FALSE)/AF131)</f>
        <v/>
      </c>
      <c r="AI131" s="44">
        <f>((G131*R131/diesel_nmpg)*diesel_co2pg-(battery/range_nm)*G131*R131*VLOOKUP(B131,country_opex,4,FALSE))/1000</f>
        <v/>
      </c>
      <c r="AJ131" s="42" t="n">
        <v>29166</v>
      </c>
      <c r="AK131" s="43" t="inlineStr">
        <is>
          <t>T3</t>
        </is>
      </c>
      <c r="AL131" s="43" t="inlineStr">
        <is>
          <t>med-low</t>
        </is>
      </c>
      <c r="AM131" s="50" t="n">
        <v>0.1</v>
      </c>
      <c r="AN131" s="45">
        <f>IF(AJ131="","",AJ131*AM131)</f>
        <v/>
      </c>
      <c r="AO131" s="45">
        <f>IF(OR(AJ131="",U131=0),"",MIN(IF(AV131="",9.9E+99,AV131),FLOOR(AN131/U131,1)))</f>
        <v/>
      </c>
      <c r="AP131" s="49">
        <f>IF(AO131="","",AO131*W131)</f>
        <v/>
      </c>
      <c r="AQ131" s="47">
        <f>IF(OR(AJ131="",U131=0),"",MIN(IF(AV131="",9.9E+99,AV131),AN131/U131))</f>
        <v/>
      </c>
      <c r="AR131" s="49">
        <f>IF(AQ131="","",AQ131*W131)</f>
        <v/>
      </c>
      <c r="AS131" s="51" t="n"/>
      <c r="AT131" s="52" t="n"/>
      <c r="AU131" s="52" t="n"/>
      <c r="AV131" s="53" t="n"/>
      <c r="AW131" s="54">
        <f>IF(((V131*pax_cap*load_thin*ROUND(N131*O131*revleg_thin,0))-(((battery/range_nm)*G131*ROUND(N131*O131*revleg_thin,0)*VLOOKUP(B131,country_opex,3,FALSE))+Y131+Z131+AA131+AB131+AC131))&lt;=0,"",VLOOKUP(B131,country_opex,7,FALSE)/((V131*pax_cap*load_thin*ROUND(N131*O131*revleg_thin,0))-(((battery/range_nm)*G131*ROUND(N131*O131*revleg_thin,0)*VLOOKUP(B131,country_opex,3,FALSE))+Y131+Z131+AA131+AB131+AC131)))</f>
        <v/>
      </c>
      <c r="AX131" s="54">
        <f>IF(((V131*pax_cap*load_mid*ROUND(N131*O131*revleg_mid,0))-(((battery/range_nm)*G131*ROUND(N131*O131*revleg_mid,0)*VLOOKUP(B131,country_opex,3,FALSE))+Y131+Z131+AA131+AB131+AC131))&lt;=0,"",VLOOKUP(B131,country_opex,7,FALSE)/((V131*pax_cap*load_mid*ROUND(N131*O131*revleg_mid,0))-(((battery/range_nm)*G131*ROUND(N131*O131*revleg_mid,0)*VLOOKUP(B131,country_opex,3,FALSE))+Y131+Z131+AA131+AB131+AC131)))</f>
        <v/>
      </c>
      <c r="AY131" s="54">
        <f>IF(((V131*pax_cap*load_full*ROUND(N131*O131*revleg_full,0))-(((battery/range_nm)*G131*ROUND(N131*O131*revleg_full,0)*VLOOKUP(B131,country_opex,3,FALSE))+Y131+Z131+AA131+AB131+AC131))&lt;=0,"",VLOOKUP(B131,country_opex,7,FALSE)/((V131*pax_cap*load_full*ROUND(N131*O131*revleg_full,0))-(((battery/range_nm)*G131*ROUND(N131*O131*revleg_full,0)*VLOOKUP(B131,country_opex,3,FALSE))+Y131+Z131+AA131+AB131+AC131)))</f>
        <v/>
      </c>
      <c r="AZ131" s="40" t="inlineStr">
        <is>
          <t>[LB-255 PREMIUM RE-FARE: subsidized comparable $3.5 lifted to premium on-demand floor $18.0] handoff/INDIA-ECONOMICS-SIDECAR-V0-2026-06-20.json (kerala)</t>
        </is>
      </c>
      <c r="BA131" s="40" t="inlineStr">
        <is>
          <t>handoff/INDIA-ECONOMICS-SIDECAR-V0-2026-06-20.json (kerala)</t>
        </is>
      </c>
    </row>
    <row r="132">
      <c r="A132" s="38" t="inlineStr">
        <is>
          <t>India Andaman Rapido</t>
        </is>
      </c>
      <c r="B132" s="38" t="inlineStr">
        <is>
          <t>India</t>
        </is>
      </c>
      <c r="C132" s="39" t="inlineStr">
        <is>
          <t>Game Fishing In Andaman | Bite Me Charter | Best Sport fishing in Andaman Islands → Junglighat Jetty</t>
        </is>
      </c>
      <c r="D132" s="38" t="inlineStr">
        <is>
          <t>rapido</t>
        </is>
      </c>
      <c r="E132" s="40" t="inlineStr">
        <is>
          <t>india-andaman-ola, india-andaman-rapido</t>
        </is>
      </c>
      <c r="F132" s="41" t="n">
        <v>2</v>
      </c>
      <c r="G132" s="42" t="n">
        <v>2.1</v>
      </c>
      <c r="H132" s="35" t="n">
        <v>22</v>
      </c>
      <c r="I132" s="43" t="inlineStr">
        <is>
          <t>T3</t>
        </is>
      </c>
      <c r="J132" s="43" t="inlineStr">
        <is>
          <t>med-low</t>
        </is>
      </c>
      <c r="K132" s="29" t="n">
        <v>1</v>
      </c>
      <c r="L132" s="44">
        <f>60*G132/cruise_kt</f>
        <v/>
      </c>
      <c r="M132" s="44">
        <f>L132+turn_min+dwell_min</f>
        <v/>
      </c>
      <c r="N132" s="45">
        <f>MIN(10,FLOOR(60*service_hr/M132,1))</f>
        <v/>
      </c>
      <c r="O132" s="45">
        <f>ROUND(365*mech_uptime*K132,0)</f>
        <v/>
      </c>
      <c r="P132" s="46">
        <f>mech_uptime</f>
        <v/>
      </c>
      <c r="Q132" s="46">
        <f>revleg_sel</f>
        <v/>
      </c>
      <c r="R132" s="45">
        <f>ROUND(N132*O132*revleg_sel,0)</f>
        <v/>
      </c>
      <c r="S132" s="47">
        <f>load_sel</f>
        <v/>
      </c>
      <c r="T132" s="47">
        <f>pax_cap*S132</f>
        <v/>
      </c>
      <c r="U132" s="45">
        <f>T132*R132</f>
        <v/>
      </c>
      <c r="V132" s="48">
        <f>H132*discount</f>
        <v/>
      </c>
      <c r="W132" s="49">
        <f>V132*U132</f>
        <v/>
      </c>
      <c r="X132" s="49">
        <f>(battery/range_nm)*G132*R132*VLOOKUP(B132,country_opex,3,FALSE)</f>
        <v/>
      </c>
      <c r="Y132" s="49">
        <f>VLOOKUP(B132,country_opex,2,FALSE)*crew_factor</f>
        <v/>
      </c>
      <c r="Z132" s="49">
        <f>VLOOKUP(B132,country_opex,5,FALSE)</f>
        <v/>
      </c>
      <c r="AA132" s="49">
        <f>maint</f>
        <v/>
      </c>
      <c r="AB132" s="49">
        <f>VLOOKUP(B132,country_opex,7,FALSE)*ins_pct</f>
        <v/>
      </c>
      <c r="AC132" s="49">
        <f>charge_berth</f>
        <v/>
      </c>
      <c r="AD132" s="49">
        <f>X132+Y132+Z132+AA132+AB132+AC132</f>
        <v/>
      </c>
      <c r="AE132" s="49">
        <f>VLOOKUP(B132,country_opex,7,FALSE)/dep_years</f>
        <v/>
      </c>
      <c r="AF132" s="49">
        <f>W132-AD132</f>
        <v/>
      </c>
      <c r="AG132" s="46">
        <f>IF(W132=0,"",AF132/W132)</f>
        <v/>
      </c>
      <c r="AH132" s="47">
        <f>IF(AF132&lt;=0,"",VLOOKUP(B132,country_opex,7,FALSE)/AF132)</f>
        <v/>
      </c>
      <c r="AI132" s="44">
        <f>((G132*R132/diesel_nmpg)*diesel_co2pg-(battery/range_nm)*G132*R132*VLOOKUP(B132,country_opex,4,FALSE))/1000</f>
        <v/>
      </c>
      <c r="AJ132" s="42" t="n">
        <v>5000</v>
      </c>
      <c r="AK132" s="43" t="inlineStr">
        <is>
          <t>T3</t>
        </is>
      </c>
      <c r="AL132" s="43" t="inlineStr">
        <is>
          <t>med-low</t>
        </is>
      </c>
      <c r="AM132" s="50" t="n">
        <v>0.1</v>
      </c>
      <c r="AN132" s="45">
        <f>IF(AJ132="","",AJ132*AM132)</f>
        <v/>
      </c>
      <c r="AO132" s="45">
        <f>IF(OR(AJ132="",U132=0),"",MIN(IF(AV132="",9.9E+99,AV132),FLOOR(AN132/U132,1)))</f>
        <v/>
      </c>
      <c r="AP132" s="49">
        <f>IF(AO132="","",AO132*W132)</f>
        <v/>
      </c>
      <c r="AQ132" s="47">
        <f>IF(OR(AJ132="",U132=0),"",MIN(IF(AV132="",9.9E+99,AV132),AN132/U132))</f>
        <v/>
      </c>
      <c r="AR132" s="49">
        <f>IF(AQ132="","",AQ132*W132)</f>
        <v/>
      </c>
      <c r="AS132" s="51" t="n"/>
      <c r="AT132" s="52" t="n"/>
      <c r="AU132" s="52" t="n"/>
      <c r="AV132" s="53" t="n"/>
      <c r="AW132" s="54">
        <f>IF(((V132*pax_cap*load_thin*ROUND(N132*O132*revleg_thin,0))-(((battery/range_nm)*G132*ROUND(N132*O132*revleg_thin,0)*VLOOKUP(B132,country_opex,3,FALSE))+Y132+Z132+AA132+AB132+AC132))&lt;=0,"",VLOOKUP(B132,country_opex,7,FALSE)/((V132*pax_cap*load_thin*ROUND(N132*O132*revleg_thin,0))-(((battery/range_nm)*G132*ROUND(N132*O132*revleg_thin,0)*VLOOKUP(B132,country_opex,3,FALSE))+Y132+Z132+AA132+AB132+AC132)))</f>
        <v/>
      </c>
      <c r="AX132" s="54">
        <f>IF(((V132*pax_cap*load_mid*ROUND(N132*O132*revleg_mid,0))-(((battery/range_nm)*G132*ROUND(N132*O132*revleg_mid,0)*VLOOKUP(B132,country_opex,3,FALSE))+Y132+Z132+AA132+AB132+AC132))&lt;=0,"",VLOOKUP(B132,country_opex,7,FALSE)/((V132*pax_cap*load_mid*ROUND(N132*O132*revleg_mid,0))-(((battery/range_nm)*G132*ROUND(N132*O132*revleg_mid,0)*VLOOKUP(B132,country_opex,3,FALSE))+Y132+Z132+AA132+AB132+AC132)))</f>
        <v/>
      </c>
      <c r="AY132" s="54">
        <f>IF(((V132*pax_cap*load_full*ROUND(N132*O132*revleg_full,0))-(((battery/range_nm)*G132*ROUND(N132*O132*revleg_full,0)*VLOOKUP(B132,country_opex,3,FALSE))+Y132+Z132+AA132+AB132+AC132))&lt;=0,"",VLOOKUP(B132,country_opex,7,FALSE)/((V132*pax_cap*load_full*ROUND(N132*O132*revleg_full,0))-(((battery/range_nm)*G132*ROUND(N132*O132*revleg_full,0)*VLOOKUP(B132,country_opex,3,FALSE))+Y132+Z132+AA132+AB132+AC132)))</f>
        <v/>
      </c>
      <c r="AZ132" s="40" t="inlineStr">
        <is>
          <t>handoff/INDIA-ECONOMICS-SIDECAR-V0-2026-06-20.json (andaman)</t>
        </is>
      </c>
      <c r="BA132" s="40" t="inlineStr">
        <is>
          <t>handoff/INDIA-ECONOMICS-SIDECAR-V0-2026-06-20.json (andaman)</t>
        </is>
      </c>
    </row>
    <row r="133">
      <c r="A133" s="38" t="inlineStr">
        <is>
          <t>India Andaman Rapido</t>
        </is>
      </c>
      <c r="B133" s="38" t="inlineStr">
        <is>
          <t>India</t>
        </is>
      </c>
      <c r="C133" s="39" t="inlineStr">
        <is>
          <t>Andaman → Game Fishing In Andaman | Bite Me Charter | Best Sport fishing in Andaman Islands</t>
        </is>
      </c>
      <c r="D133" s="38" t="inlineStr">
        <is>
          <t>rapido</t>
        </is>
      </c>
      <c r="E133" s="40" t="inlineStr">
        <is>
          <t>india-andaman-ola, india-andaman-rapido</t>
        </is>
      </c>
      <c r="F133" s="41" t="n">
        <v>2</v>
      </c>
      <c r="G133" s="42" t="n">
        <v>2.1</v>
      </c>
      <c r="H133" s="35" t="n">
        <v>22</v>
      </c>
      <c r="I133" s="43" t="inlineStr">
        <is>
          <t>T3</t>
        </is>
      </c>
      <c r="J133" s="43" t="inlineStr">
        <is>
          <t>med-low</t>
        </is>
      </c>
      <c r="K133" s="29" t="n">
        <v>1</v>
      </c>
      <c r="L133" s="44">
        <f>60*G133/cruise_kt</f>
        <v/>
      </c>
      <c r="M133" s="44">
        <f>L133+turn_min+dwell_min</f>
        <v/>
      </c>
      <c r="N133" s="45">
        <f>MIN(10,FLOOR(60*service_hr/M133,1))</f>
        <v/>
      </c>
      <c r="O133" s="45">
        <f>ROUND(365*mech_uptime*K133,0)</f>
        <v/>
      </c>
      <c r="P133" s="46">
        <f>mech_uptime</f>
        <v/>
      </c>
      <c r="Q133" s="46">
        <f>revleg_sel</f>
        <v/>
      </c>
      <c r="R133" s="45">
        <f>ROUND(N133*O133*revleg_sel,0)</f>
        <v/>
      </c>
      <c r="S133" s="47">
        <f>load_sel</f>
        <v/>
      </c>
      <c r="T133" s="47">
        <f>pax_cap*S133</f>
        <v/>
      </c>
      <c r="U133" s="45">
        <f>T133*R133</f>
        <v/>
      </c>
      <c r="V133" s="48">
        <f>H133*discount</f>
        <v/>
      </c>
      <c r="W133" s="49">
        <f>V133*U133</f>
        <v/>
      </c>
      <c r="X133" s="49">
        <f>(battery/range_nm)*G133*R133*VLOOKUP(B133,country_opex,3,FALSE)</f>
        <v/>
      </c>
      <c r="Y133" s="49">
        <f>VLOOKUP(B133,country_opex,2,FALSE)*crew_factor</f>
        <v/>
      </c>
      <c r="Z133" s="49">
        <f>VLOOKUP(B133,country_opex,5,FALSE)</f>
        <v/>
      </c>
      <c r="AA133" s="49">
        <f>maint</f>
        <v/>
      </c>
      <c r="AB133" s="49">
        <f>VLOOKUP(B133,country_opex,7,FALSE)*ins_pct</f>
        <v/>
      </c>
      <c r="AC133" s="49">
        <f>charge_berth</f>
        <v/>
      </c>
      <c r="AD133" s="49">
        <f>X133+Y133+Z133+AA133+AB133+AC133</f>
        <v/>
      </c>
      <c r="AE133" s="49">
        <f>VLOOKUP(B133,country_opex,7,FALSE)/dep_years</f>
        <v/>
      </c>
      <c r="AF133" s="49">
        <f>W133-AD133</f>
        <v/>
      </c>
      <c r="AG133" s="46">
        <f>IF(W133=0,"",AF133/W133)</f>
        <v/>
      </c>
      <c r="AH133" s="47">
        <f>IF(AF133&lt;=0,"",VLOOKUP(B133,country_opex,7,FALSE)/AF133)</f>
        <v/>
      </c>
      <c r="AI133" s="44">
        <f>((G133*R133/diesel_nmpg)*diesel_co2pg-(battery/range_nm)*G133*R133*VLOOKUP(B133,country_opex,4,FALSE))/1000</f>
        <v/>
      </c>
      <c r="AJ133" s="42" t="n">
        <v>5000</v>
      </c>
      <c r="AK133" s="43" t="inlineStr">
        <is>
          <t>T3</t>
        </is>
      </c>
      <c r="AL133" s="43" t="inlineStr">
        <is>
          <t>med-low</t>
        </is>
      </c>
      <c r="AM133" s="50" t="n">
        <v>0.1</v>
      </c>
      <c r="AN133" s="45">
        <f>IF(AJ133="","",AJ133*AM133)</f>
        <v/>
      </c>
      <c r="AO133" s="45">
        <f>IF(OR(AJ133="",U133=0),"",MIN(IF(AV133="",9.9E+99,AV133),FLOOR(AN133/U133,1)))</f>
        <v/>
      </c>
      <c r="AP133" s="49">
        <f>IF(AO133="","",AO133*W133)</f>
        <v/>
      </c>
      <c r="AQ133" s="47">
        <f>IF(OR(AJ133="",U133=0),"",MIN(IF(AV133="",9.9E+99,AV133),AN133/U133))</f>
        <v/>
      </c>
      <c r="AR133" s="49">
        <f>IF(AQ133="","",AQ133*W133)</f>
        <v/>
      </c>
      <c r="AS133" s="51" t="n"/>
      <c r="AT133" s="52" t="n"/>
      <c r="AU133" s="52" t="n"/>
      <c r="AV133" s="53" t="n"/>
      <c r="AW133" s="54">
        <f>IF(((V133*pax_cap*load_thin*ROUND(N133*O133*revleg_thin,0))-(((battery/range_nm)*G133*ROUND(N133*O133*revleg_thin,0)*VLOOKUP(B133,country_opex,3,FALSE))+Y133+Z133+AA133+AB133+AC133))&lt;=0,"",VLOOKUP(B133,country_opex,7,FALSE)/((V133*pax_cap*load_thin*ROUND(N133*O133*revleg_thin,0))-(((battery/range_nm)*G133*ROUND(N133*O133*revleg_thin,0)*VLOOKUP(B133,country_opex,3,FALSE))+Y133+Z133+AA133+AB133+AC133)))</f>
        <v/>
      </c>
      <c r="AX133" s="54">
        <f>IF(((V133*pax_cap*load_mid*ROUND(N133*O133*revleg_mid,0))-(((battery/range_nm)*G133*ROUND(N133*O133*revleg_mid,0)*VLOOKUP(B133,country_opex,3,FALSE))+Y133+Z133+AA133+AB133+AC133))&lt;=0,"",VLOOKUP(B133,country_opex,7,FALSE)/((V133*pax_cap*load_mid*ROUND(N133*O133*revleg_mid,0))-(((battery/range_nm)*G133*ROUND(N133*O133*revleg_mid,0)*VLOOKUP(B133,country_opex,3,FALSE))+Y133+Z133+AA133+AB133+AC133)))</f>
        <v/>
      </c>
      <c r="AY133" s="54">
        <f>IF(((V133*pax_cap*load_full*ROUND(N133*O133*revleg_full,0))-(((battery/range_nm)*G133*ROUND(N133*O133*revleg_full,0)*VLOOKUP(B133,country_opex,3,FALSE))+Y133+Z133+AA133+AB133+AC133))&lt;=0,"",VLOOKUP(B133,country_opex,7,FALSE)/((V133*pax_cap*load_full*ROUND(N133*O133*revleg_full,0))-(((battery/range_nm)*G133*ROUND(N133*O133*revleg_full,0)*VLOOKUP(B133,country_opex,3,FALSE))+Y133+Z133+AA133+AB133+AC133)))</f>
        <v/>
      </c>
      <c r="AZ133" s="40" t="inlineStr">
        <is>
          <t>handoff/INDIA-ECONOMICS-SIDECAR-V0-2026-06-20.json (andaman)</t>
        </is>
      </c>
      <c r="BA133" s="40" t="inlineStr">
        <is>
          <t>handoff/INDIA-ECONOMICS-SIDECAR-V0-2026-06-20.json (andaman)</t>
        </is>
      </c>
    </row>
    <row r="134">
      <c r="A134" s="38" t="inlineStr">
        <is>
          <t>India Andaman Rapido</t>
        </is>
      </c>
      <c r="B134" s="38" t="inlineStr">
        <is>
          <t>India</t>
        </is>
      </c>
      <c r="C134" s="39" t="inlineStr">
        <is>
          <t>Andaman → Marina Park</t>
        </is>
      </c>
      <c r="D134" s="38" t="inlineStr">
        <is>
          <t>rapido</t>
        </is>
      </c>
      <c r="E134" s="40" t="inlineStr">
        <is>
          <t>india-andaman-ola, india-andaman-rapido</t>
        </is>
      </c>
      <c r="F134" s="41" t="n">
        <v>2</v>
      </c>
      <c r="G134" s="42" t="n">
        <v>2.2</v>
      </c>
      <c r="H134" s="35" t="n">
        <v>22</v>
      </c>
      <c r="I134" s="43" t="inlineStr">
        <is>
          <t>T3</t>
        </is>
      </c>
      <c r="J134" s="43" t="inlineStr">
        <is>
          <t>med-low</t>
        </is>
      </c>
      <c r="K134" s="29" t="n">
        <v>1</v>
      </c>
      <c r="L134" s="44">
        <f>60*G134/cruise_kt</f>
        <v/>
      </c>
      <c r="M134" s="44">
        <f>L134+turn_min+dwell_min</f>
        <v/>
      </c>
      <c r="N134" s="45">
        <f>MIN(10,FLOOR(60*service_hr/M134,1))</f>
        <v/>
      </c>
      <c r="O134" s="45">
        <f>ROUND(365*mech_uptime*K134,0)</f>
        <v/>
      </c>
      <c r="P134" s="46">
        <f>mech_uptime</f>
        <v/>
      </c>
      <c r="Q134" s="46">
        <f>revleg_sel</f>
        <v/>
      </c>
      <c r="R134" s="45">
        <f>ROUND(N134*O134*revleg_sel,0)</f>
        <v/>
      </c>
      <c r="S134" s="47">
        <f>load_sel</f>
        <v/>
      </c>
      <c r="T134" s="47">
        <f>pax_cap*S134</f>
        <v/>
      </c>
      <c r="U134" s="45">
        <f>T134*R134</f>
        <v/>
      </c>
      <c r="V134" s="48">
        <f>H134*discount</f>
        <v/>
      </c>
      <c r="W134" s="49">
        <f>V134*U134</f>
        <v/>
      </c>
      <c r="X134" s="49">
        <f>(battery/range_nm)*G134*R134*VLOOKUP(B134,country_opex,3,FALSE)</f>
        <v/>
      </c>
      <c r="Y134" s="49">
        <f>VLOOKUP(B134,country_opex,2,FALSE)*crew_factor</f>
        <v/>
      </c>
      <c r="Z134" s="49">
        <f>VLOOKUP(B134,country_opex,5,FALSE)</f>
        <v/>
      </c>
      <c r="AA134" s="49">
        <f>maint</f>
        <v/>
      </c>
      <c r="AB134" s="49">
        <f>VLOOKUP(B134,country_opex,7,FALSE)*ins_pct</f>
        <v/>
      </c>
      <c r="AC134" s="49">
        <f>charge_berth</f>
        <v/>
      </c>
      <c r="AD134" s="49">
        <f>X134+Y134+Z134+AA134+AB134+AC134</f>
        <v/>
      </c>
      <c r="AE134" s="49">
        <f>VLOOKUP(B134,country_opex,7,FALSE)/dep_years</f>
        <v/>
      </c>
      <c r="AF134" s="49">
        <f>W134-AD134</f>
        <v/>
      </c>
      <c r="AG134" s="46">
        <f>IF(W134=0,"",AF134/W134)</f>
        <v/>
      </c>
      <c r="AH134" s="47">
        <f>IF(AF134&lt;=0,"",VLOOKUP(B134,country_opex,7,FALSE)/AF134)</f>
        <v/>
      </c>
      <c r="AI134" s="44">
        <f>((G134*R134/diesel_nmpg)*diesel_co2pg-(battery/range_nm)*G134*R134*VLOOKUP(B134,country_opex,4,FALSE))/1000</f>
        <v/>
      </c>
      <c r="AJ134" s="42" t="n">
        <v>5000</v>
      </c>
      <c r="AK134" s="43" t="inlineStr">
        <is>
          <t>T3</t>
        </is>
      </c>
      <c r="AL134" s="43" t="inlineStr">
        <is>
          <t>med-low</t>
        </is>
      </c>
      <c r="AM134" s="50" t="n">
        <v>0.1</v>
      </c>
      <c r="AN134" s="45">
        <f>IF(AJ134="","",AJ134*AM134)</f>
        <v/>
      </c>
      <c r="AO134" s="45">
        <f>IF(OR(AJ134="",U134=0),"",MIN(IF(AV134="",9.9E+99,AV134),FLOOR(AN134/U134,1)))</f>
        <v/>
      </c>
      <c r="AP134" s="49">
        <f>IF(AO134="","",AO134*W134)</f>
        <v/>
      </c>
      <c r="AQ134" s="47">
        <f>IF(OR(AJ134="",U134=0),"",MIN(IF(AV134="",9.9E+99,AV134),AN134/U134))</f>
        <v/>
      </c>
      <c r="AR134" s="49">
        <f>IF(AQ134="","",AQ134*W134)</f>
        <v/>
      </c>
      <c r="AS134" s="51" t="n"/>
      <c r="AT134" s="52" t="n"/>
      <c r="AU134" s="52" t="n"/>
      <c r="AV134" s="53" t="n"/>
      <c r="AW134" s="54">
        <f>IF(((V134*pax_cap*load_thin*ROUND(N134*O134*revleg_thin,0))-(((battery/range_nm)*G134*ROUND(N134*O134*revleg_thin,0)*VLOOKUP(B134,country_opex,3,FALSE))+Y134+Z134+AA134+AB134+AC134))&lt;=0,"",VLOOKUP(B134,country_opex,7,FALSE)/((V134*pax_cap*load_thin*ROUND(N134*O134*revleg_thin,0))-(((battery/range_nm)*G134*ROUND(N134*O134*revleg_thin,0)*VLOOKUP(B134,country_opex,3,FALSE))+Y134+Z134+AA134+AB134+AC134)))</f>
        <v/>
      </c>
      <c r="AX134" s="54">
        <f>IF(((V134*pax_cap*load_mid*ROUND(N134*O134*revleg_mid,0))-(((battery/range_nm)*G134*ROUND(N134*O134*revleg_mid,0)*VLOOKUP(B134,country_opex,3,FALSE))+Y134+Z134+AA134+AB134+AC134))&lt;=0,"",VLOOKUP(B134,country_opex,7,FALSE)/((V134*pax_cap*load_mid*ROUND(N134*O134*revleg_mid,0))-(((battery/range_nm)*G134*ROUND(N134*O134*revleg_mid,0)*VLOOKUP(B134,country_opex,3,FALSE))+Y134+Z134+AA134+AB134+AC134)))</f>
        <v/>
      </c>
      <c r="AY134" s="54">
        <f>IF(((V134*pax_cap*load_full*ROUND(N134*O134*revleg_full,0))-(((battery/range_nm)*G134*ROUND(N134*O134*revleg_full,0)*VLOOKUP(B134,country_opex,3,FALSE))+Y134+Z134+AA134+AB134+AC134))&lt;=0,"",VLOOKUP(B134,country_opex,7,FALSE)/((V134*pax_cap*load_full*ROUND(N134*O134*revleg_full,0))-(((battery/range_nm)*G134*ROUND(N134*O134*revleg_full,0)*VLOOKUP(B134,country_opex,3,FALSE))+Y134+Z134+AA134+AB134+AC134)))</f>
        <v/>
      </c>
      <c r="AZ134" s="40" t="inlineStr">
        <is>
          <t>handoff/INDIA-ECONOMICS-SIDECAR-V0-2026-06-20.json (andaman)</t>
        </is>
      </c>
      <c r="BA134" s="40" t="inlineStr">
        <is>
          <t>handoff/INDIA-ECONOMICS-SIDECAR-V0-2026-06-20.json (andaman)</t>
        </is>
      </c>
    </row>
    <row r="135">
      <c r="A135" s="38" t="inlineStr">
        <is>
          <t>India Andaman Rapido</t>
        </is>
      </c>
      <c r="B135" s="38" t="inlineStr">
        <is>
          <t>India</t>
        </is>
      </c>
      <c r="C135" s="39" t="inlineStr">
        <is>
          <t>Panighat Ferry Jetty → Chatham Jetty</t>
        </is>
      </c>
      <c r="D135" s="38" t="inlineStr">
        <is>
          <t>rapido</t>
        </is>
      </c>
      <c r="E135" s="40" t="inlineStr">
        <is>
          <t>india-andaman-ola, india-andaman-rapido</t>
        </is>
      </c>
      <c r="F135" s="41" t="n">
        <v>2</v>
      </c>
      <c r="G135" s="42" t="n">
        <v>2.2</v>
      </c>
      <c r="H135" s="35" t="n">
        <v>22</v>
      </c>
      <c r="I135" s="43" t="inlineStr">
        <is>
          <t>T3</t>
        </is>
      </c>
      <c r="J135" s="43" t="inlineStr">
        <is>
          <t>med-low</t>
        </is>
      </c>
      <c r="K135" s="29" t="n">
        <v>1</v>
      </c>
      <c r="L135" s="44">
        <f>60*G135/cruise_kt</f>
        <v/>
      </c>
      <c r="M135" s="44">
        <f>L135+turn_min+dwell_min</f>
        <v/>
      </c>
      <c r="N135" s="45">
        <f>MIN(10,FLOOR(60*service_hr/M135,1))</f>
        <v/>
      </c>
      <c r="O135" s="45">
        <f>ROUND(365*mech_uptime*K135,0)</f>
        <v/>
      </c>
      <c r="P135" s="46">
        <f>mech_uptime</f>
        <v/>
      </c>
      <c r="Q135" s="46">
        <f>revleg_sel</f>
        <v/>
      </c>
      <c r="R135" s="45">
        <f>ROUND(N135*O135*revleg_sel,0)</f>
        <v/>
      </c>
      <c r="S135" s="47">
        <f>load_sel</f>
        <v/>
      </c>
      <c r="T135" s="47">
        <f>pax_cap*S135</f>
        <v/>
      </c>
      <c r="U135" s="45">
        <f>T135*R135</f>
        <v/>
      </c>
      <c r="V135" s="48">
        <f>H135*discount</f>
        <v/>
      </c>
      <c r="W135" s="49">
        <f>V135*U135</f>
        <v/>
      </c>
      <c r="X135" s="49">
        <f>(battery/range_nm)*G135*R135*VLOOKUP(B135,country_opex,3,FALSE)</f>
        <v/>
      </c>
      <c r="Y135" s="49">
        <f>VLOOKUP(B135,country_opex,2,FALSE)*crew_factor</f>
        <v/>
      </c>
      <c r="Z135" s="49">
        <f>VLOOKUP(B135,country_opex,5,FALSE)</f>
        <v/>
      </c>
      <c r="AA135" s="49">
        <f>maint</f>
        <v/>
      </c>
      <c r="AB135" s="49">
        <f>VLOOKUP(B135,country_opex,7,FALSE)*ins_pct</f>
        <v/>
      </c>
      <c r="AC135" s="49">
        <f>charge_berth</f>
        <v/>
      </c>
      <c r="AD135" s="49">
        <f>X135+Y135+Z135+AA135+AB135+AC135</f>
        <v/>
      </c>
      <c r="AE135" s="49">
        <f>VLOOKUP(B135,country_opex,7,FALSE)/dep_years</f>
        <v/>
      </c>
      <c r="AF135" s="49">
        <f>W135-AD135</f>
        <v/>
      </c>
      <c r="AG135" s="46">
        <f>IF(W135=0,"",AF135/W135)</f>
        <v/>
      </c>
      <c r="AH135" s="47">
        <f>IF(AF135&lt;=0,"",VLOOKUP(B135,country_opex,7,FALSE)/AF135)</f>
        <v/>
      </c>
      <c r="AI135" s="44">
        <f>((G135*R135/diesel_nmpg)*diesel_co2pg-(battery/range_nm)*G135*R135*VLOOKUP(B135,country_opex,4,FALSE))/1000</f>
        <v/>
      </c>
      <c r="AJ135" s="42" t="n">
        <v>5000</v>
      </c>
      <c r="AK135" s="43" t="inlineStr">
        <is>
          <t>T3</t>
        </is>
      </c>
      <c r="AL135" s="43" t="inlineStr">
        <is>
          <t>med-low</t>
        </is>
      </c>
      <c r="AM135" s="50" t="n">
        <v>0.1</v>
      </c>
      <c r="AN135" s="45">
        <f>IF(AJ135="","",AJ135*AM135)</f>
        <v/>
      </c>
      <c r="AO135" s="45">
        <f>IF(OR(AJ135="",U135=0),"",MIN(IF(AV135="",9.9E+99,AV135),FLOOR(AN135/U135,1)))</f>
        <v/>
      </c>
      <c r="AP135" s="49">
        <f>IF(AO135="","",AO135*W135)</f>
        <v/>
      </c>
      <c r="AQ135" s="47">
        <f>IF(OR(AJ135="",U135=0),"",MIN(IF(AV135="",9.9E+99,AV135),AN135/U135))</f>
        <v/>
      </c>
      <c r="AR135" s="49">
        <f>IF(AQ135="","",AQ135*W135)</f>
        <v/>
      </c>
      <c r="AS135" s="51" t="n"/>
      <c r="AT135" s="52" t="n"/>
      <c r="AU135" s="52" t="n"/>
      <c r="AV135" s="53" t="n"/>
      <c r="AW135" s="54">
        <f>IF(((V135*pax_cap*load_thin*ROUND(N135*O135*revleg_thin,0))-(((battery/range_nm)*G135*ROUND(N135*O135*revleg_thin,0)*VLOOKUP(B135,country_opex,3,FALSE))+Y135+Z135+AA135+AB135+AC135))&lt;=0,"",VLOOKUP(B135,country_opex,7,FALSE)/((V135*pax_cap*load_thin*ROUND(N135*O135*revleg_thin,0))-(((battery/range_nm)*G135*ROUND(N135*O135*revleg_thin,0)*VLOOKUP(B135,country_opex,3,FALSE))+Y135+Z135+AA135+AB135+AC135)))</f>
        <v/>
      </c>
      <c r="AX135" s="54">
        <f>IF(((V135*pax_cap*load_mid*ROUND(N135*O135*revleg_mid,0))-(((battery/range_nm)*G135*ROUND(N135*O135*revleg_mid,0)*VLOOKUP(B135,country_opex,3,FALSE))+Y135+Z135+AA135+AB135+AC135))&lt;=0,"",VLOOKUP(B135,country_opex,7,FALSE)/((V135*pax_cap*load_mid*ROUND(N135*O135*revleg_mid,0))-(((battery/range_nm)*G135*ROUND(N135*O135*revleg_mid,0)*VLOOKUP(B135,country_opex,3,FALSE))+Y135+Z135+AA135+AB135+AC135)))</f>
        <v/>
      </c>
      <c r="AY135" s="54">
        <f>IF(((V135*pax_cap*load_full*ROUND(N135*O135*revleg_full,0))-(((battery/range_nm)*G135*ROUND(N135*O135*revleg_full,0)*VLOOKUP(B135,country_opex,3,FALSE))+Y135+Z135+AA135+AB135+AC135))&lt;=0,"",VLOOKUP(B135,country_opex,7,FALSE)/((V135*pax_cap*load_full*ROUND(N135*O135*revleg_full,0))-(((battery/range_nm)*G135*ROUND(N135*O135*revleg_full,0)*VLOOKUP(B135,country_opex,3,FALSE))+Y135+Z135+AA135+AB135+AC135)))</f>
        <v/>
      </c>
      <c r="AZ135" s="40" t="inlineStr">
        <is>
          <t>handoff/INDIA-ECONOMICS-SIDECAR-V0-2026-06-20.json (andaman)</t>
        </is>
      </c>
      <c r="BA135" s="40" t="inlineStr">
        <is>
          <t>handoff/INDIA-ECONOMICS-SIDECAR-V0-2026-06-20.json (andaman)</t>
        </is>
      </c>
    </row>
    <row r="136">
      <c r="A136" s="38" t="inlineStr">
        <is>
          <t>India Goa Rapido</t>
        </is>
      </c>
      <c r="B136" s="38" t="inlineStr">
        <is>
          <t>India</t>
        </is>
      </c>
      <c r="C136" s="39" t="inlineStr">
        <is>
          <t>Chorao Ferry Terminal → Piedade Ferry Terminal</t>
        </is>
      </c>
      <c r="D136" s="38" t="inlineStr">
        <is>
          <t>rapido</t>
        </is>
      </c>
      <c r="E136" s="40" t="inlineStr">
        <is>
          <t>india-goa-ola, india-goa-rapido</t>
        </is>
      </c>
      <c r="F136" s="41" t="n">
        <v>2</v>
      </c>
      <c r="G136" s="42" t="n">
        <v>2.4</v>
      </c>
      <c r="H136" s="35" t="n">
        <v>8</v>
      </c>
      <c r="I136" s="43" t="inlineStr">
        <is>
          <t>T3</t>
        </is>
      </c>
      <c r="J136" s="43" t="inlineStr">
        <is>
          <t>med-low</t>
        </is>
      </c>
      <c r="K136" s="29" t="n">
        <v>1</v>
      </c>
      <c r="L136" s="44">
        <f>60*G136/cruise_kt</f>
        <v/>
      </c>
      <c r="M136" s="44">
        <f>L136+turn_min+dwell_min</f>
        <v/>
      </c>
      <c r="N136" s="45">
        <f>MIN(10,FLOOR(60*service_hr/M136,1))</f>
        <v/>
      </c>
      <c r="O136" s="45">
        <f>ROUND(365*mech_uptime*K136,0)</f>
        <v/>
      </c>
      <c r="P136" s="46">
        <f>mech_uptime</f>
        <v/>
      </c>
      <c r="Q136" s="46">
        <f>revleg_sel</f>
        <v/>
      </c>
      <c r="R136" s="45">
        <f>ROUND(N136*O136*revleg_sel,0)</f>
        <v/>
      </c>
      <c r="S136" s="47">
        <f>load_sel</f>
        <v/>
      </c>
      <c r="T136" s="47">
        <f>pax_cap*S136</f>
        <v/>
      </c>
      <c r="U136" s="45">
        <f>T136*R136</f>
        <v/>
      </c>
      <c r="V136" s="48">
        <f>H136*discount</f>
        <v/>
      </c>
      <c r="W136" s="49">
        <f>V136*U136</f>
        <v/>
      </c>
      <c r="X136" s="49">
        <f>(battery/range_nm)*G136*R136*VLOOKUP(B136,country_opex,3,FALSE)</f>
        <v/>
      </c>
      <c r="Y136" s="49">
        <f>VLOOKUP(B136,country_opex,2,FALSE)*crew_factor</f>
        <v/>
      </c>
      <c r="Z136" s="49">
        <f>VLOOKUP(B136,country_opex,5,FALSE)</f>
        <v/>
      </c>
      <c r="AA136" s="49">
        <f>maint</f>
        <v/>
      </c>
      <c r="AB136" s="49">
        <f>VLOOKUP(B136,country_opex,7,FALSE)*ins_pct</f>
        <v/>
      </c>
      <c r="AC136" s="49">
        <f>charge_berth</f>
        <v/>
      </c>
      <c r="AD136" s="49">
        <f>X136+Y136+Z136+AA136+AB136+AC136</f>
        <v/>
      </c>
      <c r="AE136" s="49">
        <f>VLOOKUP(B136,country_opex,7,FALSE)/dep_years</f>
        <v/>
      </c>
      <c r="AF136" s="49">
        <f>W136-AD136</f>
        <v/>
      </c>
      <c r="AG136" s="46">
        <f>IF(W136=0,"",AF136/W136)</f>
        <v/>
      </c>
      <c r="AH136" s="47">
        <f>IF(AF136&lt;=0,"",VLOOKUP(B136,country_opex,7,FALSE)/AF136)</f>
        <v/>
      </c>
      <c r="AI136" s="44">
        <f>((G136*R136/diesel_nmpg)*diesel_co2pg-(battery/range_nm)*G136*R136*VLOOKUP(B136,country_opex,4,FALSE))/1000</f>
        <v/>
      </c>
      <c r="AJ136" s="42" t="n">
        <v>11250</v>
      </c>
      <c r="AK136" s="43" t="inlineStr">
        <is>
          <t>T3</t>
        </is>
      </c>
      <c r="AL136" s="43" t="inlineStr">
        <is>
          <t>med-low</t>
        </is>
      </c>
      <c r="AM136" s="50" t="n">
        <v>0.1</v>
      </c>
      <c r="AN136" s="45">
        <f>IF(AJ136="","",AJ136*AM136)</f>
        <v/>
      </c>
      <c r="AO136" s="45">
        <f>IF(OR(AJ136="",U136=0),"",MIN(IF(AV136="",9.9E+99,AV136),FLOOR(AN136/U136,1)))</f>
        <v/>
      </c>
      <c r="AP136" s="49">
        <f>IF(AO136="","",AO136*W136)</f>
        <v/>
      </c>
      <c r="AQ136" s="47">
        <f>IF(OR(AJ136="",U136=0),"",MIN(IF(AV136="",9.9E+99,AV136),AN136/U136))</f>
        <v/>
      </c>
      <c r="AR136" s="49">
        <f>IF(AQ136="","",AQ136*W136)</f>
        <v/>
      </c>
      <c r="AS136" s="51" t="n"/>
      <c r="AT136" s="52" t="n"/>
      <c r="AU136" s="52" t="n"/>
      <c r="AV136" s="53" t="n"/>
      <c r="AW136" s="54">
        <f>IF(((V136*pax_cap*load_thin*ROUND(N136*O136*revleg_thin,0))-(((battery/range_nm)*G136*ROUND(N136*O136*revleg_thin,0)*VLOOKUP(B136,country_opex,3,FALSE))+Y136+Z136+AA136+AB136+AC136))&lt;=0,"",VLOOKUP(B136,country_opex,7,FALSE)/((V136*pax_cap*load_thin*ROUND(N136*O136*revleg_thin,0))-(((battery/range_nm)*G136*ROUND(N136*O136*revleg_thin,0)*VLOOKUP(B136,country_opex,3,FALSE))+Y136+Z136+AA136+AB136+AC136)))</f>
        <v/>
      </c>
      <c r="AX136" s="54">
        <f>IF(((V136*pax_cap*load_mid*ROUND(N136*O136*revleg_mid,0))-(((battery/range_nm)*G136*ROUND(N136*O136*revleg_mid,0)*VLOOKUP(B136,country_opex,3,FALSE))+Y136+Z136+AA136+AB136+AC136))&lt;=0,"",VLOOKUP(B136,country_opex,7,FALSE)/((V136*pax_cap*load_mid*ROUND(N136*O136*revleg_mid,0))-(((battery/range_nm)*G136*ROUND(N136*O136*revleg_mid,0)*VLOOKUP(B136,country_opex,3,FALSE))+Y136+Z136+AA136+AB136+AC136)))</f>
        <v/>
      </c>
      <c r="AY136" s="54">
        <f>IF(((V136*pax_cap*load_full*ROUND(N136*O136*revleg_full,0))-(((battery/range_nm)*G136*ROUND(N136*O136*revleg_full,0)*VLOOKUP(B136,country_opex,3,FALSE))+Y136+Z136+AA136+AB136+AC136))&lt;=0,"",VLOOKUP(B136,country_opex,7,FALSE)/((V136*pax_cap*load_full*ROUND(N136*O136*revleg_full,0))-(((battery/range_nm)*G136*ROUND(N136*O136*revleg_full,0)*VLOOKUP(B136,country_opex,3,FALSE))+Y136+Z136+AA136+AB136+AC136)))</f>
        <v/>
      </c>
      <c r="AZ136" s="40" t="inlineStr">
        <is>
          <t>handoff/INDIA-ECONOMICS-SIDECAR-V0-2026-06-20.json (goa)</t>
        </is>
      </c>
      <c r="BA136" s="40" t="inlineStr">
        <is>
          <t>handoff/INDIA-ECONOMICS-SIDECAR-V0-2026-06-20.json (goa)</t>
        </is>
      </c>
    </row>
    <row r="137">
      <c r="A137" s="38" t="inlineStr">
        <is>
          <t>India Andaman Rapido</t>
        </is>
      </c>
      <c r="B137" s="38" t="inlineStr">
        <is>
          <t>India</t>
        </is>
      </c>
      <c r="C137" s="39" t="inlineStr">
        <is>
          <t>Chatham Jetty → Chatham Harbour</t>
        </is>
      </c>
      <c r="D137" s="38" t="inlineStr">
        <is>
          <t>rapido</t>
        </is>
      </c>
      <c r="E137" s="40" t="inlineStr">
        <is>
          <t>india-andaman-ola, india-andaman-rapido</t>
        </is>
      </c>
      <c r="F137" s="41" t="n">
        <v>2</v>
      </c>
      <c r="G137" s="42" t="n">
        <v>2.4</v>
      </c>
      <c r="H137" s="35" t="n">
        <v>22</v>
      </c>
      <c r="I137" s="43" t="inlineStr">
        <is>
          <t>T3</t>
        </is>
      </c>
      <c r="J137" s="43" t="inlineStr">
        <is>
          <t>med-low</t>
        </is>
      </c>
      <c r="K137" s="29" t="n">
        <v>1</v>
      </c>
      <c r="L137" s="44">
        <f>60*G137/cruise_kt</f>
        <v/>
      </c>
      <c r="M137" s="44">
        <f>L137+turn_min+dwell_min</f>
        <v/>
      </c>
      <c r="N137" s="45">
        <f>MIN(10,FLOOR(60*service_hr/M137,1))</f>
        <v/>
      </c>
      <c r="O137" s="45">
        <f>ROUND(365*mech_uptime*K137,0)</f>
        <v/>
      </c>
      <c r="P137" s="46">
        <f>mech_uptime</f>
        <v/>
      </c>
      <c r="Q137" s="46">
        <f>revleg_sel</f>
        <v/>
      </c>
      <c r="R137" s="45">
        <f>ROUND(N137*O137*revleg_sel,0)</f>
        <v/>
      </c>
      <c r="S137" s="47">
        <f>load_sel</f>
        <v/>
      </c>
      <c r="T137" s="47">
        <f>pax_cap*S137</f>
        <v/>
      </c>
      <c r="U137" s="45">
        <f>T137*R137</f>
        <v/>
      </c>
      <c r="V137" s="48">
        <f>H137*discount</f>
        <v/>
      </c>
      <c r="W137" s="49">
        <f>V137*U137</f>
        <v/>
      </c>
      <c r="X137" s="49">
        <f>(battery/range_nm)*G137*R137*VLOOKUP(B137,country_opex,3,FALSE)</f>
        <v/>
      </c>
      <c r="Y137" s="49">
        <f>VLOOKUP(B137,country_opex,2,FALSE)*crew_factor</f>
        <v/>
      </c>
      <c r="Z137" s="49">
        <f>VLOOKUP(B137,country_opex,5,FALSE)</f>
        <v/>
      </c>
      <c r="AA137" s="49">
        <f>maint</f>
        <v/>
      </c>
      <c r="AB137" s="49">
        <f>VLOOKUP(B137,country_opex,7,FALSE)*ins_pct</f>
        <v/>
      </c>
      <c r="AC137" s="49">
        <f>charge_berth</f>
        <v/>
      </c>
      <c r="AD137" s="49">
        <f>X137+Y137+Z137+AA137+AB137+AC137</f>
        <v/>
      </c>
      <c r="AE137" s="49">
        <f>VLOOKUP(B137,country_opex,7,FALSE)/dep_years</f>
        <v/>
      </c>
      <c r="AF137" s="49">
        <f>W137-AD137</f>
        <v/>
      </c>
      <c r="AG137" s="46">
        <f>IF(W137=0,"",AF137/W137)</f>
        <v/>
      </c>
      <c r="AH137" s="47">
        <f>IF(AF137&lt;=0,"",VLOOKUP(B137,country_opex,7,FALSE)/AF137)</f>
        <v/>
      </c>
      <c r="AI137" s="44">
        <f>((G137*R137/diesel_nmpg)*diesel_co2pg-(battery/range_nm)*G137*R137*VLOOKUP(B137,country_opex,4,FALSE))/1000</f>
        <v/>
      </c>
      <c r="AJ137" s="42" t="n">
        <v>5000</v>
      </c>
      <c r="AK137" s="43" t="inlineStr">
        <is>
          <t>T3</t>
        </is>
      </c>
      <c r="AL137" s="43" t="inlineStr">
        <is>
          <t>med-low</t>
        </is>
      </c>
      <c r="AM137" s="50" t="n">
        <v>0.1</v>
      </c>
      <c r="AN137" s="45">
        <f>IF(AJ137="","",AJ137*AM137)</f>
        <v/>
      </c>
      <c r="AO137" s="45">
        <f>IF(OR(AJ137="",U137=0),"",MIN(IF(AV137="",9.9E+99,AV137),FLOOR(AN137/U137,1)))</f>
        <v/>
      </c>
      <c r="AP137" s="49">
        <f>IF(AO137="","",AO137*W137)</f>
        <v/>
      </c>
      <c r="AQ137" s="47">
        <f>IF(OR(AJ137="",U137=0),"",MIN(IF(AV137="",9.9E+99,AV137),AN137/U137))</f>
        <v/>
      </c>
      <c r="AR137" s="49">
        <f>IF(AQ137="","",AQ137*W137)</f>
        <v/>
      </c>
      <c r="AS137" s="51" t="n"/>
      <c r="AT137" s="52" t="n"/>
      <c r="AU137" s="52" t="n"/>
      <c r="AV137" s="53" t="n"/>
      <c r="AW137" s="54">
        <f>IF(((V137*pax_cap*load_thin*ROUND(N137*O137*revleg_thin,0))-(((battery/range_nm)*G137*ROUND(N137*O137*revleg_thin,0)*VLOOKUP(B137,country_opex,3,FALSE))+Y137+Z137+AA137+AB137+AC137))&lt;=0,"",VLOOKUP(B137,country_opex,7,FALSE)/((V137*pax_cap*load_thin*ROUND(N137*O137*revleg_thin,0))-(((battery/range_nm)*G137*ROUND(N137*O137*revleg_thin,0)*VLOOKUP(B137,country_opex,3,FALSE))+Y137+Z137+AA137+AB137+AC137)))</f>
        <v/>
      </c>
      <c r="AX137" s="54">
        <f>IF(((V137*pax_cap*load_mid*ROUND(N137*O137*revleg_mid,0))-(((battery/range_nm)*G137*ROUND(N137*O137*revleg_mid,0)*VLOOKUP(B137,country_opex,3,FALSE))+Y137+Z137+AA137+AB137+AC137))&lt;=0,"",VLOOKUP(B137,country_opex,7,FALSE)/((V137*pax_cap*load_mid*ROUND(N137*O137*revleg_mid,0))-(((battery/range_nm)*G137*ROUND(N137*O137*revleg_mid,0)*VLOOKUP(B137,country_opex,3,FALSE))+Y137+Z137+AA137+AB137+AC137)))</f>
        <v/>
      </c>
      <c r="AY137" s="54">
        <f>IF(((V137*pax_cap*load_full*ROUND(N137*O137*revleg_full,0))-(((battery/range_nm)*G137*ROUND(N137*O137*revleg_full,0)*VLOOKUP(B137,country_opex,3,FALSE))+Y137+Z137+AA137+AB137+AC137))&lt;=0,"",VLOOKUP(B137,country_opex,7,FALSE)/((V137*pax_cap*load_full*ROUND(N137*O137*revleg_full,0))-(((battery/range_nm)*G137*ROUND(N137*O137*revleg_full,0)*VLOOKUP(B137,country_opex,3,FALSE))+Y137+Z137+AA137+AB137+AC137)))</f>
        <v/>
      </c>
      <c r="AZ137" s="40" t="inlineStr">
        <is>
          <t>handoff/INDIA-ECONOMICS-SIDECAR-V0-2026-06-20.json (andaman)</t>
        </is>
      </c>
      <c r="BA137" s="40" t="inlineStr">
        <is>
          <t>handoff/INDIA-ECONOMICS-SIDECAR-V0-2026-06-20.json (andaman)</t>
        </is>
      </c>
    </row>
    <row r="138">
      <c r="A138" s="38" t="inlineStr">
        <is>
          <t>India Andaman Rapido</t>
        </is>
      </c>
      <c r="B138" s="38" t="inlineStr">
        <is>
          <t>India</t>
        </is>
      </c>
      <c r="C138" s="39" t="inlineStr">
        <is>
          <t>Andaman → Fisheries Jetty</t>
        </is>
      </c>
      <c r="D138" s="38" t="inlineStr">
        <is>
          <t>rapido</t>
        </is>
      </c>
      <c r="E138" s="40" t="inlineStr">
        <is>
          <t>india-andaman-ola, india-andaman-rapido</t>
        </is>
      </c>
      <c r="F138" s="41" t="n">
        <v>2</v>
      </c>
      <c r="G138" s="42" t="n">
        <v>2.4</v>
      </c>
      <c r="H138" s="35" t="n">
        <v>22</v>
      </c>
      <c r="I138" s="43" t="inlineStr">
        <is>
          <t>T3</t>
        </is>
      </c>
      <c r="J138" s="43" t="inlineStr">
        <is>
          <t>med-low</t>
        </is>
      </c>
      <c r="K138" s="29" t="n">
        <v>1</v>
      </c>
      <c r="L138" s="44">
        <f>60*G138/cruise_kt</f>
        <v/>
      </c>
      <c r="M138" s="44">
        <f>L138+turn_min+dwell_min</f>
        <v/>
      </c>
      <c r="N138" s="45">
        <f>MIN(10,FLOOR(60*service_hr/M138,1))</f>
        <v/>
      </c>
      <c r="O138" s="45">
        <f>ROUND(365*mech_uptime*K138,0)</f>
        <v/>
      </c>
      <c r="P138" s="46">
        <f>mech_uptime</f>
        <v/>
      </c>
      <c r="Q138" s="46">
        <f>revleg_sel</f>
        <v/>
      </c>
      <c r="R138" s="45">
        <f>ROUND(N138*O138*revleg_sel,0)</f>
        <v/>
      </c>
      <c r="S138" s="47">
        <f>load_sel</f>
        <v/>
      </c>
      <c r="T138" s="47">
        <f>pax_cap*S138</f>
        <v/>
      </c>
      <c r="U138" s="45">
        <f>T138*R138</f>
        <v/>
      </c>
      <c r="V138" s="48">
        <f>H138*discount</f>
        <v/>
      </c>
      <c r="W138" s="49">
        <f>V138*U138</f>
        <v/>
      </c>
      <c r="X138" s="49">
        <f>(battery/range_nm)*G138*R138*VLOOKUP(B138,country_opex,3,FALSE)</f>
        <v/>
      </c>
      <c r="Y138" s="49">
        <f>VLOOKUP(B138,country_opex,2,FALSE)*crew_factor</f>
        <v/>
      </c>
      <c r="Z138" s="49">
        <f>VLOOKUP(B138,country_opex,5,FALSE)</f>
        <v/>
      </c>
      <c r="AA138" s="49">
        <f>maint</f>
        <v/>
      </c>
      <c r="AB138" s="49">
        <f>VLOOKUP(B138,country_opex,7,FALSE)*ins_pct</f>
        <v/>
      </c>
      <c r="AC138" s="49">
        <f>charge_berth</f>
        <v/>
      </c>
      <c r="AD138" s="49">
        <f>X138+Y138+Z138+AA138+AB138+AC138</f>
        <v/>
      </c>
      <c r="AE138" s="49">
        <f>VLOOKUP(B138,country_opex,7,FALSE)/dep_years</f>
        <v/>
      </c>
      <c r="AF138" s="49">
        <f>W138-AD138</f>
        <v/>
      </c>
      <c r="AG138" s="46">
        <f>IF(W138=0,"",AF138/W138)</f>
        <v/>
      </c>
      <c r="AH138" s="47">
        <f>IF(AF138&lt;=0,"",VLOOKUP(B138,country_opex,7,FALSE)/AF138)</f>
        <v/>
      </c>
      <c r="AI138" s="44">
        <f>((G138*R138/diesel_nmpg)*diesel_co2pg-(battery/range_nm)*G138*R138*VLOOKUP(B138,country_opex,4,FALSE))/1000</f>
        <v/>
      </c>
      <c r="AJ138" s="42" t="n">
        <v>5000</v>
      </c>
      <c r="AK138" s="43" t="inlineStr">
        <is>
          <t>T3</t>
        </is>
      </c>
      <c r="AL138" s="43" t="inlineStr">
        <is>
          <t>med-low</t>
        </is>
      </c>
      <c r="AM138" s="50" t="n">
        <v>0.1</v>
      </c>
      <c r="AN138" s="45">
        <f>IF(AJ138="","",AJ138*AM138)</f>
        <v/>
      </c>
      <c r="AO138" s="45">
        <f>IF(OR(AJ138="",U138=0),"",MIN(IF(AV138="",9.9E+99,AV138),FLOOR(AN138/U138,1)))</f>
        <v/>
      </c>
      <c r="AP138" s="49">
        <f>IF(AO138="","",AO138*W138)</f>
        <v/>
      </c>
      <c r="AQ138" s="47">
        <f>IF(OR(AJ138="",U138=0),"",MIN(IF(AV138="",9.9E+99,AV138),AN138/U138))</f>
        <v/>
      </c>
      <c r="AR138" s="49">
        <f>IF(AQ138="","",AQ138*W138)</f>
        <v/>
      </c>
      <c r="AS138" s="51" t="n"/>
      <c r="AT138" s="52" t="n"/>
      <c r="AU138" s="52" t="n"/>
      <c r="AV138" s="53" t="n"/>
      <c r="AW138" s="54">
        <f>IF(((V138*pax_cap*load_thin*ROUND(N138*O138*revleg_thin,0))-(((battery/range_nm)*G138*ROUND(N138*O138*revleg_thin,0)*VLOOKUP(B138,country_opex,3,FALSE))+Y138+Z138+AA138+AB138+AC138))&lt;=0,"",VLOOKUP(B138,country_opex,7,FALSE)/((V138*pax_cap*load_thin*ROUND(N138*O138*revleg_thin,0))-(((battery/range_nm)*G138*ROUND(N138*O138*revleg_thin,0)*VLOOKUP(B138,country_opex,3,FALSE))+Y138+Z138+AA138+AB138+AC138)))</f>
        <v/>
      </c>
      <c r="AX138" s="54">
        <f>IF(((V138*pax_cap*load_mid*ROUND(N138*O138*revleg_mid,0))-(((battery/range_nm)*G138*ROUND(N138*O138*revleg_mid,0)*VLOOKUP(B138,country_opex,3,FALSE))+Y138+Z138+AA138+AB138+AC138))&lt;=0,"",VLOOKUP(B138,country_opex,7,FALSE)/((V138*pax_cap*load_mid*ROUND(N138*O138*revleg_mid,0))-(((battery/range_nm)*G138*ROUND(N138*O138*revleg_mid,0)*VLOOKUP(B138,country_opex,3,FALSE))+Y138+Z138+AA138+AB138+AC138)))</f>
        <v/>
      </c>
      <c r="AY138" s="54">
        <f>IF(((V138*pax_cap*load_full*ROUND(N138*O138*revleg_full,0))-(((battery/range_nm)*G138*ROUND(N138*O138*revleg_full,0)*VLOOKUP(B138,country_opex,3,FALSE))+Y138+Z138+AA138+AB138+AC138))&lt;=0,"",VLOOKUP(B138,country_opex,7,FALSE)/((V138*pax_cap*load_full*ROUND(N138*O138*revleg_full,0))-(((battery/range_nm)*G138*ROUND(N138*O138*revleg_full,0)*VLOOKUP(B138,country_opex,3,FALSE))+Y138+Z138+AA138+AB138+AC138)))</f>
        <v/>
      </c>
      <c r="AZ138" s="40" t="inlineStr">
        <is>
          <t>handoff/INDIA-ECONOMICS-SIDECAR-V0-2026-06-20.json (andaman)</t>
        </is>
      </c>
      <c r="BA138" s="40" t="inlineStr">
        <is>
          <t>handoff/INDIA-ECONOMICS-SIDECAR-V0-2026-06-20.json (andaman)</t>
        </is>
      </c>
    </row>
    <row r="139">
      <c r="A139" s="38" t="inlineStr">
        <is>
          <t>India Mumbai Rapido</t>
        </is>
      </c>
      <c r="B139" s="38" t="inlineStr">
        <is>
          <t>India</t>
        </is>
      </c>
      <c r="C139" s="39" t="inlineStr">
        <is>
          <t>Bhaucha Dhakka → Cordelia Cruises</t>
        </is>
      </c>
      <c r="D139" s="38" t="inlineStr">
        <is>
          <t>rapido</t>
        </is>
      </c>
      <c r="E139" s="40" t="inlineStr">
        <is>
          <t>india-mumbai-ola, india-mumbai-rapido</t>
        </is>
      </c>
      <c r="F139" s="41" t="n">
        <v>2</v>
      </c>
      <c r="G139" s="42" t="n">
        <v>2.5</v>
      </c>
      <c r="H139" s="35" t="n">
        <v>18</v>
      </c>
      <c r="I139" s="43" t="inlineStr">
        <is>
          <t>T3</t>
        </is>
      </c>
      <c r="J139" s="43" t="inlineStr">
        <is>
          <t>med-low</t>
        </is>
      </c>
      <c r="K139" s="29" t="n">
        <v>1</v>
      </c>
      <c r="L139" s="44">
        <f>60*G139/cruise_kt</f>
        <v/>
      </c>
      <c r="M139" s="44">
        <f>L139+turn_min+dwell_min</f>
        <v/>
      </c>
      <c r="N139" s="45">
        <f>MIN(10,FLOOR(60*service_hr/M139,1))</f>
        <v/>
      </c>
      <c r="O139" s="45">
        <f>ROUND(365*mech_uptime*K139,0)</f>
        <v/>
      </c>
      <c r="P139" s="46">
        <f>mech_uptime</f>
        <v/>
      </c>
      <c r="Q139" s="46">
        <f>revleg_sel</f>
        <v/>
      </c>
      <c r="R139" s="45">
        <f>ROUND(N139*O139*revleg_sel,0)</f>
        <v/>
      </c>
      <c r="S139" s="47">
        <f>load_sel</f>
        <v/>
      </c>
      <c r="T139" s="47">
        <f>pax_cap*S139</f>
        <v/>
      </c>
      <c r="U139" s="45">
        <f>T139*R139</f>
        <v/>
      </c>
      <c r="V139" s="48">
        <f>H139*discount</f>
        <v/>
      </c>
      <c r="W139" s="49">
        <f>V139*U139</f>
        <v/>
      </c>
      <c r="X139" s="49">
        <f>(battery/range_nm)*G139*R139*VLOOKUP(B139,country_opex,3,FALSE)</f>
        <v/>
      </c>
      <c r="Y139" s="49">
        <f>VLOOKUP(B139,country_opex,2,FALSE)*crew_factor</f>
        <v/>
      </c>
      <c r="Z139" s="49">
        <f>VLOOKUP(B139,country_opex,5,FALSE)</f>
        <v/>
      </c>
      <c r="AA139" s="49">
        <f>maint</f>
        <v/>
      </c>
      <c r="AB139" s="49">
        <f>VLOOKUP(B139,country_opex,7,FALSE)*ins_pct</f>
        <v/>
      </c>
      <c r="AC139" s="49">
        <f>charge_berth</f>
        <v/>
      </c>
      <c r="AD139" s="49">
        <f>X139+Y139+Z139+AA139+AB139+AC139</f>
        <v/>
      </c>
      <c r="AE139" s="49">
        <f>VLOOKUP(B139,country_opex,7,FALSE)/dep_years</f>
        <v/>
      </c>
      <c r="AF139" s="49">
        <f>W139-AD139</f>
        <v/>
      </c>
      <c r="AG139" s="46">
        <f>IF(W139=0,"",AF139/W139)</f>
        <v/>
      </c>
      <c r="AH139" s="47">
        <f>IF(AF139&lt;=0,"",VLOOKUP(B139,country_opex,7,FALSE)/AF139)</f>
        <v/>
      </c>
      <c r="AI139" s="44">
        <f>((G139*R139/diesel_nmpg)*diesel_co2pg-(battery/range_nm)*G139*R139*VLOOKUP(B139,country_opex,4,FALSE))/1000</f>
        <v/>
      </c>
      <c r="AJ139" s="42" t="n">
        <v>5000</v>
      </c>
      <c r="AK139" s="43" t="inlineStr">
        <is>
          <t>T3</t>
        </is>
      </c>
      <c r="AL139" s="43" t="inlineStr">
        <is>
          <t>med-low</t>
        </is>
      </c>
      <c r="AM139" s="50" t="n">
        <v>0.1</v>
      </c>
      <c r="AN139" s="45">
        <f>IF(AJ139="","",AJ139*AM139)</f>
        <v/>
      </c>
      <c r="AO139" s="45">
        <f>IF(OR(AJ139="",U139=0),"",MIN(IF(AV139="",9.9E+99,AV139),FLOOR(AN139/U139,1)))</f>
        <v/>
      </c>
      <c r="AP139" s="49">
        <f>IF(AO139="","",AO139*W139)</f>
        <v/>
      </c>
      <c r="AQ139" s="47">
        <f>IF(OR(AJ139="",U139=0),"",MIN(IF(AV139="",9.9E+99,AV139),AN139/U139))</f>
        <v/>
      </c>
      <c r="AR139" s="49">
        <f>IF(AQ139="","",AQ139*W139)</f>
        <v/>
      </c>
      <c r="AS139" s="51" t="n"/>
      <c r="AT139" s="52" t="n"/>
      <c r="AU139" s="52" t="n"/>
      <c r="AV139" s="53" t="n"/>
      <c r="AW139" s="54">
        <f>IF(((V139*pax_cap*load_thin*ROUND(N139*O139*revleg_thin,0))-(((battery/range_nm)*G139*ROUND(N139*O139*revleg_thin,0)*VLOOKUP(B139,country_opex,3,FALSE))+Y139+Z139+AA139+AB139+AC139))&lt;=0,"",VLOOKUP(B139,country_opex,7,FALSE)/((V139*pax_cap*load_thin*ROUND(N139*O139*revleg_thin,0))-(((battery/range_nm)*G139*ROUND(N139*O139*revleg_thin,0)*VLOOKUP(B139,country_opex,3,FALSE))+Y139+Z139+AA139+AB139+AC139)))</f>
        <v/>
      </c>
      <c r="AX139" s="54">
        <f>IF(((V139*pax_cap*load_mid*ROUND(N139*O139*revleg_mid,0))-(((battery/range_nm)*G139*ROUND(N139*O139*revleg_mid,0)*VLOOKUP(B139,country_opex,3,FALSE))+Y139+Z139+AA139+AB139+AC139))&lt;=0,"",VLOOKUP(B139,country_opex,7,FALSE)/((V139*pax_cap*load_mid*ROUND(N139*O139*revleg_mid,0))-(((battery/range_nm)*G139*ROUND(N139*O139*revleg_mid,0)*VLOOKUP(B139,country_opex,3,FALSE))+Y139+Z139+AA139+AB139+AC139)))</f>
        <v/>
      </c>
      <c r="AY139" s="54">
        <f>IF(((V139*pax_cap*load_full*ROUND(N139*O139*revleg_full,0))-(((battery/range_nm)*G139*ROUND(N139*O139*revleg_full,0)*VLOOKUP(B139,country_opex,3,FALSE))+Y139+Z139+AA139+AB139+AC139))&lt;=0,"",VLOOKUP(B139,country_opex,7,FALSE)/((V139*pax_cap*load_full*ROUND(N139*O139*revleg_full,0))-(((battery/range_nm)*G139*ROUND(N139*O139*revleg_full,0)*VLOOKUP(B139,country_opex,3,FALSE))+Y139+Z139+AA139+AB139+AC139)))</f>
        <v/>
      </c>
      <c r="AZ139" s="40" t="inlineStr">
        <is>
          <t>[LB-255 PREMIUM RE-FARE: subsidized comparable $5.5 lifted to premium on-demand floor $18.0] handoff/INDIA-ECONOMICS-SIDECAR-V0-2026-06-20.json (mumbai)</t>
        </is>
      </c>
      <c r="BA139" s="40" t="inlineStr">
        <is>
          <t>handoff/INDIA-ECONOMICS-SIDECAR-V0-2026-06-20.json (mumbai)</t>
        </is>
      </c>
    </row>
    <row r="140">
      <c r="A140" s="38" t="inlineStr">
        <is>
          <t>India Mumbai Rapido</t>
        </is>
      </c>
      <c r="B140" s="38" t="inlineStr">
        <is>
          <t>India</t>
        </is>
      </c>
      <c r="C140" s="39" t="inlineStr">
        <is>
          <t>Bhaucha Dhakka Ferry Boat Service → Cordelia Cruises</t>
        </is>
      </c>
      <c r="D140" s="38" t="inlineStr">
        <is>
          <t>rapido</t>
        </is>
      </c>
      <c r="E140" s="40" t="inlineStr">
        <is>
          <t>india-mumbai-ola, india-mumbai-rapido</t>
        </is>
      </c>
      <c r="F140" s="41" t="n">
        <v>2</v>
      </c>
      <c r="G140" s="42" t="n">
        <v>2.5</v>
      </c>
      <c r="H140" s="35" t="n">
        <v>18</v>
      </c>
      <c r="I140" s="43" t="inlineStr">
        <is>
          <t>T3</t>
        </is>
      </c>
      <c r="J140" s="43" t="inlineStr">
        <is>
          <t>med-low</t>
        </is>
      </c>
      <c r="K140" s="29" t="n">
        <v>1</v>
      </c>
      <c r="L140" s="44">
        <f>60*G140/cruise_kt</f>
        <v/>
      </c>
      <c r="M140" s="44">
        <f>L140+turn_min+dwell_min</f>
        <v/>
      </c>
      <c r="N140" s="45">
        <f>MIN(10,FLOOR(60*service_hr/M140,1))</f>
        <v/>
      </c>
      <c r="O140" s="45">
        <f>ROUND(365*mech_uptime*K140,0)</f>
        <v/>
      </c>
      <c r="P140" s="46">
        <f>mech_uptime</f>
        <v/>
      </c>
      <c r="Q140" s="46">
        <f>revleg_sel</f>
        <v/>
      </c>
      <c r="R140" s="45">
        <f>ROUND(N140*O140*revleg_sel,0)</f>
        <v/>
      </c>
      <c r="S140" s="47">
        <f>load_sel</f>
        <v/>
      </c>
      <c r="T140" s="47">
        <f>pax_cap*S140</f>
        <v/>
      </c>
      <c r="U140" s="45">
        <f>T140*R140</f>
        <v/>
      </c>
      <c r="V140" s="48">
        <f>H140*discount</f>
        <v/>
      </c>
      <c r="W140" s="49">
        <f>V140*U140</f>
        <v/>
      </c>
      <c r="X140" s="49">
        <f>(battery/range_nm)*G140*R140*VLOOKUP(B140,country_opex,3,FALSE)</f>
        <v/>
      </c>
      <c r="Y140" s="49">
        <f>VLOOKUP(B140,country_opex,2,FALSE)*crew_factor</f>
        <v/>
      </c>
      <c r="Z140" s="49">
        <f>VLOOKUP(B140,country_opex,5,FALSE)</f>
        <v/>
      </c>
      <c r="AA140" s="49">
        <f>maint</f>
        <v/>
      </c>
      <c r="AB140" s="49">
        <f>VLOOKUP(B140,country_opex,7,FALSE)*ins_pct</f>
        <v/>
      </c>
      <c r="AC140" s="49">
        <f>charge_berth</f>
        <v/>
      </c>
      <c r="AD140" s="49">
        <f>X140+Y140+Z140+AA140+AB140+AC140</f>
        <v/>
      </c>
      <c r="AE140" s="49">
        <f>VLOOKUP(B140,country_opex,7,FALSE)/dep_years</f>
        <v/>
      </c>
      <c r="AF140" s="49">
        <f>W140-AD140</f>
        <v/>
      </c>
      <c r="AG140" s="46">
        <f>IF(W140=0,"",AF140/W140)</f>
        <v/>
      </c>
      <c r="AH140" s="47">
        <f>IF(AF140&lt;=0,"",VLOOKUP(B140,country_opex,7,FALSE)/AF140)</f>
        <v/>
      </c>
      <c r="AI140" s="44">
        <f>((G140*R140/diesel_nmpg)*diesel_co2pg-(battery/range_nm)*G140*R140*VLOOKUP(B140,country_opex,4,FALSE))/1000</f>
        <v/>
      </c>
      <c r="AJ140" s="42" t="n">
        <v>5000</v>
      </c>
      <c r="AK140" s="43" t="inlineStr">
        <is>
          <t>T3</t>
        </is>
      </c>
      <c r="AL140" s="43" t="inlineStr">
        <is>
          <t>med-low</t>
        </is>
      </c>
      <c r="AM140" s="50" t="n">
        <v>0.1</v>
      </c>
      <c r="AN140" s="45">
        <f>IF(AJ140="","",AJ140*AM140)</f>
        <v/>
      </c>
      <c r="AO140" s="45">
        <f>IF(OR(AJ140="",U140=0),"",MIN(IF(AV140="",9.9E+99,AV140),FLOOR(AN140/U140,1)))</f>
        <v/>
      </c>
      <c r="AP140" s="49">
        <f>IF(AO140="","",AO140*W140)</f>
        <v/>
      </c>
      <c r="AQ140" s="47">
        <f>IF(OR(AJ140="",U140=0),"",MIN(IF(AV140="",9.9E+99,AV140),AN140/U140))</f>
        <v/>
      </c>
      <c r="AR140" s="49">
        <f>IF(AQ140="","",AQ140*W140)</f>
        <v/>
      </c>
      <c r="AS140" s="51" t="n"/>
      <c r="AT140" s="52" t="n"/>
      <c r="AU140" s="52" t="n"/>
      <c r="AV140" s="53" t="n"/>
      <c r="AW140" s="54">
        <f>IF(((V140*pax_cap*load_thin*ROUND(N140*O140*revleg_thin,0))-(((battery/range_nm)*G140*ROUND(N140*O140*revleg_thin,0)*VLOOKUP(B140,country_opex,3,FALSE))+Y140+Z140+AA140+AB140+AC140))&lt;=0,"",VLOOKUP(B140,country_opex,7,FALSE)/((V140*pax_cap*load_thin*ROUND(N140*O140*revleg_thin,0))-(((battery/range_nm)*G140*ROUND(N140*O140*revleg_thin,0)*VLOOKUP(B140,country_opex,3,FALSE))+Y140+Z140+AA140+AB140+AC140)))</f>
        <v/>
      </c>
      <c r="AX140" s="54">
        <f>IF(((V140*pax_cap*load_mid*ROUND(N140*O140*revleg_mid,0))-(((battery/range_nm)*G140*ROUND(N140*O140*revleg_mid,0)*VLOOKUP(B140,country_opex,3,FALSE))+Y140+Z140+AA140+AB140+AC140))&lt;=0,"",VLOOKUP(B140,country_opex,7,FALSE)/((V140*pax_cap*load_mid*ROUND(N140*O140*revleg_mid,0))-(((battery/range_nm)*G140*ROUND(N140*O140*revleg_mid,0)*VLOOKUP(B140,country_opex,3,FALSE))+Y140+Z140+AA140+AB140+AC140)))</f>
        <v/>
      </c>
      <c r="AY140" s="54">
        <f>IF(((V140*pax_cap*load_full*ROUND(N140*O140*revleg_full,0))-(((battery/range_nm)*G140*ROUND(N140*O140*revleg_full,0)*VLOOKUP(B140,country_opex,3,FALSE))+Y140+Z140+AA140+AB140+AC140))&lt;=0,"",VLOOKUP(B140,country_opex,7,FALSE)/((V140*pax_cap*load_full*ROUND(N140*O140*revleg_full,0))-(((battery/range_nm)*G140*ROUND(N140*O140*revleg_full,0)*VLOOKUP(B140,country_opex,3,FALSE))+Y140+Z140+AA140+AB140+AC140)))</f>
        <v/>
      </c>
      <c r="AZ140" s="40" t="inlineStr">
        <is>
          <t>[LB-255 PREMIUM RE-FARE: subsidized comparable $5.5 lifted to premium on-demand floor $18.0] handoff/INDIA-ECONOMICS-SIDECAR-V0-2026-06-20.json (mumbai)</t>
        </is>
      </c>
      <c r="BA140" s="40" t="inlineStr">
        <is>
          <t>handoff/INDIA-ECONOMICS-SIDECAR-V0-2026-06-20.json (mumbai)</t>
        </is>
      </c>
    </row>
    <row r="141">
      <c r="A141" s="38" t="inlineStr">
        <is>
          <t>India Andaman Rapido</t>
        </is>
      </c>
      <c r="B141" s="38" t="inlineStr">
        <is>
          <t>India</t>
        </is>
      </c>
      <c r="C141" s="39" t="inlineStr">
        <is>
          <t>Haddo Jetty → Chatham Harbour</t>
        </is>
      </c>
      <c r="D141" s="38" t="inlineStr">
        <is>
          <t>rapido</t>
        </is>
      </c>
      <c r="E141" s="40" t="inlineStr">
        <is>
          <t>india-andaman-ola, india-andaman-rapido</t>
        </is>
      </c>
      <c r="F141" s="41" t="n">
        <v>2</v>
      </c>
      <c r="G141" s="42" t="n">
        <v>2.5</v>
      </c>
      <c r="H141" s="35" t="n">
        <v>22</v>
      </c>
      <c r="I141" s="43" t="inlineStr">
        <is>
          <t>T3</t>
        </is>
      </c>
      <c r="J141" s="43" t="inlineStr">
        <is>
          <t>med-low</t>
        </is>
      </c>
      <c r="K141" s="29" t="n">
        <v>1</v>
      </c>
      <c r="L141" s="44">
        <f>60*G141/cruise_kt</f>
        <v/>
      </c>
      <c r="M141" s="44">
        <f>L141+turn_min+dwell_min</f>
        <v/>
      </c>
      <c r="N141" s="45">
        <f>MIN(10,FLOOR(60*service_hr/M141,1))</f>
        <v/>
      </c>
      <c r="O141" s="45">
        <f>ROUND(365*mech_uptime*K141,0)</f>
        <v/>
      </c>
      <c r="P141" s="46">
        <f>mech_uptime</f>
        <v/>
      </c>
      <c r="Q141" s="46">
        <f>revleg_sel</f>
        <v/>
      </c>
      <c r="R141" s="45">
        <f>ROUND(N141*O141*revleg_sel,0)</f>
        <v/>
      </c>
      <c r="S141" s="47">
        <f>load_sel</f>
        <v/>
      </c>
      <c r="T141" s="47">
        <f>pax_cap*S141</f>
        <v/>
      </c>
      <c r="U141" s="45">
        <f>T141*R141</f>
        <v/>
      </c>
      <c r="V141" s="48">
        <f>H141*discount</f>
        <v/>
      </c>
      <c r="W141" s="49">
        <f>V141*U141</f>
        <v/>
      </c>
      <c r="X141" s="49">
        <f>(battery/range_nm)*G141*R141*VLOOKUP(B141,country_opex,3,FALSE)</f>
        <v/>
      </c>
      <c r="Y141" s="49">
        <f>VLOOKUP(B141,country_opex,2,FALSE)*crew_factor</f>
        <v/>
      </c>
      <c r="Z141" s="49">
        <f>VLOOKUP(B141,country_opex,5,FALSE)</f>
        <v/>
      </c>
      <c r="AA141" s="49">
        <f>maint</f>
        <v/>
      </c>
      <c r="AB141" s="49">
        <f>VLOOKUP(B141,country_opex,7,FALSE)*ins_pct</f>
        <v/>
      </c>
      <c r="AC141" s="49">
        <f>charge_berth</f>
        <v/>
      </c>
      <c r="AD141" s="49">
        <f>X141+Y141+Z141+AA141+AB141+AC141</f>
        <v/>
      </c>
      <c r="AE141" s="49">
        <f>VLOOKUP(B141,country_opex,7,FALSE)/dep_years</f>
        <v/>
      </c>
      <c r="AF141" s="49">
        <f>W141-AD141</f>
        <v/>
      </c>
      <c r="AG141" s="46">
        <f>IF(W141=0,"",AF141/W141)</f>
        <v/>
      </c>
      <c r="AH141" s="47">
        <f>IF(AF141&lt;=0,"",VLOOKUP(B141,country_opex,7,FALSE)/AF141)</f>
        <v/>
      </c>
      <c r="AI141" s="44">
        <f>((G141*R141/diesel_nmpg)*diesel_co2pg-(battery/range_nm)*G141*R141*VLOOKUP(B141,country_opex,4,FALSE))/1000</f>
        <v/>
      </c>
      <c r="AJ141" s="42" t="n">
        <v>5000</v>
      </c>
      <c r="AK141" s="43" t="inlineStr">
        <is>
          <t>T3</t>
        </is>
      </c>
      <c r="AL141" s="43" t="inlineStr">
        <is>
          <t>med-low</t>
        </is>
      </c>
      <c r="AM141" s="50" t="n">
        <v>0.1</v>
      </c>
      <c r="AN141" s="45">
        <f>IF(AJ141="","",AJ141*AM141)</f>
        <v/>
      </c>
      <c r="AO141" s="45">
        <f>IF(OR(AJ141="",U141=0),"",MIN(IF(AV141="",9.9E+99,AV141),FLOOR(AN141/U141,1)))</f>
        <v/>
      </c>
      <c r="AP141" s="49">
        <f>IF(AO141="","",AO141*W141)</f>
        <v/>
      </c>
      <c r="AQ141" s="47">
        <f>IF(OR(AJ141="",U141=0),"",MIN(IF(AV141="",9.9E+99,AV141),AN141/U141))</f>
        <v/>
      </c>
      <c r="AR141" s="49">
        <f>IF(AQ141="","",AQ141*W141)</f>
        <v/>
      </c>
      <c r="AS141" s="51" t="n"/>
      <c r="AT141" s="52" t="n"/>
      <c r="AU141" s="52" t="n"/>
      <c r="AV141" s="53" t="n"/>
      <c r="AW141" s="54">
        <f>IF(((V141*pax_cap*load_thin*ROUND(N141*O141*revleg_thin,0))-(((battery/range_nm)*G141*ROUND(N141*O141*revleg_thin,0)*VLOOKUP(B141,country_opex,3,FALSE))+Y141+Z141+AA141+AB141+AC141))&lt;=0,"",VLOOKUP(B141,country_opex,7,FALSE)/((V141*pax_cap*load_thin*ROUND(N141*O141*revleg_thin,0))-(((battery/range_nm)*G141*ROUND(N141*O141*revleg_thin,0)*VLOOKUP(B141,country_opex,3,FALSE))+Y141+Z141+AA141+AB141+AC141)))</f>
        <v/>
      </c>
      <c r="AX141" s="54">
        <f>IF(((V141*pax_cap*load_mid*ROUND(N141*O141*revleg_mid,0))-(((battery/range_nm)*G141*ROUND(N141*O141*revleg_mid,0)*VLOOKUP(B141,country_opex,3,FALSE))+Y141+Z141+AA141+AB141+AC141))&lt;=0,"",VLOOKUP(B141,country_opex,7,FALSE)/((V141*pax_cap*load_mid*ROUND(N141*O141*revleg_mid,0))-(((battery/range_nm)*G141*ROUND(N141*O141*revleg_mid,0)*VLOOKUP(B141,country_opex,3,FALSE))+Y141+Z141+AA141+AB141+AC141)))</f>
        <v/>
      </c>
      <c r="AY141" s="54">
        <f>IF(((V141*pax_cap*load_full*ROUND(N141*O141*revleg_full,0))-(((battery/range_nm)*G141*ROUND(N141*O141*revleg_full,0)*VLOOKUP(B141,country_opex,3,FALSE))+Y141+Z141+AA141+AB141+AC141))&lt;=0,"",VLOOKUP(B141,country_opex,7,FALSE)/((V141*pax_cap*load_full*ROUND(N141*O141*revleg_full,0))-(((battery/range_nm)*G141*ROUND(N141*O141*revleg_full,0)*VLOOKUP(B141,country_opex,3,FALSE))+Y141+Z141+AA141+AB141+AC141)))</f>
        <v/>
      </c>
      <c r="AZ141" s="40" t="inlineStr">
        <is>
          <t>handoff/INDIA-ECONOMICS-SIDECAR-V0-2026-06-20.json (andaman)</t>
        </is>
      </c>
      <c r="BA141" s="40" t="inlineStr">
        <is>
          <t>handoff/INDIA-ECONOMICS-SIDECAR-V0-2026-06-20.json (andaman)</t>
        </is>
      </c>
    </row>
    <row r="142">
      <c r="A142" s="38" t="inlineStr">
        <is>
          <t>India Andaman Rapido</t>
        </is>
      </c>
      <c r="B142" s="38" t="inlineStr">
        <is>
          <t>India</t>
        </is>
      </c>
      <c r="C142" s="39" t="inlineStr">
        <is>
          <t>Gamefishing Asia → Haddo Jetty</t>
        </is>
      </c>
      <c r="D142" s="38" t="inlineStr">
        <is>
          <t>rapido</t>
        </is>
      </c>
      <c r="E142" s="40" t="inlineStr">
        <is>
          <t>india-andaman-ola, india-andaman-rapido</t>
        </is>
      </c>
      <c r="F142" s="41" t="n">
        <v>2</v>
      </c>
      <c r="G142" s="42" t="n">
        <v>2.5</v>
      </c>
      <c r="H142" s="35" t="n">
        <v>22</v>
      </c>
      <c r="I142" s="43" t="inlineStr">
        <is>
          <t>T3</t>
        </is>
      </c>
      <c r="J142" s="43" t="inlineStr">
        <is>
          <t>med-low</t>
        </is>
      </c>
      <c r="K142" s="29" t="n">
        <v>1</v>
      </c>
      <c r="L142" s="44">
        <f>60*G142/cruise_kt</f>
        <v/>
      </c>
      <c r="M142" s="44">
        <f>L142+turn_min+dwell_min</f>
        <v/>
      </c>
      <c r="N142" s="45">
        <f>MIN(10,FLOOR(60*service_hr/M142,1))</f>
        <v/>
      </c>
      <c r="O142" s="45">
        <f>ROUND(365*mech_uptime*K142,0)</f>
        <v/>
      </c>
      <c r="P142" s="46">
        <f>mech_uptime</f>
        <v/>
      </c>
      <c r="Q142" s="46">
        <f>revleg_sel</f>
        <v/>
      </c>
      <c r="R142" s="45">
        <f>ROUND(N142*O142*revleg_sel,0)</f>
        <v/>
      </c>
      <c r="S142" s="47">
        <f>load_sel</f>
        <v/>
      </c>
      <c r="T142" s="47">
        <f>pax_cap*S142</f>
        <v/>
      </c>
      <c r="U142" s="45">
        <f>T142*R142</f>
        <v/>
      </c>
      <c r="V142" s="48">
        <f>H142*discount</f>
        <v/>
      </c>
      <c r="W142" s="49">
        <f>V142*U142</f>
        <v/>
      </c>
      <c r="X142" s="49">
        <f>(battery/range_nm)*G142*R142*VLOOKUP(B142,country_opex,3,FALSE)</f>
        <v/>
      </c>
      <c r="Y142" s="49">
        <f>VLOOKUP(B142,country_opex,2,FALSE)*crew_factor</f>
        <v/>
      </c>
      <c r="Z142" s="49">
        <f>VLOOKUP(B142,country_opex,5,FALSE)</f>
        <v/>
      </c>
      <c r="AA142" s="49">
        <f>maint</f>
        <v/>
      </c>
      <c r="AB142" s="49">
        <f>VLOOKUP(B142,country_opex,7,FALSE)*ins_pct</f>
        <v/>
      </c>
      <c r="AC142" s="49">
        <f>charge_berth</f>
        <v/>
      </c>
      <c r="AD142" s="49">
        <f>X142+Y142+Z142+AA142+AB142+AC142</f>
        <v/>
      </c>
      <c r="AE142" s="49">
        <f>VLOOKUP(B142,country_opex,7,FALSE)/dep_years</f>
        <v/>
      </c>
      <c r="AF142" s="49">
        <f>W142-AD142</f>
        <v/>
      </c>
      <c r="AG142" s="46">
        <f>IF(W142=0,"",AF142/W142)</f>
        <v/>
      </c>
      <c r="AH142" s="47">
        <f>IF(AF142&lt;=0,"",VLOOKUP(B142,country_opex,7,FALSE)/AF142)</f>
        <v/>
      </c>
      <c r="AI142" s="44">
        <f>((G142*R142/diesel_nmpg)*diesel_co2pg-(battery/range_nm)*G142*R142*VLOOKUP(B142,country_opex,4,FALSE))/1000</f>
        <v/>
      </c>
      <c r="AJ142" s="42" t="n">
        <v>5000</v>
      </c>
      <c r="AK142" s="43" t="inlineStr">
        <is>
          <t>T3</t>
        </is>
      </c>
      <c r="AL142" s="43" t="inlineStr">
        <is>
          <t>med-low</t>
        </is>
      </c>
      <c r="AM142" s="50" t="n">
        <v>0.1</v>
      </c>
      <c r="AN142" s="45">
        <f>IF(AJ142="","",AJ142*AM142)</f>
        <v/>
      </c>
      <c r="AO142" s="45">
        <f>IF(OR(AJ142="",U142=0),"",MIN(IF(AV142="",9.9E+99,AV142),FLOOR(AN142/U142,1)))</f>
        <v/>
      </c>
      <c r="AP142" s="49">
        <f>IF(AO142="","",AO142*W142)</f>
        <v/>
      </c>
      <c r="AQ142" s="47">
        <f>IF(OR(AJ142="",U142=0),"",MIN(IF(AV142="",9.9E+99,AV142),AN142/U142))</f>
        <v/>
      </c>
      <c r="AR142" s="49">
        <f>IF(AQ142="","",AQ142*W142)</f>
        <v/>
      </c>
      <c r="AS142" s="51" t="n"/>
      <c r="AT142" s="52" t="n"/>
      <c r="AU142" s="52" t="n"/>
      <c r="AV142" s="53" t="n"/>
      <c r="AW142" s="54">
        <f>IF(((V142*pax_cap*load_thin*ROUND(N142*O142*revleg_thin,0))-(((battery/range_nm)*G142*ROUND(N142*O142*revleg_thin,0)*VLOOKUP(B142,country_opex,3,FALSE))+Y142+Z142+AA142+AB142+AC142))&lt;=0,"",VLOOKUP(B142,country_opex,7,FALSE)/((V142*pax_cap*load_thin*ROUND(N142*O142*revleg_thin,0))-(((battery/range_nm)*G142*ROUND(N142*O142*revleg_thin,0)*VLOOKUP(B142,country_opex,3,FALSE))+Y142+Z142+AA142+AB142+AC142)))</f>
        <v/>
      </c>
      <c r="AX142" s="54">
        <f>IF(((V142*pax_cap*load_mid*ROUND(N142*O142*revleg_mid,0))-(((battery/range_nm)*G142*ROUND(N142*O142*revleg_mid,0)*VLOOKUP(B142,country_opex,3,FALSE))+Y142+Z142+AA142+AB142+AC142))&lt;=0,"",VLOOKUP(B142,country_opex,7,FALSE)/((V142*pax_cap*load_mid*ROUND(N142*O142*revleg_mid,0))-(((battery/range_nm)*G142*ROUND(N142*O142*revleg_mid,0)*VLOOKUP(B142,country_opex,3,FALSE))+Y142+Z142+AA142+AB142+AC142)))</f>
        <v/>
      </c>
      <c r="AY142" s="54">
        <f>IF(((V142*pax_cap*load_full*ROUND(N142*O142*revleg_full,0))-(((battery/range_nm)*G142*ROUND(N142*O142*revleg_full,0)*VLOOKUP(B142,country_opex,3,FALSE))+Y142+Z142+AA142+AB142+AC142))&lt;=0,"",VLOOKUP(B142,country_opex,7,FALSE)/((V142*pax_cap*load_full*ROUND(N142*O142*revleg_full,0))-(((battery/range_nm)*G142*ROUND(N142*O142*revleg_full,0)*VLOOKUP(B142,country_opex,3,FALSE))+Y142+Z142+AA142+AB142+AC142)))</f>
        <v/>
      </c>
      <c r="AZ142" s="40" t="inlineStr">
        <is>
          <t>handoff/INDIA-ECONOMICS-SIDECAR-V0-2026-06-20.json (andaman)</t>
        </is>
      </c>
      <c r="BA142" s="40" t="inlineStr">
        <is>
          <t>handoff/INDIA-ECONOMICS-SIDECAR-V0-2026-06-20.json (andaman)</t>
        </is>
      </c>
    </row>
    <row r="143">
      <c r="A143" s="38" t="inlineStr">
        <is>
          <t>India Mumbai Rapido</t>
        </is>
      </c>
      <c r="B143" s="38" t="inlineStr">
        <is>
          <t>India</t>
        </is>
      </c>
      <c r="C143" s="39" t="inlineStr">
        <is>
          <t>Bombay Harbour → Mora</t>
        </is>
      </c>
      <c r="D143" s="38" t="inlineStr">
        <is>
          <t>rapido</t>
        </is>
      </c>
      <c r="E143" s="40" t="inlineStr">
        <is>
          <t>india-mumbai-ola, india-mumbai-rapido</t>
        </is>
      </c>
      <c r="F143" s="41" t="n">
        <v>2</v>
      </c>
      <c r="G143" s="42" t="n">
        <v>2.6</v>
      </c>
      <c r="H143" s="35" t="n">
        <v>18</v>
      </c>
      <c r="I143" s="43" t="inlineStr">
        <is>
          <t>T3</t>
        </is>
      </c>
      <c r="J143" s="43" t="inlineStr">
        <is>
          <t>med-low</t>
        </is>
      </c>
      <c r="K143" s="29" t="n">
        <v>1</v>
      </c>
      <c r="L143" s="44">
        <f>60*G143/cruise_kt</f>
        <v/>
      </c>
      <c r="M143" s="44">
        <f>L143+turn_min+dwell_min</f>
        <v/>
      </c>
      <c r="N143" s="45">
        <f>MIN(10,FLOOR(60*service_hr/M143,1))</f>
        <v/>
      </c>
      <c r="O143" s="45">
        <f>ROUND(365*mech_uptime*K143,0)</f>
        <v/>
      </c>
      <c r="P143" s="46">
        <f>mech_uptime</f>
        <v/>
      </c>
      <c r="Q143" s="46">
        <f>revleg_sel</f>
        <v/>
      </c>
      <c r="R143" s="45">
        <f>ROUND(N143*O143*revleg_sel,0)</f>
        <v/>
      </c>
      <c r="S143" s="47">
        <f>load_sel</f>
        <v/>
      </c>
      <c r="T143" s="47">
        <f>pax_cap*S143</f>
        <v/>
      </c>
      <c r="U143" s="45">
        <f>T143*R143</f>
        <v/>
      </c>
      <c r="V143" s="48">
        <f>H143*discount</f>
        <v/>
      </c>
      <c r="W143" s="49">
        <f>V143*U143</f>
        <v/>
      </c>
      <c r="X143" s="49">
        <f>(battery/range_nm)*G143*R143*VLOOKUP(B143,country_opex,3,FALSE)</f>
        <v/>
      </c>
      <c r="Y143" s="49">
        <f>VLOOKUP(B143,country_opex,2,FALSE)*crew_factor</f>
        <v/>
      </c>
      <c r="Z143" s="49">
        <f>VLOOKUP(B143,country_opex,5,FALSE)</f>
        <v/>
      </c>
      <c r="AA143" s="49">
        <f>maint</f>
        <v/>
      </c>
      <c r="AB143" s="49">
        <f>VLOOKUP(B143,country_opex,7,FALSE)*ins_pct</f>
        <v/>
      </c>
      <c r="AC143" s="49">
        <f>charge_berth</f>
        <v/>
      </c>
      <c r="AD143" s="49">
        <f>X143+Y143+Z143+AA143+AB143+AC143</f>
        <v/>
      </c>
      <c r="AE143" s="49">
        <f>VLOOKUP(B143,country_opex,7,FALSE)/dep_years</f>
        <v/>
      </c>
      <c r="AF143" s="49">
        <f>W143-AD143</f>
        <v/>
      </c>
      <c r="AG143" s="46">
        <f>IF(W143=0,"",AF143/W143)</f>
        <v/>
      </c>
      <c r="AH143" s="47">
        <f>IF(AF143&lt;=0,"",VLOOKUP(B143,country_opex,7,FALSE)/AF143)</f>
        <v/>
      </c>
      <c r="AI143" s="44">
        <f>((G143*R143/diesel_nmpg)*diesel_co2pg-(battery/range_nm)*G143*R143*VLOOKUP(B143,country_opex,4,FALSE))/1000</f>
        <v/>
      </c>
      <c r="AJ143" s="42" t="n">
        <v>5000</v>
      </c>
      <c r="AK143" s="43" t="inlineStr">
        <is>
          <t>T3</t>
        </is>
      </c>
      <c r="AL143" s="43" t="inlineStr">
        <is>
          <t>med-low</t>
        </is>
      </c>
      <c r="AM143" s="50" t="n">
        <v>0.1</v>
      </c>
      <c r="AN143" s="45">
        <f>IF(AJ143="","",AJ143*AM143)</f>
        <v/>
      </c>
      <c r="AO143" s="45">
        <f>IF(OR(AJ143="",U143=0),"",MIN(IF(AV143="",9.9E+99,AV143),FLOOR(AN143/U143,1)))</f>
        <v/>
      </c>
      <c r="AP143" s="49">
        <f>IF(AO143="","",AO143*W143)</f>
        <v/>
      </c>
      <c r="AQ143" s="47">
        <f>IF(OR(AJ143="",U143=0),"",MIN(IF(AV143="",9.9E+99,AV143),AN143/U143))</f>
        <v/>
      </c>
      <c r="AR143" s="49">
        <f>IF(AQ143="","",AQ143*W143)</f>
        <v/>
      </c>
      <c r="AS143" s="51" t="n"/>
      <c r="AT143" s="52" t="n"/>
      <c r="AU143" s="52" t="n"/>
      <c r="AV143" s="53" t="n"/>
      <c r="AW143" s="54">
        <f>IF(((V143*pax_cap*load_thin*ROUND(N143*O143*revleg_thin,0))-(((battery/range_nm)*G143*ROUND(N143*O143*revleg_thin,0)*VLOOKUP(B143,country_opex,3,FALSE))+Y143+Z143+AA143+AB143+AC143))&lt;=0,"",VLOOKUP(B143,country_opex,7,FALSE)/((V143*pax_cap*load_thin*ROUND(N143*O143*revleg_thin,0))-(((battery/range_nm)*G143*ROUND(N143*O143*revleg_thin,0)*VLOOKUP(B143,country_opex,3,FALSE))+Y143+Z143+AA143+AB143+AC143)))</f>
        <v/>
      </c>
      <c r="AX143" s="54">
        <f>IF(((V143*pax_cap*load_mid*ROUND(N143*O143*revleg_mid,0))-(((battery/range_nm)*G143*ROUND(N143*O143*revleg_mid,0)*VLOOKUP(B143,country_opex,3,FALSE))+Y143+Z143+AA143+AB143+AC143))&lt;=0,"",VLOOKUP(B143,country_opex,7,FALSE)/((V143*pax_cap*load_mid*ROUND(N143*O143*revleg_mid,0))-(((battery/range_nm)*G143*ROUND(N143*O143*revleg_mid,0)*VLOOKUP(B143,country_opex,3,FALSE))+Y143+Z143+AA143+AB143+AC143)))</f>
        <v/>
      </c>
      <c r="AY143" s="54">
        <f>IF(((V143*pax_cap*load_full*ROUND(N143*O143*revleg_full,0))-(((battery/range_nm)*G143*ROUND(N143*O143*revleg_full,0)*VLOOKUP(B143,country_opex,3,FALSE))+Y143+Z143+AA143+AB143+AC143))&lt;=0,"",VLOOKUP(B143,country_opex,7,FALSE)/((V143*pax_cap*load_full*ROUND(N143*O143*revleg_full,0))-(((battery/range_nm)*G143*ROUND(N143*O143*revleg_full,0)*VLOOKUP(B143,country_opex,3,FALSE))+Y143+Z143+AA143+AB143+AC143)))</f>
        <v/>
      </c>
      <c r="AZ143" s="40" t="inlineStr">
        <is>
          <t>[LB-255 PREMIUM RE-FARE: subsidized comparable $5.5 lifted to premium on-demand floor $18.0] handoff/INDIA-ECONOMICS-SIDECAR-V0-2026-06-20.json (mumbai)</t>
        </is>
      </c>
      <c r="BA143" s="40" t="inlineStr">
        <is>
          <t>handoff/INDIA-ECONOMICS-SIDECAR-V0-2026-06-20.json (mumbai)</t>
        </is>
      </c>
    </row>
    <row r="144">
      <c r="A144" s="38" t="inlineStr">
        <is>
          <t>India Mumbai Rapido</t>
        </is>
      </c>
      <c r="B144" s="38" t="inlineStr">
        <is>
          <t>India</t>
        </is>
      </c>
      <c r="C144" s="39" t="inlineStr">
        <is>
          <t>Battle Harbour Design Studio → Cordelia Cruises</t>
        </is>
      </c>
      <c r="D144" s="38" t="inlineStr">
        <is>
          <t>rapido</t>
        </is>
      </c>
      <c r="E144" s="40" t="inlineStr">
        <is>
          <t>india-mumbai-ola, india-mumbai-rapido</t>
        </is>
      </c>
      <c r="F144" s="41" t="n">
        <v>2</v>
      </c>
      <c r="G144" s="42" t="n">
        <v>2.6</v>
      </c>
      <c r="H144" s="35" t="n">
        <v>18</v>
      </c>
      <c r="I144" s="43" t="inlineStr">
        <is>
          <t>T3</t>
        </is>
      </c>
      <c r="J144" s="43" t="inlineStr">
        <is>
          <t>med-low</t>
        </is>
      </c>
      <c r="K144" s="29" t="n">
        <v>1</v>
      </c>
      <c r="L144" s="44">
        <f>60*G144/cruise_kt</f>
        <v/>
      </c>
      <c r="M144" s="44">
        <f>L144+turn_min+dwell_min</f>
        <v/>
      </c>
      <c r="N144" s="45">
        <f>MIN(10,FLOOR(60*service_hr/M144,1))</f>
        <v/>
      </c>
      <c r="O144" s="45">
        <f>ROUND(365*mech_uptime*K144,0)</f>
        <v/>
      </c>
      <c r="P144" s="46">
        <f>mech_uptime</f>
        <v/>
      </c>
      <c r="Q144" s="46">
        <f>revleg_sel</f>
        <v/>
      </c>
      <c r="R144" s="45">
        <f>ROUND(N144*O144*revleg_sel,0)</f>
        <v/>
      </c>
      <c r="S144" s="47">
        <f>load_sel</f>
        <v/>
      </c>
      <c r="T144" s="47">
        <f>pax_cap*S144</f>
        <v/>
      </c>
      <c r="U144" s="45">
        <f>T144*R144</f>
        <v/>
      </c>
      <c r="V144" s="48">
        <f>H144*discount</f>
        <v/>
      </c>
      <c r="W144" s="49">
        <f>V144*U144</f>
        <v/>
      </c>
      <c r="X144" s="49">
        <f>(battery/range_nm)*G144*R144*VLOOKUP(B144,country_opex,3,FALSE)</f>
        <v/>
      </c>
      <c r="Y144" s="49">
        <f>VLOOKUP(B144,country_opex,2,FALSE)*crew_factor</f>
        <v/>
      </c>
      <c r="Z144" s="49">
        <f>VLOOKUP(B144,country_opex,5,FALSE)</f>
        <v/>
      </c>
      <c r="AA144" s="49">
        <f>maint</f>
        <v/>
      </c>
      <c r="AB144" s="49">
        <f>VLOOKUP(B144,country_opex,7,FALSE)*ins_pct</f>
        <v/>
      </c>
      <c r="AC144" s="49">
        <f>charge_berth</f>
        <v/>
      </c>
      <c r="AD144" s="49">
        <f>X144+Y144+Z144+AA144+AB144+AC144</f>
        <v/>
      </c>
      <c r="AE144" s="49">
        <f>VLOOKUP(B144,country_opex,7,FALSE)/dep_years</f>
        <v/>
      </c>
      <c r="AF144" s="49">
        <f>W144-AD144</f>
        <v/>
      </c>
      <c r="AG144" s="46">
        <f>IF(W144=0,"",AF144/W144)</f>
        <v/>
      </c>
      <c r="AH144" s="47">
        <f>IF(AF144&lt;=0,"",VLOOKUP(B144,country_opex,7,FALSE)/AF144)</f>
        <v/>
      </c>
      <c r="AI144" s="44">
        <f>((G144*R144/diesel_nmpg)*diesel_co2pg-(battery/range_nm)*G144*R144*VLOOKUP(B144,country_opex,4,FALSE))/1000</f>
        <v/>
      </c>
      <c r="AJ144" s="42" t="n">
        <v>5000</v>
      </c>
      <c r="AK144" s="43" t="inlineStr">
        <is>
          <t>T3</t>
        </is>
      </c>
      <c r="AL144" s="43" t="inlineStr">
        <is>
          <t>med-low</t>
        </is>
      </c>
      <c r="AM144" s="50" t="n">
        <v>0.1</v>
      </c>
      <c r="AN144" s="45">
        <f>IF(AJ144="","",AJ144*AM144)</f>
        <v/>
      </c>
      <c r="AO144" s="45">
        <f>IF(OR(AJ144="",U144=0),"",MIN(IF(AV144="",9.9E+99,AV144),FLOOR(AN144/U144,1)))</f>
        <v/>
      </c>
      <c r="AP144" s="49">
        <f>IF(AO144="","",AO144*W144)</f>
        <v/>
      </c>
      <c r="AQ144" s="47">
        <f>IF(OR(AJ144="",U144=0),"",MIN(IF(AV144="",9.9E+99,AV144),AN144/U144))</f>
        <v/>
      </c>
      <c r="AR144" s="49">
        <f>IF(AQ144="","",AQ144*W144)</f>
        <v/>
      </c>
      <c r="AS144" s="51" t="n"/>
      <c r="AT144" s="52" t="n"/>
      <c r="AU144" s="52" t="n"/>
      <c r="AV144" s="53" t="n"/>
      <c r="AW144" s="54">
        <f>IF(((V144*pax_cap*load_thin*ROUND(N144*O144*revleg_thin,0))-(((battery/range_nm)*G144*ROUND(N144*O144*revleg_thin,0)*VLOOKUP(B144,country_opex,3,FALSE))+Y144+Z144+AA144+AB144+AC144))&lt;=0,"",VLOOKUP(B144,country_opex,7,FALSE)/((V144*pax_cap*load_thin*ROUND(N144*O144*revleg_thin,0))-(((battery/range_nm)*G144*ROUND(N144*O144*revleg_thin,0)*VLOOKUP(B144,country_opex,3,FALSE))+Y144+Z144+AA144+AB144+AC144)))</f>
        <v/>
      </c>
      <c r="AX144" s="54">
        <f>IF(((V144*pax_cap*load_mid*ROUND(N144*O144*revleg_mid,0))-(((battery/range_nm)*G144*ROUND(N144*O144*revleg_mid,0)*VLOOKUP(B144,country_opex,3,FALSE))+Y144+Z144+AA144+AB144+AC144))&lt;=0,"",VLOOKUP(B144,country_opex,7,FALSE)/((V144*pax_cap*load_mid*ROUND(N144*O144*revleg_mid,0))-(((battery/range_nm)*G144*ROUND(N144*O144*revleg_mid,0)*VLOOKUP(B144,country_opex,3,FALSE))+Y144+Z144+AA144+AB144+AC144)))</f>
        <v/>
      </c>
      <c r="AY144" s="54">
        <f>IF(((V144*pax_cap*load_full*ROUND(N144*O144*revleg_full,0))-(((battery/range_nm)*G144*ROUND(N144*O144*revleg_full,0)*VLOOKUP(B144,country_opex,3,FALSE))+Y144+Z144+AA144+AB144+AC144))&lt;=0,"",VLOOKUP(B144,country_opex,7,FALSE)/((V144*pax_cap*load_full*ROUND(N144*O144*revleg_full,0))-(((battery/range_nm)*G144*ROUND(N144*O144*revleg_full,0)*VLOOKUP(B144,country_opex,3,FALSE))+Y144+Z144+AA144+AB144+AC144)))</f>
        <v/>
      </c>
      <c r="AZ144" s="40" t="inlineStr">
        <is>
          <t>[LB-255 PREMIUM RE-FARE: subsidized comparable $5.5 lifted to premium on-demand floor $18.0] handoff/INDIA-ECONOMICS-SIDECAR-V0-2026-06-20.json (mumbai)</t>
        </is>
      </c>
      <c r="BA144" s="40" t="inlineStr">
        <is>
          <t>handoff/INDIA-ECONOMICS-SIDECAR-V0-2026-06-20.json (mumbai)</t>
        </is>
      </c>
    </row>
    <row r="145">
      <c r="A145" s="38" t="inlineStr">
        <is>
          <t>India Kerala Rapido</t>
        </is>
      </c>
      <c r="B145" s="38" t="inlineStr">
        <is>
          <t>India</t>
        </is>
      </c>
      <c r="C145" s="39" t="inlineStr">
        <is>
          <t>Palette MG Road Ernakulam formerly Harbour View Residency → BLUEMARINE Backwaters</t>
        </is>
      </c>
      <c r="D145" s="38" t="inlineStr">
        <is>
          <t>rapido</t>
        </is>
      </c>
      <c r="E145" s="40" t="inlineStr">
        <is>
          <t>india-kerala-ola, india-kerala-rapido</t>
        </is>
      </c>
      <c r="F145" s="41" t="n">
        <v>2</v>
      </c>
      <c r="G145" s="42" t="n">
        <v>2.6</v>
      </c>
      <c r="H145" s="35" t="n">
        <v>18</v>
      </c>
      <c r="I145" s="43" t="inlineStr">
        <is>
          <t>T3</t>
        </is>
      </c>
      <c r="J145" s="43" t="inlineStr">
        <is>
          <t>med-low</t>
        </is>
      </c>
      <c r="K145" s="29" t="n">
        <v>1</v>
      </c>
      <c r="L145" s="44">
        <f>60*G145/cruise_kt</f>
        <v/>
      </c>
      <c r="M145" s="44">
        <f>L145+turn_min+dwell_min</f>
        <v/>
      </c>
      <c r="N145" s="45">
        <f>MIN(10,FLOOR(60*service_hr/M145,1))</f>
        <v/>
      </c>
      <c r="O145" s="45">
        <f>ROUND(365*mech_uptime*K145,0)</f>
        <v/>
      </c>
      <c r="P145" s="46">
        <f>mech_uptime</f>
        <v/>
      </c>
      <c r="Q145" s="46">
        <f>revleg_sel</f>
        <v/>
      </c>
      <c r="R145" s="45">
        <f>ROUND(N145*O145*revleg_sel,0)</f>
        <v/>
      </c>
      <c r="S145" s="47">
        <f>load_sel</f>
        <v/>
      </c>
      <c r="T145" s="47">
        <f>pax_cap*S145</f>
        <v/>
      </c>
      <c r="U145" s="45">
        <f>T145*R145</f>
        <v/>
      </c>
      <c r="V145" s="48">
        <f>H145*discount</f>
        <v/>
      </c>
      <c r="W145" s="49">
        <f>V145*U145</f>
        <v/>
      </c>
      <c r="X145" s="49">
        <f>(battery/range_nm)*G145*R145*VLOOKUP(B145,country_opex,3,FALSE)</f>
        <v/>
      </c>
      <c r="Y145" s="49">
        <f>VLOOKUP(B145,country_opex,2,FALSE)*crew_factor</f>
        <v/>
      </c>
      <c r="Z145" s="49">
        <f>VLOOKUP(B145,country_opex,5,FALSE)</f>
        <v/>
      </c>
      <c r="AA145" s="49">
        <f>maint</f>
        <v/>
      </c>
      <c r="AB145" s="49">
        <f>VLOOKUP(B145,country_opex,7,FALSE)*ins_pct</f>
        <v/>
      </c>
      <c r="AC145" s="49">
        <f>charge_berth</f>
        <v/>
      </c>
      <c r="AD145" s="49">
        <f>X145+Y145+Z145+AA145+AB145+AC145</f>
        <v/>
      </c>
      <c r="AE145" s="49">
        <f>VLOOKUP(B145,country_opex,7,FALSE)/dep_years</f>
        <v/>
      </c>
      <c r="AF145" s="49">
        <f>W145-AD145</f>
        <v/>
      </c>
      <c r="AG145" s="46">
        <f>IF(W145=0,"",AF145/W145)</f>
        <v/>
      </c>
      <c r="AH145" s="47">
        <f>IF(AF145&lt;=0,"",VLOOKUP(B145,country_opex,7,FALSE)/AF145)</f>
        <v/>
      </c>
      <c r="AI145" s="44">
        <f>((G145*R145/diesel_nmpg)*diesel_co2pg-(battery/range_nm)*G145*R145*VLOOKUP(B145,country_opex,4,FALSE))/1000</f>
        <v/>
      </c>
      <c r="AJ145" s="42" t="n">
        <v>29166</v>
      </c>
      <c r="AK145" s="43" t="inlineStr">
        <is>
          <t>T3</t>
        </is>
      </c>
      <c r="AL145" s="43" t="inlineStr">
        <is>
          <t>med-low</t>
        </is>
      </c>
      <c r="AM145" s="50" t="n">
        <v>0.1</v>
      </c>
      <c r="AN145" s="45">
        <f>IF(AJ145="","",AJ145*AM145)</f>
        <v/>
      </c>
      <c r="AO145" s="45">
        <f>IF(OR(AJ145="",U145=0),"",MIN(IF(AV145="",9.9E+99,AV145),FLOOR(AN145/U145,1)))</f>
        <v/>
      </c>
      <c r="AP145" s="49">
        <f>IF(AO145="","",AO145*W145)</f>
        <v/>
      </c>
      <c r="AQ145" s="47">
        <f>IF(OR(AJ145="",U145=0),"",MIN(IF(AV145="",9.9E+99,AV145),AN145/U145))</f>
        <v/>
      </c>
      <c r="AR145" s="49">
        <f>IF(AQ145="","",AQ145*W145)</f>
        <v/>
      </c>
      <c r="AS145" s="51" t="n"/>
      <c r="AT145" s="52" t="n"/>
      <c r="AU145" s="52" t="n"/>
      <c r="AV145" s="53" t="n"/>
      <c r="AW145" s="54">
        <f>IF(((V145*pax_cap*load_thin*ROUND(N145*O145*revleg_thin,0))-(((battery/range_nm)*G145*ROUND(N145*O145*revleg_thin,0)*VLOOKUP(B145,country_opex,3,FALSE))+Y145+Z145+AA145+AB145+AC145))&lt;=0,"",VLOOKUP(B145,country_opex,7,FALSE)/((V145*pax_cap*load_thin*ROUND(N145*O145*revleg_thin,0))-(((battery/range_nm)*G145*ROUND(N145*O145*revleg_thin,0)*VLOOKUP(B145,country_opex,3,FALSE))+Y145+Z145+AA145+AB145+AC145)))</f>
        <v/>
      </c>
      <c r="AX145" s="54">
        <f>IF(((V145*pax_cap*load_mid*ROUND(N145*O145*revleg_mid,0))-(((battery/range_nm)*G145*ROUND(N145*O145*revleg_mid,0)*VLOOKUP(B145,country_opex,3,FALSE))+Y145+Z145+AA145+AB145+AC145))&lt;=0,"",VLOOKUP(B145,country_opex,7,FALSE)/((V145*pax_cap*load_mid*ROUND(N145*O145*revleg_mid,0))-(((battery/range_nm)*G145*ROUND(N145*O145*revleg_mid,0)*VLOOKUP(B145,country_opex,3,FALSE))+Y145+Z145+AA145+AB145+AC145)))</f>
        <v/>
      </c>
      <c r="AY145" s="54">
        <f>IF(((V145*pax_cap*load_full*ROUND(N145*O145*revleg_full,0))-(((battery/range_nm)*G145*ROUND(N145*O145*revleg_full,0)*VLOOKUP(B145,country_opex,3,FALSE))+Y145+Z145+AA145+AB145+AC145))&lt;=0,"",VLOOKUP(B145,country_opex,7,FALSE)/((V145*pax_cap*load_full*ROUND(N145*O145*revleg_full,0))-(((battery/range_nm)*G145*ROUND(N145*O145*revleg_full,0)*VLOOKUP(B145,country_opex,3,FALSE))+Y145+Z145+AA145+AB145+AC145)))</f>
        <v/>
      </c>
      <c r="AZ145" s="40" t="inlineStr">
        <is>
          <t>[LB-255 PREMIUM RE-FARE: subsidized comparable $3.5 lifted to premium on-demand floor $18.0] handoff/INDIA-ECONOMICS-SIDECAR-V0-2026-06-20.json (kerala)</t>
        </is>
      </c>
      <c r="BA145" s="40" t="inlineStr">
        <is>
          <t>handoff/INDIA-ECONOMICS-SIDECAR-V0-2026-06-20.json (kerala)</t>
        </is>
      </c>
    </row>
    <row r="146">
      <c r="A146" s="38" t="inlineStr">
        <is>
          <t>India Andaman Rapido</t>
        </is>
      </c>
      <c r="B146" s="38" t="inlineStr">
        <is>
          <t>India</t>
        </is>
      </c>
      <c r="C146" s="39" t="inlineStr">
        <is>
          <t>Haddo Jetty → Chatham Jetty</t>
        </is>
      </c>
      <c r="D146" s="38" t="inlineStr">
        <is>
          <t>rapido</t>
        </is>
      </c>
      <c r="E146" s="40" t="inlineStr">
        <is>
          <t>india-andaman-ola, india-andaman-rapido</t>
        </is>
      </c>
      <c r="F146" s="41" t="n">
        <v>2</v>
      </c>
      <c r="G146" s="42" t="n">
        <v>2.6</v>
      </c>
      <c r="H146" s="35" t="n">
        <v>22</v>
      </c>
      <c r="I146" s="43" t="inlineStr">
        <is>
          <t>T3</t>
        </is>
      </c>
      <c r="J146" s="43" t="inlineStr">
        <is>
          <t>med-low</t>
        </is>
      </c>
      <c r="K146" s="29" t="n">
        <v>1</v>
      </c>
      <c r="L146" s="44">
        <f>60*G146/cruise_kt</f>
        <v/>
      </c>
      <c r="M146" s="44">
        <f>L146+turn_min+dwell_min</f>
        <v/>
      </c>
      <c r="N146" s="45">
        <f>MIN(10,FLOOR(60*service_hr/M146,1))</f>
        <v/>
      </c>
      <c r="O146" s="45">
        <f>ROUND(365*mech_uptime*K146,0)</f>
        <v/>
      </c>
      <c r="P146" s="46">
        <f>mech_uptime</f>
        <v/>
      </c>
      <c r="Q146" s="46">
        <f>revleg_sel</f>
        <v/>
      </c>
      <c r="R146" s="45">
        <f>ROUND(N146*O146*revleg_sel,0)</f>
        <v/>
      </c>
      <c r="S146" s="47">
        <f>load_sel</f>
        <v/>
      </c>
      <c r="T146" s="47">
        <f>pax_cap*S146</f>
        <v/>
      </c>
      <c r="U146" s="45">
        <f>T146*R146</f>
        <v/>
      </c>
      <c r="V146" s="48">
        <f>H146*discount</f>
        <v/>
      </c>
      <c r="W146" s="49">
        <f>V146*U146</f>
        <v/>
      </c>
      <c r="X146" s="49">
        <f>(battery/range_nm)*G146*R146*VLOOKUP(B146,country_opex,3,FALSE)</f>
        <v/>
      </c>
      <c r="Y146" s="49">
        <f>VLOOKUP(B146,country_opex,2,FALSE)*crew_factor</f>
        <v/>
      </c>
      <c r="Z146" s="49">
        <f>VLOOKUP(B146,country_opex,5,FALSE)</f>
        <v/>
      </c>
      <c r="AA146" s="49">
        <f>maint</f>
        <v/>
      </c>
      <c r="AB146" s="49">
        <f>VLOOKUP(B146,country_opex,7,FALSE)*ins_pct</f>
        <v/>
      </c>
      <c r="AC146" s="49">
        <f>charge_berth</f>
        <v/>
      </c>
      <c r="AD146" s="49">
        <f>X146+Y146+Z146+AA146+AB146+AC146</f>
        <v/>
      </c>
      <c r="AE146" s="49">
        <f>VLOOKUP(B146,country_opex,7,FALSE)/dep_years</f>
        <v/>
      </c>
      <c r="AF146" s="49">
        <f>W146-AD146</f>
        <v/>
      </c>
      <c r="AG146" s="46">
        <f>IF(W146=0,"",AF146/W146)</f>
        <v/>
      </c>
      <c r="AH146" s="47">
        <f>IF(AF146&lt;=0,"",VLOOKUP(B146,country_opex,7,FALSE)/AF146)</f>
        <v/>
      </c>
      <c r="AI146" s="44">
        <f>((G146*R146/diesel_nmpg)*diesel_co2pg-(battery/range_nm)*G146*R146*VLOOKUP(B146,country_opex,4,FALSE))/1000</f>
        <v/>
      </c>
      <c r="AJ146" s="42" t="n">
        <v>5000</v>
      </c>
      <c r="AK146" s="43" t="inlineStr">
        <is>
          <t>T3</t>
        </is>
      </c>
      <c r="AL146" s="43" t="inlineStr">
        <is>
          <t>med-low</t>
        </is>
      </c>
      <c r="AM146" s="50" t="n">
        <v>0.1</v>
      </c>
      <c r="AN146" s="45">
        <f>IF(AJ146="","",AJ146*AM146)</f>
        <v/>
      </c>
      <c r="AO146" s="45">
        <f>IF(OR(AJ146="",U146=0),"",MIN(IF(AV146="",9.9E+99,AV146),FLOOR(AN146/U146,1)))</f>
        <v/>
      </c>
      <c r="AP146" s="49">
        <f>IF(AO146="","",AO146*W146)</f>
        <v/>
      </c>
      <c r="AQ146" s="47">
        <f>IF(OR(AJ146="",U146=0),"",MIN(IF(AV146="",9.9E+99,AV146),AN146/U146))</f>
        <v/>
      </c>
      <c r="AR146" s="49">
        <f>IF(AQ146="","",AQ146*W146)</f>
        <v/>
      </c>
      <c r="AS146" s="51" t="n"/>
      <c r="AT146" s="52" t="n"/>
      <c r="AU146" s="52" t="n"/>
      <c r="AV146" s="53" t="n"/>
      <c r="AW146" s="54">
        <f>IF(((V146*pax_cap*load_thin*ROUND(N146*O146*revleg_thin,0))-(((battery/range_nm)*G146*ROUND(N146*O146*revleg_thin,0)*VLOOKUP(B146,country_opex,3,FALSE))+Y146+Z146+AA146+AB146+AC146))&lt;=0,"",VLOOKUP(B146,country_opex,7,FALSE)/((V146*pax_cap*load_thin*ROUND(N146*O146*revleg_thin,0))-(((battery/range_nm)*G146*ROUND(N146*O146*revleg_thin,0)*VLOOKUP(B146,country_opex,3,FALSE))+Y146+Z146+AA146+AB146+AC146)))</f>
        <v/>
      </c>
      <c r="AX146" s="54">
        <f>IF(((V146*pax_cap*load_mid*ROUND(N146*O146*revleg_mid,0))-(((battery/range_nm)*G146*ROUND(N146*O146*revleg_mid,0)*VLOOKUP(B146,country_opex,3,FALSE))+Y146+Z146+AA146+AB146+AC146))&lt;=0,"",VLOOKUP(B146,country_opex,7,FALSE)/((V146*pax_cap*load_mid*ROUND(N146*O146*revleg_mid,0))-(((battery/range_nm)*G146*ROUND(N146*O146*revleg_mid,0)*VLOOKUP(B146,country_opex,3,FALSE))+Y146+Z146+AA146+AB146+AC146)))</f>
        <v/>
      </c>
      <c r="AY146" s="54">
        <f>IF(((V146*pax_cap*load_full*ROUND(N146*O146*revleg_full,0))-(((battery/range_nm)*G146*ROUND(N146*O146*revleg_full,0)*VLOOKUP(B146,country_opex,3,FALSE))+Y146+Z146+AA146+AB146+AC146))&lt;=0,"",VLOOKUP(B146,country_opex,7,FALSE)/((V146*pax_cap*load_full*ROUND(N146*O146*revleg_full,0))-(((battery/range_nm)*G146*ROUND(N146*O146*revleg_full,0)*VLOOKUP(B146,country_opex,3,FALSE))+Y146+Z146+AA146+AB146+AC146)))</f>
        <v/>
      </c>
      <c r="AZ146" s="40" t="inlineStr">
        <is>
          <t>handoff/INDIA-ECONOMICS-SIDECAR-V0-2026-06-20.json (andaman)</t>
        </is>
      </c>
      <c r="BA146" s="40" t="inlineStr">
        <is>
          <t>handoff/INDIA-ECONOMICS-SIDECAR-V0-2026-06-20.json (andaman)</t>
        </is>
      </c>
    </row>
    <row r="147">
      <c r="A147" s="38" t="inlineStr">
        <is>
          <t>India Mumbai Rapido</t>
        </is>
      </c>
      <c r="B147" s="38" t="inlineStr">
        <is>
          <t>India</t>
        </is>
      </c>
      <c r="C147" s="39" t="inlineStr">
        <is>
          <t>Bhaucha Dhakka Ferry Boat Service → Bombay Harbour</t>
        </is>
      </c>
      <c r="D147" s="38" t="inlineStr">
        <is>
          <t>rapido</t>
        </is>
      </c>
      <c r="E147" s="40" t="inlineStr">
        <is>
          <t>india-mumbai-ola, india-mumbai-rapido</t>
        </is>
      </c>
      <c r="F147" s="41" t="n">
        <v>2</v>
      </c>
      <c r="G147" s="42" t="n">
        <v>2.7</v>
      </c>
      <c r="H147" s="35" t="n">
        <v>18</v>
      </c>
      <c r="I147" s="43" t="inlineStr">
        <is>
          <t>T3</t>
        </is>
      </c>
      <c r="J147" s="43" t="inlineStr">
        <is>
          <t>med-low</t>
        </is>
      </c>
      <c r="K147" s="29" t="n">
        <v>1</v>
      </c>
      <c r="L147" s="44">
        <f>60*G147/cruise_kt</f>
        <v/>
      </c>
      <c r="M147" s="44">
        <f>L147+turn_min+dwell_min</f>
        <v/>
      </c>
      <c r="N147" s="45">
        <f>MIN(10,FLOOR(60*service_hr/M147,1))</f>
        <v/>
      </c>
      <c r="O147" s="45">
        <f>ROUND(365*mech_uptime*K147,0)</f>
        <v/>
      </c>
      <c r="P147" s="46">
        <f>mech_uptime</f>
        <v/>
      </c>
      <c r="Q147" s="46">
        <f>revleg_sel</f>
        <v/>
      </c>
      <c r="R147" s="45">
        <f>ROUND(N147*O147*revleg_sel,0)</f>
        <v/>
      </c>
      <c r="S147" s="47">
        <f>load_sel</f>
        <v/>
      </c>
      <c r="T147" s="47">
        <f>pax_cap*S147</f>
        <v/>
      </c>
      <c r="U147" s="45">
        <f>T147*R147</f>
        <v/>
      </c>
      <c r="V147" s="48">
        <f>H147*discount</f>
        <v/>
      </c>
      <c r="W147" s="49">
        <f>V147*U147</f>
        <v/>
      </c>
      <c r="X147" s="49">
        <f>(battery/range_nm)*G147*R147*VLOOKUP(B147,country_opex,3,FALSE)</f>
        <v/>
      </c>
      <c r="Y147" s="49">
        <f>VLOOKUP(B147,country_opex,2,FALSE)*crew_factor</f>
        <v/>
      </c>
      <c r="Z147" s="49">
        <f>VLOOKUP(B147,country_opex,5,FALSE)</f>
        <v/>
      </c>
      <c r="AA147" s="49">
        <f>maint</f>
        <v/>
      </c>
      <c r="AB147" s="49">
        <f>VLOOKUP(B147,country_opex,7,FALSE)*ins_pct</f>
        <v/>
      </c>
      <c r="AC147" s="49">
        <f>charge_berth</f>
        <v/>
      </c>
      <c r="AD147" s="49">
        <f>X147+Y147+Z147+AA147+AB147+AC147</f>
        <v/>
      </c>
      <c r="AE147" s="49">
        <f>VLOOKUP(B147,country_opex,7,FALSE)/dep_years</f>
        <v/>
      </c>
      <c r="AF147" s="49">
        <f>W147-AD147</f>
        <v/>
      </c>
      <c r="AG147" s="46">
        <f>IF(W147=0,"",AF147/W147)</f>
        <v/>
      </c>
      <c r="AH147" s="47">
        <f>IF(AF147&lt;=0,"",VLOOKUP(B147,country_opex,7,FALSE)/AF147)</f>
        <v/>
      </c>
      <c r="AI147" s="44">
        <f>((G147*R147/diesel_nmpg)*diesel_co2pg-(battery/range_nm)*G147*R147*VLOOKUP(B147,country_opex,4,FALSE))/1000</f>
        <v/>
      </c>
      <c r="AJ147" s="42" t="n">
        <v>5000</v>
      </c>
      <c r="AK147" s="43" t="inlineStr">
        <is>
          <t>T3</t>
        </is>
      </c>
      <c r="AL147" s="43" t="inlineStr">
        <is>
          <t>med-low</t>
        </is>
      </c>
      <c r="AM147" s="50" t="n">
        <v>0.1</v>
      </c>
      <c r="AN147" s="45">
        <f>IF(AJ147="","",AJ147*AM147)</f>
        <v/>
      </c>
      <c r="AO147" s="45">
        <f>IF(OR(AJ147="",U147=0),"",MIN(IF(AV147="",9.9E+99,AV147),FLOOR(AN147/U147,1)))</f>
        <v/>
      </c>
      <c r="AP147" s="49">
        <f>IF(AO147="","",AO147*W147)</f>
        <v/>
      </c>
      <c r="AQ147" s="47">
        <f>IF(OR(AJ147="",U147=0),"",MIN(IF(AV147="",9.9E+99,AV147),AN147/U147))</f>
        <v/>
      </c>
      <c r="AR147" s="49">
        <f>IF(AQ147="","",AQ147*W147)</f>
        <v/>
      </c>
      <c r="AS147" s="51" t="n"/>
      <c r="AT147" s="52" t="n"/>
      <c r="AU147" s="52" t="n"/>
      <c r="AV147" s="53" t="n"/>
      <c r="AW147" s="54">
        <f>IF(((V147*pax_cap*load_thin*ROUND(N147*O147*revleg_thin,0))-(((battery/range_nm)*G147*ROUND(N147*O147*revleg_thin,0)*VLOOKUP(B147,country_opex,3,FALSE))+Y147+Z147+AA147+AB147+AC147))&lt;=0,"",VLOOKUP(B147,country_opex,7,FALSE)/((V147*pax_cap*load_thin*ROUND(N147*O147*revleg_thin,0))-(((battery/range_nm)*G147*ROUND(N147*O147*revleg_thin,0)*VLOOKUP(B147,country_opex,3,FALSE))+Y147+Z147+AA147+AB147+AC147)))</f>
        <v/>
      </c>
      <c r="AX147" s="54">
        <f>IF(((V147*pax_cap*load_mid*ROUND(N147*O147*revleg_mid,0))-(((battery/range_nm)*G147*ROUND(N147*O147*revleg_mid,0)*VLOOKUP(B147,country_opex,3,FALSE))+Y147+Z147+AA147+AB147+AC147))&lt;=0,"",VLOOKUP(B147,country_opex,7,FALSE)/((V147*pax_cap*load_mid*ROUND(N147*O147*revleg_mid,0))-(((battery/range_nm)*G147*ROUND(N147*O147*revleg_mid,0)*VLOOKUP(B147,country_opex,3,FALSE))+Y147+Z147+AA147+AB147+AC147)))</f>
        <v/>
      </c>
      <c r="AY147" s="54">
        <f>IF(((V147*pax_cap*load_full*ROUND(N147*O147*revleg_full,0))-(((battery/range_nm)*G147*ROUND(N147*O147*revleg_full,0)*VLOOKUP(B147,country_opex,3,FALSE))+Y147+Z147+AA147+AB147+AC147))&lt;=0,"",VLOOKUP(B147,country_opex,7,FALSE)/((V147*pax_cap*load_full*ROUND(N147*O147*revleg_full,0))-(((battery/range_nm)*G147*ROUND(N147*O147*revleg_full,0)*VLOOKUP(B147,country_opex,3,FALSE))+Y147+Z147+AA147+AB147+AC147)))</f>
        <v/>
      </c>
      <c r="AZ147" s="40" t="inlineStr">
        <is>
          <t>[LB-255 PREMIUM RE-FARE: subsidized comparable $5.5 lifted to premium on-demand floor $18.0] handoff/INDIA-ECONOMICS-SIDECAR-V0-2026-06-20.json (mumbai)</t>
        </is>
      </c>
      <c r="BA147" s="40" t="inlineStr">
        <is>
          <t>handoff/INDIA-ECONOMICS-SIDECAR-V0-2026-06-20.json (mumbai)</t>
        </is>
      </c>
    </row>
    <row r="148">
      <c r="A148" s="38" t="inlineStr">
        <is>
          <t>India Goa Rapido</t>
        </is>
      </c>
      <c r="B148" s="38" t="inlineStr">
        <is>
          <t>India</t>
        </is>
      </c>
      <c r="C148" s="39" t="inlineStr">
        <is>
          <t>Chorao Ferry Terminal → Pomburpa Ferry Terminal</t>
        </is>
      </c>
      <c r="D148" s="38" t="inlineStr">
        <is>
          <t>rapido</t>
        </is>
      </c>
      <c r="E148" s="40" t="inlineStr">
        <is>
          <t>india-goa-ola, india-goa-rapido</t>
        </is>
      </c>
      <c r="F148" s="41" t="n">
        <v>2</v>
      </c>
      <c r="G148" s="42" t="n">
        <v>2.7</v>
      </c>
      <c r="H148" s="35" t="n">
        <v>8</v>
      </c>
      <c r="I148" s="43" t="inlineStr">
        <is>
          <t>T3</t>
        </is>
      </c>
      <c r="J148" s="43" t="inlineStr">
        <is>
          <t>med-low</t>
        </is>
      </c>
      <c r="K148" s="29" t="n">
        <v>1</v>
      </c>
      <c r="L148" s="44">
        <f>60*G148/cruise_kt</f>
        <v/>
      </c>
      <c r="M148" s="44">
        <f>L148+turn_min+dwell_min</f>
        <v/>
      </c>
      <c r="N148" s="45">
        <f>MIN(10,FLOOR(60*service_hr/M148,1))</f>
        <v/>
      </c>
      <c r="O148" s="45">
        <f>ROUND(365*mech_uptime*K148,0)</f>
        <v/>
      </c>
      <c r="P148" s="46">
        <f>mech_uptime</f>
        <v/>
      </c>
      <c r="Q148" s="46">
        <f>revleg_sel</f>
        <v/>
      </c>
      <c r="R148" s="45">
        <f>ROUND(N148*O148*revleg_sel,0)</f>
        <v/>
      </c>
      <c r="S148" s="47">
        <f>load_sel</f>
        <v/>
      </c>
      <c r="T148" s="47">
        <f>pax_cap*S148</f>
        <v/>
      </c>
      <c r="U148" s="45">
        <f>T148*R148</f>
        <v/>
      </c>
      <c r="V148" s="48">
        <f>H148*discount</f>
        <v/>
      </c>
      <c r="W148" s="49">
        <f>V148*U148</f>
        <v/>
      </c>
      <c r="X148" s="49">
        <f>(battery/range_nm)*G148*R148*VLOOKUP(B148,country_opex,3,FALSE)</f>
        <v/>
      </c>
      <c r="Y148" s="49">
        <f>VLOOKUP(B148,country_opex,2,FALSE)*crew_factor</f>
        <v/>
      </c>
      <c r="Z148" s="49">
        <f>VLOOKUP(B148,country_opex,5,FALSE)</f>
        <v/>
      </c>
      <c r="AA148" s="49">
        <f>maint</f>
        <v/>
      </c>
      <c r="AB148" s="49">
        <f>VLOOKUP(B148,country_opex,7,FALSE)*ins_pct</f>
        <v/>
      </c>
      <c r="AC148" s="49">
        <f>charge_berth</f>
        <v/>
      </c>
      <c r="AD148" s="49">
        <f>X148+Y148+Z148+AA148+AB148+AC148</f>
        <v/>
      </c>
      <c r="AE148" s="49">
        <f>VLOOKUP(B148,country_opex,7,FALSE)/dep_years</f>
        <v/>
      </c>
      <c r="AF148" s="49">
        <f>W148-AD148</f>
        <v/>
      </c>
      <c r="AG148" s="46">
        <f>IF(W148=0,"",AF148/W148)</f>
        <v/>
      </c>
      <c r="AH148" s="47">
        <f>IF(AF148&lt;=0,"",VLOOKUP(B148,country_opex,7,FALSE)/AF148)</f>
        <v/>
      </c>
      <c r="AI148" s="44">
        <f>((G148*R148/diesel_nmpg)*diesel_co2pg-(battery/range_nm)*G148*R148*VLOOKUP(B148,country_opex,4,FALSE))/1000</f>
        <v/>
      </c>
      <c r="AJ148" s="42" t="n">
        <v>11250</v>
      </c>
      <c r="AK148" s="43" t="inlineStr">
        <is>
          <t>T3</t>
        </is>
      </c>
      <c r="AL148" s="43" t="inlineStr">
        <is>
          <t>med-low</t>
        </is>
      </c>
      <c r="AM148" s="50" t="n">
        <v>0.1</v>
      </c>
      <c r="AN148" s="45">
        <f>IF(AJ148="","",AJ148*AM148)</f>
        <v/>
      </c>
      <c r="AO148" s="45">
        <f>IF(OR(AJ148="",U148=0),"",MIN(IF(AV148="",9.9E+99,AV148),FLOOR(AN148/U148,1)))</f>
        <v/>
      </c>
      <c r="AP148" s="49">
        <f>IF(AO148="","",AO148*W148)</f>
        <v/>
      </c>
      <c r="AQ148" s="47">
        <f>IF(OR(AJ148="",U148=0),"",MIN(IF(AV148="",9.9E+99,AV148),AN148/U148))</f>
        <v/>
      </c>
      <c r="AR148" s="49">
        <f>IF(AQ148="","",AQ148*W148)</f>
        <v/>
      </c>
      <c r="AS148" s="51" t="n"/>
      <c r="AT148" s="52" t="n"/>
      <c r="AU148" s="52" t="n"/>
      <c r="AV148" s="53" t="n"/>
      <c r="AW148" s="54">
        <f>IF(((V148*pax_cap*load_thin*ROUND(N148*O148*revleg_thin,0))-(((battery/range_nm)*G148*ROUND(N148*O148*revleg_thin,0)*VLOOKUP(B148,country_opex,3,FALSE))+Y148+Z148+AA148+AB148+AC148))&lt;=0,"",VLOOKUP(B148,country_opex,7,FALSE)/((V148*pax_cap*load_thin*ROUND(N148*O148*revleg_thin,0))-(((battery/range_nm)*G148*ROUND(N148*O148*revleg_thin,0)*VLOOKUP(B148,country_opex,3,FALSE))+Y148+Z148+AA148+AB148+AC148)))</f>
        <v/>
      </c>
      <c r="AX148" s="54">
        <f>IF(((V148*pax_cap*load_mid*ROUND(N148*O148*revleg_mid,0))-(((battery/range_nm)*G148*ROUND(N148*O148*revleg_mid,0)*VLOOKUP(B148,country_opex,3,FALSE))+Y148+Z148+AA148+AB148+AC148))&lt;=0,"",VLOOKUP(B148,country_opex,7,FALSE)/((V148*pax_cap*load_mid*ROUND(N148*O148*revleg_mid,0))-(((battery/range_nm)*G148*ROUND(N148*O148*revleg_mid,0)*VLOOKUP(B148,country_opex,3,FALSE))+Y148+Z148+AA148+AB148+AC148)))</f>
        <v/>
      </c>
      <c r="AY148" s="54">
        <f>IF(((V148*pax_cap*load_full*ROUND(N148*O148*revleg_full,0))-(((battery/range_nm)*G148*ROUND(N148*O148*revleg_full,0)*VLOOKUP(B148,country_opex,3,FALSE))+Y148+Z148+AA148+AB148+AC148))&lt;=0,"",VLOOKUP(B148,country_opex,7,FALSE)/((V148*pax_cap*load_full*ROUND(N148*O148*revleg_full,0))-(((battery/range_nm)*G148*ROUND(N148*O148*revleg_full,0)*VLOOKUP(B148,country_opex,3,FALSE))+Y148+Z148+AA148+AB148+AC148)))</f>
        <v/>
      </c>
      <c r="AZ148" s="40" t="inlineStr">
        <is>
          <t>handoff/INDIA-ECONOMICS-SIDECAR-V0-2026-06-20.json (goa)</t>
        </is>
      </c>
      <c r="BA148" s="40" t="inlineStr">
        <is>
          <t>handoff/INDIA-ECONOMICS-SIDECAR-V0-2026-06-20.json (goa)</t>
        </is>
      </c>
    </row>
    <row r="149">
      <c r="A149" s="38" t="inlineStr">
        <is>
          <t>India Goa Rapido</t>
        </is>
      </c>
      <c r="B149" s="38" t="inlineStr">
        <is>
          <t>India</t>
        </is>
      </c>
      <c r="C149" s="39" t="inlineStr">
        <is>
          <t>Goveia Marina → Camurlim Ferry Terminal</t>
        </is>
      </c>
      <c r="D149" s="38" t="inlineStr">
        <is>
          <t>rapido</t>
        </is>
      </c>
      <c r="E149" s="40" t="inlineStr">
        <is>
          <t>india-goa-ola, india-goa-rapido</t>
        </is>
      </c>
      <c r="F149" s="41" t="n">
        <v>2</v>
      </c>
      <c r="G149" s="42" t="n">
        <v>2.7</v>
      </c>
      <c r="H149" s="35" t="n">
        <v>8</v>
      </c>
      <c r="I149" s="43" t="inlineStr">
        <is>
          <t>T3</t>
        </is>
      </c>
      <c r="J149" s="43" t="inlineStr">
        <is>
          <t>med-low</t>
        </is>
      </c>
      <c r="K149" s="29" t="n">
        <v>1</v>
      </c>
      <c r="L149" s="44">
        <f>60*G149/cruise_kt</f>
        <v/>
      </c>
      <c r="M149" s="44">
        <f>L149+turn_min+dwell_min</f>
        <v/>
      </c>
      <c r="N149" s="45">
        <f>MIN(10,FLOOR(60*service_hr/M149,1))</f>
        <v/>
      </c>
      <c r="O149" s="45">
        <f>ROUND(365*mech_uptime*K149,0)</f>
        <v/>
      </c>
      <c r="P149" s="46">
        <f>mech_uptime</f>
        <v/>
      </c>
      <c r="Q149" s="46">
        <f>revleg_sel</f>
        <v/>
      </c>
      <c r="R149" s="45">
        <f>ROUND(N149*O149*revleg_sel,0)</f>
        <v/>
      </c>
      <c r="S149" s="47">
        <f>load_sel</f>
        <v/>
      </c>
      <c r="T149" s="47">
        <f>pax_cap*S149</f>
        <v/>
      </c>
      <c r="U149" s="45">
        <f>T149*R149</f>
        <v/>
      </c>
      <c r="V149" s="48">
        <f>H149*discount</f>
        <v/>
      </c>
      <c r="W149" s="49">
        <f>V149*U149</f>
        <v/>
      </c>
      <c r="X149" s="49">
        <f>(battery/range_nm)*G149*R149*VLOOKUP(B149,country_opex,3,FALSE)</f>
        <v/>
      </c>
      <c r="Y149" s="49">
        <f>VLOOKUP(B149,country_opex,2,FALSE)*crew_factor</f>
        <v/>
      </c>
      <c r="Z149" s="49">
        <f>VLOOKUP(B149,country_opex,5,FALSE)</f>
        <v/>
      </c>
      <c r="AA149" s="49">
        <f>maint</f>
        <v/>
      </c>
      <c r="AB149" s="49">
        <f>VLOOKUP(B149,country_opex,7,FALSE)*ins_pct</f>
        <v/>
      </c>
      <c r="AC149" s="49">
        <f>charge_berth</f>
        <v/>
      </c>
      <c r="AD149" s="49">
        <f>X149+Y149+Z149+AA149+AB149+AC149</f>
        <v/>
      </c>
      <c r="AE149" s="49">
        <f>VLOOKUP(B149,country_opex,7,FALSE)/dep_years</f>
        <v/>
      </c>
      <c r="AF149" s="49">
        <f>W149-AD149</f>
        <v/>
      </c>
      <c r="AG149" s="46">
        <f>IF(W149=0,"",AF149/W149)</f>
        <v/>
      </c>
      <c r="AH149" s="47">
        <f>IF(AF149&lt;=0,"",VLOOKUP(B149,country_opex,7,FALSE)/AF149)</f>
        <v/>
      </c>
      <c r="AI149" s="44">
        <f>((G149*R149/diesel_nmpg)*diesel_co2pg-(battery/range_nm)*G149*R149*VLOOKUP(B149,country_opex,4,FALSE))/1000</f>
        <v/>
      </c>
      <c r="AJ149" s="42" t="n">
        <v>11250</v>
      </c>
      <c r="AK149" s="43" t="inlineStr">
        <is>
          <t>T3</t>
        </is>
      </c>
      <c r="AL149" s="43" t="inlineStr">
        <is>
          <t>med-low</t>
        </is>
      </c>
      <c r="AM149" s="50" t="n">
        <v>0.1</v>
      </c>
      <c r="AN149" s="45">
        <f>IF(AJ149="","",AJ149*AM149)</f>
        <v/>
      </c>
      <c r="AO149" s="45">
        <f>IF(OR(AJ149="",U149=0),"",MIN(IF(AV149="",9.9E+99,AV149),FLOOR(AN149/U149,1)))</f>
        <v/>
      </c>
      <c r="AP149" s="49">
        <f>IF(AO149="","",AO149*W149)</f>
        <v/>
      </c>
      <c r="AQ149" s="47">
        <f>IF(OR(AJ149="",U149=0),"",MIN(IF(AV149="",9.9E+99,AV149),AN149/U149))</f>
        <v/>
      </c>
      <c r="AR149" s="49">
        <f>IF(AQ149="","",AQ149*W149)</f>
        <v/>
      </c>
      <c r="AS149" s="51" t="n"/>
      <c r="AT149" s="52" t="n"/>
      <c r="AU149" s="52" t="n"/>
      <c r="AV149" s="53" t="n"/>
      <c r="AW149" s="54">
        <f>IF(((V149*pax_cap*load_thin*ROUND(N149*O149*revleg_thin,0))-(((battery/range_nm)*G149*ROUND(N149*O149*revleg_thin,0)*VLOOKUP(B149,country_opex,3,FALSE))+Y149+Z149+AA149+AB149+AC149))&lt;=0,"",VLOOKUP(B149,country_opex,7,FALSE)/((V149*pax_cap*load_thin*ROUND(N149*O149*revleg_thin,0))-(((battery/range_nm)*G149*ROUND(N149*O149*revleg_thin,0)*VLOOKUP(B149,country_opex,3,FALSE))+Y149+Z149+AA149+AB149+AC149)))</f>
        <v/>
      </c>
      <c r="AX149" s="54">
        <f>IF(((V149*pax_cap*load_mid*ROUND(N149*O149*revleg_mid,0))-(((battery/range_nm)*G149*ROUND(N149*O149*revleg_mid,0)*VLOOKUP(B149,country_opex,3,FALSE))+Y149+Z149+AA149+AB149+AC149))&lt;=0,"",VLOOKUP(B149,country_opex,7,FALSE)/((V149*pax_cap*load_mid*ROUND(N149*O149*revleg_mid,0))-(((battery/range_nm)*G149*ROUND(N149*O149*revleg_mid,0)*VLOOKUP(B149,country_opex,3,FALSE))+Y149+Z149+AA149+AB149+AC149)))</f>
        <v/>
      </c>
      <c r="AY149" s="54">
        <f>IF(((V149*pax_cap*load_full*ROUND(N149*O149*revleg_full,0))-(((battery/range_nm)*G149*ROUND(N149*O149*revleg_full,0)*VLOOKUP(B149,country_opex,3,FALSE))+Y149+Z149+AA149+AB149+AC149))&lt;=0,"",VLOOKUP(B149,country_opex,7,FALSE)/((V149*pax_cap*load_full*ROUND(N149*O149*revleg_full,0))-(((battery/range_nm)*G149*ROUND(N149*O149*revleg_full,0)*VLOOKUP(B149,country_opex,3,FALSE))+Y149+Z149+AA149+AB149+AC149)))</f>
        <v/>
      </c>
      <c r="AZ149" s="40" t="inlineStr">
        <is>
          <t>handoff/INDIA-ECONOMICS-SIDECAR-V0-2026-06-20.json (goa)</t>
        </is>
      </c>
      <c r="BA149" s="40" t="inlineStr">
        <is>
          <t>handoff/INDIA-ECONOMICS-SIDECAR-V0-2026-06-20.json (goa)</t>
        </is>
      </c>
    </row>
    <row r="150">
      <c r="A150" s="38" t="inlineStr">
        <is>
          <t>India Kerala Rapido</t>
        </is>
      </c>
      <c r="B150" s="38" t="inlineStr">
        <is>
          <t>India</t>
        </is>
      </c>
      <c r="C150" s="39" t="inlineStr">
        <is>
          <t>BLUEMARINE Backwaters → Sailing Club House</t>
        </is>
      </c>
      <c r="D150" s="38" t="inlineStr">
        <is>
          <t>rapido</t>
        </is>
      </c>
      <c r="E150" s="40" t="inlineStr">
        <is>
          <t>india-kerala-ola, india-kerala-rapido</t>
        </is>
      </c>
      <c r="F150" s="41" t="n">
        <v>2</v>
      </c>
      <c r="G150" s="42" t="n">
        <v>2.7</v>
      </c>
      <c r="H150" s="35" t="n">
        <v>18</v>
      </c>
      <c r="I150" s="43" t="inlineStr">
        <is>
          <t>T3</t>
        </is>
      </c>
      <c r="J150" s="43" t="inlineStr">
        <is>
          <t>med-low</t>
        </is>
      </c>
      <c r="K150" s="29" t="n">
        <v>1</v>
      </c>
      <c r="L150" s="44">
        <f>60*G150/cruise_kt</f>
        <v/>
      </c>
      <c r="M150" s="44">
        <f>L150+turn_min+dwell_min</f>
        <v/>
      </c>
      <c r="N150" s="45">
        <f>MIN(10,FLOOR(60*service_hr/M150,1))</f>
        <v/>
      </c>
      <c r="O150" s="45">
        <f>ROUND(365*mech_uptime*K150,0)</f>
        <v/>
      </c>
      <c r="P150" s="46">
        <f>mech_uptime</f>
        <v/>
      </c>
      <c r="Q150" s="46">
        <f>revleg_sel</f>
        <v/>
      </c>
      <c r="R150" s="45">
        <f>ROUND(N150*O150*revleg_sel,0)</f>
        <v/>
      </c>
      <c r="S150" s="47">
        <f>load_sel</f>
        <v/>
      </c>
      <c r="T150" s="47">
        <f>pax_cap*S150</f>
        <v/>
      </c>
      <c r="U150" s="45">
        <f>T150*R150</f>
        <v/>
      </c>
      <c r="V150" s="48">
        <f>H150*discount</f>
        <v/>
      </c>
      <c r="W150" s="49">
        <f>V150*U150</f>
        <v/>
      </c>
      <c r="X150" s="49">
        <f>(battery/range_nm)*G150*R150*VLOOKUP(B150,country_opex,3,FALSE)</f>
        <v/>
      </c>
      <c r="Y150" s="49">
        <f>VLOOKUP(B150,country_opex,2,FALSE)*crew_factor</f>
        <v/>
      </c>
      <c r="Z150" s="49">
        <f>VLOOKUP(B150,country_opex,5,FALSE)</f>
        <v/>
      </c>
      <c r="AA150" s="49">
        <f>maint</f>
        <v/>
      </c>
      <c r="AB150" s="49">
        <f>VLOOKUP(B150,country_opex,7,FALSE)*ins_pct</f>
        <v/>
      </c>
      <c r="AC150" s="49">
        <f>charge_berth</f>
        <v/>
      </c>
      <c r="AD150" s="49">
        <f>X150+Y150+Z150+AA150+AB150+AC150</f>
        <v/>
      </c>
      <c r="AE150" s="49">
        <f>VLOOKUP(B150,country_opex,7,FALSE)/dep_years</f>
        <v/>
      </c>
      <c r="AF150" s="49">
        <f>W150-AD150</f>
        <v/>
      </c>
      <c r="AG150" s="46">
        <f>IF(W150=0,"",AF150/W150)</f>
        <v/>
      </c>
      <c r="AH150" s="47">
        <f>IF(AF150&lt;=0,"",VLOOKUP(B150,country_opex,7,FALSE)/AF150)</f>
        <v/>
      </c>
      <c r="AI150" s="44">
        <f>((G150*R150/diesel_nmpg)*diesel_co2pg-(battery/range_nm)*G150*R150*VLOOKUP(B150,country_opex,4,FALSE))/1000</f>
        <v/>
      </c>
      <c r="AJ150" s="42" t="n">
        <v>29166</v>
      </c>
      <c r="AK150" s="43" t="inlineStr">
        <is>
          <t>T3</t>
        </is>
      </c>
      <c r="AL150" s="43" t="inlineStr">
        <is>
          <t>med-low</t>
        </is>
      </c>
      <c r="AM150" s="50" t="n">
        <v>0.1</v>
      </c>
      <c r="AN150" s="45">
        <f>IF(AJ150="","",AJ150*AM150)</f>
        <v/>
      </c>
      <c r="AO150" s="45">
        <f>IF(OR(AJ150="",U150=0),"",MIN(IF(AV150="",9.9E+99,AV150),FLOOR(AN150/U150,1)))</f>
        <v/>
      </c>
      <c r="AP150" s="49">
        <f>IF(AO150="","",AO150*W150)</f>
        <v/>
      </c>
      <c r="AQ150" s="47">
        <f>IF(OR(AJ150="",U150=0),"",MIN(IF(AV150="",9.9E+99,AV150),AN150/U150))</f>
        <v/>
      </c>
      <c r="AR150" s="49">
        <f>IF(AQ150="","",AQ150*W150)</f>
        <v/>
      </c>
      <c r="AS150" s="51" t="n"/>
      <c r="AT150" s="52" t="n"/>
      <c r="AU150" s="52" t="n"/>
      <c r="AV150" s="53" t="n"/>
      <c r="AW150" s="54">
        <f>IF(((V150*pax_cap*load_thin*ROUND(N150*O150*revleg_thin,0))-(((battery/range_nm)*G150*ROUND(N150*O150*revleg_thin,0)*VLOOKUP(B150,country_opex,3,FALSE))+Y150+Z150+AA150+AB150+AC150))&lt;=0,"",VLOOKUP(B150,country_opex,7,FALSE)/((V150*pax_cap*load_thin*ROUND(N150*O150*revleg_thin,0))-(((battery/range_nm)*G150*ROUND(N150*O150*revleg_thin,0)*VLOOKUP(B150,country_opex,3,FALSE))+Y150+Z150+AA150+AB150+AC150)))</f>
        <v/>
      </c>
      <c r="AX150" s="54">
        <f>IF(((V150*pax_cap*load_mid*ROUND(N150*O150*revleg_mid,0))-(((battery/range_nm)*G150*ROUND(N150*O150*revleg_mid,0)*VLOOKUP(B150,country_opex,3,FALSE))+Y150+Z150+AA150+AB150+AC150))&lt;=0,"",VLOOKUP(B150,country_opex,7,FALSE)/((V150*pax_cap*load_mid*ROUND(N150*O150*revleg_mid,0))-(((battery/range_nm)*G150*ROUND(N150*O150*revleg_mid,0)*VLOOKUP(B150,country_opex,3,FALSE))+Y150+Z150+AA150+AB150+AC150)))</f>
        <v/>
      </c>
      <c r="AY150" s="54">
        <f>IF(((V150*pax_cap*load_full*ROUND(N150*O150*revleg_full,0))-(((battery/range_nm)*G150*ROUND(N150*O150*revleg_full,0)*VLOOKUP(B150,country_opex,3,FALSE))+Y150+Z150+AA150+AB150+AC150))&lt;=0,"",VLOOKUP(B150,country_opex,7,FALSE)/((V150*pax_cap*load_full*ROUND(N150*O150*revleg_full,0))-(((battery/range_nm)*G150*ROUND(N150*O150*revleg_full,0)*VLOOKUP(B150,country_opex,3,FALSE))+Y150+Z150+AA150+AB150+AC150)))</f>
        <v/>
      </c>
      <c r="AZ150" s="40" t="inlineStr">
        <is>
          <t>[LB-255 PREMIUM RE-FARE: subsidized comparable $3.5 lifted to premium on-demand floor $18.0] handoff/INDIA-ECONOMICS-SIDECAR-V0-2026-06-20.json (kerala)</t>
        </is>
      </c>
      <c r="BA150" s="40" t="inlineStr">
        <is>
          <t>handoff/INDIA-ECONOMICS-SIDECAR-V0-2026-06-20.json (kerala)</t>
        </is>
      </c>
    </row>
    <row r="151">
      <c r="A151" s="38" t="inlineStr">
        <is>
          <t>India Andaman Rapido</t>
        </is>
      </c>
      <c r="B151" s="38" t="inlineStr">
        <is>
          <t>India</t>
        </is>
      </c>
      <c r="C151" s="39" t="inlineStr">
        <is>
          <t>Gamefishing Asia → Chatham Jetty</t>
        </is>
      </c>
      <c r="D151" s="38" t="inlineStr">
        <is>
          <t>rapido</t>
        </is>
      </c>
      <c r="E151" s="40" t="inlineStr">
        <is>
          <t>india-andaman-ola, india-andaman-rapido</t>
        </is>
      </c>
      <c r="F151" s="41" t="n">
        <v>2</v>
      </c>
      <c r="G151" s="42" t="n">
        <v>2.7</v>
      </c>
      <c r="H151" s="35" t="n">
        <v>22</v>
      </c>
      <c r="I151" s="43" t="inlineStr">
        <is>
          <t>T3</t>
        </is>
      </c>
      <c r="J151" s="43" t="inlineStr">
        <is>
          <t>med-low</t>
        </is>
      </c>
      <c r="K151" s="29" t="n">
        <v>1</v>
      </c>
      <c r="L151" s="44">
        <f>60*G151/cruise_kt</f>
        <v/>
      </c>
      <c r="M151" s="44">
        <f>L151+turn_min+dwell_min</f>
        <v/>
      </c>
      <c r="N151" s="45">
        <f>MIN(10,FLOOR(60*service_hr/M151,1))</f>
        <v/>
      </c>
      <c r="O151" s="45">
        <f>ROUND(365*mech_uptime*K151,0)</f>
        <v/>
      </c>
      <c r="P151" s="46">
        <f>mech_uptime</f>
        <v/>
      </c>
      <c r="Q151" s="46">
        <f>revleg_sel</f>
        <v/>
      </c>
      <c r="R151" s="45">
        <f>ROUND(N151*O151*revleg_sel,0)</f>
        <v/>
      </c>
      <c r="S151" s="47">
        <f>load_sel</f>
        <v/>
      </c>
      <c r="T151" s="47">
        <f>pax_cap*S151</f>
        <v/>
      </c>
      <c r="U151" s="45">
        <f>T151*R151</f>
        <v/>
      </c>
      <c r="V151" s="48">
        <f>H151*discount</f>
        <v/>
      </c>
      <c r="W151" s="49">
        <f>V151*U151</f>
        <v/>
      </c>
      <c r="X151" s="49">
        <f>(battery/range_nm)*G151*R151*VLOOKUP(B151,country_opex,3,FALSE)</f>
        <v/>
      </c>
      <c r="Y151" s="49">
        <f>VLOOKUP(B151,country_opex,2,FALSE)*crew_factor</f>
        <v/>
      </c>
      <c r="Z151" s="49">
        <f>VLOOKUP(B151,country_opex,5,FALSE)</f>
        <v/>
      </c>
      <c r="AA151" s="49">
        <f>maint</f>
        <v/>
      </c>
      <c r="AB151" s="49">
        <f>VLOOKUP(B151,country_opex,7,FALSE)*ins_pct</f>
        <v/>
      </c>
      <c r="AC151" s="49">
        <f>charge_berth</f>
        <v/>
      </c>
      <c r="AD151" s="49">
        <f>X151+Y151+Z151+AA151+AB151+AC151</f>
        <v/>
      </c>
      <c r="AE151" s="49">
        <f>VLOOKUP(B151,country_opex,7,FALSE)/dep_years</f>
        <v/>
      </c>
      <c r="AF151" s="49">
        <f>W151-AD151</f>
        <v/>
      </c>
      <c r="AG151" s="46">
        <f>IF(W151=0,"",AF151/W151)</f>
        <v/>
      </c>
      <c r="AH151" s="47">
        <f>IF(AF151&lt;=0,"",VLOOKUP(B151,country_opex,7,FALSE)/AF151)</f>
        <v/>
      </c>
      <c r="AI151" s="44">
        <f>((G151*R151/diesel_nmpg)*diesel_co2pg-(battery/range_nm)*G151*R151*VLOOKUP(B151,country_opex,4,FALSE))/1000</f>
        <v/>
      </c>
      <c r="AJ151" s="42" t="n">
        <v>5000</v>
      </c>
      <c r="AK151" s="43" t="inlineStr">
        <is>
          <t>T3</t>
        </is>
      </c>
      <c r="AL151" s="43" t="inlineStr">
        <is>
          <t>med-low</t>
        </is>
      </c>
      <c r="AM151" s="50" t="n">
        <v>0.1</v>
      </c>
      <c r="AN151" s="45">
        <f>IF(AJ151="","",AJ151*AM151)</f>
        <v/>
      </c>
      <c r="AO151" s="45">
        <f>IF(OR(AJ151="",U151=0),"",MIN(IF(AV151="",9.9E+99,AV151),FLOOR(AN151/U151,1)))</f>
        <v/>
      </c>
      <c r="AP151" s="49">
        <f>IF(AO151="","",AO151*W151)</f>
        <v/>
      </c>
      <c r="AQ151" s="47">
        <f>IF(OR(AJ151="",U151=0),"",MIN(IF(AV151="",9.9E+99,AV151),AN151/U151))</f>
        <v/>
      </c>
      <c r="AR151" s="49">
        <f>IF(AQ151="","",AQ151*W151)</f>
        <v/>
      </c>
      <c r="AS151" s="51" t="n"/>
      <c r="AT151" s="52" t="n"/>
      <c r="AU151" s="52" t="n"/>
      <c r="AV151" s="53" t="n"/>
      <c r="AW151" s="54">
        <f>IF(((V151*pax_cap*load_thin*ROUND(N151*O151*revleg_thin,0))-(((battery/range_nm)*G151*ROUND(N151*O151*revleg_thin,0)*VLOOKUP(B151,country_opex,3,FALSE))+Y151+Z151+AA151+AB151+AC151))&lt;=0,"",VLOOKUP(B151,country_opex,7,FALSE)/((V151*pax_cap*load_thin*ROUND(N151*O151*revleg_thin,0))-(((battery/range_nm)*G151*ROUND(N151*O151*revleg_thin,0)*VLOOKUP(B151,country_opex,3,FALSE))+Y151+Z151+AA151+AB151+AC151)))</f>
        <v/>
      </c>
      <c r="AX151" s="54">
        <f>IF(((V151*pax_cap*load_mid*ROUND(N151*O151*revleg_mid,0))-(((battery/range_nm)*G151*ROUND(N151*O151*revleg_mid,0)*VLOOKUP(B151,country_opex,3,FALSE))+Y151+Z151+AA151+AB151+AC151))&lt;=0,"",VLOOKUP(B151,country_opex,7,FALSE)/((V151*pax_cap*load_mid*ROUND(N151*O151*revleg_mid,0))-(((battery/range_nm)*G151*ROUND(N151*O151*revleg_mid,0)*VLOOKUP(B151,country_opex,3,FALSE))+Y151+Z151+AA151+AB151+AC151)))</f>
        <v/>
      </c>
      <c r="AY151" s="54">
        <f>IF(((V151*pax_cap*load_full*ROUND(N151*O151*revleg_full,0))-(((battery/range_nm)*G151*ROUND(N151*O151*revleg_full,0)*VLOOKUP(B151,country_opex,3,FALSE))+Y151+Z151+AA151+AB151+AC151))&lt;=0,"",VLOOKUP(B151,country_opex,7,FALSE)/((V151*pax_cap*load_full*ROUND(N151*O151*revleg_full,0))-(((battery/range_nm)*G151*ROUND(N151*O151*revleg_full,0)*VLOOKUP(B151,country_opex,3,FALSE))+Y151+Z151+AA151+AB151+AC151)))</f>
        <v/>
      </c>
      <c r="AZ151" s="40" t="inlineStr">
        <is>
          <t>handoff/INDIA-ECONOMICS-SIDECAR-V0-2026-06-20.json (andaman)</t>
        </is>
      </c>
      <c r="BA151" s="40" t="inlineStr">
        <is>
          <t>handoff/INDIA-ECONOMICS-SIDECAR-V0-2026-06-20.json (andaman)</t>
        </is>
      </c>
    </row>
    <row r="152">
      <c r="A152" s="38" t="inlineStr">
        <is>
          <t>India Mumbai Rapido</t>
        </is>
      </c>
      <c r="B152" s="38" t="inlineStr">
        <is>
          <t>India</t>
        </is>
      </c>
      <c r="C152" s="39" t="inlineStr">
        <is>
          <t>Bhaucha Dhakka → Bombay Harbour</t>
        </is>
      </c>
      <c r="D152" s="38" t="inlineStr">
        <is>
          <t>rapido</t>
        </is>
      </c>
      <c r="E152" s="40" t="inlineStr">
        <is>
          <t>india-mumbai-ola, india-mumbai-rapido</t>
        </is>
      </c>
      <c r="F152" s="41" t="n">
        <v>2</v>
      </c>
      <c r="G152" s="42" t="n">
        <v>2.8</v>
      </c>
      <c r="H152" s="35" t="n">
        <v>18</v>
      </c>
      <c r="I152" s="43" t="inlineStr">
        <is>
          <t>T3</t>
        </is>
      </c>
      <c r="J152" s="43" t="inlineStr">
        <is>
          <t>med-low</t>
        </is>
      </c>
      <c r="K152" s="29" t="n">
        <v>1</v>
      </c>
      <c r="L152" s="44">
        <f>60*G152/cruise_kt</f>
        <v/>
      </c>
      <c r="M152" s="44">
        <f>L152+turn_min+dwell_min</f>
        <v/>
      </c>
      <c r="N152" s="45">
        <f>MIN(10,FLOOR(60*service_hr/M152,1))</f>
        <v/>
      </c>
      <c r="O152" s="45">
        <f>ROUND(365*mech_uptime*K152,0)</f>
        <v/>
      </c>
      <c r="P152" s="46">
        <f>mech_uptime</f>
        <v/>
      </c>
      <c r="Q152" s="46">
        <f>revleg_sel</f>
        <v/>
      </c>
      <c r="R152" s="45">
        <f>ROUND(N152*O152*revleg_sel,0)</f>
        <v/>
      </c>
      <c r="S152" s="47">
        <f>load_sel</f>
        <v/>
      </c>
      <c r="T152" s="47">
        <f>pax_cap*S152</f>
        <v/>
      </c>
      <c r="U152" s="45">
        <f>T152*R152</f>
        <v/>
      </c>
      <c r="V152" s="48">
        <f>H152*discount</f>
        <v/>
      </c>
      <c r="W152" s="49">
        <f>V152*U152</f>
        <v/>
      </c>
      <c r="X152" s="49">
        <f>(battery/range_nm)*G152*R152*VLOOKUP(B152,country_opex,3,FALSE)</f>
        <v/>
      </c>
      <c r="Y152" s="49">
        <f>VLOOKUP(B152,country_opex,2,FALSE)*crew_factor</f>
        <v/>
      </c>
      <c r="Z152" s="49">
        <f>VLOOKUP(B152,country_opex,5,FALSE)</f>
        <v/>
      </c>
      <c r="AA152" s="49">
        <f>maint</f>
        <v/>
      </c>
      <c r="AB152" s="49">
        <f>VLOOKUP(B152,country_opex,7,FALSE)*ins_pct</f>
        <v/>
      </c>
      <c r="AC152" s="49">
        <f>charge_berth</f>
        <v/>
      </c>
      <c r="AD152" s="49">
        <f>X152+Y152+Z152+AA152+AB152+AC152</f>
        <v/>
      </c>
      <c r="AE152" s="49">
        <f>VLOOKUP(B152,country_opex,7,FALSE)/dep_years</f>
        <v/>
      </c>
      <c r="AF152" s="49">
        <f>W152-AD152</f>
        <v/>
      </c>
      <c r="AG152" s="46">
        <f>IF(W152=0,"",AF152/W152)</f>
        <v/>
      </c>
      <c r="AH152" s="47">
        <f>IF(AF152&lt;=0,"",VLOOKUP(B152,country_opex,7,FALSE)/AF152)</f>
        <v/>
      </c>
      <c r="AI152" s="44">
        <f>((G152*R152/diesel_nmpg)*diesel_co2pg-(battery/range_nm)*G152*R152*VLOOKUP(B152,country_opex,4,FALSE))/1000</f>
        <v/>
      </c>
      <c r="AJ152" s="42" t="n">
        <v>5000</v>
      </c>
      <c r="AK152" s="43" t="inlineStr">
        <is>
          <t>T3</t>
        </is>
      </c>
      <c r="AL152" s="43" t="inlineStr">
        <is>
          <t>med-low</t>
        </is>
      </c>
      <c r="AM152" s="50" t="n">
        <v>0.1</v>
      </c>
      <c r="AN152" s="45">
        <f>IF(AJ152="","",AJ152*AM152)</f>
        <v/>
      </c>
      <c r="AO152" s="45">
        <f>IF(OR(AJ152="",U152=0),"",MIN(IF(AV152="",9.9E+99,AV152),FLOOR(AN152/U152,1)))</f>
        <v/>
      </c>
      <c r="AP152" s="49">
        <f>IF(AO152="","",AO152*W152)</f>
        <v/>
      </c>
      <c r="AQ152" s="47">
        <f>IF(OR(AJ152="",U152=0),"",MIN(IF(AV152="",9.9E+99,AV152),AN152/U152))</f>
        <v/>
      </c>
      <c r="AR152" s="49">
        <f>IF(AQ152="","",AQ152*W152)</f>
        <v/>
      </c>
      <c r="AS152" s="51" t="n"/>
      <c r="AT152" s="52" t="n"/>
      <c r="AU152" s="52" t="n"/>
      <c r="AV152" s="53" t="n"/>
      <c r="AW152" s="54">
        <f>IF(((V152*pax_cap*load_thin*ROUND(N152*O152*revleg_thin,0))-(((battery/range_nm)*G152*ROUND(N152*O152*revleg_thin,0)*VLOOKUP(B152,country_opex,3,FALSE))+Y152+Z152+AA152+AB152+AC152))&lt;=0,"",VLOOKUP(B152,country_opex,7,FALSE)/((V152*pax_cap*load_thin*ROUND(N152*O152*revleg_thin,0))-(((battery/range_nm)*G152*ROUND(N152*O152*revleg_thin,0)*VLOOKUP(B152,country_opex,3,FALSE))+Y152+Z152+AA152+AB152+AC152)))</f>
        <v/>
      </c>
      <c r="AX152" s="54">
        <f>IF(((V152*pax_cap*load_mid*ROUND(N152*O152*revleg_mid,0))-(((battery/range_nm)*G152*ROUND(N152*O152*revleg_mid,0)*VLOOKUP(B152,country_opex,3,FALSE))+Y152+Z152+AA152+AB152+AC152))&lt;=0,"",VLOOKUP(B152,country_opex,7,FALSE)/((V152*pax_cap*load_mid*ROUND(N152*O152*revleg_mid,0))-(((battery/range_nm)*G152*ROUND(N152*O152*revleg_mid,0)*VLOOKUP(B152,country_opex,3,FALSE))+Y152+Z152+AA152+AB152+AC152)))</f>
        <v/>
      </c>
      <c r="AY152" s="54">
        <f>IF(((V152*pax_cap*load_full*ROUND(N152*O152*revleg_full,0))-(((battery/range_nm)*G152*ROUND(N152*O152*revleg_full,0)*VLOOKUP(B152,country_opex,3,FALSE))+Y152+Z152+AA152+AB152+AC152))&lt;=0,"",VLOOKUP(B152,country_opex,7,FALSE)/((V152*pax_cap*load_full*ROUND(N152*O152*revleg_full,0))-(((battery/range_nm)*G152*ROUND(N152*O152*revleg_full,0)*VLOOKUP(B152,country_opex,3,FALSE))+Y152+Z152+AA152+AB152+AC152)))</f>
        <v/>
      </c>
      <c r="AZ152" s="40" t="inlineStr">
        <is>
          <t>[LB-255 PREMIUM RE-FARE: subsidized comparable $5.5 lifted to premium on-demand floor $18.0] handoff/INDIA-ECONOMICS-SIDECAR-V0-2026-06-20.json (mumbai)</t>
        </is>
      </c>
      <c r="BA152" s="40" t="inlineStr">
        <is>
          <t>handoff/INDIA-ECONOMICS-SIDECAR-V0-2026-06-20.json (mumbai)</t>
        </is>
      </c>
    </row>
    <row r="153">
      <c r="A153" s="38" t="inlineStr">
        <is>
          <t>India Goa Rapido</t>
        </is>
      </c>
      <c r="B153" s="38" t="inlineStr">
        <is>
          <t>India</t>
        </is>
      </c>
      <c r="C153" s="39" t="inlineStr">
        <is>
          <t>Goveia Marina → Tuem Ferry Terminal</t>
        </is>
      </c>
      <c r="D153" s="38" t="inlineStr">
        <is>
          <t>rapido</t>
        </is>
      </c>
      <c r="E153" s="40" t="inlineStr">
        <is>
          <t>india-goa-ola, india-goa-rapido</t>
        </is>
      </c>
      <c r="F153" s="41" t="n">
        <v>2</v>
      </c>
      <c r="G153" s="42" t="n">
        <v>2.8</v>
      </c>
      <c r="H153" s="35" t="n">
        <v>8</v>
      </c>
      <c r="I153" s="43" t="inlineStr">
        <is>
          <t>T3</t>
        </is>
      </c>
      <c r="J153" s="43" t="inlineStr">
        <is>
          <t>med-low</t>
        </is>
      </c>
      <c r="K153" s="29" t="n">
        <v>1</v>
      </c>
      <c r="L153" s="44">
        <f>60*G153/cruise_kt</f>
        <v/>
      </c>
      <c r="M153" s="44">
        <f>L153+turn_min+dwell_min</f>
        <v/>
      </c>
      <c r="N153" s="45">
        <f>MIN(10,FLOOR(60*service_hr/M153,1))</f>
        <v/>
      </c>
      <c r="O153" s="45">
        <f>ROUND(365*mech_uptime*K153,0)</f>
        <v/>
      </c>
      <c r="P153" s="46">
        <f>mech_uptime</f>
        <v/>
      </c>
      <c r="Q153" s="46">
        <f>revleg_sel</f>
        <v/>
      </c>
      <c r="R153" s="45">
        <f>ROUND(N153*O153*revleg_sel,0)</f>
        <v/>
      </c>
      <c r="S153" s="47">
        <f>load_sel</f>
        <v/>
      </c>
      <c r="T153" s="47">
        <f>pax_cap*S153</f>
        <v/>
      </c>
      <c r="U153" s="45">
        <f>T153*R153</f>
        <v/>
      </c>
      <c r="V153" s="48">
        <f>H153*discount</f>
        <v/>
      </c>
      <c r="W153" s="49">
        <f>V153*U153</f>
        <v/>
      </c>
      <c r="X153" s="49">
        <f>(battery/range_nm)*G153*R153*VLOOKUP(B153,country_opex,3,FALSE)</f>
        <v/>
      </c>
      <c r="Y153" s="49">
        <f>VLOOKUP(B153,country_opex,2,FALSE)*crew_factor</f>
        <v/>
      </c>
      <c r="Z153" s="49">
        <f>VLOOKUP(B153,country_opex,5,FALSE)</f>
        <v/>
      </c>
      <c r="AA153" s="49">
        <f>maint</f>
        <v/>
      </c>
      <c r="AB153" s="49">
        <f>VLOOKUP(B153,country_opex,7,FALSE)*ins_pct</f>
        <v/>
      </c>
      <c r="AC153" s="49">
        <f>charge_berth</f>
        <v/>
      </c>
      <c r="AD153" s="49">
        <f>X153+Y153+Z153+AA153+AB153+AC153</f>
        <v/>
      </c>
      <c r="AE153" s="49">
        <f>VLOOKUP(B153,country_opex,7,FALSE)/dep_years</f>
        <v/>
      </c>
      <c r="AF153" s="49">
        <f>W153-AD153</f>
        <v/>
      </c>
      <c r="AG153" s="46">
        <f>IF(W153=0,"",AF153/W153)</f>
        <v/>
      </c>
      <c r="AH153" s="47">
        <f>IF(AF153&lt;=0,"",VLOOKUP(B153,country_opex,7,FALSE)/AF153)</f>
        <v/>
      </c>
      <c r="AI153" s="44">
        <f>((G153*R153/diesel_nmpg)*diesel_co2pg-(battery/range_nm)*G153*R153*VLOOKUP(B153,country_opex,4,FALSE))/1000</f>
        <v/>
      </c>
      <c r="AJ153" s="42" t="n">
        <v>11250</v>
      </c>
      <c r="AK153" s="43" t="inlineStr">
        <is>
          <t>T3</t>
        </is>
      </c>
      <c r="AL153" s="43" t="inlineStr">
        <is>
          <t>med-low</t>
        </is>
      </c>
      <c r="AM153" s="50" t="n">
        <v>0.1</v>
      </c>
      <c r="AN153" s="45">
        <f>IF(AJ153="","",AJ153*AM153)</f>
        <v/>
      </c>
      <c r="AO153" s="45">
        <f>IF(OR(AJ153="",U153=0),"",MIN(IF(AV153="",9.9E+99,AV153),FLOOR(AN153/U153,1)))</f>
        <v/>
      </c>
      <c r="AP153" s="49">
        <f>IF(AO153="","",AO153*W153)</f>
        <v/>
      </c>
      <c r="AQ153" s="47">
        <f>IF(OR(AJ153="",U153=0),"",MIN(IF(AV153="",9.9E+99,AV153),AN153/U153))</f>
        <v/>
      </c>
      <c r="AR153" s="49">
        <f>IF(AQ153="","",AQ153*W153)</f>
        <v/>
      </c>
      <c r="AS153" s="51" t="n"/>
      <c r="AT153" s="52" t="n"/>
      <c r="AU153" s="52" t="n"/>
      <c r="AV153" s="53" t="n"/>
      <c r="AW153" s="54">
        <f>IF(((V153*pax_cap*load_thin*ROUND(N153*O153*revleg_thin,0))-(((battery/range_nm)*G153*ROUND(N153*O153*revleg_thin,0)*VLOOKUP(B153,country_opex,3,FALSE))+Y153+Z153+AA153+AB153+AC153))&lt;=0,"",VLOOKUP(B153,country_opex,7,FALSE)/((V153*pax_cap*load_thin*ROUND(N153*O153*revleg_thin,0))-(((battery/range_nm)*G153*ROUND(N153*O153*revleg_thin,0)*VLOOKUP(B153,country_opex,3,FALSE))+Y153+Z153+AA153+AB153+AC153)))</f>
        <v/>
      </c>
      <c r="AX153" s="54">
        <f>IF(((V153*pax_cap*load_mid*ROUND(N153*O153*revleg_mid,0))-(((battery/range_nm)*G153*ROUND(N153*O153*revleg_mid,0)*VLOOKUP(B153,country_opex,3,FALSE))+Y153+Z153+AA153+AB153+AC153))&lt;=0,"",VLOOKUP(B153,country_opex,7,FALSE)/((V153*pax_cap*load_mid*ROUND(N153*O153*revleg_mid,0))-(((battery/range_nm)*G153*ROUND(N153*O153*revleg_mid,0)*VLOOKUP(B153,country_opex,3,FALSE))+Y153+Z153+AA153+AB153+AC153)))</f>
        <v/>
      </c>
      <c r="AY153" s="54">
        <f>IF(((V153*pax_cap*load_full*ROUND(N153*O153*revleg_full,0))-(((battery/range_nm)*G153*ROUND(N153*O153*revleg_full,0)*VLOOKUP(B153,country_opex,3,FALSE))+Y153+Z153+AA153+AB153+AC153))&lt;=0,"",VLOOKUP(B153,country_opex,7,FALSE)/((V153*pax_cap*load_full*ROUND(N153*O153*revleg_full,0))-(((battery/range_nm)*G153*ROUND(N153*O153*revleg_full,0)*VLOOKUP(B153,country_opex,3,FALSE))+Y153+Z153+AA153+AB153+AC153)))</f>
        <v/>
      </c>
      <c r="AZ153" s="40" t="inlineStr">
        <is>
          <t>handoff/INDIA-ECONOMICS-SIDECAR-V0-2026-06-20.json (goa)</t>
        </is>
      </c>
      <c r="BA153" s="40" t="inlineStr">
        <is>
          <t>handoff/INDIA-ECONOMICS-SIDECAR-V0-2026-06-20.json (goa)</t>
        </is>
      </c>
    </row>
    <row r="154">
      <c r="A154" s="38" t="inlineStr">
        <is>
          <t>India Goa Rapido</t>
        </is>
      </c>
      <c r="B154" s="38" t="inlineStr">
        <is>
          <t>India</t>
        </is>
      </c>
      <c r="C154" s="39" t="inlineStr">
        <is>
          <t>Ribandar Ferry → Piedade Ferry Terminal</t>
        </is>
      </c>
      <c r="D154" s="38" t="inlineStr">
        <is>
          <t>rapido</t>
        </is>
      </c>
      <c r="E154" s="40" t="inlineStr">
        <is>
          <t>india-goa-ola, india-goa-rapido</t>
        </is>
      </c>
      <c r="F154" s="41" t="n">
        <v>2</v>
      </c>
      <c r="G154" s="42" t="n">
        <v>2.8</v>
      </c>
      <c r="H154" s="35" t="n">
        <v>8</v>
      </c>
      <c r="I154" s="43" t="inlineStr">
        <is>
          <t>T3</t>
        </is>
      </c>
      <c r="J154" s="43" t="inlineStr">
        <is>
          <t>med-low</t>
        </is>
      </c>
      <c r="K154" s="29" t="n">
        <v>1</v>
      </c>
      <c r="L154" s="44">
        <f>60*G154/cruise_kt</f>
        <v/>
      </c>
      <c r="M154" s="44">
        <f>L154+turn_min+dwell_min</f>
        <v/>
      </c>
      <c r="N154" s="45">
        <f>MIN(10,FLOOR(60*service_hr/M154,1))</f>
        <v/>
      </c>
      <c r="O154" s="45">
        <f>ROUND(365*mech_uptime*K154,0)</f>
        <v/>
      </c>
      <c r="P154" s="46">
        <f>mech_uptime</f>
        <v/>
      </c>
      <c r="Q154" s="46">
        <f>revleg_sel</f>
        <v/>
      </c>
      <c r="R154" s="45">
        <f>ROUND(N154*O154*revleg_sel,0)</f>
        <v/>
      </c>
      <c r="S154" s="47">
        <f>load_sel</f>
        <v/>
      </c>
      <c r="T154" s="47">
        <f>pax_cap*S154</f>
        <v/>
      </c>
      <c r="U154" s="45">
        <f>T154*R154</f>
        <v/>
      </c>
      <c r="V154" s="48">
        <f>H154*discount</f>
        <v/>
      </c>
      <c r="W154" s="49">
        <f>V154*U154</f>
        <v/>
      </c>
      <c r="X154" s="49">
        <f>(battery/range_nm)*G154*R154*VLOOKUP(B154,country_opex,3,FALSE)</f>
        <v/>
      </c>
      <c r="Y154" s="49">
        <f>VLOOKUP(B154,country_opex,2,FALSE)*crew_factor</f>
        <v/>
      </c>
      <c r="Z154" s="49">
        <f>VLOOKUP(B154,country_opex,5,FALSE)</f>
        <v/>
      </c>
      <c r="AA154" s="49">
        <f>maint</f>
        <v/>
      </c>
      <c r="AB154" s="49">
        <f>VLOOKUP(B154,country_opex,7,FALSE)*ins_pct</f>
        <v/>
      </c>
      <c r="AC154" s="49">
        <f>charge_berth</f>
        <v/>
      </c>
      <c r="AD154" s="49">
        <f>X154+Y154+Z154+AA154+AB154+AC154</f>
        <v/>
      </c>
      <c r="AE154" s="49">
        <f>VLOOKUP(B154,country_opex,7,FALSE)/dep_years</f>
        <v/>
      </c>
      <c r="AF154" s="49">
        <f>W154-AD154</f>
        <v/>
      </c>
      <c r="AG154" s="46">
        <f>IF(W154=0,"",AF154/W154)</f>
        <v/>
      </c>
      <c r="AH154" s="47">
        <f>IF(AF154&lt;=0,"",VLOOKUP(B154,country_opex,7,FALSE)/AF154)</f>
        <v/>
      </c>
      <c r="AI154" s="44">
        <f>((G154*R154/diesel_nmpg)*diesel_co2pg-(battery/range_nm)*G154*R154*VLOOKUP(B154,country_opex,4,FALSE))/1000</f>
        <v/>
      </c>
      <c r="AJ154" s="42" t="n">
        <v>11250</v>
      </c>
      <c r="AK154" s="43" t="inlineStr">
        <is>
          <t>T3</t>
        </is>
      </c>
      <c r="AL154" s="43" t="inlineStr">
        <is>
          <t>med-low</t>
        </is>
      </c>
      <c r="AM154" s="50" t="n">
        <v>0.1</v>
      </c>
      <c r="AN154" s="45">
        <f>IF(AJ154="","",AJ154*AM154)</f>
        <v/>
      </c>
      <c r="AO154" s="45">
        <f>IF(OR(AJ154="",U154=0),"",MIN(IF(AV154="",9.9E+99,AV154),FLOOR(AN154/U154,1)))</f>
        <v/>
      </c>
      <c r="AP154" s="49">
        <f>IF(AO154="","",AO154*W154)</f>
        <v/>
      </c>
      <c r="AQ154" s="47">
        <f>IF(OR(AJ154="",U154=0),"",MIN(IF(AV154="",9.9E+99,AV154),AN154/U154))</f>
        <v/>
      </c>
      <c r="AR154" s="49">
        <f>IF(AQ154="","",AQ154*W154)</f>
        <v/>
      </c>
      <c r="AS154" s="51" t="n"/>
      <c r="AT154" s="52" t="n"/>
      <c r="AU154" s="52" t="n"/>
      <c r="AV154" s="53" t="n"/>
      <c r="AW154" s="54">
        <f>IF(((V154*pax_cap*load_thin*ROUND(N154*O154*revleg_thin,0))-(((battery/range_nm)*G154*ROUND(N154*O154*revleg_thin,0)*VLOOKUP(B154,country_opex,3,FALSE))+Y154+Z154+AA154+AB154+AC154))&lt;=0,"",VLOOKUP(B154,country_opex,7,FALSE)/((V154*pax_cap*load_thin*ROUND(N154*O154*revleg_thin,0))-(((battery/range_nm)*G154*ROUND(N154*O154*revleg_thin,0)*VLOOKUP(B154,country_opex,3,FALSE))+Y154+Z154+AA154+AB154+AC154)))</f>
        <v/>
      </c>
      <c r="AX154" s="54">
        <f>IF(((V154*pax_cap*load_mid*ROUND(N154*O154*revleg_mid,0))-(((battery/range_nm)*G154*ROUND(N154*O154*revleg_mid,0)*VLOOKUP(B154,country_opex,3,FALSE))+Y154+Z154+AA154+AB154+AC154))&lt;=0,"",VLOOKUP(B154,country_opex,7,FALSE)/((V154*pax_cap*load_mid*ROUND(N154*O154*revleg_mid,0))-(((battery/range_nm)*G154*ROUND(N154*O154*revleg_mid,0)*VLOOKUP(B154,country_opex,3,FALSE))+Y154+Z154+AA154+AB154+AC154)))</f>
        <v/>
      </c>
      <c r="AY154" s="54">
        <f>IF(((V154*pax_cap*load_full*ROUND(N154*O154*revleg_full,0))-(((battery/range_nm)*G154*ROUND(N154*O154*revleg_full,0)*VLOOKUP(B154,country_opex,3,FALSE))+Y154+Z154+AA154+AB154+AC154))&lt;=0,"",VLOOKUP(B154,country_opex,7,FALSE)/((V154*pax_cap*load_full*ROUND(N154*O154*revleg_full,0))-(((battery/range_nm)*G154*ROUND(N154*O154*revleg_full,0)*VLOOKUP(B154,country_opex,3,FALSE))+Y154+Z154+AA154+AB154+AC154)))</f>
        <v/>
      </c>
      <c r="AZ154" s="40" t="inlineStr">
        <is>
          <t>handoff/INDIA-ECONOMICS-SIDECAR-V0-2026-06-20.json (goa)</t>
        </is>
      </c>
      <c r="BA154" s="40" t="inlineStr">
        <is>
          <t>handoff/INDIA-ECONOMICS-SIDECAR-V0-2026-06-20.json (goa)</t>
        </is>
      </c>
    </row>
    <row r="155">
      <c r="A155" s="38" t="inlineStr">
        <is>
          <t>India Kerala Rapido</t>
        </is>
      </c>
      <c r="B155" s="38" t="inlineStr">
        <is>
          <t>India</t>
        </is>
      </c>
      <c r="C155" s="39" t="inlineStr">
        <is>
          <t>Keltron Ferry → Sailing Club House</t>
        </is>
      </c>
      <c r="D155" s="38" t="inlineStr">
        <is>
          <t>rapido</t>
        </is>
      </c>
      <c r="E155" s="40" t="inlineStr">
        <is>
          <t>india-kerala-ola, india-kerala-rapido</t>
        </is>
      </c>
      <c r="F155" s="41" t="n">
        <v>2</v>
      </c>
      <c r="G155" s="42" t="n">
        <v>2.8</v>
      </c>
      <c r="H155" s="35" t="n">
        <v>18</v>
      </c>
      <c r="I155" s="43" t="inlineStr">
        <is>
          <t>T3</t>
        </is>
      </c>
      <c r="J155" s="43" t="inlineStr">
        <is>
          <t>med-low</t>
        </is>
      </c>
      <c r="K155" s="29" t="n">
        <v>1</v>
      </c>
      <c r="L155" s="44">
        <f>60*G155/cruise_kt</f>
        <v/>
      </c>
      <c r="M155" s="44">
        <f>L155+turn_min+dwell_min</f>
        <v/>
      </c>
      <c r="N155" s="45">
        <f>MIN(10,FLOOR(60*service_hr/M155,1))</f>
        <v/>
      </c>
      <c r="O155" s="45">
        <f>ROUND(365*mech_uptime*K155,0)</f>
        <v/>
      </c>
      <c r="P155" s="46">
        <f>mech_uptime</f>
        <v/>
      </c>
      <c r="Q155" s="46">
        <f>revleg_sel</f>
        <v/>
      </c>
      <c r="R155" s="45">
        <f>ROUND(N155*O155*revleg_sel,0)</f>
        <v/>
      </c>
      <c r="S155" s="47">
        <f>load_sel</f>
        <v/>
      </c>
      <c r="T155" s="47">
        <f>pax_cap*S155</f>
        <v/>
      </c>
      <c r="U155" s="45">
        <f>T155*R155</f>
        <v/>
      </c>
      <c r="V155" s="48">
        <f>H155*discount</f>
        <v/>
      </c>
      <c r="W155" s="49">
        <f>V155*U155</f>
        <v/>
      </c>
      <c r="X155" s="49">
        <f>(battery/range_nm)*G155*R155*VLOOKUP(B155,country_opex,3,FALSE)</f>
        <v/>
      </c>
      <c r="Y155" s="49">
        <f>VLOOKUP(B155,country_opex,2,FALSE)*crew_factor</f>
        <v/>
      </c>
      <c r="Z155" s="49">
        <f>VLOOKUP(B155,country_opex,5,FALSE)</f>
        <v/>
      </c>
      <c r="AA155" s="49">
        <f>maint</f>
        <v/>
      </c>
      <c r="AB155" s="49">
        <f>VLOOKUP(B155,country_opex,7,FALSE)*ins_pct</f>
        <v/>
      </c>
      <c r="AC155" s="49">
        <f>charge_berth</f>
        <v/>
      </c>
      <c r="AD155" s="49">
        <f>X155+Y155+Z155+AA155+AB155+AC155</f>
        <v/>
      </c>
      <c r="AE155" s="49">
        <f>VLOOKUP(B155,country_opex,7,FALSE)/dep_years</f>
        <v/>
      </c>
      <c r="AF155" s="49">
        <f>W155-AD155</f>
        <v/>
      </c>
      <c r="AG155" s="46">
        <f>IF(W155=0,"",AF155/W155)</f>
        <v/>
      </c>
      <c r="AH155" s="47">
        <f>IF(AF155&lt;=0,"",VLOOKUP(B155,country_opex,7,FALSE)/AF155)</f>
        <v/>
      </c>
      <c r="AI155" s="44">
        <f>((G155*R155/diesel_nmpg)*diesel_co2pg-(battery/range_nm)*G155*R155*VLOOKUP(B155,country_opex,4,FALSE))/1000</f>
        <v/>
      </c>
      <c r="AJ155" s="42" t="n">
        <v>29166</v>
      </c>
      <c r="AK155" s="43" t="inlineStr">
        <is>
          <t>T3</t>
        </is>
      </c>
      <c r="AL155" s="43" t="inlineStr">
        <is>
          <t>med-low</t>
        </is>
      </c>
      <c r="AM155" s="50" t="n">
        <v>0.1</v>
      </c>
      <c r="AN155" s="45">
        <f>IF(AJ155="","",AJ155*AM155)</f>
        <v/>
      </c>
      <c r="AO155" s="45">
        <f>IF(OR(AJ155="",U155=0),"",MIN(IF(AV155="",9.9E+99,AV155),FLOOR(AN155/U155,1)))</f>
        <v/>
      </c>
      <c r="AP155" s="49">
        <f>IF(AO155="","",AO155*W155)</f>
        <v/>
      </c>
      <c r="AQ155" s="47">
        <f>IF(OR(AJ155="",U155=0),"",MIN(IF(AV155="",9.9E+99,AV155),AN155/U155))</f>
        <v/>
      </c>
      <c r="AR155" s="49">
        <f>IF(AQ155="","",AQ155*W155)</f>
        <v/>
      </c>
      <c r="AS155" s="51" t="n"/>
      <c r="AT155" s="52" t="n"/>
      <c r="AU155" s="52" t="n"/>
      <c r="AV155" s="53" t="n"/>
      <c r="AW155" s="54">
        <f>IF(((V155*pax_cap*load_thin*ROUND(N155*O155*revleg_thin,0))-(((battery/range_nm)*G155*ROUND(N155*O155*revleg_thin,0)*VLOOKUP(B155,country_opex,3,FALSE))+Y155+Z155+AA155+AB155+AC155))&lt;=0,"",VLOOKUP(B155,country_opex,7,FALSE)/((V155*pax_cap*load_thin*ROUND(N155*O155*revleg_thin,0))-(((battery/range_nm)*G155*ROUND(N155*O155*revleg_thin,0)*VLOOKUP(B155,country_opex,3,FALSE))+Y155+Z155+AA155+AB155+AC155)))</f>
        <v/>
      </c>
      <c r="AX155" s="54">
        <f>IF(((V155*pax_cap*load_mid*ROUND(N155*O155*revleg_mid,0))-(((battery/range_nm)*G155*ROUND(N155*O155*revleg_mid,0)*VLOOKUP(B155,country_opex,3,FALSE))+Y155+Z155+AA155+AB155+AC155))&lt;=0,"",VLOOKUP(B155,country_opex,7,FALSE)/((V155*pax_cap*load_mid*ROUND(N155*O155*revleg_mid,0))-(((battery/range_nm)*G155*ROUND(N155*O155*revleg_mid,0)*VLOOKUP(B155,country_opex,3,FALSE))+Y155+Z155+AA155+AB155+AC155)))</f>
        <v/>
      </c>
      <c r="AY155" s="54">
        <f>IF(((V155*pax_cap*load_full*ROUND(N155*O155*revleg_full,0))-(((battery/range_nm)*G155*ROUND(N155*O155*revleg_full,0)*VLOOKUP(B155,country_opex,3,FALSE))+Y155+Z155+AA155+AB155+AC155))&lt;=0,"",VLOOKUP(B155,country_opex,7,FALSE)/((V155*pax_cap*load_full*ROUND(N155*O155*revleg_full,0))-(((battery/range_nm)*G155*ROUND(N155*O155*revleg_full,0)*VLOOKUP(B155,country_opex,3,FALSE))+Y155+Z155+AA155+AB155+AC155)))</f>
        <v/>
      </c>
      <c r="AZ155" s="40" t="inlineStr">
        <is>
          <t>[LB-255 PREMIUM RE-FARE: subsidized comparable $3.5 lifted to premium on-demand floor $18.0] handoff/INDIA-ECONOMICS-SIDECAR-V0-2026-06-20.json (kerala)</t>
        </is>
      </c>
      <c r="BA155" s="40" t="inlineStr">
        <is>
          <t>handoff/INDIA-ECONOMICS-SIDECAR-V0-2026-06-20.json (kerala)</t>
        </is>
      </c>
    </row>
    <row r="156">
      <c r="A156" s="38" t="inlineStr">
        <is>
          <t>India Andaman Rapido</t>
        </is>
      </c>
      <c r="B156" s="38" t="inlineStr">
        <is>
          <t>India</t>
        </is>
      </c>
      <c r="C156" s="39" t="inlineStr">
        <is>
          <t>Andaman → Andaman &amp; Nicobar Islands</t>
        </is>
      </c>
      <c r="D156" s="38" t="inlineStr">
        <is>
          <t>rapido</t>
        </is>
      </c>
      <c r="E156" s="40" t="inlineStr">
        <is>
          <t>india-andaman-ola, india-andaman-rapido</t>
        </is>
      </c>
      <c r="F156" s="41" t="n">
        <v>4</v>
      </c>
      <c r="G156" s="42" t="n">
        <v>2.8</v>
      </c>
      <c r="H156" s="35" t="n">
        <v>22</v>
      </c>
      <c r="I156" s="43" t="inlineStr">
        <is>
          <t>T3</t>
        </is>
      </c>
      <c r="J156" s="43" t="inlineStr">
        <is>
          <t>med-low</t>
        </is>
      </c>
      <c r="K156" s="29" t="n">
        <v>1</v>
      </c>
      <c r="L156" s="44">
        <f>60*G156/cruise_kt</f>
        <v/>
      </c>
      <c r="M156" s="44">
        <f>L156+turn_min+dwell_min</f>
        <v/>
      </c>
      <c r="N156" s="45">
        <f>MIN(10,FLOOR(60*service_hr/M156,1))</f>
        <v/>
      </c>
      <c r="O156" s="45">
        <f>ROUND(365*mech_uptime*K156,0)</f>
        <v/>
      </c>
      <c r="P156" s="46">
        <f>mech_uptime</f>
        <v/>
      </c>
      <c r="Q156" s="46">
        <f>revleg_sel</f>
        <v/>
      </c>
      <c r="R156" s="45">
        <f>ROUND(N156*O156*revleg_sel,0)</f>
        <v/>
      </c>
      <c r="S156" s="47">
        <f>load_sel</f>
        <v/>
      </c>
      <c r="T156" s="47">
        <f>pax_cap*S156</f>
        <v/>
      </c>
      <c r="U156" s="45">
        <f>T156*R156</f>
        <v/>
      </c>
      <c r="V156" s="48">
        <f>H156*discount</f>
        <v/>
      </c>
      <c r="W156" s="49">
        <f>V156*U156</f>
        <v/>
      </c>
      <c r="X156" s="49">
        <f>(battery/range_nm)*G156*R156*VLOOKUP(B156,country_opex,3,FALSE)</f>
        <v/>
      </c>
      <c r="Y156" s="49">
        <f>VLOOKUP(B156,country_opex,2,FALSE)*crew_factor</f>
        <v/>
      </c>
      <c r="Z156" s="49">
        <f>VLOOKUP(B156,country_opex,5,FALSE)</f>
        <v/>
      </c>
      <c r="AA156" s="49">
        <f>maint</f>
        <v/>
      </c>
      <c r="AB156" s="49">
        <f>VLOOKUP(B156,country_opex,7,FALSE)*ins_pct</f>
        <v/>
      </c>
      <c r="AC156" s="49">
        <f>charge_berth</f>
        <v/>
      </c>
      <c r="AD156" s="49">
        <f>X156+Y156+Z156+AA156+AB156+AC156</f>
        <v/>
      </c>
      <c r="AE156" s="49">
        <f>VLOOKUP(B156,country_opex,7,FALSE)/dep_years</f>
        <v/>
      </c>
      <c r="AF156" s="49">
        <f>W156-AD156</f>
        <v/>
      </c>
      <c r="AG156" s="46">
        <f>IF(W156=0,"",AF156/W156)</f>
        <v/>
      </c>
      <c r="AH156" s="47">
        <f>IF(AF156&lt;=0,"",VLOOKUP(B156,country_opex,7,FALSE)/AF156)</f>
        <v/>
      </c>
      <c r="AI156" s="44">
        <f>((G156*R156/diesel_nmpg)*diesel_co2pg-(battery/range_nm)*G156*R156*VLOOKUP(B156,country_opex,4,FALSE))/1000</f>
        <v/>
      </c>
      <c r="AJ156" s="42" t="n">
        <v>5000</v>
      </c>
      <c r="AK156" s="43" t="inlineStr">
        <is>
          <t>T3</t>
        </is>
      </c>
      <c r="AL156" s="43" t="inlineStr">
        <is>
          <t>med-low</t>
        </is>
      </c>
      <c r="AM156" s="50" t="n">
        <v>0.1</v>
      </c>
      <c r="AN156" s="45">
        <f>IF(AJ156="","",AJ156*AM156)</f>
        <v/>
      </c>
      <c r="AO156" s="45">
        <f>IF(OR(AJ156="",U156=0),"",MIN(IF(AV156="",9.9E+99,AV156),FLOOR(AN156/U156,1)))</f>
        <v/>
      </c>
      <c r="AP156" s="49">
        <f>IF(AO156="","",AO156*W156)</f>
        <v/>
      </c>
      <c r="AQ156" s="47">
        <f>IF(OR(AJ156="",U156=0),"",MIN(IF(AV156="",9.9E+99,AV156),AN156/U156))</f>
        <v/>
      </c>
      <c r="AR156" s="49">
        <f>IF(AQ156="","",AQ156*W156)</f>
        <v/>
      </c>
      <c r="AS156" s="51" t="n"/>
      <c r="AT156" s="52" t="n"/>
      <c r="AU156" s="52" t="n"/>
      <c r="AV156" s="53" t="n"/>
      <c r="AW156" s="54">
        <f>IF(((V156*pax_cap*load_thin*ROUND(N156*O156*revleg_thin,0))-(((battery/range_nm)*G156*ROUND(N156*O156*revleg_thin,0)*VLOOKUP(B156,country_opex,3,FALSE))+Y156+Z156+AA156+AB156+AC156))&lt;=0,"",VLOOKUP(B156,country_opex,7,FALSE)/((V156*pax_cap*load_thin*ROUND(N156*O156*revleg_thin,0))-(((battery/range_nm)*G156*ROUND(N156*O156*revleg_thin,0)*VLOOKUP(B156,country_opex,3,FALSE))+Y156+Z156+AA156+AB156+AC156)))</f>
        <v/>
      </c>
      <c r="AX156" s="54">
        <f>IF(((V156*pax_cap*load_mid*ROUND(N156*O156*revleg_mid,0))-(((battery/range_nm)*G156*ROUND(N156*O156*revleg_mid,0)*VLOOKUP(B156,country_opex,3,FALSE))+Y156+Z156+AA156+AB156+AC156))&lt;=0,"",VLOOKUP(B156,country_opex,7,FALSE)/((V156*pax_cap*load_mid*ROUND(N156*O156*revleg_mid,0))-(((battery/range_nm)*G156*ROUND(N156*O156*revleg_mid,0)*VLOOKUP(B156,country_opex,3,FALSE))+Y156+Z156+AA156+AB156+AC156)))</f>
        <v/>
      </c>
      <c r="AY156" s="54">
        <f>IF(((V156*pax_cap*load_full*ROUND(N156*O156*revleg_full,0))-(((battery/range_nm)*G156*ROUND(N156*O156*revleg_full,0)*VLOOKUP(B156,country_opex,3,FALSE))+Y156+Z156+AA156+AB156+AC156))&lt;=0,"",VLOOKUP(B156,country_opex,7,FALSE)/((V156*pax_cap*load_full*ROUND(N156*O156*revleg_full,0))-(((battery/range_nm)*G156*ROUND(N156*O156*revleg_full,0)*VLOOKUP(B156,country_opex,3,FALSE))+Y156+Z156+AA156+AB156+AC156)))</f>
        <v/>
      </c>
      <c r="AZ156" s="40" t="inlineStr">
        <is>
          <t>handoff/INDIA-ECONOMICS-SIDECAR-V0-2026-06-20.json (andaman)</t>
        </is>
      </c>
      <c r="BA156" s="40" t="inlineStr">
        <is>
          <t>handoff/INDIA-ECONOMICS-SIDECAR-V0-2026-06-20.json (andaman)</t>
        </is>
      </c>
    </row>
    <row r="157">
      <c r="A157" s="38" t="inlineStr">
        <is>
          <t>India Andaman Rapido</t>
        </is>
      </c>
      <c r="B157" s="38" t="inlineStr">
        <is>
          <t>India</t>
        </is>
      </c>
      <c r="C157" s="39" t="inlineStr">
        <is>
          <t>Andaman → BookMyBoat Andaman Ferry Booking</t>
        </is>
      </c>
      <c r="D157" s="38" t="inlineStr">
        <is>
          <t>rapido</t>
        </is>
      </c>
      <c r="E157" s="40" t="inlineStr">
        <is>
          <t>india-andaman-ola, india-andaman-rapido</t>
        </is>
      </c>
      <c r="F157" s="41" t="n">
        <v>2</v>
      </c>
      <c r="G157" s="42" t="n">
        <v>2.8</v>
      </c>
      <c r="H157" s="35" t="n">
        <v>22</v>
      </c>
      <c r="I157" s="43" t="inlineStr">
        <is>
          <t>T3</t>
        </is>
      </c>
      <c r="J157" s="43" t="inlineStr">
        <is>
          <t>med-low</t>
        </is>
      </c>
      <c r="K157" s="29" t="n">
        <v>1</v>
      </c>
      <c r="L157" s="44">
        <f>60*G157/cruise_kt</f>
        <v/>
      </c>
      <c r="M157" s="44">
        <f>L157+turn_min+dwell_min</f>
        <v/>
      </c>
      <c r="N157" s="45">
        <f>MIN(10,FLOOR(60*service_hr/M157,1))</f>
        <v/>
      </c>
      <c r="O157" s="45">
        <f>ROUND(365*mech_uptime*K157,0)</f>
        <v/>
      </c>
      <c r="P157" s="46">
        <f>mech_uptime</f>
        <v/>
      </c>
      <c r="Q157" s="46">
        <f>revleg_sel</f>
        <v/>
      </c>
      <c r="R157" s="45">
        <f>ROUND(N157*O157*revleg_sel,0)</f>
        <v/>
      </c>
      <c r="S157" s="47">
        <f>load_sel</f>
        <v/>
      </c>
      <c r="T157" s="47">
        <f>pax_cap*S157</f>
        <v/>
      </c>
      <c r="U157" s="45">
        <f>T157*R157</f>
        <v/>
      </c>
      <c r="V157" s="48">
        <f>H157*discount</f>
        <v/>
      </c>
      <c r="W157" s="49">
        <f>V157*U157</f>
        <v/>
      </c>
      <c r="X157" s="49">
        <f>(battery/range_nm)*G157*R157*VLOOKUP(B157,country_opex,3,FALSE)</f>
        <v/>
      </c>
      <c r="Y157" s="49">
        <f>VLOOKUP(B157,country_opex,2,FALSE)*crew_factor</f>
        <v/>
      </c>
      <c r="Z157" s="49">
        <f>VLOOKUP(B157,country_opex,5,FALSE)</f>
        <v/>
      </c>
      <c r="AA157" s="49">
        <f>maint</f>
        <v/>
      </c>
      <c r="AB157" s="49">
        <f>VLOOKUP(B157,country_opex,7,FALSE)*ins_pct</f>
        <v/>
      </c>
      <c r="AC157" s="49">
        <f>charge_berth</f>
        <v/>
      </c>
      <c r="AD157" s="49">
        <f>X157+Y157+Z157+AA157+AB157+AC157</f>
        <v/>
      </c>
      <c r="AE157" s="49">
        <f>VLOOKUP(B157,country_opex,7,FALSE)/dep_years</f>
        <v/>
      </c>
      <c r="AF157" s="49">
        <f>W157-AD157</f>
        <v/>
      </c>
      <c r="AG157" s="46">
        <f>IF(W157=0,"",AF157/W157)</f>
        <v/>
      </c>
      <c r="AH157" s="47">
        <f>IF(AF157&lt;=0,"",VLOOKUP(B157,country_opex,7,FALSE)/AF157)</f>
        <v/>
      </c>
      <c r="AI157" s="44">
        <f>((G157*R157/diesel_nmpg)*diesel_co2pg-(battery/range_nm)*G157*R157*VLOOKUP(B157,country_opex,4,FALSE))/1000</f>
        <v/>
      </c>
      <c r="AJ157" s="42" t="n">
        <v>5000</v>
      </c>
      <c r="AK157" s="43" t="inlineStr">
        <is>
          <t>T3</t>
        </is>
      </c>
      <c r="AL157" s="43" t="inlineStr">
        <is>
          <t>med-low</t>
        </is>
      </c>
      <c r="AM157" s="50" t="n">
        <v>0.1</v>
      </c>
      <c r="AN157" s="45">
        <f>IF(AJ157="","",AJ157*AM157)</f>
        <v/>
      </c>
      <c r="AO157" s="45">
        <f>IF(OR(AJ157="",U157=0),"",MIN(IF(AV157="",9.9E+99,AV157),FLOOR(AN157/U157,1)))</f>
        <v/>
      </c>
      <c r="AP157" s="49">
        <f>IF(AO157="","",AO157*W157)</f>
        <v/>
      </c>
      <c r="AQ157" s="47">
        <f>IF(OR(AJ157="",U157=0),"",MIN(IF(AV157="",9.9E+99,AV157),AN157/U157))</f>
        <v/>
      </c>
      <c r="AR157" s="49">
        <f>IF(AQ157="","",AQ157*W157)</f>
        <v/>
      </c>
      <c r="AS157" s="51" t="n"/>
      <c r="AT157" s="52" t="n"/>
      <c r="AU157" s="52" t="n"/>
      <c r="AV157" s="53" t="n"/>
      <c r="AW157" s="54">
        <f>IF(((V157*pax_cap*load_thin*ROUND(N157*O157*revleg_thin,0))-(((battery/range_nm)*G157*ROUND(N157*O157*revleg_thin,0)*VLOOKUP(B157,country_opex,3,FALSE))+Y157+Z157+AA157+AB157+AC157))&lt;=0,"",VLOOKUP(B157,country_opex,7,FALSE)/((V157*pax_cap*load_thin*ROUND(N157*O157*revleg_thin,0))-(((battery/range_nm)*G157*ROUND(N157*O157*revleg_thin,0)*VLOOKUP(B157,country_opex,3,FALSE))+Y157+Z157+AA157+AB157+AC157)))</f>
        <v/>
      </c>
      <c r="AX157" s="54">
        <f>IF(((V157*pax_cap*load_mid*ROUND(N157*O157*revleg_mid,0))-(((battery/range_nm)*G157*ROUND(N157*O157*revleg_mid,0)*VLOOKUP(B157,country_opex,3,FALSE))+Y157+Z157+AA157+AB157+AC157))&lt;=0,"",VLOOKUP(B157,country_opex,7,FALSE)/((V157*pax_cap*load_mid*ROUND(N157*O157*revleg_mid,0))-(((battery/range_nm)*G157*ROUND(N157*O157*revleg_mid,0)*VLOOKUP(B157,country_opex,3,FALSE))+Y157+Z157+AA157+AB157+AC157)))</f>
        <v/>
      </c>
      <c r="AY157" s="54">
        <f>IF(((V157*pax_cap*load_full*ROUND(N157*O157*revleg_full,0))-(((battery/range_nm)*G157*ROUND(N157*O157*revleg_full,0)*VLOOKUP(B157,country_opex,3,FALSE))+Y157+Z157+AA157+AB157+AC157))&lt;=0,"",VLOOKUP(B157,country_opex,7,FALSE)/((V157*pax_cap*load_full*ROUND(N157*O157*revleg_full,0))-(((battery/range_nm)*G157*ROUND(N157*O157*revleg_full,0)*VLOOKUP(B157,country_opex,3,FALSE))+Y157+Z157+AA157+AB157+AC157)))</f>
        <v/>
      </c>
      <c r="AZ157" s="40" t="inlineStr">
        <is>
          <t>handoff/INDIA-ECONOMICS-SIDECAR-V0-2026-06-20.json (andaman)</t>
        </is>
      </c>
      <c r="BA157" s="40" t="inlineStr">
        <is>
          <t>handoff/INDIA-ECONOMICS-SIDECAR-V0-2026-06-20.json (andaman)</t>
        </is>
      </c>
    </row>
    <row r="158">
      <c r="A158" s="38" t="inlineStr">
        <is>
          <t>India Andaman Rapido</t>
        </is>
      </c>
      <c r="B158" s="38" t="inlineStr">
        <is>
          <t>India</t>
        </is>
      </c>
      <c r="C158" s="39" t="inlineStr">
        <is>
          <t>Port Blair → BookMyBoat Andaman Ferry Booking</t>
        </is>
      </c>
      <c r="D158" s="38" t="inlineStr">
        <is>
          <t>rapido</t>
        </is>
      </c>
      <c r="E158" s="40" t="inlineStr">
        <is>
          <t>india-andaman-ola, india-andaman-rapido</t>
        </is>
      </c>
      <c r="F158" s="41" t="n">
        <v>2</v>
      </c>
      <c r="G158" s="42" t="n">
        <v>2.8</v>
      </c>
      <c r="H158" s="35" t="n">
        <v>22</v>
      </c>
      <c r="I158" s="43" t="inlineStr">
        <is>
          <t>T3</t>
        </is>
      </c>
      <c r="J158" s="43" t="inlineStr">
        <is>
          <t>med-low</t>
        </is>
      </c>
      <c r="K158" s="29" t="n">
        <v>1</v>
      </c>
      <c r="L158" s="44">
        <f>60*G158/cruise_kt</f>
        <v/>
      </c>
      <c r="M158" s="44">
        <f>L158+turn_min+dwell_min</f>
        <v/>
      </c>
      <c r="N158" s="45">
        <f>MIN(10,FLOOR(60*service_hr/M158,1))</f>
        <v/>
      </c>
      <c r="O158" s="45">
        <f>ROUND(365*mech_uptime*K158,0)</f>
        <v/>
      </c>
      <c r="P158" s="46">
        <f>mech_uptime</f>
        <v/>
      </c>
      <c r="Q158" s="46">
        <f>revleg_sel</f>
        <v/>
      </c>
      <c r="R158" s="45">
        <f>ROUND(N158*O158*revleg_sel,0)</f>
        <v/>
      </c>
      <c r="S158" s="47">
        <f>load_sel</f>
        <v/>
      </c>
      <c r="T158" s="47">
        <f>pax_cap*S158</f>
        <v/>
      </c>
      <c r="U158" s="45">
        <f>T158*R158</f>
        <v/>
      </c>
      <c r="V158" s="48">
        <f>H158*discount</f>
        <v/>
      </c>
      <c r="W158" s="49">
        <f>V158*U158</f>
        <v/>
      </c>
      <c r="X158" s="49">
        <f>(battery/range_nm)*G158*R158*VLOOKUP(B158,country_opex,3,FALSE)</f>
        <v/>
      </c>
      <c r="Y158" s="49">
        <f>VLOOKUP(B158,country_opex,2,FALSE)*crew_factor</f>
        <v/>
      </c>
      <c r="Z158" s="49">
        <f>VLOOKUP(B158,country_opex,5,FALSE)</f>
        <v/>
      </c>
      <c r="AA158" s="49">
        <f>maint</f>
        <v/>
      </c>
      <c r="AB158" s="49">
        <f>VLOOKUP(B158,country_opex,7,FALSE)*ins_pct</f>
        <v/>
      </c>
      <c r="AC158" s="49">
        <f>charge_berth</f>
        <v/>
      </c>
      <c r="AD158" s="49">
        <f>X158+Y158+Z158+AA158+AB158+AC158</f>
        <v/>
      </c>
      <c r="AE158" s="49">
        <f>VLOOKUP(B158,country_opex,7,FALSE)/dep_years</f>
        <v/>
      </c>
      <c r="AF158" s="49">
        <f>W158-AD158</f>
        <v/>
      </c>
      <c r="AG158" s="46">
        <f>IF(W158=0,"",AF158/W158)</f>
        <v/>
      </c>
      <c r="AH158" s="47">
        <f>IF(AF158&lt;=0,"",VLOOKUP(B158,country_opex,7,FALSE)/AF158)</f>
        <v/>
      </c>
      <c r="AI158" s="44">
        <f>((G158*R158/diesel_nmpg)*diesel_co2pg-(battery/range_nm)*G158*R158*VLOOKUP(B158,country_opex,4,FALSE))/1000</f>
        <v/>
      </c>
      <c r="AJ158" s="42" t="n">
        <v>5000</v>
      </c>
      <c r="AK158" s="43" t="inlineStr">
        <is>
          <t>T3</t>
        </is>
      </c>
      <c r="AL158" s="43" t="inlineStr">
        <is>
          <t>med-low</t>
        </is>
      </c>
      <c r="AM158" s="50" t="n">
        <v>0.1</v>
      </c>
      <c r="AN158" s="45">
        <f>IF(AJ158="","",AJ158*AM158)</f>
        <v/>
      </c>
      <c r="AO158" s="45">
        <f>IF(OR(AJ158="",U158=0),"",MIN(IF(AV158="",9.9E+99,AV158),FLOOR(AN158/U158,1)))</f>
        <v/>
      </c>
      <c r="AP158" s="49">
        <f>IF(AO158="","",AO158*W158)</f>
        <v/>
      </c>
      <c r="AQ158" s="47">
        <f>IF(OR(AJ158="",U158=0),"",MIN(IF(AV158="",9.9E+99,AV158),AN158/U158))</f>
        <v/>
      </c>
      <c r="AR158" s="49">
        <f>IF(AQ158="","",AQ158*W158)</f>
        <v/>
      </c>
      <c r="AS158" s="51" t="n"/>
      <c r="AT158" s="52" t="n"/>
      <c r="AU158" s="52" t="n"/>
      <c r="AV158" s="53" t="n"/>
      <c r="AW158" s="54">
        <f>IF(((V158*pax_cap*load_thin*ROUND(N158*O158*revleg_thin,0))-(((battery/range_nm)*G158*ROUND(N158*O158*revleg_thin,0)*VLOOKUP(B158,country_opex,3,FALSE))+Y158+Z158+AA158+AB158+AC158))&lt;=0,"",VLOOKUP(B158,country_opex,7,FALSE)/((V158*pax_cap*load_thin*ROUND(N158*O158*revleg_thin,0))-(((battery/range_nm)*G158*ROUND(N158*O158*revleg_thin,0)*VLOOKUP(B158,country_opex,3,FALSE))+Y158+Z158+AA158+AB158+AC158)))</f>
        <v/>
      </c>
      <c r="AX158" s="54">
        <f>IF(((V158*pax_cap*load_mid*ROUND(N158*O158*revleg_mid,0))-(((battery/range_nm)*G158*ROUND(N158*O158*revleg_mid,0)*VLOOKUP(B158,country_opex,3,FALSE))+Y158+Z158+AA158+AB158+AC158))&lt;=0,"",VLOOKUP(B158,country_opex,7,FALSE)/((V158*pax_cap*load_mid*ROUND(N158*O158*revleg_mid,0))-(((battery/range_nm)*G158*ROUND(N158*O158*revleg_mid,0)*VLOOKUP(B158,country_opex,3,FALSE))+Y158+Z158+AA158+AB158+AC158)))</f>
        <v/>
      </c>
      <c r="AY158" s="54">
        <f>IF(((V158*pax_cap*load_full*ROUND(N158*O158*revleg_full,0))-(((battery/range_nm)*G158*ROUND(N158*O158*revleg_full,0)*VLOOKUP(B158,country_opex,3,FALSE))+Y158+Z158+AA158+AB158+AC158))&lt;=0,"",VLOOKUP(B158,country_opex,7,FALSE)/((V158*pax_cap*load_full*ROUND(N158*O158*revleg_full,0))-(((battery/range_nm)*G158*ROUND(N158*O158*revleg_full,0)*VLOOKUP(B158,country_opex,3,FALSE))+Y158+Z158+AA158+AB158+AC158)))</f>
        <v/>
      </c>
      <c r="AZ158" s="40" t="inlineStr">
        <is>
          <t>handoff/INDIA-ECONOMICS-SIDECAR-V0-2026-06-20.json (andaman)</t>
        </is>
      </c>
      <c r="BA158" s="40" t="inlineStr">
        <is>
          <t>handoff/INDIA-ECONOMICS-SIDECAR-V0-2026-06-20.json (andaman)</t>
        </is>
      </c>
    </row>
    <row r="159">
      <c r="A159" s="38" t="inlineStr">
        <is>
          <t>India Andaman Rapido</t>
        </is>
      </c>
      <c r="B159" s="38" t="inlineStr">
        <is>
          <t>India</t>
        </is>
      </c>
      <c r="C159" s="39" t="inlineStr">
        <is>
          <t>Junglighat Jetty → BookMyBoat Andaman Ferry Booking</t>
        </is>
      </c>
      <c r="D159" s="38" t="inlineStr">
        <is>
          <t>rapido</t>
        </is>
      </c>
      <c r="E159" s="40" t="inlineStr">
        <is>
          <t>india-andaman-ola, india-andaman-rapido</t>
        </is>
      </c>
      <c r="F159" s="41" t="n">
        <v>2</v>
      </c>
      <c r="G159" s="42" t="n">
        <v>2.8</v>
      </c>
      <c r="H159" s="35" t="n">
        <v>22</v>
      </c>
      <c r="I159" s="43" t="inlineStr">
        <is>
          <t>T3</t>
        </is>
      </c>
      <c r="J159" s="43" t="inlineStr">
        <is>
          <t>med-low</t>
        </is>
      </c>
      <c r="K159" s="29" t="n">
        <v>1</v>
      </c>
      <c r="L159" s="44">
        <f>60*G159/cruise_kt</f>
        <v/>
      </c>
      <c r="M159" s="44">
        <f>L159+turn_min+dwell_min</f>
        <v/>
      </c>
      <c r="N159" s="45">
        <f>MIN(10,FLOOR(60*service_hr/M159,1))</f>
        <v/>
      </c>
      <c r="O159" s="45">
        <f>ROUND(365*mech_uptime*K159,0)</f>
        <v/>
      </c>
      <c r="P159" s="46">
        <f>mech_uptime</f>
        <v/>
      </c>
      <c r="Q159" s="46">
        <f>revleg_sel</f>
        <v/>
      </c>
      <c r="R159" s="45">
        <f>ROUND(N159*O159*revleg_sel,0)</f>
        <v/>
      </c>
      <c r="S159" s="47">
        <f>load_sel</f>
        <v/>
      </c>
      <c r="T159" s="47">
        <f>pax_cap*S159</f>
        <v/>
      </c>
      <c r="U159" s="45">
        <f>T159*R159</f>
        <v/>
      </c>
      <c r="V159" s="48">
        <f>H159*discount</f>
        <v/>
      </c>
      <c r="W159" s="49">
        <f>V159*U159</f>
        <v/>
      </c>
      <c r="X159" s="49">
        <f>(battery/range_nm)*G159*R159*VLOOKUP(B159,country_opex,3,FALSE)</f>
        <v/>
      </c>
      <c r="Y159" s="49">
        <f>VLOOKUP(B159,country_opex,2,FALSE)*crew_factor</f>
        <v/>
      </c>
      <c r="Z159" s="49">
        <f>VLOOKUP(B159,country_opex,5,FALSE)</f>
        <v/>
      </c>
      <c r="AA159" s="49">
        <f>maint</f>
        <v/>
      </c>
      <c r="AB159" s="49">
        <f>VLOOKUP(B159,country_opex,7,FALSE)*ins_pct</f>
        <v/>
      </c>
      <c r="AC159" s="49">
        <f>charge_berth</f>
        <v/>
      </c>
      <c r="AD159" s="49">
        <f>X159+Y159+Z159+AA159+AB159+AC159</f>
        <v/>
      </c>
      <c r="AE159" s="49">
        <f>VLOOKUP(B159,country_opex,7,FALSE)/dep_years</f>
        <v/>
      </c>
      <c r="AF159" s="49">
        <f>W159-AD159</f>
        <v/>
      </c>
      <c r="AG159" s="46">
        <f>IF(W159=0,"",AF159/W159)</f>
        <v/>
      </c>
      <c r="AH159" s="47">
        <f>IF(AF159&lt;=0,"",VLOOKUP(B159,country_opex,7,FALSE)/AF159)</f>
        <v/>
      </c>
      <c r="AI159" s="44">
        <f>((G159*R159/diesel_nmpg)*diesel_co2pg-(battery/range_nm)*G159*R159*VLOOKUP(B159,country_opex,4,FALSE))/1000</f>
        <v/>
      </c>
      <c r="AJ159" s="42" t="n">
        <v>5000</v>
      </c>
      <c r="AK159" s="43" t="inlineStr">
        <is>
          <t>T3</t>
        </is>
      </c>
      <c r="AL159" s="43" t="inlineStr">
        <is>
          <t>med-low</t>
        </is>
      </c>
      <c r="AM159" s="50" t="n">
        <v>0.1</v>
      </c>
      <c r="AN159" s="45">
        <f>IF(AJ159="","",AJ159*AM159)</f>
        <v/>
      </c>
      <c r="AO159" s="45">
        <f>IF(OR(AJ159="",U159=0),"",MIN(IF(AV159="",9.9E+99,AV159),FLOOR(AN159/U159,1)))</f>
        <v/>
      </c>
      <c r="AP159" s="49">
        <f>IF(AO159="","",AO159*W159)</f>
        <v/>
      </c>
      <c r="AQ159" s="47">
        <f>IF(OR(AJ159="",U159=0),"",MIN(IF(AV159="",9.9E+99,AV159),AN159/U159))</f>
        <v/>
      </c>
      <c r="AR159" s="49">
        <f>IF(AQ159="","",AQ159*W159)</f>
        <v/>
      </c>
      <c r="AS159" s="51" t="n"/>
      <c r="AT159" s="52" t="n"/>
      <c r="AU159" s="52" t="n"/>
      <c r="AV159" s="53" t="n"/>
      <c r="AW159" s="54">
        <f>IF(((V159*pax_cap*load_thin*ROUND(N159*O159*revleg_thin,0))-(((battery/range_nm)*G159*ROUND(N159*O159*revleg_thin,0)*VLOOKUP(B159,country_opex,3,FALSE))+Y159+Z159+AA159+AB159+AC159))&lt;=0,"",VLOOKUP(B159,country_opex,7,FALSE)/((V159*pax_cap*load_thin*ROUND(N159*O159*revleg_thin,0))-(((battery/range_nm)*G159*ROUND(N159*O159*revleg_thin,0)*VLOOKUP(B159,country_opex,3,FALSE))+Y159+Z159+AA159+AB159+AC159)))</f>
        <v/>
      </c>
      <c r="AX159" s="54">
        <f>IF(((V159*pax_cap*load_mid*ROUND(N159*O159*revleg_mid,0))-(((battery/range_nm)*G159*ROUND(N159*O159*revleg_mid,0)*VLOOKUP(B159,country_opex,3,FALSE))+Y159+Z159+AA159+AB159+AC159))&lt;=0,"",VLOOKUP(B159,country_opex,7,FALSE)/((V159*pax_cap*load_mid*ROUND(N159*O159*revleg_mid,0))-(((battery/range_nm)*G159*ROUND(N159*O159*revleg_mid,0)*VLOOKUP(B159,country_opex,3,FALSE))+Y159+Z159+AA159+AB159+AC159)))</f>
        <v/>
      </c>
      <c r="AY159" s="54">
        <f>IF(((V159*pax_cap*load_full*ROUND(N159*O159*revleg_full,0))-(((battery/range_nm)*G159*ROUND(N159*O159*revleg_full,0)*VLOOKUP(B159,country_opex,3,FALSE))+Y159+Z159+AA159+AB159+AC159))&lt;=0,"",VLOOKUP(B159,country_opex,7,FALSE)/((V159*pax_cap*load_full*ROUND(N159*O159*revleg_full,0))-(((battery/range_nm)*G159*ROUND(N159*O159*revleg_full,0)*VLOOKUP(B159,country_opex,3,FALSE))+Y159+Z159+AA159+AB159+AC159)))</f>
        <v/>
      </c>
      <c r="AZ159" s="40" t="inlineStr">
        <is>
          <t>handoff/INDIA-ECONOMICS-SIDECAR-V0-2026-06-20.json (andaman)</t>
        </is>
      </c>
      <c r="BA159" s="40" t="inlineStr">
        <is>
          <t>handoff/INDIA-ECONOMICS-SIDECAR-V0-2026-06-20.json (andaman)</t>
        </is>
      </c>
    </row>
    <row r="160">
      <c r="A160" s="38" t="inlineStr">
        <is>
          <t>India Mumbai Rapido</t>
        </is>
      </c>
      <c r="B160" s="38" t="inlineStr">
        <is>
          <t>India</t>
        </is>
      </c>
      <c r="C160" s="39" t="inlineStr">
        <is>
          <t>Pirpau Jetty → JNPT Ferry Service</t>
        </is>
      </c>
      <c r="D160" s="38" t="inlineStr">
        <is>
          <t>rapido</t>
        </is>
      </c>
      <c r="E160" s="40" t="inlineStr">
        <is>
          <t>india-mumbai-ola, india-mumbai-rapido</t>
        </is>
      </c>
      <c r="F160" s="41" t="n">
        <v>2</v>
      </c>
      <c r="G160" s="42" t="n">
        <v>2.9</v>
      </c>
      <c r="H160" s="35" t="n">
        <v>18</v>
      </c>
      <c r="I160" s="43" t="inlineStr">
        <is>
          <t>T3</t>
        </is>
      </c>
      <c r="J160" s="43" t="inlineStr">
        <is>
          <t>med-low</t>
        </is>
      </c>
      <c r="K160" s="29" t="n">
        <v>1</v>
      </c>
      <c r="L160" s="44">
        <f>60*G160/cruise_kt</f>
        <v/>
      </c>
      <c r="M160" s="44">
        <f>L160+turn_min+dwell_min</f>
        <v/>
      </c>
      <c r="N160" s="45">
        <f>MIN(10,FLOOR(60*service_hr/M160,1))</f>
        <v/>
      </c>
      <c r="O160" s="45">
        <f>ROUND(365*mech_uptime*K160,0)</f>
        <v/>
      </c>
      <c r="P160" s="46">
        <f>mech_uptime</f>
        <v/>
      </c>
      <c r="Q160" s="46">
        <f>revleg_sel</f>
        <v/>
      </c>
      <c r="R160" s="45">
        <f>ROUND(N160*O160*revleg_sel,0)</f>
        <v/>
      </c>
      <c r="S160" s="47">
        <f>load_sel</f>
        <v/>
      </c>
      <c r="T160" s="47">
        <f>pax_cap*S160</f>
        <v/>
      </c>
      <c r="U160" s="45">
        <f>T160*R160</f>
        <v/>
      </c>
      <c r="V160" s="48">
        <f>H160*discount</f>
        <v/>
      </c>
      <c r="W160" s="49">
        <f>V160*U160</f>
        <v/>
      </c>
      <c r="X160" s="49">
        <f>(battery/range_nm)*G160*R160*VLOOKUP(B160,country_opex,3,FALSE)</f>
        <v/>
      </c>
      <c r="Y160" s="49">
        <f>VLOOKUP(B160,country_opex,2,FALSE)*crew_factor</f>
        <v/>
      </c>
      <c r="Z160" s="49">
        <f>VLOOKUP(B160,country_opex,5,FALSE)</f>
        <v/>
      </c>
      <c r="AA160" s="49">
        <f>maint</f>
        <v/>
      </c>
      <c r="AB160" s="49">
        <f>VLOOKUP(B160,country_opex,7,FALSE)*ins_pct</f>
        <v/>
      </c>
      <c r="AC160" s="49">
        <f>charge_berth</f>
        <v/>
      </c>
      <c r="AD160" s="49">
        <f>X160+Y160+Z160+AA160+AB160+AC160</f>
        <v/>
      </c>
      <c r="AE160" s="49">
        <f>VLOOKUP(B160,country_opex,7,FALSE)/dep_years</f>
        <v/>
      </c>
      <c r="AF160" s="49">
        <f>W160-AD160</f>
        <v/>
      </c>
      <c r="AG160" s="46">
        <f>IF(W160=0,"",AF160/W160)</f>
        <v/>
      </c>
      <c r="AH160" s="47">
        <f>IF(AF160&lt;=0,"",VLOOKUP(B160,country_opex,7,FALSE)/AF160)</f>
        <v/>
      </c>
      <c r="AI160" s="44">
        <f>((G160*R160/diesel_nmpg)*diesel_co2pg-(battery/range_nm)*G160*R160*VLOOKUP(B160,country_opex,4,FALSE))/1000</f>
        <v/>
      </c>
      <c r="AJ160" s="42" t="n">
        <v>5000</v>
      </c>
      <c r="AK160" s="43" t="inlineStr">
        <is>
          <t>T3</t>
        </is>
      </c>
      <c r="AL160" s="43" t="inlineStr">
        <is>
          <t>med-low</t>
        </is>
      </c>
      <c r="AM160" s="50" t="n">
        <v>0.1</v>
      </c>
      <c r="AN160" s="45">
        <f>IF(AJ160="","",AJ160*AM160)</f>
        <v/>
      </c>
      <c r="AO160" s="45">
        <f>IF(OR(AJ160="",U160=0),"",MIN(IF(AV160="",9.9E+99,AV160),FLOOR(AN160/U160,1)))</f>
        <v/>
      </c>
      <c r="AP160" s="49">
        <f>IF(AO160="","",AO160*W160)</f>
        <v/>
      </c>
      <c r="AQ160" s="47">
        <f>IF(OR(AJ160="",U160=0),"",MIN(IF(AV160="",9.9E+99,AV160),AN160/U160))</f>
        <v/>
      </c>
      <c r="AR160" s="49">
        <f>IF(AQ160="","",AQ160*W160)</f>
        <v/>
      </c>
      <c r="AS160" s="51" t="n"/>
      <c r="AT160" s="52" t="n"/>
      <c r="AU160" s="52" t="n"/>
      <c r="AV160" s="53" t="n"/>
      <c r="AW160" s="54">
        <f>IF(((V160*pax_cap*load_thin*ROUND(N160*O160*revleg_thin,0))-(((battery/range_nm)*G160*ROUND(N160*O160*revleg_thin,0)*VLOOKUP(B160,country_opex,3,FALSE))+Y160+Z160+AA160+AB160+AC160))&lt;=0,"",VLOOKUP(B160,country_opex,7,FALSE)/((V160*pax_cap*load_thin*ROUND(N160*O160*revleg_thin,0))-(((battery/range_nm)*G160*ROUND(N160*O160*revleg_thin,0)*VLOOKUP(B160,country_opex,3,FALSE))+Y160+Z160+AA160+AB160+AC160)))</f>
        <v/>
      </c>
      <c r="AX160" s="54">
        <f>IF(((V160*pax_cap*load_mid*ROUND(N160*O160*revleg_mid,0))-(((battery/range_nm)*G160*ROUND(N160*O160*revleg_mid,0)*VLOOKUP(B160,country_opex,3,FALSE))+Y160+Z160+AA160+AB160+AC160))&lt;=0,"",VLOOKUP(B160,country_opex,7,FALSE)/((V160*pax_cap*load_mid*ROUND(N160*O160*revleg_mid,0))-(((battery/range_nm)*G160*ROUND(N160*O160*revleg_mid,0)*VLOOKUP(B160,country_opex,3,FALSE))+Y160+Z160+AA160+AB160+AC160)))</f>
        <v/>
      </c>
      <c r="AY160" s="54">
        <f>IF(((V160*pax_cap*load_full*ROUND(N160*O160*revleg_full,0))-(((battery/range_nm)*G160*ROUND(N160*O160*revleg_full,0)*VLOOKUP(B160,country_opex,3,FALSE))+Y160+Z160+AA160+AB160+AC160))&lt;=0,"",VLOOKUP(B160,country_opex,7,FALSE)/((V160*pax_cap*load_full*ROUND(N160*O160*revleg_full,0))-(((battery/range_nm)*G160*ROUND(N160*O160*revleg_full,0)*VLOOKUP(B160,country_opex,3,FALSE))+Y160+Z160+AA160+AB160+AC160)))</f>
        <v/>
      </c>
      <c r="AZ160" s="40" t="inlineStr">
        <is>
          <t>[LB-255 PREMIUM RE-FARE: subsidized comparable $5.5 lifted to premium on-demand floor $18.0] handoff/INDIA-ECONOMICS-SIDECAR-V0-2026-06-20.json (mumbai)</t>
        </is>
      </c>
      <c r="BA160" s="40" t="inlineStr">
        <is>
          <t>handoff/INDIA-ECONOMICS-SIDECAR-V0-2026-06-20.json (mumbai)</t>
        </is>
      </c>
    </row>
    <row r="161">
      <c r="A161" s="38" t="inlineStr">
        <is>
          <t>India Andaman Rapido</t>
        </is>
      </c>
      <c r="B161" s="38" t="inlineStr">
        <is>
          <t>India</t>
        </is>
      </c>
      <c r="C161" s="39" t="inlineStr">
        <is>
          <t>Bambooflat Jetty → Panighat Ferry Jetty</t>
        </is>
      </c>
      <c r="D161" s="38" t="inlineStr">
        <is>
          <t>rapido</t>
        </is>
      </c>
      <c r="E161" s="40" t="inlineStr">
        <is>
          <t>india-andaman-ola, india-andaman-rapido</t>
        </is>
      </c>
      <c r="F161" s="41" t="n">
        <v>2</v>
      </c>
      <c r="G161" s="42" t="n">
        <v>3</v>
      </c>
      <c r="H161" s="35" t="n">
        <v>22</v>
      </c>
      <c r="I161" s="43" t="inlineStr">
        <is>
          <t>T3</t>
        </is>
      </c>
      <c r="J161" s="43" t="inlineStr">
        <is>
          <t>med-low</t>
        </is>
      </c>
      <c r="K161" s="29" t="n">
        <v>1</v>
      </c>
      <c r="L161" s="44">
        <f>60*G161/cruise_kt</f>
        <v/>
      </c>
      <c r="M161" s="44">
        <f>L161+turn_min+dwell_min</f>
        <v/>
      </c>
      <c r="N161" s="45">
        <f>MIN(10,FLOOR(60*service_hr/M161,1))</f>
        <v/>
      </c>
      <c r="O161" s="45">
        <f>ROUND(365*mech_uptime*K161,0)</f>
        <v/>
      </c>
      <c r="P161" s="46">
        <f>mech_uptime</f>
        <v/>
      </c>
      <c r="Q161" s="46">
        <f>revleg_sel</f>
        <v/>
      </c>
      <c r="R161" s="45">
        <f>ROUND(N161*O161*revleg_sel,0)</f>
        <v/>
      </c>
      <c r="S161" s="47">
        <f>load_sel</f>
        <v/>
      </c>
      <c r="T161" s="47">
        <f>pax_cap*S161</f>
        <v/>
      </c>
      <c r="U161" s="45">
        <f>T161*R161</f>
        <v/>
      </c>
      <c r="V161" s="48">
        <f>H161*discount</f>
        <v/>
      </c>
      <c r="W161" s="49">
        <f>V161*U161</f>
        <v/>
      </c>
      <c r="X161" s="49">
        <f>(battery/range_nm)*G161*R161*VLOOKUP(B161,country_opex,3,FALSE)</f>
        <v/>
      </c>
      <c r="Y161" s="49">
        <f>VLOOKUP(B161,country_opex,2,FALSE)*crew_factor</f>
        <v/>
      </c>
      <c r="Z161" s="49">
        <f>VLOOKUP(B161,country_opex,5,FALSE)</f>
        <v/>
      </c>
      <c r="AA161" s="49">
        <f>maint</f>
        <v/>
      </c>
      <c r="AB161" s="49">
        <f>VLOOKUP(B161,country_opex,7,FALSE)*ins_pct</f>
        <v/>
      </c>
      <c r="AC161" s="49">
        <f>charge_berth</f>
        <v/>
      </c>
      <c r="AD161" s="49">
        <f>X161+Y161+Z161+AA161+AB161+AC161</f>
        <v/>
      </c>
      <c r="AE161" s="49">
        <f>VLOOKUP(B161,country_opex,7,FALSE)/dep_years</f>
        <v/>
      </c>
      <c r="AF161" s="49">
        <f>W161-AD161</f>
        <v/>
      </c>
      <c r="AG161" s="46">
        <f>IF(W161=0,"",AF161/W161)</f>
        <v/>
      </c>
      <c r="AH161" s="47">
        <f>IF(AF161&lt;=0,"",VLOOKUP(B161,country_opex,7,FALSE)/AF161)</f>
        <v/>
      </c>
      <c r="AI161" s="44">
        <f>((G161*R161/diesel_nmpg)*diesel_co2pg-(battery/range_nm)*G161*R161*VLOOKUP(B161,country_opex,4,FALSE))/1000</f>
        <v/>
      </c>
      <c r="AJ161" s="42" t="n">
        <v>5000</v>
      </c>
      <c r="AK161" s="43" t="inlineStr">
        <is>
          <t>T3</t>
        </is>
      </c>
      <c r="AL161" s="43" t="inlineStr">
        <is>
          <t>med-low</t>
        </is>
      </c>
      <c r="AM161" s="50" t="n">
        <v>0.1</v>
      </c>
      <c r="AN161" s="45">
        <f>IF(AJ161="","",AJ161*AM161)</f>
        <v/>
      </c>
      <c r="AO161" s="45">
        <f>IF(OR(AJ161="",U161=0),"",MIN(IF(AV161="",9.9E+99,AV161),FLOOR(AN161/U161,1)))</f>
        <v/>
      </c>
      <c r="AP161" s="49">
        <f>IF(AO161="","",AO161*W161)</f>
        <v/>
      </c>
      <c r="AQ161" s="47">
        <f>IF(OR(AJ161="",U161=0),"",MIN(IF(AV161="",9.9E+99,AV161),AN161/U161))</f>
        <v/>
      </c>
      <c r="AR161" s="49">
        <f>IF(AQ161="","",AQ161*W161)</f>
        <v/>
      </c>
      <c r="AS161" s="51" t="n"/>
      <c r="AT161" s="52" t="n"/>
      <c r="AU161" s="52" t="n"/>
      <c r="AV161" s="53" t="n"/>
      <c r="AW161" s="54">
        <f>IF(((V161*pax_cap*load_thin*ROUND(N161*O161*revleg_thin,0))-(((battery/range_nm)*G161*ROUND(N161*O161*revleg_thin,0)*VLOOKUP(B161,country_opex,3,FALSE))+Y161+Z161+AA161+AB161+AC161))&lt;=0,"",VLOOKUP(B161,country_opex,7,FALSE)/((V161*pax_cap*load_thin*ROUND(N161*O161*revleg_thin,0))-(((battery/range_nm)*G161*ROUND(N161*O161*revleg_thin,0)*VLOOKUP(B161,country_opex,3,FALSE))+Y161+Z161+AA161+AB161+AC161)))</f>
        <v/>
      </c>
      <c r="AX161" s="54">
        <f>IF(((V161*pax_cap*load_mid*ROUND(N161*O161*revleg_mid,0))-(((battery/range_nm)*G161*ROUND(N161*O161*revleg_mid,0)*VLOOKUP(B161,country_opex,3,FALSE))+Y161+Z161+AA161+AB161+AC161))&lt;=0,"",VLOOKUP(B161,country_opex,7,FALSE)/((V161*pax_cap*load_mid*ROUND(N161*O161*revleg_mid,0))-(((battery/range_nm)*G161*ROUND(N161*O161*revleg_mid,0)*VLOOKUP(B161,country_opex,3,FALSE))+Y161+Z161+AA161+AB161+AC161)))</f>
        <v/>
      </c>
      <c r="AY161" s="54">
        <f>IF(((V161*pax_cap*load_full*ROUND(N161*O161*revleg_full,0))-(((battery/range_nm)*G161*ROUND(N161*O161*revleg_full,0)*VLOOKUP(B161,country_opex,3,FALSE))+Y161+Z161+AA161+AB161+AC161))&lt;=0,"",VLOOKUP(B161,country_opex,7,FALSE)/((V161*pax_cap*load_full*ROUND(N161*O161*revleg_full,0))-(((battery/range_nm)*G161*ROUND(N161*O161*revleg_full,0)*VLOOKUP(B161,country_opex,3,FALSE))+Y161+Z161+AA161+AB161+AC161)))</f>
        <v/>
      </c>
      <c r="AZ161" s="40" t="inlineStr">
        <is>
          <t>handoff/INDIA-ECONOMICS-SIDECAR-V0-2026-06-20.json (andaman)</t>
        </is>
      </c>
      <c r="BA161" s="40" t="inlineStr">
        <is>
          <t>handoff/INDIA-ECONOMICS-SIDECAR-V0-2026-06-20.json (andaman)</t>
        </is>
      </c>
    </row>
    <row r="162">
      <c r="A162" s="38" t="inlineStr">
        <is>
          <t>India Goa Rapido</t>
        </is>
      </c>
      <c r="B162" s="38" t="inlineStr">
        <is>
          <t>India</t>
        </is>
      </c>
      <c r="C162" s="39" t="inlineStr">
        <is>
          <t>Yacht Life Goa → Camurlim Ferry Terminal</t>
        </is>
      </c>
      <c r="D162" s="38" t="inlineStr">
        <is>
          <t>rapido</t>
        </is>
      </c>
      <c r="E162" s="40" t="inlineStr">
        <is>
          <t>india-goa-ola, india-goa-rapido</t>
        </is>
      </c>
      <c r="F162" s="41" t="n">
        <v>2</v>
      </c>
      <c r="G162" s="42" t="n">
        <v>3.1</v>
      </c>
      <c r="H162" s="35" t="n">
        <v>8</v>
      </c>
      <c r="I162" s="43" t="inlineStr">
        <is>
          <t>T3</t>
        </is>
      </c>
      <c r="J162" s="43" t="inlineStr">
        <is>
          <t>med-low</t>
        </is>
      </c>
      <c r="K162" s="29" t="n">
        <v>1</v>
      </c>
      <c r="L162" s="44">
        <f>60*G162/cruise_kt</f>
        <v/>
      </c>
      <c r="M162" s="44">
        <f>L162+turn_min+dwell_min</f>
        <v/>
      </c>
      <c r="N162" s="45">
        <f>MIN(10,FLOOR(60*service_hr/M162,1))</f>
        <v/>
      </c>
      <c r="O162" s="45">
        <f>ROUND(365*mech_uptime*K162,0)</f>
        <v/>
      </c>
      <c r="P162" s="46">
        <f>mech_uptime</f>
        <v/>
      </c>
      <c r="Q162" s="46">
        <f>revleg_sel</f>
        <v/>
      </c>
      <c r="R162" s="45">
        <f>ROUND(N162*O162*revleg_sel,0)</f>
        <v/>
      </c>
      <c r="S162" s="47">
        <f>load_sel</f>
        <v/>
      </c>
      <c r="T162" s="47">
        <f>pax_cap*S162</f>
        <v/>
      </c>
      <c r="U162" s="45">
        <f>T162*R162</f>
        <v/>
      </c>
      <c r="V162" s="48">
        <f>H162*discount</f>
        <v/>
      </c>
      <c r="W162" s="49">
        <f>V162*U162</f>
        <v/>
      </c>
      <c r="X162" s="49">
        <f>(battery/range_nm)*G162*R162*VLOOKUP(B162,country_opex,3,FALSE)</f>
        <v/>
      </c>
      <c r="Y162" s="49">
        <f>VLOOKUP(B162,country_opex,2,FALSE)*crew_factor</f>
        <v/>
      </c>
      <c r="Z162" s="49">
        <f>VLOOKUP(B162,country_opex,5,FALSE)</f>
        <v/>
      </c>
      <c r="AA162" s="49">
        <f>maint</f>
        <v/>
      </c>
      <c r="AB162" s="49">
        <f>VLOOKUP(B162,country_opex,7,FALSE)*ins_pct</f>
        <v/>
      </c>
      <c r="AC162" s="49">
        <f>charge_berth</f>
        <v/>
      </c>
      <c r="AD162" s="49">
        <f>X162+Y162+Z162+AA162+AB162+AC162</f>
        <v/>
      </c>
      <c r="AE162" s="49">
        <f>VLOOKUP(B162,country_opex,7,FALSE)/dep_years</f>
        <v/>
      </c>
      <c r="AF162" s="49">
        <f>W162-AD162</f>
        <v/>
      </c>
      <c r="AG162" s="46">
        <f>IF(W162=0,"",AF162/W162)</f>
        <v/>
      </c>
      <c r="AH162" s="47">
        <f>IF(AF162&lt;=0,"",VLOOKUP(B162,country_opex,7,FALSE)/AF162)</f>
        <v/>
      </c>
      <c r="AI162" s="44">
        <f>((G162*R162/diesel_nmpg)*diesel_co2pg-(battery/range_nm)*G162*R162*VLOOKUP(B162,country_opex,4,FALSE))/1000</f>
        <v/>
      </c>
      <c r="AJ162" s="42" t="n">
        <v>11250</v>
      </c>
      <c r="AK162" s="43" t="inlineStr">
        <is>
          <t>T3</t>
        </is>
      </c>
      <c r="AL162" s="43" t="inlineStr">
        <is>
          <t>med-low</t>
        </is>
      </c>
      <c r="AM162" s="50" t="n">
        <v>0.1</v>
      </c>
      <c r="AN162" s="45">
        <f>IF(AJ162="","",AJ162*AM162)</f>
        <v/>
      </c>
      <c r="AO162" s="45">
        <f>IF(OR(AJ162="",U162=0),"",MIN(IF(AV162="",9.9E+99,AV162),FLOOR(AN162/U162,1)))</f>
        <v/>
      </c>
      <c r="AP162" s="49">
        <f>IF(AO162="","",AO162*W162)</f>
        <v/>
      </c>
      <c r="AQ162" s="47">
        <f>IF(OR(AJ162="",U162=0),"",MIN(IF(AV162="",9.9E+99,AV162),AN162/U162))</f>
        <v/>
      </c>
      <c r="AR162" s="49">
        <f>IF(AQ162="","",AQ162*W162)</f>
        <v/>
      </c>
      <c r="AS162" s="51" t="n"/>
      <c r="AT162" s="52" t="n"/>
      <c r="AU162" s="52" t="n"/>
      <c r="AV162" s="53" t="n"/>
      <c r="AW162" s="54">
        <f>IF(((V162*pax_cap*load_thin*ROUND(N162*O162*revleg_thin,0))-(((battery/range_nm)*G162*ROUND(N162*O162*revleg_thin,0)*VLOOKUP(B162,country_opex,3,FALSE))+Y162+Z162+AA162+AB162+AC162))&lt;=0,"",VLOOKUP(B162,country_opex,7,FALSE)/((V162*pax_cap*load_thin*ROUND(N162*O162*revleg_thin,0))-(((battery/range_nm)*G162*ROUND(N162*O162*revleg_thin,0)*VLOOKUP(B162,country_opex,3,FALSE))+Y162+Z162+AA162+AB162+AC162)))</f>
        <v/>
      </c>
      <c r="AX162" s="54">
        <f>IF(((V162*pax_cap*load_mid*ROUND(N162*O162*revleg_mid,0))-(((battery/range_nm)*G162*ROUND(N162*O162*revleg_mid,0)*VLOOKUP(B162,country_opex,3,FALSE))+Y162+Z162+AA162+AB162+AC162))&lt;=0,"",VLOOKUP(B162,country_opex,7,FALSE)/((V162*pax_cap*load_mid*ROUND(N162*O162*revleg_mid,0))-(((battery/range_nm)*G162*ROUND(N162*O162*revleg_mid,0)*VLOOKUP(B162,country_opex,3,FALSE))+Y162+Z162+AA162+AB162+AC162)))</f>
        <v/>
      </c>
      <c r="AY162" s="54">
        <f>IF(((V162*pax_cap*load_full*ROUND(N162*O162*revleg_full,0))-(((battery/range_nm)*G162*ROUND(N162*O162*revleg_full,0)*VLOOKUP(B162,country_opex,3,FALSE))+Y162+Z162+AA162+AB162+AC162))&lt;=0,"",VLOOKUP(B162,country_opex,7,FALSE)/((V162*pax_cap*load_full*ROUND(N162*O162*revleg_full,0))-(((battery/range_nm)*G162*ROUND(N162*O162*revleg_full,0)*VLOOKUP(B162,country_opex,3,FALSE))+Y162+Z162+AA162+AB162+AC162)))</f>
        <v/>
      </c>
      <c r="AZ162" s="40" t="inlineStr">
        <is>
          <t>handoff/INDIA-ECONOMICS-SIDECAR-V0-2026-06-20.json (goa)</t>
        </is>
      </c>
      <c r="BA162" s="40" t="inlineStr">
        <is>
          <t>handoff/INDIA-ECONOMICS-SIDECAR-V0-2026-06-20.json (goa)</t>
        </is>
      </c>
    </row>
    <row r="163">
      <c r="A163" s="38" t="inlineStr">
        <is>
          <t>India Goa Rapido</t>
        </is>
      </c>
      <c r="B163" s="38" t="inlineStr">
        <is>
          <t>India</t>
        </is>
      </c>
      <c r="C163" s="39" t="inlineStr">
        <is>
          <t>Yacht Life Goa → Tuem Ferry Terminal</t>
        </is>
      </c>
      <c r="D163" s="38" t="inlineStr">
        <is>
          <t>rapido</t>
        </is>
      </c>
      <c r="E163" s="40" t="inlineStr">
        <is>
          <t>india-goa-ola, india-goa-rapido</t>
        </is>
      </c>
      <c r="F163" s="41" t="n">
        <v>2</v>
      </c>
      <c r="G163" s="42" t="n">
        <v>3.1</v>
      </c>
      <c r="H163" s="35" t="n">
        <v>8</v>
      </c>
      <c r="I163" s="43" t="inlineStr">
        <is>
          <t>T3</t>
        </is>
      </c>
      <c r="J163" s="43" t="inlineStr">
        <is>
          <t>med-low</t>
        </is>
      </c>
      <c r="K163" s="29" t="n">
        <v>1</v>
      </c>
      <c r="L163" s="44">
        <f>60*G163/cruise_kt</f>
        <v/>
      </c>
      <c r="M163" s="44">
        <f>L163+turn_min+dwell_min</f>
        <v/>
      </c>
      <c r="N163" s="45">
        <f>MIN(10,FLOOR(60*service_hr/M163,1))</f>
        <v/>
      </c>
      <c r="O163" s="45">
        <f>ROUND(365*mech_uptime*K163,0)</f>
        <v/>
      </c>
      <c r="P163" s="46">
        <f>mech_uptime</f>
        <v/>
      </c>
      <c r="Q163" s="46">
        <f>revleg_sel</f>
        <v/>
      </c>
      <c r="R163" s="45">
        <f>ROUND(N163*O163*revleg_sel,0)</f>
        <v/>
      </c>
      <c r="S163" s="47">
        <f>load_sel</f>
        <v/>
      </c>
      <c r="T163" s="47">
        <f>pax_cap*S163</f>
        <v/>
      </c>
      <c r="U163" s="45">
        <f>T163*R163</f>
        <v/>
      </c>
      <c r="V163" s="48">
        <f>H163*discount</f>
        <v/>
      </c>
      <c r="W163" s="49">
        <f>V163*U163</f>
        <v/>
      </c>
      <c r="X163" s="49">
        <f>(battery/range_nm)*G163*R163*VLOOKUP(B163,country_opex,3,FALSE)</f>
        <v/>
      </c>
      <c r="Y163" s="49">
        <f>VLOOKUP(B163,country_opex,2,FALSE)*crew_factor</f>
        <v/>
      </c>
      <c r="Z163" s="49">
        <f>VLOOKUP(B163,country_opex,5,FALSE)</f>
        <v/>
      </c>
      <c r="AA163" s="49">
        <f>maint</f>
        <v/>
      </c>
      <c r="AB163" s="49">
        <f>VLOOKUP(B163,country_opex,7,FALSE)*ins_pct</f>
        <v/>
      </c>
      <c r="AC163" s="49">
        <f>charge_berth</f>
        <v/>
      </c>
      <c r="AD163" s="49">
        <f>X163+Y163+Z163+AA163+AB163+AC163</f>
        <v/>
      </c>
      <c r="AE163" s="49">
        <f>VLOOKUP(B163,country_opex,7,FALSE)/dep_years</f>
        <v/>
      </c>
      <c r="AF163" s="49">
        <f>W163-AD163</f>
        <v/>
      </c>
      <c r="AG163" s="46">
        <f>IF(W163=0,"",AF163/W163)</f>
        <v/>
      </c>
      <c r="AH163" s="47">
        <f>IF(AF163&lt;=0,"",VLOOKUP(B163,country_opex,7,FALSE)/AF163)</f>
        <v/>
      </c>
      <c r="AI163" s="44">
        <f>((G163*R163/diesel_nmpg)*diesel_co2pg-(battery/range_nm)*G163*R163*VLOOKUP(B163,country_opex,4,FALSE))/1000</f>
        <v/>
      </c>
      <c r="AJ163" s="42" t="n">
        <v>11250</v>
      </c>
      <c r="AK163" s="43" t="inlineStr">
        <is>
          <t>T3</t>
        </is>
      </c>
      <c r="AL163" s="43" t="inlineStr">
        <is>
          <t>med-low</t>
        </is>
      </c>
      <c r="AM163" s="50" t="n">
        <v>0.1</v>
      </c>
      <c r="AN163" s="45">
        <f>IF(AJ163="","",AJ163*AM163)</f>
        <v/>
      </c>
      <c r="AO163" s="45">
        <f>IF(OR(AJ163="",U163=0),"",MIN(IF(AV163="",9.9E+99,AV163),FLOOR(AN163/U163,1)))</f>
        <v/>
      </c>
      <c r="AP163" s="49">
        <f>IF(AO163="","",AO163*W163)</f>
        <v/>
      </c>
      <c r="AQ163" s="47">
        <f>IF(OR(AJ163="",U163=0),"",MIN(IF(AV163="",9.9E+99,AV163),AN163/U163))</f>
        <v/>
      </c>
      <c r="AR163" s="49">
        <f>IF(AQ163="","",AQ163*W163)</f>
        <v/>
      </c>
      <c r="AS163" s="51" t="n"/>
      <c r="AT163" s="52" t="n"/>
      <c r="AU163" s="52" t="n"/>
      <c r="AV163" s="53" t="n"/>
      <c r="AW163" s="54">
        <f>IF(((V163*pax_cap*load_thin*ROUND(N163*O163*revleg_thin,0))-(((battery/range_nm)*G163*ROUND(N163*O163*revleg_thin,0)*VLOOKUP(B163,country_opex,3,FALSE))+Y163+Z163+AA163+AB163+AC163))&lt;=0,"",VLOOKUP(B163,country_opex,7,FALSE)/((V163*pax_cap*load_thin*ROUND(N163*O163*revleg_thin,0))-(((battery/range_nm)*G163*ROUND(N163*O163*revleg_thin,0)*VLOOKUP(B163,country_opex,3,FALSE))+Y163+Z163+AA163+AB163+AC163)))</f>
        <v/>
      </c>
      <c r="AX163" s="54">
        <f>IF(((V163*pax_cap*load_mid*ROUND(N163*O163*revleg_mid,0))-(((battery/range_nm)*G163*ROUND(N163*O163*revleg_mid,0)*VLOOKUP(B163,country_opex,3,FALSE))+Y163+Z163+AA163+AB163+AC163))&lt;=0,"",VLOOKUP(B163,country_opex,7,FALSE)/((V163*pax_cap*load_mid*ROUND(N163*O163*revleg_mid,0))-(((battery/range_nm)*G163*ROUND(N163*O163*revleg_mid,0)*VLOOKUP(B163,country_opex,3,FALSE))+Y163+Z163+AA163+AB163+AC163)))</f>
        <v/>
      </c>
      <c r="AY163" s="54">
        <f>IF(((V163*pax_cap*load_full*ROUND(N163*O163*revleg_full,0))-(((battery/range_nm)*G163*ROUND(N163*O163*revleg_full,0)*VLOOKUP(B163,country_opex,3,FALSE))+Y163+Z163+AA163+AB163+AC163))&lt;=0,"",VLOOKUP(B163,country_opex,7,FALSE)/((V163*pax_cap*load_full*ROUND(N163*O163*revleg_full,0))-(((battery/range_nm)*G163*ROUND(N163*O163*revleg_full,0)*VLOOKUP(B163,country_opex,3,FALSE))+Y163+Z163+AA163+AB163+AC163)))</f>
        <v/>
      </c>
      <c r="AZ163" s="40" t="inlineStr">
        <is>
          <t>handoff/INDIA-ECONOMICS-SIDECAR-V0-2026-06-20.json (goa)</t>
        </is>
      </c>
      <c r="BA163" s="40" t="inlineStr">
        <is>
          <t>handoff/INDIA-ECONOMICS-SIDECAR-V0-2026-06-20.json (goa)</t>
        </is>
      </c>
    </row>
    <row r="164">
      <c r="A164" s="38" t="inlineStr">
        <is>
          <t>India Kerala Rapido</t>
        </is>
      </c>
      <c r="B164" s="38" t="inlineStr">
        <is>
          <t>India</t>
        </is>
      </c>
      <c r="C164" s="39" t="inlineStr">
        <is>
          <t>Martins Harbour → Kakkanad Ferry Terminal</t>
        </is>
      </c>
      <c r="D164" s="38" t="inlineStr">
        <is>
          <t>rapido</t>
        </is>
      </c>
      <c r="E164" s="40" t="inlineStr">
        <is>
          <t>india-kerala-ola, india-kerala-rapido</t>
        </is>
      </c>
      <c r="F164" s="41" t="n">
        <v>2</v>
      </c>
      <c r="G164" s="42" t="n">
        <v>3.1</v>
      </c>
      <c r="H164" s="35" t="n">
        <v>18</v>
      </c>
      <c r="I164" s="43" t="inlineStr">
        <is>
          <t>T3</t>
        </is>
      </c>
      <c r="J164" s="43" t="inlineStr">
        <is>
          <t>med-low</t>
        </is>
      </c>
      <c r="K164" s="29" t="n">
        <v>1</v>
      </c>
      <c r="L164" s="44">
        <f>60*G164/cruise_kt</f>
        <v/>
      </c>
      <c r="M164" s="44">
        <f>L164+turn_min+dwell_min</f>
        <v/>
      </c>
      <c r="N164" s="45">
        <f>MIN(10,FLOOR(60*service_hr/M164,1))</f>
        <v/>
      </c>
      <c r="O164" s="45">
        <f>ROUND(365*mech_uptime*K164,0)</f>
        <v/>
      </c>
      <c r="P164" s="46">
        <f>mech_uptime</f>
        <v/>
      </c>
      <c r="Q164" s="46">
        <f>revleg_sel</f>
        <v/>
      </c>
      <c r="R164" s="45">
        <f>ROUND(N164*O164*revleg_sel,0)</f>
        <v/>
      </c>
      <c r="S164" s="47">
        <f>load_sel</f>
        <v/>
      </c>
      <c r="T164" s="47">
        <f>pax_cap*S164</f>
        <v/>
      </c>
      <c r="U164" s="45">
        <f>T164*R164</f>
        <v/>
      </c>
      <c r="V164" s="48">
        <f>H164*discount</f>
        <v/>
      </c>
      <c r="W164" s="49">
        <f>V164*U164</f>
        <v/>
      </c>
      <c r="X164" s="49">
        <f>(battery/range_nm)*G164*R164*VLOOKUP(B164,country_opex,3,FALSE)</f>
        <v/>
      </c>
      <c r="Y164" s="49">
        <f>VLOOKUP(B164,country_opex,2,FALSE)*crew_factor</f>
        <v/>
      </c>
      <c r="Z164" s="49">
        <f>VLOOKUP(B164,country_opex,5,FALSE)</f>
        <v/>
      </c>
      <c r="AA164" s="49">
        <f>maint</f>
        <v/>
      </c>
      <c r="AB164" s="49">
        <f>VLOOKUP(B164,country_opex,7,FALSE)*ins_pct</f>
        <v/>
      </c>
      <c r="AC164" s="49">
        <f>charge_berth</f>
        <v/>
      </c>
      <c r="AD164" s="49">
        <f>X164+Y164+Z164+AA164+AB164+AC164</f>
        <v/>
      </c>
      <c r="AE164" s="49">
        <f>VLOOKUP(B164,country_opex,7,FALSE)/dep_years</f>
        <v/>
      </c>
      <c r="AF164" s="49">
        <f>W164-AD164</f>
        <v/>
      </c>
      <c r="AG164" s="46">
        <f>IF(W164=0,"",AF164/W164)</f>
        <v/>
      </c>
      <c r="AH164" s="47">
        <f>IF(AF164&lt;=0,"",VLOOKUP(B164,country_opex,7,FALSE)/AF164)</f>
        <v/>
      </c>
      <c r="AI164" s="44">
        <f>((G164*R164/diesel_nmpg)*diesel_co2pg-(battery/range_nm)*G164*R164*VLOOKUP(B164,country_opex,4,FALSE))/1000</f>
        <v/>
      </c>
      <c r="AJ164" s="42" t="n">
        <v>29166</v>
      </c>
      <c r="AK164" s="43" t="inlineStr">
        <is>
          <t>T3</t>
        </is>
      </c>
      <c r="AL164" s="43" t="inlineStr">
        <is>
          <t>med-low</t>
        </is>
      </c>
      <c r="AM164" s="50" t="n">
        <v>0.1</v>
      </c>
      <c r="AN164" s="45">
        <f>IF(AJ164="","",AJ164*AM164)</f>
        <v/>
      </c>
      <c r="AO164" s="45">
        <f>IF(OR(AJ164="",U164=0),"",MIN(IF(AV164="",9.9E+99,AV164),FLOOR(AN164/U164,1)))</f>
        <v/>
      </c>
      <c r="AP164" s="49">
        <f>IF(AO164="","",AO164*W164)</f>
        <v/>
      </c>
      <c r="AQ164" s="47">
        <f>IF(OR(AJ164="",U164=0),"",MIN(IF(AV164="",9.9E+99,AV164),AN164/U164))</f>
        <v/>
      </c>
      <c r="AR164" s="49">
        <f>IF(AQ164="","",AQ164*W164)</f>
        <v/>
      </c>
      <c r="AS164" s="51" t="n"/>
      <c r="AT164" s="52" t="n"/>
      <c r="AU164" s="52" t="n"/>
      <c r="AV164" s="53" t="n"/>
      <c r="AW164" s="54">
        <f>IF(((V164*pax_cap*load_thin*ROUND(N164*O164*revleg_thin,0))-(((battery/range_nm)*G164*ROUND(N164*O164*revleg_thin,0)*VLOOKUP(B164,country_opex,3,FALSE))+Y164+Z164+AA164+AB164+AC164))&lt;=0,"",VLOOKUP(B164,country_opex,7,FALSE)/((V164*pax_cap*load_thin*ROUND(N164*O164*revleg_thin,0))-(((battery/range_nm)*G164*ROUND(N164*O164*revleg_thin,0)*VLOOKUP(B164,country_opex,3,FALSE))+Y164+Z164+AA164+AB164+AC164)))</f>
        <v/>
      </c>
      <c r="AX164" s="54">
        <f>IF(((V164*pax_cap*load_mid*ROUND(N164*O164*revleg_mid,0))-(((battery/range_nm)*G164*ROUND(N164*O164*revleg_mid,0)*VLOOKUP(B164,country_opex,3,FALSE))+Y164+Z164+AA164+AB164+AC164))&lt;=0,"",VLOOKUP(B164,country_opex,7,FALSE)/((V164*pax_cap*load_mid*ROUND(N164*O164*revleg_mid,0))-(((battery/range_nm)*G164*ROUND(N164*O164*revleg_mid,0)*VLOOKUP(B164,country_opex,3,FALSE))+Y164+Z164+AA164+AB164+AC164)))</f>
        <v/>
      </c>
      <c r="AY164" s="54">
        <f>IF(((V164*pax_cap*load_full*ROUND(N164*O164*revleg_full,0))-(((battery/range_nm)*G164*ROUND(N164*O164*revleg_full,0)*VLOOKUP(B164,country_opex,3,FALSE))+Y164+Z164+AA164+AB164+AC164))&lt;=0,"",VLOOKUP(B164,country_opex,7,FALSE)/((V164*pax_cap*load_full*ROUND(N164*O164*revleg_full,0))-(((battery/range_nm)*G164*ROUND(N164*O164*revleg_full,0)*VLOOKUP(B164,country_opex,3,FALSE))+Y164+Z164+AA164+AB164+AC164)))</f>
        <v/>
      </c>
      <c r="AZ164" s="40" t="inlineStr">
        <is>
          <t>[LB-255 PREMIUM RE-FARE: subsidized comparable $3.5 lifted to premium on-demand floor $18.0] handoff/INDIA-ECONOMICS-SIDECAR-V0-2026-06-20.json (kerala)</t>
        </is>
      </c>
      <c r="BA164" s="40" t="inlineStr">
        <is>
          <t>handoff/INDIA-ECONOMICS-SIDECAR-V0-2026-06-20.json (kerala)</t>
        </is>
      </c>
    </row>
    <row r="165">
      <c r="A165" s="38" t="inlineStr">
        <is>
          <t>Rapido Mumbai</t>
        </is>
      </c>
      <c r="B165" s="38" t="inlineStr">
        <is>
          <t>India</t>
        </is>
      </c>
      <c r="C165" s="39" t="inlineStr">
        <is>
          <t>Bombay Harbour → Elephanta Caves</t>
        </is>
      </c>
      <c r="D165" s="38" t="inlineStr">
        <is>
          <t>rapido</t>
        </is>
      </c>
      <c r="E165" s="40" t="inlineStr">
        <is>
          <t>india-mumbai-ola, india-mumbai-rapido, rapido-mumbai, uber-mumbai</t>
        </is>
      </c>
      <c r="F165" s="41" t="n">
        <v>4</v>
      </c>
      <c r="G165" s="42" t="n">
        <v>3.2</v>
      </c>
      <c r="H165" s="35" t="n"/>
      <c r="I165" s="43" t="inlineStr">
        <is>
          <t>T3</t>
        </is>
      </c>
      <c r="J165" s="43" t="inlineStr">
        <is>
          <t>med-low</t>
        </is>
      </c>
      <c r="K165" s="29" t="n">
        <v>1</v>
      </c>
      <c r="L165" s="44">
        <f>60*G165/cruise_kt</f>
        <v/>
      </c>
      <c r="M165" s="44">
        <f>L165+turn_min+dwell_min</f>
        <v/>
      </c>
      <c r="N165" s="45">
        <f>MIN(10,FLOOR(60*service_hr/M165,1))</f>
        <v/>
      </c>
      <c r="O165" s="45">
        <f>ROUND(365*mech_uptime*K165,0)</f>
        <v/>
      </c>
      <c r="P165" s="46">
        <f>mech_uptime</f>
        <v/>
      </c>
      <c r="Q165" s="46">
        <f>revleg_sel</f>
        <v/>
      </c>
      <c r="R165" s="45">
        <f>ROUND(N165*O165*revleg_sel,0)</f>
        <v/>
      </c>
      <c r="S165" s="47">
        <f>load_sel</f>
        <v/>
      </c>
      <c r="T165" s="47">
        <f>pax_cap*S165</f>
        <v/>
      </c>
      <c r="U165" s="45">
        <f>T165*R165</f>
        <v/>
      </c>
      <c r="V165" s="48">
        <f>H165*discount</f>
        <v/>
      </c>
      <c r="W165" s="49">
        <f>V165*U165</f>
        <v/>
      </c>
      <c r="X165" s="49">
        <f>(battery/range_nm)*G165*R165*VLOOKUP(B165,country_opex,3,FALSE)</f>
        <v/>
      </c>
      <c r="Y165" s="49">
        <f>VLOOKUP(B165,country_opex,2,FALSE)*crew_factor</f>
        <v/>
      </c>
      <c r="Z165" s="49">
        <f>VLOOKUP(B165,country_opex,5,FALSE)</f>
        <v/>
      </c>
      <c r="AA165" s="49">
        <f>maint</f>
        <v/>
      </c>
      <c r="AB165" s="49">
        <f>VLOOKUP(B165,country_opex,7,FALSE)*ins_pct</f>
        <v/>
      </c>
      <c r="AC165" s="49">
        <f>charge_berth</f>
        <v/>
      </c>
      <c r="AD165" s="49">
        <f>X165+Y165+Z165+AA165+AB165+AC165</f>
        <v/>
      </c>
      <c r="AE165" s="49">
        <f>VLOOKUP(B165,country_opex,7,FALSE)/dep_years</f>
        <v/>
      </c>
      <c r="AF165" s="49">
        <f>W165-AD165</f>
        <v/>
      </c>
      <c r="AG165" s="46">
        <f>IF(W165=0,"",AF165/W165)</f>
        <v/>
      </c>
      <c r="AH165" s="47">
        <f>IF(AF165&lt;=0,"",VLOOKUP(B165,country_opex,7,FALSE)/AF165)</f>
        <v/>
      </c>
      <c r="AI165" s="44">
        <f>((G165*R165/diesel_nmpg)*diesel_co2pg-(battery/range_nm)*G165*R165*VLOOKUP(B165,country_opex,4,FALSE))/1000</f>
        <v/>
      </c>
      <c r="AJ165" s="42" t="n">
        <v>9230</v>
      </c>
      <c r="AK165" s="43" t="inlineStr">
        <is>
          <t>T3</t>
        </is>
      </c>
      <c r="AL165" s="43" t="inlineStr">
        <is>
          <t>med-low</t>
        </is>
      </c>
      <c r="AM165" s="50" t="n">
        <v>0.1</v>
      </c>
      <c r="AN165" s="45">
        <f>IF(AJ165="","",AJ165*AM165)</f>
        <v/>
      </c>
      <c r="AO165" s="45">
        <f>IF(OR(AJ165="",U165=0),"",MIN(IF(AV165="",9.9E+99,AV165),FLOOR(AN165/U165,1)))</f>
        <v/>
      </c>
      <c r="AP165" s="49">
        <f>IF(AO165="","",AO165*W165)</f>
        <v/>
      </c>
      <c r="AQ165" s="47">
        <f>IF(OR(AJ165="",U165=0),"",MIN(IF(AV165="",9.9E+99,AV165),AN165/U165))</f>
        <v/>
      </c>
      <c r="AR165" s="49">
        <f>IF(AQ165="","",AQ165*W165)</f>
        <v/>
      </c>
      <c r="AS165" s="51" t="n"/>
      <c r="AT165" s="52" t="n"/>
      <c r="AU165" s="52" t="inlineStr">
        <is>
          <t>experience_upside</t>
        </is>
      </c>
      <c r="AV165" s="53" t="n"/>
      <c r="AW165" s="54">
        <f>IF(((V165*pax_cap*load_thin*ROUND(N165*O165*revleg_thin,0))-(((battery/range_nm)*G165*ROUND(N165*O165*revleg_thin,0)*VLOOKUP(B165,country_opex,3,FALSE))+Y165+Z165+AA165+AB165+AC165))&lt;=0,"",VLOOKUP(B165,country_opex,7,FALSE)/((V165*pax_cap*load_thin*ROUND(N165*O165*revleg_thin,0))-(((battery/range_nm)*G165*ROUND(N165*O165*revleg_thin,0)*VLOOKUP(B165,country_opex,3,FALSE))+Y165+Z165+AA165+AB165+AC165)))</f>
        <v/>
      </c>
      <c r="AX165" s="54">
        <f>IF(((V165*pax_cap*load_mid*ROUND(N165*O165*revleg_mid,0))-(((battery/range_nm)*G165*ROUND(N165*O165*revleg_mid,0)*VLOOKUP(B165,country_opex,3,FALSE))+Y165+Z165+AA165+AB165+AC165))&lt;=0,"",VLOOKUP(B165,country_opex,7,FALSE)/((V165*pax_cap*load_mid*ROUND(N165*O165*revleg_mid,0))-(((battery/range_nm)*G165*ROUND(N165*O165*revleg_mid,0)*VLOOKUP(B165,country_opex,3,FALSE))+Y165+Z165+AA165+AB165+AC165)))</f>
        <v/>
      </c>
      <c r="AY165" s="54">
        <f>IF(((V165*pax_cap*load_full*ROUND(N165*O165*revleg_full,0))-(((battery/range_nm)*G165*ROUND(N165*O165*revleg_full,0)*VLOOKUP(B165,country_opex,3,FALSE))+Y165+Z165+AA165+AB165+AC165))&lt;=0,"",VLOOKUP(B165,country_opex,7,FALSE)/((V165*pax_cap*load_full*ROUND(N165*O165*revleg_full,0))-(((battery/range_nm)*G165*ROUND(N165*O165*revleg_full,0)*VLOOKUP(B165,country_opex,3,FALSE))+Y165+Z165+AA165+AB165+AC165)))</f>
        <v/>
      </c>
      <c r="AZ165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165" s="40" t="inlineStr">
        <is>
          <t>PR #58 Mumbai spine route-count split (13 sealed rows × anchor 120,000 pax/yr)</t>
        </is>
      </c>
    </row>
    <row r="166">
      <c r="A166" s="38" t="inlineStr">
        <is>
          <t>India Goa Rapido</t>
        </is>
      </c>
      <c r="B166" s="38" t="inlineStr">
        <is>
          <t>India</t>
        </is>
      </c>
      <c r="C166" s="39" t="inlineStr">
        <is>
          <t>Ribandar Ferry → Pomburpa Ferry Terminal</t>
        </is>
      </c>
      <c r="D166" s="38" t="inlineStr">
        <is>
          <t>rapido</t>
        </is>
      </c>
      <c r="E166" s="40" t="inlineStr">
        <is>
          <t>india-goa-ola, india-goa-rapido</t>
        </is>
      </c>
      <c r="F166" s="41" t="n">
        <v>2</v>
      </c>
      <c r="G166" s="42" t="n">
        <v>3.2</v>
      </c>
      <c r="H166" s="35" t="n">
        <v>8</v>
      </c>
      <c r="I166" s="43" t="inlineStr">
        <is>
          <t>T3</t>
        </is>
      </c>
      <c r="J166" s="43" t="inlineStr">
        <is>
          <t>med-low</t>
        </is>
      </c>
      <c r="K166" s="29" t="n">
        <v>1</v>
      </c>
      <c r="L166" s="44">
        <f>60*G166/cruise_kt</f>
        <v/>
      </c>
      <c r="M166" s="44">
        <f>L166+turn_min+dwell_min</f>
        <v/>
      </c>
      <c r="N166" s="45">
        <f>MIN(10,FLOOR(60*service_hr/M166,1))</f>
        <v/>
      </c>
      <c r="O166" s="45">
        <f>ROUND(365*mech_uptime*K166,0)</f>
        <v/>
      </c>
      <c r="P166" s="46">
        <f>mech_uptime</f>
        <v/>
      </c>
      <c r="Q166" s="46">
        <f>revleg_sel</f>
        <v/>
      </c>
      <c r="R166" s="45">
        <f>ROUND(N166*O166*revleg_sel,0)</f>
        <v/>
      </c>
      <c r="S166" s="47">
        <f>load_sel</f>
        <v/>
      </c>
      <c r="T166" s="47">
        <f>pax_cap*S166</f>
        <v/>
      </c>
      <c r="U166" s="45">
        <f>T166*R166</f>
        <v/>
      </c>
      <c r="V166" s="48">
        <f>H166*discount</f>
        <v/>
      </c>
      <c r="W166" s="49">
        <f>V166*U166</f>
        <v/>
      </c>
      <c r="X166" s="49">
        <f>(battery/range_nm)*G166*R166*VLOOKUP(B166,country_opex,3,FALSE)</f>
        <v/>
      </c>
      <c r="Y166" s="49">
        <f>VLOOKUP(B166,country_opex,2,FALSE)*crew_factor</f>
        <v/>
      </c>
      <c r="Z166" s="49">
        <f>VLOOKUP(B166,country_opex,5,FALSE)</f>
        <v/>
      </c>
      <c r="AA166" s="49">
        <f>maint</f>
        <v/>
      </c>
      <c r="AB166" s="49">
        <f>VLOOKUP(B166,country_opex,7,FALSE)*ins_pct</f>
        <v/>
      </c>
      <c r="AC166" s="49">
        <f>charge_berth</f>
        <v/>
      </c>
      <c r="AD166" s="49">
        <f>X166+Y166+Z166+AA166+AB166+AC166</f>
        <v/>
      </c>
      <c r="AE166" s="49">
        <f>VLOOKUP(B166,country_opex,7,FALSE)/dep_years</f>
        <v/>
      </c>
      <c r="AF166" s="49">
        <f>W166-AD166</f>
        <v/>
      </c>
      <c r="AG166" s="46">
        <f>IF(W166=0,"",AF166/W166)</f>
        <v/>
      </c>
      <c r="AH166" s="47">
        <f>IF(AF166&lt;=0,"",VLOOKUP(B166,country_opex,7,FALSE)/AF166)</f>
        <v/>
      </c>
      <c r="AI166" s="44">
        <f>((G166*R166/diesel_nmpg)*diesel_co2pg-(battery/range_nm)*G166*R166*VLOOKUP(B166,country_opex,4,FALSE))/1000</f>
        <v/>
      </c>
      <c r="AJ166" s="42" t="n">
        <v>11250</v>
      </c>
      <c r="AK166" s="43" t="inlineStr">
        <is>
          <t>T3</t>
        </is>
      </c>
      <c r="AL166" s="43" t="inlineStr">
        <is>
          <t>med-low</t>
        </is>
      </c>
      <c r="AM166" s="50" t="n">
        <v>0.1</v>
      </c>
      <c r="AN166" s="45">
        <f>IF(AJ166="","",AJ166*AM166)</f>
        <v/>
      </c>
      <c r="AO166" s="45">
        <f>IF(OR(AJ166="",U166=0),"",MIN(IF(AV166="",9.9E+99,AV166),FLOOR(AN166/U166,1)))</f>
        <v/>
      </c>
      <c r="AP166" s="49">
        <f>IF(AO166="","",AO166*W166)</f>
        <v/>
      </c>
      <c r="AQ166" s="47">
        <f>IF(OR(AJ166="",U166=0),"",MIN(IF(AV166="",9.9E+99,AV166),AN166/U166))</f>
        <v/>
      </c>
      <c r="AR166" s="49">
        <f>IF(AQ166="","",AQ166*W166)</f>
        <v/>
      </c>
      <c r="AS166" s="51" t="n"/>
      <c r="AT166" s="52" t="n"/>
      <c r="AU166" s="52" t="n"/>
      <c r="AV166" s="53" t="n"/>
      <c r="AW166" s="54">
        <f>IF(((V166*pax_cap*load_thin*ROUND(N166*O166*revleg_thin,0))-(((battery/range_nm)*G166*ROUND(N166*O166*revleg_thin,0)*VLOOKUP(B166,country_opex,3,FALSE))+Y166+Z166+AA166+AB166+AC166))&lt;=0,"",VLOOKUP(B166,country_opex,7,FALSE)/((V166*pax_cap*load_thin*ROUND(N166*O166*revleg_thin,0))-(((battery/range_nm)*G166*ROUND(N166*O166*revleg_thin,0)*VLOOKUP(B166,country_opex,3,FALSE))+Y166+Z166+AA166+AB166+AC166)))</f>
        <v/>
      </c>
      <c r="AX166" s="54">
        <f>IF(((V166*pax_cap*load_mid*ROUND(N166*O166*revleg_mid,0))-(((battery/range_nm)*G166*ROUND(N166*O166*revleg_mid,0)*VLOOKUP(B166,country_opex,3,FALSE))+Y166+Z166+AA166+AB166+AC166))&lt;=0,"",VLOOKUP(B166,country_opex,7,FALSE)/((V166*pax_cap*load_mid*ROUND(N166*O166*revleg_mid,0))-(((battery/range_nm)*G166*ROUND(N166*O166*revleg_mid,0)*VLOOKUP(B166,country_opex,3,FALSE))+Y166+Z166+AA166+AB166+AC166)))</f>
        <v/>
      </c>
      <c r="AY166" s="54">
        <f>IF(((V166*pax_cap*load_full*ROUND(N166*O166*revleg_full,0))-(((battery/range_nm)*G166*ROUND(N166*O166*revleg_full,0)*VLOOKUP(B166,country_opex,3,FALSE))+Y166+Z166+AA166+AB166+AC166))&lt;=0,"",VLOOKUP(B166,country_opex,7,FALSE)/((V166*pax_cap*load_full*ROUND(N166*O166*revleg_full,0))-(((battery/range_nm)*G166*ROUND(N166*O166*revleg_full,0)*VLOOKUP(B166,country_opex,3,FALSE))+Y166+Z166+AA166+AB166+AC166)))</f>
        <v/>
      </c>
      <c r="AZ166" s="40" t="inlineStr">
        <is>
          <t>handoff/INDIA-ECONOMICS-SIDECAR-V0-2026-06-20.json (goa)</t>
        </is>
      </c>
      <c r="BA166" s="40" t="inlineStr">
        <is>
          <t>handoff/INDIA-ECONOMICS-SIDECAR-V0-2026-06-20.json (goa)</t>
        </is>
      </c>
    </row>
    <row r="167">
      <c r="A167" s="38" t="inlineStr">
        <is>
          <t>India Kerala Rapido</t>
        </is>
      </c>
      <c r="B167" s="38" t="inlineStr">
        <is>
          <t>India</t>
        </is>
      </c>
      <c r="C167" s="39" t="inlineStr">
        <is>
          <t>Thevara Ferry → Sailing Club House</t>
        </is>
      </c>
      <c r="D167" s="38" t="inlineStr">
        <is>
          <t>rapido</t>
        </is>
      </c>
      <c r="E167" s="40" t="inlineStr">
        <is>
          <t>india-kerala-ola, india-kerala-rapido</t>
        </is>
      </c>
      <c r="F167" s="41" t="n">
        <v>2</v>
      </c>
      <c r="G167" s="42" t="n">
        <v>3.2</v>
      </c>
      <c r="H167" s="35" t="n">
        <v>18</v>
      </c>
      <c r="I167" s="43" t="inlineStr">
        <is>
          <t>T3</t>
        </is>
      </c>
      <c r="J167" s="43" t="inlineStr">
        <is>
          <t>med-low</t>
        </is>
      </c>
      <c r="K167" s="29" t="n">
        <v>1</v>
      </c>
      <c r="L167" s="44">
        <f>60*G167/cruise_kt</f>
        <v/>
      </c>
      <c r="M167" s="44">
        <f>L167+turn_min+dwell_min</f>
        <v/>
      </c>
      <c r="N167" s="45">
        <f>MIN(10,FLOOR(60*service_hr/M167,1))</f>
        <v/>
      </c>
      <c r="O167" s="45">
        <f>ROUND(365*mech_uptime*K167,0)</f>
        <v/>
      </c>
      <c r="P167" s="46">
        <f>mech_uptime</f>
        <v/>
      </c>
      <c r="Q167" s="46">
        <f>revleg_sel</f>
        <v/>
      </c>
      <c r="R167" s="45">
        <f>ROUND(N167*O167*revleg_sel,0)</f>
        <v/>
      </c>
      <c r="S167" s="47">
        <f>load_sel</f>
        <v/>
      </c>
      <c r="T167" s="47">
        <f>pax_cap*S167</f>
        <v/>
      </c>
      <c r="U167" s="45">
        <f>T167*R167</f>
        <v/>
      </c>
      <c r="V167" s="48">
        <f>H167*discount</f>
        <v/>
      </c>
      <c r="W167" s="49">
        <f>V167*U167</f>
        <v/>
      </c>
      <c r="X167" s="49">
        <f>(battery/range_nm)*G167*R167*VLOOKUP(B167,country_opex,3,FALSE)</f>
        <v/>
      </c>
      <c r="Y167" s="49">
        <f>VLOOKUP(B167,country_opex,2,FALSE)*crew_factor</f>
        <v/>
      </c>
      <c r="Z167" s="49">
        <f>VLOOKUP(B167,country_opex,5,FALSE)</f>
        <v/>
      </c>
      <c r="AA167" s="49">
        <f>maint</f>
        <v/>
      </c>
      <c r="AB167" s="49">
        <f>VLOOKUP(B167,country_opex,7,FALSE)*ins_pct</f>
        <v/>
      </c>
      <c r="AC167" s="49">
        <f>charge_berth</f>
        <v/>
      </c>
      <c r="AD167" s="49">
        <f>X167+Y167+Z167+AA167+AB167+AC167</f>
        <v/>
      </c>
      <c r="AE167" s="49">
        <f>VLOOKUP(B167,country_opex,7,FALSE)/dep_years</f>
        <v/>
      </c>
      <c r="AF167" s="49">
        <f>W167-AD167</f>
        <v/>
      </c>
      <c r="AG167" s="46">
        <f>IF(W167=0,"",AF167/W167)</f>
        <v/>
      </c>
      <c r="AH167" s="47">
        <f>IF(AF167&lt;=0,"",VLOOKUP(B167,country_opex,7,FALSE)/AF167)</f>
        <v/>
      </c>
      <c r="AI167" s="44">
        <f>((G167*R167/diesel_nmpg)*diesel_co2pg-(battery/range_nm)*G167*R167*VLOOKUP(B167,country_opex,4,FALSE))/1000</f>
        <v/>
      </c>
      <c r="AJ167" s="42" t="n">
        <v>29166</v>
      </c>
      <c r="AK167" s="43" t="inlineStr">
        <is>
          <t>T3</t>
        </is>
      </c>
      <c r="AL167" s="43" t="inlineStr">
        <is>
          <t>med-low</t>
        </is>
      </c>
      <c r="AM167" s="50" t="n">
        <v>0.1</v>
      </c>
      <c r="AN167" s="45">
        <f>IF(AJ167="","",AJ167*AM167)</f>
        <v/>
      </c>
      <c r="AO167" s="45">
        <f>IF(OR(AJ167="",U167=0),"",MIN(IF(AV167="",9.9E+99,AV167),FLOOR(AN167/U167,1)))</f>
        <v/>
      </c>
      <c r="AP167" s="49">
        <f>IF(AO167="","",AO167*W167)</f>
        <v/>
      </c>
      <c r="AQ167" s="47">
        <f>IF(OR(AJ167="",U167=0),"",MIN(IF(AV167="",9.9E+99,AV167),AN167/U167))</f>
        <v/>
      </c>
      <c r="AR167" s="49">
        <f>IF(AQ167="","",AQ167*W167)</f>
        <v/>
      </c>
      <c r="AS167" s="51" t="n"/>
      <c r="AT167" s="52" t="n"/>
      <c r="AU167" s="52" t="n"/>
      <c r="AV167" s="53" t="n"/>
      <c r="AW167" s="54">
        <f>IF(((V167*pax_cap*load_thin*ROUND(N167*O167*revleg_thin,0))-(((battery/range_nm)*G167*ROUND(N167*O167*revleg_thin,0)*VLOOKUP(B167,country_opex,3,FALSE))+Y167+Z167+AA167+AB167+AC167))&lt;=0,"",VLOOKUP(B167,country_opex,7,FALSE)/((V167*pax_cap*load_thin*ROUND(N167*O167*revleg_thin,0))-(((battery/range_nm)*G167*ROUND(N167*O167*revleg_thin,0)*VLOOKUP(B167,country_opex,3,FALSE))+Y167+Z167+AA167+AB167+AC167)))</f>
        <v/>
      </c>
      <c r="AX167" s="54">
        <f>IF(((V167*pax_cap*load_mid*ROUND(N167*O167*revleg_mid,0))-(((battery/range_nm)*G167*ROUND(N167*O167*revleg_mid,0)*VLOOKUP(B167,country_opex,3,FALSE))+Y167+Z167+AA167+AB167+AC167))&lt;=0,"",VLOOKUP(B167,country_opex,7,FALSE)/((V167*pax_cap*load_mid*ROUND(N167*O167*revleg_mid,0))-(((battery/range_nm)*G167*ROUND(N167*O167*revleg_mid,0)*VLOOKUP(B167,country_opex,3,FALSE))+Y167+Z167+AA167+AB167+AC167)))</f>
        <v/>
      </c>
      <c r="AY167" s="54">
        <f>IF(((V167*pax_cap*load_full*ROUND(N167*O167*revleg_full,0))-(((battery/range_nm)*G167*ROUND(N167*O167*revleg_full,0)*VLOOKUP(B167,country_opex,3,FALSE))+Y167+Z167+AA167+AB167+AC167))&lt;=0,"",VLOOKUP(B167,country_opex,7,FALSE)/((V167*pax_cap*load_full*ROUND(N167*O167*revleg_full,0))-(((battery/range_nm)*G167*ROUND(N167*O167*revleg_full,0)*VLOOKUP(B167,country_opex,3,FALSE))+Y167+Z167+AA167+AB167+AC167)))</f>
        <v/>
      </c>
      <c r="AZ167" s="40" t="inlineStr">
        <is>
          <t>[LB-255 PREMIUM RE-FARE: subsidized comparable $3.5 lifted to premium on-demand floor $18.0] handoff/INDIA-ECONOMICS-SIDECAR-V0-2026-06-20.json (kerala)</t>
        </is>
      </c>
      <c r="BA167" s="40" t="inlineStr">
        <is>
          <t>handoff/INDIA-ECONOMICS-SIDECAR-V0-2026-06-20.json (kerala)</t>
        </is>
      </c>
    </row>
    <row r="168">
      <c r="A168" s="38" t="inlineStr">
        <is>
          <t>India Andaman Rapido</t>
        </is>
      </c>
      <c r="B168" s="38" t="inlineStr">
        <is>
          <t>India</t>
        </is>
      </c>
      <c r="C168" s="39" t="inlineStr">
        <is>
          <t>Andaman → Panighat Ferry Jetty</t>
        </is>
      </c>
      <c r="D168" s="38" t="inlineStr">
        <is>
          <t>rapido</t>
        </is>
      </c>
      <c r="E168" s="40" t="inlineStr">
        <is>
          <t>india-andaman-ola, india-andaman-rapido</t>
        </is>
      </c>
      <c r="F168" s="41" t="n">
        <v>2</v>
      </c>
      <c r="G168" s="42" t="n">
        <v>3.2</v>
      </c>
      <c r="H168" s="35" t="n">
        <v>22</v>
      </c>
      <c r="I168" s="43" t="inlineStr">
        <is>
          <t>T3</t>
        </is>
      </c>
      <c r="J168" s="43" t="inlineStr">
        <is>
          <t>med-low</t>
        </is>
      </c>
      <c r="K168" s="29" t="n">
        <v>1</v>
      </c>
      <c r="L168" s="44">
        <f>60*G168/cruise_kt</f>
        <v/>
      </c>
      <c r="M168" s="44">
        <f>L168+turn_min+dwell_min</f>
        <v/>
      </c>
      <c r="N168" s="45">
        <f>MIN(10,FLOOR(60*service_hr/M168,1))</f>
        <v/>
      </c>
      <c r="O168" s="45">
        <f>ROUND(365*mech_uptime*K168,0)</f>
        <v/>
      </c>
      <c r="P168" s="46">
        <f>mech_uptime</f>
        <v/>
      </c>
      <c r="Q168" s="46">
        <f>revleg_sel</f>
        <v/>
      </c>
      <c r="R168" s="45">
        <f>ROUND(N168*O168*revleg_sel,0)</f>
        <v/>
      </c>
      <c r="S168" s="47">
        <f>load_sel</f>
        <v/>
      </c>
      <c r="T168" s="47">
        <f>pax_cap*S168</f>
        <v/>
      </c>
      <c r="U168" s="45">
        <f>T168*R168</f>
        <v/>
      </c>
      <c r="V168" s="48">
        <f>H168*discount</f>
        <v/>
      </c>
      <c r="W168" s="49">
        <f>V168*U168</f>
        <v/>
      </c>
      <c r="X168" s="49">
        <f>(battery/range_nm)*G168*R168*VLOOKUP(B168,country_opex,3,FALSE)</f>
        <v/>
      </c>
      <c r="Y168" s="49">
        <f>VLOOKUP(B168,country_opex,2,FALSE)*crew_factor</f>
        <v/>
      </c>
      <c r="Z168" s="49">
        <f>VLOOKUP(B168,country_opex,5,FALSE)</f>
        <v/>
      </c>
      <c r="AA168" s="49">
        <f>maint</f>
        <v/>
      </c>
      <c r="AB168" s="49">
        <f>VLOOKUP(B168,country_opex,7,FALSE)*ins_pct</f>
        <v/>
      </c>
      <c r="AC168" s="49">
        <f>charge_berth</f>
        <v/>
      </c>
      <c r="AD168" s="49">
        <f>X168+Y168+Z168+AA168+AB168+AC168</f>
        <v/>
      </c>
      <c r="AE168" s="49">
        <f>VLOOKUP(B168,country_opex,7,FALSE)/dep_years</f>
        <v/>
      </c>
      <c r="AF168" s="49">
        <f>W168-AD168</f>
        <v/>
      </c>
      <c r="AG168" s="46">
        <f>IF(W168=0,"",AF168/W168)</f>
        <v/>
      </c>
      <c r="AH168" s="47">
        <f>IF(AF168&lt;=0,"",VLOOKUP(B168,country_opex,7,FALSE)/AF168)</f>
        <v/>
      </c>
      <c r="AI168" s="44">
        <f>((G168*R168/diesel_nmpg)*diesel_co2pg-(battery/range_nm)*G168*R168*VLOOKUP(B168,country_opex,4,FALSE))/1000</f>
        <v/>
      </c>
      <c r="AJ168" s="42" t="n">
        <v>5000</v>
      </c>
      <c r="AK168" s="43" t="inlineStr">
        <is>
          <t>T3</t>
        </is>
      </c>
      <c r="AL168" s="43" t="inlineStr">
        <is>
          <t>med-low</t>
        </is>
      </c>
      <c r="AM168" s="50" t="n">
        <v>0.1</v>
      </c>
      <c r="AN168" s="45">
        <f>IF(AJ168="","",AJ168*AM168)</f>
        <v/>
      </c>
      <c r="AO168" s="45">
        <f>IF(OR(AJ168="",U168=0),"",MIN(IF(AV168="",9.9E+99,AV168),FLOOR(AN168/U168,1)))</f>
        <v/>
      </c>
      <c r="AP168" s="49">
        <f>IF(AO168="","",AO168*W168)</f>
        <v/>
      </c>
      <c r="AQ168" s="47">
        <f>IF(OR(AJ168="",U168=0),"",MIN(IF(AV168="",9.9E+99,AV168),AN168/U168))</f>
        <v/>
      </c>
      <c r="AR168" s="49">
        <f>IF(AQ168="","",AQ168*W168)</f>
        <v/>
      </c>
      <c r="AS168" s="51" t="n"/>
      <c r="AT168" s="52" t="n"/>
      <c r="AU168" s="52" t="n"/>
      <c r="AV168" s="53" t="n"/>
      <c r="AW168" s="54">
        <f>IF(((V168*pax_cap*load_thin*ROUND(N168*O168*revleg_thin,0))-(((battery/range_nm)*G168*ROUND(N168*O168*revleg_thin,0)*VLOOKUP(B168,country_opex,3,FALSE))+Y168+Z168+AA168+AB168+AC168))&lt;=0,"",VLOOKUP(B168,country_opex,7,FALSE)/((V168*pax_cap*load_thin*ROUND(N168*O168*revleg_thin,0))-(((battery/range_nm)*G168*ROUND(N168*O168*revleg_thin,0)*VLOOKUP(B168,country_opex,3,FALSE))+Y168+Z168+AA168+AB168+AC168)))</f>
        <v/>
      </c>
      <c r="AX168" s="54">
        <f>IF(((V168*pax_cap*load_mid*ROUND(N168*O168*revleg_mid,0))-(((battery/range_nm)*G168*ROUND(N168*O168*revleg_mid,0)*VLOOKUP(B168,country_opex,3,FALSE))+Y168+Z168+AA168+AB168+AC168))&lt;=0,"",VLOOKUP(B168,country_opex,7,FALSE)/((V168*pax_cap*load_mid*ROUND(N168*O168*revleg_mid,0))-(((battery/range_nm)*G168*ROUND(N168*O168*revleg_mid,0)*VLOOKUP(B168,country_opex,3,FALSE))+Y168+Z168+AA168+AB168+AC168)))</f>
        <v/>
      </c>
      <c r="AY168" s="54">
        <f>IF(((V168*pax_cap*load_full*ROUND(N168*O168*revleg_full,0))-(((battery/range_nm)*G168*ROUND(N168*O168*revleg_full,0)*VLOOKUP(B168,country_opex,3,FALSE))+Y168+Z168+AA168+AB168+AC168))&lt;=0,"",VLOOKUP(B168,country_opex,7,FALSE)/((V168*pax_cap*load_full*ROUND(N168*O168*revleg_full,0))-(((battery/range_nm)*G168*ROUND(N168*O168*revleg_full,0)*VLOOKUP(B168,country_opex,3,FALSE))+Y168+Z168+AA168+AB168+AC168)))</f>
        <v/>
      </c>
      <c r="AZ168" s="40" t="inlineStr">
        <is>
          <t>handoff/INDIA-ECONOMICS-SIDECAR-V0-2026-06-20.json (andaman)</t>
        </is>
      </c>
      <c r="BA168" s="40" t="inlineStr">
        <is>
          <t>handoff/INDIA-ECONOMICS-SIDECAR-V0-2026-06-20.json (andaman)</t>
        </is>
      </c>
    </row>
    <row r="169">
      <c r="A169" s="38" t="inlineStr">
        <is>
          <t>India Andaman Rapido</t>
        </is>
      </c>
      <c r="B169" s="38" t="inlineStr">
        <is>
          <t>India</t>
        </is>
      </c>
      <c r="C169" s="39" t="inlineStr">
        <is>
          <t>Andaman → Chatham Harbour</t>
        </is>
      </c>
      <c r="D169" s="38" t="inlineStr">
        <is>
          <t>rapido</t>
        </is>
      </c>
      <c r="E169" s="40" t="inlineStr">
        <is>
          <t>india-andaman-ola, india-andaman-rapido</t>
        </is>
      </c>
      <c r="F169" s="41" t="n">
        <v>2</v>
      </c>
      <c r="G169" s="42" t="n">
        <v>3.3</v>
      </c>
      <c r="H169" s="35" t="n">
        <v>22</v>
      </c>
      <c r="I169" s="43" t="inlineStr">
        <is>
          <t>T3</t>
        </is>
      </c>
      <c r="J169" s="43" t="inlineStr">
        <is>
          <t>med-low</t>
        </is>
      </c>
      <c r="K169" s="29" t="n">
        <v>1</v>
      </c>
      <c r="L169" s="44">
        <f>60*G169/cruise_kt</f>
        <v/>
      </c>
      <c r="M169" s="44">
        <f>L169+turn_min+dwell_min</f>
        <v/>
      </c>
      <c r="N169" s="45">
        <f>MIN(10,FLOOR(60*service_hr/M169,1))</f>
        <v/>
      </c>
      <c r="O169" s="45">
        <f>ROUND(365*mech_uptime*K169,0)</f>
        <v/>
      </c>
      <c r="P169" s="46">
        <f>mech_uptime</f>
        <v/>
      </c>
      <c r="Q169" s="46">
        <f>revleg_sel</f>
        <v/>
      </c>
      <c r="R169" s="45">
        <f>ROUND(N169*O169*revleg_sel,0)</f>
        <v/>
      </c>
      <c r="S169" s="47">
        <f>load_sel</f>
        <v/>
      </c>
      <c r="T169" s="47">
        <f>pax_cap*S169</f>
        <v/>
      </c>
      <c r="U169" s="45">
        <f>T169*R169</f>
        <v/>
      </c>
      <c r="V169" s="48">
        <f>H169*discount</f>
        <v/>
      </c>
      <c r="W169" s="49">
        <f>V169*U169</f>
        <v/>
      </c>
      <c r="X169" s="49">
        <f>(battery/range_nm)*G169*R169*VLOOKUP(B169,country_opex,3,FALSE)</f>
        <v/>
      </c>
      <c r="Y169" s="49">
        <f>VLOOKUP(B169,country_opex,2,FALSE)*crew_factor</f>
        <v/>
      </c>
      <c r="Z169" s="49">
        <f>VLOOKUP(B169,country_opex,5,FALSE)</f>
        <v/>
      </c>
      <c r="AA169" s="49">
        <f>maint</f>
        <v/>
      </c>
      <c r="AB169" s="49">
        <f>VLOOKUP(B169,country_opex,7,FALSE)*ins_pct</f>
        <v/>
      </c>
      <c r="AC169" s="49">
        <f>charge_berth</f>
        <v/>
      </c>
      <c r="AD169" s="49">
        <f>X169+Y169+Z169+AA169+AB169+AC169</f>
        <v/>
      </c>
      <c r="AE169" s="49">
        <f>VLOOKUP(B169,country_opex,7,FALSE)/dep_years</f>
        <v/>
      </c>
      <c r="AF169" s="49">
        <f>W169-AD169</f>
        <v/>
      </c>
      <c r="AG169" s="46">
        <f>IF(W169=0,"",AF169/W169)</f>
        <v/>
      </c>
      <c r="AH169" s="47">
        <f>IF(AF169&lt;=0,"",VLOOKUP(B169,country_opex,7,FALSE)/AF169)</f>
        <v/>
      </c>
      <c r="AI169" s="44">
        <f>((G169*R169/diesel_nmpg)*diesel_co2pg-(battery/range_nm)*G169*R169*VLOOKUP(B169,country_opex,4,FALSE))/1000</f>
        <v/>
      </c>
      <c r="AJ169" s="42" t="n">
        <v>5000</v>
      </c>
      <c r="AK169" s="43" t="inlineStr">
        <is>
          <t>T3</t>
        </is>
      </c>
      <c r="AL169" s="43" t="inlineStr">
        <is>
          <t>med-low</t>
        </is>
      </c>
      <c r="AM169" s="50" t="n">
        <v>0.1</v>
      </c>
      <c r="AN169" s="45">
        <f>IF(AJ169="","",AJ169*AM169)</f>
        <v/>
      </c>
      <c r="AO169" s="45">
        <f>IF(OR(AJ169="",U169=0),"",MIN(IF(AV169="",9.9E+99,AV169),FLOOR(AN169/U169,1)))</f>
        <v/>
      </c>
      <c r="AP169" s="49">
        <f>IF(AO169="","",AO169*W169)</f>
        <v/>
      </c>
      <c r="AQ169" s="47">
        <f>IF(OR(AJ169="",U169=0),"",MIN(IF(AV169="",9.9E+99,AV169),AN169/U169))</f>
        <v/>
      </c>
      <c r="AR169" s="49">
        <f>IF(AQ169="","",AQ169*W169)</f>
        <v/>
      </c>
      <c r="AS169" s="51" t="n"/>
      <c r="AT169" s="52" t="n"/>
      <c r="AU169" s="52" t="n"/>
      <c r="AV169" s="53" t="n"/>
      <c r="AW169" s="54">
        <f>IF(((V169*pax_cap*load_thin*ROUND(N169*O169*revleg_thin,0))-(((battery/range_nm)*G169*ROUND(N169*O169*revleg_thin,0)*VLOOKUP(B169,country_opex,3,FALSE))+Y169+Z169+AA169+AB169+AC169))&lt;=0,"",VLOOKUP(B169,country_opex,7,FALSE)/((V169*pax_cap*load_thin*ROUND(N169*O169*revleg_thin,0))-(((battery/range_nm)*G169*ROUND(N169*O169*revleg_thin,0)*VLOOKUP(B169,country_opex,3,FALSE))+Y169+Z169+AA169+AB169+AC169)))</f>
        <v/>
      </c>
      <c r="AX169" s="54">
        <f>IF(((V169*pax_cap*load_mid*ROUND(N169*O169*revleg_mid,0))-(((battery/range_nm)*G169*ROUND(N169*O169*revleg_mid,0)*VLOOKUP(B169,country_opex,3,FALSE))+Y169+Z169+AA169+AB169+AC169))&lt;=0,"",VLOOKUP(B169,country_opex,7,FALSE)/((V169*pax_cap*load_mid*ROUND(N169*O169*revleg_mid,0))-(((battery/range_nm)*G169*ROUND(N169*O169*revleg_mid,0)*VLOOKUP(B169,country_opex,3,FALSE))+Y169+Z169+AA169+AB169+AC169)))</f>
        <v/>
      </c>
      <c r="AY169" s="54">
        <f>IF(((V169*pax_cap*load_full*ROUND(N169*O169*revleg_full,0))-(((battery/range_nm)*G169*ROUND(N169*O169*revleg_full,0)*VLOOKUP(B169,country_opex,3,FALSE))+Y169+Z169+AA169+AB169+AC169))&lt;=0,"",VLOOKUP(B169,country_opex,7,FALSE)/((V169*pax_cap*load_full*ROUND(N169*O169*revleg_full,0))-(((battery/range_nm)*G169*ROUND(N169*O169*revleg_full,0)*VLOOKUP(B169,country_opex,3,FALSE))+Y169+Z169+AA169+AB169+AC169)))</f>
        <v/>
      </c>
      <c r="AZ169" s="40" t="inlineStr">
        <is>
          <t>handoff/INDIA-ECONOMICS-SIDECAR-V0-2026-06-20.json (andaman)</t>
        </is>
      </c>
      <c r="BA169" s="40" t="inlineStr">
        <is>
          <t>handoff/INDIA-ECONOMICS-SIDECAR-V0-2026-06-20.json (andaman)</t>
        </is>
      </c>
    </row>
    <row r="170">
      <c r="A170" s="38" t="inlineStr">
        <is>
          <t>India Andaman Rapido</t>
        </is>
      </c>
      <c r="B170" s="38" t="inlineStr">
        <is>
          <t>India</t>
        </is>
      </c>
      <c r="C170" s="39" t="inlineStr">
        <is>
          <t>Andaman → Haddo Jetty</t>
        </is>
      </c>
      <c r="D170" s="38" t="inlineStr">
        <is>
          <t>rapido</t>
        </is>
      </c>
      <c r="E170" s="40" t="inlineStr">
        <is>
          <t>india-andaman-ola, india-andaman-rapido</t>
        </is>
      </c>
      <c r="F170" s="41" t="n">
        <v>2</v>
      </c>
      <c r="G170" s="42" t="n">
        <v>3.3</v>
      </c>
      <c r="H170" s="35" t="n">
        <v>22</v>
      </c>
      <c r="I170" s="43" t="inlineStr">
        <is>
          <t>T3</t>
        </is>
      </c>
      <c r="J170" s="43" t="inlineStr">
        <is>
          <t>med-low</t>
        </is>
      </c>
      <c r="K170" s="29" t="n">
        <v>1</v>
      </c>
      <c r="L170" s="44">
        <f>60*G170/cruise_kt</f>
        <v/>
      </c>
      <c r="M170" s="44">
        <f>L170+turn_min+dwell_min</f>
        <v/>
      </c>
      <c r="N170" s="45">
        <f>MIN(10,FLOOR(60*service_hr/M170,1))</f>
        <v/>
      </c>
      <c r="O170" s="45">
        <f>ROUND(365*mech_uptime*K170,0)</f>
        <v/>
      </c>
      <c r="P170" s="46">
        <f>mech_uptime</f>
        <v/>
      </c>
      <c r="Q170" s="46">
        <f>revleg_sel</f>
        <v/>
      </c>
      <c r="R170" s="45">
        <f>ROUND(N170*O170*revleg_sel,0)</f>
        <v/>
      </c>
      <c r="S170" s="47">
        <f>load_sel</f>
        <v/>
      </c>
      <c r="T170" s="47">
        <f>pax_cap*S170</f>
        <v/>
      </c>
      <c r="U170" s="45">
        <f>T170*R170</f>
        <v/>
      </c>
      <c r="V170" s="48">
        <f>H170*discount</f>
        <v/>
      </c>
      <c r="W170" s="49">
        <f>V170*U170</f>
        <v/>
      </c>
      <c r="X170" s="49">
        <f>(battery/range_nm)*G170*R170*VLOOKUP(B170,country_opex,3,FALSE)</f>
        <v/>
      </c>
      <c r="Y170" s="49">
        <f>VLOOKUP(B170,country_opex,2,FALSE)*crew_factor</f>
        <v/>
      </c>
      <c r="Z170" s="49">
        <f>VLOOKUP(B170,country_opex,5,FALSE)</f>
        <v/>
      </c>
      <c r="AA170" s="49">
        <f>maint</f>
        <v/>
      </c>
      <c r="AB170" s="49">
        <f>VLOOKUP(B170,country_opex,7,FALSE)*ins_pct</f>
        <v/>
      </c>
      <c r="AC170" s="49">
        <f>charge_berth</f>
        <v/>
      </c>
      <c r="AD170" s="49">
        <f>X170+Y170+Z170+AA170+AB170+AC170</f>
        <v/>
      </c>
      <c r="AE170" s="49">
        <f>VLOOKUP(B170,country_opex,7,FALSE)/dep_years</f>
        <v/>
      </c>
      <c r="AF170" s="49">
        <f>W170-AD170</f>
        <v/>
      </c>
      <c r="AG170" s="46">
        <f>IF(W170=0,"",AF170/W170)</f>
        <v/>
      </c>
      <c r="AH170" s="47">
        <f>IF(AF170&lt;=0,"",VLOOKUP(B170,country_opex,7,FALSE)/AF170)</f>
        <v/>
      </c>
      <c r="AI170" s="44">
        <f>((G170*R170/diesel_nmpg)*diesel_co2pg-(battery/range_nm)*G170*R170*VLOOKUP(B170,country_opex,4,FALSE))/1000</f>
        <v/>
      </c>
      <c r="AJ170" s="42" t="n">
        <v>5000</v>
      </c>
      <c r="AK170" s="43" t="inlineStr">
        <is>
          <t>T3</t>
        </is>
      </c>
      <c r="AL170" s="43" t="inlineStr">
        <is>
          <t>med-low</t>
        </is>
      </c>
      <c r="AM170" s="50" t="n">
        <v>0.1</v>
      </c>
      <c r="AN170" s="45">
        <f>IF(AJ170="","",AJ170*AM170)</f>
        <v/>
      </c>
      <c r="AO170" s="45">
        <f>IF(OR(AJ170="",U170=0),"",MIN(IF(AV170="",9.9E+99,AV170),FLOOR(AN170/U170,1)))</f>
        <v/>
      </c>
      <c r="AP170" s="49">
        <f>IF(AO170="","",AO170*W170)</f>
        <v/>
      </c>
      <c r="AQ170" s="47">
        <f>IF(OR(AJ170="",U170=0),"",MIN(IF(AV170="",9.9E+99,AV170),AN170/U170))</f>
        <v/>
      </c>
      <c r="AR170" s="49">
        <f>IF(AQ170="","",AQ170*W170)</f>
        <v/>
      </c>
      <c r="AS170" s="51" t="n"/>
      <c r="AT170" s="52" t="n"/>
      <c r="AU170" s="52" t="n"/>
      <c r="AV170" s="53" t="n"/>
      <c r="AW170" s="54">
        <f>IF(((V170*pax_cap*load_thin*ROUND(N170*O170*revleg_thin,0))-(((battery/range_nm)*G170*ROUND(N170*O170*revleg_thin,0)*VLOOKUP(B170,country_opex,3,FALSE))+Y170+Z170+AA170+AB170+AC170))&lt;=0,"",VLOOKUP(B170,country_opex,7,FALSE)/((V170*pax_cap*load_thin*ROUND(N170*O170*revleg_thin,0))-(((battery/range_nm)*G170*ROUND(N170*O170*revleg_thin,0)*VLOOKUP(B170,country_opex,3,FALSE))+Y170+Z170+AA170+AB170+AC170)))</f>
        <v/>
      </c>
      <c r="AX170" s="54">
        <f>IF(((V170*pax_cap*load_mid*ROUND(N170*O170*revleg_mid,0))-(((battery/range_nm)*G170*ROUND(N170*O170*revleg_mid,0)*VLOOKUP(B170,country_opex,3,FALSE))+Y170+Z170+AA170+AB170+AC170))&lt;=0,"",VLOOKUP(B170,country_opex,7,FALSE)/((V170*pax_cap*load_mid*ROUND(N170*O170*revleg_mid,0))-(((battery/range_nm)*G170*ROUND(N170*O170*revleg_mid,0)*VLOOKUP(B170,country_opex,3,FALSE))+Y170+Z170+AA170+AB170+AC170)))</f>
        <v/>
      </c>
      <c r="AY170" s="54">
        <f>IF(((V170*pax_cap*load_full*ROUND(N170*O170*revleg_full,0))-(((battery/range_nm)*G170*ROUND(N170*O170*revleg_full,0)*VLOOKUP(B170,country_opex,3,FALSE))+Y170+Z170+AA170+AB170+AC170))&lt;=0,"",VLOOKUP(B170,country_opex,7,FALSE)/((V170*pax_cap*load_full*ROUND(N170*O170*revleg_full,0))-(((battery/range_nm)*G170*ROUND(N170*O170*revleg_full,0)*VLOOKUP(B170,country_opex,3,FALSE))+Y170+Z170+AA170+AB170+AC170)))</f>
        <v/>
      </c>
      <c r="AZ170" s="40" t="inlineStr">
        <is>
          <t>handoff/INDIA-ECONOMICS-SIDECAR-V0-2026-06-20.json (andaman)</t>
        </is>
      </c>
      <c r="BA170" s="40" t="inlineStr">
        <is>
          <t>handoff/INDIA-ECONOMICS-SIDECAR-V0-2026-06-20.json (andaman)</t>
        </is>
      </c>
    </row>
    <row r="171">
      <c r="A171" s="38" t="inlineStr">
        <is>
          <t>India Andaman Rapido</t>
        </is>
      </c>
      <c r="B171" s="38" t="inlineStr">
        <is>
          <t>India</t>
        </is>
      </c>
      <c r="C171" s="39" t="inlineStr">
        <is>
          <t>Bambooflat Jetty → Chatham Jetty</t>
        </is>
      </c>
      <c r="D171" s="38" t="inlineStr">
        <is>
          <t>rapido</t>
        </is>
      </c>
      <c r="E171" s="40" t="inlineStr">
        <is>
          <t>india-andaman-ola, india-andaman-rapido</t>
        </is>
      </c>
      <c r="F171" s="41" t="n">
        <v>2</v>
      </c>
      <c r="G171" s="42" t="n">
        <v>3.3</v>
      </c>
      <c r="H171" s="35" t="n">
        <v>22</v>
      </c>
      <c r="I171" s="43" t="inlineStr">
        <is>
          <t>T3</t>
        </is>
      </c>
      <c r="J171" s="43" t="inlineStr">
        <is>
          <t>med-low</t>
        </is>
      </c>
      <c r="K171" s="29" t="n">
        <v>1</v>
      </c>
      <c r="L171" s="44">
        <f>60*G171/cruise_kt</f>
        <v/>
      </c>
      <c r="M171" s="44">
        <f>L171+turn_min+dwell_min</f>
        <v/>
      </c>
      <c r="N171" s="45">
        <f>MIN(10,FLOOR(60*service_hr/M171,1))</f>
        <v/>
      </c>
      <c r="O171" s="45">
        <f>ROUND(365*mech_uptime*K171,0)</f>
        <v/>
      </c>
      <c r="P171" s="46">
        <f>mech_uptime</f>
        <v/>
      </c>
      <c r="Q171" s="46">
        <f>revleg_sel</f>
        <v/>
      </c>
      <c r="R171" s="45">
        <f>ROUND(N171*O171*revleg_sel,0)</f>
        <v/>
      </c>
      <c r="S171" s="47">
        <f>load_sel</f>
        <v/>
      </c>
      <c r="T171" s="47">
        <f>pax_cap*S171</f>
        <v/>
      </c>
      <c r="U171" s="45">
        <f>T171*R171</f>
        <v/>
      </c>
      <c r="V171" s="48">
        <f>H171*discount</f>
        <v/>
      </c>
      <c r="W171" s="49">
        <f>V171*U171</f>
        <v/>
      </c>
      <c r="X171" s="49">
        <f>(battery/range_nm)*G171*R171*VLOOKUP(B171,country_opex,3,FALSE)</f>
        <v/>
      </c>
      <c r="Y171" s="49">
        <f>VLOOKUP(B171,country_opex,2,FALSE)*crew_factor</f>
        <v/>
      </c>
      <c r="Z171" s="49">
        <f>VLOOKUP(B171,country_opex,5,FALSE)</f>
        <v/>
      </c>
      <c r="AA171" s="49">
        <f>maint</f>
        <v/>
      </c>
      <c r="AB171" s="49">
        <f>VLOOKUP(B171,country_opex,7,FALSE)*ins_pct</f>
        <v/>
      </c>
      <c r="AC171" s="49">
        <f>charge_berth</f>
        <v/>
      </c>
      <c r="AD171" s="49">
        <f>X171+Y171+Z171+AA171+AB171+AC171</f>
        <v/>
      </c>
      <c r="AE171" s="49">
        <f>VLOOKUP(B171,country_opex,7,FALSE)/dep_years</f>
        <v/>
      </c>
      <c r="AF171" s="49">
        <f>W171-AD171</f>
        <v/>
      </c>
      <c r="AG171" s="46">
        <f>IF(W171=0,"",AF171/W171)</f>
        <v/>
      </c>
      <c r="AH171" s="47">
        <f>IF(AF171&lt;=0,"",VLOOKUP(B171,country_opex,7,FALSE)/AF171)</f>
        <v/>
      </c>
      <c r="AI171" s="44">
        <f>((G171*R171/diesel_nmpg)*diesel_co2pg-(battery/range_nm)*G171*R171*VLOOKUP(B171,country_opex,4,FALSE))/1000</f>
        <v/>
      </c>
      <c r="AJ171" s="42" t="n">
        <v>5000</v>
      </c>
      <c r="AK171" s="43" t="inlineStr">
        <is>
          <t>T3</t>
        </is>
      </c>
      <c r="AL171" s="43" t="inlineStr">
        <is>
          <t>med-low</t>
        </is>
      </c>
      <c r="AM171" s="50" t="n">
        <v>0.1</v>
      </c>
      <c r="AN171" s="45">
        <f>IF(AJ171="","",AJ171*AM171)</f>
        <v/>
      </c>
      <c r="AO171" s="45">
        <f>IF(OR(AJ171="",U171=0),"",MIN(IF(AV171="",9.9E+99,AV171),FLOOR(AN171/U171,1)))</f>
        <v/>
      </c>
      <c r="AP171" s="49">
        <f>IF(AO171="","",AO171*W171)</f>
        <v/>
      </c>
      <c r="AQ171" s="47">
        <f>IF(OR(AJ171="",U171=0),"",MIN(IF(AV171="",9.9E+99,AV171),AN171/U171))</f>
        <v/>
      </c>
      <c r="AR171" s="49">
        <f>IF(AQ171="","",AQ171*W171)</f>
        <v/>
      </c>
      <c r="AS171" s="51" t="n"/>
      <c r="AT171" s="52" t="n"/>
      <c r="AU171" s="52" t="n"/>
      <c r="AV171" s="53" t="n"/>
      <c r="AW171" s="54">
        <f>IF(((V171*pax_cap*load_thin*ROUND(N171*O171*revleg_thin,0))-(((battery/range_nm)*G171*ROUND(N171*O171*revleg_thin,0)*VLOOKUP(B171,country_opex,3,FALSE))+Y171+Z171+AA171+AB171+AC171))&lt;=0,"",VLOOKUP(B171,country_opex,7,FALSE)/((V171*pax_cap*load_thin*ROUND(N171*O171*revleg_thin,0))-(((battery/range_nm)*G171*ROUND(N171*O171*revleg_thin,0)*VLOOKUP(B171,country_opex,3,FALSE))+Y171+Z171+AA171+AB171+AC171)))</f>
        <v/>
      </c>
      <c r="AX171" s="54">
        <f>IF(((V171*pax_cap*load_mid*ROUND(N171*O171*revleg_mid,0))-(((battery/range_nm)*G171*ROUND(N171*O171*revleg_mid,0)*VLOOKUP(B171,country_opex,3,FALSE))+Y171+Z171+AA171+AB171+AC171))&lt;=0,"",VLOOKUP(B171,country_opex,7,FALSE)/((V171*pax_cap*load_mid*ROUND(N171*O171*revleg_mid,0))-(((battery/range_nm)*G171*ROUND(N171*O171*revleg_mid,0)*VLOOKUP(B171,country_opex,3,FALSE))+Y171+Z171+AA171+AB171+AC171)))</f>
        <v/>
      </c>
      <c r="AY171" s="54">
        <f>IF(((V171*pax_cap*load_full*ROUND(N171*O171*revleg_full,0))-(((battery/range_nm)*G171*ROUND(N171*O171*revleg_full,0)*VLOOKUP(B171,country_opex,3,FALSE))+Y171+Z171+AA171+AB171+AC171))&lt;=0,"",VLOOKUP(B171,country_opex,7,FALSE)/((V171*pax_cap*load_full*ROUND(N171*O171*revleg_full,0))-(((battery/range_nm)*G171*ROUND(N171*O171*revleg_full,0)*VLOOKUP(B171,country_opex,3,FALSE))+Y171+Z171+AA171+AB171+AC171)))</f>
        <v/>
      </c>
      <c r="AZ171" s="40" t="inlineStr">
        <is>
          <t>handoff/INDIA-ECONOMICS-SIDECAR-V0-2026-06-20.json (andaman)</t>
        </is>
      </c>
      <c r="BA171" s="40" t="inlineStr">
        <is>
          <t>handoff/INDIA-ECONOMICS-SIDECAR-V0-2026-06-20.json (andaman)</t>
        </is>
      </c>
    </row>
    <row r="172">
      <c r="A172" s="38" t="inlineStr">
        <is>
          <t>India Mumbai Rapido</t>
        </is>
      </c>
      <c r="B172" s="38" t="inlineStr">
        <is>
          <t>India</t>
        </is>
      </c>
      <c r="C172" s="39" t="inlineStr">
        <is>
          <t>Bombay Harbour → Pirpau Jetty</t>
        </is>
      </c>
      <c r="D172" s="38" t="inlineStr">
        <is>
          <t>rapido</t>
        </is>
      </c>
      <c r="E172" s="40" t="inlineStr">
        <is>
          <t>india-mumbai-ola, india-mumbai-rapido</t>
        </is>
      </c>
      <c r="F172" s="41" t="n">
        <v>2</v>
      </c>
      <c r="G172" s="42" t="n">
        <v>3.4</v>
      </c>
      <c r="H172" s="35" t="n">
        <v>18</v>
      </c>
      <c r="I172" s="43" t="inlineStr">
        <is>
          <t>T3</t>
        </is>
      </c>
      <c r="J172" s="43" t="inlineStr">
        <is>
          <t>med-low</t>
        </is>
      </c>
      <c r="K172" s="29" t="n">
        <v>1</v>
      </c>
      <c r="L172" s="44">
        <f>60*G172/cruise_kt</f>
        <v/>
      </c>
      <c r="M172" s="44">
        <f>L172+turn_min+dwell_min</f>
        <v/>
      </c>
      <c r="N172" s="45">
        <f>MIN(10,FLOOR(60*service_hr/M172,1))</f>
        <v/>
      </c>
      <c r="O172" s="45">
        <f>ROUND(365*mech_uptime*K172,0)</f>
        <v/>
      </c>
      <c r="P172" s="46">
        <f>mech_uptime</f>
        <v/>
      </c>
      <c r="Q172" s="46">
        <f>revleg_sel</f>
        <v/>
      </c>
      <c r="R172" s="45">
        <f>ROUND(N172*O172*revleg_sel,0)</f>
        <v/>
      </c>
      <c r="S172" s="47">
        <f>load_sel</f>
        <v/>
      </c>
      <c r="T172" s="47">
        <f>pax_cap*S172</f>
        <v/>
      </c>
      <c r="U172" s="45">
        <f>T172*R172</f>
        <v/>
      </c>
      <c r="V172" s="48">
        <f>H172*discount</f>
        <v/>
      </c>
      <c r="W172" s="49">
        <f>V172*U172</f>
        <v/>
      </c>
      <c r="X172" s="49">
        <f>(battery/range_nm)*G172*R172*VLOOKUP(B172,country_opex,3,FALSE)</f>
        <v/>
      </c>
      <c r="Y172" s="49">
        <f>VLOOKUP(B172,country_opex,2,FALSE)*crew_factor</f>
        <v/>
      </c>
      <c r="Z172" s="49">
        <f>VLOOKUP(B172,country_opex,5,FALSE)</f>
        <v/>
      </c>
      <c r="AA172" s="49">
        <f>maint</f>
        <v/>
      </c>
      <c r="AB172" s="49">
        <f>VLOOKUP(B172,country_opex,7,FALSE)*ins_pct</f>
        <v/>
      </c>
      <c r="AC172" s="49">
        <f>charge_berth</f>
        <v/>
      </c>
      <c r="AD172" s="49">
        <f>X172+Y172+Z172+AA172+AB172+AC172</f>
        <v/>
      </c>
      <c r="AE172" s="49">
        <f>VLOOKUP(B172,country_opex,7,FALSE)/dep_years</f>
        <v/>
      </c>
      <c r="AF172" s="49">
        <f>W172-AD172</f>
        <v/>
      </c>
      <c r="AG172" s="46">
        <f>IF(W172=0,"",AF172/W172)</f>
        <v/>
      </c>
      <c r="AH172" s="47">
        <f>IF(AF172&lt;=0,"",VLOOKUP(B172,country_opex,7,FALSE)/AF172)</f>
        <v/>
      </c>
      <c r="AI172" s="44">
        <f>((G172*R172/diesel_nmpg)*diesel_co2pg-(battery/range_nm)*G172*R172*VLOOKUP(B172,country_opex,4,FALSE))/1000</f>
        <v/>
      </c>
      <c r="AJ172" s="42" t="n">
        <v>5000</v>
      </c>
      <c r="AK172" s="43" t="inlineStr">
        <is>
          <t>T3</t>
        </is>
      </c>
      <c r="AL172" s="43" t="inlineStr">
        <is>
          <t>med-low</t>
        </is>
      </c>
      <c r="AM172" s="50" t="n">
        <v>0.1</v>
      </c>
      <c r="AN172" s="45">
        <f>IF(AJ172="","",AJ172*AM172)</f>
        <v/>
      </c>
      <c r="AO172" s="45">
        <f>IF(OR(AJ172="",U172=0),"",MIN(IF(AV172="",9.9E+99,AV172),FLOOR(AN172/U172,1)))</f>
        <v/>
      </c>
      <c r="AP172" s="49">
        <f>IF(AO172="","",AO172*W172)</f>
        <v/>
      </c>
      <c r="AQ172" s="47">
        <f>IF(OR(AJ172="",U172=0),"",MIN(IF(AV172="",9.9E+99,AV172),AN172/U172))</f>
        <v/>
      </c>
      <c r="AR172" s="49">
        <f>IF(AQ172="","",AQ172*W172)</f>
        <v/>
      </c>
      <c r="AS172" s="51" t="n"/>
      <c r="AT172" s="52" t="n"/>
      <c r="AU172" s="52" t="n"/>
      <c r="AV172" s="53" t="n"/>
      <c r="AW172" s="54">
        <f>IF(((V172*pax_cap*load_thin*ROUND(N172*O172*revleg_thin,0))-(((battery/range_nm)*G172*ROUND(N172*O172*revleg_thin,0)*VLOOKUP(B172,country_opex,3,FALSE))+Y172+Z172+AA172+AB172+AC172))&lt;=0,"",VLOOKUP(B172,country_opex,7,FALSE)/((V172*pax_cap*load_thin*ROUND(N172*O172*revleg_thin,0))-(((battery/range_nm)*G172*ROUND(N172*O172*revleg_thin,0)*VLOOKUP(B172,country_opex,3,FALSE))+Y172+Z172+AA172+AB172+AC172)))</f>
        <v/>
      </c>
      <c r="AX172" s="54">
        <f>IF(((V172*pax_cap*load_mid*ROUND(N172*O172*revleg_mid,0))-(((battery/range_nm)*G172*ROUND(N172*O172*revleg_mid,0)*VLOOKUP(B172,country_opex,3,FALSE))+Y172+Z172+AA172+AB172+AC172))&lt;=0,"",VLOOKUP(B172,country_opex,7,FALSE)/((V172*pax_cap*load_mid*ROUND(N172*O172*revleg_mid,0))-(((battery/range_nm)*G172*ROUND(N172*O172*revleg_mid,0)*VLOOKUP(B172,country_opex,3,FALSE))+Y172+Z172+AA172+AB172+AC172)))</f>
        <v/>
      </c>
      <c r="AY172" s="54">
        <f>IF(((V172*pax_cap*load_full*ROUND(N172*O172*revleg_full,0))-(((battery/range_nm)*G172*ROUND(N172*O172*revleg_full,0)*VLOOKUP(B172,country_opex,3,FALSE))+Y172+Z172+AA172+AB172+AC172))&lt;=0,"",VLOOKUP(B172,country_opex,7,FALSE)/((V172*pax_cap*load_full*ROUND(N172*O172*revleg_full,0))-(((battery/range_nm)*G172*ROUND(N172*O172*revleg_full,0)*VLOOKUP(B172,country_opex,3,FALSE))+Y172+Z172+AA172+AB172+AC172)))</f>
        <v/>
      </c>
      <c r="AZ172" s="40" t="inlineStr">
        <is>
          <t>[LB-255 PREMIUM RE-FARE: subsidized comparable $5.5 lifted to premium on-demand floor $18.0] handoff/INDIA-ECONOMICS-SIDECAR-V0-2026-06-20.json (mumbai)</t>
        </is>
      </c>
      <c r="BA172" s="40" t="inlineStr">
        <is>
          <t>handoff/INDIA-ECONOMICS-SIDECAR-V0-2026-06-20.json (mumbai)</t>
        </is>
      </c>
    </row>
    <row r="173">
      <c r="A173" s="38" t="inlineStr">
        <is>
          <t>Ola Mumbai</t>
        </is>
      </c>
      <c r="B173" s="38" t="inlineStr">
        <is>
          <t>India</t>
        </is>
      </c>
      <c r="C173" s="39" t="inlineStr">
        <is>
          <t>Gateway of India → Mumbai Harbour</t>
        </is>
      </c>
      <c r="D173" s="38" t="inlineStr">
        <is>
          <t>rapido</t>
        </is>
      </c>
      <c r="E173" s="40" t="inlineStr">
        <is>
          <t>india-mumbai-ola, india-mumbai-rapido, ola-mumbai, rapido-mumbai, uber-mumbai</t>
        </is>
      </c>
      <c r="F173" s="41" t="n">
        <v>15</v>
      </c>
      <c r="G173" s="42" t="n">
        <v>3.5</v>
      </c>
      <c r="H173" s="35" t="n"/>
      <c r="I173" s="43" t="inlineStr">
        <is>
          <t>T3</t>
        </is>
      </c>
      <c r="J173" s="43" t="inlineStr">
        <is>
          <t>med-low</t>
        </is>
      </c>
      <c r="K173" s="29" t="n">
        <v>1</v>
      </c>
      <c r="L173" s="44">
        <f>60*G173/cruise_kt</f>
        <v/>
      </c>
      <c r="M173" s="44">
        <f>L173+turn_min+dwell_min</f>
        <v/>
      </c>
      <c r="N173" s="45">
        <f>MIN(10,FLOOR(60*service_hr/M173,1))</f>
        <v/>
      </c>
      <c r="O173" s="45">
        <f>ROUND(365*mech_uptime*K173,0)</f>
        <v/>
      </c>
      <c r="P173" s="46">
        <f>mech_uptime</f>
        <v/>
      </c>
      <c r="Q173" s="46">
        <f>revleg_sel</f>
        <v/>
      </c>
      <c r="R173" s="45">
        <f>ROUND(N173*O173*revleg_sel,0)</f>
        <v/>
      </c>
      <c r="S173" s="47">
        <f>load_sel</f>
        <v/>
      </c>
      <c r="T173" s="47">
        <f>pax_cap*S173</f>
        <v/>
      </c>
      <c r="U173" s="45">
        <f>T173*R173</f>
        <v/>
      </c>
      <c r="V173" s="48">
        <f>H173*discount</f>
        <v/>
      </c>
      <c r="W173" s="49">
        <f>V173*U173</f>
        <v/>
      </c>
      <c r="X173" s="49">
        <f>(battery/range_nm)*G173*R173*VLOOKUP(B173,country_opex,3,FALSE)</f>
        <v/>
      </c>
      <c r="Y173" s="49">
        <f>VLOOKUP(B173,country_opex,2,FALSE)*crew_factor</f>
        <v/>
      </c>
      <c r="Z173" s="49">
        <f>VLOOKUP(B173,country_opex,5,FALSE)</f>
        <v/>
      </c>
      <c r="AA173" s="49">
        <f>maint</f>
        <v/>
      </c>
      <c r="AB173" s="49">
        <f>VLOOKUP(B173,country_opex,7,FALSE)*ins_pct</f>
        <v/>
      </c>
      <c r="AC173" s="49">
        <f>charge_berth</f>
        <v/>
      </c>
      <c r="AD173" s="49">
        <f>X173+Y173+Z173+AA173+AB173+AC173</f>
        <v/>
      </c>
      <c r="AE173" s="49">
        <f>VLOOKUP(B173,country_opex,7,FALSE)/dep_years</f>
        <v/>
      </c>
      <c r="AF173" s="49">
        <f>W173-AD173</f>
        <v/>
      </c>
      <c r="AG173" s="46">
        <f>IF(W173=0,"",AF173/W173)</f>
        <v/>
      </c>
      <c r="AH173" s="47">
        <f>IF(AF173&lt;=0,"",VLOOKUP(B173,country_opex,7,FALSE)/AF173)</f>
        <v/>
      </c>
      <c r="AI173" s="44">
        <f>((G173*R173/diesel_nmpg)*diesel_co2pg-(battery/range_nm)*G173*R173*VLOOKUP(B173,country_opex,4,FALSE))/1000</f>
        <v/>
      </c>
      <c r="AJ173" s="42" t="n">
        <v>10909</v>
      </c>
      <c r="AK173" s="43" t="inlineStr">
        <is>
          <t>T3</t>
        </is>
      </c>
      <c r="AL173" s="43" t="inlineStr">
        <is>
          <t>med-low</t>
        </is>
      </c>
      <c r="AM173" s="50" t="n">
        <v>0.1</v>
      </c>
      <c r="AN173" s="45">
        <f>IF(AJ173="","",AJ173*AM173)</f>
        <v/>
      </c>
      <c r="AO173" s="45">
        <f>IF(OR(AJ173="",U173=0),"",MIN(IF(AV173="",9.9E+99,AV173),FLOOR(AN173/U173,1)))</f>
        <v/>
      </c>
      <c r="AP173" s="49">
        <f>IF(AO173="","",AO173*W173)</f>
        <v/>
      </c>
      <c r="AQ173" s="47">
        <f>IF(OR(AJ173="",U173=0),"",MIN(IF(AV173="",9.9E+99,AV173),AN173/U173))</f>
        <v/>
      </c>
      <c r="AR173" s="49">
        <f>IF(AQ173="","",AQ173*W173)</f>
        <v/>
      </c>
      <c r="AS173" s="51" t="n"/>
      <c r="AT173" s="52" t="n"/>
      <c r="AU173" s="52" t="inlineStr">
        <is>
          <t>experience_upside</t>
        </is>
      </c>
      <c r="AV173" s="53" t="n"/>
      <c r="AW173" s="54">
        <f>IF(((V173*pax_cap*load_thin*ROUND(N173*O173*revleg_thin,0))-(((battery/range_nm)*G173*ROUND(N173*O173*revleg_thin,0)*VLOOKUP(B173,country_opex,3,FALSE))+Y173+Z173+AA173+AB173+AC173))&lt;=0,"",VLOOKUP(B173,country_opex,7,FALSE)/((V173*pax_cap*load_thin*ROUND(N173*O173*revleg_thin,0))-(((battery/range_nm)*G173*ROUND(N173*O173*revleg_thin,0)*VLOOKUP(B173,country_opex,3,FALSE))+Y173+Z173+AA173+AB173+AC173)))</f>
        <v/>
      </c>
      <c r="AX173" s="54">
        <f>IF(((V173*pax_cap*load_mid*ROUND(N173*O173*revleg_mid,0))-(((battery/range_nm)*G173*ROUND(N173*O173*revleg_mid,0)*VLOOKUP(B173,country_opex,3,FALSE))+Y173+Z173+AA173+AB173+AC173))&lt;=0,"",VLOOKUP(B173,country_opex,7,FALSE)/((V173*pax_cap*load_mid*ROUND(N173*O173*revleg_mid,0))-(((battery/range_nm)*G173*ROUND(N173*O173*revleg_mid,0)*VLOOKUP(B173,country_opex,3,FALSE))+Y173+Z173+AA173+AB173+AC173)))</f>
        <v/>
      </c>
      <c r="AY173" s="54">
        <f>IF(((V173*pax_cap*load_full*ROUND(N173*O173*revleg_full,0))-(((battery/range_nm)*G173*ROUND(N173*O173*revleg_full,0)*VLOOKUP(B173,country_opex,3,FALSE))+Y173+Z173+AA173+AB173+AC173))&lt;=0,"",VLOOKUP(B173,country_opex,7,FALSE)/((V173*pax_cap*load_full*ROUND(N173*O173*revleg_full,0))-(((battery/range_nm)*G173*ROUND(N173*O173*revleg_full,0)*VLOOKUP(B173,country_opex,3,FALSE))+Y173+Z173+AA173+AB173+AC173)))</f>
        <v/>
      </c>
      <c r="AZ173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173" s="40" t="inlineStr">
        <is>
          <t>PR #58 Mumbai spine route-count split (11 sealed rows × anchor 120,000 pax/yr)</t>
        </is>
      </c>
    </row>
    <row r="174">
      <c r="A174" s="38" t="inlineStr">
        <is>
          <t>India Andaman Rapido</t>
        </is>
      </c>
      <c r="B174" s="38" t="inlineStr">
        <is>
          <t>India</t>
        </is>
      </c>
      <c r="C174" s="39" t="inlineStr">
        <is>
          <t>Andaman → Chatham Jetty</t>
        </is>
      </c>
      <c r="D174" s="38" t="inlineStr">
        <is>
          <t>rapido</t>
        </is>
      </c>
      <c r="E174" s="40" t="inlineStr">
        <is>
          <t>india-andaman-ola, india-andaman-rapido</t>
        </is>
      </c>
      <c r="F174" s="41" t="n">
        <v>2</v>
      </c>
      <c r="G174" s="42" t="n">
        <v>3.5</v>
      </c>
      <c r="H174" s="35" t="n">
        <v>22</v>
      </c>
      <c r="I174" s="43" t="inlineStr">
        <is>
          <t>T3</t>
        </is>
      </c>
      <c r="J174" s="43" t="inlineStr">
        <is>
          <t>med-low</t>
        </is>
      </c>
      <c r="K174" s="29" t="n">
        <v>1</v>
      </c>
      <c r="L174" s="44">
        <f>60*G174/cruise_kt</f>
        <v/>
      </c>
      <c r="M174" s="44">
        <f>L174+turn_min+dwell_min</f>
        <v/>
      </c>
      <c r="N174" s="45">
        <f>MIN(10,FLOOR(60*service_hr/M174,1))</f>
        <v/>
      </c>
      <c r="O174" s="45">
        <f>ROUND(365*mech_uptime*K174,0)</f>
        <v/>
      </c>
      <c r="P174" s="46">
        <f>mech_uptime</f>
        <v/>
      </c>
      <c r="Q174" s="46">
        <f>revleg_sel</f>
        <v/>
      </c>
      <c r="R174" s="45">
        <f>ROUND(N174*O174*revleg_sel,0)</f>
        <v/>
      </c>
      <c r="S174" s="47">
        <f>load_sel</f>
        <v/>
      </c>
      <c r="T174" s="47">
        <f>pax_cap*S174</f>
        <v/>
      </c>
      <c r="U174" s="45">
        <f>T174*R174</f>
        <v/>
      </c>
      <c r="V174" s="48">
        <f>H174*discount</f>
        <v/>
      </c>
      <c r="W174" s="49">
        <f>V174*U174</f>
        <v/>
      </c>
      <c r="X174" s="49">
        <f>(battery/range_nm)*G174*R174*VLOOKUP(B174,country_opex,3,FALSE)</f>
        <v/>
      </c>
      <c r="Y174" s="49">
        <f>VLOOKUP(B174,country_opex,2,FALSE)*crew_factor</f>
        <v/>
      </c>
      <c r="Z174" s="49">
        <f>VLOOKUP(B174,country_opex,5,FALSE)</f>
        <v/>
      </c>
      <c r="AA174" s="49">
        <f>maint</f>
        <v/>
      </c>
      <c r="AB174" s="49">
        <f>VLOOKUP(B174,country_opex,7,FALSE)*ins_pct</f>
        <v/>
      </c>
      <c r="AC174" s="49">
        <f>charge_berth</f>
        <v/>
      </c>
      <c r="AD174" s="49">
        <f>X174+Y174+Z174+AA174+AB174+AC174</f>
        <v/>
      </c>
      <c r="AE174" s="49">
        <f>VLOOKUP(B174,country_opex,7,FALSE)/dep_years</f>
        <v/>
      </c>
      <c r="AF174" s="49">
        <f>W174-AD174</f>
        <v/>
      </c>
      <c r="AG174" s="46">
        <f>IF(W174=0,"",AF174/W174)</f>
        <v/>
      </c>
      <c r="AH174" s="47">
        <f>IF(AF174&lt;=0,"",VLOOKUP(B174,country_opex,7,FALSE)/AF174)</f>
        <v/>
      </c>
      <c r="AI174" s="44">
        <f>((G174*R174/diesel_nmpg)*diesel_co2pg-(battery/range_nm)*G174*R174*VLOOKUP(B174,country_opex,4,FALSE))/1000</f>
        <v/>
      </c>
      <c r="AJ174" s="42" t="n">
        <v>5000</v>
      </c>
      <c r="AK174" s="43" t="inlineStr">
        <is>
          <t>T3</t>
        </is>
      </c>
      <c r="AL174" s="43" t="inlineStr">
        <is>
          <t>med-low</t>
        </is>
      </c>
      <c r="AM174" s="50" t="n">
        <v>0.1</v>
      </c>
      <c r="AN174" s="45">
        <f>IF(AJ174="","",AJ174*AM174)</f>
        <v/>
      </c>
      <c r="AO174" s="45">
        <f>IF(OR(AJ174="",U174=0),"",MIN(IF(AV174="",9.9E+99,AV174),FLOOR(AN174/U174,1)))</f>
        <v/>
      </c>
      <c r="AP174" s="49">
        <f>IF(AO174="","",AO174*W174)</f>
        <v/>
      </c>
      <c r="AQ174" s="47">
        <f>IF(OR(AJ174="",U174=0),"",MIN(IF(AV174="",9.9E+99,AV174),AN174/U174))</f>
        <v/>
      </c>
      <c r="AR174" s="49">
        <f>IF(AQ174="","",AQ174*W174)</f>
        <v/>
      </c>
      <c r="AS174" s="51" t="n"/>
      <c r="AT174" s="52" t="n"/>
      <c r="AU174" s="52" t="n"/>
      <c r="AV174" s="53" t="n"/>
      <c r="AW174" s="54">
        <f>IF(((V174*pax_cap*load_thin*ROUND(N174*O174*revleg_thin,0))-(((battery/range_nm)*G174*ROUND(N174*O174*revleg_thin,0)*VLOOKUP(B174,country_opex,3,FALSE))+Y174+Z174+AA174+AB174+AC174))&lt;=0,"",VLOOKUP(B174,country_opex,7,FALSE)/((V174*pax_cap*load_thin*ROUND(N174*O174*revleg_thin,0))-(((battery/range_nm)*G174*ROUND(N174*O174*revleg_thin,0)*VLOOKUP(B174,country_opex,3,FALSE))+Y174+Z174+AA174+AB174+AC174)))</f>
        <v/>
      </c>
      <c r="AX174" s="54">
        <f>IF(((V174*pax_cap*load_mid*ROUND(N174*O174*revleg_mid,0))-(((battery/range_nm)*G174*ROUND(N174*O174*revleg_mid,0)*VLOOKUP(B174,country_opex,3,FALSE))+Y174+Z174+AA174+AB174+AC174))&lt;=0,"",VLOOKUP(B174,country_opex,7,FALSE)/((V174*pax_cap*load_mid*ROUND(N174*O174*revleg_mid,0))-(((battery/range_nm)*G174*ROUND(N174*O174*revleg_mid,0)*VLOOKUP(B174,country_opex,3,FALSE))+Y174+Z174+AA174+AB174+AC174)))</f>
        <v/>
      </c>
      <c r="AY174" s="54">
        <f>IF(((V174*pax_cap*load_full*ROUND(N174*O174*revleg_full,0))-(((battery/range_nm)*G174*ROUND(N174*O174*revleg_full,0)*VLOOKUP(B174,country_opex,3,FALSE))+Y174+Z174+AA174+AB174+AC174))&lt;=0,"",VLOOKUP(B174,country_opex,7,FALSE)/((V174*pax_cap*load_full*ROUND(N174*O174*revleg_full,0))-(((battery/range_nm)*G174*ROUND(N174*O174*revleg_full,0)*VLOOKUP(B174,country_opex,3,FALSE))+Y174+Z174+AA174+AB174+AC174)))</f>
        <v/>
      </c>
      <c r="AZ174" s="40" t="inlineStr">
        <is>
          <t>handoff/INDIA-ECONOMICS-SIDECAR-V0-2026-06-20.json (andaman)</t>
        </is>
      </c>
      <c r="BA174" s="40" t="inlineStr">
        <is>
          <t>handoff/INDIA-ECONOMICS-SIDECAR-V0-2026-06-20.json (andaman)</t>
        </is>
      </c>
    </row>
    <row r="175">
      <c r="A175" s="38" t="inlineStr">
        <is>
          <t>India Andaman Rapido</t>
        </is>
      </c>
      <c r="B175" s="38" t="inlineStr">
        <is>
          <t>India</t>
        </is>
      </c>
      <c r="C175" s="39" t="inlineStr">
        <is>
          <t>Middle Strait Jetty → NK Cruise Terminal</t>
        </is>
      </c>
      <c r="D175" s="38" t="inlineStr">
        <is>
          <t>rapido</t>
        </is>
      </c>
      <c r="E175" s="40" t="inlineStr">
        <is>
          <t>india-andaman-ola, india-andaman-rapido</t>
        </is>
      </c>
      <c r="F175" s="41" t="n">
        <v>2</v>
      </c>
      <c r="G175" s="42" t="n">
        <v>3.7</v>
      </c>
      <c r="H175" s="35" t="n">
        <v>22</v>
      </c>
      <c r="I175" s="43" t="inlineStr">
        <is>
          <t>T3</t>
        </is>
      </c>
      <c r="J175" s="43" t="inlineStr">
        <is>
          <t>med-low</t>
        </is>
      </c>
      <c r="K175" s="29" t="n">
        <v>1</v>
      </c>
      <c r="L175" s="44">
        <f>60*G175/cruise_kt</f>
        <v/>
      </c>
      <c r="M175" s="44">
        <f>L175+turn_min+dwell_min</f>
        <v/>
      </c>
      <c r="N175" s="45">
        <f>MIN(10,FLOOR(60*service_hr/M175,1))</f>
        <v/>
      </c>
      <c r="O175" s="45">
        <f>ROUND(365*mech_uptime*K175,0)</f>
        <v/>
      </c>
      <c r="P175" s="46">
        <f>mech_uptime</f>
        <v/>
      </c>
      <c r="Q175" s="46">
        <f>revleg_sel</f>
        <v/>
      </c>
      <c r="R175" s="45">
        <f>ROUND(N175*O175*revleg_sel,0)</f>
        <v/>
      </c>
      <c r="S175" s="47">
        <f>load_sel</f>
        <v/>
      </c>
      <c r="T175" s="47">
        <f>pax_cap*S175</f>
        <v/>
      </c>
      <c r="U175" s="45">
        <f>T175*R175</f>
        <v/>
      </c>
      <c r="V175" s="48">
        <f>H175*discount</f>
        <v/>
      </c>
      <c r="W175" s="49">
        <f>V175*U175</f>
        <v/>
      </c>
      <c r="X175" s="49">
        <f>(battery/range_nm)*G175*R175*VLOOKUP(B175,country_opex,3,FALSE)</f>
        <v/>
      </c>
      <c r="Y175" s="49">
        <f>VLOOKUP(B175,country_opex,2,FALSE)*crew_factor</f>
        <v/>
      </c>
      <c r="Z175" s="49">
        <f>VLOOKUP(B175,country_opex,5,FALSE)</f>
        <v/>
      </c>
      <c r="AA175" s="49">
        <f>maint</f>
        <v/>
      </c>
      <c r="AB175" s="49">
        <f>VLOOKUP(B175,country_opex,7,FALSE)*ins_pct</f>
        <v/>
      </c>
      <c r="AC175" s="49">
        <f>charge_berth</f>
        <v/>
      </c>
      <c r="AD175" s="49">
        <f>X175+Y175+Z175+AA175+AB175+AC175</f>
        <v/>
      </c>
      <c r="AE175" s="49">
        <f>VLOOKUP(B175,country_opex,7,FALSE)/dep_years</f>
        <v/>
      </c>
      <c r="AF175" s="49">
        <f>W175-AD175</f>
        <v/>
      </c>
      <c r="AG175" s="46">
        <f>IF(W175=0,"",AF175/W175)</f>
        <v/>
      </c>
      <c r="AH175" s="47">
        <f>IF(AF175&lt;=0,"",VLOOKUP(B175,country_opex,7,FALSE)/AF175)</f>
        <v/>
      </c>
      <c r="AI175" s="44">
        <f>((G175*R175/diesel_nmpg)*diesel_co2pg-(battery/range_nm)*G175*R175*VLOOKUP(B175,country_opex,4,FALSE))/1000</f>
        <v/>
      </c>
      <c r="AJ175" s="42" t="n">
        <v>5000</v>
      </c>
      <c r="AK175" s="43" t="inlineStr">
        <is>
          <t>T3</t>
        </is>
      </c>
      <c r="AL175" s="43" t="inlineStr">
        <is>
          <t>med-low</t>
        </is>
      </c>
      <c r="AM175" s="50" t="n">
        <v>0.1</v>
      </c>
      <c r="AN175" s="45">
        <f>IF(AJ175="","",AJ175*AM175)</f>
        <v/>
      </c>
      <c r="AO175" s="45">
        <f>IF(OR(AJ175="",U175=0),"",MIN(IF(AV175="",9.9E+99,AV175),FLOOR(AN175/U175,1)))</f>
        <v/>
      </c>
      <c r="AP175" s="49">
        <f>IF(AO175="","",AO175*W175)</f>
        <v/>
      </c>
      <c r="AQ175" s="47">
        <f>IF(OR(AJ175="",U175=0),"",MIN(IF(AV175="",9.9E+99,AV175),AN175/U175))</f>
        <v/>
      </c>
      <c r="AR175" s="49">
        <f>IF(AQ175="","",AQ175*W175)</f>
        <v/>
      </c>
      <c r="AS175" s="51" t="n"/>
      <c r="AT175" s="52" t="n"/>
      <c r="AU175" s="52" t="n"/>
      <c r="AV175" s="53" t="n"/>
      <c r="AW175" s="54">
        <f>IF(((V175*pax_cap*load_thin*ROUND(N175*O175*revleg_thin,0))-(((battery/range_nm)*G175*ROUND(N175*O175*revleg_thin,0)*VLOOKUP(B175,country_opex,3,FALSE))+Y175+Z175+AA175+AB175+AC175))&lt;=0,"",VLOOKUP(B175,country_opex,7,FALSE)/((V175*pax_cap*load_thin*ROUND(N175*O175*revleg_thin,0))-(((battery/range_nm)*G175*ROUND(N175*O175*revleg_thin,0)*VLOOKUP(B175,country_opex,3,FALSE))+Y175+Z175+AA175+AB175+AC175)))</f>
        <v/>
      </c>
      <c r="AX175" s="54">
        <f>IF(((V175*pax_cap*load_mid*ROUND(N175*O175*revleg_mid,0))-(((battery/range_nm)*G175*ROUND(N175*O175*revleg_mid,0)*VLOOKUP(B175,country_opex,3,FALSE))+Y175+Z175+AA175+AB175+AC175))&lt;=0,"",VLOOKUP(B175,country_opex,7,FALSE)/((V175*pax_cap*load_mid*ROUND(N175*O175*revleg_mid,0))-(((battery/range_nm)*G175*ROUND(N175*O175*revleg_mid,0)*VLOOKUP(B175,country_opex,3,FALSE))+Y175+Z175+AA175+AB175+AC175)))</f>
        <v/>
      </c>
      <c r="AY175" s="54">
        <f>IF(((V175*pax_cap*load_full*ROUND(N175*O175*revleg_full,0))-(((battery/range_nm)*G175*ROUND(N175*O175*revleg_full,0)*VLOOKUP(B175,country_opex,3,FALSE))+Y175+Z175+AA175+AB175+AC175))&lt;=0,"",VLOOKUP(B175,country_opex,7,FALSE)/((V175*pax_cap*load_full*ROUND(N175*O175*revleg_full,0))-(((battery/range_nm)*G175*ROUND(N175*O175*revleg_full,0)*VLOOKUP(B175,country_opex,3,FALSE))+Y175+Z175+AA175+AB175+AC175)))</f>
        <v/>
      </c>
      <c r="AZ175" s="40" t="inlineStr">
        <is>
          <t>handoff/INDIA-ECONOMICS-SIDECAR-V0-2026-06-20.json (andaman)</t>
        </is>
      </c>
      <c r="BA175" s="40" t="inlineStr">
        <is>
          <t>handoff/INDIA-ECONOMICS-SIDECAR-V0-2026-06-20.json (andaman)</t>
        </is>
      </c>
    </row>
    <row r="176">
      <c r="A176" s="38" t="inlineStr">
        <is>
          <t>Rapido Mumbai</t>
        </is>
      </c>
      <c r="B176" s="38" t="inlineStr">
        <is>
          <t>India</t>
        </is>
      </c>
      <c r="C176" s="39" t="inlineStr">
        <is>
          <t>Mora → Elephanta Caves</t>
        </is>
      </c>
      <c r="D176" s="38" t="inlineStr">
        <is>
          <t>rapido</t>
        </is>
      </c>
      <c r="E176" s="40" t="inlineStr">
        <is>
          <t>india-mumbai-ola, india-mumbai-rapido, rapido-mumbai, uber-mumbai</t>
        </is>
      </c>
      <c r="F176" s="41" t="n">
        <v>4</v>
      </c>
      <c r="G176" s="42" t="n">
        <v>3.8</v>
      </c>
      <c r="H176" s="35" t="n"/>
      <c r="I176" s="43" t="inlineStr">
        <is>
          <t>T3</t>
        </is>
      </c>
      <c r="J176" s="43" t="inlineStr">
        <is>
          <t>med-low</t>
        </is>
      </c>
      <c r="K176" s="29" t="n">
        <v>1</v>
      </c>
      <c r="L176" s="44">
        <f>60*G176/cruise_kt</f>
        <v/>
      </c>
      <c r="M176" s="44">
        <f>L176+turn_min+dwell_min</f>
        <v/>
      </c>
      <c r="N176" s="45">
        <f>MIN(10,FLOOR(60*service_hr/M176,1))</f>
        <v/>
      </c>
      <c r="O176" s="45">
        <f>ROUND(365*mech_uptime*K176,0)</f>
        <v/>
      </c>
      <c r="P176" s="46">
        <f>mech_uptime</f>
        <v/>
      </c>
      <c r="Q176" s="46">
        <f>revleg_sel</f>
        <v/>
      </c>
      <c r="R176" s="45">
        <f>ROUND(N176*O176*revleg_sel,0)</f>
        <v/>
      </c>
      <c r="S176" s="47">
        <f>load_sel</f>
        <v/>
      </c>
      <c r="T176" s="47">
        <f>pax_cap*S176</f>
        <v/>
      </c>
      <c r="U176" s="45">
        <f>T176*R176</f>
        <v/>
      </c>
      <c r="V176" s="48">
        <f>H176*discount</f>
        <v/>
      </c>
      <c r="W176" s="49">
        <f>V176*U176</f>
        <v/>
      </c>
      <c r="X176" s="49">
        <f>(battery/range_nm)*G176*R176*VLOOKUP(B176,country_opex,3,FALSE)</f>
        <v/>
      </c>
      <c r="Y176" s="49">
        <f>VLOOKUP(B176,country_opex,2,FALSE)*crew_factor</f>
        <v/>
      </c>
      <c r="Z176" s="49">
        <f>VLOOKUP(B176,country_opex,5,FALSE)</f>
        <v/>
      </c>
      <c r="AA176" s="49">
        <f>maint</f>
        <v/>
      </c>
      <c r="AB176" s="49">
        <f>VLOOKUP(B176,country_opex,7,FALSE)*ins_pct</f>
        <v/>
      </c>
      <c r="AC176" s="49">
        <f>charge_berth</f>
        <v/>
      </c>
      <c r="AD176" s="49">
        <f>X176+Y176+Z176+AA176+AB176+AC176</f>
        <v/>
      </c>
      <c r="AE176" s="49">
        <f>VLOOKUP(B176,country_opex,7,FALSE)/dep_years</f>
        <v/>
      </c>
      <c r="AF176" s="49">
        <f>W176-AD176</f>
        <v/>
      </c>
      <c r="AG176" s="46">
        <f>IF(W176=0,"",AF176/W176)</f>
        <v/>
      </c>
      <c r="AH176" s="47">
        <f>IF(AF176&lt;=0,"",VLOOKUP(B176,country_opex,7,FALSE)/AF176)</f>
        <v/>
      </c>
      <c r="AI176" s="44">
        <f>((G176*R176/diesel_nmpg)*diesel_co2pg-(battery/range_nm)*G176*R176*VLOOKUP(B176,country_opex,4,FALSE))/1000</f>
        <v/>
      </c>
      <c r="AJ176" s="42" t="n">
        <v>9230</v>
      </c>
      <c r="AK176" s="43" t="inlineStr">
        <is>
          <t>T3</t>
        </is>
      </c>
      <c r="AL176" s="43" t="inlineStr">
        <is>
          <t>med-low</t>
        </is>
      </c>
      <c r="AM176" s="50" t="n">
        <v>0.1</v>
      </c>
      <c r="AN176" s="45">
        <f>IF(AJ176="","",AJ176*AM176)</f>
        <v/>
      </c>
      <c r="AO176" s="45">
        <f>IF(OR(AJ176="",U176=0),"",MIN(IF(AV176="",9.9E+99,AV176),FLOOR(AN176/U176,1)))</f>
        <v/>
      </c>
      <c r="AP176" s="49">
        <f>IF(AO176="","",AO176*W176)</f>
        <v/>
      </c>
      <c r="AQ176" s="47">
        <f>IF(OR(AJ176="",U176=0),"",MIN(IF(AV176="",9.9E+99,AV176),AN176/U176))</f>
        <v/>
      </c>
      <c r="AR176" s="49">
        <f>IF(AQ176="","",AQ176*W176)</f>
        <v/>
      </c>
      <c r="AS176" s="51" t="n"/>
      <c r="AT176" s="52" t="n"/>
      <c r="AU176" s="52" t="inlineStr">
        <is>
          <t>experience_upside</t>
        </is>
      </c>
      <c r="AV176" s="53" t="n"/>
      <c r="AW176" s="54">
        <f>IF(((V176*pax_cap*load_thin*ROUND(N176*O176*revleg_thin,0))-(((battery/range_nm)*G176*ROUND(N176*O176*revleg_thin,0)*VLOOKUP(B176,country_opex,3,FALSE))+Y176+Z176+AA176+AB176+AC176))&lt;=0,"",VLOOKUP(B176,country_opex,7,FALSE)/((V176*pax_cap*load_thin*ROUND(N176*O176*revleg_thin,0))-(((battery/range_nm)*G176*ROUND(N176*O176*revleg_thin,0)*VLOOKUP(B176,country_opex,3,FALSE))+Y176+Z176+AA176+AB176+AC176)))</f>
        <v/>
      </c>
      <c r="AX176" s="54">
        <f>IF(((V176*pax_cap*load_mid*ROUND(N176*O176*revleg_mid,0))-(((battery/range_nm)*G176*ROUND(N176*O176*revleg_mid,0)*VLOOKUP(B176,country_opex,3,FALSE))+Y176+Z176+AA176+AB176+AC176))&lt;=0,"",VLOOKUP(B176,country_opex,7,FALSE)/((V176*pax_cap*load_mid*ROUND(N176*O176*revleg_mid,0))-(((battery/range_nm)*G176*ROUND(N176*O176*revleg_mid,0)*VLOOKUP(B176,country_opex,3,FALSE))+Y176+Z176+AA176+AB176+AC176)))</f>
        <v/>
      </c>
      <c r="AY176" s="54">
        <f>IF(((V176*pax_cap*load_full*ROUND(N176*O176*revleg_full,0))-(((battery/range_nm)*G176*ROUND(N176*O176*revleg_full,0)*VLOOKUP(B176,country_opex,3,FALSE))+Y176+Z176+AA176+AB176+AC176))&lt;=0,"",VLOOKUP(B176,country_opex,7,FALSE)/((V176*pax_cap*load_full*ROUND(N176*O176*revleg_full,0))-(((battery/range_nm)*G176*ROUND(N176*O176*revleg_full,0)*VLOOKUP(B176,country_opex,3,FALSE))+Y176+Z176+AA176+AB176+AC176)))</f>
        <v/>
      </c>
      <c r="AZ176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176" s="40" t="inlineStr">
        <is>
          <t>PR #58 Mumbai spine route-count split (13 sealed rows × anchor 120,000 pax/yr)</t>
        </is>
      </c>
    </row>
    <row r="177">
      <c r="A177" s="38" t="inlineStr">
        <is>
          <t>India Andaman Rapido</t>
        </is>
      </c>
      <c r="B177" s="38" t="inlineStr">
        <is>
          <t>India</t>
        </is>
      </c>
      <c r="C177" s="39" t="inlineStr">
        <is>
          <t>Andaman → Bambooflat Jetty</t>
        </is>
      </c>
      <c r="D177" s="38" t="inlineStr">
        <is>
          <t>rapido</t>
        </is>
      </c>
      <c r="E177" s="40" t="inlineStr">
        <is>
          <t>india-andaman-ola, india-andaman-rapido</t>
        </is>
      </c>
      <c r="F177" s="41" t="n">
        <v>2</v>
      </c>
      <c r="G177" s="42" t="n">
        <v>4.2</v>
      </c>
      <c r="H177" s="35" t="n">
        <v>22</v>
      </c>
      <c r="I177" s="43" t="inlineStr">
        <is>
          <t>T3</t>
        </is>
      </c>
      <c r="J177" s="43" t="inlineStr">
        <is>
          <t>med-low</t>
        </is>
      </c>
      <c r="K177" s="29" t="n">
        <v>1</v>
      </c>
      <c r="L177" s="44">
        <f>60*G177/cruise_kt</f>
        <v/>
      </c>
      <c r="M177" s="44">
        <f>L177+turn_min+dwell_min</f>
        <v/>
      </c>
      <c r="N177" s="45">
        <f>MIN(10,FLOOR(60*service_hr/M177,1))</f>
        <v/>
      </c>
      <c r="O177" s="45">
        <f>ROUND(365*mech_uptime*K177,0)</f>
        <v/>
      </c>
      <c r="P177" s="46">
        <f>mech_uptime</f>
        <v/>
      </c>
      <c r="Q177" s="46">
        <f>revleg_sel</f>
        <v/>
      </c>
      <c r="R177" s="45">
        <f>ROUND(N177*O177*revleg_sel,0)</f>
        <v/>
      </c>
      <c r="S177" s="47">
        <f>load_sel</f>
        <v/>
      </c>
      <c r="T177" s="47">
        <f>pax_cap*S177</f>
        <v/>
      </c>
      <c r="U177" s="45">
        <f>T177*R177</f>
        <v/>
      </c>
      <c r="V177" s="48">
        <f>H177*discount</f>
        <v/>
      </c>
      <c r="W177" s="49">
        <f>V177*U177</f>
        <v/>
      </c>
      <c r="X177" s="49">
        <f>(battery/range_nm)*G177*R177*VLOOKUP(B177,country_opex,3,FALSE)</f>
        <v/>
      </c>
      <c r="Y177" s="49">
        <f>VLOOKUP(B177,country_opex,2,FALSE)*crew_factor</f>
        <v/>
      </c>
      <c r="Z177" s="49">
        <f>VLOOKUP(B177,country_opex,5,FALSE)</f>
        <v/>
      </c>
      <c r="AA177" s="49">
        <f>maint</f>
        <v/>
      </c>
      <c r="AB177" s="49">
        <f>VLOOKUP(B177,country_opex,7,FALSE)*ins_pct</f>
        <v/>
      </c>
      <c r="AC177" s="49">
        <f>charge_berth</f>
        <v/>
      </c>
      <c r="AD177" s="49">
        <f>X177+Y177+Z177+AA177+AB177+AC177</f>
        <v/>
      </c>
      <c r="AE177" s="49">
        <f>VLOOKUP(B177,country_opex,7,FALSE)/dep_years</f>
        <v/>
      </c>
      <c r="AF177" s="49">
        <f>W177-AD177</f>
        <v/>
      </c>
      <c r="AG177" s="46">
        <f>IF(W177=0,"",AF177/W177)</f>
        <v/>
      </c>
      <c r="AH177" s="47">
        <f>IF(AF177&lt;=0,"",VLOOKUP(B177,country_opex,7,FALSE)/AF177)</f>
        <v/>
      </c>
      <c r="AI177" s="44">
        <f>((G177*R177/diesel_nmpg)*diesel_co2pg-(battery/range_nm)*G177*R177*VLOOKUP(B177,country_opex,4,FALSE))/1000</f>
        <v/>
      </c>
      <c r="AJ177" s="42" t="n">
        <v>5000</v>
      </c>
      <c r="AK177" s="43" t="inlineStr">
        <is>
          <t>T3</t>
        </is>
      </c>
      <c r="AL177" s="43" t="inlineStr">
        <is>
          <t>med-low</t>
        </is>
      </c>
      <c r="AM177" s="50" t="n">
        <v>0.1</v>
      </c>
      <c r="AN177" s="45">
        <f>IF(AJ177="","",AJ177*AM177)</f>
        <v/>
      </c>
      <c r="AO177" s="45">
        <f>IF(OR(AJ177="",U177=0),"",MIN(IF(AV177="",9.9E+99,AV177),FLOOR(AN177/U177,1)))</f>
        <v/>
      </c>
      <c r="AP177" s="49">
        <f>IF(AO177="","",AO177*W177)</f>
        <v/>
      </c>
      <c r="AQ177" s="47">
        <f>IF(OR(AJ177="",U177=0),"",MIN(IF(AV177="",9.9E+99,AV177),AN177/U177))</f>
        <v/>
      </c>
      <c r="AR177" s="49">
        <f>IF(AQ177="","",AQ177*W177)</f>
        <v/>
      </c>
      <c r="AS177" s="51" t="n"/>
      <c r="AT177" s="52" t="n"/>
      <c r="AU177" s="52" t="n"/>
      <c r="AV177" s="53" t="n"/>
      <c r="AW177" s="54">
        <f>IF(((V177*pax_cap*load_thin*ROUND(N177*O177*revleg_thin,0))-(((battery/range_nm)*G177*ROUND(N177*O177*revleg_thin,0)*VLOOKUP(B177,country_opex,3,FALSE))+Y177+Z177+AA177+AB177+AC177))&lt;=0,"",VLOOKUP(B177,country_opex,7,FALSE)/((V177*pax_cap*load_thin*ROUND(N177*O177*revleg_thin,0))-(((battery/range_nm)*G177*ROUND(N177*O177*revleg_thin,0)*VLOOKUP(B177,country_opex,3,FALSE))+Y177+Z177+AA177+AB177+AC177)))</f>
        <v/>
      </c>
      <c r="AX177" s="54">
        <f>IF(((V177*pax_cap*load_mid*ROUND(N177*O177*revleg_mid,0))-(((battery/range_nm)*G177*ROUND(N177*O177*revleg_mid,0)*VLOOKUP(B177,country_opex,3,FALSE))+Y177+Z177+AA177+AB177+AC177))&lt;=0,"",VLOOKUP(B177,country_opex,7,FALSE)/((V177*pax_cap*load_mid*ROUND(N177*O177*revleg_mid,0))-(((battery/range_nm)*G177*ROUND(N177*O177*revleg_mid,0)*VLOOKUP(B177,country_opex,3,FALSE))+Y177+Z177+AA177+AB177+AC177)))</f>
        <v/>
      </c>
      <c r="AY177" s="54">
        <f>IF(((V177*pax_cap*load_full*ROUND(N177*O177*revleg_full,0))-(((battery/range_nm)*G177*ROUND(N177*O177*revleg_full,0)*VLOOKUP(B177,country_opex,3,FALSE))+Y177+Z177+AA177+AB177+AC177))&lt;=0,"",VLOOKUP(B177,country_opex,7,FALSE)/((V177*pax_cap*load_full*ROUND(N177*O177*revleg_full,0))-(((battery/range_nm)*G177*ROUND(N177*O177*revleg_full,0)*VLOOKUP(B177,country_opex,3,FALSE))+Y177+Z177+AA177+AB177+AC177)))</f>
        <v/>
      </c>
      <c r="AZ177" s="40" t="inlineStr">
        <is>
          <t>handoff/INDIA-ECONOMICS-SIDECAR-V0-2026-06-20.json (andaman)</t>
        </is>
      </c>
      <c r="BA177" s="40" t="inlineStr">
        <is>
          <t>handoff/INDIA-ECONOMICS-SIDECAR-V0-2026-06-20.json (andaman)</t>
        </is>
      </c>
    </row>
    <row r="178">
      <c r="A178" s="38" t="inlineStr">
        <is>
          <t>Ola Mumbai</t>
        </is>
      </c>
      <c r="B178" s="38" t="inlineStr">
        <is>
          <t>India</t>
        </is>
      </c>
      <c r="C178" s="39" t="inlineStr">
        <is>
          <t>BSA Mandwa → Marina Bay Bistro @KARANJA Fishing Dock</t>
        </is>
      </c>
      <c r="D178" s="38" t="inlineStr">
        <is>
          <t>rapido</t>
        </is>
      </c>
      <c r="E178" s="40" t="inlineStr">
        <is>
          <t>india-mumbai-ola, india-mumbai-rapido, ola-mumbai, rapido-mumbai, uber-mumbai</t>
        </is>
      </c>
      <c r="F178" s="41" t="n">
        <v>5</v>
      </c>
      <c r="G178" s="42" t="n">
        <v>4.5</v>
      </c>
      <c r="H178" s="35" t="n"/>
      <c r="I178" s="43" t="inlineStr">
        <is>
          <t>T3</t>
        </is>
      </c>
      <c r="J178" s="43" t="inlineStr">
        <is>
          <t>med-low</t>
        </is>
      </c>
      <c r="K178" s="29" t="n">
        <v>1</v>
      </c>
      <c r="L178" s="44">
        <f>60*G178/cruise_kt</f>
        <v/>
      </c>
      <c r="M178" s="44">
        <f>L178+turn_min+dwell_min</f>
        <v/>
      </c>
      <c r="N178" s="45">
        <f>MIN(10,FLOOR(60*service_hr/M178,1))</f>
        <v/>
      </c>
      <c r="O178" s="45">
        <f>ROUND(365*mech_uptime*K178,0)</f>
        <v/>
      </c>
      <c r="P178" s="46">
        <f>mech_uptime</f>
        <v/>
      </c>
      <c r="Q178" s="46">
        <f>revleg_sel</f>
        <v/>
      </c>
      <c r="R178" s="45">
        <f>ROUND(N178*O178*revleg_sel,0)</f>
        <v/>
      </c>
      <c r="S178" s="47">
        <f>load_sel</f>
        <v/>
      </c>
      <c r="T178" s="47">
        <f>pax_cap*S178</f>
        <v/>
      </c>
      <c r="U178" s="45">
        <f>T178*R178</f>
        <v/>
      </c>
      <c r="V178" s="48">
        <f>H178*discount</f>
        <v/>
      </c>
      <c r="W178" s="49">
        <f>V178*U178</f>
        <v/>
      </c>
      <c r="X178" s="49">
        <f>(battery/range_nm)*G178*R178*VLOOKUP(B178,country_opex,3,FALSE)</f>
        <v/>
      </c>
      <c r="Y178" s="49">
        <f>VLOOKUP(B178,country_opex,2,FALSE)*crew_factor</f>
        <v/>
      </c>
      <c r="Z178" s="49">
        <f>VLOOKUP(B178,country_opex,5,FALSE)</f>
        <v/>
      </c>
      <c r="AA178" s="49">
        <f>maint</f>
        <v/>
      </c>
      <c r="AB178" s="49">
        <f>VLOOKUP(B178,country_opex,7,FALSE)*ins_pct</f>
        <v/>
      </c>
      <c r="AC178" s="49">
        <f>charge_berth</f>
        <v/>
      </c>
      <c r="AD178" s="49">
        <f>X178+Y178+Z178+AA178+AB178+AC178</f>
        <v/>
      </c>
      <c r="AE178" s="49">
        <f>VLOOKUP(B178,country_opex,7,FALSE)/dep_years</f>
        <v/>
      </c>
      <c r="AF178" s="49">
        <f>W178-AD178</f>
        <v/>
      </c>
      <c r="AG178" s="46">
        <f>IF(W178=0,"",AF178/W178)</f>
        <v/>
      </c>
      <c r="AH178" s="47">
        <f>IF(AF178&lt;=0,"",VLOOKUP(B178,country_opex,7,FALSE)/AF178)</f>
        <v/>
      </c>
      <c r="AI178" s="44">
        <f>((G178*R178/diesel_nmpg)*diesel_co2pg-(battery/range_nm)*G178*R178*VLOOKUP(B178,country_opex,4,FALSE))/1000</f>
        <v/>
      </c>
      <c r="AJ178" s="42" t="n">
        <v>10909</v>
      </c>
      <c r="AK178" s="43" t="inlineStr">
        <is>
          <t>T3</t>
        </is>
      </c>
      <c r="AL178" s="43" t="inlineStr">
        <is>
          <t>med-low</t>
        </is>
      </c>
      <c r="AM178" s="50" t="n">
        <v>0.1</v>
      </c>
      <c r="AN178" s="45">
        <f>IF(AJ178="","",AJ178*AM178)</f>
        <v/>
      </c>
      <c r="AO178" s="45">
        <f>IF(OR(AJ178="",U178=0),"",MIN(IF(AV178="",9.9E+99,AV178),FLOOR(AN178/U178,1)))</f>
        <v/>
      </c>
      <c r="AP178" s="49">
        <f>IF(AO178="","",AO178*W178)</f>
        <v/>
      </c>
      <c r="AQ178" s="47">
        <f>IF(OR(AJ178="",U178=0),"",MIN(IF(AV178="",9.9E+99,AV178),AN178/U178))</f>
        <v/>
      </c>
      <c r="AR178" s="49">
        <f>IF(AQ178="","",AQ178*W178)</f>
        <v/>
      </c>
      <c r="AS178" s="51" t="n"/>
      <c r="AT178" s="52" t="n"/>
      <c r="AU178" s="52" t="inlineStr">
        <is>
          <t>experience_upside</t>
        </is>
      </c>
      <c r="AV178" s="53" t="n"/>
      <c r="AW178" s="54">
        <f>IF(((V178*pax_cap*load_thin*ROUND(N178*O178*revleg_thin,0))-(((battery/range_nm)*G178*ROUND(N178*O178*revleg_thin,0)*VLOOKUP(B178,country_opex,3,FALSE))+Y178+Z178+AA178+AB178+AC178))&lt;=0,"",VLOOKUP(B178,country_opex,7,FALSE)/((V178*pax_cap*load_thin*ROUND(N178*O178*revleg_thin,0))-(((battery/range_nm)*G178*ROUND(N178*O178*revleg_thin,0)*VLOOKUP(B178,country_opex,3,FALSE))+Y178+Z178+AA178+AB178+AC178)))</f>
        <v/>
      </c>
      <c r="AX178" s="54">
        <f>IF(((V178*pax_cap*load_mid*ROUND(N178*O178*revleg_mid,0))-(((battery/range_nm)*G178*ROUND(N178*O178*revleg_mid,0)*VLOOKUP(B178,country_opex,3,FALSE))+Y178+Z178+AA178+AB178+AC178))&lt;=0,"",VLOOKUP(B178,country_opex,7,FALSE)/((V178*pax_cap*load_mid*ROUND(N178*O178*revleg_mid,0))-(((battery/range_nm)*G178*ROUND(N178*O178*revleg_mid,0)*VLOOKUP(B178,country_opex,3,FALSE))+Y178+Z178+AA178+AB178+AC178)))</f>
        <v/>
      </c>
      <c r="AY178" s="54">
        <f>IF(((V178*pax_cap*load_full*ROUND(N178*O178*revleg_full,0))-(((battery/range_nm)*G178*ROUND(N178*O178*revleg_full,0)*VLOOKUP(B178,country_opex,3,FALSE))+Y178+Z178+AA178+AB178+AC178))&lt;=0,"",VLOOKUP(B178,country_opex,7,FALSE)/((V178*pax_cap*load_full*ROUND(N178*O178*revleg_full,0))-(((battery/range_nm)*G178*ROUND(N178*O178*revleg_full,0)*VLOOKUP(B178,country_opex,3,FALSE))+Y178+Z178+AA178+AB178+AC178)))</f>
        <v/>
      </c>
      <c r="AZ178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178" s="40" t="inlineStr">
        <is>
          <t>PR #58 Mumbai spine route-count split (11 sealed rows × anchor 120,000 pax/yr)</t>
        </is>
      </c>
    </row>
    <row r="179">
      <c r="A179" s="38" t="inlineStr">
        <is>
          <t>Ola Mumbai</t>
        </is>
      </c>
      <c r="B179" s="38" t="inlineStr">
        <is>
          <t>India</t>
        </is>
      </c>
      <c r="C179" s="39" t="inlineStr">
        <is>
          <t>Mandwa Jetty → Mumbai Harbour</t>
        </is>
      </c>
      <c r="D179" s="38" t="inlineStr">
        <is>
          <t>rapido</t>
        </is>
      </c>
      <c r="E179" s="40" t="inlineStr">
        <is>
          <t>india-mumbai-ola, india-mumbai-rapido, ola-mumbai, rapido-mumbai, uber-mumbai</t>
        </is>
      </c>
      <c r="F179" s="41" t="n">
        <v>10</v>
      </c>
      <c r="G179" s="42" t="n">
        <v>4.6</v>
      </c>
      <c r="H179" s="35" t="n"/>
      <c r="I179" s="43" t="inlineStr">
        <is>
          <t>T3</t>
        </is>
      </c>
      <c r="J179" s="43" t="inlineStr">
        <is>
          <t>med-low</t>
        </is>
      </c>
      <c r="K179" s="29" t="n">
        <v>1</v>
      </c>
      <c r="L179" s="44">
        <f>60*G179/cruise_kt</f>
        <v/>
      </c>
      <c r="M179" s="44">
        <f>L179+turn_min+dwell_min</f>
        <v/>
      </c>
      <c r="N179" s="45">
        <f>MIN(10,FLOOR(60*service_hr/M179,1))</f>
        <v/>
      </c>
      <c r="O179" s="45">
        <f>ROUND(365*mech_uptime*K179,0)</f>
        <v/>
      </c>
      <c r="P179" s="46">
        <f>mech_uptime</f>
        <v/>
      </c>
      <c r="Q179" s="46">
        <f>revleg_sel</f>
        <v/>
      </c>
      <c r="R179" s="45">
        <f>ROUND(N179*O179*revleg_sel,0)</f>
        <v/>
      </c>
      <c r="S179" s="47">
        <f>load_sel</f>
        <v/>
      </c>
      <c r="T179" s="47">
        <f>pax_cap*S179</f>
        <v/>
      </c>
      <c r="U179" s="45">
        <f>T179*R179</f>
        <v/>
      </c>
      <c r="V179" s="48">
        <f>H179*discount</f>
        <v/>
      </c>
      <c r="W179" s="49">
        <f>V179*U179</f>
        <v/>
      </c>
      <c r="X179" s="49">
        <f>(battery/range_nm)*G179*R179*VLOOKUP(B179,country_opex,3,FALSE)</f>
        <v/>
      </c>
      <c r="Y179" s="49">
        <f>VLOOKUP(B179,country_opex,2,FALSE)*crew_factor</f>
        <v/>
      </c>
      <c r="Z179" s="49">
        <f>VLOOKUP(B179,country_opex,5,FALSE)</f>
        <v/>
      </c>
      <c r="AA179" s="49">
        <f>maint</f>
        <v/>
      </c>
      <c r="AB179" s="49">
        <f>VLOOKUP(B179,country_opex,7,FALSE)*ins_pct</f>
        <v/>
      </c>
      <c r="AC179" s="49">
        <f>charge_berth</f>
        <v/>
      </c>
      <c r="AD179" s="49">
        <f>X179+Y179+Z179+AA179+AB179+AC179</f>
        <v/>
      </c>
      <c r="AE179" s="49">
        <f>VLOOKUP(B179,country_opex,7,FALSE)/dep_years</f>
        <v/>
      </c>
      <c r="AF179" s="49">
        <f>W179-AD179</f>
        <v/>
      </c>
      <c r="AG179" s="46">
        <f>IF(W179=0,"",AF179/W179)</f>
        <v/>
      </c>
      <c r="AH179" s="47">
        <f>IF(AF179&lt;=0,"",VLOOKUP(B179,country_opex,7,FALSE)/AF179)</f>
        <v/>
      </c>
      <c r="AI179" s="44">
        <f>((G179*R179/diesel_nmpg)*diesel_co2pg-(battery/range_nm)*G179*R179*VLOOKUP(B179,country_opex,4,FALSE))/1000</f>
        <v/>
      </c>
      <c r="AJ179" s="42" t="n">
        <v>10909</v>
      </c>
      <c r="AK179" s="43" t="inlineStr">
        <is>
          <t>T3</t>
        </is>
      </c>
      <c r="AL179" s="43" t="inlineStr">
        <is>
          <t>med-low</t>
        </is>
      </c>
      <c r="AM179" s="50" t="n">
        <v>0.1</v>
      </c>
      <c r="AN179" s="45">
        <f>IF(AJ179="","",AJ179*AM179)</f>
        <v/>
      </c>
      <c r="AO179" s="45">
        <f>IF(OR(AJ179="",U179=0),"",MIN(IF(AV179="",9.9E+99,AV179),FLOOR(AN179/U179,1)))</f>
        <v/>
      </c>
      <c r="AP179" s="49">
        <f>IF(AO179="","",AO179*W179)</f>
        <v/>
      </c>
      <c r="AQ179" s="47">
        <f>IF(OR(AJ179="",U179=0),"",MIN(IF(AV179="",9.9E+99,AV179),AN179/U179))</f>
        <v/>
      </c>
      <c r="AR179" s="49">
        <f>IF(AQ179="","",AQ179*W179)</f>
        <v/>
      </c>
      <c r="AS179" s="51" t="n"/>
      <c r="AT179" s="52" t="n"/>
      <c r="AU179" s="52" t="inlineStr">
        <is>
          <t>experience_upside</t>
        </is>
      </c>
      <c r="AV179" s="53" t="n"/>
      <c r="AW179" s="54">
        <f>IF(((V179*pax_cap*load_thin*ROUND(N179*O179*revleg_thin,0))-(((battery/range_nm)*G179*ROUND(N179*O179*revleg_thin,0)*VLOOKUP(B179,country_opex,3,FALSE))+Y179+Z179+AA179+AB179+AC179))&lt;=0,"",VLOOKUP(B179,country_opex,7,FALSE)/((V179*pax_cap*load_thin*ROUND(N179*O179*revleg_thin,0))-(((battery/range_nm)*G179*ROUND(N179*O179*revleg_thin,0)*VLOOKUP(B179,country_opex,3,FALSE))+Y179+Z179+AA179+AB179+AC179)))</f>
        <v/>
      </c>
      <c r="AX179" s="54">
        <f>IF(((V179*pax_cap*load_mid*ROUND(N179*O179*revleg_mid,0))-(((battery/range_nm)*G179*ROUND(N179*O179*revleg_mid,0)*VLOOKUP(B179,country_opex,3,FALSE))+Y179+Z179+AA179+AB179+AC179))&lt;=0,"",VLOOKUP(B179,country_opex,7,FALSE)/((V179*pax_cap*load_mid*ROUND(N179*O179*revleg_mid,0))-(((battery/range_nm)*G179*ROUND(N179*O179*revleg_mid,0)*VLOOKUP(B179,country_opex,3,FALSE))+Y179+Z179+AA179+AB179+AC179)))</f>
        <v/>
      </c>
      <c r="AY179" s="54">
        <f>IF(((V179*pax_cap*load_full*ROUND(N179*O179*revleg_full,0))-(((battery/range_nm)*G179*ROUND(N179*O179*revleg_full,0)*VLOOKUP(B179,country_opex,3,FALSE))+Y179+Z179+AA179+AB179+AC179))&lt;=0,"",VLOOKUP(B179,country_opex,7,FALSE)/((V179*pax_cap*load_full*ROUND(N179*O179*revleg_full,0))-(((battery/range_nm)*G179*ROUND(N179*O179*revleg_full,0)*VLOOKUP(B179,country_opex,3,FALSE))+Y179+Z179+AA179+AB179+AC179)))</f>
        <v/>
      </c>
      <c r="AZ179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179" s="40" t="inlineStr">
        <is>
          <t>PR #58 Mumbai spine route-count split (11 sealed rows × anchor 120,000 pax/yr)</t>
        </is>
      </c>
    </row>
    <row r="180">
      <c r="A180" s="38" t="inlineStr">
        <is>
          <t>India Goa Rapido</t>
        </is>
      </c>
      <c r="B180" s="38" t="inlineStr">
        <is>
          <t>India</t>
        </is>
      </c>
      <c r="C180" s="39" t="inlineStr">
        <is>
          <t>Villa Marina → Mole</t>
        </is>
      </c>
      <c r="D180" s="38" t="inlineStr">
        <is>
          <t>rapido</t>
        </is>
      </c>
      <c r="E180" s="40" t="inlineStr">
        <is>
          <t>india-goa-ola, india-goa-rapido</t>
        </is>
      </c>
      <c r="F180" s="41" t="n">
        <v>2</v>
      </c>
      <c r="G180" s="42" t="n">
        <v>4.9</v>
      </c>
      <c r="H180" s="35" t="n">
        <v>8</v>
      </c>
      <c r="I180" s="43" t="inlineStr">
        <is>
          <t>T3</t>
        </is>
      </c>
      <c r="J180" s="43" t="inlineStr">
        <is>
          <t>med-low</t>
        </is>
      </c>
      <c r="K180" s="29" t="n">
        <v>1</v>
      </c>
      <c r="L180" s="44">
        <f>60*G180/cruise_kt</f>
        <v/>
      </c>
      <c r="M180" s="44">
        <f>L180+turn_min+dwell_min</f>
        <v/>
      </c>
      <c r="N180" s="45">
        <f>MIN(10,FLOOR(60*service_hr/M180,1))</f>
        <v/>
      </c>
      <c r="O180" s="45">
        <f>ROUND(365*mech_uptime*K180,0)</f>
        <v/>
      </c>
      <c r="P180" s="46">
        <f>mech_uptime</f>
        <v/>
      </c>
      <c r="Q180" s="46">
        <f>revleg_sel</f>
        <v/>
      </c>
      <c r="R180" s="45">
        <f>ROUND(N180*O180*revleg_sel,0)</f>
        <v/>
      </c>
      <c r="S180" s="47">
        <f>load_sel</f>
        <v/>
      </c>
      <c r="T180" s="47">
        <f>pax_cap*S180</f>
        <v/>
      </c>
      <c r="U180" s="45">
        <f>T180*R180</f>
        <v/>
      </c>
      <c r="V180" s="48">
        <f>H180*discount</f>
        <v/>
      </c>
      <c r="W180" s="49">
        <f>V180*U180</f>
        <v/>
      </c>
      <c r="X180" s="49">
        <f>(battery/range_nm)*G180*R180*VLOOKUP(B180,country_opex,3,FALSE)</f>
        <v/>
      </c>
      <c r="Y180" s="49">
        <f>VLOOKUP(B180,country_opex,2,FALSE)*crew_factor</f>
        <v/>
      </c>
      <c r="Z180" s="49">
        <f>VLOOKUP(B180,country_opex,5,FALSE)</f>
        <v/>
      </c>
      <c r="AA180" s="49">
        <f>maint</f>
        <v/>
      </c>
      <c r="AB180" s="49">
        <f>VLOOKUP(B180,country_opex,7,FALSE)*ins_pct</f>
        <v/>
      </c>
      <c r="AC180" s="49">
        <f>charge_berth</f>
        <v/>
      </c>
      <c r="AD180" s="49">
        <f>X180+Y180+Z180+AA180+AB180+AC180</f>
        <v/>
      </c>
      <c r="AE180" s="49">
        <f>VLOOKUP(B180,country_opex,7,FALSE)/dep_years</f>
        <v/>
      </c>
      <c r="AF180" s="49">
        <f>W180-AD180</f>
        <v/>
      </c>
      <c r="AG180" s="46">
        <f>IF(W180=0,"",AF180/W180)</f>
        <v/>
      </c>
      <c r="AH180" s="47">
        <f>IF(AF180&lt;=0,"",VLOOKUP(B180,country_opex,7,FALSE)/AF180)</f>
        <v/>
      </c>
      <c r="AI180" s="44">
        <f>((G180*R180/diesel_nmpg)*diesel_co2pg-(battery/range_nm)*G180*R180*VLOOKUP(B180,country_opex,4,FALSE))/1000</f>
        <v/>
      </c>
      <c r="AJ180" s="42" t="n">
        <v>11250</v>
      </c>
      <c r="AK180" s="43" t="inlineStr">
        <is>
          <t>T3</t>
        </is>
      </c>
      <c r="AL180" s="43" t="inlineStr">
        <is>
          <t>med-low</t>
        </is>
      </c>
      <c r="AM180" s="50" t="n">
        <v>0.1</v>
      </c>
      <c r="AN180" s="45">
        <f>IF(AJ180="","",AJ180*AM180)</f>
        <v/>
      </c>
      <c r="AO180" s="45">
        <f>IF(OR(AJ180="",U180=0),"",MIN(IF(AV180="",9.9E+99,AV180),FLOOR(AN180/U180,1)))</f>
        <v/>
      </c>
      <c r="AP180" s="49">
        <f>IF(AO180="","",AO180*W180)</f>
        <v/>
      </c>
      <c r="AQ180" s="47">
        <f>IF(OR(AJ180="",U180=0),"",MIN(IF(AV180="",9.9E+99,AV180),AN180/U180))</f>
        <v/>
      </c>
      <c r="AR180" s="49">
        <f>IF(AQ180="","",AQ180*W180)</f>
        <v/>
      </c>
      <c r="AS180" s="51" t="n"/>
      <c r="AT180" s="52" t="n"/>
      <c r="AU180" s="52" t="n"/>
      <c r="AV180" s="53" t="n"/>
      <c r="AW180" s="54">
        <f>IF(((V180*pax_cap*load_thin*ROUND(N180*O180*revleg_thin,0))-(((battery/range_nm)*G180*ROUND(N180*O180*revleg_thin,0)*VLOOKUP(B180,country_opex,3,FALSE))+Y180+Z180+AA180+AB180+AC180))&lt;=0,"",VLOOKUP(B180,country_opex,7,FALSE)/((V180*pax_cap*load_thin*ROUND(N180*O180*revleg_thin,0))-(((battery/range_nm)*G180*ROUND(N180*O180*revleg_thin,0)*VLOOKUP(B180,country_opex,3,FALSE))+Y180+Z180+AA180+AB180+AC180)))</f>
        <v/>
      </c>
      <c r="AX180" s="54">
        <f>IF(((V180*pax_cap*load_mid*ROUND(N180*O180*revleg_mid,0))-(((battery/range_nm)*G180*ROUND(N180*O180*revleg_mid,0)*VLOOKUP(B180,country_opex,3,FALSE))+Y180+Z180+AA180+AB180+AC180))&lt;=0,"",VLOOKUP(B180,country_opex,7,FALSE)/((V180*pax_cap*load_mid*ROUND(N180*O180*revleg_mid,0))-(((battery/range_nm)*G180*ROUND(N180*O180*revleg_mid,0)*VLOOKUP(B180,country_opex,3,FALSE))+Y180+Z180+AA180+AB180+AC180)))</f>
        <v/>
      </c>
      <c r="AY180" s="54">
        <f>IF(((V180*pax_cap*load_full*ROUND(N180*O180*revleg_full,0))-(((battery/range_nm)*G180*ROUND(N180*O180*revleg_full,0)*VLOOKUP(B180,country_opex,3,FALSE))+Y180+Z180+AA180+AB180+AC180))&lt;=0,"",VLOOKUP(B180,country_opex,7,FALSE)/((V180*pax_cap*load_full*ROUND(N180*O180*revleg_full,0))-(((battery/range_nm)*G180*ROUND(N180*O180*revleg_full,0)*VLOOKUP(B180,country_opex,3,FALSE))+Y180+Z180+AA180+AB180+AC180)))</f>
        <v/>
      </c>
      <c r="AZ180" s="40" t="inlineStr">
        <is>
          <t>handoff/INDIA-ECONOMICS-SIDECAR-V0-2026-06-20.json (goa)</t>
        </is>
      </c>
      <c r="BA180" s="40" t="inlineStr">
        <is>
          <t>handoff/INDIA-ECONOMICS-SIDECAR-V0-2026-06-20.json (goa)</t>
        </is>
      </c>
    </row>
    <row r="181">
      <c r="A181" s="38" t="inlineStr">
        <is>
          <t>India Mumbai Rapido</t>
        </is>
      </c>
      <c r="B181" s="38" t="inlineStr">
        <is>
          <t>India</t>
        </is>
      </c>
      <c r="C181" s="39" t="inlineStr">
        <is>
          <t>Marina Bay Bistro @KARANJA Fishing Dock → Harbour view villa by 29 bungalow</t>
        </is>
      </c>
      <c r="D181" s="38" t="inlineStr">
        <is>
          <t>rapido</t>
        </is>
      </c>
      <c r="E181" s="40" t="inlineStr">
        <is>
          <t>india-mumbai-ola, india-mumbai-rapido</t>
        </is>
      </c>
      <c r="F181" s="41" t="n">
        <v>2</v>
      </c>
      <c r="G181" s="42" t="n">
        <v>5.4</v>
      </c>
      <c r="H181" s="35" t="n">
        <v>18</v>
      </c>
      <c r="I181" s="43" t="inlineStr">
        <is>
          <t>T3</t>
        </is>
      </c>
      <c r="J181" s="43" t="inlineStr">
        <is>
          <t>med-low</t>
        </is>
      </c>
      <c r="K181" s="29" t="n">
        <v>1</v>
      </c>
      <c r="L181" s="44">
        <f>60*G181/cruise_kt</f>
        <v/>
      </c>
      <c r="M181" s="44">
        <f>L181+turn_min+dwell_min</f>
        <v/>
      </c>
      <c r="N181" s="45">
        <f>MIN(10,FLOOR(60*service_hr/M181,1))</f>
        <v/>
      </c>
      <c r="O181" s="45">
        <f>ROUND(365*mech_uptime*K181,0)</f>
        <v/>
      </c>
      <c r="P181" s="46">
        <f>mech_uptime</f>
        <v/>
      </c>
      <c r="Q181" s="46">
        <f>revleg_sel</f>
        <v/>
      </c>
      <c r="R181" s="45">
        <f>ROUND(N181*O181*revleg_sel,0)</f>
        <v/>
      </c>
      <c r="S181" s="47">
        <f>load_sel</f>
        <v/>
      </c>
      <c r="T181" s="47">
        <f>pax_cap*S181</f>
        <v/>
      </c>
      <c r="U181" s="45">
        <f>T181*R181</f>
        <v/>
      </c>
      <c r="V181" s="48">
        <f>H181*discount</f>
        <v/>
      </c>
      <c r="W181" s="49">
        <f>V181*U181</f>
        <v/>
      </c>
      <c r="X181" s="49">
        <f>(battery/range_nm)*G181*R181*VLOOKUP(B181,country_opex,3,FALSE)</f>
        <v/>
      </c>
      <c r="Y181" s="49">
        <f>VLOOKUP(B181,country_opex,2,FALSE)*crew_factor</f>
        <v/>
      </c>
      <c r="Z181" s="49">
        <f>VLOOKUP(B181,country_opex,5,FALSE)</f>
        <v/>
      </c>
      <c r="AA181" s="49">
        <f>maint</f>
        <v/>
      </c>
      <c r="AB181" s="49">
        <f>VLOOKUP(B181,country_opex,7,FALSE)*ins_pct</f>
        <v/>
      </c>
      <c r="AC181" s="49">
        <f>charge_berth</f>
        <v/>
      </c>
      <c r="AD181" s="49">
        <f>X181+Y181+Z181+AA181+AB181+AC181</f>
        <v/>
      </c>
      <c r="AE181" s="49">
        <f>VLOOKUP(B181,country_opex,7,FALSE)/dep_years</f>
        <v/>
      </c>
      <c r="AF181" s="49">
        <f>W181-AD181</f>
        <v/>
      </c>
      <c r="AG181" s="46">
        <f>IF(W181=0,"",AF181/W181)</f>
        <v/>
      </c>
      <c r="AH181" s="47">
        <f>IF(AF181&lt;=0,"",VLOOKUP(B181,country_opex,7,FALSE)/AF181)</f>
        <v/>
      </c>
      <c r="AI181" s="44">
        <f>((G181*R181/diesel_nmpg)*diesel_co2pg-(battery/range_nm)*G181*R181*VLOOKUP(B181,country_opex,4,FALSE))/1000</f>
        <v/>
      </c>
      <c r="AJ181" s="42" t="n">
        <v>5000</v>
      </c>
      <c r="AK181" s="43" t="inlineStr">
        <is>
          <t>T3</t>
        </is>
      </c>
      <c r="AL181" s="43" t="inlineStr">
        <is>
          <t>med-low</t>
        </is>
      </c>
      <c r="AM181" s="50" t="n">
        <v>0.1</v>
      </c>
      <c r="AN181" s="45">
        <f>IF(AJ181="","",AJ181*AM181)</f>
        <v/>
      </c>
      <c r="AO181" s="45">
        <f>IF(OR(AJ181="",U181=0),"",MIN(IF(AV181="",9.9E+99,AV181),FLOOR(AN181/U181,1)))</f>
        <v/>
      </c>
      <c r="AP181" s="49">
        <f>IF(AO181="","",AO181*W181)</f>
        <v/>
      </c>
      <c r="AQ181" s="47">
        <f>IF(OR(AJ181="",U181=0),"",MIN(IF(AV181="",9.9E+99,AV181),AN181/U181))</f>
        <v/>
      </c>
      <c r="AR181" s="49">
        <f>IF(AQ181="","",AQ181*W181)</f>
        <v/>
      </c>
      <c r="AS181" s="51" t="n"/>
      <c r="AT181" s="52" t="n"/>
      <c r="AU181" s="52" t="n"/>
      <c r="AV181" s="53" t="n"/>
      <c r="AW181" s="54">
        <f>IF(((V181*pax_cap*load_thin*ROUND(N181*O181*revleg_thin,0))-(((battery/range_nm)*G181*ROUND(N181*O181*revleg_thin,0)*VLOOKUP(B181,country_opex,3,FALSE))+Y181+Z181+AA181+AB181+AC181))&lt;=0,"",VLOOKUP(B181,country_opex,7,FALSE)/((V181*pax_cap*load_thin*ROUND(N181*O181*revleg_thin,0))-(((battery/range_nm)*G181*ROUND(N181*O181*revleg_thin,0)*VLOOKUP(B181,country_opex,3,FALSE))+Y181+Z181+AA181+AB181+AC181)))</f>
        <v/>
      </c>
      <c r="AX181" s="54">
        <f>IF(((V181*pax_cap*load_mid*ROUND(N181*O181*revleg_mid,0))-(((battery/range_nm)*G181*ROUND(N181*O181*revleg_mid,0)*VLOOKUP(B181,country_opex,3,FALSE))+Y181+Z181+AA181+AB181+AC181))&lt;=0,"",VLOOKUP(B181,country_opex,7,FALSE)/((V181*pax_cap*load_mid*ROUND(N181*O181*revleg_mid,0))-(((battery/range_nm)*G181*ROUND(N181*O181*revleg_mid,0)*VLOOKUP(B181,country_opex,3,FALSE))+Y181+Z181+AA181+AB181+AC181)))</f>
        <v/>
      </c>
      <c r="AY181" s="54">
        <f>IF(((V181*pax_cap*load_full*ROUND(N181*O181*revleg_full,0))-(((battery/range_nm)*G181*ROUND(N181*O181*revleg_full,0)*VLOOKUP(B181,country_opex,3,FALSE))+Y181+Z181+AA181+AB181+AC181))&lt;=0,"",VLOOKUP(B181,country_opex,7,FALSE)/((V181*pax_cap*load_full*ROUND(N181*O181*revleg_full,0))-(((battery/range_nm)*G181*ROUND(N181*O181*revleg_full,0)*VLOOKUP(B181,country_opex,3,FALSE))+Y181+Z181+AA181+AB181+AC181)))</f>
        <v/>
      </c>
      <c r="AZ181" s="40" t="inlineStr">
        <is>
          <t>[LB-255 PREMIUM RE-FARE: subsidized comparable $5.5 lifted to premium on-demand floor $18.0] handoff/INDIA-ECONOMICS-SIDECAR-V0-2026-06-20.json (mumbai)</t>
        </is>
      </c>
      <c r="BA181" s="40" t="inlineStr">
        <is>
          <t>handoff/INDIA-ECONOMICS-SIDECAR-V0-2026-06-20.json (mumbai)</t>
        </is>
      </c>
    </row>
    <row r="182">
      <c r="A182" s="38" t="inlineStr">
        <is>
          <t>Ola Mumbai</t>
        </is>
      </c>
      <c r="B182" s="38" t="inlineStr">
        <is>
          <t>India</t>
        </is>
      </c>
      <c r="C182" s="39" t="inlineStr">
        <is>
          <t>Elephanta Caves → Mumbai Trans-Harbour Navi Mumbai Toll Plaza</t>
        </is>
      </c>
      <c r="D182" s="38" t="inlineStr">
        <is>
          <t>rapido</t>
        </is>
      </c>
      <c r="E182" s="40" t="inlineStr">
        <is>
          <t>india-mumbai-ola, india-mumbai-rapido, ola-mumbai, rapido-mumbai, uber-mumbai</t>
        </is>
      </c>
      <c r="F182" s="41" t="n">
        <v>5</v>
      </c>
      <c r="G182" s="42" t="n">
        <v>5.6</v>
      </c>
      <c r="H182" s="35" t="n"/>
      <c r="I182" s="43" t="inlineStr">
        <is>
          <t>T3</t>
        </is>
      </c>
      <c r="J182" s="43" t="inlineStr">
        <is>
          <t>med-low</t>
        </is>
      </c>
      <c r="K182" s="29" t="n">
        <v>1</v>
      </c>
      <c r="L182" s="44">
        <f>60*G182/cruise_kt</f>
        <v/>
      </c>
      <c r="M182" s="44">
        <f>L182+turn_min+dwell_min</f>
        <v/>
      </c>
      <c r="N182" s="45">
        <f>MIN(10,FLOOR(60*service_hr/M182,1))</f>
        <v/>
      </c>
      <c r="O182" s="45">
        <f>ROUND(365*mech_uptime*K182,0)</f>
        <v/>
      </c>
      <c r="P182" s="46">
        <f>mech_uptime</f>
        <v/>
      </c>
      <c r="Q182" s="46">
        <f>revleg_sel</f>
        <v/>
      </c>
      <c r="R182" s="45">
        <f>ROUND(N182*O182*revleg_sel,0)</f>
        <v/>
      </c>
      <c r="S182" s="47">
        <f>load_sel</f>
        <v/>
      </c>
      <c r="T182" s="47">
        <f>pax_cap*S182</f>
        <v/>
      </c>
      <c r="U182" s="45">
        <f>T182*R182</f>
        <v/>
      </c>
      <c r="V182" s="48">
        <f>H182*discount</f>
        <v/>
      </c>
      <c r="W182" s="49">
        <f>V182*U182</f>
        <v/>
      </c>
      <c r="X182" s="49">
        <f>(battery/range_nm)*G182*R182*VLOOKUP(B182,country_opex,3,FALSE)</f>
        <v/>
      </c>
      <c r="Y182" s="49">
        <f>VLOOKUP(B182,country_opex,2,FALSE)*crew_factor</f>
        <v/>
      </c>
      <c r="Z182" s="49">
        <f>VLOOKUP(B182,country_opex,5,FALSE)</f>
        <v/>
      </c>
      <c r="AA182" s="49">
        <f>maint</f>
        <v/>
      </c>
      <c r="AB182" s="49">
        <f>VLOOKUP(B182,country_opex,7,FALSE)*ins_pct</f>
        <v/>
      </c>
      <c r="AC182" s="49">
        <f>charge_berth</f>
        <v/>
      </c>
      <c r="AD182" s="49">
        <f>X182+Y182+Z182+AA182+AB182+AC182</f>
        <v/>
      </c>
      <c r="AE182" s="49">
        <f>VLOOKUP(B182,country_opex,7,FALSE)/dep_years</f>
        <v/>
      </c>
      <c r="AF182" s="49">
        <f>W182-AD182</f>
        <v/>
      </c>
      <c r="AG182" s="46">
        <f>IF(W182=0,"",AF182/W182)</f>
        <v/>
      </c>
      <c r="AH182" s="47">
        <f>IF(AF182&lt;=0,"",VLOOKUP(B182,country_opex,7,FALSE)/AF182)</f>
        <v/>
      </c>
      <c r="AI182" s="44">
        <f>((G182*R182/diesel_nmpg)*diesel_co2pg-(battery/range_nm)*G182*R182*VLOOKUP(B182,country_opex,4,FALSE))/1000</f>
        <v/>
      </c>
      <c r="AJ182" s="42" t="n">
        <v>10909</v>
      </c>
      <c r="AK182" s="43" t="inlineStr">
        <is>
          <t>T3</t>
        </is>
      </c>
      <c r="AL182" s="43" t="inlineStr">
        <is>
          <t>med-low</t>
        </is>
      </c>
      <c r="AM182" s="50" t="n">
        <v>0.1</v>
      </c>
      <c r="AN182" s="45">
        <f>IF(AJ182="","",AJ182*AM182)</f>
        <v/>
      </c>
      <c r="AO182" s="45">
        <f>IF(OR(AJ182="",U182=0),"",MIN(IF(AV182="",9.9E+99,AV182),FLOOR(AN182/U182,1)))</f>
        <v/>
      </c>
      <c r="AP182" s="49">
        <f>IF(AO182="","",AO182*W182)</f>
        <v/>
      </c>
      <c r="AQ182" s="47">
        <f>IF(OR(AJ182="",U182=0),"",MIN(IF(AV182="",9.9E+99,AV182),AN182/U182))</f>
        <v/>
      </c>
      <c r="AR182" s="49">
        <f>IF(AQ182="","",AQ182*W182)</f>
        <v/>
      </c>
      <c r="AS182" s="51" t="n"/>
      <c r="AT182" s="52" t="n"/>
      <c r="AU182" s="52" t="inlineStr">
        <is>
          <t>experience_upside</t>
        </is>
      </c>
      <c r="AV182" s="53" t="n"/>
      <c r="AW182" s="54">
        <f>IF(((V182*pax_cap*load_thin*ROUND(N182*O182*revleg_thin,0))-(((battery/range_nm)*G182*ROUND(N182*O182*revleg_thin,0)*VLOOKUP(B182,country_opex,3,FALSE))+Y182+Z182+AA182+AB182+AC182))&lt;=0,"",VLOOKUP(B182,country_opex,7,FALSE)/((V182*pax_cap*load_thin*ROUND(N182*O182*revleg_thin,0))-(((battery/range_nm)*G182*ROUND(N182*O182*revleg_thin,0)*VLOOKUP(B182,country_opex,3,FALSE))+Y182+Z182+AA182+AB182+AC182)))</f>
        <v/>
      </c>
      <c r="AX182" s="54">
        <f>IF(((V182*pax_cap*load_mid*ROUND(N182*O182*revleg_mid,0))-(((battery/range_nm)*G182*ROUND(N182*O182*revleg_mid,0)*VLOOKUP(B182,country_opex,3,FALSE))+Y182+Z182+AA182+AB182+AC182))&lt;=0,"",VLOOKUP(B182,country_opex,7,FALSE)/((V182*pax_cap*load_mid*ROUND(N182*O182*revleg_mid,0))-(((battery/range_nm)*G182*ROUND(N182*O182*revleg_mid,0)*VLOOKUP(B182,country_opex,3,FALSE))+Y182+Z182+AA182+AB182+AC182)))</f>
        <v/>
      </c>
      <c r="AY182" s="54">
        <f>IF(((V182*pax_cap*load_full*ROUND(N182*O182*revleg_full,0))-(((battery/range_nm)*G182*ROUND(N182*O182*revleg_full,0)*VLOOKUP(B182,country_opex,3,FALSE))+Y182+Z182+AA182+AB182+AC182))&lt;=0,"",VLOOKUP(B182,country_opex,7,FALSE)/((V182*pax_cap*load_full*ROUND(N182*O182*revleg_full,0))-(((battery/range_nm)*G182*ROUND(N182*O182*revleg_full,0)*VLOOKUP(B182,country_opex,3,FALSE))+Y182+Z182+AA182+AB182+AC182)))</f>
        <v/>
      </c>
      <c r="AZ182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182" s="40" t="inlineStr">
        <is>
          <t>PR #58 Mumbai spine route-count split (11 sealed rows × anchor 120,000 pax/yr)</t>
        </is>
      </c>
    </row>
    <row r="183">
      <c r="A183" s="38" t="inlineStr">
        <is>
          <t>India Goa Rapido</t>
        </is>
      </c>
      <c r="B183" s="38" t="inlineStr">
        <is>
          <t>India</t>
        </is>
      </c>
      <c r="C183" s="39" t="inlineStr">
        <is>
          <t>Goveia Marina → LifeOnYachts Goa</t>
        </is>
      </c>
      <c r="D183" s="38" t="inlineStr">
        <is>
          <t>rapido</t>
        </is>
      </c>
      <c r="E183" s="40" t="inlineStr">
        <is>
          <t>india-goa-ola, india-goa-rapido</t>
        </is>
      </c>
      <c r="F183" s="41" t="n">
        <v>2</v>
      </c>
      <c r="G183" s="42" t="n">
        <v>5.8</v>
      </c>
      <c r="H183" s="35" t="n">
        <v>8</v>
      </c>
      <c r="I183" s="43" t="inlineStr">
        <is>
          <t>T3</t>
        </is>
      </c>
      <c r="J183" s="43" t="inlineStr">
        <is>
          <t>med-low</t>
        </is>
      </c>
      <c r="K183" s="29" t="n">
        <v>1</v>
      </c>
      <c r="L183" s="44">
        <f>60*G183/cruise_kt</f>
        <v/>
      </c>
      <c r="M183" s="44">
        <f>L183+turn_min+dwell_min</f>
        <v/>
      </c>
      <c r="N183" s="45">
        <f>MIN(10,FLOOR(60*service_hr/M183,1))</f>
        <v/>
      </c>
      <c r="O183" s="45">
        <f>ROUND(365*mech_uptime*K183,0)</f>
        <v/>
      </c>
      <c r="P183" s="46">
        <f>mech_uptime</f>
        <v/>
      </c>
      <c r="Q183" s="46">
        <f>revleg_sel</f>
        <v/>
      </c>
      <c r="R183" s="45">
        <f>ROUND(N183*O183*revleg_sel,0)</f>
        <v/>
      </c>
      <c r="S183" s="47">
        <f>load_sel</f>
        <v/>
      </c>
      <c r="T183" s="47">
        <f>pax_cap*S183</f>
        <v/>
      </c>
      <c r="U183" s="45">
        <f>T183*R183</f>
        <v/>
      </c>
      <c r="V183" s="48">
        <f>H183*discount</f>
        <v/>
      </c>
      <c r="W183" s="49">
        <f>V183*U183</f>
        <v/>
      </c>
      <c r="X183" s="49">
        <f>(battery/range_nm)*G183*R183*VLOOKUP(B183,country_opex,3,FALSE)</f>
        <v/>
      </c>
      <c r="Y183" s="49">
        <f>VLOOKUP(B183,country_opex,2,FALSE)*crew_factor</f>
        <v/>
      </c>
      <c r="Z183" s="49">
        <f>VLOOKUP(B183,country_opex,5,FALSE)</f>
        <v/>
      </c>
      <c r="AA183" s="49">
        <f>maint</f>
        <v/>
      </c>
      <c r="AB183" s="49">
        <f>VLOOKUP(B183,country_opex,7,FALSE)*ins_pct</f>
        <v/>
      </c>
      <c r="AC183" s="49">
        <f>charge_berth</f>
        <v/>
      </c>
      <c r="AD183" s="49">
        <f>X183+Y183+Z183+AA183+AB183+AC183</f>
        <v/>
      </c>
      <c r="AE183" s="49">
        <f>VLOOKUP(B183,country_opex,7,FALSE)/dep_years</f>
        <v/>
      </c>
      <c r="AF183" s="49">
        <f>W183-AD183</f>
        <v/>
      </c>
      <c r="AG183" s="46">
        <f>IF(W183=0,"",AF183/W183)</f>
        <v/>
      </c>
      <c r="AH183" s="47">
        <f>IF(AF183&lt;=0,"",VLOOKUP(B183,country_opex,7,FALSE)/AF183)</f>
        <v/>
      </c>
      <c r="AI183" s="44">
        <f>((G183*R183/diesel_nmpg)*diesel_co2pg-(battery/range_nm)*G183*R183*VLOOKUP(B183,country_opex,4,FALSE))/1000</f>
        <v/>
      </c>
      <c r="AJ183" s="42" t="n">
        <v>11250</v>
      </c>
      <c r="AK183" s="43" t="inlineStr">
        <is>
          <t>T3</t>
        </is>
      </c>
      <c r="AL183" s="43" t="inlineStr">
        <is>
          <t>med-low</t>
        </is>
      </c>
      <c r="AM183" s="50" t="n">
        <v>0.1</v>
      </c>
      <c r="AN183" s="45">
        <f>IF(AJ183="","",AJ183*AM183)</f>
        <v/>
      </c>
      <c r="AO183" s="45">
        <f>IF(OR(AJ183="",U183=0),"",MIN(IF(AV183="",9.9E+99,AV183),FLOOR(AN183/U183,1)))</f>
        <v/>
      </c>
      <c r="AP183" s="49">
        <f>IF(AO183="","",AO183*W183)</f>
        <v/>
      </c>
      <c r="AQ183" s="47">
        <f>IF(OR(AJ183="",U183=0),"",MIN(IF(AV183="",9.9E+99,AV183),AN183/U183))</f>
        <v/>
      </c>
      <c r="AR183" s="49">
        <f>IF(AQ183="","",AQ183*W183)</f>
        <v/>
      </c>
      <c r="AS183" s="51" t="n"/>
      <c r="AT183" s="52" t="n"/>
      <c r="AU183" s="52" t="n"/>
      <c r="AV183" s="53" t="n"/>
      <c r="AW183" s="54">
        <f>IF(((V183*pax_cap*load_thin*ROUND(N183*O183*revleg_thin,0))-(((battery/range_nm)*G183*ROUND(N183*O183*revleg_thin,0)*VLOOKUP(B183,country_opex,3,FALSE))+Y183+Z183+AA183+AB183+AC183))&lt;=0,"",VLOOKUP(B183,country_opex,7,FALSE)/((V183*pax_cap*load_thin*ROUND(N183*O183*revleg_thin,0))-(((battery/range_nm)*G183*ROUND(N183*O183*revleg_thin,0)*VLOOKUP(B183,country_opex,3,FALSE))+Y183+Z183+AA183+AB183+AC183)))</f>
        <v/>
      </c>
      <c r="AX183" s="54">
        <f>IF(((V183*pax_cap*load_mid*ROUND(N183*O183*revleg_mid,0))-(((battery/range_nm)*G183*ROUND(N183*O183*revleg_mid,0)*VLOOKUP(B183,country_opex,3,FALSE))+Y183+Z183+AA183+AB183+AC183))&lt;=0,"",VLOOKUP(B183,country_opex,7,FALSE)/((V183*pax_cap*load_mid*ROUND(N183*O183*revleg_mid,0))-(((battery/range_nm)*G183*ROUND(N183*O183*revleg_mid,0)*VLOOKUP(B183,country_opex,3,FALSE))+Y183+Z183+AA183+AB183+AC183)))</f>
        <v/>
      </c>
      <c r="AY183" s="54">
        <f>IF(((V183*pax_cap*load_full*ROUND(N183*O183*revleg_full,0))-(((battery/range_nm)*G183*ROUND(N183*O183*revleg_full,0)*VLOOKUP(B183,country_opex,3,FALSE))+Y183+Z183+AA183+AB183+AC183))&lt;=0,"",VLOOKUP(B183,country_opex,7,FALSE)/((V183*pax_cap*load_full*ROUND(N183*O183*revleg_full,0))-(((battery/range_nm)*G183*ROUND(N183*O183*revleg_full,0)*VLOOKUP(B183,country_opex,3,FALSE))+Y183+Z183+AA183+AB183+AC183)))</f>
        <v/>
      </c>
      <c r="AZ183" s="40" t="inlineStr">
        <is>
          <t>handoff/INDIA-ECONOMICS-SIDECAR-V0-2026-06-20.json (goa)</t>
        </is>
      </c>
      <c r="BA183" s="40" t="inlineStr">
        <is>
          <t>handoff/INDIA-ECONOMICS-SIDECAR-V0-2026-06-20.json (goa)</t>
        </is>
      </c>
    </row>
    <row r="184">
      <c r="A184" s="38" t="inlineStr">
        <is>
          <t>India Kerala Rapido</t>
        </is>
      </c>
      <c r="B184" s="38" t="inlineStr">
        <is>
          <t>India</t>
        </is>
      </c>
      <c r="C184" s="39" t="inlineStr">
        <is>
          <t>Keltron Ferry → Chellanam Harbour Kochi</t>
        </is>
      </c>
      <c r="D184" s="38" t="inlineStr">
        <is>
          <t>rapido</t>
        </is>
      </c>
      <c r="E184" s="40" t="inlineStr">
        <is>
          <t>india-kerala-ola, india-kerala-rapido</t>
        </is>
      </c>
      <c r="F184" s="41" t="n">
        <v>2</v>
      </c>
      <c r="G184" s="42" t="n">
        <v>5.8</v>
      </c>
      <c r="H184" s="35" t="n">
        <v>18</v>
      </c>
      <c r="I184" s="43" t="inlineStr">
        <is>
          <t>T3</t>
        </is>
      </c>
      <c r="J184" s="43" t="inlineStr">
        <is>
          <t>med-low</t>
        </is>
      </c>
      <c r="K184" s="29" t="n">
        <v>1</v>
      </c>
      <c r="L184" s="44">
        <f>60*G184/cruise_kt</f>
        <v/>
      </c>
      <c r="M184" s="44">
        <f>L184+turn_min+dwell_min</f>
        <v/>
      </c>
      <c r="N184" s="45">
        <f>MIN(10,FLOOR(60*service_hr/M184,1))</f>
        <v/>
      </c>
      <c r="O184" s="45">
        <f>ROUND(365*mech_uptime*K184,0)</f>
        <v/>
      </c>
      <c r="P184" s="46">
        <f>mech_uptime</f>
        <v/>
      </c>
      <c r="Q184" s="46">
        <f>revleg_sel</f>
        <v/>
      </c>
      <c r="R184" s="45">
        <f>ROUND(N184*O184*revleg_sel,0)</f>
        <v/>
      </c>
      <c r="S184" s="47">
        <f>load_sel</f>
        <v/>
      </c>
      <c r="T184" s="47">
        <f>pax_cap*S184</f>
        <v/>
      </c>
      <c r="U184" s="45">
        <f>T184*R184</f>
        <v/>
      </c>
      <c r="V184" s="48">
        <f>H184*discount</f>
        <v/>
      </c>
      <c r="W184" s="49">
        <f>V184*U184</f>
        <v/>
      </c>
      <c r="X184" s="49">
        <f>(battery/range_nm)*G184*R184*VLOOKUP(B184,country_opex,3,FALSE)</f>
        <v/>
      </c>
      <c r="Y184" s="49">
        <f>VLOOKUP(B184,country_opex,2,FALSE)*crew_factor</f>
        <v/>
      </c>
      <c r="Z184" s="49">
        <f>VLOOKUP(B184,country_opex,5,FALSE)</f>
        <v/>
      </c>
      <c r="AA184" s="49">
        <f>maint</f>
        <v/>
      </c>
      <c r="AB184" s="49">
        <f>VLOOKUP(B184,country_opex,7,FALSE)*ins_pct</f>
        <v/>
      </c>
      <c r="AC184" s="49">
        <f>charge_berth</f>
        <v/>
      </c>
      <c r="AD184" s="49">
        <f>X184+Y184+Z184+AA184+AB184+AC184</f>
        <v/>
      </c>
      <c r="AE184" s="49">
        <f>VLOOKUP(B184,country_opex,7,FALSE)/dep_years</f>
        <v/>
      </c>
      <c r="AF184" s="49">
        <f>W184-AD184</f>
        <v/>
      </c>
      <c r="AG184" s="46">
        <f>IF(W184=0,"",AF184/W184)</f>
        <v/>
      </c>
      <c r="AH184" s="47">
        <f>IF(AF184&lt;=0,"",VLOOKUP(B184,country_opex,7,FALSE)/AF184)</f>
        <v/>
      </c>
      <c r="AI184" s="44">
        <f>((G184*R184/diesel_nmpg)*diesel_co2pg-(battery/range_nm)*G184*R184*VLOOKUP(B184,country_opex,4,FALSE))/1000</f>
        <v/>
      </c>
      <c r="AJ184" s="42" t="n">
        <v>29166</v>
      </c>
      <c r="AK184" s="43" t="inlineStr">
        <is>
          <t>T3</t>
        </is>
      </c>
      <c r="AL184" s="43" t="inlineStr">
        <is>
          <t>med-low</t>
        </is>
      </c>
      <c r="AM184" s="50" t="n">
        <v>0.1</v>
      </c>
      <c r="AN184" s="45">
        <f>IF(AJ184="","",AJ184*AM184)</f>
        <v/>
      </c>
      <c r="AO184" s="45">
        <f>IF(OR(AJ184="",U184=0),"",MIN(IF(AV184="",9.9E+99,AV184),FLOOR(AN184/U184,1)))</f>
        <v/>
      </c>
      <c r="AP184" s="49">
        <f>IF(AO184="","",AO184*W184)</f>
        <v/>
      </c>
      <c r="AQ184" s="47">
        <f>IF(OR(AJ184="",U184=0),"",MIN(IF(AV184="",9.9E+99,AV184),AN184/U184))</f>
        <v/>
      </c>
      <c r="AR184" s="49">
        <f>IF(AQ184="","",AQ184*W184)</f>
        <v/>
      </c>
      <c r="AS184" s="51" t="n"/>
      <c r="AT184" s="52" t="n"/>
      <c r="AU184" s="52" t="n"/>
      <c r="AV184" s="53" t="n"/>
      <c r="AW184" s="54">
        <f>IF(((V184*pax_cap*load_thin*ROUND(N184*O184*revleg_thin,0))-(((battery/range_nm)*G184*ROUND(N184*O184*revleg_thin,0)*VLOOKUP(B184,country_opex,3,FALSE))+Y184+Z184+AA184+AB184+AC184))&lt;=0,"",VLOOKUP(B184,country_opex,7,FALSE)/((V184*pax_cap*load_thin*ROUND(N184*O184*revleg_thin,0))-(((battery/range_nm)*G184*ROUND(N184*O184*revleg_thin,0)*VLOOKUP(B184,country_opex,3,FALSE))+Y184+Z184+AA184+AB184+AC184)))</f>
        <v/>
      </c>
      <c r="AX184" s="54">
        <f>IF(((V184*pax_cap*load_mid*ROUND(N184*O184*revleg_mid,0))-(((battery/range_nm)*G184*ROUND(N184*O184*revleg_mid,0)*VLOOKUP(B184,country_opex,3,FALSE))+Y184+Z184+AA184+AB184+AC184))&lt;=0,"",VLOOKUP(B184,country_opex,7,FALSE)/((V184*pax_cap*load_mid*ROUND(N184*O184*revleg_mid,0))-(((battery/range_nm)*G184*ROUND(N184*O184*revleg_mid,0)*VLOOKUP(B184,country_opex,3,FALSE))+Y184+Z184+AA184+AB184+AC184)))</f>
        <v/>
      </c>
      <c r="AY184" s="54">
        <f>IF(((V184*pax_cap*load_full*ROUND(N184*O184*revleg_full,0))-(((battery/range_nm)*G184*ROUND(N184*O184*revleg_full,0)*VLOOKUP(B184,country_opex,3,FALSE))+Y184+Z184+AA184+AB184+AC184))&lt;=0,"",VLOOKUP(B184,country_opex,7,FALSE)/((V184*pax_cap*load_full*ROUND(N184*O184*revleg_full,0))-(((battery/range_nm)*G184*ROUND(N184*O184*revleg_full,0)*VLOOKUP(B184,country_opex,3,FALSE))+Y184+Z184+AA184+AB184+AC184)))</f>
        <v/>
      </c>
      <c r="AZ184" s="40" t="inlineStr">
        <is>
          <t>[LB-255 PREMIUM RE-FARE: subsidized comparable $3.5 lifted to premium on-demand floor $18.0] handoff/INDIA-ECONOMICS-SIDECAR-V0-2026-06-20.json (kerala)</t>
        </is>
      </c>
      <c r="BA184" s="40" t="inlineStr">
        <is>
          <t>handoff/INDIA-ECONOMICS-SIDECAR-V0-2026-06-20.json (kerala)</t>
        </is>
      </c>
    </row>
    <row r="185">
      <c r="A185" s="38" t="inlineStr">
        <is>
          <t>Ola Mumbai</t>
        </is>
      </c>
      <c r="B185" s="38" t="inlineStr">
        <is>
          <t>India</t>
        </is>
      </c>
      <c r="C185" s="39" t="inlineStr">
        <is>
          <t>JNPT Ferry Service → Mumbai Trans-Harbour Navi Mumbai Toll Plaza</t>
        </is>
      </c>
      <c r="D185" s="38" t="inlineStr">
        <is>
          <t>rapido</t>
        </is>
      </c>
      <c r="E185" s="40" t="inlineStr">
        <is>
          <t>india-mumbai-ola, india-mumbai-rapido, ola-mumbai, rapido-mumbai, uber-mumbai</t>
        </is>
      </c>
      <c r="F185" s="41" t="n">
        <v>5</v>
      </c>
      <c r="G185" s="42" t="n">
        <v>5.9</v>
      </c>
      <c r="H185" s="35" t="n"/>
      <c r="I185" s="43" t="inlineStr">
        <is>
          <t>T3</t>
        </is>
      </c>
      <c r="J185" s="43" t="inlineStr">
        <is>
          <t>med-low</t>
        </is>
      </c>
      <c r="K185" s="29" t="n">
        <v>1</v>
      </c>
      <c r="L185" s="44">
        <f>60*G185/cruise_kt</f>
        <v/>
      </c>
      <c r="M185" s="44">
        <f>L185+turn_min+dwell_min</f>
        <v/>
      </c>
      <c r="N185" s="45">
        <f>MIN(10,FLOOR(60*service_hr/M185,1))</f>
        <v/>
      </c>
      <c r="O185" s="45">
        <f>ROUND(365*mech_uptime*K185,0)</f>
        <v/>
      </c>
      <c r="P185" s="46">
        <f>mech_uptime</f>
        <v/>
      </c>
      <c r="Q185" s="46">
        <f>revleg_sel</f>
        <v/>
      </c>
      <c r="R185" s="45">
        <f>ROUND(N185*O185*revleg_sel,0)</f>
        <v/>
      </c>
      <c r="S185" s="47">
        <f>load_sel</f>
        <v/>
      </c>
      <c r="T185" s="47">
        <f>pax_cap*S185</f>
        <v/>
      </c>
      <c r="U185" s="45">
        <f>T185*R185</f>
        <v/>
      </c>
      <c r="V185" s="48">
        <f>H185*discount</f>
        <v/>
      </c>
      <c r="W185" s="49">
        <f>V185*U185</f>
        <v/>
      </c>
      <c r="X185" s="49">
        <f>(battery/range_nm)*G185*R185*VLOOKUP(B185,country_opex,3,FALSE)</f>
        <v/>
      </c>
      <c r="Y185" s="49">
        <f>VLOOKUP(B185,country_opex,2,FALSE)*crew_factor</f>
        <v/>
      </c>
      <c r="Z185" s="49">
        <f>VLOOKUP(B185,country_opex,5,FALSE)</f>
        <v/>
      </c>
      <c r="AA185" s="49">
        <f>maint</f>
        <v/>
      </c>
      <c r="AB185" s="49">
        <f>VLOOKUP(B185,country_opex,7,FALSE)*ins_pct</f>
        <v/>
      </c>
      <c r="AC185" s="49">
        <f>charge_berth</f>
        <v/>
      </c>
      <c r="AD185" s="49">
        <f>X185+Y185+Z185+AA185+AB185+AC185</f>
        <v/>
      </c>
      <c r="AE185" s="49">
        <f>VLOOKUP(B185,country_opex,7,FALSE)/dep_years</f>
        <v/>
      </c>
      <c r="AF185" s="49">
        <f>W185-AD185</f>
        <v/>
      </c>
      <c r="AG185" s="46">
        <f>IF(W185=0,"",AF185/W185)</f>
        <v/>
      </c>
      <c r="AH185" s="47">
        <f>IF(AF185&lt;=0,"",VLOOKUP(B185,country_opex,7,FALSE)/AF185)</f>
        <v/>
      </c>
      <c r="AI185" s="44">
        <f>((G185*R185/diesel_nmpg)*diesel_co2pg-(battery/range_nm)*G185*R185*VLOOKUP(B185,country_opex,4,FALSE))/1000</f>
        <v/>
      </c>
      <c r="AJ185" s="42" t="n">
        <v>10909</v>
      </c>
      <c r="AK185" s="43" t="inlineStr">
        <is>
          <t>T3</t>
        </is>
      </c>
      <c r="AL185" s="43" t="inlineStr">
        <is>
          <t>med-low</t>
        </is>
      </c>
      <c r="AM185" s="50" t="n">
        <v>0.1</v>
      </c>
      <c r="AN185" s="45">
        <f>IF(AJ185="","",AJ185*AM185)</f>
        <v/>
      </c>
      <c r="AO185" s="45">
        <f>IF(OR(AJ185="",U185=0),"",MIN(IF(AV185="",9.9E+99,AV185),FLOOR(AN185/U185,1)))</f>
        <v/>
      </c>
      <c r="AP185" s="49">
        <f>IF(AO185="","",AO185*W185)</f>
        <v/>
      </c>
      <c r="AQ185" s="47">
        <f>IF(OR(AJ185="",U185=0),"",MIN(IF(AV185="",9.9E+99,AV185),AN185/U185))</f>
        <v/>
      </c>
      <c r="AR185" s="49">
        <f>IF(AQ185="","",AQ185*W185)</f>
        <v/>
      </c>
      <c r="AS185" s="51" t="n"/>
      <c r="AT185" s="52" t="n"/>
      <c r="AU185" s="52" t="inlineStr">
        <is>
          <t>experience_upside</t>
        </is>
      </c>
      <c r="AV185" s="53" t="n"/>
      <c r="AW185" s="54">
        <f>IF(((V185*pax_cap*load_thin*ROUND(N185*O185*revleg_thin,0))-(((battery/range_nm)*G185*ROUND(N185*O185*revleg_thin,0)*VLOOKUP(B185,country_opex,3,FALSE))+Y185+Z185+AA185+AB185+AC185))&lt;=0,"",VLOOKUP(B185,country_opex,7,FALSE)/((V185*pax_cap*load_thin*ROUND(N185*O185*revleg_thin,0))-(((battery/range_nm)*G185*ROUND(N185*O185*revleg_thin,0)*VLOOKUP(B185,country_opex,3,FALSE))+Y185+Z185+AA185+AB185+AC185)))</f>
        <v/>
      </c>
      <c r="AX185" s="54">
        <f>IF(((V185*pax_cap*load_mid*ROUND(N185*O185*revleg_mid,0))-(((battery/range_nm)*G185*ROUND(N185*O185*revleg_mid,0)*VLOOKUP(B185,country_opex,3,FALSE))+Y185+Z185+AA185+AB185+AC185))&lt;=0,"",VLOOKUP(B185,country_opex,7,FALSE)/((V185*pax_cap*load_mid*ROUND(N185*O185*revleg_mid,0))-(((battery/range_nm)*G185*ROUND(N185*O185*revleg_mid,0)*VLOOKUP(B185,country_opex,3,FALSE))+Y185+Z185+AA185+AB185+AC185)))</f>
        <v/>
      </c>
      <c r="AY185" s="54">
        <f>IF(((V185*pax_cap*load_full*ROUND(N185*O185*revleg_full,0))-(((battery/range_nm)*G185*ROUND(N185*O185*revleg_full,0)*VLOOKUP(B185,country_opex,3,FALSE))+Y185+Z185+AA185+AB185+AC185))&lt;=0,"",VLOOKUP(B185,country_opex,7,FALSE)/((V185*pax_cap*load_full*ROUND(N185*O185*revleg_full,0))-(((battery/range_nm)*G185*ROUND(N185*O185*revleg_full,0)*VLOOKUP(B185,country_opex,3,FALSE))+Y185+Z185+AA185+AB185+AC185)))</f>
        <v/>
      </c>
      <c r="AZ185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185" s="40" t="inlineStr">
        <is>
          <t>PR #58 Mumbai spine route-count split (11 sealed rows × anchor 120,000 pax/yr)</t>
        </is>
      </c>
    </row>
    <row r="186">
      <c r="A186" s="38" t="inlineStr">
        <is>
          <t>Ola Mumbai</t>
        </is>
      </c>
      <c r="B186" s="38" t="inlineStr">
        <is>
          <t>India</t>
        </is>
      </c>
      <c r="C186" s="39" t="inlineStr">
        <is>
          <t>Pirpau Jetty → Mumbai Trans-Harbour Navi Mumbai Toll Plaza</t>
        </is>
      </c>
      <c r="D186" s="38" t="inlineStr">
        <is>
          <t>rapido</t>
        </is>
      </c>
      <c r="E186" s="40" t="inlineStr">
        <is>
          <t>india-mumbai-ola, india-mumbai-rapido, ola-mumbai, rapido-mumbai, uber-mumbai</t>
        </is>
      </c>
      <c r="F186" s="41" t="n">
        <v>5</v>
      </c>
      <c r="G186" s="42" t="n">
        <v>6.2</v>
      </c>
      <c r="H186" s="35" t="n"/>
      <c r="I186" s="43" t="inlineStr">
        <is>
          <t>T3</t>
        </is>
      </c>
      <c r="J186" s="43" t="inlineStr">
        <is>
          <t>med-low</t>
        </is>
      </c>
      <c r="K186" s="29" t="n">
        <v>1</v>
      </c>
      <c r="L186" s="44">
        <f>60*G186/cruise_kt</f>
        <v/>
      </c>
      <c r="M186" s="44">
        <f>L186+turn_min+dwell_min</f>
        <v/>
      </c>
      <c r="N186" s="45">
        <f>MIN(10,FLOOR(60*service_hr/M186,1))</f>
        <v/>
      </c>
      <c r="O186" s="45">
        <f>ROUND(365*mech_uptime*K186,0)</f>
        <v/>
      </c>
      <c r="P186" s="46">
        <f>mech_uptime</f>
        <v/>
      </c>
      <c r="Q186" s="46">
        <f>revleg_sel</f>
        <v/>
      </c>
      <c r="R186" s="45">
        <f>ROUND(N186*O186*revleg_sel,0)</f>
        <v/>
      </c>
      <c r="S186" s="47">
        <f>load_sel</f>
        <v/>
      </c>
      <c r="T186" s="47">
        <f>pax_cap*S186</f>
        <v/>
      </c>
      <c r="U186" s="45">
        <f>T186*R186</f>
        <v/>
      </c>
      <c r="V186" s="48">
        <f>H186*discount</f>
        <v/>
      </c>
      <c r="W186" s="49">
        <f>V186*U186</f>
        <v/>
      </c>
      <c r="X186" s="49">
        <f>(battery/range_nm)*G186*R186*VLOOKUP(B186,country_opex,3,FALSE)</f>
        <v/>
      </c>
      <c r="Y186" s="49">
        <f>VLOOKUP(B186,country_opex,2,FALSE)*crew_factor</f>
        <v/>
      </c>
      <c r="Z186" s="49">
        <f>VLOOKUP(B186,country_opex,5,FALSE)</f>
        <v/>
      </c>
      <c r="AA186" s="49">
        <f>maint</f>
        <v/>
      </c>
      <c r="AB186" s="49">
        <f>VLOOKUP(B186,country_opex,7,FALSE)*ins_pct</f>
        <v/>
      </c>
      <c r="AC186" s="49">
        <f>charge_berth</f>
        <v/>
      </c>
      <c r="AD186" s="49">
        <f>X186+Y186+Z186+AA186+AB186+AC186</f>
        <v/>
      </c>
      <c r="AE186" s="49">
        <f>VLOOKUP(B186,country_opex,7,FALSE)/dep_years</f>
        <v/>
      </c>
      <c r="AF186" s="49">
        <f>W186-AD186</f>
        <v/>
      </c>
      <c r="AG186" s="46">
        <f>IF(W186=0,"",AF186/W186)</f>
        <v/>
      </c>
      <c r="AH186" s="47">
        <f>IF(AF186&lt;=0,"",VLOOKUP(B186,country_opex,7,FALSE)/AF186)</f>
        <v/>
      </c>
      <c r="AI186" s="44">
        <f>((G186*R186/diesel_nmpg)*diesel_co2pg-(battery/range_nm)*G186*R186*VLOOKUP(B186,country_opex,4,FALSE))/1000</f>
        <v/>
      </c>
      <c r="AJ186" s="42" t="n">
        <v>10909</v>
      </c>
      <c r="AK186" s="43" t="inlineStr">
        <is>
          <t>T3</t>
        </is>
      </c>
      <c r="AL186" s="43" t="inlineStr">
        <is>
          <t>med-low</t>
        </is>
      </c>
      <c r="AM186" s="50" t="n">
        <v>0.1</v>
      </c>
      <c r="AN186" s="45">
        <f>IF(AJ186="","",AJ186*AM186)</f>
        <v/>
      </c>
      <c r="AO186" s="45">
        <f>IF(OR(AJ186="",U186=0),"",MIN(IF(AV186="",9.9E+99,AV186),FLOOR(AN186/U186,1)))</f>
        <v/>
      </c>
      <c r="AP186" s="49">
        <f>IF(AO186="","",AO186*W186)</f>
        <v/>
      </c>
      <c r="AQ186" s="47">
        <f>IF(OR(AJ186="",U186=0),"",MIN(IF(AV186="",9.9E+99,AV186),AN186/U186))</f>
        <v/>
      </c>
      <c r="AR186" s="49">
        <f>IF(AQ186="","",AQ186*W186)</f>
        <v/>
      </c>
      <c r="AS186" s="51" t="n"/>
      <c r="AT186" s="52" t="n"/>
      <c r="AU186" s="52" t="inlineStr">
        <is>
          <t>experience_upside</t>
        </is>
      </c>
      <c r="AV186" s="53" t="n"/>
      <c r="AW186" s="54">
        <f>IF(((V186*pax_cap*load_thin*ROUND(N186*O186*revleg_thin,0))-(((battery/range_nm)*G186*ROUND(N186*O186*revleg_thin,0)*VLOOKUP(B186,country_opex,3,FALSE))+Y186+Z186+AA186+AB186+AC186))&lt;=0,"",VLOOKUP(B186,country_opex,7,FALSE)/((V186*pax_cap*load_thin*ROUND(N186*O186*revleg_thin,0))-(((battery/range_nm)*G186*ROUND(N186*O186*revleg_thin,0)*VLOOKUP(B186,country_opex,3,FALSE))+Y186+Z186+AA186+AB186+AC186)))</f>
        <v/>
      </c>
      <c r="AX186" s="54">
        <f>IF(((V186*pax_cap*load_mid*ROUND(N186*O186*revleg_mid,0))-(((battery/range_nm)*G186*ROUND(N186*O186*revleg_mid,0)*VLOOKUP(B186,country_opex,3,FALSE))+Y186+Z186+AA186+AB186+AC186))&lt;=0,"",VLOOKUP(B186,country_opex,7,FALSE)/((V186*pax_cap*load_mid*ROUND(N186*O186*revleg_mid,0))-(((battery/range_nm)*G186*ROUND(N186*O186*revleg_mid,0)*VLOOKUP(B186,country_opex,3,FALSE))+Y186+Z186+AA186+AB186+AC186)))</f>
        <v/>
      </c>
      <c r="AY186" s="54">
        <f>IF(((V186*pax_cap*load_full*ROUND(N186*O186*revleg_full,0))-(((battery/range_nm)*G186*ROUND(N186*O186*revleg_full,0)*VLOOKUP(B186,country_opex,3,FALSE))+Y186+Z186+AA186+AB186+AC186))&lt;=0,"",VLOOKUP(B186,country_opex,7,FALSE)/((V186*pax_cap*load_full*ROUND(N186*O186*revleg_full,0))-(((battery/range_nm)*G186*ROUND(N186*O186*revleg_full,0)*VLOOKUP(B186,country_opex,3,FALSE))+Y186+Z186+AA186+AB186+AC186)))</f>
        <v/>
      </c>
      <c r="AZ186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186" s="40" t="inlineStr">
        <is>
          <t>PR #58 Mumbai spine route-count split (11 sealed rows × anchor 120,000 pax/yr)</t>
        </is>
      </c>
    </row>
    <row r="187">
      <c r="A187" s="38" t="inlineStr">
        <is>
          <t>India Mumbai Rapido</t>
        </is>
      </c>
      <c r="B187" s="38" t="inlineStr">
        <is>
          <t>India</t>
        </is>
      </c>
      <c r="C187" s="39" t="inlineStr">
        <is>
          <t>Mora → Marina Bay Bistro @KARANJA Fishing Dock</t>
        </is>
      </c>
      <c r="D187" s="38" t="inlineStr">
        <is>
          <t>rapido</t>
        </is>
      </c>
      <c r="E187" s="40" t="inlineStr">
        <is>
          <t>india-mumbai-ola, india-mumbai-rapido</t>
        </is>
      </c>
      <c r="F187" s="41" t="n">
        <v>2</v>
      </c>
      <c r="G187" s="42" t="n">
        <v>6.7</v>
      </c>
      <c r="H187" s="35" t="n">
        <v>18</v>
      </c>
      <c r="I187" s="43" t="inlineStr">
        <is>
          <t>T3</t>
        </is>
      </c>
      <c r="J187" s="43" t="inlineStr">
        <is>
          <t>med-low</t>
        </is>
      </c>
      <c r="K187" s="29" t="n">
        <v>1</v>
      </c>
      <c r="L187" s="44">
        <f>60*G187/cruise_kt</f>
        <v/>
      </c>
      <c r="M187" s="44">
        <f>L187+turn_min+dwell_min</f>
        <v/>
      </c>
      <c r="N187" s="45">
        <f>MIN(10,FLOOR(60*service_hr/M187,1))</f>
        <v/>
      </c>
      <c r="O187" s="45">
        <f>ROUND(365*mech_uptime*K187,0)</f>
        <v/>
      </c>
      <c r="P187" s="46">
        <f>mech_uptime</f>
        <v/>
      </c>
      <c r="Q187" s="46">
        <f>revleg_sel</f>
        <v/>
      </c>
      <c r="R187" s="45">
        <f>ROUND(N187*O187*revleg_sel,0)</f>
        <v/>
      </c>
      <c r="S187" s="47">
        <f>load_sel</f>
        <v/>
      </c>
      <c r="T187" s="47">
        <f>pax_cap*S187</f>
        <v/>
      </c>
      <c r="U187" s="45">
        <f>T187*R187</f>
        <v/>
      </c>
      <c r="V187" s="48">
        <f>H187*discount</f>
        <v/>
      </c>
      <c r="W187" s="49">
        <f>V187*U187</f>
        <v/>
      </c>
      <c r="X187" s="49">
        <f>(battery/range_nm)*G187*R187*VLOOKUP(B187,country_opex,3,FALSE)</f>
        <v/>
      </c>
      <c r="Y187" s="49">
        <f>VLOOKUP(B187,country_opex,2,FALSE)*crew_factor</f>
        <v/>
      </c>
      <c r="Z187" s="49">
        <f>VLOOKUP(B187,country_opex,5,FALSE)</f>
        <v/>
      </c>
      <c r="AA187" s="49">
        <f>maint</f>
        <v/>
      </c>
      <c r="AB187" s="49">
        <f>VLOOKUP(B187,country_opex,7,FALSE)*ins_pct</f>
        <v/>
      </c>
      <c r="AC187" s="49">
        <f>charge_berth</f>
        <v/>
      </c>
      <c r="AD187" s="49">
        <f>X187+Y187+Z187+AA187+AB187+AC187</f>
        <v/>
      </c>
      <c r="AE187" s="49">
        <f>VLOOKUP(B187,country_opex,7,FALSE)/dep_years</f>
        <v/>
      </c>
      <c r="AF187" s="49">
        <f>W187-AD187</f>
        <v/>
      </c>
      <c r="AG187" s="46">
        <f>IF(W187=0,"",AF187/W187)</f>
        <v/>
      </c>
      <c r="AH187" s="47">
        <f>IF(AF187&lt;=0,"",VLOOKUP(B187,country_opex,7,FALSE)/AF187)</f>
        <v/>
      </c>
      <c r="AI187" s="44">
        <f>((G187*R187/diesel_nmpg)*diesel_co2pg-(battery/range_nm)*G187*R187*VLOOKUP(B187,country_opex,4,FALSE))/1000</f>
        <v/>
      </c>
      <c r="AJ187" s="42" t="n">
        <v>5000</v>
      </c>
      <c r="AK187" s="43" t="inlineStr">
        <is>
          <t>T3</t>
        </is>
      </c>
      <c r="AL187" s="43" t="inlineStr">
        <is>
          <t>med-low</t>
        </is>
      </c>
      <c r="AM187" s="50" t="n">
        <v>0.1</v>
      </c>
      <c r="AN187" s="45">
        <f>IF(AJ187="","",AJ187*AM187)</f>
        <v/>
      </c>
      <c r="AO187" s="45">
        <f>IF(OR(AJ187="",U187=0),"",MIN(IF(AV187="",9.9E+99,AV187),FLOOR(AN187/U187,1)))</f>
        <v/>
      </c>
      <c r="AP187" s="49">
        <f>IF(AO187="","",AO187*W187)</f>
        <v/>
      </c>
      <c r="AQ187" s="47">
        <f>IF(OR(AJ187="",U187=0),"",MIN(IF(AV187="",9.9E+99,AV187),AN187/U187))</f>
        <v/>
      </c>
      <c r="AR187" s="49">
        <f>IF(AQ187="","",AQ187*W187)</f>
        <v/>
      </c>
      <c r="AS187" s="51" t="n"/>
      <c r="AT187" s="52" t="n"/>
      <c r="AU187" s="52" t="n"/>
      <c r="AV187" s="53" t="n"/>
      <c r="AW187" s="54">
        <f>IF(((V187*pax_cap*load_thin*ROUND(N187*O187*revleg_thin,0))-(((battery/range_nm)*G187*ROUND(N187*O187*revleg_thin,0)*VLOOKUP(B187,country_opex,3,FALSE))+Y187+Z187+AA187+AB187+AC187))&lt;=0,"",VLOOKUP(B187,country_opex,7,FALSE)/((V187*pax_cap*load_thin*ROUND(N187*O187*revleg_thin,0))-(((battery/range_nm)*G187*ROUND(N187*O187*revleg_thin,0)*VLOOKUP(B187,country_opex,3,FALSE))+Y187+Z187+AA187+AB187+AC187)))</f>
        <v/>
      </c>
      <c r="AX187" s="54">
        <f>IF(((V187*pax_cap*load_mid*ROUND(N187*O187*revleg_mid,0))-(((battery/range_nm)*G187*ROUND(N187*O187*revleg_mid,0)*VLOOKUP(B187,country_opex,3,FALSE))+Y187+Z187+AA187+AB187+AC187))&lt;=0,"",VLOOKUP(B187,country_opex,7,FALSE)/((V187*pax_cap*load_mid*ROUND(N187*O187*revleg_mid,0))-(((battery/range_nm)*G187*ROUND(N187*O187*revleg_mid,0)*VLOOKUP(B187,country_opex,3,FALSE))+Y187+Z187+AA187+AB187+AC187)))</f>
        <v/>
      </c>
      <c r="AY187" s="54">
        <f>IF(((V187*pax_cap*load_full*ROUND(N187*O187*revleg_full,0))-(((battery/range_nm)*G187*ROUND(N187*O187*revleg_full,0)*VLOOKUP(B187,country_opex,3,FALSE))+Y187+Z187+AA187+AB187+AC187))&lt;=0,"",VLOOKUP(B187,country_opex,7,FALSE)/((V187*pax_cap*load_full*ROUND(N187*O187*revleg_full,0))-(((battery/range_nm)*G187*ROUND(N187*O187*revleg_full,0)*VLOOKUP(B187,country_opex,3,FALSE))+Y187+Z187+AA187+AB187+AC187)))</f>
        <v/>
      </c>
      <c r="AZ187" s="40" t="inlineStr">
        <is>
          <t>[LB-255 PREMIUM RE-FARE: subsidized comparable $5.5 lifted to premium on-demand floor $18.0] handoff/INDIA-ECONOMICS-SIDECAR-V0-2026-06-20.json (mumbai)</t>
        </is>
      </c>
      <c r="BA187" s="40" t="inlineStr">
        <is>
          <t>handoff/INDIA-ECONOMICS-SIDECAR-V0-2026-06-20.json (mumbai)</t>
        </is>
      </c>
    </row>
    <row r="188">
      <c r="A188" s="38" t="inlineStr">
        <is>
          <t>India Goa Rapido</t>
        </is>
      </c>
      <c r="B188" s="38" t="inlineStr">
        <is>
          <t>India</t>
        </is>
      </c>
      <c r="C188" s="39" t="inlineStr">
        <is>
          <t>Villa Marina → Marina Russian B2B Thai Spa Service near me</t>
        </is>
      </c>
      <c r="D188" s="38" t="inlineStr">
        <is>
          <t>rapido</t>
        </is>
      </c>
      <c r="E188" s="40" t="inlineStr">
        <is>
          <t>india-goa-ola, india-goa-rapido</t>
        </is>
      </c>
      <c r="F188" s="41" t="n">
        <v>2</v>
      </c>
      <c r="G188" s="42" t="n">
        <v>6.7</v>
      </c>
      <c r="H188" s="35" t="n">
        <v>8</v>
      </c>
      <c r="I188" s="43" t="inlineStr">
        <is>
          <t>T3</t>
        </is>
      </c>
      <c r="J188" s="43" t="inlineStr">
        <is>
          <t>med-low</t>
        </is>
      </c>
      <c r="K188" s="29" t="n">
        <v>1</v>
      </c>
      <c r="L188" s="44">
        <f>60*G188/cruise_kt</f>
        <v/>
      </c>
      <c r="M188" s="44">
        <f>L188+turn_min+dwell_min</f>
        <v/>
      </c>
      <c r="N188" s="45">
        <f>MIN(10,FLOOR(60*service_hr/M188,1))</f>
        <v/>
      </c>
      <c r="O188" s="45">
        <f>ROUND(365*mech_uptime*K188,0)</f>
        <v/>
      </c>
      <c r="P188" s="46">
        <f>mech_uptime</f>
        <v/>
      </c>
      <c r="Q188" s="46">
        <f>revleg_sel</f>
        <v/>
      </c>
      <c r="R188" s="45">
        <f>ROUND(N188*O188*revleg_sel,0)</f>
        <v/>
      </c>
      <c r="S188" s="47">
        <f>load_sel</f>
        <v/>
      </c>
      <c r="T188" s="47">
        <f>pax_cap*S188</f>
        <v/>
      </c>
      <c r="U188" s="45">
        <f>T188*R188</f>
        <v/>
      </c>
      <c r="V188" s="48">
        <f>H188*discount</f>
        <v/>
      </c>
      <c r="W188" s="49">
        <f>V188*U188</f>
        <v/>
      </c>
      <c r="X188" s="49">
        <f>(battery/range_nm)*G188*R188*VLOOKUP(B188,country_opex,3,FALSE)</f>
        <v/>
      </c>
      <c r="Y188" s="49">
        <f>VLOOKUP(B188,country_opex,2,FALSE)*crew_factor</f>
        <v/>
      </c>
      <c r="Z188" s="49">
        <f>VLOOKUP(B188,country_opex,5,FALSE)</f>
        <v/>
      </c>
      <c r="AA188" s="49">
        <f>maint</f>
        <v/>
      </c>
      <c r="AB188" s="49">
        <f>VLOOKUP(B188,country_opex,7,FALSE)*ins_pct</f>
        <v/>
      </c>
      <c r="AC188" s="49">
        <f>charge_berth</f>
        <v/>
      </c>
      <c r="AD188" s="49">
        <f>X188+Y188+Z188+AA188+AB188+AC188</f>
        <v/>
      </c>
      <c r="AE188" s="49">
        <f>VLOOKUP(B188,country_opex,7,FALSE)/dep_years</f>
        <v/>
      </c>
      <c r="AF188" s="49">
        <f>W188-AD188</f>
        <v/>
      </c>
      <c r="AG188" s="46">
        <f>IF(W188=0,"",AF188/W188)</f>
        <v/>
      </c>
      <c r="AH188" s="47">
        <f>IF(AF188&lt;=0,"",VLOOKUP(B188,country_opex,7,FALSE)/AF188)</f>
        <v/>
      </c>
      <c r="AI188" s="44">
        <f>((G188*R188/diesel_nmpg)*diesel_co2pg-(battery/range_nm)*G188*R188*VLOOKUP(B188,country_opex,4,FALSE))/1000</f>
        <v/>
      </c>
      <c r="AJ188" s="42" t="n">
        <v>11250</v>
      </c>
      <c r="AK188" s="43" t="inlineStr">
        <is>
          <t>T3</t>
        </is>
      </c>
      <c r="AL188" s="43" t="inlineStr">
        <is>
          <t>med-low</t>
        </is>
      </c>
      <c r="AM188" s="50" t="n">
        <v>0.1</v>
      </c>
      <c r="AN188" s="45">
        <f>IF(AJ188="","",AJ188*AM188)</f>
        <v/>
      </c>
      <c r="AO188" s="45">
        <f>IF(OR(AJ188="",U188=0),"",MIN(IF(AV188="",9.9E+99,AV188),FLOOR(AN188/U188,1)))</f>
        <v/>
      </c>
      <c r="AP188" s="49">
        <f>IF(AO188="","",AO188*W188)</f>
        <v/>
      </c>
      <c r="AQ188" s="47">
        <f>IF(OR(AJ188="",U188=0),"",MIN(IF(AV188="",9.9E+99,AV188),AN188/U188))</f>
        <v/>
      </c>
      <c r="AR188" s="49">
        <f>IF(AQ188="","",AQ188*W188)</f>
        <v/>
      </c>
      <c r="AS188" s="51" t="n"/>
      <c r="AT188" s="52" t="n"/>
      <c r="AU188" s="52" t="n"/>
      <c r="AV188" s="53" t="n"/>
      <c r="AW188" s="54">
        <f>IF(((V188*pax_cap*load_thin*ROUND(N188*O188*revleg_thin,0))-(((battery/range_nm)*G188*ROUND(N188*O188*revleg_thin,0)*VLOOKUP(B188,country_opex,3,FALSE))+Y188+Z188+AA188+AB188+AC188))&lt;=0,"",VLOOKUP(B188,country_opex,7,FALSE)/((V188*pax_cap*load_thin*ROUND(N188*O188*revleg_thin,0))-(((battery/range_nm)*G188*ROUND(N188*O188*revleg_thin,0)*VLOOKUP(B188,country_opex,3,FALSE))+Y188+Z188+AA188+AB188+AC188)))</f>
        <v/>
      </c>
      <c r="AX188" s="54">
        <f>IF(((V188*pax_cap*load_mid*ROUND(N188*O188*revleg_mid,0))-(((battery/range_nm)*G188*ROUND(N188*O188*revleg_mid,0)*VLOOKUP(B188,country_opex,3,FALSE))+Y188+Z188+AA188+AB188+AC188))&lt;=0,"",VLOOKUP(B188,country_opex,7,FALSE)/((V188*pax_cap*load_mid*ROUND(N188*O188*revleg_mid,0))-(((battery/range_nm)*G188*ROUND(N188*O188*revleg_mid,0)*VLOOKUP(B188,country_opex,3,FALSE))+Y188+Z188+AA188+AB188+AC188)))</f>
        <v/>
      </c>
      <c r="AY188" s="54">
        <f>IF(((V188*pax_cap*load_full*ROUND(N188*O188*revleg_full,0))-(((battery/range_nm)*G188*ROUND(N188*O188*revleg_full,0)*VLOOKUP(B188,country_opex,3,FALSE))+Y188+Z188+AA188+AB188+AC188))&lt;=0,"",VLOOKUP(B188,country_opex,7,FALSE)/((V188*pax_cap*load_full*ROUND(N188*O188*revleg_full,0))-(((battery/range_nm)*G188*ROUND(N188*O188*revleg_full,0)*VLOOKUP(B188,country_opex,3,FALSE))+Y188+Z188+AA188+AB188+AC188)))</f>
        <v/>
      </c>
      <c r="AZ188" s="40" t="inlineStr">
        <is>
          <t>handoff/INDIA-ECONOMICS-SIDECAR-V0-2026-06-20.json (goa)</t>
        </is>
      </c>
      <c r="BA188" s="40" t="inlineStr">
        <is>
          <t>handoff/INDIA-ECONOMICS-SIDECAR-V0-2026-06-20.json (goa)</t>
        </is>
      </c>
    </row>
    <row r="189">
      <c r="A189" s="38" t="inlineStr">
        <is>
          <t>India Kerala Rapido</t>
        </is>
      </c>
      <c r="B189" s="38" t="inlineStr">
        <is>
          <t>India</t>
        </is>
      </c>
      <c r="C189" s="39" t="inlineStr">
        <is>
          <t>Willingdon Island → Kerala Backwaters &amp; Kochi</t>
        </is>
      </c>
      <c r="D189" s="38" t="inlineStr">
        <is>
          <t>rapido</t>
        </is>
      </c>
      <c r="E189" s="40" t="inlineStr">
        <is>
          <t>india-kerala-ola, india-kerala-rapido</t>
        </is>
      </c>
      <c r="F189" s="41" t="n">
        <v>6</v>
      </c>
      <c r="G189" s="42" t="n">
        <v>6.8</v>
      </c>
      <c r="H189" s="35" t="n">
        <v>18</v>
      </c>
      <c r="I189" s="43" t="inlineStr">
        <is>
          <t>T3</t>
        </is>
      </c>
      <c r="J189" s="43" t="inlineStr">
        <is>
          <t>med-low</t>
        </is>
      </c>
      <c r="K189" s="29" t="n">
        <v>1</v>
      </c>
      <c r="L189" s="44">
        <f>60*G189/cruise_kt</f>
        <v/>
      </c>
      <c r="M189" s="44">
        <f>L189+turn_min+dwell_min</f>
        <v/>
      </c>
      <c r="N189" s="45">
        <f>MIN(10,FLOOR(60*service_hr/M189,1))</f>
        <v/>
      </c>
      <c r="O189" s="45">
        <f>ROUND(365*mech_uptime*K189,0)</f>
        <v/>
      </c>
      <c r="P189" s="46">
        <f>mech_uptime</f>
        <v/>
      </c>
      <c r="Q189" s="46">
        <f>revleg_sel</f>
        <v/>
      </c>
      <c r="R189" s="45">
        <f>ROUND(N189*O189*revleg_sel,0)</f>
        <v/>
      </c>
      <c r="S189" s="47">
        <f>load_sel</f>
        <v/>
      </c>
      <c r="T189" s="47">
        <f>pax_cap*S189</f>
        <v/>
      </c>
      <c r="U189" s="45">
        <f>T189*R189</f>
        <v/>
      </c>
      <c r="V189" s="48">
        <f>H189*discount</f>
        <v/>
      </c>
      <c r="W189" s="49">
        <f>V189*U189</f>
        <v/>
      </c>
      <c r="X189" s="49">
        <f>(battery/range_nm)*G189*R189*VLOOKUP(B189,country_opex,3,FALSE)</f>
        <v/>
      </c>
      <c r="Y189" s="49">
        <f>VLOOKUP(B189,country_opex,2,FALSE)*crew_factor</f>
        <v/>
      </c>
      <c r="Z189" s="49">
        <f>VLOOKUP(B189,country_opex,5,FALSE)</f>
        <v/>
      </c>
      <c r="AA189" s="49">
        <f>maint</f>
        <v/>
      </c>
      <c r="AB189" s="49">
        <f>VLOOKUP(B189,country_opex,7,FALSE)*ins_pct</f>
        <v/>
      </c>
      <c r="AC189" s="49">
        <f>charge_berth</f>
        <v/>
      </c>
      <c r="AD189" s="49">
        <f>X189+Y189+Z189+AA189+AB189+AC189</f>
        <v/>
      </c>
      <c r="AE189" s="49">
        <f>VLOOKUP(B189,country_opex,7,FALSE)/dep_years</f>
        <v/>
      </c>
      <c r="AF189" s="49">
        <f>W189-AD189</f>
        <v/>
      </c>
      <c r="AG189" s="46">
        <f>IF(W189=0,"",AF189/W189)</f>
        <v/>
      </c>
      <c r="AH189" s="47">
        <f>IF(AF189&lt;=0,"",VLOOKUP(B189,country_opex,7,FALSE)/AF189)</f>
        <v/>
      </c>
      <c r="AI189" s="44">
        <f>((G189*R189/diesel_nmpg)*diesel_co2pg-(battery/range_nm)*G189*R189*VLOOKUP(B189,country_opex,4,FALSE))/1000</f>
        <v/>
      </c>
      <c r="AJ189" s="42" t="n">
        <v>29166</v>
      </c>
      <c r="AK189" s="43" t="inlineStr">
        <is>
          <t>T3</t>
        </is>
      </c>
      <c r="AL189" s="43" t="inlineStr">
        <is>
          <t>med-low</t>
        </is>
      </c>
      <c r="AM189" s="50" t="n">
        <v>0.1</v>
      </c>
      <c r="AN189" s="45">
        <f>IF(AJ189="","",AJ189*AM189)</f>
        <v/>
      </c>
      <c r="AO189" s="45">
        <f>IF(OR(AJ189="",U189=0),"",MIN(IF(AV189="",9.9E+99,AV189),FLOOR(AN189/U189,1)))</f>
        <v/>
      </c>
      <c r="AP189" s="49">
        <f>IF(AO189="","",AO189*W189)</f>
        <v/>
      </c>
      <c r="AQ189" s="47">
        <f>IF(OR(AJ189="",U189=0),"",MIN(IF(AV189="",9.9E+99,AV189),AN189/U189))</f>
        <v/>
      </c>
      <c r="AR189" s="49">
        <f>IF(AQ189="","",AQ189*W189)</f>
        <v/>
      </c>
      <c r="AS189" s="51" t="n"/>
      <c r="AT189" s="52" t="n"/>
      <c r="AU189" s="52" t="n"/>
      <c r="AV189" s="53" t="n"/>
      <c r="AW189" s="54">
        <f>IF(((V189*pax_cap*load_thin*ROUND(N189*O189*revleg_thin,0))-(((battery/range_nm)*G189*ROUND(N189*O189*revleg_thin,0)*VLOOKUP(B189,country_opex,3,FALSE))+Y189+Z189+AA189+AB189+AC189))&lt;=0,"",VLOOKUP(B189,country_opex,7,FALSE)/((V189*pax_cap*load_thin*ROUND(N189*O189*revleg_thin,0))-(((battery/range_nm)*G189*ROUND(N189*O189*revleg_thin,0)*VLOOKUP(B189,country_opex,3,FALSE))+Y189+Z189+AA189+AB189+AC189)))</f>
        <v/>
      </c>
      <c r="AX189" s="54">
        <f>IF(((V189*pax_cap*load_mid*ROUND(N189*O189*revleg_mid,0))-(((battery/range_nm)*G189*ROUND(N189*O189*revleg_mid,0)*VLOOKUP(B189,country_opex,3,FALSE))+Y189+Z189+AA189+AB189+AC189))&lt;=0,"",VLOOKUP(B189,country_opex,7,FALSE)/((V189*pax_cap*load_mid*ROUND(N189*O189*revleg_mid,0))-(((battery/range_nm)*G189*ROUND(N189*O189*revleg_mid,0)*VLOOKUP(B189,country_opex,3,FALSE))+Y189+Z189+AA189+AB189+AC189)))</f>
        <v/>
      </c>
      <c r="AY189" s="54">
        <f>IF(((V189*pax_cap*load_full*ROUND(N189*O189*revleg_full,0))-(((battery/range_nm)*G189*ROUND(N189*O189*revleg_full,0)*VLOOKUP(B189,country_opex,3,FALSE))+Y189+Z189+AA189+AB189+AC189))&lt;=0,"",VLOOKUP(B189,country_opex,7,FALSE)/((V189*pax_cap*load_full*ROUND(N189*O189*revleg_full,0))-(((battery/range_nm)*G189*ROUND(N189*O189*revleg_full,0)*VLOOKUP(B189,country_opex,3,FALSE))+Y189+Z189+AA189+AB189+AC189)))</f>
        <v/>
      </c>
      <c r="AZ189" s="40" t="inlineStr">
        <is>
          <t>[LB-255 PREMIUM RE-FARE: subsidized comparable $3.5 lifted to premium on-demand floor $18.0] handoff/INDIA-ECONOMICS-SIDECAR-V0-2026-06-20.json (kerala)</t>
        </is>
      </c>
      <c r="BA189" s="40" t="inlineStr">
        <is>
          <t>handoff/INDIA-ECONOMICS-SIDECAR-V0-2026-06-20.json (kerala)</t>
        </is>
      </c>
    </row>
    <row r="190">
      <c r="A190" s="38" t="inlineStr">
        <is>
          <t>India Goa Rapido</t>
        </is>
      </c>
      <c r="B190" s="38" t="inlineStr">
        <is>
          <t>India</t>
        </is>
      </c>
      <c r="C190" s="39" t="inlineStr">
        <is>
          <t>Marina Russian B2B Thai Spa Service near me → Goveia Marina</t>
        </is>
      </c>
      <c r="D190" s="38" t="inlineStr">
        <is>
          <t>rapido</t>
        </is>
      </c>
      <c r="E190" s="40" t="inlineStr">
        <is>
          <t>india-goa-ola, india-goa-rapido</t>
        </is>
      </c>
      <c r="F190" s="41" t="n">
        <v>2</v>
      </c>
      <c r="G190" s="42" t="n">
        <v>7.5</v>
      </c>
      <c r="H190" s="35" t="n">
        <v>8</v>
      </c>
      <c r="I190" s="43" t="inlineStr">
        <is>
          <t>T3</t>
        </is>
      </c>
      <c r="J190" s="43" t="inlineStr">
        <is>
          <t>med-low</t>
        </is>
      </c>
      <c r="K190" s="29" t="n">
        <v>1</v>
      </c>
      <c r="L190" s="44">
        <f>60*G190/cruise_kt</f>
        <v/>
      </c>
      <c r="M190" s="44">
        <f>L190+turn_min+dwell_min</f>
        <v/>
      </c>
      <c r="N190" s="45">
        <f>MIN(10,FLOOR(60*service_hr/M190,1))</f>
        <v/>
      </c>
      <c r="O190" s="45">
        <f>ROUND(365*mech_uptime*K190,0)</f>
        <v/>
      </c>
      <c r="P190" s="46">
        <f>mech_uptime</f>
        <v/>
      </c>
      <c r="Q190" s="46">
        <f>revleg_sel</f>
        <v/>
      </c>
      <c r="R190" s="45">
        <f>ROUND(N190*O190*revleg_sel,0)</f>
        <v/>
      </c>
      <c r="S190" s="47">
        <f>load_sel</f>
        <v/>
      </c>
      <c r="T190" s="47">
        <f>pax_cap*S190</f>
        <v/>
      </c>
      <c r="U190" s="45">
        <f>T190*R190</f>
        <v/>
      </c>
      <c r="V190" s="48">
        <f>H190*discount</f>
        <v/>
      </c>
      <c r="W190" s="49">
        <f>V190*U190</f>
        <v/>
      </c>
      <c r="X190" s="49">
        <f>(battery/range_nm)*G190*R190*VLOOKUP(B190,country_opex,3,FALSE)</f>
        <v/>
      </c>
      <c r="Y190" s="49">
        <f>VLOOKUP(B190,country_opex,2,FALSE)*crew_factor</f>
        <v/>
      </c>
      <c r="Z190" s="49">
        <f>VLOOKUP(B190,country_opex,5,FALSE)</f>
        <v/>
      </c>
      <c r="AA190" s="49">
        <f>maint</f>
        <v/>
      </c>
      <c r="AB190" s="49">
        <f>VLOOKUP(B190,country_opex,7,FALSE)*ins_pct</f>
        <v/>
      </c>
      <c r="AC190" s="49">
        <f>charge_berth</f>
        <v/>
      </c>
      <c r="AD190" s="49">
        <f>X190+Y190+Z190+AA190+AB190+AC190</f>
        <v/>
      </c>
      <c r="AE190" s="49">
        <f>VLOOKUP(B190,country_opex,7,FALSE)/dep_years</f>
        <v/>
      </c>
      <c r="AF190" s="49">
        <f>W190-AD190</f>
        <v/>
      </c>
      <c r="AG190" s="46">
        <f>IF(W190=0,"",AF190/W190)</f>
        <v/>
      </c>
      <c r="AH190" s="47">
        <f>IF(AF190&lt;=0,"",VLOOKUP(B190,country_opex,7,FALSE)/AF190)</f>
        <v/>
      </c>
      <c r="AI190" s="44">
        <f>((G190*R190/diesel_nmpg)*diesel_co2pg-(battery/range_nm)*G190*R190*VLOOKUP(B190,country_opex,4,FALSE))/1000</f>
        <v/>
      </c>
      <c r="AJ190" s="42" t="n">
        <v>11250</v>
      </c>
      <c r="AK190" s="43" t="inlineStr">
        <is>
          <t>T3</t>
        </is>
      </c>
      <c r="AL190" s="43" t="inlineStr">
        <is>
          <t>med-low</t>
        </is>
      </c>
      <c r="AM190" s="50" t="n">
        <v>0.1</v>
      </c>
      <c r="AN190" s="45">
        <f>IF(AJ190="","",AJ190*AM190)</f>
        <v/>
      </c>
      <c r="AO190" s="45">
        <f>IF(OR(AJ190="",U190=0),"",MIN(IF(AV190="",9.9E+99,AV190),FLOOR(AN190/U190,1)))</f>
        <v/>
      </c>
      <c r="AP190" s="49">
        <f>IF(AO190="","",AO190*W190)</f>
        <v/>
      </c>
      <c r="AQ190" s="47">
        <f>IF(OR(AJ190="",U190=0),"",MIN(IF(AV190="",9.9E+99,AV190),AN190/U190))</f>
        <v/>
      </c>
      <c r="AR190" s="49">
        <f>IF(AQ190="","",AQ190*W190)</f>
        <v/>
      </c>
      <c r="AS190" s="51" t="n"/>
      <c r="AT190" s="52" t="n"/>
      <c r="AU190" s="52" t="n"/>
      <c r="AV190" s="53" t="n"/>
      <c r="AW190" s="54">
        <f>IF(((V190*pax_cap*load_thin*ROUND(N190*O190*revleg_thin,0))-(((battery/range_nm)*G190*ROUND(N190*O190*revleg_thin,0)*VLOOKUP(B190,country_opex,3,FALSE))+Y190+Z190+AA190+AB190+AC190))&lt;=0,"",VLOOKUP(B190,country_opex,7,FALSE)/((V190*pax_cap*load_thin*ROUND(N190*O190*revleg_thin,0))-(((battery/range_nm)*G190*ROUND(N190*O190*revleg_thin,0)*VLOOKUP(B190,country_opex,3,FALSE))+Y190+Z190+AA190+AB190+AC190)))</f>
        <v/>
      </c>
      <c r="AX190" s="54">
        <f>IF(((V190*pax_cap*load_mid*ROUND(N190*O190*revleg_mid,0))-(((battery/range_nm)*G190*ROUND(N190*O190*revleg_mid,0)*VLOOKUP(B190,country_opex,3,FALSE))+Y190+Z190+AA190+AB190+AC190))&lt;=0,"",VLOOKUP(B190,country_opex,7,FALSE)/((V190*pax_cap*load_mid*ROUND(N190*O190*revleg_mid,0))-(((battery/range_nm)*G190*ROUND(N190*O190*revleg_mid,0)*VLOOKUP(B190,country_opex,3,FALSE))+Y190+Z190+AA190+AB190+AC190)))</f>
        <v/>
      </c>
      <c r="AY190" s="54">
        <f>IF(((V190*pax_cap*load_full*ROUND(N190*O190*revleg_full,0))-(((battery/range_nm)*G190*ROUND(N190*O190*revleg_full,0)*VLOOKUP(B190,country_opex,3,FALSE))+Y190+Z190+AA190+AB190+AC190))&lt;=0,"",VLOOKUP(B190,country_opex,7,FALSE)/((V190*pax_cap*load_full*ROUND(N190*O190*revleg_full,0))-(((battery/range_nm)*G190*ROUND(N190*O190*revleg_full,0)*VLOOKUP(B190,country_opex,3,FALSE))+Y190+Z190+AA190+AB190+AC190)))</f>
        <v/>
      </c>
      <c r="AZ190" s="40" t="inlineStr">
        <is>
          <t>handoff/INDIA-ECONOMICS-SIDECAR-V0-2026-06-20.json (goa)</t>
        </is>
      </c>
      <c r="BA190" s="40" t="inlineStr">
        <is>
          <t>handoff/INDIA-ECONOMICS-SIDECAR-V0-2026-06-20.json (goa)</t>
        </is>
      </c>
    </row>
    <row r="191">
      <c r="A191" s="38" t="inlineStr">
        <is>
          <t>Ola Mumbai</t>
        </is>
      </c>
      <c r="B191" s="38" t="inlineStr">
        <is>
          <t>India</t>
        </is>
      </c>
      <c r="C191" s="39" t="inlineStr">
        <is>
          <t>Mumbai Harbour → Mandwa Jetty</t>
        </is>
      </c>
      <c r="D191" s="38" t="inlineStr">
        <is>
          <t>rapido</t>
        </is>
      </c>
      <c r="E191" s="40" t="inlineStr">
        <is>
          <t>india-mumbai-ola, india-mumbai-rapido, ola-mumbai, rapido-mumbai, uber-mumbai</t>
        </is>
      </c>
      <c r="F191" s="41" t="n">
        <v>5</v>
      </c>
      <c r="G191" s="42" t="n">
        <v>7.9</v>
      </c>
      <c r="H191" s="35" t="n"/>
      <c r="I191" s="43" t="inlineStr">
        <is>
          <t>T3</t>
        </is>
      </c>
      <c r="J191" s="43" t="inlineStr">
        <is>
          <t>med-low</t>
        </is>
      </c>
      <c r="K191" s="29" t="n">
        <v>1</v>
      </c>
      <c r="L191" s="44">
        <f>60*G191/cruise_kt</f>
        <v/>
      </c>
      <c r="M191" s="44">
        <f>L191+turn_min+dwell_min</f>
        <v/>
      </c>
      <c r="N191" s="45">
        <f>MIN(10,FLOOR(60*service_hr/M191,1))</f>
        <v/>
      </c>
      <c r="O191" s="45">
        <f>ROUND(365*mech_uptime*K191,0)</f>
        <v/>
      </c>
      <c r="P191" s="46">
        <f>mech_uptime</f>
        <v/>
      </c>
      <c r="Q191" s="46">
        <f>revleg_sel</f>
        <v/>
      </c>
      <c r="R191" s="45">
        <f>ROUND(N191*O191*revleg_sel,0)</f>
        <v/>
      </c>
      <c r="S191" s="47">
        <f>load_sel</f>
        <v/>
      </c>
      <c r="T191" s="47">
        <f>pax_cap*S191</f>
        <v/>
      </c>
      <c r="U191" s="45">
        <f>T191*R191</f>
        <v/>
      </c>
      <c r="V191" s="48">
        <f>H191*discount</f>
        <v/>
      </c>
      <c r="W191" s="49">
        <f>V191*U191</f>
        <v/>
      </c>
      <c r="X191" s="49">
        <f>(battery/range_nm)*G191*R191*VLOOKUP(B191,country_opex,3,FALSE)</f>
        <v/>
      </c>
      <c r="Y191" s="49">
        <f>VLOOKUP(B191,country_opex,2,FALSE)*crew_factor</f>
        <v/>
      </c>
      <c r="Z191" s="49">
        <f>VLOOKUP(B191,country_opex,5,FALSE)</f>
        <v/>
      </c>
      <c r="AA191" s="49">
        <f>maint</f>
        <v/>
      </c>
      <c r="AB191" s="49">
        <f>VLOOKUP(B191,country_opex,7,FALSE)*ins_pct</f>
        <v/>
      </c>
      <c r="AC191" s="49">
        <f>charge_berth</f>
        <v/>
      </c>
      <c r="AD191" s="49">
        <f>X191+Y191+Z191+AA191+AB191+AC191</f>
        <v/>
      </c>
      <c r="AE191" s="49">
        <f>VLOOKUP(B191,country_opex,7,FALSE)/dep_years</f>
        <v/>
      </c>
      <c r="AF191" s="49">
        <f>W191-AD191</f>
        <v/>
      </c>
      <c r="AG191" s="46">
        <f>IF(W191=0,"",AF191/W191)</f>
        <v/>
      </c>
      <c r="AH191" s="47">
        <f>IF(AF191&lt;=0,"",VLOOKUP(B191,country_opex,7,FALSE)/AF191)</f>
        <v/>
      </c>
      <c r="AI191" s="44">
        <f>((G191*R191/diesel_nmpg)*diesel_co2pg-(battery/range_nm)*G191*R191*VLOOKUP(B191,country_opex,4,FALSE))/1000</f>
        <v/>
      </c>
      <c r="AJ191" s="42" t="n">
        <v>10909</v>
      </c>
      <c r="AK191" s="43" t="inlineStr">
        <is>
          <t>T3</t>
        </is>
      </c>
      <c r="AL191" s="43" t="inlineStr">
        <is>
          <t>med-low</t>
        </is>
      </c>
      <c r="AM191" s="50" t="n">
        <v>0.1</v>
      </c>
      <c r="AN191" s="45">
        <f>IF(AJ191="","",AJ191*AM191)</f>
        <v/>
      </c>
      <c r="AO191" s="45">
        <f>IF(OR(AJ191="",U191=0),"",MIN(IF(AV191="",9.9E+99,AV191),FLOOR(AN191/U191,1)))</f>
        <v/>
      </c>
      <c r="AP191" s="49">
        <f>IF(AO191="","",AO191*W191)</f>
        <v/>
      </c>
      <c r="AQ191" s="47">
        <f>IF(OR(AJ191="",U191=0),"",MIN(IF(AV191="",9.9E+99,AV191),AN191/U191))</f>
        <v/>
      </c>
      <c r="AR191" s="49">
        <f>IF(AQ191="","",AQ191*W191)</f>
        <v/>
      </c>
      <c r="AS191" s="51" t="n"/>
      <c r="AT191" s="52" t="n"/>
      <c r="AU191" s="52" t="inlineStr">
        <is>
          <t>experience_upside</t>
        </is>
      </c>
      <c r="AV191" s="53" t="n"/>
      <c r="AW191" s="54">
        <f>IF(((V191*pax_cap*load_thin*ROUND(N191*O191*revleg_thin,0))-(((battery/range_nm)*G191*ROUND(N191*O191*revleg_thin,0)*VLOOKUP(B191,country_opex,3,FALSE))+Y191+Z191+AA191+AB191+AC191))&lt;=0,"",VLOOKUP(B191,country_opex,7,FALSE)/((V191*pax_cap*load_thin*ROUND(N191*O191*revleg_thin,0))-(((battery/range_nm)*G191*ROUND(N191*O191*revleg_thin,0)*VLOOKUP(B191,country_opex,3,FALSE))+Y191+Z191+AA191+AB191+AC191)))</f>
        <v/>
      </c>
      <c r="AX191" s="54">
        <f>IF(((V191*pax_cap*load_mid*ROUND(N191*O191*revleg_mid,0))-(((battery/range_nm)*G191*ROUND(N191*O191*revleg_mid,0)*VLOOKUP(B191,country_opex,3,FALSE))+Y191+Z191+AA191+AB191+AC191))&lt;=0,"",VLOOKUP(B191,country_opex,7,FALSE)/((V191*pax_cap*load_mid*ROUND(N191*O191*revleg_mid,0))-(((battery/range_nm)*G191*ROUND(N191*O191*revleg_mid,0)*VLOOKUP(B191,country_opex,3,FALSE))+Y191+Z191+AA191+AB191+AC191)))</f>
        <v/>
      </c>
      <c r="AY191" s="54">
        <f>IF(((V191*pax_cap*load_full*ROUND(N191*O191*revleg_full,0))-(((battery/range_nm)*G191*ROUND(N191*O191*revleg_full,0)*VLOOKUP(B191,country_opex,3,FALSE))+Y191+Z191+AA191+AB191+AC191))&lt;=0,"",VLOOKUP(B191,country_opex,7,FALSE)/((V191*pax_cap*load_full*ROUND(N191*O191*revleg_full,0))-(((battery/range_nm)*G191*ROUND(N191*O191*revleg_full,0)*VLOOKUP(B191,country_opex,3,FALSE))+Y191+Z191+AA191+AB191+AC191)))</f>
        <v/>
      </c>
      <c r="AZ191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191" s="40" t="inlineStr">
        <is>
          <t>PR #58 Mumbai spine route-count split (11 sealed rows × anchor 120,000 pax/yr)</t>
        </is>
      </c>
    </row>
    <row r="192">
      <c r="A192" s="38" t="inlineStr">
        <is>
          <t>India Andaman Rapido</t>
        </is>
      </c>
      <c r="B192" s="38" t="inlineStr">
        <is>
          <t>India</t>
        </is>
      </c>
      <c r="C192" s="39" t="inlineStr">
        <is>
          <t>Bambooflat Jetty → Game Fishing In Andaman | Bite Me Charter | Best Sport fishing in Andaman Islands</t>
        </is>
      </c>
      <c r="D192" s="38" t="inlineStr">
        <is>
          <t>rapido</t>
        </is>
      </c>
      <c r="E192" s="40" t="inlineStr">
        <is>
          <t>india-andaman-ola, india-andaman-rapido</t>
        </is>
      </c>
      <c r="F192" s="41" t="n">
        <v>2</v>
      </c>
      <c r="G192" s="42" t="n">
        <v>8.4</v>
      </c>
      <c r="H192" s="35" t="n">
        <v>22</v>
      </c>
      <c r="I192" s="43" t="inlineStr">
        <is>
          <t>T3</t>
        </is>
      </c>
      <c r="J192" s="43" t="inlineStr">
        <is>
          <t>med-low</t>
        </is>
      </c>
      <c r="K192" s="29" t="n">
        <v>1</v>
      </c>
      <c r="L192" s="44">
        <f>60*G192/cruise_kt</f>
        <v/>
      </c>
      <c r="M192" s="44">
        <f>L192+turn_min+dwell_min</f>
        <v/>
      </c>
      <c r="N192" s="45">
        <f>MIN(10,FLOOR(60*service_hr/M192,1))</f>
        <v/>
      </c>
      <c r="O192" s="45">
        <f>ROUND(365*mech_uptime*K192,0)</f>
        <v/>
      </c>
      <c r="P192" s="46">
        <f>mech_uptime</f>
        <v/>
      </c>
      <c r="Q192" s="46">
        <f>revleg_sel</f>
        <v/>
      </c>
      <c r="R192" s="45">
        <f>ROUND(N192*O192*revleg_sel,0)</f>
        <v/>
      </c>
      <c r="S192" s="47">
        <f>load_sel</f>
        <v/>
      </c>
      <c r="T192" s="47">
        <f>pax_cap*S192</f>
        <v/>
      </c>
      <c r="U192" s="45">
        <f>T192*R192</f>
        <v/>
      </c>
      <c r="V192" s="48">
        <f>H192*discount</f>
        <v/>
      </c>
      <c r="W192" s="49">
        <f>V192*U192</f>
        <v/>
      </c>
      <c r="X192" s="49">
        <f>(battery/range_nm)*G192*R192*VLOOKUP(B192,country_opex,3,FALSE)</f>
        <v/>
      </c>
      <c r="Y192" s="49">
        <f>VLOOKUP(B192,country_opex,2,FALSE)*crew_factor</f>
        <v/>
      </c>
      <c r="Z192" s="49">
        <f>VLOOKUP(B192,country_opex,5,FALSE)</f>
        <v/>
      </c>
      <c r="AA192" s="49">
        <f>maint</f>
        <v/>
      </c>
      <c r="AB192" s="49">
        <f>VLOOKUP(B192,country_opex,7,FALSE)*ins_pct</f>
        <v/>
      </c>
      <c r="AC192" s="49">
        <f>charge_berth</f>
        <v/>
      </c>
      <c r="AD192" s="49">
        <f>X192+Y192+Z192+AA192+AB192+AC192</f>
        <v/>
      </c>
      <c r="AE192" s="49">
        <f>VLOOKUP(B192,country_opex,7,FALSE)/dep_years</f>
        <v/>
      </c>
      <c r="AF192" s="49">
        <f>W192-AD192</f>
        <v/>
      </c>
      <c r="AG192" s="46">
        <f>IF(W192=0,"",AF192/W192)</f>
        <v/>
      </c>
      <c r="AH192" s="47">
        <f>IF(AF192&lt;=0,"",VLOOKUP(B192,country_opex,7,FALSE)/AF192)</f>
        <v/>
      </c>
      <c r="AI192" s="44">
        <f>((G192*R192/diesel_nmpg)*diesel_co2pg-(battery/range_nm)*G192*R192*VLOOKUP(B192,country_opex,4,FALSE))/1000</f>
        <v/>
      </c>
      <c r="AJ192" s="42" t="n">
        <v>5000</v>
      </c>
      <c r="AK192" s="43" t="inlineStr">
        <is>
          <t>T3</t>
        </is>
      </c>
      <c r="AL192" s="43" t="inlineStr">
        <is>
          <t>med-low</t>
        </is>
      </c>
      <c r="AM192" s="50" t="n">
        <v>0.1</v>
      </c>
      <c r="AN192" s="45">
        <f>IF(AJ192="","",AJ192*AM192)</f>
        <v/>
      </c>
      <c r="AO192" s="45">
        <f>IF(OR(AJ192="",U192=0),"",MIN(IF(AV192="",9.9E+99,AV192),FLOOR(AN192/U192,1)))</f>
        <v/>
      </c>
      <c r="AP192" s="49">
        <f>IF(AO192="","",AO192*W192)</f>
        <v/>
      </c>
      <c r="AQ192" s="47">
        <f>IF(OR(AJ192="",U192=0),"",MIN(IF(AV192="",9.9E+99,AV192),AN192/U192))</f>
        <v/>
      </c>
      <c r="AR192" s="49">
        <f>IF(AQ192="","",AQ192*W192)</f>
        <v/>
      </c>
      <c r="AS192" s="51" t="n"/>
      <c r="AT192" s="52" t="n"/>
      <c r="AU192" s="52" t="n"/>
      <c r="AV192" s="53" t="n"/>
      <c r="AW192" s="54">
        <f>IF(((V192*pax_cap*load_thin*ROUND(N192*O192*revleg_thin,0))-(((battery/range_nm)*G192*ROUND(N192*O192*revleg_thin,0)*VLOOKUP(B192,country_opex,3,FALSE))+Y192+Z192+AA192+AB192+AC192))&lt;=0,"",VLOOKUP(B192,country_opex,7,FALSE)/((V192*pax_cap*load_thin*ROUND(N192*O192*revleg_thin,0))-(((battery/range_nm)*G192*ROUND(N192*O192*revleg_thin,0)*VLOOKUP(B192,country_opex,3,FALSE))+Y192+Z192+AA192+AB192+AC192)))</f>
        <v/>
      </c>
      <c r="AX192" s="54">
        <f>IF(((V192*pax_cap*load_mid*ROUND(N192*O192*revleg_mid,0))-(((battery/range_nm)*G192*ROUND(N192*O192*revleg_mid,0)*VLOOKUP(B192,country_opex,3,FALSE))+Y192+Z192+AA192+AB192+AC192))&lt;=0,"",VLOOKUP(B192,country_opex,7,FALSE)/((V192*pax_cap*load_mid*ROUND(N192*O192*revleg_mid,0))-(((battery/range_nm)*G192*ROUND(N192*O192*revleg_mid,0)*VLOOKUP(B192,country_opex,3,FALSE))+Y192+Z192+AA192+AB192+AC192)))</f>
        <v/>
      </c>
      <c r="AY192" s="54">
        <f>IF(((V192*pax_cap*load_full*ROUND(N192*O192*revleg_full,0))-(((battery/range_nm)*G192*ROUND(N192*O192*revleg_full,0)*VLOOKUP(B192,country_opex,3,FALSE))+Y192+Z192+AA192+AB192+AC192))&lt;=0,"",VLOOKUP(B192,country_opex,7,FALSE)/((V192*pax_cap*load_full*ROUND(N192*O192*revleg_full,0))-(((battery/range_nm)*G192*ROUND(N192*O192*revleg_full,0)*VLOOKUP(B192,country_opex,3,FALSE))+Y192+Z192+AA192+AB192+AC192)))</f>
        <v/>
      </c>
      <c r="AZ192" s="40" t="inlineStr">
        <is>
          <t>handoff/INDIA-ECONOMICS-SIDECAR-V0-2026-06-20.json (andaman)</t>
        </is>
      </c>
      <c r="BA192" s="40" t="inlineStr">
        <is>
          <t>handoff/INDIA-ECONOMICS-SIDECAR-V0-2026-06-20.json (andaman)</t>
        </is>
      </c>
    </row>
    <row r="193">
      <c r="A193" s="38" t="inlineStr">
        <is>
          <t>India Mumbai Rapido</t>
        </is>
      </c>
      <c r="B193" s="38" t="inlineStr">
        <is>
          <t>India</t>
        </is>
      </c>
      <c r="C193" s="39" t="inlineStr">
        <is>
          <t>Cordelia Cruises → OLD HARBOR TEA &amp; COFFEE</t>
        </is>
      </c>
      <c r="D193" s="38" t="inlineStr">
        <is>
          <t>rapido</t>
        </is>
      </c>
      <c r="E193" s="40" t="inlineStr">
        <is>
          <t>india-mumbai-ola, india-mumbai-rapido</t>
        </is>
      </c>
      <c r="F193" s="41" t="n">
        <v>2</v>
      </c>
      <c r="G193" s="42" t="n">
        <v>8.5</v>
      </c>
      <c r="H193" s="35" t="n">
        <v>18</v>
      </c>
      <c r="I193" s="43" t="inlineStr">
        <is>
          <t>T3</t>
        </is>
      </c>
      <c r="J193" s="43" t="inlineStr">
        <is>
          <t>med-low</t>
        </is>
      </c>
      <c r="K193" s="29" t="n">
        <v>1</v>
      </c>
      <c r="L193" s="44">
        <f>60*G193/cruise_kt</f>
        <v/>
      </c>
      <c r="M193" s="44">
        <f>L193+turn_min+dwell_min</f>
        <v/>
      </c>
      <c r="N193" s="45">
        <f>MIN(10,FLOOR(60*service_hr/M193,1))</f>
        <v/>
      </c>
      <c r="O193" s="45">
        <f>ROUND(365*mech_uptime*K193,0)</f>
        <v/>
      </c>
      <c r="P193" s="46">
        <f>mech_uptime</f>
        <v/>
      </c>
      <c r="Q193" s="46">
        <f>revleg_sel</f>
        <v/>
      </c>
      <c r="R193" s="45">
        <f>ROUND(N193*O193*revleg_sel,0)</f>
        <v/>
      </c>
      <c r="S193" s="47">
        <f>load_sel</f>
        <v/>
      </c>
      <c r="T193" s="47">
        <f>pax_cap*S193</f>
        <v/>
      </c>
      <c r="U193" s="45">
        <f>T193*R193</f>
        <v/>
      </c>
      <c r="V193" s="48">
        <f>H193*discount</f>
        <v/>
      </c>
      <c r="W193" s="49">
        <f>V193*U193</f>
        <v/>
      </c>
      <c r="X193" s="49">
        <f>(battery/range_nm)*G193*R193*VLOOKUP(B193,country_opex,3,FALSE)</f>
        <v/>
      </c>
      <c r="Y193" s="49">
        <f>VLOOKUP(B193,country_opex,2,FALSE)*crew_factor</f>
        <v/>
      </c>
      <c r="Z193" s="49">
        <f>VLOOKUP(B193,country_opex,5,FALSE)</f>
        <v/>
      </c>
      <c r="AA193" s="49">
        <f>maint</f>
        <v/>
      </c>
      <c r="AB193" s="49">
        <f>VLOOKUP(B193,country_opex,7,FALSE)*ins_pct</f>
        <v/>
      </c>
      <c r="AC193" s="49">
        <f>charge_berth</f>
        <v/>
      </c>
      <c r="AD193" s="49">
        <f>X193+Y193+Z193+AA193+AB193+AC193</f>
        <v/>
      </c>
      <c r="AE193" s="49">
        <f>VLOOKUP(B193,country_opex,7,FALSE)/dep_years</f>
        <v/>
      </c>
      <c r="AF193" s="49">
        <f>W193-AD193</f>
        <v/>
      </c>
      <c r="AG193" s="46">
        <f>IF(W193=0,"",AF193/W193)</f>
        <v/>
      </c>
      <c r="AH193" s="47">
        <f>IF(AF193&lt;=0,"",VLOOKUP(B193,country_opex,7,FALSE)/AF193)</f>
        <v/>
      </c>
      <c r="AI193" s="44">
        <f>((G193*R193/diesel_nmpg)*diesel_co2pg-(battery/range_nm)*G193*R193*VLOOKUP(B193,country_opex,4,FALSE))/1000</f>
        <v/>
      </c>
      <c r="AJ193" s="42" t="n">
        <v>5000</v>
      </c>
      <c r="AK193" s="43" t="inlineStr">
        <is>
          <t>T3</t>
        </is>
      </c>
      <c r="AL193" s="43" t="inlineStr">
        <is>
          <t>med-low</t>
        </is>
      </c>
      <c r="AM193" s="50" t="n">
        <v>0.1</v>
      </c>
      <c r="AN193" s="45">
        <f>IF(AJ193="","",AJ193*AM193)</f>
        <v/>
      </c>
      <c r="AO193" s="45">
        <f>IF(OR(AJ193="",U193=0),"",MIN(IF(AV193="",9.9E+99,AV193),FLOOR(AN193/U193,1)))</f>
        <v/>
      </c>
      <c r="AP193" s="49">
        <f>IF(AO193="","",AO193*W193)</f>
        <v/>
      </c>
      <c r="AQ193" s="47">
        <f>IF(OR(AJ193="",U193=0),"",MIN(IF(AV193="",9.9E+99,AV193),AN193/U193))</f>
        <v/>
      </c>
      <c r="AR193" s="49">
        <f>IF(AQ193="","",AQ193*W193)</f>
        <v/>
      </c>
      <c r="AS193" s="51" t="n"/>
      <c r="AT193" s="52" t="n"/>
      <c r="AU193" s="52" t="n"/>
      <c r="AV193" s="53" t="n"/>
      <c r="AW193" s="54">
        <f>IF(((V193*pax_cap*load_thin*ROUND(N193*O193*revleg_thin,0))-(((battery/range_nm)*G193*ROUND(N193*O193*revleg_thin,0)*VLOOKUP(B193,country_opex,3,FALSE))+Y193+Z193+AA193+AB193+AC193))&lt;=0,"",VLOOKUP(B193,country_opex,7,FALSE)/((V193*pax_cap*load_thin*ROUND(N193*O193*revleg_thin,0))-(((battery/range_nm)*G193*ROUND(N193*O193*revleg_thin,0)*VLOOKUP(B193,country_opex,3,FALSE))+Y193+Z193+AA193+AB193+AC193)))</f>
        <v/>
      </c>
      <c r="AX193" s="54">
        <f>IF(((V193*pax_cap*load_mid*ROUND(N193*O193*revleg_mid,0))-(((battery/range_nm)*G193*ROUND(N193*O193*revleg_mid,0)*VLOOKUP(B193,country_opex,3,FALSE))+Y193+Z193+AA193+AB193+AC193))&lt;=0,"",VLOOKUP(B193,country_opex,7,FALSE)/((V193*pax_cap*load_mid*ROUND(N193*O193*revleg_mid,0))-(((battery/range_nm)*G193*ROUND(N193*O193*revleg_mid,0)*VLOOKUP(B193,country_opex,3,FALSE))+Y193+Z193+AA193+AB193+AC193)))</f>
        <v/>
      </c>
      <c r="AY193" s="54">
        <f>IF(((V193*pax_cap*load_full*ROUND(N193*O193*revleg_full,0))-(((battery/range_nm)*G193*ROUND(N193*O193*revleg_full,0)*VLOOKUP(B193,country_opex,3,FALSE))+Y193+Z193+AA193+AB193+AC193))&lt;=0,"",VLOOKUP(B193,country_opex,7,FALSE)/((V193*pax_cap*load_full*ROUND(N193*O193*revleg_full,0))-(((battery/range_nm)*G193*ROUND(N193*O193*revleg_full,0)*VLOOKUP(B193,country_opex,3,FALSE))+Y193+Z193+AA193+AB193+AC193)))</f>
        <v/>
      </c>
      <c r="AZ193" s="40" t="inlineStr">
        <is>
          <t>[LB-255 PREMIUM RE-FARE: subsidized comparable $5.5 lifted to premium on-demand floor $18.0] handoff/INDIA-ECONOMICS-SIDECAR-V0-2026-06-20.json (mumbai)</t>
        </is>
      </c>
      <c r="BA193" s="40" t="inlineStr">
        <is>
          <t>handoff/INDIA-ECONOMICS-SIDECAR-V0-2026-06-20.json (mumbai)</t>
        </is>
      </c>
    </row>
    <row r="194">
      <c r="A194" s="38" t="inlineStr">
        <is>
          <t>Ola Mumbai</t>
        </is>
      </c>
      <c r="B194" s="38" t="inlineStr">
        <is>
          <t>India</t>
        </is>
      </c>
      <c r="C194" s="39" t="inlineStr">
        <is>
          <t>Versova Ferry Wharf → Gateway of India</t>
        </is>
      </c>
      <c r="D194" s="38" t="inlineStr">
        <is>
          <t>rapido</t>
        </is>
      </c>
      <c r="E194" s="40" t="inlineStr">
        <is>
          <t>india-mumbai-ola, india-mumbai-rapido, ola-mumbai, rapido-mumbai, uber-mumbai</t>
        </is>
      </c>
      <c r="F194" s="41" t="n">
        <v>5</v>
      </c>
      <c r="G194" s="42" t="n">
        <v>12.43</v>
      </c>
      <c r="H194" s="35" t="n"/>
      <c r="I194" s="43" t="inlineStr">
        <is>
          <t>T3</t>
        </is>
      </c>
      <c r="J194" s="43" t="inlineStr">
        <is>
          <t>med-low</t>
        </is>
      </c>
      <c r="K194" s="29" t="n">
        <v>1</v>
      </c>
      <c r="L194" s="44">
        <f>60*G194/cruise_kt</f>
        <v/>
      </c>
      <c r="M194" s="44">
        <f>L194+turn_min+dwell_min</f>
        <v/>
      </c>
      <c r="N194" s="45">
        <f>MIN(10,FLOOR(60*service_hr/M194,1))</f>
        <v/>
      </c>
      <c r="O194" s="45">
        <f>ROUND(365*mech_uptime*K194,0)</f>
        <v/>
      </c>
      <c r="P194" s="46">
        <f>mech_uptime</f>
        <v/>
      </c>
      <c r="Q194" s="46">
        <f>revleg_sel</f>
        <v/>
      </c>
      <c r="R194" s="45">
        <f>ROUND(N194*O194*revleg_sel,0)</f>
        <v/>
      </c>
      <c r="S194" s="47">
        <f>load_sel</f>
        <v/>
      </c>
      <c r="T194" s="47">
        <f>pax_cap*S194</f>
        <v/>
      </c>
      <c r="U194" s="45">
        <f>T194*R194</f>
        <v/>
      </c>
      <c r="V194" s="48">
        <f>H194*discount</f>
        <v/>
      </c>
      <c r="W194" s="49">
        <f>V194*U194</f>
        <v/>
      </c>
      <c r="X194" s="49">
        <f>(battery/range_nm)*G194*R194*VLOOKUP(B194,country_opex,3,FALSE)</f>
        <v/>
      </c>
      <c r="Y194" s="49">
        <f>VLOOKUP(B194,country_opex,2,FALSE)*crew_factor</f>
        <v/>
      </c>
      <c r="Z194" s="49">
        <f>VLOOKUP(B194,country_opex,5,FALSE)</f>
        <v/>
      </c>
      <c r="AA194" s="49">
        <f>maint</f>
        <v/>
      </c>
      <c r="AB194" s="49">
        <f>VLOOKUP(B194,country_opex,7,FALSE)*ins_pct</f>
        <v/>
      </c>
      <c r="AC194" s="49">
        <f>charge_berth</f>
        <v/>
      </c>
      <c r="AD194" s="49">
        <f>X194+Y194+Z194+AA194+AB194+AC194</f>
        <v/>
      </c>
      <c r="AE194" s="49">
        <f>VLOOKUP(B194,country_opex,7,FALSE)/dep_years</f>
        <v/>
      </c>
      <c r="AF194" s="49">
        <f>W194-AD194</f>
        <v/>
      </c>
      <c r="AG194" s="46">
        <f>IF(W194=0,"",AF194/W194)</f>
        <v/>
      </c>
      <c r="AH194" s="47">
        <f>IF(AF194&lt;=0,"",VLOOKUP(B194,country_opex,7,FALSE)/AF194)</f>
        <v/>
      </c>
      <c r="AI194" s="44">
        <f>((G194*R194/diesel_nmpg)*diesel_co2pg-(battery/range_nm)*G194*R194*VLOOKUP(B194,country_opex,4,FALSE))/1000</f>
        <v/>
      </c>
      <c r="AJ194" s="42" t="n">
        <v>10909</v>
      </c>
      <c r="AK194" s="43" t="inlineStr">
        <is>
          <t>T3</t>
        </is>
      </c>
      <c r="AL194" s="43" t="inlineStr">
        <is>
          <t>med-low</t>
        </is>
      </c>
      <c r="AM194" s="50" t="n">
        <v>0.1</v>
      </c>
      <c r="AN194" s="45">
        <f>IF(AJ194="","",AJ194*AM194)</f>
        <v/>
      </c>
      <c r="AO194" s="45">
        <f>IF(OR(AJ194="",U194=0),"",MIN(IF(AV194="",9.9E+99,AV194),FLOOR(AN194/U194,1)))</f>
        <v/>
      </c>
      <c r="AP194" s="49">
        <f>IF(AO194="","",AO194*W194)</f>
        <v/>
      </c>
      <c r="AQ194" s="47">
        <f>IF(OR(AJ194="",U194=0),"",MIN(IF(AV194="",9.9E+99,AV194),AN194/U194))</f>
        <v/>
      </c>
      <c r="AR194" s="49">
        <f>IF(AQ194="","",AQ194*W194)</f>
        <v/>
      </c>
      <c r="AS194" s="51" t="n"/>
      <c r="AT194" s="52" t="n"/>
      <c r="AU194" s="52" t="inlineStr">
        <is>
          <t>experience_upside</t>
        </is>
      </c>
      <c r="AV194" s="53" t="n"/>
      <c r="AW194" s="54">
        <f>IF(((V194*pax_cap*load_thin*ROUND(N194*O194*revleg_thin,0))-(((battery/range_nm)*G194*ROUND(N194*O194*revleg_thin,0)*VLOOKUP(B194,country_opex,3,FALSE))+Y194+Z194+AA194+AB194+AC194))&lt;=0,"",VLOOKUP(B194,country_opex,7,FALSE)/((V194*pax_cap*load_thin*ROUND(N194*O194*revleg_thin,0))-(((battery/range_nm)*G194*ROUND(N194*O194*revleg_thin,0)*VLOOKUP(B194,country_opex,3,FALSE))+Y194+Z194+AA194+AB194+AC194)))</f>
        <v/>
      </c>
      <c r="AX194" s="54">
        <f>IF(((V194*pax_cap*load_mid*ROUND(N194*O194*revleg_mid,0))-(((battery/range_nm)*G194*ROUND(N194*O194*revleg_mid,0)*VLOOKUP(B194,country_opex,3,FALSE))+Y194+Z194+AA194+AB194+AC194))&lt;=0,"",VLOOKUP(B194,country_opex,7,FALSE)/((V194*pax_cap*load_mid*ROUND(N194*O194*revleg_mid,0))-(((battery/range_nm)*G194*ROUND(N194*O194*revleg_mid,0)*VLOOKUP(B194,country_opex,3,FALSE))+Y194+Z194+AA194+AB194+AC194)))</f>
        <v/>
      </c>
      <c r="AY194" s="54">
        <f>IF(((V194*pax_cap*load_full*ROUND(N194*O194*revleg_full,0))-(((battery/range_nm)*G194*ROUND(N194*O194*revleg_full,0)*VLOOKUP(B194,country_opex,3,FALSE))+Y194+Z194+AA194+AB194+AC194))&lt;=0,"",VLOOKUP(B194,country_opex,7,FALSE)/((V194*pax_cap*load_full*ROUND(N194*O194*revleg_full,0))-(((battery/range_nm)*G194*ROUND(N194*O194*revleg_full,0)*VLOOKUP(B194,country_opex,3,FALSE))+Y194+Z194+AA194+AB194+AC194)))</f>
        <v/>
      </c>
      <c r="AZ194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194" s="40" t="inlineStr">
        <is>
          <t>PR #58 Mumbai spine route-count split (11 sealed rows × anchor 120,000 pax/yr)</t>
        </is>
      </c>
    </row>
    <row r="195">
      <c r="A195" s="38" t="inlineStr">
        <is>
          <t>India Mumbai Rapido</t>
        </is>
      </c>
      <c r="B195" s="38" t="inlineStr">
        <is>
          <t>India</t>
        </is>
      </c>
      <c r="C195" s="39" t="inlineStr">
        <is>
          <t>Gorai / Marve Jetty → Nariman Point Water-Taxi Jetty</t>
        </is>
      </c>
      <c r="D195" s="38" t="inlineStr">
        <is>
          <t>rapido</t>
        </is>
      </c>
      <c r="E195" s="40" t="inlineStr">
        <is>
          <t>india-mumbai-ola, india-mumbai-rapido</t>
        </is>
      </c>
      <c r="F195" s="41" t="n">
        <v>2</v>
      </c>
      <c r="G195" s="42" t="n">
        <v>13.45</v>
      </c>
      <c r="H195" s="35" t="n">
        <v>18</v>
      </c>
      <c r="I195" s="43" t="inlineStr">
        <is>
          <t>T3</t>
        </is>
      </c>
      <c r="J195" s="43" t="inlineStr">
        <is>
          <t>med-low</t>
        </is>
      </c>
      <c r="K195" s="29" t="n">
        <v>1</v>
      </c>
      <c r="L195" s="44">
        <f>60*G195/cruise_kt</f>
        <v/>
      </c>
      <c r="M195" s="44">
        <f>L195+turn_min+dwell_min</f>
        <v/>
      </c>
      <c r="N195" s="45">
        <f>MIN(10,FLOOR(60*service_hr/M195,1))</f>
        <v/>
      </c>
      <c r="O195" s="45">
        <f>ROUND(365*mech_uptime*K195,0)</f>
        <v/>
      </c>
      <c r="P195" s="46">
        <f>mech_uptime</f>
        <v/>
      </c>
      <c r="Q195" s="46">
        <f>revleg_sel</f>
        <v/>
      </c>
      <c r="R195" s="45">
        <f>ROUND(N195*O195*revleg_sel,0)</f>
        <v/>
      </c>
      <c r="S195" s="47">
        <f>load_sel</f>
        <v/>
      </c>
      <c r="T195" s="47">
        <f>pax_cap*S195</f>
        <v/>
      </c>
      <c r="U195" s="45">
        <f>T195*R195</f>
        <v/>
      </c>
      <c r="V195" s="48">
        <f>H195*discount</f>
        <v/>
      </c>
      <c r="W195" s="49">
        <f>V195*U195</f>
        <v/>
      </c>
      <c r="X195" s="49">
        <f>(battery/range_nm)*G195*R195*VLOOKUP(B195,country_opex,3,FALSE)</f>
        <v/>
      </c>
      <c r="Y195" s="49">
        <f>VLOOKUP(B195,country_opex,2,FALSE)*crew_factor</f>
        <v/>
      </c>
      <c r="Z195" s="49">
        <f>VLOOKUP(B195,country_opex,5,FALSE)</f>
        <v/>
      </c>
      <c r="AA195" s="49">
        <f>maint</f>
        <v/>
      </c>
      <c r="AB195" s="49">
        <f>VLOOKUP(B195,country_opex,7,FALSE)*ins_pct</f>
        <v/>
      </c>
      <c r="AC195" s="49">
        <f>charge_berth</f>
        <v/>
      </c>
      <c r="AD195" s="49">
        <f>X195+Y195+Z195+AA195+AB195+AC195</f>
        <v/>
      </c>
      <c r="AE195" s="49">
        <f>VLOOKUP(B195,country_opex,7,FALSE)/dep_years</f>
        <v/>
      </c>
      <c r="AF195" s="49">
        <f>W195-AD195</f>
        <v/>
      </c>
      <c r="AG195" s="46">
        <f>IF(W195=0,"",AF195/W195)</f>
        <v/>
      </c>
      <c r="AH195" s="47">
        <f>IF(AF195&lt;=0,"",VLOOKUP(B195,country_opex,7,FALSE)/AF195)</f>
        <v/>
      </c>
      <c r="AI195" s="44">
        <f>((G195*R195/diesel_nmpg)*diesel_co2pg-(battery/range_nm)*G195*R195*VLOOKUP(B195,country_opex,4,FALSE))/1000</f>
        <v/>
      </c>
      <c r="AJ195" s="42" t="n">
        <v>5000</v>
      </c>
      <c r="AK195" s="43" t="inlineStr">
        <is>
          <t>T3</t>
        </is>
      </c>
      <c r="AL195" s="43" t="inlineStr">
        <is>
          <t>med-low</t>
        </is>
      </c>
      <c r="AM195" s="50" t="n">
        <v>0.1</v>
      </c>
      <c r="AN195" s="45">
        <f>IF(AJ195="","",AJ195*AM195)</f>
        <v/>
      </c>
      <c r="AO195" s="45">
        <f>IF(OR(AJ195="",U195=0),"",MIN(IF(AV195="",9.9E+99,AV195),FLOOR(AN195/U195,1)))</f>
        <v/>
      </c>
      <c r="AP195" s="49">
        <f>IF(AO195="","",AO195*W195)</f>
        <v/>
      </c>
      <c r="AQ195" s="47">
        <f>IF(OR(AJ195="",U195=0),"",MIN(IF(AV195="",9.9E+99,AV195),AN195/U195))</f>
        <v/>
      </c>
      <c r="AR195" s="49">
        <f>IF(AQ195="","",AQ195*W195)</f>
        <v/>
      </c>
      <c r="AS195" s="51" t="n"/>
      <c r="AT195" s="52" t="n"/>
      <c r="AU195" s="52" t="n"/>
      <c r="AV195" s="53" t="n"/>
      <c r="AW195" s="54">
        <f>IF(((V195*pax_cap*load_thin*ROUND(N195*O195*revleg_thin,0))-(((battery/range_nm)*G195*ROUND(N195*O195*revleg_thin,0)*VLOOKUP(B195,country_opex,3,FALSE))+Y195+Z195+AA195+AB195+AC195))&lt;=0,"",VLOOKUP(B195,country_opex,7,FALSE)/((V195*pax_cap*load_thin*ROUND(N195*O195*revleg_thin,0))-(((battery/range_nm)*G195*ROUND(N195*O195*revleg_thin,0)*VLOOKUP(B195,country_opex,3,FALSE))+Y195+Z195+AA195+AB195+AC195)))</f>
        <v/>
      </c>
      <c r="AX195" s="54">
        <f>IF(((V195*pax_cap*load_mid*ROUND(N195*O195*revleg_mid,0))-(((battery/range_nm)*G195*ROUND(N195*O195*revleg_mid,0)*VLOOKUP(B195,country_opex,3,FALSE))+Y195+Z195+AA195+AB195+AC195))&lt;=0,"",VLOOKUP(B195,country_opex,7,FALSE)/((V195*pax_cap*load_mid*ROUND(N195*O195*revleg_mid,0))-(((battery/range_nm)*G195*ROUND(N195*O195*revleg_mid,0)*VLOOKUP(B195,country_opex,3,FALSE))+Y195+Z195+AA195+AB195+AC195)))</f>
        <v/>
      </c>
      <c r="AY195" s="54">
        <f>IF(((V195*pax_cap*load_full*ROUND(N195*O195*revleg_full,0))-(((battery/range_nm)*G195*ROUND(N195*O195*revleg_full,0)*VLOOKUP(B195,country_opex,3,FALSE))+Y195+Z195+AA195+AB195+AC195))&lt;=0,"",VLOOKUP(B195,country_opex,7,FALSE)/((V195*pax_cap*load_full*ROUND(N195*O195*revleg_full,0))-(((battery/range_nm)*G195*ROUND(N195*O195*revleg_full,0)*VLOOKUP(B195,country_opex,3,FALSE))+Y195+Z195+AA195+AB195+AC195)))</f>
        <v/>
      </c>
      <c r="AZ195" s="40" t="inlineStr">
        <is>
          <t>[LB-255 PREMIUM RE-FARE: subsidized comparable $5.5 lifted to premium on-demand floor $18.0] handoff/INDIA-ECONOMICS-SIDECAR-V0-2026-06-20.json (mumbai)</t>
        </is>
      </c>
      <c r="BA195" s="40" t="inlineStr">
        <is>
          <t>handoff/INDIA-ECONOMICS-SIDECAR-V0-2026-06-20.json (mumbai)</t>
        </is>
      </c>
    </row>
    <row r="196">
      <c r="A196" s="38" t="inlineStr">
        <is>
          <t>India Andaman Rapido</t>
        </is>
      </c>
      <c r="B196" s="38" t="inlineStr">
        <is>
          <t>India</t>
        </is>
      </c>
      <c r="C196" s="39" t="inlineStr">
        <is>
          <t>APARUPA SANDS MARINA → Shaheed Dweep Jetty</t>
        </is>
      </c>
      <c r="D196" s="38" t="inlineStr">
        <is>
          <t>rapido</t>
        </is>
      </c>
      <c r="E196" s="40" t="inlineStr">
        <is>
          <t>india-andaman-ola, india-andaman-rapido</t>
        </is>
      </c>
      <c r="F196" s="41" t="n">
        <v>2</v>
      </c>
      <c r="G196" s="42" t="n">
        <v>13.9</v>
      </c>
      <c r="H196" s="35" t="n">
        <v>22</v>
      </c>
      <c r="I196" s="43" t="inlineStr">
        <is>
          <t>T3</t>
        </is>
      </c>
      <c r="J196" s="43" t="inlineStr">
        <is>
          <t>med-low</t>
        </is>
      </c>
      <c r="K196" s="29" t="n">
        <v>1</v>
      </c>
      <c r="L196" s="44">
        <f>60*G196/cruise_kt</f>
        <v/>
      </c>
      <c r="M196" s="44">
        <f>L196+turn_min+dwell_min</f>
        <v/>
      </c>
      <c r="N196" s="45">
        <f>MIN(10,FLOOR(60*service_hr/M196,1))</f>
        <v/>
      </c>
      <c r="O196" s="45">
        <f>ROUND(365*mech_uptime*K196,0)</f>
        <v/>
      </c>
      <c r="P196" s="46">
        <f>mech_uptime</f>
        <v/>
      </c>
      <c r="Q196" s="46">
        <f>revleg_sel</f>
        <v/>
      </c>
      <c r="R196" s="45">
        <f>ROUND(N196*O196*revleg_sel,0)</f>
        <v/>
      </c>
      <c r="S196" s="47">
        <f>load_sel</f>
        <v/>
      </c>
      <c r="T196" s="47">
        <f>pax_cap*S196</f>
        <v/>
      </c>
      <c r="U196" s="45">
        <f>T196*R196</f>
        <v/>
      </c>
      <c r="V196" s="48">
        <f>H196*discount</f>
        <v/>
      </c>
      <c r="W196" s="49">
        <f>V196*U196</f>
        <v/>
      </c>
      <c r="X196" s="49">
        <f>(battery/range_nm)*G196*R196*VLOOKUP(B196,country_opex,3,FALSE)</f>
        <v/>
      </c>
      <c r="Y196" s="49">
        <f>VLOOKUP(B196,country_opex,2,FALSE)*crew_factor</f>
        <v/>
      </c>
      <c r="Z196" s="49">
        <f>VLOOKUP(B196,country_opex,5,FALSE)</f>
        <v/>
      </c>
      <c r="AA196" s="49">
        <f>maint</f>
        <v/>
      </c>
      <c r="AB196" s="49">
        <f>VLOOKUP(B196,country_opex,7,FALSE)*ins_pct</f>
        <v/>
      </c>
      <c r="AC196" s="49">
        <f>charge_berth</f>
        <v/>
      </c>
      <c r="AD196" s="49">
        <f>X196+Y196+Z196+AA196+AB196+AC196</f>
        <v/>
      </c>
      <c r="AE196" s="49">
        <f>VLOOKUP(B196,country_opex,7,FALSE)/dep_years</f>
        <v/>
      </c>
      <c r="AF196" s="49">
        <f>W196-AD196</f>
        <v/>
      </c>
      <c r="AG196" s="46">
        <f>IF(W196=0,"",AF196/W196)</f>
        <v/>
      </c>
      <c r="AH196" s="47">
        <f>IF(AF196&lt;=0,"",VLOOKUP(B196,country_opex,7,FALSE)/AF196)</f>
        <v/>
      </c>
      <c r="AI196" s="44">
        <f>((G196*R196/diesel_nmpg)*diesel_co2pg-(battery/range_nm)*G196*R196*VLOOKUP(B196,country_opex,4,FALSE))/1000</f>
        <v/>
      </c>
      <c r="AJ196" s="42" t="n">
        <v>5000</v>
      </c>
      <c r="AK196" s="43" t="inlineStr">
        <is>
          <t>T3</t>
        </is>
      </c>
      <c r="AL196" s="43" t="inlineStr">
        <is>
          <t>med-low</t>
        </is>
      </c>
      <c r="AM196" s="50" t="n">
        <v>0.1</v>
      </c>
      <c r="AN196" s="45">
        <f>IF(AJ196="","",AJ196*AM196)</f>
        <v/>
      </c>
      <c r="AO196" s="45">
        <f>IF(OR(AJ196="",U196=0),"",MIN(IF(AV196="",9.9E+99,AV196),FLOOR(AN196/U196,1)))</f>
        <v/>
      </c>
      <c r="AP196" s="49">
        <f>IF(AO196="","",AO196*W196)</f>
        <v/>
      </c>
      <c r="AQ196" s="47">
        <f>IF(OR(AJ196="",U196=0),"",MIN(IF(AV196="",9.9E+99,AV196),AN196/U196))</f>
        <v/>
      </c>
      <c r="AR196" s="49">
        <f>IF(AQ196="","",AQ196*W196)</f>
        <v/>
      </c>
      <c r="AS196" s="51" t="n"/>
      <c r="AT196" s="52" t="n"/>
      <c r="AU196" s="52" t="n"/>
      <c r="AV196" s="53" t="n"/>
      <c r="AW196" s="54">
        <f>IF(((V196*pax_cap*load_thin*ROUND(N196*O196*revleg_thin,0))-(((battery/range_nm)*G196*ROUND(N196*O196*revleg_thin,0)*VLOOKUP(B196,country_opex,3,FALSE))+Y196+Z196+AA196+AB196+AC196))&lt;=0,"",VLOOKUP(B196,country_opex,7,FALSE)/((V196*pax_cap*load_thin*ROUND(N196*O196*revleg_thin,0))-(((battery/range_nm)*G196*ROUND(N196*O196*revleg_thin,0)*VLOOKUP(B196,country_opex,3,FALSE))+Y196+Z196+AA196+AB196+AC196)))</f>
        <v/>
      </c>
      <c r="AX196" s="54">
        <f>IF(((V196*pax_cap*load_mid*ROUND(N196*O196*revleg_mid,0))-(((battery/range_nm)*G196*ROUND(N196*O196*revleg_mid,0)*VLOOKUP(B196,country_opex,3,FALSE))+Y196+Z196+AA196+AB196+AC196))&lt;=0,"",VLOOKUP(B196,country_opex,7,FALSE)/((V196*pax_cap*load_mid*ROUND(N196*O196*revleg_mid,0))-(((battery/range_nm)*G196*ROUND(N196*O196*revleg_mid,0)*VLOOKUP(B196,country_opex,3,FALSE))+Y196+Z196+AA196+AB196+AC196)))</f>
        <v/>
      </c>
      <c r="AY196" s="54">
        <f>IF(((V196*pax_cap*load_full*ROUND(N196*O196*revleg_full,0))-(((battery/range_nm)*G196*ROUND(N196*O196*revleg_full,0)*VLOOKUP(B196,country_opex,3,FALSE))+Y196+Z196+AA196+AB196+AC196))&lt;=0,"",VLOOKUP(B196,country_opex,7,FALSE)/((V196*pax_cap*load_full*ROUND(N196*O196*revleg_full,0))-(((battery/range_nm)*G196*ROUND(N196*O196*revleg_full,0)*VLOOKUP(B196,country_opex,3,FALSE))+Y196+Z196+AA196+AB196+AC196)))</f>
        <v/>
      </c>
      <c r="AZ196" s="40" t="inlineStr">
        <is>
          <t>handoff/INDIA-ECONOMICS-SIDECAR-V0-2026-06-20.json (andaman)</t>
        </is>
      </c>
      <c r="BA196" s="40" t="inlineStr">
        <is>
          <t>handoff/INDIA-ECONOMICS-SIDECAR-V0-2026-06-20.json (andaman)</t>
        </is>
      </c>
    </row>
    <row r="197">
      <c r="A197" s="38" t="inlineStr">
        <is>
          <t>India Andaman Rapido</t>
        </is>
      </c>
      <c r="B197" s="38" t="inlineStr">
        <is>
          <t>India</t>
        </is>
      </c>
      <c r="C197" s="39" t="inlineStr">
        <is>
          <t>Office Of Assistant Engineer Civil, Andaman Lakshdweep Harbour Work Havelock → Shaheed Dweep Jetty</t>
        </is>
      </c>
      <c r="D197" s="38" t="inlineStr">
        <is>
          <t>rapido</t>
        </is>
      </c>
      <c r="E197" s="40" t="inlineStr">
        <is>
          <t>india-andaman-ola, india-andaman-rapido</t>
        </is>
      </c>
      <c r="F197" s="41" t="n">
        <v>4</v>
      </c>
      <c r="G197" s="42" t="n">
        <v>15.2</v>
      </c>
      <c r="H197" s="35" t="n">
        <v>22</v>
      </c>
      <c r="I197" s="43" t="inlineStr">
        <is>
          <t>T3</t>
        </is>
      </c>
      <c r="J197" s="43" t="inlineStr">
        <is>
          <t>med-low</t>
        </is>
      </c>
      <c r="K197" s="29" t="n">
        <v>1</v>
      </c>
      <c r="L197" s="44">
        <f>60*G197/cruise_kt</f>
        <v/>
      </c>
      <c r="M197" s="44">
        <f>L197+turn_min+dwell_min</f>
        <v/>
      </c>
      <c r="N197" s="45">
        <f>MIN(10,FLOOR(60*service_hr/M197,1))</f>
        <v/>
      </c>
      <c r="O197" s="45">
        <f>ROUND(365*mech_uptime*K197,0)</f>
        <v/>
      </c>
      <c r="P197" s="46">
        <f>mech_uptime</f>
        <v/>
      </c>
      <c r="Q197" s="46">
        <f>revleg_sel</f>
        <v/>
      </c>
      <c r="R197" s="45">
        <f>ROUND(N197*O197*revleg_sel,0)</f>
        <v/>
      </c>
      <c r="S197" s="47">
        <f>load_sel</f>
        <v/>
      </c>
      <c r="T197" s="47">
        <f>pax_cap*S197</f>
        <v/>
      </c>
      <c r="U197" s="45">
        <f>T197*R197</f>
        <v/>
      </c>
      <c r="V197" s="48">
        <f>H197*discount</f>
        <v/>
      </c>
      <c r="W197" s="49">
        <f>V197*U197</f>
        <v/>
      </c>
      <c r="X197" s="49">
        <f>(battery/range_nm)*G197*R197*VLOOKUP(B197,country_opex,3,FALSE)</f>
        <v/>
      </c>
      <c r="Y197" s="49">
        <f>VLOOKUP(B197,country_opex,2,FALSE)*crew_factor</f>
        <v/>
      </c>
      <c r="Z197" s="49">
        <f>VLOOKUP(B197,country_opex,5,FALSE)</f>
        <v/>
      </c>
      <c r="AA197" s="49">
        <f>maint</f>
        <v/>
      </c>
      <c r="AB197" s="49">
        <f>VLOOKUP(B197,country_opex,7,FALSE)*ins_pct</f>
        <v/>
      </c>
      <c r="AC197" s="49">
        <f>charge_berth</f>
        <v/>
      </c>
      <c r="AD197" s="49">
        <f>X197+Y197+Z197+AA197+AB197+AC197</f>
        <v/>
      </c>
      <c r="AE197" s="49">
        <f>VLOOKUP(B197,country_opex,7,FALSE)/dep_years</f>
        <v/>
      </c>
      <c r="AF197" s="49">
        <f>W197-AD197</f>
        <v/>
      </c>
      <c r="AG197" s="46">
        <f>IF(W197=0,"",AF197/W197)</f>
        <v/>
      </c>
      <c r="AH197" s="47">
        <f>IF(AF197&lt;=0,"",VLOOKUP(B197,country_opex,7,FALSE)/AF197)</f>
        <v/>
      </c>
      <c r="AI197" s="44">
        <f>((G197*R197/diesel_nmpg)*diesel_co2pg-(battery/range_nm)*G197*R197*VLOOKUP(B197,country_opex,4,FALSE))/1000</f>
        <v/>
      </c>
      <c r="AJ197" s="42" t="n">
        <v>5000</v>
      </c>
      <c r="AK197" s="43" t="inlineStr">
        <is>
          <t>T3</t>
        </is>
      </c>
      <c r="AL197" s="43" t="inlineStr">
        <is>
          <t>med-low</t>
        </is>
      </c>
      <c r="AM197" s="50" t="n">
        <v>0.1</v>
      </c>
      <c r="AN197" s="45">
        <f>IF(AJ197="","",AJ197*AM197)</f>
        <v/>
      </c>
      <c r="AO197" s="45">
        <f>IF(OR(AJ197="",U197=0),"",MIN(IF(AV197="",9.9E+99,AV197),FLOOR(AN197/U197,1)))</f>
        <v/>
      </c>
      <c r="AP197" s="49">
        <f>IF(AO197="","",AO197*W197)</f>
        <v/>
      </c>
      <c r="AQ197" s="47">
        <f>IF(OR(AJ197="",U197=0),"",MIN(IF(AV197="",9.9E+99,AV197),AN197/U197))</f>
        <v/>
      </c>
      <c r="AR197" s="49">
        <f>IF(AQ197="","",AQ197*W197)</f>
        <v/>
      </c>
      <c r="AS197" s="51" t="n"/>
      <c r="AT197" s="52" t="n"/>
      <c r="AU197" s="52" t="n"/>
      <c r="AV197" s="53" t="n"/>
      <c r="AW197" s="54">
        <f>IF(((V197*pax_cap*load_thin*ROUND(N197*O197*revleg_thin,0))-(((battery/range_nm)*G197*ROUND(N197*O197*revleg_thin,0)*VLOOKUP(B197,country_opex,3,FALSE))+Y197+Z197+AA197+AB197+AC197))&lt;=0,"",VLOOKUP(B197,country_opex,7,FALSE)/((V197*pax_cap*load_thin*ROUND(N197*O197*revleg_thin,0))-(((battery/range_nm)*G197*ROUND(N197*O197*revleg_thin,0)*VLOOKUP(B197,country_opex,3,FALSE))+Y197+Z197+AA197+AB197+AC197)))</f>
        <v/>
      </c>
      <c r="AX197" s="54">
        <f>IF(((V197*pax_cap*load_mid*ROUND(N197*O197*revleg_mid,0))-(((battery/range_nm)*G197*ROUND(N197*O197*revleg_mid,0)*VLOOKUP(B197,country_opex,3,FALSE))+Y197+Z197+AA197+AB197+AC197))&lt;=0,"",VLOOKUP(B197,country_opex,7,FALSE)/((V197*pax_cap*load_mid*ROUND(N197*O197*revleg_mid,0))-(((battery/range_nm)*G197*ROUND(N197*O197*revleg_mid,0)*VLOOKUP(B197,country_opex,3,FALSE))+Y197+Z197+AA197+AB197+AC197)))</f>
        <v/>
      </c>
      <c r="AY197" s="54">
        <f>IF(((V197*pax_cap*load_full*ROUND(N197*O197*revleg_full,0))-(((battery/range_nm)*G197*ROUND(N197*O197*revleg_full,0)*VLOOKUP(B197,country_opex,3,FALSE))+Y197+Z197+AA197+AB197+AC197))&lt;=0,"",VLOOKUP(B197,country_opex,7,FALSE)/((V197*pax_cap*load_full*ROUND(N197*O197*revleg_full,0))-(((battery/range_nm)*G197*ROUND(N197*O197*revleg_full,0)*VLOOKUP(B197,country_opex,3,FALSE))+Y197+Z197+AA197+AB197+AC197)))</f>
        <v/>
      </c>
      <c r="AZ197" s="40" t="inlineStr">
        <is>
          <t>handoff/INDIA-ECONOMICS-SIDECAR-V0-2026-06-20.json (andaman)</t>
        </is>
      </c>
      <c r="BA197" s="40" t="inlineStr">
        <is>
          <t>handoff/INDIA-ECONOMICS-SIDECAR-V0-2026-06-20.json (andaman)</t>
        </is>
      </c>
    </row>
    <row r="198">
      <c r="A198" s="38" t="inlineStr">
        <is>
          <t>India Andaman Rapido</t>
        </is>
      </c>
      <c r="B198" s="38" t="inlineStr">
        <is>
          <t>India</t>
        </is>
      </c>
      <c r="C198" s="39" t="inlineStr">
        <is>
          <t>Bambooflat Jetty → Shaheed Dweep Jetty</t>
        </is>
      </c>
      <c r="D198" s="38" t="inlineStr">
        <is>
          <t>rapido</t>
        </is>
      </c>
      <c r="E198" s="40" t="inlineStr">
        <is>
          <t>india-andaman-ola, india-andaman-rapido</t>
        </is>
      </c>
      <c r="F198" s="41" t="n">
        <v>2</v>
      </c>
      <c r="G198" s="42" t="n">
        <v>21.1</v>
      </c>
      <c r="H198" s="35" t="n">
        <v>22</v>
      </c>
      <c r="I198" s="43" t="inlineStr">
        <is>
          <t>T3</t>
        </is>
      </c>
      <c r="J198" s="43" t="inlineStr">
        <is>
          <t>med-low</t>
        </is>
      </c>
      <c r="K198" s="29" t="n">
        <v>1</v>
      </c>
      <c r="L198" s="44">
        <f>60*G198/cruise_kt</f>
        <v/>
      </c>
      <c r="M198" s="44">
        <f>L198+turn_min+dwell_min</f>
        <v/>
      </c>
      <c r="N198" s="45">
        <f>MIN(10,FLOOR(60*service_hr/M198,1))</f>
        <v/>
      </c>
      <c r="O198" s="45">
        <f>ROUND(365*mech_uptime*K198,0)</f>
        <v/>
      </c>
      <c r="P198" s="46">
        <f>mech_uptime</f>
        <v/>
      </c>
      <c r="Q198" s="46">
        <f>revleg_sel</f>
        <v/>
      </c>
      <c r="R198" s="45">
        <f>ROUND(N198*O198*revleg_sel,0)</f>
        <v/>
      </c>
      <c r="S198" s="47">
        <f>load_sel</f>
        <v/>
      </c>
      <c r="T198" s="47">
        <f>pax_cap*S198</f>
        <v/>
      </c>
      <c r="U198" s="45">
        <f>T198*R198</f>
        <v/>
      </c>
      <c r="V198" s="48">
        <f>H198*discount</f>
        <v/>
      </c>
      <c r="W198" s="49">
        <f>V198*U198</f>
        <v/>
      </c>
      <c r="X198" s="49">
        <f>(battery/range_nm)*G198*R198*VLOOKUP(B198,country_opex,3,FALSE)</f>
        <v/>
      </c>
      <c r="Y198" s="49">
        <f>VLOOKUP(B198,country_opex,2,FALSE)*crew_factor</f>
        <v/>
      </c>
      <c r="Z198" s="49">
        <f>VLOOKUP(B198,country_opex,5,FALSE)</f>
        <v/>
      </c>
      <c r="AA198" s="49">
        <f>maint</f>
        <v/>
      </c>
      <c r="AB198" s="49">
        <f>VLOOKUP(B198,country_opex,7,FALSE)*ins_pct</f>
        <v/>
      </c>
      <c r="AC198" s="49">
        <f>charge_berth</f>
        <v/>
      </c>
      <c r="AD198" s="49">
        <f>X198+Y198+Z198+AA198+AB198+AC198</f>
        <v/>
      </c>
      <c r="AE198" s="49">
        <f>VLOOKUP(B198,country_opex,7,FALSE)/dep_years</f>
        <v/>
      </c>
      <c r="AF198" s="49">
        <f>W198-AD198</f>
        <v/>
      </c>
      <c r="AG198" s="46">
        <f>IF(W198=0,"",AF198/W198)</f>
        <v/>
      </c>
      <c r="AH198" s="47">
        <f>IF(AF198&lt;=0,"",VLOOKUP(B198,country_opex,7,FALSE)/AF198)</f>
        <v/>
      </c>
      <c r="AI198" s="44">
        <f>((G198*R198/diesel_nmpg)*diesel_co2pg-(battery/range_nm)*G198*R198*VLOOKUP(B198,country_opex,4,FALSE))/1000</f>
        <v/>
      </c>
      <c r="AJ198" s="42" t="n">
        <v>5000</v>
      </c>
      <c r="AK198" s="43" t="inlineStr">
        <is>
          <t>T3</t>
        </is>
      </c>
      <c r="AL198" s="43" t="inlineStr">
        <is>
          <t>med-low</t>
        </is>
      </c>
      <c r="AM198" s="50" t="n">
        <v>0.1</v>
      </c>
      <c r="AN198" s="45">
        <f>IF(AJ198="","",AJ198*AM198)</f>
        <v/>
      </c>
      <c r="AO198" s="45">
        <f>IF(OR(AJ198="",U198=0),"",MIN(IF(AV198="",9.9E+99,AV198),FLOOR(AN198/U198,1)))</f>
        <v/>
      </c>
      <c r="AP198" s="49">
        <f>IF(AO198="","",AO198*W198)</f>
        <v/>
      </c>
      <c r="AQ198" s="47">
        <f>IF(OR(AJ198="",U198=0),"",MIN(IF(AV198="",9.9E+99,AV198),AN198/U198))</f>
        <v/>
      </c>
      <c r="AR198" s="49">
        <f>IF(AQ198="","",AQ198*W198)</f>
        <v/>
      </c>
      <c r="AS198" s="51" t="n"/>
      <c r="AT198" s="52" t="n"/>
      <c r="AU198" s="52" t="n"/>
      <c r="AV198" s="53" t="n"/>
      <c r="AW198" s="54">
        <f>IF(((V198*pax_cap*load_thin*ROUND(N198*O198*revleg_thin,0))-(((battery/range_nm)*G198*ROUND(N198*O198*revleg_thin,0)*VLOOKUP(B198,country_opex,3,FALSE))+Y198+Z198+AA198+AB198+AC198))&lt;=0,"",VLOOKUP(B198,country_opex,7,FALSE)/((V198*pax_cap*load_thin*ROUND(N198*O198*revleg_thin,0))-(((battery/range_nm)*G198*ROUND(N198*O198*revleg_thin,0)*VLOOKUP(B198,country_opex,3,FALSE))+Y198+Z198+AA198+AB198+AC198)))</f>
        <v/>
      </c>
      <c r="AX198" s="54">
        <f>IF(((V198*pax_cap*load_mid*ROUND(N198*O198*revleg_mid,0))-(((battery/range_nm)*G198*ROUND(N198*O198*revleg_mid,0)*VLOOKUP(B198,country_opex,3,FALSE))+Y198+Z198+AA198+AB198+AC198))&lt;=0,"",VLOOKUP(B198,country_opex,7,FALSE)/((V198*pax_cap*load_mid*ROUND(N198*O198*revleg_mid,0))-(((battery/range_nm)*G198*ROUND(N198*O198*revleg_mid,0)*VLOOKUP(B198,country_opex,3,FALSE))+Y198+Z198+AA198+AB198+AC198)))</f>
        <v/>
      </c>
      <c r="AY198" s="54">
        <f>IF(((V198*pax_cap*load_full*ROUND(N198*O198*revleg_full,0))-(((battery/range_nm)*G198*ROUND(N198*O198*revleg_full,0)*VLOOKUP(B198,country_opex,3,FALSE))+Y198+Z198+AA198+AB198+AC198))&lt;=0,"",VLOOKUP(B198,country_opex,7,FALSE)/((V198*pax_cap*load_full*ROUND(N198*O198*revleg_full,0))-(((battery/range_nm)*G198*ROUND(N198*O198*revleg_full,0)*VLOOKUP(B198,country_opex,3,FALSE))+Y198+Z198+AA198+AB198+AC198)))</f>
        <v/>
      </c>
      <c r="AZ198" s="40" t="inlineStr">
        <is>
          <t>handoff/INDIA-ECONOMICS-SIDECAR-V0-2026-06-20.json (andaman)</t>
        </is>
      </c>
      <c r="BA198" s="40" t="inlineStr">
        <is>
          <t>handoff/INDIA-ECONOMICS-SIDECAR-V0-2026-06-20.json (andaman)</t>
        </is>
      </c>
    </row>
    <row r="199">
      <c r="A199" s="38" t="inlineStr">
        <is>
          <t>India Andaman Rapido</t>
        </is>
      </c>
      <c r="B199" s="38" t="inlineStr">
        <is>
          <t>India</t>
        </is>
      </c>
      <c r="C199" s="39" t="inlineStr">
        <is>
          <t>Andaman → Office Of Assistant Engineer Civil, Andaman Lakshdweep Harbour Work Havelock</t>
        </is>
      </c>
      <c r="D199" s="38" t="inlineStr">
        <is>
          <t>rapido</t>
        </is>
      </c>
      <c r="E199" s="40" t="inlineStr">
        <is>
          <t>india-andaman-ola, india-andaman-rapido</t>
        </is>
      </c>
      <c r="F199" s="41" t="n">
        <v>2</v>
      </c>
      <c r="G199" s="42" t="n">
        <v>28.2</v>
      </c>
      <c r="H199" s="35" t="n">
        <v>22</v>
      </c>
      <c r="I199" s="43" t="inlineStr">
        <is>
          <t>T3</t>
        </is>
      </c>
      <c r="J199" s="43" t="inlineStr">
        <is>
          <t>med-low</t>
        </is>
      </c>
      <c r="K199" s="29" t="n">
        <v>1</v>
      </c>
      <c r="L199" s="44">
        <f>60*G199/cruise_kt</f>
        <v/>
      </c>
      <c r="M199" s="44">
        <f>L199+turn_min+dwell_min</f>
        <v/>
      </c>
      <c r="N199" s="45">
        <f>MIN(10,FLOOR(60*service_hr/M199,1))</f>
        <v/>
      </c>
      <c r="O199" s="45">
        <f>ROUND(365*mech_uptime*K199,0)</f>
        <v/>
      </c>
      <c r="P199" s="46">
        <f>mech_uptime</f>
        <v/>
      </c>
      <c r="Q199" s="46">
        <f>revleg_sel</f>
        <v/>
      </c>
      <c r="R199" s="45">
        <f>ROUND(N199*O199*revleg_sel,0)</f>
        <v/>
      </c>
      <c r="S199" s="47">
        <f>load_sel</f>
        <v/>
      </c>
      <c r="T199" s="47">
        <f>pax_cap*S199</f>
        <v/>
      </c>
      <c r="U199" s="45">
        <f>T199*R199</f>
        <v/>
      </c>
      <c r="V199" s="48">
        <f>H199*discount</f>
        <v/>
      </c>
      <c r="W199" s="49">
        <f>V199*U199</f>
        <v/>
      </c>
      <c r="X199" s="49">
        <f>(battery/range_nm)*G199*R199*VLOOKUP(B199,country_opex,3,FALSE)</f>
        <v/>
      </c>
      <c r="Y199" s="49">
        <f>VLOOKUP(B199,country_opex,2,FALSE)*crew_factor</f>
        <v/>
      </c>
      <c r="Z199" s="49">
        <f>VLOOKUP(B199,country_opex,5,FALSE)</f>
        <v/>
      </c>
      <c r="AA199" s="49">
        <f>maint</f>
        <v/>
      </c>
      <c r="AB199" s="49">
        <f>VLOOKUP(B199,country_opex,7,FALSE)*ins_pct</f>
        <v/>
      </c>
      <c r="AC199" s="49">
        <f>charge_berth</f>
        <v/>
      </c>
      <c r="AD199" s="49">
        <f>X199+Y199+Z199+AA199+AB199+AC199</f>
        <v/>
      </c>
      <c r="AE199" s="49">
        <f>VLOOKUP(B199,country_opex,7,FALSE)/dep_years</f>
        <v/>
      </c>
      <c r="AF199" s="49">
        <f>W199-AD199</f>
        <v/>
      </c>
      <c r="AG199" s="46">
        <f>IF(W199=0,"",AF199/W199)</f>
        <v/>
      </c>
      <c r="AH199" s="47">
        <f>IF(AF199&lt;=0,"",VLOOKUP(B199,country_opex,7,FALSE)/AF199)</f>
        <v/>
      </c>
      <c r="AI199" s="44">
        <f>((G199*R199/diesel_nmpg)*diesel_co2pg-(battery/range_nm)*G199*R199*VLOOKUP(B199,country_opex,4,FALSE))/1000</f>
        <v/>
      </c>
      <c r="AJ199" s="42" t="n">
        <v>5000</v>
      </c>
      <c r="AK199" s="43" t="inlineStr">
        <is>
          <t>T3</t>
        </is>
      </c>
      <c r="AL199" s="43" t="inlineStr">
        <is>
          <t>med-low</t>
        </is>
      </c>
      <c r="AM199" s="50" t="n">
        <v>0.1</v>
      </c>
      <c r="AN199" s="45">
        <f>IF(AJ199="","",AJ199*AM199)</f>
        <v/>
      </c>
      <c r="AO199" s="45">
        <f>IF(OR(AJ199="",U199=0),"",MIN(IF(AV199="",9.9E+99,AV199),FLOOR(AN199/U199,1)))</f>
        <v/>
      </c>
      <c r="AP199" s="49">
        <f>IF(AO199="","",AO199*W199)</f>
        <v/>
      </c>
      <c r="AQ199" s="47">
        <f>IF(OR(AJ199="",U199=0),"",MIN(IF(AV199="",9.9E+99,AV199),AN199/U199))</f>
        <v/>
      </c>
      <c r="AR199" s="49">
        <f>IF(AQ199="","",AQ199*W199)</f>
        <v/>
      </c>
      <c r="AS199" s="51" t="n"/>
      <c r="AT199" s="52" t="n"/>
      <c r="AU199" s="52" t="n"/>
      <c r="AV199" s="53" t="n"/>
      <c r="AW199" s="54">
        <f>IF(((V199*pax_cap*load_thin*ROUND(N199*O199*revleg_thin,0))-(((battery/range_nm)*G199*ROUND(N199*O199*revleg_thin,0)*VLOOKUP(B199,country_opex,3,FALSE))+Y199+Z199+AA199+AB199+AC199))&lt;=0,"",VLOOKUP(B199,country_opex,7,FALSE)/((V199*pax_cap*load_thin*ROUND(N199*O199*revleg_thin,0))-(((battery/range_nm)*G199*ROUND(N199*O199*revleg_thin,0)*VLOOKUP(B199,country_opex,3,FALSE))+Y199+Z199+AA199+AB199+AC199)))</f>
        <v/>
      </c>
      <c r="AX199" s="54">
        <f>IF(((V199*pax_cap*load_mid*ROUND(N199*O199*revleg_mid,0))-(((battery/range_nm)*G199*ROUND(N199*O199*revleg_mid,0)*VLOOKUP(B199,country_opex,3,FALSE))+Y199+Z199+AA199+AB199+AC199))&lt;=0,"",VLOOKUP(B199,country_opex,7,FALSE)/((V199*pax_cap*load_mid*ROUND(N199*O199*revleg_mid,0))-(((battery/range_nm)*G199*ROUND(N199*O199*revleg_mid,0)*VLOOKUP(B199,country_opex,3,FALSE))+Y199+Z199+AA199+AB199+AC199)))</f>
        <v/>
      </c>
      <c r="AY199" s="54">
        <f>IF(((V199*pax_cap*load_full*ROUND(N199*O199*revleg_full,0))-(((battery/range_nm)*G199*ROUND(N199*O199*revleg_full,0)*VLOOKUP(B199,country_opex,3,FALSE))+Y199+Z199+AA199+AB199+AC199))&lt;=0,"",VLOOKUP(B199,country_opex,7,FALSE)/((V199*pax_cap*load_full*ROUND(N199*O199*revleg_full,0))-(((battery/range_nm)*G199*ROUND(N199*O199*revleg_full,0)*VLOOKUP(B199,country_opex,3,FALSE))+Y199+Z199+AA199+AB199+AC199)))</f>
        <v/>
      </c>
      <c r="AZ199" s="40" t="inlineStr">
        <is>
          <t>handoff/INDIA-ECONOMICS-SIDECAR-V0-2026-06-20.json (andaman)</t>
        </is>
      </c>
      <c r="BA199" s="40" t="inlineStr">
        <is>
          <t>handoff/INDIA-ECONOMICS-SIDECAR-V0-2026-06-20.json (andaman)</t>
        </is>
      </c>
    </row>
    <row r="200">
      <c r="A200" s="38" t="inlineStr">
        <is>
          <t>India Andaman Rapido</t>
        </is>
      </c>
      <c r="B200" s="38" t="inlineStr">
        <is>
          <t>India</t>
        </is>
      </c>
      <c r="C200" s="39" t="inlineStr">
        <is>
          <t>Andaman → APARUPA SANDS MARINA</t>
        </is>
      </c>
      <c r="D200" s="38" t="inlineStr">
        <is>
          <t>rapido</t>
        </is>
      </c>
      <c r="E200" s="40" t="inlineStr">
        <is>
          <t>india-andaman-ola, india-andaman-rapido</t>
        </is>
      </c>
      <c r="F200" s="41" t="n">
        <v>2</v>
      </c>
      <c r="G200" s="42" t="n">
        <v>29.4</v>
      </c>
      <c r="H200" s="35" t="n">
        <v>22</v>
      </c>
      <c r="I200" s="43" t="inlineStr">
        <is>
          <t>T3</t>
        </is>
      </c>
      <c r="J200" s="43" t="inlineStr">
        <is>
          <t>med-low</t>
        </is>
      </c>
      <c r="K200" s="29" t="n">
        <v>1</v>
      </c>
      <c r="L200" s="44">
        <f>60*G200/cruise_kt</f>
        <v/>
      </c>
      <c r="M200" s="44">
        <f>L200+turn_min+dwell_min</f>
        <v/>
      </c>
      <c r="N200" s="45">
        <f>MIN(10,FLOOR(60*service_hr/M200,1))</f>
        <v/>
      </c>
      <c r="O200" s="45">
        <f>ROUND(365*mech_uptime*K200,0)</f>
        <v/>
      </c>
      <c r="P200" s="46">
        <f>mech_uptime</f>
        <v/>
      </c>
      <c r="Q200" s="46">
        <f>revleg_sel</f>
        <v/>
      </c>
      <c r="R200" s="45">
        <f>ROUND(N200*O200*revleg_sel,0)</f>
        <v/>
      </c>
      <c r="S200" s="47">
        <f>load_sel</f>
        <v/>
      </c>
      <c r="T200" s="47">
        <f>pax_cap*S200</f>
        <v/>
      </c>
      <c r="U200" s="45">
        <f>T200*R200</f>
        <v/>
      </c>
      <c r="V200" s="48">
        <f>H200*discount</f>
        <v/>
      </c>
      <c r="W200" s="49">
        <f>V200*U200</f>
        <v/>
      </c>
      <c r="X200" s="49">
        <f>(battery/range_nm)*G200*R200*VLOOKUP(B200,country_opex,3,FALSE)</f>
        <v/>
      </c>
      <c r="Y200" s="49">
        <f>VLOOKUP(B200,country_opex,2,FALSE)*crew_factor</f>
        <v/>
      </c>
      <c r="Z200" s="49">
        <f>VLOOKUP(B200,country_opex,5,FALSE)</f>
        <v/>
      </c>
      <c r="AA200" s="49">
        <f>maint</f>
        <v/>
      </c>
      <c r="AB200" s="49">
        <f>VLOOKUP(B200,country_opex,7,FALSE)*ins_pct</f>
        <v/>
      </c>
      <c r="AC200" s="49">
        <f>charge_berth</f>
        <v/>
      </c>
      <c r="AD200" s="49">
        <f>X200+Y200+Z200+AA200+AB200+AC200</f>
        <v/>
      </c>
      <c r="AE200" s="49">
        <f>VLOOKUP(B200,country_opex,7,FALSE)/dep_years</f>
        <v/>
      </c>
      <c r="AF200" s="49">
        <f>W200-AD200</f>
        <v/>
      </c>
      <c r="AG200" s="46">
        <f>IF(W200=0,"",AF200/W200)</f>
        <v/>
      </c>
      <c r="AH200" s="47">
        <f>IF(AF200&lt;=0,"",VLOOKUP(B200,country_opex,7,FALSE)/AF200)</f>
        <v/>
      </c>
      <c r="AI200" s="44">
        <f>((G200*R200/diesel_nmpg)*diesel_co2pg-(battery/range_nm)*G200*R200*VLOOKUP(B200,country_opex,4,FALSE))/1000</f>
        <v/>
      </c>
      <c r="AJ200" s="42" t="n">
        <v>5000</v>
      </c>
      <c r="AK200" s="43" t="inlineStr">
        <is>
          <t>T3</t>
        </is>
      </c>
      <c r="AL200" s="43" t="inlineStr">
        <is>
          <t>med-low</t>
        </is>
      </c>
      <c r="AM200" s="50" t="n">
        <v>0.1</v>
      </c>
      <c r="AN200" s="45">
        <f>IF(AJ200="","",AJ200*AM200)</f>
        <v/>
      </c>
      <c r="AO200" s="45">
        <f>IF(OR(AJ200="",U200=0),"",MIN(IF(AV200="",9.9E+99,AV200),FLOOR(AN200/U200,1)))</f>
        <v/>
      </c>
      <c r="AP200" s="49">
        <f>IF(AO200="","",AO200*W200)</f>
        <v/>
      </c>
      <c r="AQ200" s="47">
        <f>IF(OR(AJ200="",U200=0),"",MIN(IF(AV200="",9.9E+99,AV200),AN200/U200))</f>
        <v/>
      </c>
      <c r="AR200" s="49">
        <f>IF(AQ200="","",AQ200*W200)</f>
        <v/>
      </c>
      <c r="AS200" s="51" t="n"/>
      <c r="AT200" s="52" t="n"/>
      <c r="AU200" s="52" t="n"/>
      <c r="AV200" s="53" t="n"/>
      <c r="AW200" s="54">
        <f>IF(((V200*pax_cap*load_thin*ROUND(N200*O200*revleg_thin,0))-(((battery/range_nm)*G200*ROUND(N200*O200*revleg_thin,0)*VLOOKUP(B200,country_opex,3,FALSE))+Y200+Z200+AA200+AB200+AC200))&lt;=0,"",VLOOKUP(B200,country_opex,7,FALSE)/((V200*pax_cap*load_thin*ROUND(N200*O200*revleg_thin,0))-(((battery/range_nm)*G200*ROUND(N200*O200*revleg_thin,0)*VLOOKUP(B200,country_opex,3,FALSE))+Y200+Z200+AA200+AB200+AC200)))</f>
        <v/>
      </c>
      <c r="AX200" s="54">
        <f>IF(((V200*pax_cap*load_mid*ROUND(N200*O200*revleg_mid,0))-(((battery/range_nm)*G200*ROUND(N200*O200*revleg_mid,0)*VLOOKUP(B200,country_opex,3,FALSE))+Y200+Z200+AA200+AB200+AC200))&lt;=0,"",VLOOKUP(B200,country_opex,7,FALSE)/((V200*pax_cap*load_mid*ROUND(N200*O200*revleg_mid,0))-(((battery/range_nm)*G200*ROUND(N200*O200*revleg_mid,0)*VLOOKUP(B200,country_opex,3,FALSE))+Y200+Z200+AA200+AB200+AC200)))</f>
        <v/>
      </c>
      <c r="AY200" s="54">
        <f>IF(((V200*pax_cap*load_full*ROUND(N200*O200*revleg_full,0))-(((battery/range_nm)*G200*ROUND(N200*O200*revleg_full,0)*VLOOKUP(B200,country_opex,3,FALSE))+Y200+Z200+AA200+AB200+AC200))&lt;=0,"",VLOOKUP(B200,country_opex,7,FALSE)/((V200*pax_cap*load_full*ROUND(N200*O200*revleg_full,0))-(((battery/range_nm)*G200*ROUND(N200*O200*revleg_full,0)*VLOOKUP(B200,country_opex,3,FALSE))+Y200+Z200+AA200+AB200+AC200)))</f>
        <v/>
      </c>
      <c r="AZ200" s="40" t="inlineStr">
        <is>
          <t>handoff/INDIA-ECONOMICS-SIDECAR-V0-2026-06-20.json (andaman)</t>
        </is>
      </c>
      <c r="BA200" s="40" t="inlineStr">
        <is>
          <t>handoff/INDIA-ECONOMICS-SIDECAR-V0-2026-06-20.json (andaman)</t>
        </is>
      </c>
    </row>
    <row r="201">
      <c r="A201" s="38" t="inlineStr">
        <is>
          <t>Jakarta</t>
        </is>
      </c>
      <c r="B201" s="38" t="inlineStr">
        <is>
          <t>Indonesia</t>
        </is>
      </c>
      <c r="C201" s="39" t="inlineStr">
        <is>
          <t>Pantai Laguna (Ancol Taman Impian) → Pantai Laguna (Ancol Taman Impian)</t>
        </is>
      </c>
      <c r="D201" s="38" t="inlineStr">
        <is>
          <t>grab</t>
        </is>
      </c>
      <c r="E201" s="40" t="inlineStr">
        <is>
          <t>jakarta</t>
        </is>
      </c>
      <c r="F201" s="41" t="n">
        <v>1</v>
      </c>
      <c r="G201" s="42" t="n">
        <v>2</v>
      </c>
      <c r="H201" s="35" t="n">
        <v>18</v>
      </c>
      <c r="I201" s="43" t="inlineStr">
        <is>
          <t>T1</t>
        </is>
      </c>
      <c r="J201" s="43" t="inlineStr">
        <is>
          <t>high</t>
        </is>
      </c>
      <c r="K201" s="29" t="n">
        <v>1</v>
      </c>
      <c r="L201" s="44">
        <f>60*G201/cruise_kt</f>
        <v/>
      </c>
      <c r="M201" s="44">
        <f>L201+turn_min+dwell_min</f>
        <v/>
      </c>
      <c r="N201" s="45">
        <f>MIN(10,FLOOR(60*service_hr/M201,1))</f>
        <v/>
      </c>
      <c r="O201" s="45">
        <f>ROUND(365*mech_uptime*K201,0)</f>
        <v/>
      </c>
      <c r="P201" s="46">
        <f>mech_uptime</f>
        <v/>
      </c>
      <c r="Q201" s="46">
        <f>revleg_sel</f>
        <v/>
      </c>
      <c r="R201" s="45">
        <f>ROUND(N201*O201*revleg_sel,0)</f>
        <v/>
      </c>
      <c r="S201" s="47">
        <f>load_sel</f>
        <v/>
      </c>
      <c r="T201" s="47">
        <f>pax_cap*S201</f>
        <v/>
      </c>
      <c r="U201" s="45">
        <f>T201*R201</f>
        <v/>
      </c>
      <c r="V201" s="48">
        <f>H201*discount</f>
        <v/>
      </c>
      <c r="W201" s="49">
        <f>V201*U201</f>
        <v/>
      </c>
      <c r="X201" s="49">
        <f>(battery/range_nm)*G201*R201*VLOOKUP(B201,country_opex,3,FALSE)</f>
        <v/>
      </c>
      <c r="Y201" s="49">
        <f>VLOOKUP(B201,country_opex,2,FALSE)*crew_factor</f>
        <v/>
      </c>
      <c r="Z201" s="49">
        <f>VLOOKUP(B201,country_opex,5,FALSE)</f>
        <v/>
      </c>
      <c r="AA201" s="49">
        <f>maint</f>
        <v/>
      </c>
      <c r="AB201" s="49">
        <f>VLOOKUP(B201,country_opex,7,FALSE)*ins_pct</f>
        <v/>
      </c>
      <c r="AC201" s="49">
        <f>charge_berth</f>
        <v/>
      </c>
      <c r="AD201" s="49">
        <f>X201+Y201+Z201+AA201+AB201+AC201</f>
        <v/>
      </c>
      <c r="AE201" s="49">
        <f>VLOOKUP(B201,country_opex,7,FALSE)/dep_years</f>
        <v/>
      </c>
      <c r="AF201" s="49">
        <f>W201-AD201</f>
        <v/>
      </c>
      <c r="AG201" s="46">
        <f>IF(W201=0,"",AF201/W201)</f>
        <v/>
      </c>
      <c r="AH201" s="47">
        <f>IF(AF201&lt;=0,"",VLOOKUP(B201,country_opex,7,FALSE)/AF201)</f>
        <v/>
      </c>
      <c r="AI201" s="44">
        <f>((G201*R201/diesel_nmpg)*diesel_co2pg-(battery/range_nm)*G201*R201*VLOOKUP(B201,country_opex,4,FALSE))/1000</f>
        <v/>
      </c>
      <c r="AJ201" s="42" t="n">
        <v>200000</v>
      </c>
      <c r="AK201" s="43" t="n"/>
      <c r="AL201" s="43" t="n"/>
      <c r="AM201" s="50" t="n">
        <v>0.1</v>
      </c>
      <c r="AN201" s="45">
        <f>IF(AJ201="","",AJ201*AM201)</f>
        <v/>
      </c>
      <c r="AO201" s="45">
        <f>IF(OR(AJ201="",U201=0),"",MIN(IF(AV201="",9.9E+99,AV201),FLOOR(AN201/U201,1)))</f>
        <v/>
      </c>
      <c r="AP201" s="49">
        <f>IF(AO201="","",AO201*W201)</f>
        <v/>
      </c>
      <c r="AQ201" s="47">
        <f>IF(OR(AJ201="",U201=0),"",MIN(IF(AV201="",9.9E+99,AV201),AN201/U201))</f>
        <v/>
      </c>
      <c r="AR201" s="49">
        <f>IF(AQ201="","",AQ201*W201)</f>
        <v/>
      </c>
      <c r="AS201" s="51" t="n"/>
      <c r="AT201" s="52" t="n"/>
      <c r="AU201" s="52" t="n"/>
      <c r="AV201" s="53" t="n"/>
      <c r="AW201" s="54">
        <f>IF(((V201*pax_cap*load_thin*ROUND(N201*O201*revleg_thin,0))-(((battery/range_nm)*G201*ROUND(N201*O201*revleg_thin,0)*VLOOKUP(B201,country_opex,3,FALSE))+Y201+Z201+AA201+AB201+AC201))&lt;=0,"",VLOOKUP(B201,country_opex,7,FALSE)/((V201*pax_cap*load_thin*ROUND(N201*O201*revleg_thin,0))-(((battery/range_nm)*G201*ROUND(N201*O201*revleg_thin,0)*VLOOKUP(B201,country_opex,3,FALSE))+Y201+Z201+AA201+AB201+AC201)))</f>
        <v/>
      </c>
      <c r="AX201" s="54">
        <f>IF(((V201*pax_cap*load_mid*ROUND(N201*O201*revleg_mid,0))-(((battery/range_nm)*G201*ROUND(N201*O201*revleg_mid,0)*VLOOKUP(B201,country_opex,3,FALSE))+Y201+Z201+AA201+AB201+AC201))&lt;=0,"",VLOOKUP(B201,country_opex,7,FALSE)/((V201*pax_cap*load_mid*ROUND(N201*O201*revleg_mid,0))-(((battery/range_nm)*G201*ROUND(N201*O201*revleg_mid,0)*VLOOKUP(B201,country_opex,3,FALSE))+Y201+Z201+AA201+AB201+AC201)))</f>
        <v/>
      </c>
      <c r="AY201" s="54">
        <f>IF(((V201*pax_cap*load_full*ROUND(N201*O201*revleg_full,0))-(((battery/range_nm)*G201*ROUND(N201*O201*revleg_full,0)*VLOOKUP(B201,country_opex,3,FALSE))+Y201+Z201+AA201+AB201+AC201))&lt;=0,"",VLOOKUP(B201,country_opex,7,FALSE)/((V201*pax_cap*load_full*ROUND(N201*O201*revleg_full,0))-(((battery/range_nm)*G201*ROUND(N201*O201*revleg_full,0)*VLOOKUP(B201,country_opex,3,FALSE))+Y201+Z201+AA201+AB201+AC201)))</f>
        <v/>
      </c>
      <c r="AZ201" s="40" t="inlineStr">
        <is>
          <t>[LB-255 PREMIUM RE-FARE: subsidized comparable $1.23 lifted to premium on-demand floor $18.0] Ancol Taman Impian corporate site (korporat.ancol.com, GM Sunarto quote, 17-Jun-2018): Rp20,000/person or Rp200-300k per boat for groups, boats hold ~20 pax. Price STILL Rp20,000 per TikTok rider reviews Oct-2025 ('Naik kapal di Ancol cuma 20rb perorang') - 7-yr price stickiness corroborated, not assumed.</t>
        </is>
      </c>
      <c r="BA201" s="40" t="n"/>
    </row>
    <row r="202">
      <c r="A202" s="38" t="inlineStr">
        <is>
          <t>Bali</t>
        </is>
      </c>
      <c r="B202" s="38" t="inlineStr">
        <is>
          <t>Indonesia</t>
        </is>
      </c>
      <c r="C202" s="39" t="inlineStr">
        <is>
          <t>Benoa Harbour Cruise Terminal → Benoa Harbour Cruise Terminal</t>
        </is>
      </c>
      <c r="D202" s="38" t="inlineStr">
        <is>
          <t>grab</t>
        </is>
      </c>
      <c r="E202" s="40" t="inlineStr">
        <is>
          <t>bali</t>
        </is>
      </c>
      <c r="F202" s="41" t="n">
        <v>1</v>
      </c>
      <c r="G202" s="42" t="n">
        <v>5</v>
      </c>
      <c r="H202" s="35" t="n">
        <v>85</v>
      </c>
      <c r="I202" s="43" t="inlineStr">
        <is>
          <t>T1</t>
        </is>
      </c>
      <c r="J202" s="43" t="inlineStr">
        <is>
          <t>high</t>
        </is>
      </c>
      <c r="K202" s="29" t="n">
        <v>1</v>
      </c>
      <c r="L202" s="44">
        <f>60*G202/cruise_kt</f>
        <v/>
      </c>
      <c r="M202" s="44">
        <f>L202+turn_min+dwell_min</f>
        <v/>
      </c>
      <c r="N202" s="45">
        <f>MIN(10,FLOOR(60*service_hr/M202,1))</f>
        <v/>
      </c>
      <c r="O202" s="45">
        <f>ROUND(365*mech_uptime*K202,0)</f>
        <v/>
      </c>
      <c r="P202" s="46">
        <f>mech_uptime</f>
        <v/>
      </c>
      <c r="Q202" s="46">
        <f>revleg_sel</f>
        <v/>
      </c>
      <c r="R202" s="45">
        <f>ROUND(N202*O202*revleg_sel,0)</f>
        <v/>
      </c>
      <c r="S202" s="47">
        <f>load_sel</f>
        <v/>
      </c>
      <c r="T202" s="47">
        <f>pax_cap*S202</f>
        <v/>
      </c>
      <c r="U202" s="45">
        <f>T202*R202</f>
        <v/>
      </c>
      <c r="V202" s="48">
        <f>H202*discount</f>
        <v/>
      </c>
      <c r="W202" s="49">
        <f>V202*U202</f>
        <v/>
      </c>
      <c r="X202" s="49">
        <f>(battery/range_nm)*G202*R202*VLOOKUP(B202,country_opex,3,FALSE)</f>
        <v/>
      </c>
      <c r="Y202" s="49">
        <f>VLOOKUP(B202,country_opex,2,FALSE)*crew_factor</f>
        <v/>
      </c>
      <c r="Z202" s="49">
        <f>VLOOKUP(B202,country_opex,5,FALSE)</f>
        <v/>
      </c>
      <c r="AA202" s="49">
        <f>maint</f>
        <v/>
      </c>
      <c r="AB202" s="49">
        <f>VLOOKUP(B202,country_opex,7,FALSE)*ins_pct</f>
        <v/>
      </c>
      <c r="AC202" s="49">
        <f>charge_berth</f>
        <v/>
      </c>
      <c r="AD202" s="49">
        <f>X202+Y202+Z202+AA202+AB202+AC202</f>
        <v/>
      </c>
      <c r="AE202" s="49">
        <f>VLOOKUP(B202,country_opex,7,FALSE)/dep_years</f>
        <v/>
      </c>
      <c r="AF202" s="49">
        <f>W202-AD202</f>
        <v/>
      </c>
      <c r="AG202" s="46">
        <f>IF(W202=0,"",AF202/W202)</f>
        <v/>
      </c>
      <c r="AH202" s="47">
        <f>IF(AF202&lt;=0,"",VLOOKUP(B202,country_opex,7,FALSE)/AF202)</f>
        <v/>
      </c>
      <c r="AI202" s="44">
        <f>((G202*R202/diesel_nmpg)*diesel_co2pg-(battery/range_nm)*G202*R202*VLOOKUP(B202,country_opex,4,FALSE))/1000</f>
        <v/>
      </c>
      <c r="AJ202" s="42" t="n">
        <v>85000</v>
      </c>
      <c r="AK202" s="43" t="n"/>
      <c r="AL202" s="43" t="n"/>
      <c r="AM202" s="50" t="n">
        <v>0.1</v>
      </c>
      <c r="AN202" s="45">
        <f>IF(AJ202="","",AJ202*AM202)</f>
        <v/>
      </c>
      <c r="AO202" s="45">
        <f>IF(OR(AJ202="",U202=0),"",MIN(IF(AV202="",9.9E+99,AV202),FLOOR(AN202/U202,1)))</f>
        <v/>
      </c>
      <c r="AP202" s="49">
        <f>IF(AO202="","",AO202*W202)</f>
        <v/>
      </c>
      <c r="AQ202" s="47">
        <f>IF(OR(AJ202="",U202=0),"",MIN(IF(AV202="",9.9E+99,AV202),AN202/U202))</f>
        <v/>
      </c>
      <c r="AR202" s="49">
        <f>IF(AQ202="","",AQ202*W202)</f>
        <v/>
      </c>
      <c r="AS202" s="51" t="n"/>
      <c r="AT202" s="52" t="n"/>
      <c r="AU202" s="52" t="n"/>
      <c r="AV202" s="53" t="n"/>
      <c r="AW202" s="54">
        <f>IF(((V202*pax_cap*load_thin*ROUND(N202*O202*revleg_thin,0))-(((battery/range_nm)*G202*ROUND(N202*O202*revleg_thin,0)*VLOOKUP(B202,country_opex,3,FALSE))+Y202+Z202+AA202+AB202+AC202))&lt;=0,"",VLOOKUP(B202,country_opex,7,FALSE)/((V202*pax_cap*load_thin*ROUND(N202*O202*revleg_thin,0))-(((battery/range_nm)*G202*ROUND(N202*O202*revleg_thin,0)*VLOOKUP(B202,country_opex,3,FALSE))+Y202+Z202+AA202+AB202+AC202)))</f>
        <v/>
      </c>
      <c r="AX202" s="54">
        <f>IF(((V202*pax_cap*load_mid*ROUND(N202*O202*revleg_mid,0))-(((battery/range_nm)*G202*ROUND(N202*O202*revleg_mid,0)*VLOOKUP(B202,country_opex,3,FALSE))+Y202+Z202+AA202+AB202+AC202))&lt;=0,"",VLOOKUP(B202,country_opex,7,FALSE)/((V202*pax_cap*load_mid*ROUND(N202*O202*revleg_mid,0))-(((battery/range_nm)*G202*ROUND(N202*O202*revleg_mid,0)*VLOOKUP(B202,country_opex,3,FALSE))+Y202+Z202+AA202+AB202+AC202)))</f>
        <v/>
      </c>
      <c r="AY202" s="54">
        <f>IF(((V202*pax_cap*load_full*ROUND(N202*O202*revleg_full,0))-(((battery/range_nm)*G202*ROUND(N202*O202*revleg_full,0)*VLOOKUP(B202,country_opex,3,FALSE))+Y202+Z202+AA202+AB202+AC202))&lt;=0,"",VLOOKUP(B202,country_opex,7,FALSE)/((V202*pax_cap*load_full*ROUND(N202*O202*revleg_full,0))-(((battery/range_nm)*G202*ROUND(N202*O202*revleg_full,0)*VLOOKUP(B202,country_opex,3,FALSE))+Y202+Z202+AA202+AB202+AC202)))</f>
        <v/>
      </c>
      <c r="AZ202" s="40" t="inlineStr">
        <is>
          <t>Bali Hai operator page balihaicruises.com/day-trip/sunset-dinner-cruise/: Adult USD 85 (Rp 1.527.000), child USD 65, 'valid until 31 March 2027'. Corroborated by Bounty operator site bountycruises.co.id: Dinner Cruise IDR 1.440.000/pax (~USD 88), and Viator Aristocat Evening Dinner Cruise from USD 112.</t>
        </is>
      </c>
      <c r="BA202" s="40" t="n"/>
    </row>
    <row r="203">
      <c r="A203" s="38" t="inlineStr">
        <is>
          <t>Jakarta</t>
        </is>
      </c>
      <c r="B203" s="38" t="inlineStr">
        <is>
          <t>Indonesia</t>
        </is>
      </c>
      <c r="C203" s="39" t="inlineStr">
        <is>
          <t>Marina Ancol → Thousand Islands — inner ring (Bidadari / Ayer / Onrust)</t>
        </is>
      </c>
      <c r="D203" s="38" t="inlineStr">
        <is>
          <t>grab</t>
        </is>
      </c>
      <c r="E203" s="40" t="inlineStr">
        <is>
          <t>jakarta</t>
        </is>
      </c>
      <c r="F203" s="41" t="n">
        <v>1</v>
      </c>
      <c r="G203" s="42" t="n">
        <v>7.4</v>
      </c>
      <c r="H203" s="35" t="n">
        <v>11.7</v>
      </c>
      <c r="I203" s="43" t="inlineStr">
        <is>
          <t>T2/T3</t>
        </is>
      </c>
      <c r="J203" s="43" t="inlineStr">
        <is>
          <t>med-high</t>
        </is>
      </c>
      <c r="K203" s="29" t="n">
        <v>1</v>
      </c>
      <c r="L203" s="44">
        <f>60*G203/cruise_kt</f>
        <v/>
      </c>
      <c r="M203" s="44">
        <f>L203+turn_min+dwell_min</f>
        <v/>
      </c>
      <c r="N203" s="45">
        <f>MIN(10,FLOOR(60*service_hr/M203,1))</f>
        <v/>
      </c>
      <c r="O203" s="45">
        <f>ROUND(365*mech_uptime*K203,0)</f>
        <v/>
      </c>
      <c r="P203" s="46">
        <f>mech_uptime</f>
        <v/>
      </c>
      <c r="Q203" s="46">
        <f>revleg_sel</f>
        <v/>
      </c>
      <c r="R203" s="45">
        <f>ROUND(N203*O203*revleg_sel,0)</f>
        <v/>
      </c>
      <c r="S203" s="47">
        <f>load_sel</f>
        <v/>
      </c>
      <c r="T203" s="47">
        <f>pax_cap*S203</f>
        <v/>
      </c>
      <c r="U203" s="45">
        <f>T203*R203</f>
        <v/>
      </c>
      <c r="V203" s="48">
        <f>H203*discount</f>
        <v/>
      </c>
      <c r="W203" s="49">
        <f>V203*U203</f>
        <v/>
      </c>
      <c r="X203" s="49">
        <f>(battery/range_nm)*G203*R203*VLOOKUP(B203,country_opex,3,FALSE)</f>
        <v/>
      </c>
      <c r="Y203" s="49">
        <f>VLOOKUP(B203,country_opex,2,FALSE)*crew_factor</f>
        <v/>
      </c>
      <c r="Z203" s="49">
        <f>VLOOKUP(B203,country_opex,5,FALSE)</f>
        <v/>
      </c>
      <c r="AA203" s="49">
        <f>maint</f>
        <v/>
      </c>
      <c r="AB203" s="49">
        <f>VLOOKUP(B203,country_opex,7,FALSE)*ins_pct</f>
        <v/>
      </c>
      <c r="AC203" s="49">
        <f>charge_berth</f>
        <v/>
      </c>
      <c r="AD203" s="49">
        <f>X203+Y203+Z203+AA203+AB203+AC203</f>
        <v/>
      </c>
      <c r="AE203" s="49">
        <f>VLOOKUP(B203,country_opex,7,FALSE)/dep_years</f>
        <v/>
      </c>
      <c r="AF203" s="49">
        <f>W203-AD203</f>
        <v/>
      </c>
      <c r="AG203" s="46">
        <f>IF(W203=0,"",AF203/W203)</f>
        <v/>
      </c>
      <c r="AH203" s="47">
        <f>IF(AF203&lt;=0,"",VLOOKUP(B203,country_opex,7,FALSE)/AF203)</f>
        <v/>
      </c>
      <c r="AI203" s="44">
        <f>((G203*R203/diesel_nmpg)*diesel_co2pg-(battery/range_nm)*G203*R203*VLOOKUP(B203,country_opex,4,FALSE))/1000</f>
        <v/>
      </c>
      <c r="AJ203" s="42" t="n">
        <v>10000</v>
      </c>
      <c r="AK203" s="43" t="inlineStr">
        <is>
          <t>T2</t>
        </is>
      </c>
      <c r="AL203" s="43" t="inlineStr">
        <is>
          <t>med</t>
        </is>
      </c>
      <c r="AM203" s="50" t="n">
        <v>0.1</v>
      </c>
      <c r="AN203" s="45">
        <f>IF(AJ203="","",AJ203*AM203)</f>
        <v/>
      </c>
      <c r="AO203" s="45">
        <f>IF(OR(AJ203="",U203=0),"",MIN(IF(AV203="",9.9E+99,AV203),FLOOR(AN203/U203,1)))</f>
        <v/>
      </c>
      <c r="AP203" s="49">
        <f>IF(AO203="","",AO203*W203)</f>
        <v/>
      </c>
      <c r="AQ203" s="47">
        <f>IF(OR(AJ203="",U203=0),"",MIN(IF(AV203="",9.9E+99,AV203),AN203/U203))</f>
        <v/>
      </c>
      <c r="AR203" s="49">
        <f>IF(AQ203="","",AQ203*W203)</f>
        <v/>
      </c>
      <c r="AS203" s="51" t="n"/>
      <c r="AT203" s="52" t="n"/>
      <c r="AU203" s="52" t="n"/>
      <c r="AV203" s="53" t="n"/>
      <c r="AW203" s="54">
        <f>IF(((V203*pax_cap*load_thin*ROUND(N203*O203*revleg_thin,0))-(((battery/range_nm)*G203*ROUND(N203*O203*revleg_thin,0)*VLOOKUP(B203,country_opex,3,FALSE))+Y203+Z203+AA203+AB203+AC203))&lt;=0,"",VLOOKUP(B203,country_opex,7,FALSE)/((V203*pax_cap*load_thin*ROUND(N203*O203*revleg_thin,0))-(((battery/range_nm)*G203*ROUND(N203*O203*revleg_thin,0)*VLOOKUP(B203,country_opex,3,FALSE))+Y203+Z203+AA203+AB203+AC203)))</f>
        <v/>
      </c>
      <c r="AX203" s="54">
        <f>IF(((V203*pax_cap*load_mid*ROUND(N203*O203*revleg_mid,0))-(((battery/range_nm)*G203*ROUND(N203*O203*revleg_mid,0)*VLOOKUP(B203,country_opex,3,FALSE))+Y203+Z203+AA203+AB203+AC203))&lt;=0,"",VLOOKUP(B203,country_opex,7,FALSE)/((V203*pax_cap*load_mid*ROUND(N203*O203*revleg_mid,0))-(((battery/range_nm)*G203*ROUND(N203*O203*revleg_mid,0)*VLOOKUP(B203,country_opex,3,FALSE))+Y203+Z203+AA203+AB203+AC203)))</f>
        <v/>
      </c>
      <c r="AY203" s="54">
        <f>IF(((V203*pax_cap*load_full*ROUND(N203*O203*revleg_full,0))-(((battery/range_nm)*G203*ROUND(N203*O203*revleg_full,0)*VLOOKUP(B203,country_opex,3,FALSE))+Y203+Z203+AA203+AB203+AC203))&lt;=0,"",VLOOKUP(B203,country_opex,7,FALSE)/((V203*pax_cap*load_full*ROUND(N203*O203*revleg_full,0))-(((battery/range_nm)*G203*ROUND(N203*O203*revleg_full,0)*VLOOKUP(B203,country_opex,3,FALSE))+Y203+Z203+AA203+AB203+AC203)))</f>
        <v/>
      </c>
      <c r="AZ203" s="40" t="inlineStr">
        <is>
          <t>Official Marina Ancol speedboat tariff table (pulauseribu-resorts.com / visitpulauseribu.co.id): Ayer/Bidadari Rp155,000 one-way regular speedboat; budget wooden boat ex-Kaliadem Rp90-110k; private speedboat charter Rp2,400,000/boat (Ayer/Bidadari/Kelor-Onrust) =&gt; ~Rp200-300k/seat. Premium per-seat anchored at ~Rp190,000.</t>
        </is>
      </c>
      <c r="BA203" s="40" t="inlineStr">
        <is>
          <t>Sudin Parekraf Kepulauan Seribu official 2025 category breakdown (via pulauseribu.jakarta.go.id, 11-Jan-2026): total 398,519 visitors (2024: 411,161); resort islands 13,932 (TOP = Bidadari #1, then Putri, Macan); tourism islands 3,575; nature-reserve islands 537. Inner-ring = Bidadari+Ayer resort share (~half of resort pool, Bidadari is #1) + Onrust/Cipir/Kelor historical-park day-trips (pulau wisata/cagar) =&gt; ~10,000/yr.</t>
        </is>
      </c>
    </row>
    <row r="204">
      <c r="A204" s="38" t="inlineStr">
        <is>
          <t>Jakarta</t>
        </is>
      </c>
      <c r="B204" s="38" t="inlineStr">
        <is>
          <t>Indonesia</t>
        </is>
      </c>
      <c r="C204" s="39" t="inlineStr">
        <is>
          <t>Batavia Marina (Sunda Kelapa) → Batavia Marina (Sunda Kelapa)</t>
        </is>
      </c>
      <c r="D204" s="38" t="inlineStr">
        <is>
          <t>grab</t>
        </is>
      </c>
      <c r="E204" s="40" t="inlineStr">
        <is>
          <t>jakarta</t>
        </is>
      </c>
      <c r="F204" s="41" t="n">
        <v>1</v>
      </c>
      <c r="G204" s="42" t="n">
        <v>8</v>
      </c>
      <c r="H204" s="35" t="n">
        <v>35</v>
      </c>
      <c r="I204" s="43" t="inlineStr">
        <is>
          <t>T1</t>
        </is>
      </c>
      <c r="J204" s="43" t="inlineStr">
        <is>
          <t>high</t>
        </is>
      </c>
      <c r="K204" s="29" t="n">
        <v>1</v>
      </c>
      <c r="L204" s="44">
        <f>60*G204/cruise_kt</f>
        <v/>
      </c>
      <c r="M204" s="44">
        <f>L204+turn_min+dwell_min</f>
        <v/>
      </c>
      <c r="N204" s="45">
        <f>MIN(10,FLOOR(60*service_hr/M204,1))</f>
        <v/>
      </c>
      <c r="O204" s="45">
        <f>ROUND(365*mech_uptime*K204,0)</f>
        <v/>
      </c>
      <c r="P204" s="46">
        <f>mech_uptime</f>
        <v/>
      </c>
      <c r="Q204" s="46">
        <f>revleg_sel</f>
        <v/>
      </c>
      <c r="R204" s="45">
        <f>ROUND(N204*O204*revleg_sel,0)</f>
        <v/>
      </c>
      <c r="S204" s="47">
        <f>load_sel</f>
        <v/>
      </c>
      <c r="T204" s="47">
        <f>pax_cap*S204</f>
        <v/>
      </c>
      <c r="U204" s="45">
        <f>T204*R204</f>
        <v/>
      </c>
      <c r="V204" s="48">
        <f>H204*discount</f>
        <v/>
      </c>
      <c r="W204" s="49">
        <f>V204*U204</f>
        <v/>
      </c>
      <c r="X204" s="49">
        <f>(battery/range_nm)*G204*R204*VLOOKUP(B204,country_opex,3,FALSE)</f>
        <v/>
      </c>
      <c r="Y204" s="49">
        <f>VLOOKUP(B204,country_opex,2,FALSE)*crew_factor</f>
        <v/>
      </c>
      <c r="Z204" s="49">
        <f>VLOOKUP(B204,country_opex,5,FALSE)</f>
        <v/>
      </c>
      <c r="AA204" s="49">
        <f>maint</f>
        <v/>
      </c>
      <c r="AB204" s="49">
        <f>VLOOKUP(B204,country_opex,7,FALSE)*ins_pct</f>
        <v/>
      </c>
      <c r="AC204" s="49">
        <f>charge_berth</f>
        <v/>
      </c>
      <c r="AD204" s="49">
        <f>X204+Y204+Z204+AA204+AB204+AC204</f>
        <v/>
      </c>
      <c r="AE204" s="49">
        <f>VLOOKUP(B204,country_opex,7,FALSE)/dep_years</f>
        <v/>
      </c>
      <c r="AF204" s="49">
        <f>W204-AD204</f>
        <v/>
      </c>
      <c r="AG204" s="46">
        <f>IF(W204=0,"",AF204/W204)</f>
        <v/>
      </c>
      <c r="AH204" s="47">
        <f>IF(AF204&lt;=0,"",VLOOKUP(B204,country_opex,7,FALSE)/AF204)</f>
        <v/>
      </c>
      <c r="AI204" s="44">
        <f>((G204*R204/diesel_nmpg)*diesel_co2pg-(battery/range_nm)*G204*R204*VLOOKUP(B204,country_opex,4,FALSE))/1000</f>
        <v/>
      </c>
      <c r="AJ204" s="42" t="n">
        <v>10000</v>
      </c>
      <c r="AK204" s="43" t="n"/>
      <c r="AL204" s="43" t="n"/>
      <c r="AM204" s="50" t="n">
        <v>0.1</v>
      </c>
      <c r="AN204" s="45">
        <f>IF(AJ204="","",AJ204*AM204)</f>
        <v/>
      </c>
      <c r="AO204" s="45">
        <f>IF(OR(AJ204="",U204=0),"",MIN(IF(AV204="",9.9E+99,AV204),FLOOR(AN204/U204,1)))</f>
        <v/>
      </c>
      <c r="AP204" s="49">
        <f>IF(AO204="","",AO204*W204)</f>
        <v/>
      </c>
      <c r="AQ204" s="47">
        <f>IF(OR(AJ204="",U204=0),"",MIN(IF(AV204="",9.9E+99,AV204),AN204/U204))</f>
        <v/>
      </c>
      <c r="AR204" s="49">
        <f>IF(AQ204="","",AQ204*W204)</f>
        <v/>
      </c>
      <c r="AS204" s="51" t="n"/>
      <c r="AT204" s="52" t="n"/>
      <c r="AU204" s="52" t="n"/>
      <c r="AV204" s="53" t="n"/>
      <c r="AW204" s="54">
        <f>IF(((V204*pax_cap*load_thin*ROUND(N204*O204*revleg_thin,0))-(((battery/range_nm)*G204*ROUND(N204*O204*revleg_thin,0)*VLOOKUP(B204,country_opex,3,FALSE))+Y204+Z204+AA204+AB204+AC204))&lt;=0,"",VLOOKUP(B204,country_opex,7,FALSE)/((V204*pax_cap*load_thin*ROUND(N204*O204*revleg_thin,0))-(((battery/range_nm)*G204*ROUND(N204*O204*revleg_thin,0)*VLOOKUP(B204,country_opex,3,FALSE))+Y204+Z204+AA204+AB204+AC204)))</f>
        <v/>
      </c>
      <c r="AX204" s="54">
        <f>IF(((V204*pax_cap*load_mid*ROUND(N204*O204*revleg_mid,0))-(((battery/range_nm)*G204*ROUND(N204*O204*revleg_mid,0)*VLOOKUP(B204,country_opex,3,FALSE))+Y204+Z204+AA204+AB204+AC204))&lt;=0,"",VLOOKUP(B204,country_opex,7,FALSE)/((V204*pax_cap*load_mid*ROUND(N204*O204*revleg_mid,0))-(((battery/range_nm)*G204*ROUND(N204*O204*revleg_mid,0)*VLOOKUP(B204,country_opex,3,FALSE))+Y204+Z204+AA204+AB204+AC204)))</f>
        <v/>
      </c>
      <c r="AY204" s="54">
        <f>IF(((V204*pax_cap*load_full*ROUND(N204*O204*revleg_full,0))-(((battery/range_nm)*G204*ROUND(N204*O204*revleg_full,0)*VLOOKUP(B204,country_opex,3,FALSE))+Y204+Z204+AA204+AB204+AC204))&lt;=0,"",VLOOKUP(B204,country_opex,7,FALSE)/((V204*pax_cap*load_full*ROUND(N204*O204*revleg_full,0))-(((battery/range_nm)*G204*ROUND(N204*O204*revleg_full,0)*VLOOKUP(B204,country_opex,3,FALSE))+Y204+Z204+AA204+AB204+AC204)))</f>
        <v/>
      </c>
      <c r="AZ204" s="40" t="inlineStr">
        <is>
          <t>Operator site quicksilver-bali.com [QUICKSILVER JAKARTA] 'Quicky Sunset': IDR 570,000/pax (adult=child), incl. welcome drink, buffet dinner, live music, 1.5h sail + 1h dockside (May-2026 departure listing). Corroborated: Traveloka listing Rp499,000 promo / Rp599,000 rack for Quicksilver VI Sunset Cruise. Premium tier: Quicksilver FB 'premium sunset experience' Rp1,250,000/pax; Jakarta Phinisi join-trip $75-95 (Wandernesia).</t>
        </is>
      </c>
      <c r="BA204" s="40" t="n"/>
    </row>
    <row r="205">
      <c r="A205" s="38" t="inlineStr">
        <is>
          <t>Bali</t>
        </is>
      </c>
      <c r="B205" s="38" t="inlineStr">
        <is>
          <t>Indonesia</t>
        </is>
      </c>
      <c r="C205" s="39" t="inlineStr">
        <is>
          <t>Bali (Benoa / Sanur) → Nusa Penida / Lembongan</t>
        </is>
      </c>
      <c r="D205" s="38" t="inlineStr">
        <is>
          <t>grab</t>
        </is>
      </c>
      <c r="E205" s="40" t="inlineStr">
        <is>
          <t>bali</t>
        </is>
      </c>
      <c r="F205" s="41" t="n">
        <v>1</v>
      </c>
      <c r="G205" s="42" t="n">
        <v>13.5</v>
      </c>
      <c r="H205" s="35" t="n">
        <v>60</v>
      </c>
      <c r="I205" s="43" t="inlineStr">
        <is>
          <t>T3</t>
        </is>
      </c>
      <c r="J205" s="43" t="inlineStr">
        <is>
          <t>med-high</t>
        </is>
      </c>
      <c r="K205" s="29" t="n">
        <v>1</v>
      </c>
      <c r="L205" s="44">
        <f>60*G205/cruise_kt</f>
        <v/>
      </c>
      <c r="M205" s="44">
        <f>L205+turn_min+dwell_min</f>
        <v/>
      </c>
      <c r="N205" s="45">
        <f>MIN(10,FLOOR(60*service_hr/M205,1))</f>
        <v/>
      </c>
      <c r="O205" s="45">
        <f>ROUND(365*mech_uptime*K205,0)</f>
        <v/>
      </c>
      <c r="P205" s="46">
        <f>mech_uptime</f>
        <v/>
      </c>
      <c r="Q205" s="46">
        <f>revleg_sel</f>
        <v/>
      </c>
      <c r="R205" s="45">
        <f>ROUND(N205*O205*revleg_sel,0)</f>
        <v/>
      </c>
      <c r="S205" s="47">
        <f>load_sel</f>
        <v/>
      </c>
      <c r="T205" s="47">
        <f>pax_cap*S205</f>
        <v/>
      </c>
      <c r="U205" s="45">
        <f>T205*R205</f>
        <v/>
      </c>
      <c r="V205" s="48">
        <f>H205*discount</f>
        <v/>
      </c>
      <c r="W205" s="49">
        <f>V205*U205</f>
        <v/>
      </c>
      <c r="X205" s="49">
        <f>(battery/range_nm)*G205*R205*VLOOKUP(B205,country_opex,3,FALSE)</f>
        <v/>
      </c>
      <c r="Y205" s="49">
        <f>VLOOKUP(B205,country_opex,2,FALSE)*crew_factor</f>
        <v/>
      </c>
      <c r="Z205" s="49">
        <f>VLOOKUP(B205,country_opex,5,FALSE)</f>
        <v/>
      </c>
      <c r="AA205" s="49">
        <f>maint</f>
        <v/>
      </c>
      <c r="AB205" s="49">
        <f>VLOOKUP(B205,country_opex,7,FALSE)*ins_pct</f>
        <v/>
      </c>
      <c r="AC205" s="49">
        <f>charge_berth</f>
        <v/>
      </c>
      <c r="AD205" s="49">
        <f>X205+Y205+Z205+AA205+AB205+AC205</f>
        <v/>
      </c>
      <c r="AE205" s="49">
        <f>VLOOKUP(B205,country_opex,7,FALSE)/dep_years</f>
        <v/>
      </c>
      <c r="AF205" s="49">
        <f>W205-AD205</f>
        <v/>
      </c>
      <c r="AG205" s="46">
        <f>IF(W205=0,"",AF205/W205)</f>
        <v/>
      </c>
      <c r="AH205" s="47">
        <f>IF(AF205&lt;=0,"",VLOOKUP(B205,country_opex,7,FALSE)/AF205)</f>
        <v/>
      </c>
      <c r="AI205" s="44">
        <f>((G205*R205/diesel_nmpg)*diesel_co2pg-(battery/range_nm)*G205*R205*VLOOKUP(B205,country_opex,4,FALSE))/1000</f>
        <v/>
      </c>
      <c r="AJ205" s="42" t="n">
        <v>1500000</v>
      </c>
      <c r="AK205" s="43" t="inlineStr">
        <is>
          <t>T2</t>
        </is>
      </c>
      <c r="AL205" s="43" t="inlineStr">
        <is>
          <t>med-high</t>
        </is>
      </c>
      <c r="AM205" s="50" t="n">
        <v>0.1</v>
      </c>
      <c r="AN205" s="45">
        <f>IF(AJ205="","",AJ205*AM205)</f>
        <v/>
      </c>
      <c r="AO205" s="45">
        <f>IF(OR(AJ205="",U205=0),"",MIN(IF(AV205="",9.9E+99,AV205),FLOOR(AN205/U205,1)))</f>
        <v/>
      </c>
      <c r="AP205" s="49">
        <f>IF(AO205="","",AO205*W205)</f>
        <v/>
      </c>
      <c r="AQ205" s="47">
        <f>IF(OR(AJ205="",U205=0),"",MIN(IF(AV205="",9.9E+99,AV205),AN205/U205))</f>
        <v/>
      </c>
      <c r="AR205" s="49">
        <f>IF(AQ205="","",AQ205*W205)</f>
        <v/>
      </c>
      <c r="AS205" s="51" t="n"/>
      <c r="AT205" s="52" t="n"/>
      <c r="AU205" s="52" t="n"/>
      <c r="AV205" s="53" t="n"/>
      <c r="AW205" s="54">
        <f>IF(((V205*pax_cap*load_thin*ROUND(N205*O205*revleg_thin,0))-(((battery/range_nm)*G205*ROUND(N205*O205*revleg_thin,0)*VLOOKUP(B205,country_opex,3,FALSE))+Y205+Z205+AA205+AB205+AC205))&lt;=0,"",VLOOKUP(B205,country_opex,7,FALSE)/((V205*pax_cap*load_thin*ROUND(N205*O205*revleg_thin,0))-(((battery/range_nm)*G205*ROUND(N205*O205*revleg_thin,0)*VLOOKUP(B205,country_opex,3,FALSE))+Y205+Z205+AA205+AB205+AC205)))</f>
        <v/>
      </c>
      <c r="AX205" s="54">
        <f>IF(((V205*pax_cap*load_mid*ROUND(N205*O205*revleg_mid,0))-(((battery/range_nm)*G205*ROUND(N205*O205*revleg_mid,0)*VLOOKUP(B205,country_opex,3,FALSE))+Y205+Z205+AA205+AB205+AC205))&lt;=0,"",VLOOKUP(B205,country_opex,7,FALSE)/((V205*pax_cap*load_mid*ROUND(N205*O205*revleg_mid,0))-(((battery/range_nm)*G205*ROUND(N205*O205*revleg_mid,0)*VLOOKUP(B205,country_opex,3,FALSE))+Y205+Z205+AA205+AB205+AC205)))</f>
        <v/>
      </c>
      <c r="AY205" s="54">
        <f>IF(((V205*pax_cap*load_full*ROUND(N205*O205*revleg_full,0))-(((battery/range_nm)*G205*ROUND(N205*O205*revleg_full,0)*VLOOKUP(B205,country_opex,3,FALSE))+Y205+Z205+AA205+AB205+AC205))&lt;=0,"",VLOOKUP(B205,country_opex,7,FALSE)/((V205*pax_cap*load_full*ROUND(N205*O205*revleg_full,0))-(((battery/range_nm)*G205*ROUND(N205*O205*revleg_full,0)*VLOOKUP(B205,country_opex,3,FALSE))+Y205+Z205+AA205+AB205+AC205)))</f>
        <v/>
      </c>
      <c r="AZ205" s="40" t="inlineStr">
        <is>
          <t>Premium private transfer tier, Sanur-&gt;Nusa Penida. Tripadvisor 'Private and Luxury' $75/adult (bundles tour, excluded as overclaim); Klook Premium Speedboat; standard fast boat $37-40. Anchored at $60 = clean premium point-to-point transfer, conservative vs $75 bundled.</t>
        </is>
      </c>
      <c r="BA205" s="40" t="inlineStr">
        <is>
          <t>Klungkung Tourism Office (Dispar) official levy count, 2025: 1,078,125 visitors to Kawasan Wisata Nusa Penida (1,070,616 adults @ Rp25,000 retribution + 7,509 children @ Rp15,000), PAD Rp 26.88B (NusaBali, 27-Feb-2026, https://www.nusabali.com/berita/214419/tahun-2025-nusa-penida-dikunjungi-1-juta-lebih-wisatawan). 2023 was ~729k (Klungkung); regent's 2026 target 2-2.5M. Levy is collected at island entry -&gt; fee-paying turnstile-grade count (R3-GOLD pattern). Nusa Penida district (incl. Lembongan/Ceningan) is boat-only - no airport, no bridge to Bali -&gt; R3-EXCEPTION: arrivals = crossing ridership.</t>
        </is>
      </c>
    </row>
    <row r="206">
      <c r="A206" s="38" t="inlineStr">
        <is>
          <t>Bali</t>
        </is>
      </c>
      <c r="B206" s="38" t="inlineStr">
        <is>
          <t>Indonesia</t>
        </is>
      </c>
      <c r="C206" s="39" t="inlineStr">
        <is>
          <t>Benoa Harbour Cruise Terminal → Mushroom Bay pontoon / Beach Club (Nusa Lembongan)</t>
        </is>
      </c>
      <c r="D206" s="38" t="inlineStr">
        <is>
          <t>grab</t>
        </is>
      </c>
      <c r="E206" s="40" t="inlineStr">
        <is>
          <t>bali</t>
        </is>
      </c>
      <c r="F206" s="41" t="n">
        <v>1</v>
      </c>
      <c r="G206" s="42" t="n">
        <v>13.6</v>
      </c>
      <c r="H206" s="35" t="n">
        <v>95</v>
      </c>
      <c r="I206" s="43" t="inlineStr">
        <is>
          <t>T1</t>
        </is>
      </c>
      <c r="J206" s="43" t="inlineStr">
        <is>
          <t>med</t>
        </is>
      </c>
      <c r="K206" s="29" t="n">
        <v>1</v>
      </c>
      <c r="L206" s="44">
        <f>60*G206/cruise_kt</f>
        <v/>
      </c>
      <c r="M206" s="44">
        <f>L206+turn_min+dwell_min</f>
        <v/>
      </c>
      <c r="N206" s="45">
        <f>MIN(10,FLOOR(60*service_hr/M206,1))</f>
        <v/>
      </c>
      <c r="O206" s="45">
        <f>ROUND(365*mech_uptime*K206,0)</f>
        <v/>
      </c>
      <c r="P206" s="46">
        <f>mech_uptime</f>
        <v/>
      </c>
      <c r="Q206" s="46">
        <f>revleg_sel</f>
        <v/>
      </c>
      <c r="R206" s="45">
        <f>ROUND(N206*O206*revleg_sel,0)</f>
        <v/>
      </c>
      <c r="S206" s="47">
        <f>load_sel</f>
        <v/>
      </c>
      <c r="T206" s="47">
        <f>pax_cap*S206</f>
        <v/>
      </c>
      <c r="U206" s="45">
        <f>T206*R206</f>
        <v/>
      </c>
      <c r="V206" s="48">
        <f>H206*discount</f>
        <v/>
      </c>
      <c r="W206" s="49">
        <f>V206*U206</f>
        <v/>
      </c>
      <c r="X206" s="49">
        <f>(battery/range_nm)*G206*R206*VLOOKUP(B206,country_opex,3,FALSE)</f>
        <v/>
      </c>
      <c r="Y206" s="49">
        <f>VLOOKUP(B206,country_opex,2,FALSE)*crew_factor</f>
        <v/>
      </c>
      <c r="Z206" s="49">
        <f>VLOOKUP(B206,country_opex,5,FALSE)</f>
        <v/>
      </c>
      <c r="AA206" s="49">
        <f>maint</f>
        <v/>
      </c>
      <c r="AB206" s="49">
        <f>VLOOKUP(B206,country_opex,7,FALSE)*ins_pct</f>
        <v/>
      </c>
      <c r="AC206" s="49">
        <f>charge_berth</f>
        <v/>
      </c>
      <c r="AD206" s="49">
        <f>X206+Y206+Z206+AA206+AB206+AC206</f>
        <v/>
      </c>
      <c r="AE206" s="49">
        <f>VLOOKUP(B206,country_opex,7,FALSE)/dep_years</f>
        <v/>
      </c>
      <c r="AF206" s="49">
        <f>W206-AD206</f>
        <v/>
      </c>
      <c r="AG206" s="46">
        <f>IF(W206=0,"",AF206/W206)</f>
        <v/>
      </c>
      <c r="AH206" s="47">
        <f>IF(AF206&lt;=0,"",VLOOKUP(B206,country_opex,7,FALSE)/AF206)</f>
        <v/>
      </c>
      <c r="AI206" s="44">
        <f>((G206*R206/diesel_nmpg)*diesel_co2pg-(battery/range_nm)*G206*R206*VLOOKUP(B206,country_opex,4,FALSE))/1000</f>
        <v/>
      </c>
      <c r="AJ206" s="42" t="n">
        <v>165000</v>
      </c>
      <c r="AK206" s="43" t="n"/>
      <c r="AL206" s="43" t="n"/>
      <c r="AM206" s="50" t="n">
        <v>0.1</v>
      </c>
      <c r="AN206" s="45">
        <f>IF(AJ206="","",AJ206*AM206)</f>
        <v/>
      </c>
      <c r="AO206" s="45">
        <f>IF(OR(AJ206="",U206=0),"",MIN(IF(AV206="",9.9E+99,AV206),FLOOR(AN206/U206,1)))</f>
        <v/>
      </c>
      <c r="AP206" s="49">
        <f>IF(AO206="","",AO206*W206)</f>
        <v/>
      </c>
      <c r="AQ206" s="47">
        <f>IF(OR(AJ206="",U206=0),"",MIN(IF(AV206="",9.9E+99,AV206),AN206/U206))</f>
        <v/>
      </c>
      <c r="AR206" s="49">
        <f>IF(AQ206="","",AQ206*W206)</f>
        <v/>
      </c>
      <c r="AS206" s="51" t="n"/>
      <c r="AT206" s="52" t="n"/>
      <c r="AU206" s="52" t="n"/>
      <c r="AV206" s="53" t="n"/>
      <c r="AW206" s="54">
        <f>IF(((V206*pax_cap*load_thin*ROUND(N206*O206*revleg_thin,0))-(((battery/range_nm)*G206*ROUND(N206*O206*revleg_thin,0)*VLOOKUP(B206,country_opex,3,FALSE))+Y206+Z206+AA206+AB206+AC206))&lt;=0,"",VLOOKUP(B206,country_opex,7,FALSE)/((V206*pax_cap*load_thin*ROUND(N206*O206*revleg_thin,0))-(((battery/range_nm)*G206*ROUND(N206*O206*revleg_thin,0)*VLOOKUP(B206,country_opex,3,FALSE))+Y206+Z206+AA206+AB206+AC206)))</f>
        <v/>
      </c>
      <c r="AX206" s="54">
        <f>IF(((V206*pax_cap*load_mid*ROUND(N206*O206*revleg_mid,0))-(((battery/range_nm)*G206*ROUND(N206*O206*revleg_mid,0)*VLOOKUP(B206,country_opex,3,FALSE))+Y206+Z206+AA206+AB206+AC206))&lt;=0,"",VLOOKUP(B206,country_opex,7,FALSE)/((V206*pax_cap*load_mid*ROUND(N206*O206*revleg_mid,0))-(((battery/range_nm)*G206*ROUND(N206*O206*revleg_mid,0)*VLOOKUP(B206,country_opex,3,FALSE))+Y206+Z206+AA206+AB206+AC206)))</f>
        <v/>
      </c>
      <c r="AY206" s="54">
        <f>IF(((V206*pax_cap*load_full*ROUND(N206*O206*revleg_full,0))-(((battery/range_nm)*G206*ROUND(N206*O206*revleg_full,0)*VLOOKUP(B206,country_opex,3,FALSE))+Y206+Z206+AA206+AB206+AC206))&lt;=0,"",VLOOKUP(B206,country_opex,7,FALSE)/((V206*pax_cap*load_full*ROUND(N206*O206*revleg_full,0))-(((battery/range_nm)*G206*ROUND(N206*O206*revleg_full,0)*VLOOKUP(B206,country_opex,3,FALSE))+Y206+Z206+AA206+AB206+AC206)))</f>
        <v/>
      </c>
      <c r="AZ206" s="40" t="inlineStr">
        <is>
          <t>Conservative mid of the live operator/agent ladder: Bali Hai Ultimate Lembongan Day Cruise USD 130 adult rack (T1 operator, valid to 31-Mar-2027); Bounty Day Cruise Nusa Penida Floating Beach Club IDR 2.475.000 (~USD 151, T1 operator); Quicksilver Nusa Penida full package USD 62 adult agent rate (T3 balitrips). Navier 8-pax product would be the premium small-group ride+snorkel slice without the mega-pontoon, hence mid-band anchor not rack.</t>
        </is>
      </c>
      <c r="BA206" s="40" t="n"/>
    </row>
    <row r="207">
      <c r="A207" s="38" t="inlineStr">
        <is>
          <t>Bali</t>
        </is>
      </c>
      <c r="B207" s="38" t="inlineStr">
        <is>
          <t>Indonesia</t>
        </is>
      </c>
      <c r="C207" s="39" t="inlineStr">
        <is>
          <t>Bali (Canggu) → Uluwatu / Bukit</t>
        </is>
      </c>
      <c r="D207" s="38" t="inlineStr">
        <is>
          <t>grab</t>
        </is>
      </c>
      <c r="E207" s="40" t="inlineStr">
        <is>
          <t>bali</t>
        </is>
      </c>
      <c r="F207" s="41" t="n">
        <v>1</v>
      </c>
      <c r="G207" s="42" t="n">
        <v>16</v>
      </c>
      <c r="H207" s="35" t="n">
        <v>16</v>
      </c>
      <c r="I207" s="43" t="inlineStr">
        <is>
          <t>T1</t>
        </is>
      </c>
      <c r="J207" s="43" t="inlineStr">
        <is>
          <t>med-high</t>
        </is>
      </c>
      <c r="K207" s="29" t="n">
        <v>1</v>
      </c>
      <c r="L207" s="44">
        <f>60*G207/cruise_kt</f>
        <v/>
      </c>
      <c r="M207" s="44">
        <f>L207+turn_min+dwell_min</f>
        <v/>
      </c>
      <c r="N207" s="45">
        <f>MIN(10,FLOOR(60*service_hr/M207,1))</f>
        <v/>
      </c>
      <c r="O207" s="45">
        <f>ROUND(365*mech_uptime*K207,0)</f>
        <v/>
      </c>
      <c r="P207" s="46">
        <f>mech_uptime</f>
        <v/>
      </c>
      <c r="Q207" s="46">
        <f>revleg_sel</f>
        <v/>
      </c>
      <c r="R207" s="45">
        <f>ROUND(N207*O207*revleg_sel,0)</f>
        <v/>
      </c>
      <c r="S207" s="47">
        <f>load_sel</f>
        <v/>
      </c>
      <c r="T207" s="47">
        <f>pax_cap*S207</f>
        <v/>
      </c>
      <c r="U207" s="45">
        <f>T207*R207</f>
        <v/>
      </c>
      <c r="V207" s="48">
        <f>H207*discount</f>
        <v/>
      </c>
      <c r="W207" s="49">
        <f>V207*U207</f>
        <v/>
      </c>
      <c r="X207" s="49">
        <f>(battery/range_nm)*G207*R207*VLOOKUP(B207,country_opex,3,FALSE)</f>
        <v/>
      </c>
      <c r="Y207" s="49">
        <f>VLOOKUP(B207,country_opex,2,FALSE)*crew_factor</f>
        <v/>
      </c>
      <c r="Z207" s="49">
        <f>VLOOKUP(B207,country_opex,5,FALSE)</f>
        <v/>
      </c>
      <c r="AA207" s="49">
        <f>maint</f>
        <v/>
      </c>
      <c r="AB207" s="49">
        <f>VLOOKUP(B207,country_opex,7,FALSE)*ins_pct</f>
        <v/>
      </c>
      <c r="AC207" s="49">
        <f>charge_berth</f>
        <v/>
      </c>
      <c r="AD207" s="49">
        <f>X207+Y207+Z207+AA207+AB207+AC207</f>
        <v/>
      </c>
      <c r="AE207" s="49">
        <f>VLOOKUP(B207,country_opex,7,FALSE)/dep_years</f>
        <v/>
      </c>
      <c r="AF207" s="49">
        <f>W207-AD207</f>
        <v/>
      </c>
      <c r="AG207" s="46">
        <f>IF(W207=0,"",AF207/W207)</f>
        <v/>
      </c>
      <c r="AH207" s="47">
        <f>IF(AF207&lt;=0,"",VLOOKUP(B207,country_opex,7,FALSE)/AF207)</f>
        <v/>
      </c>
      <c r="AI207" s="44">
        <f>((G207*R207/diesel_nmpg)*diesel_co2pg-(battery/range_nm)*G207*R207*VLOOKUP(B207,country_opex,4,FALSE))/1000</f>
        <v/>
      </c>
      <c r="AJ207" s="42" t="n"/>
      <c r="AK207" s="43" t="inlineStr">
        <is>
          <t>T5</t>
        </is>
      </c>
      <c r="AL207" s="43" t="inlineStr">
        <is>
          <t>low</t>
        </is>
      </c>
      <c r="AM207" s="50" t="n">
        <v>0.1</v>
      </c>
      <c r="AN207" s="45">
        <f>IF(AJ207="","",AJ207*AM207)</f>
        <v/>
      </c>
      <c r="AO207" s="45">
        <f>IF(OR(AJ207="",U207=0),"",MIN(IF(AV207="",9.9E+99,AV207),FLOOR(AN207/U207,1)))</f>
        <v/>
      </c>
      <c r="AP207" s="49">
        <f>IF(AO207="","",AO207*W207)</f>
        <v/>
      </c>
      <c r="AQ207" s="47">
        <f>IF(OR(AJ207="",U207=0),"",MIN(IF(AV207="",9.9E+99,AV207),AN207/U207))</f>
        <v/>
      </c>
      <c r="AR207" s="49">
        <f>IF(AQ207="","",AQ207*W207)</f>
        <v/>
      </c>
      <c r="AS207" s="51" t="n"/>
      <c r="AT207" s="52" t="n"/>
      <c r="AU207" s="52" t="n"/>
      <c r="AV207" s="53" t="n"/>
      <c r="AW207" s="54">
        <f>IF(((V207*pax_cap*load_thin*ROUND(N207*O207*revleg_thin,0))-(((battery/range_nm)*G207*ROUND(N207*O207*revleg_thin,0)*VLOOKUP(B207,country_opex,3,FALSE))+Y207+Z207+AA207+AB207+AC207))&lt;=0,"",VLOOKUP(B207,country_opex,7,FALSE)/((V207*pax_cap*load_thin*ROUND(N207*O207*revleg_thin,0))-(((battery/range_nm)*G207*ROUND(N207*O207*revleg_thin,0)*VLOOKUP(B207,country_opex,3,FALSE))+Y207+Z207+AA207+AB207+AC207)))</f>
        <v/>
      </c>
      <c r="AX207" s="54">
        <f>IF(((V207*pax_cap*load_mid*ROUND(N207*O207*revleg_mid,0))-(((battery/range_nm)*G207*ROUND(N207*O207*revleg_mid,0)*VLOOKUP(B207,country_opex,3,FALSE))+Y207+Z207+AA207+AB207+AC207))&lt;=0,"",VLOOKUP(B207,country_opex,7,FALSE)/((V207*pax_cap*load_mid*ROUND(N207*O207*revleg_mid,0))-(((battery/range_nm)*G207*ROUND(N207*O207*revleg_mid,0)*VLOOKUP(B207,country_opex,3,FALSE))+Y207+Z207+AA207+AB207+AC207)))</f>
        <v/>
      </c>
      <c r="AY207" s="54">
        <f>IF(((V207*pax_cap*load_full*ROUND(N207*O207*revleg_full,0))-(((battery/range_nm)*G207*ROUND(N207*O207*revleg_full,0)*VLOOKUP(B207,country_opex,3,FALSE))+Y207+Z207+AA207+AB207+AC207))&lt;=0,"",VLOOKUP(B207,country_opex,7,FALSE)/((V207*pax_cap*load_full*ROUND(N207*O207*revleg_full,0))-(((battery/range_nm)*G207*ROUND(N207*O207*revleg_full,0)*VLOOKUP(B207,country_opex,3,FALSE))+Y207+Z207+AA207+AB207+AC207)))</f>
        <v/>
      </c>
      <c r="AZ207" s="40" t="inlineStr">
        <is>
          <t>GoBoat.id (operator site + baliholidaysecrets 2026): Canggu(Nelayan Beach)-&gt;Uluwatu(Padang Padang) speedboat IDR 255,000/pax, 35 min. This IS the per-seat boat product (= Navier's ridehail archetype). Single-class. Road alternatives same crossing: GoCar/GrabCar $14-21, Bluebird $18-24, private car transfer $25-35.</t>
        </is>
      </c>
      <c r="BA207" s="40" t="inlineStr">
        <is>
          <t>GoBoat launched ~2024; '370+ daily departures' figure spans ALL its routes (Sanur/Padangbai/Canggu/Uluwatu), not this leg. No published Canggu&lt;-&gt;Uluwatu per-route ridership. Nascent single-class boat-taxi -&gt; NULL beats a guess (R2); freq x capacity (R4) possible once per-route frequency is published. Flag to cascade.</t>
        </is>
      </c>
    </row>
    <row r="208">
      <c r="A208" s="38" t="inlineStr">
        <is>
          <t>Jakarta</t>
        </is>
      </c>
      <c r="B208" s="38" t="inlineStr">
        <is>
          <t>Indonesia</t>
        </is>
      </c>
      <c r="C208" s="39" t="inlineStr">
        <is>
          <t>Thousand Islands — inner ring → Thousand Islands — outer ring</t>
        </is>
      </c>
      <c r="D208" s="38" t="inlineStr">
        <is>
          <t>grab</t>
        </is>
      </c>
      <c r="E208" s="40" t="inlineStr">
        <is>
          <t>jakarta</t>
        </is>
      </c>
      <c r="F208" s="41" t="n">
        <v>1</v>
      </c>
      <c r="G208" s="42" t="n">
        <v>28.9</v>
      </c>
      <c r="H208" s="35" t="n">
        <v>16.6</v>
      </c>
      <c r="I208" s="43" t="inlineStr">
        <is>
          <t>T5</t>
        </is>
      </c>
      <c r="J208" s="43" t="inlineStr">
        <is>
          <t>low</t>
        </is>
      </c>
      <c r="K208" s="29" t="n">
        <v>1</v>
      </c>
      <c r="L208" s="44">
        <f>60*G208/cruise_kt</f>
        <v/>
      </c>
      <c r="M208" s="44">
        <f>L208+turn_min+dwell_min</f>
        <v/>
      </c>
      <c r="N208" s="45">
        <f>MIN(10,FLOOR(60*service_hr/M208,1))</f>
        <v/>
      </c>
      <c r="O208" s="45">
        <f>ROUND(365*mech_uptime*K208,0)</f>
        <v/>
      </c>
      <c r="P208" s="46">
        <f>mech_uptime</f>
        <v/>
      </c>
      <c r="Q208" s="46">
        <f>revleg_sel</f>
        <v/>
      </c>
      <c r="R208" s="45">
        <f>ROUND(N208*O208*revleg_sel,0)</f>
        <v/>
      </c>
      <c r="S208" s="47">
        <f>load_sel</f>
        <v/>
      </c>
      <c r="T208" s="47">
        <f>pax_cap*S208</f>
        <v/>
      </c>
      <c r="U208" s="45">
        <f>T208*R208</f>
        <v/>
      </c>
      <c r="V208" s="48">
        <f>H208*discount</f>
        <v/>
      </c>
      <c r="W208" s="49">
        <f>V208*U208</f>
        <v/>
      </c>
      <c r="X208" s="49">
        <f>(battery/range_nm)*G208*R208*VLOOKUP(B208,country_opex,3,FALSE)</f>
        <v/>
      </c>
      <c r="Y208" s="49">
        <f>VLOOKUP(B208,country_opex,2,FALSE)*crew_factor</f>
        <v/>
      </c>
      <c r="Z208" s="49">
        <f>VLOOKUP(B208,country_opex,5,FALSE)</f>
        <v/>
      </c>
      <c r="AA208" s="49">
        <f>maint</f>
        <v/>
      </c>
      <c r="AB208" s="49">
        <f>VLOOKUP(B208,country_opex,7,FALSE)*ins_pct</f>
        <v/>
      </c>
      <c r="AC208" s="49">
        <f>charge_berth</f>
        <v/>
      </c>
      <c r="AD208" s="49">
        <f>X208+Y208+Z208+AA208+AB208+AC208</f>
        <v/>
      </c>
      <c r="AE208" s="49">
        <f>VLOOKUP(B208,country_opex,7,FALSE)/dep_years</f>
        <v/>
      </c>
      <c r="AF208" s="49">
        <f>W208-AD208</f>
        <v/>
      </c>
      <c r="AG208" s="46">
        <f>IF(W208=0,"",AF208/W208)</f>
        <v/>
      </c>
      <c r="AH208" s="47">
        <f>IF(AF208&lt;=0,"",VLOOKUP(B208,country_opex,7,FALSE)/AF208)</f>
        <v/>
      </c>
      <c r="AI208" s="44">
        <f>((G208*R208/diesel_nmpg)*diesel_co2pg-(battery/range_nm)*G208*R208*VLOOKUP(B208,country_opex,4,FALSE))/1000</f>
        <v/>
      </c>
      <c r="AJ208" s="42" t="n"/>
      <c r="AK208" s="43" t="inlineStr">
        <is>
          <t>T5</t>
        </is>
      </c>
      <c r="AL208" s="43" t="inlineStr">
        <is>
          <t>low</t>
        </is>
      </c>
      <c r="AM208" s="50" t="n">
        <v>0.1</v>
      </c>
      <c r="AN208" s="45">
        <f>IF(AJ208="","",AJ208*AM208)</f>
        <v/>
      </c>
      <c r="AO208" s="45">
        <f>IF(OR(AJ208="",U208=0),"",MIN(IF(AV208="",9.9E+99,AV208),FLOOR(AN208/U208,1)))</f>
        <v/>
      </c>
      <c r="AP208" s="49">
        <f>IF(AO208="","",AO208*W208)</f>
        <v/>
      </c>
      <c r="AQ208" s="47">
        <f>IF(OR(AJ208="",U208=0),"",MIN(IF(AV208="",9.9E+99,AV208),AN208/U208))</f>
        <v/>
      </c>
      <c r="AR208" s="49">
        <f>IF(AQ208="","",AQ208*W208)</f>
        <v/>
      </c>
      <c r="AS208" s="51" t="n"/>
      <c r="AT208" s="52" t="n"/>
      <c r="AU208" s="52" t="n"/>
      <c r="AV208" s="53" t="n"/>
      <c r="AW208" s="54">
        <f>IF(((V208*pax_cap*load_thin*ROUND(N208*O208*revleg_thin,0))-(((battery/range_nm)*G208*ROUND(N208*O208*revleg_thin,0)*VLOOKUP(B208,country_opex,3,FALSE))+Y208+Z208+AA208+AB208+AC208))&lt;=0,"",VLOOKUP(B208,country_opex,7,FALSE)/((V208*pax_cap*load_thin*ROUND(N208*O208*revleg_thin,0))-(((battery/range_nm)*G208*ROUND(N208*O208*revleg_thin,0)*VLOOKUP(B208,country_opex,3,FALSE))+Y208+Z208+AA208+AB208+AC208)))</f>
        <v/>
      </c>
      <c r="AX208" s="54">
        <f>IF(((V208*pax_cap*load_mid*ROUND(N208*O208*revleg_mid,0))-(((battery/range_nm)*G208*ROUND(N208*O208*revleg_mid,0)*VLOOKUP(B208,country_opex,3,FALSE))+Y208+Z208+AA208+AB208+AC208))&lt;=0,"",VLOOKUP(B208,country_opex,7,FALSE)/((V208*pax_cap*load_mid*ROUND(N208*O208*revleg_mid,0))-(((battery/range_nm)*G208*ROUND(N208*O208*revleg_mid,0)*VLOOKUP(B208,country_opex,3,FALSE))+Y208+Z208+AA208+AB208+AC208)))</f>
        <v/>
      </c>
      <c r="AY208" s="54">
        <f>IF(((V208*pax_cap*load_full*ROUND(N208*O208*revleg_full,0))-(((battery/range_nm)*G208*ROUND(N208*O208*revleg_full,0)*VLOOKUP(B208,country_opex,3,FALSE))+Y208+Z208+AA208+AB208+AC208))&lt;=0,"",VLOOKUP(B208,country_opex,7,FALSE)/((V208*pax_cap*load_full*ROUND(N208*O208*revleg_full,0))-(((battery/range_nm)*G208*ROUND(N208*O208*revleg_full,0)*VLOOKUP(B208,country_opex,3,FALSE))+Y208+Z208+AA208+AB208+AC208)))</f>
        <v/>
      </c>
      <c r="AZ208" s="40" t="inlineStr">
        <is>
          <t>No scheduled per-seat passenger service runs directly between the inner and outer rings; inter-island hopping is done by charter/private-tour boats. Modeled by distance interpolation on the observed Marina Ancol tariff curve (10nm Rp155k -&gt; 35nm Rp335k); 22nm =&gt; ~Rp270,000.</t>
        </is>
      </c>
      <c r="BA208" s="40" t="inlineStr">
        <is>
          <t>No published count for inter-ring (inner-&gt;outer) crossings. Visitors transit mainland&lt;-&gt;island; scheduled inner-to-outer island-hopping service does not exist as a counted route.</t>
        </is>
      </c>
    </row>
    <row r="209">
      <c r="A209" s="38" t="inlineStr">
        <is>
          <t>Jakarta</t>
        </is>
      </c>
      <c r="B209" s="38" t="inlineStr">
        <is>
          <t>Indonesia</t>
        </is>
      </c>
      <c r="C209" s="39" t="inlineStr">
        <is>
          <t>Marina Ancol → Thousand Islands — outer ring (Macan / Pelangi / Putri / Sepa)</t>
        </is>
      </c>
      <c r="D209" s="38" t="inlineStr">
        <is>
          <t>grab</t>
        </is>
      </c>
      <c r="E209" s="40" t="inlineStr">
        <is>
          <t>jakarta</t>
        </is>
      </c>
      <c r="F209" s="41" t="n">
        <v>1</v>
      </c>
      <c r="G209" s="42" t="n">
        <v>35.9</v>
      </c>
      <c r="H209" s="35" t="n">
        <v>24.5</v>
      </c>
      <c r="I209" s="43" t="inlineStr">
        <is>
          <t>T2/T3</t>
        </is>
      </c>
      <c r="J209" s="43" t="inlineStr">
        <is>
          <t>high</t>
        </is>
      </c>
      <c r="K209" s="29" t="n">
        <v>1</v>
      </c>
      <c r="L209" s="44">
        <f>60*G209/cruise_kt</f>
        <v/>
      </c>
      <c r="M209" s="44">
        <f>L209+turn_min+dwell_min</f>
        <v/>
      </c>
      <c r="N209" s="45">
        <f>MIN(10,FLOOR(60*service_hr/M209,1))</f>
        <v/>
      </c>
      <c r="O209" s="45">
        <f>ROUND(365*mech_uptime*K209,0)</f>
        <v/>
      </c>
      <c r="P209" s="46">
        <f>mech_uptime</f>
        <v/>
      </c>
      <c r="Q209" s="46">
        <f>revleg_sel</f>
        <v/>
      </c>
      <c r="R209" s="45">
        <f>ROUND(N209*O209*revleg_sel,0)</f>
        <v/>
      </c>
      <c r="S209" s="47">
        <f>load_sel</f>
        <v/>
      </c>
      <c r="T209" s="47">
        <f>pax_cap*S209</f>
        <v/>
      </c>
      <c r="U209" s="45">
        <f>T209*R209</f>
        <v/>
      </c>
      <c r="V209" s="48">
        <f>H209*discount</f>
        <v/>
      </c>
      <c r="W209" s="49">
        <f>V209*U209</f>
        <v/>
      </c>
      <c r="X209" s="49">
        <f>(battery/range_nm)*G209*R209*VLOOKUP(B209,country_opex,3,FALSE)</f>
        <v/>
      </c>
      <c r="Y209" s="49">
        <f>VLOOKUP(B209,country_opex,2,FALSE)*crew_factor</f>
        <v/>
      </c>
      <c r="Z209" s="49">
        <f>VLOOKUP(B209,country_opex,5,FALSE)</f>
        <v/>
      </c>
      <c r="AA209" s="49">
        <f>maint</f>
        <v/>
      </c>
      <c r="AB209" s="49">
        <f>VLOOKUP(B209,country_opex,7,FALSE)*ins_pct</f>
        <v/>
      </c>
      <c r="AC209" s="49">
        <f>charge_berth</f>
        <v/>
      </c>
      <c r="AD209" s="49">
        <f>X209+Y209+Z209+AA209+AB209+AC209</f>
        <v/>
      </c>
      <c r="AE209" s="49">
        <f>VLOOKUP(B209,country_opex,7,FALSE)/dep_years</f>
        <v/>
      </c>
      <c r="AF209" s="49">
        <f>W209-AD209</f>
        <v/>
      </c>
      <c r="AG209" s="46">
        <f>IF(W209=0,"",AF209/W209)</f>
        <v/>
      </c>
      <c r="AH209" s="47">
        <f>IF(AF209&lt;=0,"",VLOOKUP(B209,country_opex,7,FALSE)/AF209)</f>
        <v/>
      </c>
      <c r="AI209" s="44">
        <f>((G209*R209/diesel_nmpg)*diesel_co2pg-(battery/range_nm)*G209*R209*VLOOKUP(B209,country_opex,4,FALSE))/1000</f>
        <v/>
      </c>
      <c r="AJ209" s="42" t="n">
        <v>7000</v>
      </c>
      <c r="AK209" s="43" t="inlineStr">
        <is>
          <t>T2</t>
        </is>
      </c>
      <c r="AL209" s="43" t="inlineStr">
        <is>
          <t>med</t>
        </is>
      </c>
      <c r="AM209" s="50" t="n">
        <v>0.1</v>
      </c>
      <c r="AN209" s="45">
        <f>IF(AJ209="","",AJ209*AM209)</f>
        <v/>
      </c>
      <c r="AO209" s="45">
        <f>IF(OR(AJ209="",U209=0),"",MIN(IF(AV209="",9.9E+99,AV209),FLOOR(AN209/U209,1)))</f>
        <v/>
      </c>
      <c r="AP209" s="49">
        <f>IF(AO209="","",AO209*W209)</f>
        <v/>
      </c>
      <c r="AQ209" s="47">
        <f>IF(OR(AJ209="",U209=0),"",MIN(IF(AV209="",9.9E+99,AV209),AN209/U209))</f>
        <v/>
      </c>
      <c r="AR209" s="49">
        <f>IF(AQ209="","",AQ209*W209)</f>
        <v/>
      </c>
      <c r="AS209" s="51" t="n"/>
      <c r="AT209" s="52" t="n"/>
      <c r="AU209" s="52" t="n"/>
      <c r="AV209" s="53" t="n"/>
      <c r="AW209" s="54">
        <f>IF(((V209*pax_cap*load_thin*ROUND(N209*O209*revleg_thin,0))-(((battery/range_nm)*G209*ROUND(N209*O209*revleg_thin,0)*VLOOKUP(B209,country_opex,3,FALSE))+Y209+Z209+AA209+AB209+AC209))&lt;=0,"",VLOOKUP(B209,country_opex,7,FALSE)/((V209*pax_cap*load_thin*ROUND(N209*O209*revleg_thin,0))-(((battery/range_nm)*G209*ROUND(N209*O209*revleg_thin,0)*VLOOKUP(B209,country_opex,3,FALSE))+Y209+Z209+AA209+AB209+AC209)))</f>
        <v/>
      </c>
      <c r="AX209" s="54">
        <f>IF(((V209*pax_cap*load_mid*ROUND(N209*O209*revleg_mid,0))-(((battery/range_nm)*G209*ROUND(N209*O209*revleg_mid,0)*VLOOKUP(B209,country_opex,3,FALSE))+Y209+Z209+AA209+AB209+AC209))&lt;=0,"",VLOOKUP(B209,country_opex,7,FALSE)/((V209*pax_cap*load_mid*ROUND(N209*O209*revleg_mid,0))-(((battery/range_nm)*G209*ROUND(N209*O209*revleg_mid,0)*VLOOKUP(B209,country_opex,3,FALSE))+Y209+Z209+AA209+AB209+AC209)))</f>
        <v/>
      </c>
      <c r="AY209" s="54">
        <f>IF(((V209*pax_cap*load_full*ROUND(N209*O209*revleg_full,0))-(((battery/range_nm)*G209*ROUND(N209*O209*revleg_full,0)*VLOOKUP(B209,country_opex,3,FALSE))+Y209+Z209+AA209+AB209+AC209))&lt;=0,"",VLOOKUP(B209,country_opex,7,FALSE)/((V209*pax_cap*load_full*ROUND(N209*O209*revleg_full,0))-(((battery/range_nm)*G209*ROUND(N209*O209*revleg_full,0)*VLOOKUP(B209,country_opex,3,FALSE))+Y209+Z209+AA209+AB209+AC209)))</f>
        <v/>
      </c>
      <c r="AZ209" s="40" t="inlineStr">
        <is>
          <t>Official Marina Ancol tariff table: Pelangi/Sepa/Macan &amp; Kotok/Putri Rp335,000 one-way regular speedboat; Pulau Pantara Rp455,000 one-way; Tokopedia (endangeredstore) Pelangi/Sepa one-way Rp340,000. Resort day/2D1N packages (Sepa Rp1,250,000 one-day incl. transport+lunch+activities; Putri 2D1N Rp1,610,000-2,200,000) include premium boat but are bundles, not pure transfer. Premium per-seat transfer anchored ~Rp400,000.</t>
        </is>
      </c>
      <c r="BA209" s="40" t="inlineStr">
        <is>
          <t>Sudin Parekraf Kepulauan Seribu official 2025: resort islands 13,932 total (Putri #2 and Macan #3 most-visited resorts; plus Pelangi/Sepa/Pantara). Outer-ring resort share modeled at ~7,000/yr (remainder of the 13,932 resort pool after inner-ring Bidadari/Ayer).</t>
        </is>
      </c>
    </row>
    <row r="210">
      <c r="A210" s="38" t="inlineStr">
        <is>
          <t>Bali</t>
        </is>
      </c>
      <c r="B210" s="38" t="inlineStr">
        <is>
          <t>Indonesia</t>
        </is>
      </c>
      <c r="C210" s="39" t="inlineStr">
        <is>
          <t>Bali → Gili Islands / Lombok</t>
        </is>
      </c>
      <c r="D210" s="38" t="inlineStr">
        <is>
          <t>grab</t>
        </is>
      </c>
      <c r="E210" s="40" t="inlineStr">
        <is>
          <t>bali</t>
        </is>
      </c>
      <c r="F210" s="41" t="n">
        <v>1</v>
      </c>
      <c r="G210" s="42" t="n">
        <v>45</v>
      </c>
      <c r="H210" s="35" t="n">
        <v>64</v>
      </c>
      <c r="I210" s="43" t="inlineStr">
        <is>
          <t>T3</t>
        </is>
      </c>
      <c r="J210" s="43" t="inlineStr">
        <is>
          <t>med-high</t>
        </is>
      </c>
      <c r="K210" s="29" t="n">
        <v>1</v>
      </c>
      <c r="L210" s="44">
        <f>60*G210/cruise_kt</f>
        <v/>
      </c>
      <c r="M210" s="44">
        <f>L210+turn_min+dwell_min</f>
        <v/>
      </c>
      <c r="N210" s="45">
        <f>MIN(10,FLOOR(60*service_hr/M210,1))</f>
        <v/>
      </c>
      <c r="O210" s="45">
        <f>ROUND(365*mech_uptime*K210,0)</f>
        <v/>
      </c>
      <c r="P210" s="46">
        <f>mech_uptime</f>
        <v/>
      </c>
      <c r="Q210" s="46">
        <f>revleg_sel</f>
        <v/>
      </c>
      <c r="R210" s="45">
        <f>ROUND(N210*O210*revleg_sel,0)</f>
        <v/>
      </c>
      <c r="S210" s="47">
        <f>load_sel</f>
        <v/>
      </c>
      <c r="T210" s="47">
        <f>pax_cap*S210</f>
        <v/>
      </c>
      <c r="U210" s="45">
        <f>T210*R210</f>
        <v/>
      </c>
      <c r="V210" s="48">
        <f>H210*discount</f>
        <v/>
      </c>
      <c r="W210" s="49">
        <f>V210*U210</f>
        <v/>
      </c>
      <c r="X210" s="49">
        <f>(battery/range_nm)*G210*R210*VLOOKUP(B210,country_opex,3,FALSE)</f>
        <v/>
      </c>
      <c r="Y210" s="49">
        <f>VLOOKUP(B210,country_opex,2,FALSE)*crew_factor</f>
        <v/>
      </c>
      <c r="Z210" s="49">
        <f>VLOOKUP(B210,country_opex,5,FALSE)</f>
        <v/>
      </c>
      <c r="AA210" s="49">
        <f>maint</f>
        <v/>
      </c>
      <c r="AB210" s="49">
        <f>VLOOKUP(B210,country_opex,7,FALSE)*ins_pct</f>
        <v/>
      </c>
      <c r="AC210" s="49">
        <f>charge_berth</f>
        <v/>
      </c>
      <c r="AD210" s="49">
        <f>X210+Y210+Z210+AA210+AB210+AC210</f>
        <v/>
      </c>
      <c r="AE210" s="49">
        <f>VLOOKUP(B210,country_opex,7,FALSE)/dep_years</f>
        <v/>
      </c>
      <c r="AF210" s="49">
        <f>W210-AD210</f>
        <v/>
      </c>
      <c r="AG210" s="46">
        <f>IF(W210=0,"",AF210/W210)</f>
        <v/>
      </c>
      <c r="AH210" s="47">
        <f>IF(AF210&lt;=0,"",VLOOKUP(B210,country_opex,7,FALSE)/AF210)</f>
        <v/>
      </c>
      <c r="AI210" s="44">
        <f>((G210*R210/diesel_nmpg)*diesel_co2pg-(battery/range_nm)*G210*R210*VLOOKUP(B210,country_opex,4,FALSE))/1000</f>
        <v/>
      </c>
      <c r="AJ210" s="42" t="n">
        <v>600000</v>
      </c>
      <c r="AK210" s="43" t="inlineStr">
        <is>
          <t>T5</t>
        </is>
      </c>
      <c r="AL210" s="43" t="inlineStr">
        <is>
          <t>low-med</t>
        </is>
      </c>
      <c r="AM210" s="50" t="n">
        <v>0.1</v>
      </c>
      <c r="AN210" s="45">
        <f>IF(AJ210="","",AJ210*AM210)</f>
        <v/>
      </c>
      <c r="AO210" s="45">
        <f>IF(OR(AJ210="",U210=0),"",MIN(IF(AV210="",9.9E+99,AV210),FLOOR(AN210/U210,1)))</f>
        <v/>
      </c>
      <c r="AP210" s="49">
        <f>IF(AO210="","",AO210*W210)</f>
        <v/>
      </c>
      <c r="AQ210" s="47">
        <f>IF(OR(AJ210="",U210=0),"",MIN(IF(AV210="",9.9E+99,AV210),AN210/U210))</f>
        <v/>
      </c>
      <c r="AR210" s="49">
        <f>IF(AQ210="","",AQ210*W210)</f>
        <v/>
      </c>
      <c r="AS210" s="51" t="n"/>
      <c r="AT210" s="52" t="n"/>
      <c r="AU210" s="52" t="n"/>
      <c r="AV210" s="53" t="n"/>
      <c r="AW210" s="54">
        <f>IF(((V210*pax_cap*load_thin*ROUND(N210*O210*revleg_thin,0))-(((battery/range_nm)*G210*ROUND(N210*O210*revleg_thin,0)*VLOOKUP(B210,country_opex,3,FALSE))+Y210+Z210+AA210+AB210+AC210))&lt;=0,"",VLOOKUP(B210,country_opex,7,FALSE)/((V210*pax_cap*load_thin*ROUND(N210*O210*revleg_thin,0))-(((battery/range_nm)*G210*ROUND(N210*O210*revleg_thin,0)*VLOOKUP(B210,country_opex,3,FALSE))+Y210+Z210+AA210+AB210+AC210)))</f>
        <v/>
      </c>
      <c r="AX210" s="54">
        <f>IF(((V210*pax_cap*load_mid*ROUND(N210*O210*revleg_mid,0))-(((battery/range_nm)*G210*ROUND(N210*O210*revleg_mid,0)*VLOOKUP(B210,country_opex,3,FALSE))+Y210+Z210+AA210+AB210+AC210))&lt;=0,"",VLOOKUP(B210,country_opex,7,FALSE)/((V210*pax_cap*load_mid*ROUND(N210*O210*revleg_mid,0))-(((battery/range_nm)*G210*ROUND(N210*O210*revleg_mid,0)*VLOOKUP(B210,country_opex,3,FALSE))+Y210+Z210+AA210+AB210+AC210)))</f>
        <v/>
      </c>
      <c r="AY210" s="54">
        <f>IF(((V210*pax_cap*load_full*ROUND(N210*O210*revleg_full,0))-(((battery/range_nm)*G210*ROUND(N210*O210*revleg_full,0)*VLOOKUP(B210,country_opex,3,FALSE))+Y210+Z210+AA210+AB210+AC210))&lt;=0,"",VLOOKUP(B210,country_opex,7,FALSE)/((V210*pax_cap*load_full*ROUND(N210*O210*revleg_full,0))-(((battery/range_nm)*G210*ROUND(N210*O210*revleg_full,0)*VLOOKUP(B210,country_opex,3,FALSE))+Y210+Z210+AA210+AB210+AC210)))</f>
        <v/>
      </c>
      <c r="AZ210" s="40" t="inlineStr">
        <is>
          <t>Premium transfer tier, Bali-&gt;Gili Trawangan. Tripadvisor 'Luxury Speedboat Transfer' $64; standard $28-42; budget ~$20; whole-boat private $500-1200.</t>
        </is>
      </c>
      <c r="BA210" s="40" t="inlineStr">
        <is>
          <t>No published count for the Bali-origin fast-boat leg specifically. Triangulation anchors: (1) UPTD Pelabuhan Bangsal (Lombok-side public port) recorded 574,107 arrivals to Gili Trawangan (406k) + Gili Air (168k) in 2024 - BPK-audited figure exposing Dispar undercount of 128,774 (Radar Lombok, Aug-2025, https://radarlombok.co.id/bpk-temukan-selisih-besar-data-kunjungan-wisata-gili-pad-berpotensi-bocor-banyak.html) - that is the LOMBOK leg (R3-PIER: different pier), used as magnitude bound; (2) Kab. Lombok Utara 2024 total visitors ~700k (ekbisntb.com, Jan-2025); (3) live operator schedules: daily fast-boat departures from Padangbai, Sanur, Serangan and Amed by Eka Jaya (180 seats, multiple trips/day), BlueWater Express (3x daily peak), Gili Getaway, Semaya One, Wanderlust, Ostina etc. (gilitickets.com, ferryhopper.com, 2025-26 listings).</t>
        </is>
      </c>
    </row>
    <row r="211">
      <c r="A211" s="38" t="inlineStr">
        <is>
          <t>Bolt Ireland</t>
        </is>
      </c>
      <c r="B211" s="38" t="inlineStr">
        <is>
          <t>Ireland</t>
        </is>
      </c>
      <c r="C211" s="39" t="inlineStr">
        <is>
          <t>Dalkey → Dalkey Island</t>
        </is>
      </c>
      <c r="D211" s="38" t="inlineStr">
        <is>
          <t>bolt</t>
        </is>
      </c>
      <c r="E211" s="40" t="inlineStr">
        <is>
          <t>bolt-ireland</t>
        </is>
      </c>
      <c r="F211" s="41" t="n">
        <v>1</v>
      </c>
      <c r="G211" s="42" t="n">
        <v>0.3</v>
      </c>
      <c r="H211" s="35" t="n">
        <v>10.8</v>
      </c>
      <c r="I211" s="43" t="inlineStr">
        <is>
          <t>T2</t>
        </is>
      </c>
      <c r="J211" s="43" t="inlineStr">
        <is>
          <t>med</t>
        </is>
      </c>
      <c r="K211" s="29" t="n">
        <v>1</v>
      </c>
      <c r="L211" s="44">
        <f>60*G211/cruise_kt</f>
        <v/>
      </c>
      <c r="M211" s="44">
        <f>L211+turn_min+dwell_min</f>
        <v/>
      </c>
      <c r="N211" s="45">
        <f>MIN(10,FLOOR(60*service_hr/M211,1))</f>
        <v/>
      </c>
      <c r="O211" s="45">
        <f>ROUND(365*mech_uptime*K211,0)</f>
        <v/>
      </c>
      <c r="P211" s="46">
        <f>mech_uptime</f>
        <v/>
      </c>
      <c r="Q211" s="46">
        <f>revleg_sel</f>
        <v/>
      </c>
      <c r="R211" s="45">
        <f>ROUND(N211*O211*revleg_sel,0)</f>
        <v/>
      </c>
      <c r="S211" s="47">
        <f>load_sel</f>
        <v/>
      </c>
      <c r="T211" s="47">
        <f>pax_cap*S211</f>
        <v/>
      </c>
      <c r="U211" s="45">
        <f>T211*R211</f>
        <v/>
      </c>
      <c r="V211" s="48">
        <f>H211*discount</f>
        <v/>
      </c>
      <c r="W211" s="49">
        <f>V211*U211</f>
        <v/>
      </c>
      <c r="X211" s="49">
        <f>(battery/range_nm)*G211*R211*VLOOKUP(B211,country_opex,3,FALSE)</f>
        <v/>
      </c>
      <c r="Y211" s="49">
        <f>VLOOKUP(B211,country_opex,2,FALSE)*crew_factor</f>
        <v/>
      </c>
      <c r="Z211" s="49">
        <f>VLOOKUP(B211,country_opex,5,FALSE)</f>
        <v/>
      </c>
      <c r="AA211" s="49">
        <f>maint</f>
        <v/>
      </c>
      <c r="AB211" s="49">
        <f>VLOOKUP(B211,country_opex,7,FALSE)*ins_pct</f>
        <v/>
      </c>
      <c r="AC211" s="49">
        <f>charge_berth</f>
        <v/>
      </c>
      <c r="AD211" s="49">
        <f>X211+Y211+Z211+AA211+AB211+AC211</f>
        <v/>
      </c>
      <c r="AE211" s="49">
        <f>VLOOKUP(B211,country_opex,7,FALSE)/dep_years</f>
        <v/>
      </c>
      <c r="AF211" s="49">
        <f>W211-AD211</f>
        <v/>
      </c>
      <c r="AG211" s="46">
        <f>IF(W211=0,"",AF211/W211)</f>
        <v/>
      </c>
      <c r="AH211" s="47">
        <f>IF(AF211&lt;=0,"",VLOOKUP(B211,country_opex,7,FALSE)/AF211)</f>
        <v/>
      </c>
      <c r="AI211" s="44">
        <f>((G211*R211/diesel_nmpg)*diesel_co2pg-(battery/range_nm)*G211*R211*VLOOKUP(B211,country_opex,4,FALSE))/1000</f>
        <v/>
      </c>
      <c r="AJ211" s="42" t="n"/>
      <c r="AK211" s="43" t="n"/>
      <c r="AL211" s="43" t="n"/>
      <c r="AM211" s="50" t="n">
        <v>0.1</v>
      </c>
      <c r="AN211" s="45">
        <f>IF(AJ211="","",AJ211*AM211)</f>
        <v/>
      </c>
      <c r="AO211" s="45">
        <f>IF(OR(AJ211="",U211=0),"",MIN(IF(AV211="",9.9E+99,AV211),FLOOR(AN211/U211,1)))</f>
        <v/>
      </c>
      <c r="AP211" s="49">
        <f>IF(AO211="","",AO211*W211)</f>
        <v/>
      </c>
      <c r="AQ211" s="47">
        <f>IF(OR(AJ211="",U211=0),"",MIN(IF(AV211="",9.9E+99,AV211),AN211/U211))</f>
        <v/>
      </c>
      <c r="AR211" s="49">
        <f>IF(AQ211="","",AQ211*W211)</f>
        <v/>
      </c>
      <c r="AS211" s="51" t="n"/>
      <c r="AT211" s="52" t="n"/>
      <c r="AU211" s="52" t="n"/>
      <c r="AV211" s="53" t="n"/>
      <c r="AW211" s="54">
        <f>IF(((V211*pax_cap*load_thin*ROUND(N211*O211*revleg_thin,0))-(((battery/range_nm)*G211*ROUND(N211*O211*revleg_thin,0)*VLOOKUP(B211,country_opex,3,FALSE))+Y211+Z211+AA211+AB211+AC211))&lt;=0,"",VLOOKUP(B211,country_opex,7,FALSE)/((V211*pax_cap*load_thin*ROUND(N211*O211*revleg_thin,0))-(((battery/range_nm)*G211*ROUND(N211*O211*revleg_thin,0)*VLOOKUP(B211,country_opex,3,FALSE))+Y211+Z211+AA211+AB211+AC211)))</f>
        <v/>
      </c>
      <c r="AX211" s="54">
        <f>IF(((V211*pax_cap*load_mid*ROUND(N211*O211*revleg_mid,0))-(((battery/range_nm)*G211*ROUND(N211*O211*revleg_mid,0)*VLOOKUP(B211,country_opex,3,FALSE))+Y211+Z211+AA211+AB211+AC211))&lt;=0,"",VLOOKUP(B211,country_opex,7,FALSE)/((V211*pax_cap*load_mid*ROUND(N211*O211*revleg_mid,0))-(((battery/range_nm)*G211*ROUND(N211*O211*revleg_mid,0)*VLOOKUP(B211,country_opex,3,FALSE))+Y211+Z211+AA211+AB211+AC211)))</f>
        <v/>
      </c>
      <c r="AY211" s="54">
        <f>IF(((V211*pax_cap*load_full*ROUND(N211*O211*revleg_full,0))-(((battery/range_nm)*G211*ROUND(N211*O211*revleg_full,0)*VLOOKUP(B211,country_opex,3,FALSE))+Y211+Z211+AA211+AB211+AC211))&lt;=0,"",VLOOKUP(B211,country_opex,7,FALSE)/((V211*pax_cap*load_full*ROUND(N211*O211*revleg_full,0))-(((battery/range_nm)*G211*ROUND(N211*O211*revleg_full,0)*VLOOKUP(B211,country_opex,3,FALSE))+Y211+Z211+AA211+AB211+AC211)))</f>
        <v/>
      </c>
      <c r="AZ211" s="40" t="inlineStr">
        <is>
          <t>Ken the Ferryman EUR 10 per person (the operating fare to Dalkey Island). EUR 10 x 1.08 = $10.80.</t>
        </is>
      </c>
      <c r="BA211" s="40" t="n"/>
    </row>
    <row r="212">
      <c r="A212" s="38" t="inlineStr">
        <is>
          <t>Bolt Ireland</t>
        </is>
      </c>
      <c r="B212" s="38" t="inlineStr">
        <is>
          <t>Ireland</t>
        </is>
      </c>
      <c r="C212" s="39" t="inlineStr">
        <is>
          <t>Howth → Ireland's Eye</t>
        </is>
      </c>
      <c r="D212" s="38" t="inlineStr">
        <is>
          <t>bolt</t>
        </is>
      </c>
      <c r="E212" s="40" t="inlineStr">
        <is>
          <t>bolt-ireland</t>
        </is>
      </c>
      <c r="F212" s="41" t="n">
        <v>1</v>
      </c>
      <c r="G212" s="42" t="n">
        <v>1</v>
      </c>
      <c r="H212" s="35" t="n">
        <v>32.4</v>
      </c>
      <c r="I212" s="43" t="inlineStr">
        <is>
          <t>T2</t>
        </is>
      </c>
      <c r="J212" s="43" t="inlineStr">
        <is>
          <t>med</t>
        </is>
      </c>
      <c r="K212" s="29" t="n">
        <v>1</v>
      </c>
      <c r="L212" s="44">
        <f>60*G212/cruise_kt</f>
        <v/>
      </c>
      <c r="M212" s="44">
        <f>L212+turn_min+dwell_min</f>
        <v/>
      </c>
      <c r="N212" s="45">
        <f>MIN(10,FLOOR(60*service_hr/M212,1))</f>
        <v/>
      </c>
      <c r="O212" s="45">
        <f>ROUND(365*mech_uptime*K212,0)</f>
        <v/>
      </c>
      <c r="P212" s="46">
        <f>mech_uptime</f>
        <v/>
      </c>
      <c r="Q212" s="46">
        <f>revleg_sel</f>
        <v/>
      </c>
      <c r="R212" s="45">
        <f>ROUND(N212*O212*revleg_sel,0)</f>
        <v/>
      </c>
      <c r="S212" s="47">
        <f>load_sel</f>
        <v/>
      </c>
      <c r="T212" s="47">
        <f>pax_cap*S212</f>
        <v/>
      </c>
      <c r="U212" s="45">
        <f>T212*R212</f>
        <v/>
      </c>
      <c r="V212" s="48">
        <f>H212*discount</f>
        <v/>
      </c>
      <c r="W212" s="49">
        <f>V212*U212</f>
        <v/>
      </c>
      <c r="X212" s="49">
        <f>(battery/range_nm)*G212*R212*VLOOKUP(B212,country_opex,3,FALSE)</f>
        <v/>
      </c>
      <c r="Y212" s="49">
        <f>VLOOKUP(B212,country_opex,2,FALSE)*crew_factor</f>
        <v/>
      </c>
      <c r="Z212" s="49">
        <f>VLOOKUP(B212,country_opex,5,FALSE)</f>
        <v/>
      </c>
      <c r="AA212" s="49">
        <f>maint</f>
        <v/>
      </c>
      <c r="AB212" s="49">
        <f>VLOOKUP(B212,country_opex,7,FALSE)*ins_pct</f>
        <v/>
      </c>
      <c r="AC212" s="49">
        <f>charge_berth</f>
        <v/>
      </c>
      <c r="AD212" s="49">
        <f>X212+Y212+Z212+AA212+AB212+AC212</f>
        <v/>
      </c>
      <c r="AE212" s="49">
        <f>VLOOKUP(B212,country_opex,7,FALSE)/dep_years</f>
        <v/>
      </c>
      <c r="AF212" s="49">
        <f>W212-AD212</f>
        <v/>
      </c>
      <c r="AG212" s="46">
        <f>IF(W212=0,"",AF212/W212)</f>
        <v/>
      </c>
      <c r="AH212" s="47">
        <f>IF(AF212&lt;=0,"",VLOOKUP(B212,country_opex,7,FALSE)/AF212)</f>
        <v/>
      </c>
      <c r="AI212" s="44">
        <f>((G212*R212/diesel_nmpg)*diesel_co2pg-(battery/range_nm)*G212*R212*VLOOKUP(B212,country_opex,4,FALSE))/1000</f>
        <v/>
      </c>
      <c r="AJ212" s="42" t="n"/>
      <c r="AK212" s="43" t="n"/>
      <c r="AL212" s="43" t="n"/>
      <c r="AM212" s="50" t="n">
        <v>0.1</v>
      </c>
      <c r="AN212" s="45">
        <f>IF(AJ212="","",AJ212*AM212)</f>
        <v/>
      </c>
      <c r="AO212" s="45">
        <f>IF(OR(AJ212="",U212=0),"",MIN(IF(AV212="",9.9E+99,AV212),FLOOR(AN212/U212,1)))</f>
        <v/>
      </c>
      <c r="AP212" s="49">
        <f>IF(AO212="","",AO212*W212)</f>
        <v/>
      </c>
      <c r="AQ212" s="47">
        <f>IF(OR(AJ212="",U212=0),"",MIN(IF(AV212="",9.9E+99,AV212),AN212/U212))</f>
        <v/>
      </c>
      <c r="AR212" s="49">
        <f>IF(AQ212="","",AQ212*W212)</f>
        <v/>
      </c>
      <c r="AS212" s="51" t="n"/>
      <c r="AT212" s="52" t="n"/>
      <c r="AU212" s="52" t="n"/>
      <c r="AV212" s="53" t="n"/>
      <c r="AW212" s="54">
        <f>IF(((V212*pax_cap*load_thin*ROUND(N212*O212*revleg_thin,0))-(((battery/range_nm)*G212*ROUND(N212*O212*revleg_thin,0)*VLOOKUP(B212,country_opex,3,FALSE))+Y212+Z212+AA212+AB212+AC212))&lt;=0,"",VLOOKUP(B212,country_opex,7,FALSE)/((V212*pax_cap*load_thin*ROUND(N212*O212*revleg_thin,0))-(((battery/range_nm)*G212*ROUND(N212*O212*revleg_thin,0)*VLOOKUP(B212,country_opex,3,FALSE))+Y212+Z212+AA212+AB212+AC212)))</f>
        <v/>
      </c>
      <c r="AX212" s="54">
        <f>IF(((V212*pax_cap*load_mid*ROUND(N212*O212*revleg_mid,0))-(((battery/range_nm)*G212*ROUND(N212*O212*revleg_mid,0)*VLOOKUP(B212,country_opex,3,FALSE))+Y212+Z212+AA212+AB212+AC212))&lt;=0,"",VLOOKUP(B212,country_opex,7,FALSE)/((V212*pax_cap*load_mid*ROUND(N212*O212*revleg_mid,0))-(((battery/range_nm)*G212*ROUND(N212*O212*revleg_mid,0)*VLOOKUP(B212,country_opex,3,FALSE))+Y212+Z212+AA212+AB212+AC212)))</f>
        <v/>
      </c>
      <c r="AY212" s="54">
        <f>IF(((V212*pax_cap*load_full*ROUND(N212*O212*revleg_full,0))-(((battery/range_nm)*G212*ROUND(N212*O212*revleg_full,0)*VLOOKUP(B212,country_opex,3,FALSE))+Y212+Z212+AA212+AB212+AC212))&lt;=0,"",VLOOKUP(B212,country_opex,7,FALSE)/((V212*pax_cap*load_full*ROUND(N212*O212*revleg_full,0))-(((battery/range_nm)*G212*ROUND(N212*O212*revleg_full,0)*VLOOKUP(B212,country_opex,3,FALSE))+Y212+Z212+AA212+AB212+AC212)))</f>
        <v/>
      </c>
      <c r="AZ212" s="40" t="inlineStr">
        <is>
          <t>Ireland's Eye Ferries / Howth Cliff Cruises adult EUR 30 return incl. island landing (the operating product). EUR 30 x 1.08 = $32.40. One-way equivalent ~$16.20.</t>
        </is>
      </c>
      <c r="BA212" s="40" t="n"/>
    </row>
    <row r="213">
      <c r="A213" s="38" t="inlineStr">
        <is>
          <t>Bolt Ireland</t>
        </is>
      </c>
      <c r="B213" s="38" t="inlineStr">
        <is>
          <t>Ireland</t>
        </is>
      </c>
      <c r="C213" s="39" t="inlineStr">
        <is>
          <t>Dublin Docklands → Dún Laoghaire</t>
        </is>
      </c>
      <c r="D213" s="38" t="inlineStr">
        <is>
          <t>bolt</t>
        </is>
      </c>
      <c r="E213" s="40" t="inlineStr">
        <is>
          <t>bolt-ireland</t>
        </is>
      </c>
      <c r="F213" s="41" t="n">
        <v>1</v>
      </c>
      <c r="G213" s="42" t="n">
        <v>6.5</v>
      </c>
      <c r="H213" s="35" t="n">
        <v>32.4</v>
      </c>
      <c r="I213" s="43" t="inlineStr">
        <is>
          <t>T2</t>
        </is>
      </c>
      <c r="J213" s="43" t="inlineStr">
        <is>
          <t>med</t>
        </is>
      </c>
      <c r="K213" s="29" t="n">
        <v>1</v>
      </c>
      <c r="L213" s="44">
        <f>60*G213/cruise_kt</f>
        <v/>
      </c>
      <c r="M213" s="44">
        <f>L213+turn_min+dwell_min</f>
        <v/>
      </c>
      <c r="N213" s="45">
        <f>MIN(16,FLOOR(60*service_hr/M213,1))</f>
        <v/>
      </c>
      <c r="O213" s="45">
        <f>ROUND(365*mech_uptime*K213,0)</f>
        <v/>
      </c>
      <c r="P213" s="46">
        <f>mech_uptime</f>
        <v/>
      </c>
      <c r="Q213" s="46">
        <f>revleg_sel</f>
        <v/>
      </c>
      <c r="R213" s="45">
        <f>ROUND(N213*O213*revleg_sel,0)</f>
        <v/>
      </c>
      <c r="S213" s="47">
        <f>load_sel</f>
        <v/>
      </c>
      <c r="T213" s="47">
        <f>pax_cap*S213</f>
        <v/>
      </c>
      <c r="U213" s="45">
        <f>T213*R213</f>
        <v/>
      </c>
      <c r="V213" s="48">
        <f>H213*discount</f>
        <v/>
      </c>
      <c r="W213" s="49">
        <f>V213*U213</f>
        <v/>
      </c>
      <c r="X213" s="49">
        <f>(battery/range_nm)*G213*R213*VLOOKUP(B213,country_opex,3,FALSE)</f>
        <v/>
      </c>
      <c r="Y213" s="49">
        <f>VLOOKUP(B213,country_opex,2,FALSE)*crew_factor</f>
        <v/>
      </c>
      <c r="Z213" s="49">
        <f>VLOOKUP(B213,country_opex,5,FALSE)</f>
        <v/>
      </c>
      <c r="AA213" s="49">
        <f>maint</f>
        <v/>
      </c>
      <c r="AB213" s="49">
        <f>VLOOKUP(B213,country_opex,7,FALSE)*ins_pct</f>
        <v/>
      </c>
      <c r="AC213" s="49">
        <f>charge_berth</f>
        <v/>
      </c>
      <c r="AD213" s="49">
        <f>X213+Y213+Z213+AA213+AB213+AC213</f>
        <v/>
      </c>
      <c r="AE213" s="49">
        <f>VLOOKUP(B213,country_opex,7,FALSE)/dep_years</f>
        <v/>
      </c>
      <c r="AF213" s="49">
        <f>W213-AD213</f>
        <v/>
      </c>
      <c r="AG213" s="46">
        <f>IF(W213=0,"",AF213/W213)</f>
        <v/>
      </c>
      <c r="AH213" s="47">
        <f>IF(AF213&lt;=0,"",VLOOKUP(B213,country_opex,7,FALSE)/AF213)</f>
        <v/>
      </c>
      <c r="AI213" s="44">
        <f>((G213*R213/diesel_nmpg)*diesel_co2pg-(battery/range_nm)*G213*R213*VLOOKUP(B213,country_opex,4,FALSE))/1000</f>
        <v/>
      </c>
      <c r="AJ213" s="42" t="n">
        <v>50000</v>
      </c>
      <c r="AK213" s="43" t="n"/>
      <c r="AL213" s="43" t="n"/>
      <c r="AM213" s="50" t="n">
        <v>0.1</v>
      </c>
      <c r="AN213" s="45">
        <f>IF(AJ213="","",AJ213*AM213)</f>
        <v/>
      </c>
      <c r="AO213" s="45">
        <f>IF(OR(AJ213="",U213=0),"",MIN(IF(AV213="",9.9E+99,AV213),FLOOR(AN213/U213,1)))</f>
        <v/>
      </c>
      <c r="AP213" s="49">
        <f>IF(AO213="","",AO213*W213)</f>
        <v/>
      </c>
      <c r="AQ213" s="47">
        <f>IF(OR(AJ213="",U213=0),"",MIN(IF(AV213="",9.9E+99,AV213),AN213/U213))</f>
        <v/>
      </c>
      <c r="AR213" s="49">
        <f>IF(AQ213="","",AQ213*W213)</f>
        <v/>
      </c>
      <c r="AS213" s="51" t="n"/>
      <c r="AT213" s="52" t="n"/>
      <c r="AU213" s="52" t="n"/>
      <c r="AV213" s="53" t="n"/>
      <c r="AW213" s="54">
        <f>IF(((V213*pax_cap*load_thin*ROUND(N213*O213*revleg_thin,0))-(((battery/range_nm)*G213*ROUND(N213*O213*revleg_thin,0)*VLOOKUP(B213,country_opex,3,FALSE))+Y213+Z213+AA213+AB213+AC213))&lt;=0,"",VLOOKUP(B213,country_opex,7,FALSE)/((V213*pax_cap*load_thin*ROUND(N213*O213*revleg_thin,0))-(((battery/range_nm)*G213*ROUND(N213*O213*revleg_thin,0)*VLOOKUP(B213,country_opex,3,FALSE))+Y213+Z213+AA213+AB213+AC213)))</f>
        <v/>
      </c>
      <c r="AX213" s="54">
        <f>IF(((V213*pax_cap*load_mid*ROUND(N213*O213*revleg_mid,0))-(((battery/range_nm)*G213*ROUND(N213*O213*revleg_mid,0)*VLOOKUP(B213,country_opex,3,FALSE))+Y213+Z213+AA213+AB213+AC213))&lt;=0,"",VLOOKUP(B213,country_opex,7,FALSE)/((V213*pax_cap*load_mid*ROUND(N213*O213*revleg_mid,0))-(((battery/range_nm)*G213*ROUND(N213*O213*revleg_mid,0)*VLOOKUP(B213,country_opex,3,FALSE))+Y213+Z213+AA213+AB213+AC213)))</f>
        <v/>
      </c>
      <c r="AY213" s="54">
        <f>IF(((V213*pax_cap*load_full*ROUND(N213*O213*revleg_full,0))-(((battery/range_nm)*G213*ROUND(N213*O213*revleg_full,0)*VLOOKUP(B213,country_opex,3,FALSE))+Y213+Z213+AA213+AB213+AC213))&lt;=0,"",VLOOKUP(B213,country_opex,7,FALSE)/((V213*pax_cap*load_full*ROUND(N213*O213*revleg_full,0))-(((battery/range_nm)*G213*ROUND(N213*O213*revleg_full,0)*VLOOKUP(B213,country_opex,3,FALSE))+Y213+Z213+AA213+AB213+AC213)))</f>
        <v/>
      </c>
      <c r="AZ213" s="40" t="inlineStr">
        <is>
          <t>Dublin Bay Cruises one-way leisure seat Dublin City-&gt;Dun Laoghaire EUR 30 (premium scheduled water tier; the reverse Dun Laoghaire-&gt;Dublin City morning leg is EUR 15). EUR 30 x 1.08 = $32.40.</t>
        </is>
      </c>
      <c r="BA213" s="40" t="n"/>
    </row>
    <row r="214">
      <c r="A214" s="38" t="inlineStr">
        <is>
          <t>Bolt Ireland</t>
        </is>
      </c>
      <c r="B214" s="38" t="inlineStr">
        <is>
          <t>Ireland</t>
        </is>
      </c>
      <c r="C214" s="39" t="inlineStr">
        <is>
          <t>Dublin City (Docklands) → Howth</t>
        </is>
      </c>
      <c r="D214" s="38" t="inlineStr">
        <is>
          <t>bolt</t>
        </is>
      </c>
      <c r="E214" s="40" t="inlineStr">
        <is>
          <t>bolt-ireland</t>
        </is>
      </c>
      <c r="F214" s="41" t="n">
        <v>1</v>
      </c>
      <c r="G214" s="42" t="n">
        <v>7</v>
      </c>
      <c r="H214" s="35" t="n">
        <v>43.2</v>
      </c>
      <c r="I214" s="43" t="inlineStr">
        <is>
          <t>T2</t>
        </is>
      </c>
      <c r="J214" s="43" t="inlineStr">
        <is>
          <t>med</t>
        </is>
      </c>
      <c r="K214" s="29" t="n">
        <v>1</v>
      </c>
      <c r="L214" s="44">
        <f>60*G214/cruise_kt</f>
        <v/>
      </c>
      <c r="M214" s="44">
        <f>L214+turn_min+dwell_min</f>
        <v/>
      </c>
      <c r="N214" s="45">
        <f>MIN(16,FLOOR(60*service_hr/M214,1))</f>
        <v/>
      </c>
      <c r="O214" s="45">
        <f>ROUND(365*mech_uptime*K214,0)</f>
        <v/>
      </c>
      <c r="P214" s="46">
        <f>mech_uptime</f>
        <v/>
      </c>
      <c r="Q214" s="46">
        <f>revleg_sel</f>
        <v/>
      </c>
      <c r="R214" s="45">
        <f>ROUND(N214*O214*revleg_sel,0)</f>
        <v/>
      </c>
      <c r="S214" s="47">
        <f>load_sel</f>
        <v/>
      </c>
      <c r="T214" s="47">
        <f>pax_cap*S214</f>
        <v/>
      </c>
      <c r="U214" s="45">
        <f>T214*R214</f>
        <v/>
      </c>
      <c r="V214" s="48">
        <f>H214*discount</f>
        <v/>
      </c>
      <c r="W214" s="49">
        <f>V214*U214</f>
        <v/>
      </c>
      <c r="X214" s="49">
        <f>(battery/range_nm)*G214*R214*VLOOKUP(B214,country_opex,3,FALSE)</f>
        <v/>
      </c>
      <c r="Y214" s="49">
        <f>VLOOKUP(B214,country_opex,2,FALSE)*crew_factor</f>
        <v/>
      </c>
      <c r="Z214" s="49">
        <f>VLOOKUP(B214,country_opex,5,FALSE)</f>
        <v/>
      </c>
      <c r="AA214" s="49">
        <f>maint</f>
        <v/>
      </c>
      <c r="AB214" s="49">
        <f>VLOOKUP(B214,country_opex,7,FALSE)*ins_pct</f>
        <v/>
      </c>
      <c r="AC214" s="49">
        <f>charge_berth</f>
        <v/>
      </c>
      <c r="AD214" s="49">
        <f>X214+Y214+Z214+AA214+AB214+AC214</f>
        <v/>
      </c>
      <c r="AE214" s="49">
        <f>VLOOKUP(B214,country_opex,7,FALSE)/dep_years</f>
        <v/>
      </c>
      <c r="AF214" s="49">
        <f>W214-AD214</f>
        <v/>
      </c>
      <c r="AG214" s="46">
        <f>IF(W214=0,"",AF214/W214)</f>
        <v/>
      </c>
      <c r="AH214" s="47">
        <f>IF(AF214&lt;=0,"",VLOOKUP(B214,country_opex,7,FALSE)/AF214)</f>
        <v/>
      </c>
      <c r="AI214" s="44">
        <f>((G214*R214/diesel_nmpg)*diesel_co2pg-(battery/range_nm)*G214*R214*VLOOKUP(B214,country_opex,4,FALSE))/1000</f>
        <v/>
      </c>
      <c r="AJ214" s="42" t="n">
        <v>46800</v>
      </c>
      <c r="AK214" s="43" t="n"/>
      <c r="AL214" s="43" t="n"/>
      <c r="AM214" s="50" t="n">
        <v>0.1</v>
      </c>
      <c r="AN214" s="45">
        <f>IF(AJ214="","",AJ214*AM214)</f>
        <v/>
      </c>
      <c r="AO214" s="45">
        <f>IF(OR(AJ214="",U214=0),"",MIN(IF(AV214="",9.9E+99,AV214),FLOOR(AN214/U214,1)))</f>
        <v/>
      </c>
      <c r="AP214" s="49">
        <f>IF(AO214="","",AO214*W214)</f>
        <v/>
      </c>
      <c r="AQ214" s="47">
        <f>IF(OR(AJ214="",U214=0),"",MIN(IF(AV214="",9.9E+99,AV214),AN214/U214))</f>
        <v/>
      </c>
      <c r="AR214" s="49">
        <f>IF(AQ214="","",AQ214*W214)</f>
        <v/>
      </c>
      <c r="AS214" s="51" t="n"/>
      <c r="AT214" s="52" t="n"/>
      <c r="AU214" s="52" t="n"/>
      <c r="AV214" s="53" t="n"/>
      <c r="AW214" s="54">
        <f>IF(((V214*pax_cap*load_thin*ROUND(N214*O214*revleg_thin,0))-(((battery/range_nm)*G214*ROUND(N214*O214*revleg_thin,0)*VLOOKUP(B214,country_opex,3,FALSE))+Y214+Z214+AA214+AB214+AC214))&lt;=0,"",VLOOKUP(B214,country_opex,7,FALSE)/((V214*pax_cap*load_thin*ROUND(N214*O214*revleg_thin,0))-(((battery/range_nm)*G214*ROUND(N214*O214*revleg_thin,0)*VLOOKUP(B214,country_opex,3,FALSE))+Y214+Z214+AA214+AB214+AC214)))</f>
        <v/>
      </c>
      <c r="AX214" s="54">
        <f>IF(((V214*pax_cap*load_mid*ROUND(N214*O214*revleg_mid,0))-(((battery/range_nm)*G214*ROUND(N214*O214*revleg_mid,0)*VLOOKUP(B214,country_opex,3,FALSE))+Y214+Z214+AA214+AB214+AC214))&lt;=0,"",VLOOKUP(B214,country_opex,7,FALSE)/((V214*pax_cap*load_mid*ROUND(N214*O214*revleg_mid,0))-(((battery/range_nm)*G214*ROUND(N214*O214*revleg_mid,0)*VLOOKUP(B214,country_opex,3,FALSE))+Y214+Z214+AA214+AB214+AC214)))</f>
        <v/>
      </c>
      <c r="AY214" s="54">
        <f>IF(((V214*pax_cap*load_full*ROUND(N214*O214*revleg_full,0))-(((battery/range_nm)*G214*ROUND(N214*O214*revleg_full,0)*VLOOKUP(B214,country_opex,3,FALSE))+Y214+Z214+AA214+AB214+AC214))&lt;=0,"",VLOOKUP(B214,country_opex,7,FALSE)/((V214*pax_cap*load_full*ROUND(N214*O214*revleg_full,0))-(((battery/range_nm)*G214*ROUND(N214*O214*revleg_full,0)*VLOOKUP(B214,country_opex,3,FALSE))+Y214+Z214+AA214+AB214+AC214)))</f>
        <v/>
      </c>
      <c r="AZ214" s="40" t="inlineStr">
        <is>
          <t>Dublin Bay Cruises one-way Dublin City-&gt;Howth (via Dun Laoghaire) EUR 40 (premium scheduled water tier). EUR 40 x 1.08 = $43.20.</t>
        </is>
      </c>
      <c r="BA214" s="40" t="n"/>
    </row>
    <row r="215">
      <c r="A215" s="38" t="inlineStr">
        <is>
          <t>Bolt Ireland</t>
        </is>
      </c>
      <c r="B215" s="38" t="inlineStr">
        <is>
          <t>Ireland</t>
        </is>
      </c>
      <c r="C215" s="39" t="inlineStr">
        <is>
          <t>Dun Laoghaire → Howth</t>
        </is>
      </c>
      <c r="D215" s="38" t="inlineStr">
        <is>
          <t>bolt</t>
        </is>
      </c>
      <c r="E215" s="40" t="inlineStr">
        <is>
          <t>bolt-ireland</t>
        </is>
      </c>
      <c r="F215" s="41" t="n">
        <v>1</v>
      </c>
      <c r="G215" s="42" t="n">
        <v>7</v>
      </c>
      <c r="H215" s="35" t="n">
        <v>30.24</v>
      </c>
      <c r="I215" s="43" t="inlineStr">
        <is>
          <t>T2</t>
        </is>
      </c>
      <c r="J215" s="43" t="inlineStr">
        <is>
          <t>med</t>
        </is>
      </c>
      <c r="K215" s="29" t="n">
        <v>1</v>
      </c>
      <c r="L215" s="44">
        <f>60*G215/cruise_kt</f>
        <v/>
      </c>
      <c r="M215" s="44">
        <f>L215+turn_min+dwell_min</f>
        <v/>
      </c>
      <c r="N215" s="45">
        <f>MIN(16,FLOOR(60*service_hr/M215,1))</f>
        <v/>
      </c>
      <c r="O215" s="45">
        <f>ROUND(365*mech_uptime*K215,0)</f>
        <v/>
      </c>
      <c r="P215" s="46">
        <f>mech_uptime</f>
        <v/>
      </c>
      <c r="Q215" s="46">
        <f>revleg_sel</f>
        <v/>
      </c>
      <c r="R215" s="45">
        <f>ROUND(N215*O215*revleg_sel,0)</f>
        <v/>
      </c>
      <c r="S215" s="47">
        <f>load_sel</f>
        <v/>
      </c>
      <c r="T215" s="47">
        <f>pax_cap*S215</f>
        <v/>
      </c>
      <c r="U215" s="45">
        <f>T215*R215</f>
        <v/>
      </c>
      <c r="V215" s="48">
        <f>H215*discount</f>
        <v/>
      </c>
      <c r="W215" s="49">
        <f>V215*U215</f>
        <v/>
      </c>
      <c r="X215" s="49">
        <f>(battery/range_nm)*G215*R215*VLOOKUP(B215,country_opex,3,FALSE)</f>
        <v/>
      </c>
      <c r="Y215" s="49">
        <f>VLOOKUP(B215,country_opex,2,FALSE)*crew_factor</f>
        <v/>
      </c>
      <c r="Z215" s="49">
        <f>VLOOKUP(B215,country_opex,5,FALSE)</f>
        <v/>
      </c>
      <c r="AA215" s="49">
        <f>maint</f>
        <v/>
      </c>
      <c r="AB215" s="49">
        <f>VLOOKUP(B215,country_opex,7,FALSE)*ins_pct</f>
        <v/>
      </c>
      <c r="AC215" s="49">
        <f>charge_berth</f>
        <v/>
      </c>
      <c r="AD215" s="49">
        <f>X215+Y215+Z215+AA215+AB215+AC215</f>
        <v/>
      </c>
      <c r="AE215" s="49">
        <f>VLOOKUP(B215,country_opex,7,FALSE)/dep_years</f>
        <v/>
      </c>
      <c r="AF215" s="49">
        <f>W215-AD215</f>
        <v/>
      </c>
      <c r="AG215" s="46">
        <f>IF(W215=0,"",AF215/W215)</f>
        <v/>
      </c>
      <c r="AH215" s="47">
        <f>IF(AF215&lt;=0,"",VLOOKUP(B215,country_opex,7,FALSE)/AF215)</f>
        <v/>
      </c>
      <c r="AI215" s="44">
        <f>((G215*R215/diesel_nmpg)*diesel_co2pg-(battery/range_nm)*G215*R215*VLOOKUP(B215,country_opex,4,FALSE))/1000</f>
        <v/>
      </c>
      <c r="AJ215" s="42" t="n"/>
      <c r="AK215" s="43" t="n"/>
      <c r="AL215" s="43" t="n"/>
      <c r="AM215" s="50" t="n">
        <v>0.1</v>
      </c>
      <c r="AN215" s="45">
        <f>IF(AJ215="","",AJ215*AM215)</f>
        <v/>
      </c>
      <c r="AO215" s="45">
        <f>IF(OR(AJ215="",U215=0),"",MIN(IF(AV215="",9.9E+99,AV215),FLOOR(AN215/U215,1)))</f>
        <v/>
      </c>
      <c r="AP215" s="49">
        <f>IF(AO215="","",AO215*W215)</f>
        <v/>
      </c>
      <c r="AQ215" s="47">
        <f>IF(OR(AJ215="",U215=0),"",MIN(IF(AV215="",9.9E+99,AV215),AN215/U215))</f>
        <v/>
      </c>
      <c r="AR215" s="49">
        <f>IF(AQ215="","",AQ215*W215)</f>
        <v/>
      </c>
      <c r="AS215" s="51" t="n"/>
      <c r="AT215" s="52" t="n"/>
      <c r="AU215" s="52" t="n"/>
      <c r="AV215" s="53" t="n"/>
      <c r="AW215" s="54">
        <f>IF(((V215*pax_cap*load_thin*ROUND(N215*O215*revleg_thin,0))-(((battery/range_nm)*G215*ROUND(N215*O215*revleg_thin,0)*VLOOKUP(B215,country_opex,3,FALSE))+Y215+Z215+AA215+AB215+AC215))&lt;=0,"",VLOOKUP(B215,country_opex,7,FALSE)/((V215*pax_cap*load_thin*ROUND(N215*O215*revleg_thin,0))-(((battery/range_nm)*G215*ROUND(N215*O215*revleg_thin,0)*VLOOKUP(B215,country_opex,3,FALSE))+Y215+Z215+AA215+AB215+AC215)))</f>
        <v/>
      </c>
      <c r="AX215" s="54">
        <f>IF(((V215*pax_cap*load_mid*ROUND(N215*O215*revleg_mid,0))-(((battery/range_nm)*G215*ROUND(N215*O215*revleg_mid,0)*VLOOKUP(B215,country_opex,3,FALSE))+Y215+Z215+AA215+AB215+AC215))&lt;=0,"",VLOOKUP(B215,country_opex,7,FALSE)/((V215*pax_cap*load_mid*ROUND(N215*O215*revleg_mid,0))-(((battery/range_nm)*G215*ROUND(N215*O215*revleg_mid,0)*VLOOKUP(B215,country_opex,3,FALSE))+Y215+Z215+AA215+AB215+AC215)))</f>
        <v/>
      </c>
      <c r="AY215" s="54">
        <f>IF(((V215*pax_cap*load_full*ROUND(N215*O215*revleg_full,0))-(((battery/range_nm)*G215*ROUND(N215*O215*revleg_full,0)*VLOOKUP(B215,country_opex,3,FALSE))+Y215+Z215+AA215+AB215+AC215))&lt;=0,"",VLOOKUP(B215,country_opex,7,FALSE)/((V215*pax_cap*load_full*ROUND(N215*O215*revleg_full,0))-(((battery/range_nm)*G215*ROUND(N215*O215*revleg_full,0)*VLOOKUP(B215,country_opex,3,FALSE))+Y215+Z215+AA215+AB215+AC215)))</f>
        <v/>
      </c>
      <c r="AZ215" s="40" t="inlineStr">
        <is>
          <t>Dublin Bay Cruises one-way Dun Laoghaire&lt;-&gt;Howth EUR 28 per seat (scheduled scenic water tier). EUR 28 x 1.08 = $30.24.</t>
        </is>
      </c>
      <c r="BA215" s="40" t="n"/>
    </row>
    <row r="216">
      <c r="A216" s="38" t="inlineStr">
        <is>
          <t>Bolt Ireland</t>
        </is>
      </c>
      <c r="B216" s="38" t="inlineStr">
        <is>
          <t>Ireland</t>
        </is>
      </c>
      <c r="C216" s="39" t="inlineStr">
        <is>
          <t>Dublin City (Docklands) → Dalkey / Killiney</t>
        </is>
      </c>
      <c r="D216" s="38" t="inlineStr">
        <is>
          <t>bolt</t>
        </is>
      </c>
      <c r="E216" s="40" t="inlineStr">
        <is>
          <t>bolt-ireland</t>
        </is>
      </c>
      <c r="F216" s="41" t="n">
        <v>1</v>
      </c>
      <c r="G216" s="42" t="n">
        <v>9</v>
      </c>
      <c r="H216" s="35" t="n">
        <v>32.4</v>
      </c>
      <c r="I216" s="43" t="inlineStr">
        <is>
          <t>T2</t>
        </is>
      </c>
      <c r="J216" s="43" t="inlineStr">
        <is>
          <t>med</t>
        </is>
      </c>
      <c r="K216" s="29" t="n">
        <v>1</v>
      </c>
      <c r="L216" s="44">
        <f>60*G216/cruise_kt</f>
        <v/>
      </c>
      <c r="M216" s="44">
        <f>L216+turn_min+dwell_min</f>
        <v/>
      </c>
      <c r="N216" s="45">
        <f>MIN(16,FLOOR(60*service_hr/M216,1))</f>
        <v/>
      </c>
      <c r="O216" s="45">
        <f>ROUND(365*mech_uptime*K216,0)</f>
        <v/>
      </c>
      <c r="P216" s="46">
        <f>mech_uptime</f>
        <v/>
      </c>
      <c r="Q216" s="46">
        <f>revleg_sel</f>
        <v/>
      </c>
      <c r="R216" s="45">
        <f>ROUND(N216*O216*revleg_sel,0)</f>
        <v/>
      </c>
      <c r="S216" s="47">
        <f>load_sel</f>
        <v/>
      </c>
      <c r="T216" s="47">
        <f>pax_cap*S216</f>
        <v/>
      </c>
      <c r="U216" s="45">
        <f>T216*R216</f>
        <v/>
      </c>
      <c r="V216" s="48">
        <f>H216*discount</f>
        <v/>
      </c>
      <c r="W216" s="49">
        <f>V216*U216</f>
        <v/>
      </c>
      <c r="X216" s="49">
        <f>(battery/range_nm)*G216*R216*VLOOKUP(B216,country_opex,3,FALSE)</f>
        <v/>
      </c>
      <c r="Y216" s="49">
        <f>VLOOKUP(B216,country_opex,2,FALSE)*crew_factor</f>
        <v/>
      </c>
      <c r="Z216" s="49">
        <f>VLOOKUP(B216,country_opex,5,FALSE)</f>
        <v/>
      </c>
      <c r="AA216" s="49">
        <f>maint</f>
        <v/>
      </c>
      <c r="AB216" s="49">
        <f>VLOOKUP(B216,country_opex,7,FALSE)*ins_pct</f>
        <v/>
      </c>
      <c r="AC216" s="49">
        <f>charge_berth</f>
        <v/>
      </c>
      <c r="AD216" s="49">
        <f>X216+Y216+Z216+AA216+AB216+AC216</f>
        <v/>
      </c>
      <c r="AE216" s="49">
        <f>VLOOKUP(B216,country_opex,7,FALSE)/dep_years</f>
        <v/>
      </c>
      <c r="AF216" s="49">
        <f>W216-AD216</f>
        <v/>
      </c>
      <c r="AG216" s="46">
        <f>IF(W216=0,"",AF216/W216)</f>
        <v/>
      </c>
      <c r="AH216" s="47">
        <f>IF(AF216&lt;=0,"",VLOOKUP(B216,country_opex,7,FALSE)/AF216)</f>
        <v/>
      </c>
      <c r="AI216" s="44">
        <f>((G216*R216/diesel_nmpg)*diesel_co2pg-(battery/range_nm)*G216*R216*VLOOKUP(B216,country_opex,4,FALSE))/1000</f>
        <v/>
      </c>
      <c r="AJ216" s="42" t="n"/>
      <c r="AK216" s="43" t="n"/>
      <c r="AL216" s="43" t="n"/>
      <c r="AM216" s="50" t="n">
        <v>0.1</v>
      </c>
      <c r="AN216" s="45">
        <f>IF(AJ216="","",AJ216*AM216)</f>
        <v/>
      </c>
      <c r="AO216" s="45">
        <f>IF(OR(AJ216="",U216=0),"",MIN(IF(AV216="",9.9E+99,AV216),FLOOR(AN216/U216,1)))</f>
        <v/>
      </c>
      <c r="AP216" s="49">
        <f>IF(AO216="","",AO216*W216)</f>
        <v/>
      </c>
      <c r="AQ216" s="47">
        <f>IF(OR(AJ216="",U216=0),"",MIN(IF(AV216="",9.9E+99,AV216),AN216/U216))</f>
        <v/>
      </c>
      <c r="AR216" s="49">
        <f>IF(AQ216="","",AQ216*W216)</f>
        <v/>
      </c>
      <c r="AS216" s="51" t="n"/>
      <c r="AT216" s="52" t="n"/>
      <c r="AU216" s="52" t="n"/>
      <c r="AV216" s="53" t="n"/>
      <c r="AW216" s="54">
        <f>IF(((V216*pax_cap*load_thin*ROUND(N216*O216*revleg_thin,0))-(((battery/range_nm)*G216*ROUND(N216*O216*revleg_thin,0)*VLOOKUP(B216,country_opex,3,FALSE))+Y216+Z216+AA216+AB216+AC216))&lt;=0,"",VLOOKUP(B216,country_opex,7,FALSE)/((V216*pax_cap*load_thin*ROUND(N216*O216*revleg_thin,0))-(((battery/range_nm)*G216*ROUND(N216*O216*revleg_thin,0)*VLOOKUP(B216,country_opex,3,FALSE))+Y216+Z216+AA216+AB216+AC216)))</f>
        <v/>
      </c>
      <c r="AX216" s="54">
        <f>IF(((V216*pax_cap*load_mid*ROUND(N216*O216*revleg_mid,0))-(((battery/range_nm)*G216*ROUND(N216*O216*revleg_mid,0)*VLOOKUP(B216,country_opex,3,FALSE))+Y216+Z216+AA216+AB216+AC216))&lt;=0,"",VLOOKUP(B216,country_opex,7,FALSE)/((V216*pax_cap*load_mid*ROUND(N216*O216*revleg_mid,0))-(((battery/range_nm)*G216*ROUND(N216*O216*revleg_mid,0)*VLOOKUP(B216,country_opex,3,FALSE))+Y216+Z216+AA216+AB216+AC216)))</f>
        <v/>
      </c>
      <c r="AY216" s="54">
        <f>IF(((V216*pax_cap*load_full*ROUND(N216*O216*revleg_full,0))-(((battery/range_nm)*G216*ROUND(N216*O216*revleg_full,0)*VLOOKUP(B216,country_opex,3,FALSE))+Y216+Z216+AA216+AB216+AC216))&lt;=0,"",VLOOKUP(B216,country_opex,7,FALSE)/((V216*pax_cap*load_full*ROUND(N216*O216*revleg_full,0))-(((battery/range_nm)*G216*ROUND(N216*O216*revleg_full,0)*VLOOKUP(B216,country_opex,3,FALSE))+Y216+Z216+AA216+AB216+AC216)))</f>
        <v/>
      </c>
      <c r="AZ216" s="40" t="inlineStr">
        <is>
          <t>PROXY: no direct scheduled water service Dublin City-&gt;Dalkey today; using the Dublin Bay Cruises southern-leg leisure seat ~EUR 30 (comparable distance/scenic premium) as the per-seat anchor. EUR 30 x 1.08 = $32.40. Flagged as a proxy, not a directly-quoted Dalkey fare.</t>
        </is>
      </c>
      <c r="BA216" s="40" t="n"/>
    </row>
    <row r="217">
      <c r="A217" s="38" t="inlineStr">
        <is>
          <t>Bolt Ireland</t>
        </is>
      </c>
      <c r="B217" s="38" t="inlineStr">
        <is>
          <t>Ireland</t>
        </is>
      </c>
      <c r="C217" s="39" t="inlineStr">
        <is>
          <t>Dublin Port → Holyhead (Wales)</t>
        </is>
      </c>
      <c r="D217" s="38" t="inlineStr">
        <is>
          <t>bolt</t>
        </is>
      </c>
      <c r="E217" s="40" t="inlineStr">
        <is>
          <t>bolt-ireland</t>
        </is>
      </c>
      <c r="F217" s="41" t="n">
        <v>1</v>
      </c>
      <c r="G217" s="42" t="n">
        <v>67</v>
      </c>
      <c r="H217" s="35" t="n">
        <v>48.6</v>
      </c>
      <c r="I217" s="43" t="inlineStr">
        <is>
          <t>T2</t>
        </is>
      </c>
      <c r="J217" s="43" t="inlineStr">
        <is>
          <t>med</t>
        </is>
      </c>
      <c r="K217" s="29" t="n">
        <v>1</v>
      </c>
      <c r="L217" s="44">
        <f>60*G217/cruise_kt</f>
        <v/>
      </c>
      <c r="M217" s="44">
        <f>L217+turn_min+dwell_min</f>
        <v/>
      </c>
      <c r="N217" s="45">
        <f>MIN(10,FLOOR(60*service_hr/M217,1))</f>
        <v/>
      </c>
      <c r="O217" s="45">
        <f>ROUND(365*mech_uptime*K217,0)</f>
        <v/>
      </c>
      <c r="P217" s="46">
        <f>mech_uptime</f>
        <v/>
      </c>
      <c r="Q217" s="46">
        <f>revleg_sel</f>
        <v/>
      </c>
      <c r="R217" s="45">
        <f>ROUND(N217*O217*revleg_sel,0)</f>
        <v/>
      </c>
      <c r="S217" s="47">
        <f>load_sel</f>
        <v/>
      </c>
      <c r="T217" s="47">
        <f>pax_cap*S217</f>
        <v/>
      </c>
      <c r="U217" s="45">
        <f>T217*R217</f>
        <v/>
      </c>
      <c r="V217" s="48">
        <f>H217*discount</f>
        <v/>
      </c>
      <c r="W217" s="49">
        <f>V217*U217</f>
        <v/>
      </c>
      <c r="X217" s="49">
        <f>(battery/range_nm)*G217*R217*VLOOKUP(B217,country_opex,3,FALSE)</f>
        <v/>
      </c>
      <c r="Y217" s="49">
        <f>VLOOKUP(B217,country_opex,2,FALSE)*crew_factor</f>
        <v/>
      </c>
      <c r="Z217" s="49">
        <f>VLOOKUP(B217,country_opex,5,FALSE)</f>
        <v/>
      </c>
      <c r="AA217" s="49">
        <f>maint</f>
        <v/>
      </c>
      <c r="AB217" s="49">
        <f>VLOOKUP(B217,country_opex,7,FALSE)*ins_pct</f>
        <v/>
      </c>
      <c r="AC217" s="49">
        <f>charge_berth</f>
        <v/>
      </c>
      <c r="AD217" s="49">
        <f>X217+Y217+Z217+AA217+AB217+AC217</f>
        <v/>
      </c>
      <c r="AE217" s="49">
        <f>VLOOKUP(B217,country_opex,7,FALSE)/dep_years</f>
        <v/>
      </c>
      <c r="AF217" s="49">
        <f>W217-AD217</f>
        <v/>
      </c>
      <c r="AG217" s="46">
        <f>IF(W217=0,"",AF217/W217)</f>
        <v/>
      </c>
      <c r="AH217" s="47">
        <f>IF(AF217&lt;=0,"",VLOOKUP(B217,country_opex,7,FALSE)/AF217)</f>
        <v/>
      </c>
      <c r="AI217" s="44">
        <f>((G217*R217/diesel_nmpg)*diesel_co2pg-(battery/range_nm)*G217*R217*VLOOKUP(B217,country_opex,4,FALSE))/1000</f>
        <v/>
      </c>
      <c r="AJ217" s="42" t="n"/>
      <c r="AK217" s="43" t="n"/>
      <c r="AL217" s="43" t="n"/>
      <c r="AM217" s="50" t="n">
        <v>0.1</v>
      </c>
      <c r="AN217" s="45">
        <f>IF(AJ217="","",AJ217*AM217)</f>
        <v/>
      </c>
      <c r="AO217" s="45">
        <f>IF(OR(AJ217="",U217=0),"",MIN(IF(AV217="",9.9E+99,AV217),FLOOR(AN217/U217,1)))</f>
        <v/>
      </c>
      <c r="AP217" s="49">
        <f>IF(AO217="","",AO217*W217)</f>
        <v/>
      </c>
      <c r="AQ217" s="47">
        <f>IF(OR(AJ217="",U217=0),"",MIN(IF(AV217="",9.9E+99,AV217),AN217/U217))</f>
        <v/>
      </c>
      <c r="AR217" s="49">
        <f>IF(AQ217="","",AQ217*W217)</f>
        <v/>
      </c>
      <c r="AS217" s="51" t="n"/>
      <c r="AT217" s="52" t="n"/>
      <c r="AU217" s="52" t="n"/>
      <c r="AV217" s="53" t="n"/>
      <c r="AW217" s="54">
        <f>IF(((V217*pax_cap*load_thin*ROUND(N217*O217*revleg_thin,0))-(((battery/range_nm)*G217*ROUND(N217*O217*revleg_thin,0)*VLOOKUP(B217,country_opex,3,FALSE))+Y217+Z217+AA217+AB217+AC217))&lt;=0,"",VLOOKUP(B217,country_opex,7,FALSE)/((V217*pax_cap*load_thin*ROUND(N217*O217*revleg_thin,0))-(((battery/range_nm)*G217*ROUND(N217*O217*revleg_thin,0)*VLOOKUP(B217,country_opex,3,FALSE))+Y217+Z217+AA217+AB217+AC217)))</f>
        <v/>
      </c>
      <c r="AX217" s="54">
        <f>IF(((V217*pax_cap*load_mid*ROUND(N217*O217*revleg_mid,0))-(((battery/range_nm)*G217*ROUND(N217*O217*revleg_mid,0)*VLOOKUP(B217,country_opex,3,FALSE))+Y217+Z217+AA217+AB217+AC217))&lt;=0,"",VLOOKUP(B217,country_opex,7,FALSE)/((V217*pax_cap*load_mid*ROUND(N217*O217*revleg_mid,0))-(((battery/range_nm)*G217*ROUND(N217*O217*revleg_mid,0)*VLOOKUP(B217,country_opex,3,FALSE))+Y217+Z217+AA217+AB217+AC217)))</f>
        <v/>
      </c>
      <c r="AY217" s="54">
        <f>IF(((V217*pax_cap*load_full*ROUND(N217*O217*revleg_full,0))-(((battery/range_nm)*G217*ROUND(N217*O217*revleg_full,0)*VLOOKUP(B217,country_opex,3,FALSE))+Y217+Z217+AA217+AB217+AC217))&lt;=0,"",VLOOKUP(B217,country_opex,7,FALSE)/((V217*pax_cap*load_full*ROUND(N217*O217*revleg_full,0))-(((battery/range_nm)*G217*ROUND(N217*O217*revleg_full,0)*VLOOKUP(B217,country_opex,3,FALSE))+Y217+Z217+AA217+AB217+AC217)))</f>
        <v/>
      </c>
      <c r="AZ217" s="40" t="inlineStr">
        <is>
          <t>Foot-passenger one-way fare from ~EUR 42-45 (Stena Line / Irish Ferries, Dublin&lt;-&gt;Holyhead; Direct Ferries quotes 'from ~$42'). Using ~EUR 45 x 1.08 = $48.60. Premium/Club lounge tiers run higher.</t>
        </is>
      </c>
      <c r="BA217" s="40" t="n"/>
    </row>
    <row r="218">
      <c r="A218" s="38" t="inlineStr">
        <is>
          <t>Bolt Israel</t>
        </is>
      </c>
      <c r="B218" s="38" t="inlineStr">
        <is>
          <t>Israel</t>
        </is>
      </c>
      <c r="C218" s="39" t="inlineStr">
        <is>
          <t>Tel Aviv → Jaffa (Old Jaffa Port)</t>
        </is>
      </c>
      <c r="D218" s="38" t="inlineStr">
        <is>
          <t>bolt</t>
        </is>
      </c>
      <c r="E218" s="40" t="inlineStr">
        <is>
          <t>bolt-israel, yango-israel</t>
        </is>
      </c>
      <c r="F218" s="41" t="n">
        <v>2</v>
      </c>
      <c r="G218" s="42" t="n">
        <v>2.2</v>
      </c>
      <c r="H218" s="35" t="n">
        <v>130</v>
      </c>
      <c r="I218" s="43" t="inlineStr">
        <is>
          <t>T2</t>
        </is>
      </c>
      <c r="J218" s="43" t="inlineStr">
        <is>
          <t>med</t>
        </is>
      </c>
      <c r="K218" s="29" t="n">
        <v>1</v>
      </c>
      <c r="L218" s="44">
        <f>60*G218/cruise_kt</f>
        <v/>
      </c>
      <c r="M218" s="44">
        <f>L218+turn_min+dwell_min</f>
        <v/>
      </c>
      <c r="N218" s="45">
        <f>MIN(16,FLOOR(60*service_hr/M218,1))</f>
        <v/>
      </c>
      <c r="O218" s="45">
        <f>ROUND(365*mech_uptime*K218,0)</f>
        <v/>
      </c>
      <c r="P218" s="46">
        <f>mech_uptime</f>
        <v/>
      </c>
      <c r="Q218" s="46">
        <f>revleg_sel</f>
        <v/>
      </c>
      <c r="R218" s="45">
        <f>ROUND(N218*O218*revleg_sel,0)</f>
        <v/>
      </c>
      <c r="S218" s="47">
        <f>load_sel</f>
        <v/>
      </c>
      <c r="T218" s="47">
        <f>pax_cap*S218</f>
        <v/>
      </c>
      <c r="U218" s="45">
        <f>T218*R218</f>
        <v/>
      </c>
      <c r="V218" s="48">
        <f>H218*discount</f>
        <v/>
      </c>
      <c r="W218" s="49">
        <f>V218*U218</f>
        <v/>
      </c>
      <c r="X218" s="49">
        <f>(battery/range_nm)*G218*R218*VLOOKUP(B218,country_opex,3,FALSE)</f>
        <v/>
      </c>
      <c r="Y218" s="49">
        <f>VLOOKUP(B218,country_opex,2,FALSE)*crew_factor</f>
        <v/>
      </c>
      <c r="Z218" s="49">
        <f>VLOOKUP(B218,country_opex,5,FALSE)</f>
        <v/>
      </c>
      <c r="AA218" s="49">
        <f>maint</f>
        <v/>
      </c>
      <c r="AB218" s="49">
        <f>VLOOKUP(B218,country_opex,7,FALSE)*ins_pct</f>
        <v/>
      </c>
      <c r="AC218" s="49">
        <f>charge_berth</f>
        <v/>
      </c>
      <c r="AD218" s="49">
        <f>X218+Y218+Z218+AA218+AB218+AC218</f>
        <v/>
      </c>
      <c r="AE218" s="49">
        <f>VLOOKUP(B218,country_opex,7,FALSE)/dep_years</f>
        <v/>
      </c>
      <c r="AF218" s="49">
        <f>W218-AD218</f>
        <v/>
      </c>
      <c r="AG218" s="46">
        <f>IF(W218=0,"",AF218/W218)</f>
        <v/>
      </c>
      <c r="AH218" s="47">
        <f>IF(AF218&lt;=0,"",VLOOKUP(B218,country_opex,7,FALSE)/AF218)</f>
        <v/>
      </c>
      <c r="AI218" s="44">
        <f>((G218*R218/diesel_nmpg)*diesel_co2pg-(battery/range_nm)*G218*R218*VLOOKUP(B218,country_opex,4,FALSE))/1000</f>
        <v/>
      </c>
      <c r="AJ218" s="42" t="n"/>
      <c r="AK218" s="43" t="n"/>
      <c r="AL218" s="43" t="n"/>
      <c r="AM218" s="50" t="n">
        <v>0.1</v>
      </c>
      <c r="AN218" s="45">
        <f>IF(AJ218="","",AJ218*AM218)</f>
        <v/>
      </c>
      <c r="AO218" s="45">
        <f>IF(OR(AJ218="",U218=0),"",MIN(IF(AV218="",9.9E+99,AV218),FLOOR(AN218/U218,1)))</f>
        <v/>
      </c>
      <c r="AP218" s="49">
        <f>IF(AO218="","",AO218*W218)</f>
        <v/>
      </c>
      <c r="AQ218" s="47">
        <f>IF(OR(AJ218="",U218=0),"",MIN(IF(AV218="",9.9E+99,AV218),AN218/U218))</f>
        <v/>
      </c>
      <c r="AR218" s="49">
        <f>IF(AQ218="","",AQ218*W218)</f>
        <v/>
      </c>
      <c r="AS218" s="51" t="n"/>
      <c r="AT218" s="52" t="n"/>
      <c r="AU218" s="52" t="n"/>
      <c r="AV218" s="53" t="n"/>
      <c r="AW218" s="54">
        <f>IF(((V218*pax_cap*load_thin*ROUND(N218*O218*revleg_thin,0))-(((battery/range_nm)*G218*ROUND(N218*O218*revleg_thin,0)*VLOOKUP(B218,country_opex,3,FALSE))+Y218+Z218+AA218+AB218+AC218))&lt;=0,"",VLOOKUP(B218,country_opex,7,FALSE)/((V218*pax_cap*load_thin*ROUND(N218*O218*revleg_thin,0))-(((battery/range_nm)*G218*ROUND(N218*O218*revleg_thin,0)*VLOOKUP(B218,country_opex,3,FALSE))+Y218+Z218+AA218+AB218+AC218)))</f>
        <v/>
      </c>
      <c r="AX218" s="54">
        <f>IF(((V218*pax_cap*load_mid*ROUND(N218*O218*revleg_mid,0))-(((battery/range_nm)*G218*ROUND(N218*O218*revleg_mid,0)*VLOOKUP(B218,country_opex,3,FALSE))+Y218+Z218+AA218+AB218+AC218))&lt;=0,"",VLOOKUP(B218,country_opex,7,FALSE)/((V218*pax_cap*load_mid*ROUND(N218*O218*revleg_mid,0))-(((battery/range_nm)*G218*ROUND(N218*O218*revleg_mid,0)*VLOOKUP(B218,country_opex,3,FALSE))+Y218+Z218+AA218+AB218+AC218)))</f>
        <v/>
      </c>
      <c r="AY218" s="54">
        <f>IF(((V218*pax_cap*load_full*ROUND(N218*O218*revleg_full,0))-(((battery/range_nm)*G218*ROUND(N218*O218*revleg_full,0)*VLOOKUP(B218,country_opex,3,FALSE))+Y218+Z218+AA218+AB218+AC218))&lt;=0,"",VLOOKUP(B218,country_opex,7,FALSE)/((V218*pax_cap*load_full*ROUND(N218*O218*revleg_full,0))-(((battery/range_nm)*G218*ROUND(N218*O218*revleg_full,0)*VLOOKUP(B218,country_opex,3,FALSE))+Y218+Z218+AA218+AB218+AC218)))</f>
        <v/>
      </c>
      <c r="AZ218" s="40" t="inlineStr">
        <is>
          <t>PREMIUM/excursion proxy: same Tel Aviv Marina shared skyline cruise ~$130/person (GetYourGuide, 2026); a dedicated Jaffa/Tel Aviv/Bat Yam small-group cruise lists from $299 and a 30-min TLV-Jaffa skyline cruise from $150. Excursion fares, not transfer fares.</t>
        </is>
      </c>
      <c r="BA218" s="40" t="n"/>
    </row>
    <row r="219">
      <c r="A219" s="38" t="inlineStr">
        <is>
          <t>Bolt Israel</t>
        </is>
      </c>
      <c r="B219" s="38" t="inlineStr">
        <is>
          <t>Israel</t>
        </is>
      </c>
      <c r="C219" s="39" t="inlineStr">
        <is>
          <t>Haifa → Akko (Acre)</t>
        </is>
      </c>
      <c r="D219" s="38" t="inlineStr">
        <is>
          <t>bolt</t>
        </is>
      </c>
      <c r="E219" s="40" t="inlineStr">
        <is>
          <t>bolt-israel, yango-israel</t>
        </is>
      </c>
      <c r="F219" s="41" t="n">
        <v>2</v>
      </c>
      <c r="G219" s="42" t="n">
        <v>6.8</v>
      </c>
      <c r="H219" s="35" t="n">
        <v>11</v>
      </c>
      <c r="I219" s="43" t="inlineStr">
        <is>
          <t>T2</t>
        </is>
      </c>
      <c r="J219" s="43" t="inlineStr">
        <is>
          <t>med</t>
        </is>
      </c>
      <c r="K219" s="29" t="n">
        <v>1</v>
      </c>
      <c r="L219" s="44">
        <f>60*G219/cruise_kt</f>
        <v/>
      </c>
      <c r="M219" s="44">
        <f>L219+turn_min+dwell_min</f>
        <v/>
      </c>
      <c r="N219" s="45">
        <f>MIN(10,FLOOR(60*service_hr/M219,1))</f>
        <v/>
      </c>
      <c r="O219" s="45">
        <f>ROUND(365*mech_uptime*K219,0)</f>
        <v/>
      </c>
      <c r="P219" s="46">
        <f>mech_uptime</f>
        <v/>
      </c>
      <c r="Q219" s="46">
        <f>revleg_sel</f>
        <v/>
      </c>
      <c r="R219" s="45">
        <f>ROUND(N219*O219*revleg_sel,0)</f>
        <v/>
      </c>
      <c r="S219" s="47">
        <f>load_sel</f>
        <v/>
      </c>
      <c r="T219" s="47">
        <f>pax_cap*S219</f>
        <v/>
      </c>
      <c r="U219" s="45">
        <f>T219*R219</f>
        <v/>
      </c>
      <c r="V219" s="48">
        <f>H219*discount</f>
        <v/>
      </c>
      <c r="W219" s="49">
        <f>V219*U219</f>
        <v/>
      </c>
      <c r="X219" s="49">
        <f>(battery/range_nm)*G219*R219*VLOOKUP(B219,country_opex,3,FALSE)</f>
        <v/>
      </c>
      <c r="Y219" s="49">
        <f>VLOOKUP(B219,country_opex,2,FALSE)*crew_factor</f>
        <v/>
      </c>
      <c r="Z219" s="49">
        <f>VLOOKUP(B219,country_opex,5,FALSE)</f>
        <v/>
      </c>
      <c r="AA219" s="49">
        <f>maint</f>
        <v/>
      </c>
      <c r="AB219" s="49">
        <f>VLOOKUP(B219,country_opex,7,FALSE)*ins_pct</f>
        <v/>
      </c>
      <c r="AC219" s="49">
        <f>charge_berth</f>
        <v/>
      </c>
      <c r="AD219" s="49">
        <f>X219+Y219+Z219+AA219+AB219+AC219</f>
        <v/>
      </c>
      <c r="AE219" s="49">
        <f>VLOOKUP(B219,country_opex,7,FALSE)/dep_years</f>
        <v/>
      </c>
      <c r="AF219" s="49">
        <f>W219-AD219</f>
        <v/>
      </c>
      <c r="AG219" s="46">
        <f>IF(W219=0,"",AF219/W219)</f>
        <v/>
      </c>
      <c r="AH219" s="47">
        <f>IF(AF219&lt;=0,"",VLOOKUP(B219,country_opex,7,FALSE)/AF219)</f>
        <v/>
      </c>
      <c r="AI219" s="44">
        <f>((G219*R219/diesel_nmpg)*diesel_co2pg-(battery/range_nm)*G219*R219*VLOOKUP(B219,country_opex,4,FALSE))/1000</f>
        <v/>
      </c>
      <c r="AJ219" s="42" t="n">
        <v>1500000</v>
      </c>
      <c r="AK219" s="43" t="n"/>
      <c r="AL219" s="43" t="n"/>
      <c r="AM219" s="50" t="n">
        <v>0.1</v>
      </c>
      <c r="AN219" s="45">
        <f>IF(AJ219="","",AJ219*AM219)</f>
        <v/>
      </c>
      <c r="AO219" s="45">
        <f>IF(OR(AJ219="",U219=0),"",MIN(IF(AV219="",9.9E+99,AV219),FLOOR(AN219/U219,1)))</f>
        <v/>
      </c>
      <c r="AP219" s="49">
        <f>IF(AO219="","",AO219*W219)</f>
        <v/>
      </c>
      <c r="AQ219" s="47">
        <f>IF(OR(AJ219="",U219=0),"",MIN(IF(AV219="",9.9E+99,AV219),AN219/U219))</f>
        <v/>
      </c>
      <c r="AR219" s="49">
        <f>IF(AQ219="","",AQ219*W219)</f>
        <v/>
      </c>
      <c r="AS219" s="51" t="n"/>
      <c r="AT219" s="52" t="n"/>
      <c r="AU219" s="52" t="n"/>
      <c r="AV219" s="53" t="n"/>
      <c r="AW219" s="54">
        <f>IF(((V219*pax_cap*load_thin*ROUND(N219*O219*revleg_thin,0))-(((battery/range_nm)*G219*ROUND(N219*O219*revleg_thin,0)*VLOOKUP(B219,country_opex,3,FALSE))+Y219+Z219+AA219+AB219+AC219))&lt;=0,"",VLOOKUP(B219,country_opex,7,FALSE)/((V219*pax_cap*load_thin*ROUND(N219*O219*revleg_thin,0))-(((battery/range_nm)*G219*ROUND(N219*O219*revleg_thin,0)*VLOOKUP(B219,country_opex,3,FALSE))+Y219+Z219+AA219+AB219+AC219)))</f>
        <v/>
      </c>
      <c r="AX219" s="54">
        <f>IF(((V219*pax_cap*load_mid*ROUND(N219*O219*revleg_mid,0))-(((battery/range_nm)*G219*ROUND(N219*O219*revleg_mid,0)*VLOOKUP(B219,country_opex,3,FALSE))+Y219+Z219+AA219+AB219+AC219))&lt;=0,"",VLOOKUP(B219,country_opex,7,FALSE)/((V219*pax_cap*load_mid*ROUND(N219*O219*revleg_mid,0))-(((battery/range_nm)*G219*ROUND(N219*O219*revleg_mid,0)*VLOOKUP(B219,country_opex,3,FALSE))+Y219+Z219+AA219+AB219+AC219)))</f>
        <v/>
      </c>
      <c r="AY219" s="54">
        <f>IF(((V219*pax_cap*load_full*ROUND(N219*O219*revleg_full,0))-(((battery/range_nm)*G219*ROUND(N219*O219*revleg_full,0)*VLOOKUP(B219,country_opex,3,FALSE))+Y219+Z219+AA219+AB219+AC219))&lt;=0,"",VLOOKUP(B219,country_opex,7,FALSE)/((V219*pax_cap*load_full*ROUND(N219*O219*revleg_full,0))-(((battery/range_nm)*G219*ROUND(N219*O219*revleg_full,0)*VLOOKUP(B219,country_opex,3,FALSE))+Y219+Z219+AA219+AB219+AC219)))</f>
        <v/>
      </c>
      <c r="AZ219" s="40" t="inlineStr">
        <is>
          <t>ACTUAL scheduled boat: Ferryline (Malkat Akko / 'Nesichat HaCarmel') Haifa&lt;-&gt;Akko one-way ticket NIS 40 (round-trip return leg discounted to NIS 30). NIS 40 / 3.65 = ~$11.0. The only real scheduled marine passenger fare in Israel; it doubles as both the premium tier AND the floor (no cheaper subsidized marine option exists).</t>
        </is>
      </c>
      <c r="BA219" s="40" t="n"/>
    </row>
    <row r="220">
      <c r="A220" s="38" t="inlineStr">
        <is>
          <t>Bolt Israel</t>
        </is>
      </c>
      <c r="B220" s="38" t="inlineStr">
        <is>
          <t>Israel</t>
        </is>
      </c>
      <c r="C220" s="39" t="inlineStr">
        <is>
          <t>Tel Aviv Marina → Herzliya Marina</t>
        </is>
      </c>
      <c r="D220" s="38" t="inlineStr">
        <is>
          <t>bolt</t>
        </is>
      </c>
      <c r="E220" s="40" t="inlineStr">
        <is>
          <t>bolt-israel, yango-israel</t>
        </is>
      </c>
      <c r="F220" s="41" t="n">
        <v>2</v>
      </c>
      <c r="G220" s="42" t="n">
        <v>7</v>
      </c>
      <c r="H220" s="35" t="n">
        <v>130</v>
      </c>
      <c r="I220" s="43" t="inlineStr">
        <is>
          <t>T2</t>
        </is>
      </c>
      <c r="J220" s="43" t="inlineStr">
        <is>
          <t>med</t>
        </is>
      </c>
      <c r="K220" s="29" t="n">
        <v>1</v>
      </c>
      <c r="L220" s="44">
        <f>60*G220/cruise_kt</f>
        <v/>
      </c>
      <c r="M220" s="44">
        <f>L220+turn_min+dwell_min</f>
        <v/>
      </c>
      <c r="N220" s="45">
        <f>MIN(10,FLOOR(60*service_hr/M220,1))</f>
        <v/>
      </c>
      <c r="O220" s="45">
        <f>ROUND(365*mech_uptime*K220,0)</f>
        <v/>
      </c>
      <c r="P220" s="46">
        <f>mech_uptime</f>
        <v/>
      </c>
      <c r="Q220" s="46">
        <f>revleg_sel</f>
        <v/>
      </c>
      <c r="R220" s="45">
        <f>ROUND(N220*O220*revleg_sel,0)</f>
        <v/>
      </c>
      <c r="S220" s="47">
        <f>load_sel</f>
        <v/>
      </c>
      <c r="T220" s="47">
        <f>pax_cap*S220</f>
        <v/>
      </c>
      <c r="U220" s="45">
        <f>T220*R220</f>
        <v/>
      </c>
      <c r="V220" s="48">
        <f>H220*discount</f>
        <v/>
      </c>
      <c r="W220" s="49">
        <f>V220*U220</f>
        <v/>
      </c>
      <c r="X220" s="49">
        <f>(battery/range_nm)*G220*R220*VLOOKUP(B220,country_opex,3,FALSE)</f>
        <v/>
      </c>
      <c r="Y220" s="49">
        <f>VLOOKUP(B220,country_opex,2,FALSE)*crew_factor</f>
        <v/>
      </c>
      <c r="Z220" s="49">
        <f>VLOOKUP(B220,country_opex,5,FALSE)</f>
        <v/>
      </c>
      <c r="AA220" s="49">
        <f>maint</f>
        <v/>
      </c>
      <c r="AB220" s="49">
        <f>VLOOKUP(B220,country_opex,7,FALSE)*ins_pct</f>
        <v/>
      </c>
      <c r="AC220" s="49">
        <f>charge_berth</f>
        <v/>
      </c>
      <c r="AD220" s="49">
        <f>X220+Y220+Z220+AA220+AB220+AC220</f>
        <v/>
      </c>
      <c r="AE220" s="49">
        <f>VLOOKUP(B220,country_opex,7,FALSE)/dep_years</f>
        <v/>
      </c>
      <c r="AF220" s="49">
        <f>W220-AD220</f>
        <v/>
      </c>
      <c r="AG220" s="46">
        <f>IF(W220=0,"",AF220/W220)</f>
        <v/>
      </c>
      <c r="AH220" s="47">
        <f>IF(AF220&lt;=0,"",VLOOKUP(B220,country_opex,7,FALSE)/AF220)</f>
        <v/>
      </c>
      <c r="AI220" s="44">
        <f>((G220*R220/diesel_nmpg)*diesel_co2pg-(battery/range_nm)*G220*R220*VLOOKUP(B220,country_opex,4,FALSE))/1000</f>
        <v/>
      </c>
      <c r="AJ220" s="42" t="n">
        <v>234753</v>
      </c>
      <c r="AK220" s="43" t="n"/>
      <c r="AL220" s="43" t="n"/>
      <c r="AM220" s="50" t="n">
        <v>0.1</v>
      </c>
      <c r="AN220" s="45">
        <f>IF(AJ220="","",AJ220*AM220)</f>
        <v/>
      </c>
      <c r="AO220" s="45">
        <f>IF(OR(AJ220="",U220=0),"",MIN(IF(AV220="",9.9E+99,AV220),FLOOR(AN220/U220,1)))</f>
        <v/>
      </c>
      <c r="AP220" s="49">
        <f>IF(AO220="","",AO220*W220)</f>
        <v/>
      </c>
      <c r="AQ220" s="47">
        <f>IF(OR(AJ220="",U220=0),"",MIN(IF(AV220="",9.9E+99,AV220),AN220/U220))</f>
        <v/>
      </c>
      <c r="AR220" s="49">
        <f>IF(AQ220="","",AQ220*W220)</f>
        <v/>
      </c>
      <c r="AS220" s="51" t="n"/>
      <c r="AT220" s="52" t="n"/>
      <c r="AU220" s="52" t="n"/>
      <c r="AV220" s="53" t="n"/>
      <c r="AW220" s="54">
        <f>IF(((V220*pax_cap*load_thin*ROUND(N220*O220*revleg_thin,0))-(((battery/range_nm)*G220*ROUND(N220*O220*revleg_thin,0)*VLOOKUP(B220,country_opex,3,FALSE))+Y220+Z220+AA220+AB220+AC220))&lt;=0,"",VLOOKUP(B220,country_opex,7,FALSE)/((V220*pax_cap*load_thin*ROUND(N220*O220*revleg_thin,0))-(((battery/range_nm)*G220*ROUND(N220*O220*revleg_thin,0)*VLOOKUP(B220,country_opex,3,FALSE))+Y220+Z220+AA220+AB220+AC220)))</f>
        <v/>
      </c>
      <c r="AX220" s="54">
        <f>IF(((V220*pax_cap*load_mid*ROUND(N220*O220*revleg_mid,0))-(((battery/range_nm)*G220*ROUND(N220*O220*revleg_mid,0)*VLOOKUP(B220,country_opex,3,FALSE))+Y220+Z220+AA220+AB220+AC220))&lt;=0,"",VLOOKUP(B220,country_opex,7,FALSE)/((V220*pax_cap*load_mid*ROUND(N220*O220*revleg_mid,0))-(((battery/range_nm)*G220*ROUND(N220*O220*revleg_mid,0)*VLOOKUP(B220,country_opex,3,FALSE))+Y220+Z220+AA220+AB220+AC220)))</f>
        <v/>
      </c>
      <c r="AY220" s="54">
        <f>IF(((V220*pax_cap*load_full*ROUND(N220*O220*revleg_full,0))-(((battery/range_nm)*G220*ROUND(N220*O220*revleg_full,0)*VLOOKUP(B220,country_opex,3,FALSE))+Y220+Z220+AA220+AB220+AC220))&lt;=0,"",VLOOKUP(B220,country_opex,7,FALSE)/((V220*pax_cap*load_full*ROUND(N220*O220*revleg_full,0))-(((battery/range_nm)*G220*ROUND(N220*O220*revleg_full,0)*VLOOKUP(B220,country_opex,3,FALSE))+Y220+Z220+AA220+AB220+AC220)))</f>
        <v/>
      </c>
      <c r="AZ220" s="40" t="inlineStr">
        <is>
          <t>PREMIUM/excursion proxy: Tel Aviv Marina shared 'Skyline Boat Cruise' ~2h from $130/person (GetYourGuide, 2026). No scheduled point-to-point water taxi exists, so this charter/excursion-divided per-seat is the closest sourceable premium comparable -- an EXCURSION fare, not a transfer fare; a true commuter shuttle seat would price below this.</t>
        </is>
      </c>
      <c r="BA220" s="40" t="n"/>
    </row>
    <row r="221">
      <c r="A221" s="38" t="inlineStr">
        <is>
          <t>Bolt Israel</t>
        </is>
      </c>
      <c r="B221" s="38" t="inlineStr">
        <is>
          <t>Israel</t>
        </is>
      </c>
      <c r="C221" s="39" t="inlineStr">
        <is>
          <t>Herzliya → Netanya</t>
        </is>
      </c>
      <c r="D221" s="38" t="inlineStr">
        <is>
          <t>bolt</t>
        </is>
      </c>
      <c r="E221" s="40" t="inlineStr">
        <is>
          <t>bolt-israel, yango-israel</t>
        </is>
      </c>
      <c r="F221" s="41" t="n">
        <v>2</v>
      </c>
      <c r="G221" s="42" t="n">
        <v>10.4</v>
      </c>
      <c r="H221" s="35" t="n">
        <v>130</v>
      </c>
      <c r="I221" s="43" t="inlineStr">
        <is>
          <t>T2</t>
        </is>
      </c>
      <c r="J221" s="43" t="inlineStr">
        <is>
          <t>med</t>
        </is>
      </c>
      <c r="K221" s="29" t="n">
        <v>1</v>
      </c>
      <c r="L221" s="44">
        <f>60*G221/cruise_kt</f>
        <v/>
      </c>
      <c r="M221" s="44">
        <f>L221+turn_min+dwell_min</f>
        <v/>
      </c>
      <c r="N221" s="45">
        <f>MIN(16,FLOOR(60*service_hr/M221,1))</f>
        <v/>
      </c>
      <c r="O221" s="45">
        <f>ROUND(365*mech_uptime*K221,0)</f>
        <v/>
      </c>
      <c r="P221" s="46">
        <f>mech_uptime</f>
        <v/>
      </c>
      <c r="Q221" s="46">
        <f>revleg_sel</f>
        <v/>
      </c>
      <c r="R221" s="45">
        <f>ROUND(N221*O221*revleg_sel,0)</f>
        <v/>
      </c>
      <c r="S221" s="47">
        <f>load_sel</f>
        <v/>
      </c>
      <c r="T221" s="47">
        <f>pax_cap*S221</f>
        <v/>
      </c>
      <c r="U221" s="45">
        <f>T221*R221</f>
        <v/>
      </c>
      <c r="V221" s="48">
        <f>H221*discount</f>
        <v/>
      </c>
      <c r="W221" s="49">
        <f>V221*U221</f>
        <v/>
      </c>
      <c r="X221" s="49">
        <f>(battery/range_nm)*G221*R221*VLOOKUP(B221,country_opex,3,FALSE)</f>
        <v/>
      </c>
      <c r="Y221" s="49">
        <f>VLOOKUP(B221,country_opex,2,FALSE)*crew_factor</f>
        <v/>
      </c>
      <c r="Z221" s="49">
        <f>VLOOKUP(B221,country_opex,5,FALSE)</f>
        <v/>
      </c>
      <c r="AA221" s="49">
        <f>maint</f>
        <v/>
      </c>
      <c r="AB221" s="49">
        <f>VLOOKUP(B221,country_opex,7,FALSE)*ins_pct</f>
        <v/>
      </c>
      <c r="AC221" s="49">
        <f>charge_berth</f>
        <v/>
      </c>
      <c r="AD221" s="49">
        <f>X221+Y221+Z221+AA221+AB221+AC221</f>
        <v/>
      </c>
      <c r="AE221" s="49">
        <f>VLOOKUP(B221,country_opex,7,FALSE)/dep_years</f>
        <v/>
      </c>
      <c r="AF221" s="49">
        <f>W221-AD221</f>
        <v/>
      </c>
      <c r="AG221" s="46">
        <f>IF(W221=0,"",AF221/W221)</f>
        <v/>
      </c>
      <c r="AH221" s="47">
        <f>IF(AF221&lt;=0,"",VLOOKUP(B221,country_opex,7,FALSE)/AF221)</f>
        <v/>
      </c>
      <c r="AI221" s="44">
        <f>((G221*R221/diesel_nmpg)*diesel_co2pg-(battery/range_nm)*G221*R221*VLOOKUP(B221,country_opex,4,FALSE))/1000</f>
        <v/>
      </c>
      <c r="AJ221" s="42" t="n"/>
      <c r="AK221" s="43" t="n"/>
      <c r="AL221" s="43" t="n"/>
      <c r="AM221" s="50" t="n">
        <v>0.1</v>
      </c>
      <c r="AN221" s="45">
        <f>IF(AJ221="","",AJ221*AM221)</f>
        <v/>
      </c>
      <c r="AO221" s="45">
        <f>IF(OR(AJ221="",U221=0),"",MIN(IF(AV221="",9.9E+99,AV221),FLOOR(AN221/U221,1)))</f>
        <v/>
      </c>
      <c r="AP221" s="49">
        <f>IF(AO221="","",AO221*W221)</f>
        <v/>
      </c>
      <c r="AQ221" s="47">
        <f>IF(OR(AJ221="",U221=0),"",MIN(IF(AV221="",9.9E+99,AV221),AN221/U221))</f>
        <v/>
      </c>
      <c r="AR221" s="49">
        <f>IF(AQ221="","",AQ221*W221)</f>
        <v/>
      </c>
      <c r="AS221" s="51" t="n"/>
      <c r="AT221" s="52" t="n"/>
      <c r="AU221" s="52" t="n"/>
      <c r="AV221" s="53" t="n"/>
      <c r="AW221" s="54">
        <f>IF(((V221*pax_cap*load_thin*ROUND(N221*O221*revleg_thin,0))-(((battery/range_nm)*G221*ROUND(N221*O221*revleg_thin,0)*VLOOKUP(B221,country_opex,3,FALSE))+Y221+Z221+AA221+AB221+AC221))&lt;=0,"",VLOOKUP(B221,country_opex,7,FALSE)/((V221*pax_cap*load_thin*ROUND(N221*O221*revleg_thin,0))-(((battery/range_nm)*G221*ROUND(N221*O221*revleg_thin,0)*VLOOKUP(B221,country_opex,3,FALSE))+Y221+Z221+AA221+AB221+AC221)))</f>
        <v/>
      </c>
      <c r="AX221" s="54">
        <f>IF(((V221*pax_cap*load_mid*ROUND(N221*O221*revleg_mid,0))-(((battery/range_nm)*G221*ROUND(N221*O221*revleg_mid,0)*VLOOKUP(B221,country_opex,3,FALSE))+Y221+Z221+AA221+AB221+AC221))&lt;=0,"",VLOOKUP(B221,country_opex,7,FALSE)/((V221*pax_cap*load_mid*ROUND(N221*O221*revleg_mid,0))-(((battery/range_nm)*G221*ROUND(N221*O221*revleg_mid,0)*VLOOKUP(B221,country_opex,3,FALSE))+Y221+Z221+AA221+AB221+AC221)))</f>
        <v/>
      </c>
      <c r="AY221" s="54">
        <f>IF(((V221*pax_cap*load_full*ROUND(N221*O221*revleg_full,0))-(((battery/range_nm)*G221*ROUND(N221*O221*revleg_full,0)*VLOOKUP(B221,country_opex,3,FALSE))+Y221+Z221+AA221+AB221+AC221))&lt;=0,"",VLOOKUP(B221,country_opex,7,FALSE)/((V221*pax_cap*load_full*ROUND(N221*O221*revleg_full,0))-(((battery/range_nm)*G221*ROUND(N221*O221*revleg_full,0)*VLOOKUP(B221,country_opex,3,FALSE))+Y221+Z221+AA221+AB221+AC221)))</f>
        <v/>
      </c>
      <c r="AZ221" s="40" t="inlineStr">
        <is>
          <t>PREMIUM/excursion proxy: Tel Aviv-area shared skyline cruise ~$130/person (GetYourGuide, 2026); no scheduled service on this leg.</t>
        </is>
      </c>
      <c r="BA221" s="40" t="n"/>
    </row>
    <row r="222">
      <c r="A222" s="38" t="inlineStr">
        <is>
          <t>Bolt Israel</t>
        </is>
      </c>
      <c r="B222" s="38" t="inlineStr">
        <is>
          <t>Israel</t>
        </is>
      </c>
      <c r="C222" s="39" t="inlineStr">
        <is>
          <t>Ashdod → Ashkelon</t>
        </is>
      </c>
      <c r="D222" s="38" t="inlineStr">
        <is>
          <t>bolt</t>
        </is>
      </c>
      <c r="E222" s="40" t="inlineStr">
        <is>
          <t>bolt-israel, yango-israel</t>
        </is>
      </c>
      <c r="F222" s="41" t="n">
        <v>2</v>
      </c>
      <c r="G222" s="42" t="n">
        <v>10.4</v>
      </c>
      <c r="H222" s="35" t="n"/>
      <c r="I222" s="43" t="n"/>
      <c r="J222" s="43" t="n"/>
      <c r="K222" s="29" t="n">
        <v>1</v>
      </c>
      <c r="L222" s="44">
        <f>60*G222/cruise_kt</f>
        <v/>
      </c>
      <c r="M222" s="44">
        <f>L222+turn_min+dwell_min</f>
        <v/>
      </c>
      <c r="N222" s="45">
        <f>MIN(16,FLOOR(60*service_hr/M222,1))</f>
        <v/>
      </c>
      <c r="O222" s="45">
        <f>ROUND(365*mech_uptime*K222,0)</f>
        <v/>
      </c>
      <c r="P222" s="46">
        <f>mech_uptime</f>
        <v/>
      </c>
      <c r="Q222" s="46">
        <f>revleg_sel</f>
        <v/>
      </c>
      <c r="R222" s="45">
        <f>ROUND(N222*O222*revleg_sel,0)</f>
        <v/>
      </c>
      <c r="S222" s="47">
        <f>load_sel</f>
        <v/>
      </c>
      <c r="T222" s="47">
        <f>pax_cap*S222</f>
        <v/>
      </c>
      <c r="U222" s="45">
        <f>T222*R222</f>
        <v/>
      </c>
      <c r="V222" s="48">
        <f>H222*discount</f>
        <v/>
      </c>
      <c r="W222" s="49">
        <f>V222*U222</f>
        <v/>
      </c>
      <c r="X222" s="49">
        <f>(battery/range_nm)*G222*R222*VLOOKUP(B222,country_opex,3,FALSE)</f>
        <v/>
      </c>
      <c r="Y222" s="49">
        <f>VLOOKUP(B222,country_opex,2,FALSE)*crew_factor</f>
        <v/>
      </c>
      <c r="Z222" s="49">
        <f>VLOOKUP(B222,country_opex,5,FALSE)</f>
        <v/>
      </c>
      <c r="AA222" s="49">
        <f>maint</f>
        <v/>
      </c>
      <c r="AB222" s="49">
        <f>VLOOKUP(B222,country_opex,7,FALSE)*ins_pct</f>
        <v/>
      </c>
      <c r="AC222" s="49">
        <f>charge_berth</f>
        <v/>
      </c>
      <c r="AD222" s="49">
        <f>X222+Y222+Z222+AA222+AB222+AC222</f>
        <v/>
      </c>
      <c r="AE222" s="49">
        <f>VLOOKUP(B222,country_opex,7,FALSE)/dep_years</f>
        <v/>
      </c>
      <c r="AF222" s="49">
        <f>W222-AD222</f>
        <v/>
      </c>
      <c r="AG222" s="46">
        <f>IF(W222=0,"",AF222/W222)</f>
        <v/>
      </c>
      <c r="AH222" s="47">
        <f>IF(AF222&lt;=0,"",VLOOKUP(B222,country_opex,7,FALSE)/AF222)</f>
        <v/>
      </c>
      <c r="AI222" s="44">
        <f>((G222*R222/diesel_nmpg)*diesel_co2pg-(battery/range_nm)*G222*R222*VLOOKUP(B222,country_opex,4,FALSE))/1000</f>
        <v/>
      </c>
      <c r="AJ222" s="42" t="n">
        <v>142310</v>
      </c>
      <c r="AK222" s="43" t="n"/>
      <c r="AL222" s="43" t="n"/>
      <c r="AM222" s="50" t="n">
        <v>0.1</v>
      </c>
      <c r="AN222" s="45">
        <f>IF(AJ222="","",AJ222*AM222)</f>
        <v/>
      </c>
      <c r="AO222" s="45">
        <f>IF(OR(AJ222="",U222=0),"",MIN(IF(AV222="",9.9E+99,AV222),FLOOR(AN222/U222,1)))</f>
        <v/>
      </c>
      <c r="AP222" s="49">
        <f>IF(AO222="","",AO222*W222)</f>
        <v/>
      </c>
      <c r="AQ222" s="47">
        <f>IF(OR(AJ222="",U222=0),"",MIN(IF(AV222="",9.9E+99,AV222),AN222/U222))</f>
        <v/>
      </c>
      <c r="AR222" s="49">
        <f>IF(AQ222="","",AQ222*W222)</f>
        <v/>
      </c>
      <c r="AS222" s="51" t="n"/>
      <c r="AT222" s="52" t="n"/>
      <c r="AU222" s="52" t="n"/>
      <c r="AV222" s="53" t="n"/>
      <c r="AW222" s="54">
        <f>IF(((V222*pax_cap*load_thin*ROUND(N222*O222*revleg_thin,0))-(((battery/range_nm)*G222*ROUND(N222*O222*revleg_thin,0)*VLOOKUP(B222,country_opex,3,FALSE))+Y222+Z222+AA222+AB222+AC222))&lt;=0,"",VLOOKUP(B222,country_opex,7,FALSE)/((V222*pax_cap*load_thin*ROUND(N222*O222*revleg_thin,0))-(((battery/range_nm)*G222*ROUND(N222*O222*revleg_thin,0)*VLOOKUP(B222,country_opex,3,FALSE))+Y222+Z222+AA222+AB222+AC222)))</f>
        <v/>
      </c>
      <c r="AX222" s="54">
        <f>IF(((V222*pax_cap*load_mid*ROUND(N222*O222*revleg_mid,0))-(((battery/range_nm)*G222*ROUND(N222*O222*revleg_mid,0)*VLOOKUP(B222,country_opex,3,FALSE))+Y222+Z222+AA222+AB222+AC222))&lt;=0,"",VLOOKUP(B222,country_opex,7,FALSE)/((V222*pax_cap*load_mid*ROUND(N222*O222*revleg_mid,0))-(((battery/range_nm)*G222*ROUND(N222*O222*revleg_mid,0)*VLOOKUP(B222,country_opex,3,FALSE))+Y222+Z222+AA222+AB222+AC222)))</f>
        <v/>
      </c>
      <c r="AY222" s="54">
        <f>IF(((V222*pax_cap*load_full*ROUND(N222*O222*revleg_full,0))-(((battery/range_nm)*G222*ROUND(N222*O222*revleg_full,0)*VLOOKUP(B222,country_opex,3,FALSE))+Y222+Z222+AA222+AB222+AC222))&lt;=0,"",VLOOKUP(B222,country_opex,7,FALSE)/((V222*pax_cap*load_full*ROUND(N222*O222*revleg_full,0))-(((battery/range_nm)*G222*ROUND(N222*O222*revleg_full,0)*VLOOKUP(B222,country_opex,3,FALSE))+Y222+Z222+AA222+AB222+AC222)))</f>
        <v/>
      </c>
      <c r="AZ222" s="40" t="n"/>
      <c r="BA222" s="40" t="n"/>
    </row>
    <row r="223">
      <c r="A223" s="38" t="inlineStr">
        <is>
          <t>Bolt Israel</t>
        </is>
      </c>
      <c r="B223" s="38" t="inlineStr">
        <is>
          <t>Israel</t>
        </is>
      </c>
      <c r="C223" s="39" t="inlineStr">
        <is>
          <t>Tel Aviv → Netanya</t>
        </is>
      </c>
      <c r="D223" s="38" t="inlineStr">
        <is>
          <t>bolt</t>
        </is>
      </c>
      <c r="E223" s="40" t="inlineStr">
        <is>
          <t>bolt-israel, yango-israel</t>
        </is>
      </c>
      <c r="F223" s="41" t="n">
        <v>2</v>
      </c>
      <c r="G223" s="42" t="n">
        <v>15.1</v>
      </c>
      <c r="H223" s="35" t="n">
        <v>130</v>
      </c>
      <c r="I223" s="43" t="inlineStr">
        <is>
          <t>T2</t>
        </is>
      </c>
      <c r="J223" s="43" t="inlineStr">
        <is>
          <t>med</t>
        </is>
      </c>
      <c r="K223" s="29" t="n">
        <v>1</v>
      </c>
      <c r="L223" s="44">
        <f>60*G223/cruise_kt</f>
        <v/>
      </c>
      <c r="M223" s="44">
        <f>L223+turn_min+dwell_min</f>
        <v/>
      </c>
      <c r="N223" s="45">
        <f>MIN(16,FLOOR(60*service_hr/M223,1))</f>
        <v/>
      </c>
      <c r="O223" s="45">
        <f>ROUND(365*mech_uptime*K223,0)</f>
        <v/>
      </c>
      <c r="P223" s="46">
        <f>mech_uptime</f>
        <v/>
      </c>
      <c r="Q223" s="46">
        <f>revleg_sel</f>
        <v/>
      </c>
      <c r="R223" s="45">
        <f>ROUND(N223*O223*revleg_sel,0)</f>
        <v/>
      </c>
      <c r="S223" s="47">
        <f>load_sel</f>
        <v/>
      </c>
      <c r="T223" s="47">
        <f>pax_cap*S223</f>
        <v/>
      </c>
      <c r="U223" s="45">
        <f>T223*R223</f>
        <v/>
      </c>
      <c r="V223" s="48">
        <f>H223*discount</f>
        <v/>
      </c>
      <c r="W223" s="49">
        <f>V223*U223</f>
        <v/>
      </c>
      <c r="X223" s="49">
        <f>(battery/range_nm)*G223*R223*VLOOKUP(B223,country_opex,3,FALSE)</f>
        <v/>
      </c>
      <c r="Y223" s="49">
        <f>VLOOKUP(B223,country_opex,2,FALSE)*crew_factor</f>
        <v/>
      </c>
      <c r="Z223" s="49">
        <f>VLOOKUP(B223,country_opex,5,FALSE)</f>
        <v/>
      </c>
      <c r="AA223" s="49">
        <f>maint</f>
        <v/>
      </c>
      <c r="AB223" s="49">
        <f>VLOOKUP(B223,country_opex,7,FALSE)*ins_pct</f>
        <v/>
      </c>
      <c r="AC223" s="49">
        <f>charge_berth</f>
        <v/>
      </c>
      <c r="AD223" s="49">
        <f>X223+Y223+Z223+AA223+AB223+AC223</f>
        <v/>
      </c>
      <c r="AE223" s="49">
        <f>VLOOKUP(B223,country_opex,7,FALSE)/dep_years</f>
        <v/>
      </c>
      <c r="AF223" s="49">
        <f>W223-AD223</f>
        <v/>
      </c>
      <c r="AG223" s="46">
        <f>IF(W223=0,"",AF223/W223)</f>
        <v/>
      </c>
      <c r="AH223" s="47">
        <f>IF(AF223&lt;=0,"",VLOOKUP(B223,country_opex,7,FALSE)/AF223)</f>
        <v/>
      </c>
      <c r="AI223" s="44">
        <f>((G223*R223/diesel_nmpg)*diesel_co2pg-(battery/range_nm)*G223*R223*VLOOKUP(B223,country_opex,4,FALSE))/1000</f>
        <v/>
      </c>
      <c r="AJ223" s="42" t="n">
        <v>168015</v>
      </c>
      <c r="AK223" s="43" t="n"/>
      <c r="AL223" s="43" t="n"/>
      <c r="AM223" s="50" t="n">
        <v>0.1</v>
      </c>
      <c r="AN223" s="45">
        <f>IF(AJ223="","",AJ223*AM223)</f>
        <v/>
      </c>
      <c r="AO223" s="45">
        <f>IF(OR(AJ223="",U223=0),"",MIN(IF(AV223="",9.9E+99,AV223),FLOOR(AN223/U223,1)))</f>
        <v/>
      </c>
      <c r="AP223" s="49">
        <f>IF(AO223="","",AO223*W223)</f>
        <v/>
      </c>
      <c r="AQ223" s="47">
        <f>IF(OR(AJ223="",U223=0),"",MIN(IF(AV223="",9.9E+99,AV223),AN223/U223))</f>
        <v/>
      </c>
      <c r="AR223" s="49">
        <f>IF(AQ223="","",AQ223*W223)</f>
        <v/>
      </c>
      <c r="AS223" s="51" t="n"/>
      <c r="AT223" s="52" t="n"/>
      <c r="AU223" s="52" t="n"/>
      <c r="AV223" s="53" t="n"/>
      <c r="AW223" s="54">
        <f>IF(((V223*pax_cap*load_thin*ROUND(N223*O223*revleg_thin,0))-(((battery/range_nm)*G223*ROUND(N223*O223*revleg_thin,0)*VLOOKUP(B223,country_opex,3,FALSE))+Y223+Z223+AA223+AB223+AC223))&lt;=0,"",VLOOKUP(B223,country_opex,7,FALSE)/((V223*pax_cap*load_thin*ROUND(N223*O223*revleg_thin,0))-(((battery/range_nm)*G223*ROUND(N223*O223*revleg_thin,0)*VLOOKUP(B223,country_opex,3,FALSE))+Y223+Z223+AA223+AB223+AC223)))</f>
        <v/>
      </c>
      <c r="AX223" s="54">
        <f>IF(((V223*pax_cap*load_mid*ROUND(N223*O223*revleg_mid,0))-(((battery/range_nm)*G223*ROUND(N223*O223*revleg_mid,0)*VLOOKUP(B223,country_opex,3,FALSE))+Y223+Z223+AA223+AB223+AC223))&lt;=0,"",VLOOKUP(B223,country_opex,7,FALSE)/((V223*pax_cap*load_mid*ROUND(N223*O223*revleg_mid,0))-(((battery/range_nm)*G223*ROUND(N223*O223*revleg_mid,0)*VLOOKUP(B223,country_opex,3,FALSE))+Y223+Z223+AA223+AB223+AC223)))</f>
        <v/>
      </c>
      <c r="AY223" s="54">
        <f>IF(((V223*pax_cap*load_full*ROUND(N223*O223*revleg_full,0))-(((battery/range_nm)*G223*ROUND(N223*O223*revleg_full,0)*VLOOKUP(B223,country_opex,3,FALSE))+Y223+Z223+AA223+AB223+AC223))&lt;=0,"",VLOOKUP(B223,country_opex,7,FALSE)/((V223*pax_cap*load_full*ROUND(N223*O223*revleg_full,0))-(((battery/range_nm)*G223*ROUND(N223*O223*revleg_full,0)*VLOOKUP(B223,country_opex,3,FALSE))+Y223+Z223+AA223+AB223+AC223)))</f>
        <v/>
      </c>
      <c r="AZ223" s="40" t="inlineStr">
        <is>
          <t>PREMIUM/excursion proxy: Tel Aviv Marina shared skyline cruise ~$130/person (GetYourGuide, 2026). No scheduled TLV-Netanya water service; excursion-divided per-seat used as the closest premium comparable.</t>
        </is>
      </c>
      <c r="BA223" s="40" t="n"/>
    </row>
    <row r="224">
      <c r="A224" s="38" t="inlineStr">
        <is>
          <t>Bolt Israel</t>
        </is>
      </c>
      <c r="B224" s="38" t="inlineStr">
        <is>
          <t>Israel</t>
        </is>
      </c>
      <c r="C224" s="39" t="inlineStr">
        <is>
          <t>Tel Aviv → Ashdod</t>
        </is>
      </c>
      <c r="D224" s="38" t="inlineStr">
        <is>
          <t>bolt</t>
        </is>
      </c>
      <c r="E224" s="40" t="inlineStr">
        <is>
          <t>bolt-israel, yango-israel</t>
        </is>
      </c>
      <c r="F224" s="41" t="n">
        <v>2</v>
      </c>
      <c r="G224" s="42" t="n">
        <v>16.9</v>
      </c>
      <c r="H224" s="35" t="n">
        <v>130</v>
      </c>
      <c r="I224" s="43" t="inlineStr">
        <is>
          <t>T2</t>
        </is>
      </c>
      <c r="J224" s="43" t="inlineStr">
        <is>
          <t>med</t>
        </is>
      </c>
      <c r="K224" s="29" t="n">
        <v>1</v>
      </c>
      <c r="L224" s="44">
        <f>60*G224/cruise_kt</f>
        <v/>
      </c>
      <c r="M224" s="44">
        <f>L224+turn_min+dwell_min</f>
        <v/>
      </c>
      <c r="N224" s="45">
        <f>MIN(16,FLOOR(60*service_hr/M224,1))</f>
        <v/>
      </c>
      <c r="O224" s="45">
        <f>ROUND(365*mech_uptime*K224,0)</f>
        <v/>
      </c>
      <c r="P224" s="46">
        <f>mech_uptime</f>
        <v/>
      </c>
      <c r="Q224" s="46">
        <f>revleg_sel</f>
        <v/>
      </c>
      <c r="R224" s="45">
        <f>ROUND(N224*O224*revleg_sel,0)</f>
        <v/>
      </c>
      <c r="S224" s="47">
        <f>load_sel</f>
        <v/>
      </c>
      <c r="T224" s="47">
        <f>pax_cap*S224</f>
        <v/>
      </c>
      <c r="U224" s="45">
        <f>T224*R224</f>
        <v/>
      </c>
      <c r="V224" s="48">
        <f>H224*discount</f>
        <v/>
      </c>
      <c r="W224" s="49">
        <f>V224*U224</f>
        <v/>
      </c>
      <c r="X224" s="49">
        <f>(battery/range_nm)*G224*R224*VLOOKUP(B224,country_opex,3,FALSE)</f>
        <v/>
      </c>
      <c r="Y224" s="49">
        <f>VLOOKUP(B224,country_opex,2,FALSE)*crew_factor</f>
        <v/>
      </c>
      <c r="Z224" s="49">
        <f>VLOOKUP(B224,country_opex,5,FALSE)</f>
        <v/>
      </c>
      <c r="AA224" s="49">
        <f>maint</f>
        <v/>
      </c>
      <c r="AB224" s="49">
        <f>VLOOKUP(B224,country_opex,7,FALSE)*ins_pct</f>
        <v/>
      </c>
      <c r="AC224" s="49">
        <f>charge_berth</f>
        <v/>
      </c>
      <c r="AD224" s="49">
        <f>X224+Y224+Z224+AA224+AB224+AC224</f>
        <v/>
      </c>
      <c r="AE224" s="49">
        <f>VLOOKUP(B224,country_opex,7,FALSE)/dep_years</f>
        <v/>
      </c>
      <c r="AF224" s="49">
        <f>W224-AD224</f>
        <v/>
      </c>
      <c r="AG224" s="46">
        <f>IF(W224=0,"",AF224/W224)</f>
        <v/>
      </c>
      <c r="AH224" s="47">
        <f>IF(AF224&lt;=0,"",VLOOKUP(B224,country_opex,7,FALSE)/AF224)</f>
        <v/>
      </c>
      <c r="AI224" s="44">
        <f>((G224*R224/diesel_nmpg)*diesel_co2pg-(battery/range_nm)*G224*R224*VLOOKUP(B224,country_opex,4,FALSE))/1000</f>
        <v/>
      </c>
      <c r="AJ224" s="42" t="n">
        <v>143443</v>
      </c>
      <c r="AK224" s="43" t="n"/>
      <c r="AL224" s="43" t="n"/>
      <c r="AM224" s="50" t="n">
        <v>0.1</v>
      </c>
      <c r="AN224" s="45">
        <f>IF(AJ224="","",AJ224*AM224)</f>
        <v/>
      </c>
      <c r="AO224" s="45">
        <f>IF(OR(AJ224="",U224=0),"",MIN(IF(AV224="",9.9E+99,AV224),FLOOR(AN224/U224,1)))</f>
        <v/>
      </c>
      <c r="AP224" s="49">
        <f>IF(AO224="","",AO224*W224)</f>
        <v/>
      </c>
      <c r="AQ224" s="47">
        <f>IF(OR(AJ224="",U224=0),"",MIN(IF(AV224="",9.9E+99,AV224),AN224/U224))</f>
        <v/>
      </c>
      <c r="AR224" s="49">
        <f>IF(AQ224="","",AQ224*W224)</f>
        <v/>
      </c>
      <c r="AS224" s="51" t="n"/>
      <c r="AT224" s="52" t="n"/>
      <c r="AU224" s="52" t="n"/>
      <c r="AV224" s="53" t="n"/>
      <c r="AW224" s="54">
        <f>IF(((V224*pax_cap*load_thin*ROUND(N224*O224*revleg_thin,0))-(((battery/range_nm)*G224*ROUND(N224*O224*revleg_thin,0)*VLOOKUP(B224,country_opex,3,FALSE))+Y224+Z224+AA224+AB224+AC224))&lt;=0,"",VLOOKUP(B224,country_opex,7,FALSE)/((V224*pax_cap*load_thin*ROUND(N224*O224*revleg_thin,0))-(((battery/range_nm)*G224*ROUND(N224*O224*revleg_thin,0)*VLOOKUP(B224,country_opex,3,FALSE))+Y224+Z224+AA224+AB224+AC224)))</f>
        <v/>
      </c>
      <c r="AX224" s="54">
        <f>IF(((V224*pax_cap*load_mid*ROUND(N224*O224*revleg_mid,0))-(((battery/range_nm)*G224*ROUND(N224*O224*revleg_mid,0)*VLOOKUP(B224,country_opex,3,FALSE))+Y224+Z224+AA224+AB224+AC224))&lt;=0,"",VLOOKUP(B224,country_opex,7,FALSE)/((V224*pax_cap*load_mid*ROUND(N224*O224*revleg_mid,0))-(((battery/range_nm)*G224*ROUND(N224*O224*revleg_mid,0)*VLOOKUP(B224,country_opex,3,FALSE))+Y224+Z224+AA224+AB224+AC224)))</f>
        <v/>
      </c>
      <c r="AY224" s="54">
        <f>IF(((V224*pax_cap*load_full*ROUND(N224*O224*revleg_full,0))-(((battery/range_nm)*G224*ROUND(N224*O224*revleg_full,0)*VLOOKUP(B224,country_opex,3,FALSE))+Y224+Z224+AA224+AB224+AC224))&lt;=0,"",VLOOKUP(B224,country_opex,7,FALSE)/((V224*pax_cap*load_full*ROUND(N224*O224*revleg_full,0))-(((battery/range_nm)*G224*ROUND(N224*O224*revleg_full,0)*VLOOKUP(B224,country_opex,3,FALSE))+Y224+Z224+AA224+AB224+AC224)))</f>
        <v/>
      </c>
      <c r="AZ224" s="40" t="inlineStr">
        <is>
          <t>PREMIUM/excursion proxy: Tel Aviv Marina shared skyline cruise ~$130/person (GetYourGuide, 2026). No scheduled TLV-Ashdod water service.</t>
        </is>
      </c>
      <c r="BA224" s="40" t="n"/>
    </row>
    <row r="225">
      <c r="A225" s="38" t="inlineStr">
        <is>
          <t>Bolt Israel</t>
        </is>
      </c>
      <c r="B225" s="38" t="inlineStr">
        <is>
          <t>Israel</t>
        </is>
      </c>
      <c r="C225" s="39" t="inlineStr">
        <is>
          <t>Tel Aviv → Haifa</t>
        </is>
      </c>
      <c r="D225" s="38" t="inlineStr">
        <is>
          <t>bolt</t>
        </is>
      </c>
      <c r="E225" s="40" t="inlineStr">
        <is>
          <t>bolt-israel, yango-israel</t>
        </is>
      </c>
      <c r="F225" s="41" t="n">
        <v>2</v>
      </c>
      <c r="G225" s="42" t="n">
        <v>45.6</v>
      </c>
      <c r="H225" s="35" t="n">
        <v>130</v>
      </c>
      <c r="I225" s="43" t="inlineStr">
        <is>
          <t>T2</t>
        </is>
      </c>
      <c r="J225" s="43" t="inlineStr">
        <is>
          <t>med</t>
        </is>
      </c>
      <c r="K225" s="29" t="n">
        <v>1</v>
      </c>
      <c r="L225" s="44">
        <f>60*G225/cruise_kt</f>
        <v/>
      </c>
      <c r="M225" s="44">
        <f>L225+turn_min+dwell_min</f>
        <v/>
      </c>
      <c r="N225" s="45">
        <f>MIN(16,FLOOR(60*service_hr/M225,1))</f>
        <v/>
      </c>
      <c r="O225" s="45">
        <f>ROUND(365*mech_uptime*K225,0)</f>
        <v/>
      </c>
      <c r="P225" s="46">
        <f>mech_uptime</f>
        <v/>
      </c>
      <c r="Q225" s="46">
        <f>revleg_sel</f>
        <v/>
      </c>
      <c r="R225" s="45">
        <f>ROUND(N225*O225*revleg_sel,0)</f>
        <v/>
      </c>
      <c r="S225" s="47">
        <f>load_sel</f>
        <v/>
      </c>
      <c r="T225" s="47">
        <f>pax_cap*S225</f>
        <v/>
      </c>
      <c r="U225" s="45">
        <f>T225*R225</f>
        <v/>
      </c>
      <c r="V225" s="48">
        <f>H225*discount</f>
        <v/>
      </c>
      <c r="W225" s="49">
        <f>V225*U225</f>
        <v/>
      </c>
      <c r="X225" s="49">
        <f>(battery/range_nm)*G225*R225*VLOOKUP(B225,country_opex,3,FALSE)</f>
        <v/>
      </c>
      <c r="Y225" s="49">
        <f>VLOOKUP(B225,country_opex,2,FALSE)*crew_factor</f>
        <v/>
      </c>
      <c r="Z225" s="49">
        <f>VLOOKUP(B225,country_opex,5,FALSE)</f>
        <v/>
      </c>
      <c r="AA225" s="49">
        <f>maint</f>
        <v/>
      </c>
      <c r="AB225" s="49">
        <f>VLOOKUP(B225,country_opex,7,FALSE)*ins_pct</f>
        <v/>
      </c>
      <c r="AC225" s="49">
        <f>charge_berth</f>
        <v/>
      </c>
      <c r="AD225" s="49">
        <f>X225+Y225+Z225+AA225+AB225+AC225</f>
        <v/>
      </c>
      <c r="AE225" s="49">
        <f>VLOOKUP(B225,country_opex,7,FALSE)/dep_years</f>
        <v/>
      </c>
      <c r="AF225" s="49">
        <f>W225-AD225</f>
        <v/>
      </c>
      <c r="AG225" s="46">
        <f>IF(W225=0,"",AF225/W225)</f>
        <v/>
      </c>
      <c r="AH225" s="47">
        <f>IF(AF225&lt;=0,"",VLOOKUP(B225,country_opex,7,FALSE)/AF225)</f>
        <v/>
      </c>
      <c r="AI225" s="44">
        <f>((G225*R225/diesel_nmpg)*diesel_co2pg-(battery/range_nm)*G225*R225*VLOOKUP(B225,country_opex,4,FALSE))/1000</f>
        <v/>
      </c>
      <c r="AJ225" s="42" t="n">
        <v>201092</v>
      </c>
      <c r="AK225" s="43" t="n"/>
      <c r="AL225" s="43" t="n"/>
      <c r="AM225" s="50" t="n">
        <v>0.1</v>
      </c>
      <c r="AN225" s="45">
        <f>IF(AJ225="","",AJ225*AM225)</f>
        <v/>
      </c>
      <c r="AO225" s="45">
        <f>IF(OR(AJ225="",U225=0),"",MIN(IF(AV225="",9.9E+99,AV225),FLOOR(AN225/U225,1)))</f>
        <v/>
      </c>
      <c r="AP225" s="49">
        <f>IF(AO225="","",AO225*W225)</f>
        <v/>
      </c>
      <c r="AQ225" s="47">
        <f>IF(OR(AJ225="",U225=0),"",MIN(IF(AV225="",9.9E+99,AV225),AN225/U225))</f>
        <v/>
      </c>
      <c r="AR225" s="49">
        <f>IF(AQ225="","",AQ225*W225)</f>
        <v/>
      </c>
      <c r="AS225" s="51" t="n"/>
      <c r="AT225" s="52" t="n"/>
      <c r="AU225" s="52" t="n"/>
      <c r="AV225" s="53" t="n"/>
      <c r="AW225" s="54">
        <f>IF(((V225*pax_cap*load_thin*ROUND(N225*O225*revleg_thin,0))-(((battery/range_nm)*G225*ROUND(N225*O225*revleg_thin,0)*VLOOKUP(B225,country_opex,3,FALSE))+Y225+Z225+AA225+AB225+AC225))&lt;=0,"",VLOOKUP(B225,country_opex,7,FALSE)/((V225*pax_cap*load_thin*ROUND(N225*O225*revleg_thin,0))-(((battery/range_nm)*G225*ROUND(N225*O225*revleg_thin,0)*VLOOKUP(B225,country_opex,3,FALSE))+Y225+Z225+AA225+AB225+AC225)))</f>
        <v/>
      </c>
      <c r="AX225" s="54">
        <f>IF(((V225*pax_cap*load_mid*ROUND(N225*O225*revleg_mid,0))-(((battery/range_nm)*G225*ROUND(N225*O225*revleg_mid,0)*VLOOKUP(B225,country_opex,3,FALSE))+Y225+Z225+AA225+AB225+AC225))&lt;=0,"",VLOOKUP(B225,country_opex,7,FALSE)/((V225*pax_cap*load_mid*ROUND(N225*O225*revleg_mid,0))-(((battery/range_nm)*G225*ROUND(N225*O225*revleg_mid,0)*VLOOKUP(B225,country_opex,3,FALSE))+Y225+Z225+AA225+AB225+AC225)))</f>
        <v/>
      </c>
      <c r="AY225" s="54">
        <f>IF(((V225*pax_cap*load_full*ROUND(N225*O225*revleg_full,0))-(((battery/range_nm)*G225*ROUND(N225*O225*revleg_full,0)*VLOOKUP(B225,country_opex,3,FALSE))+Y225+Z225+AA225+AB225+AC225))&lt;=0,"",VLOOKUP(B225,country_opex,7,FALSE)/((V225*pax_cap*load_full*ROUND(N225*O225*revleg_full,0))-(((battery/range_nm)*G225*ROUND(N225*O225*revleg_full,0)*VLOOKUP(B225,country_opex,3,FALSE))+Y225+Z225+AA225+AB225+AC225)))</f>
        <v/>
      </c>
      <c r="AZ225" s="40" t="inlineStr">
        <is>
          <t>PREMIUM/excursion proxy: Tel Aviv Marina shared skyline cruise ~$130/person (GetYourGuide, 2026) as the only sourceable premium per-seat; a true TLV-Haifa fast-ferry seat would price above this given the longer distance. Excursion proxy, flagged.</t>
        </is>
      </c>
      <c r="BA225" s="40" t="n"/>
    </row>
    <row r="226">
      <c r="A226" s="38" t="inlineStr">
        <is>
          <t>Bolt Italy</t>
        </is>
      </c>
      <c r="B226" s="38" t="inlineStr">
        <is>
          <t>Italy</t>
        </is>
      </c>
      <c r="C226" s="39" t="inlineStr">
        <is>
          <t>Venice → Lido</t>
        </is>
      </c>
      <c r="D226" s="38" t="inlineStr">
        <is>
          <t>bolt</t>
        </is>
      </c>
      <c r="E226" s="40" t="inlineStr">
        <is>
          <t>bolt-italy</t>
        </is>
      </c>
      <c r="F226" s="41" t="n">
        <v>1</v>
      </c>
      <c r="G226" s="42" t="n">
        <v>1.5</v>
      </c>
      <c r="H226" s="35" t="n">
        <v>27</v>
      </c>
      <c r="I226" s="43" t="inlineStr">
        <is>
          <t>T2</t>
        </is>
      </c>
      <c r="J226" s="43" t="inlineStr">
        <is>
          <t>med</t>
        </is>
      </c>
      <c r="K226" s="29" t="n">
        <v>1</v>
      </c>
      <c r="L226" s="44">
        <f>60*G226/cruise_kt</f>
        <v/>
      </c>
      <c r="M226" s="44">
        <f>L226+turn_min+dwell_min</f>
        <v/>
      </c>
      <c r="N226" s="45">
        <f>MIN(10,FLOOR(60*service_hr/M226,1))</f>
        <v/>
      </c>
      <c r="O226" s="45">
        <f>ROUND(365*mech_uptime*K226,0)</f>
        <v/>
      </c>
      <c r="P226" s="46">
        <f>mech_uptime</f>
        <v/>
      </c>
      <c r="Q226" s="46">
        <f>revleg_sel</f>
        <v/>
      </c>
      <c r="R226" s="45">
        <f>ROUND(N226*O226*revleg_sel,0)</f>
        <v/>
      </c>
      <c r="S226" s="47">
        <f>load_sel</f>
        <v/>
      </c>
      <c r="T226" s="47">
        <f>pax_cap*S226</f>
        <v/>
      </c>
      <c r="U226" s="45">
        <f>T226*R226</f>
        <v/>
      </c>
      <c r="V226" s="48">
        <f>H226*discount</f>
        <v/>
      </c>
      <c r="W226" s="49">
        <f>V226*U226</f>
        <v/>
      </c>
      <c r="X226" s="49">
        <f>(battery/range_nm)*G226*R226*VLOOKUP(B226,country_opex,3,FALSE)</f>
        <v/>
      </c>
      <c r="Y226" s="49">
        <f>VLOOKUP(B226,country_opex,2,FALSE)*crew_factor</f>
        <v/>
      </c>
      <c r="Z226" s="49">
        <f>VLOOKUP(B226,country_opex,5,FALSE)</f>
        <v/>
      </c>
      <c r="AA226" s="49">
        <f>maint</f>
        <v/>
      </c>
      <c r="AB226" s="49">
        <f>VLOOKUP(B226,country_opex,7,FALSE)*ins_pct</f>
        <v/>
      </c>
      <c r="AC226" s="49">
        <f>charge_berth</f>
        <v/>
      </c>
      <c r="AD226" s="49">
        <f>X226+Y226+Z226+AA226+AB226+AC226</f>
        <v/>
      </c>
      <c r="AE226" s="49">
        <f>VLOOKUP(B226,country_opex,7,FALSE)/dep_years</f>
        <v/>
      </c>
      <c r="AF226" s="49">
        <f>W226-AD226</f>
        <v/>
      </c>
      <c r="AG226" s="46">
        <f>IF(W226=0,"",AF226/W226)</f>
        <v/>
      </c>
      <c r="AH226" s="47">
        <f>IF(AF226&lt;=0,"",VLOOKUP(B226,country_opex,7,FALSE)/AF226)</f>
        <v/>
      </c>
      <c r="AI226" s="44">
        <f>((G226*R226/diesel_nmpg)*diesel_co2pg-(battery/range_nm)*G226*R226*VLOOKUP(B226,country_opex,4,FALSE))/1000</f>
        <v/>
      </c>
      <c r="AJ226" s="42" t="n"/>
      <c r="AK226" s="43" t="n"/>
      <c r="AL226" s="43" t="n"/>
      <c r="AM226" s="50" t="n">
        <v>0.1</v>
      </c>
      <c r="AN226" s="45">
        <f>IF(AJ226="","",AJ226*AM226)</f>
        <v/>
      </c>
      <c r="AO226" s="45">
        <f>IF(OR(AJ226="",U226=0),"",MIN(IF(AV226="",9.9E+99,AV226),FLOOR(AN226/U226,1)))</f>
        <v/>
      </c>
      <c r="AP226" s="49">
        <f>IF(AO226="","",AO226*W226)</f>
        <v/>
      </c>
      <c r="AQ226" s="47">
        <f>IF(OR(AJ226="",U226=0),"",MIN(IF(AV226="",9.9E+99,AV226),AN226/U226))</f>
        <v/>
      </c>
      <c r="AR226" s="49">
        <f>IF(AQ226="","",AQ226*W226)</f>
        <v/>
      </c>
      <c r="AS226" s="51" t="n"/>
      <c r="AT226" s="52" t="n"/>
      <c r="AU226" s="52" t="n"/>
      <c r="AV226" s="53" t="n"/>
      <c r="AW226" s="54">
        <f>IF(((V226*pax_cap*load_thin*ROUND(N226*O226*revleg_thin,0))-(((battery/range_nm)*G226*ROUND(N226*O226*revleg_thin,0)*VLOOKUP(B226,country_opex,3,FALSE))+Y226+Z226+AA226+AB226+AC226))&lt;=0,"",VLOOKUP(B226,country_opex,7,FALSE)/((V226*pax_cap*load_thin*ROUND(N226*O226*revleg_thin,0))-(((battery/range_nm)*G226*ROUND(N226*O226*revleg_thin,0)*VLOOKUP(B226,country_opex,3,FALSE))+Y226+Z226+AA226+AB226+AC226)))</f>
        <v/>
      </c>
      <c r="AX226" s="54">
        <f>IF(((V226*pax_cap*load_mid*ROUND(N226*O226*revleg_mid,0))-(((battery/range_nm)*G226*ROUND(N226*O226*revleg_mid,0)*VLOOKUP(B226,country_opex,3,FALSE))+Y226+Z226+AA226+AB226+AC226))&lt;=0,"",VLOOKUP(B226,country_opex,7,FALSE)/((V226*pax_cap*load_mid*ROUND(N226*O226*revleg_mid,0))-(((battery/range_nm)*G226*ROUND(N226*O226*revleg_mid,0)*VLOOKUP(B226,country_opex,3,FALSE))+Y226+Z226+AA226+AB226+AC226)))</f>
        <v/>
      </c>
      <c r="AY226" s="54">
        <f>IF(((V226*pax_cap*load_full*ROUND(N226*O226*revleg_full,0))-(((battery/range_nm)*G226*ROUND(N226*O226*revleg_full,0)*VLOOKUP(B226,country_opex,3,FALSE))+Y226+Z226+AA226+AB226+AC226))&lt;=0,"",VLOOKUP(B226,country_opex,7,FALSE)/((V226*pax_cap*load_full*ROUND(N226*O226*revleg_full,0))-(((battery/range_nm)*G226*ROUND(N226*O226*revleg_full,0)*VLOOKUP(B226,country_opex,3,FALSE))+Y226+Z226+AA226+AB226+AC226)))</f>
        <v/>
      </c>
      <c r="AZ226" s="40" t="inlineStr">
        <is>
          <t>PREMIUM tourist tier = ACTV day travelcard EUR 25 (~$27) (covers the Lido lines); premium water-taxi tier higher. Navier models the premium tier, not the EUR 9.50 single.</t>
        </is>
      </c>
      <c r="BA226" s="40" t="n"/>
    </row>
    <row r="227">
      <c r="A227" s="38" t="inlineStr">
        <is>
          <t>Bolt Italy</t>
        </is>
      </c>
      <c r="B227" s="38" t="inlineStr">
        <is>
          <t>Italy</t>
        </is>
      </c>
      <c r="C227" s="39" t="inlineStr">
        <is>
          <t>San Marco → Murano / Burano</t>
        </is>
      </c>
      <c r="D227" s="38" t="inlineStr">
        <is>
          <t>bolt</t>
        </is>
      </c>
      <c r="E227" s="40" t="inlineStr">
        <is>
          <t>bolt-italy</t>
        </is>
      </c>
      <c r="F227" s="41" t="n">
        <v>1</v>
      </c>
      <c r="G227" s="42" t="n">
        <v>2</v>
      </c>
      <c r="H227" s="35" t="n">
        <v>27</v>
      </c>
      <c r="I227" s="43" t="inlineStr">
        <is>
          <t>T2</t>
        </is>
      </c>
      <c r="J227" s="43" t="inlineStr">
        <is>
          <t>med</t>
        </is>
      </c>
      <c r="K227" s="29" t="n">
        <v>1</v>
      </c>
      <c r="L227" s="44">
        <f>60*G227/cruise_kt</f>
        <v/>
      </c>
      <c r="M227" s="44">
        <f>L227+turn_min+dwell_min</f>
        <v/>
      </c>
      <c r="N227" s="45">
        <f>MIN(10,FLOOR(60*service_hr/M227,1))</f>
        <v/>
      </c>
      <c r="O227" s="45">
        <f>ROUND(365*mech_uptime*K227,0)</f>
        <v/>
      </c>
      <c r="P227" s="46">
        <f>mech_uptime</f>
        <v/>
      </c>
      <c r="Q227" s="46">
        <f>revleg_sel</f>
        <v/>
      </c>
      <c r="R227" s="45">
        <f>ROUND(N227*O227*revleg_sel,0)</f>
        <v/>
      </c>
      <c r="S227" s="47">
        <f>load_sel</f>
        <v/>
      </c>
      <c r="T227" s="47">
        <f>pax_cap*S227</f>
        <v/>
      </c>
      <c r="U227" s="45">
        <f>T227*R227</f>
        <v/>
      </c>
      <c r="V227" s="48">
        <f>H227*discount</f>
        <v/>
      </c>
      <c r="W227" s="49">
        <f>V227*U227</f>
        <v/>
      </c>
      <c r="X227" s="49">
        <f>(battery/range_nm)*G227*R227*VLOOKUP(B227,country_opex,3,FALSE)</f>
        <v/>
      </c>
      <c r="Y227" s="49">
        <f>VLOOKUP(B227,country_opex,2,FALSE)*crew_factor</f>
        <v/>
      </c>
      <c r="Z227" s="49">
        <f>VLOOKUP(B227,country_opex,5,FALSE)</f>
        <v/>
      </c>
      <c r="AA227" s="49">
        <f>maint</f>
        <v/>
      </c>
      <c r="AB227" s="49">
        <f>VLOOKUP(B227,country_opex,7,FALSE)*ins_pct</f>
        <v/>
      </c>
      <c r="AC227" s="49">
        <f>charge_berth</f>
        <v/>
      </c>
      <c r="AD227" s="49">
        <f>X227+Y227+Z227+AA227+AB227+AC227</f>
        <v/>
      </c>
      <c r="AE227" s="49">
        <f>VLOOKUP(B227,country_opex,7,FALSE)/dep_years</f>
        <v/>
      </c>
      <c r="AF227" s="49">
        <f>W227-AD227</f>
        <v/>
      </c>
      <c r="AG227" s="46">
        <f>IF(W227=0,"",AF227/W227)</f>
        <v/>
      </c>
      <c r="AH227" s="47">
        <f>IF(AF227&lt;=0,"",VLOOKUP(B227,country_opex,7,FALSE)/AF227)</f>
        <v/>
      </c>
      <c r="AI227" s="44">
        <f>((G227*R227/diesel_nmpg)*diesel_co2pg-(battery/range_nm)*G227*R227*VLOOKUP(B227,country_opex,4,FALSE))/1000</f>
        <v/>
      </c>
      <c r="AJ227" s="42" t="n">
        <v>1500000</v>
      </c>
      <c r="AK227" s="43" t="n"/>
      <c r="AL227" s="43" t="n"/>
      <c r="AM227" s="50" t="n">
        <v>0.1</v>
      </c>
      <c r="AN227" s="45">
        <f>IF(AJ227="","",AJ227*AM227)</f>
        <v/>
      </c>
      <c r="AO227" s="45">
        <f>IF(OR(AJ227="",U227=0),"",MIN(IF(AV227="",9.9E+99,AV227),FLOOR(AN227/U227,1)))</f>
        <v/>
      </c>
      <c r="AP227" s="49">
        <f>IF(AO227="","",AO227*W227)</f>
        <v/>
      </c>
      <c r="AQ227" s="47">
        <f>IF(OR(AJ227="",U227=0),"",MIN(IF(AV227="",9.9E+99,AV227),AN227/U227))</f>
        <v/>
      </c>
      <c r="AR227" s="49">
        <f>IF(AQ227="","",AQ227*W227)</f>
        <v/>
      </c>
      <c r="AS227" s="51" t="n"/>
      <c r="AT227" s="52" t="n"/>
      <c r="AU227" s="52" t="n"/>
      <c r="AV227" s="53" t="n"/>
      <c r="AW227" s="54">
        <f>IF(((V227*pax_cap*load_thin*ROUND(N227*O227*revleg_thin,0))-(((battery/range_nm)*G227*ROUND(N227*O227*revleg_thin,0)*VLOOKUP(B227,country_opex,3,FALSE))+Y227+Z227+AA227+AB227+AC227))&lt;=0,"",VLOOKUP(B227,country_opex,7,FALSE)/((V227*pax_cap*load_thin*ROUND(N227*O227*revleg_thin,0))-(((battery/range_nm)*G227*ROUND(N227*O227*revleg_thin,0)*VLOOKUP(B227,country_opex,3,FALSE))+Y227+Z227+AA227+AB227+AC227)))</f>
        <v/>
      </c>
      <c r="AX227" s="54">
        <f>IF(((V227*pax_cap*load_mid*ROUND(N227*O227*revleg_mid,0))-(((battery/range_nm)*G227*ROUND(N227*O227*revleg_mid,0)*VLOOKUP(B227,country_opex,3,FALSE))+Y227+Z227+AA227+AB227+AC227))&lt;=0,"",VLOOKUP(B227,country_opex,7,FALSE)/((V227*pax_cap*load_mid*ROUND(N227*O227*revleg_mid,0))-(((battery/range_nm)*G227*ROUND(N227*O227*revleg_mid,0)*VLOOKUP(B227,country_opex,3,FALSE))+Y227+Z227+AA227+AB227+AC227)))</f>
        <v/>
      </c>
      <c r="AY227" s="54">
        <f>IF(((V227*pax_cap*load_full*ROUND(N227*O227*revleg_full,0))-(((battery/range_nm)*G227*ROUND(N227*O227*revleg_full,0)*VLOOKUP(B227,country_opex,3,FALSE))+Y227+Z227+AA227+AB227+AC227))&lt;=0,"",VLOOKUP(B227,country_opex,7,FALSE)/((V227*pax_cap*load_full*ROUND(N227*O227*revleg_full,0))-(((battery/range_nm)*G227*ROUND(N227*O227*revleg_full,0)*VLOOKUP(B227,country_opex,3,FALSE))+Y227+Z227+AA227+AB227+AC227)))</f>
        <v/>
      </c>
      <c r="AZ227" s="40" t="inlineStr">
        <is>
          <t>PREMIUM tourist tier = ACTV day travelcard EUR 25 (valid for the Lido/Murano/Burano island lines) x 1.08 = ~$27 -- the realistic per-tourist fare for the island circuit. Higher premium = shared/private water-taxi tier (cf. EUR 39/person shared, motoscafo EUR 80-120/boat). Navier models the premium water-mobility tier, not the EUR 9.50 single.</t>
        </is>
      </c>
      <c r="BA227" s="40" t="n"/>
    </row>
    <row r="228">
      <c r="A228" s="38" t="inlineStr">
        <is>
          <t>Bolt Italy</t>
        </is>
      </c>
      <c r="B228" s="38" t="inlineStr">
        <is>
          <t>Italy</t>
        </is>
      </c>
      <c r="C228" s="39" t="inlineStr">
        <is>
          <t>Santa Margherita Ligure → Portofino</t>
        </is>
      </c>
      <c r="D228" s="38" t="inlineStr">
        <is>
          <t>bolt</t>
        </is>
      </c>
      <c r="E228" s="40" t="inlineStr">
        <is>
          <t>bolt-italy</t>
        </is>
      </c>
      <c r="F228" s="41" t="n">
        <v>1</v>
      </c>
      <c r="G228" s="42" t="n">
        <v>2</v>
      </c>
      <c r="H228" s="35" t="n">
        <v>11.9</v>
      </c>
      <c r="I228" s="43" t="inlineStr">
        <is>
          <t>T2</t>
        </is>
      </c>
      <c r="J228" s="43" t="inlineStr">
        <is>
          <t>med</t>
        </is>
      </c>
      <c r="K228" s="29" t="n">
        <v>1</v>
      </c>
      <c r="L228" s="44">
        <f>60*G228/cruise_kt</f>
        <v/>
      </c>
      <c r="M228" s="44">
        <f>L228+turn_min+dwell_min</f>
        <v/>
      </c>
      <c r="N228" s="45">
        <f>MIN(16,FLOOR(60*service_hr/M228,1))</f>
        <v/>
      </c>
      <c r="O228" s="45">
        <f>ROUND(365*mech_uptime*K228,0)</f>
        <v/>
      </c>
      <c r="P228" s="46">
        <f>mech_uptime</f>
        <v/>
      </c>
      <c r="Q228" s="46">
        <f>revleg_sel</f>
        <v/>
      </c>
      <c r="R228" s="45">
        <f>ROUND(N228*O228*revleg_sel,0)</f>
        <v/>
      </c>
      <c r="S228" s="47">
        <f>load_sel</f>
        <v/>
      </c>
      <c r="T228" s="47">
        <f>pax_cap*S228</f>
        <v/>
      </c>
      <c r="U228" s="45">
        <f>T228*R228</f>
        <v/>
      </c>
      <c r="V228" s="48">
        <f>H228*discount</f>
        <v/>
      </c>
      <c r="W228" s="49">
        <f>V228*U228</f>
        <v/>
      </c>
      <c r="X228" s="49">
        <f>(battery/range_nm)*G228*R228*VLOOKUP(B228,country_opex,3,FALSE)</f>
        <v/>
      </c>
      <c r="Y228" s="49">
        <f>VLOOKUP(B228,country_opex,2,FALSE)*crew_factor</f>
        <v/>
      </c>
      <c r="Z228" s="49">
        <f>VLOOKUP(B228,country_opex,5,FALSE)</f>
        <v/>
      </c>
      <c r="AA228" s="49">
        <f>maint</f>
        <v/>
      </c>
      <c r="AB228" s="49">
        <f>VLOOKUP(B228,country_opex,7,FALSE)*ins_pct</f>
        <v/>
      </c>
      <c r="AC228" s="49">
        <f>charge_berth</f>
        <v/>
      </c>
      <c r="AD228" s="49">
        <f>X228+Y228+Z228+AA228+AB228+AC228</f>
        <v/>
      </c>
      <c r="AE228" s="49">
        <f>VLOOKUP(B228,country_opex,7,FALSE)/dep_years</f>
        <v/>
      </c>
      <c r="AF228" s="49">
        <f>W228-AD228</f>
        <v/>
      </c>
      <c r="AG228" s="46">
        <f>IF(W228=0,"",AF228/W228)</f>
        <v/>
      </c>
      <c r="AH228" s="47">
        <f>IF(AF228&lt;=0,"",VLOOKUP(B228,country_opex,7,FALSE)/AF228)</f>
        <v/>
      </c>
      <c r="AI228" s="44">
        <f>((G228*R228/diesel_nmpg)*diesel_co2pg-(battery/range_nm)*G228*R228*VLOOKUP(B228,country_opex,4,FALSE))/1000</f>
        <v/>
      </c>
      <c r="AJ228" s="42" t="n">
        <v>200000</v>
      </c>
      <c r="AK228" s="43" t="n"/>
      <c r="AL228" s="43" t="n"/>
      <c r="AM228" s="50" t="n">
        <v>0.1</v>
      </c>
      <c r="AN228" s="45">
        <f>IF(AJ228="","",AJ228*AM228)</f>
        <v/>
      </c>
      <c r="AO228" s="45">
        <f>IF(OR(AJ228="",U228=0),"",MIN(IF(AV228="",9.9E+99,AV228),FLOOR(AN228/U228,1)))</f>
        <v/>
      </c>
      <c r="AP228" s="49">
        <f>IF(AO228="","",AO228*W228)</f>
        <v/>
      </c>
      <c r="AQ228" s="47">
        <f>IF(OR(AJ228="",U228=0),"",MIN(IF(AV228="",9.9E+99,AV228),AN228/U228))</f>
        <v/>
      </c>
      <c r="AR228" s="49">
        <f>IF(AQ228="","",AQ228*W228)</f>
        <v/>
      </c>
      <c r="AS228" s="51" t="n"/>
      <c r="AT228" s="52" t="n"/>
      <c r="AU228" s="52" t="n"/>
      <c r="AV228" s="53" t="n"/>
      <c r="AW228" s="54">
        <f>IF(((V228*pax_cap*load_thin*ROUND(N228*O228*revleg_thin,0))-(((battery/range_nm)*G228*ROUND(N228*O228*revleg_thin,0)*VLOOKUP(B228,country_opex,3,FALSE))+Y228+Z228+AA228+AB228+AC228))&lt;=0,"",VLOOKUP(B228,country_opex,7,FALSE)/((V228*pax_cap*load_thin*ROUND(N228*O228*revleg_thin,0))-(((battery/range_nm)*G228*ROUND(N228*O228*revleg_thin,0)*VLOOKUP(B228,country_opex,3,FALSE))+Y228+Z228+AA228+AB228+AC228)))</f>
        <v/>
      </c>
      <c r="AX228" s="54">
        <f>IF(((V228*pax_cap*load_mid*ROUND(N228*O228*revleg_mid,0))-(((battery/range_nm)*G228*ROUND(N228*O228*revleg_mid,0)*VLOOKUP(B228,country_opex,3,FALSE))+Y228+Z228+AA228+AB228+AC228))&lt;=0,"",VLOOKUP(B228,country_opex,7,FALSE)/((V228*pax_cap*load_mid*ROUND(N228*O228*revleg_mid,0))-(((battery/range_nm)*G228*ROUND(N228*O228*revleg_mid,0)*VLOOKUP(B228,country_opex,3,FALSE))+Y228+Z228+AA228+AB228+AC228)))</f>
        <v/>
      </c>
      <c r="AY228" s="54">
        <f>IF(((V228*pax_cap*load_full*ROUND(N228*O228*revleg_full,0))-(((battery/range_nm)*G228*ROUND(N228*O228*revleg_full,0)*VLOOKUP(B228,country_opex,3,FALSE))+Y228+Z228+AA228+AB228+AC228))&lt;=0,"",VLOOKUP(B228,country_opex,7,FALSE)/((V228*pax_cap*load_full*ROUND(N228*O228*revleg_full,0))-(((battery/range_nm)*G228*ROUND(N228*O228*revleg_full,0)*VLOOKUP(B228,country_opex,3,FALSE))+Y228+Z228+AA228+AB228+AC228)))</f>
        <v/>
      </c>
      <c r="AZ228" s="40" t="inlineStr">
        <is>
          <t>PREMIUM scheduled per-seat: Servizio Marittimo del Tigullio Santa Margherita-&gt;Portofino EUR 11 one-way (Rome2Rio) x 1.08 = ~$11.9. Short hop.</t>
        </is>
      </c>
      <c r="BA228" s="40" t="n"/>
    </row>
    <row r="229">
      <c r="A229" s="38" t="inlineStr">
        <is>
          <t>Bolt Italy</t>
        </is>
      </c>
      <c r="B229" s="38" t="inlineStr">
        <is>
          <t>Italy</t>
        </is>
      </c>
      <c r="C229" s="39" t="inlineStr">
        <is>
          <t>Positano → Amalfi</t>
        </is>
      </c>
      <c r="D229" s="38" t="inlineStr">
        <is>
          <t>bolt</t>
        </is>
      </c>
      <c r="E229" s="40" t="inlineStr">
        <is>
          <t>bolt-italy</t>
        </is>
      </c>
      <c r="F229" s="41" t="n">
        <v>1</v>
      </c>
      <c r="G229" s="42" t="n">
        <v>4</v>
      </c>
      <c r="H229" s="35" t="n">
        <v>11</v>
      </c>
      <c r="I229" s="43" t="inlineStr">
        <is>
          <t>T2</t>
        </is>
      </c>
      <c r="J229" s="43" t="inlineStr">
        <is>
          <t>med</t>
        </is>
      </c>
      <c r="K229" s="29" t="n">
        <v>1</v>
      </c>
      <c r="L229" s="44">
        <f>60*G229/cruise_kt</f>
        <v/>
      </c>
      <c r="M229" s="44">
        <f>L229+turn_min+dwell_min</f>
        <v/>
      </c>
      <c r="N229" s="45">
        <f>MIN(16,FLOOR(60*service_hr/M229,1))</f>
        <v/>
      </c>
      <c r="O229" s="45">
        <f>ROUND(365*mech_uptime*K229,0)</f>
        <v/>
      </c>
      <c r="P229" s="46">
        <f>mech_uptime</f>
        <v/>
      </c>
      <c r="Q229" s="46">
        <f>revleg_sel</f>
        <v/>
      </c>
      <c r="R229" s="45">
        <f>ROUND(N229*O229*revleg_sel,0)</f>
        <v/>
      </c>
      <c r="S229" s="47">
        <f>load_sel</f>
        <v/>
      </c>
      <c r="T229" s="47">
        <f>pax_cap*S229</f>
        <v/>
      </c>
      <c r="U229" s="45">
        <f>T229*R229</f>
        <v/>
      </c>
      <c r="V229" s="48">
        <f>H229*discount</f>
        <v/>
      </c>
      <c r="W229" s="49">
        <f>V229*U229</f>
        <v/>
      </c>
      <c r="X229" s="49">
        <f>(battery/range_nm)*G229*R229*VLOOKUP(B229,country_opex,3,FALSE)</f>
        <v/>
      </c>
      <c r="Y229" s="49">
        <f>VLOOKUP(B229,country_opex,2,FALSE)*crew_factor</f>
        <v/>
      </c>
      <c r="Z229" s="49">
        <f>VLOOKUP(B229,country_opex,5,FALSE)</f>
        <v/>
      </c>
      <c r="AA229" s="49">
        <f>maint</f>
        <v/>
      </c>
      <c r="AB229" s="49">
        <f>VLOOKUP(B229,country_opex,7,FALSE)*ins_pct</f>
        <v/>
      </c>
      <c r="AC229" s="49">
        <f>charge_berth</f>
        <v/>
      </c>
      <c r="AD229" s="49">
        <f>X229+Y229+Z229+AA229+AB229+AC229</f>
        <v/>
      </c>
      <c r="AE229" s="49">
        <f>VLOOKUP(B229,country_opex,7,FALSE)/dep_years</f>
        <v/>
      </c>
      <c r="AF229" s="49">
        <f>W229-AD229</f>
        <v/>
      </c>
      <c r="AG229" s="46">
        <f>IF(W229=0,"",AF229/W229)</f>
        <v/>
      </c>
      <c r="AH229" s="47">
        <f>IF(AF229&lt;=0,"",VLOOKUP(B229,country_opex,7,FALSE)/AF229)</f>
        <v/>
      </c>
      <c r="AI229" s="44">
        <f>((G229*R229/diesel_nmpg)*diesel_co2pg-(battery/range_nm)*G229*R229*VLOOKUP(B229,country_opex,4,FALSE))/1000</f>
        <v/>
      </c>
      <c r="AJ229" s="42" t="n">
        <v>200000</v>
      </c>
      <c r="AK229" s="43" t="n"/>
      <c r="AL229" s="43" t="n"/>
      <c r="AM229" s="50" t="n">
        <v>0.1</v>
      </c>
      <c r="AN229" s="45">
        <f>IF(AJ229="","",AJ229*AM229)</f>
        <v/>
      </c>
      <c r="AO229" s="45">
        <f>IF(OR(AJ229="",U229=0),"",MIN(IF(AV229="",9.9E+99,AV229),FLOOR(AN229/U229,1)))</f>
        <v/>
      </c>
      <c r="AP229" s="49">
        <f>IF(AO229="","",AO229*W229)</f>
        <v/>
      </c>
      <c r="AQ229" s="47">
        <f>IF(OR(AJ229="",U229=0),"",MIN(IF(AV229="",9.9E+99,AV229),AN229/U229))</f>
        <v/>
      </c>
      <c r="AR229" s="49">
        <f>IF(AQ229="","",AQ229*W229)</f>
        <v/>
      </c>
      <c r="AS229" s="51" t="n"/>
      <c r="AT229" s="52" t="n"/>
      <c r="AU229" s="52" t="n"/>
      <c r="AV229" s="53" t="n"/>
      <c r="AW229" s="54">
        <f>IF(((V229*pax_cap*load_thin*ROUND(N229*O229*revleg_thin,0))-(((battery/range_nm)*G229*ROUND(N229*O229*revleg_thin,0)*VLOOKUP(B229,country_opex,3,FALSE))+Y229+Z229+AA229+AB229+AC229))&lt;=0,"",VLOOKUP(B229,country_opex,7,FALSE)/((V229*pax_cap*load_thin*ROUND(N229*O229*revleg_thin,0))-(((battery/range_nm)*G229*ROUND(N229*O229*revleg_thin,0)*VLOOKUP(B229,country_opex,3,FALSE))+Y229+Z229+AA229+AB229+AC229)))</f>
        <v/>
      </c>
      <c r="AX229" s="54">
        <f>IF(((V229*pax_cap*load_mid*ROUND(N229*O229*revleg_mid,0))-(((battery/range_nm)*G229*ROUND(N229*O229*revleg_mid,0)*VLOOKUP(B229,country_opex,3,FALSE))+Y229+Z229+AA229+AB229+AC229))&lt;=0,"",VLOOKUP(B229,country_opex,7,FALSE)/((V229*pax_cap*load_mid*ROUND(N229*O229*revleg_mid,0))-(((battery/range_nm)*G229*ROUND(N229*O229*revleg_mid,0)*VLOOKUP(B229,country_opex,3,FALSE))+Y229+Z229+AA229+AB229+AC229)))</f>
        <v/>
      </c>
      <c r="AY229" s="54">
        <f>IF(((V229*pax_cap*load_full*ROUND(N229*O229*revleg_full,0))-(((battery/range_nm)*G229*ROUND(N229*O229*revleg_full,0)*VLOOKUP(B229,country_opex,3,FALSE))+Y229+Z229+AA229+AB229+AC229))&lt;=0,"",VLOOKUP(B229,country_opex,7,FALSE)/((V229*pax_cap*load_full*ROUND(N229*O229*revleg_full,0))-(((battery/range_nm)*G229*ROUND(N229*O229*revleg_full,0)*VLOOKUP(B229,country_opex,3,FALSE))+Y229+Z229+AA229+AB229+AC229)))</f>
        <v/>
      </c>
      <c r="AZ229" s="40" t="inlineStr">
        <is>
          <t>PREMIUM scheduled per-seat: Travelmar fast ferry Positano&lt;-&gt;Amalfi ~EUR 10 one-way (Ferryhopper/Omio from EUR 10; Direct Ferries avg ~$35 incl. peak/longer) x 1.08 = ~$11. Short hop, so the premium tier itself is inexpensive.</t>
        </is>
      </c>
      <c r="BA229" s="40" t="n"/>
    </row>
    <row r="230">
      <c r="A230" s="38" t="inlineStr">
        <is>
          <t>Bolt Italy</t>
        </is>
      </c>
      <c r="B230" s="38" t="inlineStr">
        <is>
          <t>Italy</t>
        </is>
      </c>
      <c r="C230" s="39" t="inlineStr">
        <is>
          <t>Venice Marco Polo → San Marco</t>
        </is>
      </c>
      <c r="D230" s="38" t="inlineStr">
        <is>
          <t>bolt</t>
        </is>
      </c>
      <c r="E230" s="40" t="inlineStr">
        <is>
          <t>bolt-italy</t>
        </is>
      </c>
      <c r="F230" s="41" t="n">
        <v>1</v>
      </c>
      <c r="G230" s="42" t="n">
        <v>4.2</v>
      </c>
      <c r="H230" s="35" t="n">
        <v>42</v>
      </c>
      <c r="I230" s="43" t="inlineStr">
        <is>
          <t>T2</t>
        </is>
      </c>
      <c r="J230" s="43" t="inlineStr">
        <is>
          <t>med</t>
        </is>
      </c>
      <c r="K230" s="29" t="n">
        <v>1</v>
      </c>
      <c r="L230" s="44">
        <f>60*G230/cruise_kt</f>
        <v/>
      </c>
      <c r="M230" s="44">
        <f>L230+turn_min+dwell_min</f>
        <v/>
      </c>
      <c r="N230" s="45">
        <f>MIN(10,FLOOR(60*service_hr/M230,1))</f>
        <v/>
      </c>
      <c r="O230" s="45">
        <f>ROUND(365*mech_uptime*K230,0)</f>
        <v/>
      </c>
      <c r="P230" s="46">
        <f>mech_uptime</f>
        <v/>
      </c>
      <c r="Q230" s="46">
        <f>revleg_sel</f>
        <v/>
      </c>
      <c r="R230" s="45">
        <f>ROUND(N230*O230*revleg_sel,0)</f>
        <v/>
      </c>
      <c r="S230" s="47">
        <f>load_sel</f>
        <v/>
      </c>
      <c r="T230" s="47">
        <f>pax_cap*S230</f>
        <v/>
      </c>
      <c r="U230" s="45">
        <f>T230*R230</f>
        <v/>
      </c>
      <c r="V230" s="48">
        <f>H230*discount</f>
        <v/>
      </c>
      <c r="W230" s="49">
        <f>V230*U230</f>
        <v/>
      </c>
      <c r="X230" s="49">
        <f>(battery/range_nm)*G230*R230*VLOOKUP(B230,country_opex,3,FALSE)</f>
        <v/>
      </c>
      <c r="Y230" s="49">
        <f>VLOOKUP(B230,country_opex,2,FALSE)*crew_factor</f>
        <v/>
      </c>
      <c r="Z230" s="49">
        <f>VLOOKUP(B230,country_opex,5,FALSE)</f>
        <v/>
      </c>
      <c r="AA230" s="49">
        <f>maint</f>
        <v/>
      </c>
      <c r="AB230" s="49">
        <f>VLOOKUP(B230,country_opex,7,FALSE)*ins_pct</f>
        <v/>
      </c>
      <c r="AC230" s="49">
        <f>charge_berth</f>
        <v/>
      </c>
      <c r="AD230" s="49">
        <f>X230+Y230+Z230+AA230+AB230+AC230</f>
        <v/>
      </c>
      <c r="AE230" s="49">
        <f>VLOOKUP(B230,country_opex,7,FALSE)/dep_years</f>
        <v/>
      </c>
      <c r="AF230" s="49">
        <f>W230-AD230</f>
        <v/>
      </c>
      <c r="AG230" s="46">
        <f>IF(W230=0,"",AF230/W230)</f>
        <v/>
      </c>
      <c r="AH230" s="47">
        <f>IF(AF230&lt;=0,"",VLOOKUP(B230,country_opex,7,FALSE)/AF230)</f>
        <v/>
      </c>
      <c r="AI230" s="44">
        <f>((G230*R230/diesel_nmpg)*diesel_co2pg-(battery/range_nm)*G230*R230*VLOOKUP(B230,country_opex,4,FALSE))/1000</f>
        <v/>
      </c>
      <c r="AJ230" s="42" t="n">
        <v>1777500</v>
      </c>
      <c r="AK230" s="43" t="n"/>
      <c r="AL230" s="43" t="n"/>
      <c r="AM230" s="50" t="n">
        <v>0.1</v>
      </c>
      <c r="AN230" s="45">
        <f>IF(AJ230="","",AJ230*AM230)</f>
        <v/>
      </c>
      <c r="AO230" s="45">
        <f>IF(OR(AJ230="",U230=0),"",MIN(IF(AV230="",9.9E+99,AV230),FLOOR(AN230/U230,1)))</f>
        <v/>
      </c>
      <c r="AP230" s="49">
        <f>IF(AO230="","",AO230*W230)</f>
        <v/>
      </c>
      <c r="AQ230" s="47">
        <f>IF(OR(AJ230="",U230=0),"",MIN(IF(AV230="",9.9E+99,AV230),AN230/U230))</f>
        <v/>
      </c>
      <c r="AR230" s="49">
        <f>IF(AQ230="","",AQ230*W230)</f>
        <v/>
      </c>
      <c r="AS230" s="51" t="n"/>
      <c r="AT230" s="52" t="n"/>
      <c r="AU230" s="52" t="n"/>
      <c r="AV230" s="53" t="n"/>
      <c r="AW230" s="54">
        <f>IF(((V230*pax_cap*load_thin*ROUND(N230*O230*revleg_thin,0))-(((battery/range_nm)*G230*ROUND(N230*O230*revleg_thin,0)*VLOOKUP(B230,country_opex,3,FALSE))+Y230+Z230+AA230+AB230+AC230))&lt;=0,"",VLOOKUP(B230,country_opex,7,FALSE)/((V230*pax_cap*load_thin*ROUND(N230*O230*revleg_thin,0))-(((battery/range_nm)*G230*ROUND(N230*O230*revleg_thin,0)*VLOOKUP(B230,country_opex,3,FALSE))+Y230+Z230+AA230+AB230+AC230)))</f>
        <v/>
      </c>
      <c r="AX230" s="54">
        <f>IF(((V230*pax_cap*load_mid*ROUND(N230*O230*revleg_mid,0))-(((battery/range_nm)*G230*ROUND(N230*O230*revleg_mid,0)*VLOOKUP(B230,country_opex,3,FALSE))+Y230+Z230+AA230+AB230+AC230))&lt;=0,"",VLOOKUP(B230,country_opex,7,FALSE)/((V230*pax_cap*load_mid*ROUND(N230*O230*revleg_mid,0))-(((battery/range_nm)*G230*ROUND(N230*O230*revleg_mid,0)*VLOOKUP(B230,country_opex,3,FALSE))+Y230+Z230+AA230+AB230+AC230)))</f>
        <v/>
      </c>
      <c r="AY230" s="54">
        <f>IF(((V230*pax_cap*load_full*ROUND(N230*O230*revleg_full,0))-(((battery/range_nm)*G230*ROUND(N230*O230*revleg_full,0)*VLOOKUP(B230,country_opex,3,FALSE))+Y230+Z230+AA230+AB230+AC230))&lt;=0,"",VLOOKUP(B230,country_opex,7,FALSE)/((V230*pax_cap*load_full*ROUND(N230*O230*revleg_full,0))-(((battery/range_nm)*G230*ROUND(N230*O230*revleg_full,0)*VLOOKUP(B230,country_opex,3,FALSE))+Y230+Z230+AA230+AB230+AC230)))</f>
        <v/>
      </c>
      <c r="AZ230" s="40" t="inlineStr">
        <is>
          <t>PREMIUM per-seat = shared water taxi ~EUR 39/person (~$42) (Dubai RTA water-taxi convention, NOT the cheap Alilaguna). Private motoscafo Marco Polo-&gt;San Marco area EUR 120-140/boat divided across a party. (Unchanged from prior file; corroborated.)</t>
        </is>
      </c>
      <c r="BA230" s="40" t="n"/>
    </row>
    <row r="231">
      <c r="A231" s="38" t="inlineStr">
        <is>
          <t>Bolt Italy</t>
        </is>
      </c>
      <c r="B231" s="38" t="inlineStr">
        <is>
          <t>Italy</t>
        </is>
      </c>
      <c r="C231" s="39" t="inlineStr">
        <is>
          <t>Capri → Positano</t>
        </is>
      </c>
      <c r="D231" s="38" t="inlineStr">
        <is>
          <t>bolt</t>
        </is>
      </c>
      <c r="E231" s="40" t="inlineStr">
        <is>
          <t>bolt-italy</t>
        </is>
      </c>
      <c r="F231" s="41" t="n">
        <v>1</v>
      </c>
      <c r="G231" s="42" t="n">
        <v>9</v>
      </c>
      <c r="H231" s="35" t="n">
        <v>31</v>
      </c>
      <c r="I231" s="43" t="inlineStr">
        <is>
          <t>T2</t>
        </is>
      </c>
      <c r="J231" s="43" t="inlineStr">
        <is>
          <t>med</t>
        </is>
      </c>
      <c r="K231" s="29" t="n">
        <v>1</v>
      </c>
      <c r="L231" s="44">
        <f>60*G231/cruise_kt</f>
        <v/>
      </c>
      <c r="M231" s="44">
        <f>L231+turn_min+dwell_min</f>
        <v/>
      </c>
      <c r="N231" s="45">
        <f>MIN(10,FLOOR(60*service_hr/M231,1))</f>
        <v/>
      </c>
      <c r="O231" s="45">
        <f>ROUND(365*mech_uptime*K231,0)</f>
        <v/>
      </c>
      <c r="P231" s="46">
        <f>mech_uptime</f>
        <v/>
      </c>
      <c r="Q231" s="46">
        <f>revleg_sel</f>
        <v/>
      </c>
      <c r="R231" s="45">
        <f>ROUND(N231*O231*revleg_sel,0)</f>
        <v/>
      </c>
      <c r="S231" s="47">
        <f>load_sel</f>
        <v/>
      </c>
      <c r="T231" s="47">
        <f>pax_cap*S231</f>
        <v/>
      </c>
      <c r="U231" s="45">
        <f>T231*R231</f>
        <v/>
      </c>
      <c r="V231" s="48">
        <f>H231*discount</f>
        <v/>
      </c>
      <c r="W231" s="49">
        <f>V231*U231</f>
        <v/>
      </c>
      <c r="X231" s="49">
        <f>(battery/range_nm)*G231*R231*VLOOKUP(B231,country_opex,3,FALSE)</f>
        <v/>
      </c>
      <c r="Y231" s="49">
        <f>VLOOKUP(B231,country_opex,2,FALSE)*crew_factor</f>
        <v/>
      </c>
      <c r="Z231" s="49">
        <f>VLOOKUP(B231,country_opex,5,FALSE)</f>
        <v/>
      </c>
      <c r="AA231" s="49">
        <f>maint</f>
        <v/>
      </c>
      <c r="AB231" s="49">
        <f>VLOOKUP(B231,country_opex,7,FALSE)*ins_pct</f>
        <v/>
      </c>
      <c r="AC231" s="49">
        <f>charge_berth</f>
        <v/>
      </c>
      <c r="AD231" s="49">
        <f>X231+Y231+Z231+AA231+AB231+AC231</f>
        <v/>
      </c>
      <c r="AE231" s="49">
        <f>VLOOKUP(B231,country_opex,7,FALSE)/dep_years</f>
        <v/>
      </c>
      <c r="AF231" s="49">
        <f>W231-AD231</f>
        <v/>
      </c>
      <c r="AG231" s="46">
        <f>IF(W231=0,"",AF231/W231)</f>
        <v/>
      </c>
      <c r="AH231" s="47">
        <f>IF(AF231&lt;=0,"",VLOOKUP(B231,country_opex,7,FALSE)/AF231)</f>
        <v/>
      </c>
      <c r="AI231" s="44">
        <f>((G231*R231/diesel_nmpg)*diesel_co2pg-(battery/range_nm)*G231*R231*VLOOKUP(B231,country_opex,4,FALSE))/1000</f>
        <v/>
      </c>
      <c r="AJ231" s="42" t="n"/>
      <c r="AK231" s="43" t="n"/>
      <c r="AL231" s="43" t="n"/>
      <c r="AM231" s="50" t="n">
        <v>0.1</v>
      </c>
      <c r="AN231" s="45">
        <f>IF(AJ231="","",AJ231*AM231)</f>
        <v/>
      </c>
      <c r="AO231" s="45">
        <f>IF(OR(AJ231="",U231=0),"",MIN(IF(AV231="",9.9E+99,AV231),FLOOR(AN231/U231,1)))</f>
        <v/>
      </c>
      <c r="AP231" s="49">
        <f>IF(AO231="","",AO231*W231)</f>
        <v/>
      </c>
      <c r="AQ231" s="47">
        <f>IF(OR(AJ231="",U231=0),"",MIN(IF(AV231="",9.9E+99,AV231),AN231/U231))</f>
        <v/>
      </c>
      <c r="AR231" s="49">
        <f>IF(AQ231="","",AQ231*W231)</f>
        <v/>
      </c>
      <c r="AS231" s="51" t="n"/>
      <c r="AT231" s="52" t="n"/>
      <c r="AU231" s="52" t="n"/>
      <c r="AV231" s="53" t="n"/>
      <c r="AW231" s="54">
        <f>IF(((V231*pax_cap*load_thin*ROUND(N231*O231*revleg_thin,0))-(((battery/range_nm)*G231*ROUND(N231*O231*revleg_thin,0)*VLOOKUP(B231,country_opex,3,FALSE))+Y231+Z231+AA231+AB231+AC231))&lt;=0,"",VLOOKUP(B231,country_opex,7,FALSE)/((V231*pax_cap*load_thin*ROUND(N231*O231*revleg_thin,0))-(((battery/range_nm)*G231*ROUND(N231*O231*revleg_thin,0)*VLOOKUP(B231,country_opex,3,FALSE))+Y231+Z231+AA231+AB231+AC231)))</f>
        <v/>
      </c>
      <c r="AX231" s="54">
        <f>IF(((V231*pax_cap*load_mid*ROUND(N231*O231*revleg_mid,0))-(((battery/range_nm)*G231*ROUND(N231*O231*revleg_mid,0)*VLOOKUP(B231,country_opex,3,FALSE))+Y231+Z231+AA231+AB231+AC231))&lt;=0,"",VLOOKUP(B231,country_opex,7,FALSE)/((V231*pax_cap*load_mid*ROUND(N231*O231*revleg_mid,0))-(((battery/range_nm)*G231*ROUND(N231*O231*revleg_mid,0)*VLOOKUP(B231,country_opex,3,FALSE))+Y231+Z231+AA231+AB231+AC231)))</f>
        <v/>
      </c>
      <c r="AY231" s="54">
        <f>IF(((V231*pax_cap*load_full*ROUND(N231*O231*revleg_full,0))-(((battery/range_nm)*G231*ROUND(N231*O231*revleg_full,0)*VLOOKUP(B231,country_opex,3,FALSE))+Y231+Z231+AA231+AB231+AC231))&lt;=0,"",VLOOKUP(B231,country_opex,7,FALSE)/((V231*pax_cap*load_full*ROUND(N231*O231*revleg_full,0))-(((battery/range_nm)*G231*ROUND(N231*O231*revleg_full,0)*VLOOKUP(B231,country_opex,3,FALSE))+Y231+Z231+AA231+AB231+AC231)))</f>
        <v/>
      </c>
      <c r="AZ231" s="40" t="inlineStr">
        <is>
          <t>PREMIUM scheduled per-seat: Capri-&gt;Positano fast ferry from ~EUR 28-29 one-way (positano.com / capri.com) x 1.08 = ~$31.</t>
        </is>
      </c>
      <c r="BA231" s="40" t="n"/>
    </row>
    <row r="232">
      <c r="A232" s="38" t="inlineStr">
        <is>
          <t>Bolt Italy</t>
        </is>
      </c>
      <c r="B232" s="38" t="inlineStr">
        <is>
          <t>Italy</t>
        </is>
      </c>
      <c r="C232" s="39" t="inlineStr">
        <is>
          <t>Sorrento → Capri</t>
        </is>
      </c>
      <c r="D232" s="38" t="inlineStr">
        <is>
          <t>bolt</t>
        </is>
      </c>
      <c r="E232" s="40" t="inlineStr">
        <is>
          <t>bolt-italy</t>
        </is>
      </c>
      <c r="F232" s="41" t="n">
        <v>1</v>
      </c>
      <c r="G232" s="42" t="n">
        <v>9.5</v>
      </c>
      <c r="H232" s="35" t="n">
        <v>28</v>
      </c>
      <c r="I232" s="43" t="inlineStr">
        <is>
          <t>T2</t>
        </is>
      </c>
      <c r="J232" s="43" t="inlineStr">
        <is>
          <t>med</t>
        </is>
      </c>
      <c r="K232" s="29" t="n">
        <v>1</v>
      </c>
      <c r="L232" s="44">
        <f>60*G232/cruise_kt</f>
        <v/>
      </c>
      <c r="M232" s="44">
        <f>L232+turn_min+dwell_min</f>
        <v/>
      </c>
      <c r="N232" s="45">
        <f>MIN(10,FLOOR(60*service_hr/M232,1))</f>
        <v/>
      </c>
      <c r="O232" s="45">
        <f>ROUND(365*mech_uptime*K232,0)</f>
        <v/>
      </c>
      <c r="P232" s="46">
        <f>mech_uptime</f>
        <v/>
      </c>
      <c r="Q232" s="46">
        <f>revleg_sel</f>
        <v/>
      </c>
      <c r="R232" s="45">
        <f>ROUND(N232*O232*revleg_sel,0)</f>
        <v/>
      </c>
      <c r="S232" s="47">
        <f>load_sel</f>
        <v/>
      </c>
      <c r="T232" s="47">
        <f>pax_cap*S232</f>
        <v/>
      </c>
      <c r="U232" s="45">
        <f>T232*R232</f>
        <v/>
      </c>
      <c r="V232" s="48">
        <f>H232*discount</f>
        <v/>
      </c>
      <c r="W232" s="49">
        <f>V232*U232</f>
        <v/>
      </c>
      <c r="X232" s="49">
        <f>(battery/range_nm)*G232*R232*VLOOKUP(B232,country_opex,3,FALSE)</f>
        <v/>
      </c>
      <c r="Y232" s="49">
        <f>VLOOKUP(B232,country_opex,2,FALSE)*crew_factor</f>
        <v/>
      </c>
      <c r="Z232" s="49">
        <f>VLOOKUP(B232,country_opex,5,FALSE)</f>
        <v/>
      </c>
      <c r="AA232" s="49">
        <f>maint</f>
        <v/>
      </c>
      <c r="AB232" s="49">
        <f>VLOOKUP(B232,country_opex,7,FALSE)*ins_pct</f>
        <v/>
      </c>
      <c r="AC232" s="49">
        <f>charge_berth</f>
        <v/>
      </c>
      <c r="AD232" s="49">
        <f>X232+Y232+Z232+AA232+AB232+AC232</f>
        <v/>
      </c>
      <c r="AE232" s="49">
        <f>VLOOKUP(B232,country_opex,7,FALSE)/dep_years</f>
        <v/>
      </c>
      <c r="AF232" s="49">
        <f>W232-AD232</f>
        <v/>
      </c>
      <c r="AG232" s="46">
        <f>IF(W232=0,"",AF232/W232)</f>
        <v/>
      </c>
      <c r="AH232" s="47">
        <f>IF(AF232&lt;=0,"",VLOOKUP(B232,country_opex,7,FALSE)/AF232)</f>
        <v/>
      </c>
      <c r="AI232" s="44">
        <f>((G232*R232/diesel_nmpg)*diesel_co2pg-(battery/range_nm)*G232*R232*VLOOKUP(B232,country_opex,4,FALSE))/1000</f>
        <v/>
      </c>
      <c r="AJ232" s="42" t="n">
        <v>575000</v>
      </c>
      <c r="AK232" s="43" t="n"/>
      <c r="AL232" s="43" t="n"/>
      <c r="AM232" s="50" t="n">
        <v>0.1</v>
      </c>
      <c r="AN232" s="45">
        <f>IF(AJ232="","",AJ232*AM232)</f>
        <v/>
      </c>
      <c r="AO232" s="45">
        <f>IF(OR(AJ232="",U232=0),"",MIN(IF(AV232="",9.9E+99,AV232),FLOOR(AN232/U232,1)))</f>
        <v/>
      </c>
      <c r="AP232" s="49">
        <f>IF(AO232="","",AO232*W232)</f>
        <v/>
      </c>
      <c r="AQ232" s="47">
        <f>IF(OR(AJ232="",U232=0),"",MIN(IF(AV232="",9.9E+99,AV232),AN232/U232))</f>
        <v/>
      </c>
      <c r="AR232" s="49">
        <f>IF(AQ232="","",AQ232*W232)</f>
        <v/>
      </c>
      <c r="AS232" s="51" t="n"/>
      <c r="AT232" s="52" t="n"/>
      <c r="AU232" s="52" t="n"/>
      <c r="AV232" s="53" t="n"/>
      <c r="AW232" s="54">
        <f>IF(((V232*pax_cap*load_thin*ROUND(N232*O232*revleg_thin,0))-(((battery/range_nm)*G232*ROUND(N232*O232*revleg_thin,0)*VLOOKUP(B232,country_opex,3,FALSE))+Y232+Z232+AA232+AB232+AC232))&lt;=0,"",VLOOKUP(B232,country_opex,7,FALSE)/((V232*pax_cap*load_thin*ROUND(N232*O232*revleg_thin,0))-(((battery/range_nm)*G232*ROUND(N232*O232*revleg_thin,0)*VLOOKUP(B232,country_opex,3,FALSE))+Y232+Z232+AA232+AB232+AC232)))</f>
        <v/>
      </c>
      <c r="AX232" s="54">
        <f>IF(((V232*pax_cap*load_mid*ROUND(N232*O232*revleg_mid,0))-(((battery/range_nm)*G232*ROUND(N232*O232*revleg_mid,0)*VLOOKUP(B232,country_opex,3,FALSE))+Y232+Z232+AA232+AB232+AC232))&lt;=0,"",VLOOKUP(B232,country_opex,7,FALSE)/((V232*pax_cap*load_mid*ROUND(N232*O232*revleg_mid,0))-(((battery/range_nm)*G232*ROUND(N232*O232*revleg_mid,0)*VLOOKUP(B232,country_opex,3,FALSE))+Y232+Z232+AA232+AB232+AC232)))</f>
        <v/>
      </c>
      <c r="AY232" s="54">
        <f>IF(((V232*pax_cap*load_full*ROUND(N232*O232*revleg_full,0))-(((battery/range_nm)*G232*ROUND(N232*O232*revleg_full,0)*VLOOKUP(B232,country_opex,3,FALSE))+Y232+Z232+AA232+AB232+AC232))&lt;=0,"",VLOOKUP(B232,country_opex,7,FALSE)/((V232*pax_cap*load_full*ROUND(N232*O232*revleg_full,0))-(((battery/range_nm)*G232*ROUND(N232*O232*revleg_full,0)*VLOOKUP(B232,country_opex,3,FALSE))+Y232+Z232+AA232+AB232+AC232)))</f>
        <v/>
      </c>
      <c r="AZ232" s="40" t="inlineStr">
        <is>
          <t>PREMIUM scheduled per-seat = NLG/SNAV/Gescab fast hydrofoil Sorrento-&gt;Capri EUR 21 one-way (EUR 19 year-round 'IR') + EUR 5 Capri landing = ~EUR 26 x 1.08 = ~$28. (Unchanged from prior file; corroborated NLG tariffs.)</t>
        </is>
      </c>
      <c r="BA232" s="40" t="n"/>
    </row>
    <row r="233">
      <c r="A233" s="38" t="inlineStr">
        <is>
          <t>Bolt Italy</t>
        </is>
      </c>
      <c r="B233" s="38" t="inlineStr">
        <is>
          <t>Italy</t>
        </is>
      </c>
      <c r="C233" s="39" t="inlineStr">
        <is>
          <t>Naples → Procida</t>
        </is>
      </c>
      <c r="D233" s="38" t="inlineStr">
        <is>
          <t>bolt</t>
        </is>
      </c>
      <c r="E233" s="40" t="inlineStr">
        <is>
          <t>bolt-italy</t>
        </is>
      </c>
      <c r="F233" s="41" t="n">
        <v>1</v>
      </c>
      <c r="G233" s="42" t="n">
        <v>12</v>
      </c>
      <c r="H233" s="35" t="n">
        <v>22</v>
      </c>
      <c r="I233" s="43" t="inlineStr">
        <is>
          <t>T2</t>
        </is>
      </c>
      <c r="J233" s="43" t="inlineStr">
        <is>
          <t>med</t>
        </is>
      </c>
      <c r="K233" s="29" t="n">
        <v>1</v>
      </c>
      <c r="L233" s="44">
        <f>60*G233/cruise_kt</f>
        <v/>
      </c>
      <c r="M233" s="44">
        <f>L233+turn_min+dwell_min</f>
        <v/>
      </c>
      <c r="N233" s="45">
        <f>MIN(10,FLOOR(60*service_hr/M233,1))</f>
        <v/>
      </c>
      <c r="O233" s="45">
        <f>ROUND(365*mech_uptime*K233,0)</f>
        <v/>
      </c>
      <c r="P233" s="46">
        <f>mech_uptime</f>
        <v/>
      </c>
      <c r="Q233" s="46">
        <f>revleg_sel</f>
        <v/>
      </c>
      <c r="R233" s="45">
        <f>ROUND(N233*O233*revleg_sel,0)</f>
        <v/>
      </c>
      <c r="S233" s="47">
        <f>load_sel</f>
        <v/>
      </c>
      <c r="T233" s="47">
        <f>pax_cap*S233</f>
        <v/>
      </c>
      <c r="U233" s="45">
        <f>T233*R233</f>
        <v/>
      </c>
      <c r="V233" s="48">
        <f>H233*discount</f>
        <v/>
      </c>
      <c r="W233" s="49">
        <f>V233*U233</f>
        <v/>
      </c>
      <c r="X233" s="49">
        <f>(battery/range_nm)*G233*R233*VLOOKUP(B233,country_opex,3,FALSE)</f>
        <v/>
      </c>
      <c r="Y233" s="49">
        <f>VLOOKUP(B233,country_opex,2,FALSE)*crew_factor</f>
        <v/>
      </c>
      <c r="Z233" s="49">
        <f>VLOOKUP(B233,country_opex,5,FALSE)</f>
        <v/>
      </c>
      <c r="AA233" s="49">
        <f>maint</f>
        <v/>
      </c>
      <c r="AB233" s="49">
        <f>VLOOKUP(B233,country_opex,7,FALSE)*ins_pct</f>
        <v/>
      </c>
      <c r="AC233" s="49">
        <f>charge_berth</f>
        <v/>
      </c>
      <c r="AD233" s="49">
        <f>X233+Y233+Z233+AA233+AB233+AC233</f>
        <v/>
      </c>
      <c r="AE233" s="49">
        <f>VLOOKUP(B233,country_opex,7,FALSE)/dep_years</f>
        <v/>
      </c>
      <c r="AF233" s="49">
        <f>W233-AD233</f>
        <v/>
      </c>
      <c r="AG233" s="46">
        <f>IF(W233=0,"",AF233/W233)</f>
        <v/>
      </c>
      <c r="AH233" s="47">
        <f>IF(AF233&lt;=0,"",VLOOKUP(B233,country_opex,7,FALSE)/AF233)</f>
        <v/>
      </c>
      <c r="AI233" s="44">
        <f>((G233*R233/diesel_nmpg)*diesel_co2pg-(battery/range_nm)*G233*R233*VLOOKUP(B233,country_opex,4,FALSE))/1000</f>
        <v/>
      </c>
      <c r="AJ233" s="42" t="n">
        <v>240000</v>
      </c>
      <c r="AK233" s="43" t="n"/>
      <c r="AL233" s="43" t="n"/>
      <c r="AM233" s="50" t="n">
        <v>0.1</v>
      </c>
      <c r="AN233" s="45">
        <f>IF(AJ233="","",AJ233*AM233)</f>
        <v/>
      </c>
      <c r="AO233" s="45">
        <f>IF(OR(AJ233="",U233=0),"",MIN(IF(AV233="",9.9E+99,AV233),FLOOR(AN233/U233,1)))</f>
        <v/>
      </c>
      <c r="AP233" s="49">
        <f>IF(AO233="","",AO233*W233)</f>
        <v/>
      </c>
      <c r="AQ233" s="47">
        <f>IF(OR(AJ233="",U233=0),"",MIN(IF(AV233="",9.9E+99,AV233),AN233/U233))</f>
        <v/>
      </c>
      <c r="AR233" s="49">
        <f>IF(AQ233="","",AQ233*W233)</f>
        <v/>
      </c>
      <c r="AS233" s="51" t="n"/>
      <c r="AT233" s="52" t="n"/>
      <c r="AU233" s="52" t="n"/>
      <c r="AV233" s="53" t="n"/>
      <c r="AW233" s="54">
        <f>IF(((V233*pax_cap*load_thin*ROUND(N233*O233*revleg_thin,0))-(((battery/range_nm)*G233*ROUND(N233*O233*revleg_thin,0)*VLOOKUP(B233,country_opex,3,FALSE))+Y233+Z233+AA233+AB233+AC233))&lt;=0,"",VLOOKUP(B233,country_opex,7,FALSE)/((V233*pax_cap*load_thin*ROUND(N233*O233*revleg_thin,0))-(((battery/range_nm)*G233*ROUND(N233*O233*revleg_thin,0)*VLOOKUP(B233,country_opex,3,FALSE))+Y233+Z233+AA233+AB233+AC233)))</f>
        <v/>
      </c>
      <c r="AX233" s="54">
        <f>IF(((V233*pax_cap*load_mid*ROUND(N233*O233*revleg_mid,0))-(((battery/range_nm)*G233*ROUND(N233*O233*revleg_mid,0)*VLOOKUP(B233,country_opex,3,FALSE))+Y233+Z233+AA233+AB233+AC233))&lt;=0,"",VLOOKUP(B233,country_opex,7,FALSE)/((V233*pax_cap*load_mid*ROUND(N233*O233*revleg_mid,0))-(((battery/range_nm)*G233*ROUND(N233*O233*revleg_mid,0)*VLOOKUP(B233,country_opex,3,FALSE))+Y233+Z233+AA233+AB233+AC233)))</f>
        <v/>
      </c>
      <c r="AY233" s="54">
        <f>IF(((V233*pax_cap*load_full*ROUND(N233*O233*revleg_full,0))-(((battery/range_nm)*G233*ROUND(N233*O233*revleg_full,0)*VLOOKUP(B233,country_opex,3,FALSE))+Y233+Z233+AA233+AB233+AC233))&lt;=0,"",VLOOKUP(B233,country_opex,7,FALSE)/((V233*pax_cap*load_full*ROUND(N233*O233*revleg_full,0))-(((battery/range_nm)*G233*ROUND(N233*O233*revleg_full,0)*VLOOKUP(B233,country_opex,3,FALSE))+Y233+Z233+AA233+AB233+AC233)))</f>
        <v/>
      </c>
      <c r="AZ233" s="40" t="inlineStr">
        <is>
          <t>PREMIUM scheduled per-seat = Caremar/SNAV hydrofoil Napoli(Beverello)-&gt;Procida ~EUR 19-22 one-way (visitprocida.com EUR 19-22; ferryhopper EUR 21.90) x 1.08 = ~$22.</t>
        </is>
      </c>
      <c r="BA233" s="40" t="n"/>
    </row>
    <row r="234">
      <c r="A234" s="38" t="inlineStr">
        <is>
          <t>Bolt Italy</t>
        </is>
      </c>
      <c r="B234" s="38" t="inlineStr">
        <is>
          <t>Italy</t>
        </is>
      </c>
      <c r="C234" s="39" t="inlineStr">
        <is>
          <t>Como → Bellagio</t>
        </is>
      </c>
      <c r="D234" s="38" t="inlineStr">
        <is>
          <t>bolt</t>
        </is>
      </c>
      <c r="E234" s="40" t="inlineStr">
        <is>
          <t>bolt-italy</t>
        </is>
      </c>
      <c r="F234" s="41" t="n">
        <v>1</v>
      </c>
      <c r="G234" s="42" t="n">
        <v>14</v>
      </c>
      <c r="H234" s="35" t="n">
        <v>13</v>
      </c>
      <c r="I234" s="43" t="inlineStr">
        <is>
          <t>T2</t>
        </is>
      </c>
      <c r="J234" s="43" t="inlineStr">
        <is>
          <t>med</t>
        </is>
      </c>
      <c r="K234" s="29" t="n">
        <v>1</v>
      </c>
      <c r="L234" s="44">
        <f>60*G234/cruise_kt</f>
        <v/>
      </c>
      <c r="M234" s="44">
        <f>L234+turn_min+dwell_min</f>
        <v/>
      </c>
      <c r="N234" s="45">
        <f>MIN(16,FLOOR(60*service_hr/M234,1))</f>
        <v/>
      </c>
      <c r="O234" s="45">
        <f>ROUND(365*mech_uptime*K234,0)</f>
        <v/>
      </c>
      <c r="P234" s="46">
        <f>mech_uptime</f>
        <v/>
      </c>
      <c r="Q234" s="46">
        <f>revleg_sel</f>
        <v/>
      </c>
      <c r="R234" s="45">
        <f>ROUND(N234*O234*revleg_sel,0)</f>
        <v/>
      </c>
      <c r="S234" s="47">
        <f>load_sel</f>
        <v/>
      </c>
      <c r="T234" s="47">
        <f>pax_cap*S234</f>
        <v/>
      </c>
      <c r="U234" s="45">
        <f>T234*R234</f>
        <v/>
      </c>
      <c r="V234" s="48">
        <f>H234*discount</f>
        <v/>
      </c>
      <c r="W234" s="49">
        <f>V234*U234</f>
        <v/>
      </c>
      <c r="X234" s="49">
        <f>(battery/range_nm)*G234*R234*VLOOKUP(B234,country_opex,3,FALSE)</f>
        <v/>
      </c>
      <c r="Y234" s="49">
        <f>VLOOKUP(B234,country_opex,2,FALSE)*crew_factor</f>
        <v/>
      </c>
      <c r="Z234" s="49">
        <f>VLOOKUP(B234,country_opex,5,FALSE)</f>
        <v/>
      </c>
      <c r="AA234" s="49">
        <f>maint</f>
        <v/>
      </c>
      <c r="AB234" s="49">
        <f>VLOOKUP(B234,country_opex,7,FALSE)*ins_pct</f>
        <v/>
      </c>
      <c r="AC234" s="49">
        <f>charge_berth</f>
        <v/>
      </c>
      <c r="AD234" s="49">
        <f>X234+Y234+Z234+AA234+AB234+AC234</f>
        <v/>
      </c>
      <c r="AE234" s="49">
        <f>VLOOKUP(B234,country_opex,7,FALSE)/dep_years</f>
        <v/>
      </c>
      <c r="AF234" s="49">
        <f>W234-AD234</f>
        <v/>
      </c>
      <c r="AG234" s="46">
        <f>IF(W234=0,"",AF234/W234)</f>
        <v/>
      </c>
      <c r="AH234" s="47">
        <f>IF(AF234&lt;=0,"",VLOOKUP(B234,country_opex,7,FALSE)/AF234)</f>
        <v/>
      </c>
      <c r="AI234" s="44">
        <f>((G234*R234/diesel_nmpg)*diesel_co2pg-(battery/range_nm)*G234*R234*VLOOKUP(B234,country_opex,4,FALSE))/1000</f>
        <v/>
      </c>
      <c r="AJ234" s="42" t="n">
        <v>112000</v>
      </c>
      <c r="AK234" s="43" t="n"/>
      <c r="AL234" s="43" t="n"/>
      <c r="AM234" s="50" t="n">
        <v>0.1</v>
      </c>
      <c r="AN234" s="45">
        <f>IF(AJ234="","",AJ234*AM234)</f>
        <v/>
      </c>
      <c r="AO234" s="45">
        <f>IF(OR(AJ234="",U234=0),"",MIN(IF(AV234="",9.9E+99,AV234),FLOOR(AN234/U234,1)))</f>
        <v/>
      </c>
      <c r="AP234" s="49">
        <f>IF(AO234="","",AO234*W234)</f>
        <v/>
      </c>
      <c r="AQ234" s="47">
        <f>IF(OR(AJ234="",U234=0),"",MIN(IF(AV234="",9.9E+99,AV234),AN234/U234))</f>
        <v/>
      </c>
      <c r="AR234" s="49">
        <f>IF(AQ234="","",AQ234*W234)</f>
        <v/>
      </c>
      <c r="AS234" s="51" t="n"/>
      <c r="AT234" s="52" t="n"/>
      <c r="AU234" s="52" t="n"/>
      <c r="AV234" s="53" t="n"/>
      <c r="AW234" s="54">
        <f>IF(((V234*pax_cap*load_thin*ROUND(N234*O234*revleg_thin,0))-(((battery/range_nm)*G234*ROUND(N234*O234*revleg_thin,0)*VLOOKUP(B234,country_opex,3,FALSE))+Y234+Z234+AA234+AB234+AC234))&lt;=0,"",VLOOKUP(B234,country_opex,7,FALSE)/((V234*pax_cap*load_thin*ROUND(N234*O234*revleg_thin,0))-(((battery/range_nm)*G234*ROUND(N234*O234*revleg_thin,0)*VLOOKUP(B234,country_opex,3,FALSE))+Y234+Z234+AA234+AB234+AC234)))</f>
        <v/>
      </c>
      <c r="AX234" s="54">
        <f>IF(((V234*pax_cap*load_mid*ROUND(N234*O234*revleg_mid,0))-(((battery/range_nm)*G234*ROUND(N234*O234*revleg_mid,0)*VLOOKUP(B234,country_opex,3,FALSE))+Y234+Z234+AA234+AB234+AC234))&lt;=0,"",VLOOKUP(B234,country_opex,7,FALSE)/((V234*pax_cap*load_mid*ROUND(N234*O234*revleg_mid,0))-(((battery/range_nm)*G234*ROUND(N234*O234*revleg_mid,0)*VLOOKUP(B234,country_opex,3,FALSE))+Y234+Z234+AA234+AB234+AC234)))</f>
        <v/>
      </c>
      <c r="AY234" s="54">
        <f>IF(((V234*pax_cap*load_full*ROUND(N234*O234*revleg_full,0))-(((battery/range_nm)*G234*ROUND(N234*O234*revleg_full,0)*VLOOKUP(B234,country_opex,3,FALSE))+Y234+Z234+AA234+AB234+AC234))&lt;=0,"",VLOOKUP(B234,country_opex,7,FALSE)/((V234*pax_cap*load_full*ROUND(N234*O234*revleg_full,0))-(((battery/range_nm)*G234*ROUND(N234*O234*revleg_full,0)*VLOOKUP(B234,country_opex,3,FALSE))+Y234+Z234+AA234+AB234+AC234)))</f>
        <v/>
      </c>
      <c r="AZ234" s="40" t="inlineStr">
        <is>
          <t>PREMIUM tier context: Navigazione Laghi 'Escursione Como-Bellagio' EUR 24 adult round-trip (ordinary boat) = ~EUR 12 one-way x 1.08 = ~$13. The fast hydrofoil ('servizio rapido') carries a supplement above this, so $13 is a conservative one-way premium anchor.</t>
        </is>
      </c>
      <c r="BA234" s="40" t="n"/>
    </row>
    <row r="235">
      <c r="A235" s="38" t="inlineStr">
        <is>
          <t>Bolt Italy</t>
        </is>
      </c>
      <c r="B235" s="38" t="inlineStr">
        <is>
          <t>Italy</t>
        </is>
      </c>
      <c r="C235" s="39" t="inlineStr">
        <is>
          <t>Amalfi → Capri</t>
        </is>
      </c>
      <c r="D235" s="38" t="inlineStr">
        <is>
          <t>bolt</t>
        </is>
      </c>
      <c r="E235" s="40" t="inlineStr">
        <is>
          <t>bolt-italy</t>
        </is>
      </c>
      <c r="F235" s="41" t="n">
        <v>1</v>
      </c>
      <c r="G235" s="42" t="n">
        <v>16</v>
      </c>
      <c r="H235" s="35" t="n">
        <v>33</v>
      </c>
      <c r="I235" s="43" t="inlineStr">
        <is>
          <t>T2</t>
        </is>
      </c>
      <c r="J235" s="43" t="inlineStr">
        <is>
          <t>med</t>
        </is>
      </c>
      <c r="K235" s="29" t="n">
        <v>1</v>
      </c>
      <c r="L235" s="44">
        <f>60*G235/cruise_kt</f>
        <v/>
      </c>
      <c r="M235" s="44">
        <f>L235+turn_min+dwell_min</f>
        <v/>
      </c>
      <c r="N235" s="45">
        <f>MIN(10,FLOOR(60*service_hr/M235,1))</f>
        <v/>
      </c>
      <c r="O235" s="45">
        <f>ROUND(365*mech_uptime*K235,0)</f>
        <v/>
      </c>
      <c r="P235" s="46">
        <f>mech_uptime</f>
        <v/>
      </c>
      <c r="Q235" s="46">
        <f>revleg_sel</f>
        <v/>
      </c>
      <c r="R235" s="45">
        <f>ROUND(N235*O235*revleg_sel,0)</f>
        <v/>
      </c>
      <c r="S235" s="47">
        <f>load_sel</f>
        <v/>
      </c>
      <c r="T235" s="47">
        <f>pax_cap*S235</f>
        <v/>
      </c>
      <c r="U235" s="45">
        <f>T235*R235</f>
        <v/>
      </c>
      <c r="V235" s="48">
        <f>H235*discount</f>
        <v/>
      </c>
      <c r="W235" s="49">
        <f>V235*U235</f>
        <v/>
      </c>
      <c r="X235" s="49">
        <f>(battery/range_nm)*G235*R235*VLOOKUP(B235,country_opex,3,FALSE)</f>
        <v/>
      </c>
      <c r="Y235" s="49">
        <f>VLOOKUP(B235,country_opex,2,FALSE)*crew_factor</f>
        <v/>
      </c>
      <c r="Z235" s="49">
        <f>VLOOKUP(B235,country_opex,5,FALSE)</f>
        <v/>
      </c>
      <c r="AA235" s="49">
        <f>maint</f>
        <v/>
      </c>
      <c r="AB235" s="49">
        <f>VLOOKUP(B235,country_opex,7,FALSE)*ins_pct</f>
        <v/>
      </c>
      <c r="AC235" s="49">
        <f>charge_berth</f>
        <v/>
      </c>
      <c r="AD235" s="49">
        <f>X235+Y235+Z235+AA235+AB235+AC235</f>
        <v/>
      </c>
      <c r="AE235" s="49">
        <f>VLOOKUP(B235,country_opex,7,FALSE)/dep_years</f>
        <v/>
      </c>
      <c r="AF235" s="49">
        <f>W235-AD235</f>
        <v/>
      </c>
      <c r="AG235" s="46">
        <f>IF(W235=0,"",AF235/W235)</f>
        <v/>
      </c>
      <c r="AH235" s="47">
        <f>IF(AF235&lt;=0,"",VLOOKUP(B235,country_opex,7,FALSE)/AF235)</f>
        <v/>
      </c>
      <c r="AI235" s="44">
        <f>((G235*R235/diesel_nmpg)*diesel_co2pg-(battery/range_nm)*G235*R235*VLOOKUP(B235,country_opex,4,FALSE))/1000</f>
        <v/>
      </c>
      <c r="AJ235" s="42" t="n">
        <v>138000</v>
      </c>
      <c r="AK235" s="43" t="n"/>
      <c r="AL235" s="43" t="n"/>
      <c r="AM235" s="50" t="n">
        <v>0.1</v>
      </c>
      <c r="AN235" s="45">
        <f>IF(AJ235="","",AJ235*AM235)</f>
        <v/>
      </c>
      <c r="AO235" s="45">
        <f>IF(OR(AJ235="",U235=0),"",MIN(IF(AV235="",9.9E+99,AV235),FLOOR(AN235/U235,1)))</f>
        <v/>
      </c>
      <c r="AP235" s="49">
        <f>IF(AO235="","",AO235*W235)</f>
        <v/>
      </c>
      <c r="AQ235" s="47">
        <f>IF(OR(AJ235="",U235=0),"",MIN(IF(AV235="",9.9E+99,AV235),AN235/U235))</f>
        <v/>
      </c>
      <c r="AR235" s="49">
        <f>IF(AQ235="","",AQ235*W235)</f>
        <v/>
      </c>
      <c r="AS235" s="51" t="n"/>
      <c r="AT235" s="52" t="n"/>
      <c r="AU235" s="52" t="n"/>
      <c r="AV235" s="53" t="n"/>
      <c r="AW235" s="54">
        <f>IF(((V235*pax_cap*load_thin*ROUND(N235*O235*revleg_thin,0))-(((battery/range_nm)*G235*ROUND(N235*O235*revleg_thin,0)*VLOOKUP(B235,country_opex,3,FALSE))+Y235+Z235+AA235+AB235+AC235))&lt;=0,"",VLOOKUP(B235,country_opex,7,FALSE)/((V235*pax_cap*load_thin*ROUND(N235*O235*revleg_thin,0))-(((battery/range_nm)*G235*ROUND(N235*O235*revleg_thin,0)*VLOOKUP(B235,country_opex,3,FALSE))+Y235+Z235+AA235+AB235+AC235)))</f>
        <v/>
      </c>
      <c r="AX235" s="54">
        <f>IF(((V235*pax_cap*load_mid*ROUND(N235*O235*revleg_mid,0))-(((battery/range_nm)*G235*ROUND(N235*O235*revleg_mid,0)*VLOOKUP(B235,country_opex,3,FALSE))+Y235+Z235+AA235+AB235+AC235))&lt;=0,"",VLOOKUP(B235,country_opex,7,FALSE)/((V235*pax_cap*load_mid*ROUND(N235*O235*revleg_mid,0))-(((battery/range_nm)*G235*ROUND(N235*O235*revleg_mid,0)*VLOOKUP(B235,country_opex,3,FALSE))+Y235+Z235+AA235+AB235+AC235)))</f>
        <v/>
      </c>
      <c r="AY235" s="54">
        <f>IF(((V235*pax_cap*load_full*ROUND(N235*O235*revleg_full,0))-(((battery/range_nm)*G235*ROUND(N235*O235*revleg_full,0)*VLOOKUP(B235,country_opex,3,FALSE))+Y235+Z235+AA235+AB235+AC235))&lt;=0,"",VLOOKUP(B235,country_opex,7,FALSE)/((V235*pax_cap*load_full*ROUND(N235*O235*revleg_full,0))-(((battery/range_nm)*G235*ROUND(N235*O235*revleg_full,0)*VLOOKUP(B235,country_opex,3,FALSE))+Y235+Z235+AA235+AB235+AC235)))</f>
        <v/>
      </c>
      <c r="AZ235" s="40" t="inlineStr">
        <is>
          <t>PREMIUM scheduled per-seat: Amalfi-&gt;Capri fast ferry ~EUR 26-28 one-way (capri.com) + EUR 5 Capri landing = ~EUR 31-33 x 1.08 = ~$33.</t>
        </is>
      </c>
      <c r="BA235" s="40" t="n"/>
    </row>
    <row r="236">
      <c r="A236" s="38" t="inlineStr">
        <is>
          <t>Bolt Italy</t>
        </is>
      </c>
      <c r="B236" s="38" t="inlineStr">
        <is>
          <t>Italy</t>
        </is>
      </c>
      <c r="C236" s="39" t="inlineStr">
        <is>
          <t>Naples → Sorrento</t>
        </is>
      </c>
      <c r="D236" s="38" t="inlineStr">
        <is>
          <t>bolt</t>
        </is>
      </c>
      <c r="E236" s="40" t="inlineStr">
        <is>
          <t>bolt-italy</t>
        </is>
      </c>
      <c r="F236" s="41" t="n">
        <v>1</v>
      </c>
      <c r="G236" s="42" t="n">
        <v>16</v>
      </c>
      <c r="H236" s="35" t="n"/>
      <c r="I236" s="43" t="n"/>
      <c r="J236" s="43" t="n"/>
      <c r="K236" s="29" t="n">
        <v>1</v>
      </c>
      <c r="L236" s="44">
        <f>60*G236/cruise_kt</f>
        <v/>
      </c>
      <c r="M236" s="44">
        <f>L236+turn_min+dwell_min</f>
        <v/>
      </c>
      <c r="N236" s="45">
        <f>MIN(16,FLOOR(60*service_hr/M236,1))</f>
        <v/>
      </c>
      <c r="O236" s="45">
        <f>ROUND(365*mech_uptime*K236,0)</f>
        <v/>
      </c>
      <c r="P236" s="46">
        <f>mech_uptime</f>
        <v/>
      </c>
      <c r="Q236" s="46">
        <f>revleg_sel</f>
        <v/>
      </c>
      <c r="R236" s="45">
        <f>ROUND(N236*O236*revleg_sel,0)</f>
        <v/>
      </c>
      <c r="S236" s="47">
        <f>load_sel</f>
        <v/>
      </c>
      <c r="T236" s="47">
        <f>pax_cap*S236</f>
        <v/>
      </c>
      <c r="U236" s="45">
        <f>T236*R236</f>
        <v/>
      </c>
      <c r="V236" s="48">
        <f>H236*discount</f>
        <v/>
      </c>
      <c r="W236" s="49">
        <f>V236*U236</f>
        <v/>
      </c>
      <c r="X236" s="49">
        <f>(battery/range_nm)*G236*R236*VLOOKUP(B236,country_opex,3,FALSE)</f>
        <v/>
      </c>
      <c r="Y236" s="49">
        <f>VLOOKUP(B236,country_opex,2,FALSE)*crew_factor</f>
        <v/>
      </c>
      <c r="Z236" s="49">
        <f>VLOOKUP(B236,country_opex,5,FALSE)</f>
        <v/>
      </c>
      <c r="AA236" s="49">
        <f>maint</f>
        <v/>
      </c>
      <c r="AB236" s="49">
        <f>VLOOKUP(B236,country_opex,7,FALSE)*ins_pct</f>
        <v/>
      </c>
      <c r="AC236" s="49">
        <f>charge_berth</f>
        <v/>
      </c>
      <c r="AD236" s="49">
        <f>X236+Y236+Z236+AA236+AB236+AC236</f>
        <v/>
      </c>
      <c r="AE236" s="49">
        <f>VLOOKUP(B236,country_opex,7,FALSE)/dep_years</f>
        <v/>
      </c>
      <c r="AF236" s="49">
        <f>W236-AD236</f>
        <v/>
      </c>
      <c r="AG236" s="46">
        <f>IF(W236=0,"",AF236/W236)</f>
        <v/>
      </c>
      <c r="AH236" s="47">
        <f>IF(AF236&lt;=0,"",VLOOKUP(B236,country_opex,7,FALSE)/AF236)</f>
        <v/>
      </c>
      <c r="AI236" s="44">
        <f>((G236*R236/diesel_nmpg)*diesel_co2pg-(battery/range_nm)*G236*R236*VLOOKUP(B236,country_opex,4,FALSE))/1000</f>
        <v/>
      </c>
      <c r="AJ236" s="42" t="n">
        <v>200000</v>
      </c>
      <c r="AK236" s="43" t="n"/>
      <c r="AL236" s="43" t="n"/>
      <c r="AM236" s="50" t="n">
        <v>0.1</v>
      </c>
      <c r="AN236" s="45">
        <f>IF(AJ236="","",AJ236*AM236)</f>
        <v/>
      </c>
      <c r="AO236" s="45">
        <f>IF(OR(AJ236="",U236=0),"",MIN(IF(AV236="",9.9E+99,AV236),FLOOR(AN236/U236,1)))</f>
        <v/>
      </c>
      <c r="AP236" s="49">
        <f>IF(AO236="","",AO236*W236)</f>
        <v/>
      </c>
      <c r="AQ236" s="47">
        <f>IF(OR(AJ236="",U236=0),"",MIN(IF(AV236="",9.9E+99,AV236),AN236/U236))</f>
        <v/>
      </c>
      <c r="AR236" s="49">
        <f>IF(AQ236="","",AQ236*W236)</f>
        <v/>
      </c>
      <c r="AS236" s="51" t="n"/>
      <c r="AT236" s="52" t="n"/>
      <c r="AU236" s="52" t="n"/>
      <c r="AV236" s="53" t="n"/>
      <c r="AW236" s="54">
        <f>IF(((V236*pax_cap*load_thin*ROUND(N236*O236*revleg_thin,0))-(((battery/range_nm)*G236*ROUND(N236*O236*revleg_thin,0)*VLOOKUP(B236,country_opex,3,FALSE))+Y236+Z236+AA236+AB236+AC236))&lt;=0,"",VLOOKUP(B236,country_opex,7,FALSE)/((V236*pax_cap*load_thin*ROUND(N236*O236*revleg_thin,0))-(((battery/range_nm)*G236*ROUND(N236*O236*revleg_thin,0)*VLOOKUP(B236,country_opex,3,FALSE))+Y236+Z236+AA236+AB236+AC236)))</f>
        <v/>
      </c>
      <c r="AX236" s="54">
        <f>IF(((V236*pax_cap*load_mid*ROUND(N236*O236*revleg_mid,0))-(((battery/range_nm)*G236*ROUND(N236*O236*revleg_mid,0)*VLOOKUP(B236,country_opex,3,FALSE))+Y236+Z236+AA236+AB236+AC236))&lt;=0,"",VLOOKUP(B236,country_opex,7,FALSE)/((V236*pax_cap*load_mid*ROUND(N236*O236*revleg_mid,0))-(((battery/range_nm)*G236*ROUND(N236*O236*revleg_mid,0)*VLOOKUP(B236,country_opex,3,FALSE))+Y236+Z236+AA236+AB236+AC236)))</f>
        <v/>
      </c>
      <c r="AY236" s="54">
        <f>IF(((V236*pax_cap*load_full*ROUND(N236*O236*revleg_full,0))-(((battery/range_nm)*G236*ROUND(N236*O236*revleg_full,0)*VLOOKUP(B236,country_opex,3,FALSE))+Y236+Z236+AA236+AB236+AC236))&lt;=0,"",VLOOKUP(B236,country_opex,7,FALSE)/((V236*pax_cap*load_full*ROUND(N236*O236*revleg_full,0))-(((battery/range_nm)*G236*ROUND(N236*O236*revleg_full,0)*VLOOKUP(B236,country_opex,3,FALSE))+Y236+Z236+AA236+AB236+AC236)))</f>
        <v/>
      </c>
      <c r="AZ236" s="40" t="n"/>
      <c r="BA236" s="40" t="n"/>
    </row>
    <row r="237">
      <c r="A237" s="38" t="inlineStr">
        <is>
          <t>Bolt Italy</t>
        </is>
      </c>
      <c r="B237" s="38" t="inlineStr">
        <is>
          <t>Italy</t>
        </is>
      </c>
      <c r="C237" s="39" t="inlineStr">
        <is>
          <t>Naples → Capri</t>
        </is>
      </c>
      <c r="D237" s="38" t="inlineStr">
        <is>
          <t>bolt</t>
        </is>
      </c>
      <c r="E237" s="40" t="inlineStr">
        <is>
          <t>bolt-italy</t>
        </is>
      </c>
      <c r="F237" s="41" t="n">
        <v>1</v>
      </c>
      <c r="G237" s="42" t="n">
        <v>17</v>
      </c>
      <c r="H237" s="35" t="n">
        <v>32</v>
      </c>
      <c r="I237" s="43" t="inlineStr">
        <is>
          <t>T2</t>
        </is>
      </c>
      <c r="J237" s="43" t="inlineStr">
        <is>
          <t>med</t>
        </is>
      </c>
      <c r="K237" s="29" t="n">
        <v>1</v>
      </c>
      <c r="L237" s="44">
        <f>60*G237/cruise_kt</f>
        <v/>
      </c>
      <c r="M237" s="44">
        <f>L237+turn_min+dwell_min</f>
        <v/>
      </c>
      <c r="N237" s="45">
        <f>MIN(10,FLOOR(60*service_hr/M237,1))</f>
        <v/>
      </c>
      <c r="O237" s="45">
        <f>ROUND(365*mech_uptime*K237,0)</f>
        <v/>
      </c>
      <c r="P237" s="46">
        <f>mech_uptime</f>
        <v/>
      </c>
      <c r="Q237" s="46">
        <f>revleg_sel</f>
        <v/>
      </c>
      <c r="R237" s="45">
        <f>ROUND(N237*O237*revleg_sel,0)</f>
        <v/>
      </c>
      <c r="S237" s="47">
        <f>load_sel</f>
        <v/>
      </c>
      <c r="T237" s="47">
        <f>pax_cap*S237</f>
        <v/>
      </c>
      <c r="U237" s="45">
        <f>T237*R237</f>
        <v/>
      </c>
      <c r="V237" s="48">
        <f>H237*discount</f>
        <v/>
      </c>
      <c r="W237" s="49">
        <f>V237*U237</f>
        <v/>
      </c>
      <c r="X237" s="49">
        <f>(battery/range_nm)*G237*R237*VLOOKUP(B237,country_opex,3,FALSE)</f>
        <v/>
      </c>
      <c r="Y237" s="49">
        <f>VLOOKUP(B237,country_opex,2,FALSE)*crew_factor</f>
        <v/>
      </c>
      <c r="Z237" s="49">
        <f>VLOOKUP(B237,country_opex,5,FALSE)</f>
        <v/>
      </c>
      <c r="AA237" s="49">
        <f>maint</f>
        <v/>
      </c>
      <c r="AB237" s="49">
        <f>VLOOKUP(B237,country_opex,7,FALSE)*ins_pct</f>
        <v/>
      </c>
      <c r="AC237" s="49">
        <f>charge_berth</f>
        <v/>
      </c>
      <c r="AD237" s="49">
        <f>X237+Y237+Z237+AA237+AB237+AC237</f>
        <v/>
      </c>
      <c r="AE237" s="49">
        <f>VLOOKUP(B237,country_opex,7,FALSE)/dep_years</f>
        <v/>
      </c>
      <c r="AF237" s="49">
        <f>W237-AD237</f>
        <v/>
      </c>
      <c r="AG237" s="46">
        <f>IF(W237=0,"",AF237/W237)</f>
        <v/>
      </c>
      <c r="AH237" s="47">
        <f>IF(AF237&lt;=0,"",VLOOKUP(B237,country_opex,7,FALSE)/AF237)</f>
        <v/>
      </c>
      <c r="AI237" s="44">
        <f>((G237*R237/diesel_nmpg)*diesel_co2pg-(battery/range_nm)*G237*R237*VLOOKUP(B237,country_opex,4,FALSE))/1000</f>
        <v/>
      </c>
      <c r="AJ237" s="42" t="n">
        <v>1265000</v>
      </c>
      <c r="AK237" s="43" t="n"/>
      <c r="AL237" s="43" t="n"/>
      <c r="AM237" s="50" t="n">
        <v>0.1</v>
      </c>
      <c r="AN237" s="45">
        <f>IF(AJ237="","",AJ237*AM237)</f>
        <v/>
      </c>
      <c r="AO237" s="45">
        <f>IF(OR(AJ237="",U237=0),"",MIN(IF(AV237="",9.9E+99,AV237),FLOOR(AN237/U237,1)))</f>
        <v/>
      </c>
      <c r="AP237" s="49">
        <f>IF(AO237="","",AO237*W237)</f>
        <v/>
      </c>
      <c r="AQ237" s="47">
        <f>IF(OR(AJ237="",U237=0),"",MIN(IF(AV237="",9.9E+99,AV237),AN237/U237))</f>
        <v/>
      </c>
      <c r="AR237" s="49">
        <f>IF(AQ237="","",AQ237*W237)</f>
        <v/>
      </c>
      <c r="AS237" s="51" t="n"/>
      <c r="AT237" s="52" t="n"/>
      <c r="AU237" s="52" t="n"/>
      <c r="AV237" s="53" t="n"/>
      <c r="AW237" s="54">
        <f>IF(((V237*pax_cap*load_thin*ROUND(N237*O237*revleg_thin,0))-(((battery/range_nm)*G237*ROUND(N237*O237*revleg_thin,0)*VLOOKUP(B237,country_opex,3,FALSE))+Y237+Z237+AA237+AB237+AC237))&lt;=0,"",VLOOKUP(B237,country_opex,7,FALSE)/((V237*pax_cap*load_thin*ROUND(N237*O237*revleg_thin,0))-(((battery/range_nm)*G237*ROUND(N237*O237*revleg_thin,0)*VLOOKUP(B237,country_opex,3,FALSE))+Y237+Z237+AA237+AB237+AC237)))</f>
        <v/>
      </c>
      <c r="AX237" s="54">
        <f>IF(((V237*pax_cap*load_mid*ROUND(N237*O237*revleg_mid,0))-(((battery/range_nm)*G237*ROUND(N237*O237*revleg_mid,0)*VLOOKUP(B237,country_opex,3,FALSE))+Y237+Z237+AA237+AB237+AC237))&lt;=0,"",VLOOKUP(B237,country_opex,7,FALSE)/((V237*pax_cap*load_mid*ROUND(N237*O237*revleg_mid,0))-(((battery/range_nm)*G237*ROUND(N237*O237*revleg_mid,0)*VLOOKUP(B237,country_opex,3,FALSE))+Y237+Z237+AA237+AB237+AC237)))</f>
        <v/>
      </c>
      <c r="AY237" s="54">
        <f>IF(((V237*pax_cap*load_full*ROUND(N237*O237*revleg_full,0))-(((battery/range_nm)*G237*ROUND(N237*O237*revleg_full,0)*VLOOKUP(B237,country_opex,3,FALSE))+Y237+Z237+AA237+AB237+AC237))&lt;=0,"",VLOOKUP(B237,country_opex,7,FALSE)/((V237*pax_cap*load_full*ROUND(N237*O237*revleg_full,0))-(((battery/range_nm)*G237*ROUND(N237*O237*revleg_full,0)*VLOOKUP(B237,country_opex,3,FALSE))+Y237+Z237+AA237+AB237+AC237)))</f>
        <v/>
      </c>
      <c r="AZ237" s="40" t="inlineStr">
        <is>
          <t>PREMIUM scheduled per-seat: NLG/SNAV/Caremar fast aliscafo Napoli(Beverello)-&gt;Capri ~EUR 25 one-way + EUR 5 Capri landing contribution (Apr-Oct) = ~EUR 30 x 1.08 = ~$32. (Ferryhopper shows Naples-Capri from ~EUR 20; aliscafo tier ~EUR 23-27.)</t>
        </is>
      </c>
      <c r="BA237" s="40" t="n"/>
    </row>
    <row r="238">
      <c r="A238" s="38" t="inlineStr">
        <is>
          <t>Bolt Italy</t>
        </is>
      </c>
      <c r="B238" s="38" t="inlineStr">
        <is>
          <t>Italy</t>
        </is>
      </c>
      <c r="C238" s="39" t="inlineStr">
        <is>
          <t>Naples → Ischia</t>
        </is>
      </c>
      <c r="D238" s="38" t="inlineStr">
        <is>
          <t>bolt</t>
        </is>
      </c>
      <c r="E238" s="40" t="inlineStr">
        <is>
          <t>bolt-italy</t>
        </is>
      </c>
      <c r="F238" s="41" t="n">
        <v>1</v>
      </c>
      <c r="G238" s="42" t="n">
        <v>18</v>
      </c>
      <c r="H238" s="35" t="n">
        <v>25</v>
      </c>
      <c r="I238" s="43" t="inlineStr">
        <is>
          <t>T2</t>
        </is>
      </c>
      <c r="J238" s="43" t="inlineStr">
        <is>
          <t>med</t>
        </is>
      </c>
      <c r="K238" s="29" t="n">
        <v>1</v>
      </c>
      <c r="L238" s="44">
        <f>60*G238/cruise_kt</f>
        <v/>
      </c>
      <c r="M238" s="44">
        <f>L238+turn_min+dwell_min</f>
        <v/>
      </c>
      <c r="N238" s="45">
        <f>MIN(10,FLOOR(60*service_hr/M238,1))</f>
        <v/>
      </c>
      <c r="O238" s="45">
        <f>ROUND(365*mech_uptime*K238,0)</f>
        <v/>
      </c>
      <c r="P238" s="46">
        <f>mech_uptime</f>
        <v/>
      </c>
      <c r="Q238" s="46">
        <f>revleg_sel</f>
        <v/>
      </c>
      <c r="R238" s="45">
        <f>ROUND(N238*O238*revleg_sel,0)</f>
        <v/>
      </c>
      <c r="S238" s="47">
        <f>load_sel</f>
        <v/>
      </c>
      <c r="T238" s="47">
        <f>pax_cap*S238</f>
        <v/>
      </c>
      <c r="U238" s="45">
        <f>T238*R238</f>
        <v/>
      </c>
      <c r="V238" s="48">
        <f>H238*discount</f>
        <v/>
      </c>
      <c r="W238" s="49">
        <f>V238*U238</f>
        <v/>
      </c>
      <c r="X238" s="49">
        <f>(battery/range_nm)*G238*R238*VLOOKUP(B238,country_opex,3,FALSE)</f>
        <v/>
      </c>
      <c r="Y238" s="49">
        <f>VLOOKUP(B238,country_opex,2,FALSE)*crew_factor</f>
        <v/>
      </c>
      <c r="Z238" s="49">
        <f>VLOOKUP(B238,country_opex,5,FALSE)</f>
        <v/>
      </c>
      <c r="AA238" s="49">
        <f>maint</f>
        <v/>
      </c>
      <c r="AB238" s="49">
        <f>VLOOKUP(B238,country_opex,7,FALSE)*ins_pct</f>
        <v/>
      </c>
      <c r="AC238" s="49">
        <f>charge_berth</f>
        <v/>
      </c>
      <c r="AD238" s="49">
        <f>X238+Y238+Z238+AA238+AB238+AC238</f>
        <v/>
      </c>
      <c r="AE238" s="49">
        <f>VLOOKUP(B238,country_opex,7,FALSE)/dep_years</f>
        <v/>
      </c>
      <c r="AF238" s="49">
        <f>W238-AD238</f>
        <v/>
      </c>
      <c r="AG238" s="46">
        <f>IF(W238=0,"",AF238/W238)</f>
        <v/>
      </c>
      <c r="AH238" s="47">
        <f>IF(AF238&lt;=0,"",VLOOKUP(B238,country_opex,7,FALSE)/AF238)</f>
        <v/>
      </c>
      <c r="AI238" s="44">
        <f>((G238*R238/diesel_nmpg)*diesel_co2pg-(battery/range_nm)*G238*R238*VLOOKUP(B238,country_opex,4,FALSE))/1000</f>
        <v/>
      </c>
      <c r="AJ238" s="42" t="n">
        <v>675000</v>
      </c>
      <c r="AK238" s="43" t="n"/>
      <c r="AL238" s="43" t="n"/>
      <c r="AM238" s="50" t="n">
        <v>0.1</v>
      </c>
      <c r="AN238" s="45">
        <f>IF(AJ238="","",AJ238*AM238)</f>
        <v/>
      </c>
      <c r="AO238" s="45">
        <f>IF(OR(AJ238="",U238=0),"",MIN(IF(AV238="",9.9E+99,AV238),FLOOR(AN238/U238,1)))</f>
        <v/>
      </c>
      <c r="AP238" s="49">
        <f>IF(AO238="","",AO238*W238)</f>
        <v/>
      </c>
      <c r="AQ238" s="47">
        <f>IF(OR(AJ238="",U238=0),"",MIN(IF(AV238="",9.9E+99,AV238),AN238/U238))</f>
        <v/>
      </c>
      <c r="AR238" s="49">
        <f>IF(AQ238="","",AQ238*W238)</f>
        <v/>
      </c>
      <c r="AS238" s="51" t="n"/>
      <c r="AT238" s="52" t="n"/>
      <c r="AU238" s="52" t="n"/>
      <c r="AV238" s="53" t="n"/>
      <c r="AW238" s="54">
        <f>IF(((V238*pax_cap*load_thin*ROUND(N238*O238*revleg_thin,0))-(((battery/range_nm)*G238*ROUND(N238*O238*revleg_thin,0)*VLOOKUP(B238,country_opex,3,FALSE))+Y238+Z238+AA238+AB238+AC238))&lt;=0,"",VLOOKUP(B238,country_opex,7,FALSE)/((V238*pax_cap*load_thin*ROUND(N238*O238*revleg_thin,0))-(((battery/range_nm)*G238*ROUND(N238*O238*revleg_thin,0)*VLOOKUP(B238,country_opex,3,FALSE))+Y238+Z238+AA238+AB238+AC238)))</f>
        <v/>
      </c>
      <c r="AX238" s="54">
        <f>IF(((V238*pax_cap*load_mid*ROUND(N238*O238*revleg_mid,0))-(((battery/range_nm)*G238*ROUND(N238*O238*revleg_mid,0)*VLOOKUP(B238,country_opex,3,FALSE))+Y238+Z238+AA238+AB238+AC238))&lt;=0,"",VLOOKUP(B238,country_opex,7,FALSE)/((V238*pax_cap*load_mid*ROUND(N238*O238*revleg_mid,0))-(((battery/range_nm)*G238*ROUND(N238*O238*revleg_mid,0)*VLOOKUP(B238,country_opex,3,FALSE))+Y238+Z238+AA238+AB238+AC238)))</f>
        <v/>
      </c>
      <c r="AY238" s="54">
        <f>IF(((V238*pax_cap*load_full*ROUND(N238*O238*revleg_full,0))-(((battery/range_nm)*G238*ROUND(N238*O238*revleg_full,0)*VLOOKUP(B238,country_opex,3,FALSE))+Y238+Z238+AA238+AB238+AC238))&lt;=0,"",VLOOKUP(B238,country_opex,7,FALSE)/((V238*pax_cap*load_full*ROUND(N238*O238*revleg_full,0))-(((battery/range_nm)*G238*ROUND(N238*O238*revleg_full,0)*VLOOKUP(B238,country_opex,3,FALSE))+Y238+Z238+AA238+AB238+AC238)))</f>
        <v/>
      </c>
      <c r="AZ238" s="40" t="inlineStr">
        <is>
          <t>PREMIUM scheduled per-seat = Alilauro/Caremar fast aliscafo Napoli(Beverello)-&gt;Ischia ~EUR 22-23 one-way (Alilauro EUR 22.20; Caremar EUR 20.40) x 1.08 = ~$25. (No island landing fee like Capri.)</t>
        </is>
      </c>
      <c r="BA238" s="40" t="n"/>
    </row>
    <row r="239">
      <c r="A239" s="38" t="inlineStr">
        <is>
          <t>Bolt Italy</t>
        </is>
      </c>
      <c r="B239" s="38" t="inlineStr">
        <is>
          <t>Italy</t>
        </is>
      </c>
      <c r="C239" s="39" t="inlineStr">
        <is>
          <t>Portofino → Cinque Terre</t>
        </is>
      </c>
      <c r="D239" s="38" t="inlineStr">
        <is>
          <t>bolt</t>
        </is>
      </c>
      <c r="E239" s="40" t="inlineStr">
        <is>
          <t>bolt-italy</t>
        </is>
      </c>
      <c r="F239" s="41" t="n">
        <v>1</v>
      </c>
      <c r="G239" s="42" t="n">
        <v>22</v>
      </c>
      <c r="H239" s="35" t="n">
        <v>37.8</v>
      </c>
      <c r="I239" s="43" t="inlineStr">
        <is>
          <t>T2</t>
        </is>
      </c>
      <c r="J239" s="43" t="inlineStr">
        <is>
          <t>med</t>
        </is>
      </c>
      <c r="K239" s="29" t="n">
        <v>1</v>
      </c>
      <c r="L239" s="44">
        <f>60*G239/cruise_kt</f>
        <v/>
      </c>
      <c r="M239" s="44">
        <f>L239+turn_min+dwell_min</f>
        <v/>
      </c>
      <c r="N239" s="45">
        <f>MIN(10,FLOOR(60*service_hr/M239,1))</f>
        <v/>
      </c>
      <c r="O239" s="45">
        <f>ROUND(365*mech_uptime*K239,0)</f>
        <v/>
      </c>
      <c r="P239" s="46">
        <f>mech_uptime</f>
        <v/>
      </c>
      <c r="Q239" s="46">
        <f>revleg_sel</f>
        <v/>
      </c>
      <c r="R239" s="45">
        <f>ROUND(N239*O239*revleg_sel,0)</f>
        <v/>
      </c>
      <c r="S239" s="47">
        <f>load_sel</f>
        <v/>
      </c>
      <c r="T239" s="47">
        <f>pax_cap*S239</f>
        <v/>
      </c>
      <c r="U239" s="45">
        <f>T239*R239</f>
        <v/>
      </c>
      <c r="V239" s="48">
        <f>H239*discount</f>
        <v/>
      </c>
      <c r="W239" s="49">
        <f>V239*U239</f>
        <v/>
      </c>
      <c r="X239" s="49">
        <f>(battery/range_nm)*G239*R239*VLOOKUP(B239,country_opex,3,FALSE)</f>
        <v/>
      </c>
      <c r="Y239" s="49">
        <f>VLOOKUP(B239,country_opex,2,FALSE)*crew_factor</f>
        <v/>
      </c>
      <c r="Z239" s="49">
        <f>VLOOKUP(B239,country_opex,5,FALSE)</f>
        <v/>
      </c>
      <c r="AA239" s="49">
        <f>maint</f>
        <v/>
      </c>
      <c r="AB239" s="49">
        <f>VLOOKUP(B239,country_opex,7,FALSE)*ins_pct</f>
        <v/>
      </c>
      <c r="AC239" s="49">
        <f>charge_berth</f>
        <v/>
      </c>
      <c r="AD239" s="49">
        <f>X239+Y239+Z239+AA239+AB239+AC239</f>
        <v/>
      </c>
      <c r="AE239" s="49">
        <f>VLOOKUP(B239,country_opex,7,FALSE)/dep_years</f>
        <v/>
      </c>
      <c r="AF239" s="49">
        <f>W239-AD239</f>
        <v/>
      </c>
      <c r="AG239" s="46">
        <f>IF(W239=0,"",AF239/W239)</f>
        <v/>
      </c>
      <c r="AH239" s="47">
        <f>IF(AF239&lt;=0,"",VLOOKUP(B239,country_opex,7,FALSE)/AF239)</f>
        <v/>
      </c>
      <c r="AI239" s="44">
        <f>((G239*R239/diesel_nmpg)*diesel_co2pg-(battery/range_nm)*G239*R239*VLOOKUP(B239,country_opex,4,FALSE))/1000</f>
        <v/>
      </c>
      <c r="AJ239" s="42" t="n">
        <v>40000</v>
      </c>
      <c r="AK239" s="43" t="n"/>
      <c r="AL239" s="43" t="n"/>
      <c r="AM239" s="50" t="n">
        <v>0.1</v>
      </c>
      <c r="AN239" s="45">
        <f>IF(AJ239="","",AJ239*AM239)</f>
        <v/>
      </c>
      <c r="AO239" s="45">
        <f>IF(OR(AJ239="",U239=0),"",MIN(IF(AV239="",9.9E+99,AV239),FLOOR(AN239/U239,1)))</f>
        <v/>
      </c>
      <c r="AP239" s="49">
        <f>IF(AO239="","",AO239*W239)</f>
        <v/>
      </c>
      <c r="AQ239" s="47">
        <f>IF(OR(AJ239="",U239=0),"",MIN(IF(AV239="",9.9E+99,AV239),AN239/U239))</f>
        <v/>
      </c>
      <c r="AR239" s="49">
        <f>IF(AQ239="","",AQ239*W239)</f>
        <v/>
      </c>
      <c r="AS239" s="51" t="n"/>
      <c r="AT239" s="52" t="n"/>
      <c r="AU239" s="52" t="n"/>
      <c r="AV239" s="53" t="n"/>
      <c r="AW239" s="54">
        <f>IF(((V239*pax_cap*load_thin*ROUND(N239*O239*revleg_thin,0))-(((battery/range_nm)*G239*ROUND(N239*O239*revleg_thin,0)*VLOOKUP(B239,country_opex,3,FALSE))+Y239+Z239+AA239+AB239+AC239))&lt;=0,"",VLOOKUP(B239,country_opex,7,FALSE)/((V239*pax_cap*load_thin*ROUND(N239*O239*revleg_thin,0))-(((battery/range_nm)*G239*ROUND(N239*O239*revleg_thin,0)*VLOOKUP(B239,country_opex,3,FALSE))+Y239+Z239+AA239+AB239+AC239)))</f>
        <v/>
      </c>
      <c r="AX239" s="54">
        <f>IF(((V239*pax_cap*load_mid*ROUND(N239*O239*revleg_mid,0))-(((battery/range_nm)*G239*ROUND(N239*O239*revleg_mid,0)*VLOOKUP(B239,country_opex,3,FALSE))+Y239+Z239+AA239+AB239+AC239))&lt;=0,"",VLOOKUP(B239,country_opex,7,FALSE)/((V239*pax_cap*load_mid*ROUND(N239*O239*revleg_mid,0))-(((battery/range_nm)*G239*ROUND(N239*O239*revleg_mid,0)*VLOOKUP(B239,country_opex,3,FALSE))+Y239+Z239+AA239+AB239+AC239)))</f>
        <v/>
      </c>
      <c r="AY239" s="54">
        <f>IF(((V239*pax_cap*load_full*ROUND(N239*O239*revleg_full,0))-(((battery/range_nm)*G239*ROUND(N239*O239*revleg_full,0)*VLOOKUP(B239,country_opex,3,FALSE))+Y239+Z239+AA239+AB239+AC239))&lt;=0,"",VLOOKUP(B239,country_opex,7,FALSE)/((V239*pax_cap*load_full*ROUND(N239*O239*revleg_full,0))-(((battery/range_nm)*G239*ROUND(N239*O239*revleg_full,0)*VLOOKUP(B239,country_opex,3,FALSE))+Y239+Z239+AA239+AB239+AC239)))</f>
        <v/>
      </c>
      <c r="AZ239" s="40" t="inlineStr">
        <is>
          <t>PREMIUM scheduled per-seat: Golfo Paradiso Portofino-&gt;Cinque Terre EUR 35 one-way (A/R EUR 50) x 1.08 = ~$37.8.</t>
        </is>
      </c>
      <c r="BA239" s="40" t="n"/>
    </row>
    <row r="240">
      <c r="A240" s="38" t="inlineStr">
        <is>
          <t>Yango Caspian Kz</t>
        </is>
      </c>
      <c r="B240" s="38" t="inlineStr">
        <is>
          <t>Kazakhstan</t>
        </is>
      </c>
      <c r="C240" s="39" t="inlineStr">
        <is>
          <t>Aktau Port → Kuryk</t>
        </is>
      </c>
      <c r="D240" s="38" t="inlineStr">
        <is>
          <t>yango</t>
        </is>
      </c>
      <c r="E240" s="40" t="inlineStr">
        <is>
          <t>yango-caspian-kz</t>
        </is>
      </c>
      <c r="F240" s="41" t="n">
        <v>1</v>
      </c>
      <c r="G240" s="42" t="n">
        <v>35</v>
      </c>
      <c r="H240" s="35" t="n"/>
      <c r="I240" s="43" t="inlineStr">
        <is>
          <t>T5</t>
        </is>
      </c>
      <c r="J240" s="43" t="inlineStr">
        <is>
          <t>low</t>
        </is>
      </c>
      <c r="K240" s="29" t="n">
        <v>1</v>
      </c>
      <c r="L240" s="44">
        <f>60*G240/cruise_kt</f>
        <v/>
      </c>
      <c r="M240" s="44">
        <f>L240+turn_min+dwell_min</f>
        <v/>
      </c>
      <c r="N240" s="45">
        <f>MIN(10,FLOOR(60*service_hr/M240,1))</f>
        <v/>
      </c>
      <c r="O240" s="45">
        <f>ROUND(365*mech_uptime*K240,0)</f>
        <v/>
      </c>
      <c r="P240" s="46">
        <f>mech_uptime</f>
        <v/>
      </c>
      <c r="Q240" s="46">
        <f>revleg_sel</f>
        <v/>
      </c>
      <c r="R240" s="45">
        <f>ROUND(N240*O240*revleg_sel,0)</f>
        <v/>
      </c>
      <c r="S240" s="47">
        <f>load_sel</f>
        <v/>
      </c>
      <c r="T240" s="47">
        <f>pax_cap*S240</f>
        <v/>
      </c>
      <c r="U240" s="45">
        <f>T240*R240</f>
        <v/>
      </c>
      <c r="V240" s="48">
        <f>H240*discount</f>
        <v/>
      </c>
      <c r="W240" s="49">
        <f>V240*U240</f>
        <v/>
      </c>
      <c r="X240" s="49">
        <f>(battery/range_nm)*G240*R240*VLOOKUP(B240,country_opex,3,FALSE)</f>
        <v/>
      </c>
      <c r="Y240" s="49">
        <f>VLOOKUP(B240,country_opex,2,FALSE)*crew_factor</f>
        <v/>
      </c>
      <c r="Z240" s="49">
        <f>VLOOKUP(B240,country_opex,5,FALSE)</f>
        <v/>
      </c>
      <c r="AA240" s="49">
        <f>maint</f>
        <v/>
      </c>
      <c r="AB240" s="49">
        <f>VLOOKUP(B240,country_opex,7,FALSE)*ins_pct</f>
        <v/>
      </c>
      <c r="AC240" s="49">
        <f>charge_berth</f>
        <v/>
      </c>
      <c r="AD240" s="49">
        <f>X240+Y240+Z240+AA240+AB240+AC240</f>
        <v/>
      </c>
      <c r="AE240" s="49">
        <f>VLOOKUP(B240,country_opex,7,FALSE)/dep_years</f>
        <v/>
      </c>
      <c r="AF240" s="49">
        <f>W240-AD240</f>
        <v/>
      </c>
      <c r="AG240" s="46">
        <f>IF(W240=0,"",AF240/W240)</f>
        <v/>
      </c>
      <c r="AH240" s="47">
        <f>IF(AF240&lt;=0,"",VLOOKUP(B240,country_opex,7,FALSE)/AF240)</f>
        <v/>
      </c>
      <c r="AI240" s="44">
        <f>((G240*R240/diesel_nmpg)*diesel_co2pg-(battery/range_nm)*G240*R240*VLOOKUP(B240,country_opex,4,FALSE))/1000</f>
        <v/>
      </c>
      <c r="AJ240" s="42" t="n"/>
      <c r="AK240" s="43" t="inlineStr">
        <is>
          <t>T5</t>
        </is>
      </c>
      <c r="AL240" s="43" t="inlineStr">
        <is>
          <t>low</t>
        </is>
      </c>
      <c r="AM240" s="50" t="n">
        <v>0.1</v>
      </c>
      <c r="AN240" s="45">
        <f>IF(AJ240="","",AJ240*AM240)</f>
        <v/>
      </c>
      <c r="AO240" s="45">
        <f>IF(OR(AJ240="",U240=0),"",MIN(IF(AV240="",9.9E+99,AV240),FLOOR(AN240/U240,1)))</f>
        <v/>
      </c>
      <c r="AP240" s="49">
        <f>IF(AO240="","",AO240*W240)</f>
        <v/>
      </c>
      <c r="AQ240" s="47">
        <f>IF(OR(AJ240="",U240=0),"",MIN(IF(AV240="",9.9E+99,AV240),AN240/U240))</f>
        <v/>
      </c>
      <c r="AR240" s="49">
        <f>IF(AQ240="","",AQ240*W240)</f>
        <v/>
      </c>
      <c r="AS240" s="51" t="n"/>
      <c r="AT240" s="52" t="n"/>
      <c r="AU240" s="52" t="n"/>
      <c r="AV240" s="53" t="n"/>
      <c r="AW240" s="54">
        <f>IF(((V240*pax_cap*load_thin*ROUND(N240*O240*revleg_thin,0))-(((battery/range_nm)*G240*ROUND(N240*O240*revleg_thin,0)*VLOOKUP(B240,country_opex,3,FALSE))+Y240+Z240+AA240+AB240+AC240))&lt;=0,"",VLOOKUP(B240,country_opex,7,FALSE)/((V240*pax_cap*load_thin*ROUND(N240*O240*revleg_thin,0))-(((battery/range_nm)*G240*ROUND(N240*O240*revleg_thin,0)*VLOOKUP(B240,country_opex,3,FALSE))+Y240+Z240+AA240+AB240+AC240)))</f>
        <v/>
      </c>
      <c r="AX240" s="54">
        <f>IF(((V240*pax_cap*load_mid*ROUND(N240*O240*revleg_mid,0))-(((battery/range_nm)*G240*ROUND(N240*O240*revleg_mid,0)*VLOOKUP(B240,country_opex,3,FALSE))+Y240+Z240+AA240+AB240+AC240))&lt;=0,"",VLOOKUP(B240,country_opex,7,FALSE)/((V240*pax_cap*load_mid*ROUND(N240*O240*revleg_mid,0))-(((battery/range_nm)*G240*ROUND(N240*O240*revleg_mid,0)*VLOOKUP(B240,country_opex,3,FALSE))+Y240+Z240+AA240+AB240+AC240)))</f>
        <v/>
      </c>
      <c r="AY240" s="54">
        <f>IF(((V240*pax_cap*load_full*ROUND(N240*O240*revleg_full,0))-(((battery/range_nm)*G240*ROUND(N240*O240*revleg_full,0)*VLOOKUP(B240,country_opex,3,FALSE))+Y240+Z240+AA240+AB240+AC240))&lt;=0,"",VLOOKUP(B240,country_opex,7,FALSE)/((V240*pax_cap*load_full*ROUND(N240*O240*revleg_full,0))-(((battery/range_nm)*G240*ROUND(N240*O240*revleg_full,0)*VLOOKUP(B240,country_opex,3,FALSE))+Y240+Z240+AA240+AB240+AC240)))</f>
        <v/>
      </c>
      <c r="AZ240" s="40" t="inlineStr">
        <is>
          <t>TBD — Tier-B headline placeholder</t>
        </is>
      </c>
      <c r="BA240" s="40" t="inlineStr">
        <is>
          <t>TBD — Tier-B headline placeholder</t>
        </is>
      </c>
    </row>
    <row r="241">
      <c r="A241" s="38" t="inlineStr">
        <is>
          <t>Yango Caspian Kz</t>
        </is>
      </c>
      <c r="B241" s="38" t="inlineStr">
        <is>
          <t>Kazakhstan</t>
        </is>
      </c>
      <c r="C241" s="39" t="inlineStr">
        <is>
          <t>Aktau (Aktau Sea Port / city seafront) → Bautino / Fort-Shevchenko (Tupkaragan peninsula)</t>
        </is>
      </c>
      <c r="D241" s="38" t="inlineStr">
        <is>
          <t>yango</t>
        </is>
      </c>
      <c r="E241" s="40" t="inlineStr">
        <is>
          <t>yango-caspian-kz</t>
        </is>
      </c>
      <c r="F241" s="41" t="n">
        <v>1</v>
      </c>
      <c r="G241" s="42" t="n">
        <v>55</v>
      </c>
      <c r="H241" s="35" t="n">
        <v>50</v>
      </c>
      <c r="I241" s="43" t="inlineStr">
        <is>
          <t>T2</t>
        </is>
      </c>
      <c r="J241" s="43" t="inlineStr">
        <is>
          <t>med</t>
        </is>
      </c>
      <c r="K241" s="29" t="n">
        <v>1</v>
      </c>
      <c r="L241" s="44">
        <f>60*G241/cruise_kt</f>
        <v/>
      </c>
      <c r="M241" s="44">
        <f>L241+turn_min+dwell_min</f>
        <v/>
      </c>
      <c r="N241" s="45">
        <f>MIN(16,FLOOR(60*service_hr/M241,1))</f>
        <v/>
      </c>
      <c r="O241" s="45">
        <f>ROUND(365*mech_uptime*K241,0)</f>
        <v/>
      </c>
      <c r="P241" s="46">
        <f>mech_uptime</f>
        <v/>
      </c>
      <c r="Q241" s="46">
        <f>revleg_sel</f>
        <v/>
      </c>
      <c r="R241" s="45">
        <f>ROUND(N241*O241*revleg_sel,0)</f>
        <v/>
      </c>
      <c r="S241" s="47">
        <f>load_sel</f>
        <v/>
      </c>
      <c r="T241" s="47">
        <f>pax_cap*S241</f>
        <v/>
      </c>
      <c r="U241" s="45">
        <f>T241*R241</f>
        <v/>
      </c>
      <c r="V241" s="48">
        <f>H241*discount</f>
        <v/>
      </c>
      <c r="W241" s="49">
        <f>V241*U241</f>
        <v/>
      </c>
      <c r="X241" s="49">
        <f>(battery/range_nm)*G241*R241*VLOOKUP(B241,country_opex,3,FALSE)</f>
        <v/>
      </c>
      <c r="Y241" s="49">
        <f>VLOOKUP(B241,country_opex,2,FALSE)*crew_factor</f>
        <v/>
      </c>
      <c r="Z241" s="49">
        <f>VLOOKUP(B241,country_opex,5,FALSE)</f>
        <v/>
      </c>
      <c r="AA241" s="49">
        <f>maint</f>
        <v/>
      </c>
      <c r="AB241" s="49">
        <f>VLOOKUP(B241,country_opex,7,FALSE)*ins_pct</f>
        <v/>
      </c>
      <c r="AC241" s="49">
        <f>charge_berth</f>
        <v/>
      </c>
      <c r="AD241" s="49">
        <f>X241+Y241+Z241+AA241+AB241+AC241</f>
        <v/>
      </c>
      <c r="AE241" s="49">
        <f>VLOOKUP(B241,country_opex,7,FALSE)/dep_years</f>
        <v/>
      </c>
      <c r="AF241" s="49">
        <f>W241-AD241</f>
        <v/>
      </c>
      <c r="AG241" s="46">
        <f>IF(W241=0,"",AF241/W241)</f>
        <v/>
      </c>
      <c r="AH241" s="47">
        <f>IF(AF241&lt;=0,"",VLOOKUP(B241,country_opex,7,FALSE)/AF241)</f>
        <v/>
      </c>
      <c r="AI241" s="44">
        <f>((G241*R241/diesel_nmpg)*diesel_co2pg-(battery/range_nm)*G241*R241*VLOOKUP(B241,country_opex,4,FALSE))/1000</f>
        <v/>
      </c>
      <c r="AJ241" s="42" t="n"/>
      <c r="AK241" s="43" t="n"/>
      <c r="AL241" s="43" t="n"/>
      <c r="AM241" s="50" t="n">
        <v>0.1</v>
      </c>
      <c r="AN241" s="45">
        <f>IF(AJ241="","",AJ241*AM241)</f>
        <v/>
      </c>
      <c r="AO241" s="45">
        <f>IF(OR(AJ241="",U241=0),"",MIN(IF(AV241="",9.9E+99,AV241),FLOOR(AN241/U241,1)))</f>
        <v/>
      </c>
      <c r="AP241" s="49">
        <f>IF(AO241="","",AO241*W241)</f>
        <v/>
      </c>
      <c r="AQ241" s="47">
        <f>IF(OR(AJ241="",U241=0),"",MIN(IF(AV241="",9.9E+99,AV241),AN241/U241))</f>
        <v/>
      </c>
      <c r="AR241" s="49">
        <f>IF(AQ241="","",AQ241*W241)</f>
        <v/>
      </c>
      <c r="AS241" s="51" t="n"/>
      <c r="AT241" s="52" t="n"/>
      <c r="AU241" s="52" t="n"/>
      <c r="AV241" s="53" t="n"/>
      <c r="AW241" s="54">
        <f>IF(((V241*pax_cap*load_thin*ROUND(N241*O241*revleg_thin,0))-(((battery/range_nm)*G241*ROUND(N241*O241*revleg_thin,0)*VLOOKUP(B241,country_opex,3,FALSE))+Y241+Z241+AA241+AB241+AC241))&lt;=0,"",VLOOKUP(B241,country_opex,7,FALSE)/((V241*pax_cap*load_thin*ROUND(N241*O241*revleg_thin,0))-(((battery/range_nm)*G241*ROUND(N241*O241*revleg_thin,0)*VLOOKUP(B241,country_opex,3,FALSE))+Y241+Z241+AA241+AB241+AC241)))</f>
        <v/>
      </c>
      <c r="AX241" s="54">
        <f>IF(((V241*pax_cap*load_mid*ROUND(N241*O241*revleg_mid,0))-(((battery/range_nm)*G241*ROUND(N241*O241*revleg_mid,0)*VLOOKUP(B241,country_opex,3,FALSE))+Y241+Z241+AA241+AB241+AC241))&lt;=0,"",VLOOKUP(B241,country_opex,7,FALSE)/((V241*pax_cap*load_mid*ROUND(N241*O241*revleg_mid,0))-(((battery/range_nm)*G241*ROUND(N241*O241*revleg_mid,0)*VLOOKUP(B241,country_opex,3,FALSE))+Y241+Z241+AA241+AB241+AC241)))</f>
        <v/>
      </c>
      <c r="AY241" s="54">
        <f>IF(((V241*pax_cap*load_full*ROUND(N241*O241*revleg_full,0))-(((battery/range_nm)*G241*ROUND(N241*O241*revleg_full,0)*VLOOKUP(B241,country_opex,3,FALSE))+Y241+Z241+AA241+AB241+AC241))&lt;=0,"",VLOOKUP(B241,country_opex,7,FALSE)/((V241*pax_cap*load_full*ROUND(N241*O241*revleg_full,0))-(((battery/range_nm)*G241*ROUND(N241*O241*revleg_full,0)*VLOOKUP(B241,country_opex,3,FALSE))+Y241+Z241+AA241+AB241+AC241)))</f>
        <v/>
      </c>
      <c r="AZ241" s="40" t="inlineStr">
        <is>
          <t>PREMIUM tier proxy: Aktau private Caspian yacht cruise ~$50/seat (GetYourGuide $250/group up to 5) — same in-market premium marine comparable as the Kenderli corridor; no scheduled fast craft to Bautino exists today.</t>
        </is>
      </c>
      <c r="BA241" s="40" t="n"/>
    </row>
    <row r="242">
      <c r="A242" s="38" t="inlineStr">
        <is>
          <t>Yango Caspian Kz</t>
        </is>
      </c>
      <c r="B242" s="38" t="inlineStr">
        <is>
          <t>Kazakhstan</t>
        </is>
      </c>
      <c r="C242" s="39" t="inlineStr">
        <is>
          <t>Aktau (Aktau Sea Port / city seafront) → Kenderli (Kenderli Bay resort zone)</t>
        </is>
      </c>
      <c r="D242" s="38" t="inlineStr">
        <is>
          <t>yango</t>
        </is>
      </c>
      <c r="E242" s="40" t="inlineStr">
        <is>
          <t>yango-caspian-kz</t>
        </is>
      </c>
      <c r="F242" s="41" t="n">
        <v>1</v>
      </c>
      <c r="G242" s="42" t="n">
        <v>65</v>
      </c>
      <c r="H242" s="35" t="n">
        <v>50</v>
      </c>
      <c r="I242" s="43" t="inlineStr">
        <is>
          <t>T2</t>
        </is>
      </c>
      <c r="J242" s="43" t="inlineStr">
        <is>
          <t>med</t>
        </is>
      </c>
      <c r="K242" s="29" t="n">
        <v>1</v>
      </c>
      <c r="L242" s="44">
        <f>60*G242/cruise_kt</f>
        <v/>
      </c>
      <c r="M242" s="44">
        <f>L242+turn_min+dwell_min</f>
        <v/>
      </c>
      <c r="N242" s="45">
        <f>MIN(10,FLOOR(60*service_hr/M242,1))</f>
        <v/>
      </c>
      <c r="O242" s="45">
        <f>ROUND(365*mech_uptime*K242,0)</f>
        <v/>
      </c>
      <c r="P242" s="46">
        <f>mech_uptime</f>
        <v/>
      </c>
      <c r="Q242" s="46">
        <f>revleg_sel</f>
        <v/>
      </c>
      <c r="R242" s="45">
        <f>ROUND(N242*O242*revleg_sel,0)</f>
        <v/>
      </c>
      <c r="S242" s="47">
        <f>load_sel</f>
        <v/>
      </c>
      <c r="T242" s="47">
        <f>pax_cap*S242</f>
        <v/>
      </c>
      <c r="U242" s="45">
        <f>T242*R242</f>
        <v/>
      </c>
      <c r="V242" s="48">
        <f>H242*discount</f>
        <v/>
      </c>
      <c r="W242" s="49">
        <f>V242*U242</f>
        <v/>
      </c>
      <c r="X242" s="49">
        <f>(battery/range_nm)*G242*R242*VLOOKUP(B242,country_opex,3,FALSE)</f>
        <v/>
      </c>
      <c r="Y242" s="49">
        <f>VLOOKUP(B242,country_opex,2,FALSE)*crew_factor</f>
        <v/>
      </c>
      <c r="Z242" s="49">
        <f>VLOOKUP(B242,country_opex,5,FALSE)</f>
        <v/>
      </c>
      <c r="AA242" s="49">
        <f>maint</f>
        <v/>
      </c>
      <c r="AB242" s="49">
        <f>VLOOKUP(B242,country_opex,7,FALSE)*ins_pct</f>
        <v/>
      </c>
      <c r="AC242" s="49">
        <f>charge_berth</f>
        <v/>
      </c>
      <c r="AD242" s="49">
        <f>X242+Y242+Z242+AA242+AB242+AC242</f>
        <v/>
      </c>
      <c r="AE242" s="49">
        <f>VLOOKUP(B242,country_opex,7,FALSE)/dep_years</f>
        <v/>
      </c>
      <c r="AF242" s="49">
        <f>W242-AD242</f>
        <v/>
      </c>
      <c r="AG242" s="46">
        <f>IF(W242=0,"",AF242/W242)</f>
        <v/>
      </c>
      <c r="AH242" s="47">
        <f>IF(AF242&lt;=0,"",VLOOKUP(B242,country_opex,7,FALSE)/AF242)</f>
        <v/>
      </c>
      <c r="AI242" s="44">
        <f>((G242*R242/diesel_nmpg)*diesel_co2pg-(battery/range_nm)*G242*R242*VLOOKUP(B242,country_opex,4,FALSE))/1000</f>
        <v/>
      </c>
      <c r="AJ242" s="42" t="n"/>
      <c r="AK242" s="43" t="n"/>
      <c r="AL242" s="43" t="n"/>
      <c r="AM242" s="50" t="n">
        <v>0.1</v>
      </c>
      <c r="AN242" s="45">
        <f>IF(AJ242="","",AJ242*AM242)</f>
        <v/>
      </c>
      <c r="AO242" s="45">
        <f>IF(OR(AJ242="",U242=0),"",MIN(IF(AV242="",9.9E+99,AV242),FLOOR(AN242/U242,1)))</f>
        <v/>
      </c>
      <c r="AP242" s="49">
        <f>IF(AO242="","",AO242*W242)</f>
        <v/>
      </c>
      <c r="AQ242" s="47">
        <f>IF(OR(AJ242="",U242=0),"",MIN(IF(AV242="",9.9E+99,AV242),AN242/U242))</f>
        <v/>
      </c>
      <c r="AR242" s="49">
        <f>IF(AQ242="","",AQ242*W242)</f>
        <v/>
      </c>
      <c r="AS242" s="51" t="n"/>
      <c r="AT242" s="52" t="n"/>
      <c r="AU242" s="52" t="n"/>
      <c r="AV242" s="53" t="n"/>
      <c r="AW242" s="54">
        <f>IF(((V242*pax_cap*load_thin*ROUND(N242*O242*revleg_thin,0))-(((battery/range_nm)*G242*ROUND(N242*O242*revleg_thin,0)*VLOOKUP(B242,country_opex,3,FALSE))+Y242+Z242+AA242+AB242+AC242))&lt;=0,"",VLOOKUP(B242,country_opex,7,FALSE)/((V242*pax_cap*load_thin*ROUND(N242*O242*revleg_thin,0))-(((battery/range_nm)*G242*ROUND(N242*O242*revleg_thin,0)*VLOOKUP(B242,country_opex,3,FALSE))+Y242+Z242+AA242+AB242+AC242)))</f>
        <v/>
      </c>
      <c r="AX242" s="54">
        <f>IF(((V242*pax_cap*load_mid*ROUND(N242*O242*revleg_mid,0))-(((battery/range_nm)*G242*ROUND(N242*O242*revleg_mid,0)*VLOOKUP(B242,country_opex,3,FALSE))+Y242+Z242+AA242+AB242+AC242))&lt;=0,"",VLOOKUP(B242,country_opex,7,FALSE)/((V242*pax_cap*load_mid*ROUND(N242*O242*revleg_mid,0))-(((battery/range_nm)*G242*ROUND(N242*O242*revleg_mid,0)*VLOOKUP(B242,country_opex,3,FALSE))+Y242+Z242+AA242+AB242+AC242)))</f>
        <v/>
      </c>
      <c r="AY242" s="54">
        <f>IF(((V242*pax_cap*load_full*ROUND(N242*O242*revleg_full,0))-(((battery/range_nm)*G242*ROUND(N242*O242*revleg_full,0)*VLOOKUP(B242,country_opex,3,FALSE))+Y242+Z242+AA242+AB242+AC242))&lt;=0,"",VLOOKUP(B242,country_opex,7,FALSE)/((V242*pax_cap*load_full*ROUND(N242*O242*revleg_full,0))-(((battery/range_nm)*G242*ROUND(N242*O242*revleg_full,0)*VLOOKUP(B242,country_opex,3,FALSE))+Y242+Z242+AA242+AB242+AC242)))</f>
        <v/>
      </c>
      <c r="AZ242" s="40" t="inlineStr">
        <is>
          <t>PREMIUM tier: private Caspian Sea yacht cruise out of Aktau ~$50/seat (GetYourGuide 'Aktau Caspian Sea Yacht Cruise' $250 per group up to 5). Nearest in-market premium per-seat marine comparable; no scheduled fast craft to Kenderli exists today.</t>
        </is>
      </c>
      <c r="BA242" s="40" t="n"/>
    </row>
    <row r="243">
      <c r="A243" s="38" t="inlineStr">
        <is>
          <t>Bolt Lebanon</t>
        </is>
      </c>
      <c r="B243" s="38" t="inlineStr">
        <is>
          <t>Lebanon</t>
        </is>
      </c>
      <c r="C243" s="39" t="inlineStr">
        <is>
          <t>Jounieh → Byblos (Jbeil)</t>
        </is>
      </c>
      <c r="D243" s="38" t="inlineStr">
        <is>
          <t>bolt</t>
        </is>
      </c>
      <c r="E243" s="40" t="inlineStr">
        <is>
          <t>bolt-lebanon</t>
        </is>
      </c>
      <c r="F243" s="41" t="n">
        <v>1</v>
      </c>
      <c r="G243" s="42" t="n">
        <v>8.4</v>
      </c>
      <c r="H243" s="35" t="n">
        <v>55</v>
      </c>
      <c r="I243" s="43" t="inlineStr">
        <is>
          <t>T2</t>
        </is>
      </c>
      <c r="J243" s="43" t="inlineStr">
        <is>
          <t>med</t>
        </is>
      </c>
      <c r="K243" s="29" t="n">
        <v>1</v>
      </c>
      <c r="L243" s="44">
        <f>60*G243/cruise_kt</f>
        <v/>
      </c>
      <c r="M243" s="44">
        <f>L243+turn_min+dwell_min</f>
        <v/>
      </c>
      <c r="N243" s="45">
        <f>MIN(16,FLOOR(60*service_hr/M243,1))</f>
        <v/>
      </c>
      <c r="O243" s="45">
        <f>ROUND(365*mech_uptime*K243,0)</f>
        <v/>
      </c>
      <c r="P243" s="46">
        <f>mech_uptime</f>
        <v/>
      </c>
      <c r="Q243" s="46">
        <f>revleg_sel</f>
        <v/>
      </c>
      <c r="R243" s="45">
        <f>ROUND(N243*O243*revleg_sel,0)</f>
        <v/>
      </c>
      <c r="S243" s="47">
        <f>load_sel</f>
        <v/>
      </c>
      <c r="T243" s="47">
        <f>pax_cap*S243</f>
        <v/>
      </c>
      <c r="U243" s="45">
        <f>T243*R243</f>
        <v/>
      </c>
      <c r="V243" s="48">
        <f>H243*discount</f>
        <v/>
      </c>
      <c r="W243" s="49">
        <f>V243*U243</f>
        <v/>
      </c>
      <c r="X243" s="49">
        <f>(battery/range_nm)*G243*R243*VLOOKUP(B243,country_opex,3,FALSE)</f>
        <v/>
      </c>
      <c r="Y243" s="49">
        <f>VLOOKUP(B243,country_opex,2,FALSE)*crew_factor</f>
        <v/>
      </c>
      <c r="Z243" s="49">
        <f>VLOOKUP(B243,country_opex,5,FALSE)</f>
        <v/>
      </c>
      <c r="AA243" s="49">
        <f>maint</f>
        <v/>
      </c>
      <c r="AB243" s="49">
        <f>VLOOKUP(B243,country_opex,7,FALSE)*ins_pct</f>
        <v/>
      </c>
      <c r="AC243" s="49">
        <f>charge_berth</f>
        <v/>
      </c>
      <c r="AD243" s="49">
        <f>X243+Y243+Z243+AA243+AB243+AC243</f>
        <v/>
      </c>
      <c r="AE243" s="49">
        <f>VLOOKUP(B243,country_opex,7,FALSE)/dep_years</f>
        <v/>
      </c>
      <c r="AF243" s="49">
        <f>W243-AD243</f>
        <v/>
      </c>
      <c r="AG243" s="46">
        <f>IF(W243=0,"",AF243/W243)</f>
        <v/>
      </c>
      <c r="AH243" s="47">
        <f>IF(AF243&lt;=0,"",VLOOKUP(B243,country_opex,7,FALSE)/AF243)</f>
        <v/>
      </c>
      <c r="AI243" s="44">
        <f>((G243*R243/diesel_nmpg)*diesel_co2pg-(battery/range_nm)*G243*R243*VLOOKUP(B243,country_opex,4,FALSE))/1000</f>
        <v/>
      </c>
      <c r="AJ243" s="42" t="n"/>
      <c r="AK243" s="43" t="n"/>
      <c r="AL243" s="43" t="n"/>
      <c r="AM243" s="50" t="n">
        <v>0.1</v>
      </c>
      <c r="AN243" s="45">
        <f>IF(AJ243="","",AJ243*AM243)</f>
        <v/>
      </c>
      <c r="AO243" s="45">
        <f>IF(OR(AJ243="",U243=0),"",MIN(IF(AV243="",9.9E+99,AV243),FLOOR(AN243/U243,1)))</f>
        <v/>
      </c>
      <c r="AP243" s="49">
        <f>IF(AO243="","",AO243*W243)</f>
        <v/>
      </c>
      <c r="AQ243" s="47">
        <f>IF(OR(AJ243="",U243=0),"",MIN(IF(AV243="",9.9E+99,AV243),AN243/U243))</f>
        <v/>
      </c>
      <c r="AR243" s="49">
        <f>IF(AQ243="","",AQ243*W243)</f>
        <v/>
      </c>
      <c r="AS243" s="51" t="n"/>
      <c r="AT243" s="52" t="n"/>
      <c r="AU243" s="52" t="n"/>
      <c r="AV243" s="53" t="n"/>
      <c r="AW243" s="54">
        <f>IF(((V243*pax_cap*load_thin*ROUND(N243*O243*revleg_thin,0))-(((battery/range_nm)*G243*ROUND(N243*O243*revleg_thin,0)*VLOOKUP(B243,country_opex,3,FALSE))+Y243+Z243+AA243+AB243+AC243))&lt;=0,"",VLOOKUP(B243,country_opex,7,FALSE)/((V243*pax_cap*load_thin*ROUND(N243*O243*revleg_thin,0))-(((battery/range_nm)*G243*ROUND(N243*O243*revleg_thin,0)*VLOOKUP(B243,country_opex,3,FALSE))+Y243+Z243+AA243+AB243+AC243)))</f>
        <v/>
      </c>
      <c r="AX243" s="54">
        <f>IF(((V243*pax_cap*load_mid*ROUND(N243*O243*revleg_mid,0))-(((battery/range_nm)*G243*ROUND(N243*O243*revleg_mid,0)*VLOOKUP(B243,country_opex,3,FALSE))+Y243+Z243+AA243+AB243+AC243))&lt;=0,"",VLOOKUP(B243,country_opex,7,FALSE)/((V243*pax_cap*load_mid*ROUND(N243*O243*revleg_mid,0))-(((battery/range_nm)*G243*ROUND(N243*O243*revleg_mid,0)*VLOOKUP(B243,country_opex,3,FALSE))+Y243+Z243+AA243+AB243+AC243)))</f>
        <v/>
      </c>
      <c r="AY243" s="54">
        <f>IF(((V243*pax_cap*load_full*ROUND(N243*O243*revleg_full,0))-(((battery/range_nm)*G243*ROUND(N243*O243*revleg_full,0)*VLOOKUP(B243,country_opex,3,FALSE))+Y243+Z243+AA243+AB243+AC243))&lt;=0,"",VLOOKUP(B243,country_opex,7,FALSE)/((V243*pax_cap*load_full*ROUND(N243*O243*revleg_full,0))-(((battery/range_nm)*G243*ROUND(N243*O243*revleg_full,0)*VLOOKUP(B243,country_opex,3,FALSE))+Y243+Z243+AA243+AB243+AC243)))</f>
        <v/>
      </c>
      <c r="AZ243" s="40" t="inlineStr">
        <is>
          <t>PREMIUM/excursion proxy: shared Lebanese-coast sea cruise ~$55/seat (Zingy Ride). No scheduled service.</t>
        </is>
      </c>
      <c r="BA243" s="40" t="n"/>
    </row>
    <row r="244">
      <c r="A244" s="38" t="inlineStr">
        <is>
          <t>Bolt Lebanon</t>
        </is>
      </c>
      <c r="B244" s="38" t="inlineStr">
        <is>
          <t>Lebanon</t>
        </is>
      </c>
      <c r="C244" s="39" t="inlineStr">
        <is>
          <t>Beirut Marina (Zaitunay Bay) → Jounieh</t>
        </is>
      </c>
      <c r="D244" s="38" t="inlineStr">
        <is>
          <t>bolt</t>
        </is>
      </c>
      <c r="E244" s="40" t="inlineStr">
        <is>
          <t>bolt-lebanon</t>
        </is>
      </c>
      <c r="F244" s="41" t="n">
        <v>1</v>
      </c>
      <c r="G244" s="42" t="n">
        <v>11</v>
      </c>
      <c r="H244" s="35" t="n">
        <v>55</v>
      </c>
      <c r="I244" s="43" t="inlineStr">
        <is>
          <t>T2</t>
        </is>
      </c>
      <c r="J244" s="43" t="inlineStr">
        <is>
          <t>med</t>
        </is>
      </c>
      <c r="K244" s="29" t="n">
        <v>1</v>
      </c>
      <c r="L244" s="44">
        <f>60*G244/cruise_kt</f>
        <v/>
      </c>
      <c r="M244" s="44">
        <f>L244+turn_min+dwell_min</f>
        <v/>
      </c>
      <c r="N244" s="45">
        <f>MIN(10,FLOOR(60*service_hr/M244,1))</f>
        <v/>
      </c>
      <c r="O244" s="45">
        <f>ROUND(365*mech_uptime*K244,0)</f>
        <v/>
      </c>
      <c r="P244" s="46">
        <f>mech_uptime</f>
        <v/>
      </c>
      <c r="Q244" s="46">
        <f>revleg_sel</f>
        <v/>
      </c>
      <c r="R244" s="45">
        <f>ROUND(N244*O244*revleg_sel,0)</f>
        <v/>
      </c>
      <c r="S244" s="47">
        <f>load_sel</f>
        <v/>
      </c>
      <c r="T244" s="47">
        <f>pax_cap*S244</f>
        <v/>
      </c>
      <c r="U244" s="45">
        <f>T244*R244</f>
        <v/>
      </c>
      <c r="V244" s="48">
        <f>H244*discount</f>
        <v/>
      </c>
      <c r="W244" s="49">
        <f>V244*U244</f>
        <v/>
      </c>
      <c r="X244" s="49">
        <f>(battery/range_nm)*G244*R244*VLOOKUP(B244,country_opex,3,FALSE)</f>
        <v/>
      </c>
      <c r="Y244" s="49">
        <f>VLOOKUP(B244,country_opex,2,FALSE)*crew_factor</f>
        <v/>
      </c>
      <c r="Z244" s="49">
        <f>VLOOKUP(B244,country_opex,5,FALSE)</f>
        <v/>
      </c>
      <c r="AA244" s="49">
        <f>maint</f>
        <v/>
      </c>
      <c r="AB244" s="49">
        <f>VLOOKUP(B244,country_opex,7,FALSE)*ins_pct</f>
        <v/>
      </c>
      <c r="AC244" s="49">
        <f>charge_berth</f>
        <v/>
      </c>
      <c r="AD244" s="49">
        <f>X244+Y244+Z244+AA244+AB244+AC244</f>
        <v/>
      </c>
      <c r="AE244" s="49">
        <f>VLOOKUP(B244,country_opex,7,FALSE)/dep_years</f>
        <v/>
      </c>
      <c r="AF244" s="49">
        <f>W244-AD244</f>
        <v/>
      </c>
      <c r="AG244" s="46">
        <f>IF(W244=0,"",AF244/W244)</f>
        <v/>
      </c>
      <c r="AH244" s="47">
        <f>IF(AF244&lt;=0,"",VLOOKUP(B244,country_opex,7,FALSE)/AF244)</f>
        <v/>
      </c>
      <c r="AI244" s="44">
        <f>((G244*R244/diesel_nmpg)*diesel_co2pg-(battery/range_nm)*G244*R244*VLOOKUP(B244,country_opex,4,FALSE))/1000</f>
        <v/>
      </c>
      <c r="AJ244" s="42" t="n">
        <v>6132000</v>
      </c>
      <c r="AK244" s="43" t="n"/>
      <c r="AL244" s="43" t="n"/>
      <c r="AM244" s="50" t="n">
        <v>0.1</v>
      </c>
      <c r="AN244" s="45">
        <f>IF(AJ244="","",AJ244*AM244)</f>
        <v/>
      </c>
      <c r="AO244" s="45">
        <f>IF(OR(AJ244="",U244=0),"",MIN(IF(AV244="",9.9E+99,AV244),FLOOR(AN244/U244,1)))</f>
        <v/>
      </c>
      <c r="AP244" s="49">
        <f>IF(AO244="","",AO244*W244)</f>
        <v/>
      </c>
      <c r="AQ244" s="47">
        <f>IF(OR(AJ244="",U244=0),"",MIN(IF(AV244="",9.9E+99,AV244),AN244/U244))</f>
        <v/>
      </c>
      <c r="AR244" s="49">
        <f>IF(AQ244="","",AQ244*W244)</f>
        <v/>
      </c>
      <c r="AS244" s="51" t="n"/>
      <c r="AT244" s="52" t="n"/>
      <c r="AU244" s="52" t="n"/>
      <c r="AV244" s="53" t="n"/>
      <c r="AW244" s="54">
        <f>IF(((V244*pax_cap*load_thin*ROUND(N244*O244*revleg_thin,0))-(((battery/range_nm)*G244*ROUND(N244*O244*revleg_thin,0)*VLOOKUP(B244,country_opex,3,FALSE))+Y244+Z244+AA244+AB244+AC244))&lt;=0,"",VLOOKUP(B244,country_opex,7,FALSE)/((V244*pax_cap*load_thin*ROUND(N244*O244*revleg_thin,0))-(((battery/range_nm)*G244*ROUND(N244*O244*revleg_thin,0)*VLOOKUP(B244,country_opex,3,FALSE))+Y244+Z244+AA244+AB244+AC244)))</f>
        <v/>
      </c>
      <c r="AX244" s="54">
        <f>IF(((V244*pax_cap*load_mid*ROUND(N244*O244*revleg_mid,0))-(((battery/range_nm)*G244*ROUND(N244*O244*revleg_mid,0)*VLOOKUP(B244,country_opex,3,FALSE))+Y244+Z244+AA244+AB244+AC244))&lt;=0,"",VLOOKUP(B244,country_opex,7,FALSE)/((V244*pax_cap*load_mid*ROUND(N244*O244*revleg_mid,0))-(((battery/range_nm)*G244*ROUND(N244*O244*revleg_mid,0)*VLOOKUP(B244,country_opex,3,FALSE))+Y244+Z244+AA244+AB244+AC244)))</f>
        <v/>
      </c>
      <c r="AY244" s="54">
        <f>IF(((V244*pax_cap*load_full*ROUND(N244*O244*revleg_full,0))-(((battery/range_nm)*G244*ROUND(N244*O244*revleg_full,0)*VLOOKUP(B244,country_opex,3,FALSE))+Y244+Z244+AA244+AB244+AC244))&lt;=0,"",VLOOKUP(B244,country_opex,7,FALSE)/((V244*pax_cap*load_full*ROUND(N244*O244*revleg_full,0))-(((battery/range_nm)*G244*ROUND(N244*O244*revleg_full,0)*VLOOKUP(B244,country_opex,3,FALSE))+Y244+Z244+AA244+AB244+AC244)))</f>
        <v/>
      </c>
      <c r="AZ244" s="40" t="inlineStr">
        <is>
          <t>PREMIUM/excursion proxy: scheduled SHARED Lebanese-coast sea cruise ~$50-60/person (Zingy Ride 'Lebanon Boat Trips' Beirut&lt;-&gt;Jounieh-Port route, $50/pax min 15 pax / $60/pax min 12 pax), midpoint ~$55/seat. No scheduled point-to-point water taxi exists, so this shared-cruise per-seat is the closest sourceable premium comparable - an EXCURSION fare, not a transfer fare; a true commuter shuttle seat would price below this. Charter context: Admiral Yachting Jounieh Bay ~$800/5h; semi-luxury boat $500 (1-8 pax).</t>
        </is>
      </c>
      <c r="BA244" s="40" t="n"/>
    </row>
    <row r="245">
      <c r="A245" s="38" t="inlineStr">
        <is>
          <t>Bolt Lebanon</t>
        </is>
      </c>
      <c r="B245" s="38" t="inlineStr">
        <is>
          <t>Lebanon</t>
        </is>
      </c>
      <c r="C245" s="39" t="inlineStr">
        <is>
          <t>Beirut → Byblos (Jbeil)</t>
        </is>
      </c>
      <c r="D245" s="38" t="inlineStr">
        <is>
          <t>bolt</t>
        </is>
      </c>
      <c r="E245" s="40" t="inlineStr">
        <is>
          <t>bolt-lebanon</t>
        </is>
      </c>
      <c r="F245" s="41" t="n">
        <v>1</v>
      </c>
      <c r="G245" s="42" t="n">
        <v>15</v>
      </c>
      <c r="H245" s="35" t="n">
        <v>55</v>
      </c>
      <c r="I245" s="43" t="inlineStr">
        <is>
          <t>T2</t>
        </is>
      </c>
      <c r="J245" s="43" t="inlineStr">
        <is>
          <t>med</t>
        </is>
      </c>
      <c r="K245" s="29" t="n">
        <v>1</v>
      </c>
      <c r="L245" s="44">
        <f>60*G245/cruise_kt</f>
        <v/>
      </c>
      <c r="M245" s="44">
        <f>L245+turn_min+dwell_min</f>
        <v/>
      </c>
      <c r="N245" s="45">
        <f>MIN(16,FLOOR(60*service_hr/M245,1))</f>
        <v/>
      </c>
      <c r="O245" s="45">
        <f>ROUND(365*mech_uptime*K245,0)</f>
        <v/>
      </c>
      <c r="P245" s="46">
        <f>mech_uptime</f>
        <v/>
      </c>
      <c r="Q245" s="46">
        <f>revleg_sel</f>
        <v/>
      </c>
      <c r="R245" s="45">
        <f>ROUND(N245*O245*revleg_sel,0)</f>
        <v/>
      </c>
      <c r="S245" s="47">
        <f>load_sel</f>
        <v/>
      </c>
      <c r="T245" s="47">
        <f>pax_cap*S245</f>
        <v/>
      </c>
      <c r="U245" s="45">
        <f>T245*R245</f>
        <v/>
      </c>
      <c r="V245" s="48">
        <f>H245*discount</f>
        <v/>
      </c>
      <c r="W245" s="49">
        <f>V245*U245</f>
        <v/>
      </c>
      <c r="X245" s="49">
        <f>(battery/range_nm)*G245*R245*VLOOKUP(B245,country_opex,3,FALSE)</f>
        <v/>
      </c>
      <c r="Y245" s="49">
        <f>VLOOKUP(B245,country_opex,2,FALSE)*crew_factor</f>
        <v/>
      </c>
      <c r="Z245" s="49">
        <f>VLOOKUP(B245,country_opex,5,FALSE)</f>
        <v/>
      </c>
      <c r="AA245" s="49">
        <f>maint</f>
        <v/>
      </c>
      <c r="AB245" s="49">
        <f>VLOOKUP(B245,country_opex,7,FALSE)*ins_pct</f>
        <v/>
      </c>
      <c r="AC245" s="49">
        <f>charge_berth</f>
        <v/>
      </c>
      <c r="AD245" s="49">
        <f>X245+Y245+Z245+AA245+AB245+AC245</f>
        <v/>
      </c>
      <c r="AE245" s="49">
        <f>VLOOKUP(B245,country_opex,7,FALSE)/dep_years</f>
        <v/>
      </c>
      <c r="AF245" s="49">
        <f>W245-AD245</f>
        <v/>
      </c>
      <c r="AG245" s="46">
        <f>IF(W245=0,"",AF245/W245)</f>
        <v/>
      </c>
      <c r="AH245" s="47">
        <f>IF(AF245&lt;=0,"",VLOOKUP(B245,country_opex,7,FALSE)/AF245)</f>
        <v/>
      </c>
      <c r="AI245" s="44">
        <f>((G245*R245/diesel_nmpg)*diesel_co2pg-(battery/range_nm)*G245*R245*VLOOKUP(B245,country_opex,4,FALSE))/1000</f>
        <v/>
      </c>
      <c r="AJ245" s="42" t="n"/>
      <c r="AK245" s="43" t="n"/>
      <c r="AL245" s="43" t="n"/>
      <c r="AM245" s="50" t="n">
        <v>0.1</v>
      </c>
      <c r="AN245" s="45">
        <f>IF(AJ245="","",AJ245*AM245)</f>
        <v/>
      </c>
      <c r="AO245" s="45">
        <f>IF(OR(AJ245="",U245=0),"",MIN(IF(AV245="",9.9E+99,AV245),FLOOR(AN245/U245,1)))</f>
        <v/>
      </c>
      <c r="AP245" s="49">
        <f>IF(AO245="","",AO245*W245)</f>
        <v/>
      </c>
      <c r="AQ245" s="47">
        <f>IF(OR(AJ245="",U245=0),"",MIN(IF(AV245="",9.9E+99,AV245),AN245/U245))</f>
        <v/>
      </c>
      <c r="AR245" s="49">
        <f>IF(AQ245="","",AQ245*W245)</f>
        <v/>
      </c>
      <c r="AS245" s="51" t="n"/>
      <c r="AT245" s="52" t="n"/>
      <c r="AU245" s="52" t="n"/>
      <c r="AV245" s="53" t="n"/>
      <c r="AW245" s="54">
        <f>IF(((V245*pax_cap*load_thin*ROUND(N245*O245*revleg_thin,0))-(((battery/range_nm)*G245*ROUND(N245*O245*revleg_thin,0)*VLOOKUP(B245,country_opex,3,FALSE))+Y245+Z245+AA245+AB245+AC245))&lt;=0,"",VLOOKUP(B245,country_opex,7,FALSE)/((V245*pax_cap*load_thin*ROUND(N245*O245*revleg_thin,0))-(((battery/range_nm)*G245*ROUND(N245*O245*revleg_thin,0)*VLOOKUP(B245,country_opex,3,FALSE))+Y245+Z245+AA245+AB245+AC245)))</f>
        <v/>
      </c>
      <c r="AX245" s="54">
        <f>IF(((V245*pax_cap*load_mid*ROUND(N245*O245*revleg_mid,0))-(((battery/range_nm)*G245*ROUND(N245*O245*revleg_mid,0)*VLOOKUP(B245,country_opex,3,FALSE))+Y245+Z245+AA245+AB245+AC245))&lt;=0,"",VLOOKUP(B245,country_opex,7,FALSE)/((V245*pax_cap*load_mid*ROUND(N245*O245*revleg_mid,0))-(((battery/range_nm)*G245*ROUND(N245*O245*revleg_mid,0)*VLOOKUP(B245,country_opex,3,FALSE))+Y245+Z245+AA245+AB245+AC245)))</f>
        <v/>
      </c>
      <c r="AY245" s="54">
        <f>IF(((V245*pax_cap*load_full*ROUND(N245*O245*revleg_full,0))-(((battery/range_nm)*G245*ROUND(N245*O245*revleg_full,0)*VLOOKUP(B245,country_opex,3,FALSE))+Y245+Z245+AA245+AB245+AC245))&lt;=0,"",VLOOKUP(B245,country_opex,7,FALSE)/((V245*pax_cap*load_full*ROUND(N245*O245*revleg_full,0))-(((battery/range_nm)*G245*ROUND(N245*O245*revleg_full,0)*VLOOKUP(B245,country_opex,3,FALSE))+Y245+Z245+AA245+AB245+AC245)))</f>
        <v/>
      </c>
      <c r="AZ245" s="40" t="inlineStr">
        <is>
          <t>PREMIUM/excursion proxy: shared Lebanese-coast sea cruise ~$55/seat (Zingy Ride). Byblos-specific charter context: GetYourGuide Byblos boat/yacht rental from $350/group up to 10 (~$35/seat). No scheduled service on this leg.</t>
        </is>
      </c>
      <c r="BA245" s="40" t="n"/>
    </row>
    <row r="246">
      <c r="A246" s="38" t="inlineStr">
        <is>
          <t>Bolt Lebanon</t>
        </is>
      </c>
      <c r="B246" s="38" t="inlineStr">
        <is>
          <t>Lebanon</t>
        </is>
      </c>
      <c r="C246" s="39" t="inlineStr">
        <is>
          <t>Beirut → Sidon (Saida)</t>
        </is>
      </c>
      <c r="D246" s="38" t="inlineStr">
        <is>
          <t>bolt</t>
        </is>
      </c>
      <c r="E246" s="40" t="inlineStr">
        <is>
          <t>bolt-lebanon</t>
        </is>
      </c>
      <c r="F246" s="41" t="n">
        <v>1</v>
      </c>
      <c r="G246" s="42" t="n">
        <v>22</v>
      </c>
      <c r="H246" s="35" t="n">
        <v>55</v>
      </c>
      <c r="I246" s="43" t="inlineStr">
        <is>
          <t>T2</t>
        </is>
      </c>
      <c r="J246" s="43" t="inlineStr">
        <is>
          <t>med</t>
        </is>
      </c>
      <c r="K246" s="29" t="n">
        <v>1</v>
      </c>
      <c r="L246" s="44">
        <f>60*G246/cruise_kt</f>
        <v/>
      </c>
      <c r="M246" s="44">
        <f>L246+turn_min+dwell_min</f>
        <v/>
      </c>
      <c r="N246" s="45">
        <f>MIN(16,FLOOR(60*service_hr/M246,1))</f>
        <v/>
      </c>
      <c r="O246" s="45">
        <f>ROUND(365*mech_uptime*K246,0)</f>
        <v/>
      </c>
      <c r="P246" s="46">
        <f>mech_uptime</f>
        <v/>
      </c>
      <c r="Q246" s="46">
        <f>revleg_sel</f>
        <v/>
      </c>
      <c r="R246" s="45">
        <f>ROUND(N246*O246*revleg_sel,0)</f>
        <v/>
      </c>
      <c r="S246" s="47">
        <f>load_sel</f>
        <v/>
      </c>
      <c r="T246" s="47">
        <f>pax_cap*S246</f>
        <v/>
      </c>
      <c r="U246" s="45">
        <f>T246*R246</f>
        <v/>
      </c>
      <c r="V246" s="48">
        <f>H246*discount</f>
        <v/>
      </c>
      <c r="W246" s="49">
        <f>V246*U246</f>
        <v/>
      </c>
      <c r="X246" s="49">
        <f>(battery/range_nm)*G246*R246*VLOOKUP(B246,country_opex,3,FALSE)</f>
        <v/>
      </c>
      <c r="Y246" s="49">
        <f>VLOOKUP(B246,country_opex,2,FALSE)*crew_factor</f>
        <v/>
      </c>
      <c r="Z246" s="49">
        <f>VLOOKUP(B246,country_opex,5,FALSE)</f>
        <v/>
      </c>
      <c r="AA246" s="49">
        <f>maint</f>
        <v/>
      </c>
      <c r="AB246" s="49">
        <f>VLOOKUP(B246,country_opex,7,FALSE)*ins_pct</f>
        <v/>
      </c>
      <c r="AC246" s="49">
        <f>charge_berth</f>
        <v/>
      </c>
      <c r="AD246" s="49">
        <f>X246+Y246+Z246+AA246+AB246+AC246</f>
        <v/>
      </c>
      <c r="AE246" s="49">
        <f>VLOOKUP(B246,country_opex,7,FALSE)/dep_years</f>
        <v/>
      </c>
      <c r="AF246" s="49">
        <f>W246-AD246</f>
        <v/>
      </c>
      <c r="AG246" s="46">
        <f>IF(W246=0,"",AF246/W246)</f>
        <v/>
      </c>
      <c r="AH246" s="47">
        <f>IF(AF246&lt;=0,"",VLOOKUP(B246,country_opex,7,FALSE)/AF246)</f>
        <v/>
      </c>
      <c r="AI246" s="44">
        <f>((G246*R246/diesel_nmpg)*diesel_co2pg-(battery/range_nm)*G246*R246*VLOOKUP(B246,country_opex,4,FALSE))/1000</f>
        <v/>
      </c>
      <c r="AJ246" s="42" t="n">
        <v>2207520</v>
      </c>
      <c r="AK246" s="43" t="n"/>
      <c r="AL246" s="43" t="n"/>
      <c r="AM246" s="50" t="n">
        <v>0.1</v>
      </c>
      <c r="AN246" s="45">
        <f>IF(AJ246="","",AJ246*AM246)</f>
        <v/>
      </c>
      <c r="AO246" s="45">
        <f>IF(OR(AJ246="",U246=0),"",MIN(IF(AV246="",9.9E+99,AV246),FLOOR(AN246/U246,1)))</f>
        <v/>
      </c>
      <c r="AP246" s="49">
        <f>IF(AO246="","",AO246*W246)</f>
        <v/>
      </c>
      <c r="AQ246" s="47">
        <f>IF(OR(AJ246="",U246=0),"",MIN(IF(AV246="",9.9E+99,AV246),AN246/U246))</f>
        <v/>
      </c>
      <c r="AR246" s="49">
        <f>IF(AQ246="","",AQ246*W246)</f>
        <v/>
      </c>
      <c r="AS246" s="51" t="n"/>
      <c r="AT246" s="52" t="n"/>
      <c r="AU246" s="52" t="n"/>
      <c r="AV246" s="53" t="n"/>
      <c r="AW246" s="54">
        <f>IF(((V246*pax_cap*load_thin*ROUND(N246*O246*revleg_thin,0))-(((battery/range_nm)*G246*ROUND(N246*O246*revleg_thin,0)*VLOOKUP(B246,country_opex,3,FALSE))+Y246+Z246+AA246+AB246+AC246))&lt;=0,"",VLOOKUP(B246,country_opex,7,FALSE)/((V246*pax_cap*load_thin*ROUND(N246*O246*revleg_thin,0))-(((battery/range_nm)*G246*ROUND(N246*O246*revleg_thin,0)*VLOOKUP(B246,country_opex,3,FALSE))+Y246+Z246+AA246+AB246+AC246)))</f>
        <v/>
      </c>
      <c r="AX246" s="54">
        <f>IF(((V246*pax_cap*load_mid*ROUND(N246*O246*revleg_mid,0))-(((battery/range_nm)*G246*ROUND(N246*O246*revleg_mid,0)*VLOOKUP(B246,country_opex,3,FALSE))+Y246+Z246+AA246+AB246+AC246))&lt;=0,"",VLOOKUP(B246,country_opex,7,FALSE)/((V246*pax_cap*load_mid*ROUND(N246*O246*revleg_mid,0))-(((battery/range_nm)*G246*ROUND(N246*O246*revleg_mid,0)*VLOOKUP(B246,country_opex,3,FALSE))+Y246+Z246+AA246+AB246+AC246)))</f>
        <v/>
      </c>
      <c r="AY246" s="54">
        <f>IF(((V246*pax_cap*load_full*ROUND(N246*O246*revleg_full,0))-(((battery/range_nm)*G246*ROUND(N246*O246*revleg_full,0)*VLOOKUP(B246,country_opex,3,FALSE))+Y246+Z246+AA246+AB246+AC246))&lt;=0,"",VLOOKUP(B246,country_opex,7,FALSE)/((V246*pax_cap*load_full*ROUND(N246*O246*revleg_full,0))-(((battery/range_nm)*G246*ROUND(N246*O246*revleg_full,0)*VLOOKUP(B246,country_opex,3,FALSE))+Y246+Z246+AA246+AB246+AC246)))</f>
        <v/>
      </c>
      <c r="AZ246" s="40" t="inlineStr">
        <is>
          <t>PREMIUM/excursion proxy (generic): shared Lebanese-coast sea cruise ~$55/seat (Zingy Ride) used as the only sourceable premium per-seat; no Sidon-specific scheduled cruise was sourced and the affluent-north cruise fare may overstate the lower-tourism south -&gt; treat as a soft proxy.</t>
        </is>
      </c>
      <c r="BA246" s="40" t="n"/>
    </row>
    <row r="247">
      <c r="A247" s="38" t="inlineStr">
        <is>
          <t>Bolt Lebanon</t>
        </is>
      </c>
      <c r="B247" s="38" t="inlineStr">
        <is>
          <t>Lebanon</t>
        </is>
      </c>
      <c r="C247" s="39" t="inlineStr">
        <is>
          <t>Beirut → Tripoli (El Mina)</t>
        </is>
      </c>
      <c r="D247" s="38" t="inlineStr">
        <is>
          <t>bolt</t>
        </is>
      </c>
      <c r="E247" s="40" t="inlineStr">
        <is>
          <t>bolt-lebanon</t>
        </is>
      </c>
      <c r="F247" s="41" t="n">
        <v>1</v>
      </c>
      <c r="G247" s="42" t="n">
        <v>36.5</v>
      </c>
      <c r="H247" s="35" t="n"/>
      <c r="I247" s="43" t="n"/>
      <c r="J247" s="43" t="n"/>
      <c r="K247" s="29" t="n">
        <v>1</v>
      </c>
      <c r="L247" s="44">
        <f>60*G247/cruise_kt</f>
        <v/>
      </c>
      <c r="M247" s="44">
        <f>L247+turn_min+dwell_min</f>
        <v/>
      </c>
      <c r="N247" s="45">
        <f>MIN(16,FLOOR(60*service_hr/M247,1))</f>
        <v/>
      </c>
      <c r="O247" s="45">
        <f>ROUND(365*mech_uptime*K247,0)</f>
        <v/>
      </c>
      <c r="P247" s="46">
        <f>mech_uptime</f>
        <v/>
      </c>
      <c r="Q247" s="46">
        <f>revleg_sel</f>
        <v/>
      </c>
      <c r="R247" s="45">
        <f>ROUND(N247*O247*revleg_sel,0)</f>
        <v/>
      </c>
      <c r="S247" s="47">
        <f>load_sel</f>
        <v/>
      </c>
      <c r="T247" s="47">
        <f>pax_cap*S247</f>
        <v/>
      </c>
      <c r="U247" s="45">
        <f>T247*R247</f>
        <v/>
      </c>
      <c r="V247" s="48">
        <f>H247*discount</f>
        <v/>
      </c>
      <c r="W247" s="49">
        <f>V247*U247</f>
        <v/>
      </c>
      <c r="X247" s="49">
        <f>(battery/range_nm)*G247*R247*VLOOKUP(B247,country_opex,3,FALSE)</f>
        <v/>
      </c>
      <c r="Y247" s="49">
        <f>VLOOKUP(B247,country_opex,2,FALSE)*crew_factor</f>
        <v/>
      </c>
      <c r="Z247" s="49">
        <f>VLOOKUP(B247,country_opex,5,FALSE)</f>
        <v/>
      </c>
      <c r="AA247" s="49">
        <f>maint</f>
        <v/>
      </c>
      <c r="AB247" s="49">
        <f>VLOOKUP(B247,country_opex,7,FALSE)*ins_pct</f>
        <v/>
      </c>
      <c r="AC247" s="49">
        <f>charge_berth</f>
        <v/>
      </c>
      <c r="AD247" s="49">
        <f>X247+Y247+Z247+AA247+AB247+AC247</f>
        <v/>
      </c>
      <c r="AE247" s="49">
        <f>VLOOKUP(B247,country_opex,7,FALSE)/dep_years</f>
        <v/>
      </c>
      <c r="AF247" s="49">
        <f>W247-AD247</f>
        <v/>
      </c>
      <c r="AG247" s="46">
        <f>IF(W247=0,"",AF247/W247)</f>
        <v/>
      </c>
      <c r="AH247" s="47">
        <f>IF(AF247&lt;=0,"",VLOOKUP(B247,country_opex,7,FALSE)/AF247)</f>
        <v/>
      </c>
      <c r="AI247" s="44">
        <f>((G247*R247/diesel_nmpg)*diesel_co2pg-(battery/range_nm)*G247*R247*VLOOKUP(B247,country_opex,4,FALSE))/1000</f>
        <v/>
      </c>
      <c r="AJ247" s="42" t="n"/>
      <c r="AK247" s="43" t="n"/>
      <c r="AL247" s="43" t="n"/>
      <c r="AM247" s="50" t="n">
        <v>0.1</v>
      </c>
      <c r="AN247" s="45">
        <f>IF(AJ247="","",AJ247*AM247)</f>
        <v/>
      </c>
      <c r="AO247" s="45">
        <f>IF(OR(AJ247="",U247=0),"",MIN(IF(AV247="",9.9E+99,AV247),FLOOR(AN247/U247,1)))</f>
        <v/>
      </c>
      <c r="AP247" s="49">
        <f>IF(AO247="","",AO247*W247)</f>
        <v/>
      </c>
      <c r="AQ247" s="47">
        <f>IF(OR(AJ247="",U247=0),"",MIN(IF(AV247="",9.9E+99,AV247),AN247/U247))</f>
        <v/>
      </c>
      <c r="AR247" s="49">
        <f>IF(AQ247="","",AQ247*W247)</f>
        <v/>
      </c>
      <c r="AS247" s="51" t="n"/>
      <c r="AT247" s="52" t="n"/>
      <c r="AU247" s="52" t="n"/>
      <c r="AV247" s="53" t="n"/>
      <c r="AW247" s="54">
        <f>IF(((V247*pax_cap*load_thin*ROUND(N247*O247*revleg_thin,0))-(((battery/range_nm)*G247*ROUND(N247*O247*revleg_thin,0)*VLOOKUP(B247,country_opex,3,FALSE))+Y247+Z247+AA247+AB247+AC247))&lt;=0,"",VLOOKUP(B247,country_opex,7,FALSE)/((V247*pax_cap*load_thin*ROUND(N247*O247*revleg_thin,0))-(((battery/range_nm)*G247*ROUND(N247*O247*revleg_thin,0)*VLOOKUP(B247,country_opex,3,FALSE))+Y247+Z247+AA247+AB247+AC247)))</f>
        <v/>
      </c>
      <c r="AX247" s="54">
        <f>IF(((V247*pax_cap*load_mid*ROUND(N247*O247*revleg_mid,0))-(((battery/range_nm)*G247*ROUND(N247*O247*revleg_mid,0)*VLOOKUP(B247,country_opex,3,FALSE))+Y247+Z247+AA247+AB247+AC247))&lt;=0,"",VLOOKUP(B247,country_opex,7,FALSE)/((V247*pax_cap*load_mid*ROUND(N247*O247*revleg_mid,0))-(((battery/range_nm)*G247*ROUND(N247*O247*revleg_mid,0)*VLOOKUP(B247,country_opex,3,FALSE))+Y247+Z247+AA247+AB247+AC247)))</f>
        <v/>
      </c>
      <c r="AY247" s="54">
        <f>IF(((V247*pax_cap*load_full*ROUND(N247*O247*revleg_full,0))-(((battery/range_nm)*G247*ROUND(N247*O247*revleg_full,0)*VLOOKUP(B247,country_opex,3,FALSE))+Y247+Z247+AA247+AB247+AC247))&lt;=0,"",VLOOKUP(B247,country_opex,7,FALSE)/((V247*pax_cap*load_full*ROUND(N247*O247*revleg_full,0))-(((battery/range_nm)*G247*ROUND(N247*O247*revleg_full,0)*VLOOKUP(B247,country_opex,3,FALSE))+Y247+Z247+AA247+AB247+AC247)))</f>
        <v/>
      </c>
      <c r="AZ247" s="40" t="n"/>
      <c r="BA247" s="40" t="n"/>
    </row>
    <row r="248">
      <c r="A248" s="38" t="inlineStr">
        <is>
          <t>Langkawi</t>
        </is>
      </c>
      <c r="B248" s="38" t="inlineStr">
        <is>
          <t>Malaysia</t>
        </is>
      </c>
      <c r="C248" s="39" t="inlineStr">
        <is>
          <t>George Town (Swettenham) → Butterworth (mainland)</t>
        </is>
      </c>
      <c r="D248" s="38" t="inlineStr">
        <is>
          <t>grab</t>
        </is>
      </c>
      <c r="E248" s="40" t="inlineStr">
        <is>
          <t>langkawi</t>
        </is>
      </c>
      <c r="F248" s="41" t="n">
        <v>1</v>
      </c>
      <c r="G248" s="42" t="n">
        <v>1.62</v>
      </c>
      <c r="H248" s="35" t="n"/>
      <c r="I248" s="43" t="inlineStr">
        <is>
          <t>T1</t>
        </is>
      </c>
      <c r="J248" s="43" t="inlineStr">
        <is>
          <t>high</t>
        </is>
      </c>
      <c r="K248" s="29" t="n">
        <v>1</v>
      </c>
      <c r="L248" s="44">
        <f>60*G248/cruise_kt</f>
        <v/>
      </c>
      <c r="M248" s="44">
        <f>L248+turn_min+dwell_min</f>
        <v/>
      </c>
      <c r="N248" s="45">
        <f>MIN(10,FLOOR(60*service_hr/M248,1))</f>
        <v/>
      </c>
      <c r="O248" s="45">
        <f>ROUND(365*mech_uptime*K248,0)</f>
        <v/>
      </c>
      <c r="P248" s="46">
        <f>mech_uptime</f>
        <v/>
      </c>
      <c r="Q248" s="46">
        <f>revleg_sel</f>
        <v/>
      </c>
      <c r="R248" s="45">
        <f>ROUND(N248*O248*revleg_sel,0)</f>
        <v/>
      </c>
      <c r="S248" s="47">
        <f>load_sel</f>
        <v/>
      </c>
      <c r="T248" s="47">
        <f>pax_cap*S248</f>
        <v/>
      </c>
      <c r="U248" s="45">
        <f>T248*R248</f>
        <v/>
      </c>
      <c r="V248" s="48">
        <f>H248*discount</f>
        <v/>
      </c>
      <c r="W248" s="49">
        <f>V248*U248</f>
        <v/>
      </c>
      <c r="X248" s="49">
        <f>(battery/range_nm)*G248*R248*VLOOKUP(B248,country_opex,3,FALSE)</f>
        <v/>
      </c>
      <c r="Y248" s="49">
        <f>VLOOKUP(B248,country_opex,2,FALSE)*crew_factor</f>
        <v/>
      </c>
      <c r="Z248" s="49">
        <f>VLOOKUP(B248,country_opex,5,FALSE)</f>
        <v/>
      </c>
      <c r="AA248" s="49">
        <f>maint</f>
        <v/>
      </c>
      <c r="AB248" s="49">
        <f>VLOOKUP(B248,country_opex,7,FALSE)*ins_pct</f>
        <v/>
      </c>
      <c r="AC248" s="49">
        <f>charge_berth</f>
        <v/>
      </c>
      <c r="AD248" s="49">
        <f>X248+Y248+Z248+AA248+AB248+AC248</f>
        <v/>
      </c>
      <c r="AE248" s="49">
        <f>VLOOKUP(B248,country_opex,7,FALSE)/dep_years</f>
        <v/>
      </c>
      <c r="AF248" s="49">
        <f>W248-AD248</f>
        <v/>
      </c>
      <c r="AG248" s="46">
        <f>IF(W248=0,"",AF248/W248)</f>
        <v/>
      </c>
      <c r="AH248" s="47">
        <f>IF(AF248&lt;=0,"",VLOOKUP(B248,country_opex,7,FALSE)/AF248)</f>
        <v/>
      </c>
      <c r="AI248" s="44">
        <f>((G248*R248/diesel_nmpg)*diesel_co2pg-(battery/range_nm)*G248*R248*VLOOKUP(B248,country_opex,4,FALSE))/1000</f>
        <v/>
      </c>
      <c r="AJ248" s="42" t="n"/>
      <c r="AK248" s="43" t="inlineStr">
        <is>
          <t>T2</t>
        </is>
      </c>
      <c r="AL248" s="43" t="inlineStr">
        <is>
          <t>high</t>
        </is>
      </c>
      <c r="AM248" s="50" t="n">
        <v>0.1</v>
      </c>
      <c r="AN248" s="45">
        <f>IF(AJ248="","",AJ248*AM248)</f>
        <v/>
      </c>
      <c r="AO248" s="45">
        <f>IF(OR(AJ248="",U248=0),"",MIN(IF(AV248="",9.9E+99,AV248),FLOOR(AN248/U248,1)))</f>
        <v/>
      </c>
      <c r="AP248" s="49">
        <f>IF(AO248="","",AO248*W248)</f>
        <v/>
      </c>
      <c r="AQ248" s="47">
        <f>IF(OR(AJ248="",U248=0),"",MIN(IF(AV248="",9.9E+99,AV248),AN248/U248))</f>
        <v/>
      </c>
      <c r="AR248" s="49">
        <f>IF(AQ248="","",AQ248*W248)</f>
        <v/>
      </c>
      <c r="AS248" s="51" t="n"/>
      <c r="AT248" s="52" t="n"/>
      <c r="AU248" s="52" t="n"/>
      <c r="AV248" s="53" t="n"/>
      <c r="AW248" s="54">
        <f>IF(((V248*pax_cap*load_thin*ROUND(N248*O248*revleg_thin,0))-(((battery/range_nm)*G248*ROUND(N248*O248*revleg_thin,0)*VLOOKUP(B248,country_opex,3,FALSE))+Y248+Z248+AA248+AB248+AC248))&lt;=0,"",VLOOKUP(B248,country_opex,7,FALSE)/((V248*pax_cap*load_thin*ROUND(N248*O248*revleg_thin,0))-(((battery/range_nm)*G248*ROUND(N248*O248*revleg_thin,0)*VLOOKUP(B248,country_opex,3,FALSE))+Y248+Z248+AA248+AB248+AC248)))</f>
        <v/>
      </c>
      <c r="AX248" s="54">
        <f>IF(((V248*pax_cap*load_mid*ROUND(N248*O248*revleg_mid,0))-(((battery/range_nm)*G248*ROUND(N248*O248*revleg_mid,0)*VLOOKUP(B248,country_opex,3,FALSE))+Y248+Z248+AA248+AB248+AC248))&lt;=0,"",VLOOKUP(B248,country_opex,7,FALSE)/((V248*pax_cap*load_mid*ROUND(N248*O248*revleg_mid,0))-(((battery/range_nm)*G248*ROUND(N248*O248*revleg_mid,0)*VLOOKUP(B248,country_opex,3,FALSE))+Y248+Z248+AA248+AB248+AC248)))</f>
        <v/>
      </c>
      <c r="AY248" s="54">
        <f>IF(((V248*pax_cap*load_full*ROUND(N248*O248*revleg_full,0))-(((battery/range_nm)*G248*ROUND(N248*O248*revleg_full,0)*VLOOKUP(B248,country_opex,3,FALSE))+Y248+Z248+AA248+AB248+AC248))&lt;=0,"",VLOOKUP(B248,country_opex,7,FALSE)/((V248*pax_cap*load_full*ROUND(N248*O248*revleg_full,0))-(((battery/range_nm)*G248*ROUND(N248*O248*revleg_full,0)*VLOOKUP(B248,country_opex,3,FALSE))+Y248+Z248+AA248+AB248+AC248)))</f>
        <v/>
      </c>
      <c r="AZ248" s="40" t="inlineStr">
        <is>
          <t>Penang Port public ferry (George Town&lt;-&gt;Butterworth) adult pedestrian fare RM2.00/way (RM1.00 under-12), per penangport.gov.my &amp; 2023 fare notice. RM2 @4.30 = $0.47.</t>
        </is>
      </c>
      <c r="BA248" s="40" t="inlineStr">
        <is>
          <t>Penang ferry service recorded 2.1 million passengers + 747,785 vehicles in 2024 (Wikipedia / Penang Port). New service hit 5M cumulative &lt;2yr (The Star, May 2025).</t>
        </is>
      </c>
    </row>
    <row r="249">
      <c r="A249" s="38" t="inlineStr">
        <is>
          <t>Borneo</t>
        </is>
      </c>
      <c r="B249" s="38" t="inlineStr">
        <is>
          <t>Malaysia</t>
        </is>
      </c>
      <c r="C249" s="39" t="inlineStr">
        <is>
          <t>Kota Kinabalu (Jesselton Point) → Tunku Abdul Rahman park (Gaya / Manukan / Sapi)</t>
        </is>
      </c>
      <c r="D249" s="38" t="inlineStr">
        <is>
          <t>grab</t>
        </is>
      </c>
      <c r="E249" s="40" t="inlineStr">
        <is>
          <t>borneo, langkawi</t>
        </is>
      </c>
      <c r="F249" s="41" t="n">
        <v>2</v>
      </c>
      <c r="G249" s="42" t="n">
        <v>3.16</v>
      </c>
      <c r="H249" s="35" t="n"/>
      <c r="I249" s="43" t="inlineStr">
        <is>
          <t>T3</t>
        </is>
      </c>
      <c r="J249" s="43" t="inlineStr">
        <is>
          <t>med</t>
        </is>
      </c>
      <c r="K249" s="29" t="n">
        <v>1</v>
      </c>
      <c r="L249" s="44">
        <f>60*G249/cruise_kt</f>
        <v/>
      </c>
      <c r="M249" s="44">
        <f>L249+turn_min+dwell_min</f>
        <v/>
      </c>
      <c r="N249" s="45">
        <f>MIN(10,FLOOR(60*service_hr/M249,1))</f>
        <v/>
      </c>
      <c r="O249" s="45">
        <f>ROUND(365*mech_uptime*K249,0)</f>
        <v/>
      </c>
      <c r="P249" s="46">
        <f>mech_uptime</f>
        <v/>
      </c>
      <c r="Q249" s="46">
        <f>revleg_sel</f>
        <v/>
      </c>
      <c r="R249" s="45">
        <f>ROUND(N249*O249*revleg_sel,0)</f>
        <v/>
      </c>
      <c r="S249" s="47">
        <f>load_sel</f>
        <v/>
      </c>
      <c r="T249" s="47">
        <f>pax_cap*S249</f>
        <v/>
      </c>
      <c r="U249" s="45">
        <f>T249*R249</f>
        <v/>
      </c>
      <c r="V249" s="48">
        <f>H249*discount</f>
        <v/>
      </c>
      <c r="W249" s="49">
        <f>V249*U249</f>
        <v/>
      </c>
      <c r="X249" s="49">
        <f>(battery/range_nm)*G249*R249*VLOOKUP(B249,country_opex,3,FALSE)</f>
        <v/>
      </c>
      <c r="Y249" s="49">
        <f>VLOOKUP(B249,country_opex,2,FALSE)*crew_factor</f>
        <v/>
      </c>
      <c r="Z249" s="49">
        <f>VLOOKUP(B249,country_opex,5,FALSE)</f>
        <v/>
      </c>
      <c r="AA249" s="49">
        <f>maint</f>
        <v/>
      </c>
      <c r="AB249" s="49">
        <f>VLOOKUP(B249,country_opex,7,FALSE)*ins_pct</f>
        <v/>
      </c>
      <c r="AC249" s="49">
        <f>charge_berth</f>
        <v/>
      </c>
      <c r="AD249" s="49">
        <f>X249+Y249+Z249+AA249+AB249+AC249</f>
        <v/>
      </c>
      <c r="AE249" s="49">
        <f>VLOOKUP(B249,country_opex,7,FALSE)/dep_years</f>
        <v/>
      </c>
      <c r="AF249" s="49">
        <f>W249-AD249</f>
        <v/>
      </c>
      <c r="AG249" s="46">
        <f>IF(W249=0,"",AF249/W249)</f>
        <v/>
      </c>
      <c r="AH249" s="47">
        <f>IF(AF249&lt;=0,"",VLOOKUP(B249,country_opex,7,FALSE)/AF249)</f>
        <v/>
      </c>
      <c r="AI249" s="44">
        <f>((G249*R249/diesel_nmpg)*diesel_co2pg-(battery/range_nm)*G249*R249*VLOOKUP(B249,country_opex,4,FALSE))/1000</f>
        <v/>
      </c>
      <c r="AJ249" s="42" t="n"/>
      <c r="AK249" s="43" t="inlineStr">
        <is>
          <t>T2</t>
        </is>
      </c>
      <c r="AL249" s="43" t="inlineStr">
        <is>
          <t>high</t>
        </is>
      </c>
      <c r="AM249" s="50" t="n">
        <v>0.1</v>
      </c>
      <c r="AN249" s="45">
        <f>IF(AJ249="","",AJ249*AM249)</f>
        <v/>
      </c>
      <c r="AO249" s="45">
        <f>IF(OR(AJ249="",U249=0),"",MIN(IF(AV249="",9.9E+99,AV249),FLOOR(AN249/U249,1)))</f>
        <v/>
      </c>
      <c r="AP249" s="49">
        <f>IF(AO249="","",AO249*W249)</f>
        <v/>
      </c>
      <c r="AQ249" s="47">
        <f>IF(OR(AJ249="",U249=0),"",MIN(IF(AV249="",9.9E+99,AV249),AN249/U249))</f>
        <v/>
      </c>
      <c r="AR249" s="49">
        <f>IF(AQ249="","",AQ249*W249)</f>
        <v/>
      </c>
      <c r="AS249" s="51" t="n"/>
      <c r="AT249" s="52" t="n"/>
      <c r="AU249" s="52" t="n"/>
      <c r="AV249" s="53" t="n"/>
      <c r="AW249" s="54">
        <f>IF(((V249*pax_cap*load_thin*ROUND(N249*O249*revleg_thin,0))-(((battery/range_nm)*G249*ROUND(N249*O249*revleg_thin,0)*VLOOKUP(B249,country_opex,3,FALSE))+Y249+Z249+AA249+AB249+AC249))&lt;=0,"",VLOOKUP(B249,country_opex,7,FALSE)/((V249*pax_cap*load_thin*ROUND(N249*O249*revleg_thin,0))-(((battery/range_nm)*G249*ROUND(N249*O249*revleg_thin,0)*VLOOKUP(B249,country_opex,3,FALSE))+Y249+Z249+AA249+AB249+AC249)))</f>
        <v/>
      </c>
      <c r="AX249" s="54">
        <f>IF(((V249*pax_cap*load_mid*ROUND(N249*O249*revleg_mid,0))-(((battery/range_nm)*G249*ROUND(N249*O249*revleg_mid,0)*VLOOKUP(B249,country_opex,3,FALSE))+Y249+Z249+AA249+AB249+AC249))&lt;=0,"",VLOOKUP(B249,country_opex,7,FALSE)/((V249*pax_cap*load_mid*ROUND(N249*O249*revleg_mid,0))-(((battery/range_nm)*G249*ROUND(N249*O249*revleg_mid,0)*VLOOKUP(B249,country_opex,3,FALSE))+Y249+Z249+AA249+AB249+AC249)))</f>
        <v/>
      </c>
      <c r="AY249" s="54">
        <f>IF(((V249*pax_cap*load_full*ROUND(N249*O249*revleg_full,0))-(((battery/range_nm)*G249*ROUND(N249*O249*revleg_full,0)*VLOOKUP(B249,country_opex,3,FALSE))+Y249+Z249+AA249+AB249+AC249))&lt;=0,"",VLOOKUP(B249,country_opex,7,FALSE)/((V249*pax_cap*load_full*ROUND(N249*O249*revleg_full,0))-(((battery/range_nm)*G249*ROUND(N249*O249*revleg_full,0)*VLOOKUP(B249,country_opex,3,FALSE))+Y249+Z249+AA249+AB249+AC249)))</f>
        <v/>
      </c>
      <c r="AZ249" s="40" t="inlineStr">
        <is>
          <t>Jesselton Point speedboat to TAR islands: standard RM23 (one island, return) + RM7.20 terminal fee (Tripadvisor); multi-island RM35-65/pax (Instagram/longbeachsabah RM60+); private charter ~RM200/boat (borneotropical). Premium per-seat one-way ~RM35 = $8.</t>
        </is>
      </c>
      <c r="BA249" s="40" t="inlineStr">
        <is>
          <t>Sabah Parks Dashboard (dashboard.sabahparks.org.my): Tunku Abdul Rahman Park highest accumulated visitor volume 546,383 (2025); &gt;500k in 2019 (citympvtravel).</t>
        </is>
      </c>
    </row>
    <row r="250">
      <c r="A250" s="38" t="inlineStr">
        <is>
          <t>Borneo</t>
        </is>
      </c>
      <c r="B250" s="38" t="inlineStr">
        <is>
          <t>Malaysia</t>
        </is>
      </c>
      <c r="C250" s="39" t="inlineStr">
        <is>
          <t>Kota Kinabalu (Sutera Harbour) → Gaya Island resorts</t>
        </is>
      </c>
      <c r="D250" s="38" t="inlineStr">
        <is>
          <t>grab</t>
        </is>
      </c>
      <c r="E250" s="40" t="inlineStr">
        <is>
          <t>borneo, langkawi</t>
        </is>
      </c>
      <c r="F250" s="41" t="n">
        <v>2</v>
      </c>
      <c r="G250" s="42" t="n">
        <v>4.29</v>
      </c>
      <c r="H250" s="35" t="n">
        <v>19</v>
      </c>
      <c r="I250" s="43" t="inlineStr">
        <is>
          <t>T1</t>
        </is>
      </c>
      <c r="J250" s="43" t="inlineStr">
        <is>
          <t>high</t>
        </is>
      </c>
      <c r="K250" s="29" t="n">
        <v>1</v>
      </c>
      <c r="L250" s="44">
        <f>60*G250/cruise_kt</f>
        <v/>
      </c>
      <c r="M250" s="44">
        <f>L250+turn_min+dwell_min</f>
        <v/>
      </c>
      <c r="N250" s="45">
        <f>MIN(10,FLOOR(60*service_hr/M250,1))</f>
        <v/>
      </c>
      <c r="O250" s="45">
        <f>ROUND(365*mech_uptime*K250,0)</f>
        <v/>
      </c>
      <c r="P250" s="46">
        <f>mech_uptime</f>
        <v/>
      </c>
      <c r="Q250" s="46">
        <f>revleg_sel</f>
        <v/>
      </c>
      <c r="R250" s="45">
        <f>ROUND(N250*O250*revleg_sel,0)</f>
        <v/>
      </c>
      <c r="S250" s="47">
        <f>load_sel</f>
        <v/>
      </c>
      <c r="T250" s="47">
        <f>pax_cap*S250</f>
        <v/>
      </c>
      <c r="U250" s="45">
        <f>T250*R250</f>
        <v/>
      </c>
      <c r="V250" s="48">
        <f>H250*discount</f>
        <v/>
      </c>
      <c r="W250" s="49">
        <f>V250*U250</f>
        <v/>
      </c>
      <c r="X250" s="49">
        <f>(battery/range_nm)*G250*R250*VLOOKUP(B250,country_opex,3,FALSE)</f>
        <v/>
      </c>
      <c r="Y250" s="49">
        <f>VLOOKUP(B250,country_opex,2,FALSE)*crew_factor</f>
        <v/>
      </c>
      <c r="Z250" s="49">
        <f>VLOOKUP(B250,country_opex,5,FALSE)</f>
        <v/>
      </c>
      <c r="AA250" s="49">
        <f>maint</f>
        <v/>
      </c>
      <c r="AB250" s="49">
        <f>VLOOKUP(B250,country_opex,7,FALSE)*ins_pct</f>
        <v/>
      </c>
      <c r="AC250" s="49">
        <f>charge_berth</f>
        <v/>
      </c>
      <c r="AD250" s="49">
        <f>X250+Y250+Z250+AA250+AB250+AC250</f>
        <v/>
      </c>
      <c r="AE250" s="49">
        <f>VLOOKUP(B250,country_opex,7,FALSE)/dep_years</f>
        <v/>
      </c>
      <c r="AF250" s="49">
        <f>W250-AD250</f>
        <v/>
      </c>
      <c r="AG250" s="46">
        <f>IF(W250=0,"",AF250/W250)</f>
        <v/>
      </c>
      <c r="AH250" s="47">
        <f>IF(AF250&lt;=0,"",VLOOKUP(B250,country_opex,7,FALSE)/AF250)</f>
        <v/>
      </c>
      <c r="AI250" s="44">
        <f>((G250*R250/diesel_nmpg)*diesel_co2pg-(battery/range_nm)*G250*R250*VLOOKUP(B250,country_opex,4,FALSE))/1000</f>
        <v/>
      </c>
      <c r="AJ250" s="42" t="n">
        <v>45000</v>
      </c>
      <c r="AK250" s="43" t="inlineStr">
        <is>
          <t>T5</t>
        </is>
      </c>
      <c r="AL250" s="43" t="inlineStr">
        <is>
          <t>low</t>
        </is>
      </c>
      <c r="AM250" s="50" t="n">
        <v>0.1</v>
      </c>
      <c r="AN250" s="45">
        <f>IF(AJ250="","",AJ250*AM250)</f>
        <v/>
      </c>
      <c r="AO250" s="45">
        <f>IF(OR(AJ250="",U250=0),"",MIN(IF(AV250="",9.9E+99,AV250),FLOOR(AN250/U250,1)))</f>
        <v/>
      </c>
      <c r="AP250" s="49">
        <f>IF(AO250="","",AO250*W250)</f>
        <v/>
      </c>
      <c r="AQ250" s="47">
        <f>IF(OR(AJ250="",U250=0),"",MIN(IF(AV250="",9.9E+99,AV250),AN250/U250))</f>
        <v/>
      </c>
      <c r="AR250" s="49">
        <f>IF(AQ250="","",AQ250*W250)</f>
        <v/>
      </c>
      <c r="AS250" s="51" t="n"/>
      <c r="AT250" s="52" t="n"/>
      <c r="AU250" s="52" t="n"/>
      <c r="AV250" s="53" t="n"/>
      <c r="AW250" s="54">
        <f>IF(((V250*pax_cap*load_thin*ROUND(N250*O250*revleg_thin,0))-(((battery/range_nm)*G250*ROUND(N250*O250*revleg_thin,0)*VLOOKUP(B250,country_opex,3,FALSE))+Y250+Z250+AA250+AB250+AC250))&lt;=0,"",VLOOKUP(B250,country_opex,7,FALSE)/((V250*pax_cap*load_thin*ROUND(N250*O250*revleg_thin,0))-(((battery/range_nm)*G250*ROUND(N250*O250*revleg_thin,0)*VLOOKUP(B250,country_opex,3,FALSE))+Y250+Z250+AA250+AB250+AC250)))</f>
        <v/>
      </c>
      <c r="AX250" s="54">
        <f>IF(((V250*pax_cap*load_mid*ROUND(N250*O250*revleg_mid,0))-(((battery/range_nm)*G250*ROUND(N250*O250*revleg_mid,0)*VLOOKUP(B250,country_opex,3,FALSE))+Y250+Z250+AA250+AB250+AC250))&lt;=0,"",VLOOKUP(B250,country_opex,7,FALSE)/((V250*pax_cap*load_mid*ROUND(N250*O250*revleg_mid,0))-(((battery/range_nm)*G250*ROUND(N250*O250*revleg_mid,0)*VLOOKUP(B250,country_opex,3,FALSE))+Y250+Z250+AA250+AB250+AC250)))</f>
        <v/>
      </c>
      <c r="AY250" s="54">
        <f>IF(((V250*pax_cap*load_full*ROUND(N250*O250*revleg_full,0))-(((battery/range_nm)*G250*ROUND(N250*O250*revleg_full,0)*VLOOKUP(B250,country_opex,3,FALSE))+Y250+Z250+AA250+AB250+AC250))&lt;=0,"",VLOOKUP(B250,country_opex,7,FALSE)/((V250*pax_cap*load_full*ROUND(N250*O250*revleg_full,0))-(((battery/range_nm)*G250*ROUND(N250*O250*revleg_full,0)*VLOOKUP(B250,country_opex,3,FALSE))+Y250+Z250+AA250+AB250+AC250)))</f>
        <v/>
      </c>
      <c r="AZ250" s="40" t="inlineStr">
        <is>
          <t>Gaya Island Resort scheduled speedboat transfer MYR160/adult round-trip (Agoda) / MYR172.80 rt (Klook) = ~RM80-86 one-way ($19-20); +RM10/way fuel surcharge (2026); private charter RM500/boat/way. Sutera/STAR Marina jetty origin.</t>
        </is>
      </c>
      <c r="BA250" s="40" t="inlineStr">
        <is>
          <t>Served Gaya luxury resorts (Gaya Island Resort, Bunga Raya, Gayana ~200 villas combined). Modeled guest arrivals ~45k/yr (occupancy x turns). Subset of TAR-park traffic via Sutera Marina.</t>
        </is>
      </c>
    </row>
    <row r="251">
      <c r="A251" s="38" t="inlineStr">
        <is>
          <t>Penang</t>
        </is>
      </c>
      <c r="B251" s="38" t="inlineStr">
        <is>
          <t>Malaysia</t>
        </is>
      </c>
      <c r="C251" s="39" t="inlineStr">
        <is>
          <t>George Town → Batu Ferringhi resort strip</t>
        </is>
      </c>
      <c r="D251" s="38" t="inlineStr">
        <is>
          <t>grab</t>
        </is>
      </c>
      <c r="E251" s="40" t="inlineStr">
        <is>
          <t>langkawi, penang</t>
        </is>
      </c>
      <c r="F251" s="41" t="n">
        <v>2</v>
      </c>
      <c r="G251" s="42" t="n">
        <v>6.6</v>
      </c>
      <c r="H251" s="35" t="n">
        <v>30</v>
      </c>
      <c r="I251" s="43" t="inlineStr">
        <is>
          <t>T5</t>
        </is>
      </c>
      <c r="J251" s="43" t="inlineStr">
        <is>
          <t>low</t>
        </is>
      </c>
      <c r="K251" s="29" t="n">
        <v>1</v>
      </c>
      <c r="L251" s="44">
        <f>60*G251/cruise_kt</f>
        <v/>
      </c>
      <c r="M251" s="44">
        <f>L251+turn_min+dwell_min</f>
        <v/>
      </c>
      <c r="N251" s="45">
        <f>MIN(10,FLOOR(60*service_hr/M251,1))</f>
        <v/>
      </c>
      <c r="O251" s="45">
        <f>ROUND(365*mech_uptime*K251,0)</f>
        <v/>
      </c>
      <c r="P251" s="46">
        <f>mech_uptime</f>
        <v/>
      </c>
      <c r="Q251" s="46">
        <f>revleg_sel</f>
        <v/>
      </c>
      <c r="R251" s="45">
        <f>ROUND(N251*O251*revleg_sel,0)</f>
        <v/>
      </c>
      <c r="S251" s="47">
        <f>load_sel</f>
        <v/>
      </c>
      <c r="T251" s="47">
        <f>pax_cap*S251</f>
        <v/>
      </c>
      <c r="U251" s="45">
        <f>T251*R251</f>
        <v/>
      </c>
      <c r="V251" s="48">
        <f>H251*discount</f>
        <v/>
      </c>
      <c r="W251" s="49">
        <f>V251*U251</f>
        <v/>
      </c>
      <c r="X251" s="49">
        <f>(battery/range_nm)*G251*R251*VLOOKUP(B251,country_opex,3,FALSE)</f>
        <v/>
      </c>
      <c r="Y251" s="49">
        <f>VLOOKUP(B251,country_opex,2,FALSE)*crew_factor</f>
        <v/>
      </c>
      <c r="Z251" s="49">
        <f>VLOOKUP(B251,country_opex,5,FALSE)</f>
        <v/>
      </c>
      <c r="AA251" s="49">
        <f>maint</f>
        <v/>
      </c>
      <c r="AB251" s="49">
        <f>VLOOKUP(B251,country_opex,7,FALSE)*ins_pct</f>
        <v/>
      </c>
      <c r="AC251" s="49">
        <f>charge_berth</f>
        <v/>
      </c>
      <c r="AD251" s="49">
        <f>X251+Y251+Z251+AA251+AB251+AC251</f>
        <v/>
      </c>
      <c r="AE251" s="49">
        <f>VLOOKUP(B251,country_opex,7,FALSE)/dep_years</f>
        <v/>
      </c>
      <c r="AF251" s="49">
        <f>W251-AD251</f>
        <v/>
      </c>
      <c r="AG251" s="46">
        <f>IF(W251=0,"",AF251/W251)</f>
        <v/>
      </c>
      <c r="AH251" s="47">
        <f>IF(AF251&lt;=0,"",VLOOKUP(B251,country_opex,7,FALSE)/AF251)</f>
        <v/>
      </c>
      <c r="AI251" s="44">
        <f>((G251*R251/diesel_nmpg)*diesel_co2pg-(battery/range_nm)*G251*R251*VLOOKUP(B251,country_opex,4,FALSE))/1000</f>
        <v/>
      </c>
      <c r="AJ251" s="42" t="n"/>
      <c r="AK251" s="43" t="inlineStr">
        <is>
          <t>T5</t>
        </is>
      </c>
      <c r="AL251" s="43" t="inlineStr">
        <is>
          <t>low</t>
        </is>
      </c>
      <c r="AM251" s="50" t="n">
        <v>0.1</v>
      </c>
      <c r="AN251" s="45">
        <f>IF(AJ251="","",AJ251*AM251)</f>
        <v/>
      </c>
      <c r="AO251" s="45">
        <f>IF(OR(AJ251="",U251=0),"",MIN(IF(AV251="",9.9E+99,AV251),FLOOR(AN251/U251,1)))</f>
        <v/>
      </c>
      <c r="AP251" s="49">
        <f>IF(AO251="","",AO251*W251)</f>
        <v/>
      </c>
      <c r="AQ251" s="47">
        <f>IF(OR(AJ251="",U251=0),"",MIN(IF(AV251="",9.9E+99,AV251),AN251/U251))</f>
        <v/>
      </c>
      <c r="AR251" s="49">
        <f>IF(AQ251="","",AQ251*W251)</f>
        <v/>
      </c>
      <c r="AS251" s="51" t="n"/>
      <c r="AT251" s="52" t="n"/>
      <c r="AU251" s="52" t="n"/>
      <c r="AV251" s="53" t="n"/>
      <c r="AW251" s="54">
        <f>IF(((V251*pax_cap*load_thin*ROUND(N251*O251*revleg_thin,0))-(((battery/range_nm)*G251*ROUND(N251*O251*revleg_thin,0)*VLOOKUP(B251,country_opex,3,FALSE))+Y251+Z251+AA251+AB251+AC251))&lt;=0,"",VLOOKUP(B251,country_opex,7,FALSE)/((V251*pax_cap*load_thin*ROUND(N251*O251*revleg_thin,0))-(((battery/range_nm)*G251*ROUND(N251*O251*revleg_thin,0)*VLOOKUP(B251,country_opex,3,FALSE))+Y251+Z251+AA251+AB251+AC251)))</f>
        <v/>
      </c>
      <c r="AX251" s="54">
        <f>IF(((V251*pax_cap*load_mid*ROUND(N251*O251*revleg_mid,0))-(((battery/range_nm)*G251*ROUND(N251*O251*revleg_mid,0)*VLOOKUP(B251,country_opex,3,FALSE))+Y251+Z251+AA251+AB251+AC251))&lt;=0,"",VLOOKUP(B251,country_opex,7,FALSE)/((V251*pax_cap*load_mid*ROUND(N251*O251*revleg_mid,0))-(((battery/range_nm)*G251*ROUND(N251*O251*revleg_mid,0)*VLOOKUP(B251,country_opex,3,FALSE))+Y251+Z251+AA251+AB251+AC251)))</f>
        <v/>
      </c>
      <c r="AY251" s="54">
        <f>IF(((V251*pax_cap*load_full*ROUND(N251*O251*revleg_full,0))-(((battery/range_nm)*G251*ROUND(N251*O251*revleg_full,0)*VLOOKUP(B251,country_opex,3,FALSE))+Y251+Z251+AA251+AB251+AC251))&lt;=0,"",VLOOKUP(B251,country_opex,7,FALSE)/((V251*pax_cap*load_full*ROUND(N251*O251*revleg_full,0))-(((battery/range_nm)*G251*ROUND(N251*O251*revleg_full,0)*VLOOKUP(B251,country_opex,3,FALSE))+Y251+Z251+AA251+AB251+AC251)))</f>
        <v/>
      </c>
      <c r="AZ251" s="40" t="inlineStr">
        <is>
          <t>No scheduled passenger boat George Town&lt;-&gt;Batu Ferringhi; the resort strip is reached by road along the north coast. Modeled premium per-seat scenic speedboat transfer ~RM130/way ($30) by analogy to short Sabah/Langkawi private-speedboat seats.</t>
        </is>
      </c>
      <c r="BA251" s="40" t="inlineStr">
        <is>
          <t>No boat crossing exists; Batu Ferringhi hotel-strip arrivals come by road. No credible on-water pax pool.</t>
        </is>
      </c>
    </row>
    <row r="252">
      <c r="A252" s="38" t="inlineStr">
        <is>
          <t>Penang</t>
        </is>
      </c>
      <c r="B252" s="38" t="inlineStr">
        <is>
          <t>Malaysia</t>
        </is>
      </c>
      <c r="C252" s="39" t="inlineStr">
        <is>
          <t>Kuah Jetty (Langkawi) → Langkawi geopark island-hop (Dayang Bunting / Payar)</t>
        </is>
      </c>
      <c r="D252" s="38" t="inlineStr">
        <is>
          <t>grab</t>
        </is>
      </c>
      <c r="E252" s="40" t="inlineStr">
        <is>
          <t>langkawi, penang</t>
        </is>
      </c>
      <c r="F252" s="41" t="n">
        <v>2</v>
      </c>
      <c r="G252" s="42" t="n">
        <v>10</v>
      </c>
      <c r="H252" s="35" t="n">
        <v>20</v>
      </c>
      <c r="I252" s="43" t="inlineStr">
        <is>
          <t>T3</t>
        </is>
      </c>
      <c r="J252" s="43" t="inlineStr">
        <is>
          <t>med-high</t>
        </is>
      </c>
      <c r="K252" s="29" t="n">
        <v>1</v>
      </c>
      <c r="L252" s="44">
        <f>60*G252/cruise_kt</f>
        <v/>
      </c>
      <c r="M252" s="44">
        <f>L252+turn_min+dwell_min</f>
        <v/>
      </c>
      <c r="N252" s="45">
        <f>MIN(10,FLOOR(60*service_hr/M252,1))</f>
        <v/>
      </c>
      <c r="O252" s="45">
        <f>ROUND(365*mech_uptime*K252,0)</f>
        <v/>
      </c>
      <c r="P252" s="46">
        <f>mech_uptime</f>
        <v/>
      </c>
      <c r="Q252" s="46">
        <f>revleg_sel</f>
        <v/>
      </c>
      <c r="R252" s="45">
        <f>ROUND(N252*O252*revleg_sel,0)</f>
        <v/>
      </c>
      <c r="S252" s="47">
        <f>load_sel</f>
        <v/>
      </c>
      <c r="T252" s="47">
        <f>pax_cap*S252</f>
        <v/>
      </c>
      <c r="U252" s="45">
        <f>T252*R252</f>
        <v/>
      </c>
      <c r="V252" s="48">
        <f>H252*discount</f>
        <v/>
      </c>
      <c r="W252" s="49">
        <f>V252*U252</f>
        <v/>
      </c>
      <c r="X252" s="49">
        <f>(battery/range_nm)*G252*R252*VLOOKUP(B252,country_opex,3,FALSE)</f>
        <v/>
      </c>
      <c r="Y252" s="49">
        <f>VLOOKUP(B252,country_opex,2,FALSE)*crew_factor</f>
        <v/>
      </c>
      <c r="Z252" s="49">
        <f>VLOOKUP(B252,country_opex,5,FALSE)</f>
        <v/>
      </c>
      <c r="AA252" s="49">
        <f>maint</f>
        <v/>
      </c>
      <c r="AB252" s="49">
        <f>VLOOKUP(B252,country_opex,7,FALSE)*ins_pct</f>
        <v/>
      </c>
      <c r="AC252" s="49">
        <f>charge_berth</f>
        <v/>
      </c>
      <c r="AD252" s="49">
        <f>X252+Y252+Z252+AA252+AB252+AC252</f>
        <v/>
      </c>
      <c r="AE252" s="49">
        <f>VLOOKUP(B252,country_opex,7,FALSE)/dep_years</f>
        <v/>
      </c>
      <c r="AF252" s="49">
        <f>W252-AD252</f>
        <v/>
      </c>
      <c r="AG252" s="46">
        <f>IF(W252=0,"",AF252/W252)</f>
        <v/>
      </c>
      <c r="AH252" s="47">
        <f>IF(AF252&lt;=0,"",VLOOKUP(B252,country_opex,7,FALSE)/AF252)</f>
        <v/>
      </c>
      <c r="AI252" s="44">
        <f>((G252*R252/diesel_nmpg)*diesel_co2pg-(battery/range_nm)*G252*R252*VLOOKUP(B252,country_opex,4,FALSE))/1000</f>
        <v/>
      </c>
      <c r="AJ252" s="42" t="n">
        <v>400000</v>
      </c>
      <c r="AK252" s="43" t="inlineStr">
        <is>
          <t>T5</t>
        </is>
      </c>
      <c r="AL252" s="43" t="inlineStr">
        <is>
          <t>low</t>
        </is>
      </c>
      <c r="AM252" s="50" t="n">
        <v>0.1</v>
      </c>
      <c r="AN252" s="45">
        <f>IF(AJ252="","",AJ252*AM252)</f>
        <v/>
      </c>
      <c r="AO252" s="45">
        <f>IF(OR(AJ252="",U252=0),"",MIN(IF(AV252="",9.9E+99,AV252),FLOOR(AN252/U252,1)))</f>
        <v/>
      </c>
      <c r="AP252" s="49">
        <f>IF(AO252="","",AO252*W252)</f>
        <v/>
      </c>
      <c r="AQ252" s="47">
        <f>IF(OR(AJ252="",U252=0),"",MIN(IF(AV252="",9.9E+99,AV252),AN252/U252))</f>
        <v/>
      </c>
      <c r="AR252" s="49">
        <f>IF(AQ252="","",AQ252*W252)</f>
        <v/>
      </c>
      <c r="AS252" s="51" t="n"/>
      <c r="AT252" s="52" t="n"/>
      <c r="AU252" s="52" t="n"/>
      <c r="AV252" s="53" t="n"/>
      <c r="AW252" s="54">
        <f>IF(((V252*pax_cap*load_thin*ROUND(N252*O252*revleg_thin,0))-(((battery/range_nm)*G252*ROUND(N252*O252*revleg_thin,0)*VLOOKUP(B252,country_opex,3,FALSE))+Y252+Z252+AA252+AB252+AC252))&lt;=0,"",VLOOKUP(B252,country_opex,7,FALSE)/((V252*pax_cap*load_thin*ROUND(N252*O252*revleg_thin,0))-(((battery/range_nm)*G252*ROUND(N252*O252*revleg_thin,0)*VLOOKUP(B252,country_opex,3,FALSE))+Y252+Z252+AA252+AB252+AC252)))</f>
        <v/>
      </c>
      <c r="AX252" s="54">
        <f>IF(((V252*pax_cap*load_mid*ROUND(N252*O252*revleg_mid,0))-(((battery/range_nm)*G252*ROUND(N252*O252*revleg_mid,0)*VLOOKUP(B252,country_opex,3,FALSE))+Y252+Z252+AA252+AB252+AC252))&lt;=0,"",VLOOKUP(B252,country_opex,7,FALSE)/((V252*pax_cap*load_mid*ROUND(N252*O252*revleg_mid,0))-(((battery/range_nm)*G252*ROUND(N252*O252*revleg_mid,0)*VLOOKUP(B252,country_opex,3,FALSE))+Y252+Z252+AA252+AB252+AC252)))</f>
        <v/>
      </c>
      <c r="AY252" s="54">
        <f>IF(((V252*pax_cap*load_full*ROUND(N252*O252*revleg_full,0))-(((battery/range_nm)*G252*ROUND(N252*O252*revleg_full,0)*VLOOKUP(B252,country_opex,3,FALSE))+Y252+Z252+AA252+AB252+AC252))&lt;=0,"",VLOOKUP(B252,country_opex,7,FALSE)/((V252*pax_cap*load_full*ROUND(N252*O252*revleg_full,0))-(((battery/range_nm)*G252*ROUND(N252*O252*revleg_full,0)*VLOOKUP(B252,country_opex,3,FALSE))+Y252+Z252+AA252+AB252+AC252)))</f>
        <v/>
      </c>
      <c r="AZ252" s="40" t="inlineStr">
        <is>
          <t>Very liquid per-seat market: Klook shared island-hopping speedboat tour (act. 6919, '80K+ booked', 4.4/5, ~4h Dayang Bunting + eagle watching + Beras Basah) ~RM38-65/pax depending on pickup option; editorial range RM36-80/pax standard group (alike.io 2025); Klook PRIVATE 8-seater speedboat tour (act. 33941) US$135.39/boat = $17-23/seat at 6-8 pax. GetYourGuide premium shared tours ~$25-30/pax.</t>
        </is>
      </c>
      <c r="BA252" s="40" t="inlineStr">
        <is>
          <t>LADA official visitor arrivals: 3,215,730 (2025); 2,904,629 (2024) (lada.gov.my). Corroboration of experience liquidity: single Klook shared-tour listing shows 80K+ cumulative bookings; island hopping is Langkawi's signature boat activity (Dayang Bunting geopark + Pulau Payar marine park).</t>
        </is>
      </c>
    </row>
    <row r="253">
      <c r="A253" s="38" t="inlineStr">
        <is>
          <t>Penang</t>
        </is>
      </c>
      <c r="B253" s="38" t="inlineStr">
        <is>
          <t>Malaysia</t>
        </is>
      </c>
      <c r="C253" s="39" t="inlineStr">
        <is>
          <t>Kuah Jetty (Langkawi) → Kuala Perlis (mainland)</t>
        </is>
      </c>
      <c r="D253" s="38" t="inlineStr">
        <is>
          <t>grab</t>
        </is>
      </c>
      <c r="E253" s="40" t="inlineStr">
        <is>
          <t>langkawi, penang</t>
        </is>
      </c>
      <c r="F253" s="41" t="n">
        <v>2</v>
      </c>
      <c r="G253" s="42" t="n">
        <v>16.8</v>
      </c>
      <c r="H253" s="35" t="n">
        <v>10.5</v>
      </c>
      <c r="I253" s="43" t="inlineStr">
        <is>
          <t>T1</t>
        </is>
      </c>
      <c r="J253" s="43" t="inlineStr">
        <is>
          <t>med-high</t>
        </is>
      </c>
      <c r="K253" s="29" t="n">
        <v>1</v>
      </c>
      <c r="L253" s="44">
        <f>60*G253/cruise_kt</f>
        <v/>
      </c>
      <c r="M253" s="44">
        <f>L253+turn_min+dwell_min</f>
        <v/>
      </c>
      <c r="N253" s="45">
        <f>MIN(10,FLOOR(60*service_hr/M253,1))</f>
        <v/>
      </c>
      <c r="O253" s="45">
        <f>ROUND(365*mech_uptime*K253,0)</f>
        <v/>
      </c>
      <c r="P253" s="46">
        <f>mech_uptime</f>
        <v/>
      </c>
      <c r="Q253" s="46">
        <f>revleg_sel</f>
        <v/>
      </c>
      <c r="R253" s="45">
        <f>ROUND(N253*O253*revleg_sel,0)</f>
        <v/>
      </c>
      <c r="S253" s="47">
        <f>load_sel</f>
        <v/>
      </c>
      <c r="T253" s="47">
        <f>pax_cap*S253</f>
        <v/>
      </c>
      <c r="U253" s="45">
        <f>T253*R253</f>
        <v/>
      </c>
      <c r="V253" s="48">
        <f>H253*discount</f>
        <v/>
      </c>
      <c r="W253" s="49">
        <f>V253*U253</f>
        <v/>
      </c>
      <c r="X253" s="49">
        <f>(battery/range_nm)*G253*R253*VLOOKUP(B253,country_opex,3,FALSE)</f>
        <v/>
      </c>
      <c r="Y253" s="49">
        <f>VLOOKUP(B253,country_opex,2,FALSE)*crew_factor</f>
        <v/>
      </c>
      <c r="Z253" s="49">
        <f>VLOOKUP(B253,country_opex,5,FALSE)</f>
        <v/>
      </c>
      <c r="AA253" s="49">
        <f>maint</f>
        <v/>
      </c>
      <c r="AB253" s="49">
        <f>VLOOKUP(B253,country_opex,7,FALSE)*ins_pct</f>
        <v/>
      </c>
      <c r="AC253" s="49">
        <f>charge_berth</f>
        <v/>
      </c>
      <c r="AD253" s="49">
        <f>X253+Y253+Z253+AA253+AB253+AC253</f>
        <v/>
      </c>
      <c r="AE253" s="49">
        <f>VLOOKUP(B253,country_opex,7,FALSE)/dep_years</f>
        <v/>
      </c>
      <c r="AF253" s="49">
        <f>W253-AD253</f>
        <v/>
      </c>
      <c r="AG253" s="46">
        <f>IF(W253=0,"",AF253/W253)</f>
        <v/>
      </c>
      <c r="AH253" s="47">
        <f>IF(AF253&lt;=0,"",VLOOKUP(B253,country_opex,7,FALSE)/AF253)</f>
        <v/>
      </c>
      <c r="AI253" s="44">
        <f>((G253*R253/diesel_nmpg)*diesel_co2pg-(battery/range_nm)*G253*R253*VLOOKUP(B253,country_opex,4,FALSE))/1000</f>
        <v/>
      </c>
      <c r="AJ253" s="42" t="n">
        <v>1600000</v>
      </c>
      <c r="AK253" s="43" t="inlineStr">
        <is>
          <t>T2</t>
        </is>
      </c>
      <c r="AL253" s="43" t="inlineStr">
        <is>
          <t>med</t>
        </is>
      </c>
      <c r="AM253" s="50" t="n">
        <v>0.1</v>
      </c>
      <c r="AN253" s="45">
        <f>IF(AJ253="","",AJ253*AM253)</f>
        <v/>
      </c>
      <c r="AO253" s="45">
        <f>IF(OR(AJ253="",U253=0),"",MIN(IF(AV253="",9.9E+99,AV253),FLOOR(AN253/U253,1)))</f>
        <v/>
      </c>
      <c r="AP253" s="49">
        <f>IF(AO253="","",AO253*W253)</f>
        <v/>
      </c>
      <c r="AQ253" s="47">
        <f>IF(OR(AJ253="",U253=0),"",MIN(IF(AV253="",9.9E+99,AV253),AN253/U253))</f>
        <v/>
      </c>
      <c r="AR253" s="49">
        <f>IF(AQ253="","",AQ253*W253)</f>
        <v/>
      </c>
      <c r="AS253" s="51" t="n"/>
      <c r="AT253" s="52" t="n"/>
      <c r="AU253" s="52" t="n"/>
      <c r="AV253" s="53" t="n"/>
      <c r="AW253" s="54">
        <f>IF(((V253*pax_cap*load_thin*ROUND(N253*O253*revleg_thin,0))-(((battery/range_nm)*G253*ROUND(N253*O253*revleg_thin,0)*VLOOKUP(B253,country_opex,3,FALSE))+Y253+Z253+AA253+AB253+AC253))&lt;=0,"",VLOOKUP(B253,country_opex,7,FALSE)/((V253*pax_cap*load_thin*ROUND(N253*O253*revleg_thin,0))-(((battery/range_nm)*G253*ROUND(N253*O253*revleg_thin,0)*VLOOKUP(B253,country_opex,3,FALSE))+Y253+Z253+AA253+AB253+AC253)))</f>
        <v/>
      </c>
      <c r="AX253" s="54">
        <f>IF(((V253*pax_cap*load_mid*ROUND(N253*O253*revleg_mid,0))-(((battery/range_nm)*G253*ROUND(N253*O253*revleg_mid,0)*VLOOKUP(B253,country_opex,3,FALSE))+Y253+Z253+AA253+AB253+AC253))&lt;=0,"",VLOOKUP(B253,country_opex,7,FALSE)/((V253*pax_cap*load_mid*ROUND(N253*O253*revleg_mid,0))-(((battery/range_nm)*G253*ROUND(N253*O253*revleg_mid,0)*VLOOKUP(B253,country_opex,3,FALSE))+Y253+Z253+AA253+AB253+AC253)))</f>
        <v/>
      </c>
      <c r="AY253" s="54">
        <f>IF(((V253*pax_cap*load_full*ROUND(N253*O253*revleg_full,0))-(((battery/range_nm)*G253*ROUND(N253*O253*revleg_full,0)*VLOOKUP(B253,country_opex,3,FALSE))+Y253+Z253+AA253+AB253+AC253))&lt;=0,"",VLOOKUP(B253,country_opex,7,FALSE)/((V253*pax_cap*load_full*ROUND(N253*O253*revleg_full,0))-(((battery/range_nm)*G253*ROUND(N253*O253*revleg_full,0)*VLOOKUP(B253,country_opex,3,FALSE))+Y253+Z253+AA253+AB253+AC253)))</f>
        <v/>
      </c>
      <c r="AZ253" s="40" t="inlineStr">
        <is>
          <t>Langkawi Ferry Line Ventures (operator): non-MyKad adult Kuala Perlis-Langkawi RM45 one-way effective 15 Apr 2026 (The Star/NST/Malay Mail 10 Apr 2026); local MyKad adult RM15 (operator site). Wantas RORO non-Malaysian RM45 (BusOnlineTicket). Operator booking system lists a VIP seat class (MY MASTER 2 VIP) above standard - price unpublished. OTA from RM47 (BusOnlineTicket).</t>
        </is>
      </c>
      <c r="BA253" s="40" t="inlineStr">
        <is>
          <t>LADA official: 2,904,629 Langkawi visitor arrivals 2024; 3,215,730 in 2025 (lada.gov.my, counted at jetty/airport/cruise/yacht touchpoints). LGK airport 2.5M total pax movements 2024 (~1.25M arrivals, Malaysia Airports). Peak window check: 164,612 ferry pax on KP+KK routes in 18 days 16 Jan-2 Feb 2025 (Bernama), of which 51,003 arrivals via Kuala Perlis (~62% of arrivals).</t>
        </is>
      </c>
    </row>
    <row r="254">
      <c r="A254" s="38" t="inlineStr">
        <is>
          <t>Penang</t>
        </is>
      </c>
      <c r="B254" s="38" t="inlineStr">
        <is>
          <t>Malaysia</t>
        </is>
      </c>
      <c r="C254" s="39" t="inlineStr">
        <is>
          <t>Telaga Harbour (Langkawi) → Koh Lipe (Thailand)</t>
        </is>
      </c>
      <c r="D254" s="38" t="inlineStr">
        <is>
          <t>grab</t>
        </is>
      </c>
      <c r="E254" s="40" t="inlineStr">
        <is>
          <t>langkawi, penang</t>
        </is>
      </c>
      <c r="F254" s="41" t="n">
        <v>2</v>
      </c>
      <c r="G254" s="42" t="n">
        <v>23</v>
      </c>
      <c r="H254" s="35" t="n">
        <v>41.9</v>
      </c>
      <c r="I254" s="43" t="inlineStr">
        <is>
          <t>T3</t>
        </is>
      </c>
      <c r="J254" s="43" t="inlineStr">
        <is>
          <t>high</t>
        </is>
      </c>
      <c r="K254" s="29" t="n">
        <v>1</v>
      </c>
      <c r="L254" s="44">
        <f>60*G254/cruise_kt</f>
        <v/>
      </c>
      <c r="M254" s="44">
        <f>L254+turn_min+dwell_min</f>
        <v/>
      </c>
      <c r="N254" s="45">
        <f>MIN(10,FLOOR(60*service_hr/M254,1))</f>
        <v/>
      </c>
      <c r="O254" s="45">
        <f>ROUND(365*mech_uptime*K254,0)</f>
        <v/>
      </c>
      <c r="P254" s="46">
        <f>mech_uptime</f>
        <v/>
      </c>
      <c r="Q254" s="46">
        <f>revleg_sel</f>
        <v/>
      </c>
      <c r="R254" s="45">
        <f>ROUND(N254*O254*revleg_sel,0)</f>
        <v/>
      </c>
      <c r="S254" s="47">
        <f>load_sel</f>
        <v/>
      </c>
      <c r="T254" s="47">
        <f>pax_cap*S254</f>
        <v/>
      </c>
      <c r="U254" s="45">
        <f>T254*R254</f>
        <v/>
      </c>
      <c r="V254" s="48">
        <f>H254*discount</f>
        <v/>
      </c>
      <c r="W254" s="49">
        <f>V254*U254</f>
        <v/>
      </c>
      <c r="X254" s="49">
        <f>(battery/range_nm)*G254*R254*VLOOKUP(B254,country_opex,3,FALSE)</f>
        <v/>
      </c>
      <c r="Y254" s="49">
        <f>VLOOKUP(B254,country_opex,2,FALSE)*crew_factor</f>
        <v/>
      </c>
      <c r="Z254" s="49">
        <f>VLOOKUP(B254,country_opex,5,FALSE)</f>
        <v/>
      </c>
      <c r="AA254" s="49">
        <f>maint</f>
        <v/>
      </c>
      <c r="AB254" s="49">
        <f>VLOOKUP(B254,country_opex,7,FALSE)*ins_pct</f>
        <v/>
      </c>
      <c r="AC254" s="49">
        <f>charge_berth</f>
        <v/>
      </c>
      <c r="AD254" s="49">
        <f>X254+Y254+Z254+AA254+AB254+AC254</f>
        <v/>
      </c>
      <c r="AE254" s="49">
        <f>VLOOKUP(B254,country_opex,7,FALSE)/dep_years</f>
        <v/>
      </c>
      <c r="AF254" s="49">
        <f>W254-AD254</f>
        <v/>
      </c>
      <c r="AG254" s="46">
        <f>IF(W254=0,"",AF254/W254)</f>
        <v/>
      </c>
      <c r="AH254" s="47">
        <f>IF(AF254&lt;=0,"",VLOOKUP(B254,country_opex,7,FALSE)/AF254)</f>
        <v/>
      </c>
      <c r="AI254" s="44">
        <f>((G254*R254/diesel_nmpg)*diesel_co2pg-(battery/range_nm)*G254*R254*VLOOKUP(B254,country_opex,4,FALSE))/1000</f>
        <v/>
      </c>
      <c r="AJ254" s="42" t="n">
        <v>45000</v>
      </c>
      <c r="AK254" s="43" t="inlineStr">
        <is>
          <t>T5</t>
        </is>
      </c>
      <c r="AL254" s="43" t="inlineStr">
        <is>
          <t>med-low</t>
        </is>
      </c>
      <c r="AM254" s="50" t="n">
        <v>0.1</v>
      </c>
      <c r="AN254" s="45">
        <f>IF(AJ254="","",AJ254*AM254)</f>
        <v/>
      </c>
      <c r="AO254" s="45">
        <f>IF(OR(AJ254="",U254=0),"",MIN(IF(AV254="",9.9E+99,AV254),FLOOR(AN254/U254,1)))</f>
        <v/>
      </c>
      <c r="AP254" s="49">
        <f>IF(AO254="","",AO254*W254)</f>
        <v/>
      </c>
      <c r="AQ254" s="47">
        <f>IF(OR(AJ254="",U254=0),"",MIN(IF(AV254="",9.9E+99,AV254),AN254/U254))</f>
        <v/>
      </c>
      <c r="AR254" s="49">
        <f>IF(AQ254="","",AQ254*W254)</f>
        <v/>
      </c>
      <c r="AS254" s="51" t="n"/>
      <c r="AT254" s="52" t="n"/>
      <c r="AU254" s="52" t="n"/>
      <c r="AV254" s="53" t="n"/>
      <c r="AW254" s="54">
        <f>IF(((V254*pax_cap*load_thin*ROUND(N254*O254*revleg_thin,0))-(((battery/range_nm)*G254*ROUND(N254*O254*revleg_thin,0)*VLOOKUP(B254,country_opex,3,FALSE))+Y254+Z254+AA254+AB254+AC254))&lt;=0,"",VLOOKUP(B254,country_opex,7,FALSE)/((V254*pax_cap*load_thin*ROUND(N254*O254*revleg_thin,0))-(((battery/range_nm)*G254*ROUND(N254*O254*revleg_thin,0)*VLOOKUP(B254,country_opex,3,FALSE))+Y254+Z254+AA254+AB254+AC254)))</f>
        <v/>
      </c>
      <c r="AX254" s="54">
        <f>IF(((V254*pax_cap*load_mid*ROUND(N254*O254*revleg_mid,0))-(((battery/range_nm)*G254*ROUND(N254*O254*revleg_mid,0)*VLOOKUP(B254,country_opex,3,FALSE))+Y254+Z254+AA254+AB254+AC254))&lt;=0,"",VLOOKUP(B254,country_opex,7,FALSE)/((V254*pax_cap*load_mid*ROUND(N254*O254*revleg_mid,0))-(((battery/range_nm)*G254*ROUND(N254*O254*revleg_mid,0)*VLOOKUP(B254,country_opex,3,FALSE))+Y254+Z254+AA254+AB254+AC254)))</f>
        <v/>
      </c>
      <c r="AY254" s="54">
        <f>IF(((V254*pax_cap*load_full*ROUND(N254*O254*revleg_full,0))-(((battery/range_nm)*G254*ROUND(N254*O254*revleg_full,0)*VLOOKUP(B254,country_opex,3,FALSE))+Y254+Z254+AA254+AB254+AC254))&lt;=0,"",VLOOKUP(B254,country_opex,7,FALSE)/((V254*pax_cap*load_full*ROUND(N254*O254*revleg_full,0))-(((battery/range_nm)*G254*ROUND(N254*O254*revleg_full,0)*VLOOKUP(B254,country_opex,3,FALSE))+Y254+Z254+AA254+AB254+AC254)))</f>
        <v/>
      </c>
      <c r="AZ254" s="40" t="inlineStr">
        <is>
          <t>2025-26 season (Oct 2025-31 May 2026): Telaga Harbour -&gt; Koh Lipe one-way adult RM180 = $41.9 (kohlipeisland.org season fare table; operators Tropical Charters + Bundhaya Speed Boat / Tigerline, ~90 min speedboat); DirectFerries cheapest $42 Koh Lipe-Telaga; ferrygogo 'from RM145' Bundhaya. Koh Lipe -&gt; Langkawi THB1,200-1,400 ($34-40). Tarutao NP fee THB200 paid separately on arrival (NOT in fare - no netting needed).</t>
        </is>
      </c>
      <c r="BA254" s="40" t="inlineStr">
        <is>
          <t>No published crossing count. Schedule (2025-26): core season 1 Nov-14 Apr ~2-3 departures/day (Telaga 2/day + Kuah extras), shoulder Oct + mid-Apr-May 1/day; ~80-100-seat speedboats/fast ferries. Context: Tarutao National Marine Park ~238,000 visitors/yr (park-wide; majority of Koh Lipe traffic arrives via Pak Bara, Thailand - this crossing is the minority international leg).</t>
        </is>
      </c>
    </row>
    <row r="255">
      <c r="A255" s="38" t="inlineStr">
        <is>
          <t>Penang</t>
        </is>
      </c>
      <c r="B255" s="38" t="inlineStr">
        <is>
          <t>Malaysia</t>
        </is>
      </c>
      <c r="C255" s="39" t="inlineStr">
        <is>
          <t>Langkawi → Koh Lipe (Thailand)</t>
        </is>
      </c>
      <c r="D255" s="38" t="inlineStr">
        <is>
          <t>grab</t>
        </is>
      </c>
      <c r="E255" s="40" t="inlineStr">
        <is>
          <t>langkawi, penang</t>
        </is>
      </c>
      <c r="F255" s="41" t="n">
        <v>2</v>
      </c>
      <c r="G255" s="42" t="n">
        <v>24.6</v>
      </c>
      <c r="H255" s="35" t="n">
        <v>37</v>
      </c>
      <c r="I255" s="43" t="inlineStr">
        <is>
          <t>T3</t>
        </is>
      </c>
      <c r="J255" s="43" t="inlineStr">
        <is>
          <t>high</t>
        </is>
      </c>
      <c r="K255" s="29" t="n">
        <v>1</v>
      </c>
      <c r="L255" s="44">
        <f>60*G255/cruise_kt</f>
        <v/>
      </c>
      <c r="M255" s="44">
        <f>L255+turn_min+dwell_min</f>
        <v/>
      </c>
      <c r="N255" s="45">
        <f>MIN(10,FLOOR(60*service_hr/M255,1))</f>
        <v/>
      </c>
      <c r="O255" s="45">
        <f>ROUND(365*mech_uptime*K255,0)</f>
        <v/>
      </c>
      <c r="P255" s="46">
        <f>mech_uptime</f>
        <v/>
      </c>
      <c r="Q255" s="46">
        <f>revleg_sel</f>
        <v/>
      </c>
      <c r="R255" s="45">
        <f>ROUND(N255*O255*revleg_sel,0)</f>
        <v/>
      </c>
      <c r="S255" s="47">
        <f>load_sel</f>
        <v/>
      </c>
      <c r="T255" s="47">
        <f>pax_cap*S255</f>
        <v/>
      </c>
      <c r="U255" s="45">
        <f>T255*R255</f>
        <v/>
      </c>
      <c r="V255" s="48">
        <f>H255*discount</f>
        <v/>
      </c>
      <c r="W255" s="49">
        <f>V255*U255</f>
        <v/>
      </c>
      <c r="X255" s="49">
        <f>(battery/range_nm)*G255*R255*VLOOKUP(B255,country_opex,3,FALSE)</f>
        <v/>
      </c>
      <c r="Y255" s="49">
        <f>VLOOKUP(B255,country_opex,2,FALSE)*crew_factor</f>
        <v/>
      </c>
      <c r="Z255" s="49">
        <f>VLOOKUP(B255,country_opex,5,FALSE)</f>
        <v/>
      </c>
      <c r="AA255" s="49">
        <f>maint</f>
        <v/>
      </c>
      <c r="AB255" s="49">
        <f>VLOOKUP(B255,country_opex,7,FALSE)*ins_pct</f>
        <v/>
      </c>
      <c r="AC255" s="49">
        <f>charge_berth</f>
        <v/>
      </c>
      <c r="AD255" s="49">
        <f>X255+Y255+Z255+AA255+AB255+AC255</f>
        <v/>
      </c>
      <c r="AE255" s="49">
        <f>VLOOKUP(B255,country_opex,7,FALSE)/dep_years</f>
        <v/>
      </c>
      <c r="AF255" s="49">
        <f>W255-AD255</f>
        <v/>
      </c>
      <c r="AG255" s="46">
        <f>IF(W255=0,"",AF255/W255)</f>
        <v/>
      </c>
      <c r="AH255" s="47">
        <f>IF(AF255&lt;=0,"",VLOOKUP(B255,country_opex,7,FALSE)/AF255)</f>
        <v/>
      </c>
      <c r="AI255" s="44">
        <f>((G255*R255/diesel_nmpg)*diesel_co2pg-(battery/range_nm)*G255*R255*VLOOKUP(B255,country_opex,4,FALSE))/1000</f>
        <v/>
      </c>
      <c r="AJ255" s="42" t="n">
        <v>60000</v>
      </c>
      <c r="AK255" s="43" t="inlineStr">
        <is>
          <t>T5</t>
        </is>
      </c>
      <c r="AL255" s="43" t="inlineStr">
        <is>
          <t>low</t>
        </is>
      </c>
      <c r="AM255" s="50" t="n">
        <v>0.1</v>
      </c>
      <c r="AN255" s="45">
        <f>IF(AJ255="","",AJ255*AM255)</f>
        <v/>
      </c>
      <c r="AO255" s="45">
        <f>IF(OR(AJ255="",U255=0),"",MIN(IF(AV255="",9.9E+99,AV255),FLOOR(AN255/U255,1)))</f>
        <v/>
      </c>
      <c r="AP255" s="49">
        <f>IF(AO255="","",AO255*W255)</f>
        <v/>
      </c>
      <c r="AQ255" s="47">
        <f>IF(OR(AJ255="",U255=0),"",MIN(IF(AV255="",9.9E+99,AV255),AN255/U255))</f>
        <v/>
      </c>
      <c r="AR255" s="49">
        <f>IF(AQ255="","",AQ255*W255)</f>
        <v/>
      </c>
      <c r="AS255" s="51" t="n"/>
      <c r="AT255" s="52" t="n"/>
      <c r="AU255" s="52" t="n"/>
      <c r="AV255" s="53" t="n"/>
      <c r="AW255" s="54">
        <f>IF(((V255*pax_cap*load_thin*ROUND(N255*O255*revleg_thin,0))-(((battery/range_nm)*G255*ROUND(N255*O255*revleg_thin,0)*VLOOKUP(B255,country_opex,3,FALSE))+Y255+Z255+AA255+AB255+AC255))&lt;=0,"",VLOOKUP(B255,country_opex,7,FALSE)/((V255*pax_cap*load_thin*ROUND(N255*O255*revleg_thin,0))-(((battery/range_nm)*G255*ROUND(N255*O255*revleg_thin,0)*VLOOKUP(B255,country_opex,3,FALSE))+Y255+Z255+AA255+AB255+AC255)))</f>
        <v/>
      </c>
      <c r="AX255" s="54">
        <f>IF(((V255*pax_cap*load_mid*ROUND(N255*O255*revleg_mid,0))-(((battery/range_nm)*G255*ROUND(N255*O255*revleg_mid,0)*VLOOKUP(B255,country_opex,3,FALSE))+Y255+Z255+AA255+AB255+AC255))&lt;=0,"",VLOOKUP(B255,country_opex,7,FALSE)/((V255*pax_cap*load_mid*ROUND(N255*O255*revleg_mid,0))-(((battery/range_nm)*G255*ROUND(N255*O255*revleg_mid,0)*VLOOKUP(B255,country_opex,3,FALSE))+Y255+Z255+AA255+AB255+AC255)))</f>
        <v/>
      </c>
      <c r="AY255" s="54">
        <f>IF(((V255*pax_cap*load_full*ROUND(N255*O255*revleg_full,0))-(((battery/range_nm)*G255*ROUND(N255*O255*revleg_full,0)*VLOOKUP(B255,country_opex,3,FALSE))+Y255+Z255+AA255+AB255+AC255))&lt;=0,"",VLOOKUP(B255,country_opex,7,FALSE)/((V255*pax_cap*load_full*ROUND(N255*O255*revleg_full,0))-(((battery/range_nm)*G255*ROUND(N255*O255*revleg_full,0)*VLOOKUP(B255,country_opex,3,FALSE))+Y255+Z255+AA255+AB255+AC255)))</f>
        <v/>
      </c>
      <c r="AZ255" s="40" t="inlineStr">
        <is>
          <t>Langkawi (Telaga Harbour)-&gt;Koh Lipe international speedboat: RM160 adult one-way (kohlipe.my, agoda-class listings), RM110-180 across operators (Bundhaya/Telaga Terminal; busonlineticket RM110-128, kohlipeisland.org RM180). Plus Thai marine-park 200THB &amp; immigration. RM160 @4.30 = $37.</t>
        </is>
      </c>
      <c r="BA255" s="40" t="inlineStr">
        <is>
          <t>No published crossing-specific count. Koh Lipe receives an estimated low-hundreds-of-thousands seasonal visitors, but the MAJORITY arrive via Pak Bara (Thai mainland), not Langkawi (R3). Modeled Malaysia-side subset ~60k/yr (freq x capacity x ~180 season days, R4).</t>
        </is>
      </c>
    </row>
    <row r="256">
      <c r="A256" s="38" t="inlineStr">
        <is>
          <t>Penang</t>
        </is>
      </c>
      <c r="B256" s="38" t="inlineStr">
        <is>
          <t>Malaysia</t>
        </is>
      </c>
      <c r="C256" s="39" t="inlineStr">
        <is>
          <t>Kuah Jetty (Langkawi) → Kuala Kedah (mainland)</t>
        </is>
      </c>
      <c r="D256" s="38" t="inlineStr">
        <is>
          <t>grab</t>
        </is>
      </c>
      <c r="E256" s="40" t="inlineStr">
        <is>
          <t>langkawi, penang</t>
        </is>
      </c>
      <c r="F256" s="41" t="n">
        <v>2</v>
      </c>
      <c r="G256" s="42" t="n">
        <v>27</v>
      </c>
      <c r="H256" s="35" t="n">
        <v>12.8</v>
      </c>
      <c r="I256" s="43" t="inlineStr">
        <is>
          <t>T1</t>
        </is>
      </c>
      <c r="J256" s="43" t="inlineStr">
        <is>
          <t>med-high</t>
        </is>
      </c>
      <c r="K256" s="29" t="n">
        <v>1</v>
      </c>
      <c r="L256" s="44">
        <f>60*G256/cruise_kt</f>
        <v/>
      </c>
      <c r="M256" s="44">
        <f>L256+turn_min+dwell_min</f>
        <v/>
      </c>
      <c r="N256" s="45">
        <f>MIN(10,FLOOR(60*service_hr/M256,1))</f>
        <v/>
      </c>
      <c r="O256" s="45">
        <f>ROUND(365*mech_uptime*K256,0)</f>
        <v/>
      </c>
      <c r="P256" s="46">
        <f>mech_uptime</f>
        <v/>
      </c>
      <c r="Q256" s="46">
        <f>revleg_sel</f>
        <v/>
      </c>
      <c r="R256" s="45">
        <f>ROUND(N256*O256*revleg_sel,0)</f>
        <v/>
      </c>
      <c r="S256" s="47">
        <f>load_sel</f>
        <v/>
      </c>
      <c r="T256" s="47">
        <f>pax_cap*S256</f>
        <v/>
      </c>
      <c r="U256" s="45">
        <f>T256*R256</f>
        <v/>
      </c>
      <c r="V256" s="48">
        <f>H256*discount</f>
        <v/>
      </c>
      <c r="W256" s="49">
        <f>V256*U256</f>
        <v/>
      </c>
      <c r="X256" s="49">
        <f>(battery/range_nm)*G256*R256*VLOOKUP(B256,country_opex,3,FALSE)</f>
        <v/>
      </c>
      <c r="Y256" s="49">
        <f>VLOOKUP(B256,country_opex,2,FALSE)*crew_factor</f>
        <v/>
      </c>
      <c r="Z256" s="49">
        <f>VLOOKUP(B256,country_opex,5,FALSE)</f>
        <v/>
      </c>
      <c r="AA256" s="49">
        <f>maint</f>
        <v/>
      </c>
      <c r="AB256" s="49">
        <f>VLOOKUP(B256,country_opex,7,FALSE)*ins_pct</f>
        <v/>
      </c>
      <c r="AC256" s="49">
        <f>charge_berth</f>
        <v/>
      </c>
      <c r="AD256" s="49">
        <f>X256+Y256+Z256+AA256+AB256+AC256</f>
        <v/>
      </c>
      <c r="AE256" s="49">
        <f>VLOOKUP(B256,country_opex,7,FALSE)/dep_years</f>
        <v/>
      </c>
      <c r="AF256" s="49">
        <f>W256-AD256</f>
        <v/>
      </c>
      <c r="AG256" s="46">
        <f>IF(W256=0,"",AF256/W256)</f>
        <v/>
      </c>
      <c r="AH256" s="47">
        <f>IF(AF256&lt;=0,"",VLOOKUP(B256,country_opex,7,FALSE)/AF256)</f>
        <v/>
      </c>
      <c r="AI256" s="44">
        <f>((G256*R256/diesel_nmpg)*diesel_co2pg-(battery/range_nm)*G256*R256*VLOOKUP(B256,country_opex,4,FALSE))/1000</f>
        <v/>
      </c>
      <c r="AJ256" s="42" t="n">
        <v>1000000</v>
      </c>
      <c r="AK256" s="43" t="inlineStr">
        <is>
          <t>T2</t>
        </is>
      </c>
      <c r="AL256" s="43" t="inlineStr">
        <is>
          <t>med</t>
        </is>
      </c>
      <c r="AM256" s="50" t="n">
        <v>0.1</v>
      </c>
      <c r="AN256" s="45">
        <f>IF(AJ256="","",AJ256*AM256)</f>
        <v/>
      </c>
      <c r="AO256" s="45">
        <f>IF(OR(AJ256="",U256=0),"",MIN(IF(AV256="",9.9E+99,AV256),FLOOR(AN256/U256,1)))</f>
        <v/>
      </c>
      <c r="AP256" s="49">
        <f>IF(AO256="","",AO256*W256)</f>
        <v/>
      </c>
      <c r="AQ256" s="47">
        <f>IF(OR(AJ256="",U256=0),"",MIN(IF(AV256="",9.9E+99,AV256),AN256/U256))</f>
        <v/>
      </c>
      <c r="AR256" s="49">
        <f>IF(AQ256="","",AQ256*W256)</f>
        <v/>
      </c>
      <c r="AS256" s="51" t="n"/>
      <c r="AT256" s="52" t="n"/>
      <c r="AU256" s="52" t="n"/>
      <c r="AV256" s="53" t="n"/>
      <c r="AW256" s="54">
        <f>IF(((V256*pax_cap*load_thin*ROUND(N256*O256*revleg_thin,0))-(((battery/range_nm)*G256*ROUND(N256*O256*revleg_thin,0)*VLOOKUP(B256,country_opex,3,FALSE))+Y256+Z256+AA256+AB256+AC256))&lt;=0,"",VLOOKUP(B256,country_opex,7,FALSE)/((V256*pax_cap*load_thin*ROUND(N256*O256*revleg_thin,0))-(((battery/range_nm)*G256*ROUND(N256*O256*revleg_thin,0)*VLOOKUP(B256,country_opex,3,FALSE))+Y256+Z256+AA256+AB256+AC256)))</f>
        <v/>
      </c>
      <c r="AX256" s="54">
        <f>IF(((V256*pax_cap*load_mid*ROUND(N256*O256*revleg_mid,0))-(((battery/range_nm)*G256*ROUND(N256*O256*revleg_mid,0)*VLOOKUP(B256,country_opex,3,FALSE))+Y256+Z256+AA256+AB256+AC256))&lt;=0,"",VLOOKUP(B256,country_opex,7,FALSE)/((V256*pax_cap*load_mid*ROUND(N256*O256*revleg_mid,0))-(((battery/range_nm)*G256*ROUND(N256*O256*revleg_mid,0)*VLOOKUP(B256,country_opex,3,FALSE))+Y256+Z256+AA256+AB256+AC256)))</f>
        <v/>
      </c>
      <c r="AY256" s="54">
        <f>IF(((V256*pax_cap*load_full*ROUND(N256*O256*revleg_full,0))-(((battery/range_nm)*G256*ROUND(N256*O256*revleg_full,0)*VLOOKUP(B256,country_opex,3,FALSE))+Y256+Z256+AA256+AB256+AC256))&lt;=0,"",VLOOKUP(B256,country_opex,7,FALSE)/((V256*pax_cap*load_full*ROUND(N256*O256*revleg_full,0))-(((battery/range_nm)*G256*ROUND(N256*O256*revleg_full,0)*VLOOKUP(B256,country_opex,3,FALSE))+Y256+Z256+AA256+AB256+AC256)))</f>
        <v/>
      </c>
      <c r="AZ256" s="40" t="inlineStr">
        <is>
          <t>Langkawi Ferry Line Ventures (operator): non-MyKad adult Kuala Kedah-Langkawi RM55 one-way effective 15 Apr 2026 (The Star 10 Apr 2026: 'From Kuala Kedah, fares will be RM55 for adults and RM42 child'); local MyKad adult RM20 (operator site). VIP seat class operates on this route (MY MASTER 2 VIP sailings on operator schedule), price unpublished.</t>
        </is>
      </c>
      <c r="BA256" s="40" t="inlineStr">
        <is>
          <t>Same base as Kuala Perlis leg: LADA 2.90M (2024)/3.22M (2025) arrivals; LGK airport 2.5M movements 2024; Bernama 164,612 ferry pax KP+KK in 18-day Jan-Feb 2025 peak; Kuala Kedah share ~38% of ferry arrivals in that window.</t>
        </is>
      </c>
    </row>
    <row r="257">
      <c r="A257" s="38" t="inlineStr">
        <is>
          <t>Borneo</t>
        </is>
      </c>
      <c r="B257" s="38" t="inlineStr">
        <is>
          <t>Malaysia</t>
        </is>
      </c>
      <c r="C257" s="39" t="inlineStr">
        <is>
          <t>Kota Kinabalu → Mantanani Islands</t>
        </is>
      </c>
      <c r="D257" s="38" t="inlineStr">
        <is>
          <t>grab</t>
        </is>
      </c>
      <c r="E257" s="40" t="inlineStr">
        <is>
          <t>borneo, langkawi</t>
        </is>
      </c>
      <c r="F257" s="41" t="n">
        <v>2</v>
      </c>
      <c r="G257" s="42" t="n">
        <v>47.89</v>
      </c>
      <c r="H257" s="35" t="n">
        <v>26</v>
      </c>
      <c r="I257" s="43" t="inlineStr">
        <is>
          <t>T4</t>
        </is>
      </c>
      <c r="J257" s="43" t="inlineStr">
        <is>
          <t>low</t>
        </is>
      </c>
      <c r="K257" s="29" t="n">
        <v>1</v>
      </c>
      <c r="L257" s="44">
        <f>60*G257/cruise_kt</f>
        <v/>
      </c>
      <c r="M257" s="44">
        <f>L257+turn_min+dwell_min</f>
        <v/>
      </c>
      <c r="N257" s="45">
        <f>MIN(10,FLOOR(60*service_hr/M257,1))</f>
        <v/>
      </c>
      <c r="O257" s="45">
        <f>ROUND(365*mech_uptime*K257,0)</f>
        <v/>
      </c>
      <c r="P257" s="46">
        <f>mech_uptime</f>
        <v/>
      </c>
      <c r="Q257" s="46">
        <f>revleg_sel</f>
        <v/>
      </c>
      <c r="R257" s="45">
        <f>ROUND(N257*O257*revleg_sel,0)</f>
        <v/>
      </c>
      <c r="S257" s="47">
        <f>load_sel</f>
        <v/>
      </c>
      <c r="T257" s="47">
        <f>pax_cap*S257</f>
        <v/>
      </c>
      <c r="U257" s="45">
        <f>T257*R257</f>
        <v/>
      </c>
      <c r="V257" s="48">
        <f>H257*discount</f>
        <v/>
      </c>
      <c r="W257" s="49">
        <f>V257*U257</f>
        <v/>
      </c>
      <c r="X257" s="49">
        <f>(battery/range_nm)*G257*R257*VLOOKUP(B257,country_opex,3,FALSE)</f>
        <v/>
      </c>
      <c r="Y257" s="49">
        <f>VLOOKUP(B257,country_opex,2,FALSE)*crew_factor</f>
        <v/>
      </c>
      <c r="Z257" s="49">
        <f>VLOOKUP(B257,country_opex,5,FALSE)</f>
        <v/>
      </c>
      <c r="AA257" s="49">
        <f>maint</f>
        <v/>
      </c>
      <c r="AB257" s="49">
        <f>VLOOKUP(B257,country_opex,7,FALSE)*ins_pct</f>
        <v/>
      </c>
      <c r="AC257" s="49">
        <f>charge_berth</f>
        <v/>
      </c>
      <c r="AD257" s="49">
        <f>X257+Y257+Z257+AA257+AB257+AC257</f>
        <v/>
      </c>
      <c r="AE257" s="49">
        <f>VLOOKUP(B257,country_opex,7,FALSE)/dep_years</f>
        <v/>
      </c>
      <c r="AF257" s="49">
        <f>W257-AD257</f>
        <v/>
      </c>
      <c r="AG257" s="46">
        <f>IF(W257=0,"",AF257/W257)</f>
        <v/>
      </c>
      <c r="AH257" s="47">
        <f>IF(AF257&lt;=0,"",VLOOKUP(B257,country_opex,7,FALSE)/AF257)</f>
        <v/>
      </c>
      <c r="AI257" s="44">
        <f>((G257*R257/diesel_nmpg)*diesel_co2pg-(battery/range_nm)*G257*R257*VLOOKUP(B257,country_opex,4,FALSE))/1000</f>
        <v/>
      </c>
      <c r="AJ257" s="42" t="n">
        <v>150000</v>
      </c>
      <c r="AK257" s="43" t="inlineStr">
        <is>
          <t>T2</t>
        </is>
      </c>
      <c r="AL257" s="43" t="inlineStr">
        <is>
          <t>low</t>
        </is>
      </c>
      <c r="AM257" s="50" t="n">
        <v>0.1</v>
      </c>
      <c r="AN257" s="45">
        <f>IF(AJ257="","",AJ257*AM257)</f>
        <v/>
      </c>
      <c r="AO257" s="45">
        <f>IF(OR(AJ257="",U257=0),"",MIN(IF(AV257="",9.9E+99,AV257),FLOOR(AN257/U257,1)))</f>
        <v/>
      </c>
      <c r="AP257" s="49">
        <f>IF(AO257="","",AO257*W257)</f>
        <v/>
      </c>
      <c r="AQ257" s="47">
        <f>IF(OR(AJ257="",U257=0),"",MIN(IF(AV257="",9.9E+99,AV257),AN257/U257))</f>
        <v/>
      </c>
      <c r="AR257" s="49">
        <f>IF(AQ257="","",AQ257*W257)</f>
        <v/>
      </c>
      <c r="AS257" s="51" t="n"/>
      <c r="AT257" s="52" t="n"/>
      <c r="AU257" s="52" t="n"/>
      <c r="AV257" s="53" t="n"/>
      <c r="AW257" s="54">
        <f>IF(((V257*pax_cap*load_thin*ROUND(N257*O257*revleg_thin,0))-(((battery/range_nm)*G257*ROUND(N257*O257*revleg_thin,0)*VLOOKUP(B257,country_opex,3,FALSE))+Y257+Z257+AA257+AB257+AC257))&lt;=0,"",VLOOKUP(B257,country_opex,7,FALSE)/((V257*pax_cap*load_thin*ROUND(N257*O257*revleg_thin,0))-(((battery/range_nm)*G257*ROUND(N257*O257*revleg_thin,0)*VLOOKUP(B257,country_opex,3,FALSE))+Y257+Z257+AA257+AB257+AC257)))</f>
        <v/>
      </c>
      <c r="AX257" s="54">
        <f>IF(((V257*pax_cap*load_mid*ROUND(N257*O257*revleg_mid,0))-(((battery/range_nm)*G257*ROUND(N257*O257*revleg_mid,0)*VLOOKUP(B257,country_opex,3,FALSE))+Y257+Z257+AA257+AB257+AC257))&lt;=0,"",VLOOKUP(B257,country_opex,7,FALSE)/((V257*pax_cap*load_mid*ROUND(N257*O257*revleg_mid,0))-(((battery/range_nm)*G257*ROUND(N257*O257*revleg_mid,0)*VLOOKUP(B257,country_opex,3,FALSE))+Y257+Z257+AA257+AB257+AC257)))</f>
        <v/>
      </c>
      <c r="AY257" s="54">
        <f>IF(((V257*pax_cap*load_full*ROUND(N257*O257*revleg_full,0))-(((battery/range_nm)*G257*ROUND(N257*O257*revleg_full,0)*VLOOKUP(B257,country_opex,3,FALSE))+Y257+Z257+AA257+AB257+AC257))&lt;=0,"",VLOOKUP(B257,country_opex,7,FALSE)/((V257*pax_cap*load_full*ROUND(N257*O257*revleg_full,0))-(((battery/range_nm)*G257*ROUND(N257*O257*revleg_full,0)*VLOOKUP(B257,country_opex,3,FALSE))+Y257+Z257+AA257+AB257+AC257)))</f>
        <v/>
      </c>
      <c r="AZ257" s="40" t="inlineStr">
        <is>
          <t>Mantanani sold as day-tour packages: MYR245-325 round-trip incl ~60-90min speedboat + lunch + snorkel/dive (Amazing Borneo RM245-325; GetYourGuide ~$58). Stripping activities, premium per-seat one-way transfer modeled ~RM110 = $26.</t>
        </is>
      </c>
      <c r="BA257" s="40" t="inlineStr">
        <is>
          <t>ADB BIMP-EAGA Ecotourism Pilot Project: Mantanani Islands (Nov-2017, https://bimp-eaga.asia/sites/default/files/publications/bimp-eaga-ecotourism-pilot-project-mantanani.pdf): 2016 total ~152,064 visitors = 126,720 day-trippers + ~25k overnight; avg 417 visitors/day, range 10-15 (low day) to 1,000+ (peak); ~5 day visitors per overnight visitor; resort day-trip rates RM180-220 (snorkel) to RM500 (dive) incl. boat. Proposed overnight carrying cap 300/night. Reef Check (reefcheck.org, c.2019): day-trippers grew 50/day (2011) to ~3,000/day peak. Sabah Tourism Board does not publish island-level Mantanani arrivals (sabahtourism.com/statistics is state-level only).</t>
        </is>
      </c>
    </row>
    <row r="258">
      <c r="A258" s="38" t="inlineStr">
        <is>
          <t>Penang</t>
        </is>
      </c>
      <c r="B258" s="38" t="inlineStr">
        <is>
          <t>Malaysia</t>
        </is>
      </c>
      <c r="C258" s="39" t="inlineStr">
        <is>
          <t>Kuah Jetty (Langkawi) → George Town, Penang (Swettenham Pier)</t>
        </is>
      </c>
      <c r="D258" s="38" t="inlineStr">
        <is>
          <t>grab</t>
        </is>
      </c>
      <c r="E258" s="40" t="inlineStr">
        <is>
          <t>langkawi, penang</t>
        </is>
      </c>
      <c r="F258" s="41" t="n">
        <v>2</v>
      </c>
      <c r="G258" s="42" t="n">
        <v>62</v>
      </c>
      <c r="H258" s="35" t="n">
        <v>17.4</v>
      </c>
      <c r="I258" s="43" t="inlineStr">
        <is>
          <t>T3</t>
        </is>
      </c>
      <c r="J258" s="43" t="inlineStr">
        <is>
          <t>med</t>
        </is>
      </c>
      <c r="K258" s="29" t="n">
        <v>1</v>
      </c>
      <c r="L258" s="44">
        <f>60*G258/cruise_kt</f>
        <v/>
      </c>
      <c r="M258" s="44">
        <f>L258+turn_min+dwell_min</f>
        <v/>
      </c>
      <c r="N258" s="45">
        <f>MIN(10,FLOOR(60*service_hr/M258,1))</f>
        <v/>
      </c>
      <c r="O258" s="45">
        <f>ROUND(365*mech_uptime*K258,0)</f>
        <v/>
      </c>
      <c r="P258" s="46">
        <f>mech_uptime</f>
        <v/>
      </c>
      <c r="Q258" s="46">
        <f>revleg_sel</f>
        <v/>
      </c>
      <c r="R258" s="45">
        <f>ROUND(N258*O258*revleg_sel,0)</f>
        <v/>
      </c>
      <c r="S258" s="47">
        <f>load_sel</f>
        <v/>
      </c>
      <c r="T258" s="47">
        <f>pax_cap*S258</f>
        <v/>
      </c>
      <c r="U258" s="45">
        <f>T258*R258</f>
        <v/>
      </c>
      <c r="V258" s="48">
        <f>H258*discount</f>
        <v/>
      </c>
      <c r="W258" s="49">
        <f>V258*U258</f>
        <v/>
      </c>
      <c r="X258" s="49">
        <f>(battery/range_nm)*G258*R258*VLOOKUP(B258,country_opex,3,FALSE)</f>
        <v/>
      </c>
      <c r="Y258" s="49">
        <f>VLOOKUP(B258,country_opex,2,FALSE)*crew_factor</f>
        <v/>
      </c>
      <c r="Z258" s="49">
        <f>VLOOKUP(B258,country_opex,5,FALSE)</f>
        <v/>
      </c>
      <c r="AA258" s="49">
        <f>maint</f>
        <v/>
      </c>
      <c r="AB258" s="49">
        <f>VLOOKUP(B258,country_opex,7,FALSE)*ins_pct</f>
        <v/>
      </c>
      <c r="AC258" s="49">
        <f>charge_berth</f>
        <v/>
      </c>
      <c r="AD258" s="49">
        <f>X258+Y258+Z258+AA258+AB258+AC258</f>
        <v/>
      </c>
      <c r="AE258" s="49">
        <f>VLOOKUP(B258,country_opex,7,FALSE)/dep_years</f>
        <v/>
      </c>
      <c r="AF258" s="49">
        <f>W258-AD258</f>
        <v/>
      </c>
      <c r="AG258" s="46">
        <f>IF(W258=0,"",AF258/W258)</f>
        <v/>
      </c>
      <c r="AH258" s="47">
        <f>IF(AF258&lt;=0,"",VLOOKUP(B258,country_opex,7,FALSE)/AF258)</f>
        <v/>
      </c>
      <c r="AI258" s="44">
        <f>((G258*R258/diesel_nmpg)*diesel_co2pg-(battery/range_nm)*G258*R258*VLOOKUP(B258,country_opex,4,FALSE))/1000</f>
        <v/>
      </c>
      <c r="AJ258" s="42" t="n"/>
      <c r="AK258" s="43" t="inlineStr">
        <is>
          <t>T5</t>
        </is>
      </c>
      <c r="AL258" s="43" t="inlineStr">
        <is>
          <t>low</t>
        </is>
      </c>
      <c r="AM258" s="50" t="n">
        <v>0.1</v>
      </c>
      <c r="AN258" s="45">
        <f>IF(AJ258="","",AJ258*AM258)</f>
        <v/>
      </c>
      <c r="AO258" s="45">
        <f>IF(OR(AJ258="",U258=0),"",MIN(IF(AV258="",9.9E+99,AV258),FLOOR(AN258/U258,1)))</f>
        <v/>
      </c>
      <c r="AP258" s="49">
        <f>IF(AO258="","",AO258*W258)</f>
        <v/>
      </c>
      <c r="AQ258" s="47">
        <f>IF(OR(AJ258="",U258=0),"",MIN(IF(AV258="",9.9E+99,AV258),AN258/U258))</f>
        <v/>
      </c>
      <c r="AR258" s="49">
        <f>IF(AQ258="","",AQ258*W258)</f>
        <v/>
      </c>
      <c r="AS258" s="51" t="n"/>
      <c r="AT258" s="52" t="n"/>
      <c r="AU258" s="52" t="n"/>
      <c r="AV258" s="53" t="n"/>
      <c r="AW258" s="54">
        <f>IF(((V258*pax_cap*load_thin*ROUND(N258*O258*revleg_thin,0))-(((battery/range_nm)*G258*ROUND(N258*O258*revleg_thin,0)*VLOOKUP(B258,country_opex,3,FALSE))+Y258+Z258+AA258+AB258+AC258))&lt;=0,"",VLOOKUP(B258,country_opex,7,FALSE)/((V258*pax_cap*load_thin*ROUND(N258*O258*revleg_thin,0))-(((battery/range_nm)*G258*ROUND(N258*O258*revleg_thin,0)*VLOOKUP(B258,country_opex,3,FALSE))+Y258+Z258+AA258+AB258+AC258)))</f>
        <v/>
      </c>
      <c r="AX258" s="54">
        <f>IF(((V258*pax_cap*load_mid*ROUND(N258*O258*revleg_mid,0))-(((battery/range_nm)*G258*ROUND(N258*O258*revleg_mid,0)*VLOOKUP(B258,country_opex,3,FALSE))+Y258+Z258+AA258+AB258+AC258))&lt;=0,"",VLOOKUP(B258,country_opex,7,FALSE)/((V258*pax_cap*load_mid*ROUND(N258*O258*revleg_mid,0))-(((battery/range_nm)*G258*ROUND(N258*O258*revleg_mid,0)*VLOOKUP(B258,country_opex,3,FALSE))+Y258+Z258+AA258+AB258+AC258)))</f>
        <v/>
      </c>
      <c r="AY258" s="54">
        <f>IF(((V258*pax_cap*load_full*ROUND(N258*O258*revleg_full,0))-(((battery/range_nm)*G258*ROUND(N258*O258*revleg_full,0)*VLOOKUP(B258,country_opex,3,FALSE))+Y258+Z258+AA258+AB258+AC258))&lt;=0,"",VLOOKUP(B258,country_opex,7,FALSE)/((V258*pax_cap*load_full*ROUND(N258*O258*revleg_full,0))-(((battery/range_nm)*G258*ROUND(N258*O258*revleg_full,0)*VLOOKUP(B258,country_opex,3,FALSE))+Y258+Z258+AA258+AB258+AC258)))</f>
        <v/>
      </c>
      <c r="AZ258" s="40" t="inlineStr">
        <is>
          <t>Super Fast Ferry Ventures (restarted the lapsed route post-2023), Kuah Jetty &lt;-&gt; Swettenham Pier, ~3h: BusOnlineTicket 'RM70 per passenger', 3 departures/day each way listed; Easybook RM80 adult / RM60 child; live Klook listing (act. 40908, '100+ booked', dep 08:30 Penang / 15:00 Langkawi). Historical pre-Covid fare RM73.60 (prior R10 record). One 2026 guide (malaysialife.org) claims service has ceased again; Reddit/FB threads 2025-26 mixed.</t>
        </is>
      </c>
      <c r="BA258" s="40" t="inlineStr">
        <is>
          <t>No published ridership for the restarted Penang-Langkawi service; operating status itself conflicted in 2026 (live OTA booking flows vs editorial 'ceased' updates; travelers widely advised to fly ~RM125 or ferry via Kuala Perlis/Kuala Kedah).</t>
        </is>
      </c>
    </row>
    <row r="259">
      <c r="A259" s="38" t="inlineStr">
        <is>
          <t>Penang</t>
        </is>
      </c>
      <c r="B259" s="38" t="inlineStr">
        <is>
          <t>Malaysia</t>
        </is>
      </c>
      <c r="C259" s="39" t="inlineStr">
        <is>
          <t>Penang → Pangkor Island</t>
        </is>
      </c>
      <c r="D259" s="38" t="inlineStr">
        <is>
          <t>grab</t>
        </is>
      </c>
      <c r="E259" s="40" t="inlineStr">
        <is>
          <t>langkawi, penang</t>
        </is>
      </c>
      <c r="F259" s="41" t="n">
        <v>2</v>
      </c>
      <c r="G259" s="42" t="n">
        <v>66</v>
      </c>
      <c r="H259" s="35" t="n">
        <v>19</v>
      </c>
      <c r="I259" s="43" t="inlineStr">
        <is>
          <t>T1</t>
        </is>
      </c>
      <c r="J259" s="43" t="inlineStr">
        <is>
          <t>low</t>
        </is>
      </c>
      <c r="K259" s="29" t="n">
        <v>1</v>
      </c>
      <c r="L259" s="44">
        <f>60*G259/cruise_kt</f>
        <v/>
      </c>
      <c r="M259" s="44">
        <f>L259+turn_min+dwell_min</f>
        <v/>
      </c>
      <c r="N259" s="45">
        <f>MIN(10,FLOOR(60*service_hr/M259,1))</f>
        <v/>
      </c>
      <c r="O259" s="45">
        <f>ROUND(365*mech_uptime*K259,0)</f>
        <v/>
      </c>
      <c r="P259" s="46">
        <f>mech_uptime</f>
        <v/>
      </c>
      <c r="Q259" s="46">
        <f>revleg_sel</f>
        <v/>
      </c>
      <c r="R259" s="45">
        <f>ROUND(N259*O259*revleg_sel,0)</f>
        <v/>
      </c>
      <c r="S259" s="47">
        <f>load_sel</f>
        <v/>
      </c>
      <c r="T259" s="47">
        <f>pax_cap*S259</f>
        <v/>
      </c>
      <c r="U259" s="45">
        <f>T259*R259</f>
        <v/>
      </c>
      <c r="V259" s="48">
        <f>H259*discount</f>
        <v/>
      </c>
      <c r="W259" s="49">
        <f>V259*U259</f>
        <v/>
      </c>
      <c r="X259" s="49">
        <f>(battery/range_nm)*G259*R259*VLOOKUP(B259,country_opex,3,FALSE)</f>
        <v/>
      </c>
      <c r="Y259" s="49">
        <f>VLOOKUP(B259,country_opex,2,FALSE)*crew_factor</f>
        <v/>
      </c>
      <c r="Z259" s="49">
        <f>VLOOKUP(B259,country_opex,5,FALSE)</f>
        <v/>
      </c>
      <c r="AA259" s="49">
        <f>maint</f>
        <v/>
      </c>
      <c r="AB259" s="49">
        <f>VLOOKUP(B259,country_opex,7,FALSE)*ins_pct</f>
        <v/>
      </c>
      <c r="AC259" s="49">
        <f>charge_berth</f>
        <v/>
      </c>
      <c r="AD259" s="49">
        <f>X259+Y259+Z259+AA259+AB259+AC259</f>
        <v/>
      </c>
      <c r="AE259" s="49">
        <f>VLOOKUP(B259,country_opex,7,FALSE)/dep_years</f>
        <v/>
      </c>
      <c r="AF259" s="49">
        <f>W259-AD259</f>
        <v/>
      </c>
      <c r="AG259" s="46">
        <f>IF(W259=0,"",AF259/W259)</f>
        <v/>
      </c>
      <c r="AH259" s="47">
        <f>IF(AF259&lt;=0,"",VLOOKUP(B259,country_opex,7,FALSE)/AF259)</f>
        <v/>
      </c>
      <c r="AI259" s="44">
        <f>((G259*R259/diesel_nmpg)*diesel_co2pg-(battery/range_nm)*G259*R259*VLOOKUP(B259,country_opex,4,FALSE))/1000</f>
        <v/>
      </c>
      <c r="AJ259" s="42" t="n"/>
      <c r="AK259" s="43" t="inlineStr">
        <is>
          <t>T4</t>
        </is>
      </c>
      <c r="AL259" s="43" t="inlineStr">
        <is>
          <t>low</t>
        </is>
      </c>
      <c r="AM259" s="50" t="n">
        <v>0.1</v>
      </c>
      <c r="AN259" s="45">
        <f>IF(AJ259="","",AJ259*AM259)</f>
        <v/>
      </c>
      <c r="AO259" s="45">
        <f>IF(OR(AJ259="",U259=0),"",MIN(IF(AV259="",9.9E+99,AV259),FLOOR(AN259/U259,1)))</f>
        <v/>
      </c>
      <c r="AP259" s="49">
        <f>IF(AO259="","",AO259*W259)</f>
        <v/>
      </c>
      <c r="AQ259" s="47">
        <f>IF(OR(AJ259="",U259=0),"",MIN(IF(AV259="",9.9E+99,AV259),AN259/U259))</f>
        <v/>
      </c>
      <c r="AR259" s="49">
        <f>IF(AQ259="","",AQ259*W259)</f>
        <v/>
      </c>
      <c r="AS259" s="51" t="n"/>
      <c r="AT259" s="52" t="n"/>
      <c r="AU259" s="52" t="n"/>
      <c r="AV259" s="53" t="n"/>
      <c r="AW259" s="54">
        <f>IF(((V259*pax_cap*load_thin*ROUND(N259*O259*revleg_thin,0))-(((battery/range_nm)*G259*ROUND(N259*O259*revleg_thin,0)*VLOOKUP(B259,country_opex,3,FALSE))+Y259+Z259+AA259+AB259+AC259))&lt;=0,"",VLOOKUP(B259,country_opex,7,FALSE)/((V259*pax_cap*load_thin*ROUND(N259*O259*revleg_thin,0))-(((battery/range_nm)*G259*ROUND(N259*O259*revleg_thin,0)*VLOOKUP(B259,country_opex,3,FALSE))+Y259+Z259+AA259+AB259+AC259)))</f>
        <v/>
      </c>
      <c r="AX259" s="54">
        <f>IF(((V259*pax_cap*load_mid*ROUND(N259*O259*revleg_mid,0))-(((battery/range_nm)*G259*ROUND(N259*O259*revleg_mid,0)*VLOOKUP(B259,country_opex,3,FALSE))+Y259+Z259+AA259+AB259+AC259))&lt;=0,"",VLOOKUP(B259,country_opex,7,FALSE)/((V259*pax_cap*load_mid*ROUND(N259*O259*revleg_mid,0))-(((battery/range_nm)*G259*ROUND(N259*O259*revleg_mid,0)*VLOOKUP(B259,country_opex,3,FALSE))+Y259+Z259+AA259+AB259+AC259)))</f>
        <v/>
      </c>
      <c r="AY259" s="54">
        <f>IF(((V259*pax_cap*load_full*ROUND(N259*O259*revleg_full,0))-(((battery/range_nm)*G259*ROUND(N259*O259*revleg_full,0)*VLOOKUP(B259,country_opex,3,FALSE))+Y259+Z259+AA259+AB259+AC259))&lt;=0,"",VLOOKUP(B259,country_opex,7,FALSE)/((V259*pax_cap*load_full*ROUND(N259*O259*revleg_full,0))-(((battery/range_nm)*G259*ROUND(N259*O259*revleg_full,0)*VLOOKUP(B259,country_opex,3,FALSE))+Y259+Z259+AA259+AB259+AC259)))</f>
        <v/>
      </c>
      <c r="AZ259" s="40" t="inlineStr">
        <is>
          <t>No direct Penang-&gt;Pangkor boat; Pangkor is served from Lumut/Marina Island (budget public ferry RM10-14/way, easybook/trip.com). Premium per-seat anchor = Pangkor Laut Resort SCHEDULED speedboat MYR160 return = ~RM80/way ($19) (pangkorlautresort.com).</t>
        </is>
      </c>
      <c r="BA259" s="40" t="inlineStr">
        <is>
          <t>Pangkor receives sizeable visitor traffic but via the Lumut/Marina Island crossing, not from Penang (50nm). No direct-Penang pax pool exists.</t>
        </is>
      </c>
    </row>
    <row r="260">
      <c r="A260" s="38" t="inlineStr">
        <is>
          <t>Penang</t>
        </is>
      </c>
      <c r="B260" s="38" t="inlineStr">
        <is>
          <t>Malaysia</t>
        </is>
      </c>
      <c r="C260" s="39" t="inlineStr">
        <is>
          <t>Penang → Langkawi</t>
        </is>
      </c>
      <c r="D260" s="38" t="inlineStr">
        <is>
          <t>grab</t>
        </is>
      </c>
      <c r="E260" s="40" t="inlineStr">
        <is>
          <t>langkawi, penang</t>
        </is>
      </c>
      <c r="F260" s="41" t="n">
        <v>3</v>
      </c>
      <c r="G260" s="42" t="n">
        <v>66.40000000000001</v>
      </c>
      <c r="H260" s="35" t="n">
        <v>17</v>
      </c>
      <c r="I260" s="43" t="inlineStr">
        <is>
          <t>T4</t>
        </is>
      </c>
      <c r="J260" s="43" t="inlineStr">
        <is>
          <t>low</t>
        </is>
      </c>
      <c r="K260" s="29" t="n">
        <v>1</v>
      </c>
      <c r="L260" s="44">
        <f>60*G260/cruise_kt</f>
        <v/>
      </c>
      <c r="M260" s="44">
        <f>L260+turn_min+dwell_min</f>
        <v/>
      </c>
      <c r="N260" s="45">
        <f>MIN(10,FLOOR(60*service_hr/M260,1))</f>
        <v/>
      </c>
      <c r="O260" s="45">
        <f>ROUND(365*mech_uptime*K260,0)</f>
        <v/>
      </c>
      <c r="P260" s="46">
        <f>mech_uptime</f>
        <v/>
      </c>
      <c r="Q260" s="46">
        <f>revleg_sel</f>
        <v/>
      </c>
      <c r="R260" s="45">
        <f>ROUND(N260*O260*revleg_sel,0)</f>
        <v/>
      </c>
      <c r="S260" s="47">
        <f>load_sel</f>
        <v/>
      </c>
      <c r="T260" s="47">
        <f>pax_cap*S260</f>
        <v/>
      </c>
      <c r="U260" s="45">
        <f>T260*R260</f>
        <v/>
      </c>
      <c r="V260" s="48">
        <f>H260*discount</f>
        <v/>
      </c>
      <c r="W260" s="49">
        <f>V260*U260</f>
        <v/>
      </c>
      <c r="X260" s="49">
        <f>(battery/range_nm)*G260*R260*VLOOKUP(B260,country_opex,3,FALSE)</f>
        <v/>
      </c>
      <c r="Y260" s="49">
        <f>VLOOKUP(B260,country_opex,2,FALSE)*crew_factor</f>
        <v/>
      </c>
      <c r="Z260" s="49">
        <f>VLOOKUP(B260,country_opex,5,FALSE)</f>
        <v/>
      </c>
      <c r="AA260" s="49">
        <f>maint</f>
        <v/>
      </c>
      <c r="AB260" s="49">
        <f>VLOOKUP(B260,country_opex,7,FALSE)*ins_pct</f>
        <v/>
      </c>
      <c r="AC260" s="49">
        <f>charge_berth</f>
        <v/>
      </c>
      <c r="AD260" s="49">
        <f>X260+Y260+Z260+AA260+AB260+AC260</f>
        <v/>
      </c>
      <c r="AE260" s="49">
        <f>VLOOKUP(B260,country_opex,7,FALSE)/dep_years</f>
        <v/>
      </c>
      <c r="AF260" s="49">
        <f>W260-AD260</f>
        <v/>
      </c>
      <c r="AG260" s="46">
        <f>IF(W260=0,"",AF260/W260)</f>
        <v/>
      </c>
      <c r="AH260" s="47">
        <f>IF(AF260&lt;=0,"",VLOOKUP(B260,country_opex,7,FALSE)/AF260)</f>
        <v/>
      </c>
      <c r="AI260" s="44">
        <f>((G260*R260/diesel_nmpg)*diesel_co2pg-(battery/range_nm)*G260*R260*VLOOKUP(B260,country_opex,4,FALSE))/1000</f>
        <v/>
      </c>
      <c r="AJ260" s="42" t="n"/>
      <c r="AK260" s="43" t="inlineStr">
        <is>
          <t>T4</t>
        </is>
      </c>
      <c r="AL260" s="43" t="inlineStr">
        <is>
          <t>low</t>
        </is>
      </c>
      <c r="AM260" s="50" t="n">
        <v>0.1</v>
      </c>
      <c r="AN260" s="45">
        <f>IF(AJ260="","",AJ260*AM260)</f>
        <v/>
      </c>
      <c r="AO260" s="45">
        <f>IF(OR(AJ260="",U260=0),"",MIN(IF(AV260="",9.9E+99,AV260),FLOOR(AN260/U260,1)))</f>
        <v/>
      </c>
      <c r="AP260" s="49">
        <f>IF(AO260="","",AO260*W260)</f>
        <v/>
      </c>
      <c r="AQ260" s="47">
        <f>IF(OR(AJ260="",U260=0),"",MIN(IF(AV260="",9.9E+99,AV260),AN260/U260))</f>
        <v/>
      </c>
      <c r="AR260" s="49">
        <f>IF(AQ260="","",AQ260*W260)</f>
        <v/>
      </c>
      <c r="AS260" s="51" t="n"/>
      <c r="AT260" s="52" t="n"/>
      <c r="AU260" s="52" t="n"/>
      <c r="AV260" s="53" t="n"/>
      <c r="AW260" s="54">
        <f>IF(((V260*pax_cap*load_thin*ROUND(N260*O260*revleg_thin,0))-(((battery/range_nm)*G260*ROUND(N260*O260*revleg_thin,0)*VLOOKUP(B260,country_opex,3,FALSE))+Y260+Z260+AA260+AB260+AC260))&lt;=0,"",VLOOKUP(B260,country_opex,7,FALSE)/((V260*pax_cap*load_thin*ROUND(N260*O260*revleg_thin,0))-(((battery/range_nm)*G260*ROUND(N260*O260*revleg_thin,0)*VLOOKUP(B260,country_opex,3,FALSE))+Y260+Z260+AA260+AB260+AC260)))</f>
        <v/>
      </c>
      <c r="AX260" s="54">
        <f>IF(((V260*pax_cap*load_mid*ROUND(N260*O260*revleg_mid,0))-(((battery/range_nm)*G260*ROUND(N260*O260*revleg_mid,0)*VLOOKUP(B260,country_opex,3,FALSE))+Y260+Z260+AA260+AB260+AC260))&lt;=0,"",VLOOKUP(B260,country_opex,7,FALSE)/((V260*pax_cap*load_mid*ROUND(N260*O260*revleg_mid,0))-(((battery/range_nm)*G260*ROUND(N260*O260*revleg_mid,0)*VLOOKUP(B260,country_opex,3,FALSE))+Y260+Z260+AA260+AB260+AC260)))</f>
        <v/>
      </c>
      <c r="AY260" s="54">
        <f>IF(((V260*pax_cap*load_full*ROUND(N260*O260*revleg_full,0))-(((battery/range_nm)*G260*ROUND(N260*O260*revleg_full,0)*VLOOKUP(B260,country_opex,3,FALSE))+Y260+Z260+AA260+AB260+AC260))&lt;=0,"",VLOOKUP(B260,country_opex,7,FALSE)/((V260*pax_cap*load_full*ROUND(N260*O260*revleg_full,0))-(((battery/range_nm)*G260*ROUND(N260*O260*revleg_full,0)*VLOOKUP(B260,country_opex,3,FALSE))+Y260+Z260+AA260+AB260+AC260)))</f>
        <v/>
      </c>
      <c r="AZ260" s="40" t="inlineStr">
        <is>
          <t>Penang&lt;-&gt;Langkawi fast-ferry was RM73.60 one-way incl port tax (~3h, Langkawi Ferry Services) BEFORE service was terminated during Covid and NOT replaced (travel-penang-malaysia.com; malaysialife.org 2026: 'no longer operating'; r/penang). RM73.60 @4.30 (2019) = $17.</t>
        </is>
      </c>
      <c r="BA260" s="40" t="inlineStr">
        <is>
          <t>No operating Penang-Langkawi crossing since Covid. Langkawi total visitor arrivals ~750k (LADA, YTD-2026) / ~3.5-4M pre-Covid, but these arrive by AIR or the Kuala Perlis/Kuala Kedah mainland ferries - NOT the Penang crossing (R3).</t>
        </is>
      </c>
    </row>
    <row r="261">
      <c r="A261" s="38" t="inlineStr">
        <is>
          <t>Maldives (JIH)</t>
        </is>
      </c>
      <c r="B261" s="38" t="inlineStr">
        <is>
          <t>Maldives</t>
        </is>
      </c>
      <c r="C261" s="39" t="inlineStr">
        <is>
          <t>Velana International Airport (MLE) Resort Speedboat Lounges → Kurumba Maldives (Vihamanafushi, North Malé)</t>
        </is>
      </c>
      <c r="D261" s="38" t="inlineStr">
        <is>
          <t>jih-global</t>
        </is>
      </c>
      <c r="E261" s="40" t="inlineStr">
        <is>
          <t>maldives-jih</t>
        </is>
      </c>
      <c r="F261" s="41" t="n">
        <v>1</v>
      </c>
      <c r="G261" s="42" t="n">
        <v>2.1</v>
      </c>
      <c r="H261" s="35" t="n">
        <v>60</v>
      </c>
      <c r="I261" s="43" t="inlineStr">
        <is>
          <t>T3</t>
        </is>
      </c>
      <c r="J261" s="43" t="inlineStr">
        <is>
          <t>med</t>
        </is>
      </c>
      <c r="K261" s="29" t="n">
        <v>1</v>
      </c>
      <c r="L261" s="44">
        <f>60*G261/cruise_kt</f>
        <v/>
      </c>
      <c r="M261" s="44">
        <f>L261+turn_min+dwell_min</f>
        <v/>
      </c>
      <c r="N261" s="45">
        <f>MIN(10,FLOOR(60*service_hr/M261,1))</f>
        <v/>
      </c>
      <c r="O261" s="45">
        <f>ROUND(365*mech_uptime*K261,0)</f>
        <v/>
      </c>
      <c r="P261" s="46">
        <f>mech_uptime</f>
        <v/>
      </c>
      <c r="Q261" s="46">
        <f>revleg_sel</f>
        <v/>
      </c>
      <c r="R261" s="45">
        <f>ROUND(N261*O261*revleg_sel,0)</f>
        <v/>
      </c>
      <c r="S261" s="47">
        <f>load_sel</f>
        <v/>
      </c>
      <c r="T261" s="47">
        <f>pax_cap*S261</f>
        <v/>
      </c>
      <c r="U261" s="45">
        <f>T261*R261</f>
        <v/>
      </c>
      <c r="V261" s="48">
        <f>H261*discount</f>
        <v/>
      </c>
      <c r="W261" s="49">
        <f>V261*U261</f>
        <v/>
      </c>
      <c r="X261" s="49">
        <f>(battery/range_nm)*G261*R261*VLOOKUP(B261,country_opex,3,FALSE)</f>
        <v/>
      </c>
      <c r="Y261" s="49">
        <f>VLOOKUP(B261,country_opex,2,FALSE)*crew_factor</f>
        <v/>
      </c>
      <c r="Z261" s="49">
        <f>VLOOKUP(B261,country_opex,5,FALSE)</f>
        <v/>
      </c>
      <c r="AA261" s="49">
        <f>maint</f>
        <v/>
      </c>
      <c r="AB261" s="49">
        <f>VLOOKUP(B261,country_opex,7,FALSE)*ins_pct</f>
        <v/>
      </c>
      <c r="AC261" s="49">
        <f>charge_berth</f>
        <v/>
      </c>
      <c r="AD261" s="49">
        <f>X261+Y261+Z261+AA261+AB261+AC261</f>
        <v/>
      </c>
      <c r="AE261" s="49">
        <f>VLOOKUP(B261,country_opex,7,FALSE)/dep_years</f>
        <v/>
      </c>
      <c r="AF261" s="49">
        <f>W261-AD261</f>
        <v/>
      </c>
      <c r="AG261" s="46">
        <f>IF(W261=0,"",AF261/W261)</f>
        <v/>
      </c>
      <c r="AH261" s="47">
        <f>IF(AF261&lt;=0,"",VLOOKUP(B261,country_opex,7,FALSE)/AF261)</f>
        <v/>
      </c>
      <c r="AI261" s="44">
        <f>((G261*R261/diesel_nmpg)*diesel_co2pg-(battery/range_nm)*G261*R261*VLOOKUP(B261,country_opex,4,FALSE))/1000</f>
        <v/>
      </c>
      <c r="AJ261" s="42" t="n">
        <v>28000</v>
      </c>
      <c r="AK261" s="43" t="inlineStr">
        <is>
          <t>T5</t>
        </is>
      </c>
      <c r="AL261" s="43" t="inlineStr">
        <is>
          <t>low-med</t>
        </is>
      </c>
      <c r="AM261" s="50" t="n">
        <v>0.9</v>
      </c>
      <c r="AN261" s="45">
        <f>IF(AJ261="","",AJ261*AM261)</f>
        <v/>
      </c>
      <c r="AO261" s="45">
        <f>IF(OR(AJ261="",U261=0),"",MIN(IF(AV261="",9.9E+99,AV261),FLOOR(AN261/U261,1)))</f>
        <v/>
      </c>
      <c r="AP261" s="49">
        <f>IF(AO261="","",AO261*W261)</f>
        <v/>
      </c>
      <c r="AQ261" s="47">
        <f>IF(OR(AJ261="",U261=0),"",MIN(IF(AV261="",9.9E+99,AV261),AN261/U261))</f>
        <v/>
      </c>
      <c r="AR261" s="49">
        <f>IF(AQ261="","",AQ261*W261)</f>
        <v/>
      </c>
      <c r="AS261" s="51" t="n"/>
      <c r="AT261" s="52" t="n"/>
      <c r="AU261" s="52" t="n"/>
      <c r="AV261" s="53" t="n">
        <v>8</v>
      </c>
      <c r="AW261" s="54">
        <f>IF(((V261*pax_cap*load_thin*ROUND(N261*O261*revleg_thin,0))-(((battery/range_nm)*G261*ROUND(N261*O261*revleg_thin,0)*VLOOKUP(B261,country_opex,3,FALSE))+Y261+Z261+AA261+AB261+AC261))&lt;=0,"",VLOOKUP(B261,country_opex,7,FALSE)/((V261*pax_cap*load_thin*ROUND(N261*O261*revleg_thin,0))-(((battery/range_nm)*G261*ROUND(N261*O261*revleg_thin,0)*VLOOKUP(B261,country_opex,3,FALSE))+Y261+Z261+AA261+AB261+AC261)))</f>
        <v/>
      </c>
      <c r="AX261" s="54">
        <f>IF(((V261*pax_cap*load_mid*ROUND(N261*O261*revleg_mid,0))-(((battery/range_nm)*G261*ROUND(N261*O261*revleg_mid,0)*VLOOKUP(B261,country_opex,3,FALSE))+Y261+Z261+AA261+AB261+AC261))&lt;=0,"",VLOOKUP(B261,country_opex,7,FALSE)/((V261*pax_cap*load_mid*ROUND(N261*O261*revleg_mid,0))-(((battery/range_nm)*G261*ROUND(N261*O261*revleg_mid,0)*VLOOKUP(B261,country_opex,3,FALSE))+Y261+Z261+AA261+AB261+AC261)))</f>
        <v/>
      </c>
      <c r="AY261" s="54">
        <f>IF(((V261*pax_cap*load_full*ROUND(N261*O261*revleg_full,0))-(((battery/range_nm)*G261*ROUND(N261*O261*revleg_full,0)*VLOOKUP(B261,country_opex,3,FALSE))+Y261+Z261+AA261+AB261+AC261))&lt;=0,"",VLOOKUP(B261,country_opex,7,FALSE)/((V261*pax_cap*load_full*ROUND(N261*O261*revleg_full,0))-(((battery/range_nm)*G261*ROUND(N261*O261*revleg_full,0)*VLOOKUP(B261,country_opex,3,FALSE))+Y261+Z261+AA261+AB261+AC261)))</f>
        <v/>
      </c>
      <c r="AZ261" s="40" t="inlineStr">
        <is>
          <t>Short 2.4nm/10-min North Male speedboat hop. maldivestour.guide: Kurumba round-trip speedboat USD 96/adult = $48/way. immaldives.com 2026 table: Kurumba shared speedboat $100-150 RT = $50-75/way. atolltransfer scheduled $25-120/way. Single-class resort speedboat (premium ~= standard on this short close hop); premium per-seat ~$60/way.</t>
        </is>
      </c>
      <c r="BA261" s="40" t="inlineStr">
        <is>
          <t>Modeled from resort key count. Kurumba Maldives (Vihamanafushi, North Malé): ~180 villas/keys (published resort/Virtuoso/booking figures). corridor_annual_oneway_pax = keys x 365 x occ(0.75) / avg_stay(7 nights) x guests/key(2) x 2 (arr+dep) ~= keys x 156. 180 keys -&gt; ~28,000 one-way pax/yr. Airport(MLE)&lt;-&gt;this resort is the sole transfer corridor (boat/seaplane only; no road/air alt - R3-EXCEPTION: arrivals = crossing ridership).</t>
        </is>
      </c>
    </row>
    <row r="262">
      <c r="A262" s="38" t="inlineStr">
        <is>
          <t>Maldives (JIH)</t>
        </is>
      </c>
      <c r="B262" s="38" t="inlineStr">
        <is>
          <t>Maldives</t>
        </is>
      </c>
      <c r="C262" s="39" t="inlineStr">
        <is>
          <t>Kuredu Island Resort (Lhaviyani) → Hurawalhi (Lhaviyani)</t>
        </is>
      </c>
      <c r="D262" s="38" t="inlineStr">
        <is>
          <t>jih-global</t>
        </is>
      </c>
      <c r="E262" s="40" t="inlineStr">
        <is>
          <t>maldives-jih</t>
        </is>
      </c>
      <c r="F262" s="41" t="n">
        <v>1</v>
      </c>
      <c r="G262" s="42" t="n">
        <v>2.5</v>
      </c>
      <c r="H262" s="35" t="n">
        <v>150</v>
      </c>
      <c r="I262" s="43" t="inlineStr">
        <is>
          <t>T3</t>
        </is>
      </c>
      <c r="J262" s="43" t="inlineStr">
        <is>
          <t>med</t>
        </is>
      </c>
      <c r="K262" s="29" t="n">
        <v>1</v>
      </c>
      <c r="L262" s="44">
        <f>60*G262/cruise_kt</f>
        <v/>
      </c>
      <c r="M262" s="44">
        <f>L262+turn_min+dwell_min</f>
        <v/>
      </c>
      <c r="N262" s="45">
        <f>MIN(10,FLOOR(60*service_hr/M262,1))</f>
        <v/>
      </c>
      <c r="O262" s="45">
        <f>ROUND(365*mech_uptime*K262,0)</f>
        <v/>
      </c>
      <c r="P262" s="46">
        <f>mech_uptime</f>
        <v/>
      </c>
      <c r="Q262" s="46">
        <f>revleg_sel</f>
        <v/>
      </c>
      <c r="R262" s="45">
        <f>ROUND(N262*O262*revleg_sel,0)</f>
        <v/>
      </c>
      <c r="S262" s="47">
        <f>load_sel</f>
        <v/>
      </c>
      <c r="T262" s="47">
        <f>pax_cap*S262</f>
        <v/>
      </c>
      <c r="U262" s="45">
        <f>T262*R262</f>
        <v/>
      </c>
      <c r="V262" s="48">
        <f>H262*discount</f>
        <v/>
      </c>
      <c r="W262" s="49">
        <f>V262*U262</f>
        <v/>
      </c>
      <c r="X262" s="49">
        <f>(battery/range_nm)*G262*R262*VLOOKUP(B262,country_opex,3,FALSE)</f>
        <v/>
      </c>
      <c r="Y262" s="49">
        <f>VLOOKUP(B262,country_opex,2,FALSE)*crew_factor</f>
        <v/>
      </c>
      <c r="Z262" s="49">
        <f>VLOOKUP(B262,country_opex,5,FALSE)</f>
        <v/>
      </c>
      <c r="AA262" s="49">
        <f>maint</f>
        <v/>
      </c>
      <c r="AB262" s="49">
        <f>VLOOKUP(B262,country_opex,7,FALSE)*ins_pct</f>
        <v/>
      </c>
      <c r="AC262" s="49">
        <f>charge_berth</f>
        <v/>
      </c>
      <c r="AD262" s="49">
        <f>X262+Y262+Z262+AA262+AB262+AC262</f>
        <v/>
      </c>
      <c r="AE262" s="49">
        <f>VLOOKUP(B262,country_opex,7,FALSE)/dep_years</f>
        <v/>
      </c>
      <c r="AF262" s="49">
        <f>W262-AD262</f>
        <v/>
      </c>
      <c r="AG262" s="46">
        <f>IF(W262=0,"",AF262/W262)</f>
        <v/>
      </c>
      <c r="AH262" s="47">
        <f>IF(AF262&lt;=0,"",VLOOKUP(B262,country_opex,7,FALSE)/AF262)</f>
        <v/>
      </c>
      <c r="AI262" s="44">
        <f>((G262*R262/diesel_nmpg)*diesel_co2pg-(battery/range_nm)*G262*R262*VLOOKUP(B262,country_opex,4,FALSE))/1000</f>
        <v/>
      </c>
      <c r="AJ262" s="42" t="n"/>
      <c r="AK262" s="43" t="n"/>
      <c r="AL262" s="43" t="inlineStr">
        <is>
          <t>null</t>
        </is>
      </c>
      <c r="AM262" s="50" t="n">
        <v>0.9</v>
      </c>
      <c r="AN262" s="45">
        <f>IF(AJ262="","",AJ262*AM262)</f>
        <v/>
      </c>
      <c r="AO262" s="45">
        <f>IF(OR(AJ262="",U262=0),"",MIN(IF(AV262="",9.9E+99,AV262),FLOOR(AN262/U262,1)))</f>
        <v/>
      </c>
      <c r="AP262" s="49">
        <f>IF(AO262="","",AO262*W262)</f>
        <v/>
      </c>
      <c r="AQ262" s="47">
        <f>IF(OR(AJ262="",U262=0),"",MIN(IF(AV262="",9.9E+99,AV262),AN262/U262))</f>
        <v/>
      </c>
      <c r="AR262" s="49">
        <f>IF(AQ262="","",AQ262*W262)</f>
        <v/>
      </c>
      <c r="AS262" s="51" t="n"/>
      <c r="AT262" s="52" t="n"/>
      <c r="AU262" s="52" t="n"/>
      <c r="AV262" s="53" t="n"/>
      <c r="AW262" s="54">
        <f>IF(((V262*pax_cap*load_thin*ROUND(N262*O262*revleg_thin,0))-(((battery/range_nm)*G262*ROUND(N262*O262*revleg_thin,0)*VLOOKUP(B262,country_opex,3,FALSE))+Y262+Z262+AA262+AB262+AC262))&lt;=0,"",VLOOKUP(B262,country_opex,7,FALSE)/((V262*pax_cap*load_thin*ROUND(N262*O262*revleg_thin,0))-(((battery/range_nm)*G262*ROUND(N262*O262*revleg_thin,0)*VLOOKUP(B262,country_opex,3,FALSE))+Y262+Z262+AA262+AB262+AC262)))</f>
        <v/>
      </c>
      <c r="AX262" s="54">
        <f>IF(((V262*pax_cap*load_mid*ROUND(N262*O262*revleg_mid,0))-(((battery/range_nm)*G262*ROUND(N262*O262*revleg_mid,0)*VLOOKUP(B262,country_opex,3,FALSE))+Y262+Z262+AA262+AB262+AC262))&lt;=0,"",VLOOKUP(B262,country_opex,7,FALSE)/((V262*pax_cap*load_mid*ROUND(N262*O262*revleg_mid,0))-(((battery/range_nm)*G262*ROUND(N262*O262*revleg_mid,0)*VLOOKUP(B262,country_opex,3,FALSE))+Y262+Z262+AA262+AB262+AC262)))</f>
        <v/>
      </c>
      <c r="AY262" s="54">
        <f>IF(((V262*pax_cap*load_full*ROUND(N262*O262*revleg_full,0))-(((battery/range_nm)*G262*ROUND(N262*O262*revleg_full,0)*VLOOKUP(B262,country_opex,3,FALSE))+Y262+Z262+AA262+AB262+AC262))&lt;=0,"",VLOOKUP(B262,country_opex,7,FALSE)/((V262*pax_cap*load_full*ROUND(N262*O262*revleg_full,0))-(((battery/range_nm)*G262*ROUND(N262*O262*revleg_full,0)*VLOOKUP(B262,country_opex,3,FALSE))+Y262+Z262+AA262+AB262+AC262)))</f>
        <v/>
      </c>
      <c r="AZ262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62" s="40" t="inlineStr">
        <is>
          <t>NULL — pure inter-resort island-hop; no grounded crossing pool (R2). Geometry only.</t>
        </is>
      </c>
    </row>
    <row r="263">
      <c r="A263" s="38" t="inlineStr">
        <is>
          <t>Maldives (JIH)</t>
        </is>
      </c>
      <c r="B263" s="38" t="inlineStr">
        <is>
          <t>Maldives</t>
        </is>
      </c>
      <c r="C263" s="39" t="inlineStr">
        <is>
          <t>Gan International Airport, Addu → Shangri-La Villingili (Addu)</t>
        </is>
      </c>
      <c r="D263" s="38" t="inlineStr">
        <is>
          <t>jih-global</t>
        </is>
      </c>
      <c r="E263" s="40" t="inlineStr">
        <is>
          <t>maldives-jih</t>
        </is>
      </c>
      <c r="F263" s="41" t="n">
        <v>1</v>
      </c>
      <c r="G263" s="42" t="n">
        <v>2.7</v>
      </c>
      <c r="H263" s="35" t="n">
        <v>150</v>
      </c>
      <c r="I263" s="43" t="inlineStr">
        <is>
          <t>T3</t>
        </is>
      </c>
      <c r="J263" s="43" t="inlineStr">
        <is>
          <t>med</t>
        </is>
      </c>
      <c r="K263" s="29" t="n">
        <v>1</v>
      </c>
      <c r="L263" s="44">
        <f>60*G263/cruise_kt</f>
        <v/>
      </c>
      <c r="M263" s="44">
        <f>L263+turn_min+dwell_min</f>
        <v/>
      </c>
      <c r="N263" s="45">
        <f>MIN(10,FLOOR(60*service_hr/M263,1))</f>
        <v/>
      </c>
      <c r="O263" s="45">
        <f>ROUND(365*mech_uptime*K263,0)</f>
        <v/>
      </c>
      <c r="P263" s="46">
        <f>mech_uptime</f>
        <v/>
      </c>
      <c r="Q263" s="46">
        <f>revleg_sel</f>
        <v/>
      </c>
      <c r="R263" s="45">
        <f>ROUND(N263*O263*revleg_sel,0)</f>
        <v/>
      </c>
      <c r="S263" s="47">
        <f>load_sel</f>
        <v/>
      </c>
      <c r="T263" s="47">
        <f>pax_cap*S263</f>
        <v/>
      </c>
      <c r="U263" s="45">
        <f>T263*R263</f>
        <v/>
      </c>
      <c r="V263" s="48">
        <f>H263*discount</f>
        <v/>
      </c>
      <c r="W263" s="49">
        <f>V263*U263</f>
        <v/>
      </c>
      <c r="X263" s="49">
        <f>(battery/range_nm)*G263*R263*VLOOKUP(B263,country_opex,3,FALSE)</f>
        <v/>
      </c>
      <c r="Y263" s="49">
        <f>VLOOKUP(B263,country_opex,2,FALSE)*crew_factor</f>
        <v/>
      </c>
      <c r="Z263" s="49">
        <f>VLOOKUP(B263,country_opex,5,FALSE)</f>
        <v/>
      </c>
      <c r="AA263" s="49">
        <f>maint</f>
        <v/>
      </c>
      <c r="AB263" s="49">
        <f>VLOOKUP(B263,country_opex,7,FALSE)*ins_pct</f>
        <v/>
      </c>
      <c r="AC263" s="49">
        <f>charge_berth</f>
        <v/>
      </c>
      <c r="AD263" s="49">
        <f>X263+Y263+Z263+AA263+AB263+AC263</f>
        <v/>
      </c>
      <c r="AE263" s="49">
        <f>VLOOKUP(B263,country_opex,7,FALSE)/dep_years</f>
        <v/>
      </c>
      <c r="AF263" s="49">
        <f>W263-AD263</f>
        <v/>
      </c>
      <c r="AG263" s="46">
        <f>IF(W263=0,"",AF263/W263)</f>
        <v/>
      </c>
      <c r="AH263" s="47">
        <f>IF(AF263&lt;=0,"",VLOOKUP(B263,country_opex,7,FALSE)/AF263)</f>
        <v/>
      </c>
      <c r="AI263" s="44">
        <f>((G263*R263/diesel_nmpg)*diesel_co2pg-(battery/range_nm)*G263*R263*VLOOKUP(B263,country_opex,4,FALSE))/1000</f>
        <v/>
      </c>
      <c r="AJ263" s="42" t="n">
        <v>9858</v>
      </c>
      <c r="AK263" s="43" t="inlineStr">
        <is>
          <t>T5</t>
        </is>
      </c>
      <c r="AL263" s="43" t="inlineStr">
        <is>
          <t>med</t>
        </is>
      </c>
      <c r="AM263" s="50" t="n">
        <v>0.9</v>
      </c>
      <c r="AN263" s="45">
        <f>IF(AJ263="","",AJ263*AM263)</f>
        <v/>
      </c>
      <c r="AO263" s="45">
        <f>IF(OR(AJ263="",U263=0),"",MIN(IF(AV263="",9.9E+99,AV263),FLOOR(AN263/U263,1)))</f>
        <v/>
      </c>
      <c r="AP263" s="49">
        <f>IF(AO263="","",AO263*W263)</f>
        <v/>
      </c>
      <c r="AQ263" s="47">
        <f>IF(OR(AJ263="",U263=0),"",MIN(IF(AV263="",9.9E+99,AV263),AN263/U263))</f>
        <v/>
      </c>
      <c r="AR263" s="49">
        <f>IF(AQ263="","",AQ263*W263)</f>
        <v/>
      </c>
      <c r="AS263" s="51" t="n"/>
      <c r="AT263" s="52" t="n"/>
      <c r="AU263" s="52" t="n"/>
      <c r="AV263" s="53" t="n">
        <v>6</v>
      </c>
      <c r="AW263" s="54">
        <f>IF(((V263*pax_cap*load_thin*ROUND(N263*O263*revleg_thin,0))-(((battery/range_nm)*G263*ROUND(N263*O263*revleg_thin,0)*VLOOKUP(B263,country_opex,3,FALSE))+Y263+Z263+AA263+AB263+AC263))&lt;=0,"",VLOOKUP(B263,country_opex,7,FALSE)/((V263*pax_cap*load_thin*ROUND(N263*O263*revleg_thin,0))-(((battery/range_nm)*G263*ROUND(N263*O263*revleg_thin,0)*VLOOKUP(B263,country_opex,3,FALSE))+Y263+Z263+AA263+AB263+AC263)))</f>
        <v/>
      </c>
      <c r="AX263" s="54">
        <f>IF(((V263*pax_cap*load_mid*ROUND(N263*O263*revleg_mid,0))-(((battery/range_nm)*G263*ROUND(N263*O263*revleg_mid,0)*VLOOKUP(B263,country_opex,3,FALSE))+Y263+Z263+AA263+AB263+AC263))&lt;=0,"",VLOOKUP(B263,country_opex,7,FALSE)/((V263*pax_cap*load_mid*ROUND(N263*O263*revleg_mid,0))-(((battery/range_nm)*G263*ROUND(N263*O263*revleg_mid,0)*VLOOKUP(B263,country_opex,3,FALSE))+Y263+Z263+AA263+AB263+AC263)))</f>
        <v/>
      </c>
      <c r="AY263" s="54">
        <f>IF(((V263*pax_cap*load_full*ROUND(N263*O263*revleg_full,0))-(((battery/range_nm)*G263*ROUND(N263*O263*revleg_full,0)*VLOOKUP(B263,country_opex,3,FALSE))+Y263+Z263+AA263+AB263+AC263))&lt;=0,"",VLOOKUP(B263,country_opex,7,FALSE)/((V263*pax_cap*load_full*ROUND(N263*O263*revleg_full,0))-(((battery/range_nm)*G263*ROUND(N263*O263*revleg_full,0)*VLOOKUP(B263,country_opex,3,FALSE))+Y263+Z263+AA263+AB263+AC263)))</f>
        <v/>
      </c>
      <c r="AZ263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63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64">
      <c r="A264" s="38" t="inlineStr">
        <is>
          <t>Maldives (JIH)</t>
        </is>
      </c>
      <c r="B264" s="38" t="inlineStr">
        <is>
          <t>Maldives</t>
        </is>
      </c>
      <c r="C264" s="39" t="inlineStr">
        <is>
          <t>Maamigili (Villa) Airport, South Ari → Sun Island Resort (Nalaguraidhoo)</t>
        </is>
      </c>
      <c r="D264" s="38" t="inlineStr">
        <is>
          <t>jih-global</t>
        </is>
      </c>
      <c r="E264" s="40" t="inlineStr">
        <is>
          <t>maldives-jih</t>
        </is>
      </c>
      <c r="F264" s="41" t="n">
        <v>1</v>
      </c>
      <c r="G264" s="42" t="n">
        <v>3.2</v>
      </c>
      <c r="H264" s="35" t="n">
        <v>120</v>
      </c>
      <c r="I264" s="43" t="inlineStr">
        <is>
          <t>T3</t>
        </is>
      </c>
      <c r="J264" s="43" t="inlineStr">
        <is>
          <t>med</t>
        </is>
      </c>
      <c r="K264" s="29" t="n">
        <v>1</v>
      </c>
      <c r="L264" s="44">
        <f>60*G264/cruise_kt</f>
        <v/>
      </c>
      <c r="M264" s="44">
        <f>L264+turn_min+dwell_min</f>
        <v/>
      </c>
      <c r="N264" s="45">
        <f>MIN(10,FLOOR(60*service_hr/M264,1))</f>
        <v/>
      </c>
      <c r="O264" s="45">
        <f>ROUND(365*mech_uptime*K264,0)</f>
        <v/>
      </c>
      <c r="P264" s="46">
        <f>mech_uptime</f>
        <v/>
      </c>
      <c r="Q264" s="46">
        <f>revleg_sel</f>
        <v/>
      </c>
      <c r="R264" s="45">
        <f>ROUND(N264*O264*revleg_sel,0)</f>
        <v/>
      </c>
      <c r="S264" s="47">
        <f>load_sel</f>
        <v/>
      </c>
      <c r="T264" s="47">
        <f>pax_cap*S264</f>
        <v/>
      </c>
      <c r="U264" s="45">
        <f>T264*R264</f>
        <v/>
      </c>
      <c r="V264" s="48">
        <f>H264*discount</f>
        <v/>
      </c>
      <c r="W264" s="49">
        <f>V264*U264</f>
        <v/>
      </c>
      <c r="X264" s="49">
        <f>(battery/range_nm)*G264*R264*VLOOKUP(B264,country_opex,3,FALSE)</f>
        <v/>
      </c>
      <c r="Y264" s="49">
        <f>VLOOKUP(B264,country_opex,2,FALSE)*crew_factor</f>
        <v/>
      </c>
      <c r="Z264" s="49">
        <f>VLOOKUP(B264,country_opex,5,FALSE)</f>
        <v/>
      </c>
      <c r="AA264" s="49">
        <f>maint</f>
        <v/>
      </c>
      <c r="AB264" s="49">
        <f>VLOOKUP(B264,country_opex,7,FALSE)*ins_pct</f>
        <v/>
      </c>
      <c r="AC264" s="49">
        <f>charge_berth</f>
        <v/>
      </c>
      <c r="AD264" s="49">
        <f>X264+Y264+Z264+AA264+AB264+AC264</f>
        <v/>
      </c>
      <c r="AE264" s="49">
        <f>VLOOKUP(B264,country_opex,7,FALSE)/dep_years</f>
        <v/>
      </c>
      <c r="AF264" s="49">
        <f>W264-AD264</f>
        <v/>
      </c>
      <c r="AG264" s="46">
        <f>IF(W264=0,"",AF264/W264)</f>
        <v/>
      </c>
      <c r="AH264" s="47">
        <f>IF(AF264&lt;=0,"",VLOOKUP(B264,country_opex,7,FALSE)/AF264)</f>
        <v/>
      </c>
      <c r="AI264" s="44">
        <f>((G264*R264/diesel_nmpg)*diesel_co2pg-(battery/range_nm)*G264*R264*VLOOKUP(B264,country_opex,4,FALSE))/1000</f>
        <v/>
      </c>
      <c r="AJ264" s="42" t="n">
        <v>34504</v>
      </c>
      <c r="AK264" s="43" t="inlineStr">
        <is>
          <t>T5</t>
        </is>
      </c>
      <c r="AL264" s="43" t="inlineStr">
        <is>
          <t>med</t>
        </is>
      </c>
      <c r="AM264" s="50" t="n">
        <v>0.9</v>
      </c>
      <c r="AN264" s="45">
        <f>IF(AJ264="","",AJ264*AM264)</f>
        <v/>
      </c>
      <c r="AO264" s="45">
        <f>IF(OR(AJ264="",U264=0),"",MIN(IF(AV264="",9.9E+99,AV264),FLOOR(AN264/U264,1)))</f>
        <v/>
      </c>
      <c r="AP264" s="49">
        <f>IF(AO264="","",AO264*W264)</f>
        <v/>
      </c>
      <c r="AQ264" s="47">
        <f>IF(OR(AJ264="",U264=0),"",MIN(IF(AV264="",9.9E+99,AV264),AN264/U264))</f>
        <v/>
      </c>
      <c r="AR264" s="49">
        <f>IF(AQ264="","",AQ264*W264)</f>
        <v/>
      </c>
      <c r="AS264" s="51" t="n"/>
      <c r="AT264" s="52" t="n"/>
      <c r="AU264" s="52" t="n"/>
      <c r="AV264" s="53" t="n">
        <v>19</v>
      </c>
      <c r="AW264" s="54">
        <f>IF(((V264*pax_cap*load_thin*ROUND(N264*O264*revleg_thin,0))-(((battery/range_nm)*G264*ROUND(N264*O264*revleg_thin,0)*VLOOKUP(B264,country_opex,3,FALSE))+Y264+Z264+AA264+AB264+AC264))&lt;=0,"",VLOOKUP(B264,country_opex,7,FALSE)/((V264*pax_cap*load_thin*ROUND(N264*O264*revleg_thin,0))-(((battery/range_nm)*G264*ROUND(N264*O264*revleg_thin,0)*VLOOKUP(B264,country_opex,3,FALSE))+Y264+Z264+AA264+AB264+AC264)))</f>
        <v/>
      </c>
      <c r="AX264" s="54">
        <f>IF(((V264*pax_cap*load_mid*ROUND(N264*O264*revleg_mid,0))-(((battery/range_nm)*G264*ROUND(N264*O264*revleg_mid,0)*VLOOKUP(B264,country_opex,3,FALSE))+Y264+Z264+AA264+AB264+AC264))&lt;=0,"",VLOOKUP(B264,country_opex,7,FALSE)/((V264*pax_cap*load_mid*ROUND(N264*O264*revleg_mid,0))-(((battery/range_nm)*G264*ROUND(N264*O264*revleg_mid,0)*VLOOKUP(B264,country_opex,3,FALSE))+Y264+Z264+AA264+AB264+AC264)))</f>
        <v/>
      </c>
      <c r="AY264" s="54">
        <f>IF(((V264*pax_cap*load_full*ROUND(N264*O264*revleg_full,0))-(((battery/range_nm)*G264*ROUND(N264*O264*revleg_full,0)*VLOOKUP(B264,country_opex,3,FALSE))+Y264+Z264+AA264+AB264+AC264))&lt;=0,"",VLOOKUP(B264,country_opex,7,FALSE)/((V264*pax_cap*load_full*ROUND(N264*O264*revleg_full,0))-(((battery/range_nm)*G264*ROUND(N264*O264*revleg_full,0)*VLOOKUP(B264,country_opex,3,FALSE))+Y264+Z264+AA264+AB264+AC264)))</f>
        <v/>
      </c>
      <c r="AZ264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64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65">
      <c r="A265" s="38" t="inlineStr">
        <is>
          <t>Maldives (JIH)</t>
        </is>
      </c>
      <c r="B265" s="38" t="inlineStr">
        <is>
          <t>Maldives</t>
        </is>
      </c>
      <c r="C265" s="39" t="inlineStr">
        <is>
          <t>Dharavandhoo Airport, Baa → Soneva Fushi (Kunfunadhoo, Baa)</t>
        </is>
      </c>
      <c r="D265" s="38" t="inlineStr">
        <is>
          <t>jih-global</t>
        </is>
      </c>
      <c r="E265" s="40" t="inlineStr">
        <is>
          <t>maldives-jih</t>
        </is>
      </c>
      <c r="F265" s="41" t="n">
        <v>1</v>
      </c>
      <c r="G265" s="42" t="n">
        <v>4.4</v>
      </c>
      <c r="H265" s="35" t="n">
        <v>200</v>
      </c>
      <c r="I265" s="43" t="inlineStr">
        <is>
          <t>T3</t>
        </is>
      </c>
      <c r="J265" s="43" t="inlineStr">
        <is>
          <t>med</t>
        </is>
      </c>
      <c r="K265" s="29" t="n">
        <v>1</v>
      </c>
      <c r="L265" s="44">
        <f>60*G265/cruise_kt</f>
        <v/>
      </c>
      <c r="M265" s="44">
        <f>L265+turn_min+dwell_min</f>
        <v/>
      </c>
      <c r="N265" s="45">
        <f>MIN(10,FLOOR(60*service_hr/M265,1))</f>
        <v/>
      </c>
      <c r="O265" s="45">
        <f>ROUND(365*mech_uptime*K265,0)</f>
        <v/>
      </c>
      <c r="P265" s="46">
        <f>mech_uptime</f>
        <v/>
      </c>
      <c r="Q265" s="46">
        <f>revleg_sel</f>
        <v/>
      </c>
      <c r="R265" s="45">
        <f>ROUND(N265*O265*revleg_sel,0)</f>
        <v/>
      </c>
      <c r="S265" s="47">
        <f>load_sel</f>
        <v/>
      </c>
      <c r="T265" s="47">
        <f>pax_cap*S265</f>
        <v/>
      </c>
      <c r="U265" s="45">
        <f>T265*R265</f>
        <v/>
      </c>
      <c r="V265" s="48">
        <f>H265*discount</f>
        <v/>
      </c>
      <c r="W265" s="49">
        <f>V265*U265</f>
        <v/>
      </c>
      <c r="X265" s="49">
        <f>(battery/range_nm)*G265*R265*VLOOKUP(B265,country_opex,3,FALSE)</f>
        <v/>
      </c>
      <c r="Y265" s="49">
        <f>VLOOKUP(B265,country_opex,2,FALSE)*crew_factor</f>
        <v/>
      </c>
      <c r="Z265" s="49">
        <f>VLOOKUP(B265,country_opex,5,FALSE)</f>
        <v/>
      </c>
      <c r="AA265" s="49">
        <f>maint</f>
        <v/>
      </c>
      <c r="AB265" s="49">
        <f>VLOOKUP(B265,country_opex,7,FALSE)*ins_pct</f>
        <v/>
      </c>
      <c r="AC265" s="49">
        <f>charge_berth</f>
        <v/>
      </c>
      <c r="AD265" s="49">
        <f>X265+Y265+Z265+AA265+AB265+AC265</f>
        <v/>
      </c>
      <c r="AE265" s="49">
        <f>VLOOKUP(B265,country_opex,7,FALSE)/dep_years</f>
        <v/>
      </c>
      <c r="AF265" s="49">
        <f>W265-AD265</f>
        <v/>
      </c>
      <c r="AG265" s="46">
        <f>IF(W265=0,"",AF265/W265)</f>
        <v/>
      </c>
      <c r="AH265" s="47">
        <f>IF(AF265&lt;=0,"",VLOOKUP(B265,country_opex,7,FALSE)/AF265)</f>
        <v/>
      </c>
      <c r="AI265" s="44">
        <f>((G265*R265/diesel_nmpg)*diesel_co2pg-(battery/range_nm)*G265*R265*VLOOKUP(B265,country_opex,4,FALSE))/1000</f>
        <v/>
      </c>
      <c r="AJ265" s="42" t="n">
        <v>4705</v>
      </c>
      <c r="AK265" s="43" t="inlineStr">
        <is>
          <t>T5</t>
        </is>
      </c>
      <c r="AL265" s="43" t="inlineStr">
        <is>
          <t>med</t>
        </is>
      </c>
      <c r="AM265" s="50" t="n">
        <v>0.9</v>
      </c>
      <c r="AN265" s="45">
        <f>IF(AJ265="","",AJ265*AM265)</f>
        <v/>
      </c>
      <c r="AO265" s="45">
        <f>IF(OR(AJ265="",U265=0),"",MIN(IF(AV265="",9.9E+99,AV265),FLOOR(AN265/U265,1)))</f>
        <v/>
      </c>
      <c r="AP265" s="49">
        <f>IF(AO265="","",AO265*W265)</f>
        <v/>
      </c>
      <c r="AQ265" s="47">
        <f>IF(OR(AJ265="",U265=0),"",MIN(IF(AV265="",9.9E+99,AV265),AN265/U265))</f>
        <v/>
      </c>
      <c r="AR265" s="49">
        <f>IF(AQ265="","",AQ265*W265)</f>
        <v/>
      </c>
      <c r="AS265" s="51" t="n"/>
      <c r="AT265" s="52" t="n"/>
      <c r="AU265" s="52" t="n"/>
      <c r="AV265" s="53" t="n">
        <v>3</v>
      </c>
      <c r="AW265" s="54">
        <f>IF(((V265*pax_cap*load_thin*ROUND(N265*O265*revleg_thin,0))-(((battery/range_nm)*G265*ROUND(N265*O265*revleg_thin,0)*VLOOKUP(B265,country_opex,3,FALSE))+Y265+Z265+AA265+AB265+AC265))&lt;=0,"",VLOOKUP(B265,country_opex,7,FALSE)/((V265*pax_cap*load_thin*ROUND(N265*O265*revleg_thin,0))-(((battery/range_nm)*G265*ROUND(N265*O265*revleg_thin,0)*VLOOKUP(B265,country_opex,3,FALSE))+Y265+Z265+AA265+AB265+AC265)))</f>
        <v/>
      </c>
      <c r="AX265" s="54">
        <f>IF(((V265*pax_cap*load_mid*ROUND(N265*O265*revleg_mid,0))-(((battery/range_nm)*G265*ROUND(N265*O265*revleg_mid,0)*VLOOKUP(B265,country_opex,3,FALSE))+Y265+Z265+AA265+AB265+AC265))&lt;=0,"",VLOOKUP(B265,country_opex,7,FALSE)/((V265*pax_cap*load_mid*ROUND(N265*O265*revleg_mid,0))-(((battery/range_nm)*G265*ROUND(N265*O265*revleg_mid,0)*VLOOKUP(B265,country_opex,3,FALSE))+Y265+Z265+AA265+AB265+AC265)))</f>
        <v/>
      </c>
      <c r="AY265" s="54">
        <f>IF(((V265*pax_cap*load_full*ROUND(N265*O265*revleg_full,0))-(((battery/range_nm)*G265*ROUND(N265*O265*revleg_full,0)*VLOOKUP(B265,country_opex,3,FALSE))+Y265+Z265+AA265+AB265+AC265))&lt;=0,"",VLOOKUP(B265,country_opex,7,FALSE)/((V265*pax_cap*load_full*ROUND(N265*O265*revleg_full,0))-(((battery/range_nm)*G265*ROUND(N265*O265*revleg_full,0)*VLOOKUP(B265,country_opex,3,FALSE))+Y265+Z265+AA265+AB265+AC265)))</f>
        <v/>
      </c>
      <c r="AZ265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65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66">
      <c r="A266" s="38" t="inlineStr">
        <is>
          <t>Maldives (JIH)</t>
        </is>
      </c>
      <c r="B266" s="38" t="inlineStr">
        <is>
          <t>Maldives</t>
        </is>
      </c>
      <c r="C266" s="39" t="inlineStr">
        <is>
          <t>Kudahuvadhoo Airport, Dhaalu → Niyama Private Islands (Dhaalu)</t>
        </is>
      </c>
      <c r="D266" s="38" t="inlineStr">
        <is>
          <t>jih-global</t>
        </is>
      </c>
      <c r="E266" s="40" t="inlineStr">
        <is>
          <t>maldives-jih</t>
        </is>
      </c>
      <c r="F266" s="41" t="n">
        <v>1</v>
      </c>
      <c r="G266" s="42" t="n">
        <v>4.7</v>
      </c>
      <c r="H266" s="35" t="n">
        <v>150</v>
      </c>
      <c r="I266" s="43" t="inlineStr">
        <is>
          <t>T3</t>
        </is>
      </c>
      <c r="J266" s="43" t="inlineStr">
        <is>
          <t>med</t>
        </is>
      </c>
      <c r="K266" s="29" t="n">
        <v>1</v>
      </c>
      <c r="L266" s="44">
        <f>60*G266/cruise_kt</f>
        <v/>
      </c>
      <c r="M266" s="44">
        <f>L266+turn_min+dwell_min</f>
        <v/>
      </c>
      <c r="N266" s="45">
        <f>MIN(10,FLOOR(60*service_hr/M266,1))</f>
        <v/>
      </c>
      <c r="O266" s="45">
        <f>ROUND(365*mech_uptime*K266,0)</f>
        <v/>
      </c>
      <c r="P266" s="46">
        <f>mech_uptime</f>
        <v/>
      </c>
      <c r="Q266" s="46">
        <f>revleg_sel</f>
        <v/>
      </c>
      <c r="R266" s="45">
        <f>ROUND(N266*O266*revleg_sel,0)</f>
        <v/>
      </c>
      <c r="S266" s="47">
        <f>load_sel</f>
        <v/>
      </c>
      <c r="T266" s="47">
        <f>pax_cap*S266</f>
        <v/>
      </c>
      <c r="U266" s="45">
        <f>T266*R266</f>
        <v/>
      </c>
      <c r="V266" s="48">
        <f>H266*discount</f>
        <v/>
      </c>
      <c r="W266" s="49">
        <f>V266*U266</f>
        <v/>
      </c>
      <c r="X266" s="49">
        <f>(battery/range_nm)*G266*R266*VLOOKUP(B266,country_opex,3,FALSE)</f>
        <v/>
      </c>
      <c r="Y266" s="49">
        <f>VLOOKUP(B266,country_opex,2,FALSE)*crew_factor</f>
        <v/>
      </c>
      <c r="Z266" s="49">
        <f>VLOOKUP(B266,country_opex,5,FALSE)</f>
        <v/>
      </c>
      <c r="AA266" s="49">
        <f>maint</f>
        <v/>
      </c>
      <c r="AB266" s="49">
        <f>VLOOKUP(B266,country_opex,7,FALSE)*ins_pct</f>
        <v/>
      </c>
      <c r="AC266" s="49">
        <f>charge_berth</f>
        <v/>
      </c>
      <c r="AD266" s="49">
        <f>X266+Y266+Z266+AA266+AB266+AC266</f>
        <v/>
      </c>
      <c r="AE266" s="49">
        <f>VLOOKUP(B266,country_opex,7,FALSE)/dep_years</f>
        <v/>
      </c>
      <c r="AF266" s="49">
        <f>W266-AD266</f>
        <v/>
      </c>
      <c r="AG266" s="46">
        <f>IF(W266=0,"",AF266/W266)</f>
        <v/>
      </c>
      <c r="AH266" s="47">
        <f>IF(AF266&lt;=0,"",VLOOKUP(B266,country_opex,7,FALSE)/AF266)</f>
        <v/>
      </c>
      <c r="AI266" s="44">
        <f>((G266*R266/diesel_nmpg)*diesel_co2pg-(battery/range_nm)*G266*R266*VLOOKUP(B266,country_opex,4,FALSE))/1000</f>
        <v/>
      </c>
      <c r="AJ266" s="42" t="n">
        <v>10008</v>
      </c>
      <c r="AK266" s="43" t="inlineStr">
        <is>
          <t>T5</t>
        </is>
      </c>
      <c r="AL266" s="43" t="inlineStr">
        <is>
          <t>med</t>
        </is>
      </c>
      <c r="AM266" s="50" t="n">
        <v>0.9</v>
      </c>
      <c r="AN266" s="45">
        <f>IF(AJ266="","",AJ266*AM266)</f>
        <v/>
      </c>
      <c r="AO266" s="45">
        <f>IF(OR(AJ266="",U266=0),"",MIN(IF(AV266="",9.9E+99,AV266),FLOOR(AN266/U266,1)))</f>
        <v/>
      </c>
      <c r="AP266" s="49">
        <f>IF(AO266="","",AO266*W266)</f>
        <v/>
      </c>
      <c r="AQ266" s="47">
        <f>IF(OR(AJ266="",U266=0),"",MIN(IF(AV266="",9.9E+99,AV266),AN266/U266))</f>
        <v/>
      </c>
      <c r="AR266" s="49">
        <f>IF(AQ266="","",AQ266*W266)</f>
        <v/>
      </c>
      <c r="AS266" s="51" t="n"/>
      <c r="AT266" s="52" t="n"/>
      <c r="AU266" s="52" t="n"/>
      <c r="AV266" s="53" t="n">
        <v>6</v>
      </c>
      <c r="AW266" s="54">
        <f>IF(((V266*pax_cap*load_thin*ROUND(N266*O266*revleg_thin,0))-(((battery/range_nm)*G266*ROUND(N266*O266*revleg_thin,0)*VLOOKUP(B266,country_opex,3,FALSE))+Y266+Z266+AA266+AB266+AC266))&lt;=0,"",VLOOKUP(B266,country_opex,7,FALSE)/((V266*pax_cap*load_thin*ROUND(N266*O266*revleg_thin,0))-(((battery/range_nm)*G266*ROUND(N266*O266*revleg_thin,0)*VLOOKUP(B266,country_opex,3,FALSE))+Y266+Z266+AA266+AB266+AC266)))</f>
        <v/>
      </c>
      <c r="AX266" s="54">
        <f>IF(((V266*pax_cap*load_mid*ROUND(N266*O266*revleg_mid,0))-(((battery/range_nm)*G266*ROUND(N266*O266*revleg_mid,0)*VLOOKUP(B266,country_opex,3,FALSE))+Y266+Z266+AA266+AB266+AC266))&lt;=0,"",VLOOKUP(B266,country_opex,7,FALSE)/((V266*pax_cap*load_mid*ROUND(N266*O266*revleg_mid,0))-(((battery/range_nm)*G266*ROUND(N266*O266*revleg_mid,0)*VLOOKUP(B266,country_opex,3,FALSE))+Y266+Z266+AA266+AB266+AC266)))</f>
        <v/>
      </c>
      <c r="AY266" s="54">
        <f>IF(((V266*pax_cap*load_full*ROUND(N266*O266*revleg_full,0))-(((battery/range_nm)*G266*ROUND(N266*O266*revleg_full,0)*VLOOKUP(B266,country_opex,3,FALSE))+Y266+Z266+AA266+AB266+AC266))&lt;=0,"",VLOOKUP(B266,country_opex,7,FALSE)/((V266*pax_cap*load_full*ROUND(N266*O266*revleg_full,0))-(((battery/range_nm)*G266*ROUND(N266*O266*revleg_full,0)*VLOOKUP(B266,country_opex,3,FALSE))+Y266+Z266+AA266+AB266+AC266)))</f>
        <v/>
      </c>
      <c r="AZ266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66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67">
      <c r="A267" s="38" t="inlineStr">
        <is>
          <t>Maldives (JIH)</t>
        </is>
      </c>
      <c r="B267" s="38" t="inlineStr">
        <is>
          <t>Maldives</t>
        </is>
      </c>
      <c r="C267" s="39" t="inlineStr">
        <is>
          <t>Velana International Airport (MLE) Resort Speedboat Lounges → Gili Lankanfushi (North Malé)</t>
        </is>
      </c>
      <c r="D267" s="38" t="inlineStr">
        <is>
          <t>jih-global</t>
        </is>
      </c>
      <c r="E267" s="40" t="inlineStr">
        <is>
          <t>maldives-jih</t>
        </is>
      </c>
      <c r="F267" s="41" t="n">
        <v>1</v>
      </c>
      <c r="G267" s="42" t="n">
        <v>6.4</v>
      </c>
      <c r="H267" s="35" t="n">
        <v>150</v>
      </c>
      <c r="I267" s="43" t="inlineStr">
        <is>
          <t>T3</t>
        </is>
      </c>
      <c r="J267" s="43" t="inlineStr">
        <is>
          <t>med</t>
        </is>
      </c>
      <c r="K267" s="29" t="n">
        <v>1</v>
      </c>
      <c r="L267" s="44">
        <f>60*G267/cruise_kt</f>
        <v/>
      </c>
      <c r="M267" s="44">
        <f>L267+turn_min+dwell_min</f>
        <v/>
      </c>
      <c r="N267" s="45">
        <f>MIN(10,FLOOR(60*service_hr/M267,1))</f>
        <v/>
      </c>
      <c r="O267" s="45">
        <f>ROUND(365*mech_uptime*K267,0)</f>
        <v/>
      </c>
      <c r="P267" s="46">
        <f>mech_uptime</f>
        <v/>
      </c>
      <c r="Q267" s="46">
        <f>revleg_sel</f>
        <v/>
      </c>
      <c r="R267" s="45">
        <f>ROUND(N267*O267*revleg_sel,0)</f>
        <v/>
      </c>
      <c r="S267" s="47">
        <f>load_sel</f>
        <v/>
      </c>
      <c r="T267" s="47">
        <f>pax_cap*S267</f>
        <v/>
      </c>
      <c r="U267" s="45">
        <f>T267*R267</f>
        <v/>
      </c>
      <c r="V267" s="48">
        <f>H267*discount</f>
        <v/>
      </c>
      <c r="W267" s="49">
        <f>V267*U267</f>
        <v/>
      </c>
      <c r="X267" s="49">
        <f>(battery/range_nm)*G267*R267*VLOOKUP(B267,country_opex,3,FALSE)</f>
        <v/>
      </c>
      <c r="Y267" s="49">
        <f>VLOOKUP(B267,country_opex,2,FALSE)*crew_factor</f>
        <v/>
      </c>
      <c r="Z267" s="49">
        <f>VLOOKUP(B267,country_opex,5,FALSE)</f>
        <v/>
      </c>
      <c r="AA267" s="49">
        <f>maint</f>
        <v/>
      </c>
      <c r="AB267" s="49">
        <f>VLOOKUP(B267,country_opex,7,FALSE)*ins_pct</f>
        <v/>
      </c>
      <c r="AC267" s="49">
        <f>charge_berth</f>
        <v/>
      </c>
      <c r="AD267" s="49">
        <f>X267+Y267+Z267+AA267+AB267+AC267</f>
        <v/>
      </c>
      <c r="AE267" s="49">
        <f>VLOOKUP(B267,country_opex,7,FALSE)/dep_years</f>
        <v/>
      </c>
      <c r="AF267" s="49">
        <f>W267-AD267</f>
        <v/>
      </c>
      <c r="AG267" s="46">
        <f>IF(W267=0,"",AF267/W267)</f>
        <v/>
      </c>
      <c r="AH267" s="47">
        <f>IF(AF267&lt;=0,"",VLOOKUP(B267,country_opex,7,FALSE)/AF267)</f>
        <v/>
      </c>
      <c r="AI267" s="44">
        <f>((G267*R267/diesel_nmpg)*diesel_co2pg-(battery/range_nm)*G267*R267*VLOOKUP(B267,country_opex,4,FALSE))/1000</f>
        <v/>
      </c>
      <c r="AJ267" s="42" t="n">
        <v>7000</v>
      </c>
      <c r="AK267" s="43" t="inlineStr">
        <is>
          <t>T5</t>
        </is>
      </c>
      <c r="AL267" s="43" t="inlineStr">
        <is>
          <t>low-med</t>
        </is>
      </c>
      <c r="AM267" s="50" t="n">
        <v>0.9</v>
      </c>
      <c r="AN267" s="45">
        <f>IF(AJ267="","",AJ267*AM267)</f>
        <v/>
      </c>
      <c r="AO267" s="45">
        <f>IF(OR(AJ267="",U267=0),"",MIN(IF(AV267="",9.9E+99,AV267),FLOOR(AN267/U267,1)))</f>
        <v/>
      </c>
      <c r="AP267" s="49">
        <f>IF(AO267="","",AO267*W267)</f>
        <v/>
      </c>
      <c r="AQ267" s="47">
        <f>IF(OR(AJ267="",U267=0),"",MIN(IF(AV267="",9.9E+99,AV267),AN267/U267))</f>
        <v/>
      </c>
      <c r="AR267" s="49">
        <f>IF(AQ267="","",AQ267*W267)</f>
        <v/>
      </c>
      <c r="AS267" s="51" t="n"/>
      <c r="AT267" s="52" t="n"/>
      <c r="AU267" s="52" t="n"/>
      <c r="AV267" s="53" t="n">
        <v>2</v>
      </c>
      <c r="AW267" s="54">
        <f>IF(((V267*pax_cap*load_thin*ROUND(N267*O267*revleg_thin,0))-(((battery/range_nm)*G267*ROUND(N267*O267*revleg_thin,0)*VLOOKUP(B267,country_opex,3,FALSE))+Y267+Z267+AA267+AB267+AC267))&lt;=0,"",VLOOKUP(B267,country_opex,7,FALSE)/((V267*pax_cap*load_thin*ROUND(N267*O267*revleg_thin,0))-(((battery/range_nm)*G267*ROUND(N267*O267*revleg_thin,0)*VLOOKUP(B267,country_opex,3,FALSE))+Y267+Z267+AA267+AB267+AC267)))</f>
        <v/>
      </c>
      <c r="AX267" s="54">
        <f>IF(((V267*pax_cap*load_mid*ROUND(N267*O267*revleg_mid,0))-(((battery/range_nm)*G267*ROUND(N267*O267*revleg_mid,0)*VLOOKUP(B267,country_opex,3,FALSE))+Y267+Z267+AA267+AB267+AC267))&lt;=0,"",VLOOKUP(B267,country_opex,7,FALSE)/((V267*pax_cap*load_mid*ROUND(N267*O267*revleg_mid,0))-(((battery/range_nm)*G267*ROUND(N267*O267*revleg_mid,0)*VLOOKUP(B267,country_opex,3,FALSE))+Y267+Z267+AA267+AB267+AC267)))</f>
        <v/>
      </c>
      <c r="AY267" s="54">
        <f>IF(((V267*pax_cap*load_full*ROUND(N267*O267*revleg_full,0))-(((battery/range_nm)*G267*ROUND(N267*O267*revleg_full,0)*VLOOKUP(B267,country_opex,3,FALSE))+Y267+Z267+AA267+AB267+AC267))&lt;=0,"",VLOOKUP(B267,country_opex,7,FALSE)/((V267*pax_cap*load_full*ROUND(N267*O267*revleg_full,0))-(((battery/range_nm)*G267*ROUND(N267*O267*revleg_full,0)*VLOOKUP(B267,country_opex,3,FALSE))+Y267+Z267+AA267+AB267+AC267)))</f>
        <v/>
      </c>
      <c r="AZ267" s="40" t="inlineStr">
        <is>
          <t>Mr &amp; Mrs Smith: Gili Lankanfushi shared return speedboat transfer US$302/person (excl tax) = $151/way. immaldives near-Male speedboat band $100-490 RT. Resort offers complimentary transfer on 4+ night book-direct stays (gili-lankanfushi.com) - underlying paid rate ~$150/way.</t>
        </is>
      </c>
      <c r="BA267" s="40" t="inlineStr">
        <is>
          <t>Modeled from resort key count. Gili Lankanfushi (North Malé): ~45 villas/keys (published resort/Virtuoso/booking figures). corridor_annual_oneway_pax = keys x 365 x occ(0.75) / avg_stay(7 nights) x guests/key(2) x 2 (arr+dep) ~= keys x 156. 45 keys -&gt; ~7,000 one-way pax/yr. Airport(MLE)&lt;-&gt;this resort is the sole transfer corridor (boat/seaplane only; no road/air alt - R3-EXCEPTION: arrivals = crossing ridership).</t>
        </is>
      </c>
    </row>
    <row r="268">
      <c r="A268" s="38" t="inlineStr">
        <is>
          <t>Maldives (JIH)</t>
        </is>
      </c>
      <c r="B268" s="38" t="inlineStr">
        <is>
          <t>Maldives</t>
        </is>
      </c>
      <c r="C268" s="39" t="inlineStr">
        <is>
          <t>Joali Maldives (Muravandhoo, Raa) → Joali Being (Bodufushi, Raa)</t>
        </is>
      </c>
      <c r="D268" s="38" t="inlineStr">
        <is>
          <t>jih-global</t>
        </is>
      </c>
      <c r="E268" s="40" t="inlineStr">
        <is>
          <t>maldives-jih</t>
        </is>
      </c>
      <c r="F268" s="41" t="n">
        <v>1</v>
      </c>
      <c r="G268" s="42" t="n">
        <v>6.5</v>
      </c>
      <c r="H268" s="35" t="n">
        <v>175</v>
      </c>
      <c r="I268" s="43" t="inlineStr">
        <is>
          <t>T3</t>
        </is>
      </c>
      <c r="J268" s="43" t="inlineStr">
        <is>
          <t>med</t>
        </is>
      </c>
      <c r="K268" s="29" t="n">
        <v>1</v>
      </c>
      <c r="L268" s="44">
        <f>60*G268/cruise_kt</f>
        <v/>
      </c>
      <c r="M268" s="44">
        <f>L268+turn_min+dwell_min</f>
        <v/>
      </c>
      <c r="N268" s="45">
        <f>MIN(10,FLOOR(60*service_hr/M268,1))</f>
        <v/>
      </c>
      <c r="O268" s="45">
        <f>ROUND(365*mech_uptime*K268,0)</f>
        <v/>
      </c>
      <c r="P268" s="46">
        <f>mech_uptime</f>
        <v/>
      </c>
      <c r="Q268" s="46">
        <f>revleg_sel</f>
        <v/>
      </c>
      <c r="R268" s="45">
        <f>ROUND(N268*O268*revleg_sel,0)</f>
        <v/>
      </c>
      <c r="S268" s="47">
        <f>load_sel</f>
        <v/>
      </c>
      <c r="T268" s="47">
        <f>pax_cap*S268</f>
        <v/>
      </c>
      <c r="U268" s="45">
        <f>T268*R268</f>
        <v/>
      </c>
      <c r="V268" s="48">
        <f>H268*discount</f>
        <v/>
      </c>
      <c r="W268" s="49">
        <f>V268*U268</f>
        <v/>
      </c>
      <c r="X268" s="49">
        <f>(battery/range_nm)*G268*R268*VLOOKUP(B268,country_opex,3,FALSE)</f>
        <v/>
      </c>
      <c r="Y268" s="49">
        <f>VLOOKUP(B268,country_opex,2,FALSE)*crew_factor</f>
        <v/>
      </c>
      <c r="Z268" s="49">
        <f>VLOOKUP(B268,country_opex,5,FALSE)</f>
        <v/>
      </c>
      <c r="AA268" s="49">
        <f>maint</f>
        <v/>
      </c>
      <c r="AB268" s="49">
        <f>VLOOKUP(B268,country_opex,7,FALSE)*ins_pct</f>
        <v/>
      </c>
      <c r="AC268" s="49">
        <f>charge_berth</f>
        <v/>
      </c>
      <c r="AD268" s="49">
        <f>X268+Y268+Z268+AA268+AB268+AC268</f>
        <v/>
      </c>
      <c r="AE268" s="49">
        <f>VLOOKUP(B268,country_opex,7,FALSE)/dep_years</f>
        <v/>
      </c>
      <c r="AF268" s="49">
        <f>W268-AD268</f>
        <v/>
      </c>
      <c r="AG268" s="46">
        <f>IF(W268=0,"",AF268/W268)</f>
        <v/>
      </c>
      <c r="AH268" s="47">
        <f>IF(AF268&lt;=0,"",VLOOKUP(B268,country_opex,7,FALSE)/AF268)</f>
        <v/>
      </c>
      <c r="AI268" s="44">
        <f>((G268*R268/diesel_nmpg)*diesel_co2pg-(battery/range_nm)*G268*R268*VLOOKUP(B268,country_opex,4,FALSE))/1000</f>
        <v/>
      </c>
      <c r="AJ268" s="42" t="n"/>
      <c r="AK268" s="43" t="n"/>
      <c r="AL268" s="43" t="inlineStr">
        <is>
          <t>null</t>
        </is>
      </c>
      <c r="AM268" s="50" t="n">
        <v>0.9</v>
      </c>
      <c r="AN268" s="45">
        <f>IF(AJ268="","",AJ268*AM268)</f>
        <v/>
      </c>
      <c r="AO268" s="45">
        <f>IF(OR(AJ268="",U268=0),"",MIN(IF(AV268="",9.9E+99,AV268),FLOOR(AN268/U268,1)))</f>
        <v/>
      </c>
      <c r="AP268" s="49">
        <f>IF(AO268="","",AO268*W268)</f>
        <v/>
      </c>
      <c r="AQ268" s="47">
        <f>IF(OR(AJ268="",U268=0),"",MIN(IF(AV268="",9.9E+99,AV268),AN268/U268))</f>
        <v/>
      </c>
      <c r="AR268" s="49">
        <f>IF(AQ268="","",AQ268*W268)</f>
        <v/>
      </c>
      <c r="AS268" s="51" t="n"/>
      <c r="AT268" s="52" t="n"/>
      <c r="AU268" s="52" t="n"/>
      <c r="AV268" s="53" t="n"/>
      <c r="AW268" s="54">
        <f>IF(((V268*pax_cap*load_thin*ROUND(N268*O268*revleg_thin,0))-(((battery/range_nm)*G268*ROUND(N268*O268*revleg_thin,0)*VLOOKUP(B268,country_opex,3,FALSE))+Y268+Z268+AA268+AB268+AC268))&lt;=0,"",VLOOKUP(B268,country_opex,7,FALSE)/((V268*pax_cap*load_thin*ROUND(N268*O268*revleg_thin,0))-(((battery/range_nm)*G268*ROUND(N268*O268*revleg_thin,0)*VLOOKUP(B268,country_opex,3,FALSE))+Y268+Z268+AA268+AB268+AC268)))</f>
        <v/>
      </c>
      <c r="AX268" s="54">
        <f>IF(((V268*pax_cap*load_mid*ROUND(N268*O268*revleg_mid,0))-(((battery/range_nm)*G268*ROUND(N268*O268*revleg_mid,0)*VLOOKUP(B268,country_opex,3,FALSE))+Y268+Z268+AA268+AB268+AC268))&lt;=0,"",VLOOKUP(B268,country_opex,7,FALSE)/((V268*pax_cap*load_mid*ROUND(N268*O268*revleg_mid,0))-(((battery/range_nm)*G268*ROUND(N268*O268*revleg_mid,0)*VLOOKUP(B268,country_opex,3,FALSE))+Y268+Z268+AA268+AB268+AC268)))</f>
        <v/>
      </c>
      <c r="AY268" s="54">
        <f>IF(((V268*pax_cap*load_full*ROUND(N268*O268*revleg_full,0))-(((battery/range_nm)*G268*ROUND(N268*O268*revleg_full,0)*VLOOKUP(B268,country_opex,3,FALSE))+Y268+Z268+AA268+AB268+AC268))&lt;=0,"",VLOOKUP(B268,country_opex,7,FALSE)/((V268*pax_cap*load_full*ROUND(N268*O268*revleg_full,0))-(((battery/range_nm)*G268*ROUND(N268*O268*revleg_full,0)*VLOOKUP(B268,country_opex,3,FALSE))+Y268+Z268+AA268+AB268+AC268)))</f>
        <v/>
      </c>
      <c r="AZ268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68" s="40" t="inlineStr">
        <is>
          <t>NULL — pure inter-resort island-hop; no grounded crossing pool (R2). Geometry only.</t>
        </is>
      </c>
    </row>
    <row r="269">
      <c r="A269" s="38" t="inlineStr">
        <is>
          <t>Maldives (JIH)</t>
        </is>
      </c>
      <c r="B269" s="38" t="inlineStr">
        <is>
          <t>Maldives</t>
        </is>
      </c>
      <c r="C269" s="39" t="inlineStr">
        <is>
          <t>Maafaru Airport, Noonu → Soneva Jani (Medhufaru, Noonu)</t>
        </is>
      </c>
      <c r="D269" s="38" t="inlineStr">
        <is>
          <t>jih-global</t>
        </is>
      </c>
      <c r="E269" s="40" t="inlineStr">
        <is>
          <t>maldives-jih</t>
        </is>
      </c>
      <c r="F269" s="41" t="n">
        <v>1</v>
      </c>
      <c r="G269" s="42" t="n">
        <v>7.6</v>
      </c>
      <c r="H269" s="35" t="n">
        <v>200</v>
      </c>
      <c r="I269" s="43" t="inlineStr">
        <is>
          <t>T3</t>
        </is>
      </c>
      <c r="J269" s="43" t="inlineStr">
        <is>
          <t>med</t>
        </is>
      </c>
      <c r="K269" s="29" t="n">
        <v>1</v>
      </c>
      <c r="L269" s="44">
        <f>60*G269/cruise_kt</f>
        <v/>
      </c>
      <c r="M269" s="44">
        <f>L269+turn_min+dwell_min</f>
        <v/>
      </c>
      <c r="N269" s="45">
        <f>MIN(10,FLOOR(60*service_hr/M269,1))</f>
        <v/>
      </c>
      <c r="O269" s="45">
        <f>ROUND(365*mech_uptime*K269,0)</f>
        <v/>
      </c>
      <c r="P269" s="46">
        <f>mech_uptime</f>
        <v/>
      </c>
      <c r="Q269" s="46">
        <f>revleg_sel</f>
        <v/>
      </c>
      <c r="R269" s="45">
        <f>ROUND(N269*O269*revleg_sel,0)</f>
        <v/>
      </c>
      <c r="S269" s="47">
        <f>load_sel</f>
        <v/>
      </c>
      <c r="T269" s="47">
        <f>pax_cap*S269</f>
        <v/>
      </c>
      <c r="U269" s="45">
        <f>T269*R269</f>
        <v/>
      </c>
      <c r="V269" s="48">
        <f>H269*discount</f>
        <v/>
      </c>
      <c r="W269" s="49">
        <f>V269*U269</f>
        <v/>
      </c>
      <c r="X269" s="49">
        <f>(battery/range_nm)*G269*R269*VLOOKUP(B269,country_opex,3,FALSE)</f>
        <v/>
      </c>
      <c r="Y269" s="49">
        <f>VLOOKUP(B269,country_opex,2,FALSE)*crew_factor</f>
        <v/>
      </c>
      <c r="Z269" s="49">
        <f>VLOOKUP(B269,country_opex,5,FALSE)</f>
        <v/>
      </c>
      <c r="AA269" s="49">
        <f>maint</f>
        <v/>
      </c>
      <c r="AB269" s="49">
        <f>VLOOKUP(B269,country_opex,7,FALSE)*ins_pct</f>
        <v/>
      </c>
      <c r="AC269" s="49">
        <f>charge_berth</f>
        <v/>
      </c>
      <c r="AD269" s="49">
        <f>X269+Y269+Z269+AA269+AB269+AC269</f>
        <v/>
      </c>
      <c r="AE269" s="49">
        <f>VLOOKUP(B269,country_opex,7,FALSE)/dep_years</f>
        <v/>
      </c>
      <c r="AF269" s="49">
        <f>W269-AD269</f>
        <v/>
      </c>
      <c r="AG269" s="46">
        <f>IF(W269=0,"",AF269/W269)</f>
        <v/>
      </c>
      <c r="AH269" s="47">
        <f>IF(AF269&lt;=0,"",VLOOKUP(B269,country_opex,7,FALSE)/AF269)</f>
        <v/>
      </c>
      <c r="AI269" s="44">
        <f>((G269*R269/diesel_nmpg)*diesel_co2pg-(battery/range_nm)*G269*R269*VLOOKUP(B269,country_opex,4,FALSE))/1000</f>
        <v/>
      </c>
      <c r="AJ269" s="42" t="n">
        <v>3884</v>
      </c>
      <c r="AK269" s="43" t="inlineStr">
        <is>
          <t>T5</t>
        </is>
      </c>
      <c r="AL269" s="43" t="inlineStr">
        <is>
          <t>med</t>
        </is>
      </c>
      <c r="AM269" s="50" t="n">
        <v>0.9</v>
      </c>
      <c r="AN269" s="45">
        <f>IF(AJ269="","",AJ269*AM269)</f>
        <v/>
      </c>
      <c r="AO269" s="45">
        <f>IF(OR(AJ269="",U269=0),"",MIN(IF(AV269="",9.9E+99,AV269),FLOOR(AN269/U269,1)))</f>
        <v/>
      </c>
      <c r="AP269" s="49">
        <f>IF(AO269="","",AO269*W269)</f>
        <v/>
      </c>
      <c r="AQ269" s="47">
        <f>IF(OR(AJ269="",U269=0),"",MIN(IF(AV269="",9.9E+99,AV269),AN269/U269))</f>
        <v/>
      </c>
      <c r="AR269" s="49">
        <f>IF(AQ269="","",AQ269*W269)</f>
        <v/>
      </c>
      <c r="AS269" s="51" t="n"/>
      <c r="AT269" s="52" t="n"/>
      <c r="AU269" s="52" t="n"/>
      <c r="AV269" s="53" t="n">
        <v>3</v>
      </c>
      <c r="AW269" s="54">
        <f>IF(((V269*pax_cap*load_thin*ROUND(N269*O269*revleg_thin,0))-(((battery/range_nm)*G269*ROUND(N269*O269*revleg_thin,0)*VLOOKUP(B269,country_opex,3,FALSE))+Y269+Z269+AA269+AB269+AC269))&lt;=0,"",VLOOKUP(B269,country_opex,7,FALSE)/((V269*pax_cap*load_thin*ROUND(N269*O269*revleg_thin,0))-(((battery/range_nm)*G269*ROUND(N269*O269*revleg_thin,0)*VLOOKUP(B269,country_opex,3,FALSE))+Y269+Z269+AA269+AB269+AC269)))</f>
        <v/>
      </c>
      <c r="AX269" s="54">
        <f>IF(((V269*pax_cap*load_mid*ROUND(N269*O269*revleg_mid,0))-(((battery/range_nm)*G269*ROUND(N269*O269*revleg_mid,0)*VLOOKUP(B269,country_opex,3,FALSE))+Y269+Z269+AA269+AB269+AC269))&lt;=0,"",VLOOKUP(B269,country_opex,7,FALSE)/((V269*pax_cap*load_mid*ROUND(N269*O269*revleg_mid,0))-(((battery/range_nm)*G269*ROUND(N269*O269*revleg_mid,0)*VLOOKUP(B269,country_opex,3,FALSE))+Y269+Z269+AA269+AB269+AC269)))</f>
        <v/>
      </c>
      <c r="AY269" s="54">
        <f>IF(((V269*pax_cap*load_full*ROUND(N269*O269*revleg_full,0))-(((battery/range_nm)*G269*ROUND(N269*O269*revleg_full,0)*VLOOKUP(B269,country_opex,3,FALSE))+Y269+Z269+AA269+AB269+AC269))&lt;=0,"",VLOOKUP(B269,country_opex,7,FALSE)/((V269*pax_cap*load_full*ROUND(N269*O269*revleg_full,0))-(((battery/range_nm)*G269*ROUND(N269*O269*revleg_full,0)*VLOOKUP(B269,country_opex,3,FALSE))+Y269+Z269+AA269+AB269+AC269)))</f>
        <v/>
      </c>
      <c r="AZ269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69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70">
      <c r="A270" s="38" t="inlineStr">
        <is>
          <t>Maldives (JIH)</t>
        </is>
      </c>
      <c r="B270" s="38" t="inlineStr">
        <is>
          <t>Maldives</t>
        </is>
      </c>
      <c r="C270" s="39" t="inlineStr">
        <is>
          <t>Kooddoo Airport, Gaafu Alif → Pullman Maldives Maamutaa (Gaafu)</t>
        </is>
      </c>
      <c r="D270" s="38" t="inlineStr">
        <is>
          <t>jih-global</t>
        </is>
      </c>
      <c r="E270" s="40" t="inlineStr">
        <is>
          <t>maldives-jih</t>
        </is>
      </c>
      <c r="F270" s="41" t="n">
        <v>1</v>
      </c>
      <c r="G270" s="42" t="n">
        <v>7.7</v>
      </c>
      <c r="H270" s="35" t="n">
        <v>150</v>
      </c>
      <c r="I270" s="43" t="inlineStr">
        <is>
          <t>T3</t>
        </is>
      </c>
      <c r="J270" s="43" t="inlineStr">
        <is>
          <t>med</t>
        </is>
      </c>
      <c r="K270" s="29" t="n">
        <v>1</v>
      </c>
      <c r="L270" s="44">
        <f>60*G270/cruise_kt</f>
        <v/>
      </c>
      <c r="M270" s="44">
        <f>L270+turn_min+dwell_min</f>
        <v/>
      </c>
      <c r="N270" s="45">
        <f>MIN(10,FLOOR(60*service_hr/M270,1))</f>
        <v/>
      </c>
      <c r="O270" s="45">
        <f>ROUND(365*mech_uptime*K270,0)</f>
        <v/>
      </c>
      <c r="P270" s="46">
        <f>mech_uptime</f>
        <v/>
      </c>
      <c r="Q270" s="46">
        <f>revleg_sel</f>
        <v/>
      </c>
      <c r="R270" s="45">
        <f>ROUND(N270*O270*revleg_sel,0)</f>
        <v/>
      </c>
      <c r="S270" s="47">
        <f>load_sel</f>
        <v/>
      </c>
      <c r="T270" s="47">
        <f>pax_cap*S270</f>
        <v/>
      </c>
      <c r="U270" s="45">
        <f>T270*R270</f>
        <v/>
      </c>
      <c r="V270" s="48">
        <f>H270*discount</f>
        <v/>
      </c>
      <c r="W270" s="49">
        <f>V270*U270</f>
        <v/>
      </c>
      <c r="X270" s="49">
        <f>(battery/range_nm)*G270*R270*VLOOKUP(B270,country_opex,3,FALSE)</f>
        <v/>
      </c>
      <c r="Y270" s="49">
        <f>VLOOKUP(B270,country_opex,2,FALSE)*crew_factor</f>
        <v/>
      </c>
      <c r="Z270" s="49">
        <f>VLOOKUP(B270,country_opex,5,FALSE)</f>
        <v/>
      </c>
      <c r="AA270" s="49">
        <f>maint</f>
        <v/>
      </c>
      <c r="AB270" s="49">
        <f>VLOOKUP(B270,country_opex,7,FALSE)*ins_pct</f>
        <v/>
      </c>
      <c r="AC270" s="49">
        <f>charge_berth</f>
        <v/>
      </c>
      <c r="AD270" s="49">
        <f>X270+Y270+Z270+AA270+AB270+AC270</f>
        <v/>
      </c>
      <c r="AE270" s="49">
        <f>VLOOKUP(B270,country_opex,7,FALSE)/dep_years</f>
        <v/>
      </c>
      <c r="AF270" s="49">
        <f>W270-AD270</f>
        <v/>
      </c>
      <c r="AG270" s="46">
        <f>IF(W270=0,"",AF270/W270)</f>
        <v/>
      </c>
      <c r="AH270" s="47">
        <f>IF(AF270&lt;=0,"",VLOOKUP(B270,country_opex,7,FALSE)/AF270)</f>
        <v/>
      </c>
      <c r="AI270" s="44">
        <f>((G270*R270/diesel_nmpg)*diesel_co2pg-(battery/range_nm)*G270*R270*VLOOKUP(B270,country_opex,4,FALSE))/1000</f>
        <v/>
      </c>
      <c r="AJ270" s="42" t="n">
        <v>9112</v>
      </c>
      <c r="AK270" s="43" t="inlineStr">
        <is>
          <t>T5</t>
        </is>
      </c>
      <c r="AL270" s="43" t="inlineStr">
        <is>
          <t>med</t>
        </is>
      </c>
      <c r="AM270" s="50" t="n">
        <v>0.9</v>
      </c>
      <c r="AN270" s="45">
        <f>IF(AJ270="","",AJ270*AM270)</f>
        <v/>
      </c>
      <c r="AO270" s="45">
        <f>IF(OR(AJ270="",U270=0),"",MIN(IF(AV270="",9.9E+99,AV270),FLOOR(AN270/U270,1)))</f>
        <v/>
      </c>
      <c r="AP270" s="49">
        <f>IF(AO270="","",AO270*W270)</f>
        <v/>
      </c>
      <c r="AQ270" s="47">
        <f>IF(OR(AJ270="",U270=0),"",MIN(IF(AV270="",9.9E+99,AV270),AN270/U270))</f>
        <v/>
      </c>
      <c r="AR270" s="49">
        <f>IF(AQ270="","",AQ270*W270)</f>
        <v/>
      </c>
      <c r="AS270" s="51" t="n"/>
      <c r="AT270" s="52" t="n"/>
      <c r="AU270" s="52" t="n"/>
      <c r="AV270" s="53" t="n">
        <v>5</v>
      </c>
      <c r="AW270" s="54">
        <f>IF(((V270*pax_cap*load_thin*ROUND(N270*O270*revleg_thin,0))-(((battery/range_nm)*G270*ROUND(N270*O270*revleg_thin,0)*VLOOKUP(B270,country_opex,3,FALSE))+Y270+Z270+AA270+AB270+AC270))&lt;=0,"",VLOOKUP(B270,country_opex,7,FALSE)/((V270*pax_cap*load_thin*ROUND(N270*O270*revleg_thin,0))-(((battery/range_nm)*G270*ROUND(N270*O270*revleg_thin,0)*VLOOKUP(B270,country_opex,3,FALSE))+Y270+Z270+AA270+AB270+AC270)))</f>
        <v/>
      </c>
      <c r="AX270" s="54">
        <f>IF(((V270*pax_cap*load_mid*ROUND(N270*O270*revleg_mid,0))-(((battery/range_nm)*G270*ROUND(N270*O270*revleg_mid,0)*VLOOKUP(B270,country_opex,3,FALSE))+Y270+Z270+AA270+AB270+AC270))&lt;=0,"",VLOOKUP(B270,country_opex,7,FALSE)/((V270*pax_cap*load_mid*ROUND(N270*O270*revleg_mid,0))-(((battery/range_nm)*G270*ROUND(N270*O270*revleg_mid,0)*VLOOKUP(B270,country_opex,3,FALSE))+Y270+Z270+AA270+AB270+AC270)))</f>
        <v/>
      </c>
      <c r="AY270" s="54">
        <f>IF(((V270*pax_cap*load_full*ROUND(N270*O270*revleg_full,0))-(((battery/range_nm)*G270*ROUND(N270*O270*revleg_full,0)*VLOOKUP(B270,country_opex,3,FALSE))+Y270+Z270+AA270+AB270+AC270))&lt;=0,"",VLOOKUP(B270,country_opex,7,FALSE)/((V270*pax_cap*load_full*ROUND(N270*O270*revleg_full,0))-(((battery/range_nm)*G270*ROUND(N270*O270*revleg_full,0)*VLOOKUP(B270,country_opex,3,FALSE))+Y270+Z270+AA270+AB270+AC270)))</f>
        <v/>
      </c>
      <c r="AZ270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70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71">
      <c r="A271" s="38" t="inlineStr">
        <is>
          <t>Maldives (JIH)</t>
        </is>
      </c>
      <c r="B271" s="38" t="inlineStr">
        <is>
          <t>Maldives</t>
        </is>
      </c>
      <c r="C271" s="39" t="inlineStr">
        <is>
          <t>Kadhdhoo Airport, Laamu → Six Senses Laamu</t>
        </is>
      </c>
      <c r="D271" s="38" t="inlineStr">
        <is>
          <t>jih-global</t>
        </is>
      </c>
      <c r="E271" s="40" t="inlineStr">
        <is>
          <t>maldives-jih</t>
        </is>
      </c>
      <c r="F271" s="41" t="n">
        <v>1</v>
      </c>
      <c r="G271" s="42" t="n">
        <v>7.8</v>
      </c>
      <c r="H271" s="35" t="n">
        <v>150</v>
      </c>
      <c r="I271" s="43" t="inlineStr">
        <is>
          <t>T3</t>
        </is>
      </c>
      <c r="J271" s="43" t="inlineStr">
        <is>
          <t>med</t>
        </is>
      </c>
      <c r="K271" s="29" t="n">
        <v>1</v>
      </c>
      <c r="L271" s="44">
        <f>60*G271/cruise_kt</f>
        <v/>
      </c>
      <c r="M271" s="44">
        <f>L271+turn_min+dwell_min</f>
        <v/>
      </c>
      <c r="N271" s="45">
        <f>MIN(10,FLOOR(60*service_hr/M271,1))</f>
        <v/>
      </c>
      <c r="O271" s="45">
        <f>ROUND(365*mech_uptime*K271,0)</f>
        <v/>
      </c>
      <c r="P271" s="46">
        <f>mech_uptime</f>
        <v/>
      </c>
      <c r="Q271" s="46">
        <f>revleg_sel</f>
        <v/>
      </c>
      <c r="R271" s="45">
        <f>ROUND(N271*O271*revleg_sel,0)</f>
        <v/>
      </c>
      <c r="S271" s="47">
        <f>load_sel</f>
        <v/>
      </c>
      <c r="T271" s="47">
        <f>pax_cap*S271</f>
        <v/>
      </c>
      <c r="U271" s="45">
        <f>T271*R271</f>
        <v/>
      </c>
      <c r="V271" s="48">
        <f>H271*discount</f>
        <v/>
      </c>
      <c r="W271" s="49">
        <f>V271*U271</f>
        <v/>
      </c>
      <c r="X271" s="49">
        <f>(battery/range_nm)*G271*R271*VLOOKUP(B271,country_opex,3,FALSE)</f>
        <v/>
      </c>
      <c r="Y271" s="49">
        <f>VLOOKUP(B271,country_opex,2,FALSE)*crew_factor</f>
        <v/>
      </c>
      <c r="Z271" s="49">
        <f>VLOOKUP(B271,country_opex,5,FALSE)</f>
        <v/>
      </c>
      <c r="AA271" s="49">
        <f>maint</f>
        <v/>
      </c>
      <c r="AB271" s="49">
        <f>VLOOKUP(B271,country_opex,7,FALSE)*ins_pct</f>
        <v/>
      </c>
      <c r="AC271" s="49">
        <f>charge_berth</f>
        <v/>
      </c>
      <c r="AD271" s="49">
        <f>X271+Y271+Z271+AA271+AB271+AC271</f>
        <v/>
      </c>
      <c r="AE271" s="49">
        <f>VLOOKUP(B271,country_opex,7,FALSE)/dep_years</f>
        <v/>
      </c>
      <c r="AF271" s="49">
        <f>W271-AD271</f>
        <v/>
      </c>
      <c r="AG271" s="46">
        <f>IF(W271=0,"",AF271/W271)</f>
        <v/>
      </c>
      <c r="AH271" s="47">
        <f>IF(AF271&lt;=0,"",VLOOKUP(B271,country_opex,7,FALSE)/AF271)</f>
        <v/>
      </c>
      <c r="AI271" s="44">
        <f>((G271*R271/diesel_nmpg)*diesel_co2pg-(battery/range_nm)*G271*R271*VLOOKUP(B271,country_opex,4,FALSE))/1000</f>
        <v/>
      </c>
      <c r="AJ271" s="42" t="n">
        <v>7244</v>
      </c>
      <c r="AK271" s="43" t="inlineStr">
        <is>
          <t>T5</t>
        </is>
      </c>
      <c r="AL271" s="43" t="inlineStr">
        <is>
          <t>med</t>
        </is>
      </c>
      <c r="AM271" s="50" t="n">
        <v>0.9</v>
      </c>
      <c r="AN271" s="45">
        <f>IF(AJ271="","",AJ271*AM271)</f>
        <v/>
      </c>
      <c r="AO271" s="45">
        <f>IF(OR(AJ271="",U271=0),"",MIN(IF(AV271="",9.9E+99,AV271),FLOOR(AN271/U271,1)))</f>
        <v/>
      </c>
      <c r="AP271" s="49">
        <f>IF(AO271="","",AO271*W271)</f>
        <v/>
      </c>
      <c r="AQ271" s="47">
        <f>IF(OR(AJ271="",U271=0),"",MIN(IF(AV271="",9.9E+99,AV271),AN271/U271))</f>
        <v/>
      </c>
      <c r="AR271" s="49">
        <f>IF(AQ271="","",AQ271*W271)</f>
        <v/>
      </c>
      <c r="AS271" s="51" t="n"/>
      <c r="AT271" s="52" t="n"/>
      <c r="AU271" s="52" t="n"/>
      <c r="AV271" s="53" t="n">
        <v>4</v>
      </c>
      <c r="AW271" s="54">
        <f>IF(((V271*pax_cap*load_thin*ROUND(N271*O271*revleg_thin,0))-(((battery/range_nm)*G271*ROUND(N271*O271*revleg_thin,0)*VLOOKUP(B271,country_opex,3,FALSE))+Y271+Z271+AA271+AB271+AC271))&lt;=0,"",VLOOKUP(B271,country_opex,7,FALSE)/((V271*pax_cap*load_thin*ROUND(N271*O271*revleg_thin,0))-(((battery/range_nm)*G271*ROUND(N271*O271*revleg_thin,0)*VLOOKUP(B271,country_opex,3,FALSE))+Y271+Z271+AA271+AB271+AC271)))</f>
        <v/>
      </c>
      <c r="AX271" s="54">
        <f>IF(((V271*pax_cap*load_mid*ROUND(N271*O271*revleg_mid,0))-(((battery/range_nm)*G271*ROUND(N271*O271*revleg_mid,0)*VLOOKUP(B271,country_opex,3,FALSE))+Y271+Z271+AA271+AB271+AC271))&lt;=0,"",VLOOKUP(B271,country_opex,7,FALSE)/((V271*pax_cap*load_mid*ROUND(N271*O271*revleg_mid,0))-(((battery/range_nm)*G271*ROUND(N271*O271*revleg_mid,0)*VLOOKUP(B271,country_opex,3,FALSE))+Y271+Z271+AA271+AB271+AC271)))</f>
        <v/>
      </c>
      <c r="AY271" s="54">
        <f>IF(((V271*pax_cap*load_full*ROUND(N271*O271*revleg_full,0))-(((battery/range_nm)*G271*ROUND(N271*O271*revleg_full,0)*VLOOKUP(B271,country_opex,3,FALSE))+Y271+Z271+AA271+AB271+AC271))&lt;=0,"",VLOOKUP(B271,country_opex,7,FALSE)/((V271*pax_cap*load_full*ROUND(N271*O271*revleg_full,0))-(((battery/range_nm)*G271*ROUND(N271*O271*revleg_full,0)*VLOOKUP(B271,country_opex,3,FALSE))+Y271+Z271+AA271+AB271+AC271)))</f>
        <v/>
      </c>
      <c r="AZ271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71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72">
      <c r="A272" s="38" t="inlineStr">
        <is>
          <t>Maldives (JIH)</t>
        </is>
      </c>
      <c r="B272" s="38" t="inlineStr">
        <is>
          <t>Maldives</t>
        </is>
      </c>
      <c r="C272" s="39" t="inlineStr">
        <is>
          <t>Velana International Airport (MLE) Resort Speedboat Lounges → Baros Maldives (North Malé)</t>
        </is>
      </c>
      <c r="D272" s="38" t="inlineStr">
        <is>
          <t>jih-global</t>
        </is>
      </c>
      <c r="E272" s="40" t="inlineStr">
        <is>
          <t>maldives-jih</t>
        </is>
      </c>
      <c r="F272" s="41" t="n">
        <v>1</v>
      </c>
      <c r="G272" s="42" t="n">
        <v>8.300000000000001</v>
      </c>
      <c r="H272" s="35" t="n">
        <v>120</v>
      </c>
      <c r="I272" s="43" t="inlineStr">
        <is>
          <t>T3</t>
        </is>
      </c>
      <c r="J272" s="43" t="inlineStr">
        <is>
          <t>med</t>
        </is>
      </c>
      <c r="K272" s="29" t="n">
        <v>1</v>
      </c>
      <c r="L272" s="44">
        <f>60*G272/cruise_kt</f>
        <v/>
      </c>
      <c r="M272" s="44">
        <f>L272+turn_min+dwell_min</f>
        <v/>
      </c>
      <c r="N272" s="45">
        <f>MIN(10,FLOOR(60*service_hr/M272,1))</f>
        <v/>
      </c>
      <c r="O272" s="45">
        <f>ROUND(365*mech_uptime*K272,0)</f>
        <v/>
      </c>
      <c r="P272" s="46">
        <f>mech_uptime</f>
        <v/>
      </c>
      <c r="Q272" s="46">
        <f>revleg_sel</f>
        <v/>
      </c>
      <c r="R272" s="45">
        <f>ROUND(N272*O272*revleg_sel,0)</f>
        <v/>
      </c>
      <c r="S272" s="47">
        <f>load_sel</f>
        <v/>
      </c>
      <c r="T272" s="47">
        <f>pax_cap*S272</f>
        <v/>
      </c>
      <c r="U272" s="45">
        <f>T272*R272</f>
        <v/>
      </c>
      <c r="V272" s="48">
        <f>H272*discount</f>
        <v/>
      </c>
      <c r="W272" s="49">
        <f>V272*U272</f>
        <v/>
      </c>
      <c r="X272" s="49">
        <f>(battery/range_nm)*G272*R272*VLOOKUP(B272,country_opex,3,FALSE)</f>
        <v/>
      </c>
      <c r="Y272" s="49">
        <f>VLOOKUP(B272,country_opex,2,FALSE)*crew_factor</f>
        <v/>
      </c>
      <c r="Z272" s="49">
        <f>VLOOKUP(B272,country_opex,5,FALSE)</f>
        <v/>
      </c>
      <c r="AA272" s="49">
        <f>maint</f>
        <v/>
      </c>
      <c r="AB272" s="49">
        <f>VLOOKUP(B272,country_opex,7,FALSE)*ins_pct</f>
        <v/>
      </c>
      <c r="AC272" s="49">
        <f>charge_berth</f>
        <v/>
      </c>
      <c r="AD272" s="49">
        <f>X272+Y272+Z272+AA272+AB272+AC272</f>
        <v/>
      </c>
      <c r="AE272" s="49">
        <f>VLOOKUP(B272,country_opex,7,FALSE)/dep_years</f>
        <v/>
      </c>
      <c r="AF272" s="49">
        <f>W272-AD272</f>
        <v/>
      </c>
      <c r="AG272" s="46">
        <f>IF(W272=0,"",AF272/W272)</f>
        <v/>
      </c>
      <c r="AH272" s="47">
        <f>IF(AF272&lt;=0,"",VLOOKUP(B272,country_opex,7,FALSE)/AF272)</f>
        <v/>
      </c>
      <c r="AI272" s="44">
        <f>((G272*R272/diesel_nmpg)*diesel_co2pg-(battery/range_nm)*G272*R272*VLOOKUP(B272,country_opex,4,FALSE))/1000</f>
        <v/>
      </c>
      <c r="AJ272" s="42" t="n">
        <v>11700</v>
      </c>
      <c r="AK272" s="43" t="inlineStr">
        <is>
          <t>T5</t>
        </is>
      </c>
      <c r="AL272" s="43" t="inlineStr">
        <is>
          <t>low-med</t>
        </is>
      </c>
      <c r="AM272" s="50" t="n">
        <v>0.9</v>
      </c>
      <c r="AN272" s="45">
        <f>IF(AJ272="","",AJ272*AM272)</f>
        <v/>
      </c>
      <c r="AO272" s="45">
        <f>IF(OR(AJ272="",U272=0),"",MIN(IF(AV272="",9.9E+99,AV272),FLOOR(AN272/U272,1)))</f>
        <v/>
      </c>
      <c r="AP272" s="49">
        <f>IF(AO272="","",AO272*W272)</f>
        <v/>
      </c>
      <c r="AQ272" s="47">
        <f>IF(OR(AJ272="",U272=0),"",MIN(IF(AV272="",9.9E+99,AV272),AN272/U272))</f>
        <v/>
      </c>
      <c r="AR272" s="49">
        <f>IF(AQ272="","",AQ272*W272)</f>
        <v/>
      </c>
      <c r="AS272" s="51" t="n"/>
      <c r="AT272" s="52" t="n"/>
      <c r="AU272" s="52" t="n"/>
      <c r="AV272" s="53" t="n">
        <v>3</v>
      </c>
      <c r="AW272" s="54">
        <f>IF(((V272*pax_cap*load_thin*ROUND(N272*O272*revleg_thin,0))-(((battery/range_nm)*G272*ROUND(N272*O272*revleg_thin,0)*VLOOKUP(B272,country_opex,3,FALSE))+Y272+Z272+AA272+AB272+AC272))&lt;=0,"",VLOOKUP(B272,country_opex,7,FALSE)/((V272*pax_cap*load_thin*ROUND(N272*O272*revleg_thin,0))-(((battery/range_nm)*G272*ROUND(N272*O272*revleg_thin,0)*VLOOKUP(B272,country_opex,3,FALSE))+Y272+Z272+AA272+AB272+AC272)))</f>
        <v/>
      </c>
      <c r="AX272" s="54">
        <f>IF(((V272*pax_cap*load_mid*ROUND(N272*O272*revleg_mid,0))-(((battery/range_nm)*G272*ROUND(N272*O272*revleg_mid,0)*VLOOKUP(B272,country_opex,3,FALSE))+Y272+Z272+AA272+AB272+AC272))&lt;=0,"",VLOOKUP(B272,country_opex,7,FALSE)/((V272*pax_cap*load_mid*ROUND(N272*O272*revleg_mid,0))-(((battery/range_nm)*G272*ROUND(N272*O272*revleg_mid,0)*VLOOKUP(B272,country_opex,3,FALSE))+Y272+Z272+AA272+AB272+AC272)))</f>
        <v/>
      </c>
      <c r="AY272" s="54">
        <f>IF(((V272*pax_cap*load_full*ROUND(N272*O272*revleg_full,0))-(((battery/range_nm)*G272*ROUND(N272*O272*revleg_full,0)*VLOOKUP(B272,country_opex,3,FALSE))+Y272+Z272+AA272+AB272+AC272))&lt;=0,"",VLOOKUP(B272,country_opex,7,FALSE)/((V272*pax_cap*load_full*ROUND(N272*O272*revleg_full,0))-(((battery/range_nm)*G272*ROUND(N272*O272*revleg_full,0)*VLOOKUP(B272,country_opex,3,FALSE))+Y272+Z272+AA272+AB272+AC272)))</f>
        <v/>
      </c>
      <c r="AZ272" s="40" t="inlineStr">
        <is>
          <t>tourbonjour live booking: Baros boat transfer per adult USD 232 round-trip = $116/way. immaldives.com 2026 table: Baros shared speedboat $180-260 RT = $90-130/way. baros.com publishes private rates on request. Premium per-seat ~$120/way.</t>
        </is>
      </c>
      <c r="BA272" s="40" t="inlineStr">
        <is>
          <t>Modeled from resort key count. Baros Maldives (North Malé): ~75 villas/keys (published resort/Virtuoso/booking figures). corridor_annual_oneway_pax = keys x 365 x occ(0.75) / avg_stay(7 nights) x guests/key(2) x 2 (arr+dep) ~= keys x 156. 75 keys -&gt; ~11,700 one-way pax/yr. Airport(MLE)&lt;-&gt;this resort is the sole transfer corridor (boat/seaplane only; no road/air alt - R3-EXCEPTION: arrivals = crossing ridership).</t>
        </is>
      </c>
    </row>
    <row r="273">
      <c r="A273" s="38" t="inlineStr">
        <is>
          <t>Maldives (JIH)</t>
        </is>
      </c>
      <c r="B273" s="38" t="inlineStr">
        <is>
          <t>Maldives</t>
        </is>
      </c>
      <c r="C273" s="39" t="inlineStr">
        <is>
          <t>Dharavandhoo Airport, Baa → Milaidhoo (Baa)</t>
        </is>
      </c>
      <c r="D273" s="38" t="inlineStr">
        <is>
          <t>jih-global</t>
        </is>
      </c>
      <c r="E273" s="40" t="inlineStr">
        <is>
          <t>maldives-jih</t>
        </is>
      </c>
      <c r="F273" s="41" t="n">
        <v>1</v>
      </c>
      <c r="G273" s="42" t="n">
        <v>8.4</v>
      </c>
      <c r="H273" s="35" t="n">
        <v>175</v>
      </c>
      <c r="I273" s="43" t="inlineStr">
        <is>
          <t>T3</t>
        </is>
      </c>
      <c r="J273" s="43" t="inlineStr">
        <is>
          <t>med</t>
        </is>
      </c>
      <c r="K273" s="29" t="n">
        <v>1</v>
      </c>
      <c r="L273" s="44">
        <f>60*G273/cruise_kt</f>
        <v/>
      </c>
      <c r="M273" s="44">
        <f>L273+turn_min+dwell_min</f>
        <v/>
      </c>
      <c r="N273" s="45">
        <f>MIN(10,FLOOR(60*service_hr/M273,1))</f>
        <v/>
      </c>
      <c r="O273" s="45">
        <f>ROUND(365*mech_uptime*K273,0)</f>
        <v/>
      </c>
      <c r="P273" s="46">
        <f>mech_uptime</f>
        <v/>
      </c>
      <c r="Q273" s="46">
        <f>revleg_sel</f>
        <v/>
      </c>
      <c r="R273" s="45">
        <f>ROUND(N273*O273*revleg_sel,0)</f>
        <v/>
      </c>
      <c r="S273" s="47">
        <f>load_sel</f>
        <v/>
      </c>
      <c r="T273" s="47">
        <f>pax_cap*S273</f>
        <v/>
      </c>
      <c r="U273" s="45">
        <f>T273*R273</f>
        <v/>
      </c>
      <c r="V273" s="48">
        <f>H273*discount</f>
        <v/>
      </c>
      <c r="W273" s="49">
        <f>V273*U273</f>
        <v/>
      </c>
      <c r="X273" s="49">
        <f>(battery/range_nm)*G273*R273*VLOOKUP(B273,country_opex,3,FALSE)</f>
        <v/>
      </c>
      <c r="Y273" s="49">
        <f>VLOOKUP(B273,country_opex,2,FALSE)*crew_factor</f>
        <v/>
      </c>
      <c r="Z273" s="49">
        <f>VLOOKUP(B273,country_opex,5,FALSE)</f>
        <v/>
      </c>
      <c r="AA273" s="49">
        <f>maint</f>
        <v/>
      </c>
      <c r="AB273" s="49">
        <f>VLOOKUP(B273,country_opex,7,FALSE)*ins_pct</f>
        <v/>
      </c>
      <c r="AC273" s="49">
        <f>charge_berth</f>
        <v/>
      </c>
      <c r="AD273" s="49">
        <f>X273+Y273+Z273+AA273+AB273+AC273</f>
        <v/>
      </c>
      <c r="AE273" s="49">
        <f>VLOOKUP(B273,country_opex,7,FALSE)/dep_years</f>
        <v/>
      </c>
      <c r="AF273" s="49">
        <f>W273-AD273</f>
        <v/>
      </c>
      <c r="AG273" s="46">
        <f>IF(W273=0,"",AF273/W273)</f>
        <v/>
      </c>
      <c r="AH273" s="47">
        <f>IF(AF273&lt;=0,"",VLOOKUP(B273,country_opex,7,FALSE)/AF273)</f>
        <v/>
      </c>
      <c r="AI273" s="44">
        <f>((G273*R273/diesel_nmpg)*diesel_co2pg-(battery/range_nm)*G273*R273*VLOOKUP(B273,country_opex,4,FALSE))/1000</f>
        <v/>
      </c>
      <c r="AJ273" s="42" t="n">
        <v>3734</v>
      </c>
      <c r="AK273" s="43" t="inlineStr">
        <is>
          <t>T5</t>
        </is>
      </c>
      <c r="AL273" s="43" t="inlineStr">
        <is>
          <t>med</t>
        </is>
      </c>
      <c r="AM273" s="50" t="n">
        <v>0.9</v>
      </c>
      <c r="AN273" s="45">
        <f>IF(AJ273="","",AJ273*AM273)</f>
        <v/>
      </c>
      <c r="AO273" s="45">
        <f>IF(OR(AJ273="",U273=0),"",MIN(IF(AV273="",9.9E+99,AV273),FLOOR(AN273/U273,1)))</f>
        <v/>
      </c>
      <c r="AP273" s="49">
        <f>IF(AO273="","",AO273*W273)</f>
        <v/>
      </c>
      <c r="AQ273" s="47">
        <f>IF(OR(AJ273="",U273=0),"",MIN(IF(AV273="",9.9E+99,AV273),AN273/U273))</f>
        <v/>
      </c>
      <c r="AR273" s="49">
        <f>IF(AQ273="","",AQ273*W273)</f>
        <v/>
      </c>
      <c r="AS273" s="51" t="n"/>
      <c r="AT273" s="52" t="n"/>
      <c r="AU273" s="52" t="n"/>
      <c r="AV273" s="53" t="n">
        <v>2</v>
      </c>
      <c r="AW273" s="54">
        <f>IF(((V273*pax_cap*load_thin*ROUND(N273*O273*revleg_thin,0))-(((battery/range_nm)*G273*ROUND(N273*O273*revleg_thin,0)*VLOOKUP(B273,country_opex,3,FALSE))+Y273+Z273+AA273+AB273+AC273))&lt;=0,"",VLOOKUP(B273,country_opex,7,FALSE)/((V273*pax_cap*load_thin*ROUND(N273*O273*revleg_thin,0))-(((battery/range_nm)*G273*ROUND(N273*O273*revleg_thin,0)*VLOOKUP(B273,country_opex,3,FALSE))+Y273+Z273+AA273+AB273+AC273)))</f>
        <v/>
      </c>
      <c r="AX273" s="54">
        <f>IF(((V273*pax_cap*load_mid*ROUND(N273*O273*revleg_mid,0))-(((battery/range_nm)*G273*ROUND(N273*O273*revleg_mid,0)*VLOOKUP(B273,country_opex,3,FALSE))+Y273+Z273+AA273+AB273+AC273))&lt;=0,"",VLOOKUP(B273,country_opex,7,FALSE)/((V273*pax_cap*load_mid*ROUND(N273*O273*revleg_mid,0))-(((battery/range_nm)*G273*ROUND(N273*O273*revleg_mid,0)*VLOOKUP(B273,country_opex,3,FALSE))+Y273+Z273+AA273+AB273+AC273)))</f>
        <v/>
      </c>
      <c r="AY273" s="54">
        <f>IF(((V273*pax_cap*load_full*ROUND(N273*O273*revleg_full,0))-(((battery/range_nm)*G273*ROUND(N273*O273*revleg_full,0)*VLOOKUP(B273,country_opex,3,FALSE))+Y273+Z273+AA273+AB273+AC273))&lt;=0,"",VLOOKUP(B273,country_opex,7,FALSE)/((V273*pax_cap*load_full*ROUND(N273*O273*revleg_full,0))-(((battery/range_nm)*G273*ROUND(N273*O273*revleg_full,0)*VLOOKUP(B273,country_opex,3,FALSE))+Y273+Z273+AA273+AB273+AC273)))</f>
        <v/>
      </c>
      <c r="AZ273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73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74">
      <c r="A274" s="38" t="inlineStr">
        <is>
          <t>Maldives (JIH)</t>
        </is>
      </c>
      <c r="B274" s="38" t="inlineStr">
        <is>
          <t>Maldives</t>
        </is>
      </c>
      <c r="C274" s="39" t="inlineStr">
        <is>
          <t>Ifuru Airport, Raa → Joali Maldives (Muravandhoo, Raa)</t>
        </is>
      </c>
      <c r="D274" s="38" t="inlineStr">
        <is>
          <t>jih-global</t>
        </is>
      </c>
      <c r="E274" s="40" t="inlineStr">
        <is>
          <t>maldives-jih</t>
        </is>
      </c>
      <c r="F274" s="41" t="n">
        <v>1</v>
      </c>
      <c r="G274" s="42" t="n">
        <v>8.699999999999999</v>
      </c>
      <c r="H274" s="35" t="n">
        <v>200</v>
      </c>
      <c r="I274" s="43" t="inlineStr">
        <is>
          <t>T3</t>
        </is>
      </c>
      <c r="J274" s="43" t="inlineStr">
        <is>
          <t>med</t>
        </is>
      </c>
      <c r="K274" s="29" t="n">
        <v>1</v>
      </c>
      <c r="L274" s="44">
        <f>60*G274/cruise_kt</f>
        <v/>
      </c>
      <c r="M274" s="44">
        <f>L274+turn_min+dwell_min</f>
        <v/>
      </c>
      <c r="N274" s="45">
        <f>MIN(10,FLOOR(60*service_hr/M274,1))</f>
        <v/>
      </c>
      <c r="O274" s="45">
        <f>ROUND(365*mech_uptime*K274,0)</f>
        <v/>
      </c>
      <c r="P274" s="46">
        <f>mech_uptime</f>
        <v/>
      </c>
      <c r="Q274" s="46">
        <f>revleg_sel</f>
        <v/>
      </c>
      <c r="R274" s="45">
        <f>ROUND(N274*O274*revleg_sel,0)</f>
        <v/>
      </c>
      <c r="S274" s="47">
        <f>load_sel</f>
        <v/>
      </c>
      <c r="T274" s="47">
        <f>pax_cap*S274</f>
        <v/>
      </c>
      <c r="U274" s="45">
        <f>T274*R274</f>
        <v/>
      </c>
      <c r="V274" s="48">
        <f>H274*discount</f>
        <v/>
      </c>
      <c r="W274" s="49">
        <f>V274*U274</f>
        <v/>
      </c>
      <c r="X274" s="49">
        <f>(battery/range_nm)*G274*R274*VLOOKUP(B274,country_opex,3,FALSE)</f>
        <v/>
      </c>
      <c r="Y274" s="49">
        <f>VLOOKUP(B274,country_opex,2,FALSE)*crew_factor</f>
        <v/>
      </c>
      <c r="Z274" s="49">
        <f>VLOOKUP(B274,country_opex,5,FALSE)</f>
        <v/>
      </c>
      <c r="AA274" s="49">
        <f>maint</f>
        <v/>
      </c>
      <c r="AB274" s="49">
        <f>VLOOKUP(B274,country_opex,7,FALSE)*ins_pct</f>
        <v/>
      </c>
      <c r="AC274" s="49">
        <f>charge_berth</f>
        <v/>
      </c>
      <c r="AD274" s="49">
        <f>X274+Y274+Z274+AA274+AB274+AC274</f>
        <v/>
      </c>
      <c r="AE274" s="49">
        <f>VLOOKUP(B274,country_opex,7,FALSE)/dep_years</f>
        <v/>
      </c>
      <c r="AF274" s="49">
        <f>W274-AD274</f>
        <v/>
      </c>
      <c r="AG274" s="46">
        <f>IF(W274=0,"",AF274/W274)</f>
        <v/>
      </c>
      <c r="AH274" s="47">
        <f>IF(AF274&lt;=0,"",VLOOKUP(B274,country_opex,7,FALSE)/AF274)</f>
        <v/>
      </c>
      <c r="AI274" s="44">
        <f>((G274*R274/diesel_nmpg)*diesel_co2pg-(battery/range_nm)*G274*R274*VLOOKUP(B274,country_opex,4,FALSE))/1000</f>
        <v/>
      </c>
      <c r="AJ274" s="42" t="n">
        <v>5452</v>
      </c>
      <c r="AK274" s="43" t="inlineStr">
        <is>
          <t>T5</t>
        </is>
      </c>
      <c r="AL274" s="43" t="inlineStr">
        <is>
          <t>med</t>
        </is>
      </c>
      <c r="AM274" s="50" t="n">
        <v>0.9</v>
      </c>
      <c r="AN274" s="45">
        <f>IF(AJ274="","",AJ274*AM274)</f>
        <v/>
      </c>
      <c r="AO274" s="45">
        <f>IF(OR(AJ274="",U274=0),"",MIN(IF(AV274="",9.9E+99,AV274),FLOOR(AN274/U274,1)))</f>
        <v/>
      </c>
      <c r="AP274" s="49">
        <f>IF(AO274="","",AO274*W274)</f>
        <v/>
      </c>
      <c r="AQ274" s="47">
        <f>IF(OR(AJ274="",U274=0),"",MIN(IF(AV274="",9.9E+99,AV274),AN274/U274))</f>
        <v/>
      </c>
      <c r="AR274" s="49">
        <f>IF(AQ274="","",AQ274*W274)</f>
        <v/>
      </c>
      <c r="AS274" s="51" t="n"/>
      <c r="AT274" s="52" t="n"/>
      <c r="AU274" s="52" t="n"/>
      <c r="AV274" s="53" t="n">
        <v>3</v>
      </c>
      <c r="AW274" s="54">
        <f>IF(((V274*pax_cap*load_thin*ROUND(N274*O274*revleg_thin,0))-(((battery/range_nm)*G274*ROUND(N274*O274*revleg_thin,0)*VLOOKUP(B274,country_opex,3,FALSE))+Y274+Z274+AA274+AB274+AC274))&lt;=0,"",VLOOKUP(B274,country_opex,7,FALSE)/((V274*pax_cap*load_thin*ROUND(N274*O274*revleg_thin,0))-(((battery/range_nm)*G274*ROUND(N274*O274*revleg_thin,0)*VLOOKUP(B274,country_opex,3,FALSE))+Y274+Z274+AA274+AB274+AC274)))</f>
        <v/>
      </c>
      <c r="AX274" s="54">
        <f>IF(((V274*pax_cap*load_mid*ROUND(N274*O274*revleg_mid,0))-(((battery/range_nm)*G274*ROUND(N274*O274*revleg_mid,0)*VLOOKUP(B274,country_opex,3,FALSE))+Y274+Z274+AA274+AB274+AC274))&lt;=0,"",VLOOKUP(B274,country_opex,7,FALSE)/((V274*pax_cap*load_mid*ROUND(N274*O274*revleg_mid,0))-(((battery/range_nm)*G274*ROUND(N274*O274*revleg_mid,0)*VLOOKUP(B274,country_opex,3,FALSE))+Y274+Z274+AA274+AB274+AC274)))</f>
        <v/>
      </c>
      <c r="AY274" s="54">
        <f>IF(((V274*pax_cap*load_full*ROUND(N274*O274*revleg_full,0))-(((battery/range_nm)*G274*ROUND(N274*O274*revleg_full,0)*VLOOKUP(B274,country_opex,3,FALSE))+Y274+Z274+AA274+AB274+AC274))&lt;=0,"",VLOOKUP(B274,country_opex,7,FALSE)/((V274*pax_cap*load_full*ROUND(N274*O274*revleg_full,0))-(((battery/range_nm)*G274*ROUND(N274*O274*revleg_full,0)*VLOOKUP(B274,country_opex,3,FALSE))+Y274+Z274+AA274+AB274+AC274)))</f>
        <v/>
      </c>
      <c r="AZ274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74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75">
      <c r="A275" s="38" t="inlineStr">
        <is>
          <t>Maldives (JIH)</t>
        </is>
      </c>
      <c r="B275" s="38" t="inlineStr">
        <is>
          <t>Maldives</t>
        </is>
      </c>
      <c r="C275" s="39" t="inlineStr">
        <is>
          <t>Dharavandhoo Airport, Baa → Four Seasons Landaa Giraavaru (Baa)</t>
        </is>
      </c>
      <c r="D275" s="38" t="inlineStr">
        <is>
          <t>jih-global</t>
        </is>
      </c>
      <c r="E275" s="40" t="inlineStr">
        <is>
          <t>maldives-jih</t>
        </is>
      </c>
      <c r="F275" s="41" t="n">
        <v>1</v>
      </c>
      <c r="G275" s="42" t="n">
        <v>9.5</v>
      </c>
      <c r="H275" s="35" t="n">
        <v>200</v>
      </c>
      <c r="I275" s="43" t="inlineStr">
        <is>
          <t>T3</t>
        </is>
      </c>
      <c r="J275" s="43" t="inlineStr">
        <is>
          <t>med</t>
        </is>
      </c>
      <c r="K275" s="29" t="n">
        <v>1</v>
      </c>
      <c r="L275" s="44">
        <f>60*G275/cruise_kt</f>
        <v/>
      </c>
      <c r="M275" s="44">
        <f>L275+turn_min+dwell_min</f>
        <v/>
      </c>
      <c r="N275" s="45">
        <f>MIN(10,FLOOR(60*service_hr/M275,1))</f>
        <v/>
      </c>
      <c r="O275" s="45">
        <f>ROUND(365*mech_uptime*K275,0)</f>
        <v/>
      </c>
      <c r="P275" s="46">
        <f>mech_uptime</f>
        <v/>
      </c>
      <c r="Q275" s="46">
        <f>revleg_sel</f>
        <v/>
      </c>
      <c r="R275" s="45">
        <f>ROUND(N275*O275*revleg_sel,0)</f>
        <v/>
      </c>
      <c r="S275" s="47">
        <f>load_sel</f>
        <v/>
      </c>
      <c r="T275" s="47">
        <f>pax_cap*S275</f>
        <v/>
      </c>
      <c r="U275" s="45">
        <f>T275*R275</f>
        <v/>
      </c>
      <c r="V275" s="48">
        <f>H275*discount</f>
        <v/>
      </c>
      <c r="W275" s="49">
        <f>V275*U275</f>
        <v/>
      </c>
      <c r="X275" s="49">
        <f>(battery/range_nm)*G275*R275*VLOOKUP(B275,country_opex,3,FALSE)</f>
        <v/>
      </c>
      <c r="Y275" s="49">
        <f>VLOOKUP(B275,country_opex,2,FALSE)*crew_factor</f>
        <v/>
      </c>
      <c r="Z275" s="49">
        <f>VLOOKUP(B275,country_opex,5,FALSE)</f>
        <v/>
      </c>
      <c r="AA275" s="49">
        <f>maint</f>
        <v/>
      </c>
      <c r="AB275" s="49">
        <f>VLOOKUP(B275,country_opex,7,FALSE)*ins_pct</f>
        <v/>
      </c>
      <c r="AC275" s="49">
        <f>charge_berth</f>
        <v/>
      </c>
      <c r="AD275" s="49">
        <f>X275+Y275+Z275+AA275+AB275+AC275</f>
        <v/>
      </c>
      <c r="AE275" s="49">
        <f>VLOOKUP(B275,country_opex,7,FALSE)/dep_years</f>
        <v/>
      </c>
      <c r="AF275" s="49">
        <f>W275-AD275</f>
        <v/>
      </c>
      <c r="AG275" s="46">
        <f>IF(W275=0,"",AF275/W275)</f>
        <v/>
      </c>
      <c r="AH275" s="47">
        <f>IF(AF275&lt;=0,"",VLOOKUP(B275,country_opex,7,FALSE)/AF275)</f>
        <v/>
      </c>
      <c r="AI275" s="44">
        <f>((G275*R275/diesel_nmpg)*diesel_co2pg-(battery/range_nm)*G275*R275*VLOOKUP(B275,country_opex,4,FALSE))/1000</f>
        <v/>
      </c>
      <c r="AJ275" s="42" t="n">
        <v>7693</v>
      </c>
      <c r="AK275" s="43" t="inlineStr">
        <is>
          <t>T5</t>
        </is>
      </c>
      <c r="AL275" s="43" t="inlineStr">
        <is>
          <t>med</t>
        </is>
      </c>
      <c r="AM275" s="50" t="n">
        <v>0.9</v>
      </c>
      <c r="AN275" s="45">
        <f>IF(AJ275="","",AJ275*AM275)</f>
        <v/>
      </c>
      <c r="AO275" s="45">
        <f>IF(OR(AJ275="",U275=0),"",MIN(IF(AV275="",9.9E+99,AV275),FLOOR(AN275/U275,1)))</f>
        <v/>
      </c>
      <c r="AP275" s="49">
        <f>IF(AO275="","",AO275*W275)</f>
        <v/>
      </c>
      <c r="AQ275" s="47">
        <f>IF(OR(AJ275="",U275=0),"",MIN(IF(AV275="",9.9E+99,AV275),AN275/U275))</f>
        <v/>
      </c>
      <c r="AR275" s="49">
        <f>IF(AQ275="","",AQ275*W275)</f>
        <v/>
      </c>
      <c r="AS275" s="51" t="n"/>
      <c r="AT275" s="52" t="n"/>
      <c r="AU275" s="52" t="n"/>
      <c r="AV275" s="53" t="n">
        <v>5</v>
      </c>
      <c r="AW275" s="54">
        <f>IF(((V275*pax_cap*load_thin*ROUND(N275*O275*revleg_thin,0))-(((battery/range_nm)*G275*ROUND(N275*O275*revleg_thin,0)*VLOOKUP(B275,country_opex,3,FALSE))+Y275+Z275+AA275+AB275+AC275))&lt;=0,"",VLOOKUP(B275,country_opex,7,FALSE)/((V275*pax_cap*load_thin*ROUND(N275*O275*revleg_thin,0))-(((battery/range_nm)*G275*ROUND(N275*O275*revleg_thin,0)*VLOOKUP(B275,country_opex,3,FALSE))+Y275+Z275+AA275+AB275+AC275)))</f>
        <v/>
      </c>
      <c r="AX275" s="54">
        <f>IF(((V275*pax_cap*load_mid*ROUND(N275*O275*revleg_mid,0))-(((battery/range_nm)*G275*ROUND(N275*O275*revleg_mid,0)*VLOOKUP(B275,country_opex,3,FALSE))+Y275+Z275+AA275+AB275+AC275))&lt;=0,"",VLOOKUP(B275,country_opex,7,FALSE)/((V275*pax_cap*load_mid*ROUND(N275*O275*revleg_mid,0))-(((battery/range_nm)*G275*ROUND(N275*O275*revleg_mid,0)*VLOOKUP(B275,country_opex,3,FALSE))+Y275+Z275+AA275+AB275+AC275)))</f>
        <v/>
      </c>
      <c r="AY275" s="54">
        <f>IF(((V275*pax_cap*load_full*ROUND(N275*O275*revleg_full,0))-(((battery/range_nm)*G275*ROUND(N275*O275*revleg_full,0)*VLOOKUP(B275,country_opex,3,FALSE))+Y275+Z275+AA275+AB275+AC275))&lt;=0,"",VLOOKUP(B275,country_opex,7,FALSE)/((V275*pax_cap*load_full*ROUND(N275*O275*revleg_full,0))-(((battery/range_nm)*G275*ROUND(N275*O275*revleg_full,0)*VLOOKUP(B275,country_opex,3,FALSE))+Y275+Z275+AA275+AB275+AC275)))</f>
        <v/>
      </c>
      <c r="AZ275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75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76">
      <c r="A276" s="38" t="inlineStr">
        <is>
          <t>Maldives (JIH)</t>
        </is>
      </c>
      <c r="B276" s="38" t="inlineStr">
        <is>
          <t>Maldives</t>
        </is>
      </c>
      <c r="C276" s="39" t="inlineStr">
        <is>
          <t>Maafaru Airport, Noonu → Siyam World (Dhigurah, Noonu)</t>
        </is>
      </c>
      <c r="D276" s="38" t="inlineStr">
        <is>
          <t>jih-global</t>
        </is>
      </c>
      <c r="E276" s="40" t="inlineStr">
        <is>
          <t>maldives-jih</t>
        </is>
      </c>
      <c r="F276" s="41" t="n">
        <v>1</v>
      </c>
      <c r="G276" s="42" t="n">
        <v>10</v>
      </c>
      <c r="H276" s="35" t="n">
        <v>150</v>
      </c>
      <c r="I276" s="43" t="inlineStr">
        <is>
          <t>T3</t>
        </is>
      </c>
      <c r="J276" s="43" t="inlineStr">
        <is>
          <t>med</t>
        </is>
      </c>
      <c r="K276" s="29" t="n">
        <v>1</v>
      </c>
      <c r="L276" s="44">
        <f>60*G276/cruise_kt</f>
        <v/>
      </c>
      <c r="M276" s="44">
        <f>L276+turn_min+dwell_min</f>
        <v/>
      </c>
      <c r="N276" s="45">
        <f>MIN(10,FLOOR(60*service_hr/M276,1))</f>
        <v/>
      </c>
      <c r="O276" s="45">
        <f>ROUND(365*mech_uptime*K276,0)</f>
        <v/>
      </c>
      <c r="P276" s="46">
        <f>mech_uptime</f>
        <v/>
      </c>
      <c r="Q276" s="46">
        <f>revleg_sel</f>
        <v/>
      </c>
      <c r="R276" s="45">
        <f>ROUND(N276*O276*revleg_sel,0)</f>
        <v/>
      </c>
      <c r="S276" s="47">
        <f>load_sel</f>
        <v/>
      </c>
      <c r="T276" s="47">
        <f>pax_cap*S276</f>
        <v/>
      </c>
      <c r="U276" s="45">
        <f>T276*R276</f>
        <v/>
      </c>
      <c r="V276" s="48">
        <f>H276*discount</f>
        <v/>
      </c>
      <c r="W276" s="49">
        <f>V276*U276</f>
        <v/>
      </c>
      <c r="X276" s="49">
        <f>(battery/range_nm)*G276*R276*VLOOKUP(B276,country_opex,3,FALSE)</f>
        <v/>
      </c>
      <c r="Y276" s="49">
        <f>VLOOKUP(B276,country_opex,2,FALSE)*crew_factor</f>
        <v/>
      </c>
      <c r="Z276" s="49">
        <f>VLOOKUP(B276,country_opex,5,FALSE)</f>
        <v/>
      </c>
      <c r="AA276" s="49">
        <f>maint</f>
        <v/>
      </c>
      <c r="AB276" s="49">
        <f>VLOOKUP(B276,country_opex,7,FALSE)*ins_pct</f>
        <v/>
      </c>
      <c r="AC276" s="49">
        <f>charge_berth</f>
        <v/>
      </c>
      <c r="AD276" s="49">
        <f>X276+Y276+Z276+AA276+AB276+AC276</f>
        <v/>
      </c>
      <c r="AE276" s="49">
        <f>VLOOKUP(B276,country_opex,7,FALSE)/dep_years</f>
        <v/>
      </c>
      <c r="AF276" s="49">
        <f>W276-AD276</f>
        <v/>
      </c>
      <c r="AG276" s="46">
        <f>IF(W276=0,"",AF276/W276)</f>
        <v/>
      </c>
      <c r="AH276" s="47">
        <f>IF(AF276&lt;=0,"",VLOOKUP(B276,country_opex,7,FALSE)/AF276)</f>
        <v/>
      </c>
      <c r="AI276" s="44">
        <f>((G276*R276/diesel_nmpg)*diesel_co2pg-(battery/range_nm)*G276*R276*VLOOKUP(B276,country_opex,4,FALSE))/1000</f>
        <v/>
      </c>
      <c r="AJ276" s="42" t="n">
        <v>39882</v>
      </c>
      <c r="AK276" s="43" t="inlineStr">
        <is>
          <t>T5</t>
        </is>
      </c>
      <c r="AL276" s="43" t="inlineStr">
        <is>
          <t>med</t>
        </is>
      </c>
      <c r="AM276" s="50" t="n">
        <v>0.9</v>
      </c>
      <c r="AN276" s="45">
        <f>IF(AJ276="","",AJ276*AM276)</f>
        <v/>
      </c>
      <c r="AO276" s="45">
        <f>IF(OR(AJ276="",U276=0),"",MIN(IF(AV276="",9.9E+99,AV276),FLOOR(AN276/U276,1)))</f>
        <v/>
      </c>
      <c r="AP276" s="49">
        <f>IF(AO276="","",AO276*W276)</f>
        <v/>
      </c>
      <c r="AQ276" s="47">
        <f>IF(OR(AJ276="",U276=0),"",MIN(IF(AV276="",9.9E+99,AV276),AN276/U276))</f>
        <v/>
      </c>
      <c r="AR276" s="49">
        <f>IF(AQ276="","",AQ276*W276)</f>
        <v/>
      </c>
      <c r="AS276" s="51" t="n"/>
      <c r="AT276" s="52" t="n"/>
      <c r="AU276" s="52" t="n"/>
      <c r="AV276" s="53" t="n">
        <v>20</v>
      </c>
      <c r="AW276" s="54">
        <f>IF(((V276*pax_cap*load_thin*ROUND(N276*O276*revleg_thin,0))-(((battery/range_nm)*G276*ROUND(N276*O276*revleg_thin,0)*VLOOKUP(B276,country_opex,3,FALSE))+Y276+Z276+AA276+AB276+AC276))&lt;=0,"",VLOOKUP(B276,country_opex,7,FALSE)/((V276*pax_cap*load_thin*ROUND(N276*O276*revleg_thin,0))-(((battery/range_nm)*G276*ROUND(N276*O276*revleg_thin,0)*VLOOKUP(B276,country_opex,3,FALSE))+Y276+Z276+AA276+AB276+AC276)))</f>
        <v/>
      </c>
      <c r="AX276" s="54">
        <f>IF(((V276*pax_cap*load_mid*ROUND(N276*O276*revleg_mid,0))-(((battery/range_nm)*G276*ROUND(N276*O276*revleg_mid,0)*VLOOKUP(B276,country_opex,3,FALSE))+Y276+Z276+AA276+AB276+AC276))&lt;=0,"",VLOOKUP(B276,country_opex,7,FALSE)/((V276*pax_cap*load_mid*ROUND(N276*O276*revleg_mid,0))-(((battery/range_nm)*G276*ROUND(N276*O276*revleg_mid,0)*VLOOKUP(B276,country_opex,3,FALSE))+Y276+Z276+AA276+AB276+AC276)))</f>
        <v/>
      </c>
      <c r="AY276" s="54">
        <f>IF(((V276*pax_cap*load_full*ROUND(N276*O276*revleg_full,0))-(((battery/range_nm)*G276*ROUND(N276*O276*revleg_full,0)*VLOOKUP(B276,country_opex,3,FALSE))+Y276+Z276+AA276+AB276+AC276))&lt;=0,"",VLOOKUP(B276,country_opex,7,FALSE)/((V276*pax_cap*load_full*ROUND(N276*O276*revleg_full,0))-(((battery/range_nm)*G276*ROUND(N276*O276*revleg_full,0)*VLOOKUP(B276,country_opex,3,FALSE))+Y276+Z276+AA276+AB276+AC276)))</f>
        <v/>
      </c>
      <c r="AZ276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76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77">
      <c r="A277" s="38" t="inlineStr">
        <is>
          <t>Maldives (JIH)</t>
        </is>
      </c>
      <c r="B277" s="38" t="inlineStr">
        <is>
          <t>Maldives</t>
        </is>
      </c>
      <c r="C277" s="39" t="inlineStr">
        <is>
          <t>Soneva Fushi (Kunfunadhoo, Baa) → Four Seasons Landaa Giraavaru (Baa)</t>
        </is>
      </c>
      <c r="D277" s="38" t="inlineStr">
        <is>
          <t>jih-global</t>
        </is>
      </c>
      <c r="E277" s="40" t="inlineStr">
        <is>
          <t>maldives-jih</t>
        </is>
      </c>
      <c r="F277" s="41" t="n">
        <v>1</v>
      </c>
      <c r="G277" s="42" t="n">
        <v>11.7</v>
      </c>
      <c r="H277" s="35" t="n">
        <v>175</v>
      </c>
      <c r="I277" s="43" t="inlineStr">
        <is>
          <t>T3</t>
        </is>
      </c>
      <c r="J277" s="43" t="inlineStr">
        <is>
          <t>med</t>
        </is>
      </c>
      <c r="K277" s="29" t="n">
        <v>1</v>
      </c>
      <c r="L277" s="44">
        <f>60*G277/cruise_kt</f>
        <v/>
      </c>
      <c r="M277" s="44">
        <f>L277+turn_min+dwell_min</f>
        <v/>
      </c>
      <c r="N277" s="45">
        <f>MIN(10,FLOOR(60*service_hr/M277,1))</f>
        <v/>
      </c>
      <c r="O277" s="45">
        <f>ROUND(365*mech_uptime*K277,0)</f>
        <v/>
      </c>
      <c r="P277" s="46">
        <f>mech_uptime</f>
        <v/>
      </c>
      <c r="Q277" s="46">
        <f>revleg_sel</f>
        <v/>
      </c>
      <c r="R277" s="45">
        <f>ROUND(N277*O277*revleg_sel,0)</f>
        <v/>
      </c>
      <c r="S277" s="47">
        <f>load_sel</f>
        <v/>
      </c>
      <c r="T277" s="47">
        <f>pax_cap*S277</f>
        <v/>
      </c>
      <c r="U277" s="45">
        <f>T277*R277</f>
        <v/>
      </c>
      <c r="V277" s="48">
        <f>H277*discount</f>
        <v/>
      </c>
      <c r="W277" s="49">
        <f>V277*U277</f>
        <v/>
      </c>
      <c r="X277" s="49">
        <f>(battery/range_nm)*G277*R277*VLOOKUP(B277,country_opex,3,FALSE)</f>
        <v/>
      </c>
      <c r="Y277" s="49">
        <f>VLOOKUP(B277,country_opex,2,FALSE)*crew_factor</f>
        <v/>
      </c>
      <c r="Z277" s="49">
        <f>VLOOKUP(B277,country_opex,5,FALSE)</f>
        <v/>
      </c>
      <c r="AA277" s="49">
        <f>maint</f>
        <v/>
      </c>
      <c r="AB277" s="49">
        <f>VLOOKUP(B277,country_opex,7,FALSE)*ins_pct</f>
        <v/>
      </c>
      <c r="AC277" s="49">
        <f>charge_berth</f>
        <v/>
      </c>
      <c r="AD277" s="49">
        <f>X277+Y277+Z277+AA277+AB277+AC277</f>
        <v/>
      </c>
      <c r="AE277" s="49">
        <f>VLOOKUP(B277,country_opex,7,FALSE)/dep_years</f>
        <v/>
      </c>
      <c r="AF277" s="49">
        <f>W277-AD277</f>
        <v/>
      </c>
      <c r="AG277" s="46">
        <f>IF(W277=0,"",AF277/W277)</f>
        <v/>
      </c>
      <c r="AH277" s="47">
        <f>IF(AF277&lt;=0,"",VLOOKUP(B277,country_opex,7,FALSE)/AF277)</f>
        <v/>
      </c>
      <c r="AI277" s="44">
        <f>((G277*R277/diesel_nmpg)*diesel_co2pg-(battery/range_nm)*G277*R277*VLOOKUP(B277,country_opex,4,FALSE))/1000</f>
        <v/>
      </c>
      <c r="AJ277" s="42" t="n"/>
      <c r="AK277" s="43" t="n"/>
      <c r="AL277" s="43" t="inlineStr">
        <is>
          <t>null</t>
        </is>
      </c>
      <c r="AM277" s="50" t="n">
        <v>0.9</v>
      </c>
      <c r="AN277" s="45">
        <f>IF(AJ277="","",AJ277*AM277)</f>
        <v/>
      </c>
      <c r="AO277" s="45">
        <f>IF(OR(AJ277="",U277=0),"",MIN(IF(AV277="",9.9E+99,AV277),FLOOR(AN277/U277,1)))</f>
        <v/>
      </c>
      <c r="AP277" s="49">
        <f>IF(AO277="","",AO277*W277)</f>
        <v/>
      </c>
      <c r="AQ277" s="47">
        <f>IF(OR(AJ277="",U277=0),"",MIN(IF(AV277="",9.9E+99,AV277),AN277/U277))</f>
        <v/>
      </c>
      <c r="AR277" s="49">
        <f>IF(AQ277="","",AQ277*W277)</f>
        <v/>
      </c>
      <c r="AS277" s="51" t="n"/>
      <c r="AT277" s="52" t="n"/>
      <c r="AU277" s="52" t="n"/>
      <c r="AV277" s="53" t="n"/>
      <c r="AW277" s="54">
        <f>IF(((V277*pax_cap*load_thin*ROUND(N277*O277*revleg_thin,0))-(((battery/range_nm)*G277*ROUND(N277*O277*revleg_thin,0)*VLOOKUP(B277,country_opex,3,FALSE))+Y277+Z277+AA277+AB277+AC277))&lt;=0,"",VLOOKUP(B277,country_opex,7,FALSE)/((V277*pax_cap*load_thin*ROUND(N277*O277*revleg_thin,0))-(((battery/range_nm)*G277*ROUND(N277*O277*revleg_thin,0)*VLOOKUP(B277,country_opex,3,FALSE))+Y277+Z277+AA277+AB277+AC277)))</f>
        <v/>
      </c>
      <c r="AX277" s="54">
        <f>IF(((V277*pax_cap*load_mid*ROUND(N277*O277*revleg_mid,0))-(((battery/range_nm)*G277*ROUND(N277*O277*revleg_mid,0)*VLOOKUP(B277,country_opex,3,FALSE))+Y277+Z277+AA277+AB277+AC277))&lt;=0,"",VLOOKUP(B277,country_opex,7,FALSE)/((V277*pax_cap*load_mid*ROUND(N277*O277*revleg_mid,0))-(((battery/range_nm)*G277*ROUND(N277*O277*revleg_mid,0)*VLOOKUP(B277,country_opex,3,FALSE))+Y277+Z277+AA277+AB277+AC277)))</f>
        <v/>
      </c>
      <c r="AY277" s="54">
        <f>IF(((V277*pax_cap*load_full*ROUND(N277*O277*revleg_full,0))-(((battery/range_nm)*G277*ROUND(N277*O277*revleg_full,0)*VLOOKUP(B277,country_opex,3,FALSE))+Y277+Z277+AA277+AB277+AC277))&lt;=0,"",VLOOKUP(B277,country_opex,7,FALSE)/((V277*pax_cap*load_full*ROUND(N277*O277*revleg_full,0))-(((battery/range_nm)*G277*ROUND(N277*O277*revleg_full,0)*VLOOKUP(B277,country_opex,3,FALSE))+Y277+Z277+AA277+AB277+AC277)))</f>
        <v/>
      </c>
      <c r="AZ277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77" s="40" t="inlineStr">
        <is>
          <t>NULL — pure inter-resort island-hop; no grounded crossing pool (R2). Geometry only.</t>
        </is>
      </c>
    </row>
    <row r="278">
      <c r="A278" s="38" t="inlineStr">
        <is>
          <t>Maldives (JIH)</t>
        </is>
      </c>
      <c r="B278" s="38" t="inlineStr">
        <is>
          <t>Maldives</t>
        </is>
      </c>
      <c r="C278" s="39" t="inlineStr">
        <is>
          <t>Dharavandhoo Airport, Baa → Anantara Kihavah (Baa)</t>
        </is>
      </c>
      <c r="D278" s="38" t="inlineStr">
        <is>
          <t>jih-global</t>
        </is>
      </c>
      <c r="E278" s="40" t="inlineStr">
        <is>
          <t>maldives-jih</t>
        </is>
      </c>
      <c r="F278" s="41" t="n">
        <v>1</v>
      </c>
      <c r="G278" s="42" t="n">
        <v>11.8</v>
      </c>
      <c r="H278" s="35" t="n">
        <v>200</v>
      </c>
      <c r="I278" s="43" t="inlineStr">
        <is>
          <t>T3</t>
        </is>
      </c>
      <c r="J278" s="43" t="inlineStr">
        <is>
          <t>med</t>
        </is>
      </c>
      <c r="K278" s="29" t="n">
        <v>1</v>
      </c>
      <c r="L278" s="44">
        <f>60*G278/cruise_kt</f>
        <v/>
      </c>
      <c r="M278" s="44">
        <f>L278+turn_min+dwell_min</f>
        <v/>
      </c>
      <c r="N278" s="45">
        <f>MIN(10,FLOOR(60*service_hr/M278,1))</f>
        <v/>
      </c>
      <c r="O278" s="45">
        <f>ROUND(365*mech_uptime*K278,0)</f>
        <v/>
      </c>
      <c r="P278" s="46">
        <f>mech_uptime</f>
        <v/>
      </c>
      <c r="Q278" s="46">
        <f>revleg_sel</f>
        <v/>
      </c>
      <c r="R278" s="45">
        <f>ROUND(N278*O278*revleg_sel,0)</f>
        <v/>
      </c>
      <c r="S278" s="47">
        <f>load_sel</f>
        <v/>
      </c>
      <c r="T278" s="47">
        <f>pax_cap*S278</f>
        <v/>
      </c>
      <c r="U278" s="45">
        <f>T278*R278</f>
        <v/>
      </c>
      <c r="V278" s="48">
        <f>H278*discount</f>
        <v/>
      </c>
      <c r="W278" s="49">
        <f>V278*U278</f>
        <v/>
      </c>
      <c r="X278" s="49">
        <f>(battery/range_nm)*G278*R278*VLOOKUP(B278,country_opex,3,FALSE)</f>
        <v/>
      </c>
      <c r="Y278" s="49">
        <f>VLOOKUP(B278,country_opex,2,FALSE)*crew_factor</f>
        <v/>
      </c>
      <c r="Z278" s="49">
        <f>VLOOKUP(B278,country_opex,5,FALSE)</f>
        <v/>
      </c>
      <c r="AA278" s="49">
        <f>maint</f>
        <v/>
      </c>
      <c r="AB278" s="49">
        <f>VLOOKUP(B278,country_opex,7,FALSE)*ins_pct</f>
        <v/>
      </c>
      <c r="AC278" s="49">
        <f>charge_berth</f>
        <v/>
      </c>
      <c r="AD278" s="49">
        <f>X278+Y278+Z278+AA278+AB278+AC278</f>
        <v/>
      </c>
      <c r="AE278" s="49">
        <f>VLOOKUP(B278,country_opex,7,FALSE)/dep_years</f>
        <v/>
      </c>
      <c r="AF278" s="49">
        <f>W278-AD278</f>
        <v/>
      </c>
      <c r="AG278" s="46">
        <f>IF(W278=0,"",AF278/W278)</f>
        <v/>
      </c>
      <c r="AH278" s="47">
        <f>IF(AF278&lt;=0,"",VLOOKUP(B278,country_opex,7,FALSE)/AF278)</f>
        <v/>
      </c>
      <c r="AI278" s="44">
        <f>((G278*R278/diesel_nmpg)*diesel_co2pg-(battery/range_nm)*G278*R278*VLOOKUP(B278,country_opex,4,FALSE))/1000</f>
        <v/>
      </c>
      <c r="AJ278" s="42" t="n">
        <v>5975</v>
      </c>
      <c r="AK278" s="43" t="inlineStr">
        <is>
          <t>T5</t>
        </is>
      </c>
      <c r="AL278" s="43" t="inlineStr">
        <is>
          <t>med</t>
        </is>
      </c>
      <c r="AM278" s="50" t="n">
        <v>0.9</v>
      </c>
      <c r="AN278" s="45">
        <f>IF(AJ278="","",AJ278*AM278)</f>
        <v/>
      </c>
      <c r="AO278" s="45">
        <f>IF(OR(AJ278="",U278=0),"",MIN(IF(AV278="",9.9E+99,AV278),FLOOR(AN278/U278,1)))</f>
        <v/>
      </c>
      <c r="AP278" s="49">
        <f>IF(AO278="","",AO278*W278)</f>
        <v/>
      </c>
      <c r="AQ278" s="47">
        <f>IF(OR(AJ278="",U278=0),"",MIN(IF(AV278="",9.9E+99,AV278),AN278/U278))</f>
        <v/>
      </c>
      <c r="AR278" s="49">
        <f>IF(AQ278="","",AQ278*W278)</f>
        <v/>
      </c>
      <c r="AS278" s="51" t="n"/>
      <c r="AT278" s="52" t="n"/>
      <c r="AU278" s="52" t="n"/>
      <c r="AV278" s="53" t="n">
        <v>4</v>
      </c>
      <c r="AW278" s="54">
        <f>IF(((V278*pax_cap*load_thin*ROUND(N278*O278*revleg_thin,0))-(((battery/range_nm)*G278*ROUND(N278*O278*revleg_thin,0)*VLOOKUP(B278,country_opex,3,FALSE))+Y278+Z278+AA278+AB278+AC278))&lt;=0,"",VLOOKUP(B278,country_opex,7,FALSE)/((V278*pax_cap*load_thin*ROUND(N278*O278*revleg_thin,0))-(((battery/range_nm)*G278*ROUND(N278*O278*revleg_thin,0)*VLOOKUP(B278,country_opex,3,FALSE))+Y278+Z278+AA278+AB278+AC278)))</f>
        <v/>
      </c>
      <c r="AX278" s="54">
        <f>IF(((V278*pax_cap*load_mid*ROUND(N278*O278*revleg_mid,0))-(((battery/range_nm)*G278*ROUND(N278*O278*revleg_mid,0)*VLOOKUP(B278,country_opex,3,FALSE))+Y278+Z278+AA278+AB278+AC278))&lt;=0,"",VLOOKUP(B278,country_opex,7,FALSE)/((V278*pax_cap*load_mid*ROUND(N278*O278*revleg_mid,0))-(((battery/range_nm)*G278*ROUND(N278*O278*revleg_mid,0)*VLOOKUP(B278,country_opex,3,FALSE))+Y278+Z278+AA278+AB278+AC278)))</f>
        <v/>
      </c>
      <c r="AY278" s="54">
        <f>IF(((V278*pax_cap*load_full*ROUND(N278*O278*revleg_full,0))-(((battery/range_nm)*G278*ROUND(N278*O278*revleg_full,0)*VLOOKUP(B278,country_opex,3,FALSE))+Y278+Z278+AA278+AB278+AC278))&lt;=0,"",VLOOKUP(B278,country_opex,7,FALSE)/((V278*pax_cap*load_full*ROUND(N278*O278*revleg_full,0))-(((battery/range_nm)*G278*ROUND(N278*O278*revleg_full,0)*VLOOKUP(B278,country_opex,3,FALSE))+Y278+Z278+AA278+AB278+AC278)))</f>
        <v/>
      </c>
      <c r="AZ278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78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79">
      <c r="A279" s="38" t="inlineStr">
        <is>
          <t>Maldives (JIH)</t>
        </is>
      </c>
      <c r="B279" s="38" t="inlineStr">
        <is>
          <t>Maldives</t>
        </is>
      </c>
      <c r="C279" s="39" t="inlineStr">
        <is>
          <t>Maamigili (Villa) Airport, South Ari → Lily Beach Resort (Huvahendhoo)</t>
        </is>
      </c>
      <c r="D279" s="38" t="inlineStr">
        <is>
          <t>jih-global</t>
        </is>
      </c>
      <c r="E279" s="40" t="inlineStr">
        <is>
          <t>maldives-jih</t>
        </is>
      </c>
      <c r="F279" s="41" t="n">
        <v>1</v>
      </c>
      <c r="G279" s="42" t="n">
        <v>12.5</v>
      </c>
      <c r="H279" s="35" t="n">
        <v>150</v>
      </c>
      <c r="I279" s="43" t="inlineStr">
        <is>
          <t>T3</t>
        </is>
      </c>
      <c r="J279" s="43" t="inlineStr">
        <is>
          <t>med</t>
        </is>
      </c>
      <c r="K279" s="29" t="n">
        <v>1</v>
      </c>
      <c r="L279" s="44">
        <f>60*G279/cruise_kt</f>
        <v/>
      </c>
      <c r="M279" s="44">
        <f>L279+turn_min+dwell_min</f>
        <v/>
      </c>
      <c r="N279" s="45">
        <f>MIN(10,FLOOR(60*service_hr/M279,1))</f>
        <v/>
      </c>
      <c r="O279" s="45">
        <f>ROUND(365*mech_uptime*K279,0)</f>
        <v/>
      </c>
      <c r="P279" s="46">
        <f>mech_uptime</f>
        <v/>
      </c>
      <c r="Q279" s="46">
        <f>revleg_sel</f>
        <v/>
      </c>
      <c r="R279" s="45">
        <f>ROUND(N279*O279*revleg_sel,0)</f>
        <v/>
      </c>
      <c r="S279" s="47">
        <f>load_sel</f>
        <v/>
      </c>
      <c r="T279" s="47">
        <f>pax_cap*S279</f>
        <v/>
      </c>
      <c r="U279" s="45">
        <f>T279*R279</f>
        <v/>
      </c>
      <c r="V279" s="48">
        <f>H279*discount</f>
        <v/>
      </c>
      <c r="W279" s="49">
        <f>V279*U279</f>
        <v/>
      </c>
      <c r="X279" s="49">
        <f>(battery/range_nm)*G279*R279*VLOOKUP(B279,country_opex,3,FALSE)</f>
        <v/>
      </c>
      <c r="Y279" s="49">
        <f>VLOOKUP(B279,country_opex,2,FALSE)*crew_factor</f>
        <v/>
      </c>
      <c r="Z279" s="49">
        <f>VLOOKUP(B279,country_opex,5,FALSE)</f>
        <v/>
      </c>
      <c r="AA279" s="49">
        <f>maint</f>
        <v/>
      </c>
      <c r="AB279" s="49">
        <f>VLOOKUP(B279,country_opex,7,FALSE)*ins_pct</f>
        <v/>
      </c>
      <c r="AC279" s="49">
        <f>charge_berth</f>
        <v/>
      </c>
      <c r="AD279" s="49">
        <f>X279+Y279+Z279+AA279+AB279+AC279</f>
        <v/>
      </c>
      <c r="AE279" s="49">
        <f>VLOOKUP(B279,country_opex,7,FALSE)/dep_years</f>
        <v/>
      </c>
      <c r="AF279" s="49">
        <f>W279-AD279</f>
        <v/>
      </c>
      <c r="AG279" s="46">
        <f>IF(W279=0,"",AF279/W279)</f>
        <v/>
      </c>
      <c r="AH279" s="47">
        <f>IF(AF279&lt;=0,"",VLOOKUP(B279,country_opex,7,FALSE)/AF279)</f>
        <v/>
      </c>
      <c r="AI279" s="44">
        <f>((G279*R279/diesel_nmpg)*diesel_co2pg-(battery/range_nm)*G279*R279*VLOOKUP(B279,country_opex,4,FALSE))/1000</f>
        <v/>
      </c>
      <c r="AJ279" s="42" t="n">
        <v>9336</v>
      </c>
      <c r="AK279" s="43" t="inlineStr">
        <is>
          <t>T5</t>
        </is>
      </c>
      <c r="AL279" s="43" t="inlineStr">
        <is>
          <t>med</t>
        </is>
      </c>
      <c r="AM279" s="50" t="n">
        <v>0.9</v>
      </c>
      <c r="AN279" s="45">
        <f>IF(AJ279="","",AJ279*AM279)</f>
        <v/>
      </c>
      <c r="AO279" s="45">
        <f>IF(OR(AJ279="",U279=0),"",MIN(IF(AV279="",9.9E+99,AV279),FLOOR(AN279/U279,1)))</f>
        <v/>
      </c>
      <c r="AP279" s="49">
        <f>IF(AO279="","",AO279*W279)</f>
        <v/>
      </c>
      <c r="AQ279" s="47">
        <f>IF(OR(AJ279="",U279=0),"",MIN(IF(AV279="",9.9E+99,AV279),AN279/U279))</f>
        <v/>
      </c>
      <c r="AR279" s="49">
        <f>IF(AQ279="","",AQ279*W279)</f>
        <v/>
      </c>
      <c r="AS279" s="51" t="n"/>
      <c r="AT279" s="52" t="n"/>
      <c r="AU279" s="52" t="n"/>
      <c r="AV279" s="53" t="n">
        <v>5</v>
      </c>
      <c r="AW279" s="54">
        <f>IF(((V279*pax_cap*load_thin*ROUND(N279*O279*revleg_thin,0))-(((battery/range_nm)*G279*ROUND(N279*O279*revleg_thin,0)*VLOOKUP(B279,country_opex,3,FALSE))+Y279+Z279+AA279+AB279+AC279))&lt;=0,"",VLOOKUP(B279,country_opex,7,FALSE)/((V279*pax_cap*load_thin*ROUND(N279*O279*revleg_thin,0))-(((battery/range_nm)*G279*ROUND(N279*O279*revleg_thin,0)*VLOOKUP(B279,country_opex,3,FALSE))+Y279+Z279+AA279+AB279+AC279)))</f>
        <v/>
      </c>
      <c r="AX279" s="54">
        <f>IF(((V279*pax_cap*load_mid*ROUND(N279*O279*revleg_mid,0))-(((battery/range_nm)*G279*ROUND(N279*O279*revleg_mid,0)*VLOOKUP(B279,country_opex,3,FALSE))+Y279+Z279+AA279+AB279+AC279))&lt;=0,"",VLOOKUP(B279,country_opex,7,FALSE)/((V279*pax_cap*load_mid*ROUND(N279*O279*revleg_mid,0))-(((battery/range_nm)*G279*ROUND(N279*O279*revleg_mid,0)*VLOOKUP(B279,country_opex,3,FALSE))+Y279+Z279+AA279+AB279+AC279)))</f>
        <v/>
      </c>
      <c r="AY279" s="54">
        <f>IF(((V279*pax_cap*load_full*ROUND(N279*O279*revleg_full,0))-(((battery/range_nm)*G279*ROUND(N279*O279*revleg_full,0)*VLOOKUP(B279,country_opex,3,FALSE))+Y279+Z279+AA279+AB279+AC279))&lt;=0,"",VLOOKUP(B279,country_opex,7,FALSE)/((V279*pax_cap*load_full*ROUND(N279*O279*revleg_full,0))-(((battery/range_nm)*G279*ROUND(N279*O279*revleg_full,0)*VLOOKUP(B279,country_opex,3,FALSE))+Y279+Z279+AA279+AB279+AC279)))</f>
        <v/>
      </c>
      <c r="AZ279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79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80">
      <c r="A280" s="38" t="inlineStr">
        <is>
          <t>Maldives (JIH)</t>
        </is>
      </c>
      <c r="B280" s="38" t="inlineStr">
        <is>
          <t>Maldives</t>
        </is>
      </c>
      <c r="C280" s="39" t="inlineStr">
        <is>
          <t>Maamigili (Villa) Airport, South Ari → Mirihi Island Resort</t>
        </is>
      </c>
      <c r="D280" s="38" t="inlineStr">
        <is>
          <t>jih-global</t>
        </is>
      </c>
      <c r="E280" s="40" t="inlineStr">
        <is>
          <t>maldives-jih</t>
        </is>
      </c>
      <c r="F280" s="41" t="n">
        <v>1</v>
      </c>
      <c r="G280" s="42" t="n">
        <v>12.9</v>
      </c>
      <c r="H280" s="35" t="n">
        <v>120</v>
      </c>
      <c r="I280" s="43" t="inlineStr">
        <is>
          <t>T3</t>
        </is>
      </c>
      <c r="J280" s="43" t="inlineStr">
        <is>
          <t>med</t>
        </is>
      </c>
      <c r="K280" s="29" t="n">
        <v>1</v>
      </c>
      <c r="L280" s="44">
        <f>60*G280/cruise_kt</f>
        <v/>
      </c>
      <c r="M280" s="44">
        <f>L280+turn_min+dwell_min</f>
        <v/>
      </c>
      <c r="N280" s="45">
        <f>MIN(10,FLOOR(60*service_hr/M280,1))</f>
        <v/>
      </c>
      <c r="O280" s="45">
        <f>ROUND(365*mech_uptime*K280,0)</f>
        <v/>
      </c>
      <c r="P280" s="46">
        <f>mech_uptime</f>
        <v/>
      </c>
      <c r="Q280" s="46">
        <f>revleg_sel</f>
        <v/>
      </c>
      <c r="R280" s="45">
        <f>ROUND(N280*O280*revleg_sel,0)</f>
        <v/>
      </c>
      <c r="S280" s="47">
        <f>load_sel</f>
        <v/>
      </c>
      <c r="T280" s="47">
        <f>pax_cap*S280</f>
        <v/>
      </c>
      <c r="U280" s="45">
        <f>T280*R280</f>
        <v/>
      </c>
      <c r="V280" s="48">
        <f>H280*discount</f>
        <v/>
      </c>
      <c r="W280" s="49">
        <f>V280*U280</f>
        <v/>
      </c>
      <c r="X280" s="49">
        <f>(battery/range_nm)*G280*R280*VLOOKUP(B280,country_opex,3,FALSE)</f>
        <v/>
      </c>
      <c r="Y280" s="49">
        <f>VLOOKUP(B280,country_opex,2,FALSE)*crew_factor</f>
        <v/>
      </c>
      <c r="Z280" s="49">
        <f>VLOOKUP(B280,country_opex,5,FALSE)</f>
        <v/>
      </c>
      <c r="AA280" s="49">
        <f>maint</f>
        <v/>
      </c>
      <c r="AB280" s="49">
        <f>VLOOKUP(B280,country_opex,7,FALSE)*ins_pct</f>
        <v/>
      </c>
      <c r="AC280" s="49">
        <f>charge_berth</f>
        <v/>
      </c>
      <c r="AD280" s="49">
        <f>X280+Y280+Z280+AA280+AB280+AC280</f>
        <v/>
      </c>
      <c r="AE280" s="49">
        <f>VLOOKUP(B280,country_opex,7,FALSE)/dep_years</f>
        <v/>
      </c>
      <c r="AF280" s="49">
        <f>W280-AD280</f>
        <v/>
      </c>
      <c r="AG280" s="46">
        <f>IF(W280=0,"",AF280/W280)</f>
        <v/>
      </c>
      <c r="AH280" s="47">
        <f>IF(AF280&lt;=0,"",VLOOKUP(B280,country_opex,7,FALSE)/AF280)</f>
        <v/>
      </c>
      <c r="AI280" s="44">
        <f>((G280*R280/diesel_nmpg)*diesel_co2pg-(battery/range_nm)*G280*R280*VLOOKUP(B280,country_opex,4,FALSE))/1000</f>
        <v/>
      </c>
      <c r="AJ280" s="42" t="n">
        <v>2763</v>
      </c>
      <c r="AK280" s="43" t="inlineStr">
        <is>
          <t>T5</t>
        </is>
      </c>
      <c r="AL280" s="43" t="inlineStr">
        <is>
          <t>med</t>
        </is>
      </c>
      <c r="AM280" s="50" t="n">
        <v>0.9</v>
      </c>
      <c r="AN280" s="45">
        <f>IF(AJ280="","",AJ280*AM280)</f>
        <v/>
      </c>
      <c r="AO280" s="45">
        <f>IF(OR(AJ280="",U280=0),"",MIN(IF(AV280="",9.9E+99,AV280),FLOOR(AN280/U280,1)))</f>
        <v/>
      </c>
      <c r="AP280" s="49">
        <f>IF(AO280="","",AO280*W280)</f>
        <v/>
      </c>
      <c r="AQ280" s="47">
        <f>IF(OR(AJ280="",U280=0),"",MIN(IF(AV280="",9.9E+99,AV280),AN280/U280))</f>
        <v/>
      </c>
      <c r="AR280" s="49">
        <f>IF(AQ280="","",AQ280*W280)</f>
        <v/>
      </c>
      <c r="AS280" s="51" t="n"/>
      <c r="AT280" s="52" t="n"/>
      <c r="AU280" s="52" t="n"/>
      <c r="AV280" s="53" t="n">
        <v>2</v>
      </c>
      <c r="AW280" s="54">
        <f>IF(((V280*pax_cap*load_thin*ROUND(N280*O280*revleg_thin,0))-(((battery/range_nm)*G280*ROUND(N280*O280*revleg_thin,0)*VLOOKUP(B280,country_opex,3,FALSE))+Y280+Z280+AA280+AB280+AC280))&lt;=0,"",VLOOKUP(B280,country_opex,7,FALSE)/((V280*pax_cap*load_thin*ROUND(N280*O280*revleg_thin,0))-(((battery/range_nm)*G280*ROUND(N280*O280*revleg_thin,0)*VLOOKUP(B280,country_opex,3,FALSE))+Y280+Z280+AA280+AB280+AC280)))</f>
        <v/>
      </c>
      <c r="AX280" s="54">
        <f>IF(((V280*pax_cap*load_mid*ROUND(N280*O280*revleg_mid,0))-(((battery/range_nm)*G280*ROUND(N280*O280*revleg_mid,0)*VLOOKUP(B280,country_opex,3,FALSE))+Y280+Z280+AA280+AB280+AC280))&lt;=0,"",VLOOKUP(B280,country_opex,7,FALSE)/((V280*pax_cap*load_mid*ROUND(N280*O280*revleg_mid,0))-(((battery/range_nm)*G280*ROUND(N280*O280*revleg_mid,0)*VLOOKUP(B280,country_opex,3,FALSE))+Y280+Z280+AA280+AB280+AC280)))</f>
        <v/>
      </c>
      <c r="AY280" s="54">
        <f>IF(((V280*pax_cap*load_full*ROUND(N280*O280*revleg_full,0))-(((battery/range_nm)*G280*ROUND(N280*O280*revleg_full,0)*VLOOKUP(B280,country_opex,3,FALSE))+Y280+Z280+AA280+AB280+AC280))&lt;=0,"",VLOOKUP(B280,country_opex,7,FALSE)/((V280*pax_cap*load_full*ROUND(N280*O280*revleg_full,0))-(((battery/range_nm)*G280*ROUND(N280*O280*revleg_full,0)*VLOOKUP(B280,country_opex,3,FALSE))+Y280+Z280+AA280+AB280+AC280)))</f>
        <v/>
      </c>
      <c r="AZ280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80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81">
      <c r="A281" s="38" t="inlineStr">
        <is>
          <t>Maldives (JIH)</t>
        </is>
      </c>
      <c r="B281" s="38" t="inlineStr">
        <is>
          <t>Maldives</t>
        </is>
      </c>
      <c r="C281" s="39" t="inlineStr">
        <is>
          <t>Maamigili (Villa) Airport, South Ari → Conrad Maldives Rangali Island</t>
        </is>
      </c>
      <c r="D281" s="38" t="inlineStr">
        <is>
          <t>jih-global</t>
        </is>
      </c>
      <c r="E281" s="40" t="inlineStr">
        <is>
          <t>maldives-jih</t>
        </is>
      </c>
      <c r="F281" s="41" t="n">
        <v>1</v>
      </c>
      <c r="G281" s="42" t="n">
        <v>13.1</v>
      </c>
      <c r="H281" s="35" t="n">
        <v>150</v>
      </c>
      <c r="I281" s="43" t="inlineStr">
        <is>
          <t>T3</t>
        </is>
      </c>
      <c r="J281" s="43" t="inlineStr">
        <is>
          <t>med</t>
        </is>
      </c>
      <c r="K281" s="29" t="n">
        <v>1</v>
      </c>
      <c r="L281" s="44">
        <f>60*G281/cruise_kt</f>
        <v/>
      </c>
      <c r="M281" s="44">
        <f>L281+turn_min+dwell_min</f>
        <v/>
      </c>
      <c r="N281" s="45">
        <f>MIN(10,FLOOR(60*service_hr/M281,1))</f>
        <v/>
      </c>
      <c r="O281" s="45">
        <f>ROUND(365*mech_uptime*K281,0)</f>
        <v/>
      </c>
      <c r="P281" s="46">
        <f>mech_uptime</f>
        <v/>
      </c>
      <c r="Q281" s="46">
        <f>revleg_sel</f>
        <v/>
      </c>
      <c r="R281" s="45">
        <f>ROUND(N281*O281*revleg_sel,0)</f>
        <v/>
      </c>
      <c r="S281" s="47">
        <f>load_sel</f>
        <v/>
      </c>
      <c r="T281" s="47">
        <f>pax_cap*S281</f>
        <v/>
      </c>
      <c r="U281" s="45">
        <f>T281*R281</f>
        <v/>
      </c>
      <c r="V281" s="48">
        <f>H281*discount</f>
        <v/>
      </c>
      <c r="W281" s="49">
        <f>V281*U281</f>
        <v/>
      </c>
      <c r="X281" s="49">
        <f>(battery/range_nm)*G281*R281*VLOOKUP(B281,country_opex,3,FALSE)</f>
        <v/>
      </c>
      <c r="Y281" s="49">
        <f>VLOOKUP(B281,country_opex,2,FALSE)*crew_factor</f>
        <v/>
      </c>
      <c r="Z281" s="49">
        <f>VLOOKUP(B281,country_opex,5,FALSE)</f>
        <v/>
      </c>
      <c r="AA281" s="49">
        <f>maint</f>
        <v/>
      </c>
      <c r="AB281" s="49">
        <f>VLOOKUP(B281,country_opex,7,FALSE)*ins_pct</f>
        <v/>
      </c>
      <c r="AC281" s="49">
        <f>charge_berth</f>
        <v/>
      </c>
      <c r="AD281" s="49">
        <f>X281+Y281+Z281+AA281+AB281+AC281</f>
        <v/>
      </c>
      <c r="AE281" s="49">
        <f>VLOOKUP(B281,country_opex,7,FALSE)/dep_years</f>
        <v/>
      </c>
      <c r="AF281" s="49">
        <f>W281-AD281</f>
        <v/>
      </c>
      <c r="AG281" s="46">
        <f>IF(W281=0,"",AF281/W281)</f>
        <v/>
      </c>
      <c r="AH281" s="47">
        <f>IF(AF281&lt;=0,"",VLOOKUP(B281,country_opex,7,FALSE)/AF281)</f>
        <v/>
      </c>
      <c r="AI281" s="44">
        <f>((G281*R281/diesel_nmpg)*diesel_co2pg-(battery/range_nm)*G281*R281*VLOOKUP(B281,country_opex,4,FALSE))/1000</f>
        <v/>
      </c>
      <c r="AJ281" s="42" t="n">
        <v>11203</v>
      </c>
      <c r="AK281" s="43" t="inlineStr">
        <is>
          <t>T5</t>
        </is>
      </c>
      <c r="AL281" s="43" t="inlineStr">
        <is>
          <t>med</t>
        </is>
      </c>
      <c r="AM281" s="50" t="n">
        <v>0.9</v>
      </c>
      <c r="AN281" s="45">
        <f>IF(AJ281="","",AJ281*AM281)</f>
        <v/>
      </c>
      <c r="AO281" s="45">
        <f>IF(OR(AJ281="",U281=0),"",MIN(IF(AV281="",9.9E+99,AV281),FLOOR(AN281/U281,1)))</f>
        <v/>
      </c>
      <c r="AP281" s="49">
        <f>IF(AO281="","",AO281*W281)</f>
        <v/>
      </c>
      <c r="AQ281" s="47">
        <f>IF(OR(AJ281="",U281=0),"",MIN(IF(AV281="",9.9E+99,AV281),AN281/U281))</f>
        <v/>
      </c>
      <c r="AR281" s="49">
        <f>IF(AQ281="","",AQ281*W281)</f>
        <v/>
      </c>
      <c r="AS281" s="51" t="n"/>
      <c r="AT281" s="52" t="n"/>
      <c r="AU281" s="52" t="n"/>
      <c r="AV281" s="53" t="n">
        <v>6</v>
      </c>
      <c r="AW281" s="54">
        <f>IF(((V281*pax_cap*load_thin*ROUND(N281*O281*revleg_thin,0))-(((battery/range_nm)*G281*ROUND(N281*O281*revleg_thin,0)*VLOOKUP(B281,country_opex,3,FALSE))+Y281+Z281+AA281+AB281+AC281))&lt;=0,"",VLOOKUP(B281,country_opex,7,FALSE)/((V281*pax_cap*load_thin*ROUND(N281*O281*revleg_thin,0))-(((battery/range_nm)*G281*ROUND(N281*O281*revleg_thin,0)*VLOOKUP(B281,country_opex,3,FALSE))+Y281+Z281+AA281+AB281+AC281)))</f>
        <v/>
      </c>
      <c r="AX281" s="54">
        <f>IF(((V281*pax_cap*load_mid*ROUND(N281*O281*revleg_mid,0))-(((battery/range_nm)*G281*ROUND(N281*O281*revleg_mid,0)*VLOOKUP(B281,country_opex,3,FALSE))+Y281+Z281+AA281+AB281+AC281))&lt;=0,"",VLOOKUP(B281,country_opex,7,FALSE)/((V281*pax_cap*load_mid*ROUND(N281*O281*revleg_mid,0))-(((battery/range_nm)*G281*ROUND(N281*O281*revleg_mid,0)*VLOOKUP(B281,country_opex,3,FALSE))+Y281+Z281+AA281+AB281+AC281)))</f>
        <v/>
      </c>
      <c r="AY281" s="54">
        <f>IF(((V281*pax_cap*load_full*ROUND(N281*O281*revleg_full,0))-(((battery/range_nm)*G281*ROUND(N281*O281*revleg_full,0)*VLOOKUP(B281,country_opex,3,FALSE))+Y281+Z281+AA281+AB281+AC281))&lt;=0,"",VLOOKUP(B281,country_opex,7,FALSE)/((V281*pax_cap*load_full*ROUND(N281*O281*revleg_full,0))-(((battery/range_nm)*G281*ROUND(N281*O281*revleg_full,0)*VLOOKUP(B281,country_opex,3,FALSE))+Y281+Z281+AA281+AB281+AC281)))</f>
        <v/>
      </c>
      <c r="AZ281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81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82">
      <c r="A282" s="38" t="inlineStr">
        <is>
          <t>Maldives (JIH)</t>
        </is>
      </c>
      <c r="B282" s="38" t="inlineStr">
        <is>
          <t>Maldives</t>
        </is>
      </c>
      <c r="C282" s="39" t="inlineStr">
        <is>
          <t>Maafaru Airport, Noonu → Cheval Blanc Randheli (Noonu)</t>
        </is>
      </c>
      <c r="D282" s="38" t="inlineStr">
        <is>
          <t>jih-global</t>
        </is>
      </c>
      <c r="E282" s="40" t="inlineStr">
        <is>
          <t>maldives-jih</t>
        </is>
      </c>
      <c r="F282" s="41" t="n">
        <v>1</v>
      </c>
      <c r="G282" s="42" t="n">
        <v>13.1</v>
      </c>
      <c r="H282" s="35" t="n">
        <v>200</v>
      </c>
      <c r="I282" s="43" t="inlineStr">
        <is>
          <t>T3</t>
        </is>
      </c>
      <c r="J282" s="43" t="inlineStr">
        <is>
          <t>med</t>
        </is>
      </c>
      <c r="K282" s="29" t="n">
        <v>1</v>
      </c>
      <c r="L282" s="44">
        <f>60*G282/cruise_kt</f>
        <v/>
      </c>
      <c r="M282" s="44">
        <f>L282+turn_min+dwell_min</f>
        <v/>
      </c>
      <c r="N282" s="45">
        <f>MIN(10,FLOOR(60*service_hr/M282,1))</f>
        <v/>
      </c>
      <c r="O282" s="45">
        <f>ROUND(365*mech_uptime*K282,0)</f>
        <v/>
      </c>
      <c r="P282" s="46">
        <f>mech_uptime</f>
        <v/>
      </c>
      <c r="Q282" s="46">
        <f>revleg_sel</f>
        <v/>
      </c>
      <c r="R282" s="45">
        <f>ROUND(N282*O282*revleg_sel,0)</f>
        <v/>
      </c>
      <c r="S282" s="47">
        <f>load_sel</f>
        <v/>
      </c>
      <c r="T282" s="47">
        <f>pax_cap*S282</f>
        <v/>
      </c>
      <c r="U282" s="45">
        <f>T282*R282</f>
        <v/>
      </c>
      <c r="V282" s="48">
        <f>H282*discount</f>
        <v/>
      </c>
      <c r="W282" s="49">
        <f>V282*U282</f>
        <v/>
      </c>
      <c r="X282" s="49">
        <f>(battery/range_nm)*G282*R282*VLOOKUP(B282,country_opex,3,FALSE)</f>
        <v/>
      </c>
      <c r="Y282" s="49">
        <f>VLOOKUP(B282,country_opex,2,FALSE)*crew_factor</f>
        <v/>
      </c>
      <c r="Z282" s="49">
        <f>VLOOKUP(B282,country_opex,5,FALSE)</f>
        <v/>
      </c>
      <c r="AA282" s="49">
        <f>maint</f>
        <v/>
      </c>
      <c r="AB282" s="49">
        <f>VLOOKUP(B282,country_opex,7,FALSE)*ins_pct</f>
        <v/>
      </c>
      <c r="AC282" s="49">
        <f>charge_berth</f>
        <v/>
      </c>
      <c r="AD282" s="49">
        <f>X282+Y282+Z282+AA282+AB282+AC282</f>
        <v/>
      </c>
      <c r="AE282" s="49">
        <f>VLOOKUP(B282,country_opex,7,FALSE)/dep_years</f>
        <v/>
      </c>
      <c r="AF282" s="49">
        <f>W282-AD282</f>
        <v/>
      </c>
      <c r="AG282" s="46">
        <f>IF(W282=0,"",AF282/W282)</f>
        <v/>
      </c>
      <c r="AH282" s="47">
        <f>IF(AF282&lt;=0,"",VLOOKUP(B282,country_opex,7,FALSE)/AF282)</f>
        <v/>
      </c>
      <c r="AI282" s="44">
        <f>((G282*R282/diesel_nmpg)*diesel_co2pg-(battery/range_nm)*G282*R282*VLOOKUP(B282,country_opex,4,FALSE))/1000</f>
        <v/>
      </c>
      <c r="AJ282" s="42" t="n">
        <v>3361</v>
      </c>
      <c r="AK282" s="43" t="inlineStr">
        <is>
          <t>T5</t>
        </is>
      </c>
      <c r="AL282" s="43" t="inlineStr">
        <is>
          <t>med</t>
        </is>
      </c>
      <c r="AM282" s="50" t="n">
        <v>0.9</v>
      </c>
      <c r="AN282" s="45">
        <f>IF(AJ282="","",AJ282*AM282)</f>
        <v/>
      </c>
      <c r="AO282" s="45">
        <f>IF(OR(AJ282="",U282=0),"",MIN(IF(AV282="",9.9E+99,AV282),FLOOR(AN282/U282,1)))</f>
        <v/>
      </c>
      <c r="AP282" s="49">
        <f>IF(AO282="","",AO282*W282)</f>
        <v/>
      </c>
      <c r="AQ282" s="47">
        <f>IF(OR(AJ282="",U282=0),"",MIN(IF(AV282="",9.9E+99,AV282),AN282/U282))</f>
        <v/>
      </c>
      <c r="AR282" s="49">
        <f>IF(AQ282="","",AQ282*W282)</f>
        <v/>
      </c>
      <c r="AS282" s="51" t="n"/>
      <c r="AT282" s="52" t="n"/>
      <c r="AU282" s="52" t="n"/>
      <c r="AV282" s="53" t="n">
        <v>2</v>
      </c>
      <c r="AW282" s="54">
        <f>IF(((V282*pax_cap*load_thin*ROUND(N282*O282*revleg_thin,0))-(((battery/range_nm)*G282*ROUND(N282*O282*revleg_thin,0)*VLOOKUP(B282,country_opex,3,FALSE))+Y282+Z282+AA282+AB282+AC282))&lt;=0,"",VLOOKUP(B282,country_opex,7,FALSE)/((V282*pax_cap*load_thin*ROUND(N282*O282*revleg_thin,0))-(((battery/range_nm)*G282*ROUND(N282*O282*revleg_thin,0)*VLOOKUP(B282,country_opex,3,FALSE))+Y282+Z282+AA282+AB282+AC282)))</f>
        <v/>
      </c>
      <c r="AX282" s="54">
        <f>IF(((V282*pax_cap*load_mid*ROUND(N282*O282*revleg_mid,0))-(((battery/range_nm)*G282*ROUND(N282*O282*revleg_mid,0)*VLOOKUP(B282,country_opex,3,FALSE))+Y282+Z282+AA282+AB282+AC282))&lt;=0,"",VLOOKUP(B282,country_opex,7,FALSE)/((V282*pax_cap*load_mid*ROUND(N282*O282*revleg_mid,0))-(((battery/range_nm)*G282*ROUND(N282*O282*revleg_mid,0)*VLOOKUP(B282,country_opex,3,FALSE))+Y282+Z282+AA282+AB282+AC282)))</f>
        <v/>
      </c>
      <c r="AY282" s="54">
        <f>IF(((V282*pax_cap*load_full*ROUND(N282*O282*revleg_full,0))-(((battery/range_nm)*G282*ROUND(N282*O282*revleg_full,0)*VLOOKUP(B282,country_opex,3,FALSE))+Y282+Z282+AA282+AB282+AC282))&lt;=0,"",VLOOKUP(B282,country_opex,7,FALSE)/((V282*pax_cap*load_full*ROUND(N282*O282*revleg_full,0))-(((battery/range_nm)*G282*ROUND(N282*O282*revleg_full,0)*VLOOKUP(B282,country_opex,3,FALSE))+Y282+Z282+AA282+AB282+AC282)))</f>
        <v/>
      </c>
      <c r="AZ282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82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83">
      <c r="A283" s="38" t="inlineStr">
        <is>
          <t>Maldives (JIH)</t>
        </is>
      </c>
      <c r="B283" s="38" t="inlineStr">
        <is>
          <t>Maldives</t>
        </is>
      </c>
      <c r="C283" s="39" t="inlineStr">
        <is>
          <t>Ifuru Airport, Raa → Joali Being (Bodufushi, Raa)</t>
        </is>
      </c>
      <c r="D283" s="38" t="inlineStr">
        <is>
          <t>jih-global</t>
        </is>
      </c>
      <c r="E283" s="40" t="inlineStr">
        <is>
          <t>maldives-jih</t>
        </is>
      </c>
      <c r="F283" s="41" t="n">
        <v>1</v>
      </c>
      <c r="G283" s="42" t="n">
        <v>13.2</v>
      </c>
      <c r="H283" s="35" t="n">
        <v>200</v>
      </c>
      <c r="I283" s="43" t="inlineStr">
        <is>
          <t>T3</t>
        </is>
      </c>
      <c r="J283" s="43" t="inlineStr">
        <is>
          <t>med</t>
        </is>
      </c>
      <c r="K283" s="29" t="n">
        <v>1</v>
      </c>
      <c r="L283" s="44">
        <f>60*G283/cruise_kt</f>
        <v/>
      </c>
      <c r="M283" s="44">
        <f>L283+turn_min+dwell_min</f>
        <v/>
      </c>
      <c r="N283" s="45">
        <f>MIN(10,FLOOR(60*service_hr/M283,1))</f>
        <v/>
      </c>
      <c r="O283" s="45">
        <f>ROUND(365*mech_uptime*K283,0)</f>
        <v/>
      </c>
      <c r="P283" s="46">
        <f>mech_uptime</f>
        <v/>
      </c>
      <c r="Q283" s="46">
        <f>revleg_sel</f>
        <v/>
      </c>
      <c r="R283" s="45">
        <f>ROUND(N283*O283*revleg_sel,0)</f>
        <v/>
      </c>
      <c r="S283" s="47">
        <f>load_sel</f>
        <v/>
      </c>
      <c r="T283" s="47">
        <f>pax_cap*S283</f>
        <v/>
      </c>
      <c r="U283" s="45">
        <f>T283*R283</f>
        <v/>
      </c>
      <c r="V283" s="48">
        <f>H283*discount</f>
        <v/>
      </c>
      <c r="W283" s="49">
        <f>V283*U283</f>
        <v/>
      </c>
      <c r="X283" s="49">
        <f>(battery/range_nm)*G283*R283*VLOOKUP(B283,country_opex,3,FALSE)</f>
        <v/>
      </c>
      <c r="Y283" s="49">
        <f>VLOOKUP(B283,country_opex,2,FALSE)*crew_factor</f>
        <v/>
      </c>
      <c r="Z283" s="49">
        <f>VLOOKUP(B283,country_opex,5,FALSE)</f>
        <v/>
      </c>
      <c r="AA283" s="49">
        <f>maint</f>
        <v/>
      </c>
      <c r="AB283" s="49">
        <f>VLOOKUP(B283,country_opex,7,FALSE)*ins_pct</f>
        <v/>
      </c>
      <c r="AC283" s="49">
        <f>charge_berth</f>
        <v/>
      </c>
      <c r="AD283" s="49">
        <f>X283+Y283+Z283+AA283+AB283+AC283</f>
        <v/>
      </c>
      <c r="AE283" s="49">
        <f>VLOOKUP(B283,country_opex,7,FALSE)/dep_years</f>
        <v/>
      </c>
      <c r="AF283" s="49">
        <f>W283-AD283</f>
        <v/>
      </c>
      <c r="AG283" s="46">
        <f>IF(W283=0,"",AF283/W283)</f>
        <v/>
      </c>
      <c r="AH283" s="47">
        <f>IF(AF283&lt;=0,"",VLOOKUP(B283,country_opex,7,FALSE)/AF283)</f>
        <v/>
      </c>
      <c r="AI283" s="44">
        <f>((G283*R283/diesel_nmpg)*diesel_co2pg-(battery/range_nm)*G283*R283*VLOOKUP(B283,country_opex,4,FALSE))/1000</f>
        <v/>
      </c>
      <c r="AJ283" s="42" t="n">
        <v>5079</v>
      </c>
      <c r="AK283" s="43" t="inlineStr">
        <is>
          <t>T5</t>
        </is>
      </c>
      <c r="AL283" s="43" t="inlineStr">
        <is>
          <t>med</t>
        </is>
      </c>
      <c r="AM283" s="50" t="n">
        <v>0.9</v>
      </c>
      <c r="AN283" s="45">
        <f>IF(AJ283="","",AJ283*AM283)</f>
        <v/>
      </c>
      <c r="AO283" s="45">
        <f>IF(OR(AJ283="",U283=0),"",MIN(IF(AV283="",9.9E+99,AV283),FLOOR(AN283/U283,1)))</f>
        <v/>
      </c>
      <c r="AP283" s="49">
        <f>IF(AO283="","",AO283*W283)</f>
        <v/>
      </c>
      <c r="AQ283" s="47">
        <f>IF(OR(AJ283="",U283=0),"",MIN(IF(AV283="",9.9E+99,AV283),AN283/U283))</f>
        <v/>
      </c>
      <c r="AR283" s="49">
        <f>IF(AQ283="","",AQ283*W283)</f>
        <v/>
      </c>
      <c r="AS283" s="51" t="n"/>
      <c r="AT283" s="52" t="n"/>
      <c r="AU283" s="52" t="n"/>
      <c r="AV283" s="53" t="n">
        <v>3</v>
      </c>
      <c r="AW283" s="54">
        <f>IF(((V283*pax_cap*load_thin*ROUND(N283*O283*revleg_thin,0))-(((battery/range_nm)*G283*ROUND(N283*O283*revleg_thin,0)*VLOOKUP(B283,country_opex,3,FALSE))+Y283+Z283+AA283+AB283+AC283))&lt;=0,"",VLOOKUP(B283,country_opex,7,FALSE)/((V283*pax_cap*load_thin*ROUND(N283*O283*revleg_thin,0))-(((battery/range_nm)*G283*ROUND(N283*O283*revleg_thin,0)*VLOOKUP(B283,country_opex,3,FALSE))+Y283+Z283+AA283+AB283+AC283)))</f>
        <v/>
      </c>
      <c r="AX283" s="54">
        <f>IF(((V283*pax_cap*load_mid*ROUND(N283*O283*revleg_mid,0))-(((battery/range_nm)*G283*ROUND(N283*O283*revleg_mid,0)*VLOOKUP(B283,country_opex,3,FALSE))+Y283+Z283+AA283+AB283+AC283))&lt;=0,"",VLOOKUP(B283,country_opex,7,FALSE)/((V283*pax_cap*load_mid*ROUND(N283*O283*revleg_mid,0))-(((battery/range_nm)*G283*ROUND(N283*O283*revleg_mid,0)*VLOOKUP(B283,country_opex,3,FALSE))+Y283+Z283+AA283+AB283+AC283)))</f>
        <v/>
      </c>
      <c r="AY283" s="54">
        <f>IF(((V283*pax_cap*load_full*ROUND(N283*O283*revleg_full,0))-(((battery/range_nm)*G283*ROUND(N283*O283*revleg_full,0)*VLOOKUP(B283,country_opex,3,FALSE))+Y283+Z283+AA283+AB283+AC283))&lt;=0,"",VLOOKUP(B283,country_opex,7,FALSE)/((V283*pax_cap*load_full*ROUND(N283*O283*revleg_full,0))-(((battery/range_nm)*G283*ROUND(N283*O283*revleg_full,0)*VLOOKUP(B283,country_opex,3,FALSE))+Y283+Z283+AA283+AB283+AC283)))</f>
        <v/>
      </c>
      <c r="AZ283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83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84">
      <c r="A284" s="38" t="inlineStr">
        <is>
          <t>Maldives (JIH)</t>
        </is>
      </c>
      <c r="B284" s="38" t="inlineStr">
        <is>
          <t>Maldives</t>
        </is>
      </c>
      <c r="C284" s="39" t="inlineStr">
        <is>
          <t>Soneva Fushi (Kunfunadhoo, Baa) → Anantara Kihavah (Baa)</t>
        </is>
      </c>
      <c r="D284" s="38" t="inlineStr">
        <is>
          <t>jih-global</t>
        </is>
      </c>
      <c r="E284" s="40" t="inlineStr">
        <is>
          <t>maldives-jih</t>
        </is>
      </c>
      <c r="F284" s="41" t="n">
        <v>1</v>
      </c>
      <c r="G284" s="42" t="n">
        <v>13.3</v>
      </c>
      <c r="H284" s="35" t="n">
        <v>175</v>
      </c>
      <c r="I284" s="43" t="inlineStr">
        <is>
          <t>T3</t>
        </is>
      </c>
      <c r="J284" s="43" t="inlineStr">
        <is>
          <t>med</t>
        </is>
      </c>
      <c r="K284" s="29" t="n">
        <v>1</v>
      </c>
      <c r="L284" s="44">
        <f>60*G284/cruise_kt</f>
        <v/>
      </c>
      <c r="M284" s="44">
        <f>L284+turn_min+dwell_min</f>
        <v/>
      </c>
      <c r="N284" s="45">
        <f>MIN(10,FLOOR(60*service_hr/M284,1))</f>
        <v/>
      </c>
      <c r="O284" s="45">
        <f>ROUND(365*mech_uptime*K284,0)</f>
        <v/>
      </c>
      <c r="P284" s="46">
        <f>mech_uptime</f>
        <v/>
      </c>
      <c r="Q284" s="46">
        <f>revleg_sel</f>
        <v/>
      </c>
      <c r="R284" s="45">
        <f>ROUND(N284*O284*revleg_sel,0)</f>
        <v/>
      </c>
      <c r="S284" s="47">
        <f>load_sel</f>
        <v/>
      </c>
      <c r="T284" s="47">
        <f>pax_cap*S284</f>
        <v/>
      </c>
      <c r="U284" s="45">
        <f>T284*R284</f>
        <v/>
      </c>
      <c r="V284" s="48">
        <f>H284*discount</f>
        <v/>
      </c>
      <c r="W284" s="49">
        <f>V284*U284</f>
        <v/>
      </c>
      <c r="X284" s="49">
        <f>(battery/range_nm)*G284*R284*VLOOKUP(B284,country_opex,3,FALSE)</f>
        <v/>
      </c>
      <c r="Y284" s="49">
        <f>VLOOKUP(B284,country_opex,2,FALSE)*crew_factor</f>
        <v/>
      </c>
      <c r="Z284" s="49">
        <f>VLOOKUP(B284,country_opex,5,FALSE)</f>
        <v/>
      </c>
      <c r="AA284" s="49">
        <f>maint</f>
        <v/>
      </c>
      <c r="AB284" s="49">
        <f>VLOOKUP(B284,country_opex,7,FALSE)*ins_pct</f>
        <v/>
      </c>
      <c r="AC284" s="49">
        <f>charge_berth</f>
        <v/>
      </c>
      <c r="AD284" s="49">
        <f>X284+Y284+Z284+AA284+AB284+AC284</f>
        <v/>
      </c>
      <c r="AE284" s="49">
        <f>VLOOKUP(B284,country_opex,7,FALSE)/dep_years</f>
        <v/>
      </c>
      <c r="AF284" s="49">
        <f>W284-AD284</f>
        <v/>
      </c>
      <c r="AG284" s="46">
        <f>IF(W284=0,"",AF284/W284)</f>
        <v/>
      </c>
      <c r="AH284" s="47">
        <f>IF(AF284&lt;=0,"",VLOOKUP(B284,country_opex,7,FALSE)/AF284)</f>
        <v/>
      </c>
      <c r="AI284" s="44">
        <f>((G284*R284/diesel_nmpg)*diesel_co2pg-(battery/range_nm)*G284*R284*VLOOKUP(B284,country_opex,4,FALSE))/1000</f>
        <v/>
      </c>
      <c r="AJ284" s="42" t="n"/>
      <c r="AK284" s="43" t="n"/>
      <c r="AL284" s="43" t="inlineStr">
        <is>
          <t>null</t>
        </is>
      </c>
      <c r="AM284" s="50" t="n">
        <v>0.9</v>
      </c>
      <c r="AN284" s="45">
        <f>IF(AJ284="","",AJ284*AM284)</f>
        <v/>
      </c>
      <c r="AO284" s="45">
        <f>IF(OR(AJ284="",U284=0),"",MIN(IF(AV284="",9.9E+99,AV284),FLOOR(AN284/U284,1)))</f>
        <v/>
      </c>
      <c r="AP284" s="49">
        <f>IF(AO284="","",AO284*W284)</f>
        <v/>
      </c>
      <c r="AQ284" s="47">
        <f>IF(OR(AJ284="",U284=0),"",MIN(IF(AV284="",9.9E+99,AV284),AN284/U284))</f>
        <v/>
      </c>
      <c r="AR284" s="49">
        <f>IF(AQ284="","",AQ284*W284)</f>
        <v/>
      </c>
      <c r="AS284" s="51" t="n"/>
      <c r="AT284" s="52" t="n"/>
      <c r="AU284" s="52" t="n"/>
      <c r="AV284" s="53" t="n"/>
      <c r="AW284" s="54">
        <f>IF(((V284*pax_cap*load_thin*ROUND(N284*O284*revleg_thin,0))-(((battery/range_nm)*G284*ROUND(N284*O284*revleg_thin,0)*VLOOKUP(B284,country_opex,3,FALSE))+Y284+Z284+AA284+AB284+AC284))&lt;=0,"",VLOOKUP(B284,country_opex,7,FALSE)/((V284*pax_cap*load_thin*ROUND(N284*O284*revleg_thin,0))-(((battery/range_nm)*G284*ROUND(N284*O284*revleg_thin,0)*VLOOKUP(B284,country_opex,3,FALSE))+Y284+Z284+AA284+AB284+AC284)))</f>
        <v/>
      </c>
      <c r="AX284" s="54">
        <f>IF(((V284*pax_cap*load_mid*ROUND(N284*O284*revleg_mid,0))-(((battery/range_nm)*G284*ROUND(N284*O284*revleg_mid,0)*VLOOKUP(B284,country_opex,3,FALSE))+Y284+Z284+AA284+AB284+AC284))&lt;=0,"",VLOOKUP(B284,country_opex,7,FALSE)/((V284*pax_cap*load_mid*ROUND(N284*O284*revleg_mid,0))-(((battery/range_nm)*G284*ROUND(N284*O284*revleg_mid,0)*VLOOKUP(B284,country_opex,3,FALSE))+Y284+Z284+AA284+AB284+AC284)))</f>
        <v/>
      </c>
      <c r="AY284" s="54">
        <f>IF(((V284*pax_cap*load_full*ROUND(N284*O284*revleg_full,0))-(((battery/range_nm)*G284*ROUND(N284*O284*revleg_full,0)*VLOOKUP(B284,country_opex,3,FALSE))+Y284+Z284+AA284+AB284+AC284))&lt;=0,"",VLOOKUP(B284,country_opex,7,FALSE)/((V284*pax_cap*load_full*ROUND(N284*O284*revleg_full,0))-(((battery/range_nm)*G284*ROUND(N284*O284*revleg_full,0)*VLOOKUP(B284,country_opex,3,FALSE))+Y284+Z284+AA284+AB284+AC284)))</f>
        <v/>
      </c>
      <c r="AZ284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84" s="40" t="inlineStr">
        <is>
          <t>NULL — pure inter-resort island-hop; no grounded crossing pool (R2). Geometry only.</t>
        </is>
      </c>
    </row>
    <row r="285">
      <c r="A285" s="38" t="inlineStr">
        <is>
          <t>Maldives (JIH)</t>
        </is>
      </c>
      <c r="B285" s="38" t="inlineStr">
        <is>
          <t>Maldives</t>
        </is>
      </c>
      <c r="C285" s="39" t="inlineStr">
        <is>
          <t>Dharavandhoo Airport, Baa → Vakkaru Maldives (Baa)</t>
        </is>
      </c>
      <c r="D285" s="38" t="inlineStr">
        <is>
          <t>jih-global</t>
        </is>
      </c>
      <c r="E285" s="40" t="inlineStr">
        <is>
          <t>maldives-jih</t>
        </is>
      </c>
      <c r="F285" s="41" t="n">
        <v>1</v>
      </c>
      <c r="G285" s="42" t="n">
        <v>13.6</v>
      </c>
      <c r="H285" s="35" t="n">
        <v>175</v>
      </c>
      <c r="I285" s="43" t="inlineStr">
        <is>
          <t>T3</t>
        </is>
      </c>
      <c r="J285" s="43" t="inlineStr">
        <is>
          <t>med</t>
        </is>
      </c>
      <c r="K285" s="29" t="n">
        <v>1</v>
      </c>
      <c r="L285" s="44">
        <f>60*G285/cruise_kt</f>
        <v/>
      </c>
      <c r="M285" s="44">
        <f>L285+turn_min+dwell_min</f>
        <v/>
      </c>
      <c r="N285" s="45">
        <f>MIN(10,FLOOR(60*service_hr/M285,1))</f>
        <v/>
      </c>
      <c r="O285" s="45">
        <f>ROUND(365*mech_uptime*K285,0)</f>
        <v/>
      </c>
      <c r="P285" s="46">
        <f>mech_uptime</f>
        <v/>
      </c>
      <c r="Q285" s="46">
        <f>revleg_sel</f>
        <v/>
      </c>
      <c r="R285" s="45">
        <f>ROUND(N285*O285*revleg_sel,0)</f>
        <v/>
      </c>
      <c r="S285" s="47">
        <f>load_sel</f>
        <v/>
      </c>
      <c r="T285" s="47">
        <f>pax_cap*S285</f>
        <v/>
      </c>
      <c r="U285" s="45">
        <f>T285*R285</f>
        <v/>
      </c>
      <c r="V285" s="48">
        <f>H285*discount</f>
        <v/>
      </c>
      <c r="W285" s="49">
        <f>V285*U285</f>
        <v/>
      </c>
      <c r="X285" s="49">
        <f>(battery/range_nm)*G285*R285*VLOOKUP(B285,country_opex,3,FALSE)</f>
        <v/>
      </c>
      <c r="Y285" s="49">
        <f>VLOOKUP(B285,country_opex,2,FALSE)*crew_factor</f>
        <v/>
      </c>
      <c r="Z285" s="49">
        <f>VLOOKUP(B285,country_opex,5,FALSE)</f>
        <v/>
      </c>
      <c r="AA285" s="49">
        <f>maint</f>
        <v/>
      </c>
      <c r="AB285" s="49">
        <f>VLOOKUP(B285,country_opex,7,FALSE)*ins_pct</f>
        <v/>
      </c>
      <c r="AC285" s="49">
        <f>charge_berth</f>
        <v/>
      </c>
      <c r="AD285" s="49">
        <f>X285+Y285+Z285+AA285+AB285+AC285</f>
        <v/>
      </c>
      <c r="AE285" s="49">
        <f>VLOOKUP(B285,country_opex,7,FALSE)/dep_years</f>
        <v/>
      </c>
      <c r="AF285" s="49">
        <f>W285-AD285</f>
        <v/>
      </c>
      <c r="AG285" s="46">
        <f>IF(W285=0,"",AF285/W285)</f>
        <v/>
      </c>
      <c r="AH285" s="47">
        <f>IF(AF285&lt;=0,"",VLOOKUP(B285,country_opex,7,FALSE)/AF285)</f>
        <v/>
      </c>
      <c r="AI285" s="44">
        <f>((G285*R285/diesel_nmpg)*diesel_co2pg-(battery/range_nm)*G285*R285*VLOOKUP(B285,country_opex,4,FALSE))/1000</f>
        <v/>
      </c>
      <c r="AJ285" s="42" t="n">
        <v>9336</v>
      </c>
      <c r="AK285" s="43" t="inlineStr">
        <is>
          <t>T5</t>
        </is>
      </c>
      <c r="AL285" s="43" t="inlineStr">
        <is>
          <t>med</t>
        </is>
      </c>
      <c r="AM285" s="50" t="n">
        <v>0.9</v>
      </c>
      <c r="AN285" s="45">
        <f>IF(AJ285="","",AJ285*AM285)</f>
        <v/>
      </c>
      <c r="AO285" s="45">
        <f>IF(OR(AJ285="",U285=0),"",MIN(IF(AV285="",9.9E+99,AV285),FLOOR(AN285/U285,1)))</f>
        <v/>
      </c>
      <c r="AP285" s="49">
        <f>IF(AO285="","",AO285*W285)</f>
        <v/>
      </c>
      <c r="AQ285" s="47">
        <f>IF(OR(AJ285="",U285=0),"",MIN(IF(AV285="",9.9E+99,AV285),AN285/U285))</f>
        <v/>
      </c>
      <c r="AR285" s="49">
        <f>IF(AQ285="","",AQ285*W285)</f>
        <v/>
      </c>
      <c r="AS285" s="51" t="n"/>
      <c r="AT285" s="52" t="n"/>
      <c r="AU285" s="52" t="n"/>
      <c r="AV285" s="53" t="n">
        <v>5</v>
      </c>
      <c r="AW285" s="54">
        <f>IF(((V285*pax_cap*load_thin*ROUND(N285*O285*revleg_thin,0))-(((battery/range_nm)*G285*ROUND(N285*O285*revleg_thin,0)*VLOOKUP(B285,country_opex,3,FALSE))+Y285+Z285+AA285+AB285+AC285))&lt;=0,"",VLOOKUP(B285,country_opex,7,FALSE)/((V285*pax_cap*load_thin*ROUND(N285*O285*revleg_thin,0))-(((battery/range_nm)*G285*ROUND(N285*O285*revleg_thin,0)*VLOOKUP(B285,country_opex,3,FALSE))+Y285+Z285+AA285+AB285+AC285)))</f>
        <v/>
      </c>
      <c r="AX285" s="54">
        <f>IF(((V285*pax_cap*load_mid*ROUND(N285*O285*revleg_mid,0))-(((battery/range_nm)*G285*ROUND(N285*O285*revleg_mid,0)*VLOOKUP(B285,country_opex,3,FALSE))+Y285+Z285+AA285+AB285+AC285))&lt;=0,"",VLOOKUP(B285,country_opex,7,FALSE)/((V285*pax_cap*load_mid*ROUND(N285*O285*revleg_mid,0))-(((battery/range_nm)*G285*ROUND(N285*O285*revleg_mid,0)*VLOOKUP(B285,country_opex,3,FALSE))+Y285+Z285+AA285+AB285+AC285)))</f>
        <v/>
      </c>
      <c r="AY285" s="54">
        <f>IF(((V285*pax_cap*load_full*ROUND(N285*O285*revleg_full,0))-(((battery/range_nm)*G285*ROUND(N285*O285*revleg_full,0)*VLOOKUP(B285,country_opex,3,FALSE))+Y285+Z285+AA285+AB285+AC285))&lt;=0,"",VLOOKUP(B285,country_opex,7,FALSE)/((V285*pax_cap*load_full*ROUND(N285*O285*revleg_full,0))-(((battery/range_nm)*G285*ROUND(N285*O285*revleg_full,0)*VLOOKUP(B285,country_opex,3,FALSE))+Y285+Z285+AA285+AB285+AC285)))</f>
        <v/>
      </c>
      <c r="AZ285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85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86">
      <c r="A286" s="38" t="inlineStr">
        <is>
          <t>Maldives (JIH)</t>
        </is>
      </c>
      <c r="B286" s="38" t="inlineStr">
        <is>
          <t>Maldives</t>
        </is>
      </c>
      <c r="C286" s="39" t="inlineStr">
        <is>
          <t>Dharavandhoo Airport, Baa → Finolhu (Baa)</t>
        </is>
      </c>
      <c r="D286" s="38" t="inlineStr">
        <is>
          <t>jih-global</t>
        </is>
      </c>
      <c r="E286" s="40" t="inlineStr">
        <is>
          <t>maldives-jih</t>
        </is>
      </c>
      <c r="F286" s="41" t="n">
        <v>1</v>
      </c>
      <c r="G286" s="42" t="n">
        <v>13.9</v>
      </c>
      <c r="H286" s="35" t="n">
        <v>150</v>
      </c>
      <c r="I286" s="43" t="inlineStr">
        <is>
          <t>T3</t>
        </is>
      </c>
      <c r="J286" s="43" t="inlineStr">
        <is>
          <t>med</t>
        </is>
      </c>
      <c r="K286" s="29" t="n">
        <v>1</v>
      </c>
      <c r="L286" s="44">
        <f>60*G286/cruise_kt</f>
        <v/>
      </c>
      <c r="M286" s="44">
        <f>L286+turn_min+dwell_min</f>
        <v/>
      </c>
      <c r="N286" s="45">
        <f>MIN(10,FLOOR(60*service_hr/M286,1))</f>
        <v/>
      </c>
      <c r="O286" s="45">
        <f>ROUND(365*mech_uptime*K286,0)</f>
        <v/>
      </c>
      <c r="P286" s="46">
        <f>mech_uptime</f>
        <v/>
      </c>
      <c r="Q286" s="46">
        <f>revleg_sel</f>
        <v/>
      </c>
      <c r="R286" s="45">
        <f>ROUND(N286*O286*revleg_sel,0)</f>
        <v/>
      </c>
      <c r="S286" s="47">
        <f>load_sel</f>
        <v/>
      </c>
      <c r="T286" s="47">
        <f>pax_cap*S286</f>
        <v/>
      </c>
      <c r="U286" s="45">
        <f>T286*R286</f>
        <v/>
      </c>
      <c r="V286" s="48">
        <f>H286*discount</f>
        <v/>
      </c>
      <c r="W286" s="49">
        <f>V286*U286</f>
        <v/>
      </c>
      <c r="X286" s="49">
        <f>(battery/range_nm)*G286*R286*VLOOKUP(B286,country_opex,3,FALSE)</f>
        <v/>
      </c>
      <c r="Y286" s="49">
        <f>VLOOKUP(B286,country_opex,2,FALSE)*crew_factor</f>
        <v/>
      </c>
      <c r="Z286" s="49">
        <f>VLOOKUP(B286,country_opex,5,FALSE)</f>
        <v/>
      </c>
      <c r="AA286" s="49">
        <f>maint</f>
        <v/>
      </c>
      <c r="AB286" s="49">
        <f>VLOOKUP(B286,country_opex,7,FALSE)*ins_pct</f>
        <v/>
      </c>
      <c r="AC286" s="49">
        <f>charge_berth</f>
        <v/>
      </c>
      <c r="AD286" s="49">
        <f>X286+Y286+Z286+AA286+AB286+AC286</f>
        <v/>
      </c>
      <c r="AE286" s="49">
        <f>VLOOKUP(B286,country_opex,7,FALSE)/dep_years</f>
        <v/>
      </c>
      <c r="AF286" s="49">
        <f>W286-AD286</f>
        <v/>
      </c>
      <c r="AG286" s="46">
        <f>IF(W286=0,"",AF286/W286)</f>
        <v/>
      </c>
      <c r="AH286" s="47">
        <f>IF(AF286&lt;=0,"",VLOOKUP(B286,country_opex,7,FALSE)/AF286)</f>
        <v/>
      </c>
      <c r="AI286" s="44">
        <f>((G286*R286/diesel_nmpg)*diesel_co2pg-(battery/range_nm)*G286*R286*VLOOKUP(B286,country_opex,4,FALSE))/1000</f>
        <v/>
      </c>
      <c r="AJ286" s="42" t="n">
        <v>9336</v>
      </c>
      <c r="AK286" s="43" t="inlineStr">
        <is>
          <t>T5</t>
        </is>
      </c>
      <c r="AL286" s="43" t="inlineStr">
        <is>
          <t>med</t>
        </is>
      </c>
      <c r="AM286" s="50" t="n">
        <v>0.9</v>
      </c>
      <c r="AN286" s="45">
        <f>IF(AJ286="","",AJ286*AM286)</f>
        <v/>
      </c>
      <c r="AO286" s="45">
        <f>IF(OR(AJ286="",U286=0),"",MIN(IF(AV286="",9.9E+99,AV286),FLOOR(AN286/U286,1)))</f>
        <v/>
      </c>
      <c r="AP286" s="49">
        <f>IF(AO286="","",AO286*W286)</f>
        <v/>
      </c>
      <c r="AQ286" s="47">
        <f>IF(OR(AJ286="",U286=0),"",MIN(IF(AV286="",9.9E+99,AV286),AN286/U286))</f>
        <v/>
      </c>
      <c r="AR286" s="49">
        <f>IF(AQ286="","",AQ286*W286)</f>
        <v/>
      </c>
      <c r="AS286" s="51" t="n"/>
      <c r="AT286" s="52" t="n"/>
      <c r="AU286" s="52" t="n"/>
      <c r="AV286" s="53" t="n">
        <v>5</v>
      </c>
      <c r="AW286" s="54">
        <f>IF(((V286*pax_cap*load_thin*ROUND(N286*O286*revleg_thin,0))-(((battery/range_nm)*G286*ROUND(N286*O286*revleg_thin,0)*VLOOKUP(B286,country_opex,3,FALSE))+Y286+Z286+AA286+AB286+AC286))&lt;=0,"",VLOOKUP(B286,country_opex,7,FALSE)/((V286*pax_cap*load_thin*ROUND(N286*O286*revleg_thin,0))-(((battery/range_nm)*G286*ROUND(N286*O286*revleg_thin,0)*VLOOKUP(B286,country_opex,3,FALSE))+Y286+Z286+AA286+AB286+AC286)))</f>
        <v/>
      </c>
      <c r="AX286" s="54">
        <f>IF(((V286*pax_cap*load_mid*ROUND(N286*O286*revleg_mid,0))-(((battery/range_nm)*G286*ROUND(N286*O286*revleg_mid,0)*VLOOKUP(B286,country_opex,3,FALSE))+Y286+Z286+AA286+AB286+AC286))&lt;=0,"",VLOOKUP(B286,country_opex,7,FALSE)/((V286*pax_cap*load_mid*ROUND(N286*O286*revleg_mid,0))-(((battery/range_nm)*G286*ROUND(N286*O286*revleg_mid,0)*VLOOKUP(B286,country_opex,3,FALSE))+Y286+Z286+AA286+AB286+AC286)))</f>
        <v/>
      </c>
      <c r="AY286" s="54">
        <f>IF(((V286*pax_cap*load_full*ROUND(N286*O286*revleg_full,0))-(((battery/range_nm)*G286*ROUND(N286*O286*revleg_full,0)*VLOOKUP(B286,country_opex,3,FALSE))+Y286+Z286+AA286+AB286+AC286))&lt;=0,"",VLOOKUP(B286,country_opex,7,FALSE)/((V286*pax_cap*load_full*ROUND(N286*O286*revleg_full,0))-(((battery/range_nm)*G286*ROUND(N286*O286*revleg_full,0)*VLOOKUP(B286,country_opex,3,FALSE))+Y286+Z286+AA286+AB286+AC286)))</f>
        <v/>
      </c>
      <c r="AZ286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86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87">
      <c r="A287" s="38" t="inlineStr">
        <is>
          <t>Maldives (JIH)</t>
        </is>
      </c>
      <c r="B287" s="38" t="inlineStr">
        <is>
          <t>Maldives</t>
        </is>
      </c>
      <c r="C287" s="39" t="inlineStr">
        <is>
          <t>Velana International Airport (MLE) Resort Speedboat Lounges → Waldorf Astoria Maldives Ithaafushi</t>
        </is>
      </c>
      <c r="D287" s="38" t="inlineStr">
        <is>
          <t>jih-global</t>
        </is>
      </c>
      <c r="E287" s="40" t="inlineStr">
        <is>
          <t>maldives-jih</t>
        </is>
      </c>
      <c r="F287" s="41" t="n">
        <v>1</v>
      </c>
      <c r="G287" s="42" t="n">
        <v>14.6</v>
      </c>
      <c r="H287" s="35" t="n">
        <v>400</v>
      </c>
      <c r="I287" s="43" t="inlineStr">
        <is>
          <t>T1</t>
        </is>
      </c>
      <c r="J287" s="43" t="inlineStr">
        <is>
          <t>med-high</t>
        </is>
      </c>
      <c r="K287" s="29" t="n">
        <v>1</v>
      </c>
      <c r="L287" s="44">
        <f>60*G287/cruise_kt</f>
        <v/>
      </c>
      <c r="M287" s="44">
        <f>L287+turn_min+dwell_min</f>
        <v/>
      </c>
      <c r="N287" s="45">
        <f>MIN(10,FLOOR(60*service_hr/M287,1))</f>
        <v/>
      </c>
      <c r="O287" s="45">
        <f>ROUND(365*mech_uptime*K287,0)</f>
        <v/>
      </c>
      <c r="P287" s="46">
        <f>mech_uptime</f>
        <v/>
      </c>
      <c r="Q287" s="46">
        <f>revleg_sel</f>
        <v/>
      </c>
      <c r="R287" s="45">
        <f>ROUND(N287*O287*revleg_sel,0)</f>
        <v/>
      </c>
      <c r="S287" s="47">
        <f>load_sel</f>
        <v/>
      </c>
      <c r="T287" s="47">
        <f>pax_cap*S287</f>
        <v/>
      </c>
      <c r="U287" s="45">
        <f>T287*R287</f>
        <v/>
      </c>
      <c r="V287" s="48">
        <f>H287*discount</f>
        <v/>
      </c>
      <c r="W287" s="49">
        <f>V287*U287</f>
        <v/>
      </c>
      <c r="X287" s="49">
        <f>(battery/range_nm)*G287*R287*VLOOKUP(B287,country_opex,3,FALSE)</f>
        <v/>
      </c>
      <c r="Y287" s="49">
        <f>VLOOKUP(B287,country_opex,2,FALSE)*crew_factor</f>
        <v/>
      </c>
      <c r="Z287" s="49">
        <f>VLOOKUP(B287,country_opex,5,FALSE)</f>
        <v/>
      </c>
      <c r="AA287" s="49">
        <f>maint</f>
        <v/>
      </c>
      <c r="AB287" s="49">
        <f>VLOOKUP(B287,country_opex,7,FALSE)*ins_pct</f>
        <v/>
      </c>
      <c r="AC287" s="49">
        <f>charge_berth</f>
        <v/>
      </c>
      <c r="AD287" s="49">
        <f>X287+Y287+Z287+AA287+AB287+AC287</f>
        <v/>
      </c>
      <c r="AE287" s="49">
        <f>VLOOKUP(B287,country_opex,7,FALSE)/dep_years</f>
        <v/>
      </c>
      <c r="AF287" s="49">
        <f>W287-AD287</f>
        <v/>
      </c>
      <c r="AG287" s="46">
        <f>IF(W287=0,"",AF287/W287)</f>
        <v/>
      </c>
      <c r="AH287" s="47">
        <f>IF(AF287&lt;=0,"",VLOOKUP(B287,country_opex,7,FALSE)/AF287)</f>
        <v/>
      </c>
      <c r="AI287" s="44">
        <f>((G287*R287/diesel_nmpg)*diesel_co2pg-(battery/range_nm)*G287*R287*VLOOKUP(B287,country_opex,4,FALSE))/1000</f>
        <v/>
      </c>
      <c r="AJ287" s="42" t="n">
        <v>18800</v>
      </c>
      <c r="AK287" s="43" t="inlineStr">
        <is>
          <t>T5</t>
        </is>
      </c>
      <c r="AL287" s="43" t="inlineStr">
        <is>
          <t>low-med</t>
        </is>
      </c>
      <c r="AM287" s="50" t="n">
        <v>0.9</v>
      </c>
      <c r="AN287" s="45">
        <f>IF(AJ287="","",AJ287*AM287)</f>
        <v/>
      </c>
      <c r="AO287" s="45">
        <f>IF(OR(AJ287="",U287=0),"",MIN(IF(AV287="",9.9E+99,AV287),FLOOR(AN287/U287,1)))</f>
        <v/>
      </c>
      <c r="AP287" s="49">
        <f>IF(AO287="","",AO287*W287)</f>
        <v/>
      </c>
      <c r="AQ287" s="47">
        <f>IF(OR(AJ287="",U287=0),"",MIN(IF(AV287="",9.9E+99,AV287),AN287/U287))</f>
        <v/>
      </c>
      <c r="AR287" s="49">
        <f>IF(AQ287="","",AQ287*W287)</f>
        <v/>
      </c>
      <c r="AS287" s="51" t="n"/>
      <c r="AT287" s="52" t="n"/>
      <c r="AU287" s="52" t="n"/>
      <c r="AV287" s="53" t="n">
        <v>5</v>
      </c>
      <c r="AW287" s="54">
        <f>IF(((V287*pax_cap*load_thin*ROUND(N287*O287*revleg_thin,0))-(((battery/range_nm)*G287*ROUND(N287*O287*revleg_thin,0)*VLOOKUP(B287,country_opex,3,FALSE))+Y287+Z287+AA287+AB287+AC287))&lt;=0,"",VLOOKUP(B287,country_opex,7,FALSE)/((V287*pax_cap*load_thin*ROUND(N287*O287*revleg_thin,0))-(((battery/range_nm)*G287*ROUND(N287*O287*revleg_thin,0)*VLOOKUP(B287,country_opex,3,FALSE))+Y287+Z287+AA287+AB287+AC287)))</f>
        <v/>
      </c>
      <c r="AX287" s="54">
        <f>IF(((V287*pax_cap*load_mid*ROUND(N287*O287*revleg_mid,0))-(((battery/range_nm)*G287*ROUND(N287*O287*revleg_mid,0)*VLOOKUP(B287,country_opex,3,FALSE))+Y287+Z287+AA287+AB287+AC287))&lt;=0,"",VLOOKUP(B287,country_opex,7,FALSE)/((V287*pax_cap*load_mid*ROUND(N287*O287*revleg_mid,0))-(((battery/range_nm)*G287*ROUND(N287*O287*revleg_mid,0)*VLOOKUP(B287,country_opex,3,FALSE))+Y287+Z287+AA287+AB287+AC287)))</f>
        <v/>
      </c>
      <c r="AY287" s="54">
        <f>IF(((V287*pax_cap*load_full*ROUND(N287*O287*revleg_full,0))-(((battery/range_nm)*G287*ROUND(N287*O287*revleg_full,0)*VLOOKUP(B287,country_opex,3,FALSE))+Y287+Z287+AA287+AB287+AC287))&lt;=0,"",VLOOKUP(B287,country_opex,7,FALSE)/((V287*pax_cap*load_full*ROUND(N287*O287*revleg_full,0))-(((battery/range_nm)*G287*ROUND(N287*O287*revleg_full,0)*VLOOKUP(B287,country_opex,3,FALSE))+Y287+Z287+AA287+AB287+AC287)))</f>
        <v/>
      </c>
      <c r="AZ287" s="40" t="inlineStr">
        <is>
          <t>Waldorf/Hilton official + reviews: shared transfer US$350 base + 23.2% tax &amp; service per adult per way = ~$431 all-in (onemileatatime, travelupdate/BLTraveler). PointChaser: boat transfer charged $862.40 RT = $431/way. Private yacht US$3,600++ per way max 8 guests = $450/pax (whole-boat charter ceiling). Premium per-seat shared = ~$400/way (base $350, all-in ~$431).</t>
        </is>
      </c>
      <c r="BA287" s="40" t="inlineStr">
        <is>
          <t>Modeled from resort key count. Waldorf Astoria Maldives Ithaafushi: ~120 villas/keys (published resort/Virtuoso/booking figures). corridor_annual_oneway_pax = keys x 365 x occ(0.75) / avg_stay(7 nights) x guests/key(2) x 2 (arr+dep) ~= keys x 156. 120 keys -&gt; ~18,800 one-way pax/yr. Airport(MLE)&lt;-&gt;this resort is the sole transfer corridor (boat/seaplane only; no road/air alt - R3-EXCEPTION: arrivals = crossing ridership).</t>
        </is>
      </c>
    </row>
    <row r="288">
      <c r="A288" s="38" t="inlineStr">
        <is>
          <t>Maldives (JIH)</t>
        </is>
      </c>
      <c r="B288" s="38" t="inlineStr">
        <is>
          <t>Maldives</t>
        </is>
      </c>
      <c r="C288" s="39" t="inlineStr">
        <is>
          <t>Velana International Airport (MLE) Resort Speedboat Lounges → COMO Cocoa Island (Makunufushi, South Malé)</t>
        </is>
      </c>
      <c r="D288" s="38" t="inlineStr">
        <is>
          <t>jih-global</t>
        </is>
      </c>
      <c r="E288" s="40" t="inlineStr">
        <is>
          <t>maldives-jih</t>
        </is>
      </c>
      <c r="F288" s="41" t="n">
        <v>1</v>
      </c>
      <c r="G288" s="42" t="n">
        <v>15.9</v>
      </c>
      <c r="H288" s="35" t="n">
        <v>130</v>
      </c>
      <c r="I288" s="43" t="inlineStr">
        <is>
          <t>T1</t>
        </is>
      </c>
      <c r="J288" s="43" t="inlineStr">
        <is>
          <t>med-high</t>
        </is>
      </c>
      <c r="K288" s="29" t="n">
        <v>1</v>
      </c>
      <c r="L288" s="44">
        <f>60*G288/cruise_kt</f>
        <v/>
      </c>
      <c r="M288" s="44">
        <f>L288+turn_min+dwell_min</f>
        <v/>
      </c>
      <c r="N288" s="45">
        <f>MIN(10,FLOOR(60*service_hr/M288,1))</f>
        <v/>
      </c>
      <c r="O288" s="45">
        <f>ROUND(365*mech_uptime*K288,0)</f>
        <v/>
      </c>
      <c r="P288" s="46">
        <f>mech_uptime</f>
        <v/>
      </c>
      <c r="Q288" s="46">
        <f>revleg_sel</f>
        <v/>
      </c>
      <c r="R288" s="45">
        <f>ROUND(N288*O288*revleg_sel,0)</f>
        <v/>
      </c>
      <c r="S288" s="47">
        <f>load_sel</f>
        <v/>
      </c>
      <c r="T288" s="47">
        <f>pax_cap*S288</f>
        <v/>
      </c>
      <c r="U288" s="45">
        <f>T288*R288</f>
        <v/>
      </c>
      <c r="V288" s="48">
        <f>H288*discount</f>
        <v/>
      </c>
      <c r="W288" s="49">
        <f>V288*U288</f>
        <v/>
      </c>
      <c r="X288" s="49">
        <f>(battery/range_nm)*G288*R288*VLOOKUP(B288,country_opex,3,FALSE)</f>
        <v/>
      </c>
      <c r="Y288" s="49">
        <f>VLOOKUP(B288,country_opex,2,FALSE)*crew_factor</f>
        <v/>
      </c>
      <c r="Z288" s="49">
        <f>VLOOKUP(B288,country_opex,5,FALSE)</f>
        <v/>
      </c>
      <c r="AA288" s="49">
        <f>maint</f>
        <v/>
      </c>
      <c r="AB288" s="49">
        <f>VLOOKUP(B288,country_opex,7,FALSE)*ins_pct</f>
        <v/>
      </c>
      <c r="AC288" s="49">
        <f>charge_berth</f>
        <v/>
      </c>
      <c r="AD288" s="49">
        <f>X288+Y288+Z288+AA288+AB288+AC288</f>
        <v/>
      </c>
      <c r="AE288" s="49">
        <f>VLOOKUP(B288,country_opex,7,FALSE)/dep_years</f>
        <v/>
      </c>
      <c r="AF288" s="49">
        <f>W288-AD288</f>
        <v/>
      </c>
      <c r="AG288" s="46">
        <f>IF(W288=0,"",AF288/W288)</f>
        <v/>
      </c>
      <c r="AH288" s="47">
        <f>IF(AF288&lt;=0,"",VLOOKUP(B288,country_opex,7,FALSE)/AF288)</f>
        <v/>
      </c>
      <c r="AI288" s="44">
        <f>((G288*R288/diesel_nmpg)*diesel_co2pg-(battery/range_nm)*G288*R288*VLOOKUP(B288,country_opex,4,FALSE))/1000</f>
        <v/>
      </c>
      <c r="AJ288" s="42" t="n">
        <v>5200</v>
      </c>
      <c r="AK288" s="43" t="inlineStr">
        <is>
          <t>T5</t>
        </is>
      </c>
      <c r="AL288" s="43" t="inlineStr">
        <is>
          <t>low-med</t>
        </is>
      </c>
      <c r="AM288" s="50" t="n">
        <v>0.9</v>
      </c>
      <c r="AN288" s="45">
        <f>IF(AJ288="","",AJ288*AM288)</f>
        <v/>
      </c>
      <c r="AO288" s="45">
        <f>IF(OR(AJ288="",U288=0),"",MIN(IF(AV288="",9.9E+99,AV288),FLOOR(AN288/U288,1)))</f>
        <v/>
      </c>
      <c r="AP288" s="49">
        <f>IF(AO288="","",AO288*W288)</f>
        <v/>
      </c>
      <c r="AQ288" s="47">
        <f>IF(OR(AJ288="",U288=0),"",MIN(IF(AV288="",9.9E+99,AV288),AN288/U288))</f>
        <v/>
      </c>
      <c r="AR288" s="49">
        <f>IF(AQ288="","",AQ288*W288)</f>
        <v/>
      </c>
      <c r="AS288" s="51" t="n"/>
      <c r="AT288" s="52" t="n"/>
      <c r="AU288" s="52" t="n"/>
      <c r="AV288" s="53" t="n">
        <v>2</v>
      </c>
      <c r="AW288" s="54">
        <f>IF(((V288*pax_cap*load_thin*ROUND(N288*O288*revleg_thin,0))-(((battery/range_nm)*G288*ROUND(N288*O288*revleg_thin,0)*VLOOKUP(B288,country_opex,3,FALSE))+Y288+Z288+AA288+AB288+AC288))&lt;=0,"",VLOOKUP(B288,country_opex,7,FALSE)/((V288*pax_cap*load_thin*ROUND(N288*O288*revleg_thin,0))-(((battery/range_nm)*G288*ROUND(N288*O288*revleg_thin,0)*VLOOKUP(B288,country_opex,3,FALSE))+Y288+Z288+AA288+AB288+AC288)))</f>
        <v/>
      </c>
      <c r="AX288" s="54">
        <f>IF(((V288*pax_cap*load_mid*ROUND(N288*O288*revleg_mid,0))-(((battery/range_nm)*G288*ROUND(N288*O288*revleg_mid,0)*VLOOKUP(B288,country_opex,3,FALSE))+Y288+Z288+AA288+AB288+AC288))&lt;=0,"",VLOOKUP(B288,country_opex,7,FALSE)/((V288*pax_cap*load_mid*ROUND(N288*O288*revleg_mid,0))-(((battery/range_nm)*G288*ROUND(N288*O288*revleg_mid,0)*VLOOKUP(B288,country_opex,3,FALSE))+Y288+Z288+AA288+AB288+AC288)))</f>
        <v/>
      </c>
      <c r="AY288" s="54">
        <f>IF(((V288*pax_cap*load_full*ROUND(N288*O288*revleg_full,0))-(((battery/range_nm)*G288*ROUND(N288*O288*revleg_full,0)*VLOOKUP(B288,country_opex,3,FALSE))+Y288+Z288+AA288+AB288+AC288))&lt;=0,"",VLOOKUP(B288,country_opex,7,FALSE)/((V288*pax_cap*load_full*ROUND(N288*O288*revleg_full,0))-(((battery/range_nm)*G288*ROUND(N288*O288*revleg_full,0)*VLOOKUP(B288,country_opex,3,FALSE))+Y288+Z288+AA288+AB288+AC288)))</f>
        <v/>
      </c>
      <c r="AZ288" s="40" t="inlineStr">
        <is>
          <t>COMO Hotels official (Tripadvisor FAQ quoting resort): private guest speedboat USD 250++ per person combined return = $125/way. maldivesnomad.com: COMO Cocoa Island $258 RT = $129/way. Private up-to-4-guest charter from ~$900/boat/way (Go Ocean Travel). Premium per-seat $130/way.</t>
        </is>
      </c>
      <c r="BA288" s="40" t="inlineStr">
        <is>
          <t>Modeled from resort key count. COMO Cocoa Island (Makunufushi, South Malé): ~33 villas/keys (published resort/Virtuoso/booking figures). corridor_annual_oneway_pax = keys x 365 x occ(0.75) / avg_stay(7 nights) x guests/key(2) x 2 (arr+dep) ~= keys x 156. 33 keys -&gt; ~5,200 one-way pax/yr. Airport(MLE)&lt;-&gt;this resort is the sole transfer corridor (boat/seaplane only; no road/air alt - R3-EXCEPTION: arrivals = crossing ridership).</t>
        </is>
      </c>
    </row>
    <row r="289">
      <c r="A289" s="38" t="inlineStr">
        <is>
          <t>Maldives (JIH)</t>
        </is>
      </c>
      <c r="B289" s="38" t="inlineStr">
        <is>
          <t>Maldives</t>
        </is>
      </c>
      <c r="C289" s="39" t="inlineStr">
        <is>
          <t>Ifuru Airport, Raa → Emerald Maldives (Fasmendhoo, Raa)</t>
        </is>
      </c>
      <c r="D289" s="38" t="inlineStr">
        <is>
          <t>jih-global</t>
        </is>
      </c>
      <c r="E289" s="40" t="inlineStr">
        <is>
          <t>maldives-jih</t>
        </is>
      </c>
      <c r="F289" s="41" t="n">
        <v>1</v>
      </c>
      <c r="G289" s="42" t="n">
        <v>16.8</v>
      </c>
      <c r="H289" s="35" t="n">
        <v>150</v>
      </c>
      <c r="I289" s="43" t="inlineStr">
        <is>
          <t>T3</t>
        </is>
      </c>
      <c r="J289" s="43" t="inlineStr">
        <is>
          <t>med</t>
        </is>
      </c>
      <c r="K289" s="29" t="n">
        <v>1</v>
      </c>
      <c r="L289" s="44">
        <f>60*G289/cruise_kt</f>
        <v/>
      </c>
      <c r="M289" s="44">
        <f>L289+turn_min+dwell_min</f>
        <v/>
      </c>
      <c r="N289" s="45">
        <f>MIN(10,FLOOR(60*service_hr/M289,1))</f>
        <v/>
      </c>
      <c r="O289" s="45">
        <f>ROUND(365*mech_uptime*K289,0)</f>
        <v/>
      </c>
      <c r="P289" s="46">
        <f>mech_uptime</f>
        <v/>
      </c>
      <c r="Q289" s="46">
        <f>revleg_sel</f>
        <v/>
      </c>
      <c r="R289" s="45">
        <f>ROUND(N289*O289*revleg_sel,0)</f>
        <v/>
      </c>
      <c r="S289" s="47">
        <f>load_sel</f>
        <v/>
      </c>
      <c r="T289" s="47">
        <f>pax_cap*S289</f>
        <v/>
      </c>
      <c r="U289" s="45">
        <f>T289*R289</f>
        <v/>
      </c>
      <c r="V289" s="48">
        <f>H289*discount</f>
        <v/>
      </c>
      <c r="W289" s="49">
        <f>V289*U289</f>
        <v/>
      </c>
      <c r="X289" s="49">
        <f>(battery/range_nm)*G289*R289*VLOOKUP(B289,country_opex,3,FALSE)</f>
        <v/>
      </c>
      <c r="Y289" s="49">
        <f>VLOOKUP(B289,country_opex,2,FALSE)*crew_factor</f>
        <v/>
      </c>
      <c r="Z289" s="49">
        <f>VLOOKUP(B289,country_opex,5,FALSE)</f>
        <v/>
      </c>
      <c r="AA289" s="49">
        <f>maint</f>
        <v/>
      </c>
      <c r="AB289" s="49">
        <f>VLOOKUP(B289,country_opex,7,FALSE)*ins_pct</f>
        <v/>
      </c>
      <c r="AC289" s="49">
        <f>charge_berth</f>
        <v/>
      </c>
      <c r="AD289" s="49">
        <f>X289+Y289+Z289+AA289+AB289+AC289</f>
        <v/>
      </c>
      <c r="AE289" s="49">
        <f>VLOOKUP(B289,country_opex,7,FALSE)/dep_years</f>
        <v/>
      </c>
      <c r="AF289" s="49">
        <f>W289-AD289</f>
        <v/>
      </c>
      <c r="AG289" s="46">
        <f>IF(W289=0,"",AF289/W289)</f>
        <v/>
      </c>
      <c r="AH289" s="47">
        <f>IF(AF289&lt;=0,"",VLOOKUP(B289,country_opex,7,FALSE)/AF289)</f>
        <v/>
      </c>
      <c r="AI289" s="44">
        <f>((G289*R289/diesel_nmpg)*diesel_co2pg-(battery/range_nm)*G289*R289*VLOOKUP(B289,country_opex,4,FALSE))/1000</f>
        <v/>
      </c>
      <c r="AJ289" s="42" t="n">
        <v>8962</v>
      </c>
      <c r="AK289" s="43" t="inlineStr">
        <is>
          <t>T5</t>
        </is>
      </c>
      <c r="AL289" s="43" t="inlineStr">
        <is>
          <t>med</t>
        </is>
      </c>
      <c r="AM289" s="50" t="n">
        <v>0.9</v>
      </c>
      <c r="AN289" s="45">
        <f>IF(AJ289="","",AJ289*AM289)</f>
        <v/>
      </c>
      <c r="AO289" s="45">
        <f>IF(OR(AJ289="",U289=0),"",MIN(IF(AV289="",9.9E+99,AV289),FLOOR(AN289/U289,1)))</f>
        <v/>
      </c>
      <c r="AP289" s="49">
        <f>IF(AO289="","",AO289*W289)</f>
        <v/>
      </c>
      <c r="AQ289" s="47">
        <f>IF(OR(AJ289="",U289=0),"",MIN(IF(AV289="",9.9E+99,AV289),AN289/U289))</f>
        <v/>
      </c>
      <c r="AR289" s="49">
        <f>IF(AQ289="","",AQ289*W289)</f>
        <v/>
      </c>
      <c r="AS289" s="51" t="n"/>
      <c r="AT289" s="52" t="n"/>
      <c r="AU289" s="52" t="n"/>
      <c r="AV289" s="53" t="n">
        <v>5</v>
      </c>
      <c r="AW289" s="54">
        <f>IF(((V289*pax_cap*load_thin*ROUND(N289*O289*revleg_thin,0))-(((battery/range_nm)*G289*ROUND(N289*O289*revleg_thin,0)*VLOOKUP(B289,country_opex,3,FALSE))+Y289+Z289+AA289+AB289+AC289))&lt;=0,"",VLOOKUP(B289,country_opex,7,FALSE)/((V289*pax_cap*load_thin*ROUND(N289*O289*revleg_thin,0))-(((battery/range_nm)*G289*ROUND(N289*O289*revleg_thin,0)*VLOOKUP(B289,country_opex,3,FALSE))+Y289+Z289+AA289+AB289+AC289)))</f>
        <v/>
      </c>
      <c r="AX289" s="54">
        <f>IF(((V289*pax_cap*load_mid*ROUND(N289*O289*revleg_mid,0))-(((battery/range_nm)*G289*ROUND(N289*O289*revleg_mid,0)*VLOOKUP(B289,country_opex,3,FALSE))+Y289+Z289+AA289+AB289+AC289))&lt;=0,"",VLOOKUP(B289,country_opex,7,FALSE)/((V289*pax_cap*load_mid*ROUND(N289*O289*revleg_mid,0))-(((battery/range_nm)*G289*ROUND(N289*O289*revleg_mid,0)*VLOOKUP(B289,country_opex,3,FALSE))+Y289+Z289+AA289+AB289+AC289)))</f>
        <v/>
      </c>
      <c r="AY289" s="54">
        <f>IF(((V289*pax_cap*load_full*ROUND(N289*O289*revleg_full,0))-(((battery/range_nm)*G289*ROUND(N289*O289*revleg_full,0)*VLOOKUP(B289,country_opex,3,FALSE))+Y289+Z289+AA289+AB289+AC289))&lt;=0,"",VLOOKUP(B289,country_opex,7,FALSE)/((V289*pax_cap*load_full*ROUND(N289*O289*revleg_full,0))-(((battery/range_nm)*G289*ROUND(N289*O289*revleg_full,0)*VLOOKUP(B289,country_opex,3,FALSE))+Y289+Z289+AA289+AB289+AC289)))</f>
        <v/>
      </c>
      <c r="AZ289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89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90">
      <c r="A290" s="38" t="inlineStr">
        <is>
          <t>Maldives (JIH)</t>
        </is>
      </c>
      <c r="B290" s="38" t="inlineStr">
        <is>
          <t>Maldives</t>
        </is>
      </c>
      <c r="C290" s="39" t="inlineStr">
        <is>
          <t>Kudahuvadhoo Airport, Dhaalu → St. Regis Vommuli (Dhaalu)</t>
        </is>
      </c>
      <c r="D290" s="38" t="inlineStr">
        <is>
          <t>jih-global</t>
        </is>
      </c>
      <c r="E290" s="40" t="inlineStr">
        <is>
          <t>maldives-jih</t>
        </is>
      </c>
      <c r="F290" s="41" t="n">
        <v>1</v>
      </c>
      <c r="G290" s="42" t="n">
        <v>17</v>
      </c>
      <c r="H290" s="35" t="n">
        <v>175</v>
      </c>
      <c r="I290" s="43" t="inlineStr">
        <is>
          <t>T3</t>
        </is>
      </c>
      <c r="J290" s="43" t="inlineStr">
        <is>
          <t>med</t>
        </is>
      </c>
      <c r="K290" s="29" t="n">
        <v>1</v>
      </c>
      <c r="L290" s="44">
        <f>60*G290/cruise_kt</f>
        <v/>
      </c>
      <c r="M290" s="44">
        <f>L290+turn_min+dwell_min</f>
        <v/>
      </c>
      <c r="N290" s="45">
        <f>MIN(10,FLOOR(60*service_hr/M290,1))</f>
        <v/>
      </c>
      <c r="O290" s="45">
        <f>ROUND(365*mech_uptime*K290,0)</f>
        <v/>
      </c>
      <c r="P290" s="46">
        <f>mech_uptime</f>
        <v/>
      </c>
      <c r="Q290" s="46">
        <f>revleg_sel</f>
        <v/>
      </c>
      <c r="R290" s="45">
        <f>ROUND(N290*O290*revleg_sel,0)</f>
        <v/>
      </c>
      <c r="S290" s="47">
        <f>load_sel</f>
        <v/>
      </c>
      <c r="T290" s="47">
        <f>pax_cap*S290</f>
        <v/>
      </c>
      <c r="U290" s="45">
        <f>T290*R290</f>
        <v/>
      </c>
      <c r="V290" s="48">
        <f>H290*discount</f>
        <v/>
      </c>
      <c r="W290" s="49">
        <f>V290*U290</f>
        <v/>
      </c>
      <c r="X290" s="49">
        <f>(battery/range_nm)*G290*R290*VLOOKUP(B290,country_opex,3,FALSE)</f>
        <v/>
      </c>
      <c r="Y290" s="49">
        <f>VLOOKUP(B290,country_opex,2,FALSE)*crew_factor</f>
        <v/>
      </c>
      <c r="Z290" s="49">
        <f>VLOOKUP(B290,country_opex,5,FALSE)</f>
        <v/>
      </c>
      <c r="AA290" s="49">
        <f>maint</f>
        <v/>
      </c>
      <c r="AB290" s="49">
        <f>VLOOKUP(B290,country_opex,7,FALSE)*ins_pct</f>
        <v/>
      </c>
      <c r="AC290" s="49">
        <f>charge_berth</f>
        <v/>
      </c>
      <c r="AD290" s="49">
        <f>X290+Y290+Z290+AA290+AB290+AC290</f>
        <v/>
      </c>
      <c r="AE290" s="49">
        <f>VLOOKUP(B290,country_opex,7,FALSE)/dep_years</f>
        <v/>
      </c>
      <c r="AF290" s="49">
        <f>W290-AD290</f>
        <v/>
      </c>
      <c r="AG290" s="46">
        <f>IF(W290=0,"",AF290/W290)</f>
        <v/>
      </c>
      <c r="AH290" s="47">
        <f>IF(AF290&lt;=0,"",VLOOKUP(B290,country_opex,7,FALSE)/AF290)</f>
        <v/>
      </c>
      <c r="AI290" s="44">
        <f>((G290*R290/diesel_nmpg)*diesel_co2pg-(battery/range_nm)*G290*R290*VLOOKUP(B290,country_opex,4,FALSE))/1000</f>
        <v/>
      </c>
      <c r="AJ290" s="42" t="n">
        <v>5751</v>
      </c>
      <c r="AK290" s="43" t="inlineStr">
        <is>
          <t>T5</t>
        </is>
      </c>
      <c r="AL290" s="43" t="inlineStr">
        <is>
          <t>med</t>
        </is>
      </c>
      <c r="AM290" s="50" t="n">
        <v>0.9</v>
      </c>
      <c r="AN290" s="45">
        <f>IF(AJ290="","",AJ290*AM290)</f>
        <v/>
      </c>
      <c r="AO290" s="45">
        <f>IF(OR(AJ290="",U290=0),"",MIN(IF(AV290="",9.9E+99,AV290),FLOOR(AN290/U290,1)))</f>
        <v/>
      </c>
      <c r="AP290" s="49">
        <f>IF(AO290="","",AO290*W290)</f>
        <v/>
      </c>
      <c r="AQ290" s="47">
        <f>IF(OR(AJ290="",U290=0),"",MIN(IF(AV290="",9.9E+99,AV290),AN290/U290))</f>
        <v/>
      </c>
      <c r="AR290" s="49">
        <f>IF(AQ290="","",AQ290*W290)</f>
        <v/>
      </c>
      <c r="AS290" s="51" t="n"/>
      <c r="AT290" s="52" t="n"/>
      <c r="AU290" s="52" t="n"/>
      <c r="AV290" s="53" t="n">
        <v>4</v>
      </c>
      <c r="AW290" s="54">
        <f>IF(((V290*pax_cap*load_thin*ROUND(N290*O290*revleg_thin,0))-(((battery/range_nm)*G290*ROUND(N290*O290*revleg_thin,0)*VLOOKUP(B290,country_opex,3,FALSE))+Y290+Z290+AA290+AB290+AC290))&lt;=0,"",VLOOKUP(B290,country_opex,7,FALSE)/((V290*pax_cap*load_thin*ROUND(N290*O290*revleg_thin,0))-(((battery/range_nm)*G290*ROUND(N290*O290*revleg_thin,0)*VLOOKUP(B290,country_opex,3,FALSE))+Y290+Z290+AA290+AB290+AC290)))</f>
        <v/>
      </c>
      <c r="AX290" s="54">
        <f>IF(((V290*pax_cap*load_mid*ROUND(N290*O290*revleg_mid,0))-(((battery/range_nm)*G290*ROUND(N290*O290*revleg_mid,0)*VLOOKUP(B290,country_opex,3,FALSE))+Y290+Z290+AA290+AB290+AC290))&lt;=0,"",VLOOKUP(B290,country_opex,7,FALSE)/((V290*pax_cap*load_mid*ROUND(N290*O290*revleg_mid,0))-(((battery/range_nm)*G290*ROUND(N290*O290*revleg_mid,0)*VLOOKUP(B290,country_opex,3,FALSE))+Y290+Z290+AA290+AB290+AC290)))</f>
        <v/>
      </c>
      <c r="AY290" s="54">
        <f>IF(((V290*pax_cap*load_full*ROUND(N290*O290*revleg_full,0))-(((battery/range_nm)*G290*ROUND(N290*O290*revleg_full,0)*VLOOKUP(B290,country_opex,3,FALSE))+Y290+Z290+AA290+AB290+AC290))&lt;=0,"",VLOOKUP(B290,country_opex,7,FALSE)/((V290*pax_cap*load_full*ROUND(N290*O290*revleg_full,0))-(((battery/range_nm)*G290*ROUND(N290*O290*revleg_full,0)*VLOOKUP(B290,country_opex,3,FALSE))+Y290+Z290+AA290+AB290+AC290)))</f>
        <v/>
      </c>
      <c r="AZ290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90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91">
      <c r="A291" s="38" t="inlineStr">
        <is>
          <t>Maldives (JIH)</t>
        </is>
      </c>
      <c r="B291" s="38" t="inlineStr">
        <is>
          <t>Maldives</t>
        </is>
      </c>
      <c r="C291" s="39" t="inlineStr">
        <is>
          <t>Maafaru Airport, Noonu → Velaa Private Island (Noonu)</t>
        </is>
      </c>
      <c r="D291" s="38" t="inlineStr">
        <is>
          <t>jih-global</t>
        </is>
      </c>
      <c r="E291" s="40" t="inlineStr">
        <is>
          <t>maldives-jih</t>
        </is>
      </c>
      <c r="F291" s="41" t="n">
        <v>1</v>
      </c>
      <c r="G291" s="42" t="n">
        <v>17.1</v>
      </c>
      <c r="H291" s="35" t="n">
        <v>200</v>
      </c>
      <c r="I291" s="43" t="inlineStr">
        <is>
          <t>T3</t>
        </is>
      </c>
      <c r="J291" s="43" t="inlineStr">
        <is>
          <t>med</t>
        </is>
      </c>
      <c r="K291" s="29" t="n">
        <v>1</v>
      </c>
      <c r="L291" s="44">
        <f>60*G291/cruise_kt</f>
        <v/>
      </c>
      <c r="M291" s="44">
        <f>L291+turn_min+dwell_min</f>
        <v/>
      </c>
      <c r="N291" s="45">
        <f>MIN(10,FLOOR(60*service_hr/M291,1))</f>
        <v/>
      </c>
      <c r="O291" s="45">
        <f>ROUND(365*mech_uptime*K291,0)</f>
        <v/>
      </c>
      <c r="P291" s="46">
        <f>mech_uptime</f>
        <v/>
      </c>
      <c r="Q291" s="46">
        <f>revleg_sel</f>
        <v/>
      </c>
      <c r="R291" s="45">
        <f>ROUND(N291*O291*revleg_sel,0)</f>
        <v/>
      </c>
      <c r="S291" s="47">
        <f>load_sel</f>
        <v/>
      </c>
      <c r="T291" s="47">
        <f>pax_cap*S291</f>
        <v/>
      </c>
      <c r="U291" s="45">
        <f>T291*R291</f>
        <v/>
      </c>
      <c r="V291" s="48">
        <f>H291*discount</f>
        <v/>
      </c>
      <c r="W291" s="49">
        <f>V291*U291</f>
        <v/>
      </c>
      <c r="X291" s="49">
        <f>(battery/range_nm)*G291*R291*VLOOKUP(B291,country_opex,3,FALSE)</f>
        <v/>
      </c>
      <c r="Y291" s="49">
        <f>VLOOKUP(B291,country_opex,2,FALSE)*crew_factor</f>
        <v/>
      </c>
      <c r="Z291" s="49">
        <f>VLOOKUP(B291,country_opex,5,FALSE)</f>
        <v/>
      </c>
      <c r="AA291" s="49">
        <f>maint</f>
        <v/>
      </c>
      <c r="AB291" s="49">
        <f>VLOOKUP(B291,country_opex,7,FALSE)*ins_pct</f>
        <v/>
      </c>
      <c r="AC291" s="49">
        <f>charge_berth</f>
        <v/>
      </c>
      <c r="AD291" s="49">
        <f>X291+Y291+Z291+AA291+AB291+AC291</f>
        <v/>
      </c>
      <c r="AE291" s="49">
        <f>VLOOKUP(B291,country_opex,7,FALSE)/dep_years</f>
        <v/>
      </c>
      <c r="AF291" s="49">
        <f>W291-AD291</f>
        <v/>
      </c>
      <c r="AG291" s="46">
        <f>IF(W291=0,"",AF291/W291)</f>
        <v/>
      </c>
      <c r="AH291" s="47">
        <f>IF(AF291&lt;=0,"",VLOOKUP(B291,country_opex,7,FALSE)/AF291)</f>
        <v/>
      </c>
      <c r="AI291" s="44">
        <f>((G291*R291/diesel_nmpg)*diesel_co2pg-(battery/range_nm)*G291*R291*VLOOKUP(B291,country_opex,4,FALSE))/1000</f>
        <v/>
      </c>
      <c r="AJ291" s="42" t="n">
        <v>3510</v>
      </c>
      <c r="AK291" s="43" t="inlineStr">
        <is>
          <t>T5</t>
        </is>
      </c>
      <c r="AL291" s="43" t="inlineStr">
        <is>
          <t>med</t>
        </is>
      </c>
      <c r="AM291" s="50" t="n">
        <v>0.9</v>
      </c>
      <c r="AN291" s="45">
        <f>IF(AJ291="","",AJ291*AM291)</f>
        <v/>
      </c>
      <c r="AO291" s="45">
        <f>IF(OR(AJ291="",U291=0),"",MIN(IF(AV291="",9.9E+99,AV291),FLOOR(AN291/U291,1)))</f>
        <v/>
      </c>
      <c r="AP291" s="49">
        <f>IF(AO291="","",AO291*W291)</f>
        <v/>
      </c>
      <c r="AQ291" s="47">
        <f>IF(OR(AJ291="",U291=0),"",MIN(IF(AV291="",9.9E+99,AV291),AN291/U291))</f>
        <v/>
      </c>
      <c r="AR291" s="49">
        <f>IF(AQ291="","",AQ291*W291)</f>
        <v/>
      </c>
      <c r="AS291" s="51" t="n"/>
      <c r="AT291" s="52" t="n"/>
      <c r="AU291" s="52" t="n"/>
      <c r="AV291" s="53" t="n">
        <v>2</v>
      </c>
      <c r="AW291" s="54">
        <f>IF(((V291*pax_cap*load_thin*ROUND(N291*O291*revleg_thin,0))-(((battery/range_nm)*G291*ROUND(N291*O291*revleg_thin,0)*VLOOKUP(B291,country_opex,3,FALSE))+Y291+Z291+AA291+AB291+AC291))&lt;=0,"",VLOOKUP(B291,country_opex,7,FALSE)/((V291*pax_cap*load_thin*ROUND(N291*O291*revleg_thin,0))-(((battery/range_nm)*G291*ROUND(N291*O291*revleg_thin,0)*VLOOKUP(B291,country_opex,3,FALSE))+Y291+Z291+AA291+AB291+AC291)))</f>
        <v/>
      </c>
      <c r="AX291" s="54">
        <f>IF(((V291*pax_cap*load_mid*ROUND(N291*O291*revleg_mid,0))-(((battery/range_nm)*G291*ROUND(N291*O291*revleg_mid,0)*VLOOKUP(B291,country_opex,3,FALSE))+Y291+Z291+AA291+AB291+AC291))&lt;=0,"",VLOOKUP(B291,country_opex,7,FALSE)/((V291*pax_cap*load_mid*ROUND(N291*O291*revleg_mid,0))-(((battery/range_nm)*G291*ROUND(N291*O291*revleg_mid,0)*VLOOKUP(B291,country_opex,3,FALSE))+Y291+Z291+AA291+AB291+AC291)))</f>
        <v/>
      </c>
      <c r="AY291" s="54">
        <f>IF(((V291*pax_cap*load_full*ROUND(N291*O291*revleg_full,0))-(((battery/range_nm)*G291*ROUND(N291*O291*revleg_full,0)*VLOOKUP(B291,country_opex,3,FALSE))+Y291+Z291+AA291+AB291+AC291))&lt;=0,"",VLOOKUP(B291,country_opex,7,FALSE)/((V291*pax_cap*load_full*ROUND(N291*O291*revleg_full,0))-(((battery/range_nm)*G291*ROUND(N291*O291*revleg_full,0)*VLOOKUP(B291,country_opex,3,FALSE))+Y291+Z291+AA291+AB291+AC291)))</f>
        <v/>
      </c>
      <c r="AZ291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91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92">
      <c r="A292" s="38" t="inlineStr">
        <is>
          <t>Maldives (JIH)</t>
        </is>
      </c>
      <c r="B292" s="38" t="inlineStr">
        <is>
          <t>Maldives</t>
        </is>
      </c>
      <c r="C292" s="39" t="inlineStr">
        <is>
          <t>Hurawalhi (Lhaviyani) → Le Meridien Maldives Thilamaafushi (Lhaviyani)</t>
        </is>
      </c>
      <c r="D292" s="38" t="inlineStr">
        <is>
          <t>jih-global</t>
        </is>
      </c>
      <c r="E292" s="40" t="inlineStr">
        <is>
          <t>maldives-jih</t>
        </is>
      </c>
      <c r="F292" s="41" t="n">
        <v>1</v>
      </c>
      <c r="G292" s="42" t="n">
        <v>19.8</v>
      </c>
      <c r="H292" s="35" t="n">
        <v>150</v>
      </c>
      <c r="I292" s="43" t="inlineStr">
        <is>
          <t>T3</t>
        </is>
      </c>
      <c r="J292" s="43" t="inlineStr">
        <is>
          <t>med</t>
        </is>
      </c>
      <c r="K292" s="29" t="n">
        <v>1</v>
      </c>
      <c r="L292" s="44">
        <f>60*G292/cruise_kt</f>
        <v/>
      </c>
      <c r="M292" s="44">
        <f>L292+turn_min+dwell_min</f>
        <v/>
      </c>
      <c r="N292" s="45">
        <f>MIN(10,FLOOR(60*service_hr/M292,1))</f>
        <v/>
      </c>
      <c r="O292" s="45">
        <f>ROUND(365*mech_uptime*K292,0)</f>
        <v/>
      </c>
      <c r="P292" s="46">
        <f>mech_uptime</f>
        <v/>
      </c>
      <c r="Q292" s="46">
        <f>revleg_sel</f>
        <v/>
      </c>
      <c r="R292" s="45">
        <f>ROUND(N292*O292*revleg_sel,0)</f>
        <v/>
      </c>
      <c r="S292" s="47">
        <f>load_sel</f>
        <v/>
      </c>
      <c r="T292" s="47">
        <f>pax_cap*S292</f>
        <v/>
      </c>
      <c r="U292" s="45">
        <f>T292*R292</f>
        <v/>
      </c>
      <c r="V292" s="48">
        <f>H292*discount</f>
        <v/>
      </c>
      <c r="W292" s="49">
        <f>V292*U292</f>
        <v/>
      </c>
      <c r="X292" s="49">
        <f>(battery/range_nm)*G292*R292*VLOOKUP(B292,country_opex,3,FALSE)</f>
        <v/>
      </c>
      <c r="Y292" s="49">
        <f>VLOOKUP(B292,country_opex,2,FALSE)*crew_factor</f>
        <v/>
      </c>
      <c r="Z292" s="49">
        <f>VLOOKUP(B292,country_opex,5,FALSE)</f>
        <v/>
      </c>
      <c r="AA292" s="49">
        <f>maint</f>
        <v/>
      </c>
      <c r="AB292" s="49">
        <f>VLOOKUP(B292,country_opex,7,FALSE)*ins_pct</f>
        <v/>
      </c>
      <c r="AC292" s="49">
        <f>charge_berth</f>
        <v/>
      </c>
      <c r="AD292" s="49">
        <f>X292+Y292+Z292+AA292+AB292+AC292</f>
        <v/>
      </c>
      <c r="AE292" s="49">
        <f>VLOOKUP(B292,country_opex,7,FALSE)/dep_years</f>
        <v/>
      </c>
      <c r="AF292" s="49">
        <f>W292-AD292</f>
        <v/>
      </c>
      <c r="AG292" s="46">
        <f>IF(W292=0,"",AF292/W292)</f>
        <v/>
      </c>
      <c r="AH292" s="47">
        <f>IF(AF292&lt;=0,"",VLOOKUP(B292,country_opex,7,FALSE)/AF292)</f>
        <v/>
      </c>
      <c r="AI292" s="44">
        <f>((G292*R292/diesel_nmpg)*diesel_co2pg-(battery/range_nm)*G292*R292*VLOOKUP(B292,country_opex,4,FALSE))/1000</f>
        <v/>
      </c>
      <c r="AJ292" s="42" t="n"/>
      <c r="AK292" s="43" t="n"/>
      <c r="AL292" s="43" t="inlineStr">
        <is>
          <t>null</t>
        </is>
      </c>
      <c r="AM292" s="50" t="n">
        <v>0.9</v>
      </c>
      <c r="AN292" s="45">
        <f>IF(AJ292="","",AJ292*AM292)</f>
        <v/>
      </c>
      <c r="AO292" s="45">
        <f>IF(OR(AJ292="",U292=0),"",MIN(IF(AV292="",9.9E+99,AV292),FLOOR(AN292/U292,1)))</f>
        <v/>
      </c>
      <c r="AP292" s="49">
        <f>IF(AO292="","",AO292*W292)</f>
        <v/>
      </c>
      <c r="AQ292" s="47">
        <f>IF(OR(AJ292="",U292=0),"",MIN(IF(AV292="",9.9E+99,AV292),AN292/U292))</f>
        <v/>
      </c>
      <c r="AR292" s="49">
        <f>IF(AQ292="","",AQ292*W292)</f>
        <v/>
      </c>
      <c r="AS292" s="51" t="n"/>
      <c r="AT292" s="52" t="n"/>
      <c r="AU292" s="52" t="n"/>
      <c r="AV292" s="53" t="n"/>
      <c r="AW292" s="54">
        <f>IF(((V292*pax_cap*load_thin*ROUND(N292*O292*revleg_thin,0))-(((battery/range_nm)*G292*ROUND(N292*O292*revleg_thin,0)*VLOOKUP(B292,country_opex,3,FALSE))+Y292+Z292+AA292+AB292+AC292))&lt;=0,"",VLOOKUP(B292,country_opex,7,FALSE)/((V292*pax_cap*load_thin*ROUND(N292*O292*revleg_thin,0))-(((battery/range_nm)*G292*ROUND(N292*O292*revleg_thin,0)*VLOOKUP(B292,country_opex,3,FALSE))+Y292+Z292+AA292+AB292+AC292)))</f>
        <v/>
      </c>
      <c r="AX292" s="54">
        <f>IF(((V292*pax_cap*load_mid*ROUND(N292*O292*revleg_mid,0))-(((battery/range_nm)*G292*ROUND(N292*O292*revleg_mid,0)*VLOOKUP(B292,country_opex,3,FALSE))+Y292+Z292+AA292+AB292+AC292))&lt;=0,"",VLOOKUP(B292,country_opex,7,FALSE)/((V292*pax_cap*load_mid*ROUND(N292*O292*revleg_mid,0))-(((battery/range_nm)*G292*ROUND(N292*O292*revleg_mid,0)*VLOOKUP(B292,country_opex,3,FALSE))+Y292+Z292+AA292+AB292+AC292)))</f>
        <v/>
      </c>
      <c r="AY292" s="54">
        <f>IF(((V292*pax_cap*load_full*ROUND(N292*O292*revleg_full,0))-(((battery/range_nm)*G292*ROUND(N292*O292*revleg_full,0)*VLOOKUP(B292,country_opex,3,FALSE))+Y292+Z292+AA292+AB292+AC292))&lt;=0,"",VLOOKUP(B292,country_opex,7,FALSE)/((V292*pax_cap*load_full*ROUND(N292*O292*revleg_full,0))-(((battery/range_nm)*G292*ROUND(N292*O292*revleg_full,0)*VLOOKUP(B292,country_opex,3,FALSE))+Y292+Z292+AA292+AB292+AC292)))</f>
        <v/>
      </c>
      <c r="AZ292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92" s="40" t="inlineStr">
        <is>
          <t>NULL — pure inter-resort island-hop; no grounded crossing pool (R2). Geometry only.</t>
        </is>
      </c>
    </row>
    <row r="293">
      <c r="A293" s="38" t="inlineStr">
        <is>
          <t>Maldives (JIH)</t>
        </is>
      </c>
      <c r="B293" s="38" t="inlineStr">
        <is>
          <t>Maldives</t>
        </is>
      </c>
      <c r="C293" s="39" t="inlineStr">
        <is>
          <t>Velana International Airport (MLE) Resort Speedboat Lounges → One&amp;Only Reethi Rah</t>
        </is>
      </c>
      <c r="D293" s="38" t="inlineStr">
        <is>
          <t>jih-global</t>
        </is>
      </c>
      <c r="E293" s="40" t="inlineStr">
        <is>
          <t>maldives-jih</t>
        </is>
      </c>
      <c r="F293" s="41" t="n">
        <v>1</v>
      </c>
      <c r="G293" s="42" t="n">
        <v>22</v>
      </c>
      <c r="H293" s="35" t="n">
        <v>500</v>
      </c>
      <c r="I293" s="43" t="inlineStr">
        <is>
          <t>T3</t>
        </is>
      </c>
      <c r="J293" s="43" t="inlineStr">
        <is>
          <t>med</t>
        </is>
      </c>
      <c r="K293" s="29" t="n">
        <v>1</v>
      </c>
      <c r="L293" s="44">
        <f>60*G293/cruise_kt</f>
        <v/>
      </c>
      <c r="M293" s="44">
        <f>L293+turn_min+dwell_min</f>
        <v/>
      </c>
      <c r="N293" s="45">
        <f>MIN(10,FLOOR(60*service_hr/M293,1))</f>
        <v/>
      </c>
      <c r="O293" s="45">
        <f>ROUND(365*mech_uptime*K293,0)</f>
        <v/>
      </c>
      <c r="P293" s="46">
        <f>mech_uptime</f>
        <v/>
      </c>
      <c r="Q293" s="46">
        <f>revleg_sel</f>
        <v/>
      </c>
      <c r="R293" s="45">
        <f>ROUND(N293*O293*revleg_sel,0)</f>
        <v/>
      </c>
      <c r="S293" s="47">
        <f>load_sel</f>
        <v/>
      </c>
      <c r="T293" s="47">
        <f>pax_cap*S293</f>
        <v/>
      </c>
      <c r="U293" s="45">
        <f>T293*R293</f>
        <v/>
      </c>
      <c r="V293" s="48">
        <f>H293*discount</f>
        <v/>
      </c>
      <c r="W293" s="49">
        <f>V293*U293</f>
        <v/>
      </c>
      <c r="X293" s="49">
        <f>(battery/range_nm)*G293*R293*VLOOKUP(B293,country_opex,3,FALSE)</f>
        <v/>
      </c>
      <c r="Y293" s="49">
        <f>VLOOKUP(B293,country_opex,2,FALSE)*crew_factor</f>
        <v/>
      </c>
      <c r="Z293" s="49">
        <f>VLOOKUP(B293,country_opex,5,FALSE)</f>
        <v/>
      </c>
      <c r="AA293" s="49">
        <f>maint</f>
        <v/>
      </c>
      <c r="AB293" s="49">
        <f>VLOOKUP(B293,country_opex,7,FALSE)*ins_pct</f>
        <v/>
      </c>
      <c r="AC293" s="49">
        <f>charge_berth</f>
        <v/>
      </c>
      <c r="AD293" s="49">
        <f>X293+Y293+Z293+AA293+AB293+AC293</f>
        <v/>
      </c>
      <c r="AE293" s="49">
        <f>VLOOKUP(B293,country_opex,7,FALSE)/dep_years</f>
        <v/>
      </c>
      <c r="AF293" s="49">
        <f>W293-AD293</f>
        <v/>
      </c>
      <c r="AG293" s="46">
        <f>IF(W293=0,"",AF293/W293)</f>
        <v/>
      </c>
      <c r="AH293" s="47">
        <f>IF(AF293&lt;=0,"",VLOOKUP(B293,country_opex,7,FALSE)/AF293)</f>
        <v/>
      </c>
      <c r="AI293" s="44">
        <f>((G293*R293/diesel_nmpg)*diesel_co2pg-(battery/range_nm)*G293*R293*VLOOKUP(B293,country_opex,4,FALSE))/1000</f>
        <v/>
      </c>
      <c r="AJ293" s="42" t="n">
        <v>20300</v>
      </c>
      <c r="AK293" s="43" t="inlineStr">
        <is>
          <t>T5</t>
        </is>
      </c>
      <c r="AL293" s="43" t="inlineStr">
        <is>
          <t>low-med</t>
        </is>
      </c>
      <c r="AM293" s="50" t="n">
        <v>0.9</v>
      </c>
      <c r="AN293" s="45">
        <f>IF(AJ293="","",AJ293*AM293)</f>
        <v/>
      </c>
      <c r="AO293" s="45">
        <f>IF(OR(AJ293="",U293=0),"",MIN(IF(AV293="",9.9E+99,AV293),FLOOR(AN293/U293,1)))</f>
        <v/>
      </c>
      <c r="AP293" s="49">
        <f>IF(AO293="","",AO293*W293)</f>
        <v/>
      </c>
      <c r="AQ293" s="47">
        <f>IF(OR(AJ293="",U293=0),"",MIN(IF(AV293="",9.9E+99,AV293),AN293/U293))</f>
        <v/>
      </c>
      <c r="AR293" s="49">
        <f>IF(AQ293="","",AQ293*W293)</f>
        <v/>
      </c>
      <c r="AS293" s="51" t="n"/>
      <c r="AT293" s="52" t="n"/>
      <c r="AU293" s="52" t="n"/>
      <c r="AV293" s="53" t="n">
        <v>5</v>
      </c>
      <c r="AW293" s="54">
        <f>IF(((V293*pax_cap*load_thin*ROUND(N293*O293*revleg_thin,0))-(((battery/range_nm)*G293*ROUND(N293*O293*revleg_thin,0)*VLOOKUP(B293,country_opex,3,FALSE))+Y293+Z293+AA293+AB293+AC293))&lt;=0,"",VLOOKUP(B293,country_opex,7,FALSE)/((V293*pax_cap*load_thin*ROUND(N293*O293*revleg_thin,0))-(((battery/range_nm)*G293*ROUND(N293*O293*revleg_thin,0)*VLOOKUP(B293,country_opex,3,FALSE))+Y293+Z293+AA293+AB293+AC293)))</f>
        <v/>
      </c>
      <c r="AX293" s="54">
        <f>IF(((V293*pax_cap*load_mid*ROUND(N293*O293*revleg_mid,0))-(((battery/range_nm)*G293*ROUND(N293*O293*revleg_mid,0)*VLOOKUP(B293,country_opex,3,FALSE))+Y293+Z293+AA293+AB293+AC293))&lt;=0,"",VLOOKUP(B293,country_opex,7,FALSE)/((V293*pax_cap*load_mid*ROUND(N293*O293*revleg_mid,0))-(((battery/range_nm)*G293*ROUND(N293*O293*revleg_mid,0)*VLOOKUP(B293,country_opex,3,FALSE))+Y293+Z293+AA293+AB293+AC293)))</f>
        <v/>
      </c>
      <c r="AY293" s="54">
        <f>IF(((V293*pax_cap*load_full*ROUND(N293*O293*revleg_full,0))-(((battery/range_nm)*G293*ROUND(N293*O293*revleg_full,0)*VLOOKUP(B293,country_opex,3,FALSE))+Y293+Z293+AA293+AB293+AC293))&lt;=0,"",VLOOKUP(B293,country_opex,7,FALSE)/((V293*pax_cap*load_full*ROUND(N293*O293*revleg_full,0))-(((battery/range_nm)*G293*ROUND(N293*O293*revleg_full,0)*VLOOKUP(B293,country_opex,3,FALSE))+Y293+Z293+AA293+AB293+AC293)))</f>
        <v/>
      </c>
      <c r="AZ293" s="40" t="inlineStr">
        <is>
          <t>One&amp;Only Reethi Rah (oneandonlyresorts.com publishes shared luxury boat transfer at a charge; 45-min). Luxury Escapes listing: airport shuttle USD 1,260/person roundtrip = $630/way (premium scheduled), plus a $325 lower tier. Tripadvisor forum: Reethi Rah transfer quoted $450/person. Premium per-seat ~$500/way.</t>
        </is>
      </c>
      <c r="BA293" s="40" t="inlineStr">
        <is>
          <t>Modeled from resort key count. One&amp;Only Reethi Rah: ~130 villas/keys (published resort/Virtuoso/booking figures). corridor_annual_oneway_pax = keys x 365 x occ(0.75) / avg_stay(7 nights) x guests/key(2) x 2 (arr+dep) ~= keys x 156. 130 keys -&gt; ~20,300 one-way pax/yr. Airport(MLE)&lt;-&gt;this resort is the sole transfer corridor (boat/seaplane only; no road/air alt - R3-EXCEPTION: arrivals = crossing ridership).</t>
        </is>
      </c>
    </row>
    <row r="294">
      <c r="A294" s="38" t="inlineStr">
        <is>
          <t>Maldives (JIH)</t>
        </is>
      </c>
      <c r="B294" s="38" t="inlineStr">
        <is>
          <t>Maldives</t>
        </is>
      </c>
      <c r="C294" s="39" t="inlineStr">
        <is>
          <t>Ifuru Airport, Raa → InterContinental Maamunagau (Raa)</t>
        </is>
      </c>
      <c r="D294" s="38" t="inlineStr">
        <is>
          <t>jih-global</t>
        </is>
      </c>
      <c r="E294" s="40" t="inlineStr">
        <is>
          <t>maldives-jih</t>
        </is>
      </c>
      <c r="F294" s="41" t="n">
        <v>1</v>
      </c>
      <c r="G294" s="42" t="n">
        <v>23.1</v>
      </c>
      <c r="H294" s="35" t="n">
        <v>150</v>
      </c>
      <c r="I294" s="43" t="inlineStr">
        <is>
          <t>T3</t>
        </is>
      </c>
      <c r="J294" s="43" t="inlineStr">
        <is>
          <t>med</t>
        </is>
      </c>
      <c r="K294" s="29" t="n">
        <v>1</v>
      </c>
      <c r="L294" s="44">
        <f>60*G294/cruise_kt</f>
        <v/>
      </c>
      <c r="M294" s="44">
        <f>L294+turn_min+dwell_min</f>
        <v/>
      </c>
      <c r="N294" s="45">
        <f>MIN(10,FLOOR(60*service_hr/M294,1))</f>
        <v/>
      </c>
      <c r="O294" s="45">
        <f>ROUND(365*mech_uptime*K294,0)</f>
        <v/>
      </c>
      <c r="P294" s="46">
        <f>mech_uptime</f>
        <v/>
      </c>
      <c r="Q294" s="46">
        <f>revleg_sel</f>
        <v/>
      </c>
      <c r="R294" s="45">
        <f>ROUND(N294*O294*revleg_sel,0)</f>
        <v/>
      </c>
      <c r="S294" s="47">
        <f>load_sel</f>
        <v/>
      </c>
      <c r="T294" s="47">
        <f>pax_cap*S294</f>
        <v/>
      </c>
      <c r="U294" s="45">
        <f>T294*R294</f>
        <v/>
      </c>
      <c r="V294" s="48">
        <f>H294*discount</f>
        <v/>
      </c>
      <c r="W294" s="49">
        <f>V294*U294</f>
        <v/>
      </c>
      <c r="X294" s="49">
        <f>(battery/range_nm)*G294*R294*VLOOKUP(B294,country_opex,3,FALSE)</f>
        <v/>
      </c>
      <c r="Y294" s="49">
        <f>VLOOKUP(B294,country_opex,2,FALSE)*crew_factor</f>
        <v/>
      </c>
      <c r="Z294" s="49">
        <f>VLOOKUP(B294,country_opex,5,FALSE)</f>
        <v/>
      </c>
      <c r="AA294" s="49">
        <f>maint</f>
        <v/>
      </c>
      <c r="AB294" s="49">
        <f>VLOOKUP(B294,country_opex,7,FALSE)*ins_pct</f>
        <v/>
      </c>
      <c r="AC294" s="49">
        <f>charge_berth</f>
        <v/>
      </c>
      <c r="AD294" s="49">
        <f>X294+Y294+Z294+AA294+AB294+AC294</f>
        <v/>
      </c>
      <c r="AE294" s="49">
        <f>VLOOKUP(B294,country_opex,7,FALSE)/dep_years</f>
        <v/>
      </c>
      <c r="AF294" s="49">
        <f>W294-AD294</f>
        <v/>
      </c>
      <c r="AG294" s="46">
        <f>IF(W294=0,"",AF294/W294)</f>
        <v/>
      </c>
      <c r="AH294" s="47">
        <f>IF(AF294&lt;=0,"",VLOOKUP(B294,country_opex,7,FALSE)/AF294)</f>
        <v/>
      </c>
      <c r="AI294" s="44">
        <f>((G294*R294/diesel_nmpg)*diesel_co2pg-(battery/range_nm)*G294*R294*VLOOKUP(B294,country_opex,4,FALSE))/1000</f>
        <v/>
      </c>
      <c r="AJ294" s="42" t="n">
        <v>6049</v>
      </c>
      <c r="AK294" s="43" t="inlineStr">
        <is>
          <t>T5</t>
        </is>
      </c>
      <c r="AL294" s="43" t="inlineStr">
        <is>
          <t>med</t>
        </is>
      </c>
      <c r="AM294" s="50" t="n">
        <v>0.9</v>
      </c>
      <c r="AN294" s="45">
        <f>IF(AJ294="","",AJ294*AM294)</f>
        <v/>
      </c>
      <c r="AO294" s="45">
        <f>IF(OR(AJ294="",U294=0),"",MIN(IF(AV294="",9.9E+99,AV294),FLOOR(AN294/U294,1)))</f>
        <v/>
      </c>
      <c r="AP294" s="49">
        <f>IF(AO294="","",AO294*W294)</f>
        <v/>
      </c>
      <c r="AQ294" s="47">
        <f>IF(OR(AJ294="",U294=0),"",MIN(IF(AV294="",9.9E+99,AV294),AN294/U294))</f>
        <v/>
      </c>
      <c r="AR294" s="49">
        <f>IF(AQ294="","",AQ294*W294)</f>
        <v/>
      </c>
      <c r="AS294" s="51" t="n"/>
      <c r="AT294" s="52" t="n"/>
      <c r="AU294" s="52" t="n"/>
      <c r="AV294" s="53" t="n">
        <v>4</v>
      </c>
      <c r="AW294" s="54">
        <f>IF(((V294*pax_cap*load_thin*ROUND(N294*O294*revleg_thin,0))-(((battery/range_nm)*G294*ROUND(N294*O294*revleg_thin,0)*VLOOKUP(B294,country_opex,3,FALSE))+Y294+Z294+AA294+AB294+AC294))&lt;=0,"",VLOOKUP(B294,country_opex,7,FALSE)/((V294*pax_cap*load_thin*ROUND(N294*O294*revleg_thin,0))-(((battery/range_nm)*G294*ROUND(N294*O294*revleg_thin,0)*VLOOKUP(B294,country_opex,3,FALSE))+Y294+Z294+AA294+AB294+AC294)))</f>
        <v/>
      </c>
      <c r="AX294" s="54">
        <f>IF(((V294*pax_cap*load_mid*ROUND(N294*O294*revleg_mid,0))-(((battery/range_nm)*G294*ROUND(N294*O294*revleg_mid,0)*VLOOKUP(B294,country_opex,3,FALSE))+Y294+Z294+AA294+AB294+AC294))&lt;=0,"",VLOOKUP(B294,country_opex,7,FALSE)/((V294*pax_cap*load_mid*ROUND(N294*O294*revleg_mid,0))-(((battery/range_nm)*G294*ROUND(N294*O294*revleg_mid,0)*VLOOKUP(B294,country_opex,3,FALSE))+Y294+Z294+AA294+AB294+AC294)))</f>
        <v/>
      </c>
      <c r="AY294" s="54">
        <f>IF(((V294*pax_cap*load_full*ROUND(N294*O294*revleg_full,0))-(((battery/range_nm)*G294*ROUND(N294*O294*revleg_full,0)*VLOOKUP(B294,country_opex,3,FALSE))+Y294+Z294+AA294+AB294+AC294))&lt;=0,"",VLOOKUP(B294,country_opex,7,FALSE)/((V294*pax_cap*load_full*ROUND(N294*O294*revleg_full,0))-(((battery/range_nm)*G294*ROUND(N294*O294*revleg_full,0)*VLOOKUP(B294,country_opex,3,FALSE))+Y294+Z294+AA294+AB294+AC294)))</f>
        <v/>
      </c>
      <c r="AZ294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94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95">
      <c r="A295" s="38" t="inlineStr">
        <is>
          <t>Maldives (JIH)</t>
        </is>
      </c>
      <c r="B295" s="38" t="inlineStr">
        <is>
          <t>Maldives</t>
        </is>
      </c>
      <c r="C295" s="39" t="inlineStr">
        <is>
          <t>Velana International Airport (MLE) Resort Speedboat Lounges → The Ritz-Carlton Maldives, Fari Islands</t>
        </is>
      </c>
      <c r="D295" s="38" t="inlineStr">
        <is>
          <t>jih-global</t>
        </is>
      </c>
      <c r="E295" s="40" t="inlineStr">
        <is>
          <t>maldives-jih</t>
        </is>
      </c>
      <c r="F295" s="41" t="n">
        <v>1</v>
      </c>
      <c r="G295" s="42" t="n">
        <v>26.5</v>
      </c>
      <c r="H295" s="35" t="n">
        <v>510</v>
      </c>
      <c r="I295" s="43" t="inlineStr">
        <is>
          <t>T1</t>
        </is>
      </c>
      <c r="J295" s="43" t="inlineStr">
        <is>
          <t>med-high</t>
        </is>
      </c>
      <c r="K295" s="29" t="n">
        <v>1</v>
      </c>
      <c r="L295" s="44">
        <f>60*G295/cruise_kt</f>
        <v/>
      </c>
      <c r="M295" s="44">
        <f>L295+turn_min+dwell_min</f>
        <v/>
      </c>
      <c r="N295" s="45">
        <f>MIN(10,FLOOR(60*service_hr/M295,1))</f>
        <v/>
      </c>
      <c r="O295" s="45">
        <f>ROUND(365*mech_uptime*K295,0)</f>
        <v/>
      </c>
      <c r="P295" s="46">
        <f>mech_uptime</f>
        <v/>
      </c>
      <c r="Q295" s="46">
        <f>revleg_sel</f>
        <v/>
      </c>
      <c r="R295" s="45">
        <f>ROUND(N295*O295*revleg_sel,0)</f>
        <v/>
      </c>
      <c r="S295" s="47">
        <f>load_sel</f>
        <v/>
      </c>
      <c r="T295" s="47">
        <f>pax_cap*S295</f>
        <v/>
      </c>
      <c r="U295" s="45">
        <f>T295*R295</f>
        <v/>
      </c>
      <c r="V295" s="48">
        <f>H295*discount</f>
        <v/>
      </c>
      <c r="W295" s="49">
        <f>V295*U295</f>
        <v/>
      </c>
      <c r="X295" s="49">
        <f>(battery/range_nm)*G295*R295*VLOOKUP(B295,country_opex,3,FALSE)</f>
        <v/>
      </c>
      <c r="Y295" s="49">
        <f>VLOOKUP(B295,country_opex,2,FALSE)*crew_factor</f>
        <v/>
      </c>
      <c r="Z295" s="49">
        <f>VLOOKUP(B295,country_opex,5,FALSE)</f>
        <v/>
      </c>
      <c r="AA295" s="49">
        <f>maint</f>
        <v/>
      </c>
      <c r="AB295" s="49">
        <f>VLOOKUP(B295,country_opex,7,FALSE)*ins_pct</f>
        <v/>
      </c>
      <c r="AC295" s="49">
        <f>charge_berth</f>
        <v/>
      </c>
      <c r="AD295" s="49">
        <f>X295+Y295+Z295+AA295+AB295+AC295</f>
        <v/>
      </c>
      <c r="AE295" s="49">
        <f>VLOOKUP(B295,country_opex,7,FALSE)/dep_years</f>
        <v/>
      </c>
      <c r="AF295" s="49">
        <f>W295-AD295</f>
        <v/>
      </c>
      <c r="AG295" s="46">
        <f>IF(W295=0,"",AF295/W295)</f>
        <v/>
      </c>
      <c r="AH295" s="47">
        <f>IF(AF295&lt;=0,"",VLOOKUP(B295,country_opex,7,FALSE)/AF295)</f>
        <v/>
      </c>
      <c r="AI295" s="44">
        <f>((G295*R295/diesel_nmpg)*diesel_co2pg-(battery/range_nm)*G295*R295*VLOOKUP(B295,country_opex,4,FALSE))/1000</f>
        <v/>
      </c>
      <c r="AJ295" s="42" t="n">
        <v>15600</v>
      </c>
      <c r="AK295" s="43" t="inlineStr">
        <is>
          <t>T5</t>
        </is>
      </c>
      <c r="AL295" s="43" t="inlineStr">
        <is>
          <t>low-med</t>
        </is>
      </c>
      <c r="AM295" s="50" t="n">
        <v>0.9</v>
      </c>
      <c r="AN295" s="45">
        <f>IF(AJ295="","",AJ295*AM295)</f>
        <v/>
      </c>
      <c r="AO295" s="45">
        <f>IF(OR(AJ295="",U295=0),"",MIN(IF(AV295="",9.9E+99,AV295),FLOOR(AN295/U295,1)))</f>
        <v/>
      </c>
      <c r="AP295" s="49">
        <f>IF(AO295="","",AO295*W295)</f>
        <v/>
      </c>
      <c r="AQ295" s="47">
        <f>IF(OR(AJ295="",U295=0),"",MIN(IF(AV295="",9.9E+99,AV295),AN295/U295))</f>
        <v/>
      </c>
      <c r="AR295" s="49">
        <f>IF(AQ295="","",AQ295*W295)</f>
        <v/>
      </c>
      <c r="AS295" s="51" t="n"/>
      <c r="AT295" s="52" t="n"/>
      <c r="AU295" s="52" t="n"/>
      <c r="AV295" s="53" t="n">
        <v>4</v>
      </c>
      <c r="AW295" s="54">
        <f>IF(((V295*pax_cap*load_thin*ROUND(N295*O295*revleg_thin,0))-(((battery/range_nm)*G295*ROUND(N295*O295*revleg_thin,0)*VLOOKUP(B295,country_opex,3,FALSE))+Y295+Z295+AA295+AB295+AC295))&lt;=0,"",VLOOKUP(B295,country_opex,7,FALSE)/((V295*pax_cap*load_thin*ROUND(N295*O295*revleg_thin,0))-(((battery/range_nm)*G295*ROUND(N295*O295*revleg_thin,0)*VLOOKUP(B295,country_opex,3,FALSE))+Y295+Z295+AA295+AB295+AC295)))</f>
        <v/>
      </c>
      <c r="AX295" s="54">
        <f>IF(((V295*pax_cap*load_mid*ROUND(N295*O295*revleg_mid,0))-(((battery/range_nm)*G295*ROUND(N295*O295*revleg_mid,0)*VLOOKUP(B295,country_opex,3,FALSE))+Y295+Z295+AA295+AB295+AC295))&lt;=0,"",VLOOKUP(B295,country_opex,7,FALSE)/((V295*pax_cap*load_mid*ROUND(N295*O295*revleg_mid,0))-(((battery/range_nm)*G295*ROUND(N295*O295*revleg_mid,0)*VLOOKUP(B295,country_opex,3,FALSE))+Y295+Z295+AA295+AB295+AC295)))</f>
        <v/>
      </c>
      <c r="AY295" s="54">
        <f>IF(((V295*pax_cap*load_full*ROUND(N295*O295*revleg_full,0))-(((battery/range_nm)*G295*ROUND(N295*O295*revleg_full,0)*VLOOKUP(B295,country_opex,3,FALSE))+Y295+Z295+AA295+AB295+AC295))&lt;=0,"",VLOOKUP(B295,country_opex,7,FALSE)/((V295*pax_cap*load_full*ROUND(N295*O295*revleg_full,0))-(((battery/range_nm)*G295*ROUND(N295*O295*revleg_full,0)*VLOOKUP(B295,country_opex,3,FALSE))+Y295+Z295+AA295+AB295+AC295)))</f>
        <v/>
      </c>
      <c r="AZ295" s="40" t="inlineStr">
        <is>
          <t>Ritz-Carlton Maldives Fari Islands OFFICIAL (ritzcarlton.com): on-demand roundtrip speedboat USD 1,027 net/adult (incl 10% service) = $513/way. johnnyafrica review: $1,024/person 2025. FlyerTalk master thread: shared speedboat $901/adult RT; private 48' speedboat $2,800/person (charter). Premium per-seat $510/way.</t>
        </is>
      </c>
      <c r="BA295" s="40" t="inlineStr">
        <is>
          <t>Modeled from resort key count. The Ritz-Carlton Maldives, Fari Islands: ~100 villas/keys (published resort/Virtuoso/booking figures). corridor_annual_oneway_pax = keys x 365 x occ(0.75) / avg_stay(7 nights) x guests/key(2) x 2 (arr+dep) ~= keys x 156. 100 keys -&gt; ~15,600 one-way pax/yr. Airport(MLE)&lt;-&gt;this resort is the sole transfer corridor (boat/seaplane only; no road/air alt - R3-EXCEPTION: arrivals = crossing ridership).</t>
        </is>
      </c>
    </row>
    <row r="296">
      <c r="A296" s="38" t="inlineStr">
        <is>
          <t>Maldives (JIH)</t>
        </is>
      </c>
      <c r="B296" s="38" t="inlineStr">
        <is>
          <t>Maldives</t>
        </is>
      </c>
      <c r="C296" s="39" t="inlineStr">
        <is>
          <t>Velana International Airport (MLE) Resort Speedboat Lounges → Patina Maldives, Fari Islands</t>
        </is>
      </c>
      <c r="D296" s="38" t="inlineStr">
        <is>
          <t>jih-global</t>
        </is>
      </c>
      <c r="E296" s="40" t="inlineStr">
        <is>
          <t>maldives-jih</t>
        </is>
      </c>
      <c r="F296" s="41" t="n">
        <v>1</v>
      </c>
      <c r="G296" s="42" t="n">
        <v>27.4</v>
      </c>
      <c r="H296" s="35" t="n">
        <v>450</v>
      </c>
      <c r="I296" s="43" t="inlineStr">
        <is>
          <t>T3</t>
        </is>
      </c>
      <c r="J296" s="43" t="inlineStr">
        <is>
          <t>med</t>
        </is>
      </c>
      <c r="K296" s="29" t="n">
        <v>1</v>
      </c>
      <c r="L296" s="44">
        <f>60*G296/cruise_kt</f>
        <v/>
      </c>
      <c r="M296" s="44">
        <f>L296+turn_min+dwell_min</f>
        <v/>
      </c>
      <c r="N296" s="45">
        <f>MIN(10,FLOOR(60*service_hr/M296,1))</f>
        <v/>
      </c>
      <c r="O296" s="45">
        <f>ROUND(365*mech_uptime*K296,0)</f>
        <v/>
      </c>
      <c r="P296" s="46">
        <f>mech_uptime</f>
        <v/>
      </c>
      <c r="Q296" s="46">
        <f>revleg_sel</f>
        <v/>
      </c>
      <c r="R296" s="45">
        <f>ROUND(N296*O296*revleg_sel,0)</f>
        <v/>
      </c>
      <c r="S296" s="47">
        <f>load_sel</f>
        <v/>
      </c>
      <c r="T296" s="47">
        <f>pax_cap*S296</f>
        <v/>
      </c>
      <c r="U296" s="45">
        <f>T296*R296</f>
        <v/>
      </c>
      <c r="V296" s="48">
        <f>H296*discount</f>
        <v/>
      </c>
      <c r="W296" s="49">
        <f>V296*U296</f>
        <v/>
      </c>
      <c r="X296" s="49">
        <f>(battery/range_nm)*G296*R296*VLOOKUP(B296,country_opex,3,FALSE)</f>
        <v/>
      </c>
      <c r="Y296" s="49">
        <f>VLOOKUP(B296,country_opex,2,FALSE)*crew_factor</f>
        <v/>
      </c>
      <c r="Z296" s="49">
        <f>VLOOKUP(B296,country_opex,5,FALSE)</f>
        <v/>
      </c>
      <c r="AA296" s="49">
        <f>maint</f>
        <v/>
      </c>
      <c r="AB296" s="49">
        <f>VLOOKUP(B296,country_opex,7,FALSE)*ins_pct</f>
        <v/>
      </c>
      <c r="AC296" s="49">
        <f>charge_berth</f>
        <v/>
      </c>
      <c r="AD296" s="49">
        <f>X296+Y296+Z296+AA296+AB296+AC296</f>
        <v/>
      </c>
      <c r="AE296" s="49">
        <f>VLOOKUP(B296,country_opex,7,FALSE)/dep_years</f>
        <v/>
      </c>
      <c r="AF296" s="49">
        <f>W296-AD296</f>
        <v/>
      </c>
      <c r="AG296" s="46">
        <f>IF(W296=0,"",AF296/W296)</f>
        <v/>
      </c>
      <c r="AH296" s="47">
        <f>IF(AF296&lt;=0,"",VLOOKUP(B296,country_opex,7,FALSE)/AF296)</f>
        <v/>
      </c>
      <c r="AI296" s="44">
        <f>((G296*R296/diesel_nmpg)*diesel_co2pg-(battery/range_nm)*G296*R296*VLOOKUP(B296,country_opex,4,FALSE))/1000</f>
        <v/>
      </c>
      <c r="AJ296" s="42" t="n">
        <v>14100</v>
      </c>
      <c r="AK296" s="43" t="inlineStr">
        <is>
          <t>T5</t>
        </is>
      </c>
      <c r="AL296" s="43" t="inlineStr">
        <is>
          <t>low-med</t>
        </is>
      </c>
      <c r="AM296" s="50" t="n">
        <v>0.9</v>
      </c>
      <c r="AN296" s="45">
        <f>IF(AJ296="","",AJ296*AM296)</f>
        <v/>
      </c>
      <c r="AO296" s="45">
        <f>IF(OR(AJ296="",U296=0),"",MIN(IF(AV296="",9.9E+99,AV296),FLOOR(AN296/U296,1)))</f>
        <v/>
      </c>
      <c r="AP296" s="49">
        <f>IF(AO296="","",AO296*W296)</f>
        <v/>
      </c>
      <c r="AQ296" s="47">
        <f>IF(OR(AJ296="",U296=0),"",MIN(IF(AV296="",9.9E+99,AV296),AN296/U296))</f>
        <v/>
      </c>
      <c r="AR296" s="49">
        <f>IF(AQ296="","",AQ296*W296)</f>
        <v/>
      </c>
      <c r="AS296" s="51" t="n"/>
      <c r="AT296" s="52" t="n"/>
      <c r="AU296" s="52" t="n"/>
      <c r="AV296" s="53" t="n">
        <v>4</v>
      </c>
      <c r="AW296" s="54">
        <f>IF(((V296*pax_cap*load_thin*ROUND(N296*O296*revleg_thin,0))-(((battery/range_nm)*G296*ROUND(N296*O296*revleg_thin,0)*VLOOKUP(B296,country_opex,3,FALSE))+Y296+Z296+AA296+AB296+AC296))&lt;=0,"",VLOOKUP(B296,country_opex,7,FALSE)/((V296*pax_cap*load_thin*ROUND(N296*O296*revleg_thin,0))-(((battery/range_nm)*G296*ROUND(N296*O296*revleg_thin,0)*VLOOKUP(B296,country_opex,3,FALSE))+Y296+Z296+AA296+AB296+AC296)))</f>
        <v/>
      </c>
      <c r="AX296" s="54">
        <f>IF(((V296*pax_cap*load_mid*ROUND(N296*O296*revleg_mid,0))-(((battery/range_nm)*G296*ROUND(N296*O296*revleg_mid,0)*VLOOKUP(B296,country_opex,3,FALSE))+Y296+Z296+AA296+AB296+AC296))&lt;=0,"",VLOOKUP(B296,country_opex,7,FALSE)/((V296*pax_cap*load_mid*ROUND(N296*O296*revleg_mid,0))-(((battery/range_nm)*G296*ROUND(N296*O296*revleg_mid,0)*VLOOKUP(B296,country_opex,3,FALSE))+Y296+Z296+AA296+AB296+AC296)))</f>
        <v/>
      </c>
      <c r="AY296" s="54">
        <f>IF(((V296*pax_cap*load_full*ROUND(N296*O296*revleg_full,0))-(((battery/range_nm)*G296*ROUND(N296*O296*revleg_full,0)*VLOOKUP(B296,country_opex,3,FALSE))+Y296+Z296+AA296+AB296+AC296))&lt;=0,"",VLOOKUP(B296,country_opex,7,FALSE)/((V296*pax_cap*load_full*ROUND(N296*O296*revleg_full,0))-(((battery/range_nm)*G296*ROUND(N296*O296*revleg_full,0)*VLOOKUP(B296,country_opex,3,FALSE))+Y296+Z296+AA296+AB296+AC296)))</f>
        <v/>
      </c>
      <c r="AZ296" s="40" t="inlineStr">
        <is>
          <t>Patina Maldives Fari Islands. Luxury Escapes listing: shared roundtrip speedboat US$950/adult +28.7% tax = ~$610/way all-in. The Luxury Traveller review: $730/adult RT = $365/way. Same Fari Islands lagoon as Ritz (~50-min speedboat). Premium per-seat ~$450/way (mid of $365-475 base band).</t>
        </is>
      </c>
      <c r="BA296" s="40" t="inlineStr">
        <is>
          <t>Modeled from resort key count. Patina Maldives, Fari Islands: ~90 villas/keys (published resort/Virtuoso/booking figures). corridor_annual_oneway_pax = keys x 365 x occ(0.75) / avg_stay(7 nights) x guests/key(2) x 2 (arr+dep) ~= keys x 156. 90 keys -&gt; ~14,100 one-way pax/yr. Airport(MLE)&lt;-&gt;this resort is the sole transfer corridor (boat/seaplane only; no road/air alt - R3-EXCEPTION: arrivals = crossing ridership).</t>
        </is>
      </c>
    </row>
    <row r="297">
      <c r="A297" s="38" t="inlineStr">
        <is>
          <t>Maldives (JIH)</t>
        </is>
      </c>
      <c r="B297" s="38" t="inlineStr">
        <is>
          <t>Maldives</t>
        </is>
      </c>
      <c r="C297" s="39" t="inlineStr">
        <is>
          <t>Maamigili (Villa) Airport, South Ari → Constance Moofushi</t>
        </is>
      </c>
      <c r="D297" s="38" t="inlineStr">
        <is>
          <t>jih-global</t>
        </is>
      </c>
      <c r="E297" s="40" t="inlineStr">
        <is>
          <t>maldives-jih</t>
        </is>
      </c>
      <c r="F297" s="41" t="n">
        <v>1</v>
      </c>
      <c r="G297" s="42" t="n">
        <v>29</v>
      </c>
      <c r="H297" s="35" t="n">
        <v>150</v>
      </c>
      <c r="I297" s="43" t="inlineStr">
        <is>
          <t>T3</t>
        </is>
      </c>
      <c r="J297" s="43" t="inlineStr">
        <is>
          <t>med</t>
        </is>
      </c>
      <c r="K297" s="29" t="n">
        <v>1</v>
      </c>
      <c r="L297" s="44">
        <f>60*G297/cruise_kt</f>
        <v/>
      </c>
      <c r="M297" s="44">
        <f>L297+turn_min+dwell_min</f>
        <v/>
      </c>
      <c r="N297" s="45">
        <f>MIN(10,FLOOR(60*service_hr/M297,1))</f>
        <v/>
      </c>
      <c r="O297" s="45">
        <f>ROUND(365*mech_uptime*K297,0)</f>
        <v/>
      </c>
      <c r="P297" s="46">
        <f>mech_uptime</f>
        <v/>
      </c>
      <c r="Q297" s="46">
        <f>revleg_sel</f>
        <v/>
      </c>
      <c r="R297" s="45">
        <f>ROUND(N297*O297*revleg_sel,0)</f>
        <v/>
      </c>
      <c r="S297" s="47">
        <f>load_sel</f>
        <v/>
      </c>
      <c r="T297" s="47">
        <f>pax_cap*S297</f>
        <v/>
      </c>
      <c r="U297" s="45">
        <f>T297*R297</f>
        <v/>
      </c>
      <c r="V297" s="48">
        <f>H297*discount</f>
        <v/>
      </c>
      <c r="W297" s="49">
        <f>V297*U297</f>
        <v/>
      </c>
      <c r="X297" s="49">
        <f>(battery/range_nm)*G297*R297*VLOOKUP(B297,country_opex,3,FALSE)</f>
        <v/>
      </c>
      <c r="Y297" s="49">
        <f>VLOOKUP(B297,country_opex,2,FALSE)*crew_factor</f>
        <v/>
      </c>
      <c r="Z297" s="49">
        <f>VLOOKUP(B297,country_opex,5,FALSE)</f>
        <v/>
      </c>
      <c r="AA297" s="49">
        <f>maint</f>
        <v/>
      </c>
      <c r="AB297" s="49">
        <f>VLOOKUP(B297,country_opex,7,FALSE)*ins_pct</f>
        <v/>
      </c>
      <c r="AC297" s="49">
        <f>charge_berth</f>
        <v/>
      </c>
      <c r="AD297" s="49">
        <f>X297+Y297+Z297+AA297+AB297+AC297</f>
        <v/>
      </c>
      <c r="AE297" s="49">
        <f>VLOOKUP(B297,country_opex,7,FALSE)/dep_years</f>
        <v/>
      </c>
      <c r="AF297" s="49">
        <f>W297-AD297</f>
        <v/>
      </c>
      <c r="AG297" s="46">
        <f>IF(W297=0,"",AF297/W297)</f>
        <v/>
      </c>
      <c r="AH297" s="47">
        <f>IF(AF297&lt;=0,"",VLOOKUP(B297,country_opex,7,FALSE)/AF297)</f>
        <v/>
      </c>
      <c r="AI297" s="44">
        <f>((G297*R297/diesel_nmpg)*diesel_co2pg-(battery/range_nm)*G297*R297*VLOOKUP(B297,country_opex,4,FALSE))/1000</f>
        <v/>
      </c>
      <c r="AJ297" s="42" t="n">
        <v>8215</v>
      </c>
      <c r="AK297" s="43" t="inlineStr">
        <is>
          <t>T5</t>
        </is>
      </c>
      <c r="AL297" s="43" t="inlineStr">
        <is>
          <t>med</t>
        </is>
      </c>
      <c r="AM297" s="50" t="n">
        <v>0.9</v>
      </c>
      <c r="AN297" s="45">
        <f>IF(AJ297="","",AJ297*AM297)</f>
        <v/>
      </c>
      <c r="AO297" s="45">
        <f>IF(OR(AJ297="",U297=0),"",MIN(IF(AV297="",9.9E+99,AV297),FLOOR(AN297/U297,1)))</f>
        <v/>
      </c>
      <c r="AP297" s="49">
        <f>IF(AO297="","",AO297*W297)</f>
        <v/>
      </c>
      <c r="AQ297" s="47">
        <f>IF(OR(AJ297="",U297=0),"",MIN(IF(AV297="",9.9E+99,AV297),AN297/U297))</f>
        <v/>
      </c>
      <c r="AR297" s="49">
        <f>IF(AQ297="","",AQ297*W297)</f>
        <v/>
      </c>
      <c r="AS297" s="51" t="n"/>
      <c r="AT297" s="52" t="n"/>
      <c r="AU297" s="52" t="n"/>
      <c r="AV297" s="53" t="n">
        <v>5</v>
      </c>
      <c r="AW297" s="54">
        <f>IF(((V297*pax_cap*load_thin*ROUND(N297*O297*revleg_thin,0))-(((battery/range_nm)*G297*ROUND(N297*O297*revleg_thin,0)*VLOOKUP(B297,country_opex,3,FALSE))+Y297+Z297+AA297+AB297+AC297))&lt;=0,"",VLOOKUP(B297,country_opex,7,FALSE)/((V297*pax_cap*load_thin*ROUND(N297*O297*revleg_thin,0))-(((battery/range_nm)*G297*ROUND(N297*O297*revleg_thin,0)*VLOOKUP(B297,country_opex,3,FALSE))+Y297+Z297+AA297+AB297+AC297)))</f>
        <v/>
      </c>
      <c r="AX297" s="54">
        <f>IF(((V297*pax_cap*load_mid*ROUND(N297*O297*revleg_mid,0))-(((battery/range_nm)*G297*ROUND(N297*O297*revleg_mid,0)*VLOOKUP(B297,country_opex,3,FALSE))+Y297+Z297+AA297+AB297+AC297))&lt;=0,"",VLOOKUP(B297,country_opex,7,FALSE)/((V297*pax_cap*load_mid*ROUND(N297*O297*revleg_mid,0))-(((battery/range_nm)*G297*ROUND(N297*O297*revleg_mid,0)*VLOOKUP(B297,country_opex,3,FALSE))+Y297+Z297+AA297+AB297+AC297)))</f>
        <v/>
      </c>
      <c r="AY297" s="54">
        <f>IF(((V297*pax_cap*load_full*ROUND(N297*O297*revleg_full,0))-(((battery/range_nm)*G297*ROUND(N297*O297*revleg_full,0)*VLOOKUP(B297,country_opex,3,FALSE))+Y297+Z297+AA297+AB297+AC297))&lt;=0,"",VLOOKUP(B297,country_opex,7,FALSE)/((V297*pax_cap*load_full*ROUND(N297*O297*revleg_full,0))-(((battery/range_nm)*G297*ROUND(N297*O297*revleg_full,0)*VLOOKUP(B297,country_opex,3,FALSE))+Y297+Z297+AA297+AB297+AC297)))</f>
        <v/>
      </c>
      <c r="AZ297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97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98">
      <c r="A298" s="38" t="inlineStr">
        <is>
          <t>Maldives (JIH)</t>
        </is>
      </c>
      <c r="B298" s="38" t="inlineStr">
        <is>
          <t>Maldives</t>
        </is>
      </c>
      <c r="C298" s="39" t="inlineStr">
        <is>
          <t>Kooddoo Airport, Gaafu Alif → Ayada Maldives (Gaafu)</t>
        </is>
      </c>
      <c r="D298" s="38" t="inlineStr">
        <is>
          <t>jih-global</t>
        </is>
      </c>
      <c r="E298" s="40" t="inlineStr">
        <is>
          <t>maldives-jih</t>
        </is>
      </c>
      <c r="F298" s="41" t="n">
        <v>1</v>
      </c>
      <c r="G298" s="42" t="n">
        <v>29.6</v>
      </c>
      <c r="H298" s="35" t="n">
        <v>150</v>
      </c>
      <c r="I298" s="43" t="inlineStr">
        <is>
          <t>T3</t>
        </is>
      </c>
      <c r="J298" s="43" t="inlineStr">
        <is>
          <t>med</t>
        </is>
      </c>
      <c r="K298" s="29" t="n">
        <v>1</v>
      </c>
      <c r="L298" s="44">
        <f>60*G298/cruise_kt</f>
        <v/>
      </c>
      <c r="M298" s="44">
        <f>L298+turn_min+dwell_min</f>
        <v/>
      </c>
      <c r="N298" s="45">
        <f>MIN(10,FLOOR(60*service_hr/M298,1))</f>
        <v/>
      </c>
      <c r="O298" s="45">
        <f>ROUND(365*mech_uptime*K298,0)</f>
        <v/>
      </c>
      <c r="P298" s="46">
        <f>mech_uptime</f>
        <v/>
      </c>
      <c r="Q298" s="46">
        <f>revleg_sel</f>
        <v/>
      </c>
      <c r="R298" s="45">
        <f>ROUND(N298*O298*revleg_sel,0)</f>
        <v/>
      </c>
      <c r="S298" s="47">
        <f>load_sel</f>
        <v/>
      </c>
      <c r="T298" s="47">
        <f>pax_cap*S298</f>
        <v/>
      </c>
      <c r="U298" s="45">
        <f>T298*R298</f>
        <v/>
      </c>
      <c r="V298" s="48">
        <f>H298*discount</f>
        <v/>
      </c>
      <c r="W298" s="49">
        <f>V298*U298</f>
        <v/>
      </c>
      <c r="X298" s="49">
        <f>(battery/range_nm)*G298*R298*VLOOKUP(B298,country_opex,3,FALSE)</f>
        <v/>
      </c>
      <c r="Y298" s="49">
        <f>VLOOKUP(B298,country_opex,2,FALSE)*crew_factor</f>
        <v/>
      </c>
      <c r="Z298" s="49">
        <f>VLOOKUP(B298,country_opex,5,FALSE)</f>
        <v/>
      </c>
      <c r="AA298" s="49">
        <f>maint</f>
        <v/>
      </c>
      <c r="AB298" s="49">
        <f>VLOOKUP(B298,country_opex,7,FALSE)*ins_pct</f>
        <v/>
      </c>
      <c r="AC298" s="49">
        <f>charge_berth</f>
        <v/>
      </c>
      <c r="AD298" s="49">
        <f>X298+Y298+Z298+AA298+AB298+AC298</f>
        <v/>
      </c>
      <c r="AE298" s="49">
        <f>VLOOKUP(B298,country_opex,7,FALSE)/dep_years</f>
        <v/>
      </c>
      <c r="AF298" s="49">
        <f>W298-AD298</f>
        <v/>
      </c>
      <c r="AG298" s="46">
        <f>IF(W298=0,"",AF298/W298)</f>
        <v/>
      </c>
      <c r="AH298" s="47">
        <f>IF(AF298&lt;=0,"",VLOOKUP(B298,country_opex,7,FALSE)/AF298)</f>
        <v/>
      </c>
      <c r="AI298" s="44">
        <f>((G298*R298/diesel_nmpg)*diesel_co2pg-(battery/range_nm)*G298*R298*VLOOKUP(B298,country_opex,4,FALSE))/1000</f>
        <v/>
      </c>
      <c r="AJ298" s="42" t="n">
        <v>8365</v>
      </c>
      <c r="AK298" s="43" t="inlineStr">
        <is>
          <t>T5</t>
        </is>
      </c>
      <c r="AL298" s="43" t="inlineStr">
        <is>
          <t>med</t>
        </is>
      </c>
      <c r="AM298" s="50" t="n">
        <v>0.9</v>
      </c>
      <c r="AN298" s="45">
        <f>IF(AJ298="","",AJ298*AM298)</f>
        <v/>
      </c>
      <c r="AO298" s="45">
        <f>IF(OR(AJ298="",U298=0),"",MIN(IF(AV298="",9.9E+99,AV298),FLOOR(AN298/U298,1)))</f>
        <v/>
      </c>
      <c r="AP298" s="49">
        <f>IF(AO298="","",AO298*W298)</f>
        <v/>
      </c>
      <c r="AQ298" s="47">
        <f>IF(OR(AJ298="",U298=0),"",MIN(IF(AV298="",9.9E+99,AV298),AN298/U298))</f>
        <v/>
      </c>
      <c r="AR298" s="49">
        <f>IF(AQ298="","",AQ298*W298)</f>
        <v/>
      </c>
      <c r="AS298" s="51" t="n"/>
      <c r="AT298" s="52" t="n"/>
      <c r="AU298" s="52" t="n"/>
      <c r="AV298" s="53" t="n">
        <v>5</v>
      </c>
      <c r="AW298" s="54">
        <f>IF(((V298*pax_cap*load_thin*ROUND(N298*O298*revleg_thin,0))-(((battery/range_nm)*G298*ROUND(N298*O298*revleg_thin,0)*VLOOKUP(B298,country_opex,3,FALSE))+Y298+Z298+AA298+AB298+AC298))&lt;=0,"",VLOOKUP(B298,country_opex,7,FALSE)/((V298*pax_cap*load_thin*ROUND(N298*O298*revleg_thin,0))-(((battery/range_nm)*G298*ROUND(N298*O298*revleg_thin,0)*VLOOKUP(B298,country_opex,3,FALSE))+Y298+Z298+AA298+AB298+AC298)))</f>
        <v/>
      </c>
      <c r="AX298" s="54">
        <f>IF(((V298*pax_cap*load_mid*ROUND(N298*O298*revleg_mid,0))-(((battery/range_nm)*G298*ROUND(N298*O298*revleg_mid,0)*VLOOKUP(B298,country_opex,3,FALSE))+Y298+Z298+AA298+AB298+AC298))&lt;=0,"",VLOOKUP(B298,country_opex,7,FALSE)/((V298*pax_cap*load_mid*ROUND(N298*O298*revleg_mid,0))-(((battery/range_nm)*G298*ROUND(N298*O298*revleg_mid,0)*VLOOKUP(B298,country_opex,3,FALSE))+Y298+Z298+AA298+AB298+AC298)))</f>
        <v/>
      </c>
      <c r="AY298" s="54">
        <f>IF(((V298*pax_cap*load_full*ROUND(N298*O298*revleg_full,0))-(((battery/range_nm)*G298*ROUND(N298*O298*revleg_full,0)*VLOOKUP(B298,country_opex,3,FALSE))+Y298+Z298+AA298+AB298+AC298))&lt;=0,"",VLOOKUP(B298,country_opex,7,FALSE)/((V298*pax_cap*load_full*ROUND(N298*O298*revleg_full,0))-(((battery/range_nm)*G298*ROUND(N298*O298*revleg_full,0)*VLOOKUP(B298,country_opex,3,FALSE))+Y298+Z298+AA298+AB298+AC298)))</f>
        <v/>
      </c>
      <c r="AZ298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98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99">
      <c r="A299" s="38" t="inlineStr">
        <is>
          <t>Maldives (JIH)</t>
        </is>
      </c>
      <c r="B299" s="38" t="inlineStr">
        <is>
          <t>Maldives</t>
        </is>
      </c>
      <c r="C299" s="39" t="inlineStr">
        <is>
          <t>Velana International Airport (MLE) Resort Speedboat Lounges → Constance Halaveli (North Ari)</t>
        </is>
      </c>
      <c r="D299" s="38" t="inlineStr">
        <is>
          <t>jih-global</t>
        </is>
      </c>
      <c r="E299" s="40" t="inlineStr">
        <is>
          <t>maldives-jih</t>
        </is>
      </c>
      <c r="F299" s="41" t="n">
        <v>1</v>
      </c>
      <c r="G299" s="42" t="n">
        <v>37.7</v>
      </c>
      <c r="H299" s="35" t="n">
        <v>300</v>
      </c>
      <c r="I299" s="43" t="inlineStr">
        <is>
          <t>T3</t>
        </is>
      </c>
      <c r="J299" s="43" t="inlineStr">
        <is>
          <t>med</t>
        </is>
      </c>
      <c r="K299" s="29" t="n">
        <v>1</v>
      </c>
      <c r="L299" s="44">
        <f>60*G299/cruise_kt</f>
        <v/>
      </c>
      <c r="M299" s="44">
        <f>L299+turn_min+dwell_min</f>
        <v/>
      </c>
      <c r="N299" s="45">
        <f>MIN(10,FLOOR(60*service_hr/M299,1))</f>
        <v/>
      </c>
      <c r="O299" s="45">
        <f>ROUND(365*mech_uptime*K299,0)</f>
        <v/>
      </c>
      <c r="P299" s="46">
        <f>mech_uptime</f>
        <v/>
      </c>
      <c r="Q299" s="46">
        <f>revleg_sel</f>
        <v/>
      </c>
      <c r="R299" s="45">
        <f>ROUND(N299*O299*revleg_sel,0)</f>
        <v/>
      </c>
      <c r="S299" s="47">
        <f>load_sel</f>
        <v/>
      </c>
      <c r="T299" s="47">
        <f>pax_cap*S299</f>
        <v/>
      </c>
      <c r="U299" s="45">
        <f>T299*R299</f>
        <v/>
      </c>
      <c r="V299" s="48">
        <f>H299*discount</f>
        <v/>
      </c>
      <c r="W299" s="49">
        <f>V299*U299</f>
        <v/>
      </c>
      <c r="X299" s="49">
        <f>(battery/range_nm)*G299*R299*VLOOKUP(B299,country_opex,3,FALSE)</f>
        <v/>
      </c>
      <c r="Y299" s="49">
        <f>VLOOKUP(B299,country_opex,2,FALSE)*crew_factor</f>
        <v/>
      </c>
      <c r="Z299" s="49">
        <f>VLOOKUP(B299,country_opex,5,FALSE)</f>
        <v/>
      </c>
      <c r="AA299" s="49">
        <f>maint</f>
        <v/>
      </c>
      <c r="AB299" s="49">
        <f>VLOOKUP(B299,country_opex,7,FALSE)*ins_pct</f>
        <v/>
      </c>
      <c r="AC299" s="49">
        <f>charge_berth</f>
        <v/>
      </c>
      <c r="AD299" s="49">
        <f>X299+Y299+Z299+AA299+AB299+AC299</f>
        <v/>
      </c>
      <c r="AE299" s="49">
        <f>VLOOKUP(B299,country_opex,7,FALSE)/dep_years</f>
        <v/>
      </c>
      <c r="AF299" s="49">
        <f>W299-AD299</f>
        <v/>
      </c>
      <c r="AG299" s="46">
        <f>IF(W299=0,"",AF299/W299)</f>
        <v/>
      </c>
      <c r="AH299" s="47">
        <f>IF(AF299&lt;=0,"",VLOOKUP(B299,country_opex,7,FALSE)/AF299)</f>
        <v/>
      </c>
      <c r="AI299" s="44">
        <f>((G299*R299/diesel_nmpg)*diesel_co2pg-(battery/range_nm)*G299*R299*VLOOKUP(B299,country_opex,4,FALSE))/1000</f>
        <v/>
      </c>
      <c r="AJ299" s="42" t="n">
        <v>13400</v>
      </c>
      <c r="AK299" s="43" t="inlineStr">
        <is>
          <t>T5</t>
        </is>
      </c>
      <c r="AL299" s="43" t="inlineStr">
        <is>
          <t>low-med</t>
        </is>
      </c>
      <c r="AM299" s="50" t="n">
        <v>0.9</v>
      </c>
      <c r="AN299" s="45">
        <f>IF(AJ299="","",AJ299*AM299)</f>
        <v/>
      </c>
      <c r="AO299" s="45">
        <f>IF(OR(AJ299="",U299=0),"",MIN(IF(AV299="",9.9E+99,AV299),FLOOR(AN299/U299,1)))</f>
        <v/>
      </c>
      <c r="AP299" s="49">
        <f>IF(AO299="","",AO299*W299)</f>
        <v/>
      </c>
      <c r="AQ299" s="47">
        <f>IF(OR(AJ299="",U299=0),"",MIN(IF(AV299="",9.9E+99,AV299),AN299/U299))</f>
        <v/>
      </c>
      <c r="AR299" s="49">
        <f>IF(AQ299="","",AQ299*W299)</f>
        <v/>
      </c>
      <c r="AS299" s="51" t="n"/>
      <c r="AT299" s="52" t="n"/>
      <c r="AU299" s="52" t="n"/>
      <c r="AV299" s="53" t="n">
        <v>4</v>
      </c>
      <c r="AW299" s="54">
        <f>IF(((V299*pax_cap*load_thin*ROUND(N299*O299*revleg_thin,0))-(((battery/range_nm)*G299*ROUND(N299*O299*revleg_thin,0)*VLOOKUP(B299,country_opex,3,FALSE))+Y299+Z299+AA299+AB299+AC299))&lt;=0,"",VLOOKUP(B299,country_opex,7,FALSE)/((V299*pax_cap*load_thin*ROUND(N299*O299*revleg_thin,0))-(((battery/range_nm)*G299*ROUND(N299*O299*revleg_thin,0)*VLOOKUP(B299,country_opex,3,FALSE))+Y299+Z299+AA299+AB299+AC299)))</f>
        <v/>
      </c>
      <c r="AX299" s="54">
        <f>IF(((V299*pax_cap*load_mid*ROUND(N299*O299*revleg_mid,0))-(((battery/range_nm)*G299*ROUND(N299*O299*revleg_mid,0)*VLOOKUP(B299,country_opex,3,FALSE))+Y299+Z299+AA299+AB299+AC299))&lt;=0,"",VLOOKUP(B299,country_opex,7,FALSE)/((V299*pax_cap*load_mid*ROUND(N299*O299*revleg_mid,0))-(((battery/range_nm)*G299*ROUND(N299*O299*revleg_mid,0)*VLOOKUP(B299,country_opex,3,FALSE))+Y299+Z299+AA299+AB299+AC299)))</f>
        <v/>
      </c>
      <c r="AY299" s="54">
        <f>IF(((V299*pax_cap*load_full*ROUND(N299*O299*revleg_full,0))-(((battery/range_nm)*G299*ROUND(N299*O299*revleg_full,0)*VLOOKUP(B299,country_opex,3,FALSE))+Y299+Z299+AA299+AB299+AC299))&lt;=0,"",VLOOKUP(B299,country_opex,7,FALSE)/((V299*pax_cap*load_full*ROUND(N299*O299*revleg_full,0))-(((battery/range_nm)*G299*ROUND(N299*O299*revleg_full,0)*VLOOKUP(B299,country_opex,3,FALSE))+Y299+Z299+AA299+AB299+AC299)))</f>
        <v/>
      </c>
      <c r="AZ299" s="40" t="inlineStr">
        <is>
          <t>Constance Halaveli, North Ari, 25-min seaplane. Tripadvisor FAQ (resort-quoted): seaplane USD 530/adult RT = $265/way. Booking.com 2026: seaplane both-ways service fee USD 650/adult = $325/way. 90-min speedboat alternative also offered (Angelfish Travel). Private seaplane ~$1,500/way (charter). Premium per-seat seaplane $300/way. NOTE: &gt;40nm leg - Navier (Pioneer II &lt;=70nm) substitutes the SEAPLANE here, big value capture.</t>
        </is>
      </c>
      <c r="BA299" s="40" t="inlineStr">
        <is>
          <t>Modeled from resort key count. Constance Halaveli (North Ari): ~86 villas/keys (published resort/Virtuoso/booking figures). corridor_annual_oneway_pax = keys x 365 x occ(0.75) / avg_stay(7 nights) x guests/key(2) x 2 (arr+dep) ~= keys x 156. 86 keys -&gt; ~13,400 one-way pax/yr. Airport(MLE)&lt;-&gt;this resort is the sole transfer corridor (boat/seaplane only; no road/air alt - R3-EXCEPTION: arrivals = crossing ridership).</t>
        </is>
      </c>
    </row>
    <row r="300">
      <c r="A300" s="38" t="inlineStr">
        <is>
          <t>Maldives (JIH)</t>
        </is>
      </c>
      <c r="B300" s="38" t="inlineStr">
        <is>
          <t>Maldives</t>
        </is>
      </c>
      <c r="C300" s="39" t="inlineStr">
        <is>
          <t>Maafaru Airport, Noonu → The Standard Huruvalhi (Raa)</t>
        </is>
      </c>
      <c r="D300" s="38" t="inlineStr">
        <is>
          <t>jih-global</t>
        </is>
      </c>
      <c r="E300" s="40" t="inlineStr">
        <is>
          <t>maldives-jih</t>
        </is>
      </c>
      <c r="F300" s="41" t="n">
        <v>1</v>
      </c>
      <c r="G300" s="42" t="n">
        <v>40.4</v>
      </c>
      <c r="H300" s="35" t="n">
        <v>150</v>
      </c>
      <c r="I300" s="43" t="inlineStr">
        <is>
          <t>T3</t>
        </is>
      </c>
      <c r="J300" s="43" t="inlineStr">
        <is>
          <t>med</t>
        </is>
      </c>
      <c r="K300" s="29" t="n">
        <v>1</v>
      </c>
      <c r="L300" s="44">
        <f>60*G300/cruise_kt</f>
        <v/>
      </c>
      <c r="M300" s="44">
        <f>L300+turn_min+dwell_min</f>
        <v/>
      </c>
      <c r="N300" s="45">
        <f>MIN(10,FLOOR(60*service_hr/M300,1))</f>
        <v/>
      </c>
      <c r="O300" s="45">
        <f>ROUND(365*mech_uptime*K300,0)</f>
        <v/>
      </c>
      <c r="P300" s="46">
        <f>mech_uptime</f>
        <v/>
      </c>
      <c r="Q300" s="46">
        <f>revleg_sel</f>
        <v/>
      </c>
      <c r="R300" s="45">
        <f>ROUND(N300*O300*revleg_sel,0)</f>
        <v/>
      </c>
      <c r="S300" s="47">
        <f>load_sel</f>
        <v/>
      </c>
      <c r="T300" s="47">
        <f>pax_cap*S300</f>
        <v/>
      </c>
      <c r="U300" s="45">
        <f>T300*R300</f>
        <v/>
      </c>
      <c r="V300" s="48">
        <f>H300*discount</f>
        <v/>
      </c>
      <c r="W300" s="49">
        <f>V300*U300</f>
        <v/>
      </c>
      <c r="X300" s="49">
        <f>(battery/range_nm)*G300*R300*VLOOKUP(B300,country_opex,3,FALSE)</f>
        <v/>
      </c>
      <c r="Y300" s="49">
        <f>VLOOKUP(B300,country_opex,2,FALSE)*crew_factor</f>
        <v/>
      </c>
      <c r="Z300" s="49">
        <f>VLOOKUP(B300,country_opex,5,FALSE)</f>
        <v/>
      </c>
      <c r="AA300" s="49">
        <f>maint</f>
        <v/>
      </c>
      <c r="AB300" s="49">
        <f>VLOOKUP(B300,country_opex,7,FALSE)*ins_pct</f>
        <v/>
      </c>
      <c r="AC300" s="49">
        <f>charge_berth</f>
        <v/>
      </c>
      <c r="AD300" s="49">
        <f>X300+Y300+Z300+AA300+AB300+AC300</f>
        <v/>
      </c>
      <c r="AE300" s="49">
        <f>VLOOKUP(B300,country_opex,7,FALSE)/dep_years</f>
        <v/>
      </c>
      <c r="AF300" s="49">
        <f>W300-AD300</f>
        <v/>
      </c>
      <c r="AG300" s="46">
        <f>IF(W300=0,"",AF300/W300)</f>
        <v/>
      </c>
      <c r="AH300" s="47">
        <f>IF(AF300&lt;=0,"",VLOOKUP(B300,country_opex,7,FALSE)/AF300)</f>
        <v/>
      </c>
      <c r="AI300" s="44">
        <f>((G300*R300/diesel_nmpg)*diesel_co2pg-(battery/range_nm)*G300*R300*VLOOKUP(B300,country_opex,4,FALSE))/1000</f>
        <v/>
      </c>
      <c r="AJ300" s="42" t="n">
        <v>8589</v>
      </c>
      <c r="AK300" s="43" t="inlineStr">
        <is>
          <t>T5</t>
        </is>
      </c>
      <c r="AL300" s="43" t="inlineStr">
        <is>
          <t>med</t>
        </is>
      </c>
      <c r="AM300" s="50" t="n">
        <v>0.9</v>
      </c>
      <c r="AN300" s="45">
        <f>IF(AJ300="","",AJ300*AM300)</f>
        <v/>
      </c>
      <c r="AO300" s="45">
        <f>IF(OR(AJ300="",U300=0),"",MIN(IF(AV300="",9.9E+99,AV300),FLOOR(AN300/U300,1)))</f>
        <v/>
      </c>
      <c r="AP300" s="49">
        <f>IF(AO300="","",AO300*W300)</f>
        <v/>
      </c>
      <c r="AQ300" s="47">
        <f>IF(OR(AJ300="",U300=0),"",MIN(IF(AV300="",9.9E+99,AV300),AN300/U300))</f>
        <v/>
      </c>
      <c r="AR300" s="49">
        <f>IF(AQ300="","",AQ300*W300)</f>
        <v/>
      </c>
      <c r="AS300" s="51" t="n"/>
      <c r="AT300" s="52" t="n"/>
      <c r="AU300" s="52" t="n"/>
      <c r="AV300" s="53" t="n">
        <v>5</v>
      </c>
      <c r="AW300" s="54">
        <f>IF(((V300*pax_cap*load_thin*ROUND(N300*O300*revleg_thin,0))-(((battery/range_nm)*G300*ROUND(N300*O300*revleg_thin,0)*VLOOKUP(B300,country_opex,3,FALSE))+Y300+Z300+AA300+AB300+AC300))&lt;=0,"",VLOOKUP(B300,country_opex,7,FALSE)/((V300*pax_cap*load_thin*ROUND(N300*O300*revleg_thin,0))-(((battery/range_nm)*G300*ROUND(N300*O300*revleg_thin,0)*VLOOKUP(B300,country_opex,3,FALSE))+Y300+Z300+AA300+AB300+AC300)))</f>
        <v/>
      </c>
      <c r="AX300" s="54">
        <f>IF(((V300*pax_cap*load_mid*ROUND(N300*O300*revleg_mid,0))-(((battery/range_nm)*G300*ROUND(N300*O300*revleg_mid,0)*VLOOKUP(B300,country_opex,3,FALSE))+Y300+Z300+AA300+AB300+AC300))&lt;=0,"",VLOOKUP(B300,country_opex,7,FALSE)/((V300*pax_cap*load_mid*ROUND(N300*O300*revleg_mid,0))-(((battery/range_nm)*G300*ROUND(N300*O300*revleg_mid,0)*VLOOKUP(B300,country_opex,3,FALSE))+Y300+Z300+AA300+AB300+AC300)))</f>
        <v/>
      </c>
      <c r="AY300" s="54">
        <f>IF(((V300*pax_cap*load_full*ROUND(N300*O300*revleg_full,0))-(((battery/range_nm)*G300*ROUND(N300*O300*revleg_full,0)*VLOOKUP(B300,country_opex,3,FALSE))+Y300+Z300+AA300+AB300+AC300))&lt;=0,"",VLOOKUP(B300,country_opex,7,FALSE)/((V300*pax_cap*load_full*ROUND(N300*O300*revleg_full,0))-(((battery/range_nm)*G300*ROUND(N300*O300*revleg_full,0)*VLOOKUP(B300,country_opex,3,FALSE))+Y300+Z300+AA300+AB300+AC300)))</f>
        <v/>
      </c>
      <c r="AZ300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00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01">
      <c r="A301" s="38" t="inlineStr">
        <is>
          <t>Maldives (JIH)</t>
        </is>
      </c>
      <c r="B301" s="38" t="inlineStr">
        <is>
          <t>Maldives</t>
        </is>
      </c>
      <c r="C301" s="39" t="inlineStr">
        <is>
          <t>Velana International Airport (MLE) Resort Speedboat Lounges → Conrad Maldives Rangali Island (South Ari)</t>
        </is>
      </c>
      <c r="D301" s="38" t="inlineStr">
        <is>
          <t>jih-global</t>
        </is>
      </c>
      <c r="E301" s="40" t="inlineStr">
        <is>
          <t>maldives-jih</t>
        </is>
      </c>
      <c r="F301" s="41" t="n">
        <v>1</v>
      </c>
      <c r="G301" s="42" t="n">
        <v>59.3</v>
      </c>
      <c r="H301" s="35" t="n">
        <v>350</v>
      </c>
      <c r="I301" s="43" t="inlineStr">
        <is>
          <t>T1</t>
        </is>
      </c>
      <c r="J301" s="43" t="inlineStr">
        <is>
          <t>med-high</t>
        </is>
      </c>
      <c r="K301" s="29" t="n">
        <v>1</v>
      </c>
      <c r="L301" s="44">
        <f>60*G301/cruise_kt</f>
        <v/>
      </c>
      <c r="M301" s="44">
        <f>L301+turn_min+dwell_min</f>
        <v/>
      </c>
      <c r="N301" s="45">
        <f>MIN(10,FLOOR(60*service_hr/M301,1))</f>
        <v/>
      </c>
      <c r="O301" s="45">
        <f>ROUND(365*mech_uptime*K301,0)</f>
        <v/>
      </c>
      <c r="P301" s="46">
        <f>mech_uptime</f>
        <v/>
      </c>
      <c r="Q301" s="46">
        <f>revleg_sel</f>
        <v/>
      </c>
      <c r="R301" s="45">
        <f>ROUND(N301*O301*revleg_sel,0)</f>
        <v/>
      </c>
      <c r="S301" s="47">
        <f>load_sel</f>
        <v/>
      </c>
      <c r="T301" s="47">
        <f>pax_cap*S301</f>
        <v/>
      </c>
      <c r="U301" s="45">
        <f>T301*R301</f>
        <v/>
      </c>
      <c r="V301" s="48">
        <f>H301*discount</f>
        <v/>
      </c>
      <c r="W301" s="49">
        <f>V301*U301</f>
        <v/>
      </c>
      <c r="X301" s="49">
        <f>(battery/range_nm)*G301*R301*VLOOKUP(B301,country_opex,3,FALSE)</f>
        <v/>
      </c>
      <c r="Y301" s="49">
        <f>VLOOKUP(B301,country_opex,2,FALSE)*crew_factor</f>
        <v/>
      </c>
      <c r="Z301" s="49">
        <f>VLOOKUP(B301,country_opex,5,FALSE)</f>
        <v/>
      </c>
      <c r="AA301" s="49">
        <f>maint</f>
        <v/>
      </c>
      <c r="AB301" s="49">
        <f>VLOOKUP(B301,country_opex,7,FALSE)*ins_pct</f>
        <v/>
      </c>
      <c r="AC301" s="49">
        <f>charge_berth</f>
        <v/>
      </c>
      <c r="AD301" s="49">
        <f>X301+Y301+Z301+AA301+AB301+AC301</f>
        <v/>
      </c>
      <c r="AE301" s="49">
        <f>VLOOKUP(B301,country_opex,7,FALSE)/dep_years</f>
        <v/>
      </c>
      <c r="AF301" s="49">
        <f>W301-AD301</f>
        <v/>
      </c>
      <c r="AG301" s="46">
        <f>IF(W301=0,"",AF301/W301)</f>
        <v/>
      </c>
      <c r="AH301" s="47">
        <f>IF(AF301&lt;=0,"",VLOOKUP(B301,country_opex,7,FALSE)/AF301)</f>
        <v/>
      </c>
      <c r="AI301" s="44">
        <f>((G301*R301/diesel_nmpg)*diesel_co2pg-(battery/range_nm)*G301*R301*VLOOKUP(B301,country_opex,4,FALSE))/1000</f>
        <v/>
      </c>
      <c r="AJ301" s="42" t="n">
        <v>23500</v>
      </c>
      <c r="AK301" s="43" t="inlineStr">
        <is>
          <t>T5</t>
        </is>
      </c>
      <c r="AL301" s="43" t="inlineStr">
        <is>
          <t>low-med</t>
        </is>
      </c>
      <c r="AM301" s="50" t="n">
        <v>0.9</v>
      </c>
      <c r="AN301" s="45">
        <f>IF(AJ301="","",AJ301*AM301)</f>
        <v/>
      </c>
      <c r="AO301" s="45">
        <f>IF(OR(AJ301="",U301=0),"",MIN(IF(AV301="",9.9E+99,AV301),FLOOR(AN301/U301,1)))</f>
        <v/>
      </c>
      <c r="AP301" s="49">
        <f>IF(AO301="","",AO301*W301)</f>
        <v/>
      </c>
      <c r="AQ301" s="47">
        <f>IF(OR(AJ301="",U301=0),"",MIN(IF(AV301="",9.9E+99,AV301),AN301/U301))</f>
        <v/>
      </c>
      <c r="AR301" s="49">
        <f>IF(AQ301="","",AQ301*W301)</f>
        <v/>
      </c>
      <c r="AS301" s="51" t="n"/>
      <c r="AT301" s="52" t="n"/>
      <c r="AU301" s="52" t="n"/>
      <c r="AV301" s="53" t="n">
        <v>6</v>
      </c>
      <c r="AW301" s="54">
        <f>IF(((V301*pax_cap*load_thin*ROUND(N301*O301*revleg_thin,0))-(((battery/range_nm)*G301*ROUND(N301*O301*revleg_thin,0)*VLOOKUP(B301,country_opex,3,FALSE))+Y301+Z301+AA301+AB301+AC301))&lt;=0,"",VLOOKUP(B301,country_opex,7,FALSE)/((V301*pax_cap*load_thin*ROUND(N301*O301*revleg_thin,0))-(((battery/range_nm)*G301*ROUND(N301*O301*revleg_thin,0)*VLOOKUP(B301,country_opex,3,FALSE))+Y301+Z301+AA301+AB301+AC301)))</f>
        <v/>
      </c>
      <c r="AX301" s="54">
        <f>IF(((V301*pax_cap*load_mid*ROUND(N301*O301*revleg_mid,0))-(((battery/range_nm)*G301*ROUND(N301*O301*revleg_mid,0)*VLOOKUP(B301,country_opex,3,FALSE))+Y301+Z301+AA301+AB301+AC301))&lt;=0,"",VLOOKUP(B301,country_opex,7,FALSE)/((V301*pax_cap*load_mid*ROUND(N301*O301*revleg_mid,0))-(((battery/range_nm)*G301*ROUND(N301*O301*revleg_mid,0)*VLOOKUP(B301,country_opex,3,FALSE))+Y301+Z301+AA301+AB301+AC301)))</f>
        <v/>
      </c>
      <c r="AY301" s="54">
        <f>IF(((V301*pax_cap*load_full*ROUND(N301*O301*revleg_full,0))-(((battery/range_nm)*G301*ROUND(N301*O301*revleg_full,0)*VLOOKUP(B301,country_opex,3,FALSE))+Y301+Z301+AA301+AB301+AC301))&lt;=0,"",VLOOKUP(B301,country_opex,7,FALSE)/((V301*pax_cap*load_full*ROUND(N301*O301*revleg_full,0))-(((battery/range_nm)*G301*ROUND(N301*O301*revleg_full,0)*VLOOKUP(B301,country_opex,3,FALSE))+Y301+Z301+AA301+AB301+AC301)))</f>
        <v/>
      </c>
      <c r="AZ301" s="40" t="inlineStr">
        <is>
          <t>Conrad Maldives Rangali Island OFFICIAL (conradmaldives.com): seaplane return transfer USD 700 net/adult = $350/way. Frequent Miler: seaplane for two = $1,350 = $337/way. getexperience blog: $600-750 RT typical. Premium per-seat seaplane $350/way. &gt;40nm - Navier substitutes the SEAPLANE (Pioneer II reaches 57.6nm &lt;=70nm); large value capture vs $700 RT seaplane.</t>
        </is>
      </c>
      <c r="BA301" s="40" t="inlineStr">
        <is>
          <t>Modeled from resort key count. Conrad Maldives Rangali Island (South Ari): ~150 villas/keys (published resort/Virtuoso/booking figures). corridor_annual_oneway_pax = keys x 365 x occ(0.75) / avg_stay(7 nights) x guests/key(2) x 2 (arr+dep) ~= keys x 156. 150 keys -&gt; ~23,500 one-way pax/yr. Airport(MLE)&lt;-&gt;this resort is the sole transfer corridor (boat/seaplane only; no road/air alt - R3-EXCEPTION: arrivals = crossing ridership).</t>
        </is>
      </c>
    </row>
    <row r="302">
      <c r="A302" s="38" t="inlineStr">
        <is>
          <t>Maldives (JIH)</t>
        </is>
      </c>
      <c r="B302" s="38" t="inlineStr">
        <is>
          <t>Maldives</t>
        </is>
      </c>
      <c r="C302" s="39" t="inlineStr">
        <is>
          <t>Velana International Airport (MLE) Resort Speedboat Lounges → The Westin Maldives Miriandhoo (Baa)</t>
        </is>
      </c>
      <c r="D302" s="38" t="inlineStr">
        <is>
          <t>jih-global</t>
        </is>
      </c>
      <c r="E302" s="40" t="inlineStr">
        <is>
          <t>maldives-jih</t>
        </is>
      </c>
      <c r="F302" s="41" t="n">
        <v>1</v>
      </c>
      <c r="G302" s="42" t="n">
        <v>61.4</v>
      </c>
      <c r="H302" s="35" t="n">
        <v>310</v>
      </c>
      <c r="I302" s="43" t="inlineStr">
        <is>
          <t>T1</t>
        </is>
      </c>
      <c r="J302" s="43" t="inlineStr">
        <is>
          <t>med-high</t>
        </is>
      </c>
      <c r="K302" s="29" t="n">
        <v>1</v>
      </c>
      <c r="L302" s="44">
        <f>60*G302/cruise_kt</f>
        <v/>
      </c>
      <c r="M302" s="44">
        <f>L302+turn_min+dwell_min</f>
        <v/>
      </c>
      <c r="N302" s="45">
        <f>MIN(10,FLOOR(60*service_hr/M302,1))</f>
        <v/>
      </c>
      <c r="O302" s="45">
        <f>ROUND(365*mech_uptime*K302,0)</f>
        <v/>
      </c>
      <c r="P302" s="46">
        <f>mech_uptime</f>
        <v/>
      </c>
      <c r="Q302" s="46">
        <f>revleg_sel</f>
        <v/>
      </c>
      <c r="R302" s="45">
        <f>ROUND(N302*O302*revleg_sel,0)</f>
        <v/>
      </c>
      <c r="S302" s="47">
        <f>load_sel</f>
        <v/>
      </c>
      <c r="T302" s="47">
        <f>pax_cap*S302</f>
        <v/>
      </c>
      <c r="U302" s="45">
        <f>T302*R302</f>
        <v/>
      </c>
      <c r="V302" s="48">
        <f>H302*discount</f>
        <v/>
      </c>
      <c r="W302" s="49">
        <f>V302*U302</f>
        <v/>
      </c>
      <c r="X302" s="49">
        <f>(battery/range_nm)*G302*R302*VLOOKUP(B302,country_opex,3,FALSE)</f>
        <v/>
      </c>
      <c r="Y302" s="49">
        <f>VLOOKUP(B302,country_opex,2,FALSE)*crew_factor</f>
        <v/>
      </c>
      <c r="Z302" s="49">
        <f>VLOOKUP(B302,country_opex,5,FALSE)</f>
        <v/>
      </c>
      <c r="AA302" s="49">
        <f>maint</f>
        <v/>
      </c>
      <c r="AB302" s="49">
        <f>VLOOKUP(B302,country_opex,7,FALSE)*ins_pct</f>
        <v/>
      </c>
      <c r="AC302" s="49">
        <f>charge_berth</f>
        <v/>
      </c>
      <c r="AD302" s="49">
        <f>X302+Y302+Z302+AA302+AB302+AC302</f>
        <v/>
      </c>
      <c r="AE302" s="49">
        <f>VLOOKUP(B302,country_opex,7,FALSE)/dep_years</f>
        <v/>
      </c>
      <c r="AF302" s="49">
        <f>W302-AD302</f>
        <v/>
      </c>
      <c r="AG302" s="46">
        <f>IF(W302=0,"",AF302/W302)</f>
        <v/>
      </c>
      <c r="AH302" s="47">
        <f>IF(AF302&lt;=0,"",VLOOKUP(B302,country_opex,7,FALSE)/AF302)</f>
        <v/>
      </c>
      <c r="AI302" s="44">
        <f>((G302*R302/diesel_nmpg)*diesel_co2pg-(battery/range_nm)*G302*R302*VLOOKUP(B302,country_opex,4,FALSE))/1000</f>
        <v/>
      </c>
      <c r="AJ302" s="42" t="n">
        <v>10900</v>
      </c>
      <c r="AK302" s="43" t="inlineStr">
        <is>
          <t>T5</t>
        </is>
      </c>
      <c r="AL302" s="43" t="inlineStr">
        <is>
          <t>low-med</t>
        </is>
      </c>
      <c r="AM302" s="50" t="n">
        <v>0.9</v>
      </c>
      <c r="AN302" s="45">
        <f>IF(AJ302="","",AJ302*AM302)</f>
        <v/>
      </c>
      <c r="AO302" s="45">
        <f>IF(OR(AJ302="",U302=0),"",MIN(IF(AV302="",9.9E+99,AV302),FLOOR(AN302/U302,1)))</f>
        <v/>
      </c>
      <c r="AP302" s="49">
        <f>IF(AO302="","",AO302*W302)</f>
        <v/>
      </c>
      <c r="AQ302" s="47">
        <f>IF(OR(AJ302="",U302=0),"",MIN(IF(AV302="",9.9E+99,AV302),AN302/U302))</f>
        <v/>
      </c>
      <c r="AR302" s="49">
        <f>IF(AQ302="","",AQ302*W302)</f>
        <v/>
      </c>
      <c r="AS302" s="51" t="n"/>
      <c r="AT302" s="52" t="n"/>
      <c r="AU302" s="52" t="n"/>
      <c r="AV302" s="53" t="n">
        <v>4</v>
      </c>
      <c r="AW302" s="54">
        <f>IF(((V302*pax_cap*load_thin*ROUND(N302*O302*revleg_thin,0))-(((battery/range_nm)*G302*ROUND(N302*O302*revleg_thin,0)*VLOOKUP(B302,country_opex,3,FALSE))+Y302+Z302+AA302+AB302+AC302))&lt;=0,"",VLOOKUP(B302,country_opex,7,FALSE)/((V302*pax_cap*load_thin*ROUND(N302*O302*revleg_thin,0))-(((battery/range_nm)*G302*ROUND(N302*O302*revleg_thin,0)*VLOOKUP(B302,country_opex,3,FALSE))+Y302+Z302+AA302+AB302+AC302)))</f>
        <v/>
      </c>
      <c r="AX302" s="54">
        <f>IF(((V302*pax_cap*load_mid*ROUND(N302*O302*revleg_mid,0))-(((battery/range_nm)*G302*ROUND(N302*O302*revleg_mid,0)*VLOOKUP(B302,country_opex,3,FALSE))+Y302+Z302+AA302+AB302+AC302))&lt;=0,"",VLOOKUP(B302,country_opex,7,FALSE)/((V302*pax_cap*load_mid*ROUND(N302*O302*revleg_mid,0))-(((battery/range_nm)*G302*ROUND(N302*O302*revleg_mid,0)*VLOOKUP(B302,country_opex,3,FALSE))+Y302+Z302+AA302+AB302+AC302)))</f>
        <v/>
      </c>
      <c r="AY302" s="54">
        <f>IF(((V302*pax_cap*load_full*ROUND(N302*O302*revleg_full,0))-(((battery/range_nm)*G302*ROUND(N302*O302*revleg_full,0)*VLOOKUP(B302,country_opex,3,FALSE))+Y302+Z302+AA302+AB302+AC302))&lt;=0,"",VLOOKUP(B302,country_opex,7,FALSE)/((V302*pax_cap*load_full*ROUND(N302*O302*revleg_full,0))-(((battery/range_nm)*G302*ROUND(N302*O302*revleg_full,0)*VLOOKUP(B302,country_opex,3,FALSE))+Y302+Z302+AA302+AB302+AC302)))</f>
        <v/>
      </c>
      <c r="AZ302" s="40" t="inlineStr">
        <is>
          <t>The Westin Maldives Miriandhoo OFFICIAL (marriott.com): return seaplane USD 620/adult RT = $310/way (domestic flight+speedboat alt USD 495 RT). The Points Guy: $475 RT; hyderseatravels: $500 RT; traveltomtom: $375 RT (incl taxes). Premium per-seat seaplane $310/way. &gt;40nm - Navier substitutes SEAPLANE (60.6nm &lt;=70nm).</t>
        </is>
      </c>
      <c r="BA302" s="40" t="inlineStr">
        <is>
          <t>Modeled from resort key count. The Westin Maldives Miriandhoo (Baa): ~70 villas/keys (published resort/Virtuoso/booking figures). corridor_annual_oneway_pax = keys x 365 x occ(0.75) / avg_stay(7 nights) x guests/key(2) x 2 (arr+dep) ~= keys x 156. 70 keys -&gt; ~10,900 one-way pax/yr. Airport(MLE)&lt;-&gt;this resort is the sole transfer corridor (boat/seaplane only; no road/air alt - R3-EXCEPTION: arrivals = crossing ridership).</t>
        </is>
      </c>
    </row>
    <row r="303">
      <c r="A303" s="38" t="inlineStr">
        <is>
          <t>Maldives (JIH)</t>
        </is>
      </c>
      <c r="B303" s="38" t="inlineStr">
        <is>
          <t>Maldives</t>
        </is>
      </c>
      <c r="C303" s="39" t="inlineStr">
        <is>
          <t>Velana International Airport (MLE) Resort Speedboat Lounges → Soneva Fushi (Kunfunadhoo, Baa)</t>
        </is>
      </c>
      <c r="D303" s="38" t="inlineStr">
        <is>
          <t>jih-global</t>
        </is>
      </c>
      <c r="E303" s="40" t="inlineStr">
        <is>
          <t>maldives-jih</t>
        </is>
      </c>
      <c r="F303" s="41" t="n">
        <v>1</v>
      </c>
      <c r="G303" s="42" t="n">
        <v>63.7</v>
      </c>
      <c r="H303" s="35" t="n">
        <v>650</v>
      </c>
      <c r="I303" s="43" t="inlineStr">
        <is>
          <t>T1</t>
        </is>
      </c>
      <c r="J303" s="43" t="inlineStr">
        <is>
          <t>med-high</t>
        </is>
      </c>
      <c r="K303" s="29" t="n">
        <v>1</v>
      </c>
      <c r="L303" s="44">
        <f>60*G303/cruise_kt</f>
        <v/>
      </c>
      <c r="M303" s="44">
        <f>L303+turn_min+dwell_min</f>
        <v/>
      </c>
      <c r="N303" s="45">
        <f>MIN(10,FLOOR(60*service_hr/M303,1))</f>
        <v/>
      </c>
      <c r="O303" s="45">
        <f>ROUND(365*mech_uptime*K303,0)</f>
        <v/>
      </c>
      <c r="P303" s="46">
        <f>mech_uptime</f>
        <v/>
      </c>
      <c r="Q303" s="46">
        <f>revleg_sel</f>
        <v/>
      </c>
      <c r="R303" s="45">
        <f>ROUND(N303*O303*revleg_sel,0)</f>
        <v/>
      </c>
      <c r="S303" s="47">
        <f>load_sel</f>
        <v/>
      </c>
      <c r="T303" s="47">
        <f>pax_cap*S303</f>
        <v/>
      </c>
      <c r="U303" s="45">
        <f>T303*R303</f>
        <v/>
      </c>
      <c r="V303" s="48">
        <f>H303*discount</f>
        <v/>
      </c>
      <c r="W303" s="49">
        <f>V303*U303</f>
        <v/>
      </c>
      <c r="X303" s="49">
        <f>(battery/range_nm)*G303*R303*VLOOKUP(B303,country_opex,3,FALSE)</f>
        <v/>
      </c>
      <c r="Y303" s="49">
        <f>VLOOKUP(B303,country_opex,2,FALSE)*crew_factor</f>
        <v/>
      </c>
      <c r="Z303" s="49">
        <f>VLOOKUP(B303,country_opex,5,FALSE)</f>
        <v/>
      </c>
      <c r="AA303" s="49">
        <f>maint</f>
        <v/>
      </c>
      <c r="AB303" s="49">
        <f>VLOOKUP(B303,country_opex,7,FALSE)*ins_pct</f>
        <v/>
      </c>
      <c r="AC303" s="49">
        <f>charge_berth</f>
        <v/>
      </c>
      <c r="AD303" s="49">
        <f>X303+Y303+Z303+AA303+AB303+AC303</f>
        <v/>
      </c>
      <c r="AE303" s="49">
        <f>VLOOKUP(B303,country_opex,7,FALSE)/dep_years</f>
        <v/>
      </c>
      <c r="AF303" s="49">
        <f>W303-AD303</f>
        <v/>
      </c>
      <c r="AG303" s="46">
        <f>IF(W303=0,"",AF303/W303)</f>
        <v/>
      </c>
      <c r="AH303" s="47">
        <f>IF(AF303&lt;=0,"",VLOOKUP(B303,country_opex,7,FALSE)/AF303)</f>
        <v/>
      </c>
      <c r="AI303" s="44">
        <f>((G303*R303/diesel_nmpg)*diesel_co2pg-(battery/range_nm)*G303*R303*VLOOKUP(B303,country_opex,4,FALSE))/1000</f>
        <v/>
      </c>
      <c r="AJ303" s="42" t="n">
        <v>11100</v>
      </c>
      <c r="AK303" s="43" t="inlineStr">
        <is>
          <t>T5</t>
        </is>
      </c>
      <c r="AL303" s="43" t="inlineStr">
        <is>
          <t>low-med</t>
        </is>
      </c>
      <c r="AM303" s="50" t="n">
        <v>0.9</v>
      </c>
      <c r="AN303" s="45">
        <f>IF(AJ303="","",AJ303*AM303)</f>
        <v/>
      </c>
      <c r="AO303" s="45">
        <f>IF(OR(AJ303="",U303=0),"",MIN(IF(AV303="",9.9E+99,AV303),FLOOR(AN303/U303,1)))</f>
        <v/>
      </c>
      <c r="AP303" s="49">
        <f>IF(AO303="","",AO303*W303)</f>
        <v/>
      </c>
      <c r="AQ303" s="47">
        <f>IF(OR(AJ303="",U303=0),"",MIN(IF(AV303="",9.9E+99,AV303),AN303/U303))</f>
        <v/>
      </c>
      <c r="AR303" s="49">
        <f>IF(AQ303="","",AQ303*W303)</f>
        <v/>
      </c>
      <c r="AS303" s="51" t="n"/>
      <c r="AT303" s="52" t="n"/>
      <c r="AU303" s="52" t="n"/>
      <c r="AV303" s="53" t="n">
        <v>3</v>
      </c>
      <c r="AW303" s="54">
        <f>IF(((V303*pax_cap*load_thin*ROUND(N303*O303*revleg_thin,0))-(((battery/range_nm)*G303*ROUND(N303*O303*revleg_thin,0)*VLOOKUP(B303,country_opex,3,FALSE))+Y303+Z303+AA303+AB303+AC303))&lt;=0,"",VLOOKUP(B303,country_opex,7,FALSE)/((V303*pax_cap*load_thin*ROUND(N303*O303*revleg_thin,0))-(((battery/range_nm)*G303*ROUND(N303*O303*revleg_thin,0)*VLOOKUP(B303,country_opex,3,FALSE))+Y303+Z303+AA303+AB303+AC303)))</f>
        <v/>
      </c>
      <c r="AX303" s="54">
        <f>IF(((V303*pax_cap*load_mid*ROUND(N303*O303*revleg_mid,0))-(((battery/range_nm)*G303*ROUND(N303*O303*revleg_mid,0)*VLOOKUP(B303,country_opex,3,FALSE))+Y303+Z303+AA303+AB303+AC303))&lt;=0,"",VLOOKUP(B303,country_opex,7,FALSE)/((V303*pax_cap*load_mid*ROUND(N303*O303*revleg_mid,0))-(((battery/range_nm)*G303*ROUND(N303*O303*revleg_mid,0)*VLOOKUP(B303,country_opex,3,FALSE))+Y303+Z303+AA303+AB303+AC303)))</f>
        <v/>
      </c>
      <c r="AY303" s="54">
        <f>IF(((V303*pax_cap*load_full*ROUND(N303*O303*revleg_full,0))-(((battery/range_nm)*G303*ROUND(N303*O303*revleg_full,0)*VLOOKUP(B303,country_opex,3,FALSE))+Y303+Z303+AA303+AB303+AC303))&lt;=0,"",VLOOKUP(B303,country_opex,7,FALSE)/((V303*pax_cap*load_full*ROUND(N303*O303*revleg_full,0))-(((battery/range_nm)*G303*ROUND(N303*O303*revleg_full,0)*VLOOKUP(B303,country_opex,3,FALSE))+Y303+Z303+AA303+AB303+AC303)))</f>
        <v/>
      </c>
      <c r="AZ303" s="40" t="inlineStr">
        <is>
          <t>Soneva Fushi, Baa, OFFICIAL (soneva.com 'Your Journey'): round-trip SHARED Soneva private seaplane USD 1,300/adult = $650/way; luxurytravelexpert confirms $1,300 RT. immaldives 2026 shared-TMA band $550-720 RT (=~$635/way mid) for the generic operator. Soneva runs its own premium seaplane (the premium tier) - anchor $650/way. &gt;40nm - Navier substitutes SEAPLANE (61.8nm &lt;=70nm).</t>
        </is>
      </c>
      <c r="BA303" s="40" t="inlineStr">
        <is>
          <t>Modeled from resort key count. Soneva Fushi (Kunfunadhoo, Baa): ~71 villas/keys (published resort/Virtuoso/booking figures). corridor_annual_oneway_pax = keys x 365 x occ(0.75) / avg_stay(7 nights) x guests/key(2) x 2 (arr+dep) ~= keys x 156. 71 keys -&gt; ~11,100 one-way pax/yr. Airport(MLE)&lt;-&gt;this resort is the sole transfer corridor (boat/seaplane only; no road/air alt - R3-EXCEPTION: arrivals = crossing ridership).</t>
        </is>
      </c>
    </row>
    <row r="304">
      <c r="A304" s="38" t="inlineStr">
        <is>
          <t>Yango Morocco</t>
        </is>
      </c>
      <c r="B304" s="38" t="inlineStr">
        <is>
          <t>Morocco</t>
        </is>
      </c>
      <c r="C304" s="39" t="inlineStr">
        <is>
          <t>Rabat → Sale</t>
        </is>
      </c>
      <c r="D304" s="38" t="inlineStr">
        <is>
          <t>yango</t>
        </is>
      </c>
      <c r="E304" s="40" t="inlineStr">
        <is>
          <t>yango-morocco</t>
        </is>
      </c>
      <c r="F304" s="41" t="n">
        <v>1</v>
      </c>
      <c r="G304" s="42" t="n">
        <v>0.5</v>
      </c>
      <c r="H304" s="35" t="n"/>
      <c r="I304" s="43" t="n"/>
      <c r="J304" s="43" t="n"/>
      <c r="K304" s="29" t="n">
        <v>1</v>
      </c>
      <c r="L304" s="44">
        <f>60*G304/cruise_kt</f>
        <v/>
      </c>
      <c r="M304" s="44">
        <f>L304+turn_min+dwell_min</f>
        <v/>
      </c>
      <c r="N304" s="45">
        <f>MIN(16,FLOOR(60*service_hr/M304,1))</f>
        <v/>
      </c>
      <c r="O304" s="45">
        <f>ROUND(365*mech_uptime*K304,0)</f>
        <v/>
      </c>
      <c r="P304" s="46">
        <f>mech_uptime</f>
        <v/>
      </c>
      <c r="Q304" s="46">
        <f>revleg_sel</f>
        <v/>
      </c>
      <c r="R304" s="45">
        <f>ROUND(N304*O304*revleg_sel,0)</f>
        <v/>
      </c>
      <c r="S304" s="47">
        <f>load_sel</f>
        <v/>
      </c>
      <c r="T304" s="47">
        <f>pax_cap*S304</f>
        <v/>
      </c>
      <c r="U304" s="45">
        <f>T304*R304</f>
        <v/>
      </c>
      <c r="V304" s="48">
        <f>H304*discount</f>
        <v/>
      </c>
      <c r="W304" s="49">
        <f>V304*U304</f>
        <v/>
      </c>
      <c r="X304" s="49">
        <f>(battery/range_nm)*G304*R304*VLOOKUP(B304,country_opex,3,FALSE)</f>
        <v/>
      </c>
      <c r="Y304" s="49">
        <f>VLOOKUP(B304,country_opex,2,FALSE)*crew_factor</f>
        <v/>
      </c>
      <c r="Z304" s="49">
        <f>VLOOKUP(B304,country_opex,5,FALSE)</f>
        <v/>
      </c>
      <c r="AA304" s="49">
        <f>maint</f>
        <v/>
      </c>
      <c r="AB304" s="49">
        <f>VLOOKUP(B304,country_opex,7,FALSE)*ins_pct</f>
        <v/>
      </c>
      <c r="AC304" s="49">
        <f>charge_berth</f>
        <v/>
      </c>
      <c r="AD304" s="49">
        <f>X304+Y304+Z304+AA304+AB304+AC304</f>
        <v/>
      </c>
      <c r="AE304" s="49">
        <f>VLOOKUP(B304,country_opex,7,FALSE)/dep_years</f>
        <v/>
      </c>
      <c r="AF304" s="49">
        <f>W304-AD304</f>
        <v/>
      </c>
      <c r="AG304" s="46">
        <f>IF(W304=0,"",AF304/W304)</f>
        <v/>
      </c>
      <c r="AH304" s="47">
        <f>IF(AF304&lt;=0,"",VLOOKUP(B304,country_opex,7,FALSE)/AF304)</f>
        <v/>
      </c>
      <c r="AI304" s="44">
        <f>((G304*R304/diesel_nmpg)*diesel_co2pg-(battery/range_nm)*G304*R304*VLOOKUP(B304,country_opex,4,FALSE))/1000</f>
        <v/>
      </c>
      <c r="AJ304" s="42" t="n"/>
      <c r="AK304" s="43" t="n"/>
      <c r="AL304" s="43" t="n"/>
      <c r="AM304" s="50" t="n">
        <v>0.1</v>
      </c>
      <c r="AN304" s="45">
        <f>IF(AJ304="","",AJ304*AM304)</f>
        <v/>
      </c>
      <c r="AO304" s="45">
        <f>IF(OR(AJ304="",U304=0),"",MIN(IF(AV304="",9.9E+99,AV304),FLOOR(AN304/U304,1)))</f>
        <v/>
      </c>
      <c r="AP304" s="49">
        <f>IF(AO304="","",AO304*W304)</f>
        <v/>
      </c>
      <c r="AQ304" s="47">
        <f>IF(OR(AJ304="",U304=0),"",MIN(IF(AV304="",9.9E+99,AV304),AN304/U304))</f>
        <v/>
      </c>
      <c r="AR304" s="49">
        <f>IF(AQ304="","",AQ304*W304)</f>
        <v/>
      </c>
      <c r="AS304" s="51" t="n"/>
      <c r="AT304" s="52" t="n"/>
      <c r="AU304" s="52" t="n"/>
      <c r="AV304" s="53" t="n"/>
      <c r="AW304" s="54">
        <f>IF(((V304*pax_cap*load_thin*ROUND(N304*O304*revleg_thin,0))-(((battery/range_nm)*G304*ROUND(N304*O304*revleg_thin,0)*VLOOKUP(B304,country_opex,3,FALSE))+Y304+Z304+AA304+AB304+AC304))&lt;=0,"",VLOOKUP(B304,country_opex,7,FALSE)/((V304*pax_cap*load_thin*ROUND(N304*O304*revleg_thin,0))-(((battery/range_nm)*G304*ROUND(N304*O304*revleg_thin,0)*VLOOKUP(B304,country_opex,3,FALSE))+Y304+Z304+AA304+AB304+AC304)))</f>
        <v/>
      </c>
      <c r="AX304" s="54">
        <f>IF(((V304*pax_cap*load_mid*ROUND(N304*O304*revleg_mid,0))-(((battery/range_nm)*G304*ROUND(N304*O304*revleg_mid,0)*VLOOKUP(B304,country_opex,3,FALSE))+Y304+Z304+AA304+AB304+AC304))&lt;=0,"",VLOOKUP(B304,country_opex,7,FALSE)/((V304*pax_cap*load_mid*ROUND(N304*O304*revleg_mid,0))-(((battery/range_nm)*G304*ROUND(N304*O304*revleg_mid,0)*VLOOKUP(B304,country_opex,3,FALSE))+Y304+Z304+AA304+AB304+AC304)))</f>
        <v/>
      </c>
      <c r="AY304" s="54">
        <f>IF(((V304*pax_cap*load_full*ROUND(N304*O304*revleg_full,0))-(((battery/range_nm)*G304*ROUND(N304*O304*revleg_full,0)*VLOOKUP(B304,country_opex,3,FALSE))+Y304+Z304+AA304+AB304+AC304))&lt;=0,"",VLOOKUP(B304,country_opex,7,FALSE)/((V304*pax_cap*load_full*ROUND(N304*O304*revleg_full,0))-(((battery/range_nm)*G304*ROUND(N304*O304*revleg_full,0)*VLOOKUP(B304,country_opex,3,FALSE))+Y304+Z304+AA304+AB304+AC304)))</f>
        <v/>
      </c>
      <c r="AZ304" s="40" t="n"/>
      <c r="BA304" s="40" t="n"/>
    </row>
    <row r="305">
      <c r="A305" s="38" t="inlineStr">
        <is>
          <t>Yango Morocco</t>
        </is>
      </c>
      <c r="B305" s="38" t="inlineStr">
        <is>
          <t>Morocco</t>
        </is>
      </c>
      <c r="C305" s="39" t="inlineStr">
        <is>
          <t>Tangier Marina Bay → Tarifa (cross-strait excluded)</t>
        </is>
      </c>
      <c r="D305" s="38" t="inlineStr">
        <is>
          <t>yango</t>
        </is>
      </c>
      <c r="E305" s="40" t="inlineStr">
        <is>
          <t>yango-morocco</t>
        </is>
      </c>
      <c r="F305" s="41" t="n">
        <v>1</v>
      </c>
      <c r="G305" s="42" t="n">
        <v>8</v>
      </c>
      <c r="H305" s="35" t="n">
        <v>43.5</v>
      </c>
      <c r="I305" s="43" t="inlineStr">
        <is>
          <t>T2</t>
        </is>
      </c>
      <c r="J305" s="43" t="inlineStr">
        <is>
          <t>med</t>
        </is>
      </c>
      <c r="K305" s="29" t="n">
        <v>1</v>
      </c>
      <c r="L305" s="44">
        <f>60*G305/cruise_kt</f>
        <v/>
      </c>
      <c r="M305" s="44">
        <f>L305+turn_min+dwell_min</f>
        <v/>
      </c>
      <c r="N305" s="45">
        <f>MIN(10,FLOOR(60*service_hr/M305,1))</f>
        <v/>
      </c>
      <c r="O305" s="45">
        <f>ROUND(365*mech_uptime*K305,0)</f>
        <v/>
      </c>
      <c r="P305" s="46">
        <f>mech_uptime</f>
        <v/>
      </c>
      <c r="Q305" s="46">
        <f>revleg_sel</f>
        <v/>
      </c>
      <c r="R305" s="45">
        <f>ROUND(N305*O305*revleg_sel,0)</f>
        <v/>
      </c>
      <c r="S305" s="47">
        <f>load_sel</f>
        <v/>
      </c>
      <c r="T305" s="47">
        <f>pax_cap*S305</f>
        <v/>
      </c>
      <c r="U305" s="45">
        <f>T305*R305</f>
        <v/>
      </c>
      <c r="V305" s="48">
        <f>H305*discount</f>
        <v/>
      </c>
      <c r="W305" s="49">
        <f>V305*U305</f>
        <v/>
      </c>
      <c r="X305" s="49">
        <f>(battery/range_nm)*G305*R305*VLOOKUP(B305,country_opex,3,FALSE)</f>
        <v/>
      </c>
      <c r="Y305" s="49">
        <f>VLOOKUP(B305,country_opex,2,FALSE)*crew_factor</f>
        <v/>
      </c>
      <c r="Z305" s="49">
        <f>VLOOKUP(B305,country_opex,5,FALSE)</f>
        <v/>
      </c>
      <c r="AA305" s="49">
        <f>maint</f>
        <v/>
      </c>
      <c r="AB305" s="49">
        <f>VLOOKUP(B305,country_opex,7,FALSE)*ins_pct</f>
        <v/>
      </c>
      <c r="AC305" s="49">
        <f>charge_berth</f>
        <v/>
      </c>
      <c r="AD305" s="49">
        <f>X305+Y305+Z305+AA305+AB305+AC305</f>
        <v/>
      </c>
      <c r="AE305" s="49">
        <f>VLOOKUP(B305,country_opex,7,FALSE)/dep_years</f>
        <v/>
      </c>
      <c r="AF305" s="49">
        <f>W305-AD305</f>
        <v/>
      </c>
      <c r="AG305" s="46">
        <f>IF(W305=0,"",AF305/W305)</f>
        <v/>
      </c>
      <c r="AH305" s="47">
        <f>IF(AF305&lt;=0,"",VLOOKUP(B305,country_opex,7,FALSE)/AF305)</f>
        <v/>
      </c>
      <c r="AI305" s="44">
        <f>((G305*R305/diesel_nmpg)*diesel_co2pg-(battery/range_nm)*G305*R305*VLOOKUP(B305,country_opex,4,FALSE))/1000</f>
        <v/>
      </c>
      <c r="AJ305" s="42" t="n">
        <v>760778</v>
      </c>
      <c r="AK305" s="43" t="n"/>
      <c r="AL305" s="43" t="n"/>
      <c r="AM305" s="50" t="n">
        <v>0.1</v>
      </c>
      <c r="AN305" s="45">
        <f>IF(AJ305="","",AJ305*AM305)</f>
        <v/>
      </c>
      <c r="AO305" s="45">
        <f>IF(OR(AJ305="",U305=0),"",MIN(IF(AV305="",9.9E+99,AV305),FLOOR(AN305/U305,1)))</f>
        <v/>
      </c>
      <c r="AP305" s="49">
        <f>IF(AO305="","",AO305*W305)</f>
        <v/>
      </c>
      <c r="AQ305" s="47">
        <f>IF(OR(AJ305="",U305=0),"",MIN(IF(AV305="",9.9E+99,AV305),AN305/U305))</f>
        <v/>
      </c>
      <c r="AR305" s="49">
        <f>IF(AQ305="","",AQ305*W305)</f>
        <v/>
      </c>
      <c r="AS305" s="51" t="n"/>
      <c r="AT305" s="52" t="n"/>
      <c r="AU305" s="52" t="n"/>
      <c r="AV305" s="53" t="n"/>
      <c r="AW305" s="54">
        <f>IF(((V305*pax_cap*load_thin*ROUND(N305*O305*revleg_thin,0))-(((battery/range_nm)*G305*ROUND(N305*O305*revleg_thin,0)*VLOOKUP(B305,country_opex,3,FALSE))+Y305+Z305+AA305+AB305+AC305))&lt;=0,"",VLOOKUP(B305,country_opex,7,FALSE)/((V305*pax_cap*load_thin*ROUND(N305*O305*revleg_thin,0))-(((battery/range_nm)*G305*ROUND(N305*O305*revleg_thin,0)*VLOOKUP(B305,country_opex,3,FALSE))+Y305+Z305+AA305+AB305+AC305)))</f>
        <v/>
      </c>
      <c r="AX305" s="54">
        <f>IF(((V305*pax_cap*load_mid*ROUND(N305*O305*revleg_mid,0))-(((battery/range_nm)*G305*ROUND(N305*O305*revleg_mid,0)*VLOOKUP(B305,country_opex,3,FALSE))+Y305+Z305+AA305+AB305+AC305))&lt;=0,"",VLOOKUP(B305,country_opex,7,FALSE)/((V305*pax_cap*load_mid*ROUND(N305*O305*revleg_mid,0))-(((battery/range_nm)*G305*ROUND(N305*O305*revleg_mid,0)*VLOOKUP(B305,country_opex,3,FALSE))+Y305+Z305+AA305+AB305+AC305)))</f>
        <v/>
      </c>
      <c r="AY305" s="54">
        <f>IF(((V305*pax_cap*load_full*ROUND(N305*O305*revleg_full,0))-(((battery/range_nm)*G305*ROUND(N305*O305*revleg_full,0)*VLOOKUP(B305,country_opex,3,FALSE))+Y305+Z305+AA305+AB305+AC305))&lt;=0,"",VLOOKUP(B305,country_opex,7,FALSE)/((V305*pax_cap*load_full*ROUND(N305*O305*revleg_full,0))-(((battery/range_nm)*G305*ROUND(N305*O305*revleg_full,0)*VLOOKUP(B305,country_opex,3,FALSE))+Y305+Z305+AA305+AB305+AC305)))</f>
        <v/>
      </c>
      <c r="AZ305" s="40" t="inlineStr">
        <is>
          <t>PREMIUM tier: standard adult FOOT-PASSENGER one-way fast-ferry fare Tarifa&lt;-&gt;Tangier Ville ~EUR 40.25 (traveller-reported foot fare) x 1.08 = ~$43.5; DirectFerries lists 'from $46'. THIS is the Navier-modeled per-seat tier.</t>
        </is>
      </c>
      <c r="BA305" s="40" t="n"/>
    </row>
    <row r="306">
      <c r="A306" s="38" t="inlineStr">
        <is>
          <t>Yango Morocco</t>
        </is>
      </c>
      <c r="B306" s="38" t="inlineStr">
        <is>
          <t>Morocco</t>
        </is>
      </c>
      <c r="C306" s="39" t="inlineStr">
        <is>
          <t>Agadir Marina → Taghazout</t>
        </is>
      </c>
      <c r="D306" s="38" t="inlineStr">
        <is>
          <t>yango</t>
        </is>
      </c>
      <c r="E306" s="40" t="inlineStr">
        <is>
          <t>yango-morocco</t>
        </is>
      </c>
      <c r="F306" s="41" t="n">
        <v>1</v>
      </c>
      <c r="G306" s="42" t="n">
        <v>9</v>
      </c>
      <c r="H306" s="35" t="n"/>
      <c r="I306" s="43" t="n"/>
      <c r="J306" s="43" t="n"/>
      <c r="K306" s="29" t="n">
        <v>1</v>
      </c>
      <c r="L306" s="44">
        <f>60*G306/cruise_kt</f>
        <v/>
      </c>
      <c r="M306" s="44">
        <f>L306+turn_min+dwell_min</f>
        <v/>
      </c>
      <c r="N306" s="45">
        <f>MIN(10,FLOOR(60*service_hr/M306,1))</f>
        <v/>
      </c>
      <c r="O306" s="45">
        <f>ROUND(365*mech_uptime*K306,0)</f>
        <v/>
      </c>
      <c r="P306" s="46">
        <f>mech_uptime</f>
        <v/>
      </c>
      <c r="Q306" s="46">
        <f>revleg_sel</f>
        <v/>
      </c>
      <c r="R306" s="45">
        <f>ROUND(N306*O306*revleg_sel,0)</f>
        <v/>
      </c>
      <c r="S306" s="47">
        <f>load_sel</f>
        <v/>
      </c>
      <c r="T306" s="47">
        <f>pax_cap*S306</f>
        <v/>
      </c>
      <c r="U306" s="45">
        <f>T306*R306</f>
        <v/>
      </c>
      <c r="V306" s="48">
        <f>H306*discount</f>
        <v/>
      </c>
      <c r="W306" s="49">
        <f>V306*U306</f>
        <v/>
      </c>
      <c r="X306" s="49">
        <f>(battery/range_nm)*G306*R306*VLOOKUP(B306,country_opex,3,FALSE)</f>
        <v/>
      </c>
      <c r="Y306" s="49">
        <f>VLOOKUP(B306,country_opex,2,FALSE)*crew_factor</f>
        <v/>
      </c>
      <c r="Z306" s="49">
        <f>VLOOKUP(B306,country_opex,5,FALSE)</f>
        <v/>
      </c>
      <c r="AA306" s="49">
        <f>maint</f>
        <v/>
      </c>
      <c r="AB306" s="49">
        <f>VLOOKUP(B306,country_opex,7,FALSE)*ins_pct</f>
        <v/>
      </c>
      <c r="AC306" s="49">
        <f>charge_berth</f>
        <v/>
      </c>
      <c r="AD306" s="49">
        <f>X306+Y306+Z306+AA306+AB306+AC306</f>
        <v/>
      </c>
      <c r="AE306" s="49">
        <f>VLOOKUP(B306,country_opex,7,FALSE)/dep_years</f>
        <v/>
      </c>
      <c r="AF306" s="49">
        <f>W306-AD306</f>
        <v/>
      </c>
      <c r="AG306" s="46">
        <f>IF(W306=0,"",AF306/W306)</f>
        <v/>
      </c>
      <c r="AH306" s="47">
        <f>IF(AF306&lt;=0,"",VLOOKUP(B306,country_opex,7,FALSE)/AF306)</f>
        <v/>
      </c>
      <c r="AI306" s="44">
        <f>((G306*R306/diesel_nmpg)*diesel_co2pg-(battery/range_nm)*G306*R306*VLOOKUP(B306,country_opex,4,FALSE))/1000</f>
        <v/>
      </c>
      <c r="AJ306" s="42" t="n">
        <v>77500</v>
      </c>
      <c r="AK306" s="43" t="n"/>
      <c r="AL306" s="43" t="n"/>
      <c r="AM306" s="50" t="n">
        <v>0.1</v>
      </c>
      <c r="AN306" s="45">
        <f>IF(AJ306="","",AJ306*AM306)</f>
        <v/>
      </c>
      <c r="AO306" s="45">
        <f>IF(OR(AJ306="",U306=0),"",MIN(IF(AV306="",9.9E+99,AV306),FLOOR(AN306/U306,1)))</f>
        <v/>
      </c>
      <c r="AP306" s="49">
        <f>IF(AO306="","",AO306*W306)</f>
        <v/>
      </c>
      <c r="AQ306" s="47">
        <f>IF(OR(AJ306="",U306=0),"",MIN(IF(AV306="",9.9E+99,AV306),AN306/U306))</f>
        <v/>
      </c>
      <c r="AR306" s="49">
        <f>IF(AQ306="","",AQ306*W306)</f>
        <v/>
      </c>
      <c r="AS306" s="51" t="n"/>
      <c r="AT306" s="52" t="n"/>
      <c r="AU306" s="52" t="n"/>
      <c r="AV306" s="53" t="n"/>
      <c r="AW306" s="54">
        <f>IF(((V306*pax_cap*load_thin*ROUND(N306*O306*revleg_thin,0))-(((battery/range_nm)*G306*ROUND(N306*O306*revleg_thin,0)*VLOOKUP(B306,country_opex,3,FALSE))+Y306+Z306+AA306+AB306+AC306))&lt;=0,"",VLOOKUP(B306,country_opex,7,FALSE)/((V306*pax_cap*load_thin*ROUND(N306*O306*revleg_thin,0))-(((battery/range_nm)*G306*ROUND(N306*O306*revleg_thin,0)*VLOOKUP(B306,country_opex,3,FALSE))+Y306+Z306+AA306+AB306+AC306)))</f>
        <v/>
      </c>
      <c r="AX306" s="54">
        <f>IF(((V306*pax_cap*load_mid*ROUND(N306*O306*revleg_mid,0))-(((battery/range_nm)*G306*ROUND(N306*O306*revleg_mid,0)*VLOOKUP(B306,country_opex,3,FALSE))+Y306+Z306+AA306+AB306+AC306))&lt;=0,"",VLOOKUP(B306,country_opex,7,FALSE)/((V306*pax_cap*load_mid*ROUND(N306*O306*revleg_mid,0))-(((battery/range_nm)*G306*ROUND(N306*O306*revleg_mid,0)*VLOOKUP(B306,country_opex,3,FALSE))+Y306+Z306+AA306+AB306+AC306)))</f>
        <v/>
      </c>
      <c r="AY306" s="54">
        <f>IF(((V306*pax_cap*load_full*ROUND(N306*O306*revleg_full,0))-(((battery/range_nm)*G306*ROUND(N306*O306*revleg_full,0)*VLOOKUP(B306,country_opex,3,FALSE))+Y306+Z306+AA306+AB306+AC306))&lt;=0,"",VLOOKUP(B306,country_opex,7,FALSE)/((V306*pax_cap*load_full*ROUND(N306*O306*revleg_full,0))-(((battery/range_nm)*G306*ROUND(N306*O306*revleg_full,0)*VLOOKUP(B306,country_opex,3,FALSE))+Y306+Z306+AA306+AB306+AC306)))</f>
        <v/>
      </c>
      <c r="AZ306" s="40" t="n"/>
      <c r="BA306" s="40" t="n"/>
    </row>
    <row r="307">
      <c r="A307" s="38" t="inlineStr">
        <is>
          <t>Yango Morocco</t>
        </is>
      </c>
      <c r="B307" s="38" t="inlineStr">
        <is>
          <t>Morocco</t>
        </is>
      </c>
      <c r="C307" s="39" t="inlineStr">
        <is>
          <t>Tanger Med (Ksar el Majaz) → Algeciras (Spain)</t>
        </is>
      </c>
      <c r="D307" s="38" t="inlineStr">
        <is>
          <t>yango</t>
        </is>
      </c>
      <c r="E307" s="40" t="inlineStr">
        <is>
          <t>yango-morocco</t>
        </is>
      </c>
      <c r="F307" s="41" t="n">
        <v>1</v>
      </c>
      <c r="G307" s="42" t="n">
        <v>13</v>
      </c>
      <c r="H307" s="35" t="n">
        <v>38</v>
      </c>
      <c r="I307" s="43" t="inlineStr">
        <is>
          <t>T2</t>
        </is>
      </c>
      <c r="J307" s="43" t="inlineStr">
        <is>
          <t>med</t>
        </is>
      </c>
      <c r="K307" s="29" t="n">
        <v>1</v>
      </c>
      <c r="L307" s="44">
        <f>60*G307/cruise_kt</f>
        <v/>
      </c>
      <c r="M307" s="44">
        <f>L307+turn_min+dwell_min</f>
        <v/>
      </c>
      <c r="N307" s="45">
        <f>MIN(10,FLOOR(60*service_hr/M307,1))</f>
        <v/>
      </c>
      <c r="O307" s="45">
        <f>ROUND(365*mech_uptime*K307,0)</f>
        <v/>
      </c>
      <c r="P307" s="46">
        <f>mech_uptime</f>
        <v/>
      </c>
      <c r="Q307" s="46">
        <f>revleg_sel</f>
        <v/>
      </c>
      <c r="R307" s="45">
        <f>ROUND(N307*O307*revleg_sel,0)</f>
        <v/>
      </c>
      <c r="S307" s="47">
        <f>load_sel</f>
        <v/>
      </c>
      <c r="T307" s="47">
        <f>pax_cap*S307</f>
        <v/>
      </c>
      <c r="U307" s="45">
        <f>T307*R307</f>
        <v/>
      </c>
      <c r="V307" s="48">
        <f>H307*discount</f>
        <v/>
      </c>
      <c r="W307" s="49">
        <f>V307*U307</f>
        <v/>
      </c>
      <c r="X307" s="49">
        <f>(battery/range_nm)*G307*R307*VLOOKUP(B307,country_opex,3,FALSE)</f>
        <v/>
      </c>
      <c r="Y307" s="49">
        <f>VLOOKUP(B307,country_opex,2,FALSE)*crew_factor</f>
        <v/>
      </c>
      <c r="Z307" s="49">
        <f>VLOOKUP(B307,country_opex,5,FALSE)</f>
        <v/>
      </c>
      <c r="AA307" s="49">
        <f>maint</f>
        <v/>
      </c>
      <c r="AB307" s="49">
        <f>VLOOKUP(B307,country_opex,7,FALSE)*ins_pct</f>
        <v/>
      </c>
      <c r="AC307" s="49">
        <f>charge_berth</f>
        <v/>
      </c>
      <c r="AD307" s="49">
        <f>X307+Y307+Z307+AA307+AB307+AC307</f>
        <v/>
      </c>
      <c r="AE307" s="49">
        <f>VLOOKUP(B307,country_opex,7,FALSE)/dep_years</f>
        <v/>
      </c>
      <c r="AF307" s="49">
        <f>W307-AD307</f>
        <v/>
      </c>
      <c r="AG307" s="46">
        <f>IF(W307=0,"",AF307/W307)</f>
        <v/>
      </c>
      <c r="AH307" s="47">
        <f>IF(AF307&lt;=0,"",VLOOKUP(B307,country_opex,7,FALSE)/AF307)</f>
        <v/>
      </c>
      <c r="AI307" s="44">
        <f>((G307*R307/diesel_nmpg)*diesel_co2pg-(battery/range_nm)*G307*R307*VLOOKUP(B307,country_opex,4,FALSE))/1000</f>
        <v/>
      </c>
      <c r="AJ307" s="42" t="n">
        <v>1610211</v>
      </c>
      <c r="AK307" s="43" t="n"/>
      <c r="AL307" s="43" t="n"/>
      <c r="AM307" s="50" t="n">
        <v>0.1</v>
      </c>
      <c r="AN307" s="45">
        <f>IF(AJ307="","",AJ307*AM307)</f>
        <v/>
      </c>
      <c r="AO307" s="45">
        <f>IF(OR(AJ307="",U307=0),"",MIN(IF(AV307="",9.9E+99,AV307),FLOOR(AN307/U307,1)))</f>
        <v/>
      </c>
      <c r="AP307" s="49">
        <f>IF(AO307="","",AO307*W307)</f>
        <v/>
      </c>
      <c r="AQ307" s="47">
        <f>IF(OR(AJ307="",U307=0),"",MIN(IF(AV307="",9.9E+99,AV307),AN307/U307))</f>
        <v/>
      </c>
      <c r="AR307" s="49">
        <f>IF(AQ307="","",AQ307*W307)</f>
        <v/>
      </c>
      <c r="AS307" s="51" t="n"/>
      <c r="AT307" s="52" t="n"/>
      <c r="AU307" s="52" t="n"/>
      <c r="AV307" s="53" t="n"/>
      <c r="AW307" s="54">
        <f>IF(((V307*pax_cap*load_thin*ROUND(N307*O307*revleg_thin,0))-(((battery/range_nm)*G307*ROUND(N307*O307*revleg_thin,0)*VLOOKUP(B307,country_opex,3,FALSE))+Y307+Z307+AA307+AB307+AC307))&lt;=0,"",VLOOKUP(B307,country_opex,7,FALSE)/((V307*pax_cap*load_thin*ROUND(N307*O307*revleg_thin,0))-(((battery/range_nm)*G307*ROUND(N307*O307*revleg_thin,0)*VLOOKUP(B307,country_opex,3,FALSE))+Y307+Z307+AA307+AB307+AC307)))</f>
        <v/>
      </c>
      <c r="AX307" s="54">
        <f>IF(((V307*pax_cap*load_mid*ROUND(N307*O307*revleg_mid,0))-(((battery/range_nm)*G307*ROUND(N307*O307*revleg_mid,0)*VLOOKUP(B307,country_opex,3,FALSE))+Y307+Z307+AA307+AB307+AC307))&lt;=0,"",VLOOKUP(B307,country_opex,7,FALSE)/((V307*pax_cap*load_mid*ROUND(N307*O307*revleg_mid,0))-(((battery/range_nm)*G307*ROUND(N307*O307*revleg_mid,0)*VLOOKUP(B307,country_opex,3,FALSE))+Y307+Z307+AA307+AB307+AC307)))</f>
        <v/>
      </c>
      <c r="AY307" s="54">
        <f>IF(((V307*pax_cap*load_full*ROUND(N307*O307*revleg_full,0))-(((battery/range_nm)*G307*ROUND(N307*O307*revleg_full,0)*VLOOKUP(B307,country_opex,3,FALSE))+Y307+Z307+AA307+AB307+AC307))&lt;=0,"",VLOOKUP(B307,country_opex,7,FALSE)/((V307*pax_cap*load_full*ROUND(N307*O307*revleg_full,0))-(((battery/range_nm)*G307*ROUND(N307*O307*revleg_full,0)*VLOOKUP(B307,country_opex,3,FALSE))+Y307+Z307+AA307+AB307+AC307)))</f>
        <v/>
      </c>
      <c r="AZ307" s="40" t="inlineStr">
        <is>
          <t>PREMIUM tier: standard adult FOOT-PASSENGER one-way Tanger Med&lt;-&gt;Algeciras ~EUR 35 x 1.08 = ~$38 (Strait fast-ferry foot fares cluster EUR 30-40).</t>
        </is>
      </c>
      <c r="BA307" s="40" t="n"/>
    </row>
    <row r="308">
      <c r="A308" s="38" t="inlineStr">
        <is>
          <t>Yango Morocco</t>
        </is>
      </c>
      <c r="B308" s="38" t="inlineStr">
        <is>
          <t>Morocco</t>
        </is>
      </c>
      <c r="C308" s="39" t="inlineStr">
        <is>
          <t>Casablanca → Mohammedia</t>
        </is>
      </c>
      <c r="D308" s="38" t="inlineStr">
        <is>
          <t>yango</t>
        </is>
      </c>
      <c r="E308" s="40" t="inlineStr">
        <is>
          <t>yango-morocco</t>
        </is>
      </c>
      <c r="F308" s="41" t="n">
        <v>1</v>
      </c>
      <c r="G308" s="42" t="n">
        <v>13</v>
      </c>
      <c r="H308" s="35" t="n"/>
      <c r="I308" s="43" t="n"/>
      <c r="J308" s="43" t="n"/>
      <c r="K308" s="29" t="n">
        <v>1</v>
      </c>
      <c r="L308" s="44">
        <f>60*G308/cruise_kt</f>
        <v/>
      </c>
      <c r="M308" s="44">
        <f>L308+turn_min+dwell_min</f>
        <v/>
      </c>
      <c r="N308" s="45">
        <f>MIN(16,FLOOR(60*service_hr/M308,1))</f>
        <v/>
      </c>
      <c r="O308" s="45">
        <f>ROUND(365*mech_uptime*K308,0)</f>
        <v/>
      </c>
      <c r="P308" s="46">
        <f>mech_uptime</f>
        <v/>
      </c>
      <c r="Q308" s="46">
        <f>revleg_sel</f>
        <v/>
      </c>
      <c r="R308" s="45">
        <f>ROUND(N308*O308*revleg_sel,0)</f>
        <v/>
      </c>
      <c r="S308" s="47">
        <f>load_sel</f>
        <v/>
      </c>
      <c r="T308" s="47">
        <f>pax_cap*S308</f>
        <v/>
      </c>
      <c r="U308" s="45">
        <f>T308*R308</f>
        <v/>
      </c>
      <c r="V308" s="48">
        <f>H308*discount</f>
        <v/>
      </c>
      <c r="W308" s="49">
        <f>V308*U308</f>
        <v/>
      </c>
      <c r="X308" s="49">
        <f>(battery/range_nm)*G308*R308*VLOOKUP(B308,country_opex,3,FALSE)</f>
        <v/>
      </c>
      <c r="Y308" s="49">
        <f>VLOOKUP(B308,country_opex,2,FALSE)*crew_factor</f>
        <v/>
      </c>
      <c r="Z308" s="49">
        <f>VLOOKUP(B308,country_opex,5,FALSE)</f>
        <v/>
      </c>
      <c r="AA308" s="49">
        <f>maint</f>
        <v/>
      </c>
      <c r="AB308" s="49">
        <f>VLOOKUP(B308,country_opex,7,FALSE)*ins_pct</f>
        <v/>
      </c>
      <c r="AC308" s="49">
        <f>charge_berth</f>
        <v/>
      </c>
      <c r="AD308" s="49">
        <f>X308+Y308+Z308+AA308+AB308+AC308</f>
        <v/>
      </c>
      <c r="AE308" s="49">
        <f>VLOOKUP(B308,country_opex,7,FALSE)/dep_years</f>
        <v/>
      </c>
      <c r="AF308" s="49">
        <f>W308-AD308</f>
        <v/>
      </c>
      <c r="AG308" s="46">
        <f>IF(W308=0,"",AF308/W308)</f>
        <v/>
      </c>
      <c r="AH308" s="47">
        <f>IF(AF308&lt;=0,"",VLOOKUP(B308,country_opex,7,FALSE)/AF308)</f>
        <v/>
      </c>
      <c r="AI308" s="44">
        <f>((G308*R308/diesel_nmpg)*diesel_co2pg-(battery/range_nm)*G308*R308*VLOOKUP(B308,country_opex,4,FALSE))/1000</f>
        <v/>
      </c>
      <c r="AJ308" s="42" t="n"/>
      <c r="AK308" s="43" t="n"/>
      <c r="AL308" s="43" t="n"/>
      <c r="AM308" s="50" t="n">
        <v>0.1</v>
      </c>
      <c r="AN308" s="45">
        <f>IF(AJ308="","",AJ308*AM308)</f>
        <v/>
      </c>
      <c r="AO308" s="45">
        <f>IF(OR(AJ308="",U308=0),"",MIN(IF(AV308="",9.9E+99,AV308),FLOOR(AN308/U308,1)))</f>
        <v/>
      </c>
      <c r="AP308" s="49">
        <f>IF(AO308="","",AO308*W308)</f>
        <v/>
      </c>
      <c r="AQ308" s="47">
        <f>IF(OR(AJ308="",U308=0),"",MIN(IF(AV308="",9.9E+99,AV308),AN308/U308))</f>
        <v/>
      </c>
      <c r="AR308" s="49">
        <f>IF(AQ308="","",AQ308*W308)</f>
        <v/>
      </c>
      <c r="AS308" s="51" t="n"/>
      <c r="AT308" s="52" t="n"/>
      <c r="AU308" s="52" t="n"/>
      <c r="AV308" s="53" t="n"/>
      <c r="AW308" s="54">
        <f>IF(((V308*pax_cap*load_thin*ROUND(N308*O308*revleg_thin,0))-(((battery/range_nm)*G308*ROUND(N308*O308*revleg_thin,0)*VLOOKUP(B308,country_opex,3,FALSE))+Y308+Z308+AA308+AB308+AC308))&lt;=0,"",VLOOKUP(B308,country_opex,7,FALSE)/((V308*pax_cap*load_thin*ROUND(N308*O308*revleg_thin,0))-(((battery/range_nm)*G308*ROUND(N308*O308*revleg_thin,0)*VLOOKUP(B308,country_opex,3,FALSE))+Y308+Z308+AA308+AB308+AC308)))</f>
        <v/>
      </c>
      <c r="AX308" s="54">
        <f>IF(((V308*pax_cap*load_mid*ROUND(N308*O308*revleg_mid,0))-(((battery/range_nm)*G308*ROUND(N308*O308*revleg_mid,0)*VLOOKUP(B308,country_opex,3,FALSE))+Y308+Z308+AA308+AB308+AC308))&lt;=0,"",VLOOKUP(B308,country_opex,7,FALSE)/((V308*pax_cap*load_mid*ROUND(N308*O308*revleg_mid,0))-(((battery/range_nm)*G308*ROUND(N308*O308*revleg_mid,0)*VLOOKUP(B308,country_opex,3,FALSE))+Y308+Z308+AA308+AB308+AC308)))</f>
        <v/>
      </c>
      <c r="AY308" s="54">
        <f>IF(((V308*pax_cap*load_full*ROUND(N308*O308*revleg_full,0))-(((battery/range_nm)*G308*ROUND(N308*O308*revleg_full,0)*VLOOKUP(B308,country_opex,3,FALSE))+Y308+Z308+AA308+AB308+AC308))&lt;=0,"",VLOOKUP(B308,country_opex,7,FALSE)/((V308*pax_cap*load_full*ROUND(N308*O308*revleg_full,0))-(((battery/range_nm)*G308*ROUND(N308*O308*revleg_full,0)*VLOOKUP(B308,country_opex,3,FALSE))+Y308+Z308+AA308+AB308+AC308)))</f>
        <v/>
      </c>
      <c r="AZ308" s="40" t="n"/>
      <c r="BA308" s="40" t="n"/>
    </row>
    <row r="309">
      <c r="A309" s="38" t="inlineStr">
        <is>
          <t>Yango Morocco</t>
        </is>
      </c>
      <c r="B309" s="38" t="inlineStr">
        <is>
          <t>Morocco</t>
        </is>
      </c>
      <c r="C309" s="39" t="inlineStr">
        <is>
          <t>Al Hoceima → Cala Iris</t>
        </is>
      </c>
      <c r="D309" s="38" t="inlineStr">
        <is>
          <t>yango</t>
        </is>
      </c>
      <c r="E309" s="40" t="inlineStr">
        <is>
          <t>yango-morocco</t>
        </is>
      </c>
      <c r="F309" s="41" t="n">
        <v>1</v>
      </c>
      <c r="G309" s="42" t="n">
        <v>16</v>
      </c>
      <c r="H309" s="35" t="n"/>
      <c r="I309" s="43" t="n"/>
      <c r="J309" s="43" t="n"/>
      <c r="K309" s="29" t="n">
        <v>1</v>
      </c>
      <c r="L309" s="44">
        <f>60*G309/cruise_kt</f>
        <v/>
      </c>
      <c r="M309" s="44">
        <f>L309+turn_min+dwell_min</f>
        <v/>
      </c>
      <c r="N309" s="45">
        <f>MIN(16,FLOOR(60*service_hr/M309,1))</f>
        <v/>
      </c>
      <c r="O309" s="45">
        <f>ROUND(365*mech_uptime*K309,0)</f>
        <v/>
      </c>
      <c r="P309" s="46">
        <f>mech_uptime</f>
        <v/>
      </c>
      <c r="Q309" s="46">
        <f>revleg_sel</f>
        <v/>
      </c>
      <c r="R309" s="45">
        <f>ROUND(N309*O309*revleg_sel,0)</f>
        <v/>
      </c>
      <c r="S309" s="47">
        <f>load_sel</f>
        <v/>
      </c>
      <c r="T309" s="47">
        <f>pax_cap*S309</f>
        <v/>
      </c>
      <c r="U309" s="45">
        <f>T309*R309</f>
        <v/>
      </c>
      <c r="V309" s="48">
        <f>H309*discount</f>
        <v/>
      </c>
      <c r="W309" s="49">
        <f>V309*U309</f>
        <v/>
      </c>
      <c r="X309" s="49">
        <f>(battery/range_nm)*G309*R309*VLOOKUP(B309,country_opex,3,FALSE)</f>
        <v/>
      </c>
      <c r="Y309" s="49">
        <f>VLOOKUP(B309,country_opex,2,FALSE)*crew_factor</f>
        <v/>
      </c>
      <c r="Z309" s="49">
        <f>VLOOKUP(B309,country_opex,5,FALSE)</f>
        <v/>
      </c>
      <c r="AA309" s="49">
        <f>maint</f>
        <v/>
      </c>
      <c r="AB309" s="49">
        <f>VLOOKUP(B309,country_opex,7,FALSE)*ins_pct</f>
        <v/>
      </c>
      <c r="AC309" s="49">
        <f>charge_berth</f>
        <v/>
      </c>
      <c r="AD309" s="49">
        <f>X309+Y309+Z309+AA309+AB309+AC309</f>
        <v/>
      </c>
      <c r="AE309" s="49">
        <f>VLOOKUP(B309,country_opex,7,FALSE)/dep_years</f>
        <v/>
      </c>
      <c r="AF309" s="49">
        <f>W309-AD309</f>
        <v/>
      </c>
      <c r="AG309" s="46">
        <f>IF(W309=0,"",AF309/W309)</f>
        <v/>
      </c>
      <c r="AH309" s="47">
        <f>IF(AF309&lt;=0,"",VLOOKUP(B309,country_opex,7,FALSE)/AF309)</f>
        <v/>
      </c>
      <c r="AI309" s="44">
        <f>((G309*R309/diesel_nmpg)*diesel_co2pg-(battery/range_nm)*G309*R309*VLOOKUP(B309,country_opex,4,FALSE))/1000</f>
        <v/>
      </c>
      <c r="AJ309" s="42" t="n"/>
      <c r="AK309" s="43" t="n"/>
      <c r="AL309" s="43" t="n"/>
      <c r="AM309" s="50" t="n">
        <v>0.1</v>
      </c>
      <c r="AN309" s="45">
        <f>IF(AJ309="","",AJ309*AM309)</f>
        <v/>
      </c>
      <c r="AO309" s="45">
        <f>IF(OR(AJ309="",U309=0),"",MIN(IF(AV309="",9.9E+99,AV309),FLOOR(AN309/U309,1)))</f>
        <v/>
      </c>
      <c r="AP309" s="49">
        <f>IF(AO309="","",AO309*W309)</f>
        <v/>
      </c>
      <c r="AQ309" s="47">
        <f>IF(OR(AJ309="",U309=0),"",MIN(IF(AV309="",9.9E+99,AV309),AN309/U309))</f>
        <v/>
      </c>
      <c r="AR309" s="49">
        <f>IF(AQ309="","",AQ309*W309)</f>
        <v/>
      </c>
      <c r="AS309" s="51" t="n"/>
      <c r="AT309" s="52" t="n"/>
      <c r="AU309" s="52" t="n"/>
      <c r="AV309" s="53" t="n"/>
      <c r="AW309" s="54">
        <f>IF(((V309*pax_cap*load_thin*ROUND(N309*O309*revleg_thin,0))-(((battery/range_nm)*G309*ROUND(N309*O309*revleg_thin,0)*VLOOKUP(B309,country_opex,3,FALSE))+Y309+Z309+AA309+AB309+AC309))&lt;=0,"",VLOOKUP(B309,country_opex,7,FALSE)/((V309*pax_cap*load_thin*ROUND(N309*O309*revleg_thin,0))-(((battery/range_nm)*G309*ROUND(N309*O309*revleg_thin,0)*VLOOKUP(B309,country_opex,3,FALSE))+Y309+Z309+AA309+AB309+AC309)))</f>
        <v/>
      </c>
      <c r="AX309" s="54">
        <f>IF(((V309*pax_cap*load_mid*ROUND(N309*O309*revleg_mid,0))-(((battery/range_nm)*G309*ROUND(N309*O309*revleg_mid,0)*VLOOKUP(B309,country_opex,3,FALSE))+Y309+Z309+AA309+AB309+AC309))&lt;=0,"",VLOOKUP(B309,country_opex,7,FALSE)/((V309*pax_cap*load_mid*ROUND(N309*O309*revleg_mid,0))-(((battery/range_nm)*G309*ROUND(N309*O309*revleg_mid,0)*VLOOKUP(B309,country_opex,3,FALSE))+Y309+Z309+AA309+AB309+AC309)))</f>
        <v/>
      </c>
      <c r="AY309" s="54">
        <f>IF(((V309*pax_cap*load_full*ROUND(N309*O309*revleg_full,0))-(((battery/range_nm)*G309*ROUND(N309*O309*revleg_full,0)*VLOOKUP(B309,country_opex,3,FALSE))+Y309+Z309+AA309+AB309+AC309))&lt;=0,"",VLOOKUP(B309,country_opex,7,FALSE)/((V309*pax_cap*load_full*ROUND(N309*O309*revleg_full,0))-(((battery/range_nm)*G309*ROUND(N309*O309*revleg_full,0)*VLOOKUP(B309,country_opex,3,FALSE))+Y309+Z309+AA309+AB309+AC309)))</f>
        <v/>
      </c>
      <c r="AZ309" s="40" t="n"/>
      <c r="BA309" s="40" t="n"/>
    </row>
    <row r="310">
      <c r="A310" s="38" t="inlineStr">
        <is>
          <t>Yango Morocco</t>
        </is>
      </c>
      <c r="B310" s="38" t="inlineStr">
        <is>
          <t>Morocco</t>
        </is>
      </c>
      <c r="C310" s="39" t="inlineStr">
        <is>
          <t>Tanger Med → Ceuta (Spanish enclave)</t>
        </is>
      </c>
      <c r="D310" s="38" t="inlineStr">
        <is>
          <t>yango</t>
        </is>
      </c>
      <c r="E310" s="40" t="inlineStr">
        <is>
          <t>yango-morocco</t>
        </is>
      </c>
      <c r="F310" s="41" t="n">
        <v>1</v>
      </c>
      <c r="G310" s="42" t="n">
        <v>22</v>
      </c>
      <c r="H310" s="35" t="n">
        <v>36</v>
      </c>
      <c r="I310" s="43" t="inlineStr">
        <is>
          <t>T2</t>
        </is>
      </c>
      <c r="J310" s="43" t="inlineStr">
        <is>
          <t>med</t>
        </is>
      </c>
      <c r="K310" s="29" t="n">
        <v>1</v>
      </c>
      <c r="L310" s="44">
        <f>60*G310/cruise_kt</f>
        <v/>
      </c>
      <c r="M310" s="44">
        <f>L310+turn_min+dwell_min</f>
        <v/>
      </c>
      <c r="N310" s="45">
        <f>MIN(10,FLOOR(60*service_hr/M310,1))</f>
        <v/>
      </c>
      <c r="O310" s="45">
        <f>ROUND(365*mech_uptime*K310,0)</f>
        <v/>
      </c>
      <c r="P310" s="46">
        <f>mech_uptime</f>
        <v/>
      </c>
      <c r="Q310" s="46">
        <f>revleg_sel</f>
        <v/>
      </c>
      <c r="R310" s="45">
        <f>ROUND(N310*O310*revleg_sel,0)</f>
        <v/>
      </c>
      <c r="S310" s="47">
        <f>load_sel</f>
        <v/>
      </c>
      <c r="T310" s="47">
        <f>pax_cap*S310</f>
        <v/>
      </c>
      <c r="U310" s="45">
        <f>T310*R310</f>
        <v/>
      </c>
      <c r="V310" s="48">
        <f>H310*discount</f>
        <v/>
      </c>
      <c r="W310" s="49">
        <f>V310*U310</f>
        <v/>
      </c>
      <c r="X310" s="49">
        <f>(battery/range_nm)*G310*R310*VLOOKUP(B310,country_opex,3,FALSE)</f>
        <v/>
      </c>
      <c r="Y310" s="49">
        <f>VLOOKUP(B310,country_opex,2,FALSE)*crew_factor</f>
        <v/>
      </c>
      <c r="Z310" s="49">
        <f>VLOOKUP(B310,country_opex,5,FALSE)</f>
        <v/>
      </c>
      <c r="AA310" s="49">
        <f>maint</f>
        <v/>
      </c>
      <c r="AB310" s="49">
        <f>VLOOKUP(B310,country_opex,7,FALSE)*ins_pct</f>
        <v/>
      </c>
      <c r="AC310" s="49">
        <f>charge_berth</f>
        <v/>
      </c>
      <c r="AD310" s="49">
        <f>X310+Y310+Z310+AA310+AB310+AC310</f>
        <v/>
      </c>
      <c r="AE310" s="49">
        <f>VLOOKUP(B310,country_opex,7,FALSE)/dep_years</f>
        <v/>
      </c>
      <c r="AF310" s="49">
        <f>W310-AD310</f>
        <v/>
      </c>
      <c r="AG310" s="46">
        <f>IF(W310=0,"",AF310/W310)</f>
        <v/>
      </c>
      <c r="AH310" s="47">
        <f>IF(AF310&lt;=0,"",VLOOKUP(B310,country_opex,7,FALSE)/AF310)</f>
        <v/>
      </c>
      <c r="AI310" s="44">
        <f>((G310*R310/diesel_nmpg)*diesel_co2pg-(battery/range_nm)*G310*R310*VLOOKUP(B310,country_opex,4,FALSE))/1000</f>
        <v/>
      </c>
      <c r="AJ310" s="42" t="n"/>
      <c r="AK310" s="43" t="n"/>
      <c r="AL310" s="43" t="n"/>
      <c r="AM310" s="50" t="n">
        <v>0.1</v>
      </c>
      <c r="AN310" s="45">
        <f>IF(AJ310="","",AJ310*AM310)</f>
        <v/>
      </c>
      <c r="AO310" s="45">
        <f>IF(OR(AJ310="",U310=0),"",MIN(IF(AV310="",9.9E+99,AV310),FLOOR(AN310/U310,1)))</f>
        <v/>
      </c>
      <c r="AP310" s="49">
        <f>IF(AO310="","",AO310*W310)</f>
        <v/>
      </c>
      <c r="AQ310" s="47">
        <f>IF(OR(AJ310="",U310=0),"",MIN(IF(AV310="",9.9E+99,AV310),AN310/U310))</f>
        <v/>
      </c>
      <c r="AR310" s="49">
        <f>IF(AQ310="","",AQ310*W310)</f>
        <v/>
      </c>
      <c r="AS310" s="51" t="n"/>
      <c r="AT310" s="52" t="n"/>
      <c r="AU310" s="52" t="n"/>
      <c r="AV310" s="53" t="n"/>
      <c r="AW310" s="54">
        <f>IF(((V310*pax_cap*load_thin*ROUND(N310*O310*revleg_thin,0))-(((battery/range_nm)*G310*ROUND(N310*O310*revleg_thin,0)*VLOOKUP(B310,country_opex,3,FALSE))+Y310+Z310+AA310+AB310+AC310))&lt;=0,"",VLOOKUP(B310,country_opex,7,FALSE)/((V310*pax_cap*load_thin*ROUND(N310*O310*revleg_thin,0))-(((battery/range_nm)*G310*ROUND(N310*O310*revleg_thin,0)*VLOOKUP(B310,country_opex,3,FALSE))+Y310+Z310+AA310+AB310+AC310)))</f>
        <v/>
      </c>
      <c r="AX310" s="54">
        <f>IF(((V310*pax_cap*load_mid*ROUND(N310*O310*revleg_mid,0))-(((battery/range_nm)*G310*ROUND(N310*O310*revleg_mid,0)*VLOOKUP(B310,country_opex,3,FALSE))+Y310+Z310+AA310+AB310+AC310))&lt;=0,"",VLOOKUP(B310,country_opex,7,FALSE)/((V310*pax_cap*load_mid*ROUND(N310*O310*revleg_mid,0))-(((battery/range_nm)*G310*ROUND(N310*O310*revleg_mid,0)*VLOOKUP(B310,country_opex,3,FALSE))+Y310+Z310+AA310+AB310+AC310)))</f>
        <v/>
      </c>
      <c r="AY310" s="54">
        <f>IF(((V310*pax_cap*load_full*ROUND(N310*O310*revleg_full,0))-(((battery/range_nm)*G310*ROUND(N310*O310*revleg_full,0)*VLOOKUP(B310,country_opex,3,FALSE))+Y310+Z310+AA310+AB310+AC310))&lt;=0,"",VLOOKUP(B310,country_opex,7,FALSE)/((V310*pax_cap*load_full*ROUND(N310*O310*revleg_full,0))-(((battery/range_nm)*G310*ROUND(N310*O310*revleg_full,0)*VLOOKUP(B310,country_opex,3,FALSE))+Y310+Z310+AA310+AB310+AC310)))</f>
        <v/>
      </c>
      <c r="AZ310" s="40" t="inlineStr">
        <is>
          <t>PREMIUM tier (nearest comparable = Algeciras&lt;-&gt;Ceuta fast ferry): avg foot-passenger fare ~EUR 33 x 1.08 ~= $36 (one-way ~EUR 25-35), 60 min fast ferry.</t>
        </is>
      </c>
      <c r="BA310" s="40" t="n"/>
    </row>
    <row r="311">
      <c r="A311" s="38" t="inlineStr">
        <is>
          <t>Yango Morocco</t>
        </is>
      </c>
      <c r="B311" s="38" t="inlineStr">
        <is>
          <t>Morocco</t>
        </is>
      </c>
      <c r="C311" s="39" t="inlineStr">
        <is>
          <t>Casablanca → Rabat</t>
        </is>
      </c>
      <c r="D311" s="38" t="inlineStr">
        <is>
          <t>yango</t>
        </is>
      </c>
      <c r="E311" s="40" t="inlineStr">
        <is>
          <t>yango-morocco</t>
        </is>
      </c>
      <c r="F311" s="41" t="n">
        <v>1</v>
      </c>
      <c r="G311" s="42" t="n">
        <v>46</v>
      </c>
      <c r="H311" s="35" t="n"/>
      <c r="I311" s="43" t="n"/>
      <c r="J311" s="43" t="n"/>
      <c r="K311" s="29" t="n">
        <v>1</v>
      </c>
      <c r="L311" s="44">
        <f>60*G311/cruise_kt</f>
        <v/>
      </c>
      <c r="M311" s="44">
        <f>L311+turn_min+dwell_min</f>
        <v/>
      </c>
      <c r="N311" s="45">
        <f>MIN(16,FLOOR(60*service_hr/M311,1))</f>
        <v/>
      </c>
      <c r="O311" s="45">
        <f>ROUND(365*mech_uptime*K311,0)</f>
        <v/>
      </c>
      <c r="P311" s="46">
        <f>mech_uptime</f>
        <v/>
      </c>
      <c r="Q311" s="46">
        <f>revleg_sel</f>
        <v/>
      </c>
      <c r="R311" s="45">
        <f>ROUND(N311*O311*revleg_sel,0)</f>
        <v/>
      </c>
      <c r="S311" s="47">
        <f>load_sel</f>
        <v/>
      </c>
      <c r="T311" s="47">
        <f>pax_cap*S311</f>
        <v/>
      </c>
      <c r="U311" s="45">
        <f>T311*R311</f>
        <v/>
      </c>
      <c r="V311" s="48">
        <f>H311*discount</f>
        <v/>
      </c>
      <c r="W311" s="49">
        <f>V311*U311</f>
        <v/>
      </c>
      <c r="X311" s="49">
        <f>(battery/range_nm)*G311*R311*VLOOKUP(B311,country_opex,3,FALSE)</f>
        <v/>
      </c>
      <c r="Y311" s="49">
        <f>VLOOKUP(B311,country_opex,2,FALSE)*crew_factor</f>
        <v/>
      </c>
      <c r="Z311" s="49">
        <f>VLOOKUP(B311,country_opex,5,FALSE)</f>
        <v/>
      </c>
      <c r="AA311" s="49">
        <f>maint</f>
        <v/>
      </c>
      <c r="AB311" s="49">
        <f>VLOOKUP(B311,country_opex,7,FALSE)*ins_pct</f>
        <v/>
      </c>
      <c r="AC311" s="49">
        <f>charge_berth</f>
        <v/>
      </c>
      <c r="AD311" s="49">
        <f>X311+Y311+Z311+AA311+AB311+AC311</f>
        <v/>
      </c>
      <c r="AE311" s="49">
        <f>VLOOKUP(B311,country_opex,7,FALSE)/dep_years</f>
        <v/>
      </c>
      <c r="AF311" s="49">
        <f>W311-AD311</f>
        <v/>
      </c>
      <c r="AG311" s="46">
        <f>IF(W311=0,"",AF311/W311)</f>
        <v/>
      </c>
      <c r="AH311" s="47">
        <f>IF(AF311&lt;=0,"",VLOOKUP(B311,country_opex,7,FALSE)/AF311)</f>
        <v/>
      </c>
      <c r="AI311" s="44">
        <f>((G311*R311/diesel_nmpg)*diesel_co2pg-(battery/range_nm)*G311*R311*VLOOKUP(B311,country_opex,4,FALSE))/1000</f>
        <v/>
      </c>
      <c r="AJ311" s="42" t="n">
        <v>165000</v>
      </c>
      <c r="AK311" s="43" t="n"/>
      <c r="AL311" s="43" t="n"/>
      <c r="AM311" s="50" t="n">
        <v>0.1</v>
      </c>
      <c r="AN311" s="45">
        <f>IF(AJ311="","",AJ311*AM311)</f>
        <v/>
      </c>
      <c r="AO311" s="45">
        <f>IF(OR(AJ311="",U311=0),"",MIN(IF(AV311="",9.9E+99,AV311),FLOOR(AN311/U311,1)))</f>
        <v/>
      </c>
      <c r="AP311" s="49">
        <f>IF(AO311="","",AO311*W311)</f>
        <v/>
      </c>
      <c r="AQ311" s="47">
        <f>IF(OR(AJ311="",U311=0),"",MIN(IF(AV311="",9.9E+99,AV311),AN311/U311))</f>
        <v/>
      </c>
      <c r="AR311" s="49">
        <f>IF(AQ311="","",AQ311*W311)</f>
        <v/>
      </c>
      <c r="AS311" s="51" t="n"/>
      <c r="AT311" s="52" t="n"/>
      <c r="AU311" s="52" t="n"/>
      <c r="AV311" s="53" t="n"/>
      <c r="AW311" s="54">
        <f>IF(((V311*pax_cap*load_thin*ROUND(N311*O311*revleg_thin,0))-(((battery/range_nm)*G311*ROUND(N311*O311*revleg_thin,0)*VLOOKUP(B311,country_opex,3,FALSE))+Y311+Z311+AA311+AB311+AC311))&lt;=0,"",VLOOKUP(B311,country_opex,7,FALSE)/((V311*pax_cap*load_thin*ROUND(N311*O311*revleg_thin,0))-(((battery/range_nm)*G311*ROUND(N311*O311*revleg_thin,0)*VLOOKUP(B311,country_opex,3,FALSE))+Y311+Z311+AA311+AB311+AC311)))</f>
        <v/>
      </c>
      <c r="AX311" s="54">
        <f>IF(((V311*pax_cap*load_mid*ROUND(N311*O311*revleg_mid,0))-(((battery/range_nm)*G311*ROUND(N311*O311*revleg_mid,0)*VLOOKUP(B311,country_opex,3,FALSE))+Y311+Z311+AA311+AB311+AC311))&lt;=0,"",VLOOKUP(B311,country_opex,7,FALSE)/((V311*pax_cap*load_mid*ROUND(N311*O311*revleg_mid,0))-(((battery/range_nm)*G311*ROUND(N311*O311*revleg_mid,0)*VLOOKUP(B311,country_opex,3,FALSE))+Y311+Z311+AA311+AB311+AC311)))</f>
        <v/>
      </c>
      <c r="AY311" s="54">
        <f>IF(((V311*pax_cap*load_full*ROUND(N311*O311*revleg_full,0))-(((battery/range_nm)*G311*ROUND(N311*O311*revleg_full,0)*VLOOKUP(B311,country_opex,3,FALSE))+Y311+Z311+AA311+AB311+AC311))&lt;=0,"",VLOOKUP(B311,country_opex,7,FALSE)/((V311*pax_cap*load_full*ROUND(N311*O311*revleg_full,0))-(((battery/range_nm)*G311*ROUND(N311*O311*revleg_full,0)*VLOOKUP(B311,country_opex,3,FALSE))+Y311+Z311+AA311+AB311+AC311)))</f>
        <v/>
      </c>
      <c r="AZ311" s="40" t="n"/>
      <c r="BA311" s="40" t="n"/>
    </row>
    <row r="312">
      <c r="A312" s="38" t="inlineStr">
        <is>
          <t>Yango Mozambique</t>
        </is>
      </c>
      <c r="B312" s="38" t="inlineStr">
        <is>
          <t>Mozambique</t>
        </is>
      </c>
      <c r="C312" s="39" t="inlineStr">
        <is>
          <t>Maputo → Catembe</t>
        </is>
      </c>
      <c r="D312" s="38" t="inlineStr">
        <is>
          <t>yango</t>
        </is>
      </c>
      <c r="E312" s="40" t="inlineStr">
        <is>
          <t>yango-mozambique</t>
        </is>
      </c>
      <c r="F312" s="41" t="n">
        <v>1</v>
      </c>
      <c r="G312" s="42" t="n">
        <v>1.5</v>
      </c>
      <c r="H312" s="35" t="n"/>
      <c r="I312" s="43" t="inlineStr">
        <is>
          <t>T5</t>
        </is>
      </c>
      <c r="J312" s="43" t="inlineStr">
        <is>
          <t>low</t>
        </is>
      </c>
      <c r="K312" s="29" t="n">
        <v>1</v>
      </c>
      <c r="L312" s="44">
        <f>60*G312/cruise_kt</f>
        <v/>
      </c>
      <c r="M312" s="44">
        <f>L312+turn_min+dwell_min</f>
        <v/>
      </c>
      <c r="N312" s="45">
        <f>MIN(16,FLOOR(60*service_hr/M312,1))</f>
        <v/>
      </c>
      <c r="O312" s="45">
        <f>ROUND(365*mech_uptime*K312,0)</f>
        <v/>
      </c>
      <c r="P312" s="46">
        <f>mech_uptime</f>
        <v/>
      </c>
      <c r="Q312" s="46">
        <f>revleg_sel</f>
        <v/>
      </c>
      <c r="R312" s="45">
        <f>ROUND(N312*O312*revleg_sel,0)</f>
        <v/>
      </c>
      <c r="S312" s="47">
        <f>load_sel</f>
        <v/>
      </c>
      <c r="T312" s="47">
        <f>pax_cap*S312</f>
        <v/>
      </c>
      <c r="U312" s="45">
        <f>T312*R312</f>
        <v/>
      </c>
      <c r="V312" s="48">
        <f>H312*discount</f>
        <v/>
      </c>
      <c r="W312" s="49">
        <f>V312*U312</f>
        <v/>
      </c>
      <c r="X312" s="49">
        <f>(battery/range_nm)*G312*R312*VLOOKUP(B312,country_opex,3,FALSE)</f>
        <v/>
      </c>
      <c r="Y312" s="49">
        <f>VLOOKUP(B312,country_opex,2,FALSE)*crew_factor</f>
        <v/>
      </c>
      <c r="Z312" s="49">
        <f>VLOOKUP(B312,country_opex,5,FALSE)</f>
        <v/>
      </c>
      <c r="AA312" s="49">
        <f>maint</f>
        <v/>
      </c>
      <c r="AB312" s="49">
        <f>VLOOKUP(B312,country_opex,7,FALSE)*ins_pct</f>
        <v/>
      </c>
      <c r="AC312" s="49">
        <f>charge_berth</f>
        <v/>
      </c>
      <c r="AD312" s="49">
        <f>X312+Y312+Z312+AA312+AB312+AC312</f>
        <v/>
      </c>
      <c r="AE312" s="49">
        <f>VLOOKUP(B312,country_opex,7,FALSE)/dep_years</f>
        <v/>
      </c>
      <c r="AF312" s="49">
        <f>W312-AD312</f>
        <v/>
      </c>
      <c r="AG312" s="46">
        <f>IF(W312=0,"",AF312/W312)</f>
        <v/>
      </c>
      <c r="AH312" s="47">
        <f>IF(AF312&lt;=0,"",VLOOKUP(B312,country_opex,7,FALSE)/AF312)</f>
        <v/>
      </c>
      <c r="AI312" s="44">
        <f>((G312*R312/diesel_nmpg)*diesel_co2pg-(battery/range_nm)*G312*R312*VLOOKUP(B312,country_opex,4,FALSE))/1000</f>
        <v/>
      </c>
      <c r="AJ312" s="42" t="n">
        <v>60000</v>
      </c>
      <c r="AK312" s="43" t="n"/>
      <c r="AL312" s="43" t="n"/>
      <c r="AM312" s="50" t="n">
        <v>0.1</v>
      </c>
      <c r="AN312" s="45">
        <f>IF(AJ312="","",AJ312*AM312)</f>
        <v/>
      </c>
      <c r="AO312" s="45">
        <f>IF(OR(AJ312="",U312=0),"",MIN(IF(AV312="",9.9E+99,AV312),FLOOR(AN312/U312,1)))</f>
        <v/>
      </c>
      <c r="AP312" s="49">
        <f>IF(AO312="","",AO312*W312)</f>
        <v/>
      </c>
      <c r="AQ312" s="47">
        <f>IF(OR(AJ312="",U312=0),"",MIN(IF(AV312="",9.9E+99,AV312),AN312/U312))</f>
        <v/>
      </c>
      <c r="AR312" s="49">
        <f>IF(AQ312="","",AQ312*W312)</f>
        <v/>
      </c>
      <c r="AS312" s="51" t="n"/>
      <c r="AT312" s="52" t="n"/>
      <c r="AU312" s="52" t="n"/>
      <c r="AV312" s="53" t="n"/>
      <c r="AW312" s="54">
        <f>IF(((V312*pax_cap*load_thin*ROUND(N312*O312*revleg_thin,0))-(((battery/range_nm)*G312*ROUND(N312*O312*revleg_thin,0)*VLOOKUP(B312,country_opex,3,FALSE))+Y312+Z312+AA312+AB312+AC312))&lt;=0,"",VLOOKUP(B312,country_opex,7,FALSE)/((V312*pax_cap*load_thin*ROUND(N312*O312*revleg_thin,0))-(((battery/range_nm)*G312*ROUND(N312*O312*revleg_thin,0)*VLOOKUP(B312,country_opex,3,FALSE))+Y312+Z312+AA312+AB312+AC312)))</f>
        <v/>
      </c>
      <c r="AX312" s="54">
        <f>IF(((V312*pax_cap*load_mid*ROUND(N312*O312*revleg_mid,0))-(((battery/range_nm)*G312*ROUND(N312*O312*revleg_mid,0)*VLOOKUP(B312,country_opex,3,FALSE))+Y312+Z312+AA312+AB312+AC312))&lt;=0,"",VLOOKUP(B312,country_opex,7,FALSE)/((V312*pax_cap*load_mid*ROUND(N312*O312*revleg_mid,0))-(((battery/range_nm)*G312*ROUND(N312*O312*revleg_mid,0)*VLOOKUP(B312,country_opex,3,FALSE))+Y312+Z312+AA312+AB312+AC312)))</f>
        <v/>
      </c>
      <c r="AY312" s="54">
        <f>IF(((V312*pax_cap*load_full*ROUND(N312*O312*revleg_full,0))-(((battery/range_nm)*G312*ROUND(N312*O312*revleg_full,0)*VLOOKUP(B312,country_opex,3,FALSE))+Y312+Z312+AA312+AB312+AC312))&lt;=0,"",VLOOKUP(B312,country_opex,7,FALSE)/((V312*pax_cap*load_full*ROUND(N312*O312*revleg_full,0))-(((battery/range_nm)*G312*ROUND(N312*O312*revleg_full,0)*VLOOKUP(B312,country_opex,3,FALSE))+Y312+Z312+AA312+AB312+AC312)))</f>
        <v/>
      </c>
      <c r="AZ312" s="40" t="inlineStr">
        <is>
          <t>TBD — Tier-B headline placeholder</t>
        </is>
      </c>
      <c r="BA312" s="40" t="n"/>
    </row>
    <row r="313">
      <c r="A313" s="38" t="inlineStr">
        <is>
          <t>Yango Mozambique</t>
        </is>
      </c>
      <c r="B313" s="38" t="inlineStr">
        <is>
          <t>Mozambique</t>
        </is>
      </c>
      <c r="C313" s="39" t="inlineStr">
        <is>
          <t>Inhambane (Inhambane city ferry pier) → Maxixe (Maxixe town jetty)</t>
        </is>
      </c>
      <c r="D313" s="38" t="inlineStr">
        <is>
          <t>yango</t>
        </is>
      </c>
      <c r="E313" s="40" t="inlineStr">
        <is>
          <t>yango-mozambique</t>
        </is>
      </c>
      <c r="F313" s="41" t="n">
        <v>1</v>
      </c>
      <c r="G313" s="42" t="n">
        <v>2.5</v>
      </c>
      <c r="H313" s="35" t="n">
        <v>18</v>
      </c>
      <c r="I313" s="43" t="inlineStr">
        <is>
          <t>T2</t>
        </is>
      </c>
      <c r="J313" s="43" t="inlineStr">
        <is>
          <t>med</t>
        </is>
      </c>
      <c r="K313" s="29" t="n">
        <v>1</v>
      </c>
      <c r="L313" s="44">
        <f>60*G313/cruise_kt</f>
        <v/>
      </c>
      <c r="M313" s="44">
        <f>L313+turn_min+dwell_min</f>
        <v/>
      </c>
      <c r="N313" s="45">
        <f>MIN(16,FLOOR(60*service_hr/M313,1))</f>
        <v/>
      </c>
      <c r="O313" s="45">
        <f>ROUND(365*mech_uptime*K313,0)</f>
        <v/>
      </c>
      <c r="P313" s="46">
        <f>mech_uptime</f>
        <v/>
      </c>
      <c r="Q313" s="46">
        <f>revleg_sel</f>
        <v/>
      </c>
      <c r="R313" s="45">
        <f>ROUND(N313*O313*revleg_sel,0)</f>
        <v/>
      </c>
      <c r="S313" s="47">
        <f>load_sel</f>
        <v/>
      </c>
      <c r="T313" s="47">
        <f>pax_cap*S313</f>
        <v/>
      </c>
      <c r="U313" s="45">
        <f>T313*R313</f>
        <v/>
      </c>
      <c r="V313" s="48">
        <f>H313*discount</f>
        <v/>
      </c>
      <c r="W313" s="49">
        <f>V313*U313</f>
        <v/>
      </c>
      <c r="X313" s="49">
        <f>(battery/range_nm)*G313*R313*VLOOKUP(B313,country_opex,3,FALSE)</f>
        <v/>
      </c>
      <c r="Y313" s="49">
        <f>VLOOKUP(B313,country_opex,2,FALSE)*crew_factor</f>
        <v/>
      </c>
      <c r="Z313" s="49">
        <f>VLOOKUP(B313,country_opex,5,FALSE)</f>
        <v/>
      </c>
      <c r="AA313" s="49">
        <f>maint</f>
        <v/>
      </c>
      <c r="AB313" s="49">
        <f>VLOOKUP(B313,country_opex,7,FALSE)*ins_pct</f>
        <v/>
      </c>
      <c r="AC313" s="49">
        <f>charge_berth</f>
        <v/>
      </c>
      <c r="AD313" s="49">
        <f>X313+Y313+Z313+AA313+AB313+AC313</f>
        <v/>
      </c>
      <c r="AE313" s="49">
        <f>VLOOKUP(B313,country_opex,7,FALSE)/dep_years</f>
        <v/>
      </c>
      <c r="AF313" s="49">
        <f>W313-AD313</f>
        <v/>
      </c>
      <c r="AG313" s="46">
        <f>IF(W313=0,"",AF313/W313)</f>
        <v/>
      </c>
      <c r="AH313" s="47">
        <f>IF(AF313&lt;=0,"",VLOOKUP(B313,country_opex,7,FALSE)/AF313)</f>
        <v/>
      </c>
      <c r="AI313" s="44">
        <f>((G313*R313/diesel_nmpg)*diesel_co2pg-(battery/range_nm)*G313*R313*VLOOKUP(B313,country_opex,4,FALSE))/1000</f>
        <v/>
      </c>
      <c r="AJ313" s="42" t="n">
        <v>36500</v>
      </c>
      <c r="AK313" s="43" t="n"/>
      <c r="AL313" s="43" t="inlineStr">
        <is>
          <t>med</t>
        </is>
      </c>
      <c r="AM313" s="50" t="n">
        <v>0.25</v>
      </c>
      <c r="AN313" s="45">
        <f>IF(AJ313="","",AJ313*AM313)</f>
        <v/>
      </c>
      <c r="AO313" s="45">
        <f>IF(OR(AJ313="",U313=0),"",MIN(IF(AV313="",9.9E+99,AV313),FLOOR(AN313/U313,1)))</f>
        <v/>
      </c>
      <c r="AP313" s="49">
        <f>IF(AO313="","",AO313*W313)</f>
        <v/>
      </c>
      <c r="AQ313" s="47">
        <f>IF(OR(AJ313="",U313=0),"",MIN(IF(AV313="",9.9E+99,AV313),AN313/U313))</f>
        <v/>
      </c>
      <c r="AR313" s="49">
        <f>IF(AQ313="","",AQ313*W313)</f>
        <v/>
      </c>
      <c r="AS313" s="51" t="n"/>
      <c r="AT313" s="52" t="n"/>
      <c r="AU313" s="52" t="n"/>
      <c r="AV313" s="53" t="n"/>
      <c r="AW313" s="54">
        <f>IF(((V313*pax_cap*load_thin*ROUND(N313*O313*revleg_thin,0))-(((battery/range_nm)*G313*ROUND(N313*O313*revleg_thin,0)*VLOOKUP(B313,country_opex,3,FALSE))+Y313+Z313+AA313+AB313+AC313))&lt;=0,"",VLOOKUP(B313,country_opex,7,FALSE)/((V313*pax_cap*load_thin*ROUND(N313*O313*revleg_thin,0))-(((battery/range_nm)*G313*ROUND(N313*O313*revleg_thin,0)*VLOOKUP(B313,country_opex,3,FALSE))+Y313+Z313+AA313+AB313+AC313)))</f>
        <v/>
      </c>
      <c r="AX313" s="54">
        <f>IF(((V313*pax_cap*load_mid*ROUND(N313*O313*revleg_mid,0))-(((battery/range_nm)*G313*ROUND(N313*O313*revleg_mid,0)*VLOOKUP(B313,country_opex,3,FALSE))+Y313+Z313+AA313+AB313+AC313))&lt;=0,"",VLOOKUP(B313,country_opex,7,FALSE)/((V313*pax_cap*load_mid*ROUND(N313*O313*revleg_mid,0))-(((battery/range_nm)*G313*ROUND(N313*O313*revleg_mid,0)*VLOOKUP(B313,country_opex,3,FALSE))+Y313+Z313+AA313+AB313+AC313)))</f>
        <v/>
      </c>
      <c r="AY313" s="54">
        <f>IF(((V313*pax_cap*load_full*ROUND(N313*O313*revleg_full,0))-(((battery/range_nm)*G313*ROUND(N313*O313*revleg_full,0)*VLOOKUP(B313,country_opex,3,FALSE))+Y313+Z313+AA313+AB313+AC313))&lt;=0,"",VLOOKUP(B313,country_opex,7,FALSE)/((V313*pax_cap*load_full*ROUND(N313*O313*revleg_full,0))-(((battery/range_nm)*G313*ROUND(N313*O313*revleg_full,0)*VLOOKUP(B313,country_opex,3,FALSE))+Y313+Z313+AA313+AB313+AC313)))</f>
        <v/>
      </c>
      <c r="AZ313" s="40" t="inlineStr">
        <is>
          <t>[LB-255 PREMIUM RE-FARE: subsidized comparable $0.24 lifted to premium on-demand floor $18.0] Essentially a single low commuter fare: 15 MZN one-way (~$0.24, Tripadvisor 2026). There is NO meaningful premium tier on this crossing (commuter ferry/dhow), so $0.24 doubles as both anchor and floor. (The 625/850 MZN 'business/tourist' tiers sometimes quoted near this route belong to the separate Maputo&lt;-&gt;Inhaca Transmaritima service, not the Maxixe crossing.)</t>
        </is>
      </c>
      <c r="BA313" s="40" t="n"/>
    </row>
    <row r="314">
      <c r="A314" s="38" t="inlineStr">
        <is>
          <t>Yango Mozambique</t>
        </is>
      </c>
      <c r="B314" s="38" t="inlineStr">
        <is>
          <t>Mozambique</t>
        </is>
      </c>
      <c r="C314" s="39" t="inlineStr">
        <is>
          <t>Vilankulo (Vilanculos beachfront / boat departure) → Bazaruto Archipelago National Park (Bazaruto / Benguerra / Magaruque islands)</t>
        </is>
      </c>
      <c r="D314" s="38" t="inlineStr">
        <is>
          <t>yango</t>
        </is>
      </c>
      <c r="E314" s="40" t="inlineStr">
        <is>
          <t>yango-mozambique</t>
        </is>
      </c>
      <c r="F314" s="41" t="n">
        <v>1</v>
      </c>
      <c r="G314" s="42" t="n">
        <v>16</v>
      </c>
      <c r="H314" s="35" t="n">
        <v>100</v>
      </c>
      <c r="I314" s="43" t="inlineStr">
        <is>
          <t>T2</t>
        </is>
      </c>
      <c r="J314" s="43" t="inlineStr">
        <is>
          <t>med</t>
        </is>
      </c>
      <c r="K314" s="29" t="n">
        <v>1</v>
      </c>
      <c r="L314" s="44">
        <f>60*G314/cruise_kt</f>
        <v/>
      </c>
      <c r="M314" s="44">
        <f>L314+turn_min+dwell_min</f>
        <v/>
      </c>
      <c r="N314" s="45">
        <f>MIN(10,FLOOR(60*service_hr/M314,1))</f>
        <v/>
      </c>
      <c r="O314" s="45">
        <f>ROUND(365*mech_uptime*K314,0)</f>
        <v/>
      </c>
      <c r="P314" s="46">
        <f>mech_uptime</f>
        <v/>
      </c>
      <c r="Q314" s="46">
        <f>revleg_sel</f>
        <v/>
      </c>
      <c r="R314" s="45">
        <f>ROUND(N314*O314*revleg_sel,0)</f>
        <v/>
      </c>
      <c r="S314" s="47">
        <f>load_sel</f>
        <v/>
      </c>
      <c r="T314" s="47">
        <f>pax_cap*S314</f>
        <v/>
      </c>
      <c r="U314" s="45">
        <f>T314*R314</f>
        <v/>
      </c>
      <c r="V314" s="48">
        <f>H314*discount</f>
        <v/>
      </c>
      <c r="W314" s="49">
        <f>V314*U314</f>
        <v/>
      </c>
      <c r="X314" s="49">
        <f>(battery/range_nm)*G314*R314*VLOOKUP(B314,country_opex,3,FALSE)</f>
        <v/>
      </c>
      <c r="Y314" s="49">
        <f>VLOOKUP(B314,country_opex,2,FALSE)*crew_factor</f>
        <v/>
      </c>
      <c r="Z314" s="49">
        <f>VLOOKUP(B314,country_opex,5,FALSE)</f>
        <v/>
      </c>
      <c r="AA314" s="49">
        <f>maint</f>
        <v/>
      </c>
      <c r="AB314" s="49">
        <f>VLOOKUP(B314,country_opex,7,FALSE)*ins_pct</f>
        <v/>
      </c>
      <c r="AC314" s="49">
        <f>charge_berth</f>
        <v/>
      </c>
      <c r="AD314" s="49">
        <f>X314+Y314+Z314+AA314+AB314+AC314</f>
        <v/>
      </c>
      <c r="AE314" s="49">
        <f>VLOOKUP(B314,country_opex,7,FALSE)/dep_years</f>
        <v/>
      </c>
      <c r="AF314" s="49">
        <f>W314-AD314</f>
        <v/>
      </c>
      <c r="AG314" s="46">
        <f>IF(W314=0,"",AF314/W314)</f>
        <v/>
      </c>
      <c r="AH314" s="47">
        <f>IF(AF314&lt;=0,"",VLOOKUP(B314,country_opex,7,FALSE)/AF314)</f>
        <v/>
      </c>
      <c r="AI314" s="44">
        <f>((G314*R314/diesel_nmpg)*diesel_co2pg-(battery/range_nm)*G314*R314*VLOOKUP(B314,country_opex,4,FALSE))/1000</f>
        <v/>
      </c>
      <c r="AJ314" s="42" t="n">
        <v>30000</v>
      </c>
      <c r="AK314" s="43" t="n"/>
      <c r="AL314" s="43" t="n"/>
      <c r="AM314" s="50" t="n">
        <v>0.1</v>
      </c>
      <c r="AN314" s="45">
        <f>IF(AJ314="","",AJ314*AM314)</f>
        <v/>
      </c>
      <c r="AO314" s="45">
        <f>IF(OR(AJ314="",U314=0),"",MIN(IF(AV314="",9.9E+99,AV314),FLOOR(AN314/U314,1)))</f>
        <v/>
      </c>
      <c r="AP314" s="49">
        <f>IF(AO314="","",AO314*W314)</f>
        <v/>
      </c>
      <c r="AQ314" s="47">
        <f>IF(OR(AJ314="",U314=0),"",MIN(IF(AV314="",9.9E+99,AV314),AN314/U314))</f>
        <v/>
      </c>
      <c r="AR314" s="49">
        <f>IF(AQ314="","",AQ314*W314)</f>
        <v/>
      </c>
      <c r="AS314" s="51" t="n"/>
      <c r="AT314" s="52" t="n"/>
      <c r="AU314" s="52" t="n"/>
      <c r="AV314" s="53" t="n"/>
      <c r="AW314" s="54">
        <f>IF(((V314*pax_cap*load_thin*ROUND(N314*O314*revleg_thin,0))-(((battery/range_nm)*G314*ROUND(N314*O314*revleg_thin,0)*VLOOKUP(B314,country_opex,3,FALSE))+Y314+Z314+AA314+AB314+AC314))&lt;=0,"",VLOOKUP(B314,country_opex,7,FALSE)/((V314*pax_cap*load_thin*ROUND(N314*O314*revleg_thin,0))-(((battery/range_nm)*G314*ROUND(N314*O314*revleg_thin,0)*VLOOKUP(B314,country_opex,3,FALSE))+Y314+Z314+AA314+AB314+AC314)))</f>
        <v/>
      </c>
      <c r="AX314" s="54">
        <f>IF(((V314*pax_cap*load_mid*ROUND(N314*O314*revleg_mid,0))-(((battery/range_nm)*G314*ROUND(N314*O314*revleg_mid,0)*VLOOKUP(B314,country_opex,3,FALSE))+Y314+Z314+AA314+AB314+AC314))&lt;=0,"",VLOOKUP(B314,country_opex,7,FALSE)/((V314*pax_cap*load_mid*ROUND(N314*O314*revleg_mid,0))-(((battery/range_nm)*G314*ROUND(N314*O314*revleg_mid,0)*VLOOKUP(B314,country_opex,3,FALSE))+Y314+Z314+AA314+AB314+AC314)))</f>
        <v/>
      </c>
      <c r="AY314" s="54">
        <f>IF(((V314*pax_cap*load_full*ROUND(N314*O314*revleg_full,0))-(((battery/range_nm)*G314*ROUND(N314*O314*revleg_full,0)*VLOOKUP(B314,country_opex,3,FALSE))+Y314+Z314+AA314+AB314+AC314))&lt;=0,"",VLOOKUP(B314,country_opex,7,FALSE)/((V314*pax_cap*load_full*ROUND(N314*O314*revleg_full,0))-(((battery/range_nm)*G314*ROUND(N314*O314*revleg_full,0)*VLOOKUP(B314,country_opex,3,FALSE))+Y314+Z314+AA314+AB314+AC314)))</f>
        <v/>
      </c>
      <c r="AZ314" s="40" t="inlineStr">
        <is>
          <t>PREMIUM tier: full-day dhow/boat safari Vilankulo-&gt;Bazaruto ~$100-125/person (Sailaway Dhow Safaris $100; Vilanculos Beach Lodge $125), excl. park entry fee ($10/person + $5/boat). Charter-divided per-seat. Tripadvisor day trip ~$80/person.</t>
        </is>
      </c>
      <c r="BA314" s="40" t="n"/>
    </row>
    <row r="315">
      <c r="A315" s="38" t="inlineStr">
        <is>
          <t>Yango Mozambique</t>
        </is>
      </c>
      <c r="B315" s="38" t="inlineStr">
        <is>
          <t>Mozambique</t>
        </is>
      </c>
      <c r="C315" s="39" t="inlineStr">
        <is>
          <t>Maputo (Porto de Maputo / Catembe pier) → Ilha dos Portugueses (Portuguese Island) / Santa Maria</t>
        </is>
      </c>
      <c r="D315" s="38" t="inlineStr">
        <is>
          <t>yango</t>
        </is>
      </c>
      <c r="E315" s="40" t="inlineStr">
        <is>
          <t>yango-mozambique</t>
        </is>
      </c>
      <c r="F315" s="41" t="n">
        <v>1</v>
      </c>
      <c r="G315" s="42" t="n">
        <v>20</v>
      </c>
      <c r="H315" s="35" t="n">
        <v>110</v>
      </c>
      <c r="I315" s="43" t="inlineStr">
        <is>
          <t>T2</t>
        </is>
      </c>
      <c r="J315" s="43" t="inlineStr">
        <is>
          <t>med</t>
        </is>
      </c>
      <c r="K315" s="29" t="n">
        <v>1</v>
      </c>
      <c r="L315" s="44">
        <f>60*G315/cruise_kt</f>
        <v/>
      </c>
      <c r="M315" s="44">
        <f>L315+turn_min+dwell_min</f>
        <v/>
      </c>
      <c r="N315" s="45">
        <f>MIN(10,FLOOR(60*service_hr/M315,1))</f>
        <v/>
      </c>
      <c r="O315" s="45">
        <f>ROUND(365*mech_uptime*K315,0)</f>
        <v/>
      </c>
      <c r="P315" s="46">
        <f>mech_uptime</f>
        <v/>
      </c>
      <c r="Q315" s="46">
        <f>revleg_sel</f>
        <v/>
      </c>
      <c r="R315" s="45">
        <f>ROUND(N315*O315*revleg_sel,0)</f>
        <v/>
      </c>
      <c r="S315" s="47">
        <f>load_sel</f>
        <v/>
      </c>
      <c r="T315" s="47">
        <f>pax_cap*S315</f>
        <v/>
      </c>
      <c r="U315" s="45">
        <f>T315*R315</f>
        <v/>
      </c>
      <c r="V315" s="48">
        <f>H315*discount</f>
        <v/>
      </c>
      <c r="W315" s="49">
        <f>V315*U315</f>
        <v/>
      </c>
      <c r="X315" s="49">
        <f>(battery/range_nm)*G315*R315*VLOOKUP(B315,country_opex,3,FALSE)</f>
        <v/>
      </c>
      <c r="Y315" s="49">
        <f>VLOOKUP(B315,country_opex,2,FALSE)*crew_factor</f>
        <v/>
      </c>
      <c r="Z315" s="49">
        <f>VLOOKUP(B315,country_opex,5,FALSE)</f>
        <v/>
      </c>
      <c r="AA315" s="49">
        <f>maint</f>
        <v/>
      </c>
      <c r="AB315" s="49">
        <f>VLOOKUP(B315,country_opex,7,FALSE)*ins_pct</f>
        <v/>
      </c>
      <c r="AC315" s="49">
        <f>charge_berth</f>
        <v/>
      </c>
      <c r="AD315" s="49">
        <f>X315+Y315+Z315+AA315+AB315+AC315</f>
        <v/>
      </c>
      <c r="AE315" s="49">
        <f>VLOOKUP(B315,country_opex,7,FALSE)/dep_years</f>
        <v/>
      </c>
      <c r="AF315" s="49">
        <f>W315-AD315</f>
        <v/>
      </c>
      <c r="AG315" s="46">
        <f>IF(W315=0,"",AF315/W315)</f>
        <v/>
      </c>
      <c r="AH315" s="47">
        <f>IF(AF315&lt;=0,"",VLOOKUP(B315,country_opex,7,FALSE)/AF315)</f>
        <v/>
      </c>
      <c r="AI315" s="44">
        <f>((G315*R315/diesel_nmpg)*diesel_co2pg-(battery/range_nm)*G315*R315*VLOOKUP(B315,country_opex,4,FALSE))/1000</f>
        <v/>
      </c>
      <c r="AJ315" s="42" t="n"/>
      <c r="AK315" s="43" t="n"/>
      <c r="AL315" s="43" t="n"/>
      <c r="AM315" s="50" t="n">
        <v>0.1</v>
      </c>
      <c r="AN315" s="45">
        <f>IF(AJ315="","",AJ315*AM315)</f>
        <v/>
      </c>
      <c r="AO315" s="45">
        <f>IF(OR(AJ315="",U315=0),"",MIN(IF(AV315="",9.9E+99,AV315),FLOOR(AN315/U315,1)))</f>
        <v/>
      </c>
      <c r="AP315" s="49">
        <f>IF(AO315="","",AO315*W315)</f>
        <v/>
      </c>
      <c r="AQ315" s="47">
        <f>IF(OR(AJ315="",U315=0),"",MIN(IF(AV315="",9.9E+99,AV315),AN315/U315))</f>
        <v/>
      </c>
      <c r="AR315" s="49">
        <f>IF(AQ315="","",AQ315*W315)</f>
        <v/>
      </c>
      <c r="AS315" s="51" t="n"/>
      <c r="AT315" s="52" t="n"/>
      <c r="AU315" s="52" t="n"/>
      <c r="AV315" s="53" t="n"/>
      <c r="AW315" s="54">
        <f>IF(((V315*pax_cap*load_thin*ROUND(N315*O315*revleg_thin,0))-(((battery/range_nm)*G315*ROUND(N315*O315*revleg_thin,0)*VLOOKUP(B315,country_opex,3,FALSE))+Y315+Z315+AA315+AB315+AC315))&lt;=0,"",VLOOKUP(B315,country_opex,7,FALSE)/((V315*pax_cap*load_thin*ROUND(N315*O315*revleg_thin,0))-(((battery/range_nm)*G315*ROUND(N315*O315*revleg_thin,0)*VLOOKUP(B315,country_opex,3,FALSE))+Y315+Z315+AA315+AB315+AC315)))</f>
        <v/>
      </c>
      <c r="AX315" s="54">
        <f>IF(((V315*pax_cap*load_mid*ROUND(N315*O315*revleg_mid,0))-(((battery/range_nm)*G315*ROUND(N315*O315*revleg_mid,0)*VLOOKUP(B315,country_opex,3,FALSE))+Y315+Z315+AA315+AB315+AC315))&lt;=0,"",VLOOKUP(B315,country_opex,7,FALSE)/((V315*pax_cap*load_mid*ROUND(N315*O315*revleg_mid,0))-(((battery/range_nm)*G315*ROUND(N315*O315*revleg_mid,0)*VLOOKUP(B315,country_opex,3,FALSE))+Y315+Z315+AA315+AB315+AC315)))</f>
        <v/>
      </c>
      <c r="AY315" s="54">
        <f>IF(((V315*pax_cap*load_full*ROUND(N315*O315*revleg_full,0))-(((battery/range_nm)*G315*ROUND(N315*O315*revleg_full,0)*VLOOKUP(B315,country_opex,3,FALSE))+Y315+Z315+AA315+AB315+AC315))&lt;=0,"",VLOOKUP(B315,country_opex,7,FALSE)/((V315*pax_cap*load_full*ROUND(N315*O315*revleg_full,0))-(((battery/range_nm)*G315*ROUND(N315*O315*revleg_full,0)*VLOOKUP(B315,country_opex,3,FALSE))+Y315+Z315+AA315+AB315+AC315)))</f>
        <v/>
      </c>
      <c r="AZ315" s="40" t="inlineStr">
        <is>
          <t>PREMIUM tier: full-day boat excursion Maputo-&gt;Santa Maria/Portuguese Island ~$110/person (GetYourGuide); private/luxury full-day tours up to $250/person. Charter-divided day-trip per-seat. (Scheduled tourist ferry tier ~1,360 MZN (~$21.4) per leg also reported, with executive 1,000 / economy 560 MZN - flagged as alternative scheduled tier.)</t>
        </is>
      </c>
      <c r="BA315" s="40" t="n"/>
    </row>
    <row r="316">
      <c r="A316" s="38" t="inlineStr">
        <is>
          <t>Yango Mozambique</t>
        </is>
      </c>
      <c r="B316" s="38" t="inlineStr">
        <is>
          <t>Mozambique</t>
        </is>
      </c>
      <c r="C316" s="39" t="inlineStr">
        <is>
          <t>Maputo (Porto de Maputo / Catembe pier) → Inhaca Island (KaNyaka)</t>
        </is>
      </c>
      <c r="D316" s="38" t="inlineStr">
        <is>
          <t>yango</t>
        </is>
      </c>
      <c r="E316" s="40" t="inlineStr">
        <is>
          <t>yango-mozambique</t>
        </is>
      </c>
      <c r="F316" s="41" t="n">
        <v>1</v>
      </c>
      <c r="G316" s="42" t="n">
        <v>22</v>
      </c>
      <c r="H316" s="35" t="n">
        <v>36</v>
      </c>
      <c r="I316" s="43" t="inlineStr">
        <is>
          <t>T2</t>
        </is>
      </c>
      <c r="J316" s="43" t="inlineStr">
        <is>
          <t>med</t>
        </is>
      </c>
      <c r="K316" s="29" t="n">
        <v>1</v>
      </c>
      <c r="L316" s="44">
        <f>60*G316/cruise_kt</f>
        <v/>
      </c>
      <c r="M316" s="44">
        <f>L316+turn_min+dwell_min</f>
        <v/>
      </c>
      <c r="N316" s="45">
        <f>MIN(10,FLOOR(60*service_hr/M316,1))</f>
        <v/>
      </c>
      <c r="O316" s="45">
        <f>ROUND(365*mech_uptime*K316,0)</f>
        <v/>
      </c>
      <c r="P316" s="46">
        <f>mech_uptime</f>
        <v/>
      </c>
      <c r="Q316" s="46">
        <f>revleg_sel</f>
        <v/>
      </c>
      <c r="R316" s="45">
        <f>ROUND(N316*O316*revleg_sel,0)</f>
        <v/>
      </c>
      <c r="S316" s="47">
        <f>load_sel</f>
        <v/>
      </c>
      <c r="T316" s="47">
        <f>pax_cap*S316</f>
        <v/>
      </c>
      <c r="U316" s="45">
        <f>T316*R316</f>
        <v/>
      </c>
      <c r="V316" s="48">
        <f>H316*discount</f>
        <v/>
      </c>
      <c r="W316" s="49">
        <f>V316*U316</f>
        <v/>
      </c>
      <c r="X316" s="49">
        <f>(battery/range_nm)*G316*R316*VLOOKUP(B316,country_opex,3,FALSE)</f>
        <v/>
      </c>
      <c r="Y316" s="49">
        <f>VLOOKUP(B316,country_opex,2,FALSE)*crew_factor</f>
        <v/>
      </c>
      <c r="Z316" s="49">
        <f>VLOOKUP(B316,country_opex,5,FALSE)</f>
        <v/>
      </c>
      <c r="AA316" s="49">
        <f>maint</f>
        <v/>
      </c>
      <c r="AB316" s="49">
        <f>VLOOKUP(B316,country_opex,7,FALSE)*ins_pct</f>
        <v/>
      </c>
      <c r="AC316" s="49">
        <f>charge_berth</f>
        <v/>
      </c>
      <c r="AD316" s="49">
        <f>X316+Y316+Z316+AA316+AB316+AC316</f>
        <v/>
      </c>
      <c r="AE316" s="49">
        <f>VLOOKUP(B316,country_opex,7,FALSE)/dep_years</f>
        <v/>
      </c>
      <c r="AF316" s="49">
        <f>W316-AD316</f>
        <v/>
      </c>
      <c r="AG316" s="46">
        <f>IF(W316=0,"",AF316/W316)</f>
        <v/>
      </c>
      <c r="AH316" s="47">
        <f>IF(AF316&lt;=0,"",VLOOKUP(B316,country_opex,7,FALSE)/AF316)</f>
        <v/>
      </c>
      <c r="AI316" s="44">
        <f>((G316*R316/diesel_nmpg)*diesel_co2pg-(battery/range_nm)*G316*R316*VLOOKUP(B316,country_opex,4,FALSE))/1000</f>
        <v/>
      </c>
      <c r="AJ316" s="42" t="n"/>
      <c r="AK316" s="43" t="n"/>
      <c r="AL316" s="43" t="n"/>
      <c r="AM316" s="50" t="n">
        <v>0.1</v>
      </c>
      <c r="AN316" s="45">
        <f>IF(AJ316="","",AJ316*AM316)</f>
        <v/>
      </c>
      <c r="AO316" s="45">
        <f>IF(OR(AJ316="",U316=0),"",MIN(IF(AV316="",9.9E+99,AV316),FLOOR(AN316/U316,1)))</f>
        <v/>
      </c>
      <c r="AP316" s="49">
        <f>IF(AO316="","",AO316*W316)</f>
        <v/>
      </c>
      <c r="AQ316" s="47">
        <f>IF(OR(AJ316="",U316=0),"",MIN(IF(AV316="",9.9E+99,AV316),AN316/U316))</f>
        <v/>
      </c>
      <c r="AR316" s="49">
        <f>IF(AQ316="","",AQ316*W316)</f>
        <v/>
      </c>
      <c r="AS316" s="51" t="n"/>
      <c r="AT316" s="52" t="n"/>
      <c r="AU316" s="52" t="n"/>
      <c r="AV316" s="53" t="n"/>
      <c r="AW316" s="54">
        <f>IF(((V316*pax_cap*load_thin*ROUND(N316*O316*revleg_thin,0))-(((battery/range_nm)*G316*ROUND(N316*O316*revleg_thin,0)*VLOOKUP(B316,country_opex,3,FALSE))+Y316+Z316+AA316+AB316+AC316))&lt;=0,"",VLOOKUP(B316,country_opex,7,FALSE)/((V316*pax_cap*load_thin*ROUND(N316*O316*revleg_thin,0))-(((battery/range_nm)*G316*ROUND(N316*O316*revleg_thin,0)*VLOOKUP(B316,country_opex,3,FALSE))+Y316+Z316+AA316+AB316+AC316)))</f>
        <v/>
      </c>
      <c r="AX316" s="54">
        <f>IF(((V316*pax_cap*load_mid*ROUND(N316*O316*revleg_mid,0))-(((battery/range_nm)*G316*ROUND(N316*O316*revleg_mid,0)*VLOOKUP(B316,country_opex,3,FALSE))+Y316+Z316+AA316+AB316+AC316))&lt;=0,"",VLOOKUP(B316,country_opex,7,FALSE)/((V316*pax_cap*load_mid*ROUND(N316*O316*revleg_mid,0))-(((battery/range_nm)*G316*ROUND(N316*O316*revleg_mid,0)*VLOOKUP(B316,country_opex,3,FALSE))+Y316+Z316+AA316+AB316+AC316)))</f>
        <v/>
      </c>
      <c r="AY316" s="54">
        <f>IF(((V316*pax_cap*load_full*ROUND(N316*O316*revleg_full,0))-(((battery/range_nm)*G316*ROUND(N316*O316*revleg_full,0)*VLOOKUP(B316,country_opex,3,FALSE))+Y316+Z316+AA316+AB316+AC316))&lt;=0,"",VLOOKUP(B316,country_opex,7,FALSE)/((V316*pax_cap*load_full*ROUND(N316*O316*revleg_full,0))-(((battery/range_nm)*G316*ROUND(N316*O316*revleg_full,0)*VLOOKUP(B316,country_opex,3,FALSE))+Y316+Z316+AA316+AB316+AC316)))</f>
        <v/>
      </c>
      <c r="AZ316" s="40" t="inlineStr">
        <is>
          <t>PREMIUM tier: private scheduled boat transfer Maputo-&gt;Inhaca ~$36 one-way ($72 round-trip, Gozo Azul). Scheduled public-ferry tourist tier 850 MZN (~$13.37) one-way; foreigner KaNyaka 1st-class 680 MZN (~$10.69). The private fast transfer is the modeled premium tier.</t>
        </is>
      </c>
      <c r="BA316" s="40" t="n"/>
    </row>
    <row r="317">
      <c r="A317" s="38" t="inlineStr">
        <is>
          <t>Yango Mozambique</t>
        </is>
      </c>
      <c r="B317" s="38" t="inlineStr">
        <is>
          <t>Mozambique</t>
        </is>
      </c>
      <c r="C317" s="39" t="inlineStr">
        <is>
          <t>Beira (Porto da Beira) → Buzi (Buzi town, Buzi/Pungwe estuary)</t>
        </is>
      </c>
      <c r="D317" s="38" t="inlineStr">
        <is>
          <t>yango</t>
        </is>
      </c>
      <c r="E317" s="40" t="inlineStr">
        <is>
          <t>yango-mozambique</t>
        </is>
      </c>
      <c r="F317" s="41" t="n">
        <v>1</v>
      </c>
      <c r="G317" s="42" t="n">
        <v>25</v>
      </c>
      <c r="H317" s="35" t="n"/>
      <c r="I317" s="43" t="n"/>
      <c r="J317" s="43" t="n"/>
      <c r="K317" s="29" t="n">
        <v>1</v>
      </c>
      <c r="L317" s="44">
        <f>60*G317/cruise_kt</f>
        <v/>
      </c>
      <c r="M317" s="44">
        <f>L317+turn_min+dwell_min</f>
        <v/>
      </c>
      <c r="N317" s="45">
        <f>MIN(16,FLOOR(60*service_hr/M317,1))</f>
        <v/>
      </c>
      <c r="O317" s="45">
        <f>ROUND(365*mech_uptime*K317,0)</f>
        <v/>
      </c>
      <c r="P317" s="46">
        <f>mech_uptime</f>
        <v/>
      </c>
      <c r="Q317" s="46">
        <f>revleg_sel</f>
        <v/>
      </c>
      <c r="R317" s="45">
        <f>ROUND(N317*O317*revleg_sel,0)</f>
        <v/>
      </c>
      <c r="S317" s="47">
        <f>load_sel</f>
        <v/>
      </c>
      <c r="T317" s="47">
        <f>pax_cap*S317</f>
        <v/>
      </c>
      <c r="U317" s="45">
        <f>T317*R317</f>
        <v/>
      </c>
      <c r="V317" s="48">
        <f>H317*discount</f>
        <v/>
      </c>
      <c r="W317" s="49">
        <f>V317*U317</f>
        <v/>
      </c>
      <c r="X317" s="49">
        <f>(battery/range_nm)*G317*R317*VLOOKUP(B317,country_opex,3,FALSE)</f>
        <v/>
      </c>
      <c r="Y317" s="49">
        <f>VLOOKUP(B317,country_opex,2,FALSE)*crew_factor</f>
        <v/>
      </c>
      <c r="Z317" s="49">
        <f>VLOOKUP(B317,country_opex,5,FALSE)</f>
        <v/>
      </c>
      <c r="AA317" s="49">
        <f>maint</f>
        <v/>
      </c>
      <c r="AB317" s="49">
        <f>VLOOKUP(B317,country_opex,7,FALSE)*ins_pct</f>
        <v/>
      </c>
      <c r="AC317" s="49">
        <f>charge_berth</f>
        <v/>
      </c>
      <c r="AD317" s="49">
        <f>X317+Y317+Z317+AA317+AB317+AC317</f>
        <v/>
      </c>
      <c r="AE317" s="49">
        <f>VLOOKUP(B317,country_opex,7,FALSE)/dep_years</f>
        <v/>
      </c>
      <c r="AF317" s="49">
        <f>W317-AD317</f>
        <v/>
      </c>
      <c r="AG317" s="46">
        <f>IF(W317=0,"",AF317/W317)</f>
        <v/>
      </c>
      <c r="AH317" s="47">
        <f>IF(AF317&lt;=0,"",VLOOKUP(B317,country_opex,7,FALSE)/AF317)</f>
        <v/>
      </c>
      <c r="AI317" s="44">
        <f>((G317*R317/diesel_nmpg)*diesel_co2pg-(battery/range_nm)*G317*R317*VLOOKUP(B317,country_opex,4,FALSE))/1000</f>
        <v/>
      </c>
      <c r="AJ317" s="42" t="n"/>
      <c r="AK317" s="43" t="n"/>
      <c r="AL317" s="43" t="n"/>
      <c r="AM317" s="50" t="n">
        <v>0.1</v>
      </c>
      <c r="AN317" s="45">
        <f>IF(AJ317="","",AJ317*AM317)</f>
        <v/>
      </c>
      <c r="AO317" s="45">
        <f>IF(OR(AJ317="",U317=0),"",MIN(IF(AV317="",9.9E+99,AV317),FLOOR(AN317/U317,1)))</f>
        <v/>
      </c>
      <c r="AP317" s="49">
        <f>IF(AO317="","",AO317*W317)</f>
        <v/>
      </c>
      <c r="AQ317" s="47">
        <f>IF(OR(AJ317="",U317=0),"",MIN(IF(AV317="",9.9E+99,AV317),AN317/U317))</f>
        <v/>
      </c>
      <c r="AR317" s="49">
        <f>IF(AQ317="","",AQ317*W317)</f>
        <v/>
      </c>
      <c r="AS317" s="51" t="n"/>
      <c r="AT317" s="52" t="n"/>
      <c r="AU317" s="52" t="n"/>
      <c r="AV317" s="53" t="n"/>
      <c r="AW317" s="54">
        <f>IF(((V317*pax_cap*load_thin*ROUND(N317*O317*revleg_thin,0))-(((battery/range_nm)*G317*ROUND(N317*O317*revleg_thin,0)*VLOOKUP(B317,country_opex,3,FALSE))+Y317+Z317+AA317+AB317+AC317))&lt;=0,"",VLOOKUP(B317,country_opex,7,FALSE)/((V317*pax_cap*load_thin*ROUND(N317*O317*revleg_thin,0))-(((battery/range_nm)*G317*ROUND(N317*O317*revleg_thin,0)*VLOOKUP(B317,country_opex,3,FALSE))+Y317+Z317+AA317+AB317+AC317)))</f>
        <v/>
      </c>
      <c r="AX317" s="54">
        <f>IF(((V317*pax_cap*load_mid*ROUND(N317*O317*revleg_mid,0))-(((battery/range_nm)*G317*ROUND(N317*O317*revleg_mid,0)*VLOOKUP(B317,country_opex,3,FALSE))+Y317+Z317+AA317+AB317+AC317))&lt;=0,"",VLOOKUP(B317,country_opex,7,FALSE)/((V317*pax_cap*load_mid*ROUND(N317*O317*revleg_mid,0))-(((battery/range_nm)*G317*ROUND(N317*O317*revleg_mid,0)*VLOOKUP(B317,country_opex,3,FALSE))+Y317+Z317+AA317+AB317+AC317)))</f>
        <v/>
      </c>
      <c r="AY317" s="54">
        <f>IF(((V317*pax_cap*load_full*ROUND(N317*O317*revleg_full,0))-(((battery/range_nm)*G317*ROUND(N317*O317*revleg_full,0)*VLOOKUP(B317,country_opex,3,FALSE))+Y317+Z317+AA317+AB317+AC317))&lt;=0,"",VLOOKUP(B317,country_opex,7,FALSE)/((V317*pax_cap*load_full*ROUND(N317*O317*revleg_full,0))-(((battery/range_nm)*G317*ROUND(N317*O317*revleg_full,0)*VLOOKUP(B317,country_opex,3,FALSE))+Y317+Z317+AA317+AB317+AC317)))</f>
        <v/>
      </c>
      <c r="AZ317" s="40" t="n"/>
      <c r="BA317" s="40" t="n"/>
    </row>
    <row r="318">
      <c r="A318" s="38" t="inlineStr">
        <is>
          <t>Yango Mozambique</t>
        </is>
      </c>
      <c r="B318" s="38" t="inlineStr">
        <is>
          <t>Mozambique</t>
        </is>
      </c>
      <c r="C318" s="39" t="inlineStr">
        <is>
          <t>Pemba (Pemba Bay / Paquitequete) → Ibo Island (Quirimbas Archipelago)</t>
        </is>
      </c>
      <c r="D318" s="38" t="inlineStr">
        <is>
          <t>yango</t>
        </is>
      </c>
      <c r="E318" s="40" t="inlineStr">
        <is>
          <t>yango-mozambique</t>
        </is>
      </c>
      <c r="F318" s="41" t="n">
        <v>1</v>
      </c>
      <c r="G318" s="42" t="n">
        <v>27</v>
      </c>
      <c r="H318" s="35" t="n"/>
      <c r="I318" s="43" t="n"/>
      <c r="J318" s="43" t="n"/>
      <c r="K318" s="29" t="n">
        <v>1</v>
      </c>
      <c r="L318" s="44">
        <f>60*G318/cruise_kt</f>
        <v/>
      </c>
      <c r="M318" s="44">
        <f>L318+turn_min+dwell_min</f>
        <v/>
      </c>
      <c r="N318" s="45">
        <f>MIN(10,FLOOR(60*service_hr/M318,1))</f>
        <v/>
      </c>
      <c r="O318" s="45">
        <f>ROUND(365*mech_uptime*K318,0)</f>
        <v/>
      </c>
      <c r="P318" s="46">
        <f>mech_uptime</f>
        <v/>
      </c>
      <c r="Q318" s="46">
        <f>revleg_sel</f>
        <v/>
      </c>
      <c r="R318" s="45">
        <f>ROUND(N318*O318*revleg_sel,0)</f>
        <v/>
      </c>
      <c r="S318" s="47">
        <f>load_sel</f>
        <v/>
      </c>
      <c r="T318" s="47">
        <f>pax_cap*S318</f>
        <v/>
      </c>
      <c r="U318" s="45">
        <f>T318*R318</f>
        <v/>
      </c>
      <c r="V318" s="48">
        <f>H318*discount</f>
        <v/>
      </c>
      <c r="W318" s="49">
        <f>V318*U318</f>
        <v/>
      </c>
      <c r="X318" s="49">
        <f>(battery/range_nm)*G318*R318*VLOOKUP(B318,country_opex,3,FALSE)</f>
        <v/>
      </c>
      <c r="Y318" s="49">
        <f>VLOOKUP(B318,country_opex,2,FALSE)*crew_factor</f>
        <v/>
      </c>
      <c r="Z318" s="49">
        <f>VLOOKUP(B318,country_opex,5,FALSE)</f>
        <v/>
      </c>
      <c r="AA318" s="49">
        <f>maint</f>
        <v/>
      </c>
      <c r="AB318" s="49">
        <f>VLOOKUP(B318,country_opex,7,FALSE)*ins_pct</f>
        <v/>
      </c>
      <c r="AC318" s="49">
        <f>charge_berth</f>
        <v/>
      </c>
      <c r="AD318" s="49">
        <f>X318+Y318+Z318+AA318+AB318+AC318</f>
        <v/>
      </c>
      <c r="AE318" s="49">
        <f>VLOOKUP(B318,country_opex,7,FALSE)/dep_years</f>
        <v/>
      </c>
      <c r="AF318" s="49">
        <f>W318-AD318</f>
        <v/>
      </c>
      <c r="AG318" s="46">
        <f>IF(W318=0,"",AF318/W318)</f>
        <v/>
      </c>
      <c r="AH318" s="47">
        <f>IF(AF318&lt;=0,"",VLOOKUP(B318,country_opex,7,FALSE)/AF318)</f>
        <v/>
      </c>
      <c r="AI318" s="44">
        <f>((G318*R318/diesel_nmpg)*diesel_co2pg-(battery/range_nm)*G318*R318*VLOOKUP(B318,country_opex,4,FALSE))/1000</f>
        <v/>
      </c>
      <c r="AJ318" s="42" t="n"/>
      <c r="AK318" s="43" t="n"/>
      <c r="AL318" s="43" t="n"/>
      <c r="AM318" s="50" t="n">
        <v>0.1</v>
      </c>
      <c r="AN318" s="45">
        <f>IF(AJ318="","",AJ318*AM318)</f>
        <v/>
      </c>
      <c r="AO318" s="45">
        <f>IF(OR(AJ318="",U318=0),"",MIN(IF(AV318="",9.9E+99,AV318),FLOOR(AN318/U318,1)))</f>
        <v/>
      </c>
      <c r="AP318" s="49">
        <f>IF(AO318="","",AO318*W318)</f>
        <v/>
      </c>
      <c r="AQ318" s="47">
        <f>IF(OR(AJ318="",U318=0),"",MIN(IF(AV318="",9.9E+99,AV318),AN318/U318))</f>
        <v/>
      </c>
      <c r="AR318" s="49">
        <f>IF(AQ318="","",AQ318*W318)</f>
        <v/>
      </c>
      <c r="AS318" s="51" t="n"/>
      <c r="AT318" s="52" t="n"/>
      <c r="AU318" s="52" t="n"/>
      <c r="AV318" s="53" t="n"/>
      <c r="AW318" s="54">
        <f>IF(((V318*pax_cap*load_thin*ROUND(N318*O318*revleg_thin,0))-(((battery/range_nm)*G318*ROUND(N318*O318*revleg_thin,0)*VLOOKUP(B318,country_opex,3,FALSE))+Y318+Z318+AA318+AB318+AC318))&lt;=0,"",VLOOKUP(B318,country_opex,7,FALSE)/((V318*pax_cap*load_thin*ROUND(N318*O318*revleg_thin,0))-(((battery/range_nm)*G318*ROUND(N318*O318*revleg_thin,0)*VLOOKUP(B318,country_opex,3,FALSE))+Y318+Z318+AA318+AB318+AC318)))</f>
        <v/>
      </c>
      <c r="AX318" s="54">
        <f>IF(((V318*pax_cap*load_mid*ROUND(N318*O318*revleg_mid,0))-(((battery/range_nm)*G318*ROUND(N318*O318*revleg_mid,0)*VLOOKUP(B318,country_opex,3,FALSE))+Y318+Z318+AA318+AB318+AC318))&lt;=0,"",VLOOKUP(B318,country_opex,7,FALSE)/((V318*pax_cap*load_mid*ROUND(N318*O318*revleg_mid,0))-(((battery/range_nm)*G318*ROUND(N318*O318*revleg_mid,0)*VLOOKUP(B318,country_opex,3,FALSE))+Y318+Z318+AA318+AB318+AC318)))</f>
        <v/>
      </c>
      <c r="AY318" s="54">
        <f>IF(((V318*pax_cap*load_full*ROUND(N318*O318*revleg_full,0))-(((battery/range_nm)*G318*ROUND(N318*O318*revleg_full,0)*VLOOKUP(B318,country_opex,3,FALSE))+Y318+Z318+AA318+AB318+AC318))&lt;=0,"",VLOOKUP(B318,country_opex,7,FALSE)/((V318*pax_cap*load_full*ROUND(N318*O318*revleg_full,0))-(((battery/range_nm)*G318*ROUND(N318*O318*revleg_full,0)*VLOOKUP(B318,country_opex,3,FALSE))+Y318+Z318+AA318+AB318+AC318)))</f>
        <v/>
      </c>
      <c r="AZ318" s="40" t="n"/>
      <c r="BA318" s="40" t="n"/>
    </row>
    <row r="319">
      <c r="A319" s="38" t="inlineStr">
        <is>
          <t>Yango Lagos</t>
        </is>
      </c>
      <c r="B319" s="38" t="inlineStr">
        <is>
          <t>Nigeria</t>
        </is>
      </c>
      <c r="C319" s="39" t="inlineStr">
        <is>
          <t>CMS (Lagos Island) → Victoria Island</t>
        </is>
      </c>
      <c r="D319" s="38" t="inlineStr">
        <is>
          <t>yango</t>
        </is>
      </c>
      <c r="E319" s="40" t="inlineStr">
        <is>
          <t>yango-lagos</t>
        </is>
      </c>
      <c r="F319" s="41" t="n">
        <v>1</v>
      </c>
      <c r="G319" s="42" t="n">
        <v>1.5</v>
      </c>
      <c r="H319" s="35" t="n">
        <v>6.6</v>
      </c>
      <c r="I319" s="43" t="inlineStr">
        <is>
          <t>T2</t>
        </is>
      </c>
      <c r="J319" s="43" t="inlineStr">
        <is>
          <t>med</t>
        </is>
      </c>
      <c r="K319" s="29" t="n">
        <v>1</v>
      </c>
      <c r="L319" s="44">
        <f>60*G319/cruise_kt</f>
        <v/>
      </c>
      <c r="M319" s="44">
        <f>L319+turn_min+dwell_min</f>
        <v/>
      </c>
      <c r="N319" s="45">
        <f>MIN(16,FLOOR(60*service_hr/M319,1))</f>
        <v/>
      </c>
      <c r="O319" s="45">
        <f>ROUND(365*mech_uptime*K319,0)</f>
        <v/>
      </c>
      <c r="P319" s="46">
        <f>mech_uptime</f>
        <v/>
      </c>
      <c r="Q319" s="46">
        <f>revleg_sel</f>
        <v/>
      </c>
      <c r="R319" s="45">
        <f>ROUND(N319*O319*revleg_sel,0)</f>
        <v/>
      </c>
      <c r="S319" s="47">
        <f>load_sel</f>
        <v/>
      </c>
      <c r="T319" s="47">
        <f>pax_cap*S319</f>
        <v/>
      </c>
      <c r="U319" s="45">
        <f>T319*R319</f>
        <v/>
      </c>
      <c r="V319" s="48">
        <f>H319*discount</f>
        <v/>
      </c>
      <c r="W319" s="49">
        <f>V319*U319</f>
        <v/>
      </c>
      <c r="X319" s="49">
        <f>(battery/range_nm)*G319*R319*VLOOKUP(B319,country_opex,3,FALSE)</f>
        <v/>
      </c>
      <c r="Y319" s="49">
        <f>VLOOKUP(B319,country_opex,2,FALSE)*crew_factor</f>
        <v/>
      </c>
      <c r="Z319" s="49">
        <f>VLOOKUP(B319,country_opex,5,FALSE)</f>
        <v/>
      </c>
      <c r="AA319" s="49">
        <f>maint</f>
        <v/>
      </c>
      <c r="AB319" s="49">
        <f>VLOOKUP(B319,country_opex,7,FALSE)*ins_pct</f>
        <v/>
      </c>
      <c r="AC319" s="49">
        <f>charge_berth</f>
        <v/>
      </c>
      <c r="AD319" s="49">
        <f>X319+Y319+Z319+AA319+AB319+AC319</f>
        <v/>
      </c>
      <c r="AE319" s="49">
        <f>VLOOKUP(B319,country_opex,7,FALSE)/dep_years</f>
        <v/>
      </c>
      <c r="AF319" s="49">
        <f>W319-AD319</f>
        <v/>
      </c>
      <c r="AG319" s="46">
        <f>IF(W319=0,"",AF319/W319)</f>
        <v/>
      </c>
      <c r="AH319" s="47">
        <f>IF(AF319&lt;=0,"",VLOOKUP(B319,country_opex,7,FALSE)/AF319)</f>
        <v/>
      </c>
      <c r="AI319" s="44">
        <f>((G319*R319/diesel_nmpg)*diesel_co2pg-(battery/range_nm)*G319*R319*VLOOKUP(B319,country_opex,4,FALSE))/1000</f>
        <v/>
      </c>
      <c r="AJ319" s="42" t="n"/>
      <c r="AK319" s="43" t="n"/>
      <c r="AL319" s="43" t="n"/>
      <c r="AM319" s="50" t="n">
        <v>0.1</v>
      </c>
      <c r="AN319" s="45">
        <f>IF(AJ319="","",AJ319*AM319)</f>
        <v/>
      </c>
      <c r="AO319" s="45">
        <f>IF(OR(AJ319="",U319=0),"",MIN(IF(AV319="",9.9E+99,AV319),FLOOR(AN319/U319,1)))</f>
        <v/>
      </c>
      <c r="AP319" s="49">
        <f>IF(AO319="","",AO319*W319)</f>
        <v/>
      </c>
      <c r="AQ319" s="47">
        <f>IF(OR(AJ319="",U319=0),"",MIN(IF(AV319="",9.9E+99,AV319),AN319/U319))</f>
        <v/>
      </c>
      <c r="AR319" s="49">
        <f>IF(AQ319="","",AQ319*W319)</f>
        <v/>
      </c>
      <c r="AS319" s="51" t="n"/>
      <c r="AT319" s="52" t="n"/>
      <c r="AU319" s="52" t="n"/>
      <c r="AV319" s="53" t="n"/>
      <c r="AW319" s="54">
        <f>IF(((V319*pax_cap*load_thin*ROUND(N319*O319*revleg_thin,0))-(((battery/range_nm)*G319*ROUND(N319*O319*revleg_thin,0)*VLOOKUP(B319,country_opex,3,FALSE))+Y319+Z319+AA319+AB319+AC319))&lt;=0,"",VLOOKUP(B319,country_opex,7,FALSE)/((V319*pax_cap*load_thin*ROUND(N319*O319*revleg_thin,0))-(((battery/range_nm)*G319*ROUND(N319*O319*revleg_thin,0)*VLOOKUP(B319,country_opex,3,FALSE))+Y319+Z319+AA319+AB319+AC319)))</f>
        <v/>
      </c>
      <c r="AX319" s="54">
        <f>IF(((V319*pax_cap*load_mid*ROUND(N319*O319*revleg_mid,0))-(((battery/range_nm)*G319*ROUND(N319*O319*revleg_mid,0)*VLOOKUP(B319,country_opex,3,FALSE))+Y319+Z319+AA319+AB319+AC319))&lt;=0,"",VLOOKUP(B319,country_opex,7,FALSE)/((V319*pax_cap*load_mid*ROUND(N319*O319*revleg_mid,0))-(((battery/range_nm)*G319*ROUND(N319*O319*revleg_mid,0)*VLOOKUP(B319,country_opex,3,FALSE))+Y319+Z319+AA319+AB319+AC319)))</f>
        <v/>
      </c>
      <c r="AY319" s="54">
        <f>IF(((V319*pax_cap*load_full*ROUND(N319*O319*revleg_full,0))-(((battery/range_nm)*G319*ROUND(N319*O319*revleg_full,0)*VLOOKUP(B319,country_opex,3,FALSE))+Y319+Z319+AA319+AB319+AC319))&lt;=0,"",VLOOKUP(B319,country_opex,7,FALSE)/((V319*pax_cap*load_full*ROUND(N319*O319*revleg_full,0))-(((battery/range_nm)*G319*ROUND(N319*O319*revleg_full,0)*VLOOKUP(B319,country_opex,3,FALSE))+Y319+Z319+AA319+AB319+AC319)))</f>
        <v/>
      </c>
      <c r="AZ319" s="40" t="inlineStr">
        <is>
          <t>PREMIUM tier: divided 10-seater executive speedboat ~₦90,000/hr ÷ 10 ≈ ₦9,000/seat ≈ $6.6 (private VI/Ikoyi/Lekki-pickup operators). The modeled premium-willing seat.</t>
        </is>
      </c>
      <c r="BA319" s="40" t="n"/>
    </row>
    <row r="320">
      <c r="A320" s="38" t="inlineStr">
        <is>
          <t>Yango Lagos</t>
        </is>
      </c>
      <c r="B320" s="38" t="inlineStr">
        <is>
          <t>Nigeria</t>
        </is>
      </c>
      <c r="C320" s="39" t="inlineStr">
        <is>
          <t>Osborne (Ikoyi) → CMS/Marina (Lagos Island)</t>
        </is>
      </c>
      <c r="D320" s="38" t="inlineStr">
        <is>
          <t>yango</t>
        </is>
      </c>
      <c r="E320" s="40" t="inlineStr">
        <is>
          <t>yango-lagos</t>
        </is>
      </c>
      <c r="F320" s="41" t="n">
        <v>1</v>
      </c>
      <c r="G320" s="42" t="n">
        <v>2.5</v>
      </c>
      <c r="H320" s="35" t="n">
        <v>6.6</v>
      </c>
      <c r="I320" s="43" t="inlineStr">
        <is>
          <t>T2</t>
        </is>
      </c>
      <c r="J320" s="43" t="inlineStr">
        <is>
          <t>med</t>
        </is>
      </c>
      <c r="K320" s="29" t="n">
        <v>1</v>
      </c>
      <c r="L320" s="44">
        <f>60*G320/cruise_kt</f>
        <v/>
      </c>
      <c r="M320" s="44">
        <f>L320+turn_min+dwell_min</f>
        <v/>
      </c>
      <c r="N320" s="45">
        <f>MIN(16,FLOOR(60*service_hr/M320,1))</f>
        <v/>
      </c>
      <c r="O320" s="45">
        <f>ROUND(365*mech_uptime*K320,0)</f>
        <v/>
      </c>
      <c r="P320" s="46">
        <f>mech_uptime</f>
        <v/>
      </c>
      <c r="Q320" s="46">
        <f>revleg_sel</f>
        <v/>
      </c>
      <c r="R320" s="45">
        <f>ROUND(N320*O320*revleg_sel,0)</f>
        <v/>
      </c>
      <c r="S320" s="47">
        <f>load_sel</f>
        <v/>
      </c>
      <c r="T320" s="47">
        <f>pax_cap*S320</f>
        <v/>
      </c>
      <c r="U320" s="45">
        <f>T320*R320</f>
        <v/>
      </c>
      <c r="V320" s="48">
        <f>H320*discount</f>
        <v/>
      </c>
      <c r="W320" s="49">
        <f>V320*U320</f>
        <v/>
      </c>
      <c r="X320" s="49">
        <f>(battery/range_nm)*G320*R320*VLOOKUP(B320,country_opex,3,FALSE)</f>
        <v/>
      </c>
      <c r="Y320" s="49">
        <f>VLOOKUP(B320,country_opex,2,FALSE)*crew_factor</f>
        <v/>
      </c>
      <c r="Z320" s="49">
        <f>VLOOKUP(B320,country_opex,5,FALSE)</f>
        <v/>
      </c>
      <c r="AA320" s="49">
        <f>maint</f>
        <v/>
      </c>
      <c r="AB320" s="49">
        <f>VLOOKUP(B320,country_opex,7,FALSE)*ins_pct</f>
        <v/>
      </c>
      <c r="AC320" s="49">
        <f>charge_berth</f>
        <v/>
      </c>
      <c r="AD320" s="49">
        <f>X320+Y320+Z320+AA320+AB320+AC320</f>
        <v/>
      </c>
      <c r="AE320" s="49">
        <f>VLOOKUP(B320,country_opex,7,FALSE)/dep_years</f>
        <v/>
      </c>
      <c r="AF320" s="49">
        <f>W320-AD320</f>
        <v/>
      </c>
      <c r="AG320" s="46">
        <f>IF(W320=0,"",AF320/W320)</f>
        <v/>
      </c>
      <c r="AH320" s="47">
        <f>IF(AF320&lt;=0,"",VLOOKUP(B320,country_opex,7,FALSE)/AF320)</f>
        <v/>
      </c>
      <c r="AI320" s="44">
        <f>((G320*R320/diesel_nmpg)*diesel_co2pg-(battery/range_nm)*G320*R320*VLOOKUP(B320,country_opex,4,FALSE))/1000</f>
        <v/>
      </c>
      <c r="AJ320" s="42" t="n"/>
      <c r="AK320" s="43" t="n"/>
      <c r="AL320" s="43" t="n"/>
      <c r="AM320" s="50" t="n">
        <v>0.1</v>
      </c>
      <c r="AN320" s="45">
        <f>IF(AJ320="","",AJ320*AM320)</f>
        <v/>
      </c>
      <c r="AO320" s="45">
        <f>IF(OR(AJ320="",U320=0),"",MIN(IF(AV320="",9.9E+99,AV320),FLOOR(AN320/U320,1)))</f>
        <v/>
      </c>
      <c r="AP320" s="49">
        <f>IF(AO320="","",AO320*W320)</f>
        <v/>
      </c>
      <c r="AQ320" s="47">
        <f>IF(OR(AJ320="",U320=0),"",MIN(IF(AV320="",9.9E+99,AV320),AN320/U320))</f>
        <v/>
      </c>
      <c r="AR320" s="49">
        <f>IF(AQ320="","",AQ320*W320)</f>
        <v/>
      </c>
      <c r="AS320" s="51" t="n"/>
      <c r="AT320" s="52" t="n"/>
      <c r="AU320" s="52" t="n"/>
      <c r="AV320" s="53" t="n"/>
      <c r="AW320" s="54">
        <f>IF(((V320*pax_cap*load_thin*ROUND(N320*O320*revleg_thin,0))-(((battery/range_nm)*G320*ROUND(N320*O320*revleg_thin,0)*VLOOKUP(B320,country_opex,3,FALSE))+Y320+Z320+AA320+AB320+AC320))&lt;=0,"",VLOOKUP(B320,country_opex,7,FALSE)/((V320*pax_cap*load_thin*ROUND(N320*O320*revleg_thin,0))-(((battery/range_nm)*G320*ROUND(N320*O320*revleg_thin,0)*VLOOKUP(B320,country_opex,3,FALSE))+Y320+Z320+AA320+AB320+AC320)))</f>
        <v/>
      </c>
      <c r="AX320" s="54">
        <f>IF(((V320*pax_cap*load_mid*ROUND(N320*O320*revleg_mid,0))-(((battery/range_nm)*G320*ROUND(N320*O320*revleg_mid,0)*VLOOKUP(B320,country_opex,3,FALSE))+Y320+Z320+AA320+AB320+AC320))&lt;=0,"",VLOOKUP(B320,country_opex,7,FALSE)/((V320*pax_cap*load_mid*ROUND(N320*O320*revleg_mid,0))-(((battery/range_nm)*G320*ROUND(N320*O320*revleg_mid,0)*VLOOKUP(B320,country_opex,3,FALSE))+Y320+Z320+AA320+AB320+AC320)))</f>
        <v/>
      </c>
      <c r="AY320" s="54">
        <f>IF(((V320*pax_cap*load_full*ROUND(N320*O320*revleg_full,0))-(((battery/range_nm)*G320*ROUND(N320*O320*revleg_full,0)*VLOOKUP(B320,country_opex,3,FALSE))+Y320+Z320+AA320+AB320+AC320))&lt;=0,"",VLOOKUP(B320,country_opex,7,FALSE)/((V320*pax_cap*load_full*ROUND(N320*O320*revleg_full,0))-(((battery/range_nm)*G320*ROUND(N320*O320*revleg_full,0)*VLOOKUP(B320,country_opex,3,FALSE))+Y320+Z320+AA320+AB320+AC320)))</f>
        <v/>
      </c>
      <c r="AZ320" s="40" t="inlineStr">
        <is>
          <t>PREMIUM tier: divided 10-seater executive speedboat ~₦9,000/seat ≈ $6.6.</t>
        </is>
      </c>
      <c r="BA320" s="40" t="n"/>
    </row>
    <row r="321">
      <c r="A321" s="38" t="inlineStr">
        <is>
          <t>Yango Lagos</t>
        </is>
      </c>
      <c r="B321" s="38" t="inlineStr">
        <is>
          <t>Nigeria</t>
        </is>
      </c>
      <c r="C321" s="39" t="inlineStr">
        <is>
          <t>Ikoyi → Apapa</t>
        </is>
      </c>
      <c r="D321" s="38" t="inlineStr">
        <is>
          <t>yango</t>
        </is>
      </c>
      <c r="E321" s="40" t="inlineStr">
        <is>
          <t>yango-lagos</t>
        </is>
      </c>
      <c r="F321" s="41" t="n">
        <v>1</v>
      </c>
      <c r="G321" s="42" t="n">
        <v>3.5</v>
      </c>
      <c r="H321" s="35" t="n">
        <v>6.6</v>
      </c>
      <c r="I321" s="43" t="inlineStr">
        <is>
          <t>T2</t>
        </is>
      </c>
      <c r="J321" s="43" t="inlineStr">
        <is>
          <t>med</t>
        </is>
      </c>
      <c r="K321" s="29" t="n">
        <v>1</v>
      </c>
      <c r="L321" s="44">
        <f>60*G321/cruise_kt</f>
        <v/>
      </c>
      <c r="M321" s="44">
        <f>L321+turn_min+dwell_min</f>
        <v/>
      </c>
      <c r="N321" s="45">
        <f>MIN(16,FLOOR(60*service_hr/M321,1))</f>
        <v/>
      </c>
      <c r="O321" s="45">
        <f>ROUND(365*mech_uptime*K321,0)</f>
        <v/>
      </c>
      <c r="P321" s="46">
        <f>mech_uptime</f>
        <v/>
      </c>
      <c r="Q321" s="46">
        <f>revleg_sel</f>
        <v/>
      </c>
      <c r="R321" s="45">
        <f>ROUND(N321*O321*revleg_sel,0)</f>
        <v/>
      </c>
      <c r="S321" s="47">
        <f>load_sel</f>
        <v/>
      </c>
      <c r="T321" s="47">
        <f>pax_cap*S321</f>
        <v/>
      </c>
      <c r="U321" s="45">
        <f>T321*R321</f>
        <v/>
      </c>
      <c r="V321" s="48">
        <f>H321*discount</f>
        <v/>
      </c>
      <c r="W321" s="49">
        <f>V321*U321</f>
        <v/>
      </c>
      <c r="X321" s="49">
        <f>(battery/range_nm)*G321*R321*VLOOKUP(B321,country_opex,3,FALSE)</f>
        <v/>
      </c>
      <c r="Y321" s="49">
        <f>VLOOKUP(B321,country_opex,2,FALSE)*crew_factor</f>
        <v/>
      </c>
      <c r="Z321" s="49">
        <f>VLOOKUP(B321,country_opex,5,FALSE)</f>
        <v/>
      </c>
      <c r="AA321" s="49">
        <f>maint</f>
        <v/>
      </c>
      <c r="AB321" s="49">
        <f>VLOOKUP(B321,country_opex,7,FALSE)*ins_pct</f>
        <v/>
      </c>
      <c r="AC321" s="49">
        <f>charge_berth</f>
        <v/>
      </c>
      <c r="AD321" s="49">
        <f>X321+Y321+Z321+AA321+AB321+AC321</f>
        <v/>
      </c>
      <c r="AE321" s="49">
        <f>VLOOKUP(B321,country_opex,7,FALSE)/dep_years</f>
        <v/>
      </c>
      <c r="AF321" s="49">
        <f>W321-AD321</f>
        <v/>
      </c>
      <c r="AG321" s="46">
        <f>IF(W321=0,"",AF321/W321)</f>
        <v/>
      </c>
      <c r="AH321" s="47">
        <f>IF(AF321&lt;=0,"",VLOOKUP(B321,country_opex,7,FALSE)/AF321)</f>
        <v/>
      </c>
      <c r="AI321" s="44">
        <f>((G321*R321/diesel_nmpg)*diesel_co2pg-(battery/range_nm)*G321*R321*VLOOKUP(B321,country_opex,4,FALSE))/1000</f>
        <v/>
      </c>
      <c r="AJ321" s="42" t="n"/>
      <c r="AK321" s="43" t="n"/>
      <c r="AL321" s="43" t="n"/>
      <c r="AM321" s="50" t="n">
        <v>0.1</v>
      </c>
      <c r="AN321" s="45">
        <f>IF(AJ321="","",AJ321*AM321)</f>
        <v/>
      </c>
      <c r="AO321" s="45">
        <f>IF(OR(AJ321="",U321=0),"",MIN(IF(AV321="",9.9E+99,AV321),FLOOR(AN321/U321,1)))</f>
        <v/>
      </c>
      <c r="AP321" s="49">
        <f>IF(AO321="","",AO321*W321)</f>
        <v/>
      </c>
      <c r="AQ321" s="47">
        <f>IF(OR(AJ321="",U321=0),"",MIN(IF(AV321="",9.9E+99,AV321),AN321/U321))</f>
        <v/>
      </c>
      <c r="AR321" s="49">
        <f>IF(AQ321="","",AQ321*W321)</f>
        <v/>
      </c>
      <c r="AS321" s="51" t="n"/>
      <c r="AT321" s="52" t="n"/>
      <c r="AU321" s="52" t="n"/>
      <c r="AV321" s="53" t="n"/>
      <c r="AW321" s="54">
        <f>IF(((V321*pax_cap*load_thin*ROUND(N321*O321*revleg_thin,0))-(((battery/range_nm)*G321*ROUND(N321*O321*revleg_thin,0)*VLOOKUP(B321,country_opex,3,FALSE))+Y321+Z321+AA321+AB321+AC321))&lt;=0,"",VLOOKUP(B321,country_opex,7,FALSE)/((V321*pax_cap*load_thin*ROUND(N321*O321*revleg_thin,0))-(((battery/range_nm)*G321*ROUND(N321*O321*revleg_thin,0)*VLOOKUP(B321,country_opex,3,FALSE))+Y321+Z321+AA321+AB321+AC321)))</f>
        <v/>
      </c>
      <c r="AX321" s="54">
        <f>IF(((V321*pax_cap*load_mid*ROUND(N321*O321*revleg_mid,0))-(((battery/range_nm)*G321*ROUND(N321*O321*revleg_mid,0)*VLOOKUP(B321,country_opex,3,FALSE))+Y321+Z321+AA321+AB321+AC321))&lt;=0,"",VLOOKUP(B321,country_opex,7,FALSE)/((V321*pax_cap*load_mid*ROUND(N321*O321*revleg_mid,0))-(((battery/range_nm)*G321*ROUND(N321*O321*revleg_mid,0)*VLOOKUP(B321,country_opex,3,FALSE))+Y321+Z321+AA321+AB321+AC321)))</f>
        <v/>
      </c>
      <c r="AY321" s="54">
        <f>IF(((V321*pax_cap*load_full*ROUND(N321*O321*revleg_full,0))-(((battery/range_nm)*G321*ROUND(N321*O321*revleg_full,0)*VLOOKUP(B321,country_opex,3,FALSE))+Y321+Z321+AA321+AB321+AC321))&lt;=0,"",VLOOKUP(B321,country_opex,7,FALSE)/((V321*pax_cap*load_full*ROUND(N321*O321*revleg_full,0))-(((battery/range_nm)*G321*ROUND(N321*O321*revleg_full,0)*VLOOKUP(B321,country_opex,3,FALSE))+Y321+Z321+AA321+AB321+AC321)))</f>
        <v/>
      </c>
      <c r="AZ321" s="40" t="inlineStr">
        <is>
          <t>PREMIUM tier: divided 10-seater executive speedboat ~₦9,000/seat ≈ $6.6.</t>
        </is>
      </c>
      <c r="BA321" s="40" t="n"/>
    </row>
    <row r="322">
      <c r="A322" s="38" t="inlineStr">
        <is>
          <t>Yango Lagos</t>
        </is>
      </c>
      <c r="B322" s="38" t="inlineStr">
        <is>
          <t>Nigeria</t>
        </is>
      </c>
      <c r="C322" s="39" t="inlineStr">
        <is>
          <t>Victoria Island → Lekki Phase 1</t>
        </is>
      </c>
      <c r="D322" s="38" t="inlineStr">
        <is>
          <t>yango</t>
        </is>
      </c>
      <c r="E322" s="40" t="inlineStr">
        <is>
          <t>yango-lagos</t>
        </is>
      </c>
      <c r="F322" s="41" t="n">
        <v>1</v>
      </c>
      <c r="G322" s="42" t="n">
        <v>4</v>
      </c>
      <c r="H322" s="35" t="n">
        <v>6.6</v>
      </c>
      <c r="I322" s="43" t="inlineStr">
        <is>
          <t>T2</t>
        </is>
      </c>
      <c r="J322" s="43" t="inlineStr">
        <is>
          <t>med</t>
        </is>
      </c>
      <c r="K322" s="29" t="n">
        <v>1</v>
      </c>
      <c r="L322" s="44">
        <f>60*G322/cruise_kt</f>
        <v/>
      </c>
      <c r="M322" s="44">
        <f>L322+turn_min+dwell_min</f>
        <v/>
      </c>
      <c r="N322" s="45">
        <f>MIN(16,FLOOR(60*service_hr/M322,1))</f>
        <v/>
      </c>
      <c r="O322" s="45">
        <f>ROUND(365*mech_uptime*K322,0)</f>
        <v/>
      </c>
      <c r="P322" s="46">
        <f>mech_uptime</f>
        <v/>
      </c>
      <c r="Q322" s="46">
        <f>revleg_sel</f>
        <v/>
      </c>
      <c r="R322" s="45">
        <f>ROUND(N322*O322*revleg_sel,0)</f>
        <v/>
      </c>
      <c r="S322" s="47">
        <f>load_sel</f>
        <v/>
      </c>
      <c r="T322" s="47">
        <f>pax_cap*S322</f>
        <v/>
      </c>
      <c r="U322" s="45">
        <f>T322*R322</f>
        <v/>
      </c>
      <c r="V322" s="48">
        <f>H322*discount</f>
        <v/>
      </c>
      <c r="W322" s="49">
        <f>V322*U322</f>
        <v/>
      </c>
      <c r="X322" s="49">
        <f>(battery/range_nm)*G322*R322*VLOOKUP(B322,country_opex,3,FALSE)</f>
        <v/>
      </c>
      <c r="Y322" s="49">
        <f>VLOOKUP(B322,country_opex,2,FALSE)*crew_factor</f>
        <v/>
      </c>
      <c r="Z322" s="49">
        <f>VLOOKUP(B322,country_opex,5,FALSE)</f>
        <v/>
      </c>
      <c r="AA322" s="49">
        <f>maint</f>
        <v/>
      </c>
      <c r="AB322" s="49">
        <f>VLOOKUP(B322,country_opex,7,FALSE)*ins_pct</f>
        <v/>
      </c>
      <c r="AC322" s="49">
        <f>charge_berth</f>
        <v/>
      </c>
      <c r="AD322" s="49">
        <f>X322+Y322+Z322+AA322+AB322+AC322</f>
        <v/>
      </c>
      <c r="AE322" s="49">
        <f>VLOOKUP(B322,country_opex,7,FALSE)/dep_years</f>
        <v/>
      </c>
      <c r="AF322" s="49">
        <f>W322-AD322</f>
        <v/>
      </c>
      <c r="AG322" s="46">
        <f>IF(W322=0,"",AF322/W322)</f>
        <v/>
      </c>
      <c r="AH322" s="47">
        <f>IF(AF322&lt;=0,"",VLOOKUP(B322,country_opex,7,FALSE)/AF322)</f>
        <v/>
      </c>
      <c r="AI322" s="44">
        <f>((G322*R322/diesel_nmpg)*diesel_co2pg-(battery/range_nm)*G322*R322*VLOOKUP(B322,country_opex,4,FALSE))/1000</f>
        <v/>
      </c>
      <c r="AJ322" s="42" t="n"/>
      <c r="AK322" s="43" t="n"/>
      <c r="AL322" s="43" t="n"/>
      <c r="AM322" s="50" t="n">
        <v>0.1</v>
      </c>
      <c r="AN322" s="45">
        <f>IF(AJ322="","",AJ322*AM322)</f>
        <v/>
      </c>
      <c r="AO322" s="45">
        <f>IF(OR(AJ322="",U322=0),"",MIN(IF(AV322="",9.9E+99,AV322),FLOOR(AN322/U322,1)))</f>
        <v/>
      </c>
      <c r="AP322" s="49">
        <f>IF(AO322="","",AO322*W322)</f>
        <v/>
      </c>
      <c r="AQ322" s="47">
        <f>IF(OR(AJ322="",U322=0),"",MIN(IF(AV322="",9.9E+99,AV322),AN322/U322))</f>
        <v/>
      </c>
      <c r="AR322" s="49">
        <f>IF(AQ322="","",AQ322*W322)</f>
        <v/>
      </c>
      <c r="AS322" s="51" t="n"/>
      <c r="AT322" s="52" t="n"/>
      <c r="AU322" s="52" t="n"/>
      <c r="AV322" s="53" t="n"/>
      <c r="AW322" s="54">
        <f>IF(((V322*pax_cap*load_thin*ROUND(N322*O322*revleg_thin,0))-(((battery/range_nm)*G322*ROUND(N322*O322*revleg_thin,0)*VLOOKUP(B322,country_opex,3,FALSE))+Y322+Z322+AA322+AB322+AC322))&lt;=0,"",VLOOKUP(B322,country_opex,7,FALSE)/((V322*pax_cap*load_thin*ROUND(N322*O322*revleg_thin,0))-(((battery/range_nm)*G322*ROUND(N322*O322*revleg_thin,0)*VLOOKUP(B322,country_opex,3,FALSE))+Y322+Z322+AA322+AB322+AC322)))</f>
        <v/>
      </c>
      <c r="AX322" s="54">
        <f>IF(((V322*pax_cap*load_mid*ROUND(N322*O322*revleg_mid,0))-(((battery/range_nm)*G322*ROUND(N322*O322*revleg_mid,0)*VLOOKUP(B322,country_opex,3,FALSE))+Y322+Z322+AA322+AB322+AC322))&lt;=0,"",VLOOKUP(B322,country_opex,7,FALSE)/((V322*pax_cap*load_mid*ROUND(N322*O322*revleg_mid,0))-(((battery/range_nm)*G322*ROUND(N322*O322*revleg_mid,0)*VLOOKUP(B322,country_opex,3,FALSE))+Y322+Z322+AA322+AB322+AC322)))</f>
        <v/>
      </c>
      <c r="AY322" s="54">
        <f>IF(((V322*pax_cap*load_full*ROUND(N322*O322*revleg_full,0))-(((battery/range_nm)*G322*ROUND(N322*O322*revleg_full,0)*VLOOKUP(B322,country_opex,3,FALSE))+Y322+Z322+AA322+AB322+AC322))&lt;=0,"",VLOOKUP(B322,country_opex,7,FALSE)/((V322*pax_cap*load_full*ROUND(N322*O322*revleg_full,0))-(((battery/range_nm)*G322*ROUND(N322*O322*revleg_full,0)*VLOOKUP(B322,country_opex,3,FALSE))+Y322+Z322+AA322+AB322+AC322)))</f>
        <v/>
      </c>
      <c r="AZ322" s="40" t="inlineStr">
        <is>
          <t>PREMIUM tier: divided 10-seater executive speedboat ~₦9,000/seat ≈ $6.6.</t>
        </is>
      </c>
      <c r="BA322" s="40" t="n"/>
    </row>
    <row r="323">
      <c r="A323" s="38" t="inlineStr">
        <is>
          <t>Yango Lagos</t>
        </is>
      </c>
      <c r="B323" s="38" t="inlineStr">
        <is>
          <t>Nigeria</t>
        </is>
      </c>
      <c r="C323" s="39" t="inlineStr">
        <is>
          <t>Badore (Ajah) → Ijede (Ikorodu)</t>
        </is>
      </c>
      <c r="D323" s="38" t="inlineStr">
        <is>
          <t>yango</t>
        </is>
      </c>
      <c r="E323" s="40" t="inlineStr">
        <is>
          <t>yango-lagos</t>
        </is>
      </c>
      <c r="F323" s="41" t="n">
        <v>1</v>
      </c>
      <c r="G323" s="42" t="n">
        <v>5</v>
      </c>
      <c r="H323" s="35" t="n">
        <v>6.6</v>
      </c>
      <c r="I323" s="43" t="inlineStr">
        <is>
          <t>T2</t>
        </is>
      </c>
      <c r="J323" s="43" t="inlineStr">
        <is>
          <t>med</t>
        </is>
      </c>
      <c r="K323" s="29" t="n">
        <v>1</v>
      </c>
      <c r="L323" s="44">
        <f>60*G323/cruise_kt</f>
        <v/>
      </c>
      <c r="M323" s="44">
        <f>L323+turn_min+dwell_min</f>
        <v/>
      </c>
      <c r="N323" s="45">
        <f>MIN(16,FLOOR(60*service_hr/M323,1))</f>
        <v/>
      </c>
      <c r="O323" s="45">
        <f>ROUND(365*mech_uptime*K323,0)</f>
        <v/>
      </c>
      <c r="P323" s="46">
        <f>mech_uptime</f>
        <v/>
      </c>
      <c r="Q323" s="46">
        <f>revleg_sel</f>
        <v/>
      </c>
      <c r="R323" s="45">
        <f>ROUND(N323*O323*revleg_sel,0)</f>
        <v/>
      </c>
      <c r="S323" s="47">
        <f>load_sel</f>
        <v/>
      </c>
      <c r="T323" s="47">
        <f>pax_cap*S323</f>
        <v/>
      </c>
      <c r="U323" s="45">
        <f>T323*R323</f>
        <v/>
      </c>
      <c r="V323" s="48">
        <f>H323*discount</f>
        <v/>
      </c>
      <c r="W323" s="49">
        <f>V323*U323</f>
        <v/>
      </c>
      <c r="X323" s="49">
        <f>(battery/range_nm)*G323*R323*VLOOKUP(B323,country_opex,3,FALSE)</f>
        <v/>
      </c>
      <c r="Y323" s="49">
        <f>VLOOKUP(B323,country_opex,2,FALSE)*crew_factor</f>
        <v/>
      </c>
      <c r="Z323" s="49">
        <f>VLOOKUP(B323,country_opex,5,FALSE)</f>
        <v/>
      </c>
      <c r="AA323" s="49">
        <f>maint</f>
        <v/>
      </c>
      <c r="AB323" s="49">
        <f>VLOOKUP(B323,country_opex,7,FALSE)*ins_pct</f>
        <v/>
      </c>
      <c r="AC323" s="49">
        <f>charge_berth</f>
        <v/>
      </c>
      <c r="AD323" s="49">
        <f>X323+Y323+Z323+AA323+AB323+AC323</f>
        <v/>
      </c>
      <c r="AE323" s="49">
        <f>VLOOKUP(B323,country_opex,7,FALSE)/dep_years</f>
        <v/>
      </c>
      <c r="AF323" s="49">
        <f>W323-AD323</f>
        <v/>
      </c>
      <c r="AG323" s="46">
        <f>IF(W323=0,"",AF323/W323)</f>
        <v/>
      </c>
      <c r="AH323" s="47">
        <f>IF(AF323&lt;=0,"",VLOOKUP(B323,country_opex,7,FALSE)/AF323)</f>
        <v/>
      </c>
      <c r="AI323" s="44">
        <f>((G323*R323/diesel_nmpg)*diesel_co2pg-(battery/range_nm)*G323*R323*VLOOKUP(B323,country_opex,4,FALSE))/1000</f>
        <v/>
      </c>
      <c r="AJ323" s="42" t="n"/>
      <c r="AK323" s="43" t="n"/>
      <c r="AL323" s="43" t="n"/>
      <c r="AM323" s="50" t="n">
        <v>0.1</v>
      </c>
      <c r="AN323" s="45">
        <f>IF(AJ323="","",AJ323*AM323)</f>
        <v/>
      </c>
      <c r="AO323" s="45">
        <f>IF(OR(AJ323="",U323=0),"",MIN(IF(AV323="",9.9E+99,AV323),FLOOR(AN323/U323,1)))</f>
        <v/>
      </c>
      <c r="AP323" s="49">
        <f>IF(AO323="","",AO323*W323)</f>
        <v/>
      </c>
      <c r="AQ323" s="47">
        <f>IF(OR(AJ323="",U323=0),"",MIN(IF(AV323="",9.9E+99,AV323),AN323/U323))</f>
        <v/>
      </c>
      <c r="AR323" s="49">
        <f>IF(AQ323="","",AQ323*W323)</f>
        <v/>
      </c>
      <c r="AS323" s="51" t="n"/>
      <c r="AT323" s="52" t="n"/>
      <c r="AU323" s="52" t="n"/>
      <c r="AV323" s="53" t="n"/>
      <c r="AW323" s="54">
        <f>IF(((V323*pax_cap*load_thin*ROUND(N323*O323*revleg_thin,0))-(((battery/range_nm)*G323*ROUND(N323*O323*revleg_thin,0)*VLOOKUP(B323,country_opex,3,FALSE))+Y323+Z323+AA323+AB323+AC323))&lt;=0,"",VLOOKUP(B323,country_opex,7,FALSE)/((V323*pax_cap*load_thin*ROUND(N323*O323*revleg_thin,0))-(((battery/range_nm)*G323*ROUND(N323*O323*revleg_thin,0)*VLOOKUP(B323,country_opex,3,FALSE))+Y323+Z323+AA323+AB323+AC323)))</f>
        <v/>
      </c>
      <c r="AX323" s="54">
        <f>IF(((V323*pax_cap*load_mid*ROUND(N323*O323*revleg_mid,0))-(((battery/range_nm)*G323*ROUND(N323*O323*revleg_mid,0)*VLOOKUP(B323,country_opex,3,FALSE))+Y323+Z323+AA323+AB323+AC323))&lt;=0,"",VLOOKUP(B323,country_opex,7,FALSE)/((V323*pax_cap*load_mid*ROUND(N323*O323*revleg_mid,0))-(((battery/range_nm)*G323*ROUND(N323*O323*revleg_mid,0)*VLOOKUP(B323,country_opex,3,FALSE))+Y323+Z323+AA323+AB323+AC323)))</f>
        <v/>
      </c>
      <c r="AY323" s="54">
        <f>IF(((V323*pax_cap*load_full*ROUND(N323*O323*revleg_full,0))-(((battery/range_nm)*G323*ROUND(N323*O323*revleg_full,0)*VLOOKUP(B323,country_opex,3,FALSE))+Y323+Z323+AA323+AB323+AC323))&lt;=0,"",VLOOKUP(B323,country_opex,7,FALSE)/((V323*pax_cap*load_full*ROUND(N323*O323*revleg_full,0))-(((battery/range_nm)*G323*ROUND(N323*O323*revleg_full,0)*VLOOKUP(B323,country_opex,3,FALSE))+Y323+Z323+AA323+AB323+AC323)))</f>
        <v/>
      </c>
      <c r="AZ323" s="40" t="inlineStr">
        <is>
          <t>PREMIUM tier: divided 10-seater executive speedboat ~₦9,000/seat ≈ $6.6 (short hop sits below this in practice).</t>
        </is>
      </c>
      <c r="BA323" s="40" t="n"/>
    </row>
    <row r="324">
      <c r="A324" s="38" t="inlineStr">
        <is>
          <t>Yango Lagos</t>
        </is>
      </c>
      <c r="B324" s="38" t="inlineStr">
        <is>
          <t>Nigeria</t>
        </is>
      </c>
      <c r="C324" s="39" t="inlineStr">
        <is>
          <t>Mile 2 (Amuwo-Odofin) → CMS/Marina (Lagos Island)</t>
        </is>
      </c>
      <c r="D324" s="38" t="inlineStr">
        <is>
          <t>yango</t>
        </is>
      </c>
      <c r="E324" s="40" t="inlineStr">
        <is>
          <t>yango-lagos</t>
        </is>
      </c>
      <c r="F324" s="41" t="n">
        <v>1</v>
      </c>
      <c r="G324" s="42" t="n">
        <v>6</v>
      </c>
      <c r="H324" s="35" t="n">
        <v>6.6</v>
      </c>
      <c r="I324" s="43" t="inlineStr">
        <is>
          <t>T2</t>
        </is>
      </c>
      <c r="J324" s="43" t="inlineStr">
        <is>
          <t>med</t>
        </is>
      </c>
      <c r="K324" s="29" t="n">
        <v>1</v>
      </c>
      <c r="L324" s="44">
        <f>60*G324/cruise_kt</f>
        <v/>
      </c>
      <c r="M324" s="44">
        <f>L324+turn_min+dwell_min</f>
        <v/>
      </c>
      <c r="N324" s="45">
        <f>MIN(16,FLOOR(60*service_hr/M324,1))</f>
        <v/>
      </c>
      <c r="O324" s="45">
        <f>ROUND(365*mech_uptime*K324,0)</f>
        <v/>
      </c>
      <c r="P324" s="46">
        <f>mech_uptime</f>
        <v/>
      </c>
      <c r="Q324" s="46">
        <f>revleg_sel</f>
        <v/>
      </c>
      <c r="R324" s="45">
        <f>ROUND(N324*O324*revleg_sel,0)</f>
        <v/>
      </c>
      <c r="S324" s="47">
        <f>load_sel</f>
        <v/>
      </c>
      <c r="T324" s="47">
        <f>pax_cap*S324</f>
        <v/>
      </c>
      <c r="U324" s="45">
        <f>T324*R324</f>
        <v/>
      </c>
      <c r="V324" s="48">
        <f>H324*discount</f>
        <v/>
      </c>
      <c r="W324" s="49">
        <f>V324*U324</f>
        <v/>
      </c>
      <c r="X324" s="49">
        <f>(battery/range_nm)*G324*R324*VLOOKUP(B324,country_opex,3,FALSE)</f>
        <v/>
      </c>
      <c r="Y324" s="49">
        <f>VLOOKUP(B324,country_opex,2,FALSE)*crew_factor</f>
        <v/>
      </c>
      <c r="Z324" s="49">
        <f>VLOOKUP(B324,country_opex,5,FALSE)</f>
        <v/>
      </c>
      <c r="AA324" s="49">
        <f>maint</f>
        <v/>
      </c>
      <c r="AB324" s="49">
        <f>VLOOKUP(B324,country_opex,7,FALSE)*ins_pct</f>
        <v/>
      </c>
      <c r="AC324" s="49">
        <f>charge_berth</f>
        <v/>
      </c>
      <c r="AD324" s="49">
        <f>X324+Y324+Z324+AA324+AB324+AC324</f>
        <v/>
      </c>
      <c r="AE324" s="49">
        <f>VLOOKUP(B324,country_opex,7,FALSE)/dep_years</f>
        <v/>
      </c>
      <c r="AF324" s="49">
        <f>W324-AD324</f>
        <v/>
      </c>
      <c r="AG324" s="46">
        <f>IF(W324=0,"",AF324/W324)</f>
        <v/>
      </c>
      <c r="AH324" s="47">
        <f>IF(AF324&lt;=0,"",VLOOKUP(B324,country_opex,7,FALSE)/AF324)</f>
        <v/>
      </c>
      <c r="AI324" s="44">
        <f>((G324*R324/diesel_nmpg)*diesel_co2pg-(battery/range_nm)*G324*R324*VLOOKUP(B324,country_opex,4,FALSE))/1000</f>
        <v/>
      </c>
      <c r="AJ324" s="42" t="n"/>
      <c r="AK324" s="43" t="n"/>
      <c r="AL324" s="43" t="n"/>
      <c r="AM324" s="50" t="n">
        <v>0.1</v>
      </c>
      <c r="AN324" s="45">
        <f>IF(AJ324="","",AJ324*AM324)</f>
        <v/>
      </c>
      <c r="AO324" s="45">
        <f>IF(OR(AJ324="",U324=0),"",MIN(IF(AV324="",9.9E+99,AV324),FLOOR(AN324/U324,1)))</f>
        <v/>
      </c>
      <c r="AP324" s="49">
        <f>IF(AO324="","",AO324*W324)</f>
        <v/>
      </c>
      <c r="AQ324" s="47">
        <f>IF(OR(AJ324="",U324=0),"",MIN(IF(AV324="",9.9E+99,AV324),AN324/U324))</f>
        <v/>
      </c>
      <c r="AR324" s="49">
        <f>IF(AQ324="","",AQ324*W324)</f>
        <v/>
      </c>
      <c r="AS324" s="51" t="n"/>
      <c r="AT324" s="52" t="n"/>
      <c r="AU324" s="52" t="n"/>
      <c r="AV324" s="53" t="n"/>
      <c r="AW324" s="54">
        <f>IF(((V324*pax_cap*load_thin*ROUND(N324*O324*revleg_thin,0))-(((battery/range_nm)*G324*ROUND(N324*O324*revleg_thin,0)*VLOOKUP(B324,country_opex,3,FALSE))+Y324+Z324+AA324+AB324+AC324))&lt;=0,"",VLOOKUP(B324,country_opex,7,FALSE)/((V324*pax_cap*load_thin*ROUND(N324*O324*revleg_thin,0))-(((battery/range_nm)*G324*ROUND(N324*O324*revleg_thin,0)*VLOOKUP(B324,country_opex,3,FALSE))+Y324+Z324+AA324+AB324+AC324)))</f>
        <v/>
      </c>
      <c r="AX324" s="54">
        <f>IF(((V324*pax_cap*load_mid*ROUND(N324*O324*revleg_mid,0))-(((battery/range_nm)*G324*ROUND(N324*O324*revleg_mid,0)*VLOOKUP(B324,country_opex,3,FALSE))+Y324+Z324+AA324+AB324+AC324))&lt;=0,"",VLOOKUP(B324,country_opex,7,FALSE)/((V324*pax_cap*load_mid*ROUND(N324*O324*revleg_mid,0))-(((battery/range_nm)*G324*ROUND(N324*O324*revleg_mid,0)*VLOOKUP(B324,country_opex,3,FALSE))+Y324+Z324+AA324+AB324+AC324)))</f>
        <v/>
      </c>
      <c r="AY324" s="54">
        <f>IF(((V324*pax_cap*load_full*ROUND(N324*O324*revleg_full,0))-(((battery/range_nm)*G324*ROUND(N324*O324*revleg_full,0)*VLOOKUP(B324,country_opex,3,FALSE))+Y324+Z324+AA324+AB324+AC324))&lt;=0,"",VLOOKUP(B324,country_opex,7,FALSE)/((V324*pax_cap*load_full*ROUND(N324*O324*revleg_full,0))-(((battery/range_nm)*G324*ROUND(N324*O324*revleg_full,0)*VLOOKUP(B324,country_opex,3,FALSE))+Y324+Z324+AA324+AB324+AC324)))</f>
        <v/>
      </c>
      <c r="AZ324" s="40" t="inlineStr">
        <is>
          <t>PREMIUM tier: divided 10-seater executive speedboat ~₦9,000/seat ≈ $6.6.</t>
        </is>
      </c>
      <c r="BA324" s="40" t="n"/>
    </row>
    <row r="325">
      <c r="A325" s="38" t="inlineStr">
        <is>
          <t>Yango Lagos</t>
        </is>
      </c>
      <c r="B325" s="38" t="inlineStr">
        <is>
          <t>Nigeria</t>
        </is>
      </c>
      <c r="C325" s="39" t="inlineStr">
        <is>
          <t>Badore (Ajah) → Falomo (Five Cowries Terminal, Ikoyi)</t>
        </is>
      </c>
      <c r="D325" s="38" t="inlineStr">
        <is>
          <t>yango</t>
        </is>
      </c>
      <c r="E325" s="40" t="inlineStr">
        <is>
          <t>yango-lagos</t>
        </is>
      </c>
      <c r="F325" s="41" t="n">
        <v>1</v>
      </c>
      <c r="G325" s="42" t="n">
        <v>9</v>
      </c>
      <c r="H325" s="35" t="n">
        <v>6.6</v>
      </c>
      <c r="I325" s="43" t="inlineStr">
        <is>
          <t>T2</t>
        </is>
      </c>
      <c r="J325" s="43" t="inlineStr">
        <is>
          <t>med</t>
        </is>
      </c>
      <c r="K325" s="29" t="n">
        <v>1</v>
      </c>
      <c r="L325" s="44">
        <f>60*G325/cruise_kt</f>
        <v/>
      </c>
      <c r="M325" s="44">
        <f>L325+turn_min+dwell_min</f>
        <v/>
      </c>
      <c r="N325" s="45">
        <f>MIN(16,FLOOR(60*service_hr/M325,1))</f>
        <v/>
      </c>
      <c r="O325" s="45">
        <f>ROUND(365*mech_uptime*K325,0)</f>
        <v/>
      </c>
      <c r="P325" s="46">
        <f>mech_uptime</f>
        <v/>
      </c>
      <c r="Q325" s="46">
        <f>revleg_sel</f>
        <v/>
      </c>
      <c r="R325" s="45">
        <f>ROUND(N325*O325*revleg_sel,0)</f>
        <v/>
      </c>
      <c r="S325" s="47">
        <f>load_sel</f>
        <v/>
      </c>
      <c r="T325" s="47">
        <f>pax_cap*S325</f>
        <v/>
      </c>
      <c r="U325" s="45">
        <f>T325*R325</f>
        <v/>
      </c>
      <c r="V325" s="48">
        <f>H325*discount</f>
        <v/>
      </c>
      <c r="W325" s="49">
        <f>V325*U325</f>
        <v/>
      </c>
      <c r="X325" s="49">
        <f>(battery/range_nm)*G325*R325*VLOOKUP(B325,country_opex,3,FALSE)</f>
        <v/>
      </c>
      <c r="Y325" s="49">
        <f>VLOOKUP(B325,country_opex,2,FALSE)*crew_factor</f>
        <v/>
      </c>
      <c r="Z325" s="49">
        <f>VLOOKUP(B325,country_opex,5,FALSE)</f>
        <v/>
      </c>
      <c r="AA325" s="49">
        <f>maint</f>
        <v/>
      </c>
      <c r="AB325" s="49">
        <f>VLOOKUP(B325,country_opex,7,FALSE)*ins_pct</f>
        <v/>
      </c>
      <c r="AC325" s="49">
        <f>charge_berth</f>
        <v/>
      </c>
      <c r="AD325" s="49">
        <f>X325+Y325+Z325+AA325+AB325+AC325</f>
        <v/>
      </c>
      <c r="AE325" s="49">
        <f>VLOOKUP(B325,country_opex,7,FALSE)/dep_years</f>
        <v/>
      </c>
      <c r="AF325" s="49">
        <f>W325-AD325</f>
        <v/>
      </c>
      <c r="AG325" s="46">
        <f>IF(W325=0,"",AF325/W325)</f>
        <v/>
      </c>
      <c r="AH325" s="47">
        <f>IF(AF325&lt;=0,"",VLOOKUP(B325,country_opex,7,FALSE)/AF325)</f>
        <v/>
      </c>
      <c r="AI325" s="44">
        <f>((G325*R325/diesel_nmpg)*diesel_co2pg-(battery/range_nm)*G325*R325*VLOOKUP(B325,country_opex,4,FALSE))/1000</f>
        <v/>
      </c>
      <c r="AJ325" s="42" t="n"/>
      <c r="AK325" s="43" t="n"/>
      <c r="AL325" s="43" t="n"/>
      <c r="AM325" s="50" t="n">
        <v>0.1</v>
      </c>
      <c r="AN325" s="45">
        <f>IF(AJ325="","",AJ325*AM325)</f>
        <v/>
      </c>
      <c r="AO325" s="45">
        <f>IF(OR(AJ325="",U325=0),"",MIN(IF(AV325="",9.9E+99,AV325),FLOOR(AN325/U325,1)))</f>
        <v/>
      </c>
      <c r="AP325" s="49">
        <f>IF(AO325="","",AO325*W325)</f>
        <v/>
      </c>
      <c r="AQ325" s="47">
        <f>IF(OR(AJ325="",U325=0),"",MIN(IF(AV325="",9.9E+99,AV325),AN325/U325))</f>
        <v/>
      </c>
      <c r="AR325" s="49">
        <f>IF(AQ325="","",AQ325*W325)</f>
        <v/>
      </c>
      <c r="AS325" s="51" t="n"/>
      <c r="AT325" s="52" t="n"/>
      <c r="AU325" s="52" t="n"/>
      <c r="AV325" s="53" t="n"/>
      <c r="AW325" s="54">
        <f>IF(((V325*pax_cap*load_thin*ROUND(N325*O325*revleg_thin,0))-(((battery/range_nm)*G325*ROUND(N325*O325*revleg_thin,0)*VLOOKUP(B325,country_opex,3,FALSE))+Y325+Z325+AA325+AB325+AC325))&lt;=0,"",VLOOKUP(B325,country_opex,7,FALSE)/((V325*pax_cap*load_thin*ROUND(N325*O325*revleg_thin,0))-(((battery/range_nm)*G325*ROUND(N325*O325*revleg_thin,0)*VLOOKUP(B325,country_opex,3,FALSE))+Y325+Z325+AA325+AB325+AC325)))</f>
        <v/>
      </c>
      <c r="AX325" s="54">
        <f>IF(((V325*pax_cap*load_mid*ROUND(N325*O325*revleg_mid,0))-(((battery/range_nm)*G325*ROUND(N325*O325*revleg_mid,0)*VLOOKUP(B325,country_opex,3,FALSE))+Y325+Z325+AA325+AB325+AC325))&lt;=0,"",VLOOKUP(B325,country_opex,7,FALSE)/((V325*pax_cap*load_mid*ROUND(N325*O325*revleg_mid,0))-(((battery/range_nm)*G325*ROUND(N325*O325*revleg_mid,0)*VLOOKUP(B325,country_opex,3,FALSE))+Y325+Z325+AA325+AB325+AC325)))</f>
        <v/>
      </c>
      <c r="AY325" s="54">
        <f>IF(((V325*pax_cap*load_full*ROUND(N325*O325*revleg_full,0))-(((battery/range_nm)*G325*ROUND(N325*O325*revleg_full,0)*VLOOKUP(B325,country_opex,3,FALSE))+Y325+Z325+AA325+AB325+AC325))&lt;=0,"",VLOOKUP(B325,country_opex,7,FALSE)/((V325*pax_cap*load_full*ROUND(N325*O325*revleg_full,0))-(((battery/range_nm)*G325*ROUND(N325*O325*revleg_full,0)*VLOOKUP(B325,country_opex,3,FALSE))+Y325+Z325+AA325+AB325+AC325)))</f>
        <v/>
      </c>
      <c r="AZ325" s="40" t="inlineStr">
        <is>
          <t>PREMIUM tier: divided 10-seater executive speedboat ~₦9,000/seat ≈ $6.6.</t>
        </is>
      </c>
      <c r="BA325" s="40" t="n"/>
    </row>
    <row r="326">
      <c r="A326" s="38" t="inlineStr">
        <is>
          <t>Yango Lagos</t>
        </is>
      </c>
      <c r="B326" s="38" t="inlineStr">
        <is>
          <t>Nigeria</t>
        </is>
      </c>
      <c r="C326" s="39" t="inlineStr">
        <is>
          <t>Oke-Ira Nla (Ajah) → Ikorodu</t>
        </is>
      </c>
      <c r="D326" s="38" t="inlineStr">
        <is>
          <t>yango</t>
        </is>
      </c>
      <c r="E326" s="40" t="inlineStr">
        <is>
          <t>yango-lagos</t>
        </is>
      </c>
      <c r="F326" s="41" t="n">
        <v>1</v>
      </c>
      <c r="G326" s="42" t="n">
        <v>9</v>
      </c>
      <c r="H326" s="35" t="n">
        <v>6.6</v>
      </c>
      <c r="I326" s="43" t="inlineStr">
        <is>
          <t>T2</t>
        </is>
      </c>
      <c r="J326" s="43" t="inlineStr">
        <is>
          <t>med</t>
        </is>
      </c>
      <c r="K326" s="29" t="n">
        <v>1</v>
      </c>
      <c r="L326" s="44">
        <f>60*G326/cruise_kt</f>
        <v/>
      </c>
      <c r="M326" s="44">
        <f>L326+turn_min+dwell_min</f>
        <v/>
      </c>
      <c r="N326" s="45">
        <f>MIN(16,FLOOR(60*service_hr/M326,1))</f>
        <v/>
      </c>
      <c r="O326" s="45">
        <f>ROUND(365*mech_uptime*K326,0)</f>
        <v/>
      </c>
      <c r="P326" s="46">
        <f>mech_uptime</f>
        <v/>
      </c>
      <c r="Q326" s="46">
        <f>revleg_sel</f>
        <v/>
      </c>
      <c r="R326" s="45">
        <f>ROUND(N326*O326*revleg_sel,0)</f>
        <v/>
      </c>
      <c r="S326" s="47">
        <f>load_sel</f>
        <v/>
      </c>
      <c r="T326" s="47">
        <f>pax_cap*S326</f>
        <v/>
      </c>
      <c r="U326" s="45">
        <f>T326*R326</f>
        <v/>
      </c>
      <c r="V326" s="48">
        <f>H326*discount</f>
        <v/>
      </c>
      <c r="W326" s="49">
        <f>V326*U326</f>
        <v/>
      </c>
      <c r="X326" s="49">
        <f>(battery/range_nm)*G326*R326*VLOOKUP(B326,country_opex,3,FALSE)</f>
        <v/>
      </c>
      <c r="Y326" s="49">
        <f>VLOOKUP(B326,country_opex,2,FALSE)*crew_factor</f>
        <v/>
      </c>
      <c r="Z326" s="49">
        <f>VLOOKUP(B326,country_opex,5,FALSE)</f>
        <v/>
      </c>
      <c r="AA326" s="49">
        <f>maint</f>
        <v/>
      </c>
      <c r="AB326" s="49">
        <f>VLOOKUP(B326,country_opex,7,FALSE)*ins_pct</f>
        <v/>
      </c>
      <c r="AC326" s="49">
        <f>charge_berth</f>
        <v/>
      </c>
      <c r="AD326" s="49">
        <f>X326+Y326+Z326+AA326+AB326+AC326</f>
        <v/>
      </c>
      <c r="AE326" s="49">
        <f>VLOOKUP(B326,country_opex,7,FALSE)/dep_years</f>
        <v/>
      </c>
      <c r="AF326" s="49">
        <f>W326-AD326</f>
        <v/>
      </c>
      <c r="AG326" s="46">
        <f>IF(W326=0,"",AF326/W326)</f>
        <v/>
      </c>
      <c r="AH326" s="47">
        <f>IF(AF326&lt;=0,"",VLOOKUP(B326,country_opex,7,FALSE)/AF326)</f>
        <v/>
      </c>
      <c r="AI326" s="44">
        <f>((G326*R326/diesel_nmpg)*diesel_co2pg-(battery/range_nm)*G326*R326*VLOOKUP(B326,country_opex,4,FALSE))/1000</f>
        <v/>
      </c>
      <c r="AJ326" s="42" t="n"/>
      <c r="AK326" s="43" t="n"/>
      <c r="AL326" s="43" t="n"/>
      <c r="AM326" s="50" t="n">
        <v>0.1</v>
      </c>
      <c r="AN326" s="45">
        <f>IF(AJ326="","",AJ326*AM326)</f>
        <v/>
      </c>
      <c r="AO326" s="45">
        <f>IF(OR(AJ326="",U326=0),"",MIN(IF(AV326="",9.9E+99,AV326),FLOOR(AN326/U326,1)))</f>
        <v/>
      </c>
      <c r="AP326" s="49">
        <f>IF(AO326="","",AO326*W326)</f>
        <v/>
      </c>
      <c r="AQ326" s="47">
        <f>IF(OR(AJ326="",U326=0),"",MIN(IF(AV326="",9.9E+99,AV326),AN326/U326))</f>
        <v/>
      </c>
      <c r="AR326" s="49">
        <f>IF(AQ326="","",AQ326*W326)</f>
        <v/>
      </c>
      <c r="AS326" s="51" t="n"/>
      <c r="AT326" s="52" t="n"/>
      <c r="AU326" s="52" t="n"/>
      <c r="AV326" s="53" t="n"/>
      <c r="AW326" s="54">
        <f>IF(((V326*pax_cap*load_thin*ROUND(N326*O326*revleg_thin,0))-(((battery/range_nm)*G326*ROUND(N326*O326*revleg_thin,0)*VLOOKUP(B326,country_opex,3,FALSE))+Y326+Z326+AA326+AB326+AC326))&lt;=0,"",VLOOKUP(B326,country_opex,7,FALSE)/((V326*pax_cap*load_thin*ROUND(N326*O326*revleg_thin,0))-(((battery/range_nm)*G326*ROUND(N326*O326*revleg_thin,0)*VLOOKUP(B326,country_opex,3,FALSE))+Y326+Z326+AA326+AB326+AC326)))</f>
        <v/>
      </c>
      <c r="AX326" s="54">
        <f>IF(((V326*pax_cap*load_mid*ROUND(N326*O326*revleg_mid,0))-(((battery/range_nm)*G326*ROUND(N326*O326*revleg_mid,0)*VLOOKUP(B326,country_opex,3,FALSE))+Y326+Z326+AA326+AB326+AC326))&lt;=0,"",VLOOKUP(B326,country_opex,7,FALSE)/((V326*pax_cap*load_mid*ROUND(N326*O326*revleg_mid,0))-(((battery/range_nm)*G326*ROUND(N326*O326*revleg_mid,0)*VLOOKUP(B326,country_opex,3,FALSE))+Y326+Z326+AA326+AB326+AC326)))</f>
        <v/>
      </c>
      <c r="AY326" s="54">
        <f>IF(((V326*pax_cap*load_full*ROUND(N326*O326*revleg_full,0))-(((battery/range_nm)*G326*ROUND(N326*O326*revleg_full,0)*VLOOKUP(B326,country_opex,3,FALSE))+Y326+Z326+AA326+AB326+AC326))&lt;=0,"",VLOOKUP(B326,country_opex,7,FALSE)/((V326*pax_cap*load_full*ROUND(N326*O326*revleg_full,0))-(((battery/range_nm)*G326*ROUND(N326*O326*revleg_full,0)*VLOOKUP(B326,country_opex,3,FALSE))+Y326+Z326+AA326+AB326+AC326)))</f>
        <v/>
      </c>
      <c r="AZ326" s="40" t="inlineStr">
        <is>
          <t>PREMIUM tier: divided 10-seater executive speedboat ~₦9,000/seat ≈ $6.6.</t>
        </is>
      </c>
      <c r="BA326" s="40" t="n"/>
    </row>
    <row r="327">
      <c r="A327" s="38" t="inlineStr">
        <is>
          <t>Yango Lagos</t>
        </is>
      </c>
      <c r="B327" s="38" t="inlineStr">
        <is>
          <t>Nigeria</t>
        </is>
      </c>
      <c r="C327" s="39" t="inlineStr">
        <is>
          <t>Bayeku → Falomo (Five Cowries Terminal, Ikoyi)</t>
        </is>
      </c>
      <c r="D327" s="38" t="inlineStr">
        <is>
          <t>yango</t>
        </is>
      </c>
      <c r="E327" s="40" t="inlineStr">
        <is>
          <t>yango-lagos</t>
        </is>
      </c>
      <c r="F327" s="41" t="n">
        <v>1</v>
      </c>
      <c r="G327" s="42" t="n">
        <v>11</v>
      </c>
      <c r="H327" s="35" t="n">
        <v>6.6</v>
      </c>
      <c r="I327" s="43" t="inlineStr">
        <is>
          <t>T2</t>
        </is>
      </c>
      <c r="J327" s="43" t="inlineStr">
        <is>
          <t>med</t>
        </is>
      </c>
      <c r="K327" s="29" t="n">
        <v>1</v>
      </c>
      <c r="L327" s="44">
        <f>60*G327/cruise_kt</f>
        <v/>
      </c>
      <c r="M327" s="44">
        <f>L327+turn_min+dwell_min</f>
        <v/>
      </c>
      <c r="N327" s="45">
        <f>MIN(16,FLOOR(60*service_hr/M327,1))</f>
        <v/>
      </c>
      <c r="O327" s="45">
        <f>ROUND(365*mech_uptime*K327,0)</f>
        <v/>
      </c>
      <c r="P327" s="46">
        <f>mech_uptime</f>
        <v/>
      </c>
      <c r="Q327" s="46">
        <f>revleg_sel</f>
        <v/>
      </c>
      <c r="R327" s="45">
        <f>ROUND(N327*O327*revleg_sel,0)</f>
        <v/>
      </c>
      <c r="S327" s="47">
        <f>load_sel</f>
        <v/>
      </c>
      <c r="T327" s="47">
        <f>pax_cap*S327</f>
        <v/>
      </c>
      <c r="U327" s="45">
        <f>T327*R327</f>
        <v/>
      </c>
      <c r="V327" s="48">
        <f>H327*discount</f>
        <v/>
      </c>
      <c r="W327" s="49">
        <f>V327*U327</f>
        <v/>
      </c>
      <c r="X327" s="49">
        <f>(battery/range_nm)*G327*R327*VLOOKUP(B327,country_opex,3,FALSE)</f>
        <v/>
      </c>
      <c r="Y327" s="49">
        <f>VLOOKUP(B327,country_opex,2,FALSE)*crew_factor</f>
        <v/>
      </c>
      <c r="Z327" s="49">
        <f>VLOOKUP(B327,country_opex,5,FALSE)</f>
        <v/>
      </c>
      <c r="AA327" s="49">
        <f>maint</f>
        <v/>
      </c>
      <c r="AB327" s="49">
        <f>VLOOKUP(B327,country_opex,7,FALSE)*ins_pct</f>
        <v/>
      </c>
      <c r="AC327" s="49">
        <f>charge_berth</f>
        <v/>
      </c>
      <c r="AD327" s="49">
        <f>X327+Y327+Z327+AA327+AB327+AC327</f>
        <v/>
      </c>
      <c r="AE327" s="49">
        <f>VLOOKUP(B327,country_opex,7,FALSE)/dep_years</f>
        <v/>
      </c>
      <c r="AF327" s="49">
        <f>W327-AD327</f>
        <v/>
      </c>
      <c r="AG327" s="46">
        <f>IF(W327=0,"",AF327/W327)</f>
        <v/>
      </c>
      <c r="AH327" s="47">
        <f>IF(AF327&lt;=0,"",VLOOKUP(B327,country_opex,7,FALSE)/AF327)</f>
        <v/>
      </c>
      <c r="AI327" s="44">
        <f>((G327*R327/diesel_nmpg)*diesel_co2pg-(battery/range_nm)*G327*R327*VLOOKUP(B327,country_opex,4,FALSE))/1000</f>
        <v/>
      </c>
      <c r="AJ327" s="42" t="n"/>
      <c r="AK327" s="43" t="n"/>
      <c r="AL327" s="43" t="n"/>
      <c r="AM327" s="50" t="n">
        <v>0.1</v>
      </c>
      <c r="AN327" s="45">
        <f>IF(AJ327="","",AJ327*AM327)</f>
        <v/>
      </c>
      <c r="AO327" s="45">
        <f>IF(OR(AJ327="",U327=0),"",MIN(IF(AV327="",9.9E+99,AV327),FLOOR(AN327/U327,1)))</f>
        <v/>
      </c>
      <c r="AP327" s="49">
        <f>IF(AO327="","",AO327*W327)</f>
        <v/>
      </c>
      <c r="AQ327" s="47">
        <f>IF(OR(AJ327="",U327=0),"",MIN(IF(AV327="",9.9E+99,AV327),AN327/U327))</f>
        <v/>
      </c>
      <c r="AR327" s="49">
        <f>IF(AQ327="","",AQ327*W327)</f>
        <v/>
      </c>
      <c r="AS327" s="51" t="n"/>
      <c r="AT327" s="52" t="n"/>
      <c r="AU327" s="52" t="n"/>
      <c r="AV327" s="53" t="n"/>
      <c r="AW327" s="54">
        <f>IF(((V327*pax_cap*load_thin*ROUND(N327*O327*revleg_thin,0))-(((battery/range_nm)*G327*ROUND(N327*O327*revleg_thin,0)*VLOOKUP(B327,country_opex,3,FALSE))+Y327+Z327+AA327+AB327+AC327))&lt;=0,"",VLOOKUP(B327,country_opex,7,FALSE)/((V327*pax_cap*load_thin*ROUND(N327*O327*revleg_thin,0))-(((battery/range_nm)*G327*ROUND(N327*O327*revleg_thin,0)*VLOOKUP(B327,country_opex,3,FALSE))+Y327+Z327+AA327+AB327+AC327)))</f>
        <v/>
      </c>
      <c r="AX327" s="54">
        <f>IF(((V327*pax_cap*load_mid*ROUND(N327*O327*revleg_mid,0))-(((battery/range_nm)*G327*ROUND(N327*O327*revleg_mid,0)*VLOOKUP(B327,country_opex,3,FALSE))+Y327+Z327+AA327+AB327+AC327))&lt;=0,"",VLOOKUP(B327,country_opex,7,FALSE)/((V327*pax_cap*load_mid*ROUND(N327*O327*revleg_mid,0))-(((battery/range_nm)*G327*ROUND(N327*O327*revleg_mid,0)*VLOOKUP(B327,country_opex,3,FALSE))+Y327+Z327+AA327+AB327+AC327)))</f>
        <v/>
      </c>
      <c r="AY327" s="54">
        <f>IF(((V327*pax_cap*load_full*ROUND(N327*O327*revleg_full,0))-(((battery/range_nm)*G327*ROUND(N327*O327*revleg_full,0)*VLOOKUP(B327,country_opex,3,FALSE))+Y327+Z327+AA327+AB327+AC327))&lt;=0,"",VLOOKUP(B327,country_opex,7,FALSE)/((V327*pax_cap*load_full*ROUND(N327*O327*revleg_full,0))-(((battery/range_nm)*G327*ROUND(N327*O327*revleg_full,0)*VLOOKUP(B327,country_opex,3,FALSE))+Y327+Z327+AA327+AB327+AC327)))</f>
        <v/>
      </c>
      <c r="AZ327" s="40" t="inlineStr">
        <is>
          <t>PREMIUM tier: divided 10-seater executive speedboat ~₦9,000/seat ≈ $6.6.</t>
        </is>
      </c>
      <c r="BA327" s="40" t="n"/>
    </row>
    <row r="328">
      <c r="A328" s="38" t="inlineStr">
        <is>
          <t>Yango Lagos</t>
        </is>
      </c>
      <c r="B328" s="38" t="inlineStr">
        <is>
          <t>Nigeria</t>
        </is>
      </c>
      <c r="C328" s="39" t="inlineStr">
        <is>
          <t>Ebute Ojo (Ojo) → CMS/Marina (Lagos Island)</t>
        </is>
      </c>
      <c r="D328" s="38" t="inlineStr">
        <is>
          <t>yango</t>
        </is>
      </c>
      <c r="E328" s="40" t="inlineStr">
        <is>
          <t>yango-lagos</t>
        </is>
      </c>
      <c r="F328" s="41" t="n">
        <v>1</v>
      </c>
      <c r="G328" s="42" t="n">
        <v>12</v>
      </c>
      <c r="H328" s="35" t="n">
        <v>6.6</v>
      </c>
      <c r="I328" s="43" t="inlineStr">
        <is>
          <t>T2</t>
        </is>
      </c>
      <c r="J328" s="43" t="inlineStr">
        <is>
          <t>med</t>
        </is>
      </c>
      <c r="K328" s="29" t="n">
        <v>1</v>
      </c>
      <c r="L328" s="44">
        <f>60*G328/cruise_kt</f>
        <v/>
      </c>
      <c r="M328" s="44">
        <f>L328+turn_min+dwell_min</f>
        <v/>
      </c>
      <c r="N328" s="45">
        <f>MIN(16,FLOOR(60*service_hr/M328,1))</f>
        <v/>
      </c>
      <c r="O328" s="45">
        <f>ROUND(365*mech_uptime*K328,0)</f>
        <v/>
      </c>
      <c r="P328" s="46">
        <f>mech_uptime</f>
        <v/>
      </c>
      <c r="Q328" s="46">
        <f>revleg_sel</f>
        <v/>
      </c>
      <c r="R328" s="45">
        <f>ROUND(N328*O328*revleg_sel,0)</f>
        <v/>
      </c>
      <c r="S328" s="47">
        <f>load_sel</f>
        <v/>
      </c>
      <c r="T328" s="47">
        <f>pax_cap*S328</f>
        <v/>
      </c>
      <c r="U328" s="45">
        <f>T328*R328</f>
        <v/>
      </c>
      <c r="V328" s="48">
        <f>H328*discount</f>
        <v/>
      </c>
      <c r="W328" s="49">
        <f>V328*U328</f>
        <v/>
      </c>
      <c r="X328" s="49">
        <f>(battery/range_nm)*G328*R328*VLOOKUP(B328,country_opex,3,FALSE)</f>
        <v/>
      </c>
      <c r="Y328" s="49">
        <f>VLOOKUP(B328,country_opex,2,FALSE)*crew_factor</f>
        <v/>
      </c>
      <c r="Z328" s="49">
        <f>VLOOKUP(B328,country_opex,5,FALSE)</f>
        <v/>
      </c>
      <c r="AA328" s="49">
        <f>maint</f>
        <v/>
      </c>
      <c r="AB328" s="49">
        <f>VLOOKUP(B328,country_opex,7,FALSE)*ins_pct</f>
        <v/>
      </c>
      <c r="AC328" s="49">
        <f>charge_berth</f>
        <v/>
      </c>
      <c r="AD328" s="49">
        <f>X328+Y328+Z328+AA328+AB328+AC328</f>
        <v/>
      </c>
      <c r="AE328" s="49">
        <f>VLOOKUP(B328,country_opex,7,FALSE)/dep_years</f>
        <v/>
      </c>
      <c r="AF328" s="49">
        <f>W328-AD328</f>
        <v/>
      </c>
      <c r="AG328" s="46">
        <f>IF(W328=0,"",AF328/W328)</f>
        <v/>
      </c>
      <c r="AH328" s="47">
        <f>IF(AF328&lt;=0,"",VLOOKUP(B328,country_opex,7,FALSE)/AF328)</f>
        <v/>
      </c>
      <c r="AI328" s="44">
        <f>((G328*R328/diesel_nmpg)*diesel_co2pg-(battery/range_nm)*G328*R328*VLOOKUP(B328,country_opex,4,FALSE))/1000</f>
        <v/>
      </c>
      <c r="AJ328" s="42" t="n"/>
      <c r="AK328" s="43" t="n"/>
      <c r="AL328" s="43" t="n"/>
      <c r="AM328" s="50" t="n">
        <v>0.1</v>
      </c>
      <c r="AN328" s="45">
        <f>IF(AJ328="","",AJ328*AM328)</f>
        <v/>
      </c>
      <c r="AO328" s="45">
        <f>IF(OR(AJ328="",U328=0),"",MIN(IF(AV328="",9.9E+99,AV328),FLOOR(AN328/U328,1)))</f>
        <v/>
      </c>
      <c r="AP328" s="49">
        <f>IF(AO328="","",AO328*W328)</f>
        <v/>
      </c>
      <c r="AQ328" s="47">
        <f>IF(OR(AJ328="",U328=0),"",MIN(IF(AV328="",9.9E+99,AV328),AN328/U328))</f>
        <v/>
      </c>
      <c r="AR328" s="49">
        <f>IF(AQ328="","",AQ328*W328)</f>
        <v/>
      </c>
      <c r="AS328" s="51" t="n"/>
      <c r="AT328" s="52" t="n"/>
      <c r="AU328" s="52" t="n"/>
      <c r="AV328" s="53" t="n"/>
      <c r="AW328" s="54">
        <f>IF(((V328*pax_cap*load_thin*ROUND(N328*O328*revleg_thin,0))-(((battery/range_nm)*G328*ROUND(N328*O328*revleg_thin,0)*VLOOKUP(B328,country_opex,3,FALSE))+Y328+Z328+AA328+AB328+AC328))&lt;=0,"",VLOOKUP(B328,country_opex,7,FALSE)/((V328*pax_cap*load_thin*ROUND(N328*O328*revleg_thin,0))-(((battery/range_nm)*G328*ROUND(N328*O328*revleg_thin,0)*VLOOKUP(B328,country_opex,3,FALSE))+Y328+Z328+AA328+AB328+AC328)))</f>
        <v/>
      </c>
      <c r="AX328" s="54">
        <f>IF(((V328*pax_cap*load_mid*ROUND(N328*O328*revleg_mid,0))-(((battery/range_nm)*G328*ROUND(N328*O328*revleg_mid,0)*VLOOKUP(B328,country_opex,3,FALSE))+Y328+Z328+AA328+AB328+AC328))&lt;=0,"",VLOOKUP(B328,country_opex,7,FALSE)/((V328*pax_cap*load_mid*ROUND(N328*O328*revleg_mid,0))-(((battery/range_nm)*G328*ROUND(N328*O328*revleg_mid,0)*VLOOKUP(B328,country_opex,3,FALSE))+Y328+Z328+AA328+AB328+AC328)))</f>
        <v/>
      </c>
      <c r="AY328" s="54">
        <f>IF(((V328*pax_cap*load_full*ROUND(N328*O328*revleg_full,0))-(((battery/range_nm)*G328*ROUND(N328*O328*revleg_full,0)*VLOOKUP(B328,country_opex,3,FALSE))+Y328+Z328+AA328+AB328+AC328))&lt;=0,"",VLOOKUP(B328,country_opex,7,FALSE)/((V328*pax_cap*load_full*ROUND(N328*O328*revleg_full,0))-(((battery/range_nm)*G328*ROUND(N328*O328*revleg_full,0)*VLOOKUP(B328,country_opex,3,FALSE))+Y328+Z328+AA328+AB328+AC328)))</f>
        <v/>
      </c>
      <c r="AZ328" s="40" t="inlineStr">
        <is>
          <t>PREMIUM tier: divided 10-seater executive speedboat ~₦9,000/seat ≈ $6.6.</t>
        </is>
      </c>
      <c r="BA328" s="40" t="n"/>
    </row>
    <row r="329">
      <c r="A329" s="38" t="inlineStr">
        <is>
          <t>Yango Lagos</t>
        </is>
      </c>
      <c r="B329" s="38" t="inlineStr">
        <is>
          <t>Nigeria</t>
        </is>
      </c>
      <c r="C329" s="39" t="inlineStr">
        <is>
          <t>Ikorodu → Falomo (Five Cowries Terminal, Ikoyi)</t>
        </is>
      </c>
      <c r="D329" s="38" t="inlineStr">
        <is>
          <t>yango</t>
        </is>
      </c>
      <c r="E329" s="40" t="inlineStr">
        <is>
          <t>yango-lagos</t>
        </is>
      </c>
      <c r="F329" s="41" t="n">
        <v>1</v>
      </c>
      <c r="G329" s="42" t="n">
        <v>13</v>
      </c>
      <c r="H329" s="35" t="n">
        <v>6.6</v>
      </c>
      <c r="I329" s="43" t="inlineStr">
        <is>
          <t>T2</t>
        </is>
      </c>
      <c r="J329" s="43" t="inlineStr">
        <is>
          <t>med</t>
        </is>
      </c>
      <c r="K329" s="29" t="n">
        <v>1</v>
      </c>
      <c r="L329" s="44">
        <f>60*G329/cruise_kt</f>
        <v/>
      </c>
      <c r="M329" s="44">
        <f>L329+turn_min+dwell_min</f>
        <v/>
      </c>
      <c r="N329" s="45">
        <f>MIN(16,FLOOR(60*service_hr/M329,1))</f>
        <v/>
      </c>
      <c r="O329" s="45">
        <f>ROUND(365*mech_uptime*K329,0)</f>
        <v/>
      </c>
      <c r="P329" s="46">
        <f>mech_uptime</f>
        <v/>
      </c>
      <c r="Q329" s="46">
        <f>revleg_sel</f>
        <v/>
      </c>
      <c r="R329" s="45">
        <f>ROUND(N329*O329*revleg_sel,0)</f>
        <v/>
      </c>
      <c r="S329" s="47">
        <f>load_sel</f>
        <v/>
      </c>
      <c r="T329" s="47">
        <f>pax_cap*S329</f>
        <v/>
      </c>
      <c r="U329" s="45">
        <f>T329*R329</f>
        <v/>
      </c>
      <c r="V329" s="48">
        <f>H329*discount</f>
        <v/>
      </c>
      <c r="W329" s="49">
        <f>V329*U329</f>
        <v/>
      </c>
      <c r="X329" s="49">
        <f>(battery/range_nm)*G329*R329*VLOOKUP(B329,country_opex,3,FALSE)</f>
        <v/>
      </c>
      <c r="Y329" s="49">
        <f>VLOOKUP(B329,country_opex,2,FALSE)*crew_factor</f>
        <v/>
      </c>
      <c r="Z329" s="49">
        <f>VLOOKUP(B329,country_opex,5,FALSE)</f>
        <v/>
      </c>
      <c r="AA329" s="49">
        <f>maint</f>
        <v/>
      </c>
      <c r="AB329" s="49">
        <f>VLOOKUP(B329,country_opex,7,FALSE)*ins_pct</f>
        <v/>
      </c>
      <c r="AC329" s="49">
        <f>charge_berth</f>
        <v/>
      </c>
      <c r="AD329" s="49">
        <f>X329+Y329+Z329+AA329+AB329+AC329</f>
        <v/>
      </c>
      <c r="AE329" s="49">
        <f>VLOOKUP(B329,country_opex,7,FALSE)/dep_years</f>
        <v/>
      </c>
      <c r="AF329" s="49">
        <f>W329-AD329</f>
        <v/>
      </c>
      <c r="AG329" s="46">
        <f>IF(W329=0,"",AF329/W329)</f>
        <v/>
      </c>
      <c r="AH329" s="47">
        <f>IF(AF329&lt;=0,"",VLOOKUP(B329,country_opex,7,FALSE)/AF329)</f>
        <v/>
      </c>
      <c r="AI329" s="44">
        <f>((G329*R329/diesel_nmpg)*diesel_co2pg-(battery/range_nm)*G329*R329*VLOOKUP(B329,country_opex,4,FALSE))/1000</f>
        <v/>
      </c>
      <c r="AJ329" s="42" t="n"/>
      <c r="AK329" s="43" t="n"/>
      <c r="AL329" s="43" t="n"/>
      <c r="AM329" s="50" t="n">
        <v>0.1</v>
      </c>
      <c r="AN329" s="45">
        <f>IF(AJ329="","",AJ329*AM329)</f>
        <v/>
      </c>
      <c r="AO329" s="45">
        <f>IF(OR(AJ329="",U329=0),"",MIN(IF(AV329="",9.9E+99,AV329),FLOOR(AN329/U329,1)))</f>
        <v/>
      </c>
      <c r="AP329" s="49">
        <f>IF(AO329="","",AO329*W329)</f>
        <v/>
      </c>
      <c r="AQ329" s="47">
        <f>IF(OR(AJ329="",U329=0),"",MIN(IF(AV329="",9.9E+99,AV329),AN329/U329))</f>
        <v/>
      </c>
      <c r="AR329" s="49">
        <f>IF(AQ329="","",AQ329*W329)</f>
        <v/>
      </c>
      <c r="AS329" s="51" t="n"/>
      <c r="AT329" s="52" t="n"/>
      <c r="AU329" s="52" t="n"/>
      <c r="AV329" s="53" t="n"/>
      <c r="AW329" s="54">
        <f>IF(((V329*pax_cap*load_thin*ROUND(N329*O329*revleg_thin,0))-(((battery/range_nm)*G329*ROUND(N329*O329*revleg_thin,0)*VLOOKUP(B329,country_opex,3,FALSE))+Y329+Z329+AA329+AB329+AC329))&lt;=0,"",VLOOKUP(B329,country_opex,7,FALSE)/((V329*pax_cap*load_thin*ROUND(N329*O329*revleg_thin,0))-(((battery/range_nm)*G329*ROUND(N329*O329*revleg_thin,0)*VLOOKUP(B329,country_opex,3,FALSE))+Y329+Z329+AA329+AB329+AC329)))</f>
        <v/>
      </c>
      <c r="AX329" s="54">
        <f>IF(((V329*pax_cap*load_mid*ROUND(N329*O329*revleg_mid,0))-(((battery/range_nm)*G329*ROUND(N329*O329*revleg_mid,0)*VLOOKUP(B329,country_opex,3,FALSE))+Y329+Z329+AA329+AB329+AC329))&lt;=0,"",VLOOKUP(B329,country_opex,7,FALSE)/((V329*pax_cap*load_mid*ROUND(N329*O329*revleg_mid,0))-(((battery/range_nm)*G329*ROUND(N329*O329*revleg_mid,0)*VLOOKUP(B329,country_opex,3,FALSE))+Y329+Z329+AA329+AB329+AC329)))</f>
        <v/>
      </c>
      <c r="AY329" s="54">
        <f>IF(((V329*pax_cap*load_full*ROUND(N329*O329*revleg_full,0))-(((battery/range_nm)*G329*ROUND(N329*O329*revleg_full,0)*VLOOKUP(B329,country_opex,3,FALSE))+Y329+Z329+AA329+AB329+AC329))&lt;=0,"",VLOOKUP(B329,country_opex,7,FALSE)/((V329*pax_cap*load_full*ROUND(N329*O329*revleg_full,0))-(((battery/range_nm)*G329*ROUND(N329*O329*revleg_full,0)*VLOOKUP(B329,country_opex,3,FALSE))+Y329+Z329+AA329+AB329+AC329)))</f>
        <v/>
      </c>
      <c r="AZ329" s="40" t="inlineStr">
        <is>
          <t>PREMIUM tier: divided 10-seater executive speedboat ~₦9,000/seat ≈ $6.6.</t>
        </is>
      </c>
      <c r="BA329" s="40" t="n"/>
    </row>
    <row r="330">
      <c r="A330" s="38" t="inlineStr">
        <is>
          <t>Yango Lagos</t>
        </is>
      </c>
      <c r="B330" s="38" t="inlineStr">
        <is>
          <t>Nigeria</t>
        </is>
      </c>
      <c r="C330" s="39" t="inlineStr">
        <is>
          <t>CMS → Ikorodu</t>
        </is>
      </c>
      <c r="D330" s="38" t="inlineStr">
        <is>
          <t>yango</t>
        </is>
      </c>
      <c r="E330" s="40" t="inlineStr">
        <is>
          <t>yango-lagos</t>
        </is>
      </c>
      <c r="F330" s="41" t="n">
        <v>1</v>
      </c>
      <c r="G330" s="42" t="n">
        <v>15</v>
      </c>
      <c r="H330" s="35" t="n">
        <v>6.6</v>
      </c>
      <c r="I330" s="43" t="inlineStr">
        <is>
          <t>T2</t>
        </is>
      </c>
      <c r="J330" s="43" t="inlineStr">
        <is>
          <t>med</t>
        </is>
      </c>
      <c r="K330" s="29" t="n">
        <v>1</v>
      </c>
      <c r="L330" s="44">
        <f>60*G330/cruise_kt</f>
        <v/>
      </c>
      <c r="M330" s="44">
        <f>L330+turn_min+dwell_min</f>
        <v/>
      </c>
      <c r="N330" s="45">
        <f>MIN(16,FLOOR(60*service_hr/M330,1))</f>
        <v/>
      </c>
      <c r="O330" s="45">
        <f>ROUND(365*mech_uptime*K330,0)</f>
        <v/>
      </c>
      <c r="P330" s="46">
        <f>mech_uptime</f>
        <v/>
      </c>
      <c r="Q330" s="46">
        <f>revleg_sel</f>
        <v/>
      </c>
      <c r="R330" s="45">
        <f>ROUND(N330*O330*revleg_sel,0)</f>
        <v/>
      </c>
      <c r="S330" s="47">
        <f>load_sel</f>
        <v/>
      </c>
      <c r="T330" s="47">
        <f>pax_cap*S330</f>
        <v/>
      </c>
      <c r="U330" s="45">
        <f>T330*R330</f>
        <v/>
      </c>
      <c r="V330" s="48">
        <f>H330*discount</f>
        <v/>
      </c>
      <c r="W330" s="49">
        <f>V330*U330</f>
        <v/>
      </c>
      <c r="X330" s="49">
        <f>(battery/range_nm)*G330*R330*VLOOKUP(B330,country_opex,3,FALSE)</f>
        <v/>
      </c>
      <c r="Y330" s="49">
        <f>VLOOKUP(B330,country_opex,2,FALSE)*crew_factor</f>
        <v/>
      </c>
      <c r="Z330" s="49">
        <f>VLOOKUP(B330,country_opex,5,FALSE)</f>
        <v/>
      </c>
      <c r="AA330" s="49">
        <f>maint</f>
        <v/>
      </c>
      <c r="AB330" s="49">
        <f>VLOOKUP(B330,country_opex,7,FALSE)*ins_pct</f>
        <v/>
      </c>
      <c r="AC330" s="49">
        <f>charge_berth</f>
        <v/>
      </c>
      <c r="AD330" s="49">
        <f>X330+Y330+Z330+AA330+AB330+AC330</f>
        <v/>
      </c>
      <c r="AE330" s="49">
        <f>VLOOKUP(B330,country_opex,7,FALSE)/dep_years</f>
        <v/>
      </c>
      <c r="AF330" s="49">
        <f>W330-AD330</f>
        <v/>
      </c>
      <c r="AG330" s="46">
        <f>IF(W330=0,"",AF330/W330)</f>
        <v/>
      </c>
      <c r="AH330" s="47">
        <f>IF(AF330&lt;=0,"",VLOOKUP(B330,country_opex,7,FALSE)/AF330)</f>
        <v/>
      </c>
      <c r="AI330" s="44">
        <f>((G330*R330/diesel_nmpg)*diesel_co2pg-(battery/range_nm)*G330*R330*VLOOKUP(B330,country_opex,4,FALSE))/1000</f>
        <v/>
      </c>
      <c r="AJ330" s="42" t="n">
        <v>165000</v>
      </c>
      <c r="AK330" s="43" t="n"/>
      <c r="AL330" s="43" t="inlineStr">
        <is>
          <t>med</t>
        </is>
      </c>
      <c r="AM330" s="50" t="n">
        <v>0.25</v>
      </c>
      <c r="AN330" s="45">
        <f>IF(AJ330="","",AJ330*AM330)</f>
        <v/>
      </c>
      <c r="AO330" s="45">
        <f>IF(OR(AJ330="",U330=0),"",MIN(IF(AV330="",9.9E+99,AV330),FLOOR(AN330/U330,1)))</f>
        <v/>
      </c>
      <c r="AP330" s="49">
        <f>IF(AO330="","",AO330*W330)</f>
        <v/>
      </c>
      <c r="AQ330" s="47">
        <f>IF(OR(AJ330="",U330=0),"",MIN(IF(AV330="",9.9E+99,AV330),AN330/U330))</f>
        <v/>
      </c>
      <c r="AR330" s="49">
        <f>IF(AQ330="","",AQ330*W330)</f>
        <v/>
      </c>
      <c r="AS330" s="51" t="n"/>
      <c r="AT330" s="52" t="n"/>
      <c r="AU330" s="52" t="n"/>
      <c r="AV330" s="53" t="n"/>
      <c r="AW330" s="54">
        <f>IF(((V330*pax_cap*load_thin*ROUND(N330*O330*revleg_thin,0))-(((battery/range_nm)*G330*ROUND(N330*O330*revleg_thin,0)*VLOOKUP(B330,country_opex,3,FALSE))+Y330+Z330+AA330+AB330+AC330))&lt;=0,"",VLOOKUP(B330,country_opex,7,FALSE)/((V330*pax_cap*load_thin*ROUND(N330*O330*revleg_thin,0))-(((battery/range_nm)*G330*ROUND(N330*O330*revleg_thin,0)*VLOOKUP(B330,country_opex,3,FALSE))+Y330+Z330+AA330+AB330+AC330)))</f>
        <v/>
      </c>
      <c r="AX330" s="54">
        <f>IF(((V330*pax_cap*load_mid*ROUND(N330*O330*revleg_mid,0))-(((battery/range_nm)*G330*ROUND(N330*O330*revleg_mid,0)*VLOOKUP(B330,country_opex,3,FALSE))+Y330+Z330+AA330+AB330+AC330))&lt;=0,"",VLOOKUP(B330,country_opex,7,FALSE)/((V330*pax_cap*load_mid*ROUND(N330*O330*revleg_mid,0))-(((battery/range_nm)*G330*ROUND(N330*O330*revleg_mid,0)*VLOOKUP(B330,country_opex,3,FALSE))+Y330+Z330+AA330+AB330+AC330)))</f>
        <v/>
      </c>
      <c r="AY330" s="54">
        <f>IF(((V330*pax_cap*load_full*ROUND(N330*O330*revleg_full,0))-(((battery/range_nm)*G330*ROUND(N330*O330*revleg_full,0)*VLOOKUP(B330,country_opex,3,FALSE))+Y330+Z330+AA330+AB330+AC330))&lt;=0,"",VLOOKUP(B330,country_opex,7,FALSE)/((V330*pax_cap*load_full*ROUND(N330*O330*revleg_full,0))-(((battery/range_nm)*G330*ROUND(N330*O330*revleg_full,0)*VLOOKUP(B330,country_opex,3,FALSE))+Y330+Z330+AA330+AB330+AC330)))</f>
        <v/>
      </c>
      <c r="AZ330" s="40" t="inlineStr">
        <is>
          <t>PREMIUM tier: divided 10-seater executive speedboat ~₦9,000/seat ≈ $6.6 for the ~50-min crossing.</t>
        </is>
      </c>
      <c r="BA330" s="40" t="n"/>
    </row>
    <row r="331">
      <c r="A331" s="38" t="inlineStr">
        <is>
          <t>Yango Lagos</t>
        </is>
      </c>
      <c r="B331" s="38" t="inlineStr">
        <is>
          <t>Nigeria</t>
        </is>
      </c>
      <c r="C331" s="39" t="inlineStr">
        <is>
          <t>Lekki → Epe</t>
        </is>
      </c>
      <c r="D331" s="38" t="inlineStr">
        <is>
          <t>yango</t>
        </is>
      </c>
      <c r="E331" s="40" t="inlineStr">
        <is>
          <t>yango-lagos</t>
        </is>
      </c>
      <c r="F331" s="41" t="n">
        <v>1</v>
      </c>
      <c r="G331" s="42" t="n">
        <v>28</v>
      </c>
      <c r="H331" s="35" t="n">
        <v>14.7</v>
      </c>
      <c r="I331" s="43" t="inlineStr">
        <is>
          <t>T2</t>
        </is>
      </c>
      <c r="J331" s="43" t="inlineStr">
        <is>
          <t>med</t>
        </is>
      </c>
      <c r="K331" s="29" t="n">
        <v>1</v>
      </c>
      <c r="L331" s="44">
        <f>60*G331/cruise_kt</f>
        <v/>
      </c>
      <c r="M331" s="44">
        <f>L331+turn_min+dwell_min</f>
        <v/>
      </c>
      <c r="N331" s="45">
        <f>MIN(16,FLOOR(60*service_hr/M331,1))</f>
        <v/>
      </c>
      <c r="O331" s="45">
        <f>ROUND(365*mech_uptime*K331,0)</f>
        <v/>
      </c>
      <c r="P331" s="46">
        <f>mech_uptime</f>
        <v/>
      </c>
      <c r="Q331" s="46">
        <f>revleg_sel</f>
        <v/>
      </c>
      <c r="R331" s="45">
        <f>ROUND(N331*O331*revleg_sel,0)</f>
        <v/>
      </c>
      <c r="S331" s="47">
        <f>load_sel</f>
        <v/>
      </c>
      <c r="T331" s="47">
        <f>pax_cap*S331</f>
        <v/>
      </c>
      <c r="U331" s="45">
        <f>T331*R331</f>
        <v/>
      </c>
      <c r="V331" s="48">
        <f>H331*discount</f>
        <v/>
      </c>
      <c r="W331" s="49">
        <f>V331*U331</f>
        <v/>
      </c>
      <c r="X331" s="49">
        <f>(battery/range_nm)*G331*R331*VLOOKUP(B331,country_opex,3,FALSE)</f>
        <v/>
      </c>
      <c r="Y331" s="49">
        <f>VLOOKUP(B331,country_opex,2,FALSE)*crew_factor</f>
        <v/>
      </c>
      <c r="Z331" s="49">
        <f>VLOOKUP(B331,country_opex,5,FALSE)</f>
        <v/>
      </c>
      <c r="AA331" s="49">
        <f>maint</f>
        <v/>
      </c>
      <c r="AB331" s="49">
        <f>VLOOKUP(B331,country_opex,7,FALSE)*ins_pct</f>
        <v/>
      </c>
      <c r="AC331" s="49">
        <f>charge_berth</f>
        <v/>
      </c>
      <c r="AD331" s="49">
        <f>X331+Y331+Z331+AA331+AB331+AC331</f>
        <v/>
      </c>
      <c r="AE331" s="49">
        <f>VLOOKUP(B331,country_opex,7,FALSE)/dep_years</f>
        <v/>
      </c>
      <c r="AF331" s="49">
        <f>W331-AD331</f>
        <v/>
      </c>
      <c r="AG331" s="46">
        <f>IF(W331=0,"",AF331/W331)</f>
        <v/>
      </c>
      <c r="AH331" s="47">
        <f>IF(AF331&lt;=0,"",VLOOKUP(B331,country_opex,7,FALSE)/AF331)</f>
        <v/>
      </c>
      <c r="AI331" s="44">
        <f>((G331*R331/diesel_nmpg)*diesel_co2pg-(battery/range_nm)*G331*R331*VLOOKUP(B331,country_opex,4,FALSE))/1000</f>
        <v/>
      </c>
      <c r="AJ331" s="42" t="n"/>
      <c r="AK331" s="43" t="n"/>
      <c r="AL331" s="43" t="n"/>
      <c r="AM331" s="50" t="n">
        <v>0.1</v>
      </c>
      <c r="AN331" s="45">
        <f>IF(AJ331="","",AJ331*AM331)</f>
        <v/>
      </c>
      <c r="AO331" s="45">
        <f>IF(OR(AJ331="",U331=0),"",MIN(IF(AV331="",9.9E+99,AV331),FLOOR(AN331/U331,1)))</f>
        <v/>
      </c>
      <c r="AP331" s="49">
        <f>IF(AO331="","",AO331*W331)</f>
        <v/>
      </c>
      <c r="AQ331" s="47">
        <f>IF(OR(AJ331="",U331=0),"",MIN(IF(AV331="",9.9E+99,AV331),AN331/U331))</f>
        <v/>
      </c>
      <c r="AR331" s="49">
        <f>IF(AQ331="","",AQ331*W331)</f>
        <v/>
      </c>
      <c r="AS331" s="51" t="n"/>
      <c r="AT331" s="52" t="n"/>
      <c r="AU331" s="52" t="n"/>
      <c r="AV331" s="53" t="n"/>
      <c r="AW331" s="54">
        <f>IF(((V331*pax_cap*load_thin*ROUND(N331*O331*revleg_thin,0))-(((battery/range_nm)*G331*ROUND(N331*O331*revleg_thin,0)*VLOOKUP(B331,country_opex,3,FALSE))+Y331+Z331+AA331+AB331+AC331))&lt;=0,"",VLOOKUP(B331,country_opex,7,FALSE)/((V331*pax_cap*load_thin*ROUND(N331*O331*revleg_thin,0))-(((battery/range_nm)*G331*ROUND(N331*O331*revleg_thin,0)*VLOOKUP(B331,country_opex,3,FALSE))+Y331+Z331+AA331+AB331+AC331)))</f>
        <v/>
      </c>
      <c r="AX331" s="54">
        <f>IF(((V331*pax_cap*load_mid*ROUND(N331*O331*revleg_mid,0))-(((battery/range_nm)*G331*ROUND(N331*O331*revleg_mid,0)*VLOOKUP(B331,country_opex,3,FALSE))+Y331+Z331+AA331+AB331+AC331))&lt;=0,"",VLOOKUP(B331,country_opex,7,FALSE)/((V331*pax_cap*load_mid*ROUND(N331*O331*revleg_mid,0))-(((battery/range_nm)*G331*ROUND(N331*O331*revleg_mid,0)*VLOOKUP(B331,country_opex,3,FALSE))+Y331+Z331+AA331+AB331+AC331)))</f>
        <v/>
      </c>
      <c r="AY331" s="54">
        <f>IF(((V331*pax_cap*load_full*ROUND(N331*O331*revleg_full,0))-(((battery/range_nm)*G331*ROUND(N331*O331*revleg_full,0)*VLOOKUP(B331,country_opex,3,FALSE))+Y331+Z331+AA331+AB331+AC331))&lt;=0,"",VLOOKUP(B331,country_opex,7,FALSE)/((V331*pax_cap*load_full*ROUND(N331*O331*revleg_full,0))-(((battery/range_nm)*G331*ROUND(N331*O331*revleg_full,0)*VLOOKUP(B331,country_opex,3,FALSE))+Y331+Z331+AA331+AB331+AC331)))</f>
        <v/>
      </c>
      <c r="AZ331" s="40" t="inlineStr">
        <is>
          <t>PREMIUM tier (longer run): shared premium boat ₦20,000/person ≈ $14.7; alt divided 10-seater charter scales above the $6.6 short-hop seat for a 28nm run.</t>
        </is>
      </c>
      <c r="BA331" s="40" t="n"/>
    </row>
    <row r="332">
      <c r="A332" s="38" t="inlineStr">
        <is>
          <t>Yango Lagos</t>
        </is>
      </c>
      <c r="B332" s="38" t="inlineStr">
        <is>
          <t>Nigeria</t>
        </is>
      </c>
      <c r="C332" s="39" t="inlineStr">
        <is>
          <t>Lagos → Badagry</t>
        </is>
      </c>
      <c r="D332" s="38" t="inlineStr">
        <is>
          <t>yango</t>
        </is>
      </c>
      <c r="E332" s="40" t="inlineStr">
        <is>
          <t>yango-lagos</t>
        </is>
      </c>
      <c r="F332" s="41" t="n">
        <v>1</v>
      </c>
      <c r="G332" s="42" t="n">
        <v>32</v>
      </c>
      <c r="H332" s="35" t="n">
        <v>14.7</v>
      </c>
      <c r="I332" s="43" t="inlineStr">
        <is>
          <t>T2</t>
        </is>
      </c>
      <c r="J332" s="43" t="inlineStr">
        <is>
          <t>med</t>
        </is>
      </c>
      <c r="K332" s="29" t="n">
        <v>1</v>
      </c>
      <c r="L332" s="44">
        <f>60*G332/cruise_kt</f>
        <v/>
      </c>
      <c r="M332" s="44">
        <f>L332+turn_min+dwell_min</f>
        <v/>
      </c>
      <c r="N332" s="45">
        <f>MIN(16,FLOOR(60*service_hr/M332,1))</f>
        <v/>
      </c>
      <c r="O332" s="45">
        <f>ROUND(365*mech_uptime*K332,0)</f>
        <v/>
      </c>
      <c r="P332" s="46">
        <f>mech_uptime</f>
        <v/>
      </c>
      <c r="Q332" s="46">
        <f>revleg_sel</f>
        <v/>
      </c>
      <c r="R332" s="45">
        <f>ROUND(N332*O332*revleg_sel,0)</f>
        <v/>
      </c>
      <c r="S332" s="47">
        <f>load_sel</f>
        <v/>
      </c>
      <c r="T332" s="47">
        <f>pax_cap*S332</f>
        <v/>
      </c>
      <c r="U332" s="45">
        <f>T332*R332</f>
        <v/>
      </c>
      <c r="V332" s="48">
        <f>H332*discount</f>
        <v/>
      </c>
      <c r="W332" s="49">
        <f>V332*U332</f>
        <v/>
      </c>
      <c r="X332" s="49">
        <f>(battery/range_nm)*G332*R332*VLOOKUP(B332,country_opex,3,FALSE)</f>
        <v/>
      </c>
      <c r="Y332" s="49">
        <f>VLOOKUP(B332,country_opex,2,FALSE)*crew_factor</f>
        <v/>
      </c>
      <c r="Z332" s="49">
        <f>VLOOKUP(B332,country_opex,5,FALSE)</f>
        <v/>
      </c>
      <c r="AA332" s="49">
        <f>maint</f>
        <v/>
      </c>
      <c r="AB332" s="49">
        <f>VLOOKUP(B332,country_opex,7,FALSE)*ins_pct</f>
        <v/>
      </c>
      <c r="AC332" s="49">
        <f>charge_berth</f>
        <v/>
      </c>
      <c r="AD332" s="49">
        <f>X332+Y332+Z332+AA332+AB332+AC332</f>
        <v/>
      </c>
      <c r="AE332" s="49">
        <f>VLOOKUP(B332,country_opex,7,FALSE)/dep_years</f>
        <v/>
      </c>
      <c r="AF332" s="49">
        <f>W332-AD332</f>
        <v/>
      </c>
      <c r="AG332" s="46">
        <f>IF(W332=0,"",AF332/W332)</f>
        <v/>
      </c>
      <c r="AH332" s="47">
        <f>IF(AF332&lt;=0,"",VLOOKUP(B332,country_opex,7,FALSE)/AF332)</f>
        <v/>
      </c>
      <c r="AI332" s="44">
        <f>((G332*R332/diesel_nmpg)*diesel_co2pg-(battery/range_nm)*G332*R332*VLOOKUP(B332,country_opex,4,FALSE))/1000</f>
        <v/>
      </c>
      <c r="AJ332" s="42" t="n"/>
      <c r="AK332" s="43" t="n"/>
      <c r="AL332" s="43" t="n"/>
      <c r="AM332" s="50" t="n">
        <v>0.1</v>
      </c>
      <c r="AN332" s="45">
        <f>IF(AJ332="","",AJ332*AM332)</f>
        <v/>
      </c>
      <c r="AO332" s="45">
        <f>IF(OR(AJ332="",U332=0),"",MIN(IF(AV332="",9.9E+99,AV332),FLOOR(AN332/U332,1)))</f>
        <v/>
      </c>
      <c r="AP332" s="49">
        <f>IF(AO332="","",AO332*W332)</f>
        <v/>
      </c>
      <c r="AQ332" s="47">
        <f>IF(OR(AJ332="",U332=0),"",MIN(IF(AV332="",9.9E+99,AV332),AN332/U332))</f>
        <v/>
      </c>
      <c r="AR332" s="49">
        <f>IF(AQ332="","",AQ332*W332)</f>
        <v/>
      </c>
      <c r="AS332" s="51" t="n"/>
      <c r="AT332" s="52" t="n"/>
      <c r="AU332" s="52" t="n"/>
      <c r="AV332" s="53" t="n"/>
      <c r="AW332" s="54">
        <f>IF(((V332*pax_cap*load_thin*ROUND(N332*O332*revleg_thin,0))-(((battery/range_nm)*G332*ROUND(N332*O332*revleg_thin,0)*VLOOKUP(B332,country_opex,3,FALSE))+Y332+Z332+AA332+AB332+AC332))&lt;=0,"",VLOOKUP(B332,country_opex,7,FALSE)/((V332*pax_cap*load_thin*ROUND(N332*O332*revleg_thin,0))-(((battery/range_nm)*G332*ROUND(N332*O332*revleg_thin,0)*VLOOKUP(B332,country_opex,3,FALSE))+Y332+Z332+AA332+AB332+AC332)))</f>
        <v/>
      </c>
      <c r="AX332" s="54">
        <f>IF(((V332*pax_cap*load_mid*ROUND(N332*O332*revleg_mid,0))-(((battery/range_nm)*G332*ROUND(N332*O332*revleg_mid,0)*VLOOKUP(B332,country_opex,3,FALSE))+Y332+Z332+AA332+AB332+AC332))&lt;=0,"",VLOOKUP(B332,country_opex,7,FALSE)/((V332*pax_cap*load_mid*ROUND(N332*O332*revleg_mid,0))-(((battery/range_nm)*G332*ROUND(N332*O332*revleg_mid,0)*VLOOKUP(B332,country_opex,3,FALSE))+Y332+Z332+AA332+AB332+AC332)))</f>
        <v/>
      </c>
      <c r="AY332" s="54">
        <f>IF(((V332*pax_cap*load_full*ROUND(N332*O332*revleg_full,0))-(((battery/range_nm)*G332*ROUND(N332*O332*revleg_full,0)*VLOOKUP(B332,country_opex,3,FALSE))+Y332+Z332+AA332+AB332+AC332))&lt;=0,"",VLOOKUP(B332,country_opex,7,FALSE)/((V332*pax_cap*load_full*ROUND(N332*O332*revleg_full,0))-(((battery/range_nm)*G332*ROUND(N332*O332*revleg_full,0)*VLOOKUP(B332,country_opex,3,FALSE))+Y332+Z332+AA332+AB332+AC332)))</f>
        <v/>
      </c>
      <c r="AZ332" s="40" t="inlineStr">
        <is>
          <t>PREMIUM tier (long run): shared premium boat ₦20,000/person ≈ $14.7.</t>
        </is>
      </c>
      <c r="BA332" s="40" t="n"/>
    </row>
    <row r="333">
      <c r="A333" s="38" t="inlineStr">
        <is>
          <t>Yango Pakistan</t>
        </is>
      </c>
      <c r="B333" s="38" t="inlineStr">
        <is>
          <t>Pakistan</t>
        </is>
      </c>
      <c r="C333" s="39" t="inlineStr">
        <is>
          <t>Karachi Harbour (Native Jetty / Keamari) → Port Grand creek / mangrove backwaters</t>
        </is>
      </c>
      <c r="D333" s="38" t="inlineStr">
        <is>
          <t>yango</t>
        </is>
      </c>
      <c r="E333" s="40" t="inlineStr">
        <is>
          <t>yango-pakistan</t>
        </is>
      </c>
      <c r="F333" s="41" t="n">
        <v>1</v>
      </c>
      <c r="G333" s="42" t="n">
        <v>1</v>
      </c>
      <c r="H333" s="35" t="n">
        <v>18</v>
      </c>
      <c r="I333" s="43" t="inlineStr">
        <is>
          <t>T2</t>
        </is>
      </c>
      <c r="J333" s="43" t="inlineStr">
        <is>
          <t>med</t>
        </is>
      </c>
      <c r="K333" s="29" t="n">
        <v>1</v>
      </c>
      <c r="L333" s="44">
        <f>60*G333/cruise_kt</f>
        <v/>
      </c>
      <c r="M333" s="44">
        <f>L333+turn_min+dwell_min</f>
        <v/>
      </c>
      <c r="N333" s="45">
        <f>MIN(10,FLOOR(60*service_hr/M333,1))</f>
        <v/>
      </c>
      <c r="O333" s="45">
        <f>ROUND(365*mech_uptime*K333,0)</f>
        <v/>
      </c>
      <c r="P333" s="46">
        <f>mech_uptime</f>
        <v/>
      </c>
      <c r="Q333" s="46">
        <f>revleg_sel</f>
        <v/>
      </c>
      <c r="R333" s="45">
        <f>ROUND(N333*O333*revleg_sel,0)</f>
        <v/>
      </c>
      <c r="S333" s="47">
        <f>load_sel</f>
        <v/>
      </c>
      <c r="T333" s="47">
        <f>pax_cap*S333</f>
        <v/>
      </c>
      <c r="U333" s="45">
        <f>T333*R333</f>
        <v/>
      </c>
      <c r="V333" s="48">
        <f>H333*discount</f>
        <v/>
      </c>
      <c r="W333" s="49">
        <f>V333*U333</f>
        <v/>
      </c>
      <c r="X333" s="49">
        <f>(battery/range_nm)*G333*R333*VLOOKUP(B333,country_opex,3,FALSE)</f>
        <v/>
      </c>
      <c r="Y333" s="49">
        <f>VLOOKUP(B333,country_opex,2,FALSE)*crew_factor</f>
        <v/>
      </c>
      <c r="Z333" s="49">
        <f>VLOOKUP(B333,country_opex,5,FALSE)</f>
        <v/>
      </c>
      <c r="AA333" s="49">
        <f>maint</f>
        <v/>
      </c>
      <c r="AB333" s="49">
        <f>VLOOKUP(B333,country_opex,7,FALSE)*ins_pct</f>
        <v/>
      </c>
      <c r="AC333" s="49">
        <f>charge_berth</f>
        <v/>
      </c>
      <c r="AD333" s="49">
        <f>X333+Y333+Z333+AA333+AB333+AC333</f>
        <v/>
      </c>
      <c r="AE333" s="49">
        <f>VLOOKUP(B333,country_opex,7,FALSE)/dep_years</f>
        <v/>
      </c>
      <c r="AF333" s="49">
        <f>W333-AD333</f>
        <v/>
      </c>
      <c r="AG333" s="46">
        <f>IF(W333=0,"",AF333/W333)</f>
        <v/>
      </c>
      <c r="AH333" s="47">
        <f>IF(AF333&lt;=0,"",VLOOKUP(B333,country_opex,7,FALSE)/AF333)</f>
        <v/>
      </c>
      <c r="AI333" s="44">
        <f>((G333*R333/diesel_nmpg)*diesel_co2pg-(battery/range_nm)*G333*R333*VLOOKUP(B333,country_opex,4,FALSE))/1000</f>
        <v/>
      </c>
      <c r="AJ333" s="42" t="n"/>
      <c r="AK333" s="43" t="n"/>
      <c r="AL333" s="43" t="n"/>
      <c r="AM333" s="50" t="n">
        <v>0.1</v>
      </c>
      <c r="AN333" s="45">
        <f>IF(AJ333="","",AJ333*AM333)</f>
        <v/>
      </c>
      <c r="AO333" s="45">
        <f>IF(OR(AJ333="",U333=0),"",MIN(IF(AV333="",9.9E+99,AV333),FLOOR(AN333/U333,1)))</f>
        <v/>
      </c>
      <c r="AP333" s="49">
        <f>IF(AO333="","",AO333*W333)</f>
        <v/>
      </c>
      <c r="AQ333" s="47">
        <f>IF(OR(AJ333="",U333=0),"",MIN(IF(AV333="",9.9E+99,AV333),AN333/U333))</f>
        <v/>
      </c>
      <c r="AR333" s="49">
        <f>IF(AQ333="","",AQ333*W333)</f>
        <v/>
      </c>
      <c r="AS333" s="51" t="n"/>
      <c r="AT333" s="52" t="n"/>
      <c r="AU333" s="52" t="n"/>
      <c r="AV333" s="53" t="n"/>
      <c r="AW333" s="54">
        <f>IF(((V333*pax_cap*load_thin*ROUND(N333*O333*revleg_thin,0))-(((battery/range_nm)*G333*ROUND(N333*O333*revleg_thin,0)*VLOOKUP(B333,country_opex,3,FALSE))+Y333+Z333+AA333+AB333+AC333))&lt;=0,"",VLOOKUP(B333,country_opex,7,FALSE)/((V333*pax_cap*load_thin*ROUND(N333*O333*revleg_thin,0))-(((battery/range_nm)*G333*ROUND(N333*O333*revleg_thin,0)*VLOOKUP(B333,country_opex,3,FALSE))+Y333+Z333+AA333+AB333+AC333)))</f>
        <v/>
      </c>
      <c r="AX333" s="54">
        <f>IF(((V333*pax_cap*load_mid*ROUND(N333*O333*revleg_mid,0))-(((battery/range_nm)*G333*ROUND(N333*O333*revleg_mid,0)*VLOOKUP(B333,country_opex,3,FALSE))+Y333+Z333+AA333+AB333+AC333))&lt;=0,"",VLOOKUP(B333,country_opex,7,FALSE)/((V333*pax_cap*load_mid*ROUND(N333*O333*revleg_mid,0))-(((battery/range_nm)*G333*ROUND(N333*O333*revleg_mid,0)*VLOOKUP(B333,country_opex,3,FALSE))+Y333+Z333+AA333+AB333+AC333)))</f>
        <v/>
      </c>
      <c r="AY333" s="54">
        <f>IF(((V333*pax_cap*load_full*ROUND(N333*O333*revleg_full,0))-(((battery/range_nm)*G333*ROUND(N333*O333*revleg_full,0)*VLOOKUP(B333,country_opex,3,FALSE))+Y333+Z333+AA333+AB333+AC333))&lt;=0,"",VLOOKUP(B333,country_opex,7,FALSE)/((V333*pax_cap*load_full*ROUND(N333*O333*revleg_full,0))-(((battery/range_nm)*G333*ROUND(N333*O333*revleg_full,0)*VLOOKUP(B333,country_opex,3,FALSE))+Y333+Z333+AA333+AB333+AC333)))</f>
        <v/>
      </c>
      <c r="AZ333" s="40" t="inlineStr">
        <is>
          <t>[LB-255 PREMIUM RE-FARE: subsidized comparable $3.6 lifted to premium on-demand floor $18.0] PREMIUM/scheduled tier = creek &amp; mangrove cruise per-seat Rs 1,000 (~$3.6, incl. free Port Grand entry). DHA Marina Club party boats (30-50 pax, fully AC) are the higher charter tier but no per-seat fare is published. FLAG: this is a low-priced leisure-cruise seat, well below the Dubai RTA premium convention - reflects the nascent local pricing.</t>
        </is>
      </c>
      <c r="BA333" s="40" t="n"/>
    </row>
    <row r="334">
      <c r="A334" s="38" t="inlineStr">
        <is>
          <t>Yango Pakistan</t>
        </is>
      </c>
      <c r="B334" s="38" t="inlineStr">
        <is>
          <t>Pakistan</t>
        </is>
      </c>
      <c r="C334" s="39" t="inlineStr">
        <is>
          <t>Karachi (Keamari) → Manora</t>
        </is>
      </c>
      <c r="D334" s="38" t="inlineStr">
        <is>
          <t>yango</t>
        </is>
      </c>
      <c r="E334" s="40" t="inlineStr">
        <is>
          <t>yango-pakistan</t>
        </is>
      </c>
      <c r="F334" s="41" t="n">
        <v>1</v>
      </c>
      <c r="G334" s="42" t="n">
        <v>1.5</v>
      </c>
      <c r="H334" s="35" t="n">
        <v>23.2</v>
      </c>
      <c r="I334" s="43" t="inlineStr">
        <is>
          <t>T2</t>
        </is>
      </c>
      <c r="J334" s="43" t="inlineStr">
        <is>
          <t>med</t>
        </is>
      </c>
      <c r="K334" s="29" t="n">
        <v>1</v>
      </c>
      <c r="L334" s="44">
        <f>60*G334/cruise_kt</f>
        <v/>
      </c>
      <c r="M334" s="44">
        <f>L334+turn_min+dwell_min</f>
        <v/>
      </c>
      <c r="N334" s="45">
        <f>MIN(16,FLOOR(60*service_hr/M334,1))</f>
        <v/>
      </c>
      <c r="O334" s="45">
        <f>ROUND(365*mech_uptime*K334,0)</f>
        <v/>
      </c>
      <c r="P334" s="46">
        <f>mech_uptime</f>
        <v/>
      </c>
      <c r="Q334" s="46">
        <f>revleg_sel</f>
        <v/>
      </c>
      <c r="R334" s="45">
        <f>ROUND(N334*O334*revleg_sel,0)</f>
        <v/>
      </c>
      <c r="S334" s="47">
        <f>load_sel</f>
        <v/>
      </c>
      <c r="T334" s="47">
        <f>pax_cap*S334</f>
        <v/>
      </c>
      <c r="U334" s="45">
        <f>T334*R334</f>
        <v/>
      </c>
      <c r="V334" s="48">
        <f>H334*discount</f>
        <v/>
      </c>
      <c r="W334" s="49">
        <f>V334*U334</f>
        <v/>
      </c>
      <c r="X334" s="49">
        <f>(battery/range_nm)*G334*R334*VLOOKUP(B334,country_opex,3,FALSE)</f>
        <v/>
      </c>
      <c r="Y334" s="49">
        <f>VLOOKUP(B334,country_opex,2,FALSE)*crew_factor</f>
        <v/>
      </c>
      <c r="Z334" s="49">
        <f>VLOOKUP(B334,country_opex,5,FALSE)</f>
        <v/>
      </c>
      <c r="AA334" s="49">
        <f>maint</f>
        <v/>
      </c>
      <c r="AB334" s="49">
        <f>VLOOKUP(B334,country_opex,7,FALSE)*ins_pct</f>
        <v/>
      </c>
      <c r="AC334" s="49">
        <f>charge_berth</f>
        <v/>
      </c>
      <c r="AD334" s="49">
        <f>X334+Y334+Z334+AA334+AB334+AC334</f>
        <v/>
      </c>
      <c r="AE334" s="49">
        <f>VLOOKUP(B334,country_opex,7,FALSE)/dep_years</f>
        <v/>
      </c>
      <c r="AF334" s="49">
        <f>W334-AD334</f>
        <v/>
      </c>
      <c r="AG334" s="46">
        <f>IF(W334=0,"",AF334/W334)</f>
        <v/>
      </c>
      <c r="AH334" s="47">
        <f>IF(AF334&lt;=0,"",VLOOKUP(B334,country_opex,7,FALSE)/AF334)</f>
        <v/>
      </c>
      <c r="AI334" s="44">
        <f>((G334*R334/diesel_nmpg)*diesel_co2pg-(battery/range_nm)*G334*R334*VLOOKUP(B334,country_opex,4,FALSE))/1000</f>
        <v/>
      </c>
      <c r="AJ334" s="42" t="n">
        <v>320000</v>
      </c>
      <c r="AK334" s="43" t="n"/>
      <c r="AL334" s="43" t="n"/>
      <c r="AM334" s="50" t="n">
        <v>0.1</v>
      </c>
      <c r="AN334" s="45">
        <f>IF(AJ334="","",AJ334*AM334)</f>
        <v/>
      </c>
      <c r="AO334" s="45">
        <f>IF(OR(AJ334="",U334=0),"",MIN(IF(AV334="",9.9E+99,AV334),FLOOR(AN334/U334,1)))</f>
        <v/>
      </c>
      <c r="AP334" s="49">
        <f>IF(AO334="","",AO334*W334)</f>
        <v/>
      </c>
      <c r="AQ334" s="47">
        <f>IF(OR(AJ334="",U334=0),"",MIN(IF(AV334="",9.9E+99,AV334),AN334/U334))</f>
        <v/>
      </c>
      <c r="AR334" s="49">
        <f>IF(AQ334="","",AQ334*W334)</f>
        <v/>
      </c>
      <c r="AS334" s="51" t="n"/>
      <c r="AT334" s="52" t="n"/>
      <c r="AU334" s="52" t="n"/>
      <c r="AV334" s="53" t="n"/>
      <c r="AW334" s="54">
        <f>IF(((V334*pax_cap*load_thin*ROUND(N334*O334*revleg_thin,0))-(((battery/range_nm)*G334*ROUND(N334*O334*revleg_thin,0)*VLOOKUP(B334,country_opex,3,FALSE))+Y334+Z334+AA334+AB334+AC334))&lt;=0,"",VLOOKUP(B334,country_opex,7,FALSE)/((V334*pax_cap*load_thin*ROUND(N334*O334*revleg_thin,0))-(((battery/range_nm)*G334*ROUND(N334*O334*revleg_thin,0)*VLOOKUP(B334,country_opex,3,FALSE))+Y334+Z334+AA334+AB334+AC334)))</f>
        <v/>
      </c>
      <c r="AX334" s="54">
        <f>IF(((V334*pax_cap*load_mid*ROUND(N334*O334*revleg_mid,0))-(((battery/range_nm)*G334*ROUND(N334*O334*revleg_mid,0)*VLOOKUP(B334,country_opex,3,FALSE))+Y334+Z334+AA334+AB334+AC334))&lt;=0,"",VLOOKUP(B334,country_opex,7,FALSE)/((V334*pax_cap*load_mid*ROUND(N334*O334*revleg_mid,0))-(((battery/range_nm)*G334*ROUND(N334*O334*revleg_mid,0)*VLOOKUP(B334,country_opex,3,FALSE))+Y334+Z334+AA334+AB334+AC334)))</f>
        <v/>
      </c>
      <c r="AY334" s="54">
        <f>IF(((V334*pax_cap*load_full*ROUND(N334*O334*revleg_full,0))-(((battery/range_nm)*G334*ROUND(N334*O334*revleg_full,0)*VLOOKUP(B334,country_opex,3,FALSE))+Y334+Z334+AA334+AB334+AC334))&lt;=0,"",VLOOKUP(B334,country_opex,7,FALSE)/((V334*pax_cap*load_full*ROUND(N334*O334*revleg_full,0))-(((battery/range_nm)*G334*ROUND(N334*O334*revleg_full,0)*VLOOKUP(B334,country_opex,3,FALSE))+Y334+Z334+AA334+AB334+AC334)))</f>
        <v/>
      </c>
      <c r="AZ334" s="40" t="inlineStr">
        <is>
          <t>PREMIUM tier = scheduled luxury cruise from Keamari (Coast Guard Jetty-1) Rs 6,500/adult (3.5-hr experience; child Rs ~3,500) ~= $23.2 - the highest scheduled marine product on this corridor today. FLAG: this is a 3.5-hr cruise product, not a point-to-point premium shuttle seat; a true scheduled fast Keamari&lt;-&gt;Manora premium seat does not yet exist (the new 74-pax passenger-ferry project, no fare published, would create it).</t>
        </is>
      </c>
      <c r="BA334" s="40" t="n"/>
    </row>
    <row r="335">
      <c r="A335" s="38" t="inlineStr">
        <is>
          <t>Yango Pakistan</t>
        </is>
      </c>
      <c r="B335" s="38" t="inlineStr">
        <is>
          <t>Pakistan</t>
        </is>
      </c>
      <c r="C335" s="39" t="inlineStr">
        <is>
          <t>Keamari → Sandspit / Hawksbay</t>
        </is>
      </c>
      <c r="D335" s="38" t="inlineStr">
        <is>
          <t>yango</t>
        </is>
      </c>
      <c r="E335" s="40" t="inlineStr">
        <is>
          <t>yango-pakistan</t>
        </is>
      </c>
      <c r="F335" s="41" t="n">
        <v>1</v>
      </c>
      <c r="G335" s="42" t="n">
        <v>5</v>
      </c>
      <c r="H335" s="35" t="n"/>
      <c r="I335" s="43" t="n"/>
      <c r="J335" s="43" t="n"/>
      <c r="K335" s="29" t="n">
        <v>1</v>
      </c>
      <c r="L335" s="44">
        <f>60*G335/cruise_kt</f>
        <v/>
      </c>
      <c r="M335" s="44">
        <f>L335+turn_min+dwell_min</f>
        <v/>
      </c>
      <c r="N335" s="45">
        <f>MIN(16,FLOOR(60*service_hr/M335,1))</f>
        <v/>
      </c>
      <c r="O335" s="45">
        <f>ROUND(365*mech_uptime*K335,0)</f>
        <v/>
      </c>
      <c r="P335" s="46">
        <f>mech_uptime</f>
        <v/>
      </c>
      <c r="Q335" s="46">
        <f>revleg_sel</f>
        <v/>
      </c>
      <c r="R335" s="45">
        <f>ROUND(N335*O335*revleg_sel,0)</f>
        <v/>
      </c>
      <c r="S335" s="47">
        <f>load_sel</f>
        <v/>
      </c>
      <c r="T335" s="47">
        <f>pax_cap*S335</f>
        <v/>
      </c>
      <c r="U335" s="45">
        <f>T335*R335</f>
        <v/>
      </c>
      <c r="V335" s="48">
        <f>H335*discount</f>
        <v/>
      </c>
      <c r="W335" s="49">
        <f>V335*U335</f>
        <v/>
      </c>
      <c r="X335" s="49">
        <f>(battery/range_nm)*G335*R335*VLOOKUP(B335,country_opex,3,FALSE)</f>
        <v/>
      </c>
      <c r="Y335" s="49">
        <f>VLOOKUP(B335,country_opex,2,FALSE)*crew_factor</f>
        <v/>
      </c>
      <c r="Z335" s="49">
        <f>VLOOKUP(B335,country_opex,5,FALSE)</f>
        <v/>
      </c>
      <c r="AA335" s="49">
        <f>maint</f>
        <v/>
      </c>
      <c r="AB335" s="49">
        <f>VLOOKUP(B335,country_opex,7,FALSE)*ins_pct</f>
        <v/>
      </c>
      <c r="AC335" s="49">
        <f>charge_berth</f>
        <v/>
      </c>
      <c r="AD335" s="49">
        <f>X335+Y335+Z335+AA335+AB335+AC335</f>
        <v/>
      </c>
      <c r="AE335" s="49">
        <f>VLOOKUP(B335,country_opex,7,FALSE)/dep_years</f>
        <v/>
      </c>
      <c r="AF335" s="49">
        <f>W335-AD335</f>
        <v/>
      </c>
      <c r="AG335" s="46">
        <f>IF(W335=0,"",AF335/W335)</f>
        <v/>
      </c>
      <c r="AH335" s="47">
        <f>IF(AF335&lt;=0,"",VLOOKUP(B335,country_opex,7,FALSE)/AF335)</f>
        <v/>
      </c>
      <c r="AI335" s="44">
        <f>((G335*R335/diesel_nmpg)*diesel_co2pg-(battery/range_nm)*G335*R335*VLOOKUP(B335,country_opex,4,FALSE))/1000</f>
        <v/>
      </c>
      <c r="AJ335" s="42" t="n"/>
      <c r="AK335" s="43" t="n"/>
      <c r="AL335" s="43" t="n"/>
      <c r="AM335" s="50" t="n">
        <v>0.1</v>
      </c>
      <c r="AN335" s="45">
        <f>IF(AJ335="","",AJ335*AM335)</f>
        <v/>
      </c>
      <c r="AO335" s="45">
        <f>IF(OR(AJ335="",U335=0),"",MIN(IF(AV335="",9.9E+99,AV335),FLOOR(AN335/U335,1)))</f>
        <v/>
      </c>
      <c r="AP335" s="49">
        <f>IF(AO335="","",AO335*W335)</f>
        <v/>
      </c>
      <c r="AQ335" s="47">
        <f>IF(OR(AJ335="",U335=0),"",MIN(IF(AV335="",9.9E+99,AV335),AN335/U335))</f>
        <v/>
      </c>
      <c r="AR335" s="49">
        <f>IF(AQ335="","",AQ335*W335)</f>
        <v/>
      </c>
      <c r="AS335" s="51" t="n"/>
      <c r="AT335" s="52" t="n"/>
      <c r="AU335" s="52" t="n"/>
      <c r="AV335" s="53" t="n"/>
      <c r="AW335" s="54">
        <f>IF(((V335*pax_cap*load_thin*ROUND(N335*O335*revleg_thin,0))-(((battery/range_nm)*G335*ROUND(N335*O335*revleg_thin,0)*VLOOKUP(B335,country_opex,3,FALSE))+Y335+Z335+AA335+AB335+AC335))&lt;=0,"",VLOOKUP(B335,country_opex,7,FALSE)/((V335*pax_cap*load_thin*ROUND(N335*O335*revleg_thin,0))-(((battery/range_nm)*G335*ROUND(N335*O335*revleg_thin,0)*VLOOKUP(B335,country_opex,3,FALSE))+Y335+Z335+AA335+AB335+AC335)))</f>
        <v/>
      </c>
      <c r="AX335" s="54">
        <f>IF(((V335*pax_cap*load_mid*ROUND(N335*O335*revleg_mid,0))-(((battery/range_nm)*G335*ROUND(N335*O335*revleg_mid,0)*VLOOKUP(B335,country_opex,3,FALSE))+Y335+Z335+AA335+AB335+AC335))&lt;=0,"",VLOOKUP(B335,country_opex,7,FALSE)/((V335*pax_cap*load_mid*ROUND(N335*O335*revleg_mid,0))-(((battery/range_nm)*G335*ROUND(N335*O335*revleg_mid,0)*VLOOKUP(B335,country_opex,3,FALSE))+Y335+Z335+AA335+AB335+AC335)))</f>
        <v/>
      </c>
      <c r="AY335" s="54">
        <f>IF(((V335*pax_cap*load_full*ROUND(N335*O335*revleg_full,0))-(((battery/range_nm)*G335*ROUND(N335*O335*revleg_full,0)*VLOOKUP(B335,country_opex,3,FALSE))+Y335+Z335+AA335+AB335+AC335))&lt;=0,"",VLOOKUP(B335,country_opex,7,FALSE)/((V335*pax_cap*load_full*ROUND(N335*O335*revleg_full,0))-(((battery/range_nm)*G335*ROUND(N335*O335*revleg_full,0)*VLOOKUP(B335,country_opex,3,FALSE))+Y335+Z335+AA335+AB335+AC335)))</f>
        <v/>
      </c>
      <c r="AZ335" s="40" t="n"/>
      <c r="BA335" s="40" t="n"/>
    </row>
    <row r="336">
      <c r="A336" s="38" t="inlineStr">
        <is>
          <t>Yango Pakistan</t>
        </is>
      </c>
      <c r="B336" s="38" t="inlineStr">
        <is>
          <t>Pakistan</t>
        </is>
      </c>
      <c r="C336" s="39" t="inlineStr">
        <is>
          <t>Clifton / Sea View → DHA Phase 8 Creek (Marina Club / HMR Waterfront)</t>
        </is>
      </c>
      <c r="D336" s="38" t="inlineStr">
        <is>
          <t>yango</t>
        </is>
      </c>
      <c r="E336" s="40" t="inlineStr">
        <is>
          <t>yango-pakistan</t>
        </is>
      </c>
      <c r="F336" s="41" t="n">
        <v>1</v>
      </c>
      <c r="G336" s="42" t="n">
        <v>6</v>
      </c>
      <c r="H336" s="35" t="n"/>
      <c r="I336" s="43" t="n"/>
      <c r="J336" s="43" t="n"/>
      <c r="K336" s="29" t="n">
        <v>1</v>
      </c>
      <c r="L336" s="44">
        <f>60*G336/cruise_kt</f>
        <v/>
      </c>
      <c r="M336" s="44">
        <f>L336+turn_min+dwell_min</f>
        <v/>
      </c>
      <c r="N336" s="45">
        <f>MIN(16,FLOOR(60*service_hr/M336,1))</f>
        <v/>
      </c>
      <c r="O336" s="45">
        <f>ROUND(365*mech_uptime*K336,0)</f>
        <v/>
      </c>
      <c r="P336" s="46">
        <f>mech_uptime</f>
        <v/>
      </c>
      <c r="Q336" s="46">
        <f>revleg_sel</f>
        <v/>
      </c>
      <c r="R336" s="45">
        <f>ROUND(N336*O336*revleg_sel,0)</f>
        <v/>
      </c>
      <c r="S336" s="47">
        <f>load_sel</f>
        <v/>
      </c>
      <c r="T336" s="47">
        <f>pax_cap*S336</f>
        <v/>
      </c>
      <c r="U336" s="45">
        <f>T336*R336</f>
        <v/>
      </c>
      <c r="V336" s="48">
        <f>H336*discount</f>
        <v/>
      </c>
      <c r="W336" s="49">
        <f>V336*U336</f>
        <v/>
      </c>
      <c r="X336" s="49">
        <f>(battery/range_nm)*G336*R336*VLOOKUP(B336,country_opex,3,FALSE)</f>
        <v/>
      </c>
      <c r="Y336" s="49">
        <f>VLOOKUP(B336,country_opex,2,FALSE)*crew_factor</f>
        <v/>
      </c>
      <c r="Z336" s="49">
        <f>VLOOKUP(B336,country_opex,5,FALSE)</f>
        <v/>
      </c>
      <c r="AA336" s="49">
        <f>maint</f>
        <v/>
      </c>
      <c r="AB336" s="49">
        <f>VLOOKUP(B336,country_opex,7,FALSE)*ins_pct</f>
        <v/>
      </c>
      <c r="AC336" s="49">
        <f>charge_berth</f>
        <v/>
      </c>
      <c r="AD336" s="49">
        <f>X336+Y336+Z336+AA336+AB336+AC336</f>
        <v/>
      </c>
      <c r="AE336" s="49">
        <f>VLOOKUP(B336,country_opex,7,FALSE)/dep_years</f>
        <v/>
      </c>
      <c r="AF336" s="49">
        <f>W336-AD336</f>
        <v/>
      </c>
      <c r="AG336" s="46">
        <f>IF(W336=0,"",AF336/W336)</f>
        <v/>
      </c>
      <c r="AH336" s="47">
        <f>IF(AF336&lt;=0,"",VLOOKUP(B336,country_opex,7,FALSE)/AF336)</f>
        <v/>
      </c>
      <c r="AI336" s="44">
        <f>((G336*R336/diesel_nmpg)*diesel_co2pg-(battery/range_nm)*G336*R336*VLOOKUP(B336,country_opex,4,FALSE))/1000</f>
        <v/>
      </c>
      <c r="AJ336" s="42" t="n"/>
      <c r="AK336" s="43" t="n"/>
      <c r="AL336" s="43" t="n"/>
      <c r="AM336" s="50" t="n">
        <v>0.1</v>
      </c>
      <c r="AN336" s="45">
        <f>IF(AJ336="","",AJ336*AM336)</f>
        <v/>
      </c>
      <c r="AO336" s="45">
        <f>IF(OR(AJ336="",U336=0),"",MIN(IF(AV336="",9.9E+99,AV336),FLOOR(AN336/U336,1)))</f>
        <v/>
      </c>
      <c r="AP336" s="49">
        <f>IF(AO336="","",AO336*W336)</f>
        <v/>
      </c>
      <c r="AQ336" s="47">
        <f>IF(OR(AJ336="",U336=0),"",MIN(IF(AV336="",9.9E+99,AV336),AN336/U336))</f>
        <v/>
      </c>
      <c r="AR336" s="49">
        <f>IF(AQ336="","",AQ336*W336)</f>
        <v/>
      </c>
      <c r="AS336" s="51" t="n"/>
      <c r="AT336" s="52" t="n"/>
      <c r="AU336" s="52" t="n"/>
      <c r="AV336" s="53" t="n"/>
      <c r="AW336" s="54">
        <f>IF(((V336*pax_cap*load_thin*ROUND(N336*O336*revleg_thin,0))-(((battery/range_nm)*G336*ROUND(N336*O336*revleg_thin,0)*VLOOKUP(B336,country_opex,3,FALSE))+Y336+Z336+AA336+AB336+AC336))&lt;=0,"",VLOOKUP(B336,country_opex,7,FALSE)/((V336*pax_cap*load_thin*ROUND(N336*O336*revleg_thin,0))-(((battery/range_nm)*G336*ROUND(N336*O336*revleg_thin,0)*VLOOKUP(B336,country_opex,3,FALSE))+Y336+Z336+AA336+AB336+AC336)))</f>
        <v/>
      </c>
      <c r="AX336" s="54">
        <f>IF(((V336*pax_cap*load_mid*ROUND(N336*O336*revleg_mid,0))-(((battery/range_nm)*G336*ROUND(N336*O336*revleg_mid,0)*VLOOKUP(B336,country_opex,3,FALSE))+Y336+Z336+AA336+AB336+AC336))&lt;=0,"",VLOOKUP(B336,country_opex,7,FALSE)/((V336*pax_cap*load_mid*ROUND(N336*O336*revleg_mid,0))-(((battery/range_nm)*G336*ROUND(N336*O336*revleg_mid,0)*VLOOKUP(B336,country_opex,3,FALSE))+Y336+Z336+AA336+AB336+AC336)))</f>
        <v/>
      </c>
      <c r="AY336" s="54">
        <f>IF(((V336*pax_cap*load_full*ROUND(N336*O336*revleg_full,0))-(((battery/range_nm)*G336*ROUND(N336*O336*revleg_full,0)*VLOOKUP(B336,country_opex,3,FALSE))+Y336+Z336+AA336+AB336+AC336))&lt;=0,"",VLOOKUP(B336,country_opex,7,FALSE)/((V336*pax_cap*load_full*ROUND(N336*O336*revleg_full,0))-(((battery/range_nm)*G336*ROUND(N336*O336*revleg_full,0)*VLOOKUP(B336,country_opex,3,FALSE))+Y336+Z336+AA336+AB336+AC336)))</f>
        <v/>
      </c>
      <c r="AZ336" s="40" t="n"/>
      <c r="BA336" s="40" t="n"/>
    </row>
    <row r="337">
      <c r="A337" s="38" t="inlineStr">
        <is>
          <t>Yango Pakistan</t>
        </is>
      </c>
      <c r="B337" s="38" t="inlineStr">
        <is>
          <t>Pakistan</t>
        </is>
      </c>
      <c r="C337" s="39" t="inlineStr">
        <is>
          <t>Karachi Port (KPT) → Port Qasim</t>
        </is>
      </c>
      <c r="D337" s="38" t="inlineStr">
        <is>
          <t>yango</t>
        </is>
      </c>
      <c r="E337" s="40" t="inlineStr">
        <is>
          <t>yango-pakistan</t>
        </is>
      </c>
      <c r="F337" s="41" t="n">
        <v>1</v>
      </c>
      <c r="G337" s="42" t="n">
        <v>22</v>
      </c>
      <c r="H337" s="35" t="n"/>
      <c r="I337" s="43" t="n"/>
      <c r="J337" s="43" t="n"/>
      <c r="K337" s="29" t="n">
        <v>1</v>
      </c>
      <c r="L337" s="44">
        <f>60*G337/cruise_kt</f>
        <v/>
      </c>
      <c r="M337" s="44">
        <f>L337+turn_min+dwell_min</f>
        <v/>
      </c>
      <c r="N337" s="45">
        <f>MIN(16,FLOOR(60*service_hr/M337,1))</f>
        <v/>
      </c>
      <c r="O337" s="45">
        <f>ROUND(365*mech_uptime*K337,0)</f>
        <v/>
      </c>
      <c r="P337" s="46">
        <f>mech_uptime</f>
        <v/>
      </c>
      <c r="Q337" s="46">
        <f>revleg_sel</f>
        <v/>
      </c>
      <c r="R337" s="45">
        <f>ROUND(N337*O337*revleg_sel,0)</f>
        <v/>
      </c>
      <c r="S337" s="47">
        <f>load_sel</f>
        <v/>
      </c>
      <c r="T337" s="47">
        <f>pax_cap*S337</f>
        <v/>
      </c>
      <c r="U337" s="45">
        <f>T337*R337</f>
        <v/>
      </c>
      <c r="V337" s="48">
        <f>H337*discount</f>
        <v/>
      </c>
      <c r="W337" s="49">
        <f>V337*U337</f>
        <v/>
      </c>
      <c r="X337" s="49">
        <f>(battery/range_nm)*G337*R337*VLOOKUP(B337,country_opex,3,FALSE)</f>
        <v/>
      </c>
      <c r="Y337" s="49">
        <f>VLOOKUP(B337,country_opex,2,FALSE)*crew_factor</f>
        <v/>
      </c>
      <c r="Z337" s="49">
        <f>VLOOKUP(B337,country_opex,5,FALSE)</f>
        <v/>
      </c>
      <c r="AA337" s="49">
        <f>maint</f>
        <v/>
      </c>
      <c r="AB337" s="49">
        <f>VLOOKUP(B337,country_opex,7,FALSE)*ins_pct</f>
        <v/>
      </c>
      <c r="AC337" s="49">
        <f>charge_berth</f>
        <v/>
      </c>
      <c r="AD337" s="49">
        <f>X337+Y337+Z337+AA337+AB337+AC337</f>
        <v/>
      </c>
      <c r="AE337" s="49">
        <f>VLOOKUP(B337,country_opex,7,FALSE)/dep_years</f>
        <v/>
      </c>
      <c r="AF337" s="49">
        <f>W337-AD337</f>
        <v/>
      </c>
      <c r="AG337" s="46">
        <f>IF(W337=0,"",AF337/W337)</f>
        <v/>
      </c>
      <c r="AH337" s="47">
        <f>IF(AF337&lt;=0,"",VLOOKUP(B337,country_opex,7,FALSE)/AF337)</f>
        <v/>
      </c>
      <c r="AI337" s="44">
        <f>((G337*R337/diesel_nmpg)*diesel_co2pg-(battery/range_nm)*G337*R337*VLOOKUP(B337,country_opex,4,FALSE))/1000</f>
        <v/>
      </c>
      <c r="AJ337" s="42" t="n"/>
      <c r="AK337" s="43" t="n"/>
      <c r="AL337" s="43" t="n"/>
      <c r="AM337" s="50" t="n">
        <v>0.1</v>
      </c>
      <c r="AN337" s="45">
        <f>IF(AJ337="","",AJ337*AM337)</f>
        <v/>
      </c>
      <c r="AO337" s="45">
        <f>IF(OR(AJ337="",U337=0),"",MIN(IF(AV337="",9.9E+99,AV337),FLOOR(AN337/U337,1)))</f>
        <v/>
      </c>
      <c r="AP337" s="49">
        <f>IF(AO337="","",AO337*W337)</f>
        <v/>
      </c>
      <c r="AQ337" s="47">
        <f>IF(OR(AJ337="",U337=0),"",MIN(IF(AV337="",9.9E+99,AV337),AN337/U337))</f>
        <v/>
      </c>
      <c r="AR337" s="49">
        <f>IF(AQ337="","",AQ337*W337)</f>
        <v/>
      </c>
      <c r="AS337" s="51" t="n"/>
      <c r="AT337" s="52" t="n"/>
      <c r="AU337" s="52" t="n"/>
      <c r="AV337" s="53" t="n"/>
      <c r="AW337" s="54">
        <f>IF(((V337*pax_cap*load_thin*ROUND(N337*O337*revleg_thin,0))-(((battery/range_nm)*G337*ROUND(N337*O337*revleg_thin,0)*VLOOKUP(B337,country_opex,3,FALSE))+Y337+Z337+AA337+AB337+AC337))&lt;=0,"",VLOOKUP(B337,country_opex,7,FALSE)/((V337*pax_cap*load_thin*ROUND(N337*O337*revleg_thin,0))-(((battery/range_nm)*G337*ROUND(N337*O337*revleg_thin,0)*VLOOKUP(B337,country_opex,3,FALSE))+Y337+Z337+AA337+AB337+AC337)))</f>
        <v/>
      </c>
      <c r="AX337" s="54">
        <f>IF(((V337*pax_cap*load_mid*ROUND(N337*O337*revleg_mid,0))-(((battery/range_nm)*G337*ROUND(N337*O337*revleg_mid,0)*VLOOKUP(B337,country_opex,3,FALSE))+Y337+Z337+AA337+AB337+AC337))&lt;=0,"",VLOOKUP(B337,country_opex,7,FALSE)/((V337*pax_cap*load_mid*ROUND(N337*O337*revleg_mid,0))-(((battery/range_nm)*G337*ROUND(N337*O337*revleg_mid,0)*VLOOKUP(B337,country_opex,3,FALSE))+Y337+Z337+AA337+AB337+AC337)))</f>
        <v/>
      </c>
      <c r="AY337" s="54">
        <f>IF(((V337*pax_cap*load_full*ROUND(N337*O337*revleg_full,0))-(((battery/range_nm)*G337*ROUND(N337*O337*revleg_full,0)*VLOOKUP(B337,country_opex,3,FALSE))+Y337+Z337+AA337+AB337+AC337))&lt;=0,"",VLOOKUP(B337,country_opex,7,FALSE)/((V337*pax_cap*load_full*ROUND(N337*O337*revleg_full,0))-(((battery/range_nm)*G337*ROUND(N337*O337*revleg_full,0)*VLOOKUP(B337,country_opex,3,FALSE))+Y337+Z337+AA337+AB337+AC337)))</f>
        <v/>
      </c>
      <c r="AZ337" s="40" t="n"/>
      <c r="BA337" s="40" t="n"/>
    </row>
    <row r="338">
      <c r="A338" s="38" t="inlineStr">
        <is>
          <t>Yango Pakistan</t>
        </is>
      </c>
      <c r="B338" s="38" t="inlineStr">
        <is>
          <t>Pakistan</t>
        </is>
      </c>
      <c r="C338" s="39" t="inlineStr">
        <is>
          <t>Karachi (Mubarak Village / Keamari) → Churna Island</t>
        </is>
      </c>
      <c r="D338" s="38" t="inlineStr">
        <is>
          <t>yango</t>
        </is>
      </c>
      <c r="E338" s="40" t="inlineStr">
        <is>
          <t>yango-pakistan</t>
        </is>
      </c>
      <c r="F338" s="41" t="n">
        <v>1</v>
      </c>
      <c r="G338" s="42" t="n">
        <v>26</v>
      </c>
      <c r="H338" s="35" t="n">
        <v>25</v>
      </c>
      <c r="I338" s="43" t="inlineStr">
        <is>
          <t>T2</t>
        </is>
      </c>
      <c r="J338" s="43" t="inlineStr">
        <is>
          <t>med</t>
        </is>
      </c>
      <c r="K338" s="29" t="n">
        <v>1</v>
      </c>
      <c r="L338" s="44">
        <f>60*G338/cruise_kt</f>
        <v/>
      </c>
      <c r="M338" s="44">
        <f>L338+turn_min+dwell_min</f>
        <v/>
      </c>
      <c r="N338" s="45">
        <f>MIN(10,FLOOR(60*service_hr/M338,1))</f>
        <v/>
      </c>
      <c r="O338" s="45">
        <f>ROUND(365*mech_uptime*K338,0)</f>
        <v/>
      </c>
      <c r="P338" s="46">
        <f>mech_uptime</f>
        <v/>
      </c>
      <c r="Q338" s="46">
        <f>revleg_sel</f>
        <v/>
      </c>
      <c r="R338" s="45">
        <f>ROUND(N338*O338*revleg_sel,0)</f>
        <v/>
      </c>
      <c r="S338" s="47">
        <f>load_sel</f>
        <v/>
      </c>
      <c r="T338" s="47">
        <f>pax_cap*S338</f>
        <v/>
      </c>
      <c r="U338" s="45">
        <f>T338*R338</f>
        <v/>
      </c>
      <c r="V338" s="48">
        <f>H338*discount</f>
        <v/>
      </c>
      <c r="W338" s="49">
        <f>V338*U338</f>
        <v/>
      </c>
      <c r="X338" s="49">
        <f>(battery/range_nm)*G338*R338*VLOOKUP(B338,country_opex,3,FALSE)</f>
        <v/>
      </c>
      <c r="Y338" s="49">
        <f>VLOOKUP(B338,country_opex,2,FALSE)*crew_factor</f>
        <v/>
      </c>
      <c r="Z338" s="49">
        <f>VLOOKUP(B338,country_opex,5,FALSE)</f>
        <v/>
      </c>
      <c r="AA338" s="49">
        <f>maint</f>
        <v/>
      </c>
      <c r="AB338" s="49">
        <f>VLOOKUP(B338,country_opex,7,FALSE)*ins_pct</f>
        <v/>
      </c>
      <c r="AC338" s="49">
        <f>charge_berth</f>
        <v/>
      </c>
      <c r="AD338" s="49">
        <f>X338+Y338+Z338+AA338+AB338+AC338</f>
        <v/>
      </c>
      <c r="AE338" s="49">
        <f>VLOOKUP(B338,country_opex,7,FALSE)/dep_years</f>
        <v/>
      </c>
      <c r="AF338" s="49">
        <f>W338-AD338</f>
        <v/>
      </c>
      <c r="AG338" s="46">
        <f>IF(W338=0,"",AF338/W338)</f>
        <v/>
      </c>
      <c r="AH338" s="47">
        <f>IF(AF338&lt;=0,"",VLOOKUP(B338,country_opex,7,FALSE)/AF338)</f>
        <v/>
      </c>
      <c r="AI338" s="44">
        <f>((G338*R338/diesel_nmpg)*diesel_co2pg-(battery/range_nm)*G338*R338*VLOOKUP(B338,country_opex,4,FALSE))/1000</f>
        <v/>
      </c>
      <c r="AJ338" s="42" t="n"/>
      <c r="AK338" s="43" t="n"/>
      <c r="AL338" s="43" t="n"/>
      <c r="AM338" s="50" t="n">
        <v>0.1</v>
      </c>
      <c r="AN338" s="45">
        <f>IF(AJ338="","",AJ338*AM338)</f>
        <v/>
      </c>
      <c r="AO338" s="45">
        <f>IF(OR(AJ338="",U338=0),"",MIN(IF(AV338="",9.9E+99,AV338),FLOOR(AN338/U338,1)))</f>
        <v/>
      </c>
      <c r="AP338" s="49">
        <f>IF(AO338="","",AO338*W338)</f>
        <v/>
      </c>
      <c r="AQ338" s="47">
        <f>IF(OR(AJ338="",U338=0),"",MIN(IF(AV338="",9.9E+99,AV338),AN338/U338))</f>
        <v/>
      </c>
      <c r="AR338" s="49">
        <f>IF(AQ338="","",AQ338*W338)</f>
        <v/>
      </c>
      <c r="AS338" s="51" t="n"/>
      <c r="AT338" s="52" t="n"/>
      <c r="AU338" s="52" t="n"/>
      <c r="AV338" s="53" t="n"/>
      <c r="AW338" s="54">
        <f>IF(((V338*pax_cap*load_thin*ROUND(N338*O338*revleg_thin,0))-(((battery/range_nm)*G338*ROUND(N338*O338*revleg_thin,0)*VLOOKUP(B338,country_opex,3,FALSE))+Y338+Z338+AA338+AB338+AC338))&lt;=0,"",VLOOKUP(B338,country_opex,7,FALSE)/((V338*pax_cap*load_thin*ROUND(N338*O338*revleg_thin,0))-(((battery/range_nm)*G338*ROUND(N338*O338*revleg_thin,0)*VLOOKUP(B338,country_opex,3,FALSE))+Y338+Z338+AA338+AB338+AC338)))</f>
        <v/>
      </c>
      <c r="AX338" s="54">
        <f>IF(((V338*pax_cap*load_mid*ROUND(N338*O338*revleg_mid,0))-(((battery/range_nm)*G338*ROUND(N338*O338*revleg_mid,0)*VLOOKUP(B338,country_opex,3,FALSE))+Y338+Z338+AA338+AB338+AC338))&lt;=0,"",VLOOKUP(B338,country_opex,7,FALSE)/((V338*pax_cap*load_mid*ROUND(N338*O338*revleg_mid,0))-(((battery/range_nm)*G338*ROUND(N338*O338*revleg_mid,0)*VLOOKUP(B338,country_opex,3,FALSE))+Y338+Z338+AA338+AB338+AC338)))</f>
        <v/>
      </c>
      <c r="AY338" s="54">
        <f>IF(((V338*pax_cap*load_full*ROUND(N338*O338*revleg_full,0))-(((battery/range_nm)*G338*ROUND(N338*O338*revleg_full,0)*VLOOKUP(B338,country_opex,3,FALSE))+Y338+Z338+AA338+AB338+AC338))&lt;=0,"",VLOOKUP(B338,country_opex,7,FALSE)/((V338*pax_cap*load_full*ROUND(N338*O338*revleg_full,0))-(((battery/range_nm)*G338*ROUND(N338*O338*revleg_full,0)*VLOOKUP(B338,country_opex,3,FALSE))+Y338+Z338+AA338+AB338+AC338)))</f>
        <v/>
      </c>
      <c r="AZ338" s="40" t="inlineStr">
        <is>
          <t>PREMIUM tier = scheduled snorkeling day-trip per-seat ~Rs 7,000 (~$25) (Rover ₨7,000; Far Adventures/TripMaker Rs 5,000-6,000 incl. transport+lunch). Scuba upgrade Rs 9,500-12,000 (~$34-43); private premium speedboat 'Stingray express' Rs 20,000 (~$71) recorded as charter context only.</t>
        </is>
      </c>
      <c r="BA338" s="40" t="n"/>
    </row>
    <row r="339">
      <c r="A339" s="38" t="inlineStr">
        <is>
          <t>Philippines</t>
        </is>
      </c>
      <c r="B339" s="38" t="inlineStr">
        <is>
          <t>Philippines</t>
        </is>
      </c>
      <c r="C339" s="39" t="inlineStr">
        <is>
          <t>Caticlan Jetty (Tabipan) → Boracay (Cagban Jetty)</t>
        </is>
      </c>
      <c r="D339" s="38" t="inlineStr">
        <is>
          <t>grab</t>
        </is>
      </c>
      <c r="E339" s="40" t="inlineStr">
        <is>
          <t>philippines</t>
        </is>
      </c>
      <c r="F339" s="41" t="n">
        <v>1</v>
      </c>
      <c r="G339" s="42" t="n">
        <v>0.9</v>
      </c>
      <c r="H339" s="35" t="n">
        <v>15</v>
      </c>
      <c r="I339" s="43" t="inlineStr">
        <is>
          <t>T3</t>
        </is>
      </c>
      <c r="J339" s="43" t="inlineStr">
        <is>
          <t>high</t>
        </is>
      </c>
      <c r="K339" s="29" t="n">
        <v>1</v>
      </c>
      <c r="L339" s="44">
        <f>60*G339/cruise_kt</f>
        <v/>
      </c>
      <c r="M339" s="44">
        <f>L339+turn_min+dwell_min</f>
        <v/>
      </c>
      <c r="N339" s="45">
        <f>MIN(10,FLOOR(60*service_hr/M339,1))</f>
        <v/>
      </c>
      <c r="O339" s="45">
        <f>ROUND(365*mech_uptime*K339,0)</f>
        <v/>
      </c>
      <c r="P339" s="46">
        <f>mech_uptime</f>
        <v/>
      </c>
      <c r="Q339" s="46">
        <f>revleg_sel</f>
        <v/>
      </c>
      <c r="R339" s="45">
        <f>ROUND(N339*O339*revleg_sel,0)</f>
        <v/>
      </c>
      <c r="S339" s="47">
        <f>load_sel</f>
        <v/>
      </c>
      <c r="T339" s="47">
        <f>pax_cap*S339</f>
        <v/>
      </c>
      <c r="U339" s="45">
        <f>T339*R339</f>
        <v/>
      </c>
      <c r="V339" s="48">
        <f>H339*discount</f>
        <v/>
      </c>
      <c r="W339" s="49">
        <f>V339*U339</f>
        <v/>
      </c>
      <c r="X339" s="49">
        <f>(battery/range_nm)*G339*R339*VLOOKUP(B339,country_opex,3,FALSE)</f>
        <v/>
      </c>
      <c r="Y339" s="49">
        <f>VLOOKUP(B339,country_opex,2,FALSE)*crew_factor</f>
        <v/>
      </c>
      <c r="Z339" s="49">
        <f>VLOOKUP(B339,country_opex,5,FALSE)</f>
        <v/>
      </c>
      <c r="AA339" s="49">
        <f>maint</f>
        <v/>
      </c>
      <c r="AB339" s="49">
        <f>VLOOKUP(B339,country_opex,7,FALSE)*ins_pct</f>
        <v/>
      </c>
      <c r="AC339" s="49">
        <f>charge_berth</f>
        <v/>
      </c>
      <c r="AD339" s="49">
        <f>X339+Y339+Z339+AA339+AB339+AC339</f>
        <v/>
      </c>
      <c r="AE339" s="49">
        <f>VLOOKUP(B339,country_opex,7,FALSE)/dep_years</f>
        <v/>
      </c>
      <c r="AF339" s="49">
        <f>W339-AD339</f>
        <v/>
      </c>
      <c r="AG339" s="46">
        <f>IF(W339=0,"",AF339/W339)</f>
        <v/>
      </c>
      <c r="AH339" s="47">
        <f>IF(AF339&lt;=0,"",VLOOKUP(B339,country_opex,7,FALSE)/AF339)</f>
        <v/>
      </c>
      <c r="AI339" s="44">
        <f>((G339*R339/diesel_nmpg)*diesel_co2pg-(battery/range_nm)*G339*R339*VLOOKUP(B339,country_opex,4,FALSE))/1000</f>
        <v/>
      </c>
      <c r="AJ339" s="42" t="n">
        <v>4000000</v>
      </c>
      <c r="AK339" s="43" t="inlineStr">
        <is>
          <t>T2</t>
        </is>
      </c>
      <c r="AL339" s="43" t="inlineStr">
        <is>
          <t>high</t>
        </is>
      </c>
      <c r="AM339" s="50" t="n">
        <v>0.1</v>
      </c>
      <c r="AN339" s="45">
        <f>IF(AJ339="","",AJ339*AM339)</f>
        <v/>
      </c>
      <c r="AO339" s="45">
        <f>IF(OR(AJ339="",U339=0),"",MIN(IF(AV339="",9.9E+99,AV339),FLOOR(AN339/U339,1)))</f>
        <v/>
      </c>
      <c r="AP339" s="49">
        <f>IF(AO339="","",AO339*W339)</f>
        <v/>
      </c>
      <c r="AQ339" s="47">
        <f>IF(OR(AJ339="",U339=0),"",MIN(IF(AV339="",9.9E+99,AV339),AN339/U339))</f>
        <v/>
      </c>
      <c r="AR339" s="49">
        <f>IF(AQ339="","",AQ339*W339)</f>
        <v/>
      </c>
      <c r="AS339" s="51" t="n"/>
      <c r="AT339" s="52" t="n"/>
      <c r="AU339" s="52" t="n"/>
      <c r="AV339" s="53" t="n"/>
      <c r="AW339" s="54">
        <f>IF(((V339*pax_cap*load_thin*ROUND(N339*O339*revleg_thin,0))-(((battery/range_nm)*G339*ROUND(N339*O339*revleg_thin,0)*VLOOKUP(B339,country_opex,3,FALSE))+Y339+Z339+AA339+AB339+AC339))&lt;=0,"",VLOOKUP(B339,country_opex,7,FALSE)/((V339*pax_cap*load_thin*ROUND(N339*O339*revleg_thin,0))-(((battery/range_nm)*G339*ROUND(N339*O339*revleg_thin,0)*VLOOKUP(B339,country_opex,3,FALSE))+Y339+Z339+AA339+AB339+AC339)))</f>
        <v/>
      </c>
      <c r="AX339" s="54">
        <f>IF(((V339*pax_cap*load_mid*ROUND(N339*O339*revleg_mid,0))-(((battery/range_nm)*G339*ROUND(N339*O339*revleg_mid,0)*VLOOKUP(B339,country_opex,3,FALSE))+Y339+Z339+AA339+AB339+AC339))&lt;=0,"",VLOOKUP(B339,country_opex,7,FALSE)/((V339*pax_cap*load_mid*ROUND(N339*O339*revleg_mid,0))-(((battery/range_nm)*G339*ROUND(N339*O339*revleg_mid,0)*VLOOKUP(B339,country_opex,3,FALSE))+Y339+Z339+AA339+AB339+AC339)))</f>
        <v/>
      </c>
      <c r="AY339" s="54">
        <f>IF(((V339*pax_cap*load_full*ROUND(N339*O339*revleg_full,0))-(((battery/range_nm)*G339*ROUND(N339*O339*revleg_full,0)*VLOOKUP(B339,country_opex,3,FALSE))+Y339+Z339+AA339+AB339+AC339))&lt;=0,"",VLOOKUP(B339,country_opex,7,FALSE)/((V339*pax_cap*load_full*ROUND(N339*O339*revleg_full,0))-(((battery/range_nm)*G339*ROUND(N339*O339*revleg_full,0)*VLOOKUP(B339,country_opex,3,FALSE))+Y339+Z339+AA339+AB339+AC339)))</f>
        <v/>
      </c>
      <c r="AZ339" s="40" t="inlineStr">
        <is>
          <t>Premium per-seat = speedboat transfer: (1) Expedia live listing 'Speedboat Caticlan to Boracay Transfer (Oneway)' $15/adult, 119 reviews; (2) Viva Boracay Travel: PHP1,600/head ROUNDTRIP speedboat + aircon van airport-hotel incl terminal+environmental fees (~$14/way, FB 2025); (3) MyBoracayGuide 'Executive Speedboat Transfer' from PHP1,800 private incl land legs (5-7min crossing). Budget: public pump boat (banca) PHP50-75/way (+PHP150 terminal +PHP300 environmental fee paid separately); Southwest Tours shared airport-&gt;hotel transfer PHP850 one-way incl boat. Top: helicopter from PHP63,000.</t>
        </is>
      </c>
      <c r="BA339" s="40" t="inlineStr">
        <is>
          <t>Malay Municipal Tourism Office (official): Boracay 2024 arrivals 2.06M (1.77M domestic / 358k foreign / 32k OFW; ta-summary-january-december-2024.pdf via malaytourism FB), 2023 = 2.15M; 2025 slightly up (Manila Standard); 2026 target 2.3M; record Dec 2025 month (PIA).</t>
        </is>
      </c>
    </row>
    <row r="340">
      <c r="A340" s="38" t="inlineStr">
        <is>
          <t>Philippines</t>
        </is>
      </c>
      <c r="B340" s="38" t="inlineStr">
        <is>
          <t>Philippines</t>
        </is>
      </c>
      <c r="C340" s="39" t="inlineStr">
        <is>
          <t>Boracay (Cagban) → Carabao Island (Lanas Beach)</t>
        </is>
      </c>
      <c r="D340" s="38" t="inlineStr">
        <is>
          <t>grab</t>
        </is>
      </c>
      <c r="E340" s="40" t="inlineStr">
        <is>
          <t>philippines</t>
        </is>
      </c>
      <c r="F340" s="41" t="n">
        <v>1</v>
      </c>
      <c r="G340" s="42" t="n">
        <v>5.5</v>
      </c>
      <c r="H340" s="35" t="n">
        <v>11</v>
      </c>
      <c r="I340" s="43" t="inlineStr">
        <is>
          <t>T3</t>
        </is>
      </c>
      <c r="J340" s="43" t="inlineStr">
        <is>
          <t>med</t>
        </is>
      </c>
      <c r="K340" s="29" t="n">
        <v>1</v>
      </c>
      <c r="L340" s="44">
        <f>60*G340/cruise_kt</f>
        <v/>
      </c>
      <c r="M340" s="44">
        <f>L340+turn_min+dwell_min</f>
        <v/>
      </c>
      <c r="N340" s="45">
        <f>MIN(10,FLOOR(60*service_hr/M340,1))</f>
        <v/>
      </c>
      <c r="O340" s="45">
        <f>ROUND(365*mech_uptime*K340,0)</f>
        <v/>
      </c>
      <c r="P340" s="46">
        <f>mech_uptime</f>
        <v/>
      </c>
      <c r="Q340" s="46">
        <f>revleg_sel</f>
        <v/>
      </c>
      <c r="R340" s="45">
        <f>ROUND(N340*O340*revleg_sel,0)</f>
        <v/>
      </c>
      <c r="S340" s="47">
        <f>load_sel</f>
        <v/>
      </c>
      <c r="T340" s="47">
        <f>pax_cap*S340</f>
        <v/>
      </c>
      <c r="U340" s="45">
        <f>T340*R340</f>
        <v/>
      </c>
      <c r="V340" s="48">
        <f>H340*discount</f>
        <v/>
      </c>
      <c r="W340" s="49">
        <f>V340*U340</f>
        <v/>
      </c>
      <c r="X340" s="49">
        <f>(battery/range_nm)*G340*R340*VLOOKUP(B340,country_opex,3,FALSE)</f>
        <v/>
      </c>
      <c r="Y340" s="49">
        <f>VLOOKUP(B340,country_opex,2,FALSE)*crew_factor</f>
        <v/>
      </c>
      <c r="Z340" s="49">
        <f>VLOOKUP(B340,country_opex,5,FALSE)</f>
        <v/>
      </c>
      <c r="AA340" s="49">
        <f>maint</f>
        <v/>
      </c>
      <c r="AB340" s="49">
        <f>VLOOKUP(B340,country_opex,7,FALSE)*ins_pct</f>
        <v/>
      </c>
      <c r="AC340" s="49">
        <f>charge_berth</f>
        <v/>
      </c>
      <c r="AD340" s="49">
        <f>X340+Y340+Z340+AA340+AB340+AC340</f>
        <v/>
      </c>
      <c r="AE340" s="49">
        <f>VLOOKUP(B340,country_opex,7,FALSE)/dep_years</f>
        <v/>
      </c>
      <c r="AF340" s="49">
        <f>W340-AD340</f>
        <v/>
      </c>
      <c r="AG340" s="46">
        <f>IF(W340=0,"",AF340/W340)</f>
        <v/>
      </c>
      <c r="AH340" s="47">
        <f>IF(AF340&lt;=0,"",VLOOKUP(B340,country_opex,7,FALSE)/AF340)</f>
        <v/>
      </c>
      <c r="AI340" s="44">
        <f>((G340*R340/diesel_nmpg)*diesel_co2pg-(battery/range_nm)*G340*R340*VLOOKUP(B340,country_opex,4,FALSE))/1000</f>
        <v/>
      </c>
      <c r="AJ340" s="42" t="n">
        <v>60000</v>
      </c>
      <c r="AK340" s="43" t="inlineStr">
        <is>
          <t>T5</t>
        </is>
      </c>
      <c r="AL340" s="43" t="inlineStr">
        <is>
          <t>low</t>
        </is>
      </c>
      <c r="AM340" s="50" t="n">
        <v>0.1</v>
      </c>
      <c r="AN340" s="45">
        <f>IF(AJ340="","",AJ340*AM340)</f>
        <v/>
      </c>
      <c r="AO340" s="45">
        <f>IF(OR(AJ340="",U340=0),"",MIN(IF(AV340="",9.9E+99,AV340),FLOOR(AN340/U340,1)))</f>
        <v/>
      </c>
      <c r="AP340" s="49">
        <f>IF(AO340="","",AO340*W340)</f>
        <v/>
      </c>
      <c r="AQ340" s="47">
        <f>IF(OR(AJ340="",U340=0),"",MIN(IF(AV340="",9.9E+99,AV340),AN340/U340))</f>
        <v/>
      </c>
      <c r="AR340" s="49">
        <f>IF(AQ340="","",AQ340*W340)</f>
        <v/>
      </c>
      <c r="AS340" s="51" t="n"/>
      <c r="AT340" s="52" t="n"/>
      <c r="AU340" s="52" t="n"/>
      <c r="AV340" s="53" t="n"/>
      <c r="AW340" s="54">
        <f>IF(((V340*pax_cap*load_thin*ROUND(N340*O340*revleg_thin,0))-(((battery/range_nm)*G340*ROUND(N340*O340*revleg_thin,0)*VLOOKUP(B340,country_opex,3,FALSE))+Y340+Z340+AA340+AB340+AC340))&lt;=0,"",VLOOKUP(B340,country_opex,7,FALSE)/((V340*pax_cap*load_thin*ROUND(N340*O340*revleg_thin,0))-(((battery/range_nm)*G340*ROUND(N340*O340*revleg_thin,0)*VLOOKUP(B340,country_opex,3,FALSE))+Y340+Z340+AA340+AB340+AC340)))</f>
        <v/>
      </c>
      <c r="AX340" s="54">
        <f>IF(((V340*pax_cap*load_mid*ROUND(N340*O340*revleg_mid,0))-(((battery/range_nm)*G340*ROUND(N340*O340*revleg_mid,0)*VLOOKUP(B340,country_opex,3,FALSE))+Y340+Z340+AA340+AB340+AC340))&lt;=0,"",VLOOKUP(B340,country_opex,7,FALSE)/((V340*pax_cap*load_mid*ROUND(N340*O340*revleg_mid,0))-(((battery/range_nm)*G340*ROUND(N340*O340*revleg_mid,0)*VLOOKUP(B340,country_opex,3,FALSE))+Y340+Z340+AA340+AB340+AC340)))</f>
        <v/>
      </c>
      <c r="AY340" s="54">
        <f>IF(((V340*pax_cap*load_full*ROUND(N340*O340*revleg_full,0))-(((battery/range_nm)*G340*ROUND(N340*O340*revleg_full,0)*VLOOKUP(B340,country_opex,3,FALSE))+Y340+Z340+AA340+AB340+AC340))&lt;=0,"",VLOOKUP(B340,country_opex,7,FALSE)/((V340*pax_cap*load_full*ROUND(N340*O340*revleg_full,0))-(((battery/range_nm)*G340*ROUND(N340*O340*revleg_full,0)*VLOOKUP(B340,country_opex,3,FALSE))+Y340+Z340+AA340+AB340+AC340)))</f>
        <v/>
      </c>
      <c r="AZ340" s="40" t="inlineStr">
        <is>
          <t>Per-seat day-tour market from Boracay: group day tour PHP800-1,500/pax RT incl lunch buffet (joansfootprints.com; Tripadvisor product 'Carabao Island Day Tour From Boracay', 322 reviews, ~PHP950 entrance-with-buffet component cited in reviews; Traveloka/Klook listings live). Budget: public banca PHP100-200/way (~$2-3.5, thecoastalcampaign.com). Charter: private boat Boracay-&gt;Carabao quoted ~US$120 whole-boat (FB Boracay group) - excluded as overclaim (~$15/way/pax at 4-pax occupancy, consistent with per-seat anchor).</t>
        </is>
      </c>
      <c r="BA340" s="40" t="inlineStr">
        <is>
          <t>Carabao Island (San Jose, Romblon) arrivals: 17,000 tourists in 2018 full-year; 30,000 in Q1 2019 alone (San Jose LGU via PNA, pna.gov.ph/articles/1086939, Nov 2019 - 'draws a fair share of visitors from nearby Boracay', 30-min boat ride). No post-Covid official count found.</t>
        </is>
      </c>
    </row>
    <row r="341">
      <c r="A341" s="38" t="inlineStr">
        <is>
          <t>Philippines</t>
        </is>
      </c>
      <c r="B341" s="38" t="inlineStr">
        <is>
          <t>Philippines</t>
        </is>
      </c>
      <c r="C341" s="39" t="inlineStr">
        <is>
          <t>Boracay (White Beach) → Boracay island-hop loop (Puka / Crocodile Is.)</t>
        </is>
      </c>
      <c r="D341" s="38" t="inlineStr">
        <is>
          <t>grab</t>
        </is>
      </c>
      <c r="E341" s="40" t="inlineStr">
        <is>
          <t>philippines</t>
        </is>
      </c>
      <c r="F341" s="41" t="n">
        <v>1</v>
      </c>
      <c r="G341" s="42" t="n">
        <v>6</v>
      </c>
      <c r="H341" s="35" t="n">
        <v>23</v>
      </c>
      <c r="I341" s="43" t="inlineStr">
        <is>
          <t>T3</t>
        </is>
      </c>
      <c r="J341" s="43" t="inlineStr">
        <is>
          <t>med-high</t>
        </is>
      </c>
      <c r="K341" s="29" t="n">
        <v>1</v>
      </c>
      <c r="L341" s="44">
        <f>60*G341/cruise_kt</f>
        <v/>
      </c>
      <c r="M341" s="44">
        <f>L341+turn_min+dwell_min</f>
        <v/>
      </c>
      <c r="N341" s="45">
        <f>MIN(10,FLOOR(60*service_hr/M341,1))</f>
        <v/>
      </c>
      <c r="O341" s="45">
        <f>ROUND(365*mech_uptime*K341,0)</f>
        <v/>
      </c>
      <c r="P341" s="46">
        <f>mech_uptime</f>
        <v/>
      </c>
      <c r="Q341" s="46">
        <f>revleg_sel</f>
        <v/>
      </c>
      <c r="R341" s="45">
        <f>ROUND(N341*O341*revleg_sel,0)</f>
        <v/>
      </c>
      <c r="S341" s="47">
        <f>load_sel</f>
        <v/>
      </c>
      <c r="T341" s="47">
        <f>pax_cap*S341</f>
        <v/>
      </c>
      <c r="U341" s="45">
        <f>T341*R341</f>
        <v/>
      </c>
      <c r="V341" s="48">
        <f>H341*discount</f>
        <v/>
      </c>
      <c r="W341" s="49">
        <f>V341*U341</f>
        <v/>
      </c>
      <c r="X341" s="49">
        <f>(battery/range_nm)*G341*R341*VLOOKUP(B341,country_opex,3,FALSE)</f>
        <v/>
      </c>
      <c r="Y341" s="49">
        <f>VLOOKUP(B341,country_opex,2,FALSE)*crew_factor</f>
        <v/>
      </c>
      <c r="Z341" s="49">
        <f>VLOOKUP(B341,country_opex,5,FALSE)</f>
        <v/>
      </c>
      <c r="AA341" s="49">
        <f>maint</f>
        <v/>
      </c>
      <c r="AB341" s="49">
        <f>VLOOKUP(B341,country_opex,7,FALSE)*ins_pct</f>
        <v/>
      </c>
      <c r="AC341" s="49">
        <f>charge_berth</f>
        <v/>
      </c>
      <c r="AD341" s="49">
        <f>X341+Y341+Z341+AA341+AB341+AC341</f>
        <v/>
      </c>
      <c r="AE341" s="49">
        <f>VLOOKUP(B341,country_opex,7,FALSE)/dep_years</f>
        <v/>
      </c>
      <c r="AF341" s="49">
        <f>W341-AD341</f>
        <v/>
      </c>
      <c r="AG341" s="46">
        <f>IF(W341=0,"",AF341/W341)</f>
        <v/>
      </c>
      <c r="AH341" s="47">
        <f>IF(AF341&lt;=0,"",VLOOKUP(B341,country_opex,7,FALSE)/AF341)</f>
        <v/>
      </c>
      <c r="AI341" s="44">
        <f>((G341*R341/diesel_nmpg)*diesel_co2pg-(battery/range_nm)*G341*R341*VLOOKUP(B341,country_opex,4,FALSE))/1000</f>
        <v/>
      </c>
      <c r="AJ341" s="42" t="n">
        <v>500000</v>
      </c>
      <c r="AK341" s="43" t="inlineStr">
        <is>
          <t>T5</t>
        </is>
      </c>
      <c r="AL341" s="43" t="inlineStr">
        <is>
          <t>low</t>
        </is>
      </c>
      <c r="AM341" s="50" t="n">
        <v>0.1</v>
      </c>
      <c r="AN341" s="45">
        <f>IF(AJ341="","",AJ341*AM341)</f>
        <v/>
      </c>
      <c r="AO341" s="45">
        <f>IF(OR(AJ341="",U341=0),"",MIN(IF(AV341="",9.9E+99,AV341),FLOOR(AN341/U341,1)))</f>
        <v/>
      </c>
      <c r="AP341" s="49">
        <f>IF(AO341="","",AO341*W341)</f>
        <v/>
      </c>
      <c r="AQ341" s="47">
        <f>IF(OR(AJ341="",U341=0),"",MIN(IF(AV341="",9.9E+99,AV341),AN341/U341))</f>
        <v/>
      </c>
      <c r="AR341" s="49">
        <f>IF(AQ341="","",AQ341*W341)</f>
        <v/>
      </c>
      <c r="AS341" s="51" t="n"/>
      <c r="AT341" s="52" t="n"/>
      <c r="AU341" s="52" t="n"/>
      <c r="AV341" s="53" t="n"/>
      <c r="AW341" s="54">
        <f>IF(((V341*pax_cap*load_thin*ROUND(N341*O341*revleg_thin,0))-(((battery/range_nm)*G341*ROUND(N341*O341*revleg_thin,0)*VLOOKUP(B341,country_opex,3,FALSE))+Y341+Z341+AA341+AB341+AC341))&lt;=0,"",VLOOKUP(B341,country_opex,7,FALSE)/((V341*pax_cap*load_thin*ROUND(N341*O341*revleg_thin,0))-(((battery/range_nm)*G341*ROUND(N341*O341*revleg_thin,0)*VLOOKUP(B341,country_opex,3,FALSE))+Y341+Z341+AA341+AB341+AC341)))</f>
        <v/>
      </c>
      <c r="AX341" s="54">
        <f>IF(((V341*pax_cap*load_mid*ROUND(N341*O341*revleg_mid,0))-(((battery/range_nm)*G341*ROUND(N341*O341*revleg_mid,0)*VLOOKUP(B341,country_opex,3,FALSE))+Y341+Z341+AA341+AB341+AC341))&lt;=0,"",VLOOKUP(B341,country_opex,7,FALSE)/((V341*pax_cap*load_mid*ROUND(N341*O341*revleg_mid,0))-(((battery/range_nm)*G341*ROUND(N341*O341*revleg_mid,0)*VLOOKUP(B341,country_opex,3,FALSE))+Y341+Z341+AA341+AB341+AC341)))</f>
        <v/>
      </c>
      <c r="AY341" s="54">
        <f>IF(((V341*pax_cap*load_full*ROUND(N341*O341*revleg_full,0))-(((battery/range_nm)*G341*ROUND(N341*O341*revleg_full,0)*VLOOKUP(B341,country_opex,3,FALSE))+Y341+Z341+AA341+AB341+AC341))&lt;=0,"",VLOOKUP(B341,country_opex,7,FALSE)/((V341*pax_cap*load_full*ROUND(N341*O341*revleg_full,0))-(((battery/range_nm)*G341*ROUND(N341*O341*revleg_full,0)*VLOOKUP(B341,country_opex,3,FALSE))+Y341+Z341+AA341+AB341+AC341)))</f>
        <v/>
      </c>
      <c r="AZ341" s="40" t="inlineStr">
        <is>
          <t>Very liquid per-seat group-tour market (Puka/Crocodile Is. loop): joiner basic PHP800-900/pax incl lunch (thepoortraveler.net; IG joiner ads PHP850, 2025-26); premium group tour PHP1,700/pax (myboracayguide.com 'from PHP1700', 5h, snorkeling+Puka+lunch, hotel pickup) and PHP1,750 all-in 3-island + seafood buffet (IG); premium meal upgrade +PHP700 (islanddiariesph.com); private island-hop from ~PHP5,500/pax (FB) / GetYourGuide private - excluded as overclaim.</t>
        </is>
      </c>
      <c r="BA341" s="40" t="inlineStr">
        <is>
          <t>No published island-hop participation share found (searched Malay MTO / DOT / academic surveys). Pool basis = GROSS Boracay arrivals 2.06M/yr (Malay Municipal Tourism Office 2024) - NOT used directly per demand discipline (Samui/Langkawi trap: gross arrivals != tour riders).</t>
        </is>
      </c>
    </row>
    <row r="342">
      <c r="A342" s="38" t="inlineStr">
        <is>
          <t>Philippines</t>
        </is>
      </c>
      <c r="B342" s="38" t="inlineStr">
        <is>
          <t>Philippines</t>
        </is>
      </c>
      <c r="C342" s="39" t="inlineStr">
        <is>
          <t>Manila (Esplanade) → Sangley Point (Cavite)</t>
        </is>
      </c>
      <c r="D342" s="38" t="inlineStr">
        <is>
          <t>grab</t>
        </is>
      </c>
      <c r="E342" s="40" t="inlineStr">
        <is>
          <t>philippines</t>
        </is>
      </c>
      <c r="F342" s="41" t="n">
        <v>1</v>
      </c>
      <c r="G342" s="42" t="n">
        <v>8</v>
      </c>
      <c r="H342" s="35" t="n"/>
      <c r="I342" s="43" t="inlineStr">
        <is>
          <t>T2</t>
        </is>
      </c>
      <c r="J342" s="43" t="inlineStr">
        <is>
          <t>low</t>
        </is>
      </c>
      <c r="K342" s="29" t="n">
        <v>1</v>
      </c>
      <c r="L342" s="44">
        <f>60*G342/cruise_kt</f>
        <v/>
      </c>
      <c r="M342" s="44">
        <f>L342+turn_min+dwell_min</f>
        <v/>
      </c>
      <c r="N342" s="45">
        <f>MIN(10,FLOOR(60*service_hr/M342,1))</f>
        <v/>
      </c>
      <c r="O342" s="45">
        <f>ROUND(365*mech_uptime*K342,0)</f>
        <v/>
      </c>
      <c r="P342" s="46">
        <f>mech_uptime</f>
        <v/>
      </c>
      <c r="Q342" s="46">
        <f>revleg_sel</f>
        <v/>
      </c>
      <c r="R342" s="45">
        <f>ROUND(N342*O342*revleg_sel,0)</f>
        <v/>
      </c>
      <c r="S342" s="47">
        <f>load_sel</f>
        <v/>
      </c>
      <c r="T342" s="47">
        <f>pax_cap*S342</f>
        <v/>
      </c>
      <c r="U342" s="45">
        <f>T342*R342</f>
        <v/>
      </c>
      <c r="V342" s="48">
        <f>H342*discount</f>
        <v/>
      </c>
      <c r="W342" s="49">
        <f>V342*U342</f>
        <v/>
      </c>
      <c r="X342" s="49">
        <f>(battery/range_nm)*G342*R342*VLOOKUP(B342,country_opex,3,FALSE)</f>
        <v/>
      </c>
      <c r="Y342" s="49">
        <f>VLOOKUP(B342,country_opex,2,FALSE)*crew_factor</f>
        <v/>
      </c>
      <c r="Z342" s="49">
        <f>VLOOKUP(B342,country_opex,5,FALSE)</f>
        <v/>
      </c>
      <c r="AA342" s="49">
        <f>maint</f>
        <v/>
      </c>
      <c r="AB342" s="49">
        <f>VLOOKUP(B342,country_opex,7,FALSE)*ins_pct</f>
        <v/>
      </c>
      <c r="AC342" s="49">
        <f>charge_berth</f>
        <v/>
      </c>
      <c r="AD342" s="49">
        <f>X342+Y342+Z342+AA342+AB342+AC342</f>
        <v/>
      </c>
      <c r="AE342" s="49">
        <f>VLOOKUP(B342,country_opex,7,FALSE)/dep_years</f>
        <v/>
      </c>
      <c r="AF342" s="49">
        <f>W342-AD342</f>
        <v/>
      </c>
      <c r="AG342" s="46">
        <f>IF(W342=0,"",AF342/W342)</f>
        <v/>
      </c>
      <c r="AH342" s="47">
        <f>IF(AF342&lt;=0,"",VLOOKUP(B342,country_opex,7,FALSE)/AF342)</f>
        <v/>
      </c>
      <c r="AI342" s="44">
        <f>((G342*R342/diesel_nmpg)*diesel_co2pg-(battery/range_nm)*G342*R342*VLOOKUP(B342,country_opex,4,FALSE))/1000</f>
        <v/>
      </c>
      <c r="AJ342" s="42" t="n"/>
      <c r="AK342" s="43" t="inlineStr">
        <is>
          <t>T2</t>
        </is>
      </c>
      <c r="AL342" s="43" t="inlineStr">
        <is>
          <t>low</t>
        </is>
      </c>
      <c r="AM342" s="50" t="n">
        <v>0.1</v>
      </c>
      <c r="AN342" s="45">
        <f>IF(AJ342="","",AJ342*AM342)</f>
        <v/>
      </c>
      <c r="AO342" s="45">
        <f>IF(OR(AJ342="",U342=0),"",MIN(IF(AV342="",9.9E+99,AV342),FLOOR(AN342/U342,1)))</f>
        <v/>
      </c>
      <c r="AP342" s="49">
        <f>IF(AO342="","",AO342*W342)</f>
        <v/>
      </c>
      <c r="AQ342" s="47">
        <f>IF(OR(AJ342="",U342=0),"",MIN(IF(AV342="",9.9E+99,AV342),AN342/U342))</f>
        <v/>
      </c>
      <c r="AR342" s="49">
        <f>IF(AQ342="","",AQ342*W342)</f>
        <v/>
      </c>
      <c r="AS342" s="51" t="n"/>
      <c r="AT342" s="52" t="n"/>
      <c r="AU342" s="52" t="n"/>
      <c r="AV342" s="53" t="n"/>
      <c r="AW342" s="54">
        <f>IF(((V342*pax_cap*load_thin*ROUND(N342*O342*revleg_thin,0))-(((battery/range_nm)*G342*ROUND(N342*O342*revleg_thin,0)*VLOOKUP(B342,country_opex,3,FALSE))+Y342+Z342+AA342+AB342+AC342))&lt;=0,"",VLOOKUP(B342,country_opex,7,FALSE)/((V342*pax_cap*load_thin*ROUND(N342*O342*revleg_thin,0))-(((battery/range_nm)*G342*ROUND(N342*O342*revleg_thin,0)*VLOOKUP(B342,country_opex,3,FALSE))+Y342+Z342+AA342+AB342+AC342)))</f>
        <v/>
      </c>
      <c r="AX342" s="54">
        <f>IF(((V342*pax_cap*load_mid*ROUND(N342*O342*revleg_mid,0))-(((battery/range_nm)*G342*ROUND(N342*O342*revleg_mid,0)*VLOOKUP(B342,country_opex,3,FALSE))+Y342+Z342+AA342+AB342+AC342))&lt;=0,"",VLOOKUP(B342,country_opex,7,FALSE)/((V342*pax_cap*load_mid*ROUND(N342*O342*revleg_mid,0))-(((battery/range_nm)*G342*ROUND(N342*O342*revleg_mid,0)*VLOOKUP(B342,country_opex,3,FALSE))+Y342+Z342+AA342+AB342+AC342)))</f>
        <v/>
      </c>
      <c r="AY342" s="54">
        <f>IF(((V342*pax_cap*load_full*ROUND(N342*O342*revleg_full,0))-(((battery/range_nm)*G342*ROUND(N342*O342*revleg_full,0)*VLOOKUP(B342,country_opex,3,FALSE))+Y342+Z342+AA342+AB342+AC342))&lt;=0,"",VLOOKUP(B342,country_opex,7,FALSE)/((V342*pax_cap*load_full*ROUND(N342*O342*revleg_full,0))-(((battery/range_nm)*G342*ROUND(N342*O342*revleg_full,0)*VLOOKUP(B342,country_opex,3,FALSE))+Y342+Z342+AA342+AB342+AC342)))</f>
        <v/>
      </c>
      <c r="AZ342" s="40" t="inlineStr">
        <is>
          <t>R5-EXT + R10: Cavite City&lt;-&gt;Manila (Lawton &amp; CCP) ferry launched Dec 2019 by DOTr/MARINA with private operators (Metrostar heritage route); flat single-class commuter fares: regular PHP160, student PHP128, senior PHP114 (thepoortraveler.net 2019; marina.gov.ph). Service lapsed during Covid; as of 2025 DOTr lists a planned Manila (Divisoria)-Cavite 'water jeepney' relaunch (GMA News Aug 2025) - not yet running. No premium/luxury per-seat tier has ever existed on this crossing.</t>
        </is>
      </c>
      <c r="BA342" s="40" t="inlineStr">
        <is>
          <t>No published route ridership: 2019-2020 relaunch died in Covid (free first month, PNA Dec 2019); no MARINA/PPA route-level count found for any operating year; 2025 'water jeepney' route still pre-launch.</t>
        </is>
      </c>
    </row>
    <row r="343">
      <c r="A343" s="38" t="inlineStr">
        <is>
          <t>Philippines</t>
        </is>
      </c>
      <c r="B343" s="38" t="inlineStr">
        <is>
          <t>Philippines</t>
        </is>
      </c>
      <c r="C343" s="39" t="inlineStr">
        <is>
          <t>Manila (SM MOA Esplanade) → Camaya Coast / Orion (Bataan)</t>
        </is>
      </c>
      <c r="D343" s="38" t="inlineStr">
        <is>
          <t>grab</t>
        </is>
      </c>
      <c r="E343" s="40" t="inlineStr">
        <is>
          <t>philippines</t>
        </is>
      </c>
      <c r="F343" s="41" t="n">
        <v>1</v>
      </c>
      <c r="G343" s="42" t="n">
        <v>22</v>
      </c>
      <c r="H343" s="35" t="n">
        <v>18</v>
      </c>
      <c r="I343" s="43" t="inlineStr">
        <is>
          <t>T3</t>
        </is>
      </c>
      <c r="J343" s="43" t="inlineStr">
        <is>
          <t>med</t>
        </is>
      </c>
      <c r="K343" s="29" t="n">
        <v>1</v>
      </c>
      <c r="L343" s="44">
        <f>60*G343/cruise_kt</f>
        <v/>
      </c>
      <c r="M343" s="44">
        <f>L343+turn_min+dwell_min</f>
        <v/>
      </c>
      <c r="N343" s="45">
        <f>MIN(10,FLOOR(60*service_hr/M343,1))</f>
        <v/>
      </c>
      <c r="O343" s="45">
        <f>ROUND(365*mech_uptime*K343,0)</f>
        <v/>
      </c>
      <c r="P343" s="46">
        <f>mech_uptime</f>
        <v/>
      </c>
      <c r="Q343" s="46">
        <f>revleg_sel</f>
        <v/>
      </c>
      <c r="R343" s="45">
        <f>ROUND(N343*O343*revleg_sel,0)</f>
        <v/>
      </c>
      <c r="S343" s="47">
        <f>load_sel</f>
        <v/>
      </c>
      <c r="T343" s="47">
        <f>pax_cap*S343</f>
        <v/>
      </c>
      <c r="U343" s="45">
        <f>T343*R343</f>
        <v/>
      </c>
      <c r="V343" s="48">
        <f>H343*discount</f>
        <v/>
      </c>
      <c r="W343" s="49">
        <f>V343*U343</f>
        <v/>
      </c>
      <c r="X343" s="49">
        <f>(battery/range_nm)*G343*R343*VLOOKUP(B343,country_opex,3,FALSE)</f>
        <v/>
      </c>
      <c r="Y343" s="49">
        <f>VLOOKUP(B343,country_opex,2,FALSE)*crew_factor</f>
        <v/>
      </c>
      <c r="Z343" s="49">
        <f>VLOOKUP(B343,country_opex,5,FALSE)</f>
        <v/>
      </c>
      <c r="AA343" s="49">
        <f>maint</f>
        <v/>
      </c>
      <c r="AB343" s="49">
        <f>VLOOKUP(B343,country_opex,7,FALSE)*ins_pct</f>
        <v/>
      </c>
      <c r="AC343" s="49">
        <f>charge_berth</f>
        <v/>
      </c>
      <c r="AD343" s="49">
        <f>X343+Y343+Z343+AA343+AB343+AC343</f>
        <v/>
      </c>
      <c r="AE343" s="49">
        <f>VLOOKUP(B343,country_opex,7,FALSE)/dep_years</f>
        <v/>
      </c>
      <c r="AF343" s="49">
        <f>W343-AD343</f>
        <v/>
      </c>
      <c r="AG343" s="46">
        <f>IF(W343=0,"",AF343/W343)</f>
        <v/>
      </c>
      <c r="AH343" s="47">
        <f>IF(AF343&lt;=0,"",VLOOKUP(B343,country_opex,7,FALSE)/AF343)</f>
        <v/>
      </c>
      <c r="AI343" s="44">
        <f>((G343*R343/diesel_nmpg)*diesel_co2pg-(battery/range_nm)*G343*R343*VLOOKUP(B343,country_opex,4,FALSE))/1000</f>
        <v/>
      </c>
      <c r="AJ343" s="42" t="n"/>
      <c r="AK343" s="43" t="inlineStr">
        <is>
          <t>T2</t>
        </is>
      </c>
      <c r="AL343" s="43" t="inlineStr">
        <is>
          <t>low</t>
        </is>
      </c>
      <c r="AM343" s="50" t="n">
        <v>0.1</v>
      </c>
      <c r="AN343" s="45">
        <f>IF(AJ343="","",AJ343*AM343)</f>
        <v/>
      </c>
      <c r="AO343" s="45">
        <f>IF(OR(AJ343="",U343=0),"",MIN(IF(AV343="",9.9E+99,AV343),FLOOR(AN343/U343,1)))</f>
        <v/>
      </c>
      <c r="AP343" s="49">
        <f>IF(AO343="","",AO343*W343)</f>
        <v/>
      </c>
      <c r="AQ343" s="47">
        <f>IF(OR(AJ343="",U343=0),"",MIN(IF(AV343="",9.9E+99,AV343),AN343/U343))</f>
        <v/>
      </c>
      <c r="AR343" s="49">
        <f>IF(AQ343="","",AQ343*W343)</f>
        <v/>
      </c>
      <c r="AS343" s="51" t="n"/>
      <c r="AT343" s="52" t="n"/>
      <c r="AU343" s="52" t="n"/>
      <c r="AV343" s="53" t="n"/>
      <c r="AW343" s="54">
        <f>IF(((V343*pax_cap*load_thin*ROUND(N343*O343*revleg_thin,0))-(((battery/range_nm)*G343*ROUND(N343*O343*revleg_thin,0)*VLOOKUP(B343,country_opex,3,FALSE))+Y343+Z343+AA343+AB343+AC343))&lt;=0,"",VLOOKUP(B343,country_opex,7,FALSE)/((V343*pax_cap*load_thin*ROUND(N343*O343*revleg_thin,0))-(((battery/range_nm)*G343*ROUND(N343*O343*revleg_thin,0)*VLOOKUP(B343,country_opex,3,FALSE))+Y343+Z343+AA343+AB343+AC343)))</f>
        <v/>
      </c>
      <c r="AX343" s="54">
        <f>IF(((V343*pax_cap*load_mid*ROUND(N343*O343*revleg_mid,0))-(((battery/range_nm)*G343*ROUND(N343*O343*revleg_mid,0)*VLOOKUP(B343,country_opex,3,FALSE))+Y343+Z343+AA343+AB343+AC343))&lt;=0,"",VLOOKUP(B343,country_opex,7,FALSE)/((V343*pax_cap*load_mid*ROUND(N343*O343*revleg_mid,0))-(((battery/range_nm)*G343*ROUND(N343*O343*revleg_mid,0)*VLOOKUP(B343,country_opex,3,FALSE))+Y343+Z343+AA343+AB343+AC343)))</f>
        <v/>
      </c>
      <c r="AY343" s="54">
        <f>IF(((V343*pax_cap*load_full*ROUND(N343*O343*revleg_full,0))-(((battery/range_nm)*G343*ROUND(N343*O343*revleg_full,0)*VLOOKUP(B343,country_opex,3,FALSE))+Y343+Z343+AA343+AB343+AC343))&lt;=0,"",VLOOKUP(B343,country_opex,7,FALSE)/((V343*pax_cap*load_full*ROUND(N343*O343*revleg_full,0))-(((battery/range_nm)*G343*ROUND(N343*O343*revleg_full,0)*VLOOKUP(B343,country_opex,3,FALSE))+Y343+Z343+AA343+AB343+AC343)))</f>
        <v/>
      </c>
      <c r="AZ343" s="40" t="inlineStr">
        <is>
          <t>Two real per-seat products: (1) 1Bataan Integrated Transport System (1BITS) public fastcraft Manila CCP&lt;-&gt;Capinpin Orion: PHP499 walk-in / PHP249 online promo per way (lakwatsero.com + 1bataanits.ph, Jun 2025); single class, 108-seat HK-Macau-style fastcraft, 1h30m. (2) Camaya Coast resort scheduled ferry day-tour packages (resort's own ferry, CCP terminal): weekday PHP1,399-1,449/pax, weekend PHP2,399-2,499/pax incl RT ferry + resort day access (FB group rate card 2025); 2026 vlog shows PHP999 day tour w/ ferry. Resort day access alone (own vehicle) = PHP299 (camayacoast.com).</t>
        </is>
      </c>
      <c r="BA343" s="40" t="inlineStr">
        <is>
          <t>PPA 2024 Passenger Statistics Summary (ppa.com.ph qtr_stat, prelim): TMO Orion / OTP Orion = 0 passengers recorded for 2024. 1BITS service is intermittent: relaunched Jun 13 2025 (2 RT/day, 108 seats), suspended again since Nov 2025 until further notice (iamtravelinglight.com note; 1Bataan FB advisories). Camaya Coast resort-ferry volumes unpublished.</t>
        </is>
      </c>
    </row>
    <row r="344">
      <c r="A344" s="38" t="inlineStr">
        <is>
          <t>Philippines</t>
        </is>
      </c>
      <c r="B344" s="38" t="inlineStr">
        <is>
          <t>Philippines</t>
        </is>
      </c>
      <c r="C344" s="39" t="inlineStr">
        <is>
          <t>Manila (CCP / Esplanade Seaside) → Corregidor Island</t>
        </is>
      </c>
      <c r="D344" s="38" t="inlineStr">
        <is>
          <t>grab</t>
        </is>
      </c>
      <c r="E344" s="40" t="inlineStr">
        <is>
          <t>philippines</t>
        </is>
      </c>
      <c r="F344" s="41" t="n">
        <v>1</v>
      </c>
      <c r="G344" s="42" t="n">
        <v>26</v>
      </c>
      <c r="H344" s="35" t="n">
        <v>50</v>
      </c>
      <c r="I344" s="43" t="inlineStr">
        <is>
          <t>T3</t>
        </is>
      </c>
      <c r="J344" s="43" t="inlineStr">
        <is>
          <t>med</t>
        </is>
      </c>
      <c r="K344" s="29" t="n">
        <v>1</v>
      </c>
      <c r="L344" s="44">
        <f>60*G344/cruise_kt</f>
        <v/>
      </c>
      <c r="M344" s="44">
        <f>L344+turn_min+dwell_min</f>
        <v/>
      </c>
      <c r="N344" s="45">
        <f>MIN(10,FLOOR(60*service_hr/M344,1))</f>
        <v/>
      </c>
      <c r="O344" s="45">
        <f>ROUND(365*mech_uptime*K344,0)</f>
        <v/>
      </c>
      <c r="P344" s="46">
        <f>mech_uptime</f>
        <v/>
      </c>
      <c r="Q344" s="46">
        <f>revleg_sel</f>
        <v/>
      </c>
      <c r="R344" s="45">
        <f>ROUND(N344*O344*revleg_sel,0)</f>
        <v/>
      </c>
      <c r="S344" s="47">
        <f>load_sel</f>
        <v/>
      </c>
      <c r="T344" s="47">
        <f>pax_cap*S344</f>
        <v/>
      </c>
      <c r="U344" s="45">
        <f>T344*R344</f>
        <v/>
      </c>
      <c r="V344" s="48">
        <f>H344*discount</f>
        <v/>
      </c>
      <c r="W344" s="49">
        <f>V344*U344</f>
        <v/>
      </c>
      <c r="X344" s="49">
        <f>(battery/range_nm)*G344*R344*VLOOKUP(B344,country_opex,3,FALSE)</f>
        <v/>
      </c>
      <c r="Y344" s="49">
        <f>VLOOKUP(B344,country_opex,2,FALSE)*crew_factor</f>
        <v/>
      </c>
      <c r="Z344" s="49">
        <f>VLOOKUP(B344,country_opex,5,FALSE)</f>
        <v/>
      </c>
      <c r="AA344" s="49">
        <f>maint</f>
        <v/>
      </c>
      <c r="AB344" s="49">
        <f>VLOOKUP(B344,country_opex,7,FALSE)*ins_pct</f>
        <v/>
      </c>
      <c r="AC344" s="49">
        <f>charge_berth</f>
        <v/>
      </c>
      <c r="AD344" s="49">
        <f>X344+Y344+Z344+AA344+AB344+AC344</f>
        <v/>
      </c>
      <c r="AE344" s="49">
        <f>VLOOKUP(B344,country_opex,7,FALSE)/dep_years</f>
        <v/>
      </c>
      <c r="AF344" s="49">
        <f>W344-AD344</f>
        <v/>
      </c>
      <c r="AG344" s="46">
        <f>IF(W344=0,"",AF344/W344)</f>
        <v/>
      </c>
      <c r="AH344" s="47">
        <f>IF(AF344&lt;=0,"",VLOOKUP(B344,country_opex,7,FALSE)/AF344)</f>
        <v/>
      </c>
      <c r="AI344" s="44">
        <f>((G344*R344/diesel_nmpg)*diesel_co2pg-(battery/range_nm)*G344*R344*VLOOKUP(B344,country_opex,4,FALSE))/1000</f>
        <v/>
      </c>
      <c r="AJ344" s="42" t="n"/>
      <c r="AK344" s="43" t="inlineStr">
        <is>
          <t>T2</t>
        </is>
      </c>
      <c r="AL344" s="43" t="inlineStr">
        <is>
          <t>low</t>
        </is>
      </c>
      <c r="AM344" s="50" t="n">
        <v>0.1</v>
      </c>
      <c r="AN344" s="45">
        <f>IF(AJ344="","",AJ344*AM344)</f>
        <v/>
      </c>
      <c r="AO344" s="45">
        <f>IF(OR(AJ344="",U344=0),"",MIN(IF(AV344="",9.9E+99,AV344),FLOOR(AN344/U344,1)))</f>
        <v/>
      </c>
      <c r="AP344" s="49">
        <f>IF(AO344="","",AO344*W344)</f>
        <v/>
      </c>
      <c r="AQ344" s="47">
        <f>IF(OR(AJ344="",U344=0),"",MIN(IF(AV344="",9.9E+99,AV344),AN344/U344))</f>
        <v/>
      </c>
      <c r="AR344" s="49">
        <f>IF(AQ344="","",AQ344*W344)</f>
        <v/>
      </c>
      <c r="AS344" s="51" t="n"/>
      <c r="AT344" s="52" t="n"/>
      <c r="AU344" s="52" t="n"/>
      <c r="AV344" s="53" t="n"/>
      <c r="AW344" s="54">
        <f>IF(((V344*pax_cap*load_thin*ROUND(N344*O344*revleg_thin,0))-(((battery/range_nm)*G344*ROUND(N344*O344*revleg_thin,0)*VLOOKUP(B344,country_opex,3,FALSE))+Y344+Z344+AA344+AB344+AC344))&lt;=0,"",VLOOKUP(B344,country_opex,7,FALSE)/((V344*pax_cap*load_thin*ROUND(N344*O344*revleg_thin,0))-(((battery/range_nm)*G344*ROUND(N344*O344*revleg_thin,0)*VLOOKUP(B344,country_opex,3,FALSE))+Y344+Z344+AA344+AB344+AC344)))</f>
        <v/>
      </c>
      <c r="AX344" s="54">
        <f>IF(((V344*pax_cap*load_mid*ROUND(N344*O344*revleg_mid,0))-(((battery/range_nm)*G344*ROUND(N344*O344*revleg_mid,0)*VLOOKUP(B344,country_opex,3,FALSE))+Y344+Z344+AA344+AB344+AC344))&lt;=0,"",VLOOKUP(B344,country_opex,7,FALSE)/((V344*pax_cap*load_mid*ROUND(N344*O344*revleg_mid,0))-(((battery/range_nm)*G344*ROUND(N344*O344*revleg_mid,0)*VLOOKUP(B344,country_opex,3,FALSE))+Y344+Z344+AA344+AB344+AC344)))</f>
        <v/>
      </c>
      <c r="AY344" s="54">
        <f>IF(((V344*pax_cap*load_full*ROUND(N344*O344*revleg_full,0))-(((battery/range_nm)*G344*ROUND(N344*O344*revleg_full,0)*VLOOKUP(B344,country_opex,3,FALSE))+Y344+Z344+AA344+AB344+AC344))&lt;=0,"",VLOOKUP(B344,country_opex,7,FALSE)/((V344*pax_cap*load_full*ROUND(N344*O344*revleg_full,0))-(((battery/range_nm)*G344*ROUND(N344*O344*revleg_full,0)*VLOOKUP(B344,country_opex,3,FALSE))+Y344+Z344+AA344+AB344+AC344)))</f>
        <v/>
      </c>
      <c r="AZ344" s="40" t="inlineStr">
        <is>
          <t>Travel and Tours Guia Del' Mar launched direct Manila (CCP)-&gt;Corregidor ferry day tour Mar 1 2026 at PHP6,850/pax (RT ferry from CCP + buffet lunch + island entrance + DOT fees; facebook.com/CorregidorIslandTour + Tripadvisor PH forum). Comparison: join-in day tour via Mariveles (Bataan) PHP4,350-4,500/pax (srvtravelservices.rezgo.com PHP4,350; timetravelturtle.com 2026 PHP4,500=$80); 'charter' tour PHP8,500/pax min 75 guests.</t>
        </is>
      </c>
      <c r="BA344" s="40" t="inlineStr">
        <is>
          <t>R10 lapsed-relaunching: Sun Cruises (sole daily operator, ~100k+ visitors/yr pre-Covid) ceased operations May 16 2020 (ABS-CBN). Island access 'fairly patchy' 2020-2025 (timetravelturtle.com); hotel + regular ferry gone. 2026: Guia Del' Mar direct Manila ferry relaunched Mar 1 2026 but on SELECT scheduled dates only (e.g. May 6, Jun 2 sailings advertised), not daily.</t>
        </is>
      </c>
    </row>
    <row r="345">
      <c r="A345" s="38" t="inlineStr">
        <is>
          <t>Philippines</t>
        </is>
      </c>
      <c r="B345" s="38" t="inlineStr">
        <is>
          <t>Philippines</t>
        </is>
      </c>
      <c r="C345" s="39" t="inlineStr">
        <is>
          <t>Cebu (Mactan) → Bohol / Panglao</t>
        </is>
      </c>
      <c r="D345" s="38" t="inlineStr">
        <is>
          <t>grab</t>
        </is>
      </c>
      <c r="E345" s="40" t="inlineStr">
        <is>
          <t>philippines</t>
        </is>
      </c>
      <c r="F345" s="41" t="n">
        <v>1</v>
      </c>
      <c r="G345" s="42" t="n">
        <v>35</v>
      </c>
      <c r="H345" s="35" t="n">
        <v>21</v>
      </c>
      <c r="I345" s="43" t="inlineStr">
        <is>
          <t>T3</t>
        </is>
      </c>
      <c r="J345" s="43" t="inlineStr">
        <is>
          <t>med-high</t>
        </is>
      </c>
      <c r="K345" s="29" t="n">
        <v>1</v>
      </c>
      <c r="L345" s="44">
        <f>60*G345/cruise_kt</f>
        <v/>
      </c>
      <c r="M345" s="44">
        <f>L345+turn_min+dwell_min</f>
        <v/>
      </c>
      <c r="N345" s="45">
        <f>MIN(10,FLOOR(60*service_hr/M345,1))</f>
        <v/>
      </c>
      <c r="O345" s="45">
        <f>ROUND(365*mech_uptime*K345,0)</f>
        <v/>
      </c>
      <c r="P345" s="46">
        <f>mech_uptime</f>
        <v/>
      </c>
      <c r="Q345" s="46">
        <f>revleg_sel</f>
        <v/>
      </c>
      <c r="R345" s="45">
        <f>ROUND(N345*O345*revleg_sel,0)</f>
        <v/>
      </c>
      <c r="S345" s="47">
        <f>load_sel</f>
        <v/>
      </c>
      <c r="T345" s="47">
        <f>pax_cap*S345</f>
        <v/>
      </c>
      <c r="U345" s="45">
        <f>T345*R345</f>
        <v/>
      </c>
      <c r="V345" s="48">
        <f>H345*discount</f>
        <v/>
      </c>
      <c r="W345" s="49">
        <f>V345*U345</f>
        <v/>
      </c>
      <c r="X345" s="49">
        <f>(battery/range_nm)*G345*R345*VLOOKUP(B345,country_opex,3,FALSE)</f>
        <v/>
      </c>
      <c r="Y345" s="49">
        <f>VLOOKUP(B345,country_opex,2,FALSE)*crew_factor</f>
        <v/>
      </c>
      <c r="Z345" s="49">
        <f>VLOOKUP(B345,country_opex,5,FALSE)</f>
        <v/>
      </c>
      <c r="AA345" s="49">
        <f>maint</f>
        <v/>
      </c>
      <c r="AB345" s="49">
        <f>VLOOKUP(B345,country_opex,7,FALSE)*ins_pct</f>
        <v/>
      </c>
      <c r="AC345" s="49">
        <f>charge_berth</f>
        <v/>
      </c>
      <c r="AD345" s="49">
        <f>X345+Y345+Z345+AA345+AB345+AC345</f>
        <v/>
      </c>
      <c r="AE345" s="49">
        <f>VLOOKUP(B345,country_opex,7,FALSE)/dep_years</f>
        <v/>
      </c>
      <c r="AF345" s="49">
        <f>W345-AD345</f>
        <v/>
      </c>
      <c r="AG345" s="46">
        <f>IF(W345=0,"",AF345/W345)</f>
        <v/>
      </c>
      <c r="AH345" s="47">
        <f>IF(AF345&lt;=0,"",VLOOKUP(B345,country_opex,7,FALSE)/AF345)</f>
        <v/>
      </c>
      <c r="AI345" s="44">
        <f>((G345*R345/diesel_nmpg)*diesel_co2pg-(battery/range_nm)*G345*R345*VLOOKUP(B345,country_opex,4,FALSE))/1000</f>
        <v/>
      </c>
      <c r="AJ345" s="42" t="n">
        <v>2000000</v>
      </c>
      <c r="AK345" s="43" t="inlineStr">
        <is>
          <t>T3</t>
        </is>
      </c>
      <c r="AL345" s="43" t="inlineStr">
        <is>
          <t>med</t>
        </is>
      </c>
      <c r="AM345" s="50" t="n">
        <v>0.1</v>
      </c>
      <c r="AN345" s="45">
        <f>IF(AJ345="","",AJ345*AM345)</f>
        <v/>
      </c>
      <c r="AO345" s="45">
        <f>IF(OR(AJ345="",U345=0),"",MIN(IF(AV345="",9.9E+99,AV345),FLOOR(AN345/U345,1)))</f>
        <v/>
      </c>
      <c r="AP345" s="49">
        <f>IF(AO345="","",AO345*W345)</f>
        <v/>
      </c>
      <c r="AQ345" s="47">
        <f>IF(OR(AJ345="",U345=0),"",MIN(IF(AV345="",9.9E+99,AV345),AN345/U345))</f>
        <v/>
      </c>
      <c r="AR345" s="49">
        <f>IF(AQ345="","",AQ345*W345)</f>
        <v/>
      </c>
      <c r="AS345" s="51" t="n"/>
      <c r="AT345" s="52" t="n"/>
      <c r="AU345" s="52" t="n"/>
      <c r="AV345" s="53" t="n"/>
      <c r="AW345" s="54">
        <f>IF(((V345*pax_cap*load_thin*ROUND(N345*O345*revleg_thin,0))-(((battery/range_nm)*G345*ROUND(N345*O345*revleg_thin,0)*VLOOKUP(B345,country_opex,3,FALSE))+Y345+Z345+AA345+AB345+AC345))&lt;=0,"",VLOOKUP(B345,country_opex,7,FALSE)/((V345*pax_cap*load_thin*ROUND(N345*O345*revleg_thin,0))-(((battery/range_nm)*G345*ROUND(N345*O345*revleg_thin,0)*VLOOKUP(B345,country_opex,3,FALSE))+Y345+Z345+AA345+AB345+AC345)))</f>
        <v/>
      </c>
      <c r="AX345" s="54">
        <f>IF(((V345*pax_cap*load_mid*ROUND(N345*O345*revleg_mid,0))-(((battery/range_nm)*G345*ROUND(N345*O345*revleg_mid,0)*VLOOKUP(B345,country_opex,3,FALSE))+Y345+Z345+AA345+AB345+AC345))&lt;=0,"",VLOOKUP(B345,country_opex,7,FALSE)/((V345*pax_cap*load_mid*ROUND(N345*O345*revleg_mid,0))-(((battery/range_nm)*G345*ROUND(N345*O345*revleg_mid,0)*VLOOKUP(B345,country_opex,3,FALSE))+Y345+Z345+AA345+AB345+AC345)))</f>
        <v/>
      </c>
      <c r="AY345" s="54">
        <f>IF(((V345*pax_cap*load_full*ROUND(N345*O345*revleg_full,0))-(((battery/range_nm)*G345*ROUND(N345*O345*revleg_full,0)*VLOOKUP(B345,country_opex,3,FALSE))+Y345+Z345+AA345+AB345+AC345))&lt;=0,"",VLOOKUP(B345,country_opex,7,FALSE)/((V345*pax_cap*load_full*ROUND(N345*O345*revleg_full,0))-(((battery/range_nm)*G345*ROUND(N345*O345*revleg_full,0)*VLOOKUP(B345,country_opex,3,FALSE))+Y345+Z345+AA345+AB345+AC345)))</f>
        <v/>
      </c>
      <c r="AZ345" s="40" t="inlineStr">
        <is>
          <t>Premium per-seat = OceanJet Business Class fast-craft Cebu-&gt;Tagbilaran/Bohol PHP1200 ($21) vs Tourist/Open-Air PHP800 ($14). Corroborated thepinaysolobackpacker 2025 + triphappy 2026 + Klook listings. Whole-boat private charter = overclaim, excluded.</t>
        </is>
      </c>
      <c r="BA345" s="40" t="inlineStr">
        <is>
          <t>(1) Tagbilaran port profile: ~3,400,000 passengers/yr total traffic, all routes (shipnext.com/port/tagbilaran-phtag-phl, c.2024-25; port pax movements are already one-way per convention); Cebu is the dominant route (~70% of fast-craft sailings). (2) JICA Data Collection Survey on Disaster-resilient Feeder Ports (2021, https://openjicareport.jica.go.jp/pdf/12248738.pdf): Bohol sea passengers 'stable at around 1.65 million in recent years... most use Tagbilaran Port and Tubigon Port' (both = Cebu routes). (3) Live operator density: OceanJet ~12-14 round trips/day (300-400 seat fast craft), SuperCat ~5-6 RT/day, Lite Jet - Cebu-Tagbilaran is the Philippines' busiest fast-ferry corridor; pre-covid route commonly cited 2M+/yr. PPA publishes route-level pax (R3-GOLD pattern) but the 2025 PDF (ppa.com.ph qtr_stat) OCR-extracts garbled - exact PMO-Bohol line not retrievable this run; Cebu side sits under Cebu Port Authority (cpa.gov.ph), outside PPA stats.</t>
        </is>
      </c>
    </row>
    <row r="346">
      <c r="A346" s="38" t="inlineStr">
        <is>
          <t>Bolt Portugal</t>
        </is>
      </c>
      <c r="B346" s="38" t="inlineStr">
        <is>
          <t>Portugal</t>
        </is>
      </c>
      <c r="C346" s="39" t="inlineStr">
        <is>
          <t>Porto (Cais da Ribeira) → Vila Nova de Gaia (Cais de Gaia)</t>
        </is>
      </c>
      <c r="D346" s="38" t="inlineStr">
        <is>
          <t>bolt</t>
        </is>
      </c>
      <c r="E346" s="40" t="inlineStr">
        <is>
          <t>bolt-portugal</t>
        </is>
      </c>
      <c r="F346" s="41" t="n">
        <v>1</v>
      </c>
      <c r="G346" s="42" t="n">
        <v>0.2</v>
      </c>
      <c r="H346" s="35" t="n">
        <v>17.8</v>
      </c>
      <c r="I346" s="43" t="inlineStr">
        <is>
          <t>T2</t>
        </is>
      </c>
      <c r="J346" s="43" t="inlineStr">
        <is>
          <t>med</t>
        </is>
      </c>
      <c r="K346" s="29" t="n">
        <v>1</v>
      </c>
      <c r="L346" s="44">
        <f>60*G346/cruise_kt</f>
        <v/>
      </c>
      <c r="M346" s="44">
        <f>L346+turn_min+dwell_min</f>
        <v/>
      </c>
      <c r="N346" s="45">
        <f>MIN(10,FLOOR(60*service_hr/M346,1))</f>
        <v/>
      </c>
      <c r="O346" s="45">
        <f>ROUND(365*mech_uptime*K346,0)</f>
        <v/>
      </c>
      <c r="P346" s="46">
        <f>mech_uptime</f>
        <v/>
      </c>
      <c r="Q346" s="46">
        <f>revleg_sel</f>
        <v/>
      </c>
      <c r="R346" s="45">
        <f>ROUND(N346*O346*revleg_sel,0)</f>
        <v/>
      </c>
      <c r="S346" s="47">
        <f>load_sel</f>
        <v/>
      </c>
      <c r="T346" s="47">
        <f>pax_cap*S346</f>
        <v/>
      </c>
      <c r="U346" s="45">
        <f>T346*R346</f>
        <v/>
      </c>
      <c r="V346" s="48">
        <f>H346*discount</f>
        <v/>
      </c>
      <c r="W346" s="49">
        <f>V346*U346</f>
        <v/>
      </c>
      <c r="X346" s="49">
        <f>(battery/range_nm)*G346*R346*VLOOKUP(B346,country_opex,3,FALSE)</f>
        <v/>
      </c>
      <c r="Y346" s="49">
        <f>VLOOKUP(B346,country_opex,2,FALSE)*crew_factor</f>
        <v/>
      </c>
      <c r="Z346" s="49">
        <f>VLOOKUP(B346,country_opex,5,FALSE)</f>
        <v/>
      </c>
      <c r="AA346" s="49">
        <f>maint</f>
        <v/>
      </c>
      <c r="AB346" s="49">
        <f>VLOOKUP(B346,country_opex,7,FALSE)*ins_pct</f>
        <v/>
      </c>
      <c r="AC346" s="49">
        <f>charge_berth</f>
        <v/>
      </c>
      <c r="AD346" s="49">
        <f>X346+Y346+Z346+AA346+AB346+AC346</f>
        <v/>
      </c>
      <c r="AE346" s="49">
        <f>VLOOKUP(B346,country_opex,7,FALSE)/dep_years</f>
        <v/>
      </c>
      <c r="AF346" s="49">
        <f>W346-AD346</f>
        <v/>
      </c>
      <c r="AG346" s="46">
        <f>IF(W346=0,"",AF346/W346)</f>
        <v/>
      </c>
      <c r="AH346" s="47">
        <f>IF(AF346&lt;=0,"",VLOOKUP(B346,country_opex,7,FALSE)/AF346)</f>
        <v/>
      </c>
      <c r="AI346" s="44">
        <f>((G346*R346/diesel_nmpg)*diesel_co2pg-(battery/range_nm)*G346*R346*VLOOKUP(B346,country_opex,4,FALSE))/1000</f>
        <v/>
      </c>
      <c r="AJ346" s="42" t="n">
        <v>1200000</v>
      </c>
      <c r="AK346" s="43" t="n"/>
      <c r="AL346" s="43" t="n"/>
      <c r="AM346" s="50" t="n">
        <v>0.1</v>
      </c>
      <c r="AN346" s="45">
        <f>IF(AJ346="","",AJ346*AM346)</f>
        <v/>
      </c>
      <c r="AO346" s="45">
        <f>IF(OR(AJ346="",U346=0),"",MIN(IF(AV346="",9.9E+99,AV346),FLOOR(AN346/U346,1)))</f>
        <v/>
      </c>
      <c r="AP346" s="49">
        <f>IF(AO346="","",AO346*W346)</f>
        <v/>
      </c>
      <c r="AQ346" s="47">
        <f>IF(OR(AJ346="",U346=0),"",MIN(IF(AV346="",9.9E+99,AV346),AN346/U346))</f>
        <v/>
      </c>
      <c r="AR346" s="49">
        <f>IF(AQ346="","",AQ346*W346)</f>
        <v/>
      </c>
      <c r="AS346" s="51" t="n"/>
      <c r="AT346" s="52" t="n"/>
      <c r="AU346" s="52" t="n"/>
      <c r="AV346" s="53" t="n"/>
      <c r="AW346" s="54">
        <f>IF(((V346*pax_cap*load_thin*ROUND(N346*O346*revleg_thin,0))-(((battery/range_nm)*G346*ROUND(N346*O346*revleg_thin,0)*VLOOKUP(B346,country_opex,3,FALSE))+Y346+Z346+AA346+AB346+AC346))&lt;=0,"",VLOOKUP(B346,country_opex,7,FALSE)/((V346*pax_cap*load_thin*ROUND(N346*O346*revleg_thin,0))-(((battery/range_nm)*G346*ROUND(N346*O346*revleg_thin,0)*VLOOKUP(B346,country_opex,3,FALSE))+Y346+Z346+AA346+AB346+AC346)))</f>
        <v/>
      </c>
      <c r="AX346" s="54">
        <f>IF(((V346*pax_cap*load_mid*ROUND(N346*O346*revleg_mid,0))-(((battery/range_nm)*G346*ROUND(N346*O346*revleg_mid,0)*VLOOKUP(B346,country_opex,3,FALSE))+Y346+Z346+AA346+AB346+AC346))&lt;=0,"",VLOOKUP(B346,country_opex,7,FALSE)/((V346*pax_cap*load_mid*ROUND(N346*O346*revleg_mid,0))-(((battery/range_nm)*G346*ROUND(N346*O346*revleg_mid,0)*VLOOKUP(B346,country_opex,3,FALSE))+Y346+Z346+AA346+AB346+AC346)))</f>
        <v/>
      </c>
      <c r="AY346" s="54">
        <f>IF(((V346*pax_cap*load_full*ROUND(N346*O346*revleg_full,0))-(((battery/range_nm)*G346*ROUND(N346*O346*revleg_full,0)*VLOOKUP(B346,country_opex,3,FALSE))+Y346+Z346+AA346+AB346+AC346))&lt;=0,"",VLOOKUP(B346,country_opex,7,FALSE)/((V346*pax_cap*load_full*ROUND(N346*O346*revleg_full,0))-(((battery/range_nm)*G346*ROUND(N346*O346*revleg_full,0)*VLOOKUP(B346,country_opex,3,FALSE))+Y346+Z346+AA346+AB346+AC346)))</f>
        <v/>
      </c>
      <c r="AZ346" s="40" t="inlineStr">
        <is>
          <t>PREMIUM tourist tier: the standard Douro '6 Bridges' panoramic cruise per-seat is ~EUR 15-18 (Tomaz do Douro / Portugal by Wine / GetYourGuide), ~50 min -&gt; ~$17.8.</t>
        </is>
      </c>
      <c r="BA346" s="40" t="n"/>
    </row>
    <row r="347">
      <c r="A347" s="38" t="inlineStr">
        <is>
          <t>Bolt Portugal</t>
        </is>
      </c>
      <c r="B347" s="38" t="inlineStr">
        <is>
          <t>Portugal</t>
        </is>
      </c>
      <c r="C347" s="39" t="inlineStr">
        <is>
          <t>Vila Real de Santo Antonio (Portugal) → Ayamonte (Spain)</t>
        </is>
      </c>
      <c r="D347" s="38" t="inlineStr">
        <is>
          <t>bolt</t>
        </is>
      </c>
      <c r="E347" s="40" t="inlineStr">
        <is>
          <t>bolt-portugal</t>
        </is>
      </c>
      <c r="F347" s="41" t="n">
        <v>1</v>
      </c>
      <c r="G347" s="42" t="n">
        <v>0.8</v>
      </c>
      <c r="H347" s="35" t="n">
        <v>18</v>
      </c>
      <c r="I347" s="43" t="inlineStr">
        <is>
          <t>T2</t>
        </is>
      </c>
      <c r="J347" s="43" t="inlineStr">
        <is>
          <t>med</t>
        </is>
      </c>
      <c r="K347" s="29" t="n">
        <v>1</v>
      </c>
      <c r="L347" s="44">
        <f>60*G347/cruise_kt</f>
        <v/>
      </c>
      <c r="M347" s="44">
        <f>L347+turn_min+dwell_min</f>
        <v/>
      </c>
      <c r="N347" s="45">
        <f>MIN(10,FLOOR(60*service_hr/M347,1))</f>
        <v/>
      </c>
      <c r="O347" s="45">
        <f>ROUND(365*mech_uptime*K347,0)</f>
        <v/>
      </c>
      <c r="P347" s="46">
        <f>mech_uptime</f>
        <v/>
      </c>
      <c r="Q347" s="46">
        <f>revleg_sel</f>
        <v/>
      </c>
      <c r="R347" s="45">
        <f>ROUND(N347*O347*revleg_sel,0)</f>
        <v/>
      </c>
      <c r="S347" s="47">
        <f>load_sel</f>
        <v/>
      </c>
      <c r="T347" s="47">
        <f>pax_cap*S347</f>
        <v/>
      </c>
      <c r="U347" s="45">
        <f>T347*R347</f>
        <v/>
      </c>
      <c r="V347" s="48">
        <f>H347*discount</f>
        <v/>
      </c>
      <c r="W347" s="49">
        <f>V347*U347</f>
        <v/>
      </c>
      <c r="X347" s="49">
        <f>(battery/range_nm)*G347*R347*VLOOKUP(B347,country_opex,3,FALSE)</f>
        <v/>
      </c>
      <c r="Y347" s="49">
        <f>VLOOKUP(B347,country_opex,2,FALSE)*crew_factor</f>
        <v/>
      </c>
      <c r="Z347" s="49">
        <f>VLOOKUP(B347,country_opex,5,FALSE)</f>
        <v/>
      </c>
      <c r="AA347" s="49">
        <f>maint</f>
        <v/>
      </c>
      <c r="AB347" s="49">
        <f>VLOOKUP(B347,country_opex,7,FALSE)*ins_pct</f>
        <v/>
      </c>
      <c r="AC347" s="49">
        <f>charge_berth</f>
        <v/>
      </c>
      <c r="AD347" s="49">
        <f>X347+Y347+Z347+AA347+AB347+AC347</f>
        <v/>
      </c>
      <c r="AE347" s="49">
        <f>VLOOKUP(B347,country_opex,7,FALSE)/dep_years</f>
        <v/>
      </c>
      <c r="AF347" s="49">
        <f>W347-AD347</f>
        <v/>
      </c>
      <c r="AG347" s="46">
        <f>IF(W347=0,"",AF347/W347)</f>
        <v/>
      </c>
      <c r="AH347" s="47">
        <f>IF(AF347&lt;=0,"",VLOOKUP(B347,country_opex,7,FALSE)/AF347)</f>
        <v/>
      </c>
      <c r="AI347" s="44">
        <f>((G347*R347/diesel_nmpg)*diesel_co2pg-(battery/range_nm)*G347*R347*VLOOKUP(B347,country_opex,4,FALSE))/1000</f>
        <v/>
      </c>
      <c r="AJ347" s="42" t="n"/>
      <c r="AK347" s="43" t="n"/>
      <c r="AL347" s="43" t="n"/>
      <c r="AM347" s="50" t="n">
        <v>0.1</v>
      </c>
      <c r="AN347" s="45">
        <f>IF(AJ347="","",AJ347*AM347)</f>
        <v/>
      </c>
      <c r="AO347" s="45">
        <f>IF(OR(AJ347="",U347=0),"",MIN(IF(AV347="",9.9E+99,AV347),FLOOR(AN347/U347,1)))</f>
        <v/>
      </c>
      <c r="AP347" s="49">
        <f>IF(AO347="","",AO347*W347)</f>
        <v/>
      </c>
      <c r="AQ347" s="47">
        <f>IF(OR(AJ347="",U347=0),"",MIN(IF(AV347="",9.9E+99,AV347),AN347/U347))</f>
        <v/>
      </c>
      <c r="AR347" s="49">
        <f>IF(AQ347="","",AQ347*W347)</f>
        <v/>
      </c>
      <c r="AS347" s="51" t="n"/>
      <c r="AT347" s="52" t="n"/>
      <c r="AU347" s="52" t="n"/>
      <c r="AV347" s="53" t="n"/>
      <c r="AW347" s="54">
        <f>IF(((V347*pax_cap*load_thin*ROUND(N347*O347*revleg_thin,0))-(((battery/range_nm)*G347*ROUND(N347*O347*revleg_thin,0)*VLOOKUP(B347,country_opex,3,FALSE))+Y347+Z347+AA347+AB347+AC347))&lt;=0,"",VLOOKUP(B347,country_opex,7,FALSE)/((V347*pax_cap*load_thin*ROUND(N347*O347*revleg_thin,0))-(((battery/range_nm)*G347*ROUND(N347*O347*revleg_thin,0)*VLOOKUP(B347,country_opex,3,FALSE))+Y347+Z347+AA347+AB347+AC347)))</f>
        <v/>
      </c>
      <c r="AX347" s="54">
        <f>IF(((V347*pax_cap*load_mid*ROUND(N347*O347*revleg_mid,0))-(((battery/range_nm)*G347*ROUND(N347*O347*revleg_mid,0)*VLOOKUP(B347,country_opex,3,FALSE))+Y347+Z347+AA347+AB347+AC347))&lt;=0,"",VLOOKUP(B347,country_opex,7,FALSE)/((V347*pax_cap*load_mid*ROUND(N347*O347*revleg_mid,0))-(((battery/range_nm)*G347*ROUND(N347*O347*revleg_mid,0)*VLOOKUP(B347,country_opex,3,FALSE))+Y347+Z347+AA347+AB347+AC347)))</f>
        <v/>
      </c>
      <c r="AY347" s="54">
        <f>IF(((V347*pax_cap*load_full*ROUND(N347*O347*revleg_full,0))-(((battery/range_nm)*G347*ROUND(N347*O347*revleg_full,0)*VLOOKUP(B347,country_opex,3,FALSE))+Y347+Z347+AA347+AB347+AC347))&lt;=0,"",VLOOKUP(B347,country_opex,7,FALSE)/((V347*pax_cap*load_full*ROUND(N347*O347*revleg_full,0))-(((battery/range_nm)*G347*ROUND(N347*O347*revleg_full,0)*VLOOKUP(B347,country_opex,3,FALSE))+Y347+Z347+AA347+AB347+AC347)))</f>
        <v/>
      </c>
      <c r="AZ347" s="40" t="inlineStr">
        <is>
          <t>[LB-255 PREMIUM RE-FARE: subsidized comparable $5.0 lifted to premium on-demand floor $18.0] Scheduled cross-border ferry fare EUR 2-7 one-way (Rome2Rio / TFG) -&gt; mid ~$5.</t>
        </is>
      </c>
      <c r="BA347" s="40" t="n"/>
    </row>
    <row r="348">
      <c r="A348" s="38" t="inlineStr">
        <is>
          <t>Bolt Portugal</t>
        </is>
      </c>
      <c r="B348" s="38" t="inlineStr">
        <is>
          <t>Portugal</t>
        </is>
      </c>
      <c r="C348" s="39" t="inlineStr">
        <is>
          <t>Lagos → Ponta da Piedade</t>
        </is>
      </c>
      <c r="D348" s="38" t="inlineStr">
        <is>
          <t>bolt</t>
        </is>
      </c>
      <c r="E348" s="40" t="inlineStr">
        <is>
          <t>bolt-portugal</t>
        </is>
      </c>
      <c r="F348" s="41" t="n">
        <v>1</v>
      </c>
      <c r="G348" s="42" t="n">
        <v>1.2</v>
      </c>
      <c r="H348" s="35" t="n">
        <v>24</v>
      </c>
      <c r="I348" s="43" t="inlineStr">
        <is>
          <t>T2</t>
        </is>
      </c>
      <c r="J348" s="43" t="inlineStr">
        <is>
          <t>med</t>
        </is>
      </c>
      <c r="K348" s="29" t="n">
        <v>1</v>
      </c>
      <c r="L348" s="44">
        <f>60*G348/cruise_kt</f>
        <v/>
      </c>
      <c r="M348" s="44">
        <f>L348+turn_min+dwell_min</f>
        <v/>
      </c>
      <c r="N348" s="45">
        <f>MIN(10,FLOOR(60*service_hr/M348,1))</f>
        <v/>
      </c>
      <c r="O348" s="45">
        <f>ROUND(365*mech_uptime*K348,0)</f>
        <v/>
      </c>
      <c r="P348" s="46">
        <f>mech_uptime</f>
        <v/>
      </c>
      <c r="Q348" s="46">
        <f>revleg_sel</f>
        <v/>
      </c>
      <c r="R348" s="45">
        <f>ROUND(N348*O348*revleg_sel,0)</f>
        <v/>
      </c>
      <c r="S348" s="47">
        <f>load_sel</f>
        <v/>
      </c>
      <c r="T348" s="47">
        <f>pax_cap*S348</f>
        <v/>
      </c>
      <c r="U348" s="45">
        <f>T348*R348</f>
        <v/>
      </c>
      <c r="V348" s="48">
        <f>H348*discount</f>
        <v/>
      </c>
      <c r="W348" s="49">
        <f>V348*U348</f>
        <v/>
      </c>
      <c r="X348" s="49">
        <f>(battery/range_nm)*G348*R348*VLOOKUP(B348,country_opex,3,FALSE)</f>
        <v/>
      </c>
      <c r="Y348" s="49">
        <f>VLOOKUP(B348,country_opex,2,FALSE)*crew_factor</f>
        <v/>
      </c>
      <c r="Z348" s="49">
        <f>VLOOKUP(B348,country_opex,5,FALSE)</f>
        <v/>
      </c>
      <c r="AA348" s="49">
        <f>maint</f>
        <v/>
      </c>
      <c r="AB348" s="49">
        <f>VLOOKUP(B348,country_opex,7,FALSE)*ins_pct</f>
        <v/>
      </c>
      <c r="AC348" s="49">
        <f>charge_berth</f>
        <v/>
      </c>
      <c r="AD348" s="49">
        <f>X348+Y348+Z348+AA348+AB348+AC348</f>
        <v/>
      </c>
      <c r="AE348" s="49">
        <f>VLOOKUP(B348,country_opex,7,FALSE)/dep_years</f>
        <v/>
      </c>
      <c r="AF348" s="49">
        <f>W348-AD348</f>
        <v/>
      </c>
      <c r="AG348" s="46">
        <f>IF(W348=0,"",AF348/W348)</f>
        <v/>
      </c>
      <c r="AH348" s="47">
        <f>IF(AF348&lt;=0,"",VLOOKUP(B348,country_opex,7,FALSE)/AF348)</f>
        <v/>
      </c>
      <c r="AI348" s="44">
        <f>((G348*R348/diesel_nmpg)*diesel_co2pg-(battery/range_nm)*G348*R348*VLOOKUP(B348,country_opex,4,FALSE))/1000</f>
        <v/>
      </c>
      <c r="AJ348" s="42" t="n"/>
      <c r="AK348" s="43" t="n"/>
      <c r="AL348" s="43" t="n"/>
      <c r="AM348" s="50" t="n">
        <v>0.1</v>
      </c>
      <c r="AN348" s="45">
        <f>IF(AJ348="","",AJ348*AM348)</f>
        <v/>
      </c>
      <c r="AO348" s="45">
        <f>IF(OR(AJ348="",U348=0),"",MIN(IF(AV348="",9.9E+99,AV348),FLOOR(AN348/U348,1)))</f>
        <v/>
      </c>
      <c r="AP348" s="49">
        <f>IF(AO348="","",AO348*W348)</f>
        <v/>
      </c>
      <c r="AQ348" s="47">
        <f>IF(OR(AJ348="",U348=0),"",MIN(IF(AV348="",9.9E+99,AV348),AN348/U348))</f>
        <v/>
      </c>
      <c r="AR348" s="49">
        <f>IF(AQ348="","",AQ348*W348)</f>
        <v/>
      </c>
      <c r="AS348" s="51" t="n"/>
      <c r="AT348" s="52" t="n"/>
      <c r="AU348" s="52" t="n"/>
      <c r="AV348" s="53" t="n"/>
      <c r="AW348" s="54">
        <f>IF(((V348*pax_cap*load_thin*ROUND(N348*O348*revleg_thin,0))-(((battery/range_nm)*G348*ROUND(N348*O348*revleg_thin,0)*VLOOKUP(B348,country_opex,3,FALSE))+Y348+Z348+AA348+AB348+AC348))&lt;=0,"",VLOOKUP(B348,country_opex,7,FALSE)/((V348*pax_cap*load_thin*ROUND(N348*O348*revleg_thin,0))-(((battery/range_nm)*G348*ROUND(N348*O348*revleg_thin,0)*VLOOKUP(B348,country_opex,3,FALSE))+Y348+Z348+AA348+AB348+AC348)))</f>
        <v/>
      </c>
      <c r="AX348" s="54">
        <f>IF(((V348*pax_cap*load_mid*ROUND(N348*O348*revleg_mid,0))-(((battery/range_nm)*G348*ROUND(N348*O348*revleg_mid,0)*VLOOKUP(B348,country_opex,3,FALSE))+Y348+Z348+AA348+AB348+AC348))&lt;=0,"",VLOOKUP(B348,country_opex,7,FALSE)/((V348*pax_cap*load_mid*ROUND(N348*O348*revleg_mid,0))-(((battery/range_nm)*G348*ROUND(N348*O348*revleg_mid,0)*VLOOKUP(B348,country_opex,3,FALSE))+Y348+Z348+AA348+AB348+AC348)))</f>
        <v/>
      </c>
      <c r="AY348" s="54">
        <f>IF(((V348*pax_cap*load_full*ROUND(N348*O348*revleg_full,0))-(((battery/range_nm)*G348*ROUND(N348*O348*revleg_full,0)*VLOOKUP(B348,country_opex,3,FALSE))+Y348+Z348+AA348+AB348+AC348))&lt;=0,"",VLOOKUP(B348,country_opex,7,FALSE)/((V348*pax_cap*load_full*ROUND(N348*O348*revleg_full,0))-(((battery/range_nm)*G348*ROUND(N348*O348*revleg_full,0)*VLOOKUP(B348,country_opex,3,FALSE))+Y348+Z348+AA348+AB348+AC348)))</f>
        <v/>
      </c>
      <c r="AZ348" s="40" t="inlineStr">
        <is>
          <t>PREMIUM tier: standard Ponta da Piedade grotto boat trip ~EUR 20-25 per seat (Tripadvisor/GetYourGuide; ~$20-25) -&gt; ~$24.</t>
        </is>
      </c>
      <c r="BA348" s="40" t="n"/>
    </row>
    <row r="349">
      <c r="A349" s="38" t="inlineStr">
        <is>
          <t>Bolt Portugal</t>
        </is>
      </c>
      <c r="B349" s="38" t="inlineStr">
        <is>
          <t>Portugal</t>
        </is>
      </c>
      <c r="C349" s="39" t="inlineStr">
        <is>
          <t>Cais do Sodré (Lisbon) → Cacilhas (Almada)</t>
        </is>
      </c>
      <c r="D349" s="38" t="inlineStr">
        <is>
          <t>bolt</t>
        </is>
      </c>
      <c r="E349" s="40" t="inlineStr">
        <is>
          <t>bolt-portugal</t>
        </is>
      </c>
      <c r="F349" s="41" t="n">
        <v>1</v>
      </c>
      <c r="G349" s="42" t="n">
        <v>1.5</v>
      </c>
      <c r="H349" s="35" t="n">
        <v>18</v>
      </c>
      <c r="I349" s="43" t="inlineStr">
        <is>
          <t>T2</t>
        </is>
      </c>
      <c r="J349" s="43" t="inlineStr">
        <is>
          <t>med</t>
        </is>
      </c>
      <c r="K349" s="29" t="n">
        <v>1</v>
      </c>
      <c r="L349" s="44">
        <f>60*G349/cruise_kt</f>
        <v/>
      </c>
      <c r="M349" s="44">
        <f>L349+turn_min+dwell_min</f>
        <v/>
      </c>
      <c r="N349" s="45">
        <f>MIN(10,FLOOR(60*service_hr/M349,1))</f>
        <v/>
      </c>
      <c r="O349" s="45">
        <f>ROUND(365*mech_uptime*K349,0)</f>
        <v/>
      </c>
      <c r="P349" s="46">
        <f>mech_uptime</f>
        <v/>
      </c>
      <c r="Q349" s="46">
        <f>revleg_sel</f>
        <v/>
      </c>
      <c r="R349" s="45">
        <f>ROUND(N349*O349*revleg_sel,0)</f>
        <v/>
      </c>
      <c r="S349" s="47">
        <f>load_sel</f>
        <v/>
      </c>
      <c r="T349" s="47">
        <f>pax_cap*S349</f>
        <v/>
      </c>
      <c r="U349" s="45">
        <f>T349*R349</f>
        <v/>
      </c>
      <c r="V349" s="48">
        <f>H349*discount</f>
        <v/>
      </c>
      <c r="W349" s="49">
        <f>V349*U349</f>
        <v/>
      </c>
      <c r="X349" s="49">
        <f>(battery/range_nm)*G349*R349*VLOOKUP(B349,country_opex,3,FALSE)</f>
        <v/>
      </c>
      <c r="Y349" s="49">
        <f>VLOOKUP(B349,country_opex,2,FALSE)*crew_factor</f>
        <v/>
      </c>
      <c r="Z349" s="49">
        <f>VLOOKUP(B349,country_opex,5,FALSE)</f>
        <v/>
      </c>
      <c r="AA349" s="49">
        <f>maint</f>
        <v/>
      </c>
      <c r="AB349" s="49">
        <f>VLOOKUP(B349,country_opex,7,FALSE)*ins_pct</f>
        <v/>
      </c>
      <c r="AC349" s="49">
        <f>charge_berth</f>
        <v/>
      </c>
      <c r="AD349" s="49">
        <f>X349+Y349+Z349+AA349+AB349+AC349</f>
        <v/>
      </c>
      <c r="AE349" s="49">
        <f>VLOOKUP(B349,country_opex,7,FALSE)/dep_years</f>
        <v/>
      </c>
      <c r="AF349" s="49">
        <f>W349-AD349</f>
        <v/>
      </c>
      <c r="AG349" s="46">
        <f>IF(W349=0,"",AF349/W349)</f>
        <v/>
      </c>
      <c r="AH349" s="47">
        <f>IF(AF349&lt;=0,"",VLOOKUP(B349,country_opex,7,FALSE)/AF349)</f>
        <v/>
      </c>
      <c r="AI349" s="44">
        <f>((G349*R349/diesel_nmpg)*diesel_co2pg-(battery/range_nm)*G349*R349*VLOOKUP(B349,country_opex,4,FALSE))/1000</f>
        <v/>
      </c>
      <c r="AJ349" s="42" t="n">
        <v>750337</v>
      </c>
      <c r="AK349" s="43" t="n"/>
      <c r="AL349" s="43" t="inlineStr">
        <is>
          <t>med</t>
        </is>
      </c>
      <c r="AM349" s="50" t="n">
        <v>0.25</v>
      </c>
      <c r="AN349" s="45">
        <f>IF(AJ349="","",AJ349*AM349)</f>
        <v/>
      </c>
      <c r="AO349" s="45">
        <f>IF(OR(AJ349="",U349=0),"",MIN(IF(AV349="",9.9E+99,AV349),FLOOR(AN349/U349,1)))</f>
        <v/>
      </c>
      <c r="AP349" s="49">
        <f>IF(AO349="","",AO349*W349)</f>
        <v/>
      </c>
      <c r="AQ349" s="47">
        <f>IF(OR(AJ349="",U349=0),"",MIN(IF(AV349="",9.9E+99,AV349),AN349/U349))</f>
        <v/>
      </c>
      <c r="AR349" s="49">
        <f>IF(AQ349="","",AQ349*W349)</f>
        <v/>
      </c>
      <c r="AS349" s="51" t="n"/>
      <c r="AT349" s="52" t="n"/>
      <c r="AU349" s="52" t="n"/>
      <c r="AV349" s="53" t="n"/>
      <c r="AW349" s="54">
        <f>IF(((V349*pax_cap*load_thin*ROUND(N349*O349*revleg_thin,0))-(((battery/range_nm)*G349*ROUND(N349*O349*revleg_thin,0)*VLOOKUP(B349,country_opex,3,FALSE))+Y349+Z349+AA349+AB349+AC349))&lt;=0,"",VLOOKUP(B349,country_opex,7,FALSE)/((V349*pax_cap*load_thin*ROUND(N349*O349*revleg_thin,0))-(((battery/range_nm)*G349*ROUND(N349*O349*revleg_thin,0)*VLOOKUP(B349,country_opex,3,FALSE))+Y349+Z349+AA349+AB349+AC349)))</f>
        <v/>
      </c>
      <c r="AX349" s="54">
        <f>IF(((V349*pax_cap*load_mid*ROUND(N349*O349*revleg_mid,0))-(((battery/range_nm)*G349*ROUND(N349*O349*revleg_mid,0)*VLOOKUP(B349,country_opex,3,FALSE))+Y349+Z349+AA349+AB349+AC349))&lt;=0,"",VLOOKUP(B349,country_opex,7,FALSE)/((V349*pax_cap*load_mid*ROUND(N349*O349*revleg_mid,0))-(((battery/range_nm)*G349*ROUND(N349*O349*revleg_mid,0)*VLOOKUP(B349,country_opex,3,FALSE))+Y349+Z349+AA349+AB349+AC349)))</f>
        <v/>
      </c>
      <c r="AY349" s="54">
        <f>IF(((V349*pax_cap*load_full*ROUND(N349*O349*revleg_full,0))-(((battery/range_nm)*G349*ROUND(N349*O349*revleg_full,0)*VLOOKUP(B349,country_opex,3,FALSE))+Y349+Z349+AA349+AB349+AC349))&lt;=0,"",VLOOKUP(B349,country_opex,7,FALSE)/((V349*pax_cap*load_full*ROUND(N349*O349*revleg_full,0))-(((battery/range_nm)*G349*ROUND(N349*O349*revleg_full,0)*VLOOKUP(B349,country_opex,3,FALSE))+Y349+Z349+AA349+AB349+AC349)))</f>
        <v/>
      </c>
      <c r="AZ349" s="40" t="inlineStr">
        <is>
          <t>[LB-255 PREMIUM RE-FARE: subsidized comparable $1.62 lifted to premium on-demand floor $18.0] Public-transit adult single (bilhete simples) Cacilhas/Cais do Sodre = EUR 1.50 (TTSL 2024 tariff table) x1.08 = ~$1.62. NOT a premium tier -- a Navier electric-hydrofoil premium seat would price above this public fare.</t>
        </is>
      </c>
      <c r="BA349" s="40" t="n"/>
    </row>
    <row r="350">
      <c r="A350" s="38" t="inlineStr">
        <is>
          <t>Bolt Portugal</t>
        </is>
      </c>
      <c r="B350" s="38" t="inlineStr">
        <is>
          <t>Portugal</t>
        </is>
      </c>
      <c r="C350" s="39" t="inlineStr">
        <is>
          <t>Belem (Lisbon) → Trafaria / Porto Brandao (Almada)</t>
        </is>
      </c>
      <c r="D350" s="38" t="inlineStr">
        <is>
          <t>bolt</t>
        </is>
      </c>
      <c r="E350" s="40" t="inlineStr">
        <is>
          <t>bolt-portugal</t>
        </is>
      </c>
      <c r="F350" s="41" t="n">
        <v>1</v>
      </c>
      <c r="G350" s="42" t="n">
        <v>2.4</v>
      </c>
      <c r="H350" s="35" t="n">
        <v>18</v>
      </c>
      <c r="I350" s="43" t="inlineStr">
        <is>
          <t>T2</t>
        </is>
      </c>
      <c r="J350" s="43" t="inlineStr">
        <is>
          <t>med</t>
        </is>
      </c>
      <c r="K350" s="29" t="n">
        <v>1</v>
      </c>
      <c r="L350" s="44">
        <f>60*G350/cruise_kt</f>
        <v/>
      </c>
      <c r="M350" s="44">
        <f>L350+turn_min+dwell_min</f>
        <v/>
      </c>
      <c r="N350" s="45">
        <f>MIN(16,FLOOR(60*service_hr/M350,1))</f>
        <v/>
      </c>
      <c r="O350" s="45">
        <f>ROUND(365*mech_uptime*K350,0)</f>
        <v/>
      </c>
      <c r="P350" s="46">
        <f>mech_uptime</f>
        <v/>
      </c>
      <c r="Q350" s="46">
        <f>revleg_sel</f>
        <v/>
      </c>
      <c r="R350" s="45">
        <f>ROUND(N350*O350*revleg_sel,0)</f>
        <v/>
      </c>
      <c r="S350" s="47">
        <f>load_sel</f>
        <v/>
      </c>
      <c r="T350" s="47">
        <f>pax_cap*S350</f>
        <v/>
      </c>
      <c r="U350" s="45">
        <f>T350*R350</f>
        <v/>
      </c>
      <c r="V350" s="48">
        <f>H350*discount</f>
        <v/>
      </c>
      <c r="W350" s="49">
        <f>V350*U350</f>
        <v/>
      </c>
      <c r="X350" s="49">
        <f>(battery/range_nm)*G350*R350*VLOOKUP(B350,country_opex,3,FALSE)</f>
        <v/>
      </c>
      <c r="Y350" s="49">
        <f>VLOOKUP(B350,country_opex,2,FALSE)*crew_factor</f>
        <v/>
      </c>
      <c r="Z350" s="49">
        <f>VLOOKUP(B350,country_opex,5,FALSE)</f>
        <v/>
      </c>
      <c r="AA350" s="49">
        <f>maint</f>
        <v/>
      </c>
      <c r="AB350" s="49">
        <f>VLOOKUP(B350,country_opex,7,FALSE)*ins_pct</f>
        <v/>
      </c>
      <c r="AC350" s="49">
        <f>charge_berth</f>
        <v/>
      </c>
      <c r="AD350" s="49">
        <f>X350+Y350+Z350+AA350+AB350+AC350</f>
        <v/>
      </c>
      <c r="AE350" s="49">
        <f>VLOOKUP(B350,country_opex,7,FALSE)/dep_years</f>
        <v/>
      </c>
      <c r="AF350" s="49">
        <f>W350-AD350</f>
        <v/>
      </c>
      <c r="AG350" s="46">
        <f>IF(W350=0,"",AF350/W350)</f>
        <v/>
      </c>
      <c r="AH350" s="47">
        <f>IF(AF350&lt;=0,"",VLOOKUP(B350,country_opex,7,FALSE)/AF350)</f>
        <v/>
      </c>
      <c r="AI350" s="44">
        <f>((G350*R350/diesel_nmpg)*diesel_co2pg-(battery/range_nm)*G350*R350*VLOOKUP(B350,country_opex,4,FALSE))/1000</f>
        <v/>
      </c>
      <c r="AJ350" s="42" t="n">
        <v>38706</v>
      </c>
      <c r="AK350" s="43" t="n"/>
      <c r="AL350" s="43" t="inlineStr">
        <is>
          <t>med</t>
        </is>
      </c>
      <c r="AM350" s="50" t="n">
        <v>0.25</v>
      </c>
      <c r="AN350" s="45">
        <f>IF(AJ350="","",AJ350*AM350)</f>
        <v/>
      </c>
      <c r="AO350" s="45">
        <f>IF(OR(AJ350="",U350=0),"",MIN(IF(AV350="",9.9E+99,AV350),FLOOR(AN350/U350,1)))</f>
        <v/>
      </c>
      <c r="AP350" s="49">
        <f>IF(AO350="","",AO350*W350)</f>
        <v/>
      </c>
      <c r="AQ350" s="47">
        <f>IF(OR(AJ350="",U350=0),"",MIN(IF(AV350="",9.9E+99,AV350),AN350/U350))</f>
        <v/>
      </c>
      <c r="AR350" s="49">
        <f>IF(AQ350="","",AQ350*W350)</f>
        <v/>
      </c>
      <c r="AS350" s="51" t="n"/>
      <c r="AT350" s="52" t="n"/>
      <c r="AU350" s="52" t="n"/>
      <c r="AV350" s="53" t="n"/>
      <c r="AW350" s="54">
        <f>IF(((V350*pax_cap*load_thin*ROUND(N350*O350*revleg_thin,0))-(((battery/range_nm)*G350*ROUND(N350*O350*revleg_thin,0)*VLOOKUP(B350,country_opex,3,FALSE))+Y350+Z350+AA350+AB350+AC350))&lt;=0,"",VLOOKUP(B350,country_opex,7,FALSE)/((V350*pax_cap*load_thin*ROUND(N350*O350*revleg_thin,0))-(((battery/range_nm)*G350*ROUND(N350*O350*revleg_thin,0)*VLOOKUP(B350,country_opex,3,FALSE))+Y350+Z350+AA350+AB350+AC350)))</f>
        <v/>
      </c>
      <c r="AX350" s="54">
        <f>IF(((V350*pax_cap*load_mid*ROUND(N350*O350*revleg_mid,0))-(((battery/range_nm)*G350*ROUND(N350*O350*revleg_mid,0)*VLOOKUP(B350,country_opex,3,FALSE))+Y350+Z350+AA350+AB350+AC350))&lt;=0,"",VLOOKUP(B350,country_opex,7,FALSE)/((V350*pax_cap*load_mid*ROUND(N350*O350*revleg_mid,0))-(((battery/range_nm)*G350*ROUND(N350*O350*revleg_mid,0)*VLOOKUP(B350,country_opex,3,FALSE))+Y350+Z350+AA350+AB350+AC350)))</f>
        <v/>
      </c>
      <c r="AY350" s="54">
        <f>IF(((V350*pax_cap*load_full*ROUND(N350*O350*revleg_full,0))-(((battery/range_nm)*G350*ROUND(N350*O350*revleg_full,0)*VLOOKUP(B350,country_opex,3,FALSE))+Y350+Z350+AA350+AB350+AC350))&lt;=0,"",VLOOKUP(B350,country_opex,7,FALSE)/((V350*pax_cap*load_full*ROUND(N350*O350*revleg_full,0))-(((battery/range_nm)*G350*ROUND(N350*O350*revleg_full,0)*VLOOKUP(B350,country_opex,3,FALSE))+Y350+Z350+AA350+AB350+AC350)))</f>
        <v/>
      </c>
      <c r="AZ350" s="40" t="inlineStr">
        <is>
          <t>[LB-255 PREMIUM RE-FARE: subsidized comparable $1.57 lifted to premium on-demand floor $18.0] Public-transit adult single Trafaria/Porto Brandao/Belem = EUR 1.45 (TTSL 2024 tariff) x1.08 = ~$1.57.</t>
        </is>
      </c>
      <c r="BA350" s="40" t="n"/>
    </row>
    <row r="351">
      <c r="A351" s="38" t="inlineStr">
        <is>
          <t>Bolt Portugal</t>
        </is>
      </c>
      <c r="B351" s="38" t="inlineStr">
        <is>
          <t>Portugal</t>
        </is>
      </c>
      <c r="C351" s="39" t="inlineStr">
        <is>
          <t>Olhao → Culatra / Farol</t>
        </is>
      </c>
      <c r="D351" s="38" t="inlineStr">
        <is>
          <t>bolt</t>
        </is>
      </c>
      <c r="E351" s="40" t="inlineStr">
        <is>
          <t>bolt-portugal</t>
        </is>
      </c>
      <c r="F351" s="41" t="n">
        <v>1</v>
      </c>
      <c r="G351" s="42" t="n">
        <v>2.7</v>
      </c>
      <c r="H351" s="35" t="n">
        <v>30</v>
      </c>
      <c r="I351" s="43" t="inlineStr">
        <is>
          <t>T2</t>
        </is>
      </c>
      <c r="J351" s="43" t="inlineStr">
        <is>
          <t>med</t>
        </is>
      </c>
      <c r="K351" s="29" t="n">
        <v>1</v>
      </c>
      <c r="L351" s="44">
        <f>60*G351/cruise_kt</f>
        <v/>
      </c>
      <c r="M351" s="44">
        <f>L351+turn_min+dwell_min</f>
        <v/>
      </c>
      <c r="N351" s="45">
        <f>MIN(10,FLOOR(60*service_hr/M351,1))</f>
        <v/>
      </c>
      <c r="O351" s="45">
        <f>ROUND(365*mech_uptime*K351,0)</f>
        <v/>
      </c>
      <c r="P351" s="46">
        <f>mech_uptime</f>
        <v/>
      </c>
      <c r="Q351" s="46">
        <f>revleg_sel</f>
        <v/>
      </c>
      <c r="R351" s="45">
        <f>ROUND(N351*O351*revleg_sel,0)</f>
        <v/>
      </c>
      <c r="S351" s="47">
        <f>load_sel</f>
        <v/>
      </c>
      <c r="T351" s="47">
        <f>pax_cap*S351</f>
        <v/>
      </c>
      <c r="U351" s="45">
        <f>T351*R351</f>
        <v/>
      </c>
      <c r="V351" s="48">
        <f>H351*discount</f>
        <v/>
      </c>
      <c r="W351" s="49">
        <f>V351*U351</f>
        <v/>
      </c>
      <c r="X351" s="49">
        <f>(battery/range_nm)*G351*R351*VLOOKUP(B351,country_opex,3,FALSE)</f>
        <v/>
      </c>
      <c r="Y351" s="49">
        <f>VLOOKUP(B351,country_opex,2,FALSE)*crew_factor</f>
        <v/>
      </c>
      <c r="Z351" s="49">
        <f>VLOOKUP(B351,country_opex,5,FALSE)</f>
        <v/>
      </c>
      <c r="AA351" s="49">
        <f>maint</f>
        <v/>
      </c>
      <c r="AB351" s="49">
        <f>VLOOKUP(B351,country_opex,7,FALSE)*ins_pct</f>
        <v/>
      </c>
      <c r="AC351" s="49">
        <f>charge_berth</f>
        <v/>
      </c>
      <c r="AD351" s="49">
        <f>X351+Y351+Z351+AA351+AB351+AC351</f>
        <v/>
      </c>
      <c r="AE351" s="49">
        <f>VLOOKUP(B351,country_opex,7,FALSE)/dep_years</f>
        <v/>
      </c>
      <c r="AF351" s="49">
        <f>W351-AD351</f>
        <v/>
      </c>
      <c r="AG351" s="46">
        <f>IF(W351=0,"",AF351/W351)</f>
        <v/>
      </c>
      <c r="AH351" s="47">
        <f>IF(AF351&lt;=0,"",VLOOKUP(B351,country_opex,7,FALSE)/AF351)</f>
        <v/>
      </c>
      <c r="AI351" s="44">
        <f>((G351*R351/diesel_nmpg)*diesel_co2pg-(battery/range_nm)*G351*R351*VLOOKUP(B351,country_opex,4,FALSE))/1000</f>
        <v/>
      </c>
      <c r="AJ351" s="42" t="n"/>
      <c r="AK351" s="43" t="n"/>
      <c r="AL351" s="43" t="n"/>
      <c r="AM351" s="50" t="n">
        <v>0.1</v>
      </c>
      <c r="AN351" s="45">
        <f>IF(AJ351="","",AJ351*AM351)</f>
        <v/>
      </c>
      <c r="AO351" s="45">
        <f>IF(OR(AJ351="",U351=0),"",MIN(IF(AV351="",9.9E+99,AV351),FLOOR(AN351/U351,1)))</f>
        <v/>
      </c>
      <c r="AP351" s="49">
        <f>IF(AO351="","",AO351*W351)</f>
        <v/>
      </c>
      <c r="AQ351" s="47">
        <f>IF(OR(AJ351="",U351=0),"",MIN(IF(AV351="",9.9E+99,AV351),AN351/U351))</f>
        <v/>
      </c>
      <c r="AR351" s="49">
        <f>IF(AQ351="","",AQ351*W351)</f>
        <v/>
      </c>
      <c r="AS351" s="51" t="n"/>
      <c r="AT351" s="52" t="n"/>
      <c r="AU351" s="52" t="n"/>
      <c r="AV351" s="53" t="n"/>
      <c r="AW351" s="54">
        <f>IF(((V351*pax_cap*load_thin*ROUND(N351*O351*revleg_thin,0))-(((battery/range_nm)*G351*ROUND(N351*O351*revleg_thin,0)*VLOOKUP(B351,country_opex,3,FALSE))+Y351+Z351+AA351+AB351+AC351))&lt;=0,"",VLOOKUP(B351,country_opex,7,FALSE)/((V351*pax_cap*load_thin*ROUND(N351*O351*revleg_thin,0))-(((battery/range_nm)*G351*ROUND(N351*O351*revleg_thin,0)*VLOOKUP(B351,country_opex,3,FALSE))+Y351+Z351+AA351+AB351+AC351)))</f>
        <v/>
      </c>
      <c r="AX351" s="54">
        <f>IF(((V351*pax_cap*load_mid*ROUND(N351*O351*revleg_mid,0))-(((battery/range_nm)*G351*ROUND(N351*O351*revleg_mid,0)*VLOOKUP(B351,country_opex,3,FALSE))+Y351+Z351+AA351+AB351+AC351))&lt;=0,"",VLOOKUP(B351,country_opex,7,FALSE)/((V351*pax_cap*load_mid*ROUND(N351*O351*revleg_mid,0))-(((battery/range_nm)*G351*ROUND(N351*O351*revleg_mid,0)*VLOOKUP(B351,country_opex,3,FALSE))+Y351+Z351+AA351+AB351+AC351)))</f>
        <v/>
      </c>
      <c r="AY351" s="54">
        <f>IF(((V351*pax_cap*load_full*ROUND(N351*O351*revleg_full,0))-(((battery/range_nm)*G351*ROUND(N351*O351*revleg_full,0)*VLOOKUP(B351,country_opex,3,FALSE))+Y351+Z351+AA351+AB351+AC351))&lt;=0,"",VLOOKUP(B351,country_opex,7,FALSE)/((V351*pax_cap*load_full*ROUND(N351*O351*revleg_full,0))-(((battery/range_nm)*G351*ROUND(N351*O351*revleg_full,0)*VLOOKUP(B351,country_opex,3,FALSE))+Y351+Z351+AA351+AB351+AC351)))</f>
        <v/>
      </c>
      <c r="AZ351" s="40" t="inlineStr">
        <is>
          <t>PREMIUM tier: Ria Formosa island-hopping tour Olhao -&gt; Farol/Culatra/Armona ~EUR 25-30 per seat (GetYourGuide) -&gt; ~$30.</t>
        </is>
      </c>
      <c r="BA351" s="40" t="n"/>
    </row>
    <row r="352">
      <c r="A352" s="38" t="inlineStr">
        <is>
          <t>Bolt Portugal</t>
        </is>
      </c>
      <c r="B352" s="38" t="inlineStr">
        <is>
          <t>Portugal</t>
        </is>
      </c>
      <c r="C352" s="39" t="inlineStr">
        <is>
          <t>Faro → Ilha Deserta (Barreta)</t>
        </is>
      </c>
      <c r="D352" s="38" t="inlineStr">
        <is>
          <t>bolt</t>
        </is>
      </c>
      <c r="E352" s="40" t="inlineStr">
        <is>
          <t>bolt-portugal</t>
        </is>
      </c>
      <c r="F352" s="41" t="n">
        <v>1</v>
      </c>
      <c r="G352" s="42" t="n">
        <v>3</v>
      </c>
      <c r="H352" s="35" t="n">
        <v>30</v>
      </c>
      <c r="I352" s="43" t="inlineStr">
        <is>
          <t>T2</t>
        </is>
      </c>
      <c r="J352" s="43" t="inlineStr">
        <is>
          <t>med</t>
        </is>
      </c>
      <c r="K352" s="29" t="n">
        <v>1</v>
      </c>
      <c r="L352" s="44">
        <f>60*G352/cruise_kt</f>
        <v/>
      </c>
      <c r="M352" s="44">
        <f>L352+turn_min+dwell_min</f>
        <v/>
      </c>
      <c r="N352" s="45">
        <f>MIN(10,FLOOR(60*service_hr/M352,1))</f>
        <v/>
      </c>
      <c r="O352" s="45">
        <f>ROUND(365*mech_uptime*K352,0)</f>
        <v/>
      </c>
      <c r="P352" s="46">
        <f>mech_uptime</f>
        <v/>
      </c>
      <c r="Q352" s="46">
        <f>revleg_sel</f>
        <v/>
      </c>
      <c r="R352" s="45">
        <f>ROUND(N352*O352*revleg_sel,0)</f>
        <v/>
      </c>
      <c r="S352" s="47">
        <f>load_sel</f>
        <v/>
      </c>
      <c r="T352" s="47">
        <f>pax_cap*S352</f>
        <v/>
      </c>
      <c r="U352" s="45">
        <f>T352*R352</f>
        <v/>
      </c>
      <c r="V352" s="48">
        <f>H352*discount</f>
        <v/>
      </c>
      <c r="W352" s="49">
        <f>V352*U352</f>
        <v/>
      </c>
      <c r="X352" s="49">
        <f>(battery/range_nm)*G352*R352*VLOOKUP(B352,country_opex,3,FALSE)</f>
        <v/>
      </c>
      <c r="Y352" s="49">
        <f>VLOOKUP(B352,country_opex,2,FALSE)*crew_factor</f>
        <v/>
      </c>
      <c r="Z352" s="49">
        <f>VLOOKUP(B352,country_opex,5,FALSE)</f>
        <v/>
      </c>
      <c r="AA352" s="49">
        <f>maint</f>
        <v/>
      </c>
      <c r="AB352" s="49">
        <f>VLOOKUP(B352,country_opex,7,FALSE)*ins_pct</f>
        <v/>
      </c>
      <c r="AC352" s="49">
        <f>charge_berth</f>
        <v/>
      </c>
      <c r="AD352" s="49">
        <f>X352+Y352+Z352+AA352+AB352+AC352</f>
        <v/>
      </c>
      <c r="AE352" s="49">
        <f>VLOOKUP(B352,country_opex,7,FALSE)/dep_years</f>
        <v/>
      </c>
      <c r="AF352" s="49">
        <f>W352-AD352</f>
        <v/>
      </c>
      <c r="AG352" s="46">
        <f>IF(W352=0,"",AF352/W352)</f>
        <v/>
      </c>
      <c r="AH352" s="47">
        <f>IF(AF352&lt;=0,"",VLOOKUP(B352,country_opex,7,FALSE)/AF352)</f>
        <v/>
      </c>
      <c r="AI352" s="44">
        <f>((G352*R352/diesel_nmpg)*diesel_co2pg-(battery/range_nm)*G352*R352*VLOOKUP(B352,country_opex,4,FALSE))/1000</f>
        <v/>
      </c>
      <c r="AJ352" s="42" t="n"/>
      <c r="AK352" s="43" t="n"/>
      <c r="AL352" s="43" t="n"/>
      <c r="AM352" s="50" t="n">
        <v>0.1</v>
      </c>
      <c r="AN352" s="45">
        <f>IF(AJ352="","",AJ352*AM352)</f>
        <v/>
      </c>
      <c r="AO352" s="45">
        <f>IF(OR(AJ352="",U352=0),"",MIN(IF(AV352="",9.9E+99,AV352),FLOOR(AN352/U352,1)))</f>
        <v/>
      </c>
      <c r="AP352" s="49">
        <f>IF(AO352="","",AO352*W352)</f>
        <v/>
      </c>
      <c r="AQ352" s="47">
        <f>IF(OR(AJ352="",U352=0),"",MIN(IF(AV352="",9.9E+99,AV352),AN352/U352))</f>
        <v/>
      </c>
      <c r="AR352" s="49">
        <f>IF(AQ352="","",AQ352*W352)</f>
        <v/>
      </c>
      <c r="AS352" s="51" t="n"/>
      <c r="AT352" s="52" t="n"/>
      <c r="AU352" s="52" t="n"/>
      <c r="AV352" s="53" t="n"/>
      <c r="AW352" s="54">
        <f>IF(((V352*pax_cap*load_thin*ROUND(N352*O352*revleg_thin,0))-(((battery/range_nm)*G352*ROUND(N352*O352*revleg_thin,0)*VLOOKUP(B352,country_opex,3,FALSE))+Y352+Z352+AA352+AB352+AC352))&lt;=0,"",VLOOKUP(B352,country_opex,7,FALSE)/((V352*pax_cap*load_thin*ROUND(N352*O352*revleg_thin,0))-(((battery/range_nm)*G352*ROUND(N352*O352*revleg_thin,0)*VLOOKUP(B352,country_opex,3,FALSE))+Y352+Z352+AA352+AB352+AC352)))</f>
        <v/>
      </c>
      <c r="AX352" s="54">
        <f>IF(((V352*pax_cap*load_mid*ROUND(N352*O352*revleg_mid,0))-(((battery/range_nm)*G352*ROUND(N352*O352*revleg_mid,0)*VLOOKUP(B352,country_opex,3,FALSE))+Y352+Z352+AA352+AB352+AC352))&lt;=0,"",VLOOKUP(B352,country_opex,7,FALSE)/((V352*pax_cap*load_mid*ROUND(N352*O352*revleg_mid,0))-(((battery/range_nm)*G352*ROUND(N352*O352*revleg_mid,0)*VLOOKUP(B352,country_opex,3,FALSE))+Y352+Z352+AA352+AB352+AC352)))</f>
        <v/>
      </c>
      <c r="AY352" s="54">
        <f>IF(((V352*pax_cap*load_full*ROUND(N352*O352*revleg_full,0))-(((battery/range_nm)*G352*ROUND(N352*O352*revleg_full,0)*VLOOKUP(B352,country_opex,3,FALSE))+Y352+Z352+AA352+AB352+AC352))&lt;=0,"",VLOOKUP(B352,country_opex,7,FALSE)/((V352*pax_cap*load_full*ROUND(N352*O352*revleg_full,0))-(((battery/range_nm)*G352*ROUND(N352*O352*revleg_full,0)*VLOOKUP(B352,country_opex,3,FALSE))+Y352+Z352+AA352+AB352+AC352)))</f>
        <v/>
      </c>
      <c r="AZ352" s="40" t="inlineStr">
        <is>
          <t>PREMIUM tier: solar/eco boat tour Faro -&gt; Ilha Deserta ~EUR 28-30 per seat (GetYourGuide / Animaris / Lands eco boat tours) -&gt; ~$30.</t>
        </is>
      </c>
      <c r="BA352" s="40" t="n"/>
    </row>
    <row r="353">
      <c r="A353" s="38" t="inlineStr">
        <is>
          <t>Bolt Portugal</t>
        </is>
      </c>
      <c r="B353" s="38" t="inlineStr">
        <is>
          <t>Portugal</t>
        </is>
      </c>
      <c r="C353" s="39" t="inlineStr">
        <is>
          <t>Cais do Sodre (Lisbon) → Seixal</t>
        </is>
      </c>
      <c r="D353" s="38" t="inlineStr">
        <is>
          <t>bolt</t>
        </is>
      </c>
      <c r="E353" s="40" t="inlineStr">
        <is>
          <t>bolt-portugal</t>
        </is>
      </c>
      <c r="F353" s="41" t="n">
        <v>1</v>
      </c>
      <c r="G353" s="42" t="n">
        <v>4.6</v>
      </c>
      <c r="H353" s="35" t="n">
        <v>18</v>
      </c>
      <c r="I353" s="43" t="inlineStr">
        <is>
          <t>T2</t>
        </is>
      </c>
      <c r="J353" s="43" t="inlineStr">
        <is>
          <t>med</t>
        </is>
      </c>
      <c r="K353" s="29" t="n">
        <v>1</v>
      </c>
      <c r="L353" s="44">
        <f>60*G353/cruise_kt</f>
        <v/>
      </c>
      <c r="M353" s="44">
        <f>L353+turn_min+dwell_min</f>
        <v/>
      </c>
      <c r="N353" s="45">
        <f>MIN(16,FLOOR(60*service_hr/M353,1))</f>
        <v/>
      </c>
      <c r="O353" s="45">
        <f>ROUND(365*mech_uptime*K353,0)</f>
        <v/>
      </c>
      <c r="P353" s="46">
        <f>mech_uptime</f>
        <v/>
      </c>
      <c r="Q353" s="46">
        <f>revleg_sel</f>
        <v/>
      </c>
      <c r="R353" s="45">
        <f>ROUND(N353*O353*revleg_sel,0)</f>
        <v/>
      </c>
      <c r="S353" s="47">
        <f>load_sel</f>
        <v/>
      </c>
      <c r="T353" s="47">
        <f>pax_cap*S353</f>
        <v/>
      </c>
      <c r="U353" s="45">
        <f>T353*R353</f>
        <v/>
      </c>
      <c r="V353" s="48">
        <f>H353*discount</f>
        <v/>
      </c>
      <c r="W353" s="49">
        <f>V353*U353</f>
        <v/>
      </c>
      <c r="X353" s="49">
        <f>(battery/range_nm)*G353*R353*VLOOKUP(B353,country_opex,3,FALSE)</f>
        <v/>
      </c>
      <c r="Y353" s="49">
        <f>VLOOKUP(B353,country_opex,2,FALSE)*crew_factor</f>
        <v/>
      </c>
      <c r="Z353" s="49">
        <f>VLOOKUP(B353,country_opex,5,FALSE)</f>
        <v/>
      </c>
      <c r="AA353" s="49">
        <f>maint</f>
        <v/>
      </c>
      <c r="AB353" s="49">
        <f>VLOOKUP(B353,country_opex,7,FALSE)*ins_pct</f>
        <v/>
      </c>
      <c r="AC353" s="49">
        <f>charge_berth</f>
        <v/>
      </c>
      <c r="AD353" s="49">
        <f>X353+Y353+Z353+AA353+AB353+AC353</f>
        <v/>
      </c>
      <c r="AE353" s="49">
        <f>VLOOKUP(B353,country_opex,7,FALSE)/dep_years</f>
        <v/>
      </c>
      <c r="AF353" s="49">
        <f>W353-AD353</f>
        <v/>
      </c>
      <c r="AG353" s="46">
        <f>IF(W353=0,"",AF353/W353)</f>
        <v/>
      </c>
      <c r="AH353" s="47">
        <f>IF(AF353&lt;=0,"",VLOOKUP(B353,country_opex,7,FALSE)/AF353)</f>
        <v/>
      </c>
      <c r="AI353" s="44">
        <f>((G353*R353/diesel_nmpg)*diesel_co2pg-(battery/range_nm)*G353*R353*VLOOKUP(B353,country_opex,4,FALSE))/1000</f>
        <v/>
      </c>
      <c r="AJ353" s="42" t="n">
        <v>183931</v>
      </c>
      <c r="AK353" s="43" t="n"/>
      <c r="AL353" s="43" t="inlineStr">
        <is>
          <t>med</t>
        </is>
      </c>
      <c r="AM353" s="50" t="n">
        <v>0.25</v>
      </c>
      <c r="AN353" s="45">
        <f>IF(AJ353="","",AJ353*AM353)</f>
        <v/>
      </c>
      <c r="AO353" s="45">
        <f>IF(OR(AJ353="",U353=0),"",MIN(IF(AV353="",9.9E+99,AV353),FLOOR(AN353/U353,1)))</f>
        <v/>
      </c>
      <c r="AP353" s="49">
        <f>IF(AO353="","",AO353*W353)</f>
        <v/>
      </c>
      <c r="AQ353" s="47">
        <f>IF(OR(AJ353="",U353=0),"",MIN(IF(AV353="",9.9E+99,AV353),AN353/U353))</f>
        <v/>
      </c>
      <c r="AR353" s="49">
        <f>IF(AQ353="","",AQ353*W353)</f>
        <v/>
      </c>
      <c r="AS353" s="51" t="n"/>
      <c r="AT353" s="52" t="n"/>
      <c r="AU353" s="52" t="n"/>
      <c r="AV353" s="53" t="n"/>
      <c r="AW353" s="54">
        <f>IF(((V353*pax_cap*load_thin*ROUND(N353*O353*revleg_thin,0))-(((battery/range_nm)*G353*ROUND(N353*O353*revleg_thin,0)*VLOOKUP(B353,country_opex,3,FALSE))+Y353+Z353+AA353+AB353+AC353))&lt;=0,"",VLOOKUP(B353,country_opex,7,FALSE)/((V353*pax_cap*load_thin*ROUND(N353*O353*revleg_thin,0))-(((battery/range_nm)*G353*ROUND(N353*O353*revleg_thin,0)*VLOOKUP(B353,country_opex,3,FALSE))+Y353+Z353+AA353+AB353+AC353)))</f>
        <v/>
      </c>
      <c r="AX353" s="54">
        <f>IF(((V353*pax_cap*load_mid*ROUND(N353*O353*revleg_mid,0))-(((battery/range_nm)*G353*ROUND(N353*O353*revleg_mid,0)*VLOOKUP(B353,country_opex,3,FALSE))+Y353+Z353+AA353+AB353+AC353))&lt;=0,"",VLOOKUP(B353,country_opex,7,FALSE)/((V353*pax_cap*load_mid*ROUND(N353*O353*revleg_mid,0))-(((battery/range_nm)*G353*ROUND(N353*O353*revleg_mid,0)*VLOOKUP(B353,country_opex,3,FALSE))+Y353+Z353+AA353+AB353+AC353)))</f>
        <v/>
      </c>
      <c r="AY353" s="54">
        <f>IF(((V353*pax_cap*load_full*ROUND(N353*O353*revleg_full,0))-(((battery/range_nm)*G353*ROUND(N353*O353*revleg_full,0)*VLOOKUP(B353,country_opex,3,FALSE))+Y353+Z353+AA353+AB353+AC353))&lt;=0,"",VLOOKUP(B353,country_opex,7,FALSE)/((V353*pax_cap*load_full*ROUND(N353*O353*revleg_full,0))-(((battery/range_nm)*G353*ROUND(N353*O353*revleg_full,0)*VLOOKUP(B353,country_opex,3,FALSE))+Y353+Z353+AA353+AB353+AC353)))</f>
        <v/>
      </c>
      <c r="AZ353" s="40" t="inlineStr">
        <is>
          <t>[LB-255 PREMIUM RE-FARE: subsidized comparable $3.02 lifted to premium on-demand floor $18.0] Public-transit adult single Seixal/Cais do Sodre = EUR 2.80 (TTSL 2024 tariff) x1.08 = ~$3.02.</t>
        </is>
      </c>
      <c r="BA353" s="40" t="n"/>
    </row>
    <row r="354">
      <c r="A354" s="38" t="inlineStr">
        <is>
          <t>Bolt Portugal</t>
        </is>
      </c>
      <c r="B354" s="38" t="inlineStr">
        <is>
          <t>Portugal</t>
        </is>
      </c>
      <c r="C354" s="39" t="inlineStr">
        <is>
          <t>Terreiro do Paco (Lisbon) → Barreiro</t>
        </is>
      </c>
      <c r="D354" s="38" t="inlineStr">
        <is>
          <t>bolt</t>
        </is>
      </c>
      <c r="E354" s="40" t="inlineStr">
        <is>
          <t>bolt-portugal</t>
        </is>
      </c>
      <c r="F354" s="41" t="n">
        <v>1</v>
      </c>
      <c r="G354" s="42" t="n">
        <v>5</v>
      </c>
      <c r="H354" s="35" t="n">
        <v>18</v>
      </c>
      <c r="I354" s="43" t="inlineStr">
        <is>
          <t>T2</t>
        </is>
      </c>
      <c r="J354" s="43" t="inlineStr">
        <is>
          <t>med</t>
        </is>
      </c>
      <c r="K354" s="29" t="n">
        <v>1</v>
      </c>
      <c r="L354" s="44">
        <f>60*G354/cruise_kt</f>
        <v/>
      </c>
      <c r="M354" s="44">
        <f>L354+turn_min+dwell_min</f>
        <v/>
      </c>
      <c r="N354" s="45">
        <f>MIN(16,FLOOR(60*service_hr/M354,1))</f>
        <v/>
      </c>
      <c r="O354" s="45">
        <f>ROUND(365*mech_uptime*K354,0)</f>
        <v/>
      </c>
      <c r="P354" s="46">
        <f>mech_uptime</f>
        <v/>
      </c>
      <c r="Q354" s="46">
        <f>revleg_sel</f>
        <v/>
      </c>
      <c r="R354" s="45">
        <f>ROUND(N354*O354*revleg_sel,0)</f>
        <v/>
      </c>
      <c r="S354" s="47">
        <f>load_sel</f>
        <v/>
      </c>
      <c r="T354" s="47">
        <f>pax_cap*S354</f>
        <v/>
      </c>
      <c r="U354" s="45">
        <f>T354*R354</f>
        <v/>
      </c>
      <c r="V354" s="48">
        <f>H354*discount</f>
        <v/>
      </c>
      <c r="W354" s="49">
        <f>V354*U354</f>
        <v/>
      </c>
      <c r="X354" s="49">
        <f>(battery/range_nm)*G354*R354*VLOOKUP(B354,country_opex,3,FALSE)</f>
        <v/>
      </c>
      <c r="Y354" s="49">
        <f>VLOOKUP(B354,country_opex,2,FALSE)*crew_factor</f>
        <v/>
      </c>
      <c r="Z354" s="49">
        <f>VLOOKUP(B354,country_opex,5,FALSE)</f>
        <v/>
      </c>
      <c r="AA354" s="49">
        <f>maint</f>
        <v/>
      </c>
      <c r="AB354" s="49">
        <f>VLOOKUP(B354,country_opex,7,FALSE)*ins_pct</f>
        <v/>
      </c>
      <c r="AC354" s="49">
        <f>charge_berth</f>
        <v/>
      </c>
      <c r="AD354" s="49">
        <f>X354+Y354+Z354+AA354+AB354+AC354</f>
        <v/>
      </c>
      <c r="AE354" s="49">
        <f>VLOOKUP(B354,country_opex,7,FALSE)/dep_years</f>
        <v/>
      </c>
      <c r="AF354" s="49">
        <f>W354-AD354</f>
        <v/>
      </c>
      <c r="AG354" s="46">
        <f>IF(W354=0,"",AF354/W354)</f>
        <v/>
      </c>
      <c r="AH354" s="47">
        <f>IF(AF354&lt;=0,"",VLOOKUP(B354,country_opex,7,FALSE)/AF354)</f>
        <v/>
      </c>
      <c r="AI354" s="44">
        <f>((G354*R354/diesel_nmpg)*diesel_co2pg-(battery/range_nm)*G354*R354*VLOOKUP(B354,country_opex,4,FALSE))/1000</f>
        <v/>
      </c>
      <c r="AJ354" s="42" t="n">
        <v>1777523</v>
      </c>
      <c r="AK354" s="43" t="n"/>
      <c r="AL354" s="43" t="inlineStr">
        <is>
          <t>med</t>
        </is>
      </c>
      <c r="AM354" s="50" t="n">
        <v>0.25</v>
      </c>
      <c r="AN354" s="45">
        <f>IF(AJ354="","",AJ354*AM354)</f>
        <v/>
      </c>
      <c r="AO354" s="45">
        <f>IF(OR(AJ354="",U354=0),"",MIN(IF(AV354="",9.9E+99,AV354),FLOOR(AN354/U354,1)))</f>
        <v/>
      </c>
      <c r="AP354" s="49">
        <f>IF(AO354="","",AO354*W354)</f>
        <v/>
      </c>
      <c r="AQ354" s="47">
        <f>IF(OR(AJ354="",U354=0),"",MIN(IF(AV354="",9.9E+99,AV354),AN354/U354))</f>
        <v/>
      </c>
      <c r="AR354" s="49">
        <f>IF(AQ354="","",AQ354*W354)</f>
        <v/>
      </c>
      <c r="AS354" s="51" t="n"/>
      <c r="AT354" s="52" t="n"/>
      <c r="AU354" s="52" t="n"/>
      <c r="AV354" s="53" t="n"/>
      <c r="AW354" s="54">
        <f>IF(((V354*pax_cap*load_thin*ROUND(N354*O354*revleg_thin,0))-(((battery/range_nm)*G354*ROUND(N354*O354*revleg_thin,0)*VLOOKUP(B354,country_opex,3,FALSE))+Y354+Z354+AA354+AB354+AC354))&lt;=0,"",VLOOKUP(B354,country_opex,7,FALSE)/((V354*pax_cap*load_thin*ROUND(N354*O354*revleg_thin,0))-(((battery/range_nm)*G354*ROUND(N354*O354*revleg_thin,0)*VLOOKUP(B354,country_opex,3,FALSE))+Y354+Z354+AA354+AB354+AC354)))</f>
        <v/>
      </c>
      <c r="AX354" s="54">
        <f>IF(((V354*pax_cap*load_mid*ROUND(N354*O354*revleg_mid,0))-(((battery/range_nm)*G354*ROUND(N354*O354*revleg_mid,0)*VLOOKUP(B354,country_opex,3,FALSE))+Y354+Z354+AA354+AB354+AC354))&lt;=0,"",VLOOKUP(B354,country_opex,7,FALSE)/((V354*pax_cap*load_mid*ROUND(N354*O354*revleg_mid,0))-(((battery/range_nm)*G354*ROUND(N354*O354*revleg_mid,0)*VLOOKUP(B354,country_opex,3,FALSE))+Y354+Z354+AA354+AB354+AC354)))</f>
        <v/>
      </c>
      <c r="AY354" s="54">
        <f>IF(((V354*pax_cap*load_full*ROUND(N354*O354*revleg_full,0))-(((battery/range_nm)*G354*ROUND(N354*O354*revleg_full,0)*VLOOKUP(B354,country_opex,3,FALSE))+Y354+Z354+AA354+AB354+AC354))&lt;=0,"",VLOOKUP(B354,country_opex,7,FALSE)/((V354*pax_cap*load_full*ROUND(N354*O354*revleg_full,0))-(((battery/range_nm)*G354*ROUND(N354*O354*revleg_full,0)*VLOOKUP(B354,country_opex,3,FALSE))+Y354+Z354+AA354+AB354+AC354)))</f>
        <v/>
      </c>
      <c r="AZ354" s="40" t="inlineStr">
        <is>
          <t>[LB-255 PREMIUM RE-FARE: subsidized comparable $3.02 lifted to premium on-demand floor $18.0] Public-transit adult single Barreiro/Terreiro do Paco = EUR 2.80 (TTSL 2024 tariff) x1.08 = ~$3.02.</t>
        </is>
      </c>
      <c r="BA354" s="40" t="n"/>
    </row>
    <row r="355">
      <c r="A355" s="38" t="inlineStr">
        <is>
          <t>Bolt Portugal</t>
        </is>
      </c>
      <c r="B355" s="38" t="inlineStr">
        <is>
          <t>Portugal</t>
        </is>
      </c>
      <c r="C355" s="39" t="inlineStr">
        <is>
          <t>Portimao → Benagil</t>
        </is>
      </c>
      <c r="D355" s="38" t="inlineStr">
        <is>
          <t>bolt</t>
        </is>
      </c>
      <c r="E355" s="40" t="inlineStr">
        <is>
          <t>bolt-portugal</t>
        </is>
      </c>
      <c r="F355" s="41" t="n">
        <v>1</v>
      </c>
      <c r="G355" s="42" t="n">
        <v>6</v>
      </c>
      <c r="H355" s="35" t="n">
        <v>45</v>
      </c>
      <c r="I355" s="43" t="inlineStr">
        <is>
          <t>T2</t>
        </is>
      </c>
      <c r="J355" s="43" t="inlineStr">
        <is>
          <t>med</t>
        </is>
      </c>
      <c r="K355" s="29" t="n">
        <v>1</v>
      </c>
      <c r="L355" s="44">
        <f>60*G355/cruise_kt</f>
        <v/>
      </c>
      <c r="M355" s="44">
        <f>L355+turn_min+dwell_min</f>
        <v/>
      </c>
      <c r="N355" s="45">
        <f>MIN(10,FLOOR(60*service_hr/M355,1))</f>
        <v/>
      </c>
      <c r="O355" s="45">
        <f>ROUND(365*mech_uptime*K355,0)</f>
        <v/>
      </c>
      <c r="P355" s="46">
        <f>mech_uptime</f>
        <v/>
      </c>
      <c r="Q355" s="46">
        <f>revleg_sel</f>
        <v/>
      </c>
      <c r="R355" s="45">
        <f>ROUND(N355*O355*revleg_sel,0)</f>
        <v/>
      </c>
      <c r="S355" s="47">
        <f>load_sel</f>
        <v/>
      </c>
      <c r="T355" s="47">
        <f>pax_cap*S355</f>
        <v/>
      </c>
      <c r="U355" s="45">
        <f>T355*R355</f>
        <v/>
      </c>
      <c r="V355" s="48">
        <f>H355*discount</f>
        <v/>
      </c>
      <c r="W355" s="49">
        <f>V355*U355</f>
        <v/>
      </c>
      <c r="X355" s="49">
        <f>(battery/range_nm)*G355*R355*VLOOKUP(B355,country_opex,3,FALSE)</f>
        <v/>
      </c>
      <c r="Y355" s="49">
        <f>VLOOKUP(B355,country_opex,2,FALSE)*crew_factor</f>
        <v/>
      </c>
      <c r="Z355" s="49">
        <f>VLOOKUP(B355,country_opex,5,FALSE)</f>
        <v/>
      </c>
      <c r="AA355" s="49">
        <f>maint</f>
        <v/>
      </c>
      <c r="AB355" s="49">
        <f>VLOOKUP(B355,country_opex,7,FALSE)*ins_pct</f>
        <v/>
      </c>
      <c r="AC355" s="49">
        <f>charge_berth</f>
        <v/>
      </c>
      <c r="AD355" s="49">
        <f>X355+Y355+Z355+AA355+AB355+AC355</f>
        <v/>
      </c>
      <c r="AE355" s="49">
        <f>VLOOKUP(B355,country_opex,7,FALSE)/dep_years</f>
        <v/>
      </c>
      <c r="AF355" s="49">
        <f>W355-AD355</f>
        <v/>
      </c>
      <c r="AG355" s="46">
        <f>IF(W355=0,"",AF355/W355)</f>
        <v/>
      </c>
      <c r="AH355" s="47">
        <f>IF(AF355&lt;=0,"",VLOOKUP(B355,country_opex,7,FALSE)/AF355)</f>
        <v/>
      </c>
      <c r="AI355" s="44">
        <f>((G355*R355/diesel_nmpg)*diesel_co2pg-(battery/range_nm)*G355*R355*VLOOKUP(B355,country_opex,4,FALSE))/1000</f>
        <v/>
      </c>
      <c r="AJ355" s="42" t="n"/>
      <c r="AK355" s="43" t="n"/>
      <c r="AL355" s="43" t="n"/>
      <c r="AM355" s="50" t="n">
        <v>0.1</v>
      </c>
      <c r="AN355" s="45">
        <f>IF(AJ355="","",AJ355*AM355)</f>
        <v/>
      </c>
      <c r="AO355" s="45">
        <f>IF(OR(AJ355="",U355=0),"",MIN(IF(AV355="",9.9E+99,AV355),FLOOR(AN355/U355,1)))</f>
        <v/>
      </c>
      <c r="AP355" s="49">
        <f>IF(AO355="","",AO355*W355)</f>
        <v/>
      </c>
      <c r="AQ355" s="47">
        <f>IF(OR(AJ355="",U355=0),"",MIN(IF(AV355="",9.9E+99,AV355),AN355/U355))</f>
        <v/>
      </c>
      <c r="AR355" s="49">
        <f>IF(AQ355="","",AQ355*W355)</f>
        <v/>
      </c>
      <c r="AS355" s="51" t="n"/>
      <c r="AT355" s="52" t="n"/>
      <c r="AU355" s="52" t="n"/>
      <c r="AV355" s="53" t="n"/>
      <c r="AW355" s="54">
        <f>IF(((V355*pax_cap*load_thin*ROUND(N355*O355*revleg_thin,0))-(((battery/range_nm)*G355*ROUND(N355*O355*revleg_thin,0)*VLOOKUP(B355,country_opex,3,FALSE))+Y355+Z355+AA355+AB355+AC355))&lt;=0,"",VLOOKUP(B355,country_opex,7,FALSE)/((V355*pax_cap*load_thin*ROUND(N355*O355*revleg_thin,0))-(((battery/range_nm)*G355*ROUND(N355*O355*revleg_thin,0)*VLOOKUP(B355,country_opex,3,FALSE))+Y355+Z355+AA355+AB355+AC355)))</f>
        <v/>
      </c>
      <c r="AX355" s="54">
        <f>IF(((V355*pax_cap*load_mid*ROUND(N355*O355*revleg_mid,0))-(((battery/range_nm)*G355*ROUND(N355*O355*revleg_mid,0)*VLOOKUP(B355,country_opex,3,FALSE))+Y355+Z355+AA355+AB355+AC355))&lt;=0,"",VLOOKUP(B355,country_opex,7,FALSE)/((V355*pax_cap*load_mid*ROUND(N355*O355*revleg_mid,0))-(((battery/range_nm)*G355*ROUND(N355*O355*revleg_mid,0)*VLOOKUP(B355,country_opex,3,FALSE))+Y355+Z355+AA355+AB355+AC355)))</f>
        <v/>
      </c>
      <c r="AY355" s="54">
        <f>IF(((V355*pax_cap*load_full*ROUND(N355*O355*revleg_full,0))-(((battery/range_nm)*G355*ROUND(N355*O355*revleg_full,0)*VLOOKUP(B355,country_opex,3,FALSE))+Y355+Z355+AA355+AB355+AC355))&lt;=0,"",VLOOKUP(B355,country_opex,7,FALSE)/((V355*pax_cap*load_full*ROUND(N355*O355*revleg_full,0))-(((battery/range_nm)*G355*ROUND(N355*O355*revleg_full,0)*VLOOKUP(B355,country_opex,3,FALSE))+Y355+Z355+AA355+AB355+AC355)))</f>
        <v/>
      </c>
      <c r="AZ355" s="40" t="inlineStr">
        <is>
          <t>PREMIUM tier: Benagil + Marinha boat tour from Portimao ~EUR 35-50 per seat (GetYourGuide ~$40-50; private/luxury much higher) -&gt; ~$45.</t>
        </is>
      </c>
      <c r="BA355" s="40" t="n"/>
    </row>
    <row r="356">
      <c r="A356" s="38" t="inlineStr">
        <is>
          <t>Bolt Portugal</t>
        </is>
      </c>
      <c r="B356" s="38" t="inlineStr">
        <is>
          <t>Portugal</t>
        </is>
      </c>
      <c r="C356" s="39" t="inlineStr">
        <is>
          <t>Cais do Sodre (Lisbon) → Montijo</t>
        </is>
      </c>
      <c r="D356" s="38" t="inlineStr">
        <is>
          <t>bolt</t>
        </is>
      </c>
      <c r="E356" s="40" t="inlineStr">
        <is>
          <t>bolt-portugal</t>
        </is>
      </c>
      <c r="F356" s="41" t="n">
        <v>1</v>
      </c>
      <c r="G356" s="42" t="n">
        <v>8.1</v>
      </c>
      <c r="H356" s="35" t="n">
        <v>18</v>
      </c>
      <c r="I356" s="43" t="inlineStr">
        <is>
          <t>T2</t>
        </is>
      </c>
      <c r="J356" s="43" t="inlineStr">
        <is>
          <t>med</t>
        </is>
      </c>
      <c r="K356" s="29" t="n">
        <v>1</v>
      </c>
      <c r="L356" s="44">
        <f>60*G356/cruise_kt</f>
        <v/>
      </c>
      <c r="M356" s="44">
        <f>L356+turn_min+dwell_min</f>
        <v/>
      </c>
      <c r="N356" s="45">
        <f>MIN(16,FLOOR(60*service_hr/M356,1))</f>
        <v/>
      </c>
      <c r="O356" s="45">
        <f>ROUND(365*mech_uptime*K356,0)</f>
        <v/>
      </c>
      <c r="P356" s="46">
        <f>mech_uptime</f>
        <v/>
      </c>
      <c r="Q356" s="46">
        <f>revleg_sel</f>
        <v/>
      </c>
      <c r="R356" s="45">
        <f>ROUND(N356*O356*revleg_sel,0)</f>
        <v/>
      </c>
      <c r="S356" s="47">
        <f>load_sel</f>
        <v/>
      </c>
      <c r="T356" s="47">
        <f>pax_cap*S356</f>
        <v/>
      </c>
      <c r="U356" s="45">
        <f>T356*R356</f>
        <v/>
      </c>
      <c r="V356" s="48">
        <f>H356*discount</f>
        <v/>
      </c>
      <c r="W356" s="49">
        <f>V356*U356</f>
        <v/>
      </c>
      <c r="X356" s="49">
        <f>(battery/range_nm)*G356*R356*VLOOKUP(B356,country_opex,3,FALSE)</f>
        <v/>
      </c>
      <c r="Y356" s="49">
        <f>VLOOKUP(B356,country_opex,2,FALSE)*crew_factor</f>
        <v/>
      </c>
      <c r="Z356" s="49">
        <f>VLOOKUP(B356,country_opex,5,FALSE)</f>
        <v/>
      </c>
      <c r="AA356" s="49">
        <f>maint</f>
        <v/>
      </c>
      <c r="AB356" s="49">
        <f>VLOOKUP(B356,country_opex,7,FALSE)*ins_pct</f>
        <v/>
      </c>
      <c r="AC356" s="49">
        <f>charge_berth</f>
        <v/>
      </c>
      <c r="AD356" s="49">
        <f>X356+Y356+Z356+AA356+AB356+AC356</f>
        <v/>
      </c>
      <c r="AE356" s="49">
        <f>VLOOKUP(B356,country_opex,7,FALSE)/dep_years</f>
        <v/>
      </c>
      <c r="AF356" s="49">
        <f>W356-AD356</f>
        <v/>
      </c>
      <c r="AG356" s="46">
        <f>IF(W356=0,"",AF356/W356)</f>
        <v/>
      </c>
      <c r="AH356" s="47">
        <f>IF(AF356&lt;=0,"",VLOOKUP(B356,country_opex,7,FALSE)/AF356)</f>
        <v/>
      </c>
      <c r="AI356" s="44">
        <f>((G356*R356/diesel_nmpg)*diesel_co2pg-(battery/range_nm)*G356*R356*VLOOKUP(B356,country_opex,4,FALSE))/1000</f>
        <v/>
      </c>
      <c r="AJ356" s="42" t="n">
        <v>168383</v>
      </c>
      <c r="AK356" s="43" t="n"/>
      <c r="AL356" s="43" t="inlineStr">
        <is>
          <t>med</t>
        </is>
      </c>
      <c r="AM356" s="50" t="n">
        <v>0.25</v>
      </c>
      <c r="AN356" s="45">
        <f>IF(AJ356="","",AJ356*AM356)</f>
        <v/>
      </c>
      <c r="AO356" s="45">
        <f>IF(OR(AJ356="",U356=0),"",MIN(IF(AV356="",9.9E+99,AV356),FLOOR(AN356/U356,1)))</f>
        <v/>
      </c>
      <c r="AP356" s="49">
        <f>IF(AO356="","",AO356*W356)</f>
        <v/>
      </c>
      <c r="AQ356" s="47">
        <f>IF(OR(AJ356="",U356=0),"",MIN(IF(AV356="",9.9E+99,AV356),AN356/U356))</f>
        <v/>
      </c>
      <c r="AR356" s="49">
        <f>IF(AQ356="","",AQ356*W356)</f>
        <v/>
      </c>
      <c r="AS356" s="51" t="n"/>
      <c r="AT356" s="52" t="n"/>
      <c r="AU356" s="52" t="n"/>
      <c r="AV356" s="53" t="n"/>
      <c r="AW356" s="54">
        <f>IF(((V356*pax_cap*load_thin*ROUND(N356*O356*revleg_thin,0))-(((battery/range_nm)*G356*ROUND(N356*O356*revleg_thin,0)*VLOOKUP(B356,country_opex,3,FALSE))+Y356+Z356+AA356+AB356+AC356))&lt;=0,"",VLOOKUP(B356,country_opex,7,FALSE)/((V356*pax_cap*load_thin*ROUND(N356*O356*revleg_thin,0))-(((battery/range_nm)*G356*ROUND(N356*O356*revleg_thin,0)*VLOOKUP(B356,country_opex,3,FALSE))+Y356+Z356+AA356+AB356+AC356)))</f>
        <v/>
      </c>
      <c r="AX356" s="54">
        <f>IF(((V356*pax_cap*load_mid*ROUND(N356*O356*revleg_mid,0))-(((battery/range_nm)*G356*ROUND(N356*O356*revleg_mid,0)*VLOOKUP(B356,country_opex,3,FALSE))+Y356+Z356+AA356+AB356+AC356))&lt;=0,"",VLOOKUP(B356,country_opex,7,FALSE)/((V356*pax_cap*load_mid*ROUND(N356*O356*revleg_mid,0))-(((battery/range_nm)*G356*ROUND(N356*O356*revleg_mid,0)*VLOOKUP(B356,country_opex,3,FALSE))+Y356+Z356+AA356+AB356+AC356)))</f>
        <v/>
      </c>
      <c r="AY356" s="54">
        <f>IF(((V356*pax_cap*load_full*ROUND(N356*O356*revleg_full,0))-(((battery/range_nm)*G356*ROUND(N356*O356*revleg_full,0)*VLOOKUP(B356,country_opex,3,FALSE))+Y356+Z356+AA356+AB356+AC356))&lt;=0,"",VLOOKUP(B356,country_opex,7,FALSE)/((V356*pax_cap*load_full*ROUND(N356*O356*revleg_full,0))-(((battery/range_nm)*G356*ROUND(N356*O356*revleg_full,0)*VLOOKUP(B356,country_opex,3,FALSE))+Y356+Z356+AA356+AB356+AC356)))</f>
        <v/>
      </c>
      <c r="AZ356" s="40" t="inlineStr">
        <is>
          <t>[LB-255 PREMIUM RE-FARE: subsidized comparable $3.4 lifted to premium on-demand floor $18.0] Public-transit adult single Montijo/Cais do Sodre = EUR 3.15 (TTSL 2024 tariff) x1.08 = ~$3.40.</t>
        </is>
      </c>
      <c r="BA356" s="40" t="n"/>
    </row>
    <row r="357">
      <c r="A357" s="38" t="inlineStr">
        <is>
          <t>Bolt Portugal</t>
        </is>
      </c>
      <c r="B357" s="38" t="inlineStr">
        <is>
          <t>Portugal</t>
        </is>
      </c>
      <c r="C357" s="39" t="inlineStr">
        <is>
          <t>Cais do Sodre (Lisbon) → Cascais</t>
        </is>
      </c>
      <c r="D357" s="38" t="inlineStr">
        <is>
          <t>bolt</t>
        </is>
      </c>
      <c r="E357" s="40" t="inlineStr">
        <is>
          <t>bolt-portugal</t>
        </is>
      </c>
      <c r="F357" s="41" t="n">
        <v>1</v>
      </c>
      <c r="G357" s="42" t="n">
        <v>13</v>
      </c>
      <c r="H357" s="35" t="n"/>
      <c r="I357" s="43" t="n"/>
      <c r="J357" s="43" t="n"/>
      <c r="K357" s="29" t="n">
        <v>1</v>
      </c>
      <c r="L357" s="44">
        <f>60*G357/cruise_kt</f>
        <v/>
      </c>
      <c r="M357" s="44">
        <f>L357+turn_min+dwell_min</f>
        <v/>
      </c>
      <c r="N357" s="45">
        <f>MIN(16,FLOOR(60*service_hr/M357,1))</f>
        <v/>
      </c>
      <c r="O357" s="45">
        <f>ROUND(365*mech_uptime*K357,0)</f>
        <v/>
      </c>
      <c r="P357" s="46">
        <f>mech_uptime</f>
        <v/>
      </c>
      <c r="Q357" s="46">
        <f>revleg_sel</f>
        <v/>
      </c>
      <c r="R357" s="45">
        <f>ROUND(N357*O357*revleg_sel,0)</f>
        <v/>
      </c>
      <c r="S357" s="47">
        <f>load_sel</f>
        <v/>
      </c>
      <c r="T357" s="47">
        <f>pax_cap*S357</f>
        <v/>
      </c>
      <c r="U357" s="45">
        <f>T357*R357</f>
        <v/>
      </c>
      <c r="V357" s="48">
        <f>H357*discount</f>
        <v/>
      </c>
      <c r="W357" s="49">
        <f>V357*U357</f>
        <v/>
      </c>
      <c r="X357" s="49">
        <f>(battery/range_nm)*G357*R357*VLOOKUP(B357,country_opex,3,FALSE)</f>
        <v/>
      </c>
      <c r="Y357" s="49">
        <f>VLOOKUP(B357,country_opex,2,FALSE)*crew_factor</f>
        <v/>
      </c>
      <c r="Z357" s="49">
        <f>VLOOKUP(B357,country_opex,5,FALSE)</f>
        <v/>
      </c>
      <c r="AA357" s="49">
        <f>maint</f>
        <v/>
      </c>
      <c r="AB357" s="49">
        <f>VLOOKUP(B357,country_opex,7,FALSE)*ins_pct</f>
        <v/>
      </c>
      <c r="AC357" s="49">
        <f>charge_berth</f>
        <v/>
      </c>
      <c r="AD357" s="49">
        <f>X357+Y357+Z357+AA357+AB357+AC357</f>
        <v/>
      </c>
      <c r="AE357" s="49">
        <f>VLOOKUP(B357,country_opex,7,FALSE)/dep_years</f>
        <v/>
      </c>
      <c r="AF357" s="49">
        <f>W357-AD357</f>
        <v/>
      </c>
      <c r="AG357" s="46">
        <f>IF(W357=0,"",AF357/W357)</f>
        <v/>
      </c>
      <c r="AH357" s="47">
        <f>IF(AF357&lt;=0,"",VLOOKUP(B357,country_opex,7,FALSE)/AF357)</f>
        <v/>
      </c>
      <c r="AI357" s="44">
        <f>((G357*R357/diesel_nmpg)*diesel_co2pg-(battery/range_nm)*G357*R357*VLOOKUP(B357,country_opex,4,FALSE))/1000</f>
        <v/>
      </c>
      <c r="AJ357" s="42" t="n">
        <v>1020000</v>
      </c>
      <c r="AK357" s="43" t="n"/>
      <c r="AL357" s="43" t="n"/>
      <c r="AM357" s="50" t="n">
        <v>0.1</v>
      </c>
      <c r="AN357" s="45">
        <f>IF(AJ357="","",AJ357*AM357)</f>
        <v/>
      </c>
      <c r="AO357" s="45">
        <f>IF(OR(AJ357="",U357=0),"",MIN(IF(AV357="",9.9E+99,AV357),FLOOR(AN357/U357,1)))</f>
        <v/>
      </c>
      <c r="AP357" s="49">
        <f>IF(AO357="","",AO357*W357)</f>
        <v/>
      </c>
      <c r="AQ357" s="47">
        <f>IF(OR(AJ357="",U357=0),"",MIN(IF(AV357="",9.9E+99,AV357),AN357/U357))</f>
        <v/>
      </c>
      <c r="AR357" s="49">
        <f>IF(AQ357="","",AQ357*W357)</f>
        <v/>
      </c>
      <c r="AS357" s="51" t="n"/>
      <c r="AT357" s="52" t="n"/>
      <c r="AU357" s="52" t="n"/>
      <c r="AV357" s="53" t="n"/>
      <c r="AW357" s="54">
        <f>IF(((V357*pax_cap*load_thin*ROUND(N357*O357*revleg_thin,0))-(((battery/range_nm)*G357*ROUND(N357*O357*revleg_thin,0)*VLOOKUP(B357,country_opex,3,FALSE))+Y357+Z357+AA357+AB357+AC357))&lt;=0,"",VLOOKUP(B357,country_opex,7,FALSE)/((V357*pax_cap*load_thin*ROUND(N357*O357*revleg_thin,0))-(((battery/range_nm)*G357*ROUND(N357*O357*revleg_thin,0)*VLOOKUP(B357,country_opex,3,FALSE))+Y357+Z357+AA357+AB357+AC357)))</f>
        <v/>
      </c>
      <c r="AX357" s="54">
        <f>IF(((V357*pax_cap*load_mid*ROUND(N357*O357*revleg_mid,0))-(((battery/range_nm)*G357*ROUND(N357*O357*revleg_mid,0)*VLOOKUP(B357,country_opex,3,FALSE))+Y357+Z357+AA357+AB357+AC357))&lt;=0,"",VLOOKUP(B357,country_opex,7,FALSE)/((V357*pax_cap*load_mid*ROUND(N357*O357*revleg_mid,0))-(((battery/range_nm)*G357*ROUND(N357*O357*revleg_mid,0)*VLOOKUP(B357,country_opex,3,FALSE))+Y357+Z357+AA357+AB357+AC357)))</f>
        <v/>
      </c>
      <c r="AY357" s="54">
        <f>IF(((V357*pax_cap*load_full*ROUND(N357*O357*revleg_full,0))-(((battery/range_nm)*G357*ROUND(N357*O357*revleg_full,0)*VLOOKUP(B357,country_opex,3,FALSE))+Y357+Z357+AA357+AB357+AC357))&lt;=0,"",VLOOKUP(B357,country_opex,7,FALSE)/((V357*pax_cap*load_full*ROUND(N357*O357*revleg_full,0))-(((battery/range_nm)*G357*ROUND(N357*O357*revleg_full,0)*VLOOKUP(B357,country_opex,3,FALSE))+Y357+Z357+AA357+AB357+AC357)))</f>
        <v/>
      </c>
      <c r="AZ357" s="40" t="n"/>
      <c r="BA357" s="40" t="n"/>
    </row>
    <row r="358">
      <c r="A358" s="38" t="inlineStr">
        <is>
          <t>Qatar</t>
        </is>
      </c>
      <c r="B358" s="38" t="inlineStr">
        <is>
          <t>Qatar</t>
        </is>
      </c>
      <c r="C358" s="39" t="inlineStr">
        <is>
          <t>Lusail Marina → The Pearl</t>
        </is>
      </c>
      <c r="D358" s="38" t="inlineStr">
        <is>
          <t>qatar</t>
        </is>
      </c>
      <c r="E358" s="40" t="inlineStr">
        <is>
          <t>bolt-qatar, qatar, yango-qatar</t>
        </is>
      </c>
      <c r="F358" s="41" t="n">
        <v>3</v>
      </c>
      <c r="G358" s="42" t="n">
        <v>3.5</v>
      </c>
      <c r="H358" s="35" t="n"/>
      <c r="I358" s="43" t="n"/>
      <c r="J358" s="43" t="n"/>
      <c r="K358" s="29" t="n">
        <v>1</v>
      </c>
      <c r="L358" s="44">
        <f>60*G358/cruise_kt</f>
        <v/>
      </c>
      <c r="M358" s="44">
        <f>L358+turn_min+dwell_min</f>
        <v/>
      </c>
      <c r="N358" s="45">
        <f>MIN(18,FLOOR(60*service_hr/M358,1))</f>
        <v/>
      </c>
      <c r="O358" s="45">
        <f>ROUND(365*mech_uptime*K358,0)</f>
        <v/>
      </c>
      <c r="P358" s="46">
        <f>mech_uptime</f>
        <v/>
      </c>
      <c r="Q358" s="46">
        <f>revleg_sel</f>
        <v/>
      </c>
      <c r="R358" s="45">
        <f>ROUND(N358*O358*revleg_sel,0)</f>
        <v/>
      </c>
      <c r="S358" s="47">
        <f>load_sel</f>
        <v/>
      </c>
      <c r="T358" s="47">
        <f>pax_cap*S358</f>
        <v/>
      </c>
      <c r="U358" s="45">
        <f>T358*R358</f>
        <v/>
      </c>
      <c r="V358" s="48">
        <f>H358*discount</f>
        <v/>
      </c>
      <c r="W358" s="49">
        <f>V358*U358</f>
        <v/>
      </c>
      <c r="X358" s="49">
        <f>(battery/range_nm)*G358*R358*VLOOKUP(B358,country_opex,3,FALSE)</f>
        <v/>
      </c>
      <c r="Y358" s="49">
        <f>VLOOKUP(B358,country_opex,2,FALSE)*crew_factor</f>
        <v/>
      </c>
      <c r="Z358" s="49">
        <f>VLOOKUP(B358,country_opex,5,FALSE)</f>
        <v/>
      </c>
      <c r="AA358" s="49">
        <f>maint</f>
        <v/>
      </c>
      <c r="AB358" s="49">
        <f>VLOOKUP(B358,country_opex,7,FALSE)*ins_pct</f>
        <v/>
      </c>
      <c r="AC358" s="49">
        <f>charge_berth</f>
        <v/>
      </c>
      <c r="AD358" s="49">
        <f>X358+Y358+Z358+AA358+AB358+AC358</f>
        <v/>
      </c>
      <c r="AE358" s="49">
        <f>VLOOKUP(B358,country_opex,7,FALSE)/dep_years</f>
        <v/>
      </c>
      <c r="AF358" s="49">
        <f>W358-AD358</f>
        <v/>
      </c>
      <c r="AG358" s="46">
        <f>IF(W358=0,"",AF358/W358)</f>
        <v/>
      </c>
      <c r="AH358" s="47">
        <f>IF(AF358&lt;=0,"",VLOOKUP(B358,country_opex,7,FALSE)/AF358)</f>
        <v/>
      </c>
      <c r="AI358" s="44">
        <f>((G358*R358/diesel_nmpg)*diesel_co2pg-(battery/range_nm)*G358*R358*VLOOKUP(B358,country_opex,4,FALSE))/1000</f>
        <v/>
      </c>
      <c r="AJ358" s="42" t="n"/>
      <c r="AK358" s="43" t="n"/>
      <c r="AL358" s="43" t="n"/>
      <c r="AM358" s="50" t="n">
        <v>0.1</v>
      </c>
      <c r="AN358" s="45">
        <f>IF(AJ358="","",AJ358*AM358)</f>
        <v/>
      </c>
      <c r="AO358" s="45">
        <f>IF(OR(AJ358="",U358=0),"",MIN(IF(AV358="",9.9E+99,AV358),FLOOR(AN358/U358,1)))</f>
        <v/>
      </c>
      <c r="AP358" s="49">
        <f>IF(AO358="","",AO358*W358)</f>
        <v/>
      </c>
      <c r="AQ358" s="47">
        <f>IF(OR(AJ358="",U358=0),"",MIN(IF(AV358="",9.9E+99,AV358),AN358/U358))</f>
        <v/>
      </c>
      <c r="AR358" s="49">
        <f>IF(AQ358="","",AQ358*W358)</f>
        <v/>
      </c>
      <c r="AS358" s="51" t="n"/>
      <c r="AT358" s="52" t="n"/>
      <c r="AU358" s="52" t="n"/>
      <c r="AV358" s="53" t="n"/>
      <c r="AW358" s="54">
        <f>IF(((V358*pax_cap*load_thin*ROUND(N358*O358*revleg_thin,0))-(((battery/range_nm)*G358*ROUND(N358*O358*revleg_thin,0)*VLOOKUP(B358,country_opex,3,FALSE))+Y358+Z358+AA358+AB358+AC358))&lt;=0,"",VLOOKUP(B358,country_opex,7,FALSE)/((V358*pax_cap*load_thin*ROUND(N358*O358*revleg_thin,0))-(((battery/range_nm)*G358*ROUND(N358*O358*revleg_thin,0)*VLOOKUP(B358,country_opex,3,FALSE))+Y358+Z358+AA358+AB358+AC358)))</f>
        <v/>
      </c>
      <c r="AX358" s="54">
        <f>IF(((V358*pax_cap*load_mid*ROUND(N358*O358*revleg_mid,0))-(((battery/range_nm)*G358*ROUND(N358*O358*revleg_mid,0)*VLOOKUP(B358,country_opex,3,FALSE))+Y358+Z358+AA358+AB358+AC358))&lt;=0,"",VLOOKUP(B358,country_opex,7,FALSE)/((V358*pax_cap*load_mid*ROUND(N358*O358*revleg_mid,0))-(((battery/range_nm)*G358*ROUND(N358*O358*revleg_mid,0)*VLOOKUP(B358,country_opex,3,FALSE))+Y358+Z358+AA358+AB358+AC358)))</f>
        <v/>
      </c>
      <c r="AY358" s="54">
        <f>IF(((V358*pax_cap*load_full*ROUND(N358*O358*revleg_full,0))-(((battery/range_nm)*G358*ROUND(N358*O358*revleg_full,0)*VLOOKUP(B358,country_opex,3,FALSE))+Y358+Z358+AA358+AB358+AC358))&lt;=0,"",VLOOKUP(B358,country_opex,7,FALSE)/((V358*pax_cap*load_full*ROUND(N358*O358*revleg_full,0))-(((battery/range_nm)*G358*ROUND(N358*O358*revleg_full,0)*VLOOKUP(B358,country_opex,3,FALSE))+Y358+Z358+AA358+AB358+AC358)))</f>
        <v/>
      </c>
      <c r="AZ358" s="40" t="n"/>
      <c r="BA358" s="40" t="n"/>
    </row>
    <row r="359">
      <c r="A359" s="38" t="inlineStr">
        <is>
          <t>Qatar</t>
        </is>
      </c>
      <c r="B359" s="38" t="inlineStr">
        <is>
          <t>Qatar</t>
        </is>
      </c>
      <c r="C359" s="39" t="inlineStr">
        <is>
          <t>Doha Corniche → The Pearl</t>
        </is>
      </c>
      <c r="D359" s="38" t="inlineStr">
        <is>
          <t>qatar</t>
        </is>
      </c>
      <c r="E359" s="40" t="inlineStr">
        <is>
          <t>bolt-qatar, qatar, yango-qatar</t>
        </is>
      </c>
      <c r="F359" s="41" t="n">
        <v>3</v>
      </c>
      <c r="G359" s="42" t="n">
        <v>4</v>
      </c>
      <c r="H359" s="35" t="n"/>
      <c r="I359" s="43" t="n"/>
      <c r="J359" s="43" t="n"/>
      <c r="K359" s="29" t="n">
        <v>1</v>
      </c>
      <c r="L359" s="44">
        <f>60*G359/cruise_kt</f>
        <v/>
      </c>
      <c r="M359" s="44">
        <f>L359+turn_min+dwell_min</f>
        <v/>
      </c>
      <c r="N359" s="45">
        <f>MIN(18,FLOOR(60*service_hr/M359,1))</f>
        <v/>
      </c>
      <c r="O359" s="45">
        <f>ROUND(365*mech_uptime*K359,0)</f>
        <v/>
      </c>
      <c r="P359" s="46">
        <f>mech_uptime</f>
        <v/>
      </c>
      <c r="Q359" s="46">
        <f>revleg_sel</f>
        <v/>
      </c>
      <c r="R359" s="45">
        <f>ROUND(N359*O359*revleg_sel,0)</f>
        <v/>
      </c>
      <c r="S359" s="47">
        <f>load_sel</f>
        <v/>
      </c>
      <c r="T359" s="47">
        <f>pax_cap*S359</f>
        <v/>
      </c>
      <c r="U359" s="45">
        <f>T359*R359</f>
        <v/>
      </c>
      <c r="V359" s="48">
        <f>H359*discount</f>
        <v/>
      </c>
      <c r="W359" s="49">
        <f>V359*U359</f>
        <v/>
      </c>
      <c r="X359" s="49">
        <f>(battery/range_nm)*G359*R359*VLOOKUP(B359,country_opex,3,FALSE)</f>
        <v/>
      </c>
      <c r="Y359" s="49">
        <f>VLOOKUP(B359,country_opex,2,FALSE)*crew_factor</f>
        <v/>
      </c>
      <c r="Z359" s="49">
        <f>VLOOKUP(B359,country_opex,5,FALSE)</f>
        <v/>
      </c>
      <c r="AA359" s="49">
        <f>maint</f>
        <v/>
      </c>
      <c r="AB359" s="49">
        <f>VLOOKUP(B359,country_opex,7,FALSE)*ins_pct</f>
        <v/>
      </c>
      <c r="AC359" s="49">
        <f>charge_berth</f>
        <v/>
      </c>
      <c r="AD359" s="49">
        <f>X359+Y359+Z359+AA359+AB359+AC359</f>
        <v/>
      </c>
      <c r="AE359" s="49">
        <f>VLOOKUP(B359,country_opex,7,FALSE)/dep_years</f>
        <v/>
      </c>
      <c r="AF359" s="49">
        <f>W359-AD359</f>
        <v/>
      </c>
      <c r="AG359" s="46">
        <f>IF(W359=0,"",AF359/W359)</f>
        <v/>
      </c>
      <c r="AH359" s="47">
        <f>IF(AF359&lt;=0,"",VLOOKUP(B359,country_opex,7,FALSE)/AF359)</f>
        <v/>
      </c>
      <c r="AI359" s="44">
        <f>((G359*R359/diesel_nmpg)*diesel_co2pg-(battery/range_nm)*G359*R359*VLOOKUP(B359,country_opex,4,FALSE))/1000</f>
        <v/>
      </c>
      <c r="AJ359" s="42" t="n"/>
      <c r="AK359" s="43" t="n"/>
      <c r="AL359" s="43" t="n"/>
      <c r="AM359" s="50" t="n">
        <v>0.1</v>
      </c>
      <c r="AN359" s="45">
        <f>IF(AJ359="","",AJ359*AM359)</f>
        <v/>
      </c>
      <c r="AO359" s="45">
        <f>IF(OR(AJ359="",U359=0),"",MIN(IF(AV359="",9.9E+99,AV359),FLOOR(AN359/U359,1)))</f>
        <v/>
      </c>
      <c r="AP359" s="49">
        <f>IF(AO359="","",AO359*W359)</f>
        <v/>
      </c>
      <c r="AQ359" s="47">
        <f>IF(OR(AJ359="",U359=0),"",MIN(IF(AV359="",9.9E+99,AV359),AN359/U359))</f>
        <v/>
      </c>
      <c r="AR359" s="49">
        <f>IF(AQ359="","",AQ359*W359)</f>
        <v/>
      </c>
      <c r="AS359" s="51" t="n"/>
      <c r="AT359" s="52" t="n"/>
      <c r="AU359" s="52" t="n"/>
      <c r="AV359" s="53" t="n"/>
      <c r="AW359" s="54">
        <f>IF(((V359*pax_cap*load_thin*ROUND(N359*O359*revleg_thin,0))-(((battery/range_nm)*G359*ROUND(N359*O359*revleg_thin,0)*VLOOKUP(B359,country_opex,3,FALSE))+Y359+Z359+AA359+AB359+AC359))&lt;=0,"",VLOOKUP(B359,country_opex,7,FALSE)/((V359*pax_cap*load_thin*ROUND(N359*O359*revleg_thin,0))-(((battery/range_nm)*G359*ROUND(N359*O359*revleg_thin,0)*VLOOKUP(B359,country_opex,3,FALSE))+Y359+Z359+AA359+AB359+AC359)))</f>
        <v/>
      </c>
      <c r="AX359" s="54">
        <f>IF(((V359*pax_cap*load_mid*ROUND(N359*O359*revleg_mid,0))-(((battery/range_nm)*G359*ROUND(N359*O359*revleg_mid,0)*VLOOKUP(B359,country_opex,3,FALSE))+Y359+Z359+AA359+AB359+AC359))&lt;=0,"",VLOOKUP(B359,country_opex,7,FALSE)/((V359*pax_cap*load_mid*ROUND(N359*O359*revleg_mid,0))-(((battery/range_nm)*G359*ROUND(N359*O359*revleg_mid,0)*VLOOKUP(B359,country_opex,3,FALSE))+Y359+Z359+AA359+AB359+AC359)))</f>
        <v/>
      </c>
      <c r="AY359" s="54">
        <f>IF(((V359*pax_cap*load_full*ROUND(N359*O359*revleg_full,0))-(((battery/range_nm)*G359*ROUND(N359*O359*revleg_full,0)*VLOOKUP(B359,country_opex,3,FALSE))+Y359+Z359+AA359+AB359+AC359))&lt;=0,"",VLOOKUP(B359,country_opex,7,FALSE)/((V359*pax_cap*load_full*ROUND(N359*O359*revleg_full,0))-(((battery/range_nm)*G359*ROUND(N359*O359*revleg_full,0)*VLOOKUP(B359,country_opex,3,FALSE))+Y359+Z359+AA359+AB359+AC359)))</f>
        <v/>
      </c>
      <c r="AZ359" s="40" t="n"/>
      <c r="BA359" s="40" t="n"/>
    </row>
    <row r="360">
      <c r="A360" s="38" t="inlineStr">
        <is>
          <t>Qatar</t>
        </is>
      </c>
      <c r="B360" s="38" t="inlineStr">
        <is>
          <t>Qatar</t>
        </is>
      </c>
      <c r="C360" s="39" t="inlineStr">
        <is>
          <t>The Pearl-Qatar (Marsa Arabia) → Doha Corniche / Old Doha Port</t>
        </is>
      </c>
      <c r="D360" s="38" t="inlineStr">
        <is>
          <t>qatar</t>
        </is>
      </c>
      <c r="E360" s="40" t="inlineStr">
        <is>
          <t>bolt-qatar, qatar, yango-qatar</t>
        </is>
      </c>
      <c r="F360" s="41" t="n">
        <v>3</v>
      </c>
      <c r="G360" s="42" t="n">
        <v>4.4</v>
      </c>
      <c r="H360" s="35" t="n">
        <v>10.99</v>
      </c>
      <c r="I360" s="43" t="inlineStr">
        <is>
          <t>T3</t>
        </is>
      </c>
      <c r="J360" s="43" t="inlineStr">
        <is>
          <t>med</t>
        </is>
      </c>
      <c r="K360" s="29" t="n">
        <v>1</v>
      </c>
      <c r="L360" s="44">
        <f>60*G360/cruise_kt</f>
        <v/>
      </c>
      <c r="M360" s="44">
        <f>L360+turn_min+dwell_min</f>
        <v/>
      </c>
      <c r="N360" s="45">
        <f>MIN(18,FLOOR(60*service_hr/M360,1))</f>
        <v/>
      </c>
      <c r="O360" s="45">
        <f>ROUND(365*mech_uptime*K360,0)</f>
        <v/>
      </c>
      <c r="P360" s="46">
        <f>mech_uptime</f>
        <v/>
      </c>
      <c r="Q360" s="46">
        <f>revleg_sel</f>
        <v/>
      </c>
      <c r="R360" s="45">
        <f>ROUND(N360*O360*revleg_sel,0)</f>
        <v/>
      </c>
      <c r="S360" s="47">
        <f>load_sel</f>
        <v/>
      </c>
      <c r="T360" s="47">
        <f>pax_cap*S360</f>
        <v/>
      </c>
      <c r="U360" s="45">
        <f>T360*R360</f>
        <v/>
      </c>
      <c r="V360" s="48">
        <f>H360*discount</f>
        <v/>
      </c>
      <c r="W360" s="49">
        <f>V360*U360</f>
        <v/>
      </c>
      <c r="X360" s="49">
        <f>(battery/range_nm)*G360*R360*VLOOKUP(B360,country_opex,3,FALSE)</f>
        <v/>
      </c>
      <c r="Y360" s="49">
        <f>VLOOKUP(B360,country_opex,2,FALSE)*crew_factor</f>
        <v/>
      </c>
      <c r="Z360" s="49">
        <f>VLOOKUP(B360,country_opex,5,FALSE)</f>
        <v/>
      </c>
      <c r="AA360" s="49">
        <f>maint</f>
        <v/>
      </c>
      <c r="AB360" s="49">
        <f>VLOOKUP(B360,country_opex,7,FALSE)*ins_pct</f>
        <v/>
      </c>
      <c r="AC360" s="49">
        <f>charge_berth</f>
        <v/>
      </c>
      <c r="AD360" s="49">
        <f>X360+Y360+Z360+AA360+AB360+AC360</f>
        <v/>
      </c>
      <c r="AE360" s="49">
        <f>VLOOKUP(B360,country_opex,7,FALSE)/dep_years</f>
        <v/>
      </c>
      <c r="AF360" s="49">
        <f>W360-AD360</f>
        <v/>
      </c>
      <c r="AG360" s="46">
        <f>IF(W360=0,"",AF360/W360)</f>
        <v/>
      </c>
      <c r="AH360" s="47">
        <f>IF(AF360&lt;=0,"",VLOOKUP(B360,country_opex,7,FALSE)/AF360)</f>
        <v/>
      </c>
      <c r="AI360" s="44">
        <f>((G360*R360/diesel_nmpg)*diesel_co2pg-(battery/range_nm)*G360*R360*VLOOKUP(B360,country_opex,4,FALSE))/1000</f>
        <v/>
      </c>
      <c r="AJ360" s="42" t="n">
        <v>50000</v>
      </c>
      <c r="AK360" s="43" t="inlineStr">
        <is>
          <t>T5</t>
        </is>
      </c>
      <c r="AL360" s="43" t="inlineStr">
        <is>
          <t>low</t>
        </is>
      </c>
      <c r="AM360" s="50" t="n">
        <v>0.1</v>
      </c>
      <c r="AN360" s="45">
        <f>IF(AJ360="","",AJ360*AM360)</f>
        <v/>
      </c>
      <c r="AO360" s="45">
        <f>IF(OR(AJ360="",U360=0),"",MIN(IF(AV360="",9.9E+99,AV360),FLOOR(AN360/U360,1)))</f>
        <v/>
      </c>
      <c r="AP360" s="49">
        <f>IF(AO360="","",AO360*W360)</f>
        <v/>
      </c>
      <c r="AQ360" s="47">
        <f>IF(OR(AJ360="",U360=0),"",MIN(IF(AV360="",9.9E+99,AV360),AN360/U360))</f>
        <v/>
      </c>
      <c r="AR360" s="49">
        <f>IF(AQ360="","",AQ360*W360)</f>
        <v/>
      </c>
      <c r="AS360" s="51" t="n"/>
      <c r="AT360" s="52" t="n"/>
      <c r="AU360" s="52" t="n"/>
      <c r="AV360" s="53" t="n"/>
      <c r="AW360" s="54">
        <f>IF(((V360*pax_cap*load_thin*ROUND(N360*O360*revleg_thin,0))-(((battery/range_nm)*G360*ROUND(N360*O360*revleg_thin,0)*VLOOKUP(B360,country_opex,3,FALSE))+Y360+Z360+AA360+AB360+AC360))&lt;=0,"",VLOOKUP(B360,country_opex,7,FALSE)/((V360*pax_cap*load_thin*ROUND(N360*O360*revleg_thin,0))-(((battery/range_nm)*G360*ROUND(N360*O360*revleg_thin,0)*VLOOKUP(B360,country_opex,3,FALSE))+Y360+Z360+AA360+AB360+AC360)))</f>
        <v/>
      </c>
      <c r="AX360" s="54">
        <f>IF(((V360*pax_cap*load_mid*ROUND(N360*O360*revleg_mid,0))-(((battery/range_nm)*G360*ROUND(N360*O360*revleg_mid,0)*VLOOKUP(B360,country_opex,3,FALSE))+Y360+Z360+AA360+AB360+AC360))&lt;=0,"",VLOOKUP(B360,country_opex,7,FALSE)/((V360*pax_cap*load_mid*ROUND(N360*O360*revleg_mid,0))-(((battery/range_nm)*G360*ROUND(N360*O360*revleg_mid,0)*VLOOKUP(B360,country_opex,3,FALSE))+Y360+Z360+AA360+AB360+AC360)))</f>
        <v/>
      </c>
      <c r="AY360" s="54">
        <f>IF(((V360*pax_cap*load_full*ROUND(N360*O360*revleg_full,0))-(((battery/range_nm)*G360*ROUND(N360*O360*revleg_full,0)*VLOOKUP(B360,country_opex,3,FALSE))+Y360+Z360+AA360+AB360+AC360))&lt;=0,"",VLOOKUP(B360,country_opex,7,FALSE)/((V360*pax_cap*load_full*ROUND(N360*O360*revleg_full,0))-(((battery/range_nm)*G360*ROUND(N360*O360*revleg_full,0)*VLOOKUP(B360,country_opex,3,FALSE))+Y360+Z360+AA360+AB360+AC360)))</f>
        <v/>
      </c>
      <c r="AZ360" s="40" t="inlineStr">
        <is>
          <t>Ronautica (UDC official Pearl marine operator) gate-to-gate water shuttle QAR 40/pp (USD 10.99) — premium per-seat tier on-corridor. Cheap tier: Mina Link scheduled shuttle QAR 25/pp (USD 6.87, launched Jul 2025; geography conflict between sources — timeoutdoha says Old Doha Port&lt;-&gt;Pearl, launch coverage says intra-port loop — so held to ladder, not anchor). Intra-Pearl premium: Porto Arabia&lt;-&gt;Qanat Quartier QAR 80/pp ($21.98).</t>
        </is>
      </c>
      <c r="BA360" s="40" t="inlineStr">
        <is>
          <t>On-corridor T1 anchors: Old Doha Port 7M+ visitors 2025 with 97% leasing occupancy, and 87 cruise ships / 396,000+ cruise passengers in the 2024-25 season (QNA/Old Doha Port CEO, 31-Dec-2025 — T1). Pearl Island ~52,000 residents, ~20M vehicle entries/yr (UDC). MOT Pearl Ferry Stop infrastructure complete (mot.gov.qa). Mina Link shuttle (QAR 25/pp, Brooq Tourism, daily 10:00-21:30): ridership unpublished; GEOGRAPHY FLAG — most launch coverage describes it as Containers Yard &lt;-&gt; Mina District (an INTRA-PORT scenic loop), not Old Doha Port &lt;-&gt; The Pearl, so it is a weak on-corridor proxy.</t>
        </is>
      </c>
    </row>
    <row r="361">
      <c r="A361" s="38" t="inlineStr">
        <is>
          <t>Qatar</t>
        </is>
      </c>
      <c r="B361" s="38" t="inlineStr">
        <is>
          <t>Qatar</t>
        </is>
      </c>
      <c r="C361" s="39" t="inlineStr">
        <is>
          <t>Doha → Banana Island</t>
        </is>
      </c>
      <c r="D361" s="38" t="inlineStr">
        <is>
          <t>qatar</t>
        </is>
      </c>
      <c r="E361" s="40" t="inlineStr">
        <is>
          <t>bolt-qatar, qatar, yango-qatar</t>
        </is>
      </c>
      <c r="F361" s="41" t="n">
        <v>3</v>
      </c>
      <c r="G361" s="42" t="n">
        <v>4.5</v>
      </c>
      <c r="H361" s="35" t="n"/>
      <c r="I361" s="43" t="n"/>
      <c r="J361" s="43" t="n"/>
      <c r="K361" s="29" t="n">
        <v>1</v>
      </c>
      <c r="L361" s="44">
        <f>60*G361/cruise_kt</f>
        <v/>
      </c>
      <c r="M361" s="44">
        <f>L361+turn_min+dwell_min</f>
        <v/>
      </c>
      <c r="N361" s="45">
        <f>MIN(18,FLOOR(60*service_hr/M361,1))</f>
        <v/>
      </c>
      <c r="O361" s="45">
        <f>ROUND(365*mech_uptime*K361,0)</f>
        <v/>
      </c>
      <c r="P361" s="46">
        <f>mech_uptime</f>
        <v/>
      </c>
      <c r="Q361" s="46">
        <f>revleg_sel</f>
        <v/>
      </c>
      <c r="R361" s="45">
        <f>ROUND(N361*O361*revleg_sel,0)</f>
        <v/>
      </c>
      <c r="S361" s="47">
        <f>load_sel</f>
        <v/>
      </c>
      <c r="T361" s="47">
        <f>pax_cap*S361</f>
        <v/>
      </c>
      <c r="U361" s="45">
        <f>T361*R361</f>
        <v/>
      </c>
      <c r="V361" s="48">
        <f>H361*discount</f>
        <v/>
      </c>
      <c r="W361" s="49">
        <f>V361*U361</f>
        <v/>
      </c>
      <c r="X361" s="49">
        <f>(battery/range_nm)*G361*R361*VLOOKUP(B361,country_opex,3,FALSE)</f>
        <v/>
      </c>
      <c r="Y361" s="49">
        <f>VLOOKUP(B361,country_opex,2,FALSE)*crew_factor</f>
        <v/>
      </c>
      <c r="Z361" s="49">
        <f>VLOOKUP(B361,country_opex,5,FALSE)</f>
        <v/>
      </c>
      <c r="AA361" s="49">
        <f>maint</f>
        <v/>
      </c>
      <c r="AB361" s="49">
        <f>VLOOKUP(B361,country_opex,7,FALSE)*ins_pct</f>
        <v/>
      </c>
      <c r="AC361" s="49">
        <f>charge_berth</f>
        <v/>
      </c>
      <c r="AD361" s="49">
        <f>X361+Y361+Z361+AA361+AB361+AC361</f>
        <v/>
      </c>
      <c r="AE361" s="49">
        <f>VLOOKUP(B361,country_opex,7,FALSE)/dep_years</f>
        <v/>
      </c>
      <c r="AF361" s="49">
        <f>W361-AD361</f>
        <v/>
      </c>
      <c r="AG361" s="46">
        <f>IF(W361=0,"",AF361/W361)</f>
        <v/>
      </c>
      <c r="AH361" s="47">
        <f>IF(AF361&lt;=0,"",VLOOKUP(B361,country_opex,7,FALSE)/AF361)</f>
        <v/>
      </c>
      <c r="AI361" s="44">
        <f>((G361*R361/diesel_nmpg)*diesel_co2pg-(battery/range_nm)*G361*R361*VLOOKUP(B361,country_opex,4,FALSE))/1000</f>
        <v/>
      </c>
      <c r="AJ361" s="42" t="n"/>
      <c r="AK361" s="43" t="n"/>
      <c r="AL361" s="43" t="n"/>
      <c r="AM361" s="50" t="n">
        <v>0.1</v>
      </c>
      <c r="AN361" s="45">
        <f>IF(AJ361="","",AJ361*AM361)</f>
        <v/>
      </c>
      <c r="AO361" s="45">
        <f>IF(OR(AJ361="",U361=0),"",MIN(IF(AV361="",9.9E+99,AV361),FLOOR(AN361/U361,1)))</f>
        <v/>
      </c>
      <c r="AP361" s="49">
        <f>IF(AO361="","",AO361*W361)</f>
        <v/>
      </c>
      <c r="AQ361" s="47">
        <f>IF(OR(AJ361="",U361=0),"",MIN(IF(AV361="",9.9E+99,AV361),AN361/U361))</f>
        <v/>
      </c>
      <c r="AR361" s="49">
        <f>IF(AQ361="","",AQ361*W361)</f>
        <v/>
      </c>
      <c r="AS361" s="51" t="n"/>
      <c r="AT361" s="52" t="n"/>
      <c r="AU361" s="52" t="n"/>
      <c r="AV361" s="53" t="n"/>
      <c r="AW361" s="54">
        <f>IF(((V361*pax_cap*load_thin*ROUND(N361*O361*revleg_thin,0))-(((battery/range_nm)*G361*ROUND(N361*O361*revleg_thin,0)*VLOOKUP(B361,country_opex,3,FALSE))+Y361+Z361+AA361+AB361+AC361))&lt;=0,"",VLOOKUP(B361,country_opex,7,FALSE)/((V361*pax_cap*load_thin*ROUND(N361*O361*revleg_thin,0))-(((battery/range_nm)*G361*ROUND(N361*O361*revleg_thin,0)*VLOOKUP(B361,country_opex,3,FALSE))+Y361+Z361+AA361+AB361+AC361)))</f>
        <v/>
      </c>
      <c r="AX361" s="54">
        <f>IF(((V361*pax_cap*load_mid*ROUND(N361*O361*revleg_mid,0))-(((battery/range_nm)*G361*ROUND(N361*O361*revleg_mid,0)*VLOOKUP(B361,country_opex,3,FALSE))+Y361+Z361+AA361+AB361+AC361))&lt;=0,"",VLOOKUP(B361,country_opex,7,FALSE)/((V361*pax_cap*load_mid*ROUND(N361*O361*revleg_mid,0))-(((battery/range_nm)*G361*ROUND(N361*O361*revleg_mid,0)*VLOOKUP(B361,country_opex,3,FALSE))+Y361+Z361+AA361+AB361+AC361)))</f>
        <v/>
      </c>
      <c r="AY361" s="54">
        <f>IF(((V361*pax_cap*load_full*ROUND(N361*O361*revleg_full,0))-(((battery/range_nm)*G361*ROUND(N361*O361*revleg_full,0)*VLOOKUP(B361,country_opex,3,FALSE))+Y361+Z361+AA361+AB361+AC361))&lt;=0,"",VLOOKUP(B361,country_opex,7,FALSE)/((V361*pax_cap*load_full*ROUND(N361*O361*revleg_full,0))-(((battery/range_nm)*G361*ROUND(N361*O361*revleg_full,0)*VLOOKUP(B361,country_opex,3,FALSE))+Y361+Z361+AA361+AB361+AC361)))</f>
        <v/>
      </c>
      <c r="AZ361" s="40" t="n"/>
      <c r="BA361" s="40" t="n"/>
    </row>
    <row r="362">
      <c r="A362" s="38" t="inlineStr">
        <is>
          <t>Qatar</t>
        </is>
      </c>
      <c r="B362" s="38" t="inlineStr">
        <is>
          <t>Qatar</t>
        </is>
      </c>
      <c r="C362" s="39" t="inlineStr">
        <is>
          <t>Doha (Al Shyoukh Terminal) → Banana Island Resort (Anantara)</t>
        </is>
      </c>
      <c r="D362" s="38" t="inlineStr">
        <is>
          <t>qatar</t>
        </is>
      </c>
      <c r="E362" s="40" t="inlineStr">
        <is>
          <t>bolt-qatar, qatar, yango-qatar</t>
        </is>
      </c>
      <c r="F362" s="41" t="n">
        <v>3</v>
      </c>
      <c r="G362" s="42" t="n">
        <v>4.9</v>
      </c>
      <c r="H362" s="35" t="n">
        <v>27.5</v>
      </c>
      <c r="I362" s="43" t="inlineStr">
        <is>
          <t>T3</t>
        </is>
      </c>
      <c r="J362" s="43" t="inlineStr">
        <is>
          <t>med</t>
        </is>
      </c>
      <c r="K362" s="29" t="n">
        <v>1</v>
      </c>
      <c r="L362" s="44">
        <f>60*G362/cruise_kt</f>
        <v/>
      </c>
      <c r="M362" s="44">
        <f>L362+turn_min+dwell_min</f>
        <v/>
      </c>
      <c r="N362" s="45">
        <f>MIN(10,FLOOR(60*service_hr/M362,1))</f>
        <v/>
      </c>
      <c r="O362" s="45">
        <f>ROUND(365*mech_uptime*K362,0)</f>
        <v/>
      </c>
      <c r="P362" s="46">
        <f>mech_uptime</f>
        <v/>
      </c>
      <c r="Q362" s="46">
        <f>revleg_sel</f>
        <v/>
      </c>
      <c r="R362" s="45">
        <f>ROUND(N362*O362*revleg_sel,0)</f>
        <v/>
      </c>
      <c r="S362" s="47">
        <f>load_sel</f>
        <v/>
      </c>
      <c r="T362" s="47">
        <f>pax_cap*S362</f>
        <v/>
      </c>
      <c r="U362" s="45">
        <f>T362*R362</f>
        <v/>
      </c>
      <c r="V362" s="48">
        <f>H362*discount</f>
        <v/>
      </c>
      <c r="W362" s="49">
        <f>V362*U362</f>
        <v/>
      </c>
      <c r="X362" s="49">
        <f>(battery/range_nm)*G362*R362*VLOOKUP(B362,country_opex,3,FALSE)</f>
        <v/>
      </c>
      <c r="Y362" s="49">
        <f>VLOOKUP(B362,country_opex,2,FALSE)*crew_factor</f>
        <v/>
      </c>
      <c r="Z362" s="49">
        <f>VLOOKUP(B362,country_opex,5,FALSE)</f>
        <v/>
      </c>
      <c r="AA362" s="49">
        <f>maint</f>
        <v/>
      </c>
      <c r="AB362" s="49">
        <f>VLOOKUP(B362,country_opex,7,FALSE)*ins_pct</f>
        <v/>
      </c>
      <c r="AC362" s="49">
        <f>charge_berth</f>
        <v/>
      </c>
      <c r="AD362" s="49">
        <f>X362+Y362+Z362+AA362+AB362+AC362</f>
        <v/>
      </c>
      <c r="AE362" s="49">
        <f>VLOOKUP(B362,country_opex,7,FALSE)/dep_years</f>
        <v/>
      </c>
      <c r="AF362" s="49">
        <f>W362-AD362</f>
        <v/>
      </c>
      <c r="AG362" s="46">
        <f>IF(W362=0,"",AF362/W362)</f>
        <v/>
      </c>
      <c r="AH362" s="47">
        <f>IF(AF362&lt;=0,"",VLOOKUP(B362,country_opex,7,FALSE)/AF362)</f>
        <v/>
      </c>
      <c r="AI362" s="44">
        <f>((G362*R362/diesel_nmpg)*diesel_co2pg-(battery/range_nm)*G362*R362*VLOOKUP(B362,country_opex,4,FALSE))/1000</f>
        <v/>
      </c>
      <c r="AJ362" s="42" t="n">
        <v>85000</v>
      </c>
      <c r="AK362" s="43" t="inlineStr">
        <is>
          <t>T4</t>
        </is>
      </c>
      <c r="AL362" s="43" t="inlineStr">
        <is>
          <t>med-low</t>
        </is>
      </c>
      <c r="AM362" s="50" t="n">
        <v>0.9</v>
      </c>
      <c r="AN362" s="45">
        <f>IF(AJ362="","",AJ362*AM362)</f>
        <v/>
      </c>
      <c r="AO362" s="45">
        <f>IF(OR(AJ362="",U362=0),"",MIN(IF(AV362="",9.9E+99,AV362),FLOOR(AN362/U362,1)))</f>
        <v/>
      </c>
      <c r="AP362" s="49">
        <f>IF(AO362="","",AO362*W362)</f>
        <v/>
      </c>
      <c r="AQ362" s="47">
        <f>IF(OR(AJ362="",U362=0),"",MIN(IF(AV362="",9.9E+99,AV362),AN362/U362))</f>
        <v/>
      </c>
      <c r="AR362" s="49">
        <f>IF(AQ362="","",AQ362*W362)</f>
        <v/>
      </c>
      <c r="AS362" s="51" t="n"/>
      <c r="AT362" s="52" t="n"/>
      <c r="AU362" s="52" t="n"/>
      <c r="AV362" s="53" t="n"/>
      <c r="AW362" s="54">
        <f>IF(((V362*pax_cap*load_thin*ROUND(N362*O362*revleg_thin,0))-(((battery/range_nm)*G362*ROUND(N362*O362*revleg_thin,0)*VLOOKUP(B362,country_opex,3,FALSE))+Y362+Z362+AA362+AB362+AC362))&lt;=0,"",VLOOKUP(B362,country_opex,7,FALSE)/((V362*pax_cap*load_thin*ROUND(N362*O362*revleg_thin,0))-(((battery/range_nm)*G362*ROUND(N362*O362*revleg_thin,0)*VLOOKUP(B362,country_opex,3,FALSE))+Y362+Z362+AA362+AB362+AC362)))</f>
        <v/>
      </c>
      <c r="AX362" s="54">
        <f>IF(((V362*pax_cap*load_mid*ROUND(N362*O362*revleg_mid,0))-(((battery/range_nm)*G362*ROUND(N362*O362*revleg_mid,0)*VLOOKUP(B362,country_opex,3,FALSE))+Y362+Z362+AA362+AB362+AC362))&lt;=0,"",VLOOKUP(B362,country_opex,7,FALSE)/((V362*pax_cap*load_mid*ROUND(N362*O362*revleg_mid,0))-(((battery/range_nm)*G362*ROUND(N362*O362*revleg_mid,0)*VLOOKUP(B362,country_opex,3,FALSE))+Y362+Z362+AA362+AB362+AC362)))</f>
        <v/>
      </c>
      <c r="AY362" s="54">
        <f>IF(((V362*pax_cap*load_full*ROUND(N362*O362*revleg_full,0))-(((battery/range_nm)*G362*ROUND(N362*O362*revleg_full,0)*VLOOKUP(B362,country_opex,3,FALSE))+Y362+Z362+AA362+AB362+AC362))&lt;=0,"",VLOOKUP(B362,country_opex,7,FALSE)/((V362*pax_cap*load_full*ROUND(N362*O362*revleg_full,0))-(((battery/range_nm)*G362*ROUND(N362*O362*revleg_full,0)*VLOOKUP(B362,country_opex,3,FALSE))+Y362+Z362+AA362+AB362+AC362)))</f>
        <v/>
      </c>
      <c r="AZ362" s="40" t="inlineStr">
        <is>
          <t>Anantara official: day pass QAR 395/adult ($108.51) incl RT luxury catamaran transfer + QAR 345 credits. De-bundled transfer component: child rate QAR 200 RT no credits =&gt; ~QAR 100/way ~ USD 27.5/pp one-way pure-transfer value (honest band $14-55 RT).</t>
        </is>
      </c>
      <c r="BA362" s="40" t="inlineStr">
        <is>
          <t>Anantara Banana Island official: 141 keys (anantara.com/visitqatar, T1); access is BOAT-ONLY via ~45-51-pax luxury catamaran from Al Shyoukh Terminal, 25-30 min, scheduled ~hourly 09:00-21:00 (booking.com listing; adventureparkdoha.com '45-passenger catamaran operates regularly'; observed 51-pax config). Qatar national hotel occupancy 71% 2025 (Qatar Tourism/ValuStrat, T2). Day-pass product QAR 395/adult incl. RT transfer (anantara.com, T1) adds day-tripper volume.</t>
        </is>
      </c>
    </row>
    <row r="363">
      <c r="A363" s="38" t="inlineStr">
        <is>
          <t>Qatar</t>
        </is>
      </c>
      <c r="B363" s="38" t="inlineStr">
        <is>
          <t>Qatar</t>
        </is>
      </c>
      <c r="C363" s="39" t="inlineStr">
        <is>
          <t>West Bay / Corniche (Doha) → Lusail Marina &amp; Place Vendôme</t>
        </is>
      </c>
      <c r="D363" s="38" t="inlineStr">
        <is>
          <t>bolt</t>
        </is>
      </c>
      <c r="E363" s="40" t="inlineStr">
        <is>
          <t>bolt-qatar, qatar, yango-qatar</t>
        </is>
      </c>
      <c r="F363" s="41" t="n">
        <v>3</v>
      </c>
      <c r="G363" s="42" t="n">
        <v>6.3</v>
      </c>
      <c r="H363" s="35" t="n">
        <v>16</v>
      </c>
      <c r="I363" s="43" t="inlineStr">
        <is>
          <t>T5</t>
        </is>
      </c>
      <c r="J363" s="43" t="inlineStr">
        <is>
          <t>low</t>
        </is>
      </c>
      <c r="K363" s="29" t="n">
        <v>1</v>
      </c>
      <c r="L363" s="44">
        <f>60*G363/cruise_kt</f>
        <v/>
      </c>
      <c r="M363" s="44">
        <f>L363+turn_min+dwell_min</f>
        <v/>
      </c>
      <c r="N363" s="45">
        <f>MIN(18,FLOOR(60*service_hr/M363,1))</f>
        <v/>
      </c>
      <c r="O363" s="45">
        <f>ROUND(365*mech_uptime*K363,0)</f>
        <v/>
      </c>
      <c r="P363" s="46">
        <f>mech_uptime</f>
        <v/>
      </c>
      <c r="Q363" s="46">
        <f>revleg_sel</f>
        <v/>
      </c>
      <c r="R363" s="45">
        <f>ROUND(N363*O363*revleg_sel,0)</f>
        <v/>
      </c>
      <c r="S363" s="47">
        <f>load_sel</f>
        <v/>
      </c>
      <c r="T363" s="47">
        <f>pax_cap*S363</f>
        <v/>
      </c>
      <c r="U363" s="45">
        <f>T363*R363</f>
        <v/>
      </c>
      <c r="V363" s="48">
        <f>H363*discount</f>
        <v/>
      </c>
      <c r="W363" s="49">
        <f>V363*U363</f>
        <v/>
      </c>
      <c r="X363" s="49">
        <f>(battery/range_nm)*G363*R363*VLOOKUP(B363,country_opex,3,FALSE)</f>
        <v/>
      </c>
      <c r="Y363" s="49">
        <f>VLOOKUP(B363,country_opex,2,FALSE)*crew_factor</f>
        <v/>
      </c>
      <c r="Z363" s="49">
        <f>VLOOKUP(B363,country_opex,5,FALSE)</f>
        <v/>
      </c>
      <c r="AA363" s="49">
        <f>maint</f>
        <v/>
      </c>
      <c r="AB363" s="49">
        <f>VLOOKUP(B363,country_opex,7,FALSE)*ins_pct</f>
        <v/>
      </c>
      <c r="AC363" s="49">
        <f>charge_berth</f>
        <v/>
      </c>
      <c r="AD363" s="49">
        <f>X363+Y363+Z363+AA363+AB363+AC363</f>
        <v/>
      </c>
      <c r="AE363" s="49">
        <f>VLOOKUP(B363,country_opex,7,FALSE)/dep_years</f>
        <v/>
      </c>
      <c r="AF363" s="49">
        <f>W363-AD363</f>
        <v/>
      </c>
      <c r="AG363" s="46">
        <f>IF(W363=0,"",AF363/W363)</f>
        <v/>
      </c>
      <c r="AH363" s="47">
        <f>IF(AF363&lt;=0,"",VLOOKUP(B363,country_opex,7,FALSE)/AF363)</f>
        <v/>
      </c>
      <c r="AI363" s="44">
        <f>((G363*R363/diesel_nmpg)*diesel_co2pg-(battery/range_nm)*G363*R363*VLOOKUP(B363,country_opex,4,FALSE))/1000</f>
        <v/>
      </c>
      <c r="AJ363" s="42" t="n">
        <v>75000</v>
      </c>
      <c r="AK363" s="43" t="inlineStr">
        <is>
          <t>T5</t>
        </is>
      </c>
      <c r="AL363" s="43" t="inlineStr">
        <is>
          <t>low</t>
        </is>
      </c>
      <c r="AM363" s="50" t="n">
        <v>0.1</v>
      </c>
      <c r="AN363" s="45">
        <f>IF(AJ363="","",AJ363*AM363)</f>
        <v/>
      </c>
      <c r="AO363" s="45">
        <f>IF(OR(AJ363="",U363=0),"",MIN(IF(AV363="",9.9E+99,AV363),FLOOR(AN363/U363,1)))</f>
        <v/>
      </c>
      <c r="AP363" s="49">
        <f>IF(AO363="","",AO363*W363)</f>
        <v/>
      </c>
      <c r="AQ363" s="47">
        <f>IF(OR(AJ363="",U363=0),"",MIN(IF(AV363="",9.9E+99,AV363),AN363/U363))</f>
        <v/>
      </c>
      <c r="AR363" s="49">
        <f>IF(AQ363="","",AQ363*W363)</f>
        <v/>
      </c>
      <c r="AS363" s="51" t="n"/>
      <c r="AT363" s="52" t="inlineStr">
        <is>
          <t>FWD-SAM (2030)</t>
        </is>
      </c>
      <c r="AU363" s="52" t="n"/>
      <c r="AV363" s="53" t="n"/>
      <c r="AW363" s="54">
        <f>IF(((V363*pax_cap*load_thin*ROUND(N363*O363*revleg_thin,0))-(((battery/range_nm)*G363*ROUND(N363*O363*revleg_thin,0)*VLOOKUP(B363,country_opex,3,FALSE))+Y363+Z363+AA363+AB363+AC363))&lt;=0,"",VLOOKUP(B363,country_opex,7,FALSE)/((V363*pax_cap*load_thin*ROUND(N363*O363*revleg_thin,0))-(((battery/range_nm)*G363*ROUND(N363*O363*revleg_thin,0)*VLOOKUP(B363,country_opex,3,FALSE))+Y363+Z363+AA363+AB363+AC363)))</f>
        <v/>
      </c>
      <c r="AX363" s="54">
        <f>IF(((V363*pax_cap*load_mid*ROUND(N363*O363*revleg_mid,0))-(((battery/range_nm)*G363*ROUND(N363*O363*revleg_mid,0)*VLOOKUP(B363,country_opex,3,FALSE))+Y363+Z363+AA363+AB363+AC363))&lt;=0,"",VLOOKUP(B363,country_opex,7,FALSE)/((V363*pax_cap*load_mid*ROUND(N363*O363*revleg_mid,0))-(((battery/range_nm)*G363*ROUND(N363*O363*revleg_mid,0)*VLOOKUP(B363,country_opex,3,FALSE))+Y363+Z363+AA363+AB363+AC363)))</f>
        <v/>
      </c>
      <c r="AY363" s="54">
        <f>IF(((V363*pax_cap*load_full*ROUND(N363*O363*revleg_full,0))-(((battery/range_nm)*G363*ROUND(N363*O363*revleg_full,0)*VLOOKUP(B363,country_opex,3,FALSE))+Y363+Z363+AA363+AB363+AC363))&lt;=0,"",VLOOKUP(B363,country_opex,7,FALSE)/((V363*pax_cap*load_full*ROUND(N363*O363*revleg_full,0))-(((battery/range_nm)*G363*ROUND(N363*O363*revleg_full,0)*VLOOKUP(B363,country_opex,3,FALSE))+Y363+Z363+AA363+AB363+AC363)))</f>
        <v/>
      </c>
      <c r="AZ363" s="40" t="inlineStr">
        <is>
          <t>No scheduled service yet: MOT Water Taxi Phase-1 INFRASTRUCTURE complete 7 Nov 2024 (Lusail Ferry Terminal + Pearl &amp; Corniche stops, EV-charger-fitted) but operator unselected, no fare published (mot.gov.qa). Cascaded from on-network premium per-seat anchor Ronautica Pearl gate-to-gate QAR 40/pp (USD 10.99) scaled per-nm 4.4-&gt;6.3nm =&gt; ~$15.7. Leisure upper bound: Blue Pearl shared speedboat West Bay QAR 160/pp ($43.95).</t>
        </is>
      </c>
      <c r="BA363" s="40" t="inlineStr">
        <is>
          <t>No marine service operates on this corridor today (greenfield; MOT Water Taxi Phase-1 INFRASTRUCTURE complete Nov-2024 — Lusail Ferry Terminal + Corniche Ferry Stop sit EXACTLY on this corridor's endpoints, with electric-ferry chargers — but operator not yet selected; network capacity unpublished, mot.gov.qa). Destination pools (all LAND-arriving, R3-LAND caveat): Al Maha Island Lusail target 1.5M visitors/yr (Gulf Times/developer); Place Vendome mall claims 16.5M annual footfall (UDC leasing brochure 2025, marketing-grade); Lusail Boulevard 250k visitors on NYE 2025 alone (wgoqatar); Doha Corniche promenade has NO published count. Qatar 5.08M intl visitors 2024 / 5.1M 2025 (Qatar Tourism, T1).</t>
        </is>
      </c>
    </row>
    <row r="364">
      <c r="A364" s="38" t="inlineStr">
        <is>
          <t>Qatar</t>
        </is>
      </c>
      <c r="B364" s="38" t="inlineStr">
        <is>
          <t>Qatar</t>
        </is>
      </c>
      <c r="C364" s="39" t="inlineStr">
        <is>
          <t>Doha → Lusail Marina</t>
        </is>
      </c>
      <c r="D364" s="38" t="inlineStr">
        <is>
          <t>qatar</t>
        </is>
      </c>
      <c r="E364" s="40" t="inlineStr">
        <is>
          <t>bolt-qatar, qatar, yango-qatar</t>
        </is>
      </c>
      <c r="F364" s="41" t="n">
        <v>3</v>
      </c>
      <c r="G364" s="42" t="n">
        <v>6.5</v>
      </c>
      <c r="H364" s="35" t="n"/>
      <c r="I364" s="43" t="n"/>
      <c r="J364" s="43" t="n"/>
      <c r="K364" s="29" t="n">
        <v>1</v>
      </c>
      <c r="L364" s="44">
        <f>60*G364/cruise_kt</f>
        <v/>
      </c>
      <c r="M364" s="44">
        <f>L364+turn_min+dwell_min</f>
        <v/>
      </c>
      <c r="N364" s="45">
        <f>MIN(18,FLOOR(60*service_hr/M364,1))</f>
        <v/>
      </c>
      <c r="O364" s="45">
        <f>ROUND(365*mech_uptime*K364,0)</f>
        <v/>
      </c>
      <c r="P364" s="46">
        <f>mech_uptime</f>
        <v/>
      </c>
      <c r="Q364" s="46">
        <f>revleg_sel</f>
        <v/>
      </c>
      <c r="R364" s="45">
        <f>ROUND(N364*O364*revleg_sel,0)</f>
        <v/>
      </c>
      <c r="S364" s="47">
        <f>load_sel</f>
        <v/>
      </c>
      <c r="T364" s="47">
        <f>pax_cap*S364</f>
        <v/>
      </c>
      <c r="U364" s="45">
        <f>T364*R364</f>
        <v/>
      </c>
      <c r="V364" s="48">
        <f>H364*discount</f>
        <v/>
      </c>
      <c r="W364" s="49">
        <f>V364*U364</f>
        <v/>
      </c>
      <c r="X364" s="49">
        <f>(battery/range_nm)*G364*R364*VLOOKUP(B364,country_opex,3,FALSE)</f>
        <v/>
      </c>
      <c r="Y364" s="49">
        <f>VLOOKUP(B364,country_opex,2,FALSE)*crew_factor</f>
        <v/>
      </c>
      <c r="Z364" s="49">
        <f>VLOOKUP(B364,country_opex,5,FALSE)</f>
        <v/>
      </c>
      <c r="AA364" s="49">
        <f>maint</f>
        <v/>
      </c>
      <c r="AB364" s="49">
        <f>VLOOKUP(B364,country_opex,7,FALSE)*ins_pct</f>
        <v/>
      </c>
      <c r="AC364" s="49">
        <f>charge_berth</f>
        <v/>
      </c>
      <c r="AD364" s="49">
        <f>X364+Y364+Z364+AA364+AB364+AC364</f>
        <v/>
      </c>
      <c r="AE364" s="49">
        <f>VLOOKUP(B364,country_opex,7,FALSE)/dep_years</f>
        <v/>
      </c>
      <c r="AF364" s="49">
        <f>W364-AD364</f>
        <v/>
      </c>
      <c r="AG364" s="46">
        <f>IF(W364=0,"",AF364/W364)</f>
        <v/>
      </c>
      <c r="AH364" s="47">
        <f>IF(AF364&lt;=0,"",VLOOKUP(B364,country_opex,7,FALSE)/AF364)</f>
        <v/>
      </c>
      <c r="AI364" s="44">
        <f>((G364*R364/diesel_nmpg)*diesel_co2pg-(battery/range_nm)*G364*R364*VLOOKUP(B364,country_opex,4,FALSE))/1000</f>
        <v/>
      </c>
      <c r="AJ364" s="42" t="n"/>
      <c r="AK364" s="43" t="n"/>
      <c r="AL364" s="43" t="n"/>
      <c r="AM364" s="50" t="n">
        <v>0.1</v>
      </c>
      <c r="AN364" s="45">
        <f>IF(AJ364="","",AJ364*AM364)</f>
        <v/>
      </c>
      <c r="AO364" s="45">
        <f>IF(OR(AJ364="",U364=0),"",MIN(IF(AV364="",9.9E+99,AV364),FLOOR(AN364/U364,1)))</f>
        <v/>
      </c>
      <c r="AP364" s="49">
        <f>IF(AO364="","",AO364*W364)</f>
        <v/>
      </c>
      <c r="AQ364" s="47">
        <f>IF(OR(AJ364="",U364=0),"",MIN(IF(AV364="",9.9E+99,AV364),AN364/U364))</f>
        <v/>
      </c>
      <c r="AR364" s="49">
        <f>IF(AQ364="","",AQ364*W364)</f>
        <v/>
      </c>
      <c r="AS364" s="51" t="n"/>
      <c r="AT364" s="52" t="n"/>
      <c r="AU364" s="52" t="n"/>
      <c r="AV364" s="53" t="n"/>
      <c r="AW364" s="54">
        <f>IF(((V364*pax_cap*load_thin*ROUND(N364*O364*revleg_thin,0))-(((battery/range_nm)*G364*ROUND(N364*O364*revleg_thin,0)*VLOOKUP(B364,country_opex,3,FALSE))+Y364+Z364+AA364+AB364+AC364))&lt;=0,"",VLOOKUP(B364,country_opex,7,FALSE)/((V364*pax_cap*load_thin*ROUND(N364*O364*revleg_thin,0))-(((battery/range_nm)*G364*ROUND(N364*O364*revleg_thin,0)*VLOOKUP(B364,country_opex,3,FALSE))+Y364+Z364+AA364+AB364+AC364)))</f>
        <v/>
      </c>
      <c r="AX364" s="54">
        <f>IF(((V364*pax_cap*load_mid*ROUND(N364*O364*revleg_mid,0))-(((battery/range_nm)*G364*ROUND(N364*O364*revleg_mid,0)*VLOOKUP(B364,country_opex,3,FALSE))+Y364+Z364+AA364+AB364+AC364))&lt;=0,"",VLOOKUP(B364,country_opex,7,FALSE)/((V364*pax_cap*load_mid*ROUND(N364*O364*revleg_mid,0))-(((battery/range_nm)*G364*ROUND(N364*O364*revleg_mid,0)*VLOOKUP(B364,country_opex,3,FALSE))+Y364+Z364+AA364+AB364+AC364)))</f>
        <v/>
      </c>
      <c r="AY364" s="54">
        <f>IF(((V364*pax_cap*load_full*ROUND(N364*O364*revleg_full,0))-(((battery/range_nm)*G364*ROUND(N364*O364*revleg_full,0)*VLOOKUP(B364,country_opex,3,FALSE))+Y364+Z364+AA364+AB364+AC364))&lt;=0,"",VLOOKUP(B364,country_opex,7,FALSE)/((V364*pax_cap*load_full*ROUND(N364*O364*revleg_full,0))-(((battery/range_nm)*G364*ROUND(N364*O364*revleg_full,0)*VLOOKUP(B364,country_opex,3,FALSE))+Y364+Z364+AA364+AB364+AC364)))</f>
        <v/>
      </c>
      <c r="AZ364" s="40" t="n"/>
      <c r="BA364" s="40" t="n"/>
    </row>
    <row r="365">
      <c r="A365" s="38" t="inlineStr">
        <is>
          <t>Qatar</t>
        </is>
      </c>
      <c r="B365" s="38" t="inlineStr">
        <is>
          <t>Qatar</t>
        </is>
      </c>
      <c r="C365" s="39" t="inlineStr">
        <is>
          <t>Al Wakrah → Banana Island</t>
        </is>
      </c>
      <c r="D365" s="38" t="inlineStr">
        <is>
          <t>qatar</t>
        </is>
      </c>
      <c r="E365" s="40" t="inlineStr">
        <is>
          <t>bolt-qatar, qatar, yango-qatar</t>
        </is>
      </c>
      <c r="F365" s="41" t="n">
        <v>3</v>
      </c>
      <c r="G365" s="42" t="n">
        <v>9.5</v>
      </c>
      <c r="H365" s="35" t="n"/>
      <c r="I365" s="43" t="n"/>
      <c r="J365" s="43" t="n"/>
      <c r="K365" s="29" t="n">
        <v>1</v>
      </c>
      <c r="L365" s="44">
        <f>60*G365/cruise_kt</f>
        <v/>
      </c>
      <c r="M365" s="44">
        <f>L365+turn_min+dwell_min</f>
        <v/>
      </c>
      <c r="N365" s="45">
        <f>MIN(18,FLOOR(60*service_hr/M365,1))</f>
        <v/>
      </c>
      <c r="O365" s="45">
        <f>ROUND(365*mech_uptime*K365,0)</f>
        <v/>
      </c>
      <c r="P365" s="46">
        <f>mech_uptime</f>
        <v/>
      </c>
      <c r="Q365" s="46">
        <f>revleg_sel</f>
        <v/>
      </c>
      <c r="R365" s="45">
        <f>ROUND(N365*O365*revleg_sel,0)</f>
        <v/>
      </c>
      <c r="S365" s="47">
        <f>load_sel</f>
        <v/>
      </c>
      <c r="T365" s="47">
        <f>pax_cap*S365</f>
        <v/>
      </c>
      <c r="U365" s="45">
        <f>T365*R365</f>
        <v/>
      </c>
      <c r="V365" s="48">
        <f>H365*discount</f>
        <v/>
      </c>
      <c r="W365" s="49">
        <f>V365*U365</f>
        <v/>
      </c>
      <c r="X365" s="49">
        <f>(battery/range_nm)*G365*R365*VLOOKUP(B365,country_opex,3,FALSE)</f>
        <v/>
      </c>
      <c r="Y365" s="49">
        <f>VLOOKUP(B365,country_opex,2,FALSE)*crew_factor</f>
        <v/>
      </c>
      <c r="Z365" s="49">
        <f>VLOOKUP(B365,country_opex,5,FALSE)</f>
        <v/>
      </c>
      <c r="AA365" s="49">
        <f>maint</f>
        <v/>
      </c>
      <c r="AB365" s="49">
        <f>VLOOKUP(B365,country_opex,7,FALSE)*ins_pct</f>
        <v/>
      </c>
      <c r="AC365" s="49">
        <f>charge_berth</f>
        <v/>
      </c>
      <c r="AD365" s="49">
        <f>X365+Y365+Z365+AA365+AB365+AC365</f>
        <v/>
      </c>
      <c r="AE365" s="49">
        <f>VLOOKUP(B365,country_opex,7,FALSE)/dep_years</f>
        <v/>
      </c>
      <c r="AF365" s="49">
        <f>W365-AD365</f>
        <v/>
      </c>
      <c r="AG365" s="46">
        <f>IF(W365=0,"",AF365/W365)</f>
        <v/>
      </c>
      <c r="AH365" s="47">
        <f>IF(AF365&lt;=0,"",VLOOKUP(B365,country_opex,7,FALSE)/AF365)</f>
        <v/>
      </c>
      <c r="AI365" s="44">
        <f>((G365*R365/diesel_nmpg)*diesel_co2pg-(battery/range_nm)*G365*R365*VLOOKUP(B365,country_opex,4,FALSE))/1000</f>
        <v/>
      </c>
      <c r="AJ365" s="42" t="n"/>
      <c r="AK365" s="43" t="n"/>
      <c r="AL365" s="43" t="n"/>
      <c r="AM365" s="50" t="n">
        <v>0.1</v>
      </c>
      <c r="AN365" s="45">
        <f>IF(AJ365="","",AJ365*AM365)</f>
        <v/>
      </c>
      <c r="AO365" s="45">
        <f>IF(OR(AJ365="",U365=0),"",MIN(IF(AV365="",9.9E+99,AV365),FLOOR(AN365/U365,1)))</f>
        <v/>
      </c>
      <c r="AP365" s="49">
        <f>IF(AO365="","",AO365*W365)</f>
        <v/>
      </c>
      <c r="AQ365" s="47">
        <f>IF(OR(AJ365="",U365=0),"",MIN(IF(AV365="",9.9E+99,AV365),AN365/U365))</f>
        <v/>
      </c>
      <c r="AR365" s="49">
        <f>IF(AQ365="","",AQ365*W365)</f>
        <v/>
      </c>
      <c r="AS365" s="51" t="n"/>
      <c r="AT365" s="52" t="n"/>
      <c r="AU365" s="52" t="n"/>
      <c r="AV365" s="53" t="n"/>
      <c r="AW365" s="54">
        <f>IF(((V365*pax_cap*load_thin*ROUND(N365*O365*revleg_thin,0))-(((battery/range_nm)*G365*ROUND(N365*O365*revleg_thin,0)*VLOOKUP(B365,country_opex,3,FALSE))+Y365+Z365+AA365+AB365+AC365))&lt;=0,"",VLOOKUP(B365,country_opex,7,FALSE)/((V365*pax_cap*load_thin*ROUND(N365*O365*revleg_thin,0))-(((battery/range_nm)*G365*ROUND(N365*O365*revleg_thin,0)*VLOOKUP(B365,country_opex,3,FALSE))+Y365+Z365+AA365+AB365+AC365)))</f>
        <v/>
      </c>
      <c r="AX365" s="54">
        <f>IF(((V365*pax_cap*load_mid*ROUND(N365*O365*revleg_mid,0))-(((battery/range_nm)*G365*ROUND(N365*O365*revleg_mid,0)*VLOOKUP(B365,country_opex,3,FALSE))+Y365+Z365+AA365+AB365+AC365))&lt;=0,"",VLOOKUP(B365,country_opex,7,FALSE)/((V365*pax_cap*load_mid*ROUND(N365*O365*revleg_mid,0))-(((battery/range_nm)*G365*ROUND(N365*O365*revleg_mid,0)*VLOOKUP(B365,country_opex,3,FALSE))+Y365+Z365+AA365+AB365+AC365)))</f>
        <v/>
      </c>
      <c r="AY365" s="54">
        <f>IF(((V365*pax_cap*load_full*ROUND(N365*O365*revleg_full,0))-(((battery/range_nm)*G365*ROUND(N365*O365*revleg_full,0)*VLOOKUP(B365,country_opex,3,FALSE))+Y365+Z365+AA365+AB365+AC365))&lt;=0,"",VLOOKUP(B365,country_opex,7,FALSE)/((V365*pax_cap*load_full*ROUND(N365*O365*revleg_full,0))-(((battery/range_nm)*G365*ROUND(N365*O365*revleg_full,0)*VLOOKUP(B365,country_opex,3,FALSE))+Y365+Z365+AA365+AB365+AC365)))</f>
        <v/>
      </c>
      <c r="AZ365" s="40" t="n"/>
      <c r="BA365" s="40" t="n"/>
    </row>
    <row r="366">
      <c r="A366" s="38" t="inlineStr">
        <is>
          <t>Qatar</t>
        </is>
      </c>
      <c r="B366" s="38" t="inlineStr">
        <is>
          <t>Qatar</t>
        </is>
      </c>
      <c r="C366" s="39" t="inlineStr">
        <is>
          <t>Doha → Al Wakrah Marina</t>
        </is>
      </c>
      <c r="D366" s="38" t="inlineStr">
        <is>
          <t>qatar</t>
        </is>
      </c>
      <c r="E366" s="40" t="inlineStr">
        <is>
          <t>bolt-qatar, qatar, yango-qatar</t>
        </is>
      </c>
      <c r="F366" s="41" t="n">
        <v>3</v>
      </c>
      <c r="G366" s="42" t="n">
        <v>11</v>
      </c>
      <c r="H366" s="35" t="n"/>
      <c r="I366" s="43" t="n"/>
      <c r="J366" s="43" t="n"/>
      <c r="K366" s="29" t="n">
        <v>1</v>
      </c>
      <c r="L366" s="44">
        <f>60*G366/cruise_kt</f>
        <v/>
      </c>
      <c r="M366" s="44">
        <f>L366+turn_min+dwell_min</f>
        <v/>
      </c>
      <c r="N366" s="45">
        <f>MIN(18,FLOOR(60*service_hr/M366,1))</f>
        <v/>
      </c>
      <c r="O366" s="45">
        <f>ROUND(365*mech_uptime*K366,0)</f>
        <v/>
      </c>
      <c r="P366" s="46">
        <f>mech_uptime</f>
        <v/>
      </c>
      <c r="Q366" s="46">
        <f>revleg_sel</f>
        <v/>
      </c>
      <c r="R366" s="45">
        <f>ROUND(N366*O366*revleg_sel,0)</f>
        <v/>
      </c>
      <c r="S366" s="47">
        <f>load_sel</f>
        <v/>
      </c>
      <c r="T366" s="47">
        <f>pax_cap*S366</f>
        <v/>
      </c>
      <c r="U366" s="45">
        <f>T366*R366</f>
        <v/>
      </c>
      <c r="V366" s="48">
        <f>H366*discount</f>
        <v/>
      </c>
      <c r="W366" s="49">
        <f>V366*U366</f>
        <v/>
      </c>
      <c r="X366" s="49">
        <f>(battery/range_nm)*G366*R366*VLOOKUP(B366,country_opex,3,FALSE)</f>
        <v/>
      </c>
      <c r="Y366" s="49">
        <f>VLOOKUP(B366,country_opex,2,FALSE)*crew_factor</f>
        <v/>
      </c>
      <c r="Z366" s="49">
        <f>VLOOKUP(B366,country_opex,5,FALSE)</f>
        <v/>
      </c>
      <c r="AA366" s="49">
        <f>maint</f>
        <v/>
      </c>
      <c r="AB366" s="49">
        <f>VLOOKUP(B366,country_opex,7,FALSE)*ins_pct</f>
        <v/>
      </c>
      <c r="AC366" s="49">
        <f>charge_berth</f>
        <v/>
      </c>
      <c r="AD366" s="49">
        <f>X366+Y366+Z366+AA366+AB366+AC366</f>
        <v/>
      </c>
      <c r="AE366" s="49">
        <f>VLOOKUP(B366,country_opex,7,FALSE)/dep_years</f>
        <v/>
      </c>
      <c r="AF366" s="49">
        <f>W366-AD366</f>
        <v/>
      </c>
      <c r="AG366" s="46">
        <f>IF(W366=0,"",AF366/W366)</f>
        <v/>
      </c>
      <c r="AH366" s="47">
        <f>IF(AF366&lt;=0,"",VLOOKUP(B366,country_opex,7,FALSE)/AF366)</f>
        <v/>
      </c>
      <c r="AI366" s="44">
        <f>((G366*R366/diesel_nmpg)*diesel_co2pg-(battery/range_nm)*G366*R366*VLOOKUP(B366,country_opex,4,FALSE))/1000</f>
        <v/>
      </c>
      <c r="AJ366" s="42" t="n"/>
      <c r="AK366" s="43" t="n"/>
      <c r="AL366" s="43" t="n"/>
      <c r="AM366" s="50" t="n">
        <v>0.1</v>
      </c>
      <c r="AN366" s="45">
        <f>IF(AJ366="","",AJ366*AM366)</f>
        <v/>
      </c>
      <c r="AO366" s="45">
        <f>IF(OR(AJ366="",U366=0),"",MIN(IF(AV366="",9.9E+99,AV366),FLOOR(AN366/U366,1)))</f>
        <v/>
      </c>
      <c r="AP366" s="49">
        <f>IF(AO366="","",AO366*W366)</f>
        <v/>
      </c>
      <c r="AQ366" s="47">
        <f>IF(OR(AJ366="",U366=0),"",MIN(IF(AV366="",9.9E+99,AV366),AN366/U366))</f>
        <v/>
      </c>
      <c r="AR366" s="49">
        <f>IF(AQ366="","",AQ366*W366)</f>
        <v/>
      </c>
      <c r="AS366" s="51" t="n"/>
      <c r="AT366" s="52" t="n"/>
      <c r="AU366" s="52" t="n"/>
      <c r="AV366" s="53" t="n"/>
      <c r="AW366" s="54">
        <f>IF(((V366*pax_cap*load_thin*ROUND(N366*O366*revleg_thin,0))-(((battery/range_nm)*G366*ROUND(N366*O366*revleg_thin,0)*VLOOKUP(B366,country_opex,3,FALSE))+Y366+Z366+AA366+AB366+AC366))&lt;=0,"",VLOOKUP(B366,country_opex,7,FALSE)/((V366*pax_cap*load_thin*ROUND(N366*O366*revleg_thin,0))-(((battery/range_nm)*G366*ROUND(N366*O366*revleg_thin,0)*VLOOKUP(B366,country_opex,3,FALSE))+Y366+Z366+AA366+AB366+AC366)))</f>
        <v/>
      </c>
      <c r="AX366" s="54">
        <f>IF(((V366*pax_cap*load_mid*ROUND(N366*O366*revleg_mid,0))-(((battery/range_nm)*G366*ROUND(N366*O366*revleg_mid,0)*VLOOKUP(B366,country_opex,3,FALSE))+Y366+Z366+AA366+AB366+AC366))&lt;=0,"",VLOOKUP(B366,country_opex,7,FALSE)/((V366*pax_cap*load_mid*ROUND(N366*O366*revleg_mid,0))-(((battery/range_nm)*G366*ROUND(N366*O366*revleg_mid,0)*VLOOKUP(B366,country_opex,3,FALSE))+Y366+Z366+AA366+AB366+AC366)))</f>
        <v/>
      </c>
      <c r="AY366" s="54">
        <f>IF(((V366*pax_cap*load_full*ROUND(N366*O366*revleg_full,0))-(((battery/range_nm)*G366*ROUND(N366*O366*revleg_full,0)*VLOOKUP(B366,country_opex,3,FALSE))+Y366+Z366+AA366+AB366+AC366))&lt;=0,"",VLOOKUP(B366,country_opex,7,FALSE)/((V366*pax_cap*load_full*ROUND(N366*O366*revleg_full,0))-(((battery/range_nm)*G366*ROUND(N366*O366*revleg_full,0)*VLOOKUP(B366,country_opex,3,FALSE))+Y366+Z366+AA366+AB366+AC366)))</f>
        <v/>
      </c>
      <c r="AZ366" s="40" t="n"/>
      <c r="BA366" s="40" t="n"/>
    </row>
    <row r="367">
      <c r="A367" s="38" t="inlineStr">
        <is>
          <t>Bolt Romania</t>
        </is>
      </c>
      <c r="B367" s="38" t="inlineStr">
        <is>
          <t>Romania</t>
        </is>
      </c>
      <c r="C367" s="39" t="inlineStr">
        <is>
          <t>Constanța → Mamaia</t>
        </is>
      </c>
      <c r="D367" s="38" t="inlineStr">
        <is>
          <t>bolt</t>
        </is>
      </c>
      <c r="E367" s="40" t="inlineStr">
        <is>
          <t>bolt-romania</t>
        </is>
      </c>
      <c r="F367" s="41" t="n">
        <v>1</v>
      </c>
      <c r="G367" s="42" t="n">
        <v>5</v>
      </c>
      <c r="H367" s="35" t="n">
        <v>13</v>
      </c>
      <c r="I367" s="43" t="inlineStr">
        <is>
          <t>T2</t>
        </is>
      </c>
      <c r="J367" s="43" t="inlineStr">
        <is>
          <t>med</t>
        </is>
      </c>
      <c r="K367" s="29" t="n">
        <v>1</v>
      </c>
      <c r="L367" s="44">
        <f>60*G367/cruise_kt</f>
        <v/>
      </c>
      <c r="M367" s="44">
        <f>L367+turn_min+dwell_min</f>
        <v/>
      </c>
      <c r="N367" s="45">
        <f>MIN(10,FLOOR(60*service_hr/M367,1))</f>
        <v/>
      </c>
      <c r="O367" s="45">
        <f>ROUND(365*mech_uptime*K367,0)</f>
        <v/>
      </c>
      <c r="P367" s="46">
        <f>mech_uptime</f>
        <v/>
      </c>
      <c r="Q367" s="46">
        <f>revleg_sel</f>
        <v/>
      </c>
      <c r="R367" s="45">
        <f>ROUND(N367*O367*revleg_sel,0)</f>
        <v/>
      </c>
      <c r="S367" s="47">
        <f>load_sel</f>
        <v/>
      </c>
      <c r="T367" s="47">
        <f>pax_cap*S367</f>
        <v/>
      </c>
      <c r="U367" s="45">
        <f>T367*R367</f>
        <v/>
      </c>
      <c r="V367" s="48">
        <f>H367*discount</f>
        <v/>
      </c>
      <c r="W367" s="49">
        <f>V367*U367</f>
        <v/>
      </c>
      <c r="X367" s="49">
        <f>(battery/range_nm)*G367*R367*VLOOKUP(B367,country_opex,3,FALSE)</f>
        <v/>
      </c>
      <c r="Y367" s="49">
        <f>VLOOKUP(B367,country_opex,2,FALSE)*crew_factor</f>
        <v/>
      </c>
      <c r="Z367" s="49">
        <f>VLOOKUP(B367,country_opex,5,FALSE)</f>
        <v/>
      </c>
      <c r="AA367" s="49">
        <f>maint</f>
        <v/>
      </c>
      <c r="AB367" s="49">
        <f>VLOOKUP(B367,country_opex,7,FALSE)*ins_pct</f>
        <v/>
      </c>
      <c r="AC367" s="49">
        <f>charge_berth</f>
        <v/>
      </c>
      <c r="AD367" s="49">
        <f>X367+Y367+Z367+AA367+AB367+AC367</f>
        <v/>
      </c>
      <c r="AE367" s="49">
        <f>VLOOKUP(B367,country_opex,7,FALSE)/dep_years</f>
        <v/>
      </c>
      <c r="AF367" s="49">
        <f>W367-AD367</f>
        <v/>
      </c>
      <c r="AG367" s="46">
        <f>IF(W367=0,"",AF367/W367)</f>
        <v/>
      </c>
      <c r="AH367" s="47">
        <f>IF(AF367&lt;=0,"",VLOOKUP(B367,country_opex,7,FALSE)/AF367)</f>
        <v/>
      </c>
      <c r="AI367" s="44">
        <f>((G367*R367/diesel_nmpg)*diesel_co2pg-(battery/range_nm)*G367*R367*VLOOKUP(B367,country_opex,4,FALSE))/1000</f>
        <v/>
      </c>
      <c r="AJ367" s="42" t="n">
        <v>17806</v>
      </c>
      <c r="AK367" s="43" t="n"/>
      <c r="AL367" s="43" t="n"/>
      <c r="AM367" s="50" t="n">
        <v>0.1</v>
      </c>
      <c r="AN367" s="45">
        <f>IF(AJ367="","",AJ367*AM367)</f>
        <v/>
      </c>
      <c r="AO367" s="45">
        <f>IF(OR(AJ367="",U367=0),"",MIN(IF(AV367="",9.9E+99,AV367),FLOOR(AN367/U367,1)))</f>
        <v/>
      </c>
      <c r="AP367" s="49">
        <f>IF(AO367="","",AO367*W367)</f>
        <v/>
      </c>
      <c r="AQ367" s="47">
        <f>IF(OR(AJ367="",U367=0),"",MIN(IF(AV367="",9.9E+99,AV367),AN367/U367))</f>
        <v/>
      </c>
      <c r="AR367" s="49">
        <f>IF(AQ367="","",AQ367*W367)</f>
        <v/>
      </c>
      <c r="AS367" s="51" t="n"/>
      <c r="AT367" s="52" t="n"/>
      <c r="AU367" s="52" t="n"/>
      <c r="AV367" s="53" t="n"/>
      <c r="AW367" s="54">
        <f>IF(((V367*pax_cap*load_thin*ROUND(N367*O367*revleg_thin,0))-(((battery/range_nm)*G367*ROUND(N367*O367*revleg_thin,0)*VLOOKUP(B367,country_opex,3,FALSE))+Y367+Z367+AA367+AB367+AC367))&lt;=0,"",VLOOKUP(B367,country_opex,7,FALSE)/((V367*pax_cap*load_thin*ROUND(N367*O367*revleg_thin,0))-(((battery/range_nm)*G367*ROUND(N367*O367*revleg_thin,0)*VLOOKUP(B367,country_opex,3,FALSE))+Y367+Z367+AA367+AB367+AC367)))</f>
        <v/>
      </c>
      <c r="AX367" s="54">
        <f>IF(((V367*pax_cap*load_mid*ROUND(N367*O367*revleg_mid,0))-(((battery/range_nm)*G367*ROUND(N367*O367*revleg_mid,0)*VLOOKUP(B367,country_opex,3,FALSE))+Y367+Z367+AA367+AB367+AC367))&lt;=0,"",VLOOKUP(B367,country_opex,7,FALSE)/((V367*pax_cap*load_mid*ROUND(N367*O367*revleg_mid,0))-(((battery/range_nm)*G367*ROUND(N367*O367*revleg_mid,0)*VLOOKUP(B367,country_opex,3,FALSE))+Y367+Z367+AA367+AB367+AC367)))</f>
        <v/>
      </c>
      <c r="AY367" s="54">
        <f>IF(((V367*pax_cap*load_full*ROUND(N367*O367*revleg_full,0))-(((battery/range_nm)*G367*ROUND(N367*O367*revleg_full,0)*VLOOKUP(B367,country_opex,3,FALSE))+Y367+Z367+AA367+AB367+AC367))&lt;=0,"",VLOOKUP(B367,country_opex,7,FALSE)/((V367*pax_cap*load_full*ROUND(N367*O367*revleg_full,0))-(((battery/range_nm)*G367*ROUND(N367*O367*revleg_full,0)*VLOOKUP(B367,country_opex,3,FALSE))+Y367+Z367+AA367+AB367+AC367)))</f>
        <v/>
      </c>
      <c r="AZ367" s="40" t="inlineStr">
        <is>
          <t>PREMIUM tier: charter-divided per-seat ~60 RON (Portul Tomis Condor/Tomis/Euphoria group sea charters 400-1400 RON per group / ~10-12 pax). 60 RON / 4.6 = ~$13.0. No scheduled premium fast-shuttle exists today on this hop.</t>
        </is>
      </c>
      <c r="BA367" s="40" t="n"/>
    </row>
    <row r="368">
      <c r="A368" s="38" t="inlineStr">
        <is>
          <t>Bolt Romania</t>
        </is>
      </c>
      <c r="B368" s="38" t="inlineStr">
        <is>
          <t>Romania</t>
        </is>
      </c>
      <c r="C368" s="39" t="inlineStr">
        <is>
          <t>Constanta → Eforie Nord</t>
        </is>
      </c>
      <c r="D368" s="38" t="inlineStr">
        <is>
          <t>bolt</t>
        </is>
      </c>
      <c r="E368" s="40" t="inlineStr">
        <is>
          <t>bolt-romania</t>
        </is>
      </c>
      <c r="F368" s="41" t="n">
        <v>1</v>
      </c>
      <c r="G368" s="42" t="n">
        <v>8</v>
      </c>
      <c r="H368" s="35" t="n">
        <v>13</v>
      </c>
      <c r="I368" s="43" t="inlineStr">
        <is>
          <t>T2</t>
        </is>
      </c>
      <c r="J368" s="43" t="inlineStr">
        <is>
          <t>med</t>
        </is>
      </c>
      <c r="K368" s="29" t="n">
        <v>1</v>
      </c>
      <c r="L368" s="44">
        <f>60*G368/cruise_kt</f>
        <v/>
      </c>
      <c r="M368" s="44">
        <f>L368+turn_min+dwell_min</f>
        <v/>
      </c>
      <c r="N368" s="45">
        <f>MIN(16,FLOOR(60*service_hr/M368,1))</f>
        <v/>
      </c>
      <c r="O368" s="45">
        <f>ROUND(365*mech_uptime*K368,0)</f>
        <v/>
      </c>
      <c r="P368" s="46">
        <f>mech_uptime</f>
        <v/>
      </c>
      <c r="Q368" s="46">
        <f>revleg_sel</f>
        <v/>
      </c>
      <c r="R368" s="45">
        <f>ROUND(N368*O368*revleg_sel,0)</f>
        <v/>
      </c>
      <c r="S368" s="47">
        <f>load_sel</f>
        <v/>
      </c>
      <c r="T368" s="47">
        <f>pax_cap*S368</f>
        <v/>
      </c>
      <c r="U368" s="45">
        <f>T368*R368</f>
        <v/>
      </c>
      <c r="V368" s="48">
        <f>H368*discount</f>
        <v/>
      </c>
      <c r="W368" s="49">
        <f>V368*U368</f>
        <v/>
      </c>
      <c r="X368" s="49">
        <f>(battery/range_nm)*G368*R368*VLOOKUP(B368,country_opex,3,FALSE)</f>
        <v/>
      </c>
      <c r="Y368" s="49">
        <f>VLOOKUP(B368,country_opex,2,FALSE)*crew_factor</f>
        <v/>
      </c>
      <c r="Z368" s="49">
        <f>VLOOKUP(B368,country_opex,5,FALSE)</f>
        <v/>
      </c>
      <c r="AA368" s="49">
        <f>maint</f>
        <v/>
      </c>
      <c r="AB368" s="49">
        <f>VLOOKUP(B368,country_opex,7,FALSE)*ins_pct</f>
        <v/>
      </c>
      <c r="AC368" s="49">
        <f>charge_berth</f>
        <v/>
      </c>
      <c r="AD368" s="49">
        <f>X368+Y368+Z368+AA368+AB368+AC368</f>
        <v/>
      </c>
      <c r="AE368" s="49">
        <f>VLOOKUP(B368,country_opex,7,FALSE)/dep_years</f>
        <v/>
      </c>
      <c r="AF368" s="49">
        <f>W368-AD368</f>
        <v/>
      </c>
      <c r="AG368" s="46">
        <f>IF(W368=0,"",AF368/W368)</f>
        <v/>
      </c>
      <c r="AH368" s="47">
        <f>IF(AF368&lt;=0,"",VLOOKUP(B368,country_opex,7,FALSE)/AF368)</f>
        <v/>
      </c>
      <c r="AI368" s="44">
        <f>((G368*R368/diesel_nmpg)*diesel_co2pg-(battery/range_nm)*G368*R368*VLOOKUP(B368,country_opex,4,FALSE))/1000</f>
        <v/>
      </c>
      <c r="AJ368" s="42" t="n">
        <v>14736</v>
      </c>
      <c r="AK368" s="43" t="n"/>
      <c r="AL368" s="43" t="n"/>
      <c r="AM368" s="50" t="n">
        <v>0.1</v>
      </c>
      <c r="AN368" s="45">
        <f>IF(AJ368="","",AJ368*AM368)</f>
        <v/>
      </c>
      <c r="AO368" s="45">
        <f>IF(OR(AJ368="",U368=0),"",MIN(IF(AV368="",9.9E+99,AV368),FLOOR(AN368/U368,1)))</f>
        <v/>
      </c>
      <c r="AP368" s="49">
        <f>IF(AO368="","",AO368*W368)</f>
        <v/>
      </c>
      <c r="AQ368" s="47">
        <f>IF(OR(AJ368="",U368=0),"",MIN(IF(AV368="",9.9E+99,AV368),AN368/U368))</f>
        <v/>
      </c>
      <c r="AR368" s="49">
        <f>IF(AQ368="","",AQ368*W368)</f>
        <v/>
      </c>
      <c r="AS368" s="51" t="n"/>
      <c r="AT368" s="52" t="n"/>
      <c r="AU368" s="52" t="n"/>
      <c r="AV368" s="53" t="n"/>
      <c r="AW368" s="54">
        <f>IF(((V368*pax_cap*load_thin*ROUND(N368*O368*revleg_thin,0))-(((battery/range_nm)*G368*ROUND(N368*O368*revleg_thin,0)*VLOOKUP(B368,country_opex,3,FALSE))+Y368+Z368+AA368+AB368+AC368))&lt;=0,"",VLOOKUP(B368,country_opex,7,FALSE)/((V368*pax_cap*load_thin*ROUND(N368*O368*revleg_thin,0))-(((battery/range_nm)*G368*ROUND(N368*O368*revleg_thin,0)*VLOOKUP(B368,country_opex,3,FALSE))+Y368+Z368+AA368+AB368+AC368)))</f>
        <v/>
      </c>
      <c r="AX368" s="54">
        <f>IF(((V368*pax_cap*load_mid*ROUND(N368*O368*revleg_mid,0))-(((battery/range_nm)*G368*ROUND(N368*O368*revleg_mid,0)*VLOOKUP(B368,country_opex,3,FALSE))+Y368+Z368+AA368+AB368+AC368))&lt;=0,"",VLOOKUP(B368,country_opex,7,FALSE)/((V368*pax_cap*load_mid*ROUND(N368*O368*revleg_mid,0))-(((battery/range_nm)*G368*ROUND(N368*O368*revleg_mid,0)*VLOOKUP(B368,country_opex,3,FALSE))+Y368+Z368+AA368+AB368+AC368)))</f>
        <v/>
      </c>
      <c r="AY368" s="54">
        <f>IF(((V368*pax_cap*load_full*ROUND(N368*O368*revleg_full,0))-(((battery/range_nm)*G368*ROUND(N368*O368*revleg_full,0)*VLOOKUP(B368,country_opex,3,FALSE))+Y368+Z368+AA368+AB368+AC368))&lt;=0,"",VLOOKUP(B368,country_opex,7,FALSE)/((V368*pax_cap*load_full*ROUND(N368*O368*revleg_full,0))-(((battery/range_nm)*G368*ROUND(N368*O368*revleg_full,0)*VLOOKUP(B368,country_opex,3,FALSE))+Y368+Z368+AA368+AB368+AC368)))</f>
        <v/>
      </c>
      <c r="AZ368" s="40" t="inlineStr">
        <is>
          <t>Coast premium per-seat ~60 RON (charter-divided). ~$13.0.</t>
        </is>
      </c>
      <c r="BA368" s="40" t="n"/>
    </row>
    <row r="369">
      <c r="A369" s="38" t="inlineStr">
        <is>
          <t>Bolt Romania</t>
        </is>
      </c>
      <c r="B369" s="38" t="inlineStr">
        <is>
          <t>Romania</t>
        </is>
      </c>
      <c r="C369" s="39" t="inlineStr">
        <is>
          <t>Constanta → Navodari (Mamaia Nord)</t>
        </is>
      </c>
      <c r="D369" s="38" t="inlineStr">
        <is>
          <t>bolt</t>
        </is>
      </c>
      <c r="E369" s="40" t="inlineStr">
        <is>
          <t>bolt-romania</t>
        </is>
      </c>
      <c r="F369" s="41" t="n">
        <v>1</v>
      </c>
      <c r="G369" s="42" t="n">
        <v>9</v>
      </c>
      <c r="H369" s="35" t="n">
        <v>13</v>
      </c>
      <c r="I369" s="43" t="inlineStr">
        <is>
          <t>T2</t>
        </is>
      </c>
      <c r="J369" s="43" t="inlineStr">
        <is>
          <t>med</t>
        </is>
      </c>
      <c r="K369" s="29" t="n">
        <v>1</v>
      </c>
      <c r="L369" s="44">
        <f>60*G369/cruise_kt</f>
        <v/>
      </c>
      <c r="M369" s="44">
        <f>L369+turn_min+dwell_min</f>
        <v/>
      </c>
      <c r="N369" s="45">
        <f>MIN(16,FLOOR(60*service_hr/M369,1))</f>
        <v/>
      </c>
      <c r="O369" s="45">
        <f>ROUND(365*mech_uptime*K369,0)</f>
        <v/>
      </c>
      <c r="P369" s="46">
        <f>mech_uptime</f>
        <v/>
      </c>
      <c r="Q369" s="46">
        <f>revleg_sel</f>
        <v/>
      </c>
      <c r="R369" s="45">
        <f>ROUND(N369*O369*revleg_sel,0)</f>
        <v/>
      </c>
      <c r="S369" s="47">
        <f>load_sel</f>
        <v/>
      </c>
      <c r="T369" s="47">
        <f>pax_cap*S369</f>
        <v/>
      </c>
      <c r="U369" s="45">
        <f>T369*R369</f>
        <v/>
      </c>
      <c r="V369" s="48">
        <f>H369*discount</f>
        <v/>
      </c>
      <c r="W369" s="49">
        <f>V369*U369</f>
        <v/>
      </c>
      <c r="X369" s="49">
        <f>(battery/range_nm)*G369*R369*VLOOKUP(B369,country_opex,3,FALSE)</f>
        <v/>
      </c>
      <c r="Y369" s="49">
        <f>VLOOKUP(B369,country_opex,2,FALSE)*crew_factor</f>
        <v/>
      </c>
      <c r="Z369" s="49">
        <f>VLOOKUP(B369,country_opex,5,FALSE)</f>
        <v/>
      </c>
      <c r="AA369" s="49">
        <f>maint</f>
        <v/>
      </c>
      <c r="AB369" s="49">
        <f>VLOOKUP(B369,country_opex,7,FALSE)*ins_pct</f>
        <v/>
      </c>
      <c r="AC369" s="49">
        <f>charge_berth</f>
        <v/>
      </c>
      <c r="AD369" s="49">
        <f>X369+Y369+Z369+AA369+AB369+AC369</f>
        <v/>
      </c>
      <c r="AE369" s="49">
        <f>VLOOKUP(B369,country_opex,7,FALSE)/dep_years</f>
        <v/>
      </c>
      <c r="AF369" s="49">
        <f>W369-AD369</f>
        <v/>
      </c>
      <c r="AG369" s="46">
        <f>IF(W369=0,"",AF369/W369)</f>
        <v/>
      </c>
      <c r="AH369" s="47">
        <f>IF(AF369&lt;=0,"",VLOOKUP(B369,country_opex,7,FALSE)/AF369)</f>
        <v/>
      </c>
      <c r="AI369" s="44">
        <f>((G369*R369/diesel_nmpg)*diesel_co2pg-(battery/range_nm)*G369*R369*VLOOKUP(B369,country_opex,4,FALSE))/1000</f>
        <v/>
      </c>
      <c r="AJ369" s="42" t="n"/>
      <c r="AK369" s="43" t="n"/>
      <c r="AL369" s="43" t="n"/>
      <c r="AM369" s="50" t="n">
        <v>0.1</v>
      </c>
      <c r="AN369" s="45">
        <f>IF(AJ369="","",AJ369*AM369)</f>
        <v/>
      </c>
      <c r="AO369" s="45">
        <f>IF(OR(AJ369="",U369=0),"",MIN(IF(AV369="",9.9E+99,AV369),FLOOR(AN369/U369,1)))</f>
        <v/>
      </c>
      <c r="AP369" s="49">
        <f>IF(AO369="","",AO369*W369)</f>
        <v/>
      </c>
      <c r="AQ369" s="47">
        <f>IF(OR(AJ369="",U369=0),"",MIN(IF(AV369="",9.9E+99,AV369),AN369/U369))</f>
        <v/>
      </c>
      <c r="AR369" s="49">
        <f>IF(AQ369="","",AQ369*W369)</f>
        <v/>
      </c>
      <c r="AS369" s="51" t="n"/>
      <c r="AT369" s="52" t="n"/>
      <c r="AU369" s="52" t="n"/>
      <c r="AV369" s="53" t="n"/>
      <c r="AW369" s="54">
        <f>IF(((V369*pax_cap*load_thin*ROUND(N369*O369*revleg_thin,0))-(((battery/range_nm)*G369*ROUND(N369*O369*revleg_thin,0)*VLOOKUP(B369,country_opex,3,FALSE))+Y369+Z369+AA369+AB369+AC369))&lt;=0,"",VLOOKUP(B369,country_opex,7,FALSE)/((V369*pax_cap*load_thin*ROUND(N369*O369*revleg_thin,0))-(((battery/range_nm)*G369*ROUND(N369*O369*revleg_thin,0)*VLOOKUP(B369,country_opex,3,FALSE))+Y369+Z369+AA369+AB369+AC369)))</f>
        <v/>
      </c>
      <c r="AX369" s="54">
        <f>IF(((V369*pax_cap*load_mid*ROUND(N369*O369*revleg_mid,0))-(((battery/range_nm)*G369*ROUND(N369*O369*revleg_mid,0)*VLOOKUP(B369,country_opex,3,FALSE))+Y369+Z369+AA369+AB369+AC369))&lt;=0,"",VLOOKUP(B369,country_opex,7,FALSE)/((V369*pax_cap*load_mid*ROUND(N369*O369*revleg_mid,0))-(((battery/range_nm)*G369*ROUND(N369*O369*revleg_mid,0)*VLOOKUP(B369,country_opex,3,FALSE))+Y369+Z369+AA369+AB369+AC369)))</f>
        <v/>
      </c>
      <c r="AY369" s="54">
        <f>IF(((V369*pax_cap*load_full*ROUND(N369*O369*revleg_full,0))-(((battery/range_nm)*G369*ROUND(N369*O369*revleg_full,0)*VLOOKUP(B369,country_opex,3,FALSE))+Y369+Z369+AA369+AB369+AC369))&lt;=0,"",VLOOKUP(B369,country_opex,7,FALSE)/((V369*pax_cap*load_full*ROUND(N369*O369*revleg_full,0))-(((battery/range_nm)*G369*ROUND(N369*O369*revleg_full,0)*VLOOKUP(B369,country_opex,3,FALSE))+Y369+Z369+AA369+AB369+AC369)))</f>
        <v/>
      </c>
      <c r="AZ369" s="40" t="inlineStr">
        <is>
          <t>Same coast premium per-seat ~60 RON (charter-divided). ~$13.0.</t>
        </is>
      </c>
      <c r="BA369" s="40" t="n"/>
    </row>
    <row r="370">
      <c r="A370" s="38" t="inlineStr">
        <is>
          <t>Bolt Romania</t>
        </is>
      </c>
      <c r="B370" s="38" t="inlineStr">
        <is>
          <t>Romania</t>
        </is>
      </c>
      <c r="C370" s="39" t="inlineStr">
        <is>
          <t>Constanta → Costinesti</t>
        </is>
      </c>
      <c r="D370" s="38" t="inlineStr">
        <is>
          <t>bolt</t>
        </is>
      </c>
      <c r="E370" s="40" t="inlineStr">
        <is>
          <t>bolt-romania</t>
        </is>
      </c>
      <c r="F370" s="41" t="n">
        <v>1</v>
      </c>
      <c r="G370" s="42" t="n">
        <v>15</v>
      </c>
      <c r="H370" s="35" t="n">
        <v>13</v>
      </c>
      <c r="I370" s="43" t="inlineStr">
        <is>
          <t>T2</t>
        </is>
      </c>
      <c r="J370" s="43" t="inlineStr">
        <is>
          <t>med</t>
        </is>
      </c>
      <c r="K370" s="29" t="n">
        <v>1</v>
      </c>
      <c r="L370" s="44">
        <f>60*G370/cruise_kt</f>
        <v/>
      </c>
      <c r="M370" s="44">
        <f>L370+turn_min+dwell_min</f>
        <v/>
      </c>
      <c r="N370" s="45">
        <f>MIN(16,FLOOR(60*service_hr/M370,1))</f>
        <v/>
      </c>
      <c r="O370" s="45">
        <f>ROUND(365*mech_uptime*K370,0)</f>
        <v/>
      </c>
      <c r="P370" s="46">
        <f>mech_uptime</f>
        <v/>
      </c>
      <c r="Q370" s="46">
        <f>revleg_sel</f>
        <v/>
      </c>
      <c r="R370" s="45">
        <f>ROUND(N370*O370*revleg_sel,0)</f>
        <v/>
      </c>
      <c r="S370" s="47">
        <f>load_sel</f>
        <v/>
      </c>
      <c r="T370" s="47">
        <f>pax_cap*S370</f>
        <v/>
      </c>
      <c r="U370" s="45">
        <f>T370*R370</f>
        <v/>
      </c>
      <c r="V370" s="48">
        <f>H370*discount</f>
        <v/>
      </c>
      <c r="W370" s="49">
        <f>V370*U370</f>
        <v/>
      </c>
      <c r="X370" s="49">
        <f>(battery/range_nm)*G370*R370*VLOOKUP(B370,country_opex,3,FALSE)</f>
        <v/>
      </c>
      <c r="Y370" s="49">
        <f>VLOOKUP(B370,country_opex,2,FALSE)*crew_factor</f>
        <v/>
      </c>
      <c r="Z370" s="49">
        <f>VLOOKUP(B370,country_opex,5,FALSE)</f>
        <v/>
      </c>
      <c r="AA370" s="49">
        <f>maint</f>
        <v/>
      </c>
      <c r="AB370" s="49">
        <f>VLOOKUP(B370,country_opex,7,FALSE)*ins_pct</f>
        <v/>
      </c>
      <c r="AC370" s="49">
        <f>charge_berth</f>
        <v/>
      </c>
      <c r="AD370" s="49">
        <f>X370+Y370+Z370+AA370+AB370+AC370</f>
        <v/>
      </c>
      <c r="AE370" s="49">
        <f>VLOOKUP(B370,country_opex,7,FALSE)/dep_years</f>
        <v/>
      </c>
      <c r="AF370" s="49">
        <f>W370-AD370</f>
        <v/>
      </c>
      <c r="AG370" s="46">
        <f>IF(W370=0,"",AF370/W370)</f>
        <v/>
      </c>
      <c r="AH370" s="47">
        <f>IF(AF370&lt;=0,"",VLOOKUP(B370,country_opex,7,FALSE)/AF370)</f>
        <v/>
      </c>
      <c r="AI370" s="44">
        <f>((G370*R370/diesel_nmpg)*diesel_co2pg-(battery/range_nm)*G370*R370*VLOOKUP(B370,country_opex,4,FALSE))/1000</f>
        <v/>
      </c>
      <c r="AJ370" s="42" t="n">
        <v>7894</v>
      </c>
      <c r="AK370" s="43" t="n"/>
      <c r="AL370" s="43" t="n"/>
      <c r="AM370" s="50" t="n">
        <v>0.1</v>
      </c>
      <c r="AN370" s="45">
        <f>IF(AJ370="","",AJ370*AM370)</f>
        <v/>
      </c>
      <c r="AO370" s="45">
        <f>IF(OR(AJ370="",U370=0),"",MIN(IF(AV370="",9.9E+99,AV370),FLOOR(AN370/U370,1)))</f>
        <v/>
      </c>
      <c r="AP370" s="49">
        <f>IF(AO370="","",AO370*W370)</f>
        <v/>
      </c>
      <c r="AQ370" s="47">
        <f>IF(OR(AJ370="",U370=0),"",MIN(IF(AV370="",9.9E+99,AV370),AN370/U370))</f>
        <v/>
      </c>
      <c r="AR370" s="49">
        <f>IF(AQ370="","",AQ370*W370)</f>
        <v/>
      </c>
      <c r="AS370" s="51" t="n"/>
      <c r="AT370" s="52" t="n"/>
      <c r="AU370" s="52" t="n"/>
      <c r="AV370" s="53" t="n"/>
      <c r="AW370" s="54">
        <f>IF(((V370*pax_cap*load_thin*ROUND(N370*O370*revleg_thin,0))-(((battery/range_nm)*G370*ROUND(N370*O370*revleg_thin,0)*VLOOKUP(B370,country_opex,3,FALSE))+Y370+Z370+AA370+AB370+AC370))&lt;=0,"",VLOOKUP(B370,country_opex,7,FALSE)/((V370*pax_cap*load_thin*ROUND(N370*O370*revleg_thin,0))-(((battery/range_nm)*G370*ROUND(N370*O370*revleg_thin,0)*VLOOKUP(B370,country_opex,3,FALSE))+Y370+Z370+AA370+AB370+AC370)))</f>
        <v/>
      </c>
      <c r="AX370" s="54">
        <f>IF(((V370*pax_cap*load_mid*ROUND(N370*O370*revleg_mid,0))-(((battery/range_nm)*G370*ROUND(N370*O370*revleg_mid,0)*VLOOKUP(B370,country_opex,3,FALSE))+Y370+Z370+AA370+AB370+AC370))&lt;=0,"",VLOOKUP(B370,country_opex,7,FALSE)/((V370*pax_cap*load_mid*ROUND(N370*O370*revleg_mid,0))-(((battery/range_nm)*G370*ROUND(N370*O370*revleg_mid,0)*VLOOKUP(B370,country_opex,3,FALSE))+Y370+Z370+AA370+AB370+AC370)))</f>
        <v/>
      </c>
      <c r="AY370" s="54">
        <f>IF(((V370*pax_cap*load_full*ROUND(N370*O370*revleg_full,0))-(((battery/range_nm)*G370*ROUND(N370*O370*revleg_full,0)*VLOOKUP(B370,country_opex,3,FALSE))+Y370+Z370+AA370+AB370+AC370))&lt;=0,"",VLOOKUP(B370,country_opex,7,FALSE)/((V370*pax_cap*load_full*ROUND(N370*O370*revleg_full,0))-(((battery/range_nm)*G370*ROUND(N370*O370*revleg_full,0)*VLOOKUP(B370,country_opex,3,FALSE))+Y370+Z370+AA370+AB370+AC370)))</f>
        <v/>
      </c>
      <c r="AZ370" s="40" t="inlineStr">
        <is>
          <t>Coast premium per-seat ~60 RON (charter-divided). ~$13.0.</t>
        </is>
      </c>
      <c r="BA370" s="40" t="n"/>
    </row>
    <row r="371">
      <c r="A371" s="38" t="inlineStr">
        <is>
          <t>Bolt Romania</t>
        </is>
      </c>
      <c r="B371" s="38" t="inlineStr">
        <is>
          <t>Romania</t>
        </is>
      </c>
      <c r="C371" s="39" t="inlineStr">
        <is>
          <t>Bucharest → Snagov</t>
        </is>
      </c>
      <c r="D371" s="38" t="inlineStr">
        <is>
          <t>bolt</t>
        </is>
      </c>
      <c r="E371" s="40" t="inlineStr">
        <is>
          <t>bolt-romania</t>
        </is>
      </c>
      <c r="F371" s="41" t="n">
        <v>1</v>
      </c>
      <c r="G371" s="42" t="n">
        <v>19</v>
      </c>
      <c r="H371" s="35" t="n"/>
      <c r="I371" s="43" t="n"/>
      <c r="J371" s="43" t="n"/>
      <c r="K371" s="29" t="n">
        <v>1</v>
      </c>
      <c r="L371" s="44">
        <f>60*G371/cruise_kt</f>
        <v/>
      </c>
      <c r="M371" s="44">
        <f>L371+turn_min+dwell_min</f>
        <v/>
      </c>
      <c r="N371" s="45">
        <f>MIN(16,FLOOR(60*service_hr/M371,1))</f>
        <v/>
      </c>
      <c r="O371" s="45">
        <f>ROUND(365*mech_uptime*K371,0)</f>
        <v/>
      </c>
      <c r="P371" s="46">
        <f>mech_uptime</f>
        <v/>
      </c>
      <c r="Q371" s="46">
        <f>revleg_sel</f>
        <v/>
      </c>
      <c r="R371" s="45">
        <f>ROUND(N371*O371*revleg_sel,0)</f>
        <v/>
      </c>
      <c r="S371" s="47">
        <f>load_sel</f>
        <v/>
      </c>
      <c r="T371" s="47">
        <f>pax_cap*S371</f>
        <v/>
      </c>
      <c r="U371" s="45">
        <f>T371*R371</f>
        <v/>
      </c>
      <c r="V371" s="48">
        <f>H371*discount</f>
        <v/>
      </c>
      <c r="W371" s="49">
        <f>V371*U371</f>
        <v/>
      </c>
      <c r="X371" s="49">
        <f>(battery/range_nm)*G371*R371*VLOOKUP(B371,country_opex,3,FALSE)</f>
        <v/>
      </c>
      <c r="Y371" s="49">
        <f>VLOOKUP(B371,country_opex,2,FALSE)*crew_factor</f>
        <v/>
      </c>
      <c r="Z371" s="49">
        <f>VLOOKUP(B371,country_opex,5,FALSE)</f>
        <v/>
      </c>
      <c r="AA371" s="49">
        <f>maint</f>
        <v/>
      </c>
      <c r="AB371" s="49">
        <f>VLOOKUP(B371,country_opex,7,FALSE)*ins_pct</f>
        <v/>
      </c>
      <c r="AC371" s="49">
        <f>charge_berth</f>
        <v/>
      </c>
      <c r="AD371" s="49">
        <f>X371+Y371+Z371+AA371+AB371+AC371</f>
        <v/>
      </c>
      <c r="AE371" s="49">
        <f>VLOOKUP(B371,country_opex,7,FALSE)/dep_years</f>
        <v/>
      </c>
      <c r="AF371" s="49">
        <f>W371-AD371</f>
        <v/>
      </c>
      <c r="AG371" s="46">
        <f>IF(W371=0,"",AF371/W371)</f>
        <v/>
      </c>
      <c r="AH371" s="47">
        <f>IF(AF371&lt;=0,"",VLOOKUP(B371,country_opex,7,FALSE)/AF371)</f>
        <v/>
      </c>
      <c r="AI371" s="44">
        <f>((G371*R371/diesel_nmpg)*diesel_co2pg-(battery/range_nm)*G371*R371*VLOOKUP(B371,country_opex,4,FALSE))/1000</f>
        <v/>
      </c>
      <c r="AJ371" s="42" t="n"/>
      <c r="AK371" s="43" t="n"/>
      <c r="AL371" s="43" t="n"/>
      <c r="AM371" s="50" t="n">
        <v>0.1</v>
      </c>
      <c r="AN371" s="45">
        <f>IF(AJ371="","",AJ371*AM371)</f>
        <v/>
      </c>
      <c r="AO371" s="45">
        <f>IF(OR(AJ371="",U371=0),"",MIN(IF(AV371="",9.9E+99,AV371),FLOOR(AN371/U371,1)))</f>
        <v/>
      </c>
      <c r="AP371" s="49">
        <f>IF(AO371="","",AO371*W371)</f>
        <v/>
      </c>
      <c r="AQ371" s="47">
        <f>IF(OR(AJ371="",U371=0),"",MIN(IF(AV371="",9.9E+99,AV371),AN371/U371))</f>
        <v/>
      </c>
      <c r="AR371" s="49">
        <f>IF(AQ371="","",AQ371*W371)</f>
        <v/>
      </c>
      <c r="AS371" s="51" t="n"/>
      <c r="AT371" s="52" t="n"/>
      <c r="AU371" s="52" t="n"/>
      <c r="AV371" s="53" t="n"/>
      <c r="AW371" s="54">
        <f>IF(((V371*pax_cap*load_thin*ROUND(N371*O371*revleg_thin,0))-(((battery/range_nm)*G371*ROUND(N371*O371*revleg_thin,0)*VLOOKUP(B371,country_opex,3,FALSE))+Y371+Z371+AA371+AB371+AC371))&lt;=0,"",VLOOKUP(B371,country_opex,7,FALSE)/((V371*pax_cap*load_thin*ROUND(N371*O371*revleg_thin,0))-(((battery/range_nm)*G371*ROUND(N371*O371*revleg_thin,0)*VLOOKUP(B371,country_opex,3,FALSE))+Y371+Z371+AA371+AB371+AC371)))</f>
        <v/>
      </c>
      <c r="AX371" s="54">
        <f>IF(((V371*pax_cap*load_mid*ROUND(N371*O371*revleg_mid,0))-(((battery/range_nm)*G371*ROUND(N371*O371*revleg_mid,0)*VLOOKUP(B371,country_opex,3,FALSE))+Y371+Z371+AA371+AB371+AC371))&lt;=0,"",VLOOKUP(B371,country_opex,7,FALSE)/((V371*pax_cap*load_mid*ROUND(N371*O371*revleg_mid,0))-(((battery/range_nm)*G371*ROUND(N371*O371*revleg_mid,0)*VLOOKUP(B371,country_opex,3,FALSE))+Y371+Z371+AA371+AB371+AC371)))</f>
        <v/>
      </c>
      <c r="AY371" s="54">
        <f>IF(((V371*pax_cap*load_full*ROUND(N371*O371*revleg_full,0))-(((battery/range_nm)*G371*ROUND(N371*O371*revleg_full,0)*VLOOKUP(B371,country_opex,3,FALSE))+Y371+Z371+AA371+AB371+AC371))&lt;=0,"",VLOOKUP(B371,country_opex,7,FALSE)/((V371*pax_cap*load_full*ROUND(N371*O371*revleg_full,0))-(((battery/range_nm)*G371*ROUND(N371*O371*revleg_full,0)*VLOOKUP(B371,country_opex,3,FALSE))+Y371+Z371+AA371+AB371+AC371)))</f>
        <v/>
      </c>
      <c r="AZ371" s="40" t="n"/>
      <c r="BA371" s="40" t="n"/>
    </row>
    <row r="372">
      <c r="A372" s="38" t="inlineStr">
        <is>
          <t>Bolt Romania</t>
        </is>
      </c>
      <c r="B372" s="38" t="inlineStr">
        <is>
          <t>Romania</t>
        </is>
      </c>
      <c r="C372" s="39" t="inlineStr">
        <is>
          <t>Mangalia → Balchik (Bulgaria)</t>
        </is>
      </c>
      <c r="D372" s="38" t="inlineStr">
        <is>
          <t>bolt</t>
        </is>
      </c>
      <c r="E372" s="40" t="inlineStr">
        <is>
          <t>bolt-romania</t>
        </is>
      </c>
      <c r="F372" s="41" t="n">
        <v>1</v>
      </c>
      <c r="G372" s="42" t="n">
        <v>22</v>
      </c>
      <c r="H372" s="35" t="n"/>
      <c r="I372" s="43" t="n"/>
      <c r="J372" s="43" t="n"/>
      <c r="K372" s="29" t="n">
        <v>1</v>
      </c>
      <c r="L372" s="44">
        <f>60*G372/cruise_kt</f>
        <v/>
      </c>
      <c r="M372" s="44">
        <f>L372+turn_min+dwell_min</f>
        <v/>
      </c>
      <c r="N372" s="45">
        <f>MIN(10,FLOOR(60*service_hr/M372,1))</f>
        <v/>
      </c>
      <c r="O372" s="45">
        <f>ROUND(365*mech_uptime*K372,0)</f>
        <v/>
      </c>
      <c r="P372" s="46">
        <f>mech_uptime</f>
        <v/>
      </c>
      <c r="Q372" s="46">
        <f>revleg_sel</f>
        <v/>
      </c>
      <c r="R372" s="45">
        <f>ROUND(N372*O372*revleg_sel,0)</f>
        <v/>
      </c>
      <c r="S372" s="47">
        <f>load_sel</f>
        <v/>
      </c>
      <c r="T372" s="47">
        <f>pax_cap*S372</f>
        <v/>
      </c>
      <c r="U372" s="45">
        <f>T372*R372</f>
        <v/>
      </c>
      <c r="V372" s="48">
        <f>H372*discount</f>
        <v/>
      </c>
      <c r="W372" s="49">
        <f>V372*U372</f>
        <v/>
      </c>
      <c r="X372" s="49">
        <f>(battery/range_nm)*G372*R372*VLOOKUP(B372,country_opex,3,FALSE)</f>
        <v/>
      </c>
      <c r="Y372" s="49">
        <f>VLOOKUP(B372,country_opex,2,FALSE)*crew_factor</f>
        <v/>
      </c>
      <c r="Z372" s="49">
        <f>VLOOKUP(B372,country_opex,5,FALSE)</f>
        <v/>
      </c>
      <c r="AA372" s="49">
        <f>maint</f>
        <v/>
      </c>
      <c r="AB372" s="49">
        <f>VLOOKUP(B372,country_opex,7,FALSE)*ins_pct</f>
        <v/>
      </c>
      <c r="AC372" s="49">
        <f>charge_berth</f>
        <v/>
      </c>
      <c r="AD372" s="49">
        <f>X372+Y372+Z372+AA372+AB372+AC372</f>
        <v/>
      </c>
      <c r="AE372" s="49">
        <f>VLOOKUP(B372,country_opex,7,FALSE)/dep_years</f>
        <v/>
      </c>
      <c r="AF372" s="49">
        <f>W372-AD372</f>
        <v/>
      </c>
      <c r="AG372" s="46">
        <f>IF(W372=0,"",AF372/W372)</f>
        <v/>
      </c>
      <c r="AH372" s="47">
        <f>IF(AF372&lt;=0,"",VLOOKUP(B372,country_opex,7,FALSE)/AF372)</f>
        <v/>
      </c>
      <c r="AI372" s="44">
        <f>((G372*R372/diesel_nmpg)*diesel_co2pg-(battery/range_nm)*G372*R372*VLOOKUP(B372,country_opex,4,FALSE))/1000</f>
        <v/>
      </c>
      <c r="AJ372" s="42" t="n"/>
      <c r="AK372" s="43" t="n"/>
      <c r="AL372" s="43" t="n"/>
      <c r="AM372" s="50" t="n">
        <v>0.1</v>
      </c>
      <c r="AN372" s="45">
        <f>IF(AJ372="","",AJ372*AM372)</f>
        <v/>
      </c>
      <c r="AO372" s="45">
        <f>IF(OR(AJ372="",U372=0),"",MIN(IF(AV372="",9.9E+99,AV372),FLOOR(AN372/U372,1)))</f>
        <v/>
      </c>
      <c r="AP372" s="49">
        <f>IF(AO372="","",AO372*W372)</f>
        <v/>
      </c>
      <c r="AQ372" s="47">
        <f>IF(OR(AJ372="",U372=0),"",MIN(IF(AV372="",9.9E+99,AV372),AN372/U372))</f>
        <v/>
      </c>
      <c r="AR372" s="49">
        <f>IF(AQ372="","",AQ372*W372)</f>
        <v/>
      </c>
      <c r="AS372" s="51" t="n"/>
      <c r="AT372" s="52" t="n"/>
      <c r="AU372" s="52" t="n"/>
      <c r="AV372" s="53" t="n"/>
      <c r="AW372" s="54">
        <f>IF(((V372*pax_cap*load_thin*ROUND(N372*O372*revleg_thin,0))-(((battery/range_nm)*G372*ROUND(N372*O372*revleg_thin,0)*VLOOKUP(B372,country_opex,3,FALSE))+Y372+Z372+AA372+AB372+AC372))&lt;=0,"",VLOOKUP(B372,country_opex,7,FALSE)/((V372*pax_cap*load_thin*ROUND(N372*O372*revleg_thin,0))-(((battery/range_nm)*G372*ROUND(N372*O372*revleg_thin,0)*VLOOKUP(B372,country_opex,3,FALSE))+Y372+Z372+AA372+AB372+AC372)))</f>
        <v/>
      </c>
      <c r="AX372" s="54">
        <f>IF(((V372*pax_cap*load_mid*ROUND(N372*O372*revleg_mid,0))-(((battery/range_nm)*G372*ROUND(N372*O372*revleg_mid,0)*VLOOKUP(B372,country_opex,3,FALSE))+Y372+Z372+AA372+AB372+AC372))&lt;=0,"",VLOOKUP(B372,country_opex,7,FALSE)/((V372*pax_cap*load_mid*ROUND(N372*O372*revleg_mid,0))-(((battery/range_nm)*G372*ROUND(N372*O372*revleg_mid,0)*VLOOKUP(B372,country_opex,3,FALSE))+Y372+Z372+AA372+AB372+AC372)))</f>
        <v/>
      </c>
      <c r="AY372" s="54">
        <f>IF(((V372*pax_cap*load_full*ROUND(N372*O372*revleg_full,0))-(((battery/range_nm)*G372*ROUND(N372*O372*revleg_full,0)*VLOOKUP(B372,country_opex,3,FALSE))+Y372+Z372+AA372+AB372+AC372))&lt;=0,"",VLOOKUP(B372,country_opex,7,FALSE)/((V372*pax_cap*load_full*ROUND(N372*O372*revleg_full,0))-(((battery/range_nm)*G372*ROUND(N372*O372*revleg_full,0)*VLOOKUP(B372,country_opex,3,FALSE))+Y372+Z372+AA372+AB372+AC372)))</f>
        <v/>
      </c>
      <c r="AZ372" s="40" t="n"/>
      <c r="BA372" s="40" t="n"/>
    </row>
    <row r="373">
      <c r="A373" s="38" t="inlineStr">
        <is>
          <t>Bolt Romania</t>
        </is>
      </c>
      <c r="B373" s="38" t="inlineStr">
        <is>
          <t>Romania</t>
        </is>
      </c>
      <c r="C373" s="39" t="inlineStr">
        <is>
          <t>Constanta → Mangalia</t>
        </is>
      </c>
      <c r="D373" s="38" t="inlineStr">
        <is>
          <t>bolt</t>
        </is>
      </c>
      <c r="E373" s="40" t="inlineStr">
        <is>
          <t>bolt-romania</t>
        </is>
      </c>
      <c r="F373" s="41" t="n">
        <v>1</v>
      </c>
      <c r="G373" s="42" t="n">
        <v>23</v>
      </c>
      <c r="H373" s="35" t="n">
        <v>13</v>
      </c>
      <c r="I373" s="43" t="inlineStr">
        <is>
          <t>T2</t>
        </is>
      </c>
      <c r="J373" s="43" t="inlineStr">
        <is>
          <t>med</t>
        </is>
      </c>
      <c r="K373" s="29" t="n">
        <v>1</v>
      </c>
      <c r="L373" s="44">
        <f>60*G373/cruise_kt</f>
        <v/>
      </c>
      <c r="M373" s="44">
        <f>L373+turn_min+dwell_min</f>
        <v/>
      </c>
      <c r="N373" s="45">
        <f>MIN(16,FLOOR(60*service_hr/M373,1))</f>
        <v/>
      </c>
      <c r="O373" s="45">
        <f>ROUND(365*mech_uptime*K373,0)</f>
        <v/>
      </c>
      <c r="P373" s="46">
        <f>mech_uptime</f>
        <v/>
      </c>
      <c r="Q373" s="46">
        <f>revleg_sel</f>
        <v/>
      </c>
      <c r="R373" s="45">
        <f>ROUND(N373*O373*revleg_sel,0)</f>
        <v/>
      </c>
      <c r="S373" s="47">
        <f>load_sel</f>
        <v/>
      </c>
      <c r="T373" s="47">
        <f>pax_cap*S373</f>
        <v/>
      </c>
      <c r="U373" s="45">
        <f>T373*R373</f>
        <v/>
      </c>
      <c r="V373" s="48">
        <f>H373*discount</f>
        <v/>
      </c>
      <c r="W373" s="49">
        <f>V373*U373</f>
        <v/>
      </c>
      <c r="X373" s="49">
        <f>(battery/range_nm)*G373*R373*VLOOKUP(B373,country_opex,3,FALSE)</f>
        <v/>
      </c>
      <c r="Y373" s="49">
        <f>VLOOKUP(B373,country_opex,2,FALSE)*crew_factor</f>
        <v/>
      </c>
      <c r="Z373" s="49">
        <f>VLOOKUP(B373,country_opex,5,FALSE)</f>
        <v/>
      </c>
      <c r="AA373" s="49">
        <f>maint</f>
        <v/>
      </c>
      <c r="AB373" s="49">
        <f>VLOOKUP(B373,country_opex,7,FALSE)*ins_pct</f>
        <v/>
      </c>
      <c r="AC373" s="49">
        <f>charge_berth</f>
        <v/>
      </c>
      <c r="AD373" s="49">
        <f>X373+Y373+Z373+AA373+AB373+AC373</f>
        <v/>
      </c>
      <c r="AE373" s="49">
        <f>VLOOKUP(B373,country_opex,7,FALSE)/dep_years</f>
        <v/>
      </c>
      <c r="AF373" s="49">
        <f>W373-AD373</f>
        <v/>
      </c>
      <c r="AG373" s="46">
        <f>IF(W373=0,"",AF373/W373)</f>
        <v/>
      </c>
      <c r="AH373" s="47">
        <f>IF(AF373&lt;=0,"",VLOOKUP(B373,country_opex,7,FALSE)/AF373)</f>
        <v/>
      </c>
      <c r="AI373" s="44">
        <f>((G373*R373/diesel_nmpg)*diesel_co2pg-(battery/range_nm)*G373*R373*VLOOKUP(B373,country_opex,4,FALSE))/1000</f>
        <v/>
      </c>
      <c r="AJ373" s="42" t="n">
        <v>7017</v>
      </c>
      <c r="AK373" s="43" t="n"/>
      <c r="AL373" s="43" t="n"/>
      <c r="AM373" s="50" t="n">
        <v>0.1</v>
      </c>
      <c r="AN373" s="45">
        <f>IF(AJ373="","",AJ373*AM373)</f>
        <v/>
      </c>
      <c r="AO373" s="45">
        <f>IF(OR(AJ373="",U373=0),"",MIN(IF(AV373="",9.9E+99,AV373),FLOOR(AN373/U373,1)))</f>
        <v/>
      </c>
      <c r="AP373" s="49">
        <f>IF(AO373="","",AO373*W373)</f>
        <v/>
      </c>
      <c r="AQ373" s="47">
        <f>IF(OR(AJ373="",U373=0),"",MIN(IF(AV373="",9.9E+99,AV373),AN373/U373))</f>
        <v/>
      </c>
      <c r="AR373" s="49">
        <f>IF(AQ373="","",AQ373*W373)</f>
        <v/>
      </c>
      <c r="AS373" s="51" t="n"/>
      <c r="AT373" s="52" t="n"/>
      <c r="AU373" s="52" t="n"/>
      <c r="AV373" s="53" t="n"/>
      <c r="AW373" s="54">
        <f>IF(((V373*pax_cap*load_thin*ROUND(N373*O373*revleg_thin,0))-(((battery/range_nm)*G373*ROUND(N373*O373*revleg_thin,0)*VLOOKUP(B373,country_opex,3,FALSE))+Y373+Z373+AA373+AB373+AC373))&lt;=0,"",VLOOKUP(B373,country_opex,7,FALSE)/((V373*pax_cap*load_thin*ROUND(N373*O373*revleg_thin,0))-(((battery/range_nm)*G373*ROUND(N373*O373*revleg_thin,0)*VLOOKUP(B373,country_opex,3,FALSE))+Y373+Z373+AA373+AB373+AC373)))</f>
        <v/>
      </c>
      <c r="AX373" s="54">
        <f>IF(((V373*pax_cap*load_mid*ROUND(N373*O373*revleg_mid,0))-(((battery/range_nm)*G373*ROUND(N373*O373*revleg_mid,0)*VLOOKUP(B373,country_opex,3,FALSE))+Y373+Z373+AA373+AB373+AC373))&lt;=0,"",VLOOKUP(B373,country_opex,7,FALSE)/((V373*pax_cap*load_mid*ROUND(N373*O373*revleg_mid,0))-(((battery/range_nm)*G373*ROUND(N373*O373*revleg_mid,0)*VLOOKUP(B373,country_opex,3,FALSE))+Y373+Z373+AA373+AB373+AC373)))</f>
        <v/>
      </c>
      <c r="AY373" s="54">
        <f>IF(((V373*pax_cap*load_full*ROUND(N373*O373*revleg_full,0))-(((battery/range_nm)*G373*ROUND(N373*O373*revleg_full,0)*VLOOKUP(B373,country_opex,3,FALSE))+Y373+Z373+AA373+AB373+AC373))&lt;=0,"",VLOOKUP(B373,country_opex,7,FALSE)/((V373*pax_cap*load_full*ROUND(N373*O373*revleg_full,0))-(((battery/range_nm)*G373*ROUND(N373*O373*revleg_full,0)*VLOOKUP(B373,country_opex,3,FALSE))+Y373+Z373+AA373+AB373+AC373)))</f>
        <v/>
      </c>
      <c r="AZ373" s="40" t="inlineStr">
        <is>
          <t>Coast premium per-seat ~60 RON (charter-divided). ~$13.0. (Longer leg could justify a higher seat; unsourced -&gt; hold at coast anchor.)</t>
        </is>
      </c>
      <c r="BA373" s="40" t="n"/>
    </row>
    <row r="374">
      <c r="A374" s="38" t="inlineStr">
        <is>
          <t>Bolt Romania</t>
        </is>
      </c>
      <c r="B374" s="38" t="inlineStr">
        <is>
          <t>Romania</t>
        </is>
      </c>
      <c r="C374" s="39" t="inlineStr">
        <is>
          <t>Tulcea → Crisan</t>
        </is>
      </c>
      <c r="D374" s="38" t="inlineStr">
        <is>
          <t>bolt</t>
        </is>
      </c>
      <c r="E374" s="40" t="inlineStr">
        <is>
          <t>bolt-romania</t>
        </is>
      </c>
      <c r="F374" s="41" t="n">
        <v>1</v>
      </c>
      <c r="G374" s="42" t="n">
        <v>23</v>
      </c>
      <c r="H374" s="35" t="n">
        <v>10.9</v>
      </c>
      <c r="I374" s="43" t="inlineStr">
        <is>
          <t>T2</t>
        </is>
      </c>
      <c r="J374" s="43" t="inlineStr">
        <is>
          <t>med</t>
        </is>
      </c>
      <c r="K374" s="29" t="n">
        <v>1</v>
      </c>
      <c r="L374" s="44">
        <f>60*G374/cruise_kt</f>
        <v/>
      </c>
      <c r="M374" s="44">
        <f>L374+turn_min+dwell_min</f>
        <v/>
      </c>
      <c r="N374" s="45">
        <f>MIN(10,FLOOR(60*service_hr/M374,1))</f>
        <v/>
      </c>
      <c r="O374" s="45">
        <f>ROUND(365*mech_uptime*K374,0)</f>
        <v/>
      </c>
      <c r="P374" s="46">
        <f>mech_uptime</f>
        <v/>
      </c>
      <c r="Q374" s="46">
        <f>revleg_sel</f>
        <v/>
      </c>
      <c r="R374" s="45">
        <f>ROUND(N374*O374*revleg_sel,0)</f>
        <v/>
      </c>
      <c r="S374" s="47">
        <f>load_sel</f>
        <v/>
      </c>
      <c r="T374" s="47">
        <f>pax_cap*S374</f>
        <v/>
      </c>
      <c r="U374" s="45">
        <f>T374*R374</f>
        <v/>
      </c>
      <c r="V374" s="48">
        <f>H374*discount</f>
        <v/>
      </c>
      <c r="W374" s="49">
        <f>V374*U374</f>
        <v/>
      </c>
      <c r="X374" s="49">
        <f>(battery/range_nm)*G374*R374*VLOOKUP(B374,country_opex,3,FALSE)</f>
        <v/>
      </c>
      <c r="Y374" s="49">
        <f>VLOOKUP(B374,country_opex,2,FALSE)*crew_factor</f>
        <v/>
      </c>
      <c r="Z374" s="49">
        <f>VLOOKUP(B374,country_opex,5,FALSE)</f>
        <v/>
      </c>
      <c r="AA374" s="49">
        <f>maint</f>
        <v/>
      </c>
      <c r="AB374" s="49">
        <f>VLOOKUP(B374,country_opex,7,FALSE)*ins_pct</f>
        <v/>
      </c>
      <c r="AC374" s="49">
        <f>charge_berth</f>
        <v/>
      </c>
      <c r="AD374" s="49">
        <f>X374+Y374+Z374+AA374+AB374+AC374</f>
        <v/>
      </c>
      <c r="AE374" s="49">
        <f>VLOOKUP(B374,country_opex,7,FALSE)/dep_years</f>
        <v/>
      </c>
      <c r="AF374" s="49">
        <f>W374-AD374</f>
        <v/>
      </c>
      <c r="AG374" s="46">
        <f>IF(W374=0,"",AF374/W374)</f>
        <v/>
      </c>
      <c r="AH374" s="47">
        <f>IF(AF374&lt;=0,"",VLOOKUP(B374,country_opex,7,FALSE)/AF374)</f>
        <v/>
      </c>
      <c r="AI374" s="44">
        <f>((G374*R374/diesel_nmpg)*diesel_co2pg-(battery/range_nm)*G374*R374*VLOOKUP(B374,country_opex,4,FALSE))/1000</f>
        <v/>
      </c>
      <c r="AJ374" s="42" t="n"/>
      <c r="AK374" s="43" t="n"/>
      <c r="AL374" s="43" t="n"/>
      <c r="AM374" s="50" t="n">
        <v>0.1</v>
      </c>
      <c r="AN374" s="45">
        <f>IF(AJ374="","",AJ374*AM374)</f>
        <v/>
      </c>
      <c r="AO374" s="45">
        <f>IF(OR(AJ374="",U374=0),"",MIN(IF(AV374="",9.9E+99,AV374),FLOOR(AN374/U374,1)))</f>
        <v/>
      </c>
      <c r="AP374" s="49">
        <f>IF(AO374="","",AO374*W374)</f>
        <v/>
      </c>
      <c r="AQ374" s="47">
        <f>IF(OR(AJ374="",U374=0),"",MIN(IF(AV374="",9.9E+99,AV374),AN374/U374))</f>
        <v/>
      </c>
      <c r="AR374" s="49">
        <f>IF(AQ374="","",AQ374*W374)</f>
        <v/>
      </c>
      <c r="AS374" s="51" t="n"/>
      <c r="AT374" s="52" t="n"/>
      <c r="AU374" s="52" t="n"/>
      <c r="AV374" s="53" t="n"/>
      <c r="AW374" s="54">
        <f>IF(((V374*pax_cap*load_thin*ROUND(N374*O374*revleg_thin,0))-(((battery/range_nm)*G374*ROUND(N374*O374*revleg_thin,0)*VLOOKUP(B374,country_opex,3,FALSE))+Y374+Z374+AA374+AB374+AC374))&lt;=0,"",VLOOKUP(B374,country_opex,7,FALSE)/((V374*pax_cap*load_thin*ROUND(N374*O374*revleg_thin,0))-(((battery/range_nm)*G374*ROUND(N374*O374*revleg_thin,0)*VLOOKUP(B374,country_opex,3,FALSE))+Y374+Z374+AA374+AB374+AC374)))</f>
        <v/>
      </c>
      <c r="AX374" s="54">
        <f>IF(((V374*pax_cap*load_mid*ROUND(N374*O374*revleg_mid,0))-(((battery/range_nm)*G374*ROUND(N374*O374*revleg_mid,0)*VLOOKUP(B374,country_opex,3,FALSE))+Y374+Z374+AA374+AB374+AC374))&lt;=0,"",VLOOKUP(B374,country_opex,7,FALSE)/((V374*pax_cap*load_mid*ROUND(N374*O374*revleg_mid,0))-(((battery/range_nm)*G374*ROUND(N374*O374*revleg_mid,0)*VLOOKUP(B374,country_opex,3,FALSE))+Y374+Z374+AA374+AB374+AC374)))</f>
        <v/>
      </c>
      <c r="AY374" s="54">
        <f>IF(((V374*pax_cap*load_full*ROUND(N374*O374*revleg_full,0))-(((battery/range_nm)*G374*ROUND(N374*O374*revleg_full,0)*VLOOKUP(B374,country_opex,3,FALSE))+Y374+Z374+AA374+AB374+AC374))&lt;=0,"",VLOOKUP(B374,country_opex,7,FALSE)/((V374*pax_cap*load_full*ROUND(N374*O374*revleg_full,0))-(((battery/range_nm)*G374*ROUND(N374*O374*revleg_full,0)*VLOOKUP(B374,country_opex,3,FALSE))+Y374+Z374+AA374+AB374+AC374)))</f>
        <v/>
      </c>
      <c r="AZ374" s="40" t="inlineStr">
        <is>
          <t>Navrom clasica Tulcea-Crisan 50 RON (official table). 50 / 4.6 = ~$10.9.</t>
        </is>
      </c>
      <c r="BA374" s="40" t="n"/>
    </row>
    <row r="375">
      <c r="A375" s="38" t="inlineStr">
        <is>
          <t>Bolt Romania</t>
        </is>
      </c>
      <c r="B375" s="38" t="inlineStr">
        <is>
          <t>Romania</t>
        </is>
      </c>
      <c r="C375" s="39" t="inlineStr">
        <is>
          <t>Tulcea → Sfantu Gheorghe</t>
        </is>
      </c>
      <c r="D375" s="38" t="inlineStr">
        <is>
          <t>bolt</t>
        </is>
      </c>
      <c r="E375" s="40" t="inlineStr">
        <is>
          <t>bolt-romania</t>
        </is>
      </c>
      <c r="F375" s="41" t="n">
        <v>1</v>
      </c>
      <c r="G375" s="42" t="n">
        <v>30</v>
      </c>
      <c r="H375" s="35" t="n">
        <v>13</v>
      </c>
      <c r="I375" s="43" t="inlineStr">
        <is>
          <t>T2</t>
        </is>
      </c>
      <c r="J375" s="43" t="inlineStr">
        <is>
          <t>med</t>
        </is>
      </c>
      <c r="K375" s="29" t="n">
        <v>1</v>
      </c>
      <c r="L375" s="44">
        <f>60*G375/cruise_kt</f>
        <v/>
      </c>
      <c r="M375" s="44">
        <f>L375+turn_min+dwell_min</f>
        <v/>
      </c>
      <c r="N375" s="45">
        <f>MIN(10,FLOOR(60*service_hr/M375,1))</f>
        <v/>
      </c>
      <c r="O375" s="45">
        <f>ROUND(365*mech_uptime*K375,0)</f>
        <v/>
      </c>
      <c r="P375" s="46">
        <f>mech_uptime</f>
        <v/>
      </c>
      <c r="Q375" s="46">
        <f>revleg_sel</f>
        <v/>
      </c>
      <c r="R375" s="45">
        <f>ROUND(N375*O375*revleg_sel,0)</f>
        <v/>
      </c>
      <c r="S375" s="47">
        <f>load_sel</f>
        <v/>
      </c>
      <c r="T375" s="47">
        <f>pax_cap*S375</f>
        <v/>
      </c>
      <c r="U375" s="45">
        <f>T375*R375</f>
        <v/>
      </c>
      <c r="V375" s="48">
        <f>H375*discount</f>
        <v/>
      </c>
      <c r="W375" s="49">
        <f>V375*U375</f>
        <v/>
      </c>
      <c r="X375" s="49">
        <f>(battery/range_nm)*G375*R375*VLOOKUP(B375,country_opex,3,FALSE)</f>
        <v/>
      </c>
      <c r="Y375" s="49">
        <f>VLOOKUP(B375,country_opex,2,FALSE)*crew_factor</f>
        <v/>
      </c>
      <c r="Z375" s="49">
        <f>VLOOKUP(B375,country_opex,5,FALSE)</f>
        <v/>
      </c>
      <c r="AA375" s="49">
        <f>maint</f>
        <v/>
      </c>
      <c r="AB375" s="49">
        <f>VLOOKUP(B375,country_opex,7,FALSE)*ins_pct</f>
        <v/>
      </c>
      <c r="AC375" s="49">
        <f>charge_berth</f>
        <v/>
      </c>
      <c r="AD375" s="49">
        <f>X375+Y375+Z375+AA375+AB375+AC375</f>
        <v/>
      </c>
      <c r="AE375" s="49">
        <f>VLOOKUP(B375,country_opex,7,FALSE)/dep_years</f>
        <v/>
      </c>
      <c r="AF375" s="49">
        <f>W375-AD375</f>
        <v/>
      </c>
      <c r="AG375" s="46">
        <f>IF(W375=0,"",AF375/W375)</f>
        <v/>
      </c>
      <c r="AH375" s="47">
        <f>IF(AF375&lt;=0,"",VLOOKUP(B375,country_opex,7,FALSE)/AF375)</f>
        <v/>
      </c>
      <c r="AI375" s="44">
        <f>((G375*R375/diesel_nmpg)*diesel_co2pg-(battery/range_nm)*G375*R375*VLOOKUP(B375,country_opex,4,FALSE))/1000</f>
        <v/>
      </c>
      <c r="AJ375" s="42" t="n"/>
      <c r="AK375" s="43" t="n"/>
      <c r="AL375" s="43" t="n"/>
      <c r="AM375" s="50" t="n">
        <v>0.1</v>
      </c>
      <c r="AN375" s="45">
        <f>IF(AJ375="","",AJ375*AM375)</f>
        <v/>
      </c>
      <c r="AO375" s="45">
        <f>IF(OR(AJ375="",U375=0),"",MIN(IF(AV375="",9.9E+99,AV375),FLOOR(AN375/U375,1)))</f>
        <v/>
      </c>
      <c r="AP375" s="49">
        <f>IF(AO375="","",AO375*W375)</f>
        <v/>
      </c>
      <c r="AQ375" s="47">
        <f>IF(OR(AJ375="",U375=0),"",MIN(IF(AV375="",9.9E+99,AV375),AN375/U375))</f>
        <v/>
      </c>
      <c r="AR375" s="49">
        <f>IF(AQ375="","",AQ375*W375)</f>
        <v/>
      </c>
      <c r="AS375" s="51" t="n"/>
      <c r="AT375" s="52" t="n"/>
      <c r="AU375" s="52" t="n"/>
      <c r="AV375" s="53" t="n"/>
      <c r="AW375" s="54">
        <f>IF(((V375*pax_cap*load_thin*ROUND(N375*O375*revleg_thin,0))-(((battery/range_nm)*G375*ROUND(N375*O375*revleg_thin,0)*VLOOKUP(B375,country_opex,3,FALSE))+Y375+Z375+AA375+AB375+AC375))&lt;=0,"",VLOOKUP(B375,country_opex,7,FALSE)/((V375*pax_cap*load_thin*ROUND(N375*O375*revleg_thin,0))-(((battery/range_nm)*G375*ROUND(N375*O375*revleg_thin,0)*VLOOKUP(B375,country_opex,3,FALSE))+Y375+Z375+AA375+AB375+AC375)))</f>
        <v/>
      </c>
      <c r="AX375" s="54">
        <f>IF(((V375*pax_cap*load_mid*ROUND(N375*O375*revleg_mid,0))-(((battery/range_nm)*G375*ROUND(N375*O375*revleg_mid,0)*VLOOKUP(B375,country_opex,3,FALSE))+Y375+Z375+AA375+AB375+AC375))&lt;=0,"",VLOOKUP(B375,country_opex,7,FALSE)/((V375*pax_cap*load_mid*ROUND(N375*O375*revleg_mid,0))-(((battery/range_nm)*G375*ROUND(N375*O375*revleg_mid,0)*VLOOKUP(B375,country_opex,3,FALSE))+Y375+Z375+AA375+AB375+AC375)))</f>
        <v/>
      </c>
      <c r="AY375" s="54">
        <f>IF(((V375*pax_cap*load_full*ROUND(N375*O375*revleg_full,0))-(((battery/range_nm)*G375*ROUND(N375*O375*revleg_full,0)*VLOOKUP(B375,country_opex,3,FALSE))+Y375+Z375+AA375+AB375+AC375))&lt;=0,"",VLOOKUP(B375,country_opex,7,FALSE)/((V375*pax_cap*load_full*ROUND(N375*O375*revleg_full,0))-(((battery/range_nm)*G375*ROUND(N375*O375*revleg_full,0)*VLOOKUP(B375,country_opex,3,FALSE))+Y375+Z375+AA375+AB375+AC375)))</f>
        <v/>
      </c>
      <c r="AZ375" s="40" t="inlineStr">
        <is>
          <t>Estimated ~60 RON (comparable arm length to Sulina; Navrom Sfantu Gheorghe fare not in the scraped Sulina-arm table). ~$13.0 — UNCONFIRMED, flag.</t>
        </is>
      </c>
      <c r="BA375" s="40" t="n"/>
    </row>
    <row r="376">
      <c r="A376" s="38" t="inlineStr">
        <is>
          <t>Bolt Romania</t>
        </is>
      </c>
      <c r="B376" s="38" t="inlineStr">
        <is>
          <t>Romania</t>
        </is>
      </c>
      <c r="C376" s="39" t="inlineStr">
        <is>
          <t>Tulcea → Periprava</t>
        </is>
      </c>
      <c r="D376" s="38" t="inlineStr">
        <is>
          <t>bolt</t>
        </is>
      </c>
      <c r="E376" s="40" t="inlineStr">
        <is>
          <t>bolt-romania</t>
        </is>
      </c>
      <c r="F376" s="41" t="n">
        <v>1</v>
      </c>
      <c r="G376" s="42" t="n">
        <v>33</v>
      </c>
      <c r="H376" s="35" t="n"/>
      <c r="I376" s="43" t="n"/>
      <c r="J376" s="43" t="n"/>
      <c r="K376" s="29" t="n">
        <v>1</v>
      </c>
      <c r="L376" s="44">
        <f>60*G376/cruise_kt</f>
        <v/>
      </c>
      <c r="M376" s="44">
        <f>L376+turn_min+dwell_min</f>
        <v/>
      </c>
      <c r="N376" s="45">
        <f>MIN(10,FLOOR(60*service_hr/M376,1))</f>
        <v/>
      </c>
      <c r="O376" s="45">
        <f>ROUND(365*mech_uptime*K376,0)</f>
        <v/>
      </c>
      <c r="P376" s="46">
        <f>mech_uptime</f>
        <v/>
      </c>
      <c r="Q376" s="46">
        <f>revleg_sel</f>
        <v/>
      </c>
      <c r="R376" s="45">
        <f>ROUND(N376*O376*revleg_sel,0)</f>
        <v/>
      </c>
      <c r="S376" s="47">
        <f>load_sel</f>
        <v/>
      </c>
      <c r="T376" s="47">
        <f>pax_cap*S376</f>
        <v/>
      </c>
      <c r="U376" s="45">
        <f>T376*R376</f>
        <v/>
      </c>
      <c r="V376" s="48">
        <f>H376*discount</f>
        <v/>
      </c>
      <c r="W376" s="49">
        <f>V376*U376</f>
        <v/>
      </c>
      <c r="X376" s="49">
        <f>(battery/range_nm)*G376*R376*VLOOKUP(B376,country_opex,3,FALSE)</f>
        <v/>
      </c>
      <c r="Y376" s="49">
        <f>VLOOKUP(B376,country_opex,2,FALSE)*crew_factor</f>
        <v/>
      </c>
      <c r="Z376" s="49">
        <f>VLOOKUP(B376,country_opex,5,FALSE)</f>
        <v/>
      </c>
      <c r="AA376" s="49">
        <f>maint</f>
        <v/>
      </c>
      <c r="AB376" s="49">
        <f>VLOOKUP(B376,country_opex,7,FALSE)*ins_pct</f>
        <v/>
      </c>
      <c r="AC376" s="49">
        <f>charge_berth</f>
        <v/>
      </c>
      <c r="AD376" s="49">
        <f>X376+Y376+Z376+AA376+AB376+AC376</f>
        <v/>
      </c>
      <c r="AE376" s="49">
        <f>VLOOKUP(B376,country_opex,7,FALSE)/dep_years</f>
        <v/>
      </c>
      <c r="AF376" s="49">
        <f>W376-AD376</f>
        <v/>
      </c>
      <c r="AG376" s="46">
        <f>IF(W376=0,"",AF376/W376)</f>
        <v/>
      </c>
      <c r="AH376" s="47">
        <f>IF(AF376&lt;=0,"",VLOOKUP(B376,country_opex,7,FALSE)/AF376)</f>
        <v/>
      </c>
      <c r="AI376" s="44">
        <f>((G376*R376/diesel_nmpg)*diesel_co2pg-(battery/range_nm)*G376*R376*VLOOKUP(B376,country_opex,4,FALSE))/1000</f>
        <v/>
      </c>
      <c r="AJ376" s="42" t="n"/>
      <c r="AK376" s="43" t="n"/>
      <c r="AL376" s="43" t="n"/>
      <c r="AM376" s="50" t="n">
        <v>0.1</v>
      </c>
      <c r="AN376" s="45">
        <f>IF(AJ376="","",AJ376*AM376)</f>
        <v/>
      </c>
      <c r="AO376" s="45">
        <f>IF(OR(AJ376="",U376=0),"",MIN(IF(AV376="",9.9E+99,AV376),FLOOR(AN376/U376,1)))</f>
        <v/>
      </c>
      <c r="AP376" s="49">
        <f>IF(AO376="","",AO376*W376)</f>
        <v/>
      </c>
      <c r="AQ376" s="47">
        <f>IF(OR(AJ376="",U376=0),"",MIN(IF(AV376="",9.9E+99,AV376),AN376/U376))</f>
        <v/>
      </c>
      <c r="AR376" s="49">
        <f>IF(AQ376="","",AQ376*W376)</f>
        <v/>
      </c>
      <c r="AS376" s="51" t="n"/>
      <c r="AT376" s="52" t="n"/>
      <c r="AU376" s="52" t="n"/>
      <c r="AV376" s="53" t="n"/>
      <c r="AW376" s="54">
        <f>IF(((V376*pax_cap*load_thin*ROUND(N376*O376*revleg_thin,0))-(((battery/range_nm)*G376*ROUND(N376*O376*revleg_thin,0)*VLOOKUP(B376,country_opex,3,FALSE))+Y376+Z376+AA376+AB376+AC376))&lt;=0,"",VLOOKUP(B376,country_opex,7,FALSE)/((V376*pax_cap*load_thin*ROUND(N376*O376*revleg_thin,0))-(((battery/range_nm)*G376*ROUND(N376*O376*revleg_thin,0)*VLOOKUP(B376,country_opex,3,FALSE))+Y376+Z376+AA376+AB376+AC376)))</f>
        <v/>
      </c>
      <c r="AX376" s="54">
        <f>IF(((V376*pax_cap*load_mid*ROUND(N376*O376*revleg_mid,0))-(((battery/range_nm)*G376*ROUND(N376*O376*revleg_mid,0)*VLOOKUP(B376,country_opex,3,FALSE))+Y376+Z376+AA376+AB376+AC376))&lt;=0,"",VLOOKUP(B376,country_opex,7,FALSE)/((V376*pax_cap*load_mid*ROUND(N376*O376*revleg_mid,0))-(((battery/range_nm)*G376*ROUND(N376*O376*revleg_mid,0)*VLOOKUP(B376,country_opex,3,FALSE))+Y376+Z376+AA376+AB376+AC376)))</f>
        <v/>
      </c>
      <c r="AY376" s="54">
        <f>IF(((V376*pax_cap*load_full*ROUND(N376*O376*revleg_full,0))-(((battery/range_nm)*G376*ROUND(N376*O376*revleg_full,0)*VLOOKUP(B376,country_opex,3,FALSE))+Y376+Z376+AA376+AB376+AC376))&lt;=0,"",VLOOKUP(B376,country_opex,7,FALSE)/((V376*pax_cap*load_full*ROUND(N376*O376*revleg_full,0))-(((battery/range_nm)*G376*ROUND(N376*O376*revleg_full,0)*VLOOKUP(B376,country_opex,3,FALSE))+Y376+Z376+AA376+AB376+AC376)))</f>
        <v/>
      </c>
      <c r="AZ376" s="40" t="n"/>
      <c r="BA376" s="40" t="n"/>
    </row>
    <row r="377">
      <c r="A377" s="38" t="inlineStr">
        <is>
          <t>Bolt Romania</t>
        </is>
      </c>
      <c r="B377" s="38" t="inlineStr">
        <is>
          <t>Romania</t>
        </is>
      </c>
      <c r="C377" s="39" t="inlineStr">
        <is>
          <t>Tulcea → Sulina</t>
        </is>
      </c>
      <c r="D377" s="38" t="inlineStr">
        <is>
          <t>bolt</t>
        </is>
      </c>
      <c r="E377" s="40" t="inlineStr">
        <is>
          <t>bolt-romania</t>
        </is>
      </c>
      <c r="F377" s="41" t="n">
        <v>1</v>
      </c>
      <c r="G377" s="42" t="n">
        <v>34</v>
      </c>
      <c r="H377" s="35" t="n">
        <v>15.2</v>
      </c>
      <c r="I377" s="43" t="inlineStr">
        <is>
          <t>T2</t>
        </is>
      </c>
      <c r="J377" s="43" t="inlineStr">
        <is>
          <t>med</t>
        </is>
      </c>
      <c r="K377" s="29" t="n">
        <v>1</v>
      </c>
      <c r="L377" s="44">
        <f>60*G377/cruise_kt</f>
        <v/>
      </c>
      <c r="M377" s="44">
        <f>L377+turn_min+dwell_min</f>
        <v/>
      </c>
      <c r="N377" s="45">
        <f>MIN(10,FLOOR(60*service_hr/M377,1))</f>
        <v/>
      </c>
      <c r="O377" s="45">
        <f>ROUND(365*mech_uptime*K377,0)</f>
        <v/>
      </c>
      <c r="P377" s="46">
        <f>mech_uptime</f>
        <v/>
      </c>
      <c r="Q377" s="46">
        <f>revleg_sel</f>
        <v/>
      </c>
      <c r="R377" s="45">
        <f>ROUND(N377*O377*revleg_sel,0)</f>
        <v/>
      </c>
      <c r="S377" s="47">
        <f>load_sel</f>
        <v/>
      </c>
      <c r="T377" s="47">
        <f>pax_cap*S377</f>
        <v/>
      </c>
      <c r="U377" s="45">
        <f>T377*R377</f>
        <v/>
      </c>
      <c r="V377" s="48">
        <f>H377*discount</f>
        <v/>
      </c>
      <c r="W377" s="49">
        <f>V377*U377</f>
        <v/>
      </c>
      <c r="X377" s="49">
        <f>(battery/range_nm)*G377*R377*VLOOKUP(B377,country_opex,3,FALSE)</f>
        <v/>
      </c>
      <c r="Y377" s="49">
        <f>VLOOKUP(B377,country_opex,2,FALSE)*crew_factor</f>
        <v/>
      </c>
      <c r="Z377" s="49">
        <f>VLOOKUP(B377,country_opex,5,FALSE)</f>
        <v/>
      </c>
      <c r="AA377" s="49">
        <f>maint</f>
        <v/>
      </c>
      <c r="AB377" s="49">
        <f>VLOOKUP(B377,country_opex,7,FALSE)*ins_pct</f>
        <v/>
      </c>
      <c r="AC377" s="49">
        <f>charge_berth</f>
        <v/>
      </c>
      <c r="AD377" s="49">
        <f>X377+Y377+Z377+AA377+AB377+AC377</f>
        <v/>
      </c>
      <c r="AE377" s="49">
        <f>VLOOKUP(B377,country_opex,7,FALSE)/dep_years</f>
        <v/>
      </c>
      <c r="AF377" s="49">
        <f>W377-AD377</f>
        <v/>
      </c>
      <c r="AG377" s="46">
        <f>IF(W377=0,"",AF377/W377)</f>
        <v/>
      </c>
      <c r="AH377" s="47">
        <f>IF(AF377&lt;=0,"",VLOOKUP(B377,country_opex,7,FALSE)/AF377)</f>
        <v/>
      </c>
      <c r="AI377" s="44">
        <f>((G377*R377/diesel_nmpg)*diesel_co2pg-(battery/range_nm)*G377*R377*VLOOKUP(B377,country_opex,4,FALSE))/1000</f>
        <v/>
      </c>
      <c r="AJ377" s="42" t="n">
        <v>165000</v>
      </c>
      <c r="AK377" s="43" t="n"/>
      <c r="AL377" s="43" t="n"/>
      <c r="AM377" s="50" t="n">
        <v>0.1</v>
      </c>
      <c r="AN377" s="45">
        <f>IF(AJ377="","",AJ377*AM377)</f>
        <v/>
      </c>
      <c r="AO377" s="45">
        <f>IF(OR(AJ377="",U377=0),"",MIN(IF(AV377="",9.9E+99,AV377),FLOOR(AN377/U377,1)))</f>
        <v/>
      </c>
      <c r="AP377" s="49">
        <f>IF(AO377="","",AO377*W377)</f>
        <v/>
      </c>
      <c r="AQ377" s="47">
        <f>IF(OR(AJ377="",U377=0),"",MIN(IF(AV377="",9.9E+99,AV377),AN377/U377))</f>
        <v/>
      </c>
      <c r="AR377" s="49">
        <f>IF(AQ377="","",AQ377*W377)</f>
        <v/>
      </c>
      <c r="AS377" s="51" t="n"/>
      <c r="AT377" s="52" t="n"/>
      <c r="AU377" s="52" t="n"/>
      <c r="AV377" s="53" t="n"/>
      <c r="AW377" s="54">
        <f>IF(((V377*pax_cap*load_thin*ROUND(N377*O377*revleg_thin,0))-(((battery/range_nm)*G377*ROUND(N377*O377*revleg_thin,0)*VLOOKUP(B377,country_opex,3,FALSE))+Y377+Z377+AA377+AB377+AC377))&lt;=0,"",VLOOKUP(B377,country_opex,7,FALSE)/((V377*pax_cap*load_thin*ROUND(N377*O377*revleg_thin,0))-(((battery/range_nm)*G377*ROUND(N377*O377*revleg_thin,0)*VLOOKUP(B377,country_opex,3,FALSE))+Y377+Z377+AA377+AB377+AC377)))</f>
        <v/>
      </c>
      <c r="AX377" s="54">
        <f>IF(((V377*pax_cap*load_mid*ROUND(N377*O377*revleg_mid,0))-(((battery/range_nm)*G377*ROUND(N377*O377*revleg_mid,0)*VLOOKUP(B377,country_opex,3,FALSE))+Y377+Z377+AA377+AB377+AC377))&lt;=0,"",VLOOKUP(B377,country_opex,7,FALSE)/((V377*pax_cap*load_mid*ROUND(N377*O377*revleg_mid,0))-(((battery/range_nm)*G377*ROUND(N377*O377*revleg_mid,0)*VLOOKUP(B377,country_opex,3,FALSE))+Y377+Z377+AA377+AB377+AC377)))</f>
        <v/>
      </c>
      <c r="AY377" s="54">
        <f>IF(((V377*pax_cap*load_full*ROUND(N377*O377*revleg_full,0))-(((battery/range_nm)*G377*ROUND(N377*O377*revleg_full,0)*VLOOKUP(B377,country_opex,3,FALSE))+Y377+Z377+AA377+AB377+AC377))&lt;=0,"",VLOOKUP(B377,country_opex,7,FALSE)/((V377*pax_cap*load_full*ROUND(N377*O377*revleg_full,0))-(((battery/range_nm)*G377*ROUND(N377*O377*revleg_full,0)*VLOOKUP(B377,country_opex,3,FALSE))+Y377+Z377+AA377+AB377+AC377)))</f>
        <v/>
      </c>
      <c r="AZ377" s="40" t="inlineStr">
        <is>
          <t>PREMIUM tier: Navrom Delta 'semirapida' (fast catamaran) Tulcea-Sulina ~70 RON adult (Radio Romania, 2025). 70 / 4.6 = ~$15.2. 'Clasica' slow ferry ~60-66 RON ($13.0-14.3) is the standard tier (official Navrom table: 66 RON).</t>
        </is>
      </c>
      <c r="BA377" s="40" t="n"/>
    </row>
    <row r="378">
      <c r="A378" s="38" t="inlineStr">
        <is>
          <t>Saudi – Red Sea</t>
        </is>
      </c>
      <c r="B378" s="38" t="inlineStr">
        <is>
          <t>Saudi Arabia</t>
        </is>
      </c>
      <c r="C378" s="39" t="inlineStr">
        <is>
          <t>Jeddah Corniche → Jeddah Central (PIF waterfront)</t>
        </is>
      </c>
      <c r="D378" s="38" t="inlineStr">
        <is>
          <t>red-sea-global</t>
        </is>
      </c>
      <c r="E378" s="40" t="inlineStr">
        <is>
          <t>bolt-ksa-commercial, saudi-redsea, saudi-redsea-resort, yango-ksa-commercial</t>
        </is>
      </c>
      <c r="F378" s="41" t="n">
        <v>4</v>
      </c>
      <c r="G378" s="42" t="n">
        <v>2.4</v>
      </c>
      <c r="H378" s="35" t="n">
        <v>60</v>
      </c>
      <c r="I378" s="43" t="inlineStr">
        <is>
          <t>T5</t>
        </is>
      </c>
      <c r="J378" s="43" t="inlineStr">
        <is>
          <t>low</t>
        </is>
      </c>
      <c r="K378" s="29" t="n">
        <v>1</v>
      </c>
      <c r="L378" s="44">
        <f>60*G378/cruise_kt</f>
        <v/>
      </c>
      <c r="M378" s="44">
        <f>L378+turn_min+dwell_min</f>
        <v/>
      </c>
      <c r="N378" s="45">
        <f>MIN(18,FLOOR(60*service_hr/M378,1))</f>
        <v/>
      </c>
      <c r="O378" s="45">
        <f>ROUND(365*mech_uptime*K378,0)</f>
        <v/>
      </c>
      <c r="P378" s="46">
        <f>mech_uptime</f>
        <v/>
      </c>
      <c r="Q378" s="46">
        <f>revleg_sel</f>
        <v/>
      </c>
      <c r="R378" s="45">
        <f>ROUND(N378*O378*revleg_sel,0)</f>
        <v/>
      </c>
      <c r="S378" s="47">
        <f>load_sel</f>
        <v/>
      </c>
      <c r="T378" s="47">
        <f>pax_cap*S378</f>
        <v/>
      </c>
      <c r="U378" s="45">
        <f>T378*R378</f>
        <v/>
      </c>
      <c r="V378" s="48">
        <f>H378*discount</f>
        <v/>
      </c>
      <c r="W378" s="49">
        <f>V378*U378</f>
        <v/>
      </c>
      <c r="X378" s="49">
        <f>(battery/range_nm)*G378*R378*VLOOKUP(B378,country_opex,3,FALSE)</f>
        <v/>
      </c>
      <c r="Y378" s="49">
        <f>VLOOKUP(B378,country_opex,2,FALSE)*crew_factor</f>
        <v/>
      </c>
      <c r="Z378" s="49">
        <f>VLOOKUP(B378,country_opex,5,FALSE)</f>
        <v/>
      </c>
      <c r="AA378" s="49">
        <f>maint</f>
        <v/>
      </c>
      <c r="AB378" s="49">
        <f>VLOOKUP(B378,country_opex,7,FALSE)*ins_pct</f>
        <v/>
      </c>
      <c r="AC378" s="49">
        <f>charge_berth</f>
        <v/>
      </c>
      <c r="AD378" s="49">
        <f>X378+Y378+Z378+AA378+AB378+AC378</f>
        <v/>
      </c>
      <c r="AE378" s="49">
        <f>VLOOKUP(B378,country_opex,7,FALSE)/dep_years</f>
        <v/>
      </c>
      <c r="AF378" s="49">
        <f>W378-AD378</f>
        <v/>
      </c>
      <c r="AG378" s="46">
        <f>IF(W378=0,"",AF378/W378)</f>
        <v/>
      </c>
      <c r="AH378" s="47">
        <f>IF(AF378&lt;=0,"",VLOOKUP(B378,country_opex,7,FALSE)/AF378)</f>
        <v/>
      </c>
      <c r="AI378" s="44">
        <f>((G378*R378/diesel_nmpg)*diesel_co2pg-(battery/range_nm)*G378*R378*VLOOKUP(B378,country_opex,4,FALSE))/1000</f>
        <v/>
      </c>
      <c r="AJ378" s="42" t="n"/>
      <c r="AK378" s="43" t="inlineStr">
        <is>
          <t>T5</t>
        </is>
      </c>
      <c r="AL378" s="43" t="inlineStr">
        <is>
          <t>low</t>
        </is>
      </c>
      <c r="AM378" s="50" t="n">
        <v>0.1</v>
      </c>
      <c r="AN378" s="45">
        <f>IF(AJ378="","",AJ378*AM378)</f>
        <v/>
      </c>
      <c r="AO378" s="45">
        <f>IF(OR(AJ378="",U378=0),"",MIN(IF(AV378="",9.9E+99,AV378),FLOOR(AN378/U378,1)))</f>
        <v/>
      </c>
      <c r="AP378" s="49">
        <f>IF(AO378="","",AO378*W378)</f>
        <v/>
      </c>
      <c r="AQ378" s="47">
        <f>IF(OR(AJ378="",U378=0),"",MIN(IF(AV378="",9.9E+99,AV378),AN378/U378))</f>
        <v/>
      </c>
      <c r="AR378" s="49">
        <f>IF(AQ378="","",AQ378*W378)</f>
        <v/>
      </c>
      <c r="AS378" s="51" t="n"/>
      <c r="AT378" s="52" t="inlineStr">
        <is>
          <t>FWD-SAM (2030)</t>
        </is>
      </c>
      <c r="AU378" s="52" t="n"/>
      <c r="AV378" s="53" t="n"/>
      <c r="AW378" s="54">
        <f>IF(((V378*pax_cap*load_thin*ROUND(N378*O378*revleg_thin,0))-(((battery/range_nm)*G378*ROUND(N378*O378*revleg_thin,0)*VLOOKUP(B378,country_opex,3,FALSE))+Y378+Z378+AA378+AB378+AC378))&lt;=0,"",VLOOKUP(B378,country_opex,7,FALSE)/((V378*pax_cap*load_thin*ROUND(N378*O378*revleg_thin,0))-(((battery/range_nm)*G378*ROUND(N378*O378*revleg_thin,0)*VLOOKUP(B378,country_opex,3,FALSE))+Y378+Z378+AA378+AB378+AC378)))</f>
        <v/>
      </c>
      <c r="AX378" s="54">
        <f>IF(((V378*pax_cap*load_mid*ROUND(N378*O378*revleg_mid,0))-(((battery/range_nm)*G378*ROUND(N378*O378*revleg_mid,0)*VLOOKUP(B378,country_opex,3,FALSE))+Y378+Z378+AA378+AB378+AC378))&lt;=0,"",VLOOKUP(B378,country_opex,7,FALSE)/((V378*pax_cap*load_mid*ROUND(N378*O378*revleg_mid,0))-(((battery/range_nm)*G378*ROUND(N378*O378*revleg_mid,0)*VLOOKUP(B378,country_opex,3,FALSE))+Y378+Z378+AA378+AB378+AC378)))</f>
        <v/>
      </c>
      <c r="AY378" s="54">
        <f>IF(((V378*pax_cap*load_full*ROUND(N378*O378*revleg_full,0))-(((battery/range_nm)*G378*ROUND(N378*O378*revleg_full,0)*VLOOKUP(B378,country_opex,3,FALSE))+Y378+Z378+AA378+AB378+AC378))&lt;=0,"",VLOOKUP(B378,country_opex,7,FALSE)/((V378*pax_cap*load_full*ROUND(N378*O378*revleg_full,0))-(((battery/range_nm)*G378*ROUND(N378*O378*revleg_full,0)*VLOOKUP(B378,country_opex,3,FALSE))+Y378+Z378+AA378+AB378+AC378)))</f>
        <v/>
      </c>
      <c r="AZ378" s="40" t="inlineStr">
        <is>
          <t>Premium urban/coastal water-transfer comparable (Dubai/Gulf premium water-taxi tier ~$40-80/pax). Jeddah Central is a $20B PIF waterfront (5.7km2, marina/oceanarium/beaches, opening ~2027). No incumbent water transit -&gt; modeled premium per-seat $60.</t>
        </is>
      </c>
      <c r="BA378" s="40" t="inlineStr">
        <is>
          <t>NULL (R2). No published Jeddah Central on-corridor / water-transit visitor target. Saudi national arrivals (100M 2024, target 150M 2030) and Jeddah city arrivals are AIR/ROAD-based (R3 strong mode mismatch) -&gt; not on-water crossing ridership. ALSO R6 FLAG: 45nm is geographically implausible for an intra-Jeddah Corniche&lt;-&gt;Jeddah Central waterfront hop (~few km apart) - likely a distance/routing artifact; report to parent.</t>
        </is>
      </c>
    </row>
    <row r="379">
      <c r="A379" s="38" t="inlineStr">
        <is>
          <t>Saudi – Red Sea</t>
        </is>
      </c>
      <c r="B379" s="38" t="inlineStr">
        <is>
          <t>Saudi Arabia</t>
        </is>
      </c>
      <c r="C379" s="39" t="inlineStr">
        <is>
          <t>Outer-island resort → Outer-island resort cluster (Nujuma / Jumeirah / St Regis)</t>
        </is>
      </c>
      <c r="D379" s="38" t="inlineStr">
        <is>
          <t>bolt</t>
        </is>
      </c>
      <c r="E379" s="40" t="inlineStr">
        <is>
          <t>bolt-ksa-commercial, saudi-redsea, saudi-redsea-resort, yango-ksa-commercial</t>
        </is>
      </c>
      <c r="F379" s="41" t="n">
        <v>4</v>
      </c>
      <c r="G379" s="42" t="n">
        <v>9.699999999999999</v>
      </c>
      <c r="H379" s="35" t="n">
        <v>125</v>
      </c>
      <c r="I379" s="43" t="inlineStr">
        <is>
          <t>T5</t>
        </is>
      </c>
      <c r="J379" s="43" t="inlineStr">
        <is>
          <t>low</t>
        </is>
      </c>
      <c r="K379" s="29" t="n">
        <v>1</v>
      </c>
      <c r="L379" s="44">
        <f>60*G379/cruise_kt</f>
        <v/>
      </c>
      <c r="M379" s="44">
        <f>L379+turn_min+dwell_min</f>
        <v/>
      </c>
      <c r="N379" s="45">
        <f>MIN(10,FLOOR(60*service_hr/M379,1))</f>
        <v/>
      </c>
      <c r="O379" s="45">
        <f>ROUND(365*mech_uptime*K379,0)</f>
        <v/>
      </c>
      <c r="P379" s="46">
        <f>mech_uptime</f>
        <v/>
      </c>
      <c r="Q379" s="46">
        <f>revleg_sel</f>
        <v/>
      </c>
      <c r="R379" s="45">
        <f>ROUND(N379*O379*revleg_sel,0)</f>
        <v/>
      </c>
      <c r="S379" s="47">
        <f>load_sel</f>
        <v/>
      </c>
      <c r="T379" s="47">
        <f>pax_cap*S379</f>
        <v/>
      </c>
      <c r="U379" s="45">
        <f>T379*R379</f>
        <v/>
      </c>
      <c r="V379" s="48">
        <f>H379*discount</f>
        <v/>
      </c>
      <c r="W379" s="49">
        <f>V379*U379</f>
        <v/>
      </c>
      <c r="X379" s="49">
        <f>(battery/range_nm)*G379*R379*VLOOKUP(B379,country_opex,3,FALSE)</f>
        <v/>
      </c>
      <c r="Y379" s="49">
        <f>VLOOKUP(B379,country_opex,2,FALSE)*crew_factor</f>
        <v/>
      </c>
      <c r="Z379" s="49">
        <f>VLOOKUP(B379,country_opex,5,FALSE)</f>
        <v/>
      </c>
      <c r="AA379" s="49">
        <f>maint</f>
        <v/>
      </c>
      <c r="AB379" s="49">
        <f>VLOOKUP(B379,country_opex,7,FALSE)*ins_pct</f>
        <v/>
      </c>
      <c r="AC379" s="49">
        <f>charge_berth</f>
        <v/>
      </c>
      <c r="AD379" s="49">
        <f>X379+Y379+Z379+AA379+AB379+AC379</f>
        <v/>
      </c>
      <c r="AE379" s="49">
        <f>VLOOKUP(B379,country_opex,7,FALSE)/dep_years</f>
        <v/>
      </c>
      <c r="AF379" s="49">
        <f>W379-AD379</f>
        <v/>
      </c>
      <c r="AG379" s="46">
        <f>IF(W379=0,"",AF379/W379)</f>
        <v/>
      </c>
      <c r="AH379" s="47">
        <f>IF(AF379&lt;=0,"",VLOOKUP(B379,country_opex,7,FALSE)/AF379)</f>
        <v/>
      </c>
      <c r="AI379" s="44">
        <f>((G379*R379/diesel_nmpg)*diesel_co2pg-(battery/range_nm)*G379*R379*VLOOKUP(B379,country_opex,4,FALSE))/1000</f>
        <v/>
      </c>
      <c r="AJ379" s="42" t="n">
        <v>150000</v>
      </c>
      <c r="AK379" s="43" t="inlineStr">
        <is>
          <t>T5</t>
        </is>
      </c>
      <c r="AL379" s="43" t="inlineStr">
        <is>
          <t>low</t>
        </is>
      </c>
      <c r="AM379" s="50" t="n">
        <v>0.9</v>
      </c>
      <c r="AN379" s="45">
        <f>IF(AJ379="","",AJ379*AM379)</f>
        <v/>
      </c>
      <c r="AO379" s="45">
        <f>IF(OR(AJ379="",U379=0),"",MIN(IF(AV379="",9.9E+99,AV379),FLOOR(AN379/U379,1)))</f>
        <v/>
      </c>
      <c r="AP379" s="49">
        <f>IF(AO379="","",AO379*W379)</f>
        <v/>
      </c>
      <c r="AQ379" s="47">
        <f>IF(OR(AJ379="",U379=0),"",MIN(IF(AV379="",9.9E+99,AV379),AN379/U379))</f>
        <v/>
      </c>
      <c r="AR379" s="49">
        <f>IF(AQ379="","",AQ379*W379)</f>
        <v/>
      </c>
      <c r="AS379" s="51" t="n"/>
      <c r="AT379" s="52" t="inlineStr">
        <is>
          <t>FWD-SAM (2030)</t>
        </is>
      </c>
      <c r="AU379" s="52" t="n"/>
      <c r="AV379" s="53" t="n"/>
      <c r="AW379" s="54">
        <f>IF(((V379*pax_cap*load_thin*ROUND(N379*O379*revleg_thin,0))-(((battery/range_nm)*G379*ROUND(N379*O379*revleg_thin,0)*VLOOKUP(B379,country_opex,3,FALSE))+Y379+Z379+AA379+AB379+AC379))&lt;=0,"",VLOOKUP(B379,country_opex,7,FALSE)/((V379*pax_cap*load_thin*ROUND(N379*O379*revleg_thin,0))-(((battery/range_nm)*G379*ROUND(N379*O379*revleg_thin,0)*VLOOKUP(B379,country_opex,3,FALSE))+Y379+Z379+AA379+AB379+AC379)))</f>
        <v/>
      </c>
      <c r="AX379" s="54">
        <f>IF(((V379*pax_cap*load_mid*ROUND(N379*O379*revleg_mid,0))-(((battery/range_nm)*G379*ROUND(N379*O379*revleg_mid,0)*VLOOKUP(B379,country_opex,3,FALSE))+Y379+Z379+AA379+AB379+AC379))&lt;=0,"",VLOOKUP(B379,country_opex,7,FALSE)/((V379*pax_cap*load_mid*ROUND(N379*O379*revleg_mid,0))-(((battery/range_nm)*G379*ROUND(N379*O379*revleg_mid,0)*VLOOKUP(B379,country_opex,3,FALSE))+Y379+Z379+AA379+AB379+AC379)))</f>
        <v/>
      </c>
      <c r="AY379" s="54">
        <f>IF(((V379*pax_cap*load_full*ROUND(N379*O379*revleg_full,0))-(((battery/range_nm)*G379*ROUND(N379*O379*revleg_full,0)*VLOOKUP(B379,country_opex,3,FALSE))+Y379+Z379+AA379+AB379+AC379))&lt;=0,"",VLOOKUP(B379,country_opex,7,FALSE)/((V379*pax_cap*load_full*ROUND(N379*O379*revleg_full,0))-(((battery/range_nm)*G379*ROUND(N379*O379*revleg_full,0)*VLOOKUP(B379,country_opex,3,FALSE))+Y379+Z379+AA379+AB379+AC379)))</f>
        <v/>
      </c>
      <c r="AZ379" s="40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12nm short intra-resort island hop -&gt; premium per-seat $125.</t>
        </is>
      </c>
      <c r="BA379" s="40" t="inlineStr">
        <is>
          <t>Subset of RSG 1M/yr visitor cap doing outer-island-to-outer-island hops (not the main arrival leg). Modeled ~15% of the 1M pool ~150k. Speculative which guests hop islands; R2 borderline.</t>
        </is>
      </c>
    </row>
    <row r="380">
      <c r="A380" s="38" t="inlineStr">
        <is>
          <t>Saudi – Red Sea</t>
        </is>
      </c>
      <c r="B380" s="38" t="inlineStr">
        <is>
          <t>Saudi Arabia</t>
        </is>
      </c>
      <c r="C380" s="39" t="inlineStr">
        <is>
          <t>Shura Island Marina → Outer-island resorts (St Regis / Nujuma / Shebara)</t>
        </is>
      </c>
      <c r="D380" s="38" t="inlineStr">
        <is>
          <t>bolt</t>
        </is>
      </c>
      <c r="E380" s="40" t="inlineStr">
        <is>
          <t>bolt-ksa-commercial, saudi-redsea, saudi-redsea-resort, yango-ksa-commercial</t>
        </is>
      </c>
      <c r="F380" s="41" t="n">
        <v>4</v>
      </c>
      <c r="G380" s="42" t="n">
        <v>11.5</v>
      </c>
      <c r="H380" s="35" t="n">
        <v>175</v>
      </c>
      <c r="I380" s="43" t="inlineStr">
        <is>
          <t>T5</t>
        </is>
      </c>
      <c r="J380" s="43" t="inlineStr">
        <is>
          <t>low</t>
        </is>
      </c>
      <c r="K380" s="29" t="n">
        <v>1</v>
      </c>
      <c r="L380" s="44">
        <f>60*G380/cruise_kt</f>
        <v/>
      </c>
      <c r="M380" s="44">
        <f>L380+turn_min+dwell_min</f>
        <v/>
      </c>
      <c r="N380" s="45">
        <f>MIN(10,FLOOR(60*service_hr/M380,1))</f>
        <v/>
      </c>
      <c r="O380" s="45">
        <f>ROUND(365*mech_uptime*K380,0)</f>
        <v/>
      </c>
      <c r="P380" s="46">
        <f>mech_uptime</f>
        <v/>
      </c>
      <c r="Q380" s="46">
        <f>revleg_sel</f>
        <v/>
      </c>
      <c r="R380" s="45">
        <f>ROUND(N380*O380*revleg_sel,0)</f>
        <v/>
      </c>
      <c r="S380" s="47">
        <f>load_sel</f>
        <v/>
      </c>
      <c r="T380" s="47">
        <f>pax_cap*S380</f>
        <v/>
      </c>
      <c r="U380" s="45">
        <f>T380*R380</f>
        <v/>
      </c>
      <c r="V380" s="48">
        <f>H380*discount</f>
        <v/>
      </c>
      <c r="W380" s="49">
        <f>V380*U380</f>
        <v/>
      </c>
      <c r="X380" s="49">
        <f>(battery/range_nm)*G380*R380*VLOOKUP(B380,country_opex,3,FALSE)</f>
        <v/>
      </c>
      <c r="Y380" s="49">
        <f>VLOOKUP(B380,country_opex,2,FALSE)*crew_factor</f>
        <v/>
      </c>
      <c r="Z380" s="49">
        <f>VLOOKUP(B380,country_opex,5,FALSE)</f>
        <v/>
      </c>
      <c r="AA380" s="49">
        <f>maint</f>
        <v/>
      </c>
      <c r="AB380" s="49">
        <f>VLOOKUP(B380,country_opex,7,FALSE)*ins_pct</f>
        <v/>
      </c>
      <c r="AC380" s="49">
        <f>charge_berth</f>
        <v/>
      </c>
      <c r="AD380" s="49">
        <f>X380+Y380+Z380+AA380+AB380+AC380</f>
        <v/>
      </c>
      <c r="AE380" s="49">
        <f>VLOOKUP(B380,country_opex,7,FALSE)/dep_years</f>
        <v/>
      </c>
      <c r="AF380" s="49">
        <f>W380-AD380</f>
        <v/>
      </c>
      <c r="AG380" s="46">
        <f>IF(W380=0,"",AF380/W380)</f>
        <v/>
      </c>
      <c r="AH380" s="47">
        <f>IF(AF380&lt;=0,"",VLOOKUP(B380,country_opex,7,FALSE)/AF380)</f>
        <v/>
      </c>
      <c r="AI380" s="44">
        <f>((G380*R380/diesel_nmpg)*diesel_co2pg-(battery/range_nm)*G380*R380*VLOOKUP(B380,country_opex,4,FALSE))/1000</f>
        <v/>
      </c>
      <c r="AJ380" s="42" t="n">
        <v>500000</v>
      </c>
      <c r="AK380" s="43" t="inlineStr">
        <is>
          <t>T2</t>
        </is>
      </c>
      <c r="AL380" s="43" t="inlineStr">
        <is>
          <t>low-med</t>
        </is>
      </c>
      <c r="AM380" s="50" t="n">
        <v>0.9</v>
      </c>
      <c r="AN380" s="45">
        <f>IF(AJ380="","",AJ380*AM380)</f>
        <v/>
      </c>
      <c r="AO380" s="45">
        <f>IF(OR(AJ380="",U380=0),"",MIN(IF(AV380="",9.9E+99,AV380),FLOOR(AN380/U380,1)))</f>
        <v/>
      </c>
      <c r="AP380" s="49">
        <f>IF(AO380="","",AO380*W380)</f>
        <v/>
      </c>
      <c r="AQ380" s="47">
        <f>IF(OR(AJ380="",U380=0),"",MIN(IF(AV380="",9.9E+99,AV380),AN380/U380))</f>
        <v/>
      </c>
      <c r="AR380" s="49">
        <f>IF(AQ380="","",AQ380*W380)</f>
        <v/>
      </c>
      <c r="AS380" s="51" t="n"/>
      <c r="AT380" s="52" t="inlineStr">
        <is>
          <t>FWD-SAM (2030)</t>
        </is>
      </c>
      <c r="AU380" s="52" t="n"/>
      <c r="AV380" s="53" t="n"/>
      <c r="AW380" s="54">
        <f>IF(((V380*pax_cap*load_thin*ROUND(N380*O380*revleg_thin,0))-(((battery/range_nm)*G380*ROUND(N380*O380*revleg_thin,0)*VLOOKUP(B380,country_opex,3,FALSE))+Y380+Z380+AA380+AB380+AC380))&lt;=0,"",VLOOKUP(B380,country_opex,7,FALSE)/((V380*pax_cap*load_thin*ROUND(N380*O380*revleg_thin,0))-(((battery/range_nm)*G380*ROUND(N380*O380*revleg_thin,0)*VLOOKUP(B380,country_opex,3,FALSE))+Y380+Z380+AA380+AB380+AC380)))</f>
        <v/>
      </c>
      <c r="AX380" s="54">
        <f>IF(((V380*pax_cap*load_mid*ROUND(N380*O380*revleg_mid,0))-(((battery/range_nm)*G380*ROUND(N380*O380*revleg_mid,0)*VLOOKUP(B380,country_opex,3,FALSE))+Y380+Z380+AA380+AB380+AC380))&lt;=0,"",VLOOKUP(B380,country_opex,7,FALSE)/((V380*pax_cap*load_mid*ROUND(N380*O380*revleg_mid,0))-(((battery/range_nm)*G380*ROUND(N380*O380*revleg_mid,0)*VLOOKUP(B380,country_opex,3,FALSE))+Y380+Z380+AA380+AB380+AC380)))</f>
        <v/>
      </c>
      <c r="AY380" s="54">
        <f>IF(((V380*pax_cap*load_full*ROUND(N380*O380*revleg_full,0))-(((battery/range_nm)*G380*ROUND(N380*O380*revleg_full,0)*VLOOKUP(B380,country_opex,3,FALSE))+Y380+Z380+AA380+AB380+AC380))&lt;=0,"",VLOOKUP(B380,country_opex,7,FALSE)/((V380*pax_cap*load_full*ROUND(N380*O380*revleg_full,0))-(((battery/range_nm)*G380*ROUND(N380*O380*revleg_full,0)*VLOOKUP(B380,country_opex,3,FALSE))+Y380+Z380+AA380+AB380+AC380)))</f>
        <v/>
      </c>
      <c r="AZ380" s="40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25nm outer-island luxury resort transfer -&gt; premium per-seat $175.</t>
        </is>
      </c>
      <c r="BA380" s="40" t="inlineStr">
        <is>
          <t>Red Sea Global / The Red Sea destination capped at 1,000,000 visitors/yr at full completion 2030 across 50 resorts/8,000+ keys (RSG official; Monaco Yacht Show factsheet 2025; blooloop; ICWA). Shura Island hub-&gt;outer-island resorts is THE primary internal transfer leg; R3 discount ~50% (not all resorts outer-island; some mainland/nearshore) -&gt; ~500k 1-way.</t>
        </is>
      </c>
    </row>
    <row r="381">
      <c r="A381" s="38" t="inlineStr">
        <is>
          <t>Saudi – Red Sea</t>
        </is>
      </c>
      <c r="B381" s="38" t="inlineStr">
        <is>
          <t>Saudi Arabia</t>
        </is>
      </c>
      <c r="C381" s="39" t="inlineStr">
        <is>
          <t>Jeddah Corniche → Jeddah Yacht Club &amp; Marina</t>
        </is>
      </c>
      <c r="D381" s="38" t="inlineStr">
        <is>
          <t>saudi-redsea-pif</t>
        </is>
      </c>
      <c r="E381" s="40" t="inlineStr">
        <is>
          <t>bolt-ksa-commercial, saudi-redsea, saudi-redsea-resort, yango-ksa-commercial</t>
        </is>
      </c>
      <c r="F381" s="41" t="n">
        <v>4</v>
      </c>
      <c r="G381" s="42" t="n">
        <v>12</v>
      </c>
      <c r="H381" s="35" t="n"/>
      <c r="I381" s="43" t="n"/>
      <c r="J381" s="43" t="n"/>
      <c r="K381" s="29" t="n">
        <v>1</v>
      </c>
      <c r="L381" s="44">
        <f>60*G381/cruise_kt</f>
        <v/>
      </c>
      <c r="M381" s="44">
        <f>L381+turn_min+dwell_min</f>
        <v/>
      </c>
      <c r="N381" s="45">
        <f>MIN(10,FLOOR(60*service_hr/M381,1))</f>
        <v/>
      </c>
      <c r="O381" s="45">
        <f>ROUND(365*mech_uptime*K381,0)</f>
        <v/>
      </c>
      <c r="P381" s="46">
        <f>mech_uptime</f>
        <v/>
      </c>
      <c r="Q381" s="46">
        <f>revleg_sel</f>
        <v/>
      </c>
      <c r="R381" s="45">
        <f>ROUND(N381*O381*revleg_sel,0)</f>
        <v/>
      </c>
      <c r="S381" s="47">
        <f>load_sel</f>
        <v/>
      </c>
      <c r="T381" s="47">
        <f>pax_cap*S381</f>
        <v/>
      </c>
      <c r="U381" s="45">
        <f>T381*R381</f>
        <v/>
      </c>
      <c r="V381" s="48">
        <f>H381*discount</f>
        <v/>
      </c>
      <c r="W381" s="49">
        <f>V381*U381</f>
        <v/>
      </c>
      <c r="X381" s="49">
        <f>(battery/range_nm)*G381*R381*VLOOKUP(B381,country_opex,3,FALSE)</f>
        <v/>
      </c>
      <c r="Y381" s="49">
        <f>VLOOKUP(B381,country_opex,2,FALSE)*crew_factor</f>
        <v/>
      </c>
      <c r="Z381" s="49">
        <f>VLOOKUP(B381,country_opex,5,FALSE)</f>
        <v/>
      </c>
      <c r="AA381" s="49">
        <f>maint</f>
        <v/>
      </c>
      <c r="AB381" s="49">
        <f>VLOOKUP(B381,country_opex,7,FALSE)*ins_pct</f>
        <v/>
      </c>
      <c r="AC381" s="49">
        <f>charge_berth</f>
        <v/>
      </c>
      <c r="AD381" s="49">
        <f>X381+Y381+Z381+AA381+AB381+AC381</f>
        <v/>
      </c>
      <c r="AE381" s="49">
        <f>VLOOKUP(B381,country_opex,7,FALSE)/dep_years</f>
        <v/>
      </c>
      <c r="AF381" s="49">
        <f>W381-AD381</f>
        <v/>
      </c>
      <c r="AG381" s="46">
        <f>IF(W381=0,"",AF381/W381)</f>
        <v/>
      </c>
      <c r="AH381" s="47">
        <f>IF(AF381&lt;=0,"",VLOOKUP(B381,country_opex,7,FALSE)/AF381)</f>
        <v/>
      </c>
      <c r="AI381" s="44">
        <f>((G381*R381/diesel_nmpg)*diesel_co2pg-(battery/range_nm)*G381*R381*VLOOKUP(B381,country_opex,4,FALSE))/1000</f>
        <v/>
      </c>
      <c r="AJ381" s="42" t="n"/>
      <c r="AK381" s="43" t="n"/>
      <c r="AL381" s="43" t="n"/>
      <c r="AM381" s="50" t="n">
        <v>0.9</v>
      </c>
      <c r="AN381" s="45">
        <f>IF(AJ381="","",AJ381*AM381)</f>
        <v/>
      </c>
      <c r="AO381" s="45">
        <f>IF(OR(AJ381="",U381=0),"",MIN(IF(AV381="",9.9E+99,AV381),FLOOR(AN381/U381,1)))</f>
        <v/>
      </c>
      <c r="AP381" s="49">
        <f>IF(AO381="","",AO381*W381)</f>
        <v/>
      </c>
      <c r="AQ381" s="47">
        <f>IF(OR(AJ381="",U381=0),"",MIN(IF(AV381="",9.9E+99,AV381),AN381/U381))</f>
        <v/>
      </c>
      <c r="AR381" s="49">
        <f>IF(AQ381="","",AQ381*W381)</f>
        <v/>
      </c>
      <c r="AS381" s="51" t="n"/>
      <c r="AT381" s="52" t="n"/>
      <c r="AU381" s="52" t="n"/>
      <c r="AV381" s="53" t="n"/>
      <c r="AW381" s="54">
        <f>IF(((V381*pax_cap*load_thin*ROUND(N381*O381*revleg_thin,0))-(((battery/range_nm)*G381*ROUND(N381*O381*revleg_thin,0)*VLOOKUP(B381,country_opex,3,FALSE))+Y381+Z381+AA381+AB381+AC381))&lt;=0,"",VLOOKUP(B381,country_opex,7,FALSE)/((V381*pax_cap*load_thin*ROUND(N381*O381*revleg_thin,0))-(((battery/range_nm)*G381*ROUND(N381*O381*revleg_thin,0)*VLOOKUP(B381,country_opex,3,FALSE))+Y381+Z381+AA381+AB381+AC381)))</f>
        <v/>
      </c>
      <c r="AX381" s="54">
        <f>IF(((V381*pax_cap*load_mid*ROUND(N381*O381*revleg_mid,0))-(((battery/range_nm)*G381*ROUND(N381*O381*revleg_mid,0)*VLOOKUP(B381,country_opex,3,FALSE))+Y381+Z381+AA381+AB381+AC381))&lt;=0,"",VLOOKUP(B381,country_opex,7,FALSE)/((V381*pax_cap*load_mid*ROUND(N381*O381*revleg_mid,0))-(((battery/range_nm)*G381*ROUND(N381*O381*revleg_mid,0)*VLOOKUP(B381,country_opex,3,FALSE))+Y381+Z381+AA381+AB381+AC381)))</f>
        <v/>
      </c>
      <c r="AY381" s="54">
        <f>IF(((V381*pax_cap*load_full*ROUND(N381*O381*revleg_full,0))-(((battery/range_nm)*G381*ROUND(N381*O381*revleg_full,0)*VLOOKUP(B381,country_opex,3,FALSE))+Y381+Z381+AA381+AB381+AC381))&lt;=0,"",VLOOKUP(B381,country_opex,7,FALSE)/((V381*pax_cap*load_full*ROUND(N381*O381*revleg_full,0))-(((battery/range_nm)*G381*ROUND(N381*O381*revleg_full,0)*VLOOKUP(B381,country_opex,3,FALSE))+Y381+Z381+AA381+AB381+AC381)))</f>
        <v/>
      </c>
      <c r="AZ381" s="40" t="n"/>
      <c r="BA381" s="40" t="n"/>
    </row>
    <row r="382">
      <c r="A382" s="38" t="inlineStr">
        <is>
          <t>Saudi – Red Sea</t>
        </is>
      </c>
      <c r="B382" s="38" t="inlineStr">
        <is>
          <t>Saudi Arabia</t>
        </is>
      </c>
      <c r="C382" s="39" t="inlineStr">
        <is>
          <t>Khobar / Dammam (Eastern Province) → Manama, Bahrain</t>
        </is>
      </c>
      <c r="D382" s="38" t="inlineStr">
        <is>
          <t>red-sea-global</t>
        </is>
      </c>
      <c r="E382" s="40" t="inlineStr">
        <is>
          <t>bolt-ksa-commercial, saudi-redsea, saudi-redsea-resort, yango-ksa-commercial</t>
        </is>
      </c>
      <c r="F382" s="41" t="n">
        <v>4</v>
      </c>
      <c r="G382" s="42" t="n">
        <v>18.6</v>
      </c>
      <c r="H382" s="35" t="n">
        <v>80</v>
      </c>
      <c r="I382" s="43" t="inlineStr">
        <is>
          <t>T5</t>
        </is>
      </c>
      <c r="J382" s="43" t="inlineStr">
        <is>
          <t>low</t>
        </is>
      </c>
      <c r="K382" s="29" t="n">
        <v>1</v>
      </c>
      <c r="L382" s="44">
        <f>60*G382/cruise_kt</f>
        <v/>
      </c>
      <c r="M382" s="44">
        <f>L382+turn_min+dwell_min</f>
        <v/>
      </c>
      <c r="N382" s="45">
        <f>MIN(18,FLOOR(60*service_hr/M382,1))</f>
        <v/>
      </c>
      <c r="O382" s="45">
        <f>ROUND(365*mech_uptime*K382,0)</f>
        <v/>
      </c>
      <c r="P382" s="46">
        <f>mech_uptime</f>
        <v/>
      </c>
      <c r="Q382" s="46">
        <f>revleg_sel</f>
        <v/>
      </c>
      <c r="R382" s="45">
        <f>ROUND(N382*O382*revleg_sel,0)</f>
        <v/>
      </c>
      <c r="S382" s="47">
        <f>load_sel</f>
        <v/>
      </c>
      <c r="T382" s="47">
        <f>pax_cap*S382</f>
        <v/>
      </c>
      <c r="U382" s="45">
        <f>T382*R382</f>
        <v/>
      </c>
      <c r="V382" s="48">
        <f>H382*discount</f>
        <v/>
      </c>
      <c r="W382" s="49">
        <f>V382*U382</f>
        <v/>
      </c>
      <c r="X382" s="49">
        <f>(battery/range_nm)*G382*R382*VLOOKUP(B382,country_opex,3,FALSE)</f>
        <v/>
      </c>
      <c r="Y382" s="49">
        <f>VLOOKUP(B382,country_opex,2,FALSE)*crew_factor</f>
        <v/>
      </c>
      <c r="Z382" s="49">
        <f>VLOOKUP(B382,country_opex,5,FALSE)</f>
        <v/>
      </c>
      <c r="AA382" s="49">
        <f>maint</f>
        <v/>
      </c>
      <c r="AB382" s="49">
        <f>VLOOKUP(B382,country_opex,7,FALSE)*ins_pct</f>
        <v/>
      </c>
      <c r="AC382" s="49">
        <f>charge_berth</f>
        <v/>
      </c>
      <c r="AD382" s="49">
        <f>X382+Y382+Z382+AA382+AB382+AC382</f>
        <v/>
      </c>
      <c r="AE382" s="49">
        <f>VLOOKUP(B382,country_opex,7,FALSE)/dep_years</f>
        <v/>
      </c>
      <c r="AF382" s="49">
        <f>W382-AD382</f>
        <v/>
      </c>
      <c r="AG382" s="46">
        <f>IF(W382=0,"",AF382/W382)</f>
        <v/>
      </c>
      <c r="AH382" s="47">
        <f>IF(AF382&lt;=0,"",VLOOKUP(B382,country_opex,7,FALSE)/AF382)</f>
        <v/>
      </c>
      <c r="AI382" s="44">
        <f>((G382*R382/diesel_nmpg)*diesel_co2pg-(battery/range_nm)*G382*R382*VLOOKUP(B382,country_opex,4,FALSE))/1000</f>
        <v/>
      </c>
      <c r="AJ382" s="42" t="n">
        <v>330000</v>
      </c>
      <c r="AK382" s="43" t="inlineStr">
        <is>
          <t>T3</t>
        </is>
      </c>
      <c r="AL382" s="43" t="inlineStr">
        <is>
          <t>low</t>
        </is>
      </c>
      <c r="AM382" s="50" t="n">
        <v>0.1</v>
      </c>
      <c r="AN382" s="45">
        <f>IF(AJ382="","",AJ382*AM382)</f>
        <v/>
      </c>
      <c r="AO382" s="45">
        <f>IF(OR(AJ382="",U382=0),"",MIN(IF(AV382="",9.9E+99,AV382),FLOOR(AN382/U382,1)))</f>
        <v/>
      </c>
      <c r="AP382" s="49">
        <f>IF(AO382="","",AO382*W382)</f>
        <v/>
      </c>
      <c r="AQ382" s="47">
        <f>IF(OR(AJ382="",U382=0),"",MIN(IF(AV382="",9.9E+99,AV382),AN382/U382))</f>
        <v/>
      </c>
      <c r="AR382" s="49">
        <f>IF(AQ382="","",AQ382*W382)</f>
        <v/>
      </c>
      <c r="AS382" s="51" t="n"/>
      <c r="AT382" s="52" t="inlineStr">
        <is>
          <t>FWD-SAM (2030)</t>
        </is>
      </c>
      <c r="AU382" s="52" t="n"/>
      <c r="AV382" s="53" t="n"/>
      <c r="AW382" s="54">
        <f>IF(((V382*pax_cap*load_thin*ROUND(N382*O382*revleg_thin,0))-(((battery/range_nm)*G382*ROUND(N382*O382*revleg_thin,0)*VLOOKUP(B382,country_opex,3,FALSE))+Y382+Z382+AA382+AB382+AC382))&lt;=0,"",VLOOKUP(B382,country_opex,7,FALSE)/((V382*pax_cap*load_thin*ROUND(N382*O382*revleg_thin,0))-(((battery/range_nm)*G382*ROUND(N382*O382*revleg_thin,0)*VLOOKUP(B382,country_opex,3,FALSE))+Y382+Z382+AA382+AB382+AC382)))</f>
        <v/>
      </c>
      <c r="AX382" s="54">
        <f>IF(((V382*pax_cap*load_mid*ROUND(N382*O382*revleg_mid,0))-(((battery/range_nm)*G382*ROUND(N382*O382*revleg_mid,0)*VLOOKUP(B382,country_opex,3,FALSE))+Y382+Z382+AA382+AB382+AC382))&lt;=0,"",VLOOKUP(B382,country_opex,7,FALSE)/((V382*pax_cap*load_mid*ROUND(N382*O382*revleg_mid,0))-(((battery/range_nm)*G382*ROUND(N382*O382*revleg_mid,0)*VLOOKUP(B382,country_opex,3,FALSE))+Y382+Z382+AA382+AB382+AC382)))</f>
        <v/>
      </c>
      <c r="AY382" s="54">
        <f>IF(((V382*pax_cap*load_full*ROUND(N382*O382*revleg_full,0))-(((battery/range_nm)*G382*ROUND(N382*O382*revleg_full,0)*VLOOKUP(B382,country_opex,3,FALSE))+Y382+Z382+AA382+AB382+AC382))&lt;=0,"",VLOOKUP(B382,country_opex,7,FALSE)/((V382*pax_cap*load_full*ROUND(N382*O382*revleg_full,0))-(((battery/range_nm)*G382*ROUND(N382*O382*revleg_full,0)*VLOOKUP(B382,country_opex,3,FALSE))+Y382+Z382+AA382+AB382+AC382)))</f>
        <v/>
      </c>
      <c r="AZ382" s="40" t="inlineStr">
        <is>
          <t>No passenger ferry on this 25nm cross-Gulf crossing today (everyone DRIVES the King Fahd Causeway). Premium per-seat cross-Gulf fast transfer modeled on Gulf premium intercity/business transfer tier -&gt; $80. R16 home-port opex = Saudi Arabia.</t>
        </is>
      </c>
      <c r="BA382" s="40" t="inlineStr">
        <is>
          <t>King Fahd Causeway carried a RECORD 33,000,000 passengers in 2024 (Gulf News; ~52,450/day, +7%/yr) - but that is ROAD traffic (R3 strong mode mismatch). Do NOT claim full causeway volume. Addressable premium MARINE subset only: modeled ~1% of 33M = ~330k/yr 1-way (time-sensitive premium travelers who'd pay for a fast boat vs causeway congestion).</t>
        </is>
      </c>
    </row>
    <row r="383">
      <c r="A383" s="38" t="inlineStr">
        <is>
          <t>Saudi – Red Sea</t>
        </is>
      </c>
      <c r="B383" s="38" t="inlineStr">
        <is>
          <t>Saudi Arabia</t>
        </is>
      </c>
      <c r="C383" s="39" t="inlineStr">
        <is>
          <t>The Red Sea → AMAALA (Triple Bay)</t>
        </is>
      </c>
      <c r="D383" s="38" t="inlineStr">
        <is>
          <t>red-sea-global</t>
        </is>
      </c>
      <c r="E383" s="40" t="inlineStr">
        <is>
          <t>bolt-ksa-commercial, saudi-redsea, saudi-redsea-resort, yango-ksa-commercial</t>
        </is>
      </c>
      <c r="F383" s="41" t="n">
        <v>4</v>
      </c>
      <c r="G383" s="42" t="n">
        <v>29.4</v>
      </c>
      <c r="H383" s="35" t="n">
        <v>250</v>
      </c>
      <c r="I383" s="43" t="inlineStr">
        <is>
          <t>T5</t>
        </is>
      </c>
      <c r="J383" s="43" t="inlineStr">
        <is>
          <t>low</t>
        </is>
      </c>
      <c r="K383" s="29" t="n">
        <v>1</v>
      </c>
      <c r="L383" s="44">
        <f>60*G383/cruise_kt</f>
        <v/>
      </c>
      <c r="M383" s="44">
        <f>L383+turn_min+dwell_min</f>
        <v/>
      </c>
      <c r="N383" s="45">
        <f>MIN(10,FLOOR(60*service_hr/M383,1))</f>
        <v/>
      </c>
      <c r="O383" s="45">
        <f>ROUND(365*mech_uptime*K383,0)</f>
        <v/>
      </c>
      <c r="P383" s="46">
        <f>mech_uptime</f>
        <v/>
      </c>
      <c r="Q383" s="46">
        <f>revleg_sel</f>
        <v/>
      </c>
      <c r="R383" s="45">
        <f>ROUND(N383*O383*revleg_sel,0)</f>
        <v/>
      </c>
      <c r="S383" s="47">
        <f>load_sel</f>
        <v/>
      </c>
      <c r="T383" s="47">
        <f>pax_cap*S383</f>
        <v/>
      </c>
      <c r="U383" s="45">
        <f>T383*R383</f>
        <v/>
      </c>
      <c r="V383" s="48">
        <f>H383*discount</f>
        <v/>
      </c>
      <c r="W383" s="49">
        <f>V383*U383</f>
        <v/>
      </c>
      <c r="X383" s="49">
        <f>(battery/range_nm)*G383*R383*VLOOKUP(B383,country_opex,3,FALSE)</f>
        <v/>
      </c>
      <c r="Y383" s="49">
        <f>VLOOKUP(B383,country_opex,2,FALSE)*crew_factor</f>
        <v/>
      </c>
      <c r="Z383" s="49">
        <f>VLOOKUP(B383,country_opex,5,FALSE)</f>
        <v/>
      </c>
      <c r="AA383" s="49">
        <f>maint</f>
        <v/>
      </c>
      <c r="AB383" s="49">
        <f>VLOOKUP(B383,country_opex,7,FALSE)*ins_pct</f>
        <v/>
      </c>
      <c r="AC383" s="49">
        <f>charge_berth</f>
        <v/>
      </c>
      <c r="AD383" s="49">
        <f>X383+Y383+Z383+AA383+AB383+AC383</f>
        <v/>
      </c>
      <c r="AE383" s="49">
        <f>VLOOKUP(B383,country_opex,7,FALSE)/dep_years</f>
        <v/>
      </c>
      <c r="AF383" s="49">
        <f>W383-AD383</f>
        <v/>
      </c>
      <c r="AG383" s="46">
        <f>IF(W383=0,"",AF383/W383)</f>
        <v/>
      </c>
      <c r="AH383" s="47">
        <f>IF(AF383&lt;=0,"",VLOOKUP(B383,country_opex,7,FALSE)/AF383)</f>
        <v/>
      </c>
      <c r="AI383" s="44">
        <f>((G383*R383/diesel_nmpg)*diesel_co2pg-(battery/range_nm)*G383*R383*VLOOKUP(B383,country_opex,4,FALSE))/1000</f>
        <v/>
      </c>
      <c r="AJ383" s="42" t="n">
        <v>500000</v>
      </c>
      <c r="AK383" s="43" t="inlineStr">
        <is>
          <t>T4</t>
        </is>
      </c>
      <c r="AL383" s="43" t="inlineStr">
        <is>
          <t>low</t>
        </is>
      </c>
      <c r="AM383" s="50" t="n">
        <v>0.1</v>
      </c>
      <c r="AN383" s="45">
        <f>IF(AJ383="","",AJ383*AM383)</f>
        <v/>
      </c>
      <c r="AO383" s="45">
        <f>IF(OR(AJ383="",U383=0),"",MIN(IF(AV383="",9.9E+99,AV383),FLOOR(AN383/U383,1)))</f>
        <v/>
      </c>
      <c r="AP383" s="49">
        <f>IF(AO383="","",AO383*W383)</f>
        <v/>
      </c>
      <c r="AQ383" s="47">
        <f>IF(OR(AJ383="",U383=0),"",MIN(IF(AV383="",9.9E+99,AV383),AN383/U383))</f>
        <v/>
      </c>
      <c r="AR383" s="49">
        <f>IF(AQ383="","",AQ383*W383)</f>
        <v/>
      </c>
      <c r="AS383" s="51" t="n"/>
      <c r="AT383" s="52" t="inlineStr">
        <is>
          <t>FWD-SAM (2030)</t>
        </is>
      </c>
      <c r="AU383" s="52" t="n"/>
      <c r="AV383" s="53" t="n"/>
      <c r="AW383" s="54">
        <f>IF(((V383*pax_cap*load_thin*ROUND(N383*O383*revleg_thin,0))-(((battery/range_nm)*G383*ROUND(N383*O383*revleg_thin,0)*VLOOKUP(B383,country_opex,3,FALSE))+Y383+Z383+AA383+AB383+AC383))&lt;=0,"",VLOOKUP(B383,country_opex,7,FALSE)/((V383*pax_cap*load_thin*ROUND(N383*O383*revleg_thin,0))-(((battery/range_nm)*G383*ROUND(N383*O383*revleg_thin,0)*VLOOKUP(B383,country_opex,3,FALSE))+Y383+Z383+AA383+AB383+AC383)))</f>
        <v/>
      </c>
      <c r="AX383" s="54">
        <f>IF(((V383*pax_cap*load_mid*ROUND(N383*O383*revleg_mid,0))-(((battery/range_nm)*G383*ROUND(N383*O383*revleg_mid,0)*VLOOKUP(B383,country_opex,3,FALSE))+Y383+Z383+AA383+AB383+AC383))&lt;=0,"",VLOOKUP(B383,country_opex,7,FALSE)/((V383*pax_cap*load_mid*ROUND(N383*O383*revleg_mid,0))-(((battery/range_nm)*G383*ROUND(N383*O383*revleg_mid,0)*VLOOKUP(B383,country_opex,3,FALSE))+Y383+Z383+AA383+AB383+AC383)))</f>
        <v/>
      </c>
      <c r="AY383" s="54">
        <f>IF(((V383*pax_cap*load_full*ROUND(N383*O383*revleg_full,0))-(((battery/range_nm)*G383*ROUND(N383*O383*revleg_full,0)*VLOOKUP(B383,country_opex,3,FALSE))+Y383+Z383+AA383+AB383+AC383))&lt;=0,"",VLOOKUP(B383,country_opex,7,FALSE)/((V383*pax_cap*load_full*ROUND(N383*O383*revleg_full,0))-(((battery/range_nm)*G383*ROUND(N383*O383*revleg_full,0)*VLOOKUP(B383,country_opex,3,FALSE))+Y383+Z383+AA383+AB383+AC383)))</f>
        <v/>
      </c>
      <c r="AZ383" s="40" t="inlineStr">
        <is>
          <t>80nm luxury inter-destination leg - flight/seaplane-substituted (R12). Anchored on Maldives seaplane tier ($300-600 RT ~ $200-300 1-way) -&gt; premium per-seat ~$250. Held-out Quanta-LR roadmap leg.</t>
        </is>
      </c>
      <c r="BA383" s="40" t="inlineStr">
        <is>
          <t>AMAALA target ~500k/yr (The Red Sea + AMAALA combined aim ~1.5M visitors/yr; The Red Sea =1M -&gt; AMAALA ~0.5M). AMAALA full completion ~3,900 keys / up to 29-30 resorts (Four Seasons/RSG). Inter-destination transfer is a small subset; recorded AMAALA pool proxy low conf. Held-out leg.</t>
        </is>
      </c>
    </row>
    <row r="384">
      <c r="A384" s="38" t="inlineStr">
        <is>
          <t>Saudi – Red Sea</t>
        </is>
      </c>
      <c r="B384" s="38" t="inlineStr">
        <is>
          <t>Saudi Arabia</t>
        </is>
      </c>
      <c r="C384" s="39" t="inlineStr">
        <is>
          <t>NEOM — Sindalah → Magna / Oxagon coast</t>
        </is>
      </c>
      <c r="D384" s="38" t="inlineStr">
        <is>
          <t>red-sea-global</t>
        </is>
      </c>
      <c r="E384" s="40" t="inlineStr">
        <is>
          <t>bolt-ksa-commercial, saudi-redsea, saudi-redsea-resort, yango-ksa-commercial</t>
        </is>
      </c>
      <c r="F384" s="41" t="n">
        <v>4</v>
      </c>
      <c r="G384" s="42" t="n">
        <v>30.8</v>
      </c>
      <c r="H384" s="35" t="n">
        <v>120</v>
      </c>
      <c r="I384" s="43" t="inlineStr">
        <is>
          <t>T5</t>
        </is>
      </c>
      <c r="J384" s="43" t="inlineStr">
        <is>
          <t>low</t>
        </is>
      </c>
      <c r="K384" s="29" t="n">
        <v>1</v>
      </c>
      <c r="L384" s="44">
        <f>60*G384/cruise_kt</f>
        <v/>
      </c>
      <c r="M384" s="44">
        <f>L384+turn_min+dwell_min</f>
        <v/>
      </c>
      <c r="N384" s="45">
        <f>MIN(18,FLOOR(60*service_hr/M384,1))</f>
        <v/>
      </c>
      <c r="O384" s="45">
        <f>ROUND(365*mech_uptime*K384,0)</f>
        <v/>
      </c>
      <c r="P384" s="46">
        <f>mech_uptime</f>
        <v/>
      </c>
      <c r="Q384" s="46">
        <f>revleg_sel</f>
        <v/>
      </c>
      <c r="R384" s="45">
        <f>ROUND(N384*O384*revleg_sel,0)</f>
        <v/>
      </c>
      <c r="S384" s="47">
        <f>load_sel</f>
        <v/>
      </c>
      <c r="T384" s="47">
        <f>pax_cap*S384</f>
        <v/>
      </c>
      <c r="U384" s="45">
        <f>T384*R384</f>
        <v/>
      </c>
      <c r="V384" s="48">
        <f>H384*discount</f>
        <v/>
      </c>
      <c r="W384" s="49">
        <f>V384*U384</f>
        <v/>
      </c>
      <c r="X384" s="49">
        <f>(battery/range_nm)*G384*R384*VLOOKUP(B384,country_opex,3,FALSE)</f>
        <v/>
      </c>
      <c r="Y384" s="49">
        <f>VLOOKUP(B384,country_opex,2,FALSE)*crew_factor</f>
        <v/>
      </c>
      <c r="Z384" s="49">
        <f>VLOOKUP(B384,country_opex,5,FALSE)</f>
        <v/>
      </c>
      <c r="AA384" s="49">
        <f>maint</f>
        <v/>
      </c>
      <c r="AB384" s="49">
        <f>VLOOKUP(B384,country_opex,7,FALSE)*ins_pct</f>
        <v/>
      </c>
      <c r="AC384" s="49">
        <f>charge_berth</f>
        <v/>
      </c>
      <c r="AD384" s="49">
        <f>X384+Y384+Z384+AA384+AB384+AC384</f>
        <v/>
      </c>
      <c r="AE384" s="49">
        <f>VLOOKUP(B384,country_opex,7,FALSE)/dep_years</f>
        <v/>
      </c>
      <c r="AF384" s="49">
        <f>W384-AD384</f>
        <v/>
      </c>
      <c r="AG384" s="46">
        <f>IF(W384=0,"",AF384/W384)</f>
        <v/>
      </c>
      <c r="AH384" s="47">
        <f>IF(AF384&lt;=0,"",VLOOKUP(B384,country_opex,7,FALSE)/AF384)</f>
        <v/>
      </c>
      <c r="AI384" s="44">
        <f>((G384*R384/diesel_nmpg)*diesel_co2pg-(battery/range_nm)*G384*R384*VLOOKUP(B384,country_opex,4,FALSE))/1000</f>
        <v/>
      </c>
      <c r="AJ384" s="42" t="n">
        <v>250000</v>
      </c>
      <c r="AK384" s="43" t="inlineStr">
        <is>
          <t>T2</t>
        </is>
      </c>
      <c r="AL384" s="43" t="inlineStr">
        <is>
          <t>low</t>
        </is>
      </c>
      <c r="AM384" s="50" t="n">
        <v>0.1</v>
      </c>
      <c r="AN384" s="45">
        <f>IF(AJ384="","",AJ384*AM384)</f>
        <v/>
      </c>
      <c r="AO384" s="45">
        <f>IF(OR(AJ384="",U384=0),"",MIN(IF(AV384="",9.9E+99,AV384),FLOOR(AN384/U384,1)))</f>
        <v/>
      </c>
      <c r="AP384" s="49">
        <f>IF(AO384="","",AO384*W384)</f>
        <v/>
      </c>
      <c r="AQ384" s="47">
        <f>IF(OR(AJ384="",U384=0),"",MIN(IF(AV384="",9.9E+99,AV384),AN384/U384))</f>
        <v/>
      </c>
      <c r="AR384" s="49">
        <f>IF(AQ384="","",AQ384*W384)</f>
        <v/>
      </c>
      <c r="AS384" s="51" t="n"/>
      <c r="AT384" s="52" t="inlineStr">
        <is>
          <t>FWD-SAM (2030)</t>
        </is>
      </c>
      <c r="AU384" s="52" t="n"/>
      <c r="AV384" s="53" t="n"/>
      <c r="AW384" s="54">
        <f>IF(((V384*pax_cap*load_thin*ROUND(N384*O384*revleg_thin,0))-(((battery/range_nm)*G384*ROUND(N384*O384*revleg_thin,0)*VLOOKUP(B384,country_opex,3,FALSE))+Y384+Z384+AA384+AB384+AC384))&lt;=0,"",VLOOKUP(B384,country_opex,7,FALSE)/((V384*pax_cap*load_thin*ROUND(N384*O384*revleg_thin,0))-(((battery/range_nm)*G384*ROUND(N384*O384*revleg_thin,0)*VLOOKUP(B384,country_opex,3,FALSE))+Y384+Z384+AA384+AB384+AC384)))</f>
        <v/>
      </c>
      <c r="AX384" s="54">
        <f>IF(((V384*pax_cap*load_mid*ROUND(N384*O384*revleg_mid,0))-(((battery/range_nm)*G384*ROUND(N384*O384*revleg_mid,0)*VLOOKUP(B384,country_opex,3,FALSE))+Y384+Z384+AA384+AB384+AC384))&lt;=0,"",VLOOKUP(B384,country_opex,7,FALSE)/((V384*pax_cap*load_mid*ROUND(N384*O384*revleg_mid,0))-(((battery/range_nm)*G384*ROUND(N384*O384*revleg_mid,0)*VLOOKUP(B384,country_opex,3,FALSE))+Y384+Z384+AA384+AB384+AC384)))</f>
        <v/>
      </c>
      <c r="AY384" s="54">
        <f>IF(((V384*pax_cap*load_full*ROUND(N384*O384*revleg_full,0))-(((battery/range_nm)*G384*ROUND(N384*O384*revleg_full,0)*VLOOKUP(B384,country_opex,3,FALSE))+Y384+Z384+AA384+AB384+AC384))&lt;=0,"",VLOOKUP(B384,country_opex,7,FALSE)/((V384*pax_cap*load_full*ROUND(N384*O384*revleg_full,0))-(((battery/range_nm)*G384*ROUND(N384*O384*revleg_full,0)*VLOOKUP(B384,country_opex,3,FALSE))+Y384+Z384+AA384+AB384+AC384)))</f>
        <v/>
      </c>
      <c r="AZ384" s="40" t="inlineStr">
        <is>
          <t>Sindalah is an ultra-premium yachting island (413-440 hotel rooms, 86-berth marina). NEOM inter-zone premium per-seat transfer modeled on Maldives/yacht-hub premium speedboat tier -&gt; $120.</t>
        </is>
      </c>
      <c r="BA384" s="40" t="inlineStr">
        <is>
          <t>NEOM Sindalah target: up to 2,400 guests/day by 2028 (NEOM official; Dezeen; Wikipedia) = ~876,000 guest-days/yr capacity; at ~3-4 night avg stay ~= ~250k arrivals/yr. Sindalah-&gt;Magna/Oxagon inter-zone transit is a SUBSET (R3) - recorded full Sindalah arrival proxy ~250k, low conf (not all transit to Magna/Oxagon).</t>
        </is>
      </c>
    </row>
    <row r="385">
      <c r="A385" s="38" t="inlineStr">
        <is>
          <t>Yango Senegal</t>
        </is>
      </c>
      <c r="B385" s="38" t="inlineStr">
        <is>
          <t>Senegal</t>
        </is>
      </c>
      <c r="C385" s="39" t="inlineStr">
        <is>
          <t>Dakar (Plage de Ngor) → Ile de Ngor</t>
        </is>
      </c>
      <c r="D385" s="38" t="inlineStr">
        <is>
          <t>yango</t>
        </is>
      </c>
      <c r="E385" s="40" t="inlineStr">
        <is>
          <t>yango-senegal</t>
        </is>
      </c>
      <c r="F385" s="41" t="n">
        <v>1</v>
      </c>
      <c r="G385" s="42" t="n">
        <v>0.3</v>
      </c>
      <c r="H385" s="35" t="n">
        <v>18</v>
      </c>
      <c r="I385" s="43" t="inlineStr">
        <is>
          <t>T2</t>
        </is>
      </c>
      <c r="J385" s="43" t="inlineStr">
        <is>
          <t>med</t>
        </is>
      </c>
      <c r="K385" s="29" t="n">
        <v>1</v>
      </c>
      <c r="L385" s="44">
        <f>60*G385/cruise_kt</f>
        <v/>
      </c>
      <c r="M385" s="44">
        <f>L385+turn_min+dwell_min</f>
        <v/>
      </c>
      <c r="N385" s="45">
        <f>MIN(10,FLOOR(60*service_hr/M385,1))</f>
        <v/>
      </c>
      <c r="O385" s="45">
        <f>ROUND(365*mech_uptime*K385,0)</f>
        <v/>
      </c>
      <c r="P385" s="46">
        <f>mech_uptime</f>
        <v/>
      </c>
      <c r="Q385" s="46">
        <f>revleg_sel</f>
        <v/>
      </c>
      <c r="R385" s="45">
        <f>ROUND(N385*O385*revleg_sel,0)</f>
        <v/>
      </c>
      <c r="S385" s="47">
        <f>load_sel</f>
        <v/>
      </c>
      <c r="T385" s="47">
        <f>pax_cap*S385</f>
        <v/>
      </c>
      <c r="U385" s="45">
        <f>T385*R385</f>
        <v/>
      </c>
      <c r="V385" s="48">
        <f>H385*discount</f>
        <v/>
      </c>
      <c r="W385" s="49">
        <f>V385*U385</f>
        <v/>
      </c>
      <c r="X385" s="49">
        <f>(battery/range_nm)*G385*R385*VLOOKUP(B385,country_opex,3,FALSE)</f>
        <v/>
      </c>
      <c r="Y385" s="49">
        <f>VLOOKUP(B385,country_opex,2,FALSE)*crew_factor</f>
        <v/>
      </c>
      <c r="Z385" s="49">
        <f>VLOOKUP(B385,country_opex,5,FALSE)</f>
        <v/>
      </c>
      <c r="AA385" s="49">
        <f>maint</f>
        <v/>
      </c>
      <c r="AB385" s="49">
        <f>VLOOKUP(B385,country_opex,7,FALSE)*ins_pct</f>
        <v/>
      </c>
      <c r="AC385" s="49">
        <f>charge_berth</f>
        <v/>
      </c>
      <c r="AD385" s="49">
        <f>X385+Y385+Z385+AA385+AB385+AC385</f>
        <v/>
      </c>
      <c r="AE385" s="49">
        <f>VLOOKUP(B385,country_opex,7,FALSE)/dep_years</f>
        <v/>
      </c>
      <c r="AF385" s="49">
        <f>W385-AD385</f>
        <v/>
      </c>
      <c r="AG385" s="46">
        <f>IF(W385=0,"",AF385/W385)</f>
        <v/>
      </c>
      <c r="AH385" s="47">
        <f>IF(AF385&lt;=0,"",VLOOKUP(B385,country_opex,7,FALSE)/AF385)</f>
        <v/>
      </c>
      <c r="AI385" s="44">
        <f>((G385*R385/diesel_nmpg)*diesel_co2pg-(battery/range_nm)*G385*R385*VLOOKUP(B385,country_opex,4,FALSE))/1000</f>
        <v/>
      </c>
      <c r="AJ385" s="42" t="n"/>
      <c r="AK385" s="43" t="n"/>
      <c r="AL385" s="43" t="n"/>
      <c r="AM385" s="50" t="n">
        <v>0.1</v>
      </c>
      <c r="AN385" s="45">
        <f>IF(AJ385="","",AJ385*AM385)</f>
        <v/>
      </c>
      <c r="AO385" s="45">
        <f>IF(OR(AJ385="",U385=0),"",MIN(IF(AV385="",9.9E+99,AV385),FLOOR(AN385/U385,1)))</f>
        <v/>
      </c>
      <c r="AP385" s="49">
        <f>IF(AO385="","",AO385*W385)</f>
        <v/>
      </c>
      <c r="AQ385" s="47">
        <f>IF(OR(AJ385="",U385=0),"",MIN(IF(AV385="",9.9E+99,AV385),AN385/U385))</f>
        <v/>
      </c>
      <c r="AR385" s="49">
        <f>IF(AQ385="","",AQ385*W385)</f>
        <v/>
      </c>
      <c r="AS385" s="51" t="n"/>
      <c r="AT385" s="52" t="n"/>
      <c r="AU385" s="52" t="n"/>
      <c r="AV385" s="53" t="n"/>
      <c r="AW385" s="54">
        <f>IF(((V385*pax_cap*load_thin*ROUND(N385*O385*revleg_thin,0))-(((battery/range_nm)*G385*ROUND(N385*O385*revleg_thin,0)*VLOOKUP(B385,country_opex,3,FALSE))+Y385+Z385+AA385+AB385+AC385))&lt;=0,"",VLOOKUP(B385,country_opex,7,FALSE)/((V385*pax_cap*load_thin*ROUND(N385*O385*revleg_thin,0))-(((battery/range_nm)*G385*ROUND(N385*O385*revleg_thin,0)*VLOOKUP(B385,country_opex,3,FALSE))+Y385+Z385+AA385+AB385+AC385)))</f>
        <v/>
      </c>
      <c r="AX385" s="54">
        <f>IF(((V385*pax_cap*load_mid*ROUND(N385*O385*revleg_mid,0))-(((battery/range_nm)*G385*ROUND(N385*O385*revleg_mid,0)*VLOOKUP(B385,country_opex,3,FALSE))+Y385+Z385+AA385+AB385+AC385))&lt;=0,"",VLOOKUP(B385,country_opex,7,FALSE)/((V385*pax_cap*load_mid*ROUND(N385*O385*revleg_mid,0))-(((battery/range_nm)*G385*ROUND(N385*O385*revleg_mid,0)*VLOOKUP(B385,country_opex,3,FALSE))+Y385+Z385+AA385+AB385+AC385)))</f>
        <v/>
      </c>
      <c r="AY385" s="54">
        <f>IF(((V385*pax_cap*load_full*ROUND(N385*O385*revleg_full,0))-(((battery/range_nm)*G385*ROUND(N385*O385*revleg_full,0)*VLOOKUP(B385,country_opex,3,FALSE))+Y385+Z385+AA385+AB385+AC385))&lt;=0,"",VLOOKUP(B385,country_opex,7,FALSE)/((V385*pax_cap*load_full*ROUND(N385*O385*revleg_full,0))-(((battery/range_nm)*G385*ROUND(N385*O385*revleg_full,0)*VLOOKUP(B385,country_opex,3,FALSE))+Y385+Z385+AA385+AB385+AC385)))</f>
        <v/>
      </c>
      <c r="AZ385" s="40" t="inlineStr">
        <is>
          <t>[LB-255 PREMIUM RE-FARE: subsidized comparable $0.87 lifted to premium on-demand floor $18.0] Pirogue shuttle 1,000 FCFA ALLER-RETOUR =&gt; ~500 one-way =&gt; $0.87. NOTE: this corridor has essentially no premium tier today (single low fare); $0.87 doubles as both anchor and floor.</t>
        </is>
      </c>
      <c r="BA385" s="40" t="n"/>
    </row>
    <row r="386">
      <c r="A386" s="38" t="inlineStr">
        <is>
          <t>Yango Senegal</t>
        </is>
      </c>
      <c r="B386" s="38" t="inlineStr">
        <is>
          <t>Senegal</t>
        </is>
      </c>
      <c r="C386" s="39" t="inlineStr">
        <is>
          <t>Dakar (Soumbedioune / Mole) → Parc National des Iles de la Madeleine (Ile aux Serpents/Sarpan)</t>
        </is>
      </c>
      <c r="D386" s="38" t="inlineStr">
        <is>
          <t>yango</t>
        </is>
      </c>
      <c r="E386" s="40" t="inlineStr">
        <is>
          <t>yango-senegal</t>
        </is>
      </c>
      <c r="F386" s="41" t="n">
        <v>1</v>
      </c>
      <c r="G386" s="42" t="n">
        <v>2.2</v>
      </c>
      <c r="H386" s="35" t="n">
        <v>18</v>
      </c>
      <c r="I386" s="43" t="inlineStr">
        <is>
          <t>T2</t>
        </is>
      </c>
      <c r="J386" s="43" t="inlineStr">
        <is>
          <t>med</t>
        </is>
      </c>
      <c r="K386" s="29" t="n">
        <v>1</v>
      </c>
      <c r="L386" s="44">
        <f>60*G386/cruise_kt</f>
        <v/>
      </c>
      <c r="M386" s="44">
        <f>L386+turn_min+dwell_min</f>
        <v/>
      </c>
      <c r="N386" s="45">
        <f>MIN(10,FLOOR(60*service_hr/M386,1))</f>
        <v/>
      </c>
      <c r="O386" s="45">
        <f>ROUND(365*mech_uptime*K386,0)</f>
        <v/>
      </c>
      <c r="P386" s="46">
        <f>mech_uptime</f>
        <v/>
      </c>
      <c r="Q386" s="46">
        <f>revleg_sel</f>
        <v/>
      </c>
      <c r="R386" s="45">
        <f>ROUND(N386*O386*revleg_sel,0)</f>
        <v/>
      </c>
      <c r="S386" s="47">
        <f>load_sel</f>
        <v/>
      </c>
      <c r="T386" s="47">
        <f>pax_cap*S386</f>
        <v/>
      </c>
      <c r="U386" s="45">
        <f>T386*R386</f>
        <v/>
      </c>
      <c r="V386" s="48">
        <f>H386*discount</f>
        <v/>
      </c>
      <c r="W386" s="49">
        <f>V386*U386</f>
        <v/>
      </c>
      <c r="X386" s="49">
        <f>(battery/range_nm)*G386*R386*VLOOKUP(B386,country_opex,3,FALSE)</f>
        <v/>
      </c>
      <c r="Y386" s="49">
        <f>VLOOKUP(B386,country_opex,2,FALSE)*crew_factor</f>
        <v/>
      </c>
      <c r="Z386" s="49">
        <f>VLOOKUP(B386,country_opex,5,FALSE)</f>
        <v/>
      </c>
      <c r="AA386" s="49">
        <f>maint</f>
        <v/>
      </c>
      <c r="AB386" s="49">
        <f>VLOOKUP(B386,country_opex,7,FALSE)*ins_pct</f>
        <v/>
      </c>
      <c r="AC386" s="49">
        <f>charge_berth</f>
        <v/>
      </c>
      <c r="AD386" s="49">
        <f>X386+Y386+Z386+AA386+AB386+AC386</f>
        <v/>
      </c>
      <c r="AE386" s="49">
        <f>VLOOKUP(B386,country_opex,7,FALSE)/dep_years</f>
        <v/>
      </c>
      <c r="AF386" s="49">
        <f>W386-AD386</f>
        <v/>
      </c>
      <c r="AG386" s="46">
        <f>IF(W386=0,"",AF386/W386)</f>
        <v/>
      </c>
      <c r="AH386" s="47">
        <f>IF(AF386&lt;=0,"",VLOOKUP(B386,country_opex,7,FALSE)/AF386)</f>
        <v/>
      </c>
      <c r="AI386" s="44">
        <f>((G386*R386/diesel_nmpg)*diesel_co2pg-(battery/range_nm)*G386*R386*VLOOKUP(B386,country_opex,4,FALSE))/1000</f>
        <v/>
      </c>
      <c r="AJ386" s="42" t="n"/>
      <c r="AK386" s="43" t="n"/>
      <c r="AL386" s="43" t="n"/>
      <c r="AM386" s="50" t="n">
        <v>0.1</v>
      </c>
      <c r="AN386" s="45">
        <f>IF(AJ386="","",AJ386*AM386)</f>
        <v/>
      </c>
      <c r="AO386" s="45">
        <f>IF(OR(AJ386="",U386=0),"",MIN(IF(AV386="",9.9E+99,AV386),FLOOR(AN386/U386,1)))</f>
        <v/>
      </c>
      <c r="AP386" s="49">
        <f>IF(AO386="","",AO386*W386)</f>
        <v/>
      </c>
      <c r="AQ386" s="47">
        <f>IF(OR(AJ386="",U386=0),"",MIN(IF(AV386="",9.9E+99,AV386),AN386/U386))</f>
        <v/>
      </c>
      <c r="AR386" s="49">
        <f>IF(AQ386="","",AQ386*W386)</f>
        <v/>
      </c>
      <c r="AS386" s="51" t="n"/>
      <c r="AT386" s="52" t="n"/>
      <c r="AU386" s="52" t="n"/>
      <c r="AV386" s="53" t="n"/>
      <c r="AW386" s="54">
        <f>IF(((V386*pax_cap*load_thin*ROUND(N386*O386*revleg_thin,0))-(((battery/range_nm)*G386*ROUND(N386*O386*revleg_thin,0)*VLOOKUP(B386,country_opex,3,FALSE))+Y386+Z386+AA386+AB386+AC386))&lt;=0,"",VLOOKUP(B386,country_opex,7,FALSE)/((V386*pax_cap*load_thin*ROUND(N386*O386*revleg_thin,0))-(((battery/range_nm)*G386*ROUND(N386*O386*revleg_thin,0)*VLOOKUP(B386,country_opex,3,FALSE))+Y386+Z386+AA386+AB386+AC386)))</f>
        <v/>
      </c>
      <c r="AX386" s="54">
        <f>IF(((V386*pax_cap*load_mid*ROUND(N386*O386*revleg_mid,0))-(((battery/range_nm)*G386*ROUND(N386*O386*revleg_mid,0)*VLOOKUP(B386,country_opex,3,FALSE))+Y386+Z386+AA386+AB386+AC386))&lt;=0,"",VLOOKUP(B386,country_opex,7,FALSE)/((V386*pax_cap*load_mid*ROUND(N386*O386*revleg_mid,0))-(((battery/range_nm)*G386*ROUND(N386*O386*revleg_mid,0)*VLOOKUP(B386,country_opex,3,FALSE))+Y386+Z386+AA386+AB386+AC386)))</f>
        <v/>
      </c>
      <c r="AY386" s="54">
        <f>IF(((V386*pax_cap*load_full*ROUND(N386*O386*revleg_full,0))-(((battery/range_nm)*G386*ROUND(N386*O386*revleg_full,0)*VLOOKUP(B386,country_opex,3,FALSE))+Y386+Z386+AA386+AB386+AC386))&lt;=0,"",VLOOKUP(B386,country_opex,7,FALSE)/((V386*pax_cap*load_full*ROUND(N386*O386*revleg_full,0))-(((battery/range_nm)*G386*ROUND(N386*O386*revleg_full,0)*VLOOKUP(B386,country_opex,3,FALSE))+Y386+Z386+AA386+AB386+AC386)))</f>
        <v/>
      </c>
      <c r="AZ386" s="40" t="inlineStr">
        <is>
          <t>[LB-255 PREMIUM RE-FARE: subsidized comparable $3.48 lifted to premium on-demand floor $18.0] Divided-pirogue per-seat: 4,000 FCFA/pers ALLER-RETOUR for the crossing (excl. 1,000 FCFA park entry + 5,000 FCFA/group guide) =&gt; ~2,000 one-way =&gt; $3.48.</t>
        </is>
      </c>
      <c r="BA386" s="40" t="n"/>
    </row>
    <row r="387">
      <c r="A387" s="38" t="inlineStr">
        <is>
          <t>Yango Senegal</t>
        </is>
      </c>
      <c r="B387" s="38" t="inlineStr">
        <is>
          <t>Senegal</t>
        </is>
      </c>
      <c r="C387" s="39" t="inlineStr">
        <is>
          <t>Dakar Port → Île de Gorée</t>
        </is>
      </c>
      <c r="D387" s="38" t="inlineStr">
        <is>
          <t>yango</t>
        </is>
      </c>
      <c r="E387" s="40" t="inlineStr">
        <is>
          <t>yango-senegal</t>
        </is>
      </c>
      <c r="F387" s="41" t="n">
        <v>1</v>
      </c>
      <c r="G387" s="42" t="n">
        <v>2.5</v>
      </c>
      <c r="H387" s="35" t="n">
        <v>18</v>
      </c>
      <c r="I387" s="43" t="inlineStr">
        <is>
          <t>T2</t>
        </is>
      </c>
      <c r="J387" s="43" t="inlineStr">
        <is>
          <t>med</t>
        </is>
      </c>
      <c r="K387" s="29" t="n">
        <v>1</v>
      </c>
      <c r="L387" s="44">
        <f>60*G387/cruise_kt</f>
        <v/>
      </c>
      <c r="M387" s="44">
        <f>L387+turn_min+dwell_min</f>
        <v/>
      </c>
      <c r="N387" s="45">
        <f>MIN(10,FLOOR(60*service_hr/M387,1))</f>
        <v/>
      </c>
      <c r="O387" s="45">
        <f>ROUND(365*mech_uptime*K387,0)</f>
        <v/>
      </c>
      <c r="P387" s="46">
        <f>mech_uptime</f>
        <v/>
      </c>
      <c r="Q387" s="46">
        <f>revleg_sel</f>
        <v/>
      </c>
      <c r="R387" s="45">
        <f>ROUND(N387*O387*revleg_sel,0)</f>
        <v/>
      </c>
      <c r="S387" s="47">
        <f>load_sel</f>
        <v/>
      </c>
      <c r="T387" s="47">
        <f>pax_cap*S387</f>
        <v/>
      </c>
      <c r="U387" s="45">
        <f>T387*R387</f>
        <v/>
      </c>
      <c r="V387" s="48">
        <f>H387*discount</f>
        <v/>
      </c>
      <c r="W387" s="49">
        <f>V387*U387</f>
        <v/>
      </c>
      <c r="X387" s="49">
        <f>(battery/range_nm)*G387*R387*VLOOKUP(B387,country_opex,3,FALSE)</f>
        <v/>
      </c>
      <c r="Y387" s="49">
        <f>VLOOKUP(B387,country_opex,2,FALSE)*crew_factor</f>
        <v/>
      </c>
      <c r="Z387" s="49">
        <f>VLOOKUP(B387,country_opex,5,FALSE)</f>
        <v/>
      </c>
      <c r="AA387" s="49">
        <f>maint</f>
        <v/>
      </c>
      <c r="AB387" s="49">
        <f>VLOOKUP(B387,country_opex,7,FALSE)*ins_pct</f>
        <v/>
      </c>
      <c r="AC387" s="49">
        <f>charge_berth</f>
        <v/>
      </c>
      <c r="AD387" s="49">
        <f>X387+Y387+Z387+AA387+AB387+AC387</f>
        <v/>
      </c>
      <c r="AE387" s="49">
        <f>VLOOKUP(B387,country_opex,7,FALSE)/dep_years</f>
        <v/>
      </c>
      <c r="AF387" s="49">
        <f>W387-AD387</f>
        <v/>
      </c>
      <c r="AG387" s="46">
        <f>IF(W387=0,"",AF387/W387)</f>
        <v/>
      </c>
      <c r="AH387" s="47">
        <f>IF(AF387&lt;=0,"",VLOOKUP(B387,country_opex,7,FALSE)/AF387)</f>
        <v/>
      </c>
      <c r="AI387" s="44">
        <f>((G387*R387/diesel_nmpg)*diesel_co2pg-(battery/range_nm)*G387*R387*VLOOKUP(B387,country_opex,4,FALSE))/1000</f>
        <v/>
      </c>
      <c r="AJ387" s="42" t="n">
        <v>80000</v>
      </c>
      <c r="AK387" s="43" t="n"/>
      <c r="AL387" s="43" t="inlineStr">
        <is>
          <t>med</t>
        </is>
      </c>
      <c r="AM387" s="50" t="n">
        <v>0.25</v>
      </c>
      <c r="AN387" s="45">
        <f>IF(AJ387="","",AJ387*AM387)</f>
        <v/>
      </c>
      <c r="AO387" s="45">
        <f>IF(OR(AJ387="",U387=0),"",MIN(IF(AV387="",9.9E+99,AV387),FLOOR(AN387/U387,1)))</f>
        <v/>
      </c>
      <c r="AP387" s="49">
        <f>IF(AO387="","",AO387*W387)</f>
        <v/>
      </c>
      <c r="AQ387" s="47">
        <f>IF(OR(AJ387="",U387=0),"",MIN(IF(AV387="",9.9E+99,AV387),AN387/U387))</f>
        <v/>
      </c>
      <c r="AR387" s="49">
        <f>IF(AQ387="","",AQ387*W387)</f>
        <v/>
      </c>
      <c r="AS387" s="51" t="n"/>
      <c r="AT387" s="52" t="n"/>
      <c r="AU387" s="52" t="n"/>
      <c r="AV387" s="53" t="n"/>
      <c r="AW387" s="54">
        <f>IF(((V387*pax_cap*load_thin*ROUND(N387*O387*revleg_thin,0))-(((battery/range_nm)*G387*ROUND(N387*O387*revleg_thin,0)*VLOOKUP(B387,country_opex,3,FALSE))+Y387+Z387+AA387+AB387+AC387))&lt;=0,"",VLOOKUP(B387,country_opex,7,FALSE)/((V387*pax_cap*load_thin*ROUND(N387*O387*revleg_thin,0))-(((battery/range_nm)*G387*ROUND(N387*O387*revleg_thin,0)*VLOOKUP(B387,country_opex,3,FALSE))+Y387+Z387+AA387+AB387+AC387)))</f>
        <v/>
      </c>
      <c r="AX387" s="54">
        <f>IF(((V387*pax_cap*load_mid*ROUND(N387*O387*revleg_mid,0))-(((battery/range_nm)*G387*ROUND(N387*O387*revleg_mid,0)*VLOOKUP(B387,country_opex,3,FALSE))+Y387+Z387+AA387+AB387+AC387))&lt;=0,"",VLOOKUP(B387,country_opex,7,FALSE)/((V387*pax_cap*load_mid*ROUND(N387*O387*revleg_mid,0))-(((battery/range_nm)*G387*ROUND(N387*O387*revleg_mid,0)*VLOOKUP(B387,country_opex,3,FALSE))+Y387+Z387+AA387+AB387+AC387)))</f>
        <v/>
      </c>
      <c r="AY387" s="54">
        <f>IF(((V387*pax_cap*load_full*ROUND(N387*O387*revleg_full,0))-(((battery/range_nm)*G387*ROUND(N387*O387*revleg_full,0)*VLOOKUP(B387,country_opex,3,FALSE))+Y387+Z387+AA387+AB387+AC387))&lt;=0,"",VLOOKUP(B387,country_opex,7,FALSE)/((V387*pax_cap*load_full*ROUND(N387*O387*revleg_full,0))-(((battery/range_nm)*G387*ROUND(N387*O387*revleg_full,0)*VLOOKUP(B387,country_opex,3,FALSE))+Y387+Z387+AA387+AB387+AC387)))</f>
        <v/>
      </c>
      <c r="AZ387" s="40" t="inlineStr">
        <is>
          <t>[LB-255 PREMIUM RE-FARE: subsidized comparable $5.22 lifted to premium on-demand floor $18.0] PREMIUM tier: non-resident (foreign) adult tourist fare 6,000 FCFA ALLER-RETOUR (effective Oct 2025) =&gt; ~3,000 FCFA one-way =&gt; $5.22. (Pre-Oct-2025 non-resident fare was 5,200 FCFA RT.)</t>
        </is>
      </c>
      <c r="BA387" s="40" t="n"/>
    </row>
    <row r="388">
      <c r="A388" s="38" t="inlineStr">
        <is>
          <t>Yango Senegal</t>
        </is>
      </c>
      <c r="B388" s="38" t="inlineStr">
        <is>
          <t>Senegal</t>
        </is>
      </c>
      <c r="C388" s="39" t="inlineStr">
        <is>
          <t>Dakar (Yoff / Almadies) → Dakar (Soumbedioune / Plateau)</t>
        </is>
      </c>
      <c r="D388" s="38" t="inlineStr">
        <is>
          <t>yango</t>
        </is>
      </c>
      <c r="E388" s="40" t="inlineStr">
        <is>
          <t>yango-senegal</t>
        </is>
      </c>
      <c r="F388" s="41" t="n">
        <v>1</v>
      </c>
      <c r="G388" s="42" t="n">
        <v>8</v>
      </c>
      <c r="H388" s="35" t="n"/>
      <c r="I388" s="43" t="n"/>
      <c r="J388" s="43" t="n"/>
      <c r="K388" s="29" t="n">
        <v>1</v>
      </c>
      <c r="L388" s="44">
        <f>60*G388/cruise_kt</f>
        <v/>
      </c>
      <c r="M388" s="44">
        <f>L388+turn_min+dwell_min</f>
        <v/>
      </c>
      <c r="N388" s="45">
        <f>MIN(16,FLOOR(60*service_hr/M388,1))</f>
        <v/>
      </c>
      <c r="O388" s="45">
        <f>ROUND(365*mech_uptime*K388,0)</f>
        <v/>
      </c>
      <c r="P388" s="46">
        <f>mech_uptime</f>
        <v/>
      </c>
      <c r="Q388" s="46">
        <f>revleg_sel</f>
        <v/>
      </c>
      <c r="R388" s="45">
        <f>ROUND(N388*O388*revleg_sel,0)</f>
        <v/>
      </c>
      <c r="S388" s="47">
        <f>load_sel</f>
        <v/>
      </c>
      <c r="T388" s="47">
        <f>pax_cap*S388</f>
        <v/>
      </c>
      <c r="U388" s="45">
        <f>T388*R388</f>
        <v/>
      </c>
      <c r="V388" s="48">
        <f>H388*discount</f>
        <v/>
      </c>
      <c r="W388" s="49">
        <f>V388*U388</f>
        <v/>
      </c>
      <c r="X388" s="49">
        <f>(battery/range_nm)*G388*R388*VLOOKUP(B388,country_opex,3,FALSE)</f>
        <v/>
      </c>
      <c r="Y388" s="49">
        <f>VLOOKUP(B388,country_opex,2,FALSE)*crew_factor</f>
        <v/>
      </c>
      <c r="Z388" s="49">
        <f>VLOOKUP(B388,country_opex,5,FALSE)</f>
        <v/>
      </c>
      <c r="AA388" s="49">
        <f>maint</f>
        <v/>
      </c>
      <c r="AB388" s="49">
        <f>VLOOKUP(B388,country_opex,7,FALSE)*ins_pct</f>
        <v/>
      </c>
      <c r="AC388" s="49">
        <f>charge_berth</f>
        <v/>
      </c>
      <c r="AD388" s="49">
        <f>X388+Y388+Z388+AA388+AB388+AC388</f>
        <v/>
      </c>
      <c r="AE388" s="49">
        <f>VLOOKUP(B388,country_opex,7,FALSE)/dep_years</f>
        <v/>
      </c>
      <c r="AF388" s="49">
        <f>W388-AD388</f>
        <v/>
      </c>
      <c r="AG388" s="46">
        <f>IF(W388=0,"",AF388/W388)</f>
        <v/>
      </c>
      <c r="AH388" s="47">
        <f>IF(AF388&lt;=0,"",VLOOKUP(B388,country_opex,7,FALSE)/AF388)</f>
        <v/>
      </c>
      <c r="AI388" s="44">
        <f>((G388*R388/diesel_nmpg)*diesel_co2pg-(battery/range_nm)*G388*R388*VLOOKUP(B388,country_opex,4,FALSE))/1000</f>
        <v/>
      </c>
      <c r="AJ388" s="42" t="n"/>
      <c r="AK388" s="43" t="n"/>
      <c r="AL388" s="43" t="n"/>
      <c r="AM388" s="50" t="n">
        <v>0.1</v>
      </c>
      <c r="AN388" s="45">
        <f>IF(AJ388="","",AJ388*AM388)</f>
        <v/>
      </c>
      <c r="AO388" s="45">
        <f>IF(OR(AJ388="",U388=0),"",MIN(IF(AV388="",9.9E+99,AV388),FLOOR(AN388/U388,1)))</f>
        <v/>
      </c>
      <c r="AP388" s="49">
        <f>IF(AO388="","",AO388*W388)</f>
        <v/>
      </c>
      <c r="AQ388" s="47">
        <f>IF(OR(AJ388="",U388=0),"",MIN(IF(AV388="",9.9E+99,AV388),AN388/U388))</f>
        <v/>
      </c>
      <c r="AR388" s="49">
        <f>IF(AQ388="","",AQ388*W388)</f>
        <v/>
      </c>
      <c r="AS388" s="51" t="n"/>
      <c r="AT388" s="52" t="n"/>
      <c r="AU388" s="52" t="n"/>
      <c r="AV388" s="53" t="n"/>
      <c r="AW388" s="54">
        <f>IF(((V388*pax_cap*load_thin*ROUND(N388*O388*revleg_thin,0))-(((battery/range_nm)*G388*ROUND(N388*O388*revleg_thin,0)*VLOOKUP(B388,country_opex,3,FALSE))+Y388+Z388+AA388+AB388+AC388))&lt;=0,"",VLOOKUP(B388,country_opex,7,FALSE)/((V388*pax_cap*load_thin*ROUND(N388*O388*revleg_thin,0))-(((battery/range_nm)*G388*ROUND(N388*O388*revleg_thin,0)*VLOOKUP(B388,country_opex,3,FALSE))+Y388+Z388+AA388+AB388+AC388)))</f>
        <v/>
      </c>
      <c r="AX388" s="54">
        <f>IF(((V388*pax_cap*load_mid*ROUND(N388*O388*revleg_mid,0))-(((battery/range_nm)*G388*ROUND(N388*O388*revleg_mid,0)*VLOOKUP(B388,country_opex,3,FALSE))+Y388+Z388+AA388+AB388+AC388))&lt;=0,"",VLOOKUP(B388,country_opex,7,FALSE)/((V388*pax_cap*load_mid*ROUND(N388*O388*revleg_mid,0))-(((battery/range_nm)*G388*ROUND(N388*O388*revleg_mid,0)*VLOOKUP(B388,country_opex,3,FALSE))+Y388+Z388+AA388+AB388+AC388)))</f>
        <v/>
      </c>
      <c r="AY388" s="54">
        <f>IF(((V388*pax_cap*load_full*ROUND(N388*O388*revleg_full,0))-(((battery/range_nm)*G388*ROUND(N388*O388*revleg_full,0)*VLOOKUP(B388,country_opex,3,FALSE))+Y388+Z388+AA388+AB388+AC388))&lt;=0,"",VLOOKUP(B388,country_opex,7,FALSE)/((V388*pax_cap*load_full*ROUND(N388*O388*revleg_full,0))-(((battery/range_nm)*G388*ROUND(N388*O388*revleg_full,0)*VLOOKUP(B388,country_opex,3,FALSE))+Y388+Z388+AA388+AB388+AC388)))</f>
        <v/>
      </c>
      <c r="AZ388" s="40" t="n"/>
      <c r="BA388" s="40" t="n"/>
    </row>
    <row r="389">
      <c r="A389" s="38" t="inlineStr">
        <is>
          <t>Yango Senegal</t>
        </is>
      </c>
      <c r="B389" s="38" t="inlineStr">
        <is>
          <t>Senegal</t>
        </is>
      </c>
      <c r="C389" s="39" t="inlineStr">
        <is>
          <t>Dakar / Mbour-Petite Cote → Foundiougne (Sine-Saloum delta)</t>
        </is>
      </c>
      <c r="D389" s="38" t="inlineStr">
        <is>
          <t>yango</t>
        </is>
      </c>
      <c r="E389" s="40" t="inlineStr">
        <is>
          <t>yango-senegal</t>
        </is>
      </c>
      <c r="F389" s="41" t="n">
        <v>1</v>
      </c>
      <c r="G389" s="42" t="n">
        <v>60</v>
      </c>
      <c r="H389" s="35" t="n"/>
      <c r="I389" s="43" t="n"/>
      <c r="J389" s="43" t="n"/>
      <c r="K389" s="29" t="n">
        <v>1</v>
      </c>
      <c r="L389" s="44">
        <f>60*G389/cruise_kt</f>
        <v/>
      </c>
      <c r="M389" s="44">
        <f>L389+turn_min+dwell_min</f>
        <v/>
      </c>
      <c r="N389" s="45">
        <f>MIN(10,FLOOR(60*service_hr/M389,1))</f>
        <v/>
      </c>
      <c r="O389" s="45">
        <f>ROUND(365*mech_uptime*K389,0)</f>
        <v/>
      </c>
      <c r="P389" s="46">
        <f>mech_uptime</f>
        <v/>
      </c>
      <c r="Q389" s="46">
        <f>revleg_sel</f>
        <v/>
      </c>
      <c r="R389" s="45">
        <f>ROUND(N389*O389*revleg_sel,0)</f>
        <v/>
      </c>
      <c r="S389" s="47">
        <f>load_sel</f>
        <v/>
      </c>
      <c r="T389" s="47">
        <f>pax_cap*S389</f>
        <v/>
      </c>
      <c r="U389" s="45">
        <f>T389*R389</f>
        <v/>
      </c>
      <c r="V389" s="48">
        <f>H389*discount</f>
        <v/>
      </c>
      <c r="W389" s="49">
        <f>V389*U389</f>
        <v/>
      </c>
      <c r="X389" s="49">
        <f>(battery/range_nm)*G389*R389*VLOOKUP(B389,country_opex,3,FALSE)</f>
        <v/>
      </c>
      <c r="Y389" s="49">
        <f>VLOOKUP(B389,country_opex,2,FALSE)*crew_factor</f>
        <v/>
      </c>
      <c r="Z389" s="49">
        <f>VLOOKUP(B389,country_opex,5,FALSE)</f>
        <v/>
      </c>
      <c r="AA389" s="49">
        <f>maint</f>
        <v/>
      </c>
      <c r="AB389" s="49">
        <f>VLOOKUP(B389,country_opex,7,FALSE)*ins_pct</f>
        <v/>
      </c>
      <c r="AC389" s="49">
        <f>charge_berth</f>
        <v/>
      </c>
      <c r="AD389" s="49">
        <f>X389+Y389+Z389+AA389+AB389+AC389</f>
        <v/>
      </c>
      <c r="AE389" s="49">
        <f>VLOOKUP(B389,country_opex,7,FALSE)/dep_years</f>
        <v/>
      </c>
      <c r="AF389" s="49">
        <f>W389-AD389</f>
        <v/>
      </c>
      <c r="AG389" s="46">
        <f>IF(W389=0,"",AF389/W389)</f>
        <v/>
      </c>
      <c r="AH389" s="47">
        <f>IF(AF389&lt;=0,"",VLOOKUP(B389,country_opex,7,FALSE)/AF389)</f>
        <v/>
      </c>
      <c r="AI389" s="44">
        <f>((G389*R389/diesel_nmpg)*diesel_co2pg-(battery/range_nm)*G389*R389*VLOOKUP(B389,country_opex,4,FALSE))/1000</f>
        <v/>
      </c>
      <c r="AJ389" s="42" t="n"/>
      <c r="AK389" s="43" t="n"/>
      <c r="AL389" s="43" t="n"/>
      <c r="AM389" s="50" t="n">
        <v>0.1</v>
      </c>
      <c r="AN389" s="45">
        <f>IF(AJ389="","",AJ389*AM389)</f>
        <v/>
      </c>
      <c r="AO389" s="45">
        <f>IF(OR(AJ389="",U389=0),"",MIN(IF(AV389="",9.9E+99,AV389),FLOOR(AN389/U389,1)))</f>
        <v/>
      </c>
      <c r="AP389" s="49">
        <f>IF(AO389="","",AO389*W389)</f>
        <v/>
      </c>
      <c r="AQ389" s="47">
        <f>IF(OR(AJ389="",U389=0),"",MIN(IF(AV389="",9.9E+99,AV389),AN389/U389))</f>
        <v/>
      </c>
      <c r="AR389" s="49">
        <f>IF(AQ389="","",AQ389*W389)</f>
        <v/>
      </c>
      <c r="AS389" s="51" t="n"/>
      <c r="AT389" s="52" t="n"/>
      <c r="AU389" s="52" t="n"/>
      <c r="AV389" s="53" t="n"/>
      <c r="AW389" s="54">
        <f>IF(((V389*pax_cap*load_thin*ROUND(N389*O389*revleg_thin,0))-(((battery/range_nm)*G389*ROUND(N389*O389*revleg_thin,0)*VLOOKUP(B389,country_opex,3,FALSE))+Y389+Z389+AA389+AB389+AC389))&lt;=0,"",VLOOKUP(B389,country_opex,7,FALSE)/((V389*pax_cap*load_thin*ROUND(N389*O389*revleg_thin,0))-(((battery/range_nm)*G389*ROUND(N389*O389*revleg_thin,0)*VLOOKUP(B389,country_opex,3,FALSE))+Y389+Z389+AA389+AB389+AC389)))</f>
        <v/>
      </c>
      <c r="AX389" s="54">
        <f>IF(((V389*pax_cap*load_mid*ROUND(N389*O389*revleg_mid,0))-(((battery/range_nm)*G389*ROUND(N389*O389*revleg_mid,0)*VLOOKUP(B389,country_opex,3,FALSE))+Y389+Z389+AA389+AB389+AC389))&lt;=0,"",VLOOKUP(B389,country_opex,7,FALSE)/((V389*pax_cap*load_mid*ROUND(N389*O389*revleg_mid,0))-(((battery/range_nm)*G389*ROUND(N389*O389*revleg_mid,0)*VLOOKUP(B389,country_opex,3,FALSE))+Y389+Z389+AA389+AB389+AC389)))</f>
        <v/>
      </c>
      <c r="AY389" s="54">
        <f>IF(((V389*pax_cap*load_full*ROUND(N389*O389*revleg_full,0))-(((battery/range_nm)*G389*ROUND(N389*O389*revleg_full,0)*VLOOKUP(B389,country_opex,3,FALSE))+Y389+Z389+AA389+AB389+AC389))&lt;=0,"",VLOOKUP(B389,country_opex,7,FALSE)/((V389*pax_cap*load_full*ROUND(N389*O389*revleg_full,0))-(((battery/range_nm)*G389*ROUND(N389*O389*revleg_full,0)*VLOOKUP(B389,country_opex,3,FALSE))+Y389+Z389+AA389+AB389+AC389)))</f>
        <v/>
      </c>
      <c r="AZ389" s="40" t="n"/>
      <c r="BA389" s="40" t="n"/>
    </row>
    <row r="390">
      <c r="A390" s="38" t="inlineStr">
        <is>
          <t>Singapore</t>
        </is>
      </c>
      <c r="B390" s="38" t="inlineStr">
        <is>
          <t>Singapore</t>
        </is>
      </c>
      <c r="C390" s="39" t="inlineStr">
        <is>
          <t>Changi Point → Pulau Ubin (Main Jetty)</t>
        </is>
      </c>
      <c r="D390" s="38" t="inlineStr">
        <is>
          <t>grab</t>
        </is>
      </c>
      <c r="E390" s="40" t="inlineStr">
        <is>
          <t>singapore</t>
        </is>
      </c>
      <c r="F390" s="41" t="n">
        <v>1</v>
      </c>
      <c r="G390" s="42" t="n">
        <v>1.2</v>
      </c>
      <c r="H390" s="35" t="n">
        <v>8</v>
      </c>
      <c r="I390" s="43" t="inlineStr">
        <is>
          <t>T2</t>
        </is>
      </c>
      <c r="J390" s="43" t="inlineStr">
        <is>
          <t>med</t>
        </is>
      </c>
      <c r="K390" s="29" t="n">
        <v>1</v>
      </c>
      <c r="L390" s="44">
        <f>60*G390/cruise_kt</f>
        <v/>
      </c>
      <c r="M390" s="44">
        <f>L390+turn_min+dwell_min</f>
        <v/>
      </c>
      <c r="N390" s="45">
        <f>MIN(10,FLOOR(60*service_hr/M390,1))</f>
        <v/>
      </c>
      <c r="O390" s="45">
        <f>ROUND(365*mech_uptime*K390,0)</f>
        <v/>
      </c>
      <c r="P390" s="46">
        <f>mech_uptime</f>
        <v/>
      </c>
      <c r="Q390" s="46">
        <f>revleg_sel</f>
        <v/>
      </c>
      <c r="R390" s="45">
        <f>ROUND(N390*O390*revleg_sel,0)</f>
        <v/>
      </c>
      <c r="S390" s="47">
        <f>load_sel</f>
        <v/>
      </c>
      <c r="T390" s="47">
        <f>pax_cap*S390</f>
        <v/>
      </c>
      <c r="U390" s="45">
        <f>T390*R390</f>
        <v/>
      </c>
      <c r="V390" s="48">
        <f>H390*discount</f>
        <v/>
      </c>
      <c r="W390" s="49">
        <f>V390*U390</f>
        <v/>
      </c>
      <c r="X390" s="49">
        <f>(battery/range_nm)*G390*R390*VLOOKUP(B390,country_opex,3,FALSE)</f>
        <v/>
      </c>
      <c r="Y390" s="49">
        <f>VLOOKUP(B390,country_opex,2,FALSE)*crew_factor</f>
        <v/>
      </c>
      <c r="Z390" s="49">
        <f>VLOOKUP(B390,country_opex,5,FALSE)</f>
        <v/>
      </c>
      <c r="AA390" s="49">
        <f>maint</f>
        <v/>
      </c>
      <c r="AB390" s="49">
        <f>VLOOKUP(B390,country_opex,7,FALSE)*ins_pct</f>
        <v/>
      </c>
      <c r="AC390" s="49">
        <f>charge_berth</f>
        <v/>
      </c>
      <c r="AD390" s="49">
        <f>X390+Y390+Z390+AA390+AB390+AC390</f>
        <v/>
      </c>
      <c r="AE390" s="49">
        <f>VLOOKUP(B390,country_opex,7,FALSE)/dep_years</f>
        <v/>
      </c>
      <c r="AF390" s="49">
        <f>W390-AD390</f>
        <v/>
      </c>
      <c r="AG390" s="46">
        <f>IF(W390=0,"",AF390/W390)</f>
        <v/>
      </c>
      <c r="AH390" s="47">
        <f>IF(AF390&lt;=0,"",VLOOKUP(B390,country_opex,7,FALSE)/AF390)</f>
        <v/>
      </c>
      <c r="AI390" s="44">
        <f>((G390*R390/diesel_nmpg)*diesel_co2pg-(battery/range_nm)*G390*R390*VLOOKUP(B390,country_opex,4,FALSE))/1000</f>
        <v/>
      </c>
      <c r="AJ390" s="42" t="n">
        <v>60000</v>
      </c>
      <c r="AK390" s="43" t="n"/>
      <c r="AL390" s="43" t="n"/>
      <c r="AM390" s="50" t="n">
        <v>0.25</v>
      </c>
      <c r="AN390" s="45">
        <f>IF(AJ390="","",AJ390*AM390)</f>
        <v/>
      </c>
      <c r="AO390" s="45">
        <f>IF(OR(AJ390="",U390=0),"",MIN(IF(AV390="",9.9E+99,AV390),FLOOR(AN390/U390,1)))</f>
        <v/>
      </c>
      <c r="AP390" s="49">
        <f>IF(AO390="","",AO390*W390)</f>
        <v/>
      </c>
      <c r="AQ390" s="47">
        <f>IF(OR(AJ390="",U390=0),"",MIN(IF(AV390="",9.9E+99,AV390),AN390/U390))</f>
        <v/>
      </c>
      <c r="AR390" s="49">
        <f>IF(AQ390="","",AQ390*W390)</f>
        <v/>
      </c>
      <c r="AS390" s="51" t="n"/>
      <c r="AT390" s="52" t="n"/>
      <c r="AU390" s="52" t="n"/>
      <c r="AV390" s="53" t="n"/>
      <c r="AW390" s="54">
        <f>IF(((V390*pax_cap*load_thin*ROUND(N390*O390*revleg_thin,0))-(((battery/range_nm)*G390*ROUND(N390*O390*revleg_thin,0)*VLOOKUP(B390,country_opex,3,FALSE))+Y390+Z390+AA390+AB390+AC390))&lt;=0,"",VLOOKUP(B390,country_opex,7,FALSE)/((V390*pax_cap*load_thin*ROUND(N390*O390*revleg_thin,0))-(((battery/range_nm)*G390*ROUND(N390*O390*revleg_thin,0)*VLOOKUP(B390,country_opex,3,FALSE))+Y390+Z390+AA390+AB390+AC390)))</f>
        <v/>
      </c>
      <c r="AX390" s="54">
        <f>IF(((V390*pax_cap*load_mid*ROUND(N390*O390*revleg_mid,0))-(((battery/range_nm)*G390*ROUND(N390*O390*revleg_mid,0)*VLOOKUP(B390,country_opex,3,FALSE))+Y390+Z390+AA390+AB390+AC390))&lt;=0,"",VLOOKUP(B390,country_opex,7,FALSE)/((V390*pax_cap*load_mid*ROUND(N390*O390*revleg_mid,0))-(((battery/range_nm)*G390*ROUND(N390*O390*revleg_mid,0)*VLOOKUP(B390,country_opex,3,FALSE))+Y390+Z390+AA390+AB390+AC390)))</f>
        <v/>
      </c>
      <c r="AY390" s="54">
        <f>IF(((V390*pax_cap*load_full*ROUND(N390*O390*revleg_full,0))-(((battery/range_nm)*G390*ROUND(N390*O390*revleg_full,0)*VLOOKUP(B390,country_opex,3,FALSE))+Y390+Z390+AA390+AB390+AC390))&lt;=0,"",VLOOKUP(B390,country_opex,7,FALSE)/((V390*pax_cap*load_full*ROUND(N390*O390*revleg_full,0))-(((battery/range_nm)*G390*ROUND(N390*O390*revleg_full,0)*VLOOKUP(B390,country_opex,3,FALSE))+Y390+Z390+AA390+AB390+AC390)))</f>
        <v/>
      </c>
      <c r="AZ390" s="40" t="inlineStr">
        <is>
          <t>Existing bumboat Changi Point-&gt;Pulau Ubin: S$4/pax one-way (NParks official, T1). Modeled premium per-seat at ~2x bumboat (~S$11 = $8) — branded scheduled departures, zero-emission, faster turn. No private charter overclaim. R5-EXT single-class commuter market exists; premium tier is the addressable slice.</t>
        </is>
      </c>
      <c r="BA390" s="40" t="n"/>
    </row>
    <row r="391">
      <c r="A391" s="38" t="inlineStr">
        <is>
          <t>Singapore</t>
        </is>
      </c>
      <c r="B391" s="38" t="inlineStr">
        <is>
          <t>Singapore</t>
        </is>
      </c>
      <c r="C391" s="39" t="inlineStr">
        <is>
          <t>Marina Bay → Sentosa / southern islands</t>
        </is>
      </c>
      <c r="D391" s="38" t="inlineStr">
        <is>
          <t>grab</t>
        </is>
      </c>
      <c r="E391" s="40" t="inlineStr">
        <is>
          <t>singapore</t>
        </is>
      </c>
      <c r="F391" s="41" t="n">
        <v>1</v>
      </c>
      <c r="G391" s="42" t="n">
        <v>2.6</v>
      </c>
      <c r="H391" s="35" t="n">
        <v>18</v>
      </c>
      <c r="I391" s="43" t="inlineStr">
        <is>
          <t>T3</t>
        </is>
      </c>
      <c r="J391" s="43" t="inlineStr">
        <is>
          <t>med</t>
        </is>
      </c>
      <c r="K391" s="29" t="n">
        <v>1</v>
      </c>
      <c r="L391" s="44">
        <f>60*G391/cruise_kt</f>
        <v/>
      </c>
      <c r="M391" s="44">
        <f>L391+turn_min+dwell_min</f>
        <v/>
      </c>
      <c r="N391" s="45">
        <f>MIN(10,FLOOR(60*service_hr/M391,1))</f>
        <v/>
      </c>
      <c r="O391" s="45">
        <f>ROUND(365*mech_uptime*K391,0)</f>
        <v/>
      </c>
      <c r="P391" s="46">
        <f>mech_uptime</f>
        <v/>
      </c>
      <c r="Q391" s="46">
        <f>revleg_sel</f>
        <v/>
      </c>
      <c r="R391" s="45">
        <f>ROUND(N391*O391*revleg_sel,0)</f>
        <v/>
      </c>
      <c r="S391" s="47">
        <f>load_sel</f>
        <v/>
      </c>
      <c r="T391" s="47">
        <f>pax_cap*S391</f>
        <v/>
      </c>
      <c r="U391" s="45">
        <f>T391*R391</f>
        <v/>
      </c>
      <c r="V391" s="48">
        <f>H391*discount</f>
        <v/>
      </c>
      <c r="W391" s="49">
        <f>V391*U391</f>
        <v/>
      </c>
      <c r="X391" s="49">
        <f>(battery/range_nm)*G391*R391*VLOOKUP(B391,country_opex,3,FALSE)</f>
        <v/>
      </c>
      <c r="Y391" s="49">
        <f>VLOOKUP(B391,country_opex,2,FALSE)*crew_factor</f>
        <v/>
      </c>
      <c r="Z391" s="49">
        <f>VLOOKUP(B391,country_opex,5,FALSE)</f>
        <v/>
      </c>
      <c r="AA391" s="49">
        <f>maint</f>
        <v/>
      </c>
      <c r="AB391" s="49">
        <f>VLOOKUP(B391,country_opex,7,FALSE)*ins_pct</f>
        <v/>
      </c>
      <c r="AC391" s="49">
        <f>charge_berth</f>
        <v/>
      </c>
      <c r="AD391" s="49">
        <f>X391+Y391+Z391+AA391+AB391+AC391</f>
        <v/>
      </c>
      <c r="AE391" s="49">
        <f>VLOOKUP(B391,country_opex,7,FALSE)/dep_years</f>
        <v/>
      </c>
      <c r="AF391" s="49">
        <f>W391-AD391</f>
        <v/>
      </c>
      <c r="AG391" s="46">
        <f>IF(W391=0,"",AF391/W391)</f>
        <v/>
      </c>
      <c r="AH391" s="47">
        <f>IF(AF391&lt;=0,"",VLOOKUP(B391,country_opex,7,FALSE)/AF391)</f>
        <v/>
      </c>
      <c r="AI391" s="44">
        <f>((G391*R391/diesel_nmpg)*diesel_co2pg-(battery/range_nm)*G391*R391*VLOOKUP(B391,country_opex,4,FALSE))/1000</f>
        <v/>
      </c>
      <c r="AJ391" s="42" t="n">
        <v>54000</v>
      </c>
      <c r="AK391" s="43" t="n"/>
      <c r="AL391" s="43" t="n"/>
      <c r="AM391" s="50" t="n">
        <v>0.25</v>
      </c>
      <c r="AN391" s="45">
        <f>IF(AJ391="","",AJ391*AM391)</f>
        <v/>
      </c>
      <c r="AO391" s="45">
        <f>IF(OR(AJ391="",U391=0),"",MIN(IF(AV391="",9.9E+99,AV391),FLOOR(AN391/U391,1)))</f>
        <v/>
      </c>
      <c r="AP391" s="49">
        <f>IF(AO391="","",AO391*W391)</f>
        <v/>
      </c>
      <c r="AQ391" s="47">
        <f>IF(OR(AJ391="",U391=0),"",MIN(IF(AV391="",9.9E+99,AV391),AN391/U391))</f>
        <v/>
      </c>
      <c r="AR391" s="49">
        <f>IF(AQ391="","",AQ391*W391)</f>
        <v/>
      </c>
      <c r="AS391" s="51" t="n"/>
      <c r="AT391" s="52" t="n"/>
      <c r="AU391" s="52" t="n"/>
      <c r="AV391" s="53" t="n"/>
      <c r="AW391" s="54">
        <f>IF(((V391*pax_cap*load_thin*ROUND(N391*O391*revleg_thin,0))-(((battery/range_nm)*G391*ROUND(N391*O391*revleg_thin,0)*VLOOKUP(B391,country_opex,3,FALSE))+Y391+Z391+AA391+AB391+AC391))&lt;=0,"",VLOOKUP(B391,country_opex,7,FALSE)/((V391*pax_cap*load_thin*ROUND(N391*O391*revleg_thin,0))-(((battery/range_nm)*G391*ROUND(N391*O391*revleg_thin,0)*VLOOKUP(B391,country_opex,3,FALSE))+Y391+Z391+AA391+AB391+AC391)))</f>
        <v/>
      </c>
      <c r="AX391" s="54">
        <f>IF(((V391*pax_cap*load_mid*ROUND(N391*O391*revleg_mid,0))-(((battery/range_nm)*G391*ROUND(N391*O391*revleg_mid,0)*VLOOKUP(B391,country_opex,3,FALSE))+Y391+Z391+AA391+AB391+AC391))&lt;=0,"",VLOOKUP(B391,country_opex,7,FALSE)/((V391*pax_cap*load_mid*ROUND(N391*O391*revleg_mid,0))-(((battery/range_nm)*G391*ROUND(N391*O391*revleg_mid,0)*VLOOKUP(B391,country_opex,3,FALSE))+Y391+Z391+AA391+AB391+AC391)))</f>
        <v/>
      </c>
      <c r="AY391" s="54">
        <f>IF(((V391*pax_cap*load_full*ROUND(N391*O391*revleg_full,0))-(((battery/range_nm)*G391*ROUND(N391*O391*revleg_full,0)*VLOOKUP(B391,country_opex,3,FALSE))+Y391+Z391+AA391+AB391+AC391))&lt;=0,"",VLOOKUP(B391,country_opex,7,FALSE)/((V391*pax_cap*load_full*ROUND(N391*O391*revleg_full,0))-(((battery/range_nm)*G391*ROUND(N391*O391*revleg_full,0)*VLOOKUP(B391,country_opex,3,FALSE))+Y391+Z391+AA391+AB391+AC391)))</f>
        <v/>
      </c>
      <c r="AZ391" s="40" t="inlineStr">
        <is>
          <t>RE-SOURCED for the CORRECT corridor Marina South Pier -&gt; RWS/Sentosa/southern islands (prior record was sourced for a Sentosa-Cove-&gt;Lazarus/Seringat internal hop). Marina South Ferries / Singapore Island Cruise scheduled per-seat from Marina South Pier: budget open-deck island-hopping ferry ~S$18 RT (~$7 one-way) [Klook/islandcruise.com.sg]; per-seat speedboat to RWS/Ola ~$12 one-way / $18 RT (Marina South Ferries water-taxi / GetYourGuide Sentosa speedboat listings); unlimited island-hop pass ~$45/day. Whole-boat private water taxi S$80-130/trip EXCLUDED (charter overclaim). Premium per-seat one-way transfer anchored ~$18 (R1).</t>
        </is>
      </c>
      <c r="BA391" s="40" t="n"/>
    </row>
    <row r="392">
      <c r="A392" s="38" t="inlineStr">
        <is>
          <t>Singapore</t>
        </is>
      </c>
      <c r="B392" s="38" t="inlineStr">
        <is>
          <t>Singapore</t>
        </is>
      </c>
      <c r="C392" s="39" t="inlineStr">
        <is>
          <t>Sentosa Cove (ONE15 Marina) → Marina Bay (CBD)</t>
        </is>
      </c>
      <c r="D392" s="38" t="inlineStr">
        <is>
          <t>grab</t>
        </is>
      </c>
      <c r="E392" s="40" t="inlineStr">
        <is>
          <t>singapore</t>
        </is>
      </c>
      <c r="F392" s="41" t="n">
        <v>1</v>
      </c>
      <c r="G392" s="42" t="n">
        <v>3.2</v>
      </c>
      <c r="H392" s="35" t="n">
        <v>11</v>
      </c>
      <c r="I392" s="43" t="inlineStr">
        <is>
          <t>T3</t>
        </is>
      </c>
      <c r="J392" s="43" t="inlineStr">
        <is>
          <t>low</t>
        </is>
      </c>
      <c r="K392" s="29" t="n">
        <v>1</v>
      </c>
      <c r="L392" s="44">
        <f>60*G392/cruise_kt</f>
        <v/>
      </c>
      <c r="M392" s="44">
        <f>L392+turn_min+dwell_min</f>
        <v/>
      </c>
      <c r="N392" s="45">
        <f>MIN(16,FLOOR(60*service_hr/M392,1))</f>
        <v/>
      </c>
      <c r="O392" s="45">
        <f>ROUND(365*mech_uptime*K392,0)</f>
        <v/>
      </c>
      <c r="P392" s="46">
        <f>mech_uptime</f>
        <v/>
      </c>
      <c r="Q392" s="46">
        <f>revleg_sel</f>
        <v/>
      </c>
      <c r="R392" s="45">
        <f>ROUND(N392*O392*revleg_sel,0)</f>
        <v/>
      </c>
      <c r="S392" s="47">
        <f>load_sel</f>
        <v/>
      </c>
      <c r="T392" s="47">
        <f>pax_cap*S392</f>
        <v/>
      </c>
      <c r="U392" s="45">
        <f>T392*R392</f>
        <v/>
      </c>
      <c r="V392" s="48">
        <f>H392*discount</f>
        <v/>
      </c>
      <c r="W392" s="49">
        <f>V392*U392</f>
        <v/>
      </c>
      <c r="X392" s="49">
        <f>(battery/range_nm)*G392*R392*VLOOKUP(B392,country_opex,3,FALSE)</f>
        <v/>
      </c>
      <c r="Y392" s="49">
        <f>VLOOKUP(B392,country_opex,2,FALSE)*crew_factor</f>
        <v/>
      </c>
      <c r="Z392" s="49">
        <f>VLOOKUP(B392,country_opex,5,FALSE)</f>
        <v/>
      </c>
      <c r="AA392" s="49">
        <f>maint</f>
        <v/>
      </c>
      <c r="AB392" s="49">
        <f>VLOOKUP(B392,country_opex,7,FALSE)*ins_pct</f>
        <v/>
      </c>
      <c r="AC392" s="49">
        <f>charge_berth</f>
        <v/>
      </c>
      <c r="AD392" s="49">
        <f>X392+Y392+Z392+AA392+AB392+AC392</f>
        <v/>
      </c>
      <c r="AE392" s="49">
        <f>VLOOKUP(B392,country_opex,7,FALSE)/dep_years</f>
        <v/>
      </c>
      <c r="AF392" s="49">
        <f>W392-AD392</f>
        <v/>
      </c>
      <c r="AG392" s="46">
        <f>IF(W392=0,"",AF392/W392)</f>
        <v/>
      </c>
      <c r="AH392" s="47">
        <f>IF(AF392&lt;=0,"",VLOOKUP(B392,country_opex,7,FALSE)/AF392)</f>
        <v/>
      </c>
      <c r="AI392" s="44">
        <f>((G392*R392/diesel_nmpg)*diesel_co2pg-(battery/range_nm)*G392*R392*VLOOKUP(B392,country_opex,4,FALSE))/1000</f>
        <v/>
      </c>
      <c r="AJ392" s="42" t="n">
        <v>8087</v>
      </c>
      <c r="AK392" s="43" t="n"/>
      <c r="AL392" s="43" t="n"/>
      <c r="AM392" s="50" t="n">
        <v>1</v>
      </c>
      <c r="AN392" s="45">
        <f>IF(AJ392="","",AJ392*AM392)</f>
        <v/>
      </c>
      <c r="AO392" s="45">
        <f>IF(OR(AJ392="",U392=0),"",MIN(IF(AV392="",9.9E+99,AV392),FLOOR(AN392/U392,1)))</f>
        <v/>
      </c>
      <c r="AP392" s="49">
        <f>IF(AO392="","",AO392*W392)</f>
        <v/>
      </c>
      <c r="AQ392" s="47">
        <f>IF(OR(AJ392="",U392=0),"",MIN(IF(AV392="",9.9E+99,AV392),AN392/U392))</f>
        <v/>
      </c>
      <c r="AR392" s="49">
        <f>IF(AQ392="","",AQ392*W392)</f>
        <v/>
      </c>
      <c r="AS392" s="51" t="n"/>
      <c r="AT392" s="52" t="n"/>
      <c r="AU392" s="52" t="inlineStr">
        <is>
          <t>modal_shift_greenfield</t>
        </is>
      </c>
      <c r="AV392" s="53" t="n"/>
      <c r="AW392" s="54">
        <f>IF(((V392*pax_cap*load_thin*ROUND(N392*O392*revleg_thin,0))-(((battery/range_nm)*G392*ROUND(N392*O392*revleg_thin,0)*VLOOKUP(B392,country_opex,3,FALSE))+Y392+Z392+AA392+AB392+AC392))&lt;=0,"",VLOOKUP(B392,country_opex,7,FALSE)/((V392*pax_cap*load_thin*ROUND(N392*O392*revleg_thin,0))-(((battery/range_nm)*G392*ROUND(N392*O392*revleg_thin,0)*VLOOKUP(B392,country_opex,3,FALSE))+Y392+Z392+AA392+AB392+AC392)))</f>
        <v/>
      </c>
      <c r="AX392" s="54">
        <f>IF(((V392*pax_cap*load_mid*ROUND(N392*O392*revleg_mid,0))-(((battery/range_nm)*G392*ROUND(N392*O392*revleg_mid,0)*VLOOKUP(B392,country_opex,3,FALSE))+Y392+Z392+AA392+AB392+AC392))&lt;=0,"",VLOOKUP(B392,country_opex,7,FALSE)/((V392*pax_cap*load_mid*ROUND(N392*O392*revleg_mid,0))-(((battery/range_nm)*G392*ROUND(N392*O392*revleg_mid,0)*VLOOKUP(B392,country_opex,3,FALSE))+Y392+Z392+AA392+AB392+AC392)))</f>
        <v/>
      </c>
      <c r="AY392" s="54">
        <f>IF(((V392*pax_cap*load_full*ROUND(N392*O392*revleg_full,0))-(((battery/range_nm)*G392*ROUND(N392*O392*revleg_full,0)*VLOOKUP(B392,country_opex,3,FALSE))+Y392+Z392+AA392+AB392+AC392))&lt;=0,"",VLOOKUP(B392,country_opex,7,FALSE)/((V392*pax_cap*load_full*ROUND(N392*O392*revleg_full,0))-(((battery/range_nm)*G392*ROUND(N392*O392*revleg_full,0)*VLOOKUP(B392,country_opex,3,FALSE))+Y392+Z392+AA392+AB392+AC392)))</f>
        <v/>
      </c>
      <c r="AZ392" s="40" t="inlineStr">
        <is>
          <t>Greenfield premium resident hop (3.2nm). Taxi Sentosa Cove-&gt;CBD ~S$15-25 + Sentosa gantry charges + CBD parking S$15-30/day for self-drive. Per-seat water commute at S$15 = taxi parity per seat, wins on peak time + parking avoidance. Top of LB-97 commuter band; premium rider, short distance.</t>
        </is>
      </c>
      <c r="BA392" s="40" t="n"/>
    </row>
    <row r="393">
      <c r="A393" s="38" t="inlineStr">
        <is>
          <t>Singapore</t>
        </is>
      </c>
      <c r="B393" s="38" t="inlineStr">
        <is>
          <t>Singapore</t>
        </is>
      </c>
      <c r="C393" s="39" t="inlineStr">
        <is>
          <t>Greater Southern Waterfront (Keppel Club site) → Marina Bay (CBD)</t>
        </is>
      </c>
      <c r="D393" s="38" t="inlineStr">
        <is>
          <t>grab</t>
        </is>
      </c>
      <c r="E393" s="40" t="inlineStr">
        <is>
          <t>singapore</t>
        </is>
      </c>
      <c r="F393" s="41" t="n">
        <v>1</v>
      </c>
      <c r="G393" s="42" t="n">
        <v>3.5</v>
      </c>
      <c r="H393" s="35" t="n">
        <v>18</v>
      </c>
      <c r="I393" s="43" t="inlineStr">
        <is>
          <t>T3</t>
        </is>
      </c>
      <c r="J393" s="43" t="inlineStr">
        <is>
          <t>low</t>
        </is>
      </c>
      <c r="K393" s="29" t="n">
        <v>1</v>
      </c>
      <c r="L393" s="44">
        <f>60*G393/cruise_kt</f>
        <v/>
      </c>
      <c r="M393" s="44">
        <f>L393+turn_min+dwell_min</f>
        <v/>
      </c>
      <c r="N393" s="45">
        <f>MIN(16,FLOOR(60*service_hr/M393,1))</f>
        <v/>
      </c>
      <c r="O393" s="45">
        <f>ROUND(365*mech_uptime*K393,0)</f>
        <v/>
      </c>
      <c r="P393" s="46">
        <f>mech_uptime</f>
        <v/>
      </c>
      <c r="Q393" s="46">
        <f>revleg_sel</f>
        <v/>
      </c>
      <c r="R393" s="45">
        <f>ROUND(N393*O393*revleg_sel,0)</f>
        <v/>
      </c>
      <c r="S393" s="47">
        <f>load_sel</f>
        <v/>
      </c>
      <c r="T393" s="47">
        <f>pax_cap*S393</f>
        <v/>
      </c>
      <c r="U393" s="45">
        <f>T393*R393</f>
        <v/>
      </c>
      <c r="V393" s="48">
        <f>H393*discount</f>
        <v/>
      </c>
      <c r="W393" s="49">
        <f>V393*U393</f>
        <v/>
      </c>
      <c r="X393" s="49">
        <f>(battery/range_nm)*G393*R393*VLOOKUP(B393,country_opex,3,FALSE)</f>
        <v/>
      </c>
      <c r="Y393" s="49">
        <f>VLOOKUP(B393,country_opex,2,FALSE)*crew_factor</f>
        <v/>
      </c>
      <c r="Z393" s="49">
        <f>VLOOKUP(B393,country_opex,5,FALSE)</f>
        <v/>
      </c>
      <c r="AA393" s="49">
        <f>maint</f>
        <v/>
      </c>
      <c r="AB393" s="49">
        <f>VLOOKUP(B393,country_opex,7,FALSE)*ins_pct</f>
        <v/>
      </c>
      <c r="AC393" s="49">
        <f>charge_berth</f>
        <v/>
      </c>
      <c r="AD393" s="49">
        <f>X393+Y393+Z393+AA393+AB393+AC393</f>
        <v/>
      </c>
      <c r="AE393" s="49">
        <f>VLOOKUP(B393,country_opex,7,FALSE)/dep_years</f>
        <v/>
      </c>
      <c r="AF393" s="49">
        <f>W393-AD393</f>
        <v/>
      </c>
      <c r="AG393" s="46">
        <f>IF(W393=0,"",AF393/W393)</f>
        <v/>
      </c>
      <c r="AH393" s="47">
        <f>IF(AF393&lt;=0,"",VLOOKUP(B393,country_opex,7,FALSE)/AF393)</f>
        <v/>
      </c>
      <c r="AI393" s="44">
        <f>((G393*R393/diesel_nmpg)*diesel_co2pg-(battery/range_nm)*G393*R393*VLOOKUP(B393,country_opex,4,FALSE))/1000</f>
        <v/>
      </c>
      <c r="AJ393" s="42" t="n">
        <v>19656</v>
      </c>
      <c r="AK393" s="43" t="n"/>
      <c r="AL393" s="43" t="n"/>
      <c r="AM393" s="50" t="n">
        <v>1</v>
      </c>
      <c r="AN393" s="45">
        <f>IF(AJ393="","",AJ393*AM393)</f>
        <v/>
      </c>
      <c r="AO393" s="45">
        <f>IF(OR(AJ393="",U393=0),"",MIN(IF(AV393="",9.9E+99,AV393),FLOOR(AN393/U393,1)))</f>
        <v/>
      </c>
      <c r="AP393" s="49">
        <f>IF(AO393="","",AO393*W393)</f>
        <v/>
      </c>
      <c r="AQ393" s="47">
        <f>IF(OR(AJ393="",U393=0),"",MIN(IF(AV393="",9.9E+99,AV393),AN393/U393))</f>
        <v/>
      </c>
      <c r="AR393" s="49">
        <f>IF(AQ393="","",AQ393*W393)</f>
        <v/>
      </c>
      <c r="AS393" s="51" t="n"/>
      <c r="AT393" s="52" t="inlineStr">
        <is>
          <t>FWD-SAM (2030)</t>
        </is>
      </c>
      <c r="AU393" s="52" t="inlineStr">
        <is>
          <t>modal_shift_greenfield</t>
        </is>
      </c>
      <c r="AV393" s="53" t="n"/>
      <c r="AW393" s="54">
        <f>IF(((V393*pax_cap*load_thin*ROUND(N393*O393*revleg_thin,0))-(((battery/range_nm)*G393*ROUND(N393*O393*revleg_thin,0)*VLOOKUP(B393,country_opex,3,FALSE))+Y393+Z393+AA393+AB393+AC393))&lt;=0,"",VLOOKUP(B393,country_opex,7,FALSE)/((V393*pax_cap*load_thin*ROUND(N393*O393*revleg_thin,0))-(((battery/range_nm)*G393*ROUND(N393*O393*revleg_thin,0)*VLOOKUP(B393,country_opex,3,FALSE))+Y393+Z393+AA393+AB393+AC393)))</f>
        <v/>
      </c>
      <c r="AX393" s="54">
        <f>IF(((V393*pax_cap*load_mid*ROUND(N393*O393*revleg_mid,0))-(((battery/range_nm)*G393*ROUND(N393*O393*revleg_mid,0)*VLOOKUP(B393,country_opex,3,FALSE))+Y393+Z393+AA393+AB393+AC393))&lt;=0,"",VLOOKUP(B393,country_opex,7,FALSE)/((V393*pax_cap*load_mid*ROUND(N393*O393*revleg_mid,0))-(((battery/range_nm)*G393*ROUND(N393*O393*revleg_mid,0)*VLOOKUP(B393,country_opex,3,FALSE))+Y393+Z393+AA393+AB393+AC393)))</f>
        <v/>
      </c>
      <c r="AY393" s="54">
        <f>IF(((V393*pax_cap*load_full*ROUND(N393*O393*revleg_full,0))-(((battery/range_nm)*G393*ROUND(N393*O393*revleg_full,0)*VLOOKUP(B393,country_opex,3,FALSE))+Y393+Z393+AA393+AB393+AC393))&lt;=0,"",VLOOKUP(B393,country_opex,7,FALSE)/((V393*pax_cap*load_full*ROUND(N393*O393*revleg_full,0))-(((battery/range_nm)*G393*ROUND(N393*O393*revleg_full,0)*VLOOKUP(B393,country_opex,3,FALSE))+Y393+Z393+AA393+AB393+AC393)))</f>
        <v/>
      </c>
      <c r="AZ393" s="40" t="inlineStr">
        <is>
          <t>[LB-255 PREMIUM RE-FARE: subsidized comparable $6 lifted to premium on-demand floor $18.0] Short-hop (3.5nm) waterfront commute, HDB-heavy future catchment (6,000 of 9,000 units are public housing) - anchored at FLOOR of LB-97 commuter band S$8-15/seat.</t>
        </is>
      </c>
      <c r="BA393" s="40" t="n"/>
    </row>
    <row r="394">
      <c r="A394" s="38" t="inlineStr">
        <is>
          <t>Singapore</t>
        </is>
      </c>
      <c r="B394" s="38" t="inlineStr">
        <is>
          <t>Singapore</t>
        </is>
      </c>
      <c r="C394" s="39" t="inlineStr">
        <is>
          <t>Marina Bay (Bayfront) → Marina Bay (Bayfront)</t>
        </is>
      </c>
      <c r="D394" s="38" t="inlineStr">
        <is>
          <t>grab</t>
        </is>
      </c>
      <c r="E394" s="40" t="inlineStr">
        <is>
          <t>singapore</t>
        </is>
      </c>
      <c r="F394" s="41" t="n">
        <v>1</v>
      </c>
      <c r="G394" s="42" t="n">
        <v>4.5</v>
      </c>
      <c r="H394" s="35" t="n">
        <v>21</v>
      </c>
      <c r="I394" s="43" t="inlineStr">
        <is>
          <t>T1</t>
        </is>
      </c>
      <c r="J394" s="43" t="inlineStr">
        <is>
          <t>high</t>
        </is>
      </c>
      <c r="K394" s="29" t="n">
        <v>1</v>
      </c>
      <c r="L394" s="44">
        <f>60*G394/cruise_kt</f>
        <v/>
      </c>
      <c r="M394" s="44">
        <f>L394+turn_min+dwell_min</f>
        <v/>
      </c>
      <c r="N394" s="45">
        <f>MIN(10,FLOOR(60*service_hr/M394,1))</f>
        <v/>
      </c>
      <c r="O394" s="45">
        <f>ROUND(365*mech_uptime*K394,0)</f>
        <v/>
      </c>
      <c r="P394" s="46">
        <f>mech_uptime</f>
        <v/>
      </c>
      <c r="Q394" s="46">
        <f>revleg_sel</f>
        <v/>
      </c>
      <c r="R394" s="45">
        <f>ROUND(N394*O394*revleg_sel,0)</f>
        <v/>
      </c>
      <c r="S394" s="47">
        <f>load_sel</f>
        <v/>
      </c>
      <c r="T394" s="47">
        <f>pax_cap*S394</f>
        <v/>
      </c>
      <c r="U394" s="45">
        <f>T394*R394</f>
        <v/>
      </c>
      <c r="V394" s="48">
        <f>H394*discount</f>
        <v/>
      </c>
      <c r="W394" s="49">
        <f>V394*U394</f>
        <v/>
      </c>
      <c r="X394" s="49">
        <f>(battery/range_nm)*G394*R394*VLOOKUP(B394,country_opex,3,FALSE)</f>
        <v/>
      </c>
      <c r="Y394" s="49">
        <f>VLOOKUP(B394,country_opex,2,FALSE)*crew_factor</f>
        <v/>
      </c>
      <c r="Z394" s="49">
        <f>VLOOKUP(B394,country_opex,5,FALSE)</f>
        <v/>
      </c>
      <c r="AA394" s="49">
        <f>maint</f>
        <v/>
      </c>
      <c r="AB394" s="49">
        <f>VLOOKUP(B394,country_opex,7,FALSE)*ins_pct</f>
        <v/>
      </c>
      <c r="AC394" s="49">
        <f>charge_berth</f>
        <v/>
      </c>
      <c r="AD394" s="49">
        <f>X394+Y394+Z394+AA394+AB394+AC394</f>
        <v/>
      </c>
      <c r="AE394" s="49">
        <f>VLOOKUP(B394,country_opex,7,FALSE)/dep_years</f>
        <v/>
      </c>
      <c r="AF394" s="49">
        <f>W394-AD394</f>
        <v/>
      </c>
      <c r="AG394" s="46">
        <f>IF(W394=0,"",AF394/W394)</f>
        <v/>
      </c>
      <c r="AH394" s="47">
        <f>IF(AF394&lt;=0,"",VLOOKUP(B394,country_opex,7,FALSE)/AF394)</f>
        <v/>
      </c>
      <c r="AI394" s="44">
        <f>((G394*R394/diesel_nmpg)*diesel_co2pg-(battery/range_nm)*G394*R394*VLOOKUP(B394,country_opex,4,FALSE))/1000</f>
        <v/>
      </c>
      <c r="AJ394" s="42" t="n">
        <v>325000</v>
      </c>
      <c r="AK394" s="43" t="n"/>
      <c r="AL394" s="43" t="n"/>
      <c r="AM394" s="50" t="n">
        <v>0.1</v>
      </c>
      <c r="AN394" s="45">
        <f>IF(AJ394="","",AJ394*AM394)</f>
        <v/>
      </c>
      <c r="AO394" s="45">
        <f>IF(OR(AJ394="",U394=0),"",MIN(IF(AV394="",9.9E+99,AV394),FLOOR(AN394/U394,1)))</f>
        <v/>
      </c>
      <c r="AP394" s="49">
        <f>IF(AO394="","",AO394*W394)</f>
        <v/>
      </c>
      <c r="AQ394" s="47">
        <f>IF(OR(AJ394="",U394=0),"",MIN(IF(AV394="",9.9E+99,AV394),AN394/U394))</f>
        <v/>
      </c>
      <c r="AR394" s="49">
        <f>IF(AQ394="","",AQ394*W394)</f>
        <v/>
      </c>
      <c r="AS394" s="51" t="n"/>
      <c r="AT394" s="52" t="n"/>
      <c r="AU394" s="52" t="inlineStr">
        <is>
          <t>experience_upside</t>
        </is>
      </c>
      <c r="AV394" s="53" t="n"/>
      <c r="AW394" s="54">
        <f>IF(((V394*pax_cap*load_thin*ROUND(N394*O394*revleg_thin,0))-(((battery/range_nm)*G394*ROUND(N394*O394*revleg_thin,0)*VLOOKUP(B394,country_opex,3,FALSE))+Y394+Z394+AA394+AB394+AC394))&lt;=0,"",VLOOKUP(B394,country_opex,7,FALSE)/((V394*pax_cap*load_thin*ROUND(N394*O394*revleg_thin,0))-(((battery/range_nm)*G394*ROUND(N394*O394*revleg_thin,0)*VLOOKUP(B394,country_opex,3,FALSE))+Y394+Z394+AA394+AB394+AC394)))</f>
        <v/>
      </c>
      <c r="AX394" s="54">
        <f>IF(((V394*pax_cap*load_mid*ROUND(N394*O394*revleg_mid,0))-(((battery/range_nm)*G394*ROUND(N394*O394*revleg_mid,0)*VLOOKUP(B394,country_opex,3,FALSE))+Y394+Z394+AA394+AB394+AC394))&lt;=0,"",VLOOKUP(B394,country_opex,7,FALSE)/((V394*pax_cap*load_mid*ROUND(N394*O394*revleg_mid,0))-(((battery/range_nm)*G394*ROUND(N394*O394*revleg_mid,0)*VLOOKUP(B394,country_opex,3,FALSE))+Y394+Z394+AA394+AB394+AC394)))</f>
        <v/>
      </c>
      <c r="AY394" s="54">
        <f>IF(((V394*pax_cap*load_full*ROUND(N394*O394*revleg_full,0))-(((battery/range_nm)*G394*ROUND(N394*O394*revleg_full,0)*VLOOKUP(B394,country_opex,3,FALSE))+Y394+Z394+AA394+AB394+AC394))&lt;=0,"",VLOOKUP(B394,country_opex,7,FALSE)/((V394*pax_cap*load_full*ROUND(N394*O394*revleg_full,0))-(((battery/range_nm)*G394*ROUND(N394*O394*revleg_full,0)*VLOOKUP(B394,country_opex,3,FALSE))+Y394+Z394+AA394+AB394+AC394)))</f>
        <v/>
      </c>
      <c r="AZ394" s="40" t="inlineStr">
        <is>
          <t>Same revealed anchor as grounded row: WaterB/SRC S$28 adult loop (ST 17-Mar-2025; SG Culture Pass). Incremental riders assumed to pay the SAME revealed price - no premium invented.</t>
        </is>
      </c>
      <c r="BA394" s="40" t="n"/>
    </row>
    <row r="395">
      <c r="A395" s="38" t="inlineStr">
        <is>
          <t>Singapore</t>
        </is>
      </c>
      <c r="B395" s="38" t="inlineStr">
        <is>
          <t>Singapore</t>
        </is>
      </c>
      <c r="C395" s="39" t="inlineStr">
        <is>
          <t>Clarke Quay (Singapore River) → Clarke Quay (Singapore River)</t>
        </is>
      </c>
      <c r="D395" s="38" t="inlineStr">
        <is>
          <t>grab</t>
        </is>
      </c>
      <c r="E395" s="40" t="inlineStr">
        <is>
          <t>singapore</t>
        </is>
      </c>
      <c r="F395" s="41" t="n">
        <v>1</v>
      </c>
      <c r="G395" s="42" t="n">
        <v>5</v>
      </c>
      <c r="H395" s="35" t="n">
        <v>21</v>
      </c>
      <c r="I395" s="43" t="inlineStr">
        <is>
          <t>T1</t>
        </is>
      </c>
      <c r="J395" s="43" t="inlineStr">
        <is>
          <t>high</t>
        </is>
      </c>
      <c r="K395" s="29" t="n">
        <v>1</v>
      </c>
      <c r="L395" s="44">
        <f>60*G395/cruise_kt</f>
        <v/>
      </c>
      <c r="M395" s="44">
        <f>L395+turn_min+dwell_min</f>
        <v/>
      </c>
      <c r="N395" s="45">
        <f>MIN(10,FLOOR(60*service_hr/M395,1))</f>
        <v/>
      </c>
      <c r="O395" s="45">
        <f>ROUND(365*mech_uptime*K395,0)</f>
        <v/>
      </c>
      <c r="P395" s="46">
        <f>mech_uptime</f>
        <v/>
      </c>
      <c r="Q395" s="46">
        <f>revleg_sel</f>
        <v/>
      </c>
      <c r="R395" s="45">
        <f>ROUND(N395*O395*revleg_sel,0)</f>
        <v/>
      </c>
      <c r="S395" s="47">
        <f>load_sel</f>
        <v/>
      </c>
      <c r="T395" s="47">
        <f>pax_cap*S395</f>
        <v/>
      </c>
      <c r="U395" s="45">
        <f>T395*R395</f>
        <v/>
      </c>
      <c r="V395" s="48">
        <f>H395*discount</f>
        <v/>
      </c>
      <c r="W395" s="49">
        <f>V395*U395</f>
        <v/>
      </c>
      <c r="X395" s="49">
        <f>(battery/range_nm)*G395*R395*VLOOKUP(B395,country_opex,3,FALSE)</f>
        <v/>
      </c>
      <c r="Y395" s="49">
        <f>VLOOKUP(B395,country_opex,2,FALSE)*crew_factor</f>
        <v/>
      </c>
      <c r="Z395" s="49">
        <f>VLOOKUP(B395,country_opex,5,FALSE)</f>
        <v/>
      </c>
      <c r="AA395" s="49">
        <f>maint</f>
        <v/>
      </c>
      <c r="AB395" s="49">
        <f>VLOOKUP(B395,country_opex,7,FALSE)*ins_pct</f>
        <v/>
      </c>
      <c r="AC395" s="49">
        <f>charge_berth</f>
        <v/>
      </c>
      <c r="AD395" s="49">
        <f>X395+Y395+Z395+AA395+AB395+AC395</f>
        <v/>
      </c>
      <c r="AE395" s="49">
        <f>VLOOKUP(B395,country_opex,7,FALSE)/dep_years</f>
        <v/>
      </c>
      <c r="AF395" s="49">
        <f>W395-AD395</f>
        <v/>
      </c>
      <c r="AG395" s="46">
        <f>IF(W395=0,"",AF395/W395)</f>
        <v/>
      </c>
      <c r="AH395" s="47">
        <f>IF(AF395&lt;=0,"",VLOOKUP(B395,country_opex,7,FALSE)/AF395)</f>
        <v/>
      </c>
      <c r="AI395" s="44">
        <f>((G395*R395/diesel_nmpg)*diesel_co2pg-(battery/range_nm)*G395*R395*VLOOKUP(B395,country_opex,4,FALSE))/1000</f>
        <v/>
      </c>
      <c r="AJ395" s="42" t="n">
        <v>650000</v>
      </c>
      <c r="AK395" s="43" t="n"/>
      <c r="AL395" s="43" t="n"/>
      <c r="AM395" s="50" t="n">
        <v>0.1</v>
      </c>
      <c r="AN395" s="45">
        <f>IF(AJ395="","",AJ395*AM395)</f>
        <v/>
      </c>
      <c r="AO395" s="45">
        <f>IF(OR(AJ395="",U395=0),"",MIN(IF(AV395="",9.9E+99,AV395),FLOOR(AN395/U395,1)))</f>
        <v/>
      </c>
      <c r="AP395" s="49">
        <f>IF(AO395="","",AO395*W395)</f>
        <v/>
      </c>
      <c r="AQ395" s="47">
        <f>IF(OR(AJ395="",U395=0),"",MIN(IF(AV395="",9.9E+99,AV395),AN395/U395))</f>
        <v/>
      </c>
      <c r="AR395" s="49">
        <f>IF(AQ395="","",AQ395*W395)</f>
        <v/>
      </c>
      <c r="AS395" s="51" t="n"/>
      <c r="AT395" s="52" t="n"/>
      <c r="AU395" s="52" t="n"/>
      <c r="AV395" s="53" t="n"/>
      <c r="AW395" s="54">
        <f>IF(((V395*pax_cap*load_thin*ROUND(N395*O395*revleg_thin,0))-(((battery/range_nm)*G395*ROUND(N395*O395*revleg_thin,0)*VLOOKUP(B395,country_opex,3,FALSE))+Y395+Z395+AA395+AB395+AC395))&lt;=0,"",VLOOKUP(B395,country_opex,7,FALSE)/((V395*pax_cap*load_thin*ROUND(N395*O395*revleg_thin,0))-(((battery/range_nm)*G395*ROUND(N395*O395*revleg_thin,0)*VLOOKUP(B395,country_opex,3,FALSE))+Y395+Z395+AA395+AB395+AC395)))</f>
        <v/>
      </c>
      <c r="AX395" s="54">
        <f>IF(((V395*pax_cap*load_mid*ROUND(N395*O395*revleg_mid,0))-(((battery/range_nm)*G395*ROUND(N395*O395*revleg_mid,0)*VLOOKUP(B395,country_opex,3,FALSE))+Y395+Z395+AA395+AB395+AC395))&lt;=0,"",VLOOKUP(B395,country_opex,7,FALSE)/((V395*pax_cap*load_mid*ROUND(N395*O395*revleg_mid,0))-(((battery/range_nm)*G395*ROUND(N395*O395*revleg_mid,0)*VLOOKUP(B395,country_opex,3,FALSE))+Y395+Z395+AA395+AB395+AC395)))</f>
        <v/>
      </c>
      <c r="AY395" s="54">
        <f>IF(((V395*pax_cap*load_full*ROUND(N395*O395*revleg_full,0))-(((battery/range_nm)*G395*ROUND(N395*O395*revleg_full,0)*VLOOKUP(B395,country_opex,3,FALSE))+Y395+Z395+AA395+AB395+AC395))&lt;=0,"",VLOOKUP(B395,country_opex,7,FALSE)/((V395*pax_cap*load_full*ROUND(N395*O395*revleg_full,0))-(((battery/range_nm)*G395*ROUND(N395*O395*revleg_full,0)*VLOOKUP(B395,country_opex,3,FALSE))+Y395+Z395+AA395+AB395+AC395)))</f>
        <v/>
      </c>
      <c r="AZ395" s="40" t="inlineStr">
        <is>
          <t>Actual operator pricing: WaterB river cruise S$28 adult / S$18 child (Straits Times 17-Mar-2025 quoting WaterB; SG Culture Pass listing 'from $25'). SRC pricing comparable (~S$28 adult).</t>
        </is>
      </c>
      <c r="BA395" s="40" t="n"/>
    </row>
    <row r="396">
      <c r="A396" s="38" t="inlineStr">
        <is>
          <t>Singapore</t>
        </is>
      </c>
      <c r="B396" s="38" t="inlineStr">
        <is>
          <t>Singapore</t>
        </is>
      </c>
      <c r="C396" s="39" t="inlineStr">
        <is>
          <t>East Coast → Marina Bay</t>
        </is>
      </c>
      <c r="D396" s="38" t="inlineStr">
        <is>
          <t>grab</t>
        </is>
      </c>
      <c r="E396" s="40" t="inlineStr">
        <is>
          <t>singapore</t>
        </is>
      </c>
      <c r="F396" s="41" t="n">
        <v>1</v>
      </c>
      <c r="G396" s="42" t="n">
        <v>5.8</v>
      </c>
      <c r="H396" s="35" t="n">
        <v>18</v>
      </c>
      <c r="I396" s="43" t="inlineStr">
        <is>
          <t>T5</t>
        </is>
      </c>
      <c r="J396" s="43" t="inlineStr">
        <is>
          <t>low</t>
        </is>
      </c>
      <c r="K396" s="29" t="n">
        <v>1</v>
      </c>
      <c r="L396" s="44">
        <f>60*G396/cruise_kt</f>
        <v/>
      </c>
      <c r="M396" s="44">
        <f>L396+turn_min+dwell_min</f>
        <v/>
      </c>
      <c r="N396" s="45">
        <f>MIN(16,FLOOR(60*service_hr/M396,1))</f>
        <v/>
      </c>
      <c r="O396" s="45">
        <f>ROUND(365*mech_uptime*K396,0)</f>
        <v/>
      </c>
      <c r="P396" s="46">
        <f>mech_uptime</f>
        <v/>
      </c>
      <c r="Q396" s="46">
        <f>revleg_sel</f>
        <v/>
      </c>
      <c r="R396" s="45">
        <f>ROUND(N396*O396*revleg_sel,0)</f>
        <v/>
      </c>
      <c r="S396" s="47">
        <f>load_sel</f>
        <v/>
      </c>
      <c r="T396" s="47">
        <f>pax_cap*S396</f>
        <v/>
      </c>
      <c r="U396" s="45">
        <f>T396*R396</f>
        <v/>
      </c>
      <c r="V396" s="48">
        <f>H396*discount</f>
        <v/>
      </c>
      <c r="W396" s="49">
        <f>V396*U396</f>
        <v/>
      </c>
      <c r="X396" s="49">
        <f>(battery/range_nm)*G396*R396*VLOOKUP(B396,country_opex,3,FALSE)</f>
        <v/>
      </c>
      <c r="Y396" s="49">
        <f>VLOOKUP(B396,country_opex,2,FALSE)*crew_factor</f>
        <v/>
      </c>
      <c r="Z396" s="49">
        <f>VLOOKUP(B396,country_opex,5,FALSE)</f>
        <v/>
      </c>
      <c r="AA396" s="49">
        <f>maint</f>
        <v/>
      </c>
      <c r="AB396" s="49">
        <f>VLOOKUP(B396,country_opex,7,FALSE)*ins_pct</f>
        <v/>
      </c>
      <c r="AC396" s="49">
        <f>charge_berth</f>
        <v/>
      </c>
      <c r="AD396" s="49">
        <f>X396+Y396+Z396+AA396+AB396+AC396</f>
        <v/>
      </c>
      <c r="AE396" s="49">
        <f>VLOOKUP(B396,country_opex,7,FALSE)/dep_years</f>
        <v/>
      </c>
      <c r="AF396" s="49">
        <f>W396-AD396</f>
        <v/>
      </c>
      <c r="AG396" s="46">
        <f>IF(W396=0,"",AF396/W396)</f>
        <v/>
      </c>
      <c r="AH396" s="47">
        <f>IF(AF396&lt;=0,"",VLOOKUP(B396,country_opex,7,FALSE)/AF396)</f>
        <v/>
      </c>
      <c r="AI396" s="44">
        <f>((G396*R396/diesel_nmpg)*diesel_co2pg-(battery/range_nm)*G396*R396*VLOOKUP(B396,country_opex,4,FALSE))/1000</f>
        <v/>
      </c>
      <c r="AJ396" s="42" t="n">
        <v>111000</v>
      </c>
      <c r="AK396" s="43" t="n"/>
      <c r="AL396" s="43" t="n"/>
      <c r="AM396" s="50" t="n">
        <v>0.25</v>
      </c>
      <c r="AN396" s="45">
        <f>IF(AJ396="","",AJ396*AM396)</f>
        <v/>
      </c>
      <c r="AO396" s="45">
        <f>IF(OR(AJ396="",U396=0),"",MIN(IF(AV396="",9.9E+99,AV396),FLOOR(AN396/U396,1)))</f>
        <v/>
      </c>
      <c r="AP396" s="49">
        <f>IF(AO396="","",AO396*W396)</f>
        <v/>
      </c>
      <c r="AQ396" s="47">
        <f>IF(OR(AJ396="",U396=0),"",MIN(IF(AV396="",9.9E+99,AV396),AN396/U396))</f>
        <v/>
      </c>
      <c r="AR396" s="49">
        <f>IF(AQ396="","",AQ396*W396)</f>
        <v/>
      </c>
      <c r="AS396" s="51" t="n"/>
      <c r="AT396" s="52" t="n"/>
      <c r="AU396" s="52" t="n"/>
      <c r="AV396" s="53" t="n"/>
      <c r="AW396" s="54">
        <f>IF(((V396*pax_cap*load_thin*ROUND(N396*O396*revleg_thin,0))-(((battery/range_nm)*G396*ROUND(N396*O396*revleg_thin,0)*VLOOKUP(B396,country_opex,3,FALSE))+Y396+Z396+AA396+AB396+AC396))&lt;=0,"",VLOOKUP(B396,country_opex,7,FALSE)/((V396*pax_cap*load_thin*ROUND(N396*O396*revleg_thin,0))-(((battery/range_nm)*G396*ROUND(N396*O396*revleg_thin,0)*VLOOKUP(B396,country_opex,3,FALSE))+Y396+Z396+AA396+AB396+AC396)))</f>
        <v/>
      </c>
      <c r="AX396" s="54">
        <f>IF(((V396*pax_cap*load_mid*ROUND(N396*O396*revleg_mid,0))-(((battery/range_nm)*G396*ROUND(N396*O396*revleg_mid,0)*VLOOKUP(B396,country_opex,3,FALSE))+Y396+Z396+AA396+AB396+AC396))&lt;=0,"",VLOOKUP(B396,country_opex,7,FALSE)/((V396*pax_cap*load_mid*ROUND(N396*O396*revleg_mid,0))-(((battery/range_nm)*G396*ROUND(N396*O396*revleg_mid,0)*VLOOKUP(B396,country_opex,3,FALSE))+Y396+Z396+AA396+AB396+AC396)))</f>
        <v/>
      </c>
      <c r="AY396" s="54">
        <f>IF(((V396*pax_cap*load_full*ROUND(N396*O396*revleg_full,0))-(((battery/range_nm)*G396*ROUND(N396*O396*revleg_full,0)*VLOOKUP(B396,country_opex,3,FALSE))+Y396+Z396+AA396+AB396+AC396))&lt;=0,"",VLOOKUP(B396,country_opex,7,FALSE)/((V396*pax_cap*load_full*ROUND(N396*O396*revleg_full,0))-(((battery/range_nm)*G396*ROUND(N396*O396*revleg_full,0)*VLOOKUP(B396,country_opex,3,FALSE))+Y396+Z396+AA396+AB396+AC396)))</f>
        <v/>
      </c>
      <c r="AZ396" s="40" t="inlineStr">
        <is>
          <t>NO commuter ferry exists East Coast-&gt;Marina/CBD — road commute only (ECP). Singapore River taxi (Marina&lt;-&gt;Robertson Quay) is intra-river at S$3-7 (commuter single-class, no premium tier; R5-EXT). Harbour water-taxi is whole-boat charter S$80-130/trip (overclaim). Modeled premium per-seat commute fare anchored at road/Grab parity East Coast-&gt;CBD ~S$24 = ~$18.</t>
        </is>
      </c>
      <c r="BA396" s="40" t="n"/>
    </row>
    <row r="397">
      <c r="A397" s="38" t="inlineStr">
        <is>
          <t>Singapore</t>
        </is>
      </c>
      <c r="B397" s="38" t="inlineStr">
        <is>
          <t>Singapore</t>
        </is>
      </c>
      <c r="C397" s="39" t="inlineStr">
        <is>
          <t>Marine Parade / East Coast (Central Region increment) → Raffles Place / Marina Bay</t>
        </is>
      </c>
      <c r="D397" s="38" t="inlineStr">
        <is>
          <t>grab</t>
        </is>
      </c>
      <c r="E397" s="40" t="inlineStr">
        <is>
          <t>singapore</t>
        </is>
      </c>
      <c r="F397" s="41" t="n">
        <v>1</v>
      </c>
      <c r="G397" s="42" t="n">
        <v>5.8</v>
      </c>
      <c r="H397" s="35" t="n">
        <v>9</v>
      </c>
      <c r="I397" s="43" t="inlineStr">
        <is>
          <t>T3</t>
        </is>
      </c>
      <c r="J397" s="43" t="inlineStr">
        <is>
          <t>low</t>
        </is>
      </c>
      <c r="K397" s="29" t="n">
        <v>1</v>
      </c>
      <c r="L397" s="44">
        <f>60*G397/cruise_kt</f>
        <v/>
      </c>
      <c r="M397" s="44">
        <f>L397+turn_min+dwell_min</f>
        <v/>
      </c>
      <c r="N397" s="45">
        <f>MIN(16,FLOOR(60*service_hr/M397,1))</f>
        <v/>
      </c>
      <c r="O397" s="45">
        <f>ROUND(365*mech_uptime*K397,0)</f>
        <v/>
      </c>
      <c r="P397" s="46">
        <f>mech_uptime</f>
        <v/>
      </c>
      <c r="Q397" s="46">
        <f>revleg_sel</f>
        <v/>
      </c>
      <c r="R397" s="45">
        <f>ROUND(N397*O397*revleg_sel,0)</f>
        <v/>
      </c>
      <c r="S397" s="47">
        <f>load_sel</f>
        <v/>
      </c>
      <c r="T397" s="47">
        <f>pax_cap*S397</f>
        <v/>
      </c>
      <c r="U397" s="45">
        <f>T397*R397</f>
        <v/>
      </c>
      <c r="V397" s="48">
        <f>H397*discount</f>
        <v/>
      </c>
      <c r="W397" s="49">
        <f>V397*U397</f>
        <v/>
      </c>
      <c r="X397" s="49">
        <f>(battery/range_nm)*G397*R397*VLOOKUP(B397,country_opex,3,FALSE)</f>
        <v/>
      </c>
      <c r="Y397" s="49">
        <f>VLOOKUP(B397,country_opex,2,FALSE)*crew_factor</f>
        <v/>
      </c>
      <c r="Z397" s="49">
        <f>VLOOKUP(B397,country_opex,5,FALSE)</f>
        <v/>
      </c>
      <c r="AA397" s="49">
        <f>maint</f>
        <v/>
      </c>
      <c r="AB397" s="49">
        <f>VLOOKUP(B397,country_opex,7,FALSE)*ins_pct</f>
        <v/>
      </c>
      <c r="AC397" s="49">
        <f>charge_berth</f>
        <v/>
      </c>
      <c r="AD397" s="49">
        <f>X397+Y397+Z397+AA397+AB397+AC397</f>
        <v/>
      </c>
      <c r="AE397" s="49">
        <f>VLOOKUP(B397,country_opex,7,FALSE)/dep_years</f>
        <v/>
      </c>
      <c r="AF397" s="49">
        <f>W397-AD397</f>
        <v/>
      </c>
      <c r="AG397" s="46">
        <f>IF(W397=0,"",AF397/W397)</f>
        <v/>
      </c>
      <c r="AH397" s="47">
        <f>IF(AF397&lt;=0,"",VLOOKUP(B397,country_opex,7,FALSE)/AF397)</f>
        <v/>
      </c>
      <c r="AI397" s="44">
        <f>((G397*R397/diesel_nmpg)*diesel_co2pg-(battery/range_nm)*G397*R397*VLOOKUP(B397,country_opex,4,FALSE))/1000</f>
        <v/>
      </c>
      <c r="AJ397" s="42" t="n">
        <v>5003</v>
      </c>
      <c r="AK397" s="43" t="n"/>
      <c r="AL397" s="43" t="n"/>
      <c r="AM397" s="50" t="n">
        <v>1</v>
      </c>
      <c r="AN397" s="45">
        <f>IF(AJ397="","",AJ397*AM397)</f>
        <v/>
      </c>
      <c r="AO397" s="45">
        <f>IF(OR(AJ397="",U397=0),"",MIN(IF(AV397="",9.9E+99,AV397),FLOOR(AN397/U397,1)))</f>
        <v/>
      </c>
      <c r="AP397" s="49">
        <f>IF(AO397="","",AO397*W397)</f>
        <v/>
      </c>
      <c r="AQ397" s="47">
        <f>IF(OR(AJ397="",U397=0),"",MIN(IF(AV397="",9.9E+99,AV397),AN397/U397))</f>
        <v/>
      </c>
      <c r="AR397" s="49">
        <f>IF(AQ397="","",AQ397*W397)</f>
        <v/>
      </c>
      <c r="AS397" s="51" t="n"/>
      <c r="AT397" s="52" t="n"/>
      <c r="AU397" s="52" t="inlineStr">
        <is>
          <t>modal_shift_greenfield</t>
        </is>
      </c>
      <c r="AV397" s="53" t="n"/>
      <c r="AW397" s="54">
        <f>IF(((V397*pax_cap*load_thin*ROUND(N397*O397*revleg_thin,0))-(((battery/range_nm)*G397*ROUND(N397*O397*revleg_thin,0)*VLOOKUP(B397,country_opex,3,FALSE))+Y397+Z397+AA397+AB397+AC397))&lt;=0,"",VLOOKUP(B397,country_opex,7,FALSE)/((V397*pax_cap*load_thin*ROUND(N397*O397*revleg_thin,0))-(((battery/range_nm)*G397*ROUND(N397*O397*revleg_thin,0)*VLOOKUP(B397,country_opex,3,FALSE))+Y397+Z397+AA397+AB397+AC397)))</f>
        <v/>
      </c>
      <c r="AX397" s="54">
        <f>IF(((V397*pax_cap*load_mid*ROUND(N397*O397*revleg_mid,0))-(((battery/range_nm)*G397*ROUND(N397*O397*revleg_mid,0)*VLOOKUP(B397,country_opex,3,FALSE))+Y397+Z397+AA397+AB397+AC397))&lt;=0,"",VLOOKUP(B397,country_opex,7,FALSE)/((V397*pax_cap*load_mid*ROUND(N397*O397*revleg_mid,0))-(((battery/range_nm)*G397*ROUND(N397*O397*revleg_mid,0)*VLOOKUP(B397,country_opex,3,FALSE))+Y397+Z397+AA397+AB397+AC397)))</f>
        <v/>
      </c>
      <c r="AY397" s="54">
        <f>IF(((V397*pax_cap*load_full*ROUND(N397*O397*revleg_full,0))-(((battery/range_nm)*G397*ROUND(N397*O397*revleg_full,0)*VLOOKUP(B397,country_opex,3,FALSE))+Y397+Z397+AA397+AB397+AC397))&lt;=0,"",VLOOKUP(B397,country_opex,7,FALSE)/((V397*pax_cap*load_full*ROUND(N397*O397*revleg_full,0))-(((battery/range_nm)*G397*ROUND(N397*O397*revleg_full,0)*VLOOKUP(B397,country_opex,3,FALSE))+Y397+Z397+AA397+AB397+AC397)))</f>
        <v/>
      </c>
      <c r="AZ397" s="40" t="inlineStr">
        <is>
          <t>Greenfield commute hop (5.8nm). Anchored mid LB-97 commuter band S$8-15/seat. NOTE: existing row rn-82453f6cb33e on the same water path carries $18 (road-parity/Grab anchor, R14a). This modal-shift row deliberately prices a per-seat commuter tier below the road-parity premium tier - different product tier, recorded to avoid silent fare conflict.</t>
        </is>
      </c>
      <c r="BA397" s="40" t="n"/>
    </row>
    <row r="398">
      <c r="A398" s="38" t="inlineStr">
        <is>
          <t>Singapore</t>
        </is>
      </c>
      <c r="B398" s="38" t="inlineStr">
        <is>
          <t>Singapore</t>
        </is>
      </c>
      <c r="C398" s="39" t="inlineStr">
        <is>
          <t>Singapore Marina Network → On-demand water mobility</t>
        </is>
      </c>
      <c r="D398" s="38" t="inlineStr">
        <is>
          <t>grab</t>
        </is>
      </c>
      <c r="E398" s="40" t="inlineStr">
        <is>
          <t>singapore</t>
        </is>
      </c>
      <c r="F398" s="41" t="n">
        <v>1</v>
      </c>
      <c r="G398" s="42" t="n">
        <v>8</v>
      </c>
      <c r="H398" s="35" t="n">
        <v>35</v>
      </c>
      <c r="I398" s="43" t="inlineStr">
        <is>
          <t>T2</t>
        </is>
      </c>
      <c r="J398" s="43" t="inlineStr">
        <is>
          <t>med</t>
        </is>
      </c>
      <c r="K398" s="29" t="n">
        <v>1</v>
      </c>
      <c r="L398" s="44">
        <f>60*G398/cruise_kt</f>
        <v/>
      </c>
      <c r="M398" s="44">
        <f>L398+turn_min+dwell_min</f>
        <v/>
      </c>
      <c r="N398" s="45">
        <f>MIN(10,FLOOR(60*service_hr/M398,1))</f>
        <v/>
      </c>
      <c r="O398" s="45">
        <f>ROUND(365*mech_uptime*K398,0)</f>
        <v/>
      </c>
      <c r="P398" s="46">
        <f>mech_uptime</f>
        <v/>
      </c>
      <c r="Q398" s="46">
        <f>revleg_sel</f>
        <v/>
      </c>
      <c r="R398" s="45">
        <f>ROUND(N398*O398*revleg_sel,0)</f>
        <v/>
      </c>
      <c r="S398" s="47">
        <f>load_sel</f>
        <v/>
      </c>
      <c r="T398" s="47">
        <f>pax_cap*S398</f>
        <v/>
      </c>
      <c r="U398" s="45">
        <f>T398*R398</f>
        <v/>
      </c>
      <c r="V398" s="48">
        <f>H398*discount</f>
        <v/>
      </c>
      <c r="W398" s="49">
        <f>V398*U398</f>
        <v/>
      </c>
      <c r="X398" s="49">
        <f>(battery/range_nm)*G398*R398*VLOOKUP(B398,country_opex,3,FALSE)</f>
        <v/>
      </c>
      <c r="Y398" s="49">
        <f>VLOOKUP(B398,country_opex,2,FALSE)*crew_factor</f>
        <v/>
      </c>
      <c r="Z398" s="49">
        <f>VLOOKUP(B398,country_opex,5,FALSE)</f>
        <v/>
      </c>
      <c r="AA398" s="49">
        <f>maint</f>
        <v/>
      </c>
      <c r="AB398" s="49">
        <f>VLOOKUP(B398,country_opex,7,FALSE)*ins_pct</f>
        <v/>
      </c>
      <c r="AC398" s="49">
        <f>charge_berth</f>
        <v/>
      </c>
      <c r="AD398" s="49">
        <f>X398+Y398+Z398+AA398+AB398+AC398</f>
        <v/>
      </c>
      <c r="AE398" s="49">
        <f>VLOOKUP(B398,country_opex,7,FALSE)/dep_years</f>
        <v/>
      </c>
      <c r="AF398" s="49">
        <f>W398-AD398</f>
        <v/>
      </c>
      <c r="AG398" s="46">
        <f>IF(W398=0,"",AF398/W398)</f>
        <v/>
      </c>
      <c r="AH398" s="47">
        <f>IF(AF398&lt;=0,"",VLOOKUP(B398,country_opex,7,FALSE)/AF398)</f>
        <v/>
      </c>
      <c r="AI398" s="44">
        <f>((G398*R398/diesel_nmpg)*diesel_co2pg-(battery/range_nm)*G398*R398*VLOOKUP(B398,country_opex,4,FALSE))/1000</f>
        <v/>
      </c>
      <c r="AJ398" s="42" t="n">
        <v>9900</v>
      </c>
      <c r="AK398" s="43" t="n"/>
      <c r="AL398" s="43" t="n"/>
      <c r="AM398" s="50" t="n">
        <v>1</v>
      </c>
      <c r="AN398" s="45">
        <f>IF(AJ398="","",AJ398*AM398)</f>
        <v/>
      </c>
      <c r="AO398" s="45">
        <f>IF(OR(AJ398="",U398=0),"",MIN(IF(AV398="",9.9E+99,AV398),FLOOR(AN398/U398,1)))</f>
        <v/>
      </c>
      <c r="AP398" s="49">
        <f>IF(AO398="","",AO398*W398)</f>
        <v/>
      </c>
      <c r="AQ398" s="47">
        <f>IF(OR(AJ398="",U398=0),"",MIN(IF(AV398="",9.9E+99,AV398),AN398/U398))</f>
        <v/>
      </c>
      <c r="AR398" s="49">
        <f>IF(AQ398="","",AQ398*W398)</f>
        <v/>
      </c>
      <c r="AS398" s="51" t="n"/>
      <c r="AT398" s="52" t="n"/>
      <c r="AU398" s="52" t="n"/>
      <c r="AV398" s="53" t="n"/>
      <c r="AW398" s="54">
        <f>IF(((V398*pax_cap*load_thin*ROUND(N398*O398*revleg_thin,0))-(((battery/range_nm)*G398*ROUND(N398*O398*revleg_thin,0)*VLOOKUP(B398,country_opex,3,FALSE))+Y398+Z398+AA398+AB398+AC398))&lt;=0,"",VLOOKUP(B398,country_opex,7,FALSE)/((V398*pax_cap*load_thin*ROUND(N398*O398*revleg_thin,0))-(((battery/range_nm)*G398*ROUND(N398*O398*revleg_thin,0)*VLOOKUP(B398,country_opex,3,FALSE))+Y398+Z398+AA398+AB398+AC398)))</f>
        <v/>
      </c>
      <c r="AX398" s="54">
        <f>IF(((V398*pax_cap*load_mid*ROUND(N398*O398*revleg_mid,0))-(((battery/range_nm)*G398*ROUND(N398*O398*revleg_mid,0)*VLOOKUP(B398,country_opex,3,FALSE))+Y398+Z398+AA398+AB398+AC398))&lt;=0,"",VLOOKUP(B398,country_opex,7,FALSE)/((V398*pax_cap*load_mid*ROUND(N398*O398*revleg_mid,0))-(((battery/range_nm)*G398*ROUND(N398*O398*revleg_mid,0)*VLOOKUP(B398,country_opex,3,FALSE))+Y398+Z398+AA398+AB398+AC398)))</f>
        <v/>
      </c>
      <c r="AY398" s="54">
        <f>IF(((V398*pax_cap*load_full*ROUND(N398*O398*revleg_full,0))-(((battery/range_nm)*G398*ROUND(N398*O398*revleg_full,0)*VLOOKUP(B398,country_opex,3,FALSE))+Y398+Z398+AA398+AB398+AC398))&lt;=0,"",VLOOKUP(B398,country_opex,7,FALSE)/((V398*pax_cap*load_full*ROUND(N398*O398*revleg_full,0))-(((battery/range_nm)*G398*ROUND(N398*O398*revleg_full,0)*VLOOKUP(B398,country_opex,3,FALSE))+Y398+Z398+AA398+AB398+AC398)))</f>
        <v/>
      </c>
      <c r="AZ398" s="40" t="n"/>
      <c r="BA398" s="40" t="n"/>
    </row>
    <row r="399">
      <c r="A399" s="38" t="inlineStr">
        <is>
          <t>Singapore</t>
        </is>
      </c>
      <c r="B399" s="38" t="inlineStr">
        <is>
          <t>Singapore</t>
        </is>
      </c>
      <c r="C399" s="39" t="inlineStr">
        <is>
          <t>Sentosa / Keppel waterfront → Sentosa / Keppel waterfront</t>
        </is>
      </c>
      <c r="D399" s="38" t="inlineStr">
        <is>
          <t>grab</t>
        </is>
      </c>
      <c r="E399" s="40" t="inlineStr">
        <is>
          <t>singapore</t>
        </is>
      </c>
      <c r="F399" s="41" t="n">
        <v>1</v>
      </c>
      <c r="G399" s="42" t="n">
        <v>8</v>
      </c>
      <c r="H399" s="35" t="n">
        <v>95</v>
      </c>
      <c r="I399" s="43" t="inlineStr">
        <is>
          <t>T2</t>
        </is>
      </c>
      <c r="J399" s="43" t="inlineStr">
        <is>
          <t>med</t>
        </is>
      </c>
      <c r="K399" s="29" t="n">
        <v>1</v>
      </c>
      <c r="L399" s="44">
        <f>60*G399/cruise_kt</f>
        <v/>
      </c>
      <c r="M399" s="44">
        <f>L399+turn_min+dwell_min</f>
        <v/>
      </c>
      <c r="N399" s="45">
        <f>MIN(10,FLOOR(60*service_hr/M399,1))</f>
        <v/>
      </c>
      <c r="O399" s="45">
        <f>ROUND(365*mech_uptime*K399,0)</f>
        <v/>
      </c>
      <c r="P399" s="46">
        <f>mech_uptime</f>
        <v/>
      </c>
      <c r="Q399" s="46">
        <f>revleg_sel</f>
        <v/>
      </c>
      <c r="R399" s="45">
        <f>ROUND(N399*O399*revleg_sel,0)</f>
        <v/>
      </c>
      <c r="S399" s="47">
        <f>load_sel</f>
        <v/>
      </c>
      <c r="T399" s="47">
        <f>pax_cap*S399</f>
        <v/>
      </c>
      <c r="U399" s="45">
        <f>T399*R399</f>
        <v/>
      </c>
      <c r="V399" s="48">
        <f>H399*discount</f>
        <v/>
      </c>
      <c r="W399" s="49">
        <f>V399*U399</f>
        <v/>
      </c>
      <c r="X399" s="49">
        <f>(battery/range_nm)*G399*R399*VLOOKUP(B399,country_opex,3,FALSE)</f>
        <v/>
      </c>
      <c r="Y399" s="49">
        <f>VLOOKUP(B399,country_opex,2,FALSE)*crew_factor</f>
        <v/>
      </c>
      <c r="Z399" s="49">
        <f>VLOOKUP(B399,country_opex,5,FALSE)</f>
        <v/>
      </c>
      <c r="AA399" s="49">
        <f>maint</f>
        <v/>
      </c>
      <c r="AB399" s="49">
        <f>VLOOKUP(B399,country_opex,7,FALSE)*ins_pct</f>
        <v/>
      </c>
      <c r="AC399" s="49">
        <f>charge_berth</f>
        <v/>
      </c>
      <c r="AD399" s="49">
        <f>X399+Y399+Z399+AA399+AB399+AC399</f>
        <v/>
      </c>
      <c r="AE399" s="49">
        <f>VLOOKUP(B399,country_opex,7,FALSE)/dep_years</f>
        <v/>
      </c>
      <c r="AF399" s="49">
        <f>W399-AD399</f>
        <v/>
      </c>
      <c r="AG399" s="46">
        <f>IF(W399=0,"",AF399/W399)</f>
        <v/>
      </c>
      <c r="AH399" s="47">
        <f>IF(AF399&lt;=0,"",VLOOKUP(B399,country_opex,7,FALSE)/AF399)</f>
        <v/>
      </c>
      <c r="AI399" s="44">
        <f>((G399*R399/diesel_nmpg)*diesel_co2pg-(battery/range_nm)*G399*R399*VLOOKUP(B399,country_opex,4,FALSE))/1000</f>
        <v/>
      </c>
      <c r="AJ399" s="42" t="n">
        <v>23000</v>
      </c>
      <c r="AK399" s="43" t="n"/>
      <c r="AL399" s="43" t="n"/>
      <c r="AM399" s="50" t="n">
        <v>0.1</v>
      </c>
      <c r="AN399" s="45">
        <f>IF(AJ399="","",AJ399*AM399)</f>
        <v/>
      </c>
      <c r="AO399" s="45">
        <f>IF(OR(AJ399="",U399=0),"",MIN(IF(AV399="",9.9E+99,AV399),FLOOR(AN399/U399,1)))</f>
        <v/>
      </c>
      <c r="AP399" s="49">
        <f>IF(AO399="","",AO399*W399)</f>
        <v/>
      </c>
      <c r="AQ399" s="47">
        <f>IF(OR(AJ399="",U399=0),"",MIN(IF(AV399="",9.9E+99,AV399),AN399/U399))</f>
        <v/>
      </c>
      <c r="AR399" s="49">
        <f>IF(AQ399="","",AQ399*W399)</f>
        <v/>
      </c>
      <c r="AS399" s="51" t="n"/>
      <c r="AT399" s="52" t="n"/>
      <c r="AU399" s="52" t="n"/>
      <c r="AV399" s="53" t="n"/>
      <c r="AW399" s="54">
        <f>IF(((V399*pax_cap*load_thin*ROUND(N399*O399*revleg_thin,0))-(((battery/range_nm)*G399*ROUND(N399*O399*revleg_thin,0)*VLOOKUP(B399,country_opex,3,FALSE))+Y399+Z399+AA399+AB399+AC399))&lt;=0,"",VLOOKUP(B399,country_opex,7,FALSE)/((V399*pax_cap*load_thin*ROUND(N399*O399*revleg_thin,0))-(((battery/range_nm)*G399*ROUND(N399*O399*revleg_thin,0)*VLOOKUP(B399,country_opex,3,FALSE))+Y399+Z399+AA399+AB399+AC399)))</f>
        <v/>
      </c>
      <c r="AX399" s="54">
        <f>IF(((V399*pax_cap*load_mid*ROUND(N399*O399*revleg_mid,0))-(((battery/range_nm)*G399*ROUND(N399*O399*revleg_mid,0)*VLOOKUP(B399,country_opex,3,FALSE))+Y399+Z399+AA399+AB399+AC399))&lt;=0,"",VLOOKUP(B399,country_opex,7,FALSE)/((V399*pax_cap*load_mid*ROUND(N399*O399*revleg_mid,0))-(((battery/range_nm)*G399*ROUND(N399*O399*revleg_mid,0)*VLOOKUP(B399,country_opex,3,FALSE))+Y399+Z399+AA399+AB399+AC399)))</f>
        <v/>
      </c>
      <c r="AY399" s="54">
        <f>IF(((V399*pax_cap*load_full*ROUND(N399*O399*revleg_full,0))-(((battery/range_nm)*G399*ROUND(N399*O399*revleg_full,0)*VLOOKUP(B399,country_opex,3,FALSE))+Y399+Z399+AA399+AB399+AC399))&lt;=0,"",VLOOKUP(B399,country_opex,7,FALSE)/((V399*pax_cap*load_full*ROUND(N399*O399*revleg_full,0))-(((battery/range_nm)*G399*ROUND(N399*O399*revleg_full,0)*VLOOKUP(B399,country_opex,3,FALSE))+Y399+Z399+AA399+AB399+AC399)))</f>
        <v/>
      </c>
      <c r="AZ399" s="40" t="inlineStr">
        <is>
          <t>Anchored at conservative mid of the SG harbor dinner-cruise band S$80-150/seat; Royal Albatross sunset/dinner sails actually list S$150-235/seat (Klook activity 4048 / tallship.com.sg, 2025) - premium recorded in ladder, NOT used as headline. Navier 8-pax product would be drinks/canape-class, not galley-dinner-class, hence mid-band anchor.</t>
        </is>
      </c>
      <c r="BA399" s="40" t="n"/>
    </row>
    <row r="400">
      <c r="A400" s="38" t="inlineStr">
        <is>
          <t>Singapore</t>
        </is>
      </c>
      <c r="B400" s="38" t="inlineStr">
        <is>
          <t>Singapore</t>
        </is>
      </c>
      <c r="C400" s="39" t="inlineStr">
        <is>
          <t>Jurong / West Coast (West Coast Pier catchment) → HarbourFront / Marina Bay</t>
        </is>
      </c>
      <c r="D400" s="38" t="inlineStr">
        <is>
          <t>grab</t>
        </is>
      </c>
      <c r="E400" s="40" t="inlineStr">
        <is>
          <t>singapore</t>
        </is>
      </c>
      <c r="F400" s="41" t="n">
        <v>1</v>
      </c>
      <c r="G400" s="42" t="n">
        <v>9.5</v>
      </c>
      <c r="H400" s="35" t="n">
        <v>10</v>
      </c>
      <c r="I400" s="43" t="inlineStr">
        <is>
          <t>T3</t>
        </is>
      </c>
      <c r="J400" s="43" t="inlineStr">
        <is>
          <t>low</t>
        </is>
      </c>
      <c r="K400" s="29" t="n">
        <v>1</v>
      </c>
      <c r="L400" s="44">
        <f>60*G400/cruise_kt</f>
        <v/>
      </c>
      <c r="M400" s="44">
        <f>L400+turn_min+dwell_min</f>
        <v/>
      </c>
      <c r="N400" s="45">
        <f>MIN(16,FLOOR(60*service_hr/M400,1))</f>
        <v/>
      </c>
      <c r="O400" s="45">
        <f>ROUND(365*mech_uptime*K400,0)</f>
        <v/>
      </c>
      <c r="P400" s="46">
        <f>mech_uptime</f>
        <v/>
      </c>
      <c r="Q400" s="46">
        <f>revleg_sel</f>
        <v/>
      </c>
      <c r="R400" s="45">
        <f>ROUND(N400*O400*revleg_sel,0)</f>
        <v/>
      </c>
      <c r="S400" s="47">
        <f>load_sel</f>
        <v/>
      </c>
      <c r="T400" s="47">
        <f>pax_cap*S400</f>
        <v/>
      </c>
      <c r="U400" s="45">
        <f>T400*R400</f>
        <v/>
      </c>
      <c r="V400" s="48">
        <f>H400*discount</f>
        <v/>
      </c>
      <c r="W400" s="49">
        <f>V400*U400</f>
        <v/>
      </c>
      <c r="X400" s="49">
        <f>(battery/range_nm)*G400*R400*VLOOKUP(B400,country_opex,3,FALSE)</f>
        <v/>
      </c>
      <c r="Y400" s="49">
        <f>VLOOKUP(B400,country_opex,2,FALSE)*crew_factor</f>
        <v/>
      </c>
      <c r="Z400" s="49">
        <f>VLOOKUP(B400,country_opex,5,FALSE)</f>
        <v/>
      </c>
      <c r="AA400" s="49">
        <f>maint</f>
        <v/>
      </c>
      <c r="AB400" s="49">
        <f>VLOOKUP(B400,country_opex,7,FALSE)*ins_pct</f>
        <v/>
      </c>
      <c r="AC400" s="49">
        <f>charge_berth</f>
        <v/>
      </c>
      <c r="AD400" s="49">
        <f>X400+Y400+Z400+AA400+AB400+AC400</f>
        <v/>
      </c>
      <c r="AE400" s="49">
        <f>VLOOKUP(B400,country_opex,7,FALSE)/dep_years</f>
        <v/>
      </c>
      <c r="AF400" s="49">
        <f>W400-AD400</f>
        <v/>
      </c>
      <c r="AG400" s="46">
        <f>IF(W400=0,"",AF400/W400)</f>
        <v/>
      </c>
      <c r="AH400" s="47">
        <f>IF(AF400&lt;=0,"",VLOOKUP(B400,country_opex,7,FALSE)/AF400)</f>
        <v/>
      </c>
      <c r="AI400" s="44">
        <f>((G400*R400/diesel_nmpg)*diesel_co2pg-(battery/range_nm)*G400*R400*VLOOKUP(B400,country_opex,4,FALSE))/1000</f>
        <v/>
      </c>
      <c r="AJ400" s="42" t="n">
        <v>20557</v>
      </c>
      <c r="AK400" s="43" t="n"/>
      <c r="AL400" s="43" t="n"/>
      <c r="AM400" s="50" t="n">
        <v>1</v>
      </c>
      <c r="AN400" s="45">
        <f>IF(AJ400="","",AJ400*AM400)</f>
        <v/>
      </c>
      <c r="AO400" s="45">
        <f>IF(OR(AJ400="",U400=0),"",MIN(IF(AV400="",9.9E+99,AV400),FLOOR(AN400/U400,1)))</f>
        <v/>
      </c>
      <c r="AP400" s="49">
        <f>IF(AO400="","",AO400*W400)</f>
        <v/>
      </c>
      <c r="AQ400" s="47">
        <f>IF(OR(AJ400="",U400=0),"",MIN(IF(AV400="",9.9E+99,AV400),AN400/U400))</f>
        <v/>
      </c>
      <c r="AR400" s="49">
        <f>IF(AQ400="","",AQ400*W400)</f>
        <v/>
      </c>
      <c r="AS400" s="51" t="n"/>
      <c r="AT400" s="52" t="n"/>
      <c r="AU400" s="52" t="inlineStr">
        <is>
          <t>modal_shift_greenfield</t>
        </is>
      </c>
      <c r="AV400" s="53" t="n"/>
      <c r="AW400" s="54">
        <f>IF(((V400*pax_cap*load_thin*ROUND(N400*O400*revleg_thin,0))-(((battery/range_nm)*G400*ROUND(N400*O400*revleg_thin,0)*VLOOKUP(B400,country_opex,3,FALSE))+Y400+Z400+AA400+AB400+AC400))&lt;=0,"",VLOOKUP(B400,country_opex,7,FALSE)/((V400*pax_cap*load_thin*ROUND(N400*O400*revleg_thin,0))-(((battery/range_nm)*G400*ROUND(N400*O400*revleg_thin,0)*VLOOKUP(B400,country_opex,3,FALSE))+Y400+Z400+AA400+AB400+AC400)))</f>
        <v/>
      </c>
      <c r="AX400" s="54">
        <f>IF(((V400*pax_cap*load_mid*ROUND(N400*O400*revleg_mid,0))-(((battery/range_nm)*G400*ROUND(N400*O400*revleg_mid,0)*VLOOKUP(B400,country_opex,3,FALSE))+Y400+Z400+AA400+AB400+AC400))&lt;=0,"",VLOOKUP(B400,country_opex,7,FALSE)/((V400*pax_cap*load_mid*ROUND(N400*O400*revleg_mid,0))-(((battery/range_nm)*G400*ROUND(N400*O400*revleg_mid,0)*VLOOKUP(B400,country_opex,3,FALSE))+Y400+Z400+AA400+AB400+AC400)))</f>
        <v/>
      </c>
      <c r="AY400" s="54">
        <f>IF(((V400*pax_cap*load_full*ROUND(N400*O400*revleg_full,0))-(((battery/range_nm)*G400*ROUND(N400*O400*revleg_full,0)*VLOOKUP(B400,country_opex,3,FALSE))+Y400+Z400+AA400+AB400+AC400))&lt;=0,"",VLOOKUP(B400,country_opex,7,FALSE)/((V400*pax_cap*load_full*ROUND(N400*O400*revleg_full,0))-(((battery/range_nm)*G400*ROUND(N400*O400*revleg_full,0)*VLOOKUP(B400,country_opex,3,FALSE))+Y400+Z400+AA400+AB400+AC400)))</f>
        <v/>
      </c>
      <c r="AZ400" s="40" t="inlineStr">
        <is>
          <t>Greenfield commute (9.5nm). Anchored upper-mid LB-97 commuter band S$8-15/seat; Grab Jurong-&gt;CBD ~S$22-32 peak; MRT EW-line S$2.10. Per-seat premium commute ~half solo ride-hail.</t>
        </is>
      </c>
      <c r="BA400" s="40" t="n"/>
    </row>
    <row r="401">
      <c r="A401" s="38" t="inlineStr">
        <is>
          <t>Cross-Border</t>
        </is>
      </c>
      <c r="B401" s="38" t="inlineStr">
        <is>
          <t>Singapore</t>
        </is>
      </c>
      <c r="C401" s="39" t="inlineStr">
        <is>
          <t>Singapore → Batam (Harbour Bay / Nongsa)</t>
        </is>
      </c>
      <c r="D401" s="38" t="inlineStr">
        <is>
          <t>grab</t>
        </is>
      </c>
      <c r="E401" s="40" t="inlineStr">
        <is>
          <t>cross-border</t>
        </is>
      </c>
      <c r="F401" s="41" t="n">
        <v>1</v>
      </c>
      <c r="G401" s="42" t="n">
        <v>13</v>
      </c>
      <c r="H401" s="35" t="n">
        <v>57</v>
      </c>
      <c r="I401" s="43" t="inlineStr">
        <is>
          <t>T3</t>
        </is>
      </c>
      <c r="J401" s="43" t="inlineStr">
        <is>
          <t>med-high</t>
        </is>
      </c>
      <c r="K401" s="29" t="n">
        <v>1</v>
      </c>
      <c r="L401" s="44">
        <f>60*G401/cruise_kt</f>
        <v/>
      </c>
      <c r="M401" s="44">
        <f>L401+turn_min+dwell_min</f>
        <v/>
      </c>
      <c r="N401" s="45">
        <f>MIN(10,FLOOR(60*service_hr/M401,1))</f>
        <v/>
      </c>
      <c r="O401" s="45">
        <f>ROUND(365*mech_uptime*K401,0)</f>
        <v/>
      </c>
      <c r="P401" s="46">
        <f>mech_uptime</f>
        <v/>
      </c>
      <c r="Q401" s="46">
        <f>revleg_sel</f>
        <v/>
      </c>
      <c r="R401" s="45">
        <f>ROUND(N401*O401*revleg_sel,0)</f>
        <v/>
      </c>
      <c r="S401" s="47">
        <f>load_sel</f>
        <v/>
      </c>
      <c r="T401" s="47">
        <f>pax_cap*S401</f>
        <v/>
      </c>
      <c r="U401" s="45">
        <f>T401*R401</f>
        <v/>
      </c>
      <c r="V401" s="48">
        <f>H401*discount</f>
        <v/>
      </c>
      <c r="W401" s="49">
        <f>V401*U401</f>
        <v/>
      </c>
      <c r="X401" s="49">
        <f>(battery/range_nm)*G401*R401*VLOOKUP(B401,country_opex,3,FALSE)</f>
        <v/>
      </c>
      <c r="Y401" s="49">
        <f>VLOOKUP(B401,country_opex,2,FALSE)*crew_factor</f>
        <v/>
      </c>
      <c r="Z401" s="49">
        <f>VLOOKUP(B401,country_opex,5,FALSE)</f>
        <v/>
      </c>
      <c r="AA401" s="49">
        <f>maint</f>
        <v/>
      </c>
      <c r="AB401" s="49">
        <f>VLOOKUP(B401,country_opex,7,FALSE)*ins_pct</f>
        <v/>
      </c>
      <c r="AC401" s="49">
        <f>charge_berth</f>
        <v/>
      </c>
      <c r="AD401" s="49">
        <f>X401+Y401+Z401+AA401+AB401+AC401</f>
        <v/>
      </c>
      <c r="AE401" s="49">
        <f>VLOOKUP(B401,country_opex,7,FALSE)/dep_years</f>
        <v/>
      </c>
      <c r="AF401" s="49">
        <f>W401-AD401</f>
        <v/>
      </c>
      <c r="AG401" s="46">
        <f>IF(W401=0,"",AF401/W401)</f>
        <v/>
      </c>
      <c r="AH401" s="47">
        <f>IF(AF401&lt;=0,"",VLOOKUP(B401,country_opex,7,FALSE)/AF401)</f>
        <v/>
      </c>
      <c r="AI401" s="44">
        <f>((G401*R401/diesel_nmpg)*diesel_co2pg-(battery/range_nm)*G401*R401*VLOOKUP(B401,country_opex,4,FALSE))/1000</f>
        <v/>
      </c>
      <c r="AJ401" s="42" t="n">
        <v>350000</v>
      </c>
      <c r="AK401" s="43" t="n"/>
      <c r="AL401" s="43" t="n"/>
      <c r="AM401" s="50" t="n">
        <v>0.25</v>
      </c>
      <c r="AN401" s="45">
        <f>IF(AJ401="","",AJ401*AM401)</f>
        <v/>
      </c>
      <c r="AO401" s="45">
        <f>IF(OR(AJ401="",U401=0),"",MIN(IF(AV401="",9.9E+99,AV401),FLOOR(AN401/U401,1)))</f>
        <v/>
      </c>
      <c r="AP401" s="49">
        <f>IF(AO401="","",AO401*W401)</f>
        <v/>
      </c>
      <c r="AQ401" s="47">
        <f>IF(OR(AJ401="",U401=0),"",MIN(IF(AV401="",9.9E+99,AV401),AN401/U401))</f>
        <v/>
      </c>
      <c r="AR401" s="49">
        <f>IF(AQ401="","",AQ401*W401)</f>
        <v/>
      </c>
      <c r="AS401" s="51" t="n"/>
      <c r="AT401" s="52" t="n"/>
      <c r="AU401" s="52" t="n"/>
      <c r="AV401" s="53" t="n"/>
      <c r="AW401" s="54">
        <f>IF(((V401*pax_cap*load_thin*ROUND(N401*O401*revleg_thin,0))-(((battery/range_nm)*G401*ROUND(N401*O401*revleg_thin,0)*VLOOKUP(B401,country_opex,3,FALSE))+Y401+Z401+AA401+AB401+AC401))&lt;=0,"",VLOOKUP(B401,country_opex,7,FALSE)/((V401*pax_cap*load_thin*ROUND(N401*O401*revleg_thin,0))-(((battery/range_nm)*G401*ROUND(N401*O401*revleg_thin,0)*VLOOKUP(B401,country_opex,3,FALSE))+Y401+Z401+AA401+AB401+AC401)))</f>
        <v/>
      </c>
      <c r="AX401" s="54">
        <f>IF(((V401*pax_cap*load_mid*ROUND(N401*O401*revleg_mid,0))-(((battery/range_nm)*G401*ROUND(N401*O401*revleg_mid,0)*VLOOKUP(B401,country_opex,3,FALSE))+Y401+Z401+AA401+AB401+AC401))&lt;=0,"",VLOOKUP(B401,country_opex,7,FALSE)/((V401*pax_cap*load_mid*ROUND(N401*O401*revleg_mid,0))-(((battery/range_nm)*G401*ROUND(N401*O401*revleg_mid,0)*VLOOKUP(B401,country_opex,3,FALSE))+Y401+Z401+AA401+AB401+AC401)))</f>
        <v/>
      </c>
      <c r="AY401" s="54">
        <f>IF(((V401*pax_cap*load_full*ROUND(N401*O401*revleg_full,0))-(((battery/range_nm)*G401*ROUND(N401*O401*revleg_full,0)*VLOOKUP(B401,country_opex,3,FALSE))+Y401+Z401+AA401+AB401+AC401))&lt;=0,"",VLOOKUP(B401,country_opex,7,FALSE)/((V401*pax_cap*load_full*ROUND(N401*O401*revleg_full,0))-(((battery/range_nm)*G401*ROUND(N401*O401*revleg_full,0)*VLOOKUP(B401,country_opex,3,FALSE))+Y401+Z401+AA401+AB401+AC401)))</f>
        <v/>
      </c>
      <c r="AZ401" s="40" t="inlineStr">
        <is>
          <t>Fare ladder Singapore↔Batam: budget SGD28 (Sindo, HarbourFront→Batam Centre); standard SGD40-43 (BatamFast/Majestic, Batam Centre/Harbour Bay); PREMIUM resort-transfer SGD~73 (BatamFast Tanah Merah→Nongsapura serving Nongsa premium resort zone: Montigo, Turi Beach — real bookings Lemon8 ~SGD73, Rome2Rio Rp430k-650k, DirectFerries from SGD33-35).</t>
        </is>
      </c>
      <c r="BA401" s="40" t="n"/>
    </row>
    <row r="402">
      <c r="A402" s="38" t="inlineStr">
        <is>
          <t>Singapore</t>
        </is>
      </c>
      <c r="B402" s="38" t="inlineStr">
        <is>
          <t>Singapore</t>
        </is>
      </c>
      <c r="C402" s="39" t="inlineStr">
        <is>
          <t>Marina Bay → Changi Point / Pulau Ubin</t>
        </is>
      </c>
      <c r="D402" s="38" t="inlineStr">
        <is>
          <t>grab</t>
        </is>
      </c>
      <c r="E402" s="40" t="inlineStr">
        <is>
          <t>singapore</t>
        </is>
      </c>
      <c r="F402" s="41" t="n">
        <v>1</v>
      </c>
      <c r="G402" s="42" t="n">
        <v>14.2</v>
      </c>
      <c r="H402" s="35" t="n">
        <v>28</v>
      </c>
      <c r="I402" s="43" t="inlineStr">
        <is>
          <t>T5</t>
        </is>
      </c>
      <c r="J402" s="43" t="inlineStr">
        <is>
          <t>low</t>
        </is>
      </c>
      <c r="K402" s="29" t="n">
        <v>1</v>
      </c>
      <c r="L402" s="44">
        <f>60*G402/cruise_kt</f>
        <v/>
      </c>
      <c r="M402" s="44">
        <f>L402+turn_min+dwell_min</f>
        <v/>
      </c>
      <c r="N402" s="45">
        <f>MIN(10,FLOOR(60*service_hr/M402,1))</f>
        <v/>
      </c>
      <c r="O402" s="45">
        <f>ROUND(365*mech_uptime*K402,0)</f>
        <v/>
      </c>
      <c r="P402" s="46">
        <f>mech_uptime</f>
        <v/>
      </c>
      <c r="Q402" s="46">
        <f>revleg_sel</f>
        <v/>
      </c>
      <c r="R402" s="45">
        <f>ROUND(N402*O402*revleg_sel,0)</f>
        <v/>
      </c>
      <c r="S402" s="47">
        <f>load_sel</f>
        <v/>
      </c>
      <c r="T402" s="47">
        <f>pax_cap*S402</f>
        <v/>
      </c>
      <c r="U402" s="45">
        <f>T402*R402</f>
        <v/>
      </c>
      <c r="V402" s="48">
        <f>H402*discount</f>
        <v/>
      </c>
      <c r="W402" s="49">
        <f>V402*U402</f>
        <v/>
      </c>
      <c r="X402" s="49">
        <f>(battery/range_nm)*G402*R402*VLOOKUP(B402,country_opex,3,FALSE)</f>
        <v/>
      </c>
      <c r="Y402" s="49">
        <f>VLOOKUP(B402,country_opex,2,FALSE)*crew_factor</f>
        <v/>
      </c>
      <c r="Z402" s="49">
        <f>VLOOKUP(B402,country_opex,5,FALSE)</f>
        <v/>
      </c>
      <c r="AA402" s="49">
        <f>maint</f>
        <v/>
      </c>
      <c r="AB402" s="49">
        <f>VLOOKUP(B402,country_opex,7,FALSE)*ins_pct</f>
        <v/>
      </c>
      <c r="AC402" s="49">
        <f>charge_berth</f>
        <v/>
      </c>
      <c r="AD402" s="49">
        <f>X402+Y402+Z402+AA402+AB402+AC402</f>
        <v/>
      </c>
      <c r="AE402" s="49">
        <f>VLOOKUP(B402,country_opex,7,FALSE)/dep_years</f>
        <v/>
      </c>
      <c r="AF402" s="49">
        <f>W402-AD402</f>
        <v/>
      </c>
      <c r="AG402" s="46">
        <f>IF(W402=0,"",AF402/W402)</f>
        <v/>
      </c>
      <c r="AH402" s="47">
        <f>IF(AF402&lt;=0,"",VLOOKUP(B402,country_opex,7,FALSE)/AF402)</f>
        <v/>
      </c>
      <c r="AI402" s="44">
        <f>((G402*R402/diesel_nmpg)*diesel_co2pg-(battery/range_nm)*G402*R402*VLOOKUP(B402,country_opex,4,FALSE))/1000</f>
        <v/>
      </c>
      <c r="AJ402" s="42" t="n">
        <v>30000</v>
      </c>
      <c r="AK402" s="43" t="n"/>
      <c r="AL402" s="43" t="n"/>
      <c r="AM402" s="50" t="n">
        <v>0.25</v>
      </c>
      <c r="AN402" s="45">
        <f>IF(AJ402="","",AJ402*AM402)</f>
        <v/>
      </c>
      <c r="AO402" s="45">
        <f>IF(OR(AJ402="",U402=0),"",MIN(IF(AV402="",9.9E+99,AV402),FLOOR(AN402/U402,1)))</f>
        <v/>
      </c>
      <c r="AP402" s="49">
        <f>IF(AO402="","",AO402*W402)</f>
        <v/>
      </c>
      <c r="AQ402" s="47">
        <f>IF(OR(AJ402="",U402=0),"",MIN(IF(AV402="",9.9E+99,AV402),AN402/U402))</f>
        <v/>
      </c>
      <c r="AR402" s="49">
        <f>IF(AQ402="","",AQ402*W402)</f>
        <v/>
      </c>
      <c r="AS402" s="51" t="n"/>
      <c r="AT402" s="52" t="n"/>
      <c r="AU402" s="52" t="n"/>
      <c r="AV402" s="53" t="n"/>
      <c r="AW402" s="54">
        <f>IF(((V402*pax_cap*load_thin*ROUND(N402*O402*revleg_thin,0))-(((battery/range_nm)*G402*ROUND(N402*O402*revleg_thin,0)*VLOOKUP(B402,country_opex,3,FALSE))+Y402+Z402+AA402+AB402+AC402))&lt;=0,"",VLOOKUP(B402,country_opex,7,FALSE)/((V402*pax_cap*load_thin*ROUND(N402*O402*revleg_thin,0))-(((battery/range_nm)*G402*ROUND(N402*O402*revleg_thin,0)*VLOOKUP(B402,country_opex,3,FALSE))+Y402+Z402+AA402+AB402+AC402)))</f>
        <v/>
      </c>
      <c r="AX402" s="54">
        <f>IF(((V402*pax_cap*load_mid*ROUND(N402*O402*revleg_mid,0))-(((battery/range_nm)*G402*ROUND(N402*O402*revleg_mid,0)*VLOOKUP(B402,country_opex,3,FALSE))+Y402+Z402+AA402+AB402+AC402))&lt;=0,"",VLOOKUP(B402,country_opex,7,FALSE)/((V402*pax_cap*load_mid*ROUND(N402*O402*revleg_mid,0))-(((battery/range_nm)*G402*ROUND(N402*O402*revleg_mid,0)*VLOOKUP(B402,country_opex,3,FALSE))+Y402+Z402+AA402+AB402+AC402)))</f>
        <v/>
      </c>
      <c r="AY402" s="54">
        <f>IF(((V402*pax_cap*load_full*ROUND(N402*O402*revleg_full,0))-(((battery/range_nm)*G402*ROUND(N402*O402*revleg_full,0)*VLOOKUP(B402,country_opex,3,FALSE))+Y402+Z402+AA402+AB402+AC402))&lt;=0,"",VLOOKUP(B402,country_opex,7,FALSE)/((V402*pax_cap*load_full*ROUND(N402*O402*revleg_full,0))-(((battery/range_nm)*G402*ROUND(N402*O402*revleg_full,0)*VLOOKUP(B402,country_opex,3,FALSE))+Y402+Z402+AA402+AB402+AC402)))</f>
        <v/>
      </c>
      <c r="AZ402" s="40" t="inlineStr">
        <is>
          <t>Only existing boat is the Changi Point-&gt;Pulau Ubin bumboat: S$4/pax one-way (NParks official, T1) — budget single-class, no premium tier. No direct Marina Bay-&gt;Changi/Ubin boat (14nm long leg is greenfield). Private Ubin boat tours/charters $91-297/group = whole-boat (overclaim). Modeled premium per-seat one-way for the 14nm Marina Bay hop ~$28 (above bumboat budget, below charter).</t>
        </is>
      </c>
      <c r="BA402" s="40" t="n"/>
    </row>
    <row r="403">
      <c r="A403" s="38" t="inlineStr">
        <is>
          <t>Singapore</t>
        </is>
      </c>
      <c r="B403" s="38" t="inlineStr">
        <is>
          <t>Singapore</t>
        </is>
      </c>
      <c r="C403" s="39" t="inlineStr">
        <is>
          <t>Changi Airport (via Changi Point pier access) → Marina Bay (CBD / hotel belt)</t>
        </is>
      </c>
      <c r="D403" s="38" t="inlineStr">
        <is>
          <t>grab</t>
        </is>
      </c>
      <c r="E403" s="40" t="inlineStr">
        <is>
          <t>singapore</t>
        </is>
      </c>
      <c r="F403" s="41" t="n">
        <v>1</v>
      </c>
      <c r="G403" s="42" t="n">
        <v>16</v>
      </c>
      <c r="H403" s="35" t="n">
        <v>30</v>
      </c>
      <c r="I403" s="43" t="inlineStr">
        <is>
          <t>T2</t>
        </is>
      </c>
      <c r="J403" s="43" t="inlineStr">
        <is>
          <t>med</t>
        </is>
      </c>
      <c r="K403" s="29" t="n">
        <v>1</v>
      </c>
      <c r="L403" s="44">
        <f>60*G403/cruise_kt</f>
        <v/>
      </c>
      <c r="M403" s="44">
        <f>L403+turn_min+dwell_min</f>
        <v/>
      </c>
      <c r="N403" s="45">
        <f>MIN(16,FLOOR(60*service_hr/M403,1))</f>
        <v/>
      </c>
      <c r="O403" s="45">
        <f>ROUND(365*mech_uptime*K403,0)</f>
        <v/>
      </c>
      <c r="P403" s="46">
        <f>mech_uptime</f>
        <v/>
      </c>
      <c r="Q403" s="46">
        <f>revleg_sel</f>
        <v/>
      </c>
      <c r="R403" s="45">
        <f>ROUND(N403*O403*revleg_sel,0)</f>
        <v/>
      </c>
      <c r="S403" s="47">
        <f>load_sel</f>
        <v/>
      </c>
      <c r="T403" s="47">
        <f>pax_cap*S403</f>
        <v/>
      </c>
      <c r="U403" s="45">
        <f>T403*R403</f>
        <v/>
      </c>
      <c r="V403" s="48">
        <f>H403*discount</f>
        <v/>
      </c>
      <c r="W403" s="49">
        <f>V403*U403</f>
        <v/>
      </c>
      <c r="X403" s="49">
        <f>(battery/range_nm)*G403*R403*VLOOKUP(B403,country_opex,3,FALSE)</f>
        <v/>
      </c>
      <c r="Y403" s="49">
        <f>VLOOKUP(B403,country_opex,2,FALSE)*crew_factor</f>
        <v/>
      </c>
      <c r="Z403" s="49">
        <f>VLOOKUP(B403,country_opex,5,FALSE)</f>
        <v/>
      </c>
      <c r="AA403" s="49">
        <f>maint</f>
        <v/>
      </c>
      <c r="AB403" s="49">
        <f>VLOOKUP(B403,country_opex,7,FALSE)*ins_pct</f>
        <v/>
      </c>
      <c r="AC403" s="49">
        <f>charge_berth</f>
        <v/>
      </c>
      <c r="AD403" s="49">
        <f>X403+Y403+Z403+AA403+AB403+AC403</f>
        <v/>
      </c>
      <c r="AE403" s="49">
        <f>VLOOKUP(B403,country_opex,7,FALSE)/dep_years</f>
        <v/>
      </c>
      <c r="AF403" s="49">
        <f>W403-AD403</f>
        <v/>
      </c>
      <c r="AG403" s="46">
        <f>IF(W403=0,"",AF403/W403)</f>
        <v/>
      </c>
      <c r="AH403" s="47">
        <f>IF(AF403&lt;=0,"",VLOOKUP(B403,country_opex,7,FALSE)/AF403)</f>
        <v/>
      </c>
      <c r="AI403" s="44">
        <f>((G403*R403/diesel_nmpg)*diesel_co2pg-(battery/range_nm)*G403*R403*VLOOKUP(B403,country_opex,4,FALSE))/1000</f>
        <v/>
      </c>
      <c r="AJ403" s="42" t="n">
        <v>18370</v>
      </c>
      <c r="AK403" s="43" t="n"/>
      <c r="AL403" s="43" t="n"/>
      <c r="AM403" s="50" t="n">
        <v>1</v>
      </c>
      <c r="AN403" s="45">
        <f>IF(AJ403="","",AJ403*AM403)</f>
        <v/>
      </c>
      <c r="AO403" s="45">
        <f>IF(OR(AJ403="",U403=0),"",MIN(IF(AV403="",9.9E+99,AV403),FLOOR(AN403/U403,1)))</f>
        <v/>
      </c>
      <c r="AP403" s="49">
        <f>IF(AO403="","",AO403*W403)</f>
        <v/>
      </c>
      <c r="AQ403" s="47">
        <f>IF(OR(AJ403="",U403=0),"",MIN(IF(AV403="",9.9E+99,AV403),AN403/U403))</f>
        <v/>
      </c>
      <c r="AR403" s="49">
        <f>IF(AQ403="","",AQ403*W403)</f>
        <v/>
      </c>
      <c r="AS403" s="51" t="n"/>
      <c r="AT403" s="52" t="n"/>
      <c r="AU403" s="52" t="inlineStr">
        <is>
          <t>modal_shift_greenfield</t>
        </is>
      </c>
      <c r="AV403" s="53" t="n"/>
      <c r="AW403" s="54">
        <f>IF(((V403*pax_cap*load_thin*ROUND(N403*O403*revleg_thin,0))-(((battery/range_nm)*G403*ROUND(N403*O403*revleg_thin,0)*VLOOKUP(B403,country_opex,3,FALSE))+Y403+Z403+AA403+AB403+AC403))&lt;=0,"",VLOOKUP(B403,country_opex,7,FALSE)/((V403*pax_cap*load_thin*ROUND(N403*O403*revleg_thin,0))-(((battery/range_nm)*G403*ROUND(N403*O403*revleg_thin,0)*VLOOKUP(B403,country_opex,3,FALSE))+Y403+Z403+AA403+AB403+AC403)))</f>
        <v/>
      </c>
      <c r="AX403" s="54">
        <f>IF(((V403*pax_cap*load_mid*ROUND(N403*O403*revleg_mid,0))-(((battery/range_nm)*G403*ROUND(N403*O403*revleg_mid,0)*VLOOKUP(B403,country_opex,3,FALSE))+Y403+Z403+AA403+AB403+AC403))&lt;=0,"",VLOOKUP(B403,country_opex,7,FALSE)/((V403*pax_cap*load_mid*ROUND(N403*O403*revleg_mid,0))-(((battery/range_nm)*G403*ROUND(N403*O403*revleg_mid,0)*VLOOKUP(B403,country_opex,3,FALSE))+Y403+Z403+AA403+AB403+AC403)))</f>
        <v/>
      </c>
      <c r="AY403" s="54">
        <f>IF(((V403*pax_cap*load_full*ROUND(N403*O403*revleg_full,0))-(((battery/range_nm)*G403*ROUND(N403*O403*revleg_full,0)*VLOOKUP(B403,country_opex,3,FALSE))+Y403+Z403+AA403+AB403+AC403))&lt;=0,"",VLOOKUP(B403,country_opex,7,FALSE)/((V403*pax_cap*load_full*ROUND(N403*O403*revleg_full,0))-(((battery/range_nm)*G403*ROUND(N403*O403*revleg_full,0)*VLOOKUP(B403,country_opex,3,FALSE))+Y403+Z403+AA403+AB403+AC403)))</f>
        <v/>
      </c>
      <c r="AZ403" s="40" t="inlineStr">
        <is>
          <t>Anchored within LB-97 premium band S$35-50/seat: metered taxi Changi-&gt;Marina Bay S$20-35 / US$19-24 fastest mode (Rome2Rio 2025; limofahr 2023 range SGD20-65 with surcharges); booked private transfer from US$29.65 for 2 pax i.e. ~S$40+/vehicle (Klook airport-transfer listings 2025). Per-seat premium water arrival at S$40 = above solo taxi, at booked-limo parity - priced for experience, not parity (corridor loses on raw time).</t>
        </is>
      </c>
      <c r="BA403" s="40" t="n"/>
    </row>
    <row r="404">
      <c r="A404" s="38" t="inlineStr">
        <is>
          <t>Singapore</t>
        </is>
      </c>
      <c r="B404" s="38" t="inlineStr">
        <is>
          <t>Singapore</t>
        </is>
      </c>
      <c r="C404" s="39" t="inlineStr">
        <is>
          <t>Punggol (Punggol Point / Marina Country Club) → Marina Bay (CBD)</t>
        </is>
      </c>
      <c r="D404" s="38" t="inlineStr">
        <is>
          <t>grab</t>
        </is>
      </c>
      <c r="E404" s="40" t="inlineStr">
        <is>
          <t>singapore</t>
        </is>
      </c>
      <c r="F404" s="41" t="n">
        <v>1</v>
      </c>
      <c r="G404" s="42" t="n">
        <v>17</v>
      </c>
      <c r="H404" s="35" t="n">
        <v>11</v>
      </c>
      <c r="I404" s="43" t="inlineStr">
        <is>
          <t>T3</t>
        </is>
      </c>
      <c r="J404" s="43" t="inlineStr">
        <is>
          <t>low</t>
        </is>
      </c>
      <c r="K404" s="29" t="n">
        <v>1</v>
      </c>
      <c r="L404" s="44">
        <f>60*G404/cruise_kt</f>
        <v/>
      </c>
      <c r="M404" s="44">
        <f>L404+turn_min+dwell_min</f>
        <v/>
      </c>
      <c r="N404" s="45">
        <f>MIN(16,FLOOR(60*service_hr/M404,1))</f>
        <v/>
      </c>
      <c r="O404" s="45">
        <f>ROUND(365*mech_uptime*K404,0)</f>
        <v/>
      </c>
      <c r="P404" s="46">
        <f>mech_uptime</f>
        <v/>
      </c>
      <c r="Q404" s="46">
        <f>revleg_sel</f>
        <v/>
      </c>
      <c r="R404" s="45">
        <f>ROUND(N404*O404*revleg_sel,0)</f>
        <v/>
      </c>
      <c r="S404" s="47">
        <f>load_sel</f>
        <v/>
      </c>
      <c r="T404" s="47">
        <f>pax_cap*S404</f>
        <v/>
      </c>
      <c r="U404" s="45">
        <f>T404*R404</f>
        <v/>
      </c>
      <c r="V404" s="48">
        <f>H404*discount</f>
        <v/>
      </c>
      <c r="W404" s="49">
        <f>V404*U404</f>
        <v/>
      </c>
      <c r="X404" s="49">
        <f>(battery/range_nm)*G404*R404*VLOOKUP(B404,country_opex,3,FALSE)</f>
        <v/>
      </c>
      <c r="Y404" s="49">
        <f>VLOOKUP(B404,country_opex,2,FALSE)*crew_factor</f>
        <v/>
      </c>
      <c r="Z404" s="49">
        <f>VLOOKUP(B404,country_opex,5,FALSE)</f>
        <v/>
      </c>
      <c r="AA404" s="49">
        <f>maint</f>
        <v/>
      </c>
      <c r="AB404" s="49">
        <f>VLOOKUP(B404,country_opex,7,FALSE)*ins_pct</f>
        <v/>
      </c>
      <c r="AC404" s="49">
        <f>charge_berth</f>
        <v/>
      </c>
      <c r="AD404" s="49">
        <f>X404+Y404+Z404+AA404+AB404+AC404</f>
        <v/>
      </c>
      <c r="AE404" s="49">
        <f>VLOOKUP(B404,country_opex,7,FALSE)/dep_years</f>
        <v/>
      </c>
      <c r="AF404" s="49">
        <f>W404-AD404</f>
        <v/>
      </c>
      <c r="AG404" s="46">
        <f>IF(W404=0,"",AF404/W404)</f>
        <v/>
      </c>
      <c r="AH404" s="47">
        <f>IF(AF404&lt;=0,"",VLOOKUP(B404,country_opex,7,FALSE)/AF404)</f>
        <v/>
      </c>
      <c r="AI404" s="44">
        <f>((G404*R404/diesel_nmpg)*diesel_co2pg-(battery/range_nm)*G404*R404*VLOOKUP(B404,country_opex,4,FALSE))/1000</f>
        <v/>
      </c>
      <c r="AJ404" s="42" t="n">
        <v>15199</v>
      </c>
      <c r="AK404" s="43" t="n"/>
      <c r="AL404" s="43" t="n"/>
      <c r="AM404" s="50" t="n">
        <v>1</v>
      </c>
      <c r="AN404" s="45">
        <f>IF(AJ404="","",AJ404*AM404)</f>
        <v/>
      </c>
      <c r="AO404" s="45">
        <f>IF(OR(AJ404="",U404=0),"",MIN(IF(AV404="",9.9E+99,AV404),FLOOR(AN404/U404,1)))</f>
        <v/>
      </c>
      <c r="AP404" s="49">
        <f>IF(AO404="","",AO404*W404)</f>
        <v/>
      </c>
      <c r="AQ404" s="47">
        <f>IF(OR(AJ404="",U404=0),"",MIN(IF(AV404="",9.9E+99,AV404),AN404/U404))</f>
        <v/>
      </c>
      <c r="AR404" s="49">
        <f>IF(AQ404="","",AQ404*W404)</f>
        <v/>
      </c>
      <c r="AS404" s="51" t="n"/>
      <c r="AT404" s="52" t="n"/>
      <c r="AU404" s="52" t="inlineStr">
        <is>
          <t>modal_shift_greenfield</t>
        </is>
      </c>
      <c r="AV404" s="53" t="n"/>
      <c r="AW404" s="54">
        <f>IF(((V404*pax_cap*load_thin*ROUND(N404*O404*revleg_thin,0))-(((battery/range_nm)*G404*ROUND(N404*O404*revleg_thin,0)*VLOOKUP(B404,country_opex,3,FALSE))+Y404+Z404+AA404+AB404+AC404))&lt;=0,"",VLOOKUP(B404,country_opex,7,FALSE)/((V404*pax_cap*load_thin*ROUND(N404*O404*revleg_thin,0))-(((battery/range_nm)*G404*ROUND(N404*O404*revleg_thin,0)*VLOOKUP(B404,country_opex,3,FALSE))+Y404+Z404+AA404+AB404+AC404)))</f>
        <v/>
      </c>
      <c r="AX404" s="54">
        <f>IF(((V404*pax_cap*load_mid*ROUND(N404*O404*revleg_mid,0))-(((battery/range_nm)*G404*ROUND(N404*O404*revleg_mid,0)*VLOOKUP(B404,country_opex,3,FALSE))+Y404+Z404+AA404+AB404+AC404))&lt;=0,"",VLOOKUP(B404,country_opex,7,FALSE)/((V404*pax_cap*load_mid*ROUND(N404*O404*revleg_mid,0))-(((battery/range_nm)*G404*ROUND(N404*O404*revleg_mid,0)*VLOOKUP(B404,country_opex,3,FALSE))+Y404+Z404+AA404+AB404+AC404)))</f>
        <v/>
      </c>
      <c r="AY404" s="54">
        <f>IF(((V404*pax_cap*load_full*ROUND(N404*O404*revleg_full,0))-(((battery/range_nm)*G404*ROUND(N404*O404*revleg_full,0)*VLOOKUP(B404,country_opex,3,FALSE))+Y404+Z404+AA404+AB404+AC404))&lt;=0,"",VLOOKUP(B404,country_opex,7,FALSE)/((V404*pax_cap*load_full*ROUND(N404*O404*revleg_full,0))-(((battery/range_nm)*G404*ROUND(N404*O404*revleg_full,0)*VLOOKUP(B404,country_opex,3,FALSE))+Y404+Z404+AA404+AB404+AC404)))</f>
        <v/>
      </c>
      <c r="AZ404" s="40" t="inlineStr">
        <is>
          <t>NO water service exists Punggol-&gt;CBD (greenfield). Anchored at top of LB-97 commuter band (S$8-15/seat): 17nm is the longest modal-shift run; Grab/taxi Punggol-&gt;CBD ~S$28-40 peak (ride-hail apps, 2025); MRT NE-line S$2.20. Per-seat premium commute positioned ~half of solo ride-hail, ~7x MRT.</t>
        </is>
      </c>
      <c r="BA404" s="40" t="n"/>
    </row>
    <row r="405">
      <c r="A405" s="38" t="inlineStr">
        <is>
          <t>Singapore</t>
        </is>
      </c>
      <c r="B405" s="38" t="inlineStr">
        <is>
          <t>Singapore</t>
        </is>
      </c>
      <c r="C405" s="39" t="inlineStr">
        <is>
          <t>Marina South Pier → Pulau Ubin Jetty</t>
        </is>
      </c>
      <c r="D405" s="38" t="inlineStr">
        <is>
          <t>grab</t>
        </is>
      </c>
      <c r="E405" s="40" t="inlineStr">
        <is>
          <t>singapore</t>
        </is>
      </c>
      <c r="F405" s="41" t="n">
        <v>1</v>
      </c>
      <c r="G405" s="42" t="n">
        <v>20.45</v>
      </c>
      <c r="H405" s="35" t="n">
        <v>18</v>
      </c>
      <c r="I405" s="43" t="inlineStr">
        <is>
          <t>T3</t>
        </is>
      </c>
      <c r="J405" s="43" t="inlineStr">
        <is>
          <t>med</t>
        </is>
      </c>
      <c r="K405" s="29" t="n">
        <v>1</v>
      </c>
      <c r="L405" s="44">
        <f>60*G405/cruise_kt</f>
        <v/>
      </c>
      <c r="M405" s="44">
        <f>L405+turn_min+dwell_min</f>
        <v/>
      </c>
      <c r="N405" s="45">
        <f>MIN(10,FLOOR(60*service_hr/M405,1))</f>
        <v/>
      </c>
      <c r="O405" s="45">
        <f>ROUND(365*mech_uptime*K405,0)</f>
        <v/>
      </c>
      <c r="P405" s="46">
        <f>mech_uptime</f>
        <v/>
      </c>
      <c r="Q405" s="46">
        <f>revleg_sel</f>
        <v/>
      </c>
      <c r="R405" s="45">
        <f>ROUND(N405*O405*revleg_sel,0)</f>
        <v/>
      </c>
      <c r="S405" s="47">
        <f>load_sel</f>
        <v/>
      </c>
      <c r="T405" s="47">
        <f>pax_cap*S405</f>
        <v/>
      </c>
      <c r="U405" s="45">
        <f>T405*R405</f>
        <v/>
      </c>
      <c r="V405" s="48">
        <f>H405*discount</f>
        <v/>
      </c>
      <c r="W405" s="49">
        <f>V405*U405</f>
        <v/>
      </c>
      <c r="X405" s="49">
        <f>(battery/range_nm)*G405*R405*VLOOKUP(B405,country_opex,3,FALSE)</f>
        <v/>
      </c>
      <c r="Y405" s="49">
        <f>VLOOKUP(B405,country_opex,2,FALSE)*crew_factor</f>
        <v/>
      </c>
      <c r="Z405" s="49">
        <f>VLOOKUP(B405,country_opex,5,FALSE)</f>
        <v/>
      </c>
      <c r="AA405" s="49">
        <f>maint</f>
        <v/>
      </c>
      <c r="AB405" s="49">
        <f>VLOOKUP(B405,country_opex,7,FALSE)*ins_pct</f>
        <v/>
      </c>
      <c r="AC405" s="49">
        <f>charge_berth</f>
        <v/>
      </c>
      <c r="AD405" s="49">
        <f>X405+Y405+Z405+AA405+AB405+AC405</f>
        <v/>
      </c>
      <c r="AE405" s="49">
        <f>VLOOKUP(B405,country_opex,7,FALSE)/dep_years</f>
        <v/>
      </c>
      <c r="AF405" s="49">
        <f>W405-AD405</f>
        <v/>
      </c>
      <c r="AG405" s="46">
        <f>IF(W405=0,"",AF405/W405)</f>
        <v/>
      </c>
      <c r="AH405" s="47">
        <f>IF(AF405&lt;=0,"",VLOOKUP(B405,country_opex,7,FALSE)/AF405)</f>
        <v/>
      </c>
      <c r="AI405" s="44">
        <f>((G405*R405/diesel_nmpg)*diesel_co2pg-(battery/range_nm)*G405*R405*VLOOKUP(B405,country_opex,4,FALSE))/1000</f>
        <v/>
      </c>
      <c r="AJ405" s="42" t="n">
        <v>105000</v>
      </c>
      <c r="AK405" s="43" t="n"/>
      <c r="AL405" s="43" t="n"/>
      <c r="AM405" s="50" t="n">
        <v>0.25</v>
      </c>
      <c r="AN405" s="45">
        <f>IF(AJ405="","",AJ405*AM405)</f>
        <v/>
      </c>
      <c r="AO405" s="45">
        <f>IF(OR(AJ405="",U405=0),"",MIN(IF(AV405="",9.9E+99,AV405),FLOOR(AN405/U405,1)))</f>
        <v/>
      </c>
      <c r="AP405" s="49">
        <f>IF(AO405="","",AO405*W405)</f>
        <v/>
      </c>
      <c r="AQ405" s="47">
        <f>IF(OR(AJ405="",U405=0),"",MIN(IF(AV405="",9.9E+99,AV405),AN405/U405))</f>
        <v/>
      </c>
      <c r="AR405" s="49">
        <f>IF(AQ405="","",AQ405*W405)</f>
        <v/>
      </c>
      <c r="AS405" s="51" t="n"/>
      <c r="AT405" s="52" t="n"/>
      <c r="AU405" s="52" t="n"/>
      <c r="AV405" s="53" t="n"/>
      <c r="AW405" s="54">
        <f>IF(((V405*pax_cap*load_thin*ROUND(N405*O405*revleg_thin,0))-(((battery/range_nm)*G405*ROUND(N405*O405*revleg_thin,0)*VLOOKUP(B405,country_opex,3,FALSE))+Y405+Z405+AA405+AB405+AC405))&lt;=0,"",VLOOKUP(B405,country_opex,7,FALSE)/((V405*pax_cap*load_thin*ROUND(N405*O405*revleg_thin,0))-(((battery/range_nm)*G405*ROUND(N405*O405*revleg_thin,0)*VLOOKUP(B405,country_opex,3,FALSE))+Y405+Z405+AA405+AB405+AC405)))</f>
        <v/>
      </c>
      <c r="AX405" s="54">
        <f>IF(((V405*pax_cap*load_mid*ROUND(N405*O405*revleg_mid,0))-(((battery/range_nm)*G405*ROUND(N405*O405*revleg_mid,0)*VLOOKUP(B405,country_opex,3,FALSE))+Y405+Z405+AA405+AB405+AC405))&lt;=0,"",VLOOKUP(B405,country_opex,7,FALSE)/((V405*pax_cap*load_mid*ROUND(N405*O405*revleg_mid,0))-(((battery/range_nm)*G405*ROUND(N405*O405*revleg_mid,0)*VLOOKUP(B405,country_opex,3,FALSE))+Y405+Z405+AA405+AB405+AC405)))</f>
        <v/>
      </c>
      <c r="AY405" s="54">
        <f>IF(((V405*pax_cap*load_full*ROUND(N405*O405*revleg_full,0))-(((battery/range_nm)*G405*ROUND(N405*O405*revleg_full,0)*VLOOKUP(B405,country_opex,3,FALSE))+Y405+Z405+AA405+AB405+AC405))&lt;=0,"",VLOOKUP(B405,country_opex,7,FALSE)/((V405*pax_cap*load_full*ROUND(N405*O405*revleg_full,0))-(((battery/range_nm)*G405*ROUND(N405*O405*revleg_full,0)*VLOOKUP(B405,country_opex,3,FALSE))+Y405+Z405+AA405+AB405+AC405)))</f>
        <v/>
      </c>
      <c r="AZ405" s="40" t="n"/>
      <c r="BA405" s="40" t="n"/>
    </row>
    <row r="406">
      <c r="A406" s="38" t="inlineStr">
        <is>
          <t>Cross-Border</t>
        </is>
      </c>
      <c r="B406" s="38" t="inlineStr">
        <is>
          <t>Singapore</t>
        </is>
      </c>
      <c r="C406" s="39" t="inlineStr">
        <is>
          <t>Singapore → Bintan (Lagoi resort zone)</t>
        </is>
      </c>
      <c r="D406" s="38" t="inlineStr">
        <is>
          <t>grab</t>
        </is>
      </c>
      <c r="E406" s="40" t="inlineStr">
        <is>
          <t>cross-border</t>
        </is>
      </c>
      <c r="F406" s="41" t="n">
        <v>1</v>
      </c>
      <c r="G406" s="42" t="n">
        <v>21.9</v>
      </c>
      <c r="H406" s="35" t="n">
        <v>69</v>
      </c>
      <c r="I406" s="43" t="inlineStr">
        <is>
          <t>T1</t>
        </is>
      </c>
      <c r="J406" s="43" t="inlineStr">
        <is>
          <t>high</t>
        </is>
      </c>
      <c r="K406" s="29" t="n">
        <v>1</v>
      </c>
      <c r="L406" s="44">
        <f>60*G406/cruise_kt</f>
        <v/>
      </c>
      <c r="M406" s="44">
        <f>L406+turn_min+dwell_min</f>
        <v/>
      </c>
      <c r="N406" s="45">
        <f>MIN(10,FLOOR(60*service_hr/M406,1))</f>
        <v/>
      </c>
      <c r="O406" s="45">
        <f>ROUND(365*mech_uptime*K406,0)</f>
        <v/>
      </c>
      <c r="P406" s="46">
        <f>mech_uptime</f>
        <v/>
      </c>
      <c r="Q406" s="46">
        <f>revleg_sel</f>
        <v/>
      </c>
      <c r="R406" s="45">
        <f>ROUND(N406*O406*revleg_sel,0)</f>
        <v/>
      </c>
      <c r="S406" s="47">
        <f>load_sel</f>
        <v/>
      </c>
      <c r="T406" s="47">
        <f>pax_cap*S406</f>
        <v/>
      </c>
      <c r="U406" s="45">
        <f>T406*R406</f>
        <v/>
      </c>
      <c r="V406" s="48">
        <f>H406*discount</f>
        <v/>
      </c>
      <c r="W406" s="49">
        <f>V406*U406</f>
        <v/>
      </c>
      <c r="X406" s="49">
        <f>(battery/range_nm)*G406*R406*VLOOKUP(B406,country_opex,3,FALSE)</f>
        <v/>
      </c>
      <c r="Y406" s="49">
        <f>VLOOKUP(B406,country_opex,2,FALSE)*crew_factor</f>
        <v/>
      </c>
      <c r="Z406" s="49">
        <f>VLOOKUP(B406,country_opex,5,FALSE)</f>
        <v/>
      </c>
      <c r="AA406" s="49">
        <f>maint</f>
        <v/>
      </c>
      <c r="AB406" s="49">
        <f>VLOOKUP(B406,country_opex,7,FALSE)*ins_pct</f>
        <v/>
      </c>
      <c r="AC406" s="49">
        <f>charge_berth</f>
        <v/>
      </c>
      <c r="AD406" s="49">
        <f>X406+Y406+Z406+AA406+AB406+AC406</f>
        <v/>
      </c>
      <c r="AE406" s="49">
        <f>VLOOKUP(B406,country_opex,7,FALSE)/dep_years</f>
        <v/>
      </c>
      <c r="AF406" s="49">
        <f>W406-AD406</f>
        <v/>
      </c>
      <c r="AG406" s="46">
        <f>IF(W406=0,"",AF406/W406)</f>
        <v/>
      </c>
      <c r="AH406" s="47">
        <f>IF(AF406&lt;=0,"",VLOOKUP(B406,country_opex,7,FALSE)/AF406)</f>
        <v/>
      </c>
      <c r="AI406" s="44">
        <f>((G406*R406/diesel_nmpg)*diesel_co2pg-(battery/range_nm)*G406*R406*VLOOKUP(B406,country_opex,4,FALSE))/1000</f>
        <v/>
      </c>
      <c r="AJ406" s="42" t="n">
        <v>150000</v>
      </c>
      <c r="AK406" s="43" t="n"/>
      <c r="AL406" s="43" t="n"/>
      <c r="AM406" s="50" t="n">
        <v>0.25</v>
      </c>
      <c r="AN406" s="45">
        <f>IF(AJ406="","",AJ406*AM406)</f>
        <v/>
      </c>
      <c r="AO406" s="45">
        <f>IF(OR(AJ406="",U406=0),"",MIN(IF(AV406="",9.9E+99,AV406),FLOOR(AN406/U406,1)))</f>
        <v/>
      </c>
      <c r="AP406" s="49">
        <f>IF(AO406="","",AO406*W406)</f>
        <v/>
      </c>
      <c r="AQ406" s="47">
        <f>IF(OR(AJ406="",U406=0),"",MIN(IF(AV406="",9.9E+99,AV406),AN406/U406))</f>
        <v/>
      </c>
      <c r="AR406" s="49">
        <f>IF(AQ406="","",AQ406*W406)</f>
        <v/>
      </c>
      <c r="AS406" s="51" t="n"/>
      <c r="AT406" s="52" t="n"/>
      <c r="AU406" s="52" t="n"/>
      <c r="AV406" s="53" t="n"/>
      <c r="AW406" s="54">
        <f>IF(((V406*pax_cap*load_thin*ROUND(N406*O406*revleg_thin,0))-(((battery/range_nm)*G406*ROUND(N406*O406*revleg_thin,0)*VLOOKUP(B406,country_opex,3,FALSE))+Y406+Z406+AA406+AB406+AC406))&lt;=0,"",VLOOKUP(B406,country_opex,7,FALSE)/((V406*pax_cap*load_thin*ROUND(N406*O406*revleg_thin,0))-(((battery/range_nm)*G406*ROUND(N406*O406*revleg_thin,0)*VLOOKUP(B406,country_opex,3,FALSE))+Y406+Z406+AA406+AB406+AC406)))</f>
        <v/>
      </c>
      <c r="AX406" s="54">
        <f>IF(((V406*pax_cap*load_mid*ROUND(N406*O406*revleg_mid,0))-(((battery/range_nm)*G406*ROUND(N406*O406*revleg_mid,0)*VLOOKUP(B406,country_opex,3,FALSE))+Y406+Z406+AA406+AB406+AC406))&lt;=0,"",VLOOKUP(B406,country_opex,7,FALSE)/((V406*pax_cap*load_mid*ROUND(N406*O406*revleg_mid,0))-(((battery/range_nm)*G406*ROUND(N406*O406*revleg_mid,0)*VLOOKUP(B406,country_opex,3,FALSE))+Y406+Z406+AA406+AB406+AC406)))</f>
        <v/>
      </c>
      <c r="AY406" s="54">
        <f>IF(((V406*pax_cap*load_full*ROUND(N406*O406*revleg_full,0))-(((battery/range_nm)*G406*ROUND(N406*O406*revleg_full,0)*VLOOKUP(B406,country_opex,3,FALSE))+Y406+Z406+AA406+AB406+AC406))&lt;=0,"",VLOOKUP(B406,country_opex,7,FALSE)/((V406*pax_cap*load_full*ROUND(N406*O406*revleg_full,0))-(((battery/range_nm)*G406*ROUND(N406*O406*revleg_full,0)*VLOOKUP(B406,country_opex,3,FALSE))+Y406+Z406+AA406+AB406+AC406)))</f>
        <v/>
      </c>
      <c r="AZ406" s="40" t="inlineStr">
        <is>
          <t>Bintan Resort Ferries (BRF, official) Tanah Merah↔Bandar Bentan Telani (Lagoi resort zone), fares eff. 12 Mar 2026: Economy one-way SGD62 adult; EMERALD CLASS one-way SGD89 adult (premium per-seat tier, incl levies). 3rd-party budget listings from SGD53. Charter = 180-270 pax whole vessel (excluded, R1).</t>
        </is>
      </c>
      <c r="BA406" s="40" t="n"/>
    </row>
    <row r="407">
      <c r="A407" s="38" t="inlineStr">
        <is>
          <t>Cross-Border</t>
        </is>
      </c>
      <c r="B407" s="38" t="inlineStr">
        <is>
          <t>Singapore</t>
        </is>
      </c>
      <c r="C407" s="39" t="inlineStr">
        <is>
          <t>Singapore → Desaru Coast / Johor</t>
        </is>
      </c>
      <c r="D407" s="38" t="inlineStr">
        <is>
          <t>grab</t>
        </is>
      </c>
      <c r="E407" s="40" t="inlineStr">
        <is>
          <t>cross-border</t>
        </is>
      </c>
      <c r="F407" s="41" t="n">
        <v>1</v>
      </c>
      <c r="G407" s="42" t="n">
        <v>29.5</v>
      </c>
      <c r="H407" s="35" t="n">
        <v>47</v>
      </c>
      <c r="I407" s="43" t="inlineStr">
        <is>
          <t>T3</t>
        </is>
      </c>
      <c r="J407" s="43" t="inlineStr">
        <is>
          <t>med</t>
        </is>
      </c>
      <c r="K407" s="29" t="n">
        <v>1</v>
      </c>
      <c r="L407" s="44">
        <f>60*G407/cruise_kt</f>
        <v/>
      </c>
      <c r="M407" s="44">
        <f>L407+turn_min+dwell_min</f>
        <v/>
      </c>
      <c r="N407" s="45">
        <f>MIN(10,FLOOR(60*service_hr/M407,1))</f>
        <v/>
      </c>
      <c r="O407" s="45">
        <f>ROUND(365*mech_uptime*K407,0)</f>
        <v/>
      </c>
      <c r="P407" s="46">
        <f>mech_uptime</f>
        <v/>
      </c>
      <c r="Q407" s="46">
        <f>revleg_sel</f>
        <v/>
      </c>
      <c r="R407" s="45">
        <f>ROUND(N407*O407*revleg_sel,0)</f>
        <v/>
      </c>
      <c r="S407" s="47">
        <f>load_sel</f>
        <v/>
      </c>
      <c r="T407" s="47">
        <f>pax_cap*S407</f>
        <v/>
      </c>
      <c r="U407" s="45">
        <f>T407*R407</f>
        <v/>
      </c>
      <c r="V407" s="48">
        <f>H407*discount</f>
        <v/>
      </c>
      <c r="W407" s="49">
        <f>V407*U407</f>
        <v/>
      </c>
      <c r="X407" s="49">
        <f>(battery/range_nm)*G407*R407*VLOOKUP(B407,country_opex,3,FALSE)</f>
        <v/>
      </c>
      <c r="Y407" s="49">
        <f>VLOOKUP(B407,country_opex,2,FALSE)*crew_factor</f>
        <v/>
      </c>
      <c r="Z407" s="49">
        <f>VLOOKUP(B407,country_opex,5,FALSE)</f>
        <v/>
      </c>
      <c r="AA407" s="49">
        <f>maint</f>
        <v/>
      </c>
      <c r="AB407" s="49">
        <f>VLOOKUP(B407,country_opex,7,FALSE)*ins_pct</f>
        <v/>
      </c>
      <c r="AC407" s="49">
        <f>charge_berth</f>
        <v/>
      </c>
      <c r="AD407" s="49">
        <f>X407+Y407+Z407+AA407+AB407+AC407</f>
        <v/>
      </c>
      <c r="AE407" s="49">
        <f>VLOOKUP(B407,country_opex,7,FALSE)/dep_years</f>
        <v/>
      </c>
      <c r="AF407" s="49">
        <f>W407-AD407</f>
        <v/>
      </c>
      <c r="AG407" s="46">
        <f>IF(W407=0,"",AF407/W407)</f>
        <v/>
      </c>
      <c r="AH407" s="47">
        <f>IF(AF407&lt;=0,"",VLOOKUP(B407,country_opex,7,FALSE)/AF407)</f>
        <v/>
      </c>
      <c r="AI407" s="44">
        <f>((G407*R407/diesel_nmpg)*diesel_co2pg-(battery/range_nm)*G407*R407*VLOOKUP(B407,country_opex,4,FALSE))/1000</f>
        <v/>
      </c>
      <c r="AJ407" s="42" t="n">
        <v>22500</v>
      </c>
      <c r="AK407" s="43" t="n"/>
      <c r="AL407" s="43" t="n"/>
      <c r="AM407" s="50" t="n">
        <v>0.25</v>
      </c>
      <c r="AN407" s="45">
        <f>IF(AJ407="","",AJ407*AM407)</f>
        <v/>
      </c>
      <c r="AO407" s="45">
        <f>IF(OR(AJ407="",U407=0),"",MIN(IF(AV407="",9.9E+99,AV407),FLOOR(AN407/U407,1)))</f>
        <v/>
      </c>
      <c r="AP407" s="49">
        <f>IF(AO407="","",AO407*W407)</f>
        <v/>
      </c>
      <c r="AQ407" s="47">
        <f>IF(OR(AJ407="",U407=0),"",MIN(IF(AV407="",9.9E+99,AV407),AN407/U407))</f>
        <v/>
      </c>
      <c r="AR407" s="49">
        <f>IF(AQ407="","",AQ407*W407)</f>
        <v/>
      </c>
      <c r="AS407" s="51" t="n"/>
      <c r="AT407" s="52" t="n"/>
      <c r="AU407" s="52" t="n"/>
      <c r="AV407" s="53" t="n"/>
      <c r="AW407" s="54">
        <f>IF(((V407*pax_cap*load_thin*ROUND(N407*O407*revleg_thin,0))-(((battery/range_nm)*G407*ROUND(N407*O407*revleg_thin,0)*VLOOKUP(B407,country_opex,3,FALSE))+Y407+Z407+AA407+AB407+AC407))&lt;=0,"",VLOOKUP(B407,country_opex,7,FALSE)/((V407*pax_cap*load_thin*ROUND(N407*O407*revleg_thin,0))-(((battery/range_nm)*G407*ROUND(N407*O407*revleg_thin,0)*VLOOKUP(B407,country_opex,3,FALSE))+Y407+Z407+AA407+AB407+AC407)))</f>
        <v/>
      </c>
      <c r="AX407" s="54">
        <f>IF(((V407*pax_cap*load_mid*ROUND(N407*O407*revleg_mid,0))-(((battery/range_nm)*G407*ROUND(N407*O407*revleg_mid,0)*VLOOKUP(B407,country_opex,3,FALSE))+Y407+Z407+AA407+AB407+AC407))&lt;=0,"",VLOOKUP(B407,country_opex,7,FALSE)/((V407*pax_cap*load_mid*ROUND(N407*O407*revleg_mid,0))-(((battery/range_nm)*G407*ROUND(N407*O407*revleg_mid,0)*VLOOKUP(B407,country_opex,3,FALSE))+Y407+Z407+AA407+AB407+AC407)))</f>
        <v/>
      </c>
      <c r="AY407" s="54">
        <f>IF(((V407*pax_cap*load_full*ROUND(N407*O407*revleg_full,0))-(((battery/range_nm)*G407*ROUND(N407*O407*revleg_full,0)*VLOOKUP(B407,country_opex,3,FALSE))+Y407+Z407+AA407+AB407+AC407))&lt;=0,"",VLOOKUP(B407,country_opex,7,FALSE)/((V407*pax_cap*load_full*ROUND(N407*O407*revleg_full,0))-(((battery/range_nm)*G407*ROUND(N407*O407*revleg_full,0)*VLOOKUP(B407,country_opex,3,FALSE))+Y407+Z407+AA407+AB407+AC407)))</f>
        <v/>
      </c>
      <c r="AZ407" s="40" t="inlineStr">
        <is>
          <t>Tanah Merah↔Desaru Coast ferry (BatamFast). Fare ladder: promo/budget SGD26 (busonlineticket); standard one-way SGD50 (Traveloka); full published one-way ~SGD58-70 (redBus 'from SGD70', instarem breakdown base SGD68). Single operator, essentially single-class fast ferry serving Desaru Coast luxury resorts (One&amp;Only, Anantara, Westin). Whole-vessel charter excluded (150-338 pax ferries).</t>
        </is>
      </c>
      <c r="BA407" s="40" t="n"/>
    </row>
    <row r="408">
      <c r="A408" s="38" t="inlineStr">
        <is>
          <t>Bolt Spain</t>
        </is>
      </c>
      <c r="B408" s="38" t="inlineStr">
        <is>
          <t>Spain</t>
        </is>
      </c>
      <c r="C408" s="39" t="inlineStr">
        <is>
          <t>L'Estartit → Illes Medes</t>
        </is>
      </c>
      <c r="D408" s="38" t="inlineStr">
        <is>
          <t>bolt</t>
        </is>
      </c>
      <c r="E408" s="40" t="inlineStr">
        <is>
          <t>bolt-spain</t>
        </is>
      </c>
      <c r="F408" s="41" t="n">
        <v>1</v>
      </c>
      <c r="G408" s="42" t="n">
        <v>0.8</v>
      </c>
      <c r="H408" s="35" t="n">
        <v>27</v>
      </c>
      <c r="I408" s="43" t="inlineStr">
        <is>
          <t>T2</t>
        </is>
      </c>
      <c r="J408" s="43" t="inlineStr">
        <is>
          <t>med</t>
        </is>
      </c>
      <c r="K408" s="29" t="n">
        <v>1</v>
      </c>
      <c r="L408" s="44">
        <f>60*G408/cruise_kt</f>
        <v/>
      </c>
      <c r="M408" s="44">
        <f>L408+turn_min+dwell_min</f>
        <v/>
      </c>
      <c r="N408" s="45">
        <f>MIN(10,FLOOR(60*service_hr/M408,1))</f>
        <v/>
      </c>
      <c r="O408" s="45">
        <f>ROUND(365*mech_uptime*K408,0)</f>
        <v/>
      </c>
      <c r="P408" s="46">
        <f>mech_uptime</f>
        <v/>
      </c>
      <c r="Q408" s="46">
        <f>revleg_sel</f>
        <v/>
      </c>
      <c r="R408" s="45">
        <f>ROUND(N408*O408*revleg_sel,0)</f>
        <v/>
      </c>
      <c r="S408" s="47">
        <f>load_sel</f>
        <v/>
      </c>
      <c r="T408" s="47">
        <f>pax_cap*S408</f>
        <v/>
      </c>
      <c r="U408" s="45">
        <f>T408*R408</f>
        <v/>
      </c>
      <c r="V408" s="48">
        <f>H408*discount</f>
        <v/>
      </c>
      <c r="W408" s="49">
        <f>V408*U408</f>
        <v/>
      </c>
      <c r="X408" s="49">
        <f>(battery/range_nm)*G408*R408*VLOOKUP(B408,country_opex,3,FALSE)</f>
        <v/>
      </c>
      <c r="Y408" s="49">
        <f>VLOOKUP(B408,country_opex,2,FALSE)*crew_factor</f>
        <v/>
      </c>
      <c r="Z408" s="49">
        <f>VLOOKUP(B408,country_opex,5,FALSE)</f>
        <v/>
      </c>
      <c r="AA408" s="49">
        <f>maint</f>
        <v/>
      </c>
      <c r="AB408" s="49">
        <f>VLOOKUP(B408,country_opex,7,FALSE)*ins_pct</f>
        <v/>
      </c>
      <c r="AC408" s="49">
        <f>charge_berth</f>
        <v/>
      </c>
      <c r="AD408" s="49">
        <f>X408+Y408+Z408+AA408+AB408+AC408</f>
        <v/>
      </c>
      <c r="AE408" s="49">
        <f>VLOOKUP(B408,country_opex,7,FALSE)/dep_years</f>
        <v/>
      </c>
      <c r="AF408" s="49">
        <f>W408-AD408</f>
        <v/>
      </c>
      <c r="AG408" s="46">
        <f>IF(W408=0,"",AF408/W408)</f>
        <v/>
      </c>
      <c r="AH408" s="47">
        <f>IF(AF408&lt;=0,"",VLOOKUP(B408,country_opex,7,FALSE)/AF408)</f>
        <v/>
      </c>
      <c r="AI408" s="44">
        <f>((G408*R408/diesel_nmpg)*diesel_co2pg-(battery/range_nm)*G408*R408*VLOOKUP(B408,country_opex,4,FALSE))/1000</f>
        <v/>
      </c>
      <c r="AJ408" s="42" t="n"/>
      <c r="AK408" s="43" t="n"/>
      <c r="AL408" s="43" t="n"/>
      <c r="AM408" s="50" t="n">
        <v>0.1</v>
      </c>
      <c r="AN408" s="45">
        <f>IF(AJ408="","",AJ408*AM408)</f>
        <v/>
      </c>
      <c r="AO408" s="45">
        <f>IF(OR(AJ408="",U408=0),"",MIN(IF(AV408="",9.9E+99,AV408),FLOOR(AN408/U408,1)))</f>
        <v/>
      </c>
      <c r="AP408" s="49">
        <f>IF(AO408="","",AO408*W408)</f>
        <v/>
      </c>
      <c r="AQ408" s="47">
        <f>IF(OR(AJ408="",U408=0),"",MIN(IF(AV408="",9.9E+99,AV408),AN408/U408))</f>
        <v/>
      </c>
      <c r="AR408" s="49">
        <f>IF(AQ408="","",AQ408*W408)</f>
        <v/>
      </c>
      <c r="AS408" s="51" t="n"/>
      <c r="AT408" s="52" t="n"/>
      <c r="AU408" s="52" t="n"/>
      <c r="AV408" s="53" t="n"/>
      <c r="AW408" s="54">
        <f>IF(((V408*pax_cap*load_thin*ROUND(N408*O408*revleg_thin,0))-(((battery/range_nm)*G408*ROUND(N408*O408*revleg_thin,0)*VLOOKUP(B408,country_opex,3,FALSE))+Y408+Z408+AA408+AB408+AC408))&lt;=0,"",VLOOKUP(B408,country_opex,7,FALSE)/((V408*pax_cap*load_thin*ROUND(N408*O408*revleg_thin,0))-(((battery/range_nm)*G408*ROUND(N408*O408*revleg_thin,0)*VLOOKUP(B408,country_opex,3,FALSE))+Y408+Z408+AA408+AB408+AC408)))</f>
        <v/>
      </c>
      <c r="AX408" s="54">
        <f>IF(((V408*pax_cap*load_mid*ROUND(N408*O408*revleg_mid,0))-(((battery/range_nm)*G408*ROUND(N408*O408*revleg_mid,0)*VLOOKUP(B408,country_opex,3,FALSE))+Y408+Z408+AA408+AB408+AC408))&lt;=0,"",VLOOKUP(B408,country_opex,7,FALSE)/((V408*pax_cap*load_mid*ROUND(N408*O408*revleg_mid,0))-(((battery/range_nm)*G408*ROUND(N408*O408*revleg_mid,0)*VLOOKUP(B408,country_opex,3,FALSE))+Y408+Z408+AA408+AB408+AC408)))</f>
        <v/>
      </c>
      <c r="AY408" s="54">
        <f>IF(((V408*pax_cap*load_full*ROUND(N408*O408*revleg_full,0))-(((battery/range_nm)*G408*ROUND(N408*O408*revleg_full,0)*VLOOKUP(B408,country_opex,3,FALSE))+Y408+Z408+AA408+AB408+AC408))&lt;=0,"",VLOOKUP(B408,country_opex,7,FALSE)/((V408*pax_cap*load_full*ROUND(N408*O408*revleg_full,0))-(((battery/range_nm)*G408*ROUND(N408*O408*revleg_full,0)*VLOOKUP(B408,country_opex,3,FALSE))+Y408+Z408+AA408+AB408+AC408)))</f>
        <v/>
      </c>
      <c r="AZ408" s="40" t="inlineStr">
        <is>
          <t>PREMIUM tier: L'Estartit-&gt;Illes Medes glass-bottom / snorkel boat ~EUR 25 (Dofi/Xaloc/local operators) x 1.08 = ~$27. RANGED (excursion products EUR 20-40 depending on snorkel/dive inclusion), flagged.</t>
        </is>
      </c>
      <c r="BA408" s="40" t="n"/>
    </row>
    <row r="409">
      <c r="A409" s="38" t="inlineStr">
        <is>
          <t>Bolt Spain</t>
        </is>
      </c>
      <c r="B409" s="38" t="inlineStr">
        <is>
          <t>Spain</t>
        </is>
      </c>
      <c r="C409" s="39" t="inlineStr">
        <is>
          <t>Marbella → Puerto Banús</t>
        </is>
      </c>
      <c r="D409" s="38" t="inlineStr">
        <is>
          <t>bolt</t>
        </is>
      </c>
      <c r="E409" s="40" t="inlineStr">
        <is>
          <t>bolt-spain</t>
        </is>
      </c>
      <c r="F409" s="41" t="n">
        <v>1</v>
      </c>
      <c r="G409" s="42" t="n">
        <v>3.5</v>
      </c>
      <c r="H409" s="35" t="n">
        <v>11.9</v>
      </c>
      <c r="I409" s="43" t="inlineStr">
        <is>
          <t>T2</t>
        </is>
      </c>
      <c r="J409" s="43" t="inlineStr">
        <is>
          <t>med</t>
        </is>
      </c>
      <c r="K409" s="29" t="n">
        <v>1</v>
      </c>
      <c r="L409" s="44">
        <f>60*G409/cruise_kt</f>
        <v/>
      </c>
      <c r="M409" s="44">
        <f>L409+turn_min+dwell_min</f>
        <v/>
      </c>
      <c r="N409" s="45">
        <f>MIN(16,FLOOR(60*service_hr/M409,1))</f>
        <v/>
      </c>
      <c r="O409" s="45">
        <f>ROUND(365*mech_uptime*K409,0)</f>
        <v/>
      </c>
      <c r="P409" s="46">
        <f>mech_uptime</f>
        <v/>
      </c>
      <c r="Q409" s="46">
        <f>revleg_sel</f>
        <v/>
      </c>
      <c r="R409" s="45">
        <f>ROUND(N409*O409*revleg_sel,0)</f>
        <v/>
      </c>
      <c r="S409" s="47">
        <f>load_sel</f>
        <v/>
      </c>
      <c r="T409" s="47">
        <f>pax_cap*S409</f>
        <v/>
      </c>
      <c r="U409" s="45">
        <f>T409*R409</f>
        <v/>
      </c>
      <c r="V409" s="48">
        <f>H409*discount</f>
        <v/>
      </c>
      <c r="W409" s="49">
        <f>V409*U409</f>
        <v/>
      </c>
      <c r="X409" s="49">
        <f>(battery/range_nm)*G409*R409*VLOOKUP(B409,country_opex,3,FALSE)</f>
        <v/>
      </c>
      <c r="Y409" s="49">
        <f>VLOOKUP(B409,country_opex,2,FALSE)*crew_factor</f>
        <v/>
      </c>
      <c r="Z409" s="49">
        <f>VLOOKUP(B409,country_opex,5,FALSE)</f>
        <v/>
      </c>
      <c r="AA409" s="49">
        <f>maint</f>
        <v/>
      </c>
      <c r="AB409" s="49">
        <f>VLOOKUP(B409,country_opex,7,FALSE)*ins_pct</f>
        <v/>
      </c>
      <c r="AC409" s="49">
        <f>charge_berth</f>
        <v/>
      </c>
      <c r="AD409" s="49">
        <f>X409+Y409+Z409+AA409+AB409+AC409</f>
        <v/>
      </c>
      <c r="AE409" s="49">
        <f>VLOOKUP(B409,country_opex,7,FALSE)/dep_years</f>
        <v/>
      </c>
      <c r="AF409" s="49">
        <f>W409-AD409</f>
        <v/>
      </c>
      <c r="AG409" s="46">
        <f>IF(W409=0,"",AF409/W409)</f>
        <v/>
      </c>
      <c r="AH409" s="47">
        <f>IF(AF409&lt;=0,"",VLOOKUP(B409,country_opex,7,FALSE)/AF409)</f>
        <v/>
      </c>
      <c r="AI409" s="44">
        <f>((G409*R409/diesel_nmpg)*diesel_co2pg-(battery/range_nm)*G409*R409*VLOOKUP(B409,country_opex,4,FALSE))/1000</f>
        <v/>
      </c>
      <c r="AJ409" s="42" t="n">
        <v>36000</v>
      </c>
      <c r="AK409" s="43" t="n"/>
      <c r="AL409" s="43" t="n"/>
      <c r="AM409" s="50" t="n">
        <v>0.1</v>
      </c>
      <c r="AN409" s="45">
        <f>IF(AJ409="","",AJ409*AM409)</f>
        <v/>
      </c>
      <c r="AO409" s="45">
        <f>IF(OR(AJ409="",U409=0),"",MIN(IF(AV409="",9.9E+99,AV409),FLOOR(AN409/U409,1)))</f>
        <v/>
      </c>
      <c r="AP409" s="49">
        <f>IF(AO409="","",AO409*W409)</f>
        <v/>
      </c>
      <c r="AQ409" s="47">
        <f>IF(OR(AJ409="",U409=0),"",MIN(IF(AV409="",9.9E+99,AV409),AN409/U409))</f>
        <v/>
      </c>
      <c r="AR409" s="49">
        <f>IF(AQ409="","",AQ409*W409)</f>
        <v/>
      </c>
      <c r="AS409" s="51" t="n"/>
      <c r="AT409" s="52" t="n"/>
      <c r="AU409" s="52" t="n"/>
      <c r="AV409" s="53" t="n"/>
      <c r="AW409" s="54">
        <f>IF(((V409*pax_cap*load_thin*ROUND(N409*O409*revleg_thin,0))-(((battery/range_nm)*G409*ROUND(N409*O409*revleg_thin,0)*VLOOKUP(B409,country_opex,3,FALSE))+Y409+Z409+AA409+AB409+AC409))&lt;=0,"",VLOOKUP(B409,country_opex,7,FALSE)/((V409*pax_cap*load_thin*ROUND(N409*O409*revleg_thin,0))-(((battery/range_nm)*G409*ROUND(N409*O409*revleg_thin,0)*VLOOKUP(B409,country_opex,3,FALSE))+Y409+Z409+AA409+AB409+AC409)))</f>
        <v/>
      </c>
      <c r="AX409" s="54">
        <f>IF(((V409*pax_cap*load_mid*ROUND(N409*O409*revleg_mid,0))-(((battery/range_nm)*G409*ROUND(N409*O409*revleg_mid,0)*VLOOKUP(B409,country_opex,3,FALSE))+Y409+Z409+AA409+AB409+AC409))&lt;=0,"",VLOOKUP(B409,country_opex,7,FALSE)/((V409*pax_cap*load_mid*ROUND(N409*O409*revleg_mid,0))-(((battery/range_nm)*G409*ROUND(N409*O409*revleg_mid,0)*VLOOKUP(B409,country_opex,3,FALSE))+Y409+Z409+AA409+AB409+AC409)))</f>
        <v/>
      </c>
      <c r="AY409" s="54">
        <f>IF(((V409*pax_cap*load_full*ROUND(N409*O409*revleg_full,0))-(((battery/range_nm)*G409*ROUND(N409*O409*revleg_full,0)*VLOOKUP(B409,country_opex,3,FALSE))+Y409+Z409+AA409+AB409+AC409))&lt;=0,"",VLOOKUP(B409,country_opex,7,FALSE)/((V409*pax_cap*load_full*ROUND(N409*O409*revleg_full,0))-(((battery/range_nm)*G409*ROUND(N409*O409*revleg_full,0)*VLOOKUP(B409,country_opex,3,FALSE))+Y409+Z409+AA409+AB409+AC409)))</f>
        <v/>
      </c>
      <c r="AZ409" s="40" t="inlineStr">
        <is>
          <t>PREMIUM tier: Fly Blue catamaran Marbella&lt;-&gt;Puerto Banús ~EUR 11 one-way (traveller reports EUR 11 one-way; ~30 min) x 1.08 = ~$11.9. Short hop, inexpensive premium tier.</t>
        </is>
      </c>
      <c r="BA409" s="40" t="n"/>
    </row>
    <row r="410">
      <c r="A410" s="38" t="inlineStr">
        <is>
          <t>Bolt Spain</t>
        </is>
      </c>
      <c r="B410" s="38" t="inlineStr">
        <is>
          <t>Spain</t>
        </is>
      </c>
      <c r="C410" s="39" t="inlineStr">
        <is>
          <t>Lloret de Mar → Tossa de Mar</t>
        </is>
      </c>
      <c r="D410" s="38" t="inlineStr">
        <is>
          <t>bolt</t>
        </is>
      </c>
      <c r="E410" s="40" t="inlineStr">
        <is>
          <t>bolt-spain</t>
        </is>
      </c>
      <c r="F410" s="41" t="n">
        <v>1</v>
      </c>
      <c r="G410" s="42" t="n">
        <v>4</v>
      </c>
      <c r="H410" s="35" t="n">
        <v>20</v>
      </c>
      <c r="I410" s="43" t="inlineStr">
        <is>
          <t>T2</t>
        </is>
      </c>
      <c r="J410" s="43" t="inlineStr">
        <is>
          <t>med</t>
        </is>
      </c>
      <c r="K410" s="29" t="n">
        <v>1</v>
      </c>
      <c r="L410" s="44">
        <f>60*G410/cruise_kt</f>
        <v/>
      </c>
      <c r="M410" s="44">
        <f>L410+turn_min+dwell_min</f>
        <v/>
      </c>
      <c r="N410" s="45">
        <f>MIN(16,FLOOR(60*service_hr/M410,1))</f>
        <v/>
      </c>
      <c r="O410" s="45">
        <f>ROUND(365*mech_uptime*K410,0)</f>
        <v/>
      </c>
      <c r="P410" s="46">
        <f>mech_uptime</f>
        <v/>
      </c>
      <c r="Q410" s="46">
        <f>revleg_sel</f>
        <v/>
      </c>
      <c r="R410" s="45">
        <f>ROUND(N410*O410*revleg_sel,0)</f>
        <v/>
      </c>
      <c r="S410" s="47">
        <f>load_sel</f>
        <v/>
      </c>
      <c r="T410" s="47">
        <f>pax_cap*S410</f>
        <v/>
      </c>
      <c r="U410" s="45">
        <f>T410*R410</f>
        <v/>
      </c>
      <c r="V410" s="48">
        <f>H410*discount</f>
        <v/>
      </c>
      <c r="W410" s="49">
        <f>V410*U410</f>
        <v/>
      </c>
      <c r="X410" s="49">
        <f>(battery/range_nm)*G410*R410*VLOOKUP(B410,country_opex,3,FALSE)</f>
        <v/>
      </c>
      <c r="Y410" s="49">
        <f>VLOOKUP(B410,country_opex,2,FALSE)*crew_factor</f>
        <v/>
      </c>
      <c r="Z410" s="49">
        <f>VLOOKUP(B410,country_opex,5,FALSE)</f>
        <v/>
      </c>
      <c r="AA410" s="49">
        <f>maint</f>
        <v/>
      </c>
      <c r="AB410" s="49">
        <f>VLOOKUP(B410,country_opex,7,FALSE)*ins_pct</f>
        <v/>
      </c>
      <c r="AC410" s="49">
        <f>charge_berth</f>
        <v/>
      </c>
      <c r="AD410" s="49">
        <f>X410+Y410+Z410+AA410+AB410+AC410</f>
        <v/>
      </c>
      <c r="AE410" s="49">
        <f>VLOOKUP(B410,country_opex,7,FALSE)/dep_years</f>
        <v/>
      </c>
      <c r="AF410" s="49">
        <f>W410-AD410</f>
        <v/>
      </c>
      <c r="AG410" s="46">
        <f>IF(W410=0,"",AF410/W410)</f>
        <v/>
      </c>
      <c r="AH410" s="47">
        <f>IF(AF410&lt;=0,"",VLOOKUP(B410,country_opex,7,FALSE)/AF410)</f>
        <v/>
      </c>
      <c r="AI410" s="44">
        <f>((G410*R410/diesel_nmpg)*diesel_co2pg-(battery/range_nm)*G410*R410*VLOOKUP(B410,country_opex,4,FALSE))/1000</f>
        <v/>
      </c>
      <c r="AJ410" s="42" t="n">
        <v>112000</v>
      </c>
      <c r="AK410" s="43" t="n"/>
      <c r="AL410" s="43" t="n"/>
      <c r="AM410" s="50" t="n">
        <v>0.1</v>
      </c>
      <c r="AN410" s="45">
        <f>IF(AJ410="","",AJ410*AM410)</f>
        <v/>
      </c>
      <c r="AO410" s="45">
        <f>IF(OR(AJ410="",U410=0),"",MIN(IF(AV410="",9.9E+99,AV410),FLOOR(AN410/U410,1)))</f>
        <v/>
      </c>
      <c r="AP410" s="49">
        <f>IF(AO410="","",AO410*W410)</f>
        <v/>
      </c>
      <c r="AQ410" s="47">
        <f>IF(OR(AJ410="",U410=0),"",MIN(IF(AV410="",9.9E+99,AV410),AN410/U410))</f>
        <v/>
      </c>
      <c r="AR410" s="49">
        <f>IF(AQ410="","",AQ410*W410)</f>
        <v/>
      </c>
      <c r="AS410" s="51" t="n"/>
      <c r="AT410" s="52" t="n"/>
      <c r="AU410" s="52" t="n"/>
      <c r="AV410" s="53" t="n"/>
      <c r="AW410" s="54">
        <f>IF(((V410*pax_cap*load_thin*ROUND(N410*O410*revleg_thin,0))-(((battery/range_nm)*G410*ROUND(N410*O410*revleg_thin,0)*VLOOKUP(B410,country_opex,3,FALSE))+Y410+Z410+AA410+AB410+AC410))&lt;=0,"",VLOOKUP(B410,country_opex,7,FALSE)/((V410*pax_cap*load_thin*ROUND(N410*O410*revleg_thin,0))-(((battery/range_nm)*G410*ROUND(N410*O410*revleg_thin,0)*VLOOKUP(B410,country_opex,3,FALSE))+Y410+Z410+AA410+AB410+AC410)))</f>
        <v/>
      </c>
      <c r="AX410" s="54">
        <f>IF(((V410*pax_cap*load_mid*ROUND(N410*O410*revleg_mid,0))-(((battery/range_nm)*G410*ROUND(N410*O410*revleg_mid,0)*VLOOKUP(B410,country_opex,3,FALSE))+Y410+Z410+AA410+AB410+AC410))&lt;=0,"",VLOOKUP(B410,country_opex,7,FALSE)/((V410*pax_cap*load_mid*ROUND(N410*O410*revleg_mid,0))-(((battery/range_nm)*G410*ROUND(N410*O410*revleg_mid,0)*VLOOKUP(B410,country_opex,3,FALSE))+Y410+Z410+AA410+AB410+AC410)))</f>
        <v/>
      </c>
      <c r="AY410" s="54">
        <f>IF(((V410*pax_cap*load_full*ROUND(N410*O410*revleg_full,0))-(((battery/range_nm)*G410*ROUND(N410*O410*revleg_full,0)*VLOOKUP(B410,country_opex,3,FALSE))+Y410+Z410+AA410+AB410+AC410))&lt;=0,"",VLOOKUP(B410,country_opex,7,FALSE)/((V410*pax_cap*load_full*ROUND(N410*O410*revleg_full,0))-(((battery/range_nm)*G410*ROUND(N410*O410*revleg_full,0)*VLOOKUP(B410,country_opex,3,FALSE))+Y410+Z410+AA410+AB410+AC410)))</f>
        <v/>
      </c>
      <c r="AZ410" s="40" t="inlineStr">
        <is>
          <t>PREMIUM tier proxy: Dofi Jet Boats Lloret&lt;-&gt;Tossa one-way ~EUR 18-19 (round-trip excursion product, ~EUR 30+; one-way ~half) x 1.08 = ~$20. RANGED estimate (operator advertises mainly round-trip), flagged.</t>
        </is>
      </c>
      <c r="BA410" s="40" t="n"/>
    </row>
    <row r="411">
      <c r="A411" s="38" t="inlineStr">
        <is>
          <t>Bolt Spain</t>
        </is>
      </c>
      <c r="B411" s="38" t="inlineStr">
        <is>
          <t>Spain</t>
        </is>
      </c>
      <c r="C411" s="39" t="inlineStr">
        <is>
          <t>Port de Sóller (Mallorca) → Sa Calobra / Torrent de Pareis (Mallorca)</t>
        </is>
      </c>
      <c r="D411" s="38" t="inlineStr">
        <is>
          <t>bolt</t>
        </is>
      </c>
      <c r="E411" s="40" t="inlineStr">
        <is>
          <t>bolt-spain</t>
        </is>
      </c>
      <c r="F411" s="41" t="n">
        <v>1</v>
      </c>
      <c r="G411" s="42" t="n">
        <v>9</v>
      </c>
      <c r="H411" s="35" t="n">
        <v>24.8</v>
      </c>
      <c r="I411" s="43" t="inlineStr">
        <is>
          <t>T2</t>
        </is>
      </c>
      <c r="J411" s="43" t="inlineStr">
        <is>
          <t>med</t>
        </is>
      </c>
      <c r="K411" s="29" t="n">
        <v>1</v>
      </c>
      <c r="L411" s="44">
        <f>60*G411/cruise_kt</f>
        <v/>
      </c>
      <c r="M411" s="44">
        <f>L411+turn_min+dwell_min</f>
        <v/>
      </c>
      <c r="N411" s="45">
        <f>MIN(10,FLOOR(60*service_hr/M411,1))</f>
        <v/>
      </c>
      <c r="O411" s="45">
        <f>ROUND(365*mech_uptime*K411,0)</f>
        <v/>
      </c>
      <c r="P411" s="46">
        <f>mech_uptime</f>
        <v/>
      </c>
      <c r="Q411" s="46">
        <f>revleg_sel</f>
        <v/>
      </c>
      <c r="R411" s="45">
        <f>ROUND(N411*O411*revleg_sel,0)</f>
        <v/>
      </c>
      <c r="S411" s="47">
        <f>load_sel</f>
        <v/>
      </c>
      <c r="T411" s="47">
        <f>pax_cap*S411</f>
        <v/>
      </c>
      <c r="U411" s="45">
        <f>T411*R411</f>
        <v/>
      </c>
      <c r="V411" s="48">
        <f>H411*discount</f>
        <v/>
      </c>
      <c r="W411" s="49">
        <f>V411*U411</f>
        <v/>
      </c>
      <c r="X411" s="49">
        <f>(battery/range_nm)*G411*R411*VLOOKUP(B411,country_opex,3,FALSE)</f>
        <v/>
      </c>
      <c r="Y411" s="49">
        <f>VLOOKUP(B411,country_opex,2,FALSE)*crew_factor</f>
        <v/>
      </c>
      <c r="Z411" s="49">
        <f>VLOOKUP(B411,country_opex,5,FALSE)</f>
        <v/>
      </c>
      <c r="AA411" s="49">
        <f>maint</f>
        <v/>
      </c>
      <c r="AB411" s="49">
        <f>VLOOKUP(B411,country_opex,7,FALSE)*ins_pct</f>
        <v/>
      </c>
      <c r="AC411" s="49">
        <f>charge_berth</f>
        <v/>
      </c>
      <c r="AD411" s="49">
        <f>X411+Y411+Z411+AA411+AB411+AC411</f>
        <v/>
      </c>
      <c r="AE411" s="49">
        <f>VLOOKUP(B411,country_opex,7,FALSE)/dep_years</f>
        <v/>
      </c>
      <c r="AF411" s="49">
        <f>W411-AD411</f>
        <v/>
      </c>
      <c r="AG411" s="46">
        <f>IF(W411=0,"",AF411/W411)</f>
        <v/>
      </c>
      <c r="AH411" s="47">
        <f>IF(AF411&lt;=0,"",VLOOKUP(B411,country_opex,7,FALSE)/AF411)</f>
        <v/>
      </c>
      <c r="AI411" s="44">
        <f>((G411*R411/diesel_nmpg)*diesel_co2pg-(battery/range_nm)*G411*R411*VLOOKUP(B411,country_opex,4,FALSE))/1000</f>
        <v/>
      </c>
      <c r="AJ411" s="42" t="n"/>
      <c r="AK411" s="43" t="n"/>
      <c r="AL411" s="43" t="n"/>
      <c r="AM411" s="50" t="n">
        <v>0.1</v>
      </c>
      <c r="AN411" s="45">
        <f>IF(AJ411="","",AJ411*AM411)</f>
        <v/>
      </c>
      <c r="AO411" s="45">
        <f>IF(OR(AJ411="",U411=0),"",MIN(IF(AV411="",9.9E+99,AV411),FLOOR(AN411/U411,1)))</f>
        <v/>
      </c>
      <c r="AP411" s="49">
        <f>IF(AO411="","",AO411*W411)</f>
        <v/>
      </c>
      <c r="AQ411" s="47">
        <f>IF(OR(AJ411="",U411=0),"",MIN(IF(AV411="",9.9E+99,AV411),AN411/U411))</f>
        <v/>
      </c>
      <c r="AR411" s="49">
        <f>IF(AQ411="","",AQ411*W411)</f>
        <v/>
      </c>
      <c r="AS411" s="51" t="n"/>
      <c r="AT411" s="52" t="n"/>
      <c r="AU411" s="52" t="n"/>
      <c r="AV411" s="53" t="n"/>
      <c r="AW411" s="54">
        <f>IF(((V411*pax_cap*load_thin*ROUND(N411*O411*revleg_thin,0))-(((battery/range_nm)*G411*ROUND(N411*O411*revleg_thin,0)*VLOOKUP(B411,country_opex,3,FALSE))+Y411+Z411+AA411+AB411+AC411))&lt;=0,"",VLOOKUP(B411,country_opex,7,FALSE)/((V411*pax_cap*load_thin*ROUND(N411*O411*revleg_thin,0))-(((battery/range_nm)*G411*ROUND(N411*O411*revleg_thin,0)*VLOOKUP(B411,country_opex,3,FALSE))+Y411+Z411+AA411+AB411+AC411)))</f>
        <v/>
      </c>
      <c r="AX411" s="54">
        <f>IF(((V411*pax_cap*load_mid*ROUND(N411*O411*revleg_mid,0))-(((battery/range_nm)*G411*ROUND(N411*O411*revleg_mid,0)*VLOOKUP(B411,country_opex,3,FALSE))+Y411+Z411+AA411+AB411+AC411))&lt;=0,"",VLOOKUP(B411,country_opex,7,FALSE)/((V411*pax_cap*load_mid*ROUND(N411*O411*revleg_mid,0))-(((battery/range_nm)*G411*ROUND(N411*O411*revleg_mid,0)*VLOOKUP(B411,country_opex,3,FALSE))+Y411+Z411+AA411+AB411+AC411)))</f>
        <v/>
      </c>
      <c r="AY411" s="54">
        <f>IF(((V411*pax_cap*load_full*ROUND(N411*O411*revleg_full,0))-(((battery/range_nm)*G411*ROUND(N411*O411*revleg_full,0)*VLOOKUP(B411,country_opex,3,FALSE))+Y411+Z411+AA411+AB411+AC411))&lt;=0,"",VLOOKUP(B411,country_opex,7,FALSE)/((V411*pax_cap*load_full*ROUND(N411*O411*revleg_full,0))-(((battery/range_nm)*G411*ROUND(N411*O411*revleg_full,0)*VLOOKUP(B411,country_opex,3,FALSE))+Y411+Z411+AA411+AB411+AC411)))</f>
        <v/>
      </c>
      <c r="AZ411" s="40" t="inlineStr">
        <is>
          <t>PREMIUM tier: Barcos Azules Port de Sóller-&gt;Sa Calobra adult one-way (un trayecto) EUR 23 (2025/2026 tariff) x 1.08 = ~$24.8.</t>
        </is>
      </c>
      <c r="BA411" s="40" t="n"/>
    </row>
    <row r="412">
      <c r="A412" s="38" t="inlineStr">
        <is>
          <t>Bolt Spain</t>
        </is>
      </c>
      <c r="B412" s="38" t="inlineStr">
        <is>
          <t>Spain</t>
        </is>
      </c>
      <c r="C412" s="39" t="inlineStr">
        <is>
          <t>Ibiza Town (Eivissa) → Formentera (La Savina)</t>
        </is>
      </c>
      <c r="D412" s="38" t="inlineStr">
        <is>
          <t>bolt</t>
        </is>
      </c>
      <c r="E412" s="40" t="inlineStr">
        <is>
          <t>bolt-spain</t>
        </is>
      </c>
      <c r="F412" s="41" t="n">
        <v>1</v>
      </c>
      <c r="G412" s="42" t="n">
        <v>12</v>
      </c>
      <c r="H412" s="35" t="n">
        <v>28.6</v>
      </c>
      <c r="I412" s="43" t="inlineStr">
        <is>
          <t>T2</t>
        </is>
      </c>
      <c r="J412" s="43" t="inlineStr">
        <is>
          <t>med</t>
        </is>
      </c>
      <c r="K412" s="29" t="n">
        <v>1</v>
      </c>
      <c r="L412" s="44">
        <f>60*G412/cruise_kt</f>
        <v/>
      </c>
      <c r="M412" s="44">
        <f>L412+turn_min+dwell_min</f>
        <v/>
      </c>
      <c r="N412" s="45">
        <f>MIN(10,FLOOR(60*service_hr/M412,1))</f>
        <v/>
      </c>
      <c r="O412" s="45">
        <f>ROUND(365*mech_uptime*K412,0)</f>
        <v/>
      </c>
      <c r="P412" s="46">
        <f>mech_uptime</f>
        <v/>
      </c>
      <c r="Q412" s="46">
        <f>revleg_sel</f>
        <v/>
      </c>
      <c r="R412" s="45">
        <f>ROUND(N412*O412*revleg_sel,0)</f>
        <v/>
      </c>
      <c r="S412" s="47">
        <f>load_sel</f>
        <v/>
      </c>
      <c r="T412" s="47">
        <f>pax_cap*S412</f>
        <v/>
      </c>
      <c r="U412" s="45">
        <f>T412*R412</f>
        <v/>
      </c>
      <c r="V412" s="48">
        <f>H412*discount</f>
        <v/>
      </c>
      <c r="W412" s="49">
        <f>V412*U412</f>
        <v/>
      </c>
      <c r="X412" s="49">
        <f>(battery/range_nm)*G412*R412*VLOOKUP(B412,country_opex,3,FALSE)</f>
        <v/>
      </c>
      <c r="Y412" s="49">
        <f>VLOOKUP(B412,country_opex,2,FALSE)*crew_factor</f>
        <v/>
      </c>
      <c r="Z412" s="49">
        <f>VLOOKUP(B412,country_opex,5,FALSE)</f>
        <v/>
      </c>
      <c r="AA412" s="49">
        <f>maint</f>
        <v/>
      </c>
      <c r="AB412" s="49">
        <f>VLOOKUP(B412,country_opex,7,FALSE)*ins_pct</f>
        <v/>
      </c>
      <c r="AC412" s="49">
        <f>charge_berth</f>
        <v/>
      </c>
      <c r="AD412" s="49">
        <f>X412+Y412+Z412+AA412+AB412+AC412</f>
        <v/>
      </c>
      <c r="AE412" s="49">
        <f>VLOOKUP(B412,country_opex,7,FALSE)/dep_years</f>
        <v/>
      </c>
      <c r="AF412" s="49">
        <f>W412-AD412</f>
        <v/>
      </c>
      <c r="AG412" s="46">
        <f>IF(W412=0,"",AF412/W412)</f>
        <v/>
      </c>
      <c r="AH412" s="47">
        <f>IF(AF412&lt;=0,"",VLOOKUP(B412,country_opex,7,FALSE)/AF412)</f>
        <v/>
      </c>
      <c r="AI412" s="44">
        <f>((G412*R412/diesel_nmpg)*diesel_co2pg-(battery/range_nm)*G412*R412*VLOOKUP(B412,country_opex,4,FALSE))/1000</f>
        <v/>
      </c>
      <c r="AJ412" s="42" t="n">
        <v>1190000</v>
      </c>
      <c r="AK412" s="43" t="n"/>
      <c r="AL412" s="43" t="n"/>
      <c r="AM412" s="50" t="n">
        <v>0.1</v>
      </c>
      <c r="AN412" s="45">
        <f>IF(AJ412="","",AJ412*AM412)</f>
        <v/>
      </c>
      <c r="AO412" s="45">
        <f>IF(OR(AJ412="",U412=0),"",MIN(IF(AV412="",9.9E+99,AV412),FLOOR(AN412/U412,1)))</f>
        <v/>
      </c>
      <c r="AP412" s="49">
        <f>IF(AO412="","",AO412*W412)</f>
        <v/>
      </c>
      <c r="AQ412" s="47">
        <f>IF(OR(AJ412="",U412=0),"",MIN(IF(AV412="",9.9E+99,AV412),AN412/U412))</f>
        <v/>
      </c>
      <c r="AR412" s="49">
        <f>IF(AQ412="","",AQ412*W412)</f>
        <v/>
      </c>
      <c r="AS412" s="51" t="n"/>
      <c r="AT412" s="52" t="n"/>
      <c r="AU412" s="52" t="n"/>
      <c r="AV412" s="53" t="n"/>
      <c r="AW412" s="54">
        <f>IF(((V412*pax_cap*load_thin*ROUND(N412*O412*revleg_thin,0))-(((battery/range_nm)*G412*ROUND(N412*O412*revleg_thin,0)*VLOOKUP(B412,country_opex,3,FALSE))+Y412+Z412+AA412+AB412+AC412))&lt;=0,"",VLOOKUP(B412,country_opex,7,FALSE)/((V412*pax_cap*load_thin*ROUND(N412*O412*revleg_thin,0))-(((battery/range_nm)*G412*ROUND(N412*O412*revleg_thin,0)*VLOOKUP(B412,country_opex,3,FALSE))+Y412+Z412+AA412+AB412+AC412)))</f>
        <v/>
      </c>
      <c r="AX412" s="54">
        <f>IF(((V412*pax_cap*load_mid*ROUND(N412*O412*revleg_mid,0))-(((battery/range_nm)*G412*ROUND(N412*O412*revleg_mid,0)*VLOOKUP(B412,country_opex,3,FALSE))+Y412+Z412+AA412+AB412+AC412))&lt;=0,"",VLOOKUP(B412,country_opex,7,FALSE)/((V412*pax_cap*load_mid*ROUND(N412*O412*revleg_mid,0))-(((battery/range_nm)*G412*ROUND(N412*O412*revleg_mid,0)*VLOOKUP(B412,country_opex,3,FALSE))+Y412+Z412+AA412+AB412+AC412)))</f>
        <v/>
      </c>
      <c r="AY412" s="54">
        <f>IF(((V412*pax_cap*load_full*ROUND(N412*O412*revleg_full,0))-(((battery/range_nm)*G412*ROUND(N412*O412*revleg_full,0)*VLOOKUP(B412,country_opex,3,FALSE))+Y412+Z412+AA412+AB412+AC412))&lt;=0,"",VLOOKUP(B412,country_opex,7,FALSE)/((V412*pax_cap*load_full*ROUND(N412*O412*revleg_full,0))-(((battery/range_nm)*G412*ROUND(N412*O412*revleg_full,0)*VLOOKUP(B412,country_opex,3,FALSE))+Y412+Z412+AA412+AB412+AC412)))</f>
        <v/>
      </c>
      <c r="AZ412" s="40" t="inlineStr">
        <is>
          <t>PREMIUM tier: Trasmapi/Balearia fast-ferry standard adult one-way ~EUR 26.50 (Trasmapi 'normal price 26.50 EUR one way') x 1.08 = ~$28.6 (fast-ferry tickets EUR 23-29; Balearia 'from EUR 25').</t>
        </is>
      </c>
      <c r="BA412" s="40" t="n"/>
    </row>
    <row r="413">
      <c r="A413" s="38" t="inlineStr">
        <is>
          <t>Bolt Spain</t>
        </is>
      </c>
      <c r="B413" s="38" t="inlineStr">
        <is>
          <t>Spain</t>
        </is>
      </c>
      <c r="C413" s="39" t="inlineStr">
        <is>
          <t>Puerto Banús → Estepona</t>
        </is>
      </c>
      <c r="D413" s="38" t="inlineStr">
        <is>
          <t>bolt</t>
        </is>
      </c>
      <c r="E413" s="40" t="inlineStr">
        <is>
          <t>bolt-spain</t>
        </is>
      </c>
      <c r="F413" s="41" t="n">
        <v>1</v>
      </c>
      <c r="G413" s="42" t="n">
        <v>12</v>
      </c>
      <c r="H413" s="35" t="n">
        <v>16.2</v>
      </c>
      <c r="I413" s="43" t="inlineStr">
        <is>
          <t>T2</t>
        </is>
      </c>
      <c r="J413" s="43" t="inlineStr">
        <is>
          <t>med</t>
        </is>
      </c>
      <c r="K413" s="29" t="n">
        <v>1</v>
      </c>
      <c r="L413" s="44">
        <f>60*G413/cruise_kt</f>
        <v/>
      </c>
      <c r="M413" s="44">
        <f>L413+turn_min+dwell_min</f>
        <v/>
      </c>
      <c r="N413" s="45">
        <f>MIN(16,FLOOR(60*service_hr/M413,1))</f>
        <v/>
      </c>
      <c r="O413" s="45">
        <f>ROUND(365*mech_uptime*K413,0)</f>
        <v/>
      </c>
      <c r="P413" s="46">
        <f>mech_uptime</f>
        <v/>
      </c>
      <c r="Q413" s="46">
        <f>revleg_sel</f>
        <v/>
      </c>
      <c r="R413" s="45">
        <f>ROUND(N413*O413*revleg_sel,0)</f>
        <v/>
      </c>
      <c r="S413" s="47">
        <f>load_sel</f>
        <v/>
      </c>
      <c r="T413" s="47">
        <f>pax_cap*S413</f>
        <v/>
      </c>
      <c r="U413" s="45">
        <f>T413*R413</f>
        <v/>
      </c>
      <c r="V413" s="48">
        <f>H413*discount</f>
        <v/>
      </c>
      <c r="W413" s="49">
        <f>V413*U413</f>
        <v/>
      </c>
      <c r="X413" s="49">
        <f>(battery/range_nm)*G413*R413*VLOOKUP(B413,country_opex,3,FALSE)</f>
        <v/>
      </c>
      <c r="Y413" s="49">
        <f>VLOOKUP(B413,country_opex,2,FALSE)*crew_factor</f>
        <v/>
      </c>
      <c r="Z413" s="49">
        <f>VLOOKUP(B413,country_opex,5,FALSE)</f>
        <v/>
      </c>
      <c r="AA413" s="49">
        <f>maint</f>
        <v/>
      </c>
      <c r="AB413" s="49">
        <f>VLOOKUP(B413,country_opex,7,FALSE)*ins_pct</f>
        <v/>
      </c>
      <c r="AC413" s="49">
        <f>charge_berth</f>
        <v/>
      </c>
      <c r="AD413" s="49">
        <f>X413+Y413+Z413+AA413+AB413+AC413</f>
        <v/>
      </c>
      <c r="AE413" s="49">
        <f>VLOOKUP(B413,country_opex,7,FALSE)/dep_years</f>
        <v/>
      </c>
      <c r="AF413" s="49">
        <f>W413-AD413</f>
        <v/>
      </c>
      <c r="AG413" s="46">
        <f>IF(W413=0,"",AF413/W413)</f>
        <v/>
      </c>
      <c r="AH413" s="47">
        <f>IF(AF413&lt;=0,"",VLOOKUP(B413,country_opex,7,FALSE)/AF413)</f>
        <v/>
      </c>
      <c r="AI413" s="44">
        <f>((G413*R413/diesel_nmpg)*diesel_co2pg-(battery/range_nm)*G413*R413*VLOOKUP(B413,country_opex,4,FALSE))/1000</f>
        <v/>
      </c>
      <c r="AJ413" s="42" t="n"/>
      <c r="AK413" s="43" t="n"/>
      <c r="AL413" s="43" t="n"/>
      <c r="AM413" s="50" t="n">
        <v>0.1</v>
      </c>
      <c r="AN413" s="45">
        <f>IF(AJ413="","",AJ413*AM413)</f>
        <v/>
      </c>
      <c r="AO413" s="45">
        <f>IF(OR(AJ413="",U413=0),"",MIN(IF(AV413="",9.9E+99,AV413),FLOOR(AN413/U413,1)))</f>
        <v/>
      </c>
      <c r="AP413" s="49">
        <f>IF(AO413="","",AO413*W413)</f>
        <v/>
      </c>
      <c r="AQ413" s="47">
        <f>IF(OR(AJ413="",U413=0),"",MIN(IF(AV413="",9.9E+99,AV413),AN413/U413))</f>
        <v/>
      </c>
      <c r="AR413" s="49">
        <f>IF(AQ413="","",AQ413*W413)</f>
        <v/>
      </c>
      <c r="AS413" s="51" t="n"/>
      <c r="AT413" s="52" t="n"/>
      <c r="AU413" s="52" t="n"/>
      <c r="AV413" s="53" t="n"/>
      <c r="AW413" s="54">
        <f>IF(((V413*pax_cap*load_thin*ROUND(N413*O413*revleg_thin,0))-(((battery/range_nm)*G413*ROUND(N413*O413*revleg_thin,0)*VLOOKUP(B413,country_opex,3,FALSE))+Y413+Z413+AA413+AB413+AC413))&lt;=0,"",VLOOKUP(B413,country_opex,7,FALSE)/((V413*pax_cap*load_thin*ROUND(N413*O413*revleg_thin,0))-(((battery/range_nm)*G413*ROUND(N413*O413*revleg_thin,0)*VLOOKUP(B413,country_opex,3,FALSE))+Y413+Z413+AA413+AB413+AC413)))</f>
        <v/>
      </c>
      <c r="AX413" s="54">
        <f>IF(((V413*pax_cap*load_mid*ROUND(N413*O413*revleg_mid,0))-(((battery/range_nm)*G413*ROUND(N413*O413*revleg_mid,0)*VLOOKUP(B413,country_opex,3,FALSE))+Y413+Z413+AA413+AB413+AC413))&lt;=0,"",VLOOKUP(B413,country_opex,7,FALSE)/((V413*pax_cap*load_mid*ROUND(N413*O413*revleg_mid,0))-(((battery/range_nm)*G413*ROUND(N413*O413*revleg_mid,0)*VLOOKUP(B413,country_opex,3,FALSE))+Y413+Z413+AA413+AB413+AC413)))</f>
        <v/>
      </c>
      <c r="AY413" s="54">
        <f>IF(((V413*pax_cap*load_full*ROUND(N413*O413*revleg_full,0))-(((battery/range_nm)*G413*ROUND(N413*O413*revleg_full,0)*VLOOKUP(B413,country_opex,3,FALSE))+Y413+Z413+AA413+AB413+AC413))&lt;=0,"",VLOOKUP(B413,country_opex,7,FALSE)/((V413*pax_cap*load_full*ROUND(N413*O413*revleg_full,0))-(((battery/range_nm)*G413*ROUND(N413*O413*revleg_full,0)*VLOOKUP(B413,country_opex,3,FALSE))+Y413+Z413+AA413+AB413+AC413)))</f>
        <v/>
      </c>
      <c r="AZ413" s="40" t="inlineStr">
        <is>
          <t>PREMIUM tier proxy: Costa del Sol catamaran tourist hop ~EUR 15 one-way (longer leg than Marbella-Banús) x 1.08 = ~$16.2. RANGED proxy from the Fly Blue/Costa del Sol catamaran tariff band; flagged (not an Estepona-specific year-stamped fare).</t>
        </is>
      </c>
      <c r="BA413" s="40" t="n"/>
    </row>
    <row r="414">
      <c r="A414" s="38" t="inlineStr">
        <is>
          <t>Bolt Spain</t>
        </is>
      </c>
      <c r="B414" s="38" t="inlineStr">
        <is>
          <t>Spain</t>
        </is>
      </c>
      <c r="C414" s="39" t="inlineStr">
        <is>
          <t>Tarifa → Tangier (Morocco)</t>
        </is>
      </c>
      <c r="D414" s="38" t="inlineStr">
        <is>
          <t>bolt</t>
        </is>
      </c>
      <c r="E414" s="40" t="inlineStr">
        <is>
          <t>bolt-spain</t>
        </is>
      </c>
      <c r="F414" s="41" t="n">
        <v>1</v>
      </c>
      <c r="G414" s="42" t="n">
        <v>18</v>
      </c>
      <c r="H414" s="35" t="n">
        <v>45.4</v>
      </c>
      <c r="I414" s="43" t="inlineStr">
        <is>
          <t>T2</t>
        </is>
      </c>
      <c r="J414" s="43" t="inlineStr">
        <is>
          <t>med</t>
        </is>
      </c>
      <c r="K414" s="29" t="n">
        <v>1</v>
      </c>
      <c r="L414" s="44">
        <f>60*G414/cruise_kt</f>
        <v/>
      </c>
      <c r="M414" s="44">
        <f>L414+turn_min+dwell_min</f>
        <v/>
      </c>
      <c r="N414" s="45">
        <f>MIN(10,FLOOR(60*service_hr/M414,1))</f>
        <v/>
      </c>
      <c r="O414" s="45">
        <f>ROUND(365*mech_uptime*K414,0)</f>
        <v/>
      </c>
      <c r="P414" s="46">
        <f>mech_uptime</f>
        <v/>
      </c>
      <c r="Q414" s="46">
        <f>revleg_sel</f>
        <v/>
      </c>
      <c r="R414" s="45">
        <f>ROUND(N414*O414*revleg_sel,0)</f>
        <v/>
      </c>
      <c r="S414" s="47">
        <f>load_sel</f>
        <v/>
      </c>
      <c r="T414" s="47">
        <f>pax_cap*S414</f>
        <v/>
      </c>
      <c r="U414" s="45">
        <f>T414*R414</f>
        <v/>
      </c>
      <c r="V414" s="48">
        <f>H414*discount</f>
        <v/>
      </c>
      <c r="W414" s="49">
        <f>V414*U414</f>
        <v/>
      </c>
      <c r="X414" s="49">
        <f>(battery/range_nm)*G414*R414*VLOOKUP(B414,country_opex,3,FALSE)</f>
        <v/>
      </c>
      <c r="Y414" s="49">
        <f>VLOOKUP(B414,country_opex,2,FALSE)*crew_factor</f>
        <v/>
      </c>
      <c r="Z414" s="49">
        <f>VLOOKUP(B414,country_opex,5,FALSE)</f>
        <v/>
      </c>
      <c r="AA414" s="49">
        <f>maint</f>
        <v/>
      </c>
      <c r="AB414" s="49">
        <f>VLOOKUP(B414,country_opex,7,FALSE)*ins_pct</f>
        <v/>
      </c>
      <c r="AC414" s="49">
        <f>charge_berth</f>
        <v/>
      </c>
      <c r="AD414" s="49">
        <f>X414+Y414+Z414+AA414+AB414+AC414</f>
        <v/>
      </c>
      <c r="AE414" s="49">
        <f>VLOOKUP(B414,country_opex,7,FALSE)/dep_years</f>
        <v/>
      </c>
      <c r="AF414" s="49">
        <f>W414-AD414</f>
        <v/>
      </c>
      <c r="AG414" s="46">
        <f>IF(W414=0,"",AF414/W414)</f>
        <v/>
      </c>
      <c r="AH414" s="47">
        <f>IF(AF414&lt;=0,"",VLOOKUP(B414,country_opex,7,FALSE)/AF414)</f>
        <v/>
      </c>
      <c r="AI414" s="44">
        <f>((G414*R414/diesel_nmpg)*diesel_co2pg-(battery/range_nm)*G414*R414*VLOOKUP(B414,country_opex,4,FALSE))/1000</f>
        <v/>
      </c>
      <c r="AJ414" s="42" t="n">
        <v>700000</v>
      </c>
      <c r="AK414" s="43" t="n"/>
      <c r="AL414" s="43" t="n"/>
      <c r="AM414" s="50" t="n">
        <v>0.1</v>
      </c>
      <c r="AN414" s="45">
        <f>IF(AJ414="","",AJ414*AM414)</f>
        <v/>
      </c>
      <c r="AO414" s="45">
        <f>IF(OR(AJ414="",U414=0),"",MIN(IF(AV414="",9.9E+99,AV414),FLOOR(AN414/U414,1)))</f>
        <v/>
      </c>
      <c r="AP414" s="49">
        <f>IF(AO414="","",AO414*W414)</f>
        <v/>
      </c>
      <c r="AQ414" s="47">
        <f>IF(OR(AJ414="",U414=0),"",MIN(IF(AV414="",9.9E+99,AV414),AN414/U414))</f>
        <v/>
      </c>
      <c r="AR414" s="49">
        <f>IF(AQ414="","",AQ414*W414)</f>
        <v/>
      </c>
      <c r="AS414" s="51" t="n"/>
      <c r="AT414" s="52" t="n"/>
      <c r="AU414" s="52" t="n"/>
      <c r="AV414" s="53" t="n"/>
      <c r="AW414" s="54">
        <f>IF(((V414*pax_cap*load_thin*ROUND(N414*O414*revleg_thin,0))-(((battery/range_nm)*G414*ROUND(N414*O414*revleg_thin,0)*VLOOKUP(B414,country_opex,3,FALSE))+Y414+Z414+AA414+AB414+AC414))&lt;=0,"",VLOOKUP(B414,country_opex,7,FALSE)/((V414*pax_cap*load_thin*ROUND(N414*O414*revleg_thin,0))-(((battery/range_nm)*G414*ROUND(N414*O414*revleg_thin,0)*VLOOKUP(B414,country_opex,3,FALSE))+Y414+Z414+AA414+AB414+AC414)))</f>
        <v/>
      </c>
      <c r="AX414" s="54">
        <f>IF(((V414*pax_cap*load_mid*ROUND(N414*O414*revleg_mid,0))-(((battery/range_nm)*G414*ROUND(N414*O414*revleg_mid,0)*VLOOKUP(B414,country_opex,3,FALSE))+Y414+Z414+AA414+AB414+AC414))&lt;=0,"",VLOOKUP(B414,country_opex,7,FALSE)/((V414*pax_cap*load_mid*ROUND(N414*O414*revleg_mid,0))-(((battery/range_nm)*G414*ROUND(N414*O414*revleg_mid,0)*VLOOKUP(B414,country_opex,3,FALSE))+Y414+Z414+AA414+AB414+AC414)))</f>
        <v/>
      </c>
      <c r="AY414" s="54">
        <f>IF(((V414*pax_cap*load_full*ROUND(N414*O414*revleg_full,0))-(((battery/range_nm)*G414*ROUND(N414*O414*revleg_full,0)*VLOOKUP(B414,country_opex,3,FALSE))+Y414+Z414+AA414+AB414+AC414))&lt;=0,"",VLOOKUP(B414,country_opex,7,FALSE)/((V414*pax_cap*load_full*ROUND(N414*O414*revleg_full,0))-(((battery/range_nm)*G414*ROUND(N414*O414*revleg_full,0)*VLOOKUP(B414,country_opex,3,FALSE))+Y414+Z414+AA414+AB414+AC414)))</f>
        <v/>
      </c>
      <c r="AZ414" s="40" t="inlineStr">
        <is>
          <t>PREMIUM tier: Tarifa-&gt;Tangier fast ferry one-way ~EUR 37.50-45 (Ferryhopper from ~EUR 37.50; FRS/DFDS) -&gt; ~EUR 42 x 1.08 = ~$45.4.</t>
        </is>
      </c>
      <c r="BA414" s="40" t="n"/>
    </row>
    <row r="415">
      <c r="A415" s="38" t="inlineStr">
        <is>
          <t>Bolt Spain</t>
        </is>
      </c>
      <c r="B415" s="38" t="inlineStr">
        <is>
          <t>Spain</t>
        </is>
      </c>
      <c r="C415" s="39" t="inlineStr">
        <is>
          <t>Alcúdia (Mallorca) → Ciutadella (Menorca)</t>
        </is>
      </c>
      <c r="D415" s="38" t="inlineStr">
        <is>
          <t>bolt</t>
        </is>
      </c>
      <c r="E415" s="40" t="inlineStr">
        <is>
          <t>bolt-spain</t>
        </is>
      </c>
      <c r="F415" s="41" t="n">
        <v>1</v>
      </c>
      <c r="G415" s="42" t="n">
        <v>22</v>
      </c>
      <c r="H415" s="35" t="n">
        <v>80</v>
      </c>
      <c r="I415" s="43" t="inlineStr">
        <is>
          <t>T2</t>
        </is>
      </c>
      <c r="J415" s="43" t="inlineStr">
        <is>
          <t>med</t>
        </is>
      </c>
      <c r="K415" s="29" t="n">
        <v>1</v>
      </c>
      <c r="L415" s="44">
        <f>60*G415/cruise_kt</f>
        <v/>
      </c>
      <c r="M415" s="44">
        <f>L415+turn_min+dwell_min</f>
        <v/>
      </c>
      <c r="N415" s="45">
        <f>MIN(10,FLOOR(60*service_hr/M415,1))</f>
        <v/>
      </c>
      <c r="O415" s="45">
        <f>ROUND(365*mech_uptime*K415,0)</f>
        <v/>
      </c>
      <c r="P415" s="46">
        <f>mech_uptime</f>
        <v/>
      </c>
      <c r="Q415" s="46">
        <f>revleg_sel</f>
        <v/>
      </c>
      <c r="R415" s="45">
        <f>ROUND(N415*O415*revleg_sel,0)</f>
        <v/>
      </c>
      <c r="S415" s="47">
        <f>load_sel</f>
        <v/>
      </c>
      <c r="T415" s="47">
        <f>pax_cap*S415</f>
        <v/>
      </c>
      <c r="U415" s="45">
        <f>T415*R415</f>
        <v/>
      </c>
      <c r="V415" s="48">
        <f>H415*discount</f>
        <v/>
      </c>
      <c r="W415" s="49">
        <f>V415*U415</f>
        <v/>
      </c>
      <c r="X415" s="49">
        <f>(battery/range_nm)*G415*R415*VLOOKUP(B415,country_opex,3,FALSE)</f>
        <v/>
      </c>
      <c r="Y415" s="49">
        <f>VLOOKUP(B415,country_opex,2,FALSE)*crew_factor</f>
        <v/>
      </c>
      <c r="Z415" s="49">
        <f>VLOOKUP(B415,country_opex,5,FALSE)</f>
        <v/>
      </c>
      <c r="AA415" s="49">
        <f>maint</f>
        <v/>
      </c>
      <c r="AB415" s="49">
        <f>VLOOKUP(B415,country_opex,7,FALSE)*ins_pct</f>
        <v/>
      </c>
      <c r="AC415" s="49">
        <f>charge_berth</f>
        <v/>
      </c>
      <c r="AD415" s="49">
        <f>X415+Y415+Z415+AA415+AB415+AC415</f>
        <v/>
      </c>
      <c r="AE415" s="49">
        <f>VLOOKUP(B415,country_opex,7,FALSE)/dep_years</f>
        <v/>
      </c>
      <c r="AF415" s="49">
        <f>W415-AD415</f>
        <v/>
      </c>
      <c r="AG415" s="46">
        <f>IF(W415=0,"",AF415/W415)</f>
        <v/>
      </c>
      <c r="AH415" s="47">
        <f>IF(AF415&lt;=0,"",VLOOKUP(B415,country_opex,7,FALSE)/AF415)</f>
        <v/>
      </c>
      <c r="AI415" s="44">
        <f>((G415*R415/diesel_nmpg)*diesel_co2pg-(battery/range_nm)*G415*R415*VLOOKUP(B415,country_opex,4,FALSE))/1000</f>
        <v/>
      </c>
      <c r="AJ415" s="42" t="n">
        <v>62400</v>
      </c>
      <c r="AK415" s="43" t="n"/>
      <c r="AL415" s="43" t="n"/>
      <c r="AM415" s="50" t="n">
        <v>0.1</v>
      </c>
      <c r="AN415" s="45">
        <f>IF(AJ415="","",AJ415*AM415)</f>
        <v/>
      </c>
      <c r="AO415" s="45">
        <f>IF(OR(AJ415="",U415=0),"",MIN(IF(AV415="",9.9E+99,AV415),FLOOR(AN415/U415,1)))</f>
        <v/>
      </c>
      <c r="AP415" s="49">
        <f>IF(AO415="","",AO415*W415)</f>
        <v/>
      </c>
      <c r="AQ415" s="47">
        <f>IF(OR(AJ415="",U415=0),"",MIN(IF(AV415="",9.9E+99,AV415),AN415/U415))</f>
        <v/>
      </c>
      <c r="AR415" s="49">
        <f>IF(AQ415="","",AQ415*W415)</f>
        <v/>
      </c>
      <c r="AS415" s="51" t="n"/>
      <c r="AT415" s="52" t="n"/>
      <c r="AU415" s="52" t="n"/>
      <c r="AV415" s="53" t="n"/>
      <c r="AW415" s="54">
        <f>IF(((V415*pax_cap*load_thin*ROUND(N415*O415*revleg_thin,0))-(((battery/range_nm)*G415*ROUND(N415*O415*revleg_thin,0)*VLOOKUP(B415,country_opex,3,FALSE))+Y415+Z415+AA415+AB415+AC415))&lt;=0,"",VLOOKUP(B415,country_opex,7,FALSE)/((V415*pax_cap*load_thin*ROUND(N415*O415*revleg_thin,0))-(((battery/range_nm)*G415*ROUND(N415*O415*revleg_thin,0)*VLOOKUP(B415,country_opex,3,FALSE))+Y415+Z415+AA415+AB415+AC415)))</f>
        <v/>
      </c>
      <c r="AX415" s="54">
        <f>IF(((V415*pax_cap*load_mid*ROUND(N415*O415*revleg_mid,0))-(((battery/range_nm)*G415*ROUND(N415*O415*revleg_mid,0)*VLOOKUP(B415,country_opex,3,FALSE))+Y415+Z415+AA415+AB415+AC415))&lt;=0,"",VLOOKUP(B415,country_opex,7,FALSE)/((V415*pax_cap*load_mid*ROUND(N415*O415*revleg_mid,0))-(((battery/range_nm)*G415*ROUND(N415*O415*revleg_mid,0)*VLOOKUP(B415,country_opex,3,FALSE))+Y415+Z415+AA415+AB415+AC415)))</f>
        <v/>
      </c>
      <c r="AY415" s="54">
        <f>IF(((V415*pax_cap*load_full*ROUND(N415*O415*revleg_full,0))-(((battery/range_nm)*G415*ROUND(N415*O415*revleg_full,0)*VLOOKUP(B415,country_opex,3,FALSE))+Y415+Z415+AA415+AB415+AC415))&lt;=0,"",VLOOKUP(B415,country_opex,7,FALSE)/((V415*pax_cap*load_full*ROUND(N415*O415*revleg_full,0))-(((battery/range_nm)*G415*ROUND(N415*O415*revleg_full,0)*VLOOKUP(B415,country_opex,3,FALSE))+Y415+Z415+AA415+AB415+AC415)))</f>
        <v/>
      </c>
      <c r="AZ415" s="40" t="inlineStr">
        <is>
          <t>PREMIUM tier: Balearia/Menorca Lines fast ferry Alcudia-&gt;Ciutadella standard adult one-way ~EUR 74 (Balearia avg round-trip without vehicle from EUR 148 =&gt; ~EUR 74/leg; iloveferry 'from 76 EUR one way') x 1.08 = ~$80. Short but premium-priced fast craft.</t>
        </is>
      </c>
      <c r="BA415" s="40" t="n"/>
    </row>
    <row r="416">
      <c r="A416" s="38" t="inlineStr">
        <is>
          <t>Bolt Spain</t>
        </is>
      </c>
      <c r="B416" s="38" t="inlineStr">
        <is>
          <t>Spain</t>
        </is>
      </c>
      <c r="C416" s="39" t="inlineStr">
        <is>
          <t>Dénia → Ibiza Town (Eivissa)</t>
        </is>
      </c>
      <c r="D416" s="38" t="inlineStr">
        <is>
          <t>bolt</t>
        </is>
      </c>
      <c r="E416" s="40" t="inlineStr">
        <is>
          <t>bolt-spain</t>
        </is>
      </c>
      <c r="F416" s="41" t="n">
        <v>1</v>
      </c>
      <c r="G416" s="42" t="n">
        <v>56</v>
      </c>
      <c r="H416" s="35" t="n">
        <v>54</v>
      </c>
      <c r="I416" s="43" t="inlineStr">
        <is>
          <t>T2</t>
        </is>
      </c>
      <c r="J416" s="43" t="inlineStr">
        <is>
          <t>med</t>
        </is>
      </c>
      <c r="K416" s="29" t="n">
        <v>1</v>
      </c>
      <c r="L416" s="44">
        <f>60*G416/cruise_kt</f>
        <v/>
      </c>
      <c r="M416" s="44">
        <f>L416+turn_min+dwell_min</f>
        <v/>
      </c>
      <c r="N416" s="45">
        <f>MIN(10,FLOOR(60*service_hr/M416,1))</f>
        <v/>
      </c>
      <c r="O416" s="45">
        <f>ROUND(365*mech_uptime*K416,0)</f>
        <v/>
      </c>
      <c r="P416" s="46">
        <f>mech_uptime</f>
        <v/>
      </c>
      <c r="Q416" s="46">
        <f>revleg_sel</f>
        <v/>
      </c>
      <c r="R416" s="45">
        <f>ROUND(N416*O416*revleg_sel,0)</f>
        <v/>
      </c>
      <c r="S416" s="47">
        <f>load_sel</f>
        <v/>
      </c>
      <c r="T416" s="47">
        <f>pax_cap*S416</f>
        <v/>
      </c>
      <c r="U416" s="45">
        <f>T416*R416</f>
        <v/>
      </c>
      <c r="V416" s="48">
        <f>H416*discount</f>
        <v/>
      </c>
      <c r="W416" s="49">
        <f>V416*U416</f>
        <v/>
      </c>
      <c r="X416" s="49">
        <f>(battery/range_nm)*G416*R416*VLOOKUP(B416,country_opex,3,FALSE)</f>
        <v/>
      </c>
      <c r="Y416" s="49">
        <f>VLOOKUP(B416,country_opex,2,FALSE)*crew_factor</f>
        <v/>
      </c>
      <c r="Z416" s="49">
        <f>VLOOKUP(B416,country_opex,5,FALSE)</f>
        <v/>
      </c>
      <c r="AA416" s="49">
        <f>maint</f>
        <v/>
      </c>
      <c r="AB416" s="49">
        <f>VLOOKUP(B416,country_opex,7,FALSE)*ins_pct</f>
        <v/>
      </c>
      <c r="AC416" s="49">
        <f>charge_berth</f>
        <v/>
      </c>
      <c r="AD416" s="49">
        <f>X416+Y416+Z416+AA416+AB416+AC416</f>
        <v/>
      </c>
      <c r="AE416" s="49">
        <f>VLOOKUP(B416,country_opex,7,FALSE)/dep_years</f>
        <v/>
      </c>
      <c r="AF416" s="49">
        <f>W416-AD416</f>
        <v/>
      </c>
      <c r="AG416" s="46">
        <f>IF(W416=0,"",AF416/W416)</f>
        <v/>
      </c>
      <c r="AH416" s="47">
        <f>IF(AF416&lt;=0,"",VLOOKUP(B416,country_opex,7,FALSE)/AF416)</f>
        <v/>
      </c>
      <c r="AI416" s="44">
        <f>((G416*R416/diesel_nmpg)*diesel_co2pg-(battery/range_nm)*G416*R416*VLOOKUP(B416,country_opex,4,FALSE))/1000</f>
        <v/>
      </c>
      <c r="AJ416" s="42" t="n">
        <v>49000</v>
      </c>
      <c r="AK416" s="43" t="n"/>
      <c r="AL416" s="43" t="n"/>
      <c r="AM416" s="50" t="n">
        <v>0.1</v>
      </c>
      <c r="AN416" s="45">
        <f>IF(AJ416="","",AJ416*AM416)</f>
        <v/>
      </c>
      <c r="AO416" s="45">
        <f>IF(OR(AJ416="",U416=0),"",MIN(IF(AV416="",9.9E+99,AV416),FLOOR(AN416/U416,1)))</f>
        <v/>
      </c>
      <c r="AP416" s="49">
        <f>IF(AO416="","",AO416*W416)</f>
        <v/>
      </c>
      <c r="AQ416" s="47">
        <f>IF(OR(AJ416="",U416=0),"",MIN(IF(AV416="",9.9E+99,AV416),AN416/U416))</f>
        <v/>
      </c>
      <c r="AR416" s="49">
        <f>IF(AQ416="","",AQ416*W416)</f>
        <v/>
      </c>
      <c r="AS416" s="51" t="n"/>
      <c r="AT416" s="52" t="n"/>
      <c r="AU416" s="52" t="n"/>
      <c r="AV416" s="53" t="n"/>
      <c r="AW416" s="54">
        <f>IF(((V416*pax_cap*load_thin*ROUND(N416*O416*revleg_thin,0))-(((battery/range_nm)*G416*ROUND(N416*O416*revleg_thin,0)*VLOOKUP(B416,country_opex,3,FALSE))+Y416+Z416+AA416+AB416+AC416))&lt;=0,"",VLOOKUP(B416,country_opex,7,FALSE)/((V416*pax_cap*load_thin*ROUND(N416*O416*revleg_thin,0))-(((battery/range_nm)*G416*ROUND(N416*O416*revleg_thin,0)*VLOOKUP(B416,country_opex,3,FALSE))+Y416+Z416+AA416+AB416+AC416)))</f>
        <v/>
      </c>
      <c r="AX416" s="54">
        <f>IF(((V416*pax_cap*load_mid*ROUND(N416*O416*revleg_mid,0))-(((battery/range_nm)*G416*ROUND(N416*O416*revleg_mid,0)*VLOOKUP(B416,country_opex,3,FALSE))+Y416+Z416+AA416+AB416+AC416))&lt;=0,"",VLOOKUP(B416,country_opex,7,FALSE)/((V416*pax_cap*load_mid*ROUND(N416*O416*revleg_mid,0))-(((battery/range_nm)*G416*ROUND(N416*O416*revleg_mid,0)*VLOOKUP(B416,country_opex,3,FALSE))+Y416+Z416+AA416+AB416+AC416)))</f>
        <v/>
      </c>
      <c r="AY416" s="54">
        <f>IF(((V416*pax_cap*load_full*ROUND(N416*O416*revleg_full,0))-(((battery/range_nm)*G416*ROUND(N416*O416*revleg_full,0)*VLOOKUP(B416,country_opex,3,FALSE))+Y416+Z416+AA416+AB416+AC416))&lt;=0,"",VLOOKUP(B416,country_opex,7,FALSE)/((V416*pax_cap*load_full*ROUND(N416*O416*revleg_full,0))-(((battery/range_nm)*G416*ROUND(N416*O416*revleg_full,0)*VLOOKUP(B416,country_opex,3,FALSE))+Y416+Z416+AA416+AB416+AC416)))</f>
        <v/>
      </c>
      <c r="AZ416" s="40" t="inlineStr">
        <is>
          <t>PREMIUM tier: Balearia fast ferry Dénia-&gt;Ibiza standard adult one-way ~EUR 50 (Direct Ferries ES 'desde 30 EUR' lead-in rising to ~EUR 50-77 standard/flex) x 1.08 = ~$54. RANGED estimate, flagged.</t>
        </is>
      </c>
      <c r="BA416" s="40" t="n"/>
    </row>
    <row r="417">
      <c r="A417" s="38" t="inlineStr">
        <is>
          <t>Bolt Sweden</t>
        </is>
      </c>
      <c r="B417" s="38" t="inlineStr">
        <is>
          <t>Sweden</t>
        </is>
      </c>
      <c r="C417" s="39" t="inlineStr">
        <is>
          <t>Stockholm (Slussen) → Djurgarden</t>
        </is>
      </c>
      <c r="D417" s="38" t="inlineStr">
        <is>
          <t>bolt</t>
        </is>
      </c>
      <c r="E417" s="40" t="inlineStr">
        <is>
          <t>bolt-sweden</t>
        </is>
      </c>
      <c r="F417" s="41" t="n">
        <v>1</v>
      </c>
      <c r="G417" s="42" t="n">
        <v>0.5</v>
      </c>
      <c r="H417" s="35" t="n">
        <v>18</v>
      </c>
      <c r="I417" s="43" t="inlineStr">
        <is>
          <t>T2</t>
        </is>
      </c>
      <c r="J417" s="43" t="inlineStr">
        <is>
          <t>med</t>
        </is>
      </c>
      <c r="K417" s="29" t="n">
        <v>1</v>
      </c>
      <c r="L417" s="44">
        <f>60*G417/cruise_kt</f>
        <v/>
      </c>
      <c r="M417" s="44">
        <f>L417+turn_min+dwell_min</f>
        <v/>
      </c>
      <c r="N417" s="45">
        <f>MIN(10,FLOOR(60*service_hr/M417,1))</f>
        <v/>
      </c>
      <c r="O417" s="45">
        <f>ROUND(365*mech_uptime*K417,0)</f>
        <v/>
      </c>
      <c r="P417" s="46">
        <f>mech_uptime</f>
        <v/>
      </c>
      <c r="Q417" s="46">
        <f>revleg_sel</f>
        <v/>
      </c>
      <c r="R417" s="45">
        <f>ROUND(N417*O417*revleg_sel,0)</f>
        <v/>
      </c>
      <c r="S417" s="47">
        <f>load_sel</f>
        <v/>
      </c>
      <c r="T417" s="47">
        <f>pax_cap*S417</f>
        <v/>
      </c>
      <c r="U417" s="45">
        <f>T417*R417</f>
        <v/>
      </c>
      <c r="V417" s="48">
        <f>H417*discount</f>
        <v/>
      </c>
      <c r="W417" s="49">
        <f>V417*U417</f>
        <v/>
      </c>
      <c r="X417" s="49">
        <f>(battery/range_nm)*G417*R417*VLOOKUP(B417,country_opex,3,FALSE)</f>
        <v/>
      </c>
      <c r="Y417" s="49">
        <f>VLOOKUP(B417,country_opex,2,FALSE)*crew_factor</f>
        <v/>
      </c>
      <c r="Z417" s="49">
        <f>VLOOKUP(B417,country_opex,5,FALSE)</f>
        <v/>
      </c>
      <c r="AA417" s="49">
        <f>maint</f>
        <v/>
      </c>
      <c r="AB417" s="49">
        <f>VLOOKUP(B417,country_opex,7,FALSE)*ins_pct</f>
        <v/>
      </c>
      <c r="AC417" s="49">
        <f>charge_berth</f>
        <v/>
      </c>
      <c r="AD417" s="49">
        <f>X417+Y417+Z417+AA417+AB417+AC417</f>
        <v/>
      </c>
      <c r="AE417" s="49">
        <f>VLOOKUP(B417,country_opex,7,FALSE)/dep_years</f>
        <v/>
      </c>
      <c r="AF417" s="49">
        <f>W417-AD417</f>
        <v/>
      </c>
      <c r="AG417" s="46">
        <f>IF(W417=0,"",AF417/W417)</f>
        <v/>
      </c>
      <c r="AH417" s="47">
        <f>IF(AF417&lt;=0,"",VLOOKUP(B417,country_opex,7,FALSE)/AF417)</f>
        <v/>
      </c>
      <c r="AI417" s="44">
        <f>((G417*R417/diesel_nmpg)*diesel_co2pg-(battery/range_nm)*G417*R417*VLOOKUP(B417,country_opex,4,FALSE))/1000</f>
        <v/>
      </c>
      <c r="AJ417" s="42" t="n">
        <v>271332</v>
      </c>
      <c r="AK417" s="43" t="n"/>
      <c r="AL417" s="43" t="inlineStr">
        <is>
          <t>med</t>
        </is>
      </c>
      <c r="AM417" s="50" t="n">
        <v>0.25</v>
      </c>
      <c r="AN417" s="45">
        <f>IF(AJ417="","",AJ417*AM417)</f>
        <v/>
      </c>
      <c r="AO417" s="45">
        <f>IF(OR(AJ417="",U417=0),"",MIN(IF(AV417="",9.9E+99,AV417),FLOOR(AN417/U417,1)))</f>
        <v/>
      </c>
      <c r="AP417" s="49">
        <f>IF(AO417="","",AO417*W417)</f>
        <v/>
      </c>
      <c r="AQ417" s="47">
        <f>IF(OR(AJ417="",U417=0),"",MIN(IF(AV417="",9.9E+99,AV417),AN417/U417))</f>
        <v/>
      </c>
      <c r="AR417" s="49">
        <f>IF(AQ417="","",AQ417*W417)</f>
        <v/>
      </c>
      <c r="AS417" s="51" t="n"/>
      <c r="AT417" s="52" t="n"/>
      <c r="AU417" s="52" t="n"/>
      <c r="AV417" s="53" t="n"/>
      <c r="AW417" s="54">
        <f>IF(((V417*pax_cap*load_thin*ROUND(N417*O417*revleg_thin,0))-(((battery/range_nm)*G417*ROUND(N417*O417*revleg_thin,0)*VLOOKUP(B417,country_opex,3,FALSE))+Y417+Z417+AA417+AB417+AC417))&lt;=0,"",VLOOKUP(B417,country_opex,7,FALSE)/((V417*pax_cap*load_thin*ROUND(N417*O417*revleg_thin,0))-(((battery/range_nm)*G417*ROUND(N417*O417*revleg_thin,0)*VLOOKUP(B417,country_opex,3,FALSE))+Y417+Z417+AA417+AB417+AC417)))</f>
        <v/>
      </c>
      <c r="AX417" s="54">
        <f>IF(((V417*pax_cap*load_mid*ROUND(N417*O417*revleg_mid,0))-(((battery/range_nm)*G417*ROUND(N417*O417*revleg_mid,0)*VLOOKUP(B417,country_opex,3,FALSE))+Y417+Z417+AA417+AB417+AC417))&lt;=0,"",VLOOKUP(B417,country_opex,7,FALSE)/((V417*pax_cap*load_mid*ROUND(N417*O417*revleg_mid,0))-(((battery/range_nm)*G417*ROUND(N417*O417*revleg_mid,0)*VLOOKUP(B417,country_opex,3,FALSE))+Y417+Z417+AA417+AB417+AC417)))</f>
        <v/>
      </c>
      <c r="AY417" s="54">
        <f>IF(((V417*pax_cap*load_full*ROUND(N417*O417*revleg_full,0))-(((battery/range_nm)*G417*ROUND(N417*O417*revleg_full,0)*VLOOKUP(B417,country_opex,3,FALSE))+Y417+Z417+AA417+AB417+AC417))&lt;=0,"",VLOOKUP(B417,country_opex,7,FALSE)/((V417*pax_cap*load_full*ROUND(N417*O417*revleg_full,0))-(((battery/range_nm)*G417*ROUND(N417*O417*revleg_full,0)*VLOOKUP(B417,country_opex,3,FALSE))+Y417+Z417+AA417+AB417+AC417)))</f>
        <v/>
      </c>
      <c r="AZ417" s="40" t="inlineStr">
        <is>
          <t>[LB-255 PREMIUM RE-FARE: subsidized comparable $4.1 lifted to premium on-demand floor $18.0] SL single ticket SEK 43 (2025; SEK 42 in 2024). Line 82 is a pure SL mass-transit commuter ferry (SL travelcard valid) - NO premium scheduled tier exists on this leg, so fare_anchor = the SL single. SEK 43 x 0.0952 = $4.1. (Premium sightseeing context only: Stromma hop-on-hop-off / Royal Canal tours ~SEK 220+/day cover this water but are not a per-seat point-to-point fare.)</t>
        </is>
      </c>
      <c r="BA417" s="40" t="n"/>
    </row>
    <row r="418">
      <c r="A418" s="38" t="inlineStr">
        <is>
          <t>Bolt Sweden</t>
        </is>
      </c>
      <c r="B418" s="38" t="inlineStr">
        <is>
          <t>Sweden</t>
        </is>
      </c>
      <c r="C418" s="39" t="inlineStr">
        <is>
          <t>Stockholm (Nybroplan) → Nacka Strand / Ropsten</t>
        </is>
      </c>
      <c r="D418" s="38" t="inlineStr">
        <is>
          <t>bolt</t>
        </is>
      </c>
      <c r="E418" s="40" t="inlineStr">
        <is>
          <t>bolt-sweden</t>
        </is>
      </c>
      <c r="F418" s="41" t="n">
        <v>1</v>
      </c>
      <c r="G418" s="42" t="n">
        <v>3</v>
      </c>
      <c r="H418" s="35" t="n">
        <v>18</v>
      </c>
      <c r="I418" s="43" t="inlineStr">
        <is>
          <t>T2</t>
        </is>
      </c>
      <c r="J418" s="43" t="inlineStr">
        <is>
          <t>med</t>
        </is>
      </c>
      <c r="K418" s="29" t="n">
        <v>1</v>
      </c>
      <c r="L418" s="44">
        <f>60*G418/cruise_kt</f>
        <v/>
      </c>
      <c r="M418" s="44">
        <f>L418+turn_min+dwell_min</f>
        <v/>
      </c>
      <c r="N418" s="45">
        <f>MIN(16,FLOOR(60*service_hr/M418,1))</f>
        <v/>
      </c>
      <c r="O418" s="45">
        <f>ROUND(365*mech_uptime*K418,0)</f>
        <v/>
      </c>
      <c r="P418" s="46">
        <f>mech_uptime</f>
        <v/>
      </c>
      <c r="Q418" s="46">
        <f>revleg_sel</f>
        <v/>
      </c>
      <c r="R418" s="45">
        <f>ROUND(N418*O418*revleg_sel,0)</f>
        <v/>
      </c>
      <c r="S418" s="47">
        <f>load_sel</f>
        <v/>
      </c>
      <c r="T418" s="47">
        <f>pax_cap*S418</f>
        <v/>
      </c>
      <c r="U418" s="45">
        <f>T418*R418</f>
        <v/>
      </c>
      <c r="V418" s="48">
        <f>H418*discount</f>
        <v/>
      </c>
      <c r="W418" s="49">
        <f>V418*U418</f>
        <v/>
      </c>
      <c r="X418" s="49">
        <f>(battery/range_nm)*G418*R418*VLOOKUP(B418,country_opex,3,FALSE)</f>
        <v/>
      </c>
      <c r="Y418" s="49">
        <f>VLOOKUP(B418,country_opex,2,FALSE)*crew_factor</f>
        <v/>
      </c>
      <c r="Z418" s="49">
        <f>VLOOKUP(B418,country_opex,5,FALSE)</f>
        <v/>
      </c>
      <c r="AA418" s="49">
        <f>maint</f>
        <v/>
      </c>
      <c r="AB418" s="49">
        <f>VLOOKUP(B418,country_opex,7,FALSE)*ins_pct</f>
        <v/>
      </c>
      <c r="AC418" s="49">
        <f>charge_berth</f>
        <v/>
      </c>
      <c r="AD418" s="49">
        <f>X418+Y418+Z418+AA418+AB418+AC418</f>
        <v/>
      </c>
      <c r="AE418" s="49">
        <f>VLOOKUP(B418,country_opex,7,FALSE)/dep_years</f>
        <v/>
      </c>
      <c r="AF418" s="49">
        <f>W418-AD418</f>
        <v/>
      </c>
      <c r="AG418" s="46">
        <f>IF(W418=0,"",AF418/W418)</f>
        <v/>
      </c>
      <c r="AH418" s="47">
        <f>IF(AF418&lt;=0,"",VLOOKUP(B418,country_opex,7,FALSE)/AF418)</f>
        <v/>
      </c>
      <c r="AI418" s="44">
        <f>((G418*R418/diesel_nmpg)*diesel_co2pg-(battery/range_nm)*G418*R418*VLOOKUP(B418,country_opex,4,FALSE))/1000</f>
        <v/>
      </c>
      <c r="AJ418" s="42" t="n">
        <v>365638</v>
      </c>
      <c r="AK418" s="43" t="n"/>
      <c r="AL418" s="43" t="inlineStr">
        <is>
          <t>med</t>
        </is>
      </c>
      <c r="AM418" s="50" t="n">
        <v>0.25</v>
      </c>
      <c r="AN418" s="45">
        <f>IF(AJ418="","",AJ418*AM418)</f>
        <v/>
      </c>
      <c r="AO418" s="45">
        <f>IF(OR(AJ418="",U418=0),"",MIN(IF(AV418="",9.9E+99,AV418),FLOOR(AN418/U418,1)))</f>
        <v/>
      </c>
      <c r="AP418" s="49">
        <f>IF(AO418="","",AO418*W418)</f>
        <v/>
      </c>
      <c r="AQ418" s="47">
        <f>IF(OR(AJ418="",U418=0),"",MIN(IF(AV418="",9.9E+99,AV418),AN418/U418))</f>
        <v/>
      </c>
      <c r="AR418" s="49">
        <f>IF(AQ418="","",AQ418*W418)</f>
        <v/>
      </c>
      <c r="AS418" s="51" t="n"/>
      <c r="AT418" s="52" t="n"/>
      <c r="AU418" s="52" t="n"/>
      <c r="AV418" s="53" t="n"/>
      <c r="AW418" s="54">
        <f>IF(((V418*pax_cap*load_thin*ROUND(N418*O418*revleg_thin,0))-(((battery/range_nm)*G418*ROUND(N418*O418*revleg_thin,0)*VLOOKUP(B418,country_opex,3,FALSE))+Y418+Z418+AA418+AB418+AC418))&lt;=0,"",VLOOKUP(B418,country_opex,7,FALSE)/((V418*pax_cap*load_thin*ROUND(N418*O418*revleg_thin,0))-(((battery/range_nm)*G418*ROUND(N418*O418*revleg_thin,0)*VLOOKUP(B418,country_opex,3,FALSE))+Y418+Z418+AA418+AB418+AC418)))</f>
        <v/>
      </c>
      <c r="AX418" s="54">
        <f>IF(((V418*pax_cap*load_mid*ROUND(N418*O418*revleg_mid,0))-(((battery/range_nm)*G418*ROUND(N418*O418*revleg_mid,0)*VLOOKUP(B418,country_opex,3,FALSE))+Y418+Z418+AA418+AB418+AC418))&lt;=0,"",VLOOKUP(B418,country_opex,7,FALSE)/((V418*pax_cap*load_mid*ROUND(N418*O418*revleg_mid,0))-(((battery/range_nm)*G418*ROUND(N418*O418*revleg_mid,0)*VLOOKUP(B418,country_opex,3,FALSE))+Y418+Z418+AA418+AB418+AC418)))</f>
        <v/>
      </c>
      <c r="AY418" s="54">
        <f>IF(((V418*pax_cap*load_full*ROUND(N418*O418*revleg_full,0))-(((battery/range_nm)*G418*ROUND(N418*O418*revleg_full,0)*VLOOKUP(B418,country_opex,3,FALSE))+Y418+Z418+AA418+AB418+AC418))&lt;=0,"",VLOOKUP(B418,country_opex,7,FALSE)/((V418*pax_cap*load_full*ROUND(N418*O418*revleg_full,0))-(((battery/range_nm)*G418*ROUND(N418*O418*revleg_full,0)*VLOOKUP(B418,country_opex,3,FALSE))+Y418+Z418+AA418+AB418+AC418)))</f>
        <v/>
      </c>
      <c r="AZ418" s="40" t="inlineStr">
        <is>
          <t>[LB-255 PREMIUM RE-FARE: subsidized comparable $4.1 lifted to premium on-demand floor $18.0] SL single ticket SEK 43 (2025). Line 80 is an SL mass-transit commuter boat (SL travelcard valid) - no premium tier. SEK 43 x 0.0952 = $4.1.</t>
        </is>
      </c>
      <c r="BA418" s="40" t="n"/>
    </row>
    <row r="419">
      <c r="A419" s="38" t="inlineStr">
        <is>
          <t>Bolt Sweden</t>
        </is>
      </c>
      <c r="B419" s="38" t="inlineStr">
        <is>
          <t>Sweden</t>
        </is>
      </c>
      <c r="C419" s="39" t="inlineStr">
        <is>
          <t>Stockholm (Stadshuskajen / Klara Malarstrand) → Drottningholm</t>
        </is>
      </c>
      <c r="D419" s="38" t="inlineStr">
        <is>
          <t>bolt</t>
        </is>
      </c>
      <c r="E419" s="40" t="inlineStr">
        <is>
          <t>bolt-sweden</t>
        </is>
      </c>
      <c r="F419" s="41" t="n">
        <v>1</v>
      </c>
      <c r="G419" s="42" t="n">
        <v>6</v>
      </c>
      <c r="H419" s="35" t="n">
        <v>13.8</v>
      </c>
      <c r="I419" s="43" t="inlineStr">
        <is>
          <t>T2</t>
        </is>
      </c>
      <c r="J419" s="43" t="inlineStr">
        <is>
          <t>med</t>
        </is>
      </c>
      <c r="K419" s="29" t="n">
        <v>1</v>
      </c>
      <c r="L419" s="44">
        <f>60*G419/cruise_kt</f>
        <v/>
      </c>
      <c r="M419" s="44">
        <f>L419+turn_min+dwell_min</f>
        <v/>
      </c>
      <c r="N419" s="45">
        <f>MIN(10,FLOOR(60*service_hr/M419,1))</f>
        <v/>
      </c>
      <c r="O419" s="45">
        <f>ROUND(365*mech_uptime*K419,0)</f>
        <v/>
      </c>
      <c r="P419" s="46">
        <f>mech_uptime</f>
        <v/>
      </c>
      <c r="Q419" s="46">
        <f>revleg_sel</f>
        <v/>
      </c>
      <c r="R419" s="45">
        <f>ROUND(N419*O419*revleg_sel,0)</f>
        <v/>
      </c>
      <c r="S419" s="47">
        <f>load_sel</f>
        <v/>
      </c>
      <c r="T419" s="47">
        <f>pax_cap*S419</f>
        <v/>
      </c>
      <c r="U419" s="45">
        <f>T419*R419</f>
        <v/>
      </c>
      <c r="V419" s="48">
        <f>H419*discount</f>
        <v/>
      </c>
      <c r="W419" s="49">
        <f>V419*U419</f>
        <v/>
      </c>
      <c r="X419" s="49">
        <f>(battery/range_nm)*G419*R419*VLOOKUP(B419,country_opex,3,FALSE)</f>
        <v/>
      </c>
      <c r="Y419" s="49">
        <f>VLOOKUP(B419,country_opex,2,FALSE)*crew_factor</f>
        <v/>
      </c>
      <c r="Z419" s="49">
        <f>VLOOKUP(B419,country_opex,5,FALSE)</f>
        <v/>
      </c>
      <c r="AA419" s="49">
        <f>maint</f>
        <v/>
      </c>
      <c r="AB419" s="49">
        <f>VLOOKUP(B419,country_opex,7,FALSE)*ins_pct</f>
        <v/>
      </c>
      <c r="AC419" s="49">
        <f>charge_berth</f>
        <v/>
      </c>
      <c r="AD419" s="49">
        <f>X419+Y419+Z419+AA419+AB419+AC419</f>
        <v/>
      </c>
      <c r="AE419" s="49">
        <f>VLOOKUP(B419,country_opex,7,FALSE)/dep_years</f>
        <v/>
      </c>
      <c r="AF419" s="49">
        <f>W419-AD419</f>
        <v/>
      </c>
      <c r="AG419" s="46">
        <f>IF(W419=0,"",AF419/W419)</f>
        <v/>
      </c>
      <c r="AH419" s="47">
        <f>IF(AF419&lt;=0,"",VLOOKUP(B419,country_opex,7,FALSE)/AF419)</f>
        <v/>
      </c>
      <c r="AI419" s="44">
        <f>((G419*R419/diesel_nmpg)*diesel_co2pg-(battery/range_nm)*G419*R419*VLOOKUP(B419,country_opex,4,FALSE))/1000</f>
        <v/>
      </c>
      <c r="AJ419" s="42" t="n">
        <v>700000</v>
      </c>
      <c r="AK419" s="43" t="n"/>
      <c r="AL419" s="43" t="n"/>
      <c r="AM419" s="50" t="n">
        <v>0.1</v>
      </c>
      <c r="AN419" s="45">
        <f>IF(AJ419="","",AJ419*AM419)</f>
        <v/>
      </c>
      <c r="AO419" s="45">
        <f>IF(OR(AJ419="",U419=0),"",MIN(IF(AV419="",9.9E+99,AV419),FLOOR(AN419/U419,1)))</f>
        <v/>
      </c>
      <c r="AP419" s="49">
        <f>IF(AO419="","",AO419*W419)</f>
        <v/>
      </c>
      <c r="AQ419" s="47">
        <f>IF(OR(AJ419="",U419=0),"",MIN(IF(AV419="",9.9E+99,AV419),AN419/U419))</f>
        <v/>
      </c>
      <c r="AR419" s="49">
        <f>IF(AQ419="","",AQ419*W419)</f>
        <v/>
      </c>
      <c r="AS419" s="51" t="n"/>
      <c r="AT419" s="52" t="n"/>
      <c r="AU419" s="52" t="n"/>
      <c r="AV419" s="53" t="n"/>
      <c r="AW419" s="54">
        <f>IF(((V419*pax_cap*load_thin*ROUND(N419*O419*revleg_thin,0))-(((battery/range_nm)*G419*ROUND(N419*O419*revleg_thin,0)*VLOOKUP(B419,country_opex,3,FALSE))+Y419+Z419+AA419+AB419+AC419))&lt;=0,"",VLOOKUP(B419,country_opex,7,FALSE)/((V419*pax_cap*load_thin*ROUND(N419*O419*revleg_thin,0))-(((battery/range_nm)*G419*ROUND(N419*O419*revleg_thin,0)*VLOOKUP(B419,country_opex,3,FALSE))+Y419+Z419+AA419+AB419+AC419)))</f>
        <v/>
      </c>
      <c r="AX419" s="54">
        <f>IF(((V419*pax_cap*load_mid*ROUND(N419*O419*revleg_mid,0))-(((battery/range_nm)*G419*ROUND(N419*O419*revleg_mid,0)*VLOOKUP(B419,country_opex,3,FALSE))+Y419+Z419+AA419+AB419+AC419))&lt;=0,"",VLOOKUP(B419,country_opex,7,FALSE)/((V419*pax_cap*load_mid*ROUND(N419*O419*revleg_mid,0))-(((battery/range_nm)*G419*ROUND(N419*O419*revleg_mid,0)*VLOOKUP(B419,country_opex,3,FALSE))+Y419+Z419+AA419+AB419+AC419)))</f>
        <v/>
      </c>
      <c r="AY419" s="54">
        <f>IF(((V419*pax_cap*load_full*ROUND(N419*O419*revleg_full,0))-(((battery/range_nm)*G419*ROUND(N419*O419*revleg_full,0)*VLOOKUP(B419,country_opex,3,FALSE))+Y419+Z419+AA419+AB419+AC419))&lt;=0,"",VLOOKUP(B419,country_opex,7,FALSE)/((V419*pax_cap*load_full*ROUND(N419*O419*revleg_full,0))-(((battery/range_nm)*G419*ROUND(N419*O419*revleg_full,0)*VLOOKUP(B419,country_opex,3,FALSE))+Y419+Z419+AA419+AB419+AC419)))</f>
        <v/>
      </c>
      <c r="AZ419" s="40" t="inlineStr">
        <is>
          <t>PREMIUM tier: Stromma Klara Malarstrand/Stadshuskajen-&gt;Drottningholm scenic steamer; return ferry ~SEK 220 (2026) -&gt; one-way ~SEK 145 = $13.8. (Historic 2017 quote: SEK 210 return.)</t>
        </is>
      </c>
      <c r="BA419" s="40" t="n"/>
    </row>
    <row r="420">
      <c r="A420" s="38" t="inlineStr">
        <is>
          <t>Bolt Sweden</t>
        </is>
      </c>
      <c r="B420" s="38" t="inlineStr">
        <is>
          <t>Sweden</t>
        </is>
      </c>
      <c r="C420" s="39" t="inlineStr">
        <is>
          <t>Stockholm (Klara Malarstrand) → Ekero (Tappstrom)</t>
        </is>
      </c>
      <c r="D420" s="38" t="inlineStr">
        <is>
          <t>bolt</t>
        </is>
      </c>
      <c r="E420" s="40" t="inlineStr">
        <is>
          <t>bolt-sweden</t>
        </is>
      </c>
      <c r="F420" s="41" t="n">
        <v>1</v>
      </c>
      <c r="G420" s="42" t="n">
        <v>8.6</v>
      </c>
      <c r="H420" s="35" t="n">
        <v>18</v>
      </c>
      <c r="I420" s="43" t="inlineStr">
        <is>
          <t>T2</t>
        </is>
      </c>
      <c r="J420" s="43" t="inlineStr">
        <is>
          <t>med</t>
        </is>
      </c>
      <c r="K420" s="29" t="n">
        <v>1</v>
      </c>
      <c r="L420" s="44">
        <f>60*G420/cruise_kt</f>
        <v/>
      </c>
      <c r="M420" s="44">
        <f>L420+turn_min+dwell_min</f>
        <v/>
      </c>
      <c r="N420" s="45">
        <f>MIN(16,FLOOR(60*service_hr/M420,1))</f>
        <v/>
      </c>
      <c r="O420" s="45">
        <f>ROUND(365*mech_uptime*K420,0)</f>
        <v/>
      </c>
      <c r="P420" s="46">
        <f>mech_uptime</f>
        <v/>
      </c>
      <c r="Q420" s="46">
        <f>revleg_sel</f>
        <v/>
      </c>
      <c r="R420" s="45">
        <f>ROUND(N420*O420*revleg_sel,0)</f>
        <v/>
      </c>
      <c r="S420" s="47">
        <f>load_sel</f>
        <v/>
      </c>
      <c r="T420" s="47">
        <f>pax_cap*S420</f>
        <v/>
      </c>
      <c r="U420" s="45">
        <f>T420*R420</f>
        <v/>
      </c>
      <c r="V420" s="48">
        <f>H420*discount</f>
        <v/>
      </c>
      <c r="W420" s="49">
        <f>V420*U420</f>
        <v/>
      </c>
      <c r="X420" s="49">
        <f>(battery/range_nm)*G420*R420*VLOOKUP(B420,country_opex,3,FALSE)</f>
        <v/>
      </c>
      <c r="Y420" s="49">
        <f>VLOOKUP(B420,country_opex,2,FALSE)*crew_factor</f>
        <v/>
      </c>
      <c r="Z420" s="49">
        <f>VLOOKUP(B420,country_opex,5,FALSE)</f>
        <v/>
      </c>
      <c r="AA420" s="49">
        <f>maint</f>
        <v/>
      </c>
      <c r="AB420" s="49">
        <f>VLOOKUP(B420,country_opex,7,FALSE)*ins_pct</f>
        <v/>
      </c>
      <c r="AC420" s="49">
        <f>charge_berth</f>
        <v/>
      </c>
      <c r="AD420" s="49">
        <f>X420+Y420+Z420+AA420+AB420+AC420</f>
        <v/>
      </c>
      <c r="AE420" s="49">
        <f>VLOOKUP(B420,country_opex,7,FALSE)/dep_years</f>
        <v/>
      </c>
      <c r="AF420" s="49">
        <f>W420-AD420</f>
        <v/>
      </c>
      <c r="AG420" s="46">
        <f>IF(W420=0,"",AF420/W420)</f>
        <v/>
      </c>
      <c r="AH420" s="47">
        <f>IF(AF420&lt;=0,"",VLOOKUP(B420,country_opex,7,FALSE)/AF420)</f>
        <v/>
      </c>
      <c r="AI420" s="44">
        <f>((G420*R420/diesel_nmpg)*diesel_co2pg-(battery/range_nm)*G420*R420*VLOOKUP(B420,country_opex,4,FALSE))/1000</f>
        <v/>
      </c>
      <c r="AJ420" s="42" t="n">
        <v>23673</v>
      </c>
      <c r="AK420" s="43" t="n"/>
      <c r="AL420" s="43" t="inlineStr">
        <is>
          <t>med</t>
        </is>
      </c>
      <c r="AM420" s="50" t="n">
        <v>0.25</v>
      </c>
      <c r="AN420" s="45">
        <f>IF(AJ420="","",AJ420*AM420)</f>
        <v/>
      </c>
      <c r="AO420" s="45">
        <f>IF(OR(AJ420="",U420=0),"",MIN(IF(AV420="",9.9E+99,AV420),FLOOR(AN420/U420,1)))</f>
        <v/>
      </c>
      <c r="AP420" s="49">
        <f>IF(AO420="","",AO420*W420)</f>
        <v/>
      </c>
      <c r="AQ420" s="47">
        <f>IF(OR(AJ420="",U420=0),"",MIN(IF(AV420="",9.9E+99,AV420),AN420/U420))</f>
        <v/>
      </c>
      <c r="AR420" s="49">
        <f>IF(AQ420="","",AQ420*W420)</f>
        <v/>
      </c>
      <c r="AS420" s="51" t="n"/>
      <c r="AT420" s="52" t="n"/>
      <c r="AU420" s="52" t="n"/>
      <c r="AV420" s="53" t="n"/>
      <c r="AW420" s="54">
        <f>IF(((V420*pax_cap*load_thin*ROUND(N420*O420*revleg_thin,0))-(((battery/range_nm)*G420*ROUND(N420*O420*revleg_thin,0)*VLOOKUP(B420,country_opex,3,FALSE))+Y420+Z420+AA420+AB420+AC420))&lt;=0,"",VLOOKUP(B420,country_opex,7,FALSE)/((V420*pax_cap*load_thin*ROUND(N420*O420*revleg_thin,0))-(((battery/range_nm)*G420*ROUND(N420*O420*revleg_thin,0)*VLOOKUP(B420,country_opex,3,FALSE))+Y420+Z420+AA420+AB420+AC420)))</f>
        <v/>
      </c>
      <c r="AX420" s="54">
        <f>IF(((V420*pax_cap*load_mid*ROUND(N420*O420*revleg_mid,0))-(((battery/range_nm)*G420*ROUND(N420*O420*revleg_mid,0)*VLOOKUP(B420,country_opex,3,FALSE))+Y420+Z420+AA420+AB420+AC420))&lt;=0,"",VLOOKUP(B420,country_opex,7,FALSE)/((V420*pax_cap*load_mid*ROUND(N420*O420*revleg_mid,0))-(((battery/range_nm)*G420*ROUND(N420*O420*revleg_mid,0)*VLOOKUP(B420,country_opex,3,FALSE))+Y420+Z420+AA420+AB420+AC420)))</f>
        <v/>
      </c>
      <c r="AY420" s="54">
        <f>IF(((V420*pax_cap*load_full*ROUND(N420*O420*revleg_full,0))-(((battery/range_nm)*G420*ROUND(N420*O420*revleg_full,0)*VLOOKUP(B420,country_opex,3,FALSE))+Y420+Z420+AA420+AB420+AC420))&lt;=0,"",VLOOKUP(B420,country_opex,7,FALSE)/((V420*pax_cap*load_full*ROUND(N420*O420*revleg_full,0))-(((battery/range_nm)*G420*ROUND(N420*O420*revleg_full,0)*VLOOKUP(B420,country_opex,3,FALSE))+Y420+Z420+AA420+AB420+AC420)))</f>
        <v/>
      </c>
      <c r="AZ420" s="40" t="inlineStr">
        <is>
          <t>[LB-255 PREMIUM RE-FARE: subsidized comparable $4.1 lifted to premium on-demand floor $18.0] SL single ticket SEK 43 (2025). SL mass-transit commuter boat; no premium tier. SEK 43 x 0.0952 = $4.1.</t>
        </is>
      </c>
      <c r="BA420" s="40" t="n"/>
    </row>
    <row r="421">
      <c r="A421" s="38" t="inlineStr">
        <is>
          <t>Bolt Sweden</t>
        </is>
      </c>
      <c r="B421" s="38" t="inlineStr">
        <is>
          <t>Sweden</t>
        </is>
      </c>
      <c r="C421" s="39" t="inlineStr">
        <is>
          <t>Stockholm → Saltsjobaden (Nacka)</t>
        </is>
      </c>
      <c r="D421" s="38" t="inlineStr">
        <is>
          <t>bolt</t>
        </is>
      </c>
      <c r="E421" s="40" t="inlineStr">
        <is>
          <t>bolt-sweden</t>
        </is>
      </c>
      <c r="F421" s="41" t="n">
        <v>1</v>
      </c>
      <c r="G421" s="42" t="n">
        <v>9</v>
      </c>
      <c r="H421" s="35" t="n"/>
      <c r="I421" s="43" t="n"/>
      <c r="J421" s="43" t="n"/>
      <c r="K421" s="29" t="n">
        <v>1</v>
      </c>
      <c r="L421" s="44">
        <f>60*G421/cruise_kt</f>
        <v/>
      </c>
      <c r="M421" s="44">
        <f>L421+turn_min+dwell_min</f>
        <v/>
      </c>
      <c r="N421" s="45">
        <f>MIN(16,FLOOR(60*service_hr/M421,1))</f>
        <v/>
      </c>
      <c r="O421" s="45">
        <f>ROUND(365*mech_uptime*K421,0)</f>
        <v/>
      </c>
      <c r="P421" s="46">
        <f>mech_uptime</f>
        <v/>
      </c>
      <c r="Q421" s="46">
        <f>revleg_sel</f>
        <v/>
      </c>
      <c r="R421" s="45">
        <f>ROUND(N421*O421*revleg_sel,0)</f>
        <v/>
      </c>
      <c r="S421" s="47">
        <f>load_sel</f>
        <v/>
      </c>
      <c r="T421" s="47">
        <f>pax_cap*S421</f>
        <v/>
      </c>
      <c r="U421" s="45">
        <f>T421*R421</f>
        <v/>
      </c>
      <c r="V421" s="48">
        <f>H421*discount</f>
        <v/>
      </c>
      <c r="W421" s="49">
        <f>V421*U421</f>
        <v/>
      </c>
      <c r="X421" s="49">
        <f>(battery/range_nm)*G421*R421*VLOOKUP(B421,country_opex,3,FALSE)</f>
        <v/>
      </c>
      <c r="Y421" s="49">
        <f>VLOOKUP(B421,country_opex,2,FALSE)*crew_factor</f>
        <v/>
      </c>
      <c r="Z421" s="49">
        <f>VLOOKUP(B421,country_opex,5,FALSE)</f>
        <v/>
      </c>
      <c r="AA421" s="49">
        <f>maint</f>
        <v/>
      </c>
      <c r="AB421" s="49">
        <f>VLOOKUP(B421,country_opex,7,FALSE)*ins_pct</f>
        <v/>
      </c>
      <c r="AC421" s="49">
        <f>charge_berth</f>
        <v/>
      </c>
      <c r="AD421" s="49">
        <f>X421+Y421+Z421+AA421+AB421+AC421</f>
        <v/>
      </c>
      <c r="AE421" s="49">
        <f>VLOOKUP(B421,country_opex,7,FALSE)/dep_years</f>
        <v/>
      </c>
      <c r="AF421" s="49">
        <f>W421-AD421</f>
        <v/>
      </c>
      <c r="AG421" s="46">
        <f>IF(W421=0,"",AF421/W421)</f>
        <v/>
      </c>
      <c r="AH421" s="47">
        <f>IF(AF421&lt;=0,"",VLOOKUP(B421,country_opex,7,FALSE)/AF421)</f>
        <v/>
      </c>
      <c r="AI421" s="44">
        <f>((G421*R421/diesel_nmpg)*diesel_co2pg-(battery/range_nm)*G421*R421*VLOOKUP(B421,country_opex,4,FALSE))/1000</f>
        <v/>
      </c>
      <c r="AJ421" s="42" t="n"/>
      <c r="AK421" s="43" t="n"/>
      <c r="AL421" s="43" t="n"/>
      <c r="AM421" s="50" t="n">
        <v>0.1</v>
      </c>
      <c r="AN421" s="45">
        <f>IF(AJ421="","",AJ421*AM421)</f>
        <v/>
      </c>
      <c r="AO421" s="45">
        <f>IF(OR(AJ421="",U421=0),"",MIN(IF(AV421="",9.9E+99,AV421),FLOOR(AN421/U421,1)))</f>
        <v/>
      </c>
      <c r="AP421" s="49">
        <f>IF(AO421="","",AO421*W421)</f>
        <v/>
      </c>
      <c r="AQ421" s="47">
        <f>IF(OR(AJ421="",U421=0),"",MIN(IF(AV421="",9.9E+99,AV421),AN421/U421))</f>
        <v/>
      </c>
      <c r="AR421" s="49">
        <f>IF(AQ421="","",AQ421*W421)</f>
        <v/>
      </c>
      <c r="AS421" s="51" t="n"/>
      <c r="AT421" s="52" t="n"/>
      <c r="AU421" s="52" t="n"/>
      <c r="AV421" s="53" t="n"/>
      <c r="AW421" s="54">
        <f>IF(((V421*pax_cap*load_thin*ROUND(N421*O421*revleg_thin,0))-(((battery/range_nm)*G421*ROUND(N421*O421*revleg_thin,0)*VLOOKUP(B421,country_opex,3,FALSE))+Y421+Z421+AA421+AB421+AC421))&lt;=0,"",VLOOKUP(B421,country_opex,7,FALSE)/((V421*pax_cap*load_thin*ROUND(N421*O421*revleg_thin,0))-(((battery/range_nm)*G421*ROUND(N421*O421*revleg_thin,0)*VLOOKUP(B421,country_opex,3,FALSE))+Y421+Z421+AA421+AB421+AC421)))</f>
        <v/>
      </c>
      <c r="AX421" s="54">
        <f>IF(((V421*pax_cap*load_mid*ROUND(N421*O421*revleg_mid,0))-(((battery/range_nm)*G421*ROUND(N421*O421*revleg_mid,0)*VLOOKUP(B421,country_opex,3,FALSE))+Y421+Z421+AA421+AB421+AC421))&lt;=0,"",VLOOKUP(B421,country_opex,7,FALSE)/((V421*pax_cap*load_mid*ROUND(N421*O421*revleg_mid,0))-(((battery/range_nm)*G421*ROUND(N421*O421*revleg_mid,0)*VLOOKUP(B421,country_opex,3,FALSE))+Y421+Z421+AA421+AB421+AC421)))</f>
        <v/>
      </c>
      <c r="AY421" s="54">
        <f>IF(((V421*pax_cap*load_full*ROUND(N421*O421*revleg_full,0))-(((battery/range_nm)*G421*ROUND(N421*O421*revleg_full,0)*VLOOKUP(B421,country_opex,3,FALSE))+Y421+Z421+AA421+AB421+AC421))&lt;=0,"",VLOOKUP(B421,country_opex,7,FALSE)/((V421*pax_cap*load_full*ROUND(N421*O421*revleg_full,0))-(((battery/range_nm)*G421*ROUND(N421*O421*revleg_full,0)*VLOOKUP(B421,country_opex,3,FALSE))+Y421+Z421+AA421+AB421+AC421)))</f>
        <v/>
      </c>
      <c r="AZ421" s="40" t="n"/>
      <c r="BA421" s="40" t="n"/>
    </row>
    <row r="422">
      <c r="A422" s="38" t="inlineStr">
        <is>
          <t>Bolt Sweden</t>
        </is>
      </c>
      <c r="B422" s="38" t="inlineStr">
        <is>
          <t>Sweden</t>
        </is>
      </c>
      <c r="C422" s="39" t="inlineStr">
        <is>
          <t>Stockholm (Stromkajen) → Alstaket (Varmdo)</t>
        </is>
      </c>
      <c r="D422" s="38" t="inlineStr">
        <is>
          <t>bolt</t>
        </is>
      </c>
      <c r="E422" s="40" t="inlineStr">
        <is>
          <t>bolt-sweden</t>
        </is>
      </c>
      <c r="F422" s="41" t="n">
        <v>1</v>
      </c>
      <c r="G422" s="42" t="n">
        <v>11</v>
      </c>
      <c r="H422" s="35" t="n">
        <v>18</v>
      </c>
      <c r="I422" s="43" t="inlineStr">
        <is>
          <t>T2</t>
        </is>
      </c>
      <c r="J422" s="43" t="inlineStr">
        <is>
          <t>med</t>
        </is>
      </c>
      <c r="K422" s="29" t="n">
        <v>1</v>
      </c>
      <c r="L422" s="44">
        <f>60*G422/cruise_kt</f>
        <v/>
      </c>
      <c r="M422" s="44">
        <f>L422+turn_min+dwell_min</f>
        <v/>
      </c>
      <c r="N422" s="45">
        <f>MIN(16,FLOOR(60*service_hr/M422,1))</f>
        <v/>
      </c>
      <c r="O422" s="45">
        <f>ROUND(365*mech_uptime*K422,0)</f>
        <v/>
      </c>
      <c r="P422" s="46">
        <f>mech_uptime</f>
        <v/>
      </c>
      <c r="Q422" s="46">
        <f>revleg_sel</f>
        <v/>
      </c>
      <c r="R422" s="45">
        <f>ROUND(N422*O422*revleg_sel,0)</f>
        <v/>
      </c>
      <c r="S422" s="47">
        <f>load_sel</f>
        <v/>
      </c>
      <c r="T422" s="47">
        <f>pax_cap*S422</f>
        <v/>
      </c>
      <c r="U422" s="45">
        <f>T422*R422</f>
        <v/>
      </c>
      <c r="V422" s="48">
        <f>H422*discount</f>
        <v/>
      </c>
      <c r="W422" s="49">
        <f>V422*U422</f>
        <v/>
      </c>
      <c r="X422" s="49">
        <f>(battery/range_nm)*G422*R422*VLOOKUP(B422,country_opex,3,FALSE)</f>
        <v/>
      </c>
      <c r="Y422" s="49">
        <f>VLOOKUP(B422,country_opex,2,FALSE)*crew_factor</f>
        <v/>
      </c>
      <c r="Z422" s="49">
        <f>VLOOKUP(B422,country_opex,5,FALSE)</f>
        <v/>
      </c>
      <c r="AA422" s="49">
        <f>maint</f>
        <v/>
      </c>
      <c r="AB422" s="49">
        <f>VLOOKUP(B422,country_opex,7,FALSE)*ins_pct</f>
        <v/>
      </c>
      <c r="AC422" s="49">
        <f>charge_berth</f>
        <v/>
      </c>
      <c r="AD422" s="49">
        <f>X422+Y422+Z422+AA422+AB422+AC422</f>
        <v/>
      </c>
      <c r="AE422" s="49">
        <f>VLOOKUP(B422,country_opex,7,FALSE)/dep_years</f>
        <v/>
      </c>
      <c r="AF422" s="49">
        <f>W422-AD422</f>
        <v/>
      </c>
      <c r="AG422" s="46">
        <f>IF(W422=0,"",AF422/W422)</f>
        <v/>
      </c>
      <c r="AH422" s="47">
        <f>IF(AF422&lt;=0,"",VLOOKUP(B422,country_opex,7,FALSE)/AF422)</f>
        <v/>
      </c>
      <c r="AI422" s="44">
        <f>((G422*R422/diesel_nmpg)*diesel_co2pg-(battery/range_nm)*G422*R422*VLOOKUP(B422,country_opex,4,FALSE))/1000</f>
        <v/>
      </c>
      <c r="AJ422" s="42" t="n">
        <v>13761</v>
      </c>
      <c r="AK422" s="43" t="n"/>
      <c r="AL422" s="43" t="inlineStr">
        <is>
          <t>med</t>
        </is>
      </c>
      <c r="AM422" s="50" t="n">
        <v>0.25</v>
      </c>
      <c r="AN422" s="45">
        <f>IF(AJ422="","",AJ422*AM422)</f>
        <v/>
      </c>
      <c r="AO422" s="45">
        <f>IF(OR(AJ422="",U422=0),"",MIN(IF(AV422="",9.9E+99,AV422),FLOOR(AN422/U422,1)))</f>
        <v/>
      </c>
      <c r="AP422" s="49">
        <f>IF(AO422="","",AO422*W422)</f>
        <v/>
      </c>
      <c r="AQ422" s="47">
        <f>IF(OR(AJ422="",U422=0),"",MIN(IF(AV422="",9.9E+99,AV422),AN422/U422))</f>
        <v/>
      </c>
      <c r="AR422" s="49">
        <f>IF(AQ422="","",AQ422*W422)</f>
        <v/>
      </c>
      <c r="AS422" s="51" t="n"/>
      <c r="AT422" s="52" t="n"/>
      <c r="AU422" s="52" t="n"/>
      <c r="AV422" s="53" t="n"/>
      <c r="AW422" s="54">
        <f>IF(((V422*pax_cap*load_thin*ROUND(N422*O422*revleg_thin,0))-(((battery/range_nm)*G422*ROUND(N422*O422*revleg_thin,0)*VLOOKUP(B422,country_opex,3,FALSE))+Y422+Z422+AA422+AB422+AC422))&lt;=0,"",VLOOKUP(B422,country_opex,7,FALSE)/((V422*pax_cap*load_thin*ROUND(N422*O422*revleg_thin,0))-(((battery/range_nm)*G422*ROUND(N422*O422*revleg_thin,0)*VLOOKUP(B422,country_opex,3,FALSE))+Y422+Z422+AA422+AB422+AC422)))</f>
        <v/>
      </c>
      <c r="AX422" s="54">
        <f>IF(((V422*pax_cap*load_mid*ROUND(N422*O422*revleg_mid,0))-(((battery/range_nm)*G422*ROUND(N422*O422*revleg_mid,0)*VLOOKUP(B422,country_opex,3,FALSE))+Y422+Z422+AA422+AB422+AC422))&lt;=0,"",VLOOKUP(B422,country_opex,7,FALSE)/((V422*pax_cap*load_mid*ROUND(N422*O422*revleg_mid,0))-(((battery/range_nm)*G422*ROUND(N422*O422*revleg_mid,0)*VLOOKUP(B422,country_opex,3,FALSE))+Y422+Z422+AA422+AB422+AC422)))</f>
        <v/>
      </c>
      <c r="AY422" s="54">
        <f>IF(((V422*pax_cap*load_full*ROUND(N422*O422*revleg_full,0))-(((battery/range_nm)*G422*ROUND(N422*O422*revleg_full,0)*VLOOKUP(B422,country_opex,3,FALSE))+Y422+Z422+AA422+AB422+AC422))&lt;=0,"",VLOOKUP(B422,country_opex,7,FALSE)/((V422*pax_cap*load_full*ROUND(N422*O422*revleg_full,0))-(((battery/range_nm)*G422*ROUND(N422*O422*revleg_full,0)*VLOOKUP(B422,country_opex,3,FALSE))+Y422+Z422+AA422+AB422+AC422)))</f>
        <v/>
      </c>
      <c r="AZ422" s="40" t="inlineStr">
        <is>
          <t>[LB-255 PREMIUM RE-FARE: subsidized comparable $4.1 lifted to premium on-demand floor $18.0] SL single ticket SEK 43 (2025). SL mass-transit commuter boat; no premium tier. SEK 43 x 0.0952 = $4.1.</t>
        </is>
      </c>
      <c r="BA422" s="40" t="n"/>
    </row>
    <row r="423">
      <c r="A423" s="38" t="inlineStr">
        <is>
          <t>Bolt Sweden</t>
        </is>
      </c>
      <c r="B423" s="38" t="inlineStr">
        <is>
          <t>Sweden</t>
        </is>
      </c>
      <c r="C423" s="39" t="inlineStr">
        <is>
          <t>Stockholm City → Vaxholm</t>
        </is>
      </c>
      <c r="D423" s="38" t="inlineStr">
        <is>
          <t>bolt</t>
        </is>
      </c>
      <c r="E423" s="40" t="inlineStr">
        <is>
          <t>bolt-sweden</t>
        </is>
      </c>
      <c r="F423" s="41" t="n">
        <v>1</v>
      </c>
      <c r="G423" s="42" t="n">
        <v>12</v>
      </c>
      <c r="H423" s="35" t="n">
        <v>18.1</v>
      </c>
      <c r="I423" s="43" t="inlineStr">
        <is>
          <t>T2</t>
        </is>
      </c>
      <c r="J423" s="43" t="inlineStr">
        <is>
          <t>med</t>
        </is>
      </c>
      <c r="K423" s="29" t="n">
        <v>1</v>
      </c>
      <c r="L423" s="44">
        <f>60*G423/cruise_kt</f>
        <v/>
      </c>
      <c r="M423" s="44">
        <f>L423+turn_min+dwell_min</f>
        <v/>
      </c>
      <c r="N423" s="45">
        <f>MIN(10,FLOOR(60*service_hr/M423,1))</f>
        <v/>
      </c>
      <c r="O423" s="45">
        <f>ROUND(365*mech_uptime*K423,0)</f>
        <v/>
      </c>
      <c r="P423" s="46">
        <f>mech_uptime</f>
        <v/>
      </c>
      <c r="Q423" s="46">
        <f>revleg_sel</f>
        <v/>
      </c>
      <c r="R423" s="45">
        <f>ROUND(N423*O423*revleg_sel,0)</f>
        <v/>
      </c>
      <c r="S423" s="47">
        <f>load_sel</f>
        <v/>
      </c>
      <c r="T423" s="47">
        <f>pax_cap*S423</f>
        <v/>
      </c>
      <c r="U423" s="45">
        <f>T423*R423</f>
        <v/>
      </c>
      <c r="V423" s="48">
        <f>H423*discount</f>
        <v/>
      </c>
      <c r="W423" s="49">
        <f>V423*U423</f>
        <v/>
      </c>
      <c r="X423" s="49">
        <f>(battery/range_nm)*G423*R423*VLOOKUP(B423,country_opex,3,FALSE)</f>
        <v/>
      </c>
      <c r="Y423" s="49">
        <f>VLOOKUP(B423,country_opex,2,FALSE)*crew_factor</f>
        <v/>
      </c>
      <c r="Z423" s="49">
        <f>VLOOKUP(B423,country_opex,5,FALSE)</f>
        <v/>
      </c>
      <c r="AA423" s="49">
        <f>maint</f>
        <v/>
      </c>
      <c r="AB423" s="49">
        <f>VLOOKUP(B423,country_opex,7,FALSE)*ins_pct</f>
        <v/>
      </c>
      <c r="AC423" s="49">
        <f>charge_berth</f>
        <v/>
      </c>
      <c r="AD423" s="49">
        <f>X423+Y423+Z423+AA423+AB423+AC423</f>
        <v/>
      </c>
      <c r="AE423" s="49">
        <f>VLOOKUP(B423,country_opex,7,FALSE)/dep_years</f>
        <v/>
      </c>
      <c r="AF423" s="49">
        <f>W423-AD423</f>
        <v/>
      </c>
      <c r="AG423" s="46">
        <f>IF(W423=0,"",AF423/W423)</f>
        <v/>
      </c>
      <c r="AH423" s="47">
        <f>IF(AF423&lt;=0,"",VLOOKUP(B423,country_opex,7,FALSE)/AF423)</f>
        <v/>
      </c>
      <c r="AI423" s="44">
        <f>((G423*R423/diesel_nmpg)*diesel_co2pg-(battery/range_nm)*G423*R423*VLOOKUP(B423,country_opex,4,FALSE))/1000</f>
        <v/>
      </c>
      <c r="AJ423" s="42" t="n">
        <v>365855</v>
      </c>
      <c r="AK423" s="43" t="n"/>
      <c r="AL423" s="43" t="n"/>
      <c r="AM423" s="50" t="n">
        <v>0.1</v>
      </c>
      <c r="AN423" s="45">
        <f>IF(AJ423="","",AJ423*AM423)</f>
        <v/>
      </c>
      <c r="AO423" s="45">
        <f>IF(OR(AJ423="",U423=0),"",MIN(IF(AV423="",9.9E+99,AV423),FLOOR(AN423/U423,1)))</f>
        <v/>
      </c>
      <c r="AP423" s="49">
        <f>IF(AO423="","",AO423*W423)</f>
        <v/>
      </c>
      <c r="AQ423" s="47">
        <f>IF(OR(AJ423="",U423=0),"",MIN(IF(AV423="",9.9E+99,AV423),AN423/U423))</f>
        <v/>
      </c>
      <c r="AR423" s="49">
        <f>IF(AQ423="","",AQ423*W423)</f>
        <v/>
      </c>
      <c r="AS423" s="51" t="n"/>
      <c r="AT423" s="52" t="n"/>
      <c r="AU423" s="52" t="n"/>
      <c r="AV423" s="53" t="n"/>
      <c r="AW423" s="54">
        <f>IF(((V423*pax_cap*load_thin*ROUND(N423*O423*revleg_thin,0))-(((battery/range_nm)*G423*ROUND(N423*O423*revleg_thin,0)*VLOOKUP(B423,country_opex,3,FALSE))+Y423+Z423+AA423+AB423+AC423))&lt;=0,"",VLOOKUP(B423,country_opex,7,FALSE)/((V423*pax_cap*load_thin*ROUND(N423*O423*revleg_thin,0))-(((battery/range_nm)*G423*ROUND(N423*O423*revleg_thin,0)*VLOOKUP(B423,country_opex,3,FALSE))+Y423+Z423+AA423+AB423+AC423)))</f>
        <v/>
      </c>
      <c r="AX423" s="54">
        <f>IF(((V423*pax_cap*load_mid*ROUND(N423*O423*revleg_mid,0))-(((battery/range_nm)*G423*ROUND(N423*O423*revleg_mid,0)*VLOOKUP(B423,country_opex,3,FALSE))+Y423+Z423+AA423+AB423+AC423))&lt;=0,"",VLOOKUP(B423,country_opex,7,FALSE)/((V423*pax_cap*load_mid*ROUND(N423*O423*revleg_mid,0))-(((battery/range_nm)*G423*ROUND(N423*O423*revleg_mid,0)*VLOOKUP(B423,country_opex,3,FALSE))+Y423+Z423+AA423+AB423+AC423)))</f>
        <v/>
      </c>
      <c r="AY423" s="54">
        <f>IF(((V423*pax_cap*load_full*ROUND(N423*O423*revleg_full,0))-(((battery/range_nm)*G423*ROUND(N423*O423*revleg_full,0)*VLOOKUP(B423,country_opex,3,FALSE))+Y423+Z423+AA423+AB423+AC423))&lt;=0,"",VLOOKUP(B423,country_opex,7,FALSE)/((V423*pax_cap*load_full*ROUND(N423*O423*revleg_full,0))-(((battery/range_nm)*G423*ROUND(N423*O423*revleg_full,0)*VLOOKUP(B423,country_opex,3,FALSE))+Y423+Z423+AA423+AB423+AC423)))</f>
        <v/>
      </c>
      <c r="AZ423" s="40" t="inlineStr">
        <is>
          <t>PREMIUM tier: Stromma Cinderellabatarna one-way adult seat Strandvagen-&gt;Vaxholm from SEK 190 (2026 tariff). SEK 190 x 0.0952 = $18.1.</t>
        </is>
      </c>
      <c r="BA423" s="40" t="n"/>
    </row>
    <row r="424">
      <c r="A424" s="38" t="inlineStr">
        <is>
          <t>Bolt Sweden</t>
        </is>
      </c>
      <c r="B424" s="38" t="inlineStr">
        <is>
          <t>Sweden</t>
        </is>
      </c>
      <c r="C424" s="39" t="inlineStr">
        <is>
          <t>Stockholm (Strandvagen) → Grinda</t>
        </is>
      </c>
      <c r="D424" s="38" t="inlineStr">
        <is>
          <t>bolt</t>
        </is>
      </c>
      <c r="E424" s="40" t="inlineStr">
        <is>
          <t>bolt-sweden</t>
        </is>
      </c>
      <c r="F424" s="41" t="n">
        <v>1</v>
      </c>
      <c r="G424" s="42" t="n">
        <v>19</v>
      </c>
      <c r="H424" s="35" t="n">
        <v>22.4</v>
      </c>
      <c r="I424" s="43" t="inlineStr">
        <is>
          <t>T2</t>
        </is>
      </c>
      <c r="J424" s="43" t="inlineStr">
        <is>
          <t>med</t>
        </is>
      </c>
      <c r="K424" s="29" t="n">
        <v>1</v>
      </c>
      <c r="L424" s="44">
        <f>60*G424/cruise_kt</f>
        <v/>
      </c>
      <c r="M424" s="44">
        <f>L424+turn_min+dwell_min</f>
        <v/>
      </c>
      <c r="N424" s="45">
        <f>MIN(10,FLOOR(60*service_hr/M424,1))</f>
        <v/>
      </c>
      <c r="O424" s="45">
        <f>ROUND(365*mech_uptime*K424,0)</f>
        <v/>
      </c>
      <c r="P424" s="46">
        <f>mech_uptime</f>
        <v/>
      </c>
      <c r="Q424" s="46">
        <f>revleg_sel</f>
        <v/>
      </c>
      <c r="R424" s="45">
        <f>ROUND(N424*O424*revleg_sel,0)</f>
        <v/>
      </c>
      <c r="S424" s="47">
        <f>load_sel</f>
        <v/>
      </c>
      <c r="T424" s="47">
        <f>pax_cap*S424</f>
        <v/>
      </c>
      <c r="U424" s="45">
        <f>T424*R424</f>
        <v/>
      </c>
      <c r="V424" s="48">
        <f>H424*discount</f>
        <v/>
      </c>
      <c r="W424" s="49">
        <f>V424*U424</f>
        <v/>
      </c>
      <c r="X424" s="49">
        <f>(battery/range_nm)*G424*R424*VLOOKUP(B424,country_opex,3,FALSE)</f>
        <v/>
      </c>
      <c r="Y424" s="49">
        <f>VLOOKUP(B424,country_opex,2,FALSE)*crew_factor</f>
        <v/>
      </c>
      <c r="Z424" s="49">
        <f>VLOOKUP(B424,country_opex,5,FALSE)</f>
        <v/>
      </c>
      <c r="AA424" s="49">
        <f>maint</f>
        <v/>
      </c>
      <c r="AB424" s="49">
        <f>VLOOKUP(B424,country_opex,7,FALSE)*ins_pct</f>
        <v/>
      </c>
      <c r="AC424" s="49">
        <f>charge_berth</f>
        <v/>
      </c>
      <c r="AD424" s="49">
        <f>X424+Y424+Z424+AA424+AB424+AC424</f>
        <v/>
      </c>
      <c r="AE424" s="49">
        <f>VLOOKUP(B424,country_opex,7,FALSE)/dep_years</f>
        <v/>
      </c>
      <c r="AF424" s="49">
        <f>W424-AD424</f>
        <v/>
      </c>
      <c r="AG424" s="46">
        <f>IF(W424=0,"",AF424/W424)</f>
        <v/>
      </c>
      <c r="AH424" s="47">
        <f>IF(AF424&lt;=0,"",VLOOKUP(B424,country_opex,7,FALSE)/AF424)</f>
        <v/>
      </c>
      <c r="AI424" s="44">
        <f>((G424*R424/diesel_nmpg)*diesel_co2pg-(battery/range_nm)*G424*R424*VLOOKUP(B424,country_opex,4,FALSE))/1000</f>
        <v/>
      </c>
      <c r="AJ424" s="42" t="n"/>
      <c r="AK424" s="43" t="n"/>
      <c r="AL424" s="43" t="n"/>
      <c r="AM424" s="50" t="n">
        <v>0.1</v>
      </c>
      <c r="AN424" s="45">
        <f>IF(AJ424="","",AJ424*AM424)</f>
        <v/>
      </c>
      <c r="AO424" s="45">
        <f>IF(OR(AJ424="",U424=0),"",MIN(IF(AV424="",9.9E+99,AV424),FLOOR(AN424/U424,1)))</f>
        <v/>
      </c>
      <c r="AP424" s="49">
        <f>IF(AO424="","",AO424*W424)</f>
        <v/>
      </c>
      <c r="AQ424" s="47">
        <f>IF(OR(AJ424="",U424=0),"",MIN(IF(AV424="",9.9E+99,AV424),AN424/U424))</f>
        <v/>
      </c>
      <c r="AR424" s="49">
        <f>IF(AQ424="","",AQ424*W424)</f>
        <v/>
      </c>
      <c r="AS424" s="51" t="n"/>
      <c r="AT424" s="52" t="n"/>
      <c r="AU424" s="52" t="n"/>
      <c r="AV424" s="53" t="n"/>
      <c r="AW424" s="54">
        <f>IF(((V424*pax_cap*load_thin*ROUND(N424*O424*revleg_thin,0))-(((battery/range_nm)*G424*ROUND(N424*O424*revleg_thin,0)*VLOOKUP(B424,country_opex,3,FALSE))+Y424+Z424+AA424+AB424+AC424))&lt;=0,"",VLOOKUP(B424,country_opex,7,FALSE)/((V424*pax_cap*load_thin*ROUND(N424*O424*revleg_thin,0))-(((battery/range_nm)*G424*ROUND(N424*O424*revleg_thin,0)*VLOOKUP(B424,country_opex,3,FALSE))+Y424+Z424+AA424+AB424+AC424)))</f>
        <v/>
      </c>
      <c r="AX424" s="54">
        <f>IF(((V424*pax_cap*load_mid*ROUND(N424*O424*revleg_mid,0))-(((battery/range_nm)*G424*ROUND(N424*O424*revleg_mid,0)*VLOOKUP(B424,country_opex,3,FALSE))+Y424+Z424+AA424+AB424+AC424))&lt;=0,"",VLOOKUP(B424,country_opex,7,FALSE)/((V424*pax_cap*load_mid*ROUND(N424*O424*revleg_mid,0))-(((battery/range_nm)*G424*ROUND(N424*O424*revleg_mid,0)*VLOOKUP(B424,country_opex,3,FALSE))+Y424+Z424+AA424+AB424+AC424)))</f>
        <v/>
      </c>
      <c r="AY424" s="54">
        <f>IF(((V424*pax_cap*load_full*ROUND(N424*O424*revleg_full,0))-(((battery/range_nm)*G424*ROUND(N424*O424*revleg_full,0)*VLOOKUP(B424,country_opex,3,FALSE))+Y424+Z424+AA424+AB424+AC424))&lt;=0,"",VLOOKUP(B424,country_opex,7,FALSE)/((V424*pax_cap*load_full*ROUND(N424*O424*revleg_full,0))-(((battery/range_nm)*G424*ROUND(N424*O424*revleg_full,0)*VLOOKUP(B424,country_opex,3,FALSE))+Y424+Z424+AA424+AB424+AC424)))</f>
        <v/>
      </c>
      <c r="AZ424" s="40" t="inlineStr">
        <is>
          <t>PREMIUM tier: Stromma Cinderellabatarna one-way adult Strandvagen-&gt;Grinda from SEK 235 (2026 tariff). SEK 235 x 0.0952 = $22.4.</t>
        </is>
      </c>
      <c r="BA424" s="40" t="n"/>
    </row>
    <row r="425">
      <c r="A425" s="38" t="inlineStr">
        <is>
          <t>Bolt Sweden</t>
        </is>
      </c>
      <c r="B425" s="38" t="inlineStr">
        <is>
          <t>Sweden</t>
        </is>
      </c>
      <c r="C425" s="39" t="inlineStr">
        <is>
          <t>Stockholm (Strandvagen) → Gallno</t>
        </is>
      </c>
      <c r="D425" s="38" t="inlineStr">
        <is>
          <t>bolt</t>
        </is>
      </c>
      <c r="E425" s="40" t="inlineStr">
        <is>
          <t>bolt-sweden</t>
        </is>
      </c>
      <c r="F425" s="41" t="n">
        <v>1</v>
      </c>
      <c r="G425" s="42" t="n">
        <v>21</v>
      </c>
      <c r="H425" s="35" t="n">
        <v>22.4</v>
      </c>
      <c r="I425" s="43" t="inlineStr">
        <is>
          <t>T2</t>
        </is>
      </c>
      <c r="J425" s="43" t="inlineStr">
        <is>
          <t>med</t>
        </is>
      </c>
      <c r="K425" s="29" t="n">
        <v>1</v>
      </c>
      <c r="L425" s="44">
        <f>60*G425/cruise_kt</f>
        <v/>
      </c>
      <c r="M425" s="44">
        <f>L425+turn_min+dwell_min</f>
        <v/>
      </c>
      <c r="N425" s="45">
        <f>MIN(10,FLOOR(60*service_hr/M425,1))</f>
        <v/>
      </c>
      <c r="O425" s="45">
        <f>ROUND(365*mech_uptime*K425,0)</f>
        <v/>
      </c>
      <c r="P425" s="46">
        <f>mech_uptime</f>
        <v/>
      </c>
      <c r="Q425" s="46">
        <f>revleg_sel</f>
        <v/>
      </c>
      <c r="R425" s="45">
        <f>ROUND(N425*O425*revleg_sel,0)</f>
        <v/>
      </c>
      <c r="S425" s="47">
        <f>load_sel</f>
        <v/>
      </c>
      <c r="T425" s="47">
        <f>pax_cap*S425</f>
        <v/>
      </c>
      <c r="U425" s="45">
        <f>T425*R425</f>
        <v/>
      </c>
      <c r="V425" s="48">
        <f>H425*discount</f>
        <v/>
      </c>
      <c r="W425" s="49">
        <f>V425*U425</f>
        <v/>
      </c>
      <c r="X425" s="49">
        <f>(battery/range_nm)*G425*R425*VLOOKUP(B425,country_opex,3,FALSE)</f>
        <v/>
      </c>
      <c r="Y425" s="49">
        <f>VLOOKUP(B425,country_opex,2,FALSE)*crew_factor</f>
        <v/>
      </c>
      <c r="Z425" s="49">
        <f>VLOOKUP(B425,country_opex,5,FALSE)</f>
        <v/>
      </c>
      <c r="AA425" s="49">
        <f>maint</f>
        <v/>
      </c>
      <c r="AB425" s="49">
        <f>VLOOKUP(B425,country_opex,7,FALSE)*ins_pct</f>
        <v/>
      </c>
      <c r="AC425" s="49">
        <f>charge_berth</f>
        <v/>
      </c>
      <c r="AD425" s="49">
        <f>X425+Y425+Z425+AA425+AB425+AC425</f>
        <v/>
      </c>
      <c r="AE425" s="49">
        <f>VLOOKUP(B425,country_opex,7,FALSE)/dep_years</f>
        <v/>
      </c>
      <c r="AF425" s="49">
        <f>W425-AD425</f>
        <v/>
      </c>
      <c r="AG425" s="46">
        <f>IF(W425=0,"",AF425/W425)</f>
        <v/>
      </c>
      <c r="AH425" s="47">
        <f>IF(AF425&lt;=0,"",VLOOKUP(B425,country_opex,7,FALSE)/AF425)</f>
        <v/>
      </c>
      <c r="AI425" s="44">
        <f>((G425*R425/diesel_nmpg)*diesel_co2pg-(battery/range_nm)*G425*R425*VLOOKUP(B425,country_opex,4,FALSE))/1000</f>
        <v/>
      </c>
      <c r="AJ425" s="42" t="n"/>
      <c r="AK425" s="43" t="n"/>
      <c r="AL425" s="43" t="n"/>
      <c r="AM425" s="50" t="n">
        <v>0.1</v>
      </c>
      <c r="AN425" s="45">
        <f>IF(AJ425="","",AJ425*AM425)</f>
        <v/>
      </c>
      <c r="AO425" s="45">
        <f>IF(OR(AJ425="",U425=0),"",MIN(IF(AV425="",9.9E+99,AV425),FLOOR(AN425/U425,1)))</f>
        <v/>
      </c>
      <c r="AP425" s="49">
        <f>IF(AO425="","",AO425*W425)</f>
        <v/>
      </c>
      <c r="AQ425" s="47">
        <f>IF(OR(AJ425="",U425=0),"",MIN(IF(AV425="",9.9E+99,AV425),AN425/U425))</f>
        <v/>
      </c>
      <c r="AR425" s="49">
        <f>IF(AQ425="","",AQ425*W425)</f>
        <v/>
      </c>
      <c r="AS425" s="51" t="n"/>
      <c r="AT425" s="52" t="n"/>
      <c r="AU425" s="52" t="n"/>
      <c r="AV425" s="53" t="n"/>
      <c r="AW425" s="54">
        <f>IF(((V425*pax_cap*load_thin*ROUND(N425*O425*revleg_thin,0))-(((battery/range_nm)*G425*ROUND(N425*O425*revleg_thin,0)*VLOOKUP(B425,country_opex,3,FALSE))+Y425+Z425+AA425+AB425+AC425))&lt;=0,"",VLOOKUP(B425,country_opex,7,FALSE)/((V425*pax_cap*load_thin*ROUND(N425*O425*revleg_thin,0))-(((battery/range_nm)*G425*ROUND(N425*O425*revleg_thin,0)*VLOOKUP(B425,country_opex,3,FALSE))+Y425+Z425+AA425+AB425+AC425)))</f>
        <v/>
      </c>
      <c r="AX425" s="54">
        <f>IF(((V425*pax_cap*load_mid*ROUND(N425*O425*revleg_mid,0))-(((battery/range_nm)*G425*ROUND(N425*O425*revleg_mid,0)*VLOOKUP(B425,country_opex,3,FALSE))+Y425+Z425+AA425+AB425+AC425))&lt;=0,"",VLOOKUP(B425,country_opex,7,FALSE)/((V425*pax_cap*load_mid*ROUND(N425*O425*revleg_mid,0))-(((battery/range_nm)*G425*ROUND(N425*O425*revleg_mid,0)*VLOOKUP(B425,country_opex,3,FALSE))+Y425+Z425+AA425+AB425+AC425)))</f>
        <v/>
      </c>
      <c r="AY425" s="54">
        <f>IF(((V425*pax_cap*load_full*ROUND(N425*O425*revleg_full,0))-(((battery/range_nm)*G425*ROUND(N425*O425*revleg_full,0)*VLOOKUP(B425,country_opex,3,FALSE))+Y425+Z425+AA425+AB425+AC425))&lt;=0,"",VLOOKUP(B425,country_opex,7,FALSE)/((V425*pax_cap*load_full*ROUND(N425*O425*revleg_full,0))-(((battery/range_nm)*G425*ROUND(N425*O425*revleg_full,0)*VLOOKUP(B425,country_opex,3,FALSE))+Y425+Z425+AA425+AB425+AC425)))</f>
        <v/>
      </c>
      <c r="AZ425" s="40" t="inlineStr">
        <is>
          <t>PREMIUM tier: Stromma Cinderellabatarna one-way adult Strandvagen-&gt;Gallno from SEK 235 (2026 tariff). SEK 235 x 0.0952 = $22.4.</t>
        </is>
      </c>
      <c r="BA425" s="40" t="n"/>
    </row>
    <row r="426">
      <c r="A426" s="38" t="inlineStr">
        <is>
          <t>Bolt Sweden</t>
        </is>
      </c>
      <c r="B426" s="38" t="inlineStr">
        <is>
          <t>Sweden</t>
        </is>
      </c>
      <c r="C426" s="39" t="inlineStr">
        <is>
          <t>Stockholm (Strandvagen) → Sandhamn</t>
        </is>
      </c>
      <c r="D426" s="38" t="inlineStr">
        <is>
          <t>bolt</t>
        </is>
      </c>
      <c r="E426" s="40" t="inlineStr">
        <is>
          <t>bolt-sweden</t>
        </is>
      </c>
      <c r="F426" s="41" t="n">
        <v>1</v>
      </c>
      <c r="G426" s="42" t="n">
        <v>26</v>
      </c>
      <c r="H426" s="35" t="n">
        <v>24.3</v>
      </c>
      <c r="I426" s="43" t="inlineStr">
        <is>
          <t>T2</t>
        </is>
      </c>
      <c r="J426" s="43" t="inlineStr">
        <is>
          <t>med</t>
        </is>
      </c>
      <c r="K426" s="29" t="n">
        <v>1</v>
      </c>
      <c r="L426" s="44">
        <f>60*G426/cruise_kt</f>
        <v/>
      </c>
      <c r="M426" s="44">
        <f>L426+turn_min+dwell_min</f>
        <v/>
      </c>
      <c r="N426" s="45">
        <f>MIN(10,FLOOR(60*service_hr/M426,1))</f>
        <v/>
      </c>
      <c r="O426" s="45">
        <f>ROUND(365*mech_uptime*K426,0)</f>
        <v/>
      </c>
      <c r="P426" s="46">
        <f>mech_uptime</f>
        <v/>
      </c>
      <c r="Q426" s="46">
        <f>revleg_sel</f>
        <v/>
      </c>
      <c r="R426" s="45">
        <f>ROUND(N426*O426*revleg_sel,0)</f>
        <v/>
      </c>
      <c r="S426" s="47">
        <f>load_sel</f>
        <v/>
      </c>
      <c r="T426" s="47">
        <f>pax_cap*S426</f>
        <v/>
      </c>
      <c r="U426" s="45">
        <f>T426*R426</f>
        <v/>
      </c>
      <c r="V426" s="48">
        <f>H426*discount</f>
        <v/>
      </c>
      <c r="W426" s="49">
        <f>V426*U426</f>
        <v/>
      </c>
      <c r="X426" s="49">
        <f>(battery/range_nm)*G426*R426*VLOOKUP(B426,country_opex,3,FALSE)</f>
        <v/>
      </c>
      <c r="Y426" s="49">
        <f>VLOOKUP(B426,country_opex,2,FALSE)*crew_factor</f>
        <v/>
      </c>
      <c r="Z426" s="49">
        <f>VLOOKUP(B426,country_opex,5,FALSE)</f>
        <v/>
      </c>
      <c r="AA426" s="49">
        <f>maint</f>
        <v/>
      </c>
      <c r="AB426" s="49">
        <f>VLOOKUP(B426,country_opex,7,FALSE)*ins_pct</f>
        <v/>
      </c>
      <c r="AC426" s="49">
        <f>charge_berth</f>
        <v/>
      </c>
      <c r="AD426" s="49">
        <f>X426+Y426+Z426+AA426+AB426+AC426</f>
        <v/>
      </c>
      <c r="AE426" s="49">
        <f>VLOOKUP(B426,country_opex,7,FALSE)/dep_years</f>
        <v/>
      </c>
      <c r="AF426" s="49">
        <f>W426-AD426</f>
        <v/>
      </c>
      <c r="AG426" s="46">
        <f>IF(W426=0,"",AF426/W426)</f>
        <v/>
      </c>
      <c r="AH426" s="47">
        <f>IF(AF426&lt;=0,"",VLOOKUP(B426,country_opex,7,FALSE)/AF426)</f>
        <v/>
      </c>
      <c r="AI426" s="44">
        <f>((G426*R426/diesel_nmpg)*diesel_co2pg-(battery/range_nm)*G426*R426*VLOOKUP(B426,country_opex,4,FALSE))/1000</f>
        <v/>
      </c>
      <c r="AJ426" s="42" t="n">
        <v>100000</v>
      </c>
      <c r="AK426" s="43" t="n"/>
      <c r="AL426" s="43" t="n"/>
      <c r="AM426" s="50" t="n">
        <v>0.1</v>
      </c>
      <c r="AN426" s="45">
        <f>IF(AJ426="","",AJ426*AM426)</f>
        <v/>
      </c>
      <c r="AO426" s="45">
        <f>IF(OR(AJ426="",U426=0),"",MIN(IF(AV426="",9.9E+99,AV426),FLOOR(AN426/U426,1)))</f>
        <v/>
      </c>
      <c r="AP426" s="49">
        <f>IF(AO426="","",AO426*W426)</f>
        <v/>
      </c>
      <c r="AQ426" s="47">
        <f>IF(OR(AJ426="",U426=0),"",MIN(IF(AV426="",9.9E+99,AV426),AN426/U426))</f>
        <v/>
      </c>
      <c r="AR426" s="49">
        <f>IF(AQ426="","",AQ426*W426)</f>
        <v/>
      </c>
      <c r="AS426" s="51" t="n"/>
      <c r="AT426" s="52" t="n"/>
      <c r="AU426" s="52" t="n"/>
      <c r="AV426" s="53" t="n"/>
      <c r="AW426" s="54">
        <f>IF(((V426*pax_cap*load_thin*ROUND(N426*O426*revleg_thin,0))-(((battery/range_nm)*G426*ROUND(N426*O426*revleg_thin,0)*VLOOKUP(B426,country_opex,3,FALSE))+Y426+Z426+AA426+AB426+AC426))&lt;=0,"",VLOOKUP(B426,country_opex,7,FALSE)/((V426*pax_cap*load_thin*ROUND(N426*O426*revleg_thin,0))-(((battery/range_nm)*G426*ROUND(N426*O426*revleg_thin,0)*VLOOKUP(B426,country_opex,3,FALSE))+Y426+Z426+AA426+AB426+AC426)))</f>
        <v/>
      </c>
      <c r="AX426" s="54">
        <f>IF(((V426*pax_cap*load_mid*ROUND(N426*O426*revleg_mid,0))-(((battery/range_nm)*G426*ROUND(N426*O426*revleg_mid,0)*VLOOKUP(B426,country_opex,3,FALSE))+Y426+Z426+AA426+AB426+AC426))&lt;=0,"",VLOOKUP(B426,country_opex,7,FALSE)/((V426*pax_cap*load_mid*ROUND(N426*O426*revleg_mid,0))-(((battery/range_nm)*G426*ROUND(N426*O426*revleg_mid,0)*VLOOKUP(B426,country_opex,3,FALSE))+Y426+Z426+AA426+AB426+AC426)))</f>
        <v/>
      </c>
      <c r="AY426" s="54">
        <f>IF(((V426*pax_cap*load_full*ROUND(N426*O426*revleg_full,0))-(((battery/range_nm)*G426*ROUND(N426*O426*revleg_full,0)*VLOOKUP(B426,country_opex,3,FALSE))+Y426+Z426+AA426+AB426+AC426))&lt;=0,"",VLOOKUP(B426,country_opex,7,FALSE)/((V426*pax_cap*load_full*ROUND(N426*O426*revleg_full,0))-(((battery/range_nm)*G426*ROUND(N426*O426*revleg_full,0)*VLOOKUP(B426,country_opex,3,FALSE))+Y426+Z426+AA426+AB426+AC426)))</f>
        <v/>
      </c>
      <c r="AZ426" s="40" t="inlineStr">
        <is>
          <t>PREMIUM tier: Stromma Cinderellabatarna one-way adult Strandvagen-&gt;Sandhamn from SEK 255 (2026 tariff). SEK 255 x 0.0952 = $24.3.</t>
        </is>
      </c>
      <c r="BA426" s="40" t="n"/>
    </row>
    <row r="427">
      <c r="A427" s="38" t="inlineStr">
        <is>
          <t>Taiwan</t>
        </is>
      </c>
      <c r="B427" s="38" t="inlineStr">
        <is>
          <t>Taiwan</t>
        </is>
      </c>
      <c r="C427" s="39" t="inlineStr">
        <is>
          <t>Magong (Penghu) → Penghu inter-island (Xiyu / Baisha loop)</t>
        </is>
      </c>
      <c r="D427" s="38" t="inlineStr">
        <is>
          <t>grab</t>
        </is>
      </c>
      <c r="E427" s="40" t="inlineStr">
        <is>
          <t>taiwan</t>
        </is>
      </c>
      <c r="F427" s="41" t="n">
        <v>1</v>
      </c>
      <c r="G427" s="42" t="n">
        <v>12</v>
      </c>
      <c r="H427" s="35" t="n">
        <v>38.7</v>
      </c>
      <c r="I427" s="43" t="inlineStr">
        <is>
          <t>T3</t>
        </is>
      </c>
      <c r="J427" s="43" t="inlineStr">
        <is>
          <t>med</t>
        </is>
      </c>
      <c r="K427" s="29" t="n">
        <v>1</v>
      </c>
      <c r="L427" s="44">
        <f>60*G427/cruise_kt</f>
        <v/>
      </c>
      <c r="M427" s="44">
        <f>L427+turn_min+dwell_min</f>
        <v/>
      </c>
      <c r="N427" s="45">
        <f>MIN(10,FLOOR(60*service_hr/M427,1))</f>
        <v/>
      </c>
      <c r="O427" s="45">
        <f>ROUND(365*mech_uptime*K427,0)</f>
        <v/>
      </c>
      <c r="P427" s="46">
        <f>mech_uptime</f>
        <v/>
      </c>
      <c r="Q427" s="46">
        <f>revleg_sel</f>
        <v/>
      </c>
      <c r="R427" s="45">
        <f>ROUND(N427*O427*revleg_sel,0)</f>
        <v/>
      </c>
      <c r="S427" s="47">
        <f>load_sel</f>
        <v/>
      </c>
      <c r="T427" s="47">
        <f>pax_cap*S427</f>
        <v/>
      </c>
      <c r="U427" s="45">
        <f>T427*R427</f>
        <v/>
      </c>
      <c r="V427" s="48">
        <f>H427*discount</f>
        <v/>
      </c>
      <c r="W427" s="49">
        <f>V427*U427</f>
        <v/>
      </c>
      <c r="X427" s="49">
        <f>(battery/range_nm)*G427*R427*VLOOKUP(B427,country_opex,3,FALSE)</f>
        <v/>
      </c>
      <c r="Y427" s="49">
        <f>VLOOKUP(B427,country_opex,2,FALSE)*crew_factor</f>
        <v/>
      </c>
      <c r="Z427" s="49">
        <f>VLOOKUP(B427,country_opex,5,FALSE)</f>
        <v/>
      </c>
      <c r="AA427" s="49">
        <f>maint</f>
        <v/>
      </c>
      <c r="AB427" s="49">
        <f>VLOOKUP(B427,country_opex,7,FALSE)*ins_pct</f>
        <v/>
      </c>
      <c r="AC427" s="49">
        <f>charge_berth</f>
        <v/>
      </c>
      <c r="AD427" s="49">
        <f>X427+Y427+Z427+AA427+AB427+AC427</f>
        <v/>
      </c>
      <c r="AE427" s="49">
        <f>VLOOKUP(B427,country_opex,7,FALSE)/dep_years</f>
        <v/>
      </c>
      <c r="AF427" s="49">
        <f>W427-AD427</f>
        <v/>
      </c>
      <c r="AG427" s="46">
        <f>IF(W427=0,"",AF427/W427)</f>
        <v/>
      </c>
      <c r="AH427" s="47">
        <f>IF(AF427&lt;=0,"",VLOOKUP(B427,country_opex,7,FALSE)/AF427)</f>
        <v/>
      </c>
      <c r="AI427" s="44">
        <f>((G427*R427/diesel_nmpg)*diesel_co2pg-(battery/range_nm)*G427*R427*VLOOKUP(B427,country_opex,4,FALSE))/1000</f>
        <v/>
      </c>
      <c r="AJ427" s="42" t="n">
        <v>19226</v>
      </c>
      <c r="AK427" s="43" t="inlineStr">
        <is>
          <t>T2</t>
        </is>
      </c>
      <c r="AL427" s="43" t="inlineStr">
        <is>
          <t>low</t>
        </is>
      </c>
      <c r="AM427" s="50" t="n">
        <v>0.1</v>
      </c>
      <c r="AN427" s="45">
        <f>IF(AJ427="","",AJ427*AM427)</f>
        <v/>
      </c>
      <c r="AO427" s="45">
        <f>IF(OR(AJ427="",U427=0),"",MIN(IF(AV427="",9.9E+99,AV427),FLOOR(AN427/U427,1)))</f>
        <v/>
      </c>
      <c r="AP427" s="49">
        <f>IF(AO427="","",AO427*W427)</f>
        <v/>
      </c>
      <c r="AQ427" s="47">
        <f>IF(OR(AJ427="",U427=0),"",MIN(IF(AV427="",9.9E+99,AV427),AN427/U427))</f>
        <v/>
      </c>
      <c r="AR427" s="49">
        <f>IF(AQ427="","",AQ427*W427)</f>
        <v/>
      </c>
      <c r="AS427" s="51" t="n"/>
      <c r="AT427" s="52" t="n"/>
      <c r="AU427" s="52" t="n"/>
      <c r="AV427" s="53" t="n"/>
      <c r="AW427" s="54">
        <f>IF(((V427*pax_cap*load_thin*ROUND(N427*O427*revleg_thin,0))-(((battery/range_nm)*G427*ROUND(N427*O427*revleg_thin,0)*VLOOKUP(B427,country_opex,3,FALSE))+Y427+Z427+AA427+AB427+AC427))&lt;=0,"",VLOOKUP(B427,country_opex,7,FALSE)/((V427*pax_cap*load_thin*ROUND(N427*O427*revleg_thin,0))-(((battery/range_nm)*G427*ROUND(N427*O427*revleg_thin,0)*VLOOKUP(B427,country_opex,3,FALSE))+Y427+Z427+AA427+AB427+AC427)))</f>
        <v/>
      </c>
      <c r="AX427" s="54">
        <f>IF(((V427*pax_cap*load_mid*ROUND(N427*O427*revleg_mid,0))-(((battery/range_nm)*G427*ROUND(N427*O427*revleg_mid,0)*VLOOKUP(B427,country_opex,3,FALSE))+Y427+Z427+AA427+AB427+AC427))&lt;=0,"",VLOOKUP(B427,country_opex,7,FALSE)/((V427*pax_cap*load_mid*ROUND(N427*O427*revleg_mid,0))-(((battery/range_nm)*G427*ROUND(N427*O427*revleg_mid,0)*VLOOKUP(B427,country_opex,3,FALSE))+Y427+Z427+AA427+AB427+AC427)))</f>
        <v/>
      </c>
      <c r="AY427" s="54">
        <f>IF(((V427*pax_cap*load_full*ROUND(N427*O427*revleg_full,0))-(((battery/range_nm)*G427*ROUND(N427*O427*revleg_full,0)*VLOOKUP(B427,country_opex,3,FALSE))+Y427+Z427+AA427+AB427+AC427))&lt;=0,"",VLOOKUP(B427,country_opex,7,FALSE)/((V427*pax_cap*load_full*ROUND(N427*O427*revleg_full,0))-(((battery/range_nm)*G427*ROUND(N427*O427*revleg_full,0)*VLOOKUP(B427,country_opex,3,FALSE))+Y427+Z427+AA427+AB427+AC427)))</f>
        <v/>
      </c>
      <c r="AZ427" s="40" t="inlineStr">
        <is>
          <t>Liquid per-seat island-hop market on Klook/KKday/agencies: Penghu North-Sea island-hopping day cruise (北海跳島一日遊 - cross-sea bridge, Tiejian islet seabird cruise, Jibei landing; Xinyang speedboat from Guangzheng pier) NT$1,250-1,300/pax (play88go/Klook 55995); East-Sea day tours (員貝/澎澎灘, lobster/oyster experience) ~NT$1,000-1,300 (KKday); KKday 澎湖跳島一日遊 from NT$1,300. Transport-only floor: Chikan(Baisha)-Jibei speedboat NT$450 RT (~NT$225/leg, seasonal, Qifeng/New North Sea boats); bundles boat+scooter+activity NT$599-759 (ezpenghu).</t>
        </is>
      </c>
      <c r="BA427" s="40" t="inlineStr">
        <is>
          <t>Penghu County Govt / Tourism Administration scenic-stats bulletin (DGBAS form 20702-01-01, Dec-2025 cumulative): North Sea Visitor Center &amp; surrounds (北海遊客中心及周邊地區, Chikan/Baisha - departure point for Jibei/Mudou north-sea boats) 19,226 visitors in 2025. CAVEAT: center under reconstruction since Oct-2023 (services moved to Houliao temporary center) -&gt; material under-count; trade sources describe 'thousands daily' into Jibei in peak season historically.</t>
        </is>
      </c>
    </row>
    <row r="428">
      <c r="A428" s="38" t="inlineStr">
        <is>
          <t>Taiwan</t>
        </is>
      </c>
      <c r="B428" s="38" t="inlineStr">
        <is>
          <t>Taiwan</t>
        </is>
      </c>
      <c r="C428" s="39" t="inlineStr">
        <is>
          <t>Magong (Penghu) → Penghu outer islands (Qimei / Wang'an)</t>
        </is>
      </c>
      <c r="D428" s="38" t="inlineStr">
        <is>
          <t>grab</t>
        </is>
      </c>
      <c r="E428" s="40" t="inlineStr">
        <is>
          <t>taiwan</t>
        </is>
      </c>
      <c r="F428" s="41" t="n">
        <v>1</v>
      </c>
      <c r="G428" s="42" t="n">
        <v>23.12</v>
      </c>
      <c r="H428" s="35" t="n">
        <v>15</v>
      </c>
      <c r="I428" s="43" t="inlineStr">
        <is>
          <t>T1</t>
        </is>
      </c>
      <c r="J428" s="43" t="inlineStr">
        <is>
          <t>med</t>
        </is>
      </c>
      <c r="K428" s="29" t="n">
        <v>1</v>
      </c>
      <c r="L428" s="44">
        <f>60*G428/cruise_kt</f>
        <v/>
      </c>
      <c r="M428" s="44">
        <f>L428+turn_min+dwell_min</f>
        <v/>
      </c>
      <c r="N428" s="45">
        <f>MIN(10,FLOOR(60*service_hr/M428,1))</f>
        <v/>
      </c>
      <c r="O428" s="45">
        <f>ROUND(365*mech_uptime*K428,0)</f>
        <v/>
      </c>
      <c r="P428" s="46">
        <f>mech_uptime</f>
        <v/>
      </c>
      <c r="Q428" s="46">
        <f>revleg_sel</f>
        <v/>
      </c>
      <c r="R428" s="45">
        <f>ROUND(N428*O428*revleg_sel,0)</f>
        <v/>
      </c>
      <c r="S428" s="47">
        <f>load_sel</f>
        <v/>
      </c>
      <c r="T428" s="47">
        <f>pax_cap*S428</f>
        <v/>
      </c>
      <c r="U428" s="45">
        <f>T428*R428</f>
        <v/>
      </c>
      <c r="V428" s="48">
        <f>H428*discount</f>
        <v/>
      </c>
      <c r="W428" s="49">
        <f>V428*U428</f>
        <v/>
      </c>
      <c r="X428" s="49">
        <f>(battery/range_nm)*G428*R428*VLOOKUP(B428,country_opex,3,FALSE)</f>
        <v/>
      </c>
      <c r="Y428" s="49">
        <f>VLOOKUP(B428,country_opex,2,FALSE)*crew_factor</f>
        <v/>
      </c>
      <c r="Z428" s="49">
        <f>VLOOKUP(B428,country_opex,5,FALSE)</f>
        <v/>
      </c>
      <c r="AA428" s="49">
        <f>maint</f>
        <v/>
      </c>
      <c r="AB428" s="49">
        <f>VLOOKUP(B428,country_opex,7,FALSE)*ins_pct</f>
        <v/>
      </c>
      <c r="AC428" s="49">
        <f>charge_berth</f>
        <v/>
      </c>
      <c r="AD428" s="49">
        <f>X428+Y428+Z428+AA428+AB428+AC428</f>
        <v/>
      </c>
      <c r="AE428" s="49">
        <f>VLOOKUP(B428,country_opex,7,FALSE)/dep_years</f>
        <v/>
      </c>
      <c r="AF428" s="49">
        <f>W428-AD428</f>
        <v/>
      </c>
      <c r="AG428" s="46">
        <f>IF(W428=0,"",AF428/W428)</f>
        <v/>
      </c>
      <c r="AH428" s="47">
        <f>IF(AF428&lt;=0,"",VLOOKUP(B428,country_opex,7,FALSE)/AF428)</f>
        <v/>
      </c>
      <c r="AI428" s="44">
        <f>((G428*R428/diesel_nmpg)*diesel_co2pg-(battery/range_nm)*G428*R428*VLOOKUP(B428,country_opex,4,FALSE))/1000</f>
        <v/>
      </c>
      <c r="AJ428" s="42" t="n">
        <v>176528</v>
      </c>
      <c r="AK428" s="43" t="inlineStr">
        <is>
          <t>T2</t>
        </is>
      </c>
      <c r="AL428" s="43" t="inlineStr">
        <is>
          <t>med-low</t>
        </is>
      </c>
      <c r="AM428" s="50" t="n">
        <v>0.1</v>
      </c>
      <c r="AN428" s="45">
        <f>IF(AJ428="","",AJ428*AM428)</f>
        <v/>
      </c>
      <c r="AO428" s="45">
        <f>IF(OR(AJ428="",U428=0),"",MIN(IF(AV428="",9.9E+99,AV428),FLOOR(AN428/U428,1)))</f>
        <v/>
      </c>
      <c r="AP428" s="49">
        <f>IF(AO428="","",AO428*W428)</f>
        <v/>
      </c>
      <c r="AQ428" s="47">
        <f>IF(OR(AJ428="",U428=0),"",MIN(IF(AV428="",9.9E+99,AV428),AN428/U428))</f>
        <v/>
      </c>
      <c r="AR428" s="49">
        <f>IF(AQ428="","",AQ428*W428)</f>
        <v/>
      </c>
      <c r="AS428" s="51" t="n"/>
      <c r="AT428" s="52" t="n"/>
      <c r="AU428" s="52" t="n"/>
      <c r="AV428" s="53" t="n"/>
      <c r="AW428" s="54">
        <f>IF(((V428*pax_cap*load_thin*ROUND(N428*O428*revleg_thin,0))-(((battery/range_nm)*G428*ROUND(N428*O428*revleg_thin,0)*VLOOKUP(B428,country_opex,3,FALSE))+Y428+Z428+AA428+AB428+AC428))&lt;=0,"",VLOOKUP(B428,country_opex,7,FALSE)/((V428*pax_cap*load_thin*ROUND(N428*O428*revleg_thin,0))-(((battery/range_nm)*G428*ROUND(N428*O428*revleg_thin,0)*VLOOKUP(B428,country_opex,3,FALSE))+Y428+Z428+AA428+AB428+AC428)))</f>
        <v/>
      </c>
      <c r="AX428" s="54">
        <f>IF(((V428*pax_cap*load_mid*ROUND(N428*O428*revleg_mid,0))-(((battery/range_nm)*G428*ROUND(N428*O428*revleg_mid,0)*VLOOKUP(B428,country_opex,3,FALSE))+Y428+Z428+AA428+AB428+AC428))&lt;=0,"",VLOOKUP(B428,country_opex,7,FALSE)/((V428*pax_cap*load_mid*ROUND(N428*O428*revleg_mid,0))-(((battery/range_nm)*G428*ROUND(N428*O428*revleg_mid,0)*VLOOKUP(B428,country_opex,3,FALSE))+Y428+Z428+AA428+AB428+AC428)))</f>
        <v/>
      </c>
      <c r="AY428" s="54">
        <f>IF(((V428*pax_cap*load_full*ROUND(N428*O428*revleg_full,0))-(((battery/range_nm)*G428*ROUND(N428*O428*revleg_full,0)*VLOOKUP(B428,country_opex,3,FALSE))+Y428+Z428+AA428+AB428+AC428))&lt;=0,"",VLOOKUP(B428,country_opex,7,FALSE)/((V428*pax_cap*load_full*ROUND(N428*O428*revleg_full,0))-(((battery/range_nm)*G428*ROUND(N428*O428*revleg_full,0)*VLOOKUP(B428,country_opex,3,FALSE))+Y428+Z428+AA428+AB428+AC428)))</f>
        <v/>
      </c>
      <c r="AZ428" s="40" t="inlineStr">
        <is>
          <t>Penghu NSA / 公車處 official one-way fares: Magong-&gt;Qimei NT$437/person, Magong-&gt;Wang'an NT$272/person (public 交通船). Private fast 快艇 / island-hop day tours run NT$709-900 incl scooter (ezpenghu, EIT, goplay). Premium per-seat fast-boat transfer on the 18nm Magong-&gt;Qimei leg ~NT$485 (~$15).</t>
        </is>
      </c>
      <c r="BA428" s="40" t="inlineStr">
        <is>
          <t>Penghu County Govt / Tourism Administration scenic-stats monthly bulletin (DGBAS form 20702-01-01, Dec-2025 cumulative): South Sea Visitor Center &amp; surrounds (南海遊客中心及周邊地區 - the Magong departure terminal for all Qimei/Wang'an/Tongpan/Hujing tourist boats) 176,528 visitors in 2025. Cross-refs same table: Wang'an scenic area 20,054, Qimei scenic area 10,808 (on-island spot counters, likely under-count). Historic: South Sea VC ~393k/yr in 2014 (county bulletin 104-04) - pool roughly halved over a decade.</t>
        </is>
      </c>
    </row>
    <row r="429">
      <c r="A429" s="38" t="inlineStr">
        <is>
          <t>Taiwan</t>
        </is>
      </c>
      <c r="B429" s="38" t="inlineStr">
        <is>
          <t>Taiwan</t>
        </is>
      </c>
      <c r="C429" s="39" t="inlineStr">
        <is>
          <t>Budai (Chiayi) → Magong (Penghu)</t>
        </is>
      </c>
      <c r="D429" s="38" t="inlineStr">
        <is>
          <t>grab</t>
        </is>
      </c>
      <c r="E429" s="40" t="inlineStr">
        <is>
          <t>taiwan</t>
        </is>
      </c>
      <c r="F429" s="41" t="n">
        <v>1</v>
      </c>
      <c r="G429" s="42" t="n">
        <v>33</v>
      </c>
      <c r="H429" s="35" t="n">
        <v>31.6</v>
      </c>
      <c r="I429" s="43" t="inlineStr">
        <is>
          <t>T1</t>
        </is>
      </c>
      <c r="J429" s="43" t="inlineStr">
        <is>
          <t>med-high</t>
        </is>
      </c>
      <c r="K429" s="29" t="n">
        <v>1</v>
      </c>
      <c r="L429" s="44">
        <f>60*G429/cruise_kt</f>
        <v/>
      </c>
      <c r="M429" s="44">
        <f>L429+turn_min+dwell_min</f>
        <v/>
      </c>
      <c r="N429" s="45">
        <f>MIN(10,FLOOR(60*service_hr/M429,1))</f>
        <v/>
      </c>
      <c r="O429" s="45">
        <f>ROUND(365*mech_uptime*K429,0)</f>
        <v/>
      </c>
      <c r="P429" s="46">
        <f>mech_uptime</f>
        <v/>
      </c>
      <c r="Q429" s="46">
        <f>revleg_sel</f>
        <v/>
      </c>
      <c r="R429" s="45">
        <f>ROUND(N429*O429*revleg_sel,0)</f>
        <v/>
      </c>
      <c r="S429" s="47">
        <f>load_sel</f>
        <v/>
      </c>
      <c r="T429" s="47">
        <f>pax_cap*S429</f>
        <v/>
      </c>
      <c r="U429" s="45">
        <f>T429*R429</f>
        <v/>
      </c>
      <c r="V429" s="48">
        <f>H429*discount</f>
        <v/>
      </c>
      <c r="W429" s="49">
        <f>V429*U429</f>
        <v/>
      </c>
      <c r="X429" s="49">
        <f>(battery/range_nm)*G429*R429*VLOOKUP(B429,country_opex,3,FALSE)</f>
        <v/>
      </c>
      <c r="Y429" s="49">
        <f>VLOOKUP(B429,country_opex,2,FALSE)*crew_factor</f>
        <v/>
      </c>
      <c r="Z429" s="49">
        <f>VLOOKUP(B429,country_opex,5,FALSE)</f>
        <v/>
      </c>
      <c r="AA429" s="49">
        <f>maint</f>
        <v/>
      </c>
      <c r="AB429" s="49">
        <f>VLOOKUP(B429,country_opex,7,FALSE)*ins_pct</f>
        <v/>
      </c>
      <c r="AC429" s="49">
        <f>charge_berth</f>
        <v/>
      </c>
      <c r="AD429" s="49">
        <f>X429+Y429+Z429+AA429+AB429+AC429</f>
        <v/>
      </c>
      <c r="AE429" s="49">
        <f>VLOOKUP(B429,country_opex,7,FALSE)/dep_years</f>
        <v/>
      </c>
      <c r="AF429" s="49">
        <f>W429-AD429</f>
        <v/>
      </c>
      <c r="AG429" s="46">
        <f>IF(W429=0,"",AF429/W429)</f>
        <v/>
      </c>
      <c r="AH429" s="47">
        <f>IF(AF429&lt;=0,"",VLOOKUP(B429,country_opex,7,FALSE)/AF429)</f>
        <v/>
      </c>
      <c r="AI429" s="44">
        <f>((G429*R429/diesel_nmpg)*diesel_co2pg-(battery/range_nm)*G429*R429*VLOOKUP(B429,country_opex,4,FALSE))/1000</f>
        <v/>
      </c>
      <c r="AJ429" s="42" t="n">
        <v>500342</v>
      </c>
      <c r="AK429" s="43" t="inlineStr">
        <is>
          <t>T2</t>
        </is>
      </c>
      <c r="AL429" s="43" t="inlineStr">
        <is>
          <t>high</t>
        </is>
      </c>
      <c r="AM429" s="50" t="n">
        <v>0.1</v>
      </c>
      <c r="AN429" s="45">
        <f>IF(AJ429="","",AJ429*AM429)</f>
        <v/>
      </c>
      <c r="AO429" s="45">
        <f>IF(OR(AJ429="",U429=0),"",MIN(IF(AV429="",9.9E+99,AV429),FLOOR(AN429/U429,1)))</f>
        <v/>
      </c>
      <c r="AP429" s="49">
        <f>IF(AO429="","",AO429*W429)</f>
        <v/>
      </c>
      <c r="AQ429" s="47">
        <f>IF(OR(AJ429="",U429=0),"",MIN(IF(AV429="",9.9E+99,AV429),AN429/U429))</f>
        <v/>
      </c>
      <c r="AR429" s="49">
        <f>IF(AQ429="","",AQ429*W429)</f>
        <v/>
      </c>
      <c r="AS429" s="51" t="n"/>
      <c r="AT429" s="52" t="n"/>
      <c r="AU429" s="52" t="n"/>
      <c r="AV429" s="53" t="n"/>
      <c r="AW429" s="54">
        <f>IF(((V429*pax_cap*load_thin*ROUND(N429*O429*revleg_thin,0))-(((battery/range_nm)*G429*ROUND(N429*O429*revleg_thin,0)*VLOOKUP(B429,country_opex,3,FALSE))+Y429+Z429+AA429+AB429+AC429))&lt;=0,"",VLOOKUP(B429,country_opex,7,FALSE)/((V429*pax_cap*load_thin*ROUND(N429*O429*revleg_thin,0))-(((battery/range_nm)*G429*ROUND(N429*O429*revleg_thin,0)*VLOOKUP(B429,country_opex,3,FALSE))+Y429+Z429+AA429+AB429+AC429)))</f>
        <v/>
      </c>
      <c r="AX429" s="54">
        <f>IF(((V429*pax_cap*load_mid*ROUND(N429*O429*revleg_mid,0))-(((battery/range_nm)*G429*ROUND(N429*O429*revleg_mid,0)*VLOOKUP(B429,country_opex,3,FALSE))+Y429+Z429+AA429+AB429+AC429))&lt;=0,"",VLOOKUP(B429,country_opex,7,FALSE)/((V429*pax_cap*load_mid*ROUND(N429*O429*revleg_mid,0))-(((battery/range_nm)*G429*ROUND(N429*O429*revleg_mid,0)*VLOOKUP(B429,country_opex,3,FALSE))+Y429+Z429+AA429+AB429+AC429)))</f>
        <v/>
      </c>
      <c r="AY429" s="54">
        <f>IF(((V429*pax_cap*load_full*ROUND(N429*O429*revleg_full,0))-(((battery/range_nm)*G429*ROUND(N429*O429*revleg_full,0)*VLOOKUP(B429,country_opex,3,FALSE))+Y429+Z429+AA429+AB429+AC429))&lt;=0,"",VLOOKUP(B429,country_opex,7,FALSE)/((V429*pax_cap*load_full*ROUND(N429*O429*revleg_full,0))-(((battery/range_nm)*G429*ROUND(N429*O429*revleg_full,0)*VLOOKUP(B429,country_opex,3,FALSE))+Y429+Z429+AA429+AB429+AC429)))</f>
        <v/>
      </c>
      <c r="AZ429" s="40" t="inlineStr">
        <is>
          <t>Baili Shipping (百麗航運/Pescadores Ferry, 'Clouded Leopard 雲豹' &amp; 'Blue Magpie 藍鵲' fast catamarans) official 2026 (ROC115) tariff, pescadoresferry.com.tw: BUSINESS class (商務艙) Budai-&gt;Magong NT$1,020 one-way (RT NT$2,340 list / NT$1,989 web); economy NT$850 one-way (RT NT$1,950/NT$1,658). Joint fleet (All Star 滿天星, Triumph 凱旋, Taiji Star 太吉之星) standard single-class NT$1,000 one-way, 80-90 min (Penghu NSA English fare page, trip.com, taijistar.com.tw). KKday/Klook live listings from NT$730+.</t>
        </is>
      </c>
      <c r="BA429" s="40" t="inlineStr">
        <is>
          <t>Taiwan International Ports Corp (TIPC) Budai Harbor Office official counts - Budai port passengers are ~all Budai-Magong domestic ferry: 2025 season 500,342 in/out pax (udn citing TIPC); 2024 season 523,772 (LTN); 2023 record 619,000+ (MOTC press: 'historic high 61.9萬人次'); pre-Covid 2019 590,158 (TIPC kh.twport.com.tw table). TIPC 2036 forecast 594k/yr.</t>
        </is>
      </c>
    </row>
    <row r="430">
      <c r="A430" s="38" t="inlineStr">
        <is>
          <t>Bangkok</t>
        </is>
      </c>
      <c r="B430" s="38" t="inlineStr">
        <is>
          <t>Thailand</t>
        </is>
      </c>
      <c r="C430" s="39" t="inlineStr">
        <is>
          <t>Sathorn (Central) Pier → Phra Arthit Pier</t>
        </is>
      </c>
      <c r="D430" s="38" t="inlineStr">
        <is>
          <t>grab</t>
        </is>
      </c>
      <c r="E430" s="40" t="inlineStr">
        <is>
          <t>bangkok</t>
        </is>
      </c>
      <c r="F430" s="41" t="n">
        <v>1</v>
      </c>
      <c r="G430" s="42" t="n">
        <v>2.9</v>
      </c>
      <c r="H430" s="35" t="n">
        <v>18</v>
      </c>
      <c r="I430" s="43" t="inlineStr">
        <is>
          <t>T1</t>
        </is>
      </c>
      <c r="J430" s="43" t="inlineStr">
        <is>
          <t>high</t>
        </is>
      </c>
      <c r="K430" s="29" t="n">
        <v>1</v>
      </c>
      <c r="L430" s="44">
        <f>60*G430/cruise_kt</f>
        <v/>
      </c>
      <c r="M430" s="44">
        <f>L430+turn_min+dwell_min</f>
        <v/>
      </c>
      <c r="N430" s="45">
        <f>MIN(10,FLOOR(60*service_hr/M430,1))</f>
        <v/>
      </c>
      <c r="O430" s="45">
        <f>ROUND(365*mech_uptime*K430,0)</f>
        <v/>
      </c>
      <c r="P430" s="46">
        <f>mech_uptime</f>
        <v/>
      </c>
      <c r="Q430" s="46">
        <f>revleg_sel</f>
        <v/>
      </c>
      <c r="R430" s="45">
        <f>ROUND(N430*O430*revleg_sel,0)</f>
        <v/>
      </c>
      <c r="S430" s="47">
        <f>load_sel</f>
        <v/>
      </c>
      <c r="T430" s="47">
        <f>pax_cap*S430</f>
        <v/>
      </c>
      <c r="U430" s="45">
        <f>T430*R430</f>
        <v/>
      </c>
      <c r="V430" s="48">
        <f>H430*discount</f>
        <v/>
      </c>
      <c r="W430" s="49">
        <f>V430*U430</f>
        <v/>
      </c>
      <c r="X430" s="49">
        <f>(battery/range_nm)*G430*R430*VLOOKUP(B430,country_opex,3,FALSE)</f>
        <v/>
      </c>
      <c r="Y430" s="49">
        <f>VLOOKUP(B430,country_opex,2,FALSE)*crew_factor</f>
        <v/>
      </c>
      <c r="Z430" s="49">
        <f>VLOOKUP(B430,country_opex,5,FALSE)</f>
        <v/>
      </c>
      <c r="AA430" s="49">
        <f>maint</f>
        <v/>
      </c>
      <c r="AB430" s="49">
        <f>VLOOKUP(B430,country_opex,7,FALSE)*ins_pct</f>
        <v/>
      </c>
      <c r="AC430" s="49">
        <f>charge_berth</f>
        <v/>
      </c>
      <c r="AD430" s="49">
        <f>X430+Y430+Z430+AA430+AB430+AC430</f>
        <v/>
      </c>
      <c r="AE430" s="49">
        <f>VLOOKUP(B430,country_opex,7,FALSE)/dep_years</f>
        <v/>
      </c>
      <c r="AF430" s="49">
        <f>W430-AD430</f>
        <v/>
      </c>
      <c r="AG430" s="46">
        <f>IF(W430=0,"",AF430/W430)</f>
        <v/>
      </c>
      <c r="AH430" s="47">
        <f>IF(AF430&lt;=0,"",VLOOKUP(B430,country_opex,7,FALSE)/AF430)</f>
        <v/>
      </c>
      <c r="AI430" s="44">
        <f>((G430*R430/diesel_nmpg)*diesel_co2pg-(battery/range_nm)*G430*R430*VLOOKUP(B430,country_opex,4,FALSE))/1000</f>
        <v/>
      </c>
      <c r="AJ430" s="42" t="n">
        <v>1100000</v>
      </c>
      <c r="AK430" s="43" t="n"/>
      <c r="AL430" s="43" t="n"/>
      <c r="AM430" s="50" t="n">
        <v>0.1</v>
      </c>
      <c r="AN430" s="45">
        <f>IF(AJ430="","",AJ430*AM430)</f>
        <v/>
      </c>
      <c r="AO430" s="45">
        <f>IF(OR(AJ430="",U430=0),"",MIN(IF(AV430="",9.9E+99,AV430),FLOOR(AN430/U430,1)))</f>
        <v/>
      </c>
      <c r="AP430" s="49">
        <f>IF(AO430="","",AO430*W430)</f>
        <v/>
      </c>
      <c r="AQ430" s="47">
        <f>IF(OR(AJ430="",U430=0),"",MIN(IF(AV430="",9.9E+99,AV430),AN430/U430))</f>
        <v/>
      </c>
      <c r="AR430" s="49">
        <f>IF(AQ430="","",AQ430*W430)</f>
        <v/>
      </c>
      <c r="AS430" s="51" t="n"/>
      <c r="AT430" s="52" t="n"/>
      <c r="AU430" s="52" t="n"/>
      <c r="AV430" s="53" t="n"/>
      <c r="AW430" s="54">
        <f>IF(((V430*pax_cap*load_thin*ROUND(N430*O430*revleg_thin,0))-(((battery/range_nm)*G430*ROUND(N430*O430*revleg_thin,0)*VLOOKUP(B430,country_opex,3,FALSE))+Y430+Z430+AA430+AB430+AC430))&lt;=0,"",VLOOKUP(B430,country_opex,7,FALSE)/((V430*pax_cap*load_thin*ROUND(N430*O430*revleg_thin,0))-(((battery/range_nm)*G430*ROUND(N430*O430*revleg_thin,0)*VLOOKUP(B430,country_opex,3,FALSE))+Y430+Z430+AA430+AB430+AC430)))</f>
        <v/>
      </c>
      <c r="AX430" s="54">
        <f>IF(((V430*pax_cap*load_mid*ROUND(N430*O430*revleg_mid,0))-(((battery/range_nm)*G430*ROUND(N430*O430*revleg_mid,0)*VLOOKUP(B430,country_opex,3,FALSE))+Y430+Z430+AA430+AB430+AC430))&lt;=0,"",VLOOKUP(B430,country_opex,7,FALSE)/((V430*pax_cap*load_mid*ROUND(N430*O430*revleg_mid,0))-(((battery/range_nm)*G430*ROUND(N430*O430*revleg_mid,0)*VLOOKUP(B430,country_opex,3,FALSE))+Y430+Z430+AA430+AB430+AC430)))</f>
        <v/>
      </c>
      <c r="AY430" s="54">
        <f>IF(((V430*pax_cap*load_full*ROUND(N430*O430*revleg_full,0))-(((battery/range_nm)*G430*ROUND(N430*O430*revleg_full,0)*VLOOKUP(B430,country_opex,3,FALSE))+Y430+Z430+AA430+AB430+AC430))&lt;=0,"",VLOOKUP(B430,country_opex,7,FALSE)/((V430*pax_cap*load_full*ROUND(N430*O430*revleg_full,0))-(((battery/range_nm)*G430*ROUND(N430*O430*revleg_full,0)*VLOOKUP(B430,country_opex,3,FALSE))+Y430+Z430+AA430+AB430+AC430)))</f>
        <v/>
      </c>
      <c r="AZ430" s="40" t="inlineStr">
        <is>
          <t>[LB-255 PREMIUM RE-FARE: subsidized comparable $4.4 lifted to premium on-demand floor $18.0] Operator site chaophrayatouristboat.com/tourist_boat: 'All Day River Pass 150 Baht from normal price 225 Baht'; single-journey 40 THB (from 45). Booth price 150 THB corroborated by TripAdvisor review Oct-2025.</t>
        </is>
      </c>
      <c r="BA430" s="40" t="n"/>
    </row>
    <row r="431">
      <c r="A431" s="38" t="inlineStr">
        <is>
          <t>Bangkok</t>
        </is>
      </c>
      <c r="B431" s="38" t="inlineStr">
        <is>
          <t>Thailand</t>
        </is>
      </c>
      <c r="C431" s="39" t="inlineStr">
        <is>
          <t>ICONSIAM Pier (Chao Phraya) → ICONSIAM Pier (Chao Phraya)</t>
        </is>
      </c>
      <c r="D431" s="38" t="inlineStr">
        <is>
          <t>grab</t>
        </is>
      </c>
      <c r="E431" s="40" t="inlineStr">
        <is>
          <t>bangkok</t>
        </is>
      </c>
      <c r="F431" s="41" t="n">
        <v>1</v>
      </c>
      <c r="G431" s="42" t="n">
        <v>5.3</v>
      </c>
      <c r="H431" s="35" t="n">
        <v>35</v>
      </c>
      <c r="I431" s="43" t="inlineStr">
        <is>
          <t>T2</t>
        </is>
      </c>
      <c r="J431" s="43" t="inlineStr">
        <is>
          <t>med</t>
        </is>
      </c>
      <c r="K431" s="29" t="n">
        <v>1</v>
      </c>
      <c r="L431" s="44">
        <f>60*G431/cruise_kt</f>
        <v/>
      </c>
      <c r="M431" s="44">
        <f>L431+turn_min+dwell_min</f>
        <v/>
      </c>
      <c r="N431" s="45">
        <f>MIN(10,FLOOR(60*service_hr/M431,1))</f>
        <v/>
      </c>
      <c r="O431" s="45">
        <f>ROUND(365*mech_uptime*K431,0)</f>
        <v/>
      </c>
      <c r="P431" s="46">
        <f>mech_uptime</f>
        <v/>
      </c>
      <c r="Q431" s="46">
        <f>revleg_sel</f>
        <v/>
      </c>
      <c r="R431" s="45">
        <f>ROUND(N431*O431*revleg_sel,0)</f>
        <v/>
      </c>
      <c r="S431" s="47">
        <f>load_sel</f>
        <v/>
      </c>
      <c r="T431" s="47">
        <f>pax_cap*S431</f>
        <v/>
      </c>
      <c r="U431" s="45">
        <f>T431*R431</f>
        <v/>
      </c>
      <c r="V431" s="48">
        <f>H431*discount</f>
        <v/>
      </c>
      <c r="W431" s="49">
        <f>V431*U431</f>
        <v/>
      </c>
      <c r="X431" s="49">
        <f>(battery/range_nm)*G431*R431*VLOOKUP(B431,country_opex,3,FALSE)</f>
        <v/>
      </c>
      <c r="Y431" s="49">
        <f>VLOOKUP(B431,country_opex,2,FALSE)*crew_factor</f>
        <v/>
      </c>
      <c r="Z431" s="49">
        <f>VLOOKUP(B431,country_opex,5,FALSE)</f>
        <v/>
      </c>
      <c r="AA431" s="49">
        <f>maint</f>
        <v/>
      </c>
      <c r="AB431" s="49">
        <f>VLOOKUP(B431,country_opex,7,FALSE)*ins_pct</f>
        <v/>
      </c>
      <c r="AC431" s="49">
        <f>charge_berth</f>
        <v/>
      </c>
      <c r="AD431" s="49">
        <f>X431+Y431+Z431+AA431+AB431+AC431</f>
        <v/>
      </c>
      <c r="AE431" s="49">
        <f>VLOOKUP(B431,country_opex,7,FALSE)/dep_years</f>
        <v/>
      </c>
      <c r="AF431" s="49">
        <f>W431-AD431</f>
        <v/>
      </c>
      <c r="AG431" s="46">
        <f>IF(W431=0,"",AF431/W431)</f>
        <v/>
      </c>
      <c r="AH431" s="47">
        <f>IF(AF431&lt;=0,"",VLOOKUP(B431,country_opex,7,FALSE)/AF431)</f>
        <v/>
      </c>
      <c r="AI431" s="44">
        <f>((G431*R431/diesel_nmpg)*diesel_co2pg-(battery/range_nm)*G431*R431*VLOOKUP(B431,country_opex,4,FALSE))/1000</f>
        <v/>
      </c>
      <c r="AJ431" s="42" t="n">
        <v>1200000</v>
      </c>
      <c r="AK431" s="43" t="n"/>
      <c r="AL431" s="43" t="n"/>
      <c r="AM431" s="50" t="n">
        <v>0.1</v>
      </c>
      <c r="AN431" s="45">
        <f>IF(AJ431="","",AJ431*AM431)</f>
        <v/>
      </c>
      <c r="AO431" s="45">
        <f>IF(OR(AJ431="",U431=0),"",MIN(IF(AV431="",9.9E+99,AV431),FLOOR(AN431/U431,1)))</f>
        <v/>
      </c>
      <c r="AP431" s="49">
        <f>IF(AO431="","",AO431*W431)</f>
        <v/>
      </c>
      <c r="AQ431" s="47">
        <f>IF(OR(AJ431="",U431=0),"",MIN(IF(AV431="",9.9E+99,AV431),AN431/U431))</f>
        <v/>
      </c>
      <c r="AR431" s="49">
        <f>IF(AQ431="","",AQ431*W431)</f>
        <v/>
      </c>
      <c r="AS431" s="51" t="n"/>
      <c r="AT431" s="52" t="n"/>
      <c r="AU431" s="52" t="n"/>
      <c r="AV431" s="53" t="n"/>
      <c r="AW431" s="54">
        <f>IF(((V431*pax_cap*load_thin*ROUND(N431*O431*revleg_thin,0))-(((battery/range_nm)*G431*ROUND(N431*O431*revleg_thin,0)*VLOOKUP(B431,country_opex,3,FALSE))+Y431+Z431+AA431+AB431+AC431))&lt;=0,"",VLOOKUP(B431,country_opex,7,FALSE)/((V431*pax_cap*load_thin*ROUND(N431*O431*revleg_thin,0))-(((battery/range_nm)*G431*ROUND(N431*O431*revleg_thin,0)*VLOOKUP(B431,country_opex,3,FALSE))+Y431+Z431+AA431+AB431+AC431)))</f>
        <v/>
      </c>
      <c r="AX431" s="54">
        <f>IF(((V431*pax_cap*load_mid*ROUND(N431*O431*revleg_mid,0))-(((battery/range_nm)*G431*ROUND(N431*O431*revleg_mid,0)*VLOOKUP(B431,country_opex,3,FALSE))+Y431+Z431+AA431+AB431+AC431))&lt;=0,"",VLOOKUP(B431,country_opex,7,FALSE)/((V431*pax_cap*load_mid*ROUND(N431*O431*revleg_mid,0))-(((battery/range_nm)*G431*ROUND(N431*O431*revleg_mid,0)*VLOOKUP(B431,country_opex,3,FALSE))+Y431+Z431+AA431+AB431+AC431)))</f>
        <v/>
      </c>
      <c r="AY431" s="54">
        <f>IF(((V431*pax_cap*load_full*ROUND(N431*O431*revleg_full,0))-(((battery/range_nm)*G431*ROUND(N431*O431*revleg_full,0)*VLOOKUP(B431,country_opex,3,FALSE))+Y431+Z431+AA431+AB431+AC431))&lt;=0,"",VLOOKUP(B431,country_opex,7,FALSE)/((V431*pax_cap*load_full*ROUND(N431*O431*revleg_full,0))-(((battery/range_nm)*G431*ROUND(N431*O431*revleg_full,0)*VLOOKUP(B431,country_opex,3,FALSE))+Y431+Z431+AA431+AB431+AC431)))</f>
        <v/>
      </c>
      <c r="AZ431" s="40" t="inlineStr">
        <is>
          <t>Conservative mid of the live Jun-2026 promo band across 24 listed dinner-round products (899-2,000 THB; cluster at 1,150-1,550): click2gothailand.com top-10 guide (updated 1-Jun-2026); Bangkok Chaophraya Cruise operator site lists 1,550 THB/pax rack. Navier 8-pax product would be drinks/canape-class, not galley-buffet-class, hence mid-band anchor not premium.</t>
        </is>
      </c>
      <c r="BA431" s="40" t="n"/>
    </row>
    <row r="432">
      <c r="A432" s="38" t="inlineStr">
        <is>
          <t>Koh Samui</t>
        </is>
      </c>
      <c r="B432" s="38" t="inlineStr">
        <is>
          <t>Thailand</t>
        </is>
      </c>
      <c r="C432" s="39" t="inlineStr">
        <is>
          <t>Samui Pralarn Pier (Mae Nam) → Koh Phangan (Thong Sala) — pier-exact</t>
        </is>
      </c>
      <c r="D432" s="38" t="inlineStr">
        <is>
          <t>grab</t>
        </is>
      </c>
      <c r="E432" s="40" t="inlineStr">
        <is>
          <t>koh-samui</t>
        </is>
      </c>
      <c r="F432" s="41" t="n">
        <v>1</v>
      </c>
      <c r="G432" s="42" t="n">
        <v>7.5</v>
      </c>
      <c r="H432" s="35" t="n">
        <v>35</v>
      </c>
      <c r="I432" s="43" t="n"/>
      <c r="J432" s="43" t="inlineStr">
        <is>
          <t>T1</t>
        </is>
      </c>
      <c r="K432" s="29" t="n">
        <v>1</v>
      </c>
      <c r="L432" s="44">
        <f>60*G432/cruise_kt</f>
        <v/>
      </c>
      <c r="M432" s="44">
        <f>L432+turn_min+dwell_min</f>
        <v/>
      </c>
      <c r="N432" s="45">
        <f>MIN(10,FLOOR(60*service_hr/M432,1))</f>
        <v/>
      </c>
      <c r="O432" s="45">
        <f>ROUND(365*mech_uptime*K432,0)</f>
        <v/>
      </c>
      <c r="P432" s="46">
        <f>mech_uptime</f>
        <v/>
      </c>
      <c r="Q432" s="46">
        <f>revleg_sel</f>
        <v/>
      </c>
      <c r="R432" s="45">
        <f>ROUND(N432*O432*revleg_sel,0)</f>
        <v/>
      </c>
      <c r="S432" s="47">
        <f>load_sel</f>
        <v/>
      </c>
      <c r="T432" s="47">
        <f>pax_cap*S432</f>
        <v/>
      </c>
      <c r="U432" s="45">
        <f>T432*R432</f>
        <v/>
      </c>
      <c r="V432" s="48">
        <f>H432*discount</f>
        <v/>
      </c>
      <c r="W432" s="49">
        <f>V432*U432</f>
        <v/>
      </c>
      <c r="X432" s="49">
        <f>(battery/range_nm)*G432*R432*VLOOKUP(B432,country_opex,3,FALSE)</f>
        <v/>
      </c>
      <c r="Y432" s="49">
        <f>VLOOKUP(B432,country_opex,2,FALSE)*crew_factor</f>
        <v/>
      </c>
      <c r="Z432" s="49">
        <f>VLOOKUP(B432,country_opex,5,FALSE)</f>
        <v/>
      </c>
      <c r="AA432" s="49">
        <f>maint</f>
        <v/>
      </c>
      <c r="AB432" s="49">
        <f>VLOOKUP(B432,country_opex,7,FALSE)*ins_pct</f>
        <v/>
      </c>
      <c r="AC432" s="49">
        <f>charge_berth</f>
        <v/>
      </c>
      <c r="AD432" s="49">
        <f>X432+Y432+Z432+AA432+AB432+AC432</f>
        <v/>
      </c>
      <c r="AE432" s="49">
        <f>VLOOKUP(B432,country_opex,7,FALSE)/dep_years</f>
        <v/>
      </c>
      <c r="AF432" s="49">
        <f>W432-AD432</f>
        <v/>
      </c>
      <c r="AG432" s="46">
        <f>IF(W432=0,"",AF432/W432)</f>
        <v/>
      </c>
      <c r="AH432" s="47">
        <f>IF(AF432&lt;=0,"",VLOOKUP(B432,country_opex,7,FALSE)/AF432)</f>
        <v/>
      </c>
      <c r="AI432" s="44">
        <f>((G432*R432/diesel_nmpg)*diesel_co2pg-(battery/range_nm)*G432*R432*VLOOKUP(B432,country_opex,4,FALSE))/1000</f>
        <v/>
      </c>
      <c r="AJ432" s="42" t="n">
        <v>450000</v>
      </c>
      <c r="AK432" s="43" t="inlineStr">
        <is>
          <t>T5</t>
        </is>
      </c>
      <c r="AL432" s="43" t="inlineStr">
        <is>
          <t>low-med</t>
        </is>
      </c>
      <c r="AM432" s="50" t="n">
        <v>0.1</v>
      </c>
      <c r="AN432" s="45">
        <f>IF(AJ432="","",AJ432*AM432)</f>
        <v/>
      </c>
      <c r="AO432" s="45">
        <f>IF(OR(AJ432="",U432=0),"",MIN(IF(AV432="",9.9E+99,AV432),FLOOR(AN432/U432,1)))</f>
        <v/>
      </c>
      <c r="AP432" s="49">
        <f>IF(AO432="","",AO432*W432)</f>
        <v/>
      </c>
      <c r="AQ432" s="47">
        <f>IF(OR(AJ432="",U432=0),"",MIN(IF(AV432="",9.9E+99,AV432),AN432/U432))</f>
        <v/>
      </c>
      <c r="AR432" s="49">
        <f>IF(AQ432="","",AQ432*W432)</f>
        <v/>
      </c>
      <c r="AS432" s="51" t="inlineStr">
        <is>
          <t>rn-db5e83248f9d</t>
        </is>
      </c>
      <c r="AT432" s="52" t="n"/>
      <c r="AU432" s="52" t="n"/>
      <c r="AV432" s="53" t="n"/>
      <c r="AW432" s="54">
        <f>IF(((V432*pax_cap*load_thin*ROUND(N432*O432*revleg_thin,0))-(((battery/range_nm)*G432*ROUND(N432*O432*revleg_thin,0)*VLOOKUP(B432,country_opex,3,FALSE))+Y432+Z432+AA432+AB432+AC432))&lt;=0,"",VLOOKUP(B432,country_opex,7,FALSE)/((V432*pax_cap*load_thin*ROUND(N432*O432*revleg_thin,0))-(((battery/range_nm)*G432*ROUND(N432*O432*revleg_thin,0)*VLOOKUP(B432,country_opex,3,FALSE))+Y432+Z432+AA432+AB432+AC432)))</f>
        <v/>
      </c>
      <c r="AX432" s="54">
        <f>IF(((V432*pax_cap*load_mid*ROUND(N432*O432*revleg_mid,0))-(((battery/range_nm)*G432*ROUND(N432*O432*revleg_mid,0)*VLOOKUP(B432,country_opex,3,FALSE))+Y432+Z432+AA432+AB432+AC432))&lt;=0,"",VLOOKUP(B432,country_opex,7,FALSE)/((V432*pax_cap*load_mid*ROUND(N432*O432*revleg_mid,0))-(((battery/range_nm)*G432*ROUND(N432*O432*revleg_mid,0)*VLOOKUP(B432,country_opex,3,FALSE))+Y432+Z432+AA432+AB432+AC432)))</f>
        <v/>
      </c>
      <c r="AY432" s="54">
        <f>IF(((V432*pax_cap*load_full*ROUND(N432*O432*revleg_full,0))-(((battery/range_nm)*G432*ROUND(N432*O432*revleg_full,0)*VLOOKUP(B432,country_opex,3,FALSE))+Y432+Z432+AA432+AB432+AC432))&lt;=0,"",VLOOKUP(B432,country_opex,7,FALSE)/((V432*pax_cap*load_full*ROUND(N432*O432*revleg_full,0))-(((battery/range_nm)*G432*ROUND(N432*O432*revleg_full,0)*VLOOKUP(B432,country_opex,3,FALSE))+Y432+Z432+AA432+AB432+AC432)))</f>
        <v/>
      </c>
      <c r="AZ432" s="40" t="n"/>
      <c r="BA432" s="40" t="inlineStr">
        <is>
          <t>SUBSET of rn-db5e83248f9d (do not sum). Lomprayah operates the Pralarn (Mae Nam) terminal with ~4-6 daily fast-cat departures/direction to Thong Sala (lomprayah.com 2026 timetable; ferryadvice.com: Pralarn-&gt;Thong Sala 20 min, THB 300); Lomprayah is the highest-frequency operator on the crossing.</t>
        </is>
      </c>
    </row>
    <row r="433">
      <c r="A433" s="38" t="inlineStr">
        <is>
          <t>Penang</t>
        </is>
      </c>
      <c r="B433" s="38" t="inlineStr">
        <is>
          <t>Thailand</t>
        </is>
      </c>
      <c r="C433" s="39" t="inlineStr">
        <is>
          <t>George Town (Penang) → Batu Ferringhi / Penang Bridge corridor</t>
        </is>
      </c>
      <c r="D433" s="38" t="inlineStr">
        <is>
          <t>grab</t>
        </is>
      </c>
      <c r="E433" s="40" t="inlineStr">
        <is>
          <t>penang</t>
        </is>
      </c>
      <c r="F433" s="41" t="n">
        <v>1</v>
      </c>
      <c r="G433" s="42" t="n">
        <v>8</v>
      </c>
      <c r="H433" s="35" t="n">
        <v>30</v>
      </c>
      <c r="I433" s="43" t="inlineStr">
        <is>
          <t>T5</t>
        </is>
      </c>
      <c r="J433" s="43" t="inlineStr">
        <is>
          <t>low</t>
        </is>
      </c>
      <c r="K433" s="29" t="n">
        <v>1</v>
      </c>
      <c r="L433" s="44">
        <f>60*G433/cruise_kt</f>
        <v/>
      </c>
      <c r="M433" s="44">
        <f>L433+turn_min+dwell_min</f>
        <v/>
      </c>
      <c r="N433" s="45">
        <f>MIN(10,FLOOR(60*service_hr/M433,1))</f>
        <v/>
      </c>
      <c r="O433" s="45">
        <f>ROUND(365*mech_uptime*K433,0)</f>
        <v/>
      </c>
      <c r="P433" s="46">
        <f>mech_uptime</f>
        <v/>
      </c>
      <c r="Q433" s="46">
        <f>revleg_sel</f>
        <v/>
      </c>
      <c r="R433" s="45">
        <f>ROUND(N433*O433*revleg_sel,0)</f>
        <v/>
      </c>
      <c r="S433" s="47">
        <f>load_sel</f>
        <v/>
      </c>
      <c r="T433" s="47">
        <f>pax_cap*S433</f>
        <v/>
      </c>
      <c r="U433" s="45">
        <f>T433*R433</f>
        <v/>
      </c>
      <c r="V433" s="48">
        <f>H433*discount</f>
        <v/>
      </c>
      <c r="W433" s="49">
        <f>V433*U433</f>
        <v/>
      </c>
      <c r="X433" s="49">
        <f>(battery/range_nm)*G433*R433*VLOOKUP(B433,country_opex,3,FALSE)</f>
        <v/>
      </c>
      <c r="Y433" s="49">
        <f>VLOOKUP(B433,country_opex,2,FALSE)*crew_factor</f>
        <v/>
      </c>
      <c r="Z433" s="49">
        <f>VLOOKUP(B433,country_opex,5,FALSE)</f>
        <v/>
      </c>
      <c r="AA433" s="49">
        <f>maint</f>
        <v/>
      </c>
      <c r="AB433" s="49">
        <f>VLOOKUP(B433,country_opex,7,FALSE)*ins_pct</f>
        <v/>
      </c>
      <c r="AC433" s="49">
        <f>charge_berth</f>
        <v/>
      </c>
      <c r="AD433" s="49">
        <f>X433+Y433+Z433+AA433+AB433+AC433</f>
        <v/>
      </c>
      <c r="AE433" s="49">
        <f>VLOOKUP(B433,country_opex,7,FALSE)/dep_years</f>
        <v/>
      </c>
      <c r="AF433" s="49">
        <f>W433-AD433</f>
        <v/>
      </c>
      <c r="AG433" s="46">
        <f>IF(W433=0,"",AF433/W433)</f>
        <v/>
      </c>
      <c r="AH433" s="47">
        <f>IF(AF433&lt;=0,"",VLOOKUP(B433,country_opex,7,FALSE)/AF433)</f>
        <v/>
      </c>
      <c r="AI433" s="44">
        <f>((G433*R433/diesel_nmpg)*diesel_co2pg-(battery/range_nm)*G433*R433*VLOOKUP(B433,country_opex,4,FALSE))/1000</f>
        <v/>
      </c>
      <c r="AJ433" s="42" t="n"/>
      <c r="AK433" s="43" t="inlineStr">
        <is>
          <t>T5</t>
        </is>
      </c>
      <c r="AL433" s="43" t="inlineStr">
        <is>
          <t>low</t>
        </is>
      </c>
      <c r="AM433" s="50" t="n">
        <v>0.1</v>
      </c>
      <c r="AN433" s="45">
        <f>IF(AJ433="","",AJ433*AM433)</f>
        <v/>
      </c>
      <c r="AO433" s="45">
        <f>IF(OR(AJ433="",U433=0),"",MIN(IF(AV433="",9.9E+99,AV433),FLOOR(AN433/U433,1)))</f>
        <v/>
      </c>
      <c r="AP433" s="49">
        <f>IF(AO433="","",AO433*W433)</f>
        <v/>
      </c>
      <c r="AQ433" s="47">
        <f>IF(OR(AJ433="",U433=0),"",MIN(IF(AV433="",9.9E+99,AV433),AN433/U433))</f>
        <v/>
      </c>
      <c r="AR433" s="49">
        <f>IF(AQ433="","",AQ433*W433)</f>
        <v/>
      </c>
      <c r="AS433" s="51" t="n"/>
      <c r="AT433" s="52" t="n"/>
      <c r="AU433" s="52" t="n"/>
      <c r="AV433" s="53" t="n"/>
      <c r="AW433" s="54">
        <f>IF(((V433*pax_cap*load_thin*ROUND(N433*O433*revleg_thin,0))-(((battery/range_nm)*G433*ROUND(N433*O433*revleg_thin,0)*VLOOKUP(B433,country_opex,3,FALSE))+Y433+Z433+AA433+AB433+AC433))&lt;=0,"",VLOOKUP(B433,country_opex,7,FALSE)/((V433*pax_cap*load_thin*ROUND(N433*O433*revleg_thin,0))-(((battery/range_nm)*G433*ROUND(N433*O433*revleg_thin,0)*VLOOKUP(B433,country_opex,3,FALSE))+Y433+Z433+AA433+AB433+AC433)))</f>
        <v/>
      </c>
      <c r="AX433" s="54">
        <f>IF(((V433*pax_cap*load_mid*ROUND(N433*O433*revleg_mid,0))-(((battery/range_nm)*G433*ROUND(N433*O433*revleg_mid,0)*VLOOKUP(B433,country_opex,3,FALSE))+Y433+Z433+AA433+AB433+AC433))&lt;=0,"",VLOOKUP(B433,country_opex,7,FALSE)/((V433*pax_cap*load_mid*ROUND(N433*O433*revleg_mid,0))-(((battery/range_nm)*G433*ROUND(N433*O433*revleg_mid,0)*VLOOKUP(B433,country_opex,3,FALSE))+Y433+Z433+AA433+AB433+AC433)))</f>
        <v/>
      </c>
      <c r="AY433" s="54">
        <f>IF(((V433*pax_cap*load_full*ROUND(N433*O433*revleg_full,0))-(((battery/range_nm)*G433*ROUND(N433*O433*revleg_full,0)*VLOOKUP(B433,country_opex,3,FALSE))+Y433+Z433+AA433+AB433+AC433))&lt;=0,"",VLOOKUP(B433,country_opex,7,FALSE)/((V433*pax_cap*load_full*ROUND(N433*O433*revleg_full,0))-(((battery/range_nm)*G433*ROUND(N433*O433*revleg_full,0)*VLOOKUP(B433,country_opex,3,FALSE))+Y433+Z433+AA433+AB433+AC433)))</f>
        <v/>
      </c>
      <c r="AZ433" s="40" t="inlineStr">
        <is>
          <t>No scheduled passenger boat George Town&lt;-&gt;Batu Ferringhi; the resort strip is reached by road along the north coast. Modeled premium per-seat scenic speedboat transfer ~RM130/way ($30) by analogy to short Sabah/Langkawi private-speedboat seats.</t>
        </is>
      </c>
      <c r="BA433" s="40" t="inlineStr">
        <is>
          <t>No boat crossing exists; Batu Ferringhi hotel-strip arrivals come by road. No credible on-water pax pool.</t>
        </is>
      </c>
    </row>
    <row r="434">
      <c r="A434" s="38" t="inlineStr">
        <is>
          <t>Phuket</t>
        </is>
      </c>
      <c r="B434" s="38" t="inlineStr">
        <is>
          <t>Thailand</t>
        </is>
      </c>
      <c r="C434" s="39" t="inlineStr">
        <is>
          <t>Chalong Pier (Ao Chalong) → Chalong Pier (Ao Chalong)</t>
        </is>
      </c>
      <c r="D434" s="38" t="inlineStr">
        <is>
          <t>grab</t>
        </is>
      </c>
      <c r="E434" s="40" t="inlineStr">
        <is>
          <t>phuket</t>
        </is>
      </c>
      <c r="F434" s="41" t="n">
        <v>1</v>
      </c>
      <c r="G434" s="42" t="n">
        <v>10</v>
      </c>
      <c r="H434" s="35" t="n">
        <v>35</v>
      </c>
      <c r="I434" s="43" t="inlineStr">
        <is>
          <t>T1</t>
        </is>
      </c>
      <c r="J434" s="43" t="inlineStr">
        <is>
          <t>med</t>
        </is>
      </c>
      <c r="K434" s="29" t="n">
        <v>1</v>
      </c>
      <c r="L434" s="44">
        <f>60*G434/cruise_kt</f>
        <v/>
      </c>
      <c r="M434" s="44">
        <f>L434+turn_min+dwell_min</f>
        <v/>
      </c>
      <c r="N434" s="45">
        <f>MIN(10,FLOOR(60*service_hr/M434,1))</f>
        <v/>
      </c>
      <c r="O434" s="45">
        <f>ROUND(365*mech_uptime*K434,0)</f>
        <v/>
      </c>
      <c r="P434" s="46">
        <f>mech_uptime</f>
        <v/>
      </c>
      <c r="Q434" s="46">
        <f>revleg_sel</f>
        <v/>
      </c>
      <c r="R434" s="45">
        <f>ROUND(N434*O434*revleg_sel,0)</f>
        <v/>
      </c>
      <c r="S434" s="47">
        <f>load_sel</f>
        <v/>
      </c>
      <c r="T434" s="47">
        <f>pax_cap*S434</f>
        <v/>
      </c>
      <c r="U434" s="45">
        <f>T434*R434</f>
        <v/>
      </c>
      <c r="V434" s="48">
        <f>H434*discount</f>
        <v/>
      </c>
      <c r="W434" s="49">
        <f>V434*U434</f>
        <v/>
      </c>
      <c r="X434" s="49">
        <f>(battery/range_nm)*G434*R434*VLOOKUP(B434,country_opex,3,FALSE)</f>
        <v/>
      </c>
      <c r="Y434" s="49">
        <f>VLOOKUP(B434,country_opex,2,FALSE)*crew_factor</f>
        <v/>
      </c>
      <c r="Z434" s="49">
        <f>VLOOKUP(B434,country_opex,5,FALSE)</f>
        <v/>
      </c>
      <c r="AA434" s="49">
        <f>maint</f>
        <v/>
      </c>
      <c r="AB434" s="49">
        <f>VLOOKUP(B434,country_opex,7,FALSE)*ins_pct</f>
        <v/>
      </c>
      <c r="AC434" s="49">
        <f>charge_berth</f>
        <v/>
      </c>
      <c r="AD434" s="49">
        <f>X434+Y434+Z434+AA434+AB434+AC434</f>
        <v/>
      </c>
      <c r="AE434" s="49">
        <f>VLOOKUP(B434,country_opex,7,FALSE)/dep_years</f>
        <v/>
      </c>
      <c r="AF434" s="49">
        <f>W434-AD434</f>
        <v/>
      </c>
      <c r="AG434" s="46">
        <f>IF(W434=0,"",AF434/W434)</f>
        <v/>
      </c>
      <c r="AH434" s="47">
        <f>IF(AF434&lt;=0,"",VLOOKUP(B434,country_opex,7,FALSE)/AF434)</f>
        <v/>
      </c>
      <c r="AI434" s="44">
        <f>((G434*R434/diesel_nmpg)*diesel_co2pg-(battery/range_nm)*G434*R434*VLOOKUP(B434,country_opex,4,FALSE))/1000</f>
        <v/>
      </c>
      <c r="AJ434" s="42" t="n">
        <v>400000</v>
      </c>
      <c r="AK434" s="43" t="n"/>
      <c r="AL434" s="43" t="n"/>
      <c r="AM434" s="50" t="n">
        <v>0.1</v>
      </c>
      <c r="AN434" s="45">
        <f>IF(AJ434="","",AJ434*AM434)</f>
        <v/>
      </c>
      <c r="AO434" s="45">
        <f>IF(OR(AJ434="",U434=0),"",MIN(IF(AV434="",9.9E+99,AV434),FLOOR(AN434/U434,1)))</f>
        <v/>
      </c>
      <c r="AP434" s="49">
        <f>IF(AO434="","",AO434*W434)</f>
        <v/>
      </c>
      <c r="AQ434" s="47">
        <f>IF(OR(AJ434="",U434=0),"",MIN(IF(AV434="",9.9E+99,AV434),AN434/U434))</f>
        <v/>
      </c>
      <c r="AR434" s="49">
        <f>IF(AQ434="","",AQ434*W434)</f>
        <v/>
      </c>
      <c r="AS434" s="51" t="n"/>
      <c r="AT434" s="52" t="n"/>
      <c r="AU434" s="52" t="n"/>
      <c r="AV434" s="53" t="n"/>
      <c r="AW434" s="54">
        <f>IF(((V434*pax_cap*load_thin*ROUND(N434*O434*revleg_thin,0))-(((battery/range_nm)*G434*ROUND(N434*O434*revleg_thin,0)*VLOOKUP(B434,country_opex,3,FALSE))+Y434+Z434+AA434+AB434+AC434))&lt;=0,"",VLOOKUP(B434,country_opex,7,FALSE)/((V434*pax_cap*load_thin*ROUND(N434*O434*revleg_thin,0))-(((battery/range_nm)*G434*ROUND(N434*O434*revleg_thin,0)*VLOOKUP(B434,country_opex,3,FALSE))+Y434+Z434+AA434+AB434+AC434)))</f>
        <v/>
      </c>
      <c r="AX434" s="54">
        <f>IF(((V434*pax_cap*load_mid*ROUND(N434*O434*revleg_mid,0))-(((battery/range_nm)*G434*ROUND(N434*O434*revleg_mid,0)*VLOOKUP(B434,country_opex,3,FALSE))+Y434+Z434+AA434+AB434+AC434))&lt;=0,"",VLOOKUP(B434,country_opex,7,FALSE)/((V434*pax_cap*load_mid*ROUND(N434*O434*revleg_mid,0))-(((battery/range_nm)*G434*ROUND(N434*O434*revleg_mid,0)*VLOOKUP(B434,country_opex,3,FALSE))+Y434+Z434+AA434+AB434+AC434)))</f>
        <v/>
      </c>
      <c r="AY434" s="54">
        <f>IF(((V434*pax_cap*load_full*ROUND(N434*O434*revleg_full,0))-(((battery/range_nm)*G434*ROUND(N434*O434*revleg_full,0)*VLOOKUP(B434,country_opex,3,FALSE))+Y434+Z434+AA434+AB434+AC434))&lt;=0,"",VLOOKUP(B434,country_opex,7,FALSE)/((V434*pax_cap*load_full*ROUND(N434*O434*revleg_full,0))-(((battery/range_nm)*G434*ROUND(N434*O434*revleg_full,0)*VLOOKUP(B434,country_opex,3,FALSE))+Y434+Z434+AA434+AB434+AC434)))</f>
        <v/>
      </c>
      <c r="AZ434" s="40" t="inlineStr">
        <is>
          <t>Modal product = shared speedboat Coral Island half/one-day trip ex-Chalong: Love Sea Tour Racha+Coral speedboat 1,200 THB adult (promo 1,050) (loveseatour.com/racha-coral-speed-boat/); JC Tour Coral+snorkel 1,200 THB (jctour-thai.com/coral); Andamarine one-day Racha Yai+Coral 1,250 THB/pax incl. buffet lunch (operator IG, 2026). Premium top of ladder: HYPE join-in day cruise 3,900 THB adult incl. transfer (operator rate sheet via boatingo.com/boats/hype-catamaran/). Anchor = modal speedboat product ~1,250 THB = ~USD 35, NOT the premium cat.</t>
        </is>
      </c>
      <c r="BA434" s="40" t="n"/>
    </row>
    <row r="435">
      <c r="A435" s="38" t="inlineStr">
        <is>
          <t>Koh Samui</t>
        </is>
      </c>
      <c r="B435" s="38" t="inlineStr">
        <is>
          <t>Thailand</t>
        </is>
      </c>
      <c r="C435" s="39" t="inlineStr">
        <is>
          <t>Koh Samui (Bangrak) → Koh Phangan (Thong Sala)</t>
        </is>
      </c>
      <c r="D435" s="38" t="inlineStr">
        <is>
          <t>grab</t>
        </is>
      </c>
      <c r="E435" s="40" t="inlineStr">
        <is>
          <t>koh-samui</t>
        </is>
      </c>
      <c r="F435" s="41" t="n">
        <v>1</v>
      </c>
      <c r="G435" s="42" t="n">
        <v>10.2</v>
      </c>
      <c r="H435" s="35" t="n">
        <v>35</v>
      </c>
      <c r="I435" s="43" t="n"/>
      <c r="J435" s="43" t="inlineStr">
        <is>
          <t>T1</t>
        </is>
      </c>
      <c r="K435" s="29" t="n">
        <v>1</v>
      </c>
      <c r="L435" s="44">
        <f>60*G435/cruise_kt</f>
        <v/>
      </c>
      <c r="M435" s="44">
        <f>L435+turn_min+dwell_min</f>
        <v/>
      </c>
      <c r="N435" s="45">
        <f>MIN(10,FLOOR(60*service_hr/M435,1))</f>
        <v/>
      </c>
      <c r="O435" s="45">
        <f>ROUND(365*mech_uptime*K435,0)</f>
        <v/>
      </c>
      <c r="P435" s="46">
        <f>mech_uptime</f>
        <v/>
      </c>
      <c r="Q435" s="46">
        <f>revleg_sel</f>
        <v/>
      </c>
      <c r="R435" s="45">
        <f>ROUND(N435*O435*revleg_sel,0)</f>
        <v/>
      </c>
      <c r="S435" s="47">
        <f>load_sel</f>
        <v/>
      </c>
      <c r="T435" s="47">
        <f>pax_cap*S435</f>
        <v/>
      </c>
      <c r="U435" s="45">
        <f>T435*R435</f>
        <v/>
      </c>
      <c r="V435" s="48">
        <f>H435*discount</f>
        <v/>
      </c>
      <c r="W435" s="49">
        <f>V435*U435</f>
        <v/>
      </c>
      <c r="X435" s="49">
        <f>(battery/range_nm)*G435*R435*VLOOKUP(B435,country_opex,3,FALSE)</f>
        <v/>
      </c>
      <c r="Y435" s="49">
        <f>VLOOKUP(B435,country_opex,2,FALSE)*crew_factor</f>
        <v/>
      </c>
      <c r="Z435" s="49">
        <f>VLOOKUP(B435,country_opex,5,FALSE)</f>
        <v/>
      </c>
      <c r="AA435" s="49">
        <f>maint</f>
        <v/>
      </c>
      <c r="AB435" s="49">
        <f>VLOOKUP(B435,country_opex,7,FALSE)*ins_pct</f>
        <v/>
      </c>
      <c r="AC435" s="49">
        <f>charge_berth</f>
        <v/>
      </c>
      <c r="AD435" s="49">
        <f>X435+Y435+Z435+AA435+AB435+AC435</f>
        <v/>
      </c>
      <c r="AE435" s="49">
        <f>VLOOKUP(B435,country_opex,7,FALSE)/dep_years</f>
        <v/>
      </c>
      <c r="AF435" s="49">
        <f>W435-AD435</f>
        <v/>
      </c>
      <c r="AG435" s="46">
        <f>IF(W435=0,"",AF435/W435)</f>
        <v/>
      </c>
      <c r="AH435" s="47">
        <f>IF(AF435&lt;=0,"",VLOOKUP(B435,country_opex,7,FALSE)/AF435)</f>
        <v/>
      </c>
      <c r="AI435" s="44">
        <f>((G435*R435/diesel_nmpg)*diesel_co2pg-(battery/range_nm)*G435*R435*VLOOKUP(B435,country_opex,4,FALSE))/1000</f>
        <v/>
      </c>
      <c r="AJ435" s="42" t="n">
        <v>1000000</v>
      </c>
      <c r="AK435" s="43" t="inlineStr">
        <is>
          <t>T4</t>
        </is>
      </c>
      <c r="AL435" s="43" t="inlineStr">
        <is>
          <t>med-low</t>
        </is>
      </c>
      <c r="AM435" s="50" t="n">
        <v>0.1</v>
      </c>
      <c r="AN435" s="45">
        <f>IF(AJ435="","",AJ435*AM435)</f>
        <v/>
      </c>
      <c r="AO435" s="45">
        <f>IF(OR(AJ435="",U435=0),"",MIN(IF(AV435="",9.9E+99,AV435),FLOOR(AN435/U435,1)))</f>
        <v/>
      </c>
      <c r="AP435" s="49">
        <f>IF(AO435="","",AO435*W435)</f>
        <v/>
      </c>
      <c r="AQ435" s="47">
        <f>IF(OR(AJ435="",U435=0),"",MIN(IF(AV435="",9.9E+99,AV435),AN435/U435))</f>
        <v/>
      </c>
      <c r="AR435" s="49">
        <f>IF(AQ435="","",AQ435*W435)</f>
        <v/>
      </c>
      <c r="AS435" s="51" t="n"/>
      <c r="AT435" s="52" t="n"/>
      <c r="AU435" s="52" t="n"/>
      <c r="AV435" s="53" t="n"/>
      <c r="AW435" s="54">
        <f>IF(((V435*pax_cap*load_thin*ROUND(N435*O435*revleg_thin,0))-(((battery/range_nm)*G435*ROUND(N435*O435*revleg_thin,0)*VLOOKUP(B435,country_opex,3,FALSE))+Y435+Z435+AA435+AB435+AC435))&lt;=0,"",VLOOKUP(B435,country_opex,7,FALSE)/((V435*pax_cap*load_thin*ROUND(N435*O435*revleg_thin,0))-(((battery/range_nm)*G435*ROUND(N435*O435*revleg_thin,0)*VLOOKUP(B435,country_opex,3,FALSE))+Y435+Z435+AA435+AB435+AC435)))</f>
        <v/>
      </c>
      <c r="AX435" s="54">
        <f>IF(((V435*pax_cap*load_mid*ROUND(N435*O435*revleg_mid,0))-(((battery/range_nm)*G435*ROUND(N435*O435*revleg_mid,0)*VLOOKUP(B435,country_opex,3,FALSE))+Y435+Z435+AA435+AB435+AC435))&lt;=0,"",VLOOKUP(B435,country_opex,7,FALSE)/((V435*pax_cap*load_mid*ROUND(N435*O435*revleg_mid,0))-(((battery/range_nm)*G435*ROUND(N435*O435*revleg_mid,0)*VLOOKUP(B435,country_opex,3,FALSE))+Y435+Z435+AA435+AB435+AC435)))</f>
        <v/>
      </c>
      <c r="AY435" s="54">
        <f>IF(((V435*pax_cap*load_full*ROUND(N435*O435*revleg_full,0))-(((battery/range_nm)*G435*ROUND(N435*O435*revleg_full,0)*VLOOKUP(B435,country_opex,3,FALSE))+Y435+Z435+AA435+AB435+AC435))&lt;=0,"",VLOOKUP(B435,country_opex,7,FALSE)/((V435*pax_cap*load_full*ROUND(N435*O435*revleg_full,0))-(((battery/range_nm)*G435*ROUND(N435*O435*revleg_full,0)*VLOOKUP(B435,country_opex,3,FALSE))+Y435+Z435+AA435+AB435+AC435)))</f>
        <v/>
      </c>
      <c r="AZ435" s="40" t="n"/>
      <c r="BA435" s="40" t="inlineStr">
        <is>
          <t>Koh Phangan receives ~1M visitors/yr, ~75% (~825,000) for the Full Moon Party (ThaiJo peer-reviewed research article citing official figures, 2024-era; kohphangancity.go.th municipal plan ~2,000 visitors/day baseline). Trio cross-check: &gt;1M tourists entered Tao-Phangan-Samui in Q1-2024 alone (MGR Online / TAT + Koh Tao Tourism Business Association). Full Moon Party draws 20,000-40,000/event (adventureinyou/41n8, 2025). Phangan has NO airport - boat-only island (R3-EXCEPTION: arrivals = crossing ridership).</t>
        </is>
      </c>
    </row>
    <row r="436">
      <c r="A436" s="38" t="inlineStr">
        <is>
          <t>Phuket</t>
        </is>
      </c>
      <c r="B436" s="38" t="inlineStr">
        <is>
          <t>Thailand</t>
        </is>
      </c>
      <c r="C436" s="39" t="inlineStr">
        <is>
          <t>Ao Po Pier (Ao Po / Ao Por, NE Phuket) → Khao Phing Kan (James Bond Island), Phang Nga Bay</t>
        </is>
      </c>
      <c r="D436" s="38" t="inlineStr">
        <is>
          <t>grab</t>
        </is>
      </c>
      <c r="E436" s="40" t="inlineStr">
        <is>
          <t>phuket</t>
        </is>
      </c>
      <c r="F436" s="41" t="n">
        <v>1</v>
      </c>
      <c r="G436" s="42" t="n">
        <v>13.5</v>
      </c>
      <c r="H436" s="35" t="n">
        <v>90</v>
      </c>
      <c r="I436" s="43" t="inlineStr">
        <is>
          <t>T2</t>
        </is>
      </c>
      <c r="J436" s="43" t="inlineStr">
        <is>
          <t>med</t>
        </is>
      </c>
      <c r="K436" s="29" t="n">
        <v>1</v>
      </c>
      <c r="L436" s="44">
        <f>60*G436/cruise_kt</f>
        <v/>
      </c>
      <c r="M436" s="44">
        <f>L436+turn_min+dwell_min</f>
        <v/>
      </c>
      <c r="N436" s="45">
        <f>MIN(10,FLOOR(60*service_hr/M436,1))</f>
        <v/>
      </c>
      <c r="O436" s="45">
        <f>ROUND(365*mech_uptime*K436,0)</f>
        <v/>
      </c>
      <c r="P436" s="46">
        <f>mech_uptime</f>
        <v/>
      </c>
      <c r="Q436" s="46">
        <f>revleg_sel</f>
        <v/>
      </c>
      <c r="R436" s="45">
        <f>ROUND(N436*O436*revleg_sel,0)</f>
        <v/>
      </c>
      <c r="S436" s="47">
        <f>load_sel</f>
        <v/>
      </c>
      <c r="T436" s="47">
        <f>pax_cap*S436</f>
        <v/>
      </c>
      <c r="U436" s="45">
        <f>T436*R436</f>
        <v/>
      </c>
      <c r="V436" s="48">
        <f>H436*discount</f>
        <v/>
      </c>
      <c r="W436" s="49">
        <f>V436*U436</f>
        <v/>
      </c>
      <c r="X436" s="49">
        <f>(battery/range_nm)*G436*R436*VLOOKUP(B436,country_opex,3,FALSE)</f>
        <v/>
      </c>
      <c r="Y436" s="49">
        <f>VLOOKUP(B436,country_opex,2,FALSE)*crew_factor</f>
        <v/>
      </c>
      <c r="Z436" s="49">
        <f>VLOOKUP(B436,country_opex,5,FALSE)</f>
        <v/>
      </c>
      <c r="AA436" s="49">
        <f>maint</f>
        <v/>
      </c>
      <c r="AB436" s="49">
        <f>VLOOKUP(B436,country_opex,7,FALSE)*ins_pct</f>
        <v/>
      </c>
      <c r="AC436" s="49">
        <f>charge_berth</f>
        <v/>
      </c>
      <c r="AD436" s="49">
        <f>X436+Y436+Z436+AA436+AB436+AC436</f>
        <v/>
      </c>
      <c r="AE436" s="49">
        <f>VLOOKUP(B436,country_opex,7,FALSE)/dep_years</f>
        <v/>
      </c>
      <c r="AF436" s="49">
        <f>W436-AD436</f>
        <v/>
      </c>
      <c r="AG436" s="46">
        <f>IF(W436=0,"",AF436/W436)</f>
        <v/>
      </c>
      <c r="AH436" s="47">
        <f>IF(AF436&lt;=0,"",VLOOKUP(B436,country_opex,7,FALSE)/AF436)</f>
        <v/>
      </c>
      <c r="AI436" s="44">
        <f>((G436*R436/diesel_nmpg)*diesel_co2pg-(battery/range_nm)*G436*R436*VLOOKUP(B436,country_opex,4,FALSE))/1000</f>
        <v/>
      </c>
      <c r="AJ436" s="42" t="n">
        <v>20000</v>
      </c>
      <c r="AK436" s="43" t="n"/>
      <c r="AL436" s="43" t="n"/>
      <c r="AM436" s="50" t="n">
        <v>0.1</v>
      </c>
      <c r="AN436" s="45">
        <f>IF(AJ436="","",AJ436*AM436)</f>
        <v/>
      </c>
      <c r="AO436" s="45">
        <f>IF(OR(AJ436="",U436=0),"",MIN(IF(AV436="",9.9E+99,AV436),FLOOR(AN436/U436,1)))</f>
        <v/>
      </c>
      <c r="AP436" s="49">
        <f>IF(AO436="","",AO436*W436)</f>
        <v/>
      </c>
      <c r="AQ436" s="47">
        <f>IF(OR(AJ436="",U436=0),"",MIN(IF(AV436="",9.9E+99,AV436),AN436/U436))</f>
        <v/>
      </c>
      <c r="AR436" s="49">
        <f>IF(AQ436="","",AQ436*W436)</f>
        <v/>
      </c>
      <c r="AS436" s="51" t="n"/>
      <c r="AT436" s="52" t="n"/>
      <c r="AU436" s="52" t="n"/>
      <c r="AV436" s="53" t="n"/>
      <c r="AW436" s="54">
        <f>IF(((V436*pax_cap*load_thin*ROUND(N436*O436*revleg_thin,0))-(((battery/range_nm)*G436*ROUND(N436*O436*revleg_thin,0)*VLOOKUP(B436,country_opex,3,FALSE))+Y436+Z436+AA436+AB436+AC436))&lt;=0,"",VLOOKUP(B436,country_opex,7,FALSE)/((V436*pax_cap*load_thin*ROUND(N436*O436*revleg_thin,0))-(((battery/range_nm)*G436*ROUND(N436*O436*revleg_thin,0)*VLOOKUP(B436,country_opex,3,FALSE))+Y436+Z436+AA436+AB436+AC436)))</f>
        <v/>
      </c>
      <c r="AX436" s="54">
        <f>IF(((V436*pax_cap*load_mid*ROUND(N436*O436*revleg_mid,0))-(((battery/range_nm)*G436*ROUND(N436*O436*revleg_mid,0)*VLOOKUP(B436,country_opex,3,FALSE))+Y436+Z436+AA436+AB436+AC436))&lt;=0,"",VLOOKUP(B436,country_opex,7,FALSE)/((V436*pax_cap*load_mid*ROUND(N436*O436*revleg_mid,0))-(((battery/range_nm)*G436*ROUND(N436*O436*revleg_mid,0)*VLOOKUP(B436,country_opex,3,FALSE))+Y436+Z436+AA436+AB436+AC436)))</f>
        <v/>
      </c>
      <c r="AY436" s="54">
        <f>IF(((V436*pax_cap*load_full*ROUND(N436*O436*revleg_full,0))-(((battery/range_nm)*G436*ROUND(N436*O436*revleg_full,0)*VLOOKUP(B436,country_opex,3,FALSE))+Y436+Z436+AA436+AB436+AC436))&lt;=0,"",VLOOKUP(B436,country_opex,7,FALSE)/((V436*pax_cap*load_full*ROUND(N436*O436*revleg_full,0))-(((battery/range_nm)*G436*ROUND(N436*O436*revleg_full,0)*VLOOKUP(B436,country_opex,3,FALSE))+Y436+Z436+AA436+AB436+AC436)))</f>
        <v/>
      </c>
      <c r="AZ436" s="40" t="inlineStr">
        <is>
          <t>John Gray's Hong by Starlight 3,350 THB/pax agent rate (phukettoursdirect.com/hong-by-starlight.html) / USD 108.89 retail (Agoda activities listing); Phuket Sail Tours sunset/day band 2,200-2,800 THB (phuketexpatguide.com operator comparison, 2026); Simba Sea Trips premium small-group products (TripAdvisor-listed, 18-adult cap, award-positioned above mass market). Anchor = conservative mid of the 2,500-3,900 THB premium band ~ USD 90.</t>
        </is>
      </c>
      <c r="BA436" s="40" t="n"/>
    </row>
    <row r="437">
      <c r="A437" s="38" t="inlineStr">
        <is>
          <t>Koh Samui</t>
        </is>
      </c>
      <c r="B437" s="38" t="inlineStr">
        <is>
          <t>Thailand</t>
        </is>
      </c>
      <c r="C437" s="39" t="inlineStr">
        <is>
          <t>Koh Samui (Lipa Noi) → Donsak (Raja Ferry pier)</t>
        </is>
      </c>
      <c r="D437" s="38" t="inlineStr">
        <is>
          <t>grab</t>
        </is>
      </c>
      <c r="E437" s="40" t="inlineStr">
        <is>
          <t>koh-samui</t>
        </is>
      </c>
      <c r="F437" s="41" t="n">
        <v>1</v>
      </c>
      <c r="G437" s="42" t="n">
        <v>14.3</v>
      </c>
      <c r="H437" s="35" t="n">
        <v>15.2</v>
      </c>
      <c r="I437" s="43" t="n"/>
      <c r="J437" s="43" t="inlineStr">
        <is>
          <t>T3</t>
        </is>
      </c>
      <c r="K437" s="29" t="n">
        <v>1</v>
      </c>
      <c r="L437" s="44">
        <f>60*G437/cruise_kt</f>
        <v/>
      </c>
      <c r="M437" s="44">
        <f>L437+turn_min+dwell_min</f>
        <v/>
      </c>
      <c r="N437" s="45">
        <f>MIN(16,FLOOR(60*service_hr/M437,1))</f>
        <v/>
      </c>
      <c r="O437" s="45">
        <f>ROUND(365*mech_uptime*K437,0)</f>
        <v/>
      </c>
      <c r="P437" s="46">
        <f>mech_uptime</f>
        <v/>
      </c>
      <c r="Q437" s="46">
        <f>revleg_sel</f>
        <v/>
      </c>
      <c r="R437" s="45">
        <f>ROUND(N437*O437*revleg_sel,0)</f>
        <v/>
      </c>
      <c r="S437" s="47">
        <f>load_sel</f>
        <v/>
      </c>
      <c r="T437" s="47">
        <f>pax_cap*S437</f>
        <v/>
      </c>
      <c r="U437" s="45">
        <f>T437*R437</f>
        <v/>
      </c>
      <c r="V437" s="48">
        <f>H437*discount</f>
        <v/>
      </c>
      <c r="W437" s="49">
        <f>V437*U437</f>
        <v/>
      </c>
      <c r="X437" s="49">
        <f>(battery/range_nm)*G437*R437*VLOOKUP(B437,country_opex,3,FALSE)</f>
        <v/>
      </c>
      <c r="Y437" s="49">
        <f>VLOOKUP(B437,country_opex,2,FALSE)*crew_factor</f>
        <v/>
      </c>
      <c r="Z437" s="49">
        <f>VLOOKUP(B437,country_opex,5,FALSE)</f>
        <v/>
      </c>
      <c r="AA437" s="49">
        <f>maint</f>
        <v/>
      </c>
      <c r="AB437" s="49">
        <f>VLOOKUP(B437,country_opex,7,FALSE)*ins_pct</f>
        <v/>
      </c>
      <c r="AC437" s="49">
        <f>charge_berth</f>
        <v/>
      </c>
      <c r="AD437" s="49">
        <f>X437+Y437+Z437+AA437+AB437+AC437</f>
        <v/>
      </c>
      <c r="AE437" s="49">
        <f>VLOOKUP(B437,country_opex,7,FALSE)/dep_years</f>
        <v/>
      </c>
      <c r="AF437" s="49">
        <f>W437-AD437</f>
        <v/>
      </c>
      <c r="AG437" s="46">
        <f>IF(W437=0,"",AF437/W437)</f>
        <v/>
      </c>
      <c r="AH437" s="47">
        <f>IF(AF437&lt;=0,"",VLOOKUP(B437,country_opex,7,FALSE)/AF437)</f>
        <v/>
      </c>
      <c r="AI437" s="44">
        <f>((G437*R437/diesel_nmpg)*diesel_co2pg-(battery/range_nm)*G437*R437*VLOOKUP(B437,country_opex,4,FALSE))/1000</f>
        <v/>
      </c>
      <c r="AJ437" s="42" t="n">
        <v>666667</v>
      </c>
      <c r="AK437" s="43" t="inlineStr">
        <is>
          <t>T2</t>
        </is>
      </c>
      <c r="AL437" s="43" t="inlineStr">
        <is>
          <t>med-low</t>
        </is>
      </c>
      <c r="AM437" s="50" t="n">
        <v>0.1</v>
      </c>
      <c r="AN437" s="45">
        <f>IF(AJ437="","",AJ437*AM437)</f>
        <v/>
      </c>
      <c r="AO437" s="45">
        <f>IF(OR(AJ437="",U437=0),"",MIN(IF(AV437="",9.9E+99,AV437),FLOOR(AN437/U437,1)))</f>
        <v/>
      </c>
      <c r="AP437" s="49">
        <f>IF(AO437="","",AO437*W437)</f>
        <v/>
      </c>
      <c r="AQ437" s="47">
        <f>IF(OR(AJ437="",U437=0),"",MIN(IF(AV437="",9.9E+99,AV437),AN437/U437))</f>
        <v/>
      </c>
      <c r="AR437" s="49">
        <f>IF(AQ437="","",AQ437*W437)</f>
        <v/>
      </c>
      <c r="AS437" s="51" t="n"/>
      <c r="AT437" s="52" t="n"/>
      <c r="AU437" s="52" t="n"/>
      <c r="AV437" s="53" t="n"/>
      <c r="AW437" s="54">
        <f>IF(((V437*pax_cap*load_thin*ROUND(N437*O437*revleg_thin,0))-(((battery/range_nm)*G437*ROUND(N437*O437*revleg_thin,0)*VLOOKUP(B437,country_opex,3,FALSE))+Y437+Z437+AA437+AB437+AC437))&lt;=0,"",VLOOKUP(B437,country_opex,7,FALSE)/((V437*pax_cap*load_thin*ROUND(N437*O437*revleg_thin,0))-(((battery/range_nm)*G437*ROUND(N437*O437*revleg_thin,0)*VLOOKUP(B437,country_opex,3,FALSE))+Y437+Z437+AA437+AB437+AC437)))</f>
        <v/>
      </c>
      <c r="AX437" s="54">
        <f>IF(((V437*pax_cap*load_mid*ROUND(N437*O437*revleg_mid,0))-(((battery/range_nm)*G437*ROUND(N437*O437*revleg_mid,0)*VLOOKUP(B437,country_opex,3,FALSE))+Y437+Z437+AA437+AB437+AC437))&lt;=0,"",VLOOKUP(B437,country_opex,7,FALSE)/((V437*pax_cap*load_mid*ROUND(N437*O437*revleg_mid,0))-(((battery/range_nm)*G437*ROUND(N437*O437*revleg_mid,0)*VLOOKUP(B437,country_opex,3,FALSE))+Y437+Z437+AA437+AB437+AC437)))</f>
        <v/>
      </c>
      <c r="AY437" s="54">
        <f>IF(((V437*pax_cap*load_full*ROUND(N437*O437*revleg_full,0))-(((battery/range_nm)*G437*ROUND(N437*O437*revleg_full,0)*VLOOKUP(B437,country_opex,3,FALSE))+Y437+Z437+AA437+AB437+AC437))&lt;=0,"",VLOOKUP(B437,country_opex,7,FALSE)/((V437*pax_cap*load_full*ROUND(N437*O437*revleg_full,0))-(((battery/range_nm)*G437*ROUND(N437*O437*revleg_full,0)*VLOOKUP(B437,country_opex,3,FALSE))+Y437+Z437+AA437+AB437+AC437)))</f>
        <v/>
      </c>
      <c r="AZ437" s="40" t="n"/>
      <c r="BA437" s="40" t="inlineStr">
        <is>
          <t>SUBSET of rn-347c44e1d360 (do not sum). Raja Ferry Port (SET-listed, RP) company disclosure: ~1.2M passengers + ~600k vehicles carried in 2017 (+20% over 2016) across Donsak-Lipa Noi (Samui) and Donsak-Phangan routes; ~14 ferries, up to 50 trips/day (RP business plan via Koh Samui News/Samui Times; CreditRiskMonitor profile). RP FY2024 (2567) one-report exists but is a scanned PDF; per-route pax not machine-readable.</t>
        </is>
      </c>
    </row>
    <row r="438">
      <c r="A438" s="38" t="inlineStr">
        <is>
          <t>Koh Samui</t>
        </is>
      </c>
      <c r="B438" s="38" t="inlineStr">
        <is>
          <t>Thailand</t>
        </is>
      </c>
      <c r="C438" s="39" t="inlineStr">
        <is>
          <t>Four Seasons Koh Samui (Laem Yai) → Ang Thong Marine Park (Wua Talap)</t>
        </is>
      </c>
      <c r="D438" s="38" t="inlineStr">
        <is>
          <t>grab</t>
        </is>
      </c>
      <c r="E438" s="40" t="inlineStr">
        <is>
          <t>koh-samui</t>
        </is>
      </c>
      <c r="F438" s="41" t="n">
        <v>1</v>
      </c>
      <c r="G438" s="42" t="n">
        <v>15.3</v>
      </c>
      <c r="H438" s="35" t="n">
        <v>79</v>
      </c>
      <c r="I438" s="43" t="n"/>
      <c r="J438" s="43" t="inlineStr">
        <is>
          <t>T3</t>
        </is>
      </c>
      <c r="K438" s="29" t="n">
        <v>1</v>
      </c>
      <c r="L438" s="44">
        <f>60*G438/cruise_kt</f>
        <v/>
      </c>
      <c r="M438" s="44">
        <f>L438+turn_min+dwell_min</f>
        <v/>
      </c>
      <c r="N438" s="45">
        <f>MIN(10,FLOOR(60*service_hr/M438,1))</f>
        <v/>
      </c>
      <c r="O438" s="45">
        <f>ROUND(365*mech_uptime*K438,0)</f>
        <v/>
      </c>
      <c r="P438" s="46">
        <f>mech_uptime</f>
        <v/>
      </c>
      <c r="Q438" s="46">
        <f>revleg_sel</f>
        <v/>
      </c>
      <c r="R438" s="45">
        <f>ROUND(N438*O438*revleg_sel,0)</f>
        <v/>
      </c>
      <c r="S438" s="47">
        <f>load_sel</f>
        <v/>
      </c>
      <c r="T438" s="47">
        <f>pax_cap*S438</f>
        <v/>
      </c>
      <c r="U438" s="45">
        <f>T438*R438</f>
        <v/>
      </c>
      <c r="V438" s="48">
        <f>H438*discount</f>
        <v/>
      </c>
      <c r="W438" s="49">
        <f>V438*U438</f>
        <v/>
      </c>
      <c r="X438" s="49">
        <f>(battery/range_nm)*G438*R438*VLOOKUP(B438,country_opex,3,FALSE)</f>
        <v/>
      </c>
      <c r="Y438" s="49">
        <f>VLOOKUP(B438,country_opex,2,FALSE)*crew_factor</f>
        <v/>
      </c>
      <c r="Z438" s="49">
        <f>VLOOKUP(B438,country_opex,5,FALSE)</f>
        <v/>
      </c>
      <c r="AA438" s="49">
        <f>maint</f>
        <v/>
      </c>
      <c r="AB438" s="49">
        <f>VLOOKUP(B438,country_opex,7,FALSE)*ins_pct</f>
        <v/>
      </c>
      <c r="AC438" s="49">
        <f>charge_berth</f>
        <v/>
      </c>
      <c r="AD438" s="49">
        <f>X438+Y438+Z438+AA438+AB438+AC438</f>
        <v/>
      </c>
      <c r="AE438" s="49">
        <f>VLOOKUP(B438,country_opex,7,FALSE)/dep_years</f>
        <v/>
      </c>
      <c r="AF438" s="49">
        <f>W438-AD438</f>
        <v/>
      </c>
      <c r="AG438" s="46">
        <f>IF(W438=0,"",AF438/W438)</f>
        <v/>
      </c>
      <c r="AH438" s="47">
        <f>IF(AF438&lt;=0,"",VLOOKUP(B438,country_opex,7,FALSE)/AF438)</f>
        <v/>
      </c>
      <c r="AI438" s="44">
        <f>((G438*R438/diesel_nmpg)*diesel_co2pg-(battery/range_nm)*G438*R438*VLOOKUP(B438,country_opex,4,FALSE))/1000</f>
        <v/>
      </c>
      <c r="AJ438" s="42" t="n">
        <v>300000</v>
      </c>
      <c r="AK438" s="43" t="inlineStr">
        <is>
          <t>T2</t>
        </is>
      </c>
      <c r="AL438" s="43" t="inlineStr">
        <is>
          <t>med-low</t>
        </is>
      </c>
      <c r="AM438" s="50" t="n">
        <v>0.9</v>
      </c>
      <c r="AN438" s="45">
        <f>IF(AJ438="","",AJ438*AM438)</f>
        <v/>
      </c>
      <c r="AO438" s="45">
        <f>IF(OR(AJ438="",U438=0),"",MIN(IF(AV438="",9.9E+99,AV438),FLOOR(AN438/U438,1)))</f>
        <v/>
      </c>
      <c r="AP438" s="49">
        <f>IF(AO438="","",AO438*W438)</f>
        <v/>
      </c>
      <c r="AQ438" s="47">
        <f>IF(OR(AJ438="",U438=0),"",MIN(IF(AV438="",9.9E+99,AV438),AN438/U438))</f>
        <v/>
      </c>
      <c r="AR438" s="49">
        <f>IF(AQ438="","",AQ438*W438)</f>
        <v/>
      </c>
      <c r="AS438" s="51" t="n"/>
      <c r="AT438" s="52" t="n"/>
      <c r="AU438" s="52" t="n"/>
      <c r="AV438" s="53" t="n">
        <v>3</v>
      </c>
      <c r="AW438" s="54">
        <f>IF(((V438*pax_cap*load_thin*ROUND(N438*O438*revleg_thin,0))-(((battery/range_nm)*G438*ROUND(N438*O438*revleg_thin,0)*VLOOKUP(B438,country_opex,3,FALSE))+Y438+Z438+AA438+AB438+AC438))&lt;=0,"",VLOOKUP(B438,country_opex,7,FALSE)/((V438*pax_cap*load_thin*ROUND(N438*O438*revleg_thin,0))-(((battery/range_nm)*G438*ROUND(N438*O438*revleg_thin,0)*VLOOKUP(B438,country_opex,3,FALSE))+Y438+Z438+AA438+AB438+AC438)))</f>
        <v/>
      </c>
      <c r="AX438" s="54">
        <f>IF(((V438*pax_cap*load_mid*ROUND(N438*O438*revleg_mid,0))-(((battery/range_nm)*G438*ROUND(N438*O438*revleg_mid,0)*VLOOKUP(B438,country_opex,3,FALSE))+Y438+Z438+AA438+AB438+AC438))&lt;=0,"",VLOOKUP(B438,country_opex,7,FALSE)/((V438*pax_cap*load_mid*ROUND(N438*O438*revleg_mid,0))-(((battery/range_nm)*G438*ROUND(N438*O438*revleg_mid,0)*VLOOKUP(B438,country_opex,3,FALSE))+Y438+Z438+AA438+AB438+AC438)))</f>
        <v/>
      </c>
      <c r="AY438" s="54">
        <f>IF(((V438*pax_cap*load_full*ROUND(N438*O438*revleg_full,0))-(((battery/range_nm)*G438*ROUND(N438*O438*revleg_full,0)*VLOOKUP(B438,country_opex,3,FALSE))+Y438+Z438+AA438+AB438+AC438))&lt;=0,"",VLOOKUP(B438,country_opex,7,FALSE)/((V438*pax_cap*load_full*ROUND(N438*O438*revleg_full,0))-(((battery/range_nm)*G438*ROUND(N438*O438*revleg_full,0)*VLOOKUP(B438,country_opex,3,FALSE))+Y438+Z438+AA438+AB438+AC438)))</f>
        <v/>
      </c>
      <c r="AZ438" s="40" t="n"/>
      <c r="BA438" s="40" t="inlineStr">
        <is>
          <t>Mu Ko Ang Thong National Marine Park: ~160,000 park visitors/yr, ~85% foreign, &gt;THB 40M annual fee revenue (Thai PBS citing park authority, ~2024; DNP visitor-stats system catalog.dnp.go.th is the underlying register - R3-GOLD park-authority class). Park is boat-only and closed annually 1 Nov-15 Dec. Licensed speedboat day tours depart Samui (and Phangan) daily in season.</t>
        </is>
      </c>
    </row>
    <row r="439">
      <c r="A439" s="38" t="inlineStr">
        <is>
          <t>Koh Samui</t>
        </is>
      </c>
      <c r="B439" s="38" t="inlineStr">
        <is>
          <t>Thailand</t>
        </is>
      </c>
      <c r="C439" s="39" t="inlineStr">
        <is>
          <t>Koh Samui (Nathon) → Donsak (Seatran harbour)</t>
        </is>
      </c>
      <c r="D439" s="38" t="inlineStr">
        <is>
          <t>grab</t>
        </is>
      </c>
      <c r="E439" s="40" t="inlineStr">
        <is>
          <t>koh-samui</t>
        </is>
      </c>
      <c r="F439" s="41" t="n">
        <v>1</v>
      </c>
      <c r="G439" s="42" t="n">
        <v>17.9</v>
      </c>
      <c r="H439" s="35" t="n">
        <v>15.2</v>
      </c>
      <c r="I439" s="43" t="n"/>
      <c r="J439" s="43" t="inlineStr">
        <is>
          <t>T3</t>
        </is>
      </c>
      <c r="K439" s="29" t="n">
        <v>1</v>
      </c>
      <c r="L439" s="44">
        <f>60*G439/cruise_kt</f>
        <v/>
      </c>
      <c r="M439" s="44">
        <f>L439+turn_min+dwell_min</f>
        <v/>
      </c>
      <c r="N439" s="45">
        <f>MIN(16,FLOOR(60*service_hr/M439,1))</f>
        <v/>
      </c>
      <c r="O439" s="45">
        <f>ROUND(365*mech_uptime*K439,0)</f>
        <v/>
      </c>
      <c r="P439" s="46">
        <f>mech_uptime</f>
        <v/>
      </c>
      <c r="Q439" s="46">
        <f>revleg_sel</f>
        <v/>
      </c>
      <c r="R439" s="45">
        <f>ROUND(N439*O439*revleg_sel,0)</f>
        <v/>
      </c>
      <c r="S439" s="47">
        <f>load_sel</f>
        <v/>
      </c>
      <c r="T439" s="47">
        <f>pax_cap*S439</f>
        <v/>
      </c>
      <c r="U439" s="45">
        <f>T439*R439</f>
        <v/>
      </c>
      <c r="V439" s="48">
        <f>H439*discount</f>
        <v/>
      </c>
      <c r="W439" s="49">
        <f>V439*U439</f>
        <v/>
      </c>
      <c r="X439" s="49">
        <f>(battery/range_nm)*G439*R439*VLOOKUP(B439,country_opex,3,FALSE)</f>
        <v/>
      </c>
      <c r="Y439" s="49">
        <f>VLOOKUP(B439,country_opex,2,FALSE)*crew_factor</f>
        <v/>
      </c>
      <c r="Z439" s="49">
        <f>VLOOKUP(B439,country_opex,5,FALSE)</f>
        <v/>
      </c>
      <c r="AA439" s="49">
        <f>maint</f>
        <v/>
      </c>
      <c r="AB439" s="49">
        <f>VLOOKUP(B439,country_opex,7,FALSE)*ins_pct</f>
        <v/>
      </c>
      <c r="AC439" s="49">
        <f>charge_berth</f>
        <v/>
      </c>
      <c r="AD439" s="49">
        <f>X439+Y439+Z439+AA439+AB439+AC439</f>
        <v/>
      </c>
      <c r="AE439" s="49">
        <f>VLOOKUP(B439,country_opex,7,FALSE)/dep_years</f>
        <v/>
      </c>
      <c r="AF439" s="49">
        <f>W439-AD439</f>
        <v/>
      </c>
      <c r="AG439" s="46">
        <f>IF(W439=0,"",AF439/W439)</f>
        <v/>
      </c>
      <c r="AH439" s="47">
        <f>IF(AF439&lt;=0,"",VLOOKUP(B439,country_opex,7,FALSE)/AF439)</f>
        <v/>
      </c>
      <c r="AI439" s="44">
        <f>((G439*R439/diesel_nmpg)*diesel_co2pg-(battery/range_nm)*G439*R439*VLOOKUP(B439,country_opex,4,FALSE))/1000</f>
        <v/>
      </c>
      <c r="AJ439" s="42" t="n">
        <v>666667</v>
      </c>
      <c r="AK439" s="43" t="inlineStr">
        <is>
          <t>T5</t>
        </is>
      </c>
      <c r="AL439" s="43" t="inlineStr">
        <is>
          <t>low-med</t>
        </is>
      </c>
      <c r="AM439" s="50" t="n">
        <v>0.1</v>
      </c>
      <c r="AN439" s="45">
        <f>IF(AJ439="","",AJ439*AM439)</f>
        <v/>
      </c>
      <c r="AO439" s="45">
        <f>IF(OR(AJ439="",U439=0),"",MIN(IF(AV439="",9.9E+99,AV439),FLOOR(AN439/U439,1)))</f>
        <v/>
      </c>
      <c r="AP439" s="49">
        <f>IF(AO439="","",AO439*W439)</f>
        <v/>
      </c>
      <c r="AQ439" s="47">
        <f>IF(OR(AJ439="",U439=0),"",MIN(IF(AV439="",9.9E+99,AV439),AN439/U439))</f>
        <v/>
      </c>
      <c r="AR439" s="49">
        <f>IF(AQ439="","",AQ439*W439)</f>
        <v/>
      </c>
      <c r="AS439" s="51" t="n"/>
      <c r="AT439" s="52" t="n"/>
      <c r="AU439" s="52" t="n"/>
      <c r="AV439" s="53" t="n"/>
      <c r="AW439" s="54">
        <f>IF(((V439*pax_cap*load_thin*ROUND(N439*O439*revleg_thin,0))-(((battery/range_nm)*G439*ROUND(N439*O439*revleg_thin,0)*VLOOKUP(B439,country_opex,3,FALSE))+Y439+Z439+AA439+AB439+AC439))&lt;=0,"",VLOOKUP(B439,country_opex,7,FALSE)/((V439*pax_cap*load_thin*ROUND(N439*O439*revleg_thin,0))-(((battery/range_nm)*G439*ROUND(N439*O439*revleg_thin,0)*VLOOKUP(B439,country_opex,3,FALSE))+Y439+Z439+AA439+AB439+AC439)))</f>
        <v/>
      </c>
      <c r="AX439" s="54">
        <f>IF(((V439*pax_cap*load_mid*ROUND(N439*O439*revleg_mid,0))-(((battery/range_nm)*G439*ROUND(N439*O439*revleg_mid,0)*VLOOKUP(B439,country_opex,3,FALSE))+Y439+Z439+AA439+AB439+AC439))&lt;=0,"",VLOOKUP(B439,country_opex,7,FALSE)/((V439*pax_cap*load_mid*ROUND(N439*O439*revleg_mid,0))-(((battery/range_nm)*G439*ROUND(N439*O439*revleg_mid,0)*VLOOKUP(B439,country_opex,3,FALSE))+Y439+Z439+AA439+AB439+AC439)))</f>
        <v/>
      </c>
      <c r="AY439" s="54">
        <f>IF(((V439*pax_cap*load_full*ROUND(N439*O439*revleg_full,0))-(((battery/range_nm)*G439*ROUND(N439*O439*revleg_full,0)*VLOOKUP(B439,country_opex,3,FALSE))+Y439+Z439+AA439+AB439+AC439))&lt;=0,"",VLOOKUP(B439,country_opex,7,FALSE)/((V439*pax_cap*load_full*ROUND(N439*O439*revleg_full,0))-(((battery/range_nm)*G439*ROUND(N439*O439*revleg_full,0)*VLOOKUP(B439,country_opex,3,FALSE))+Y439+Z439+AA439+AB439+AC439)))</f>
        <v/>
      </c>
      <c r="AZ439" s="40" t="n"/>
      <c r="BA439" s="40" t="inlineStr">
        <is>
          <t>SUBSET of rn-347c44e1d360 (do not sum). Seatran Ferry: 6 vessels, ~hourly departures 05:00-19:00 each way, 13-16 kt, ~1.5h crossing, ~450-pax + ~70-car capacity per vessel (Tripadvisor operator page; thailandboattickets.com; C9 Hotelworks cited in city brief). No published Seatran annual ridership found.</t>
        </is>
      </c>
    </row>
    <row r="440">
      <c r="A440" s="38" t="inlineStr">
        <is>
          <t>Phuket</t>
        </is>
      </c>
      <c r="B440" s="38" t="inlineStr">
        <is>
          <t>Thailand</t>
        </is>
      </c>
      <c r="C440" s="39" t="inlineStr">
        <is>
          <t>Phuket (Royal Phuket Marina) → Phang Nga Bay / James Bond Island</t>
        </is>
      </c>
      <c r="D440" s="38" t="inlineStr">
        <is>
          <t>grab</t>
        </is>
      </c>
      <c r="E440" s="40" t="inlineStr">
        <is>
          <t>phuket</t>
        </is>
      </c>
      <c r="F440" s="41" t="n">
        <v>1</v>
      </c>
      <c r="G440" s="42" t="n">
        <v>20</v>
      </c>
      <c r="H440" s="35" t="n">
        <v>72</v>
      </c>
      <c r="I440" s="43" t="inlineStr">
        <is>
          <t>T3</t>
        </is>
      </c>
      <c r="J440" s="43" t="inlineStr">
        <is>
          <t>med</t>
        </is>
      </c>
      <c r="K440" s="29" t="n">
        <v>1</v>
      </c>
      <c r="L440" s="44">
        <f>60*G440/cruise_kt</f>
        <v/>
      </c>
      <c r="M440" s="44">
        <f>L440+turn_min+dwell_min</f>
        <v/>
      </c>
      <c r="N440" s="45">
        <f>MIN(10,FLOOR(60*service_hr/M440,1))</f>
        <v/>
      </c>
      <c r="O440" s="45">
        <f>ROUND(365*mech_uptime*K440,0)</f>
        <v/>
      </c>
      <c r="P440" s="46">
        <f>mech_uptime</f>
        <v/>
      </c>
      <c r="Q440" s="46">
        <f>revleg_sel</f>
        <v/>
      </c>
      <c r="R440" s="45">
        <f>ROUND(N440*O440*revleg_sel,0)</f>
        <v/>
      </c>
      <c r="S440" s="47">
        <f>load_sel</f>
        <v/>
      </c>
      <c r="T440" s="47">
        <f>pax_cap*S440</f>
        <v/>
      </c>
      <c r="U440" s="45">
        <f>T440*R440</f>
        <v/>
      </c>
      <c r="V440" s="48">
        <f>H440*discount</f>
        <v/>
      </c>
      <c r="W440" s="49">
        <f>V440*U440</f>
        <v/>
      </c>
      <c r="X440" s="49">
        <f>(battery/range_nm)*G440*R440*VLOOKUP(B440,country_opex,3,FALSE)</f>
        <v/>
      </c>
      <c r="Y440" s="49">
        <f>VLOOKUP(B440,country_opex,2,FALSE)*crew_factor</f>
        <v/>
      </c>
      <c r="Z440" s="49">
        <f>VLOOKUP(B440,country_opex,5,FALSE)</f>
        <v/>
      </c>
      <c r="AA440" s="49">
        <f>maint</f>
        <v/>
      </c>
      <c r="AB440" s="49">
        <f>VLOOKUP(B440,country_opex,7,FALSE)*ins_pct</f>
        <v/>
      </c>
      <c r="AC440" s="49">
        <f>charge_berth</f>
        <v/>
      </c>
      <c r="AD440" s="49">
        <f>X440+Y440+Z440+AA440+AB440+AC440</f>
        <v/>
      </c>
      <c r="AE440" s="49">
        <f>VLOOKUP(B440,country_opex,7,FALSE)/dep_years</f>
        <v/>
      </c>
      <c r="AF440" s="49">
        <f>W440-AD440</f>
        <v/>
      </c>
      <c r="AG440" s="46">
        <f>IF(W440=0,"",AF440/W440)</f>
        <v/>
      </c>
      <c r="AH440" s="47">
        <f>IF(AF440&lt;=0,"",VLOOKUP(B440,country_opex,7,FALSE)/AF440)</f>
        <v/>
      </c>
      <c r="AI440" s="44">
        <f>((G440*R440/diesel_nmpg)*diesel_co2pg-(battery/range_nm)*G440*R440*VLOOKUP(B440,country_opex,4,FALSE))/1000</f>
        <v/>
      </c>
      <c r="AJ440" s="42" t="n">
        <v>580000</v>
      </c>
      <c r="AK440" s="43" t="inlineStr">
        <is>
          <t>T2</t>
        </is>
      </c>
      <c r="AL440" s="43" t="inlineStr">
        <is>
          <t>med</t>
        </is>
      </c>
      <c r="AM440" s="50" t="n">
        <v>0.1</v>
      </c>
      <c r="AN440" s="45">
        <f>IF(AJ440="","",AJ440*AM440)</f>
        <v/>
      </c>
      <c r="AO440" s="45">
        <f>IF(OR(AJ440="",U440=0),"",MIN(IF(AV440="",9.9E+99,AV440),FLOOR(AN440/U440,1)))</f>
        <v/>
      </c>
      <c r="AP440" s="49">
        <f>IF(AO440="","",AO440*W440)</f>
        <v/>
      </c>
      <c r="AQ440" s="47">
        <f>IF(OR(AJ440="",U440=0),"",MIN(IF(AV440="",9.9E+99,AV440),AN440/U440))</f>
        <v/>
      </c>
      <c r="AR440" s="49">
        <f>IF(AQ440="","",AQ440*W440)</f>
        <v/>
      </c>
      <c r="AS440" s="51" t="n"/>
      <c r="AT440" s="52" t="n"/>
      <c r="AU440" s="52" t="n"/>
      <c r="AV440" s="53" t="n"/>
      <c r="AW440" s="54">
        <f>IF(((V440*pax_cap*load_thin*ROUND(N440*O440*revleg_thin,0))-(((battery/range_nm)*G440*ROUND(N440*O440*revleg_thin,0)*VLOOKUP(B440,country_opex,3,FALSE))+Y440+Z440+AA440+AB440+AC440))&lt;=0,"",VLOOKUP(B440,country_opex,7,FALSE)/((V440*pax_cap*load_thin*ROUND(N440*O440*revleg_thin,0))-(((battery/range_nm)*G440*ROUND(N440*O440*revleg_thin,0)*VLOOKUP(B440,country_opex,3,FALSE))+Y440+Z440+AA440+AB440+AC440)))</f>
        <v/>
      </c>
      <c r="AX440" s="54">
        <f>IF(((V440*pax_cap*load_mid*ROUND(N440*O440*revleg_mid,0))-(((battery/range_nm)*G440*ROUND(N440*O440*revleg_mid,0)*VLOOKUP(B440,country_opex,3,FALSE))+Y440+Z440+AA440+AB440+AC440))&lt;=0,"",VLOOKUP(B440,country_opex,7,FALSE)/((V440*pax_cap*load_mid*ROUND(N440*O440*revleg_mid,0))-(((battery/range_nm)*G440*ROUND(N440*O440*revleg_mid,0)*VLOOKUP(B440,country_opex,3,FALSE))+Y440+Z440+AA440+AB440+AC440)))</f>
        <v/>
      </c>
      <c r="AY440" s="54">
        <f>IF(((V440*pax_cap*load_full*ROUND(N440*O440*revleg_full,0))-(((battery/range_nm)*G440*ROUND(N440*O440*revleg_full,0)*VLOOKUP(B440,country_opex,3,FALSE))+Y440+Z440+AA440+AB440+AC440))&lt;=0,"",VLOOKUP(B440,country_opex,7,FALSE)/((V440*pax_cap*load_full*ROUND(N440*O440*revleg_full,0))-(((battery/range_nm)*G440*ROUND(N440*O440*revleg_full,0)*VLOOKUP(B440,country_opex,3,FALSE))+Y440+Z440+AA440+AB440+AC440)))</f>
        <v/>
      </c>
      <c r="AZ440" s="40" t="inlineStr">
        <is>
          <t>Phuket-&gt;Phang Nga Bay/James Bond Island speedboat day-tour ladder (THB/USD 36): budget longtail ~1,400 THB ($39, phukettoursdirect); standard shared speedboat ~2,500 THB ($69); PREMIUM shared speedboat ~2,600-3,700 THB ($72-103, phiphitours/mythailandtours '$55 low-season' to ~3,700 quoted); private charter speedboat ~29,000-40,900 THB/boat/day (yacht-rental-phuket, phuketdreamcompany) = whole-boat, excluded as overclaim. Premium per-seat anchored ~2,600 THB net of 400 THB park fee = $72.</t>
        </is>
      </c>
      <c r="BA440" s="40" t="inlineStr">
        <is>
          <t>Ao Phang Nga National Park visitors FY2567 (Oct-2023..Sep-2024) = 530,204 (DNP top-10 ranking, #7 by visitors; reported by Prachachat, https://www.prachachat.net/hilight-prachachat/news-1796245, Apr-2025). Park is reachable ONLY by tour boat/longtail/speedboat (no road/air to Khao Phing Kan/Ko Tapu) -&gt; R3-EXCEPTION holds: park arrivals = crossing ridership. DNP also runs e-ticketing at this park (one of 6 pilot parks). Pre-covid FY2019 was ~1M+ (payload note), so FY2024 is the conservative post-covid actual.</t>
        </is>
      </c>
    </row>
    <row r="441">
      <c r="A441" s="38" t="inlineStr">
        <is>
          <t>Phuket</t>
        </is>
      </c>
      <c r="B441" s="38" t="inlineStr">
        <is>
          <t>Thailand</t>
        </is>
      </c>
      <c r="C441" s="39" t="inlineStr">
        <is>
          <t>Phuket → Phi Phi (Tonsai)</t>
        </is>
      </c>
      <c r="D441" s="38" t="inlineStr">
        <is>
          <t>grab</t>
        </is>
      </c>
      <c r="E441" s="40" t="inlineStr">
        <is>
          <t>phuket</t>
        </is>
      </c>
      <c r="F441" s="41" t="n">
        <v>1</v>
      </c>
      <c r="G441" s="42" t="n">
        <v>25</v>
      </c>
      <c r="H441" s="35" t="n">
        <v>44</v>
      </c>
      <c r="I441" s="43" t="inlineStr">
        <is>
          <t>T3</t>
        </is>
      </c>
      <c r="J441" s="43" t="inlineStr">
        <is>
          <t>med</t>
        </is>
      </c>
      <c r="K441" s="29" t="n">
        <v>1</v>
      </c>
      <c r="L441" s="44">
        <f>60*G441/cruise_kt</f>
        <v/>
      </c>
      <c r="M441" s="44">
        <f>L441+turn_min+dwell_min</f>
        <v/>
      </c>
      <c r="N441" s="45">
        <f>MIN(10,FLOOR(60*service_hr/M441,1))</f>
        <v/>
      </c>
      <c r="O441" s="45">
        <f>ROUND(365*mech_uptime*K441,0)</f>
        <v/>
      </c>
      <c r="P441" s="46">
        <f>mech_uptime</f>
        <v/>
      </c>
      <c r="Q441" s="46">
        <f>revleg_sel</f>
        <v/>
      </c>
      <c r="R441" s="45">
        <f>ROUND(N441*O441*revleg_sel,0)</f>
        <v/>
      </c>
      <c r="S441" s="47">
        <f>load_sel</f>
        <v/>
      </c>
      <c r="T441" s="47">
        <f>pax_cap*S441</f>
        <v/>
      </c>
      <c r="U441" s="45">
        <f>T441*R441</f>
        <v/>
      </c>
      <c r="V441" s="48">
        <f>H441*discount</f>
        <v/>
      </c>
      <c r="W441" s="49">
        <f>V441*U441</f>
        <v/>
      </c>
      <c r="X441" s="49">
        <f>(battery/range_nm)*G441*R441*VLOOKUP(B441,country_opex,3,FALSE)</f>
        <v/>
      </c>
      <c r="Y441" s="49">
        <f>VLOOKUP(B441,country_opex,2,FALSE)*crew_factor</f>
        <v/>
      </c>
      <c r="Z441" s="49">
        <f>VLOOKUP(B441,country_opex,5,FALSE)</f>
        <v/>
      </c>
      <c r="AA441" s="49">
        <f>maint</f>
        <v/>
      </c>
      <c r="AB441" s="49">
        <f>VLOOKUP(B441,country_opex,7,FALSE)*ins_pct</f>
        <v/>
      </c>
      <c r="AC441" s="49">
        <f>charge_berth</f>
        <v/>
      </c>
      <c r="AD441" s="49">
        <f>X441+Y441+Z441+AA441+AB441+AC441</f>
        <v/>
      </c>
      <c r="AE441" s="49">
        <f>VLOOKUP(B441,country_opex,7,FALSE)/dep_years</f>
        <v/>
      </c>
      <c r="AF441" s="49">
        <f>W441-AD441</f>
        <v/>
      </c>
      <c r="AG441" s="46">
        <f>IF(W441=0,"",AF441/W441)</f>
        <v/>
      </c>
      <c r="AH441" s="47">
        <f>IF(AF441&lt;=0,"",VLOOKUP(B441,country_opex,7,FALSE)/AF441)</f>
        <v/>
      </c>
      <c r="AI441" s="44">
        <f>((G441*R441/diesel_nmpg)*diesel_co2pg-(battery/range_nm)*G441*R441*VLOOKUP(B441,country_opex,4,FALSE))/1000</f>
        <v/>
      </c>
      <c r="AJ441" s="42" t="n">
        <v>1080000</v>
      </c>
      <c r="AK441" s="43" t="inlineStr">
        <is>
          <t>T2</t>
        </is>
      </c>
      <c r="AL441" s="43" t="inlineStr">
        <is>
          <t>med</t>
        </is>
      </c>
      <c r="AM441" s="50" t="n">
        <v>0.1</v>
      </c>
      <c r="AN441" s="45">
        <f>IF(AJ441="","",AJ441*AM441)</f>
        <v/>
      </c>
      <c r="AO441" s="45">
        <f>IF(OR(AJ441="",U441=0),"",MIN(IF(AV441="",9.9E+99,AV441),FLOOR(AN441/U441,1)))</f>
        <v/>
      </c>
      <c r="AP441" s="49">
        <f>IF(AO441="","",AO441*W441)</f>
        <v/>
      </c>
      <c r="AQ441" s="47">
        <f>IF(OR(AJ441="",U441=0),"",MIN(IF(AV441="",9.9E+99,AV441),AN441/U441))</f>
        <v/>
      </c>
      <c r="AR441" s="49">
        <f>IF(AQ441="","",AQ441*W441)</f>
        <v/>
      </c>
      <c r="AS441" s="51" t="n"/>
      <c r="AT441" s="52" t="n"/>
      <c r="AU441" s="52" t="n"/>
      <c r="AV441" s="53" t="n"/>
      <c r="AW441" s="54">
        <f>IF(((V441*pax_cap*load_thin*ROUND(N441*O441*revleg_thin,0))-(((battery/range_nm)*G441*ROUND(N441*O441*revleg_thin,0)*VLOOKUP(B441,country_opex,3,FALSE))+Y441+Z441+AA441+AB441+AC441))&lt;=0,"",VLOOKUP(B441,country_opex,7,FALSE)/((V441*pax_cap*load_thin*ROUND(N441*O441*revleg_thin,0))-(((battery/range_nm)*G441*ROUND(N441*O441*revleg_thin,0)*VLOOKUP(B441,country_opex,3,FALSE))+Y441+Z441+AA441+AB441+AC441)))</f>
        <v/>
      </c>
      <c r="AX441" s="54">
        <f>IF(((V441*pax_cap*load_mid*ROUND(N441*O441*revleg_mid,0))-(((battery/range_nm)*G441*ROUND(N441*O441*revleg_mid,0)*VLOOKUP(B441,country_opex,3,FALSE))+Y441+Z441+AA441+AB441+AC441))&lt;=0,"",VLOOKUP(B441,country_opex,7,FALSE)/((V441*pax_cap*load_mid*ROUND(N441*O441*revleg_mid,0))-(((battery/range_nm)*G441*ROUND(N441*O441*revleg_mid,0)*VLOOKUP(B441,country_opex,3,FALSE))+Y441+Z441+AA441+AB441+AC441)))</f>
        <v/>
      </c>
      <c r="AY441" s="54">
        <f>IF(((V441*pax_cap*load_full*ROUND(N441*O441*revleg_full,0))-(((battery/range_nm)*G441*ROUND(N441*O441*revleg_full,0)*VLOOKUP(B441,country_opex,3,FALSE))+Y441+Z441+AA441+AB441+AC441))&lt;=0,"",VLOOKUP(B441,country_opex,7,FALSE)/((V441*pax_cap*load_full*ROUND(N441*O441*revleg_full,0))-(((battery/range_nm)*G441*ROUND(N441*O441*revleg_full,0)*VLOOKUP(B441,country_opex,3,FALSE))+Y441+Z441+AA441+AB441+AC441)))</f>
        <v/>
      </c>
      <c r="AZ441" s="40" t="inlineStr">
        <is>
          <t>Premium private-speedboat tier Phuket-&gt;Phi Phi. Private speedboat ~1,595 THB/pax (phiphitours) = $44; VIP transfer oddly ~$22 (commoditized); budget 650-700 THB ($18-19). Note: this corridor's premium tier is structurally low (mass tourist route).</t>
        </is>
      </c>
      <c r="BA441" s="40" t="inlineStr">
        <is>
          <t>Hat Noppharat Thara - Mu Ko Phi Phi NP visitors FY2567 (Oct-2023..Sep-2024) = 1,153,515, #2 nationally by visitors and #1 by revenue (THB 629,893,547) (DNP statistics via Prachachat, https://www.prachachat.net/hilight-prachachat/news-1796245, Apr-2025). FY2566 (2023) was 1,449,246 (DNP top-10, Thai press). Phi Phi islands are boat-only (no airport/road) -&gt; R3-EXCEPTION holds for the island portion; BUT the NP unit also includes the MAINLAND Hat Noppharat Thara beach section (Krabi) -&gt; R3-RESORT-SUBSET strip applied.</t>
        </is>
      </c>
    </row>
    <row r="442">
      <c r="A442" s="38" t="inlineStr">
        <is>
          <t>Koh Samui</t>
        </is>
      </c>
      <c r="B442" s="38" t="inlineStr">
        <is>
          <t>Thailand</t>
        </is>
      </c>
      <c r="C442" s="39" t="inlineStr">
        <is>
          <t>Koh Samui (Bangrak) → Don Sak Ferry Harbour</t>
        </is>
      </c>
      <c r="D442" s="38" t="inlineStr">
        <is>
          <t>grab</t>
        </is>
      </c>
      <c r="E442" s="40" t="inlineStr">
        <is>
          <t>koh-samui</t>
        </is>
      </c>
      <c r="F442" s="41" t="n">
        <v>1</v>
      </c>
      <c r="G442" s="42" t="n">
        <v>28.1</v>
      </c>
      <c r="H442" s="35" t="n">
        <v>15.2</v>
      </c>
      <c r="I442" s="43" t="n"/>
      <c r="J442" s="43" t="inlineStr">
        <is>
          <t>T3</t>
        </is>
      </c>
      <c r="K442" s="29" t="n">
        <v>1</v>
      </c>
      <c r="L442" s="44">
        <f>60*G442/cruise_kt</f>
        <v/>
      </c>
      <c r="M442" s="44">
        <f>L442+turn_min+dwell_min</f>
        <v/>
      </c>
      <c r="N442" s="45">
        <f>MIN(16,FLOOR(60*service_hr/M442,1))</f>
        <v/>
      </c>
      <c r="O442" s="45">
        <f>ROUND(365*mech_uptime*K442,0)</f>
        <v/>
      </c>
      <c r="P442" s="46">
        <f>mech_uptime</f>
        <v/>
      </c>
      <c r="Q442" s="46">
        <f>revleg_sel</f>
        <v/>
      </c>
      <c r="R442" s="45">
        <f>ROUND(N442*O442*revleg_sel,0)</f>
        <v/>
      </c>
      <c r="S442" s="47">
        <f>load_sel</f>
        <v/>
      </c>
      <c r="T442" s="47">
        <f>pax_cap*S442</f>
        <v/>
      </c>
      <c r="U442" s="45">
        <f>T442*R442</f>
        <v/>
      </c>
      <c r="V442" s="48">
        <f>H442*discount</f>
        <v/>
      </c>
      <c r="W442" s="49">
        <f>V442*U442</f>
        <v/>
      </c>
      <c r="X442" s="49">
        <f>(battery/range_nm)*G442*R442*VLOOKUP(B442,country_opex,3,FALSE)</f>
        <v/>
      </c>
      <c r="Y442" s="49">
        <f>VLOOKUP(B442,country_opex,2,FALSE)*crew_factor</f>
        <v/>
      </c>
      <c r="Z442" s="49">
        <f>VLOOKUP(B442,country_opex,5,FALSE)</f>
        <v/>
      </c>
      <c r="AA442" s="49">
        <f>maint</f>
        <v/>
      </c>
      <c r="AB442" s="49">
        <f>VLOOKUP(B442,country_opex,7,FALSE)*ins_pct</f>
        <v/>
      </c>
      <c r="AC442" s="49">
        <f>charge_berth</f>
        <v/>
      </c>
      <c r="AD442" s="49">
        <f>X442+Y442+Z442+AA442+AB442+AC442</f>
        <v/>
      </c>
      <c r="AE442" s="49">
        <f>VLOOKUP(B442,country_opex,7,FALSE)/dep_years</f>
        <v/>
      </c>
      <c r="AF442" s="49">
        <f>W442-AD442</f>
        <v/>
      </c>
      <c r="AG442" s="46">
        <f>IF(W442=0,"",AF442/W442)</f>
        <v/>
      </c>
      <c r="AH442" s="47">
        <f>IF(AF442&lt;=0,"",VLOOKUP(B442,country_opex,7,FALSE)/AF442)</f>
        <v/>
      </c>
      <c r="AI442" s="44">
        <f>((G442*R442/diesel_nmpg)*diesel_co2pg-(battery/range_nm)*G442*R442*VLOOKUP(B442,country_opex,4,FALSE))/1000</f>
        <v/>
      </c>
      <c r="AJ442" s="42" t="n">
        <v>666667</v>
      </c>
      <c r="AK442" s="43" t="inlineStr">
        <is>
          <t>T4</t>
        </is>
      </c>
      <c r="AL442" s="43" t="inlineStr">
        <is>
          <t>med-low</t>
        </is>
      </c>
      <c r="AM442" s="50" t="n">
        <v>0.1</v>
      </c>
      <c r="AN442" s="45">
        <f>IF(AJ442="","",AJ442*AM442)</f>
        <v/>
      </c>
      <c r="AO442" s="45">
        <f>IF(OR(AJ442="",U442=0),"",MIN(IF(AV442="",9.9E+99,AV442),FLOOR(AN442/U442,1)))</f>
        <v/>
      </c>
      <c r="AP442" s="49">
        <f>IF(AO442="","",AO442*W442)</f>
        <v/>
      </c>
      <c r="AQ442" s="47">
        <f>IF(OR(AJ442="",U442=0),"",MIN(IF(AV442="",9.9E+99,AV442),AN442/U442))</f>
        <v/>
      </c>
      <c r="AR442" s="49">
        <f>IF(AQ442="","",AQ442*W442)</f>
        <v/>
      </c>
      <c r="AS442" s="51" t="n"/>
      <c r="AT442" s="52" t="n"/>
      <c r="AU442" s="52" t="n"/>
      <c r="AV442" s="53" t="n"/>
      <c r="AW442" s="54">
        <f>IF(((V442*pax_cap*load_thin*ROUND(N442*O442*revleg_thin,0))-(((battery/range_nm)*G442*ROUND(N442*O442*revleg_thin,0)*VLOOKUP(B442,country_opex,3,FALSE))+Y442+Z442+AA442+AB442+AC442))&lt;=0,"",VLOOKUP(B442,country_opex,7,FALSE)/((V442*pax_cap*load_thin*ROUND(N442*O442*revleg_thin,0))-(((battery/range_nm)*G442*ROUND(N442*O442*revleg_thin,0)*VLOOKUP(B442,country_opex,3,FALSE))+Y442+Z442+AA442+AB442+AC442)))</f>
        <v/>
      </c>
      <c r="AX442" s="54">
        <f>IF(((V442*pax_cap*load_mid*ROUND(N442*O442*revleg_mid,0))-(((battery/range_nm)*G442*ROUND(N442*O442*revleg_mid,0)*VLOOKUP(B442,country_opex,3,FALSE))+Y442+Z442+AA442+AB442+AC442))&lt;=0,"",VLOOKUP(B442,country_opex,7,FALSE)/((V442*pax_cap*load_mid*ROUND(N442*O442*revleg_mid,0))-(((battery/range_nm)*G442*ROUND(N442*O442*revleg_mid,0)*VLOOKUP(B442,country_opex,3,FALSE))+Y442+Z442+AA442+AB442+AC442)))</f>
        <v/>
      </c>
      <c r="AY442" s="54">
        <f>IF(((V442*pax_cap*load_full*ROUND(N442*O442*revleg_full,0))-(((battery/range_nm)*G442*ROUND(N442*O442*revleg_full,0)*VLOOKUP(B442,country_opex,3,FALSE))+Y442+Z442+AA442+AB442+AC442))&lt;=0,"",VLOOKUP(B442,country_opex,7,FALSE)/((V442*pax_cap*load_full*ROUND(N442*O442*revleg_full,0))-(((battery/range_nm)*G442*ROUND(N442*O442*revleg_full,0)*VLOOKUP(B442,country_opex,3,FALSE))+Y442+Z442+AA442+AB442+AC442)))</f>
        <v/>
      </c>
      <c r="AZ442" s="40" t="n"/>
      <c r="BA442" s="40" t="inlineStr">
        <is>
          <t>Total Samui&lt;-&gt;Donsak crossing (all operators/piers). Raja Ferry Port (SET: RP) disclosed ~1.2M passengers carried in 2017 (+20% YoY) across its Donsak-Samui(Lipa Noi)/Donsak-Phangan network, with a 1.5M target (Samui Times / Koh Samui News quoting RP business plan; RP IPO-era disclosure ~600k/yr 2014, Nation Thailand). Seatran runs 6 vessels ~hourly 05:00-19:00 Nathon&lt;-&gt;Donsak (Tripadvisor/operator). Mode balance: Samui drew ~3.54M tourists 2023 (Forbes/C9) vs ~1.4M airport arrivals (Samui Airport 2.8M total pax 2024, BAREIT one-report 56-1) - the majority of non-air arrivals cross at Donsak.</t>
        </is>
      </c>
    </row>
    <row r="443">
      <c r="A443" s="38" t="inlineStr">
        <is>
          <t>Koh Samui</t>
        </is>
      </c>
      <c r="B443" s="38" t="inlineStr">
        <is>
          <t>Thailand</t>
        </is>
      </c>
      <c r="C443" s="39" t="inlineStr">
        <is>
          <t>Koh Samui → Koh Tao (Mae Haad)</t>
        </is>
      </c>
      <c r="D443" s="38" t="inlineStr">
        <is>
          <t>grab</t>
        </is>
      </c>
      <c r="E443" s="40" t="inlineStr">
        <is>
          <t>koh-samui</t>
        </is>
      </c>
      <c r="F443" s="41" t="n">
        <v>1</v>
      </c>
      <c r="G443" s="42" t="n">
        <v>35.3</v>
      </c>
      <c r="H443" s="35" t="n">
        <v>24.4</v>
      </c>
      <c r="I443" s="43" t="n"/>
      <c r="J443" s="43" t="inlineStr">
        <is>
          <t>T3</t>
        </is>
      </c>
      <c r="K443" s="29" t="n">
        <v>1</v>
      </c>
      <c r="L443" s="44">
        <f>60*G443/cruise_kt</f>
        <v/>
      </c>
      <c r="M443" s="44">
        <f>L443+turn_min+dwell_min</f>
        <v/>
      </c>
      <c r="N443" s="45">
        <f>MIN(10,FLOOR(60*service_hr/M443,1))</f>
        <v/>
      </c>
      <c r="O443" s="45">
        <f>ROUND(365*mech_uptime*K443,0)</f>
        <v/>
      </c>
      <c r="P443" s="46">
        <f>mech_uptime</f>
        <v/>
      </c>
      <c r="Q443" s="46">
        <f>revleg_sel</f>
        <v/>
      </c>
      <c r="R443" s="45">
        <f>ROUND(N443*O443*revleg_sel,0)</f>
        <v/>
      </c>
      <c r="S443" s="47">
        <f>load_sel</f>
        <v/>
      </c>
      <c r="T443" s="47">
        <f>pax_cap*S443</f>
        <v/>
      </c>
      <c r="U443" s="45">
        <f>T443*R443</f>
        <v/>
      </c>
      <c r="V443" s="48">
        <f>H443*discount</f>
        <v/>
      </c>
      <c r="W443" s="49">
        <f>V443*U443</f>
        <v/>
      </c>
      <c r="X443" s="49">
        <f>(battery/range_nm)*G443*R443*VLOOKUP(B443,country_opex,3,FALSE)</f>
        <v/>
      </c>
      <c r="Y443" s="49">
        <f>VLOOKUP(B443,country_opex,2,FALSE)*crew_factor</f>
        <v/>
      </c>
      <c r="Z443" s="49">
        <f>VLOOKUP(B443,country_opex,5,FALSE)</f>
        <v/>
      </c>
      <c r="AA443" s="49">
        <f>maint</f>
        <v/>
      </c>
      <c r="AB443" s="49">
        <f>VLOOKUP(B443,country_opex,7,FALSE)*ins_pct</f>
        <v/>
      </c>
      <c r="AC443" s="49">
        <f>charge_berth</f>
        <v/>
      </c>
      <c r="AD443" s="49">
        <f>X443+Y443+Z443+AA443+AB443+AC443</f>
        <v/>
      </c>
      <c r="AE443" s="49">
        <f>VLOOKUP(B443,country_opex,7,FALSE)/dep_years</f>
        <v/>
      </c>
      <c r="AF443" s="49">
        <f>W443-AD443</f>
        <v/>
      </c>
      <c r="AG443" s="46">
        <f>IF(W443=0,"",AF443/W443)</f>
        <v/>
      </c>
      <c r="AH443" s="47">
        <f>IF(AF443&lt;=0,"",VLOOKUP(B443,country_opex,7,FALSE)/AF443)</f>
        <v/>
      </c>
      <c r="AI443" s="44">
        <f>((G443*R443/diesel_nmpg)*diesel_co2pg-(battery/range_nm)*G443*R443*VLOOKUP(B443,country_opex,4,FALSE))/1000</f>
        <v/>
      </c>
      <c r="AJ443" s="42" t="n">
        <v>400000</v>
      </c>
      <c r="AK443" s="43" t="inlineStr">
        <is>
          <t>T5</t>
        </is>
      </c>
      <c r="AL443" s="43" t="inlineStr">
        <is>
          <t>med-low</t>
        </is>
      </c>
      <c r="AM443" s="50" t="n">
        <v>0.1</v>
      </c>
      <c r="AN443" s="45">
        <f>IF(AJ443="","",AJ443*AM443)</f>
        <v/>
      </c>
      <c r="AO443" s="45">
        <f>IF(OR(AJ443="",U443=0),"",MIN(IF(AV443="",9.9E+99,AV443),FLOOR(AN443/U443,1)))</f>
        <v/>
      </c>
      <c r="AP443" s="49">
        <f>IF(AO443="","",AO443*W443)</f>
        <v/>
      </c>
      <c r="AQ443" s="47">
        <f>IF(OR(AJ443="",U443=0),"",MIN(IF(AV443="",9.9E+99,AV443),AN443/U443))</f>
        <v/>
      </c>
      <c r="AR443" s="49">
        <f>IF(AQ443="","",AQ443*W443)</f>
        <v/>
      </c>
      <c r="AS443" s="51" t="n"/>
      <c r="AT443" s="52" t="n"/>
      <c r="AU443" s="52" t="n"/>
      <c r="AV443" s="53" t="n"/>
      <c r="AW443" s="54">
        <f>IF(((V443*pax_cap*load_thin*ROUND(N443*O443*revleg_thin,0))-(((battery/range_nm)*G443*ROUND(N443*O443*revleg_thin,0)*VLOOKUP(B443,country_opex,3,FALSE))+Y443+Z443+AA443+AB443+AC443))&lt;=0,"",VLOOKUP(B443,country_opex,7,FALSE)/((V443*pax_cap*load_thin*ROUND(N443*O443*revleg_thin,0))-(((battery/range_nm)*G443*ROUND(N443*O443*revleg_thin,0)*VLOOKUP(B443,country_opex,3,FALSE))+Y443+Z443+AA443+AB443+AC443)))</f>
        <v/>
      </c>
      <c r="AX443" s="54">
        <f>IF(((V443*pax_cap*load_mid*ROUND(N443*O443*revleg_mid,0))-(((battery/range_nm)*G443*ROUND(N443*O443*revleg_mid,0)*VLOOKUP(B443,country_opex,3,FALSE))+Y443+Z443+AA443+AB443+AC443))&lt;=0,"",VLOOKUP(B443,country_opex,7,FALSE)/((V443*pax_cap*load_mid*ROUND(N443*O443*revleg_mid,0))-(((battery/range_nm)*G443*ROUND(N443*O443*revleg_mid,0)*VLOOKUP(B443,country_opex,3,FALSE))+Y443+Z443+AA443+AB443+AC443)))</f>
        <v/>
      </c>
      <c r="AY443" s="54">
        <f>IF(((V443*pax_cap*load_full*ROUND(N443*O443*revleg_full,0))-(((battery/range_nm)*G443*ROUND(N443*O443*revleg_full,0)*VLOOKUP(B443,country_opex,3,FALSE))+Y443+Z443+AA443+AB443+AC443))&lt;=0,"",VLOOKUP(B443,country_opex,7,FALSE)/((V443*pax_cap*load_full*ROUND(N443*O443*revleg_full,0))-(((battery/range_nm)*G443*ROUND(N443*O443*revleg_full,0)*VLOOKUP(B443,country_opex,3,FALSE))+Y443+Z443+AA443+AB443+AC443)))</f>
        <v/>
      </c>
      <c r="AZ443" s="40" t="n"/>
      <c r="BA443" s="40" t="inlineStr">
        <is>
          <t>Koh Tao: 666,778 visitors in 2024 (above pre-Covid; record), 327,000 Jan-May 2025, full-year 2025 forecast &gt;700,000 - Koh Tao Tourism Association / TAT figures via Thairath &amp; Daily News (T2 base). Koh Tao is boat-only (no airport, R3-EXCEPTION: arrivals = crossing ridership). Access splits between the Chumphon side (Bangkok route) and the Samui/Phangan side.</t>
        </is>
      </c>
    </row>
    <row r="444">
      <c r="A444" s="38" t="inlineStr">
        <is>
          <t>Phuket</t>
        </is>
      </c>
      <c r="B444" s="38" t="inlineStr">
        <is>
          <t>Thailand</t>
        </is>
      </c>
      <c r="C444" s="39" t="inlineStr">
        <is>
          <t>Phuket → Krabi (Ao Nang)</t>
        </is>
      </c>
      <c r="D444" s="38" t="inlineStr">
        <is>
          <t>grab</t>
        </is>
      </c>
      <c r="E444" s="40" t="inlineStr">
        <is>
          <t>phuket</t>
        </is>
      </c>
      <c r="F444" s="41" t="n">
        <v>1</v>
      </c>
      <c r="G444" s="42" t="n">
        <v>40</v>
      </c>
      <c r="H444" s="35" t="n">
        <v>44</v>
      </c>
      <c r="I444" s="43" t="inlineStr">
        <is>
          <t>T3</t>
        </is>
      </c>
      <c r="J444" s="43" t="inlineStr">
        <is>
          <t>med</t>
        </is>
      </c>
      <c r="K444" s="29" t="n">
        <v>1</v>
      </c>
      <c r="L444" s="44">
        <f>60*G444/cruise_kt</f>
        <v/>
      </c>
      <c r="M444" s="44">
        <f>L444+turn_min+dwell_min</f>
        <v/>
      </c>
      <c r="N444" s="45">
        <f>MIN(10,FLOOR(60*service_hr/M444,1))</f>
        <v/>
      </c>
      <c r="O444" s="45">
        <f>ROUND(365*mech_uptime*K444,0)</f>
        <v/>
      </c>
      <c r="P444" s="46">
        <f>mech_uptime</f>
        <v/>
      </c>
      <c r="Q444" s="46">
        <f>revleg_sel</f>
        <v/>
      </c>
      <c r="R444" s="45">
        <f>ROUND(N444*O444*revleg_sel,0)</f>
        <v/>
      </c>
      <c r="S444" s="47">
        <f>load_sel</f>
        <v/>
      </c>
      <c r="T444" s="47">
        <f>pax_cap*S444</f>
        <v/>
      </c>
      <c r="U444" s="45">
        <f>T444*R444</f>
        <v/>
      </c>
      <c r="V444" s="48">
        <f>H444*discount</f>
        <v/>
      </c>
      <c r="W444" s="49">
        <f>V444*U444</f>
        <v/>
      </c>
      <c r="X444" s="49">
        <f>(battery/range_nm)*G444*R444*VLOOKUP(B444,country_opex,3,FALSE)</f>
        <v/>
      </c>
      <c r="Y444" s="49">
        <f>VLOOKUP(B444,country_opex,2,FALSE)*crew_factor</f>
        <v/>
      </c>
      <c r="Z444" s="49">
        <f>VLOOKUP(B444,country_opex,5,FALSE)</f>
        <v/>
      </c>
      <c r="AA444" s="49">
        <f>maint</f>
        <v/>
      </c>
      <c r="AB444" s="49">
        <f>VLOOKUP(B444,country_opex,7,FALSE)*ins_pct</f>
        <v/>
      </c>
      <c r="AC444" s="49">
        <f>charge_berth</f>
        <v/>
      </c>
      <c r="AD444" s="49">
        <f>X444+Y444+Z444+AA444+AB444+AC444</f>
        <v/>
      </c>
      <c r="AE444" s="49">
        <f>VLOOKUP(B444,country_opex,7,FALSE)/dep_years</f>
        <v/>
      </c>
      <c r="AF444" s="49">
        <f>W444-AD444</f>
        <v/>
      </c>
      <c r="AG444" s="46">
        <f>IF(W444=0,"",AF444/W444)</f>
        <v/>
      </c>
      <c r="AH444" s="47">
        <f>IF(AF444&lt;=0,"",VLOOKUP(B444,country_opex,7,FALSE)/AF444)</f>
        <v/>
      </c>
      <c r="AI444" s="44">
        <f>((G444*R444/diesel_nmpg)*diesel_co2pg-(battery/range_nm)*G444*R444*VLOOKUP(B444,country_opex,4,FALSE))/1000</f>
        <v/>
      </c>
      <c r="AJ444" s="42" t="n"/>
      <c r="AK444" s="43" t="n"/>
      <c r="AL444" s="43" t="n"/>
      <c r="AM444" s="50" t="n">
        <v>0.1</v>
      </c>
      <c r="AN444" s="45">
        <f>IF(AJ444="","",AJ444*AM444)</f>
        <v/>
      </c>
      <c r="AO444" s="45">
        <f>IF(OR(AJ444="",U444=0),"",MIN(IF(AV444="",9.9E+99,AV444),FLOOR(AN444/U444,1)))</f>
        <v/>
      </c>
      <c r="AP444" s="49">
        <f>IF(AO444="","",AO444*W444)</f>
        <v/>
      </c>
      <c r="AQ444" s="47">
        <f>IF(OR(AJ444="",U444=0),"",MIN(IF(AV444="",9.9E+99,AV444),AN444/U444))</f>
        <v/>
      </c>
      <c r="AR444" s="49">
        <f>IF(AQ444="","",AQ444*W444)</f>
        <v/>
      </c>
      <c r="AS444" s="51" t="n"/>
      <c r="AT444" s="52" t="n"/>
      <c r="AU444" s="52" t="n"/>
      <c r="AV444" s="53" t="n"/>
      <c r="AW444" s="54">
        <f>IF(((V444*pax_cap*load_thin*ROUND(N444*O444*revleg_thin,0))-(((battery/range_nm)*G444*ROUND(N444*O444*revleg_thin,0)*VLOOKUP(B444,country_opex,3,FALSE))+Y444+Z444+AA444+AB444+AC444))&lt;=0,"",VLOOKUP(B444,country_opex,7,FALSE)/((V444*pax_cap*load_thin*ROUND(N444*O444*revleg_thin,0))-(((battery/range_nm)*G444*ROUND(N444*O444*revleg_thin,0)*VLOOKUP(B444,country_opex,3,FALSE))+Y444+Z444+AA444+AB444+AC444)))</f>
        <v/>
      </c>
      <c r="AX444" s="54">
        <f>IF(((V444*pax_cap*load_mid*ROUND(N444*O444*revleg_mid,0))-(((battery/range_nm)*G444*ROUND(N444*O444*revleg_mid,0)*VLOOKUP(B444,country_opex,3,FALSE))+Y444+Z444+AA444+AB444+AC444))&lt;=0,"",VLOOKUP(B444,country_opex,7,FALSE)/((V444*pax_cap*load_mid*ROUND(N444*O444*revleg_mid,0))-(((battery/range_nm)*G444*ROUND(N444*O444*revleg_mid,0)*VLOOKUP(B444,country_opex,3,FALSE))+Y444+Z444+AA444+AB444+AC444)))</f>
        <v/>
      </c>
      <c r="AY444" s="54">
        <f>IF(((V444*pax_cap*load_full*ROUND(N444*O444*revleg_full,0))-(((battery/range_nm)*G444*ROUND(N444*O444*revleg_full,0)*VLOOKUP(B444,country_opex,3,FALSE))+Y444+Z444+AA444+AB444+AC444))&lt;=0,"",VLOOKUP(B444,country_opex,7,FALSE)/((V444*pax_cap*load_full*ROUND(N444*O444*revleg_full,0))-(((battery/range_nm)*G444*ROUND(N444*O444*revleg_full,0)*VLOOKUP(B444,country_opex,3,FALSE))+Y444+Z444+AA444+AB444+AC444)))</f>
        <v/>
      </c>
      <c r="AZ444" s="40" t="inlineStr">
        <is>
          <t>Phuket-&gt;Krabi (Ao Nang) speedboat premium tier ~comparable to Phi Phi route ($44). Krabi-specific demand re-source pending.</t>
        </is>
      </c>
      <c r="BA444" s="40" t="inlineStr">
        <is>
          <t>Phi Phi demand moved to new Phuket-&gt;Phi Phi corridor per Jaideep 2026-06-09. Krabi (Ao Nang) demand to be sourced separately. Until then: estimated via country cascade.</t>
        </is>
      </c>
    </row>
    <row r="445">
      <c r="A445" s="38" t="inlineStr">
        <is>
          <t>Phuket</t>
        </is>
      </c>
      <c r="B445" s="38" t="inlineStr">
        <is>
          <t>Thailand</t>
        </is>
      </c>
      <c r="C445" s="39" t="inlineStr">
        <is>
          <t>Phuket → Similan / Surin Islands</t>
        </is>
      </c>
      <c r="D445" s="38" t="inlineStr">
        <is>
          <t>grab</t>
        </is>
      </c>
      <c r="E445" s="40" t="inlineStr">
        <is>
          <t>phuket</t>
        </is>
      </c>
      <c r="F445" s="41" t="n">
        <v>1</v>
      </c>
      <c r="G445" s="42" t="n">
        <v>55</v>
      </c>
      <c r="H445" s="35" t="n">
        <v>80</v>
      </c>
      <c r="I445" s="43" t="inlineStr">
        <is>
          <t>T3</t>
        </is>
      </c>
      <c r="J445" s="43" t="inlineStr">
        <is>
          <t>med</t>
        </is>
      </c>
      <c r="K445" s="29" t="n">
        <v>1</v>
      </c>
      <c r="L445" s="44">
        <f>60*G445/cruise_kt</f>
        <v/>
      </c>
      <c r="M445" s="44">
        <f>L445+turn_min+dwell_min</f>
        <v/>
      </c>
      <c r="N445" s="45">
        <f>MIN(10,FLOOR(60*service_hr/M445,1))</f>
        <v/>
      </c>
      <c r="O445" s="45">
        <f>ROUND(365*mech_uptime*K445,0)</f>
        <v/>
      </c>
      <c r="P445" s="46">
        <f>mech_uptime</f>
        <v/>
      </c>
      <c r="Q445" s="46">
        <f>revleg_sel</f>
        <v/>
      </c>
      <c r="R445" s="45">
        <f>ROUND(N445*O445*revleg_sel,0)</f>
        <v/>
      </c>
      <c r="S445" s="47">
        <f>load_sel</f>
        <v/>
      </c>
      <c r="T445" s="47">
        <f>pax_cap*S445</f>
        <v/>
      </c>
      <c r="U445" s="45">
        <f>T445*R445</f>
        <v/>
      </c>
      <c r="V445" s="48">
        <f>H445*discount</f>
        <v/>
      </c>
      <c r="W445" s="49">
        <f>V445*U445</f>
        <v/>
      </c>
      <c r="X445" s="49">
        <f>(battery/range_nm)*G445*R445*VLOOKUP(B445,country_opex,3,FALSE)</f>
        <v/>
      </c>
      <c r="Y445" s="49">
        <f>VLOOKUP(B445,country_opex,2,FALSE)*crew_factor</f>
        <v/>
      </c>
      <c r="Z445" s="49">
        <f>VLOOKUP(B445,country_opex,5,FALSE)</f>
        <v/>
      </c>
      <c r="AA445" s="49">
        <f>maint</f>
        <v/>
      </c>
      <c r="AB445" s="49">
        <f>VLOOKUP(B445,country_opex,7,FALSE)*ins_pct</f>
        <v/>
      </c>
      <c r="AC445" s="49">
        <f>charge_berth</f>
        <v/>
      </c>
      <c r="AD445" s="49">
        <f>X445+Y445+Z445+AA445+AB445+AC445</f>
        <v/>
      </c>
      <c r="AE445" s="49">
        <f>VLOOKUP(B445,country_opex,7,FALSE)/dep_years</f>
        <v/>
      </c>
      <c r="AF445" s="49">
        <f>W445-AD445</f>
        <v/>
      </c>
      <c r="AG445" s="46">
        <f>IF(W445=0,"",AF445/W445)</f>
        <v/>
      </c>
      <c r="AH445" s="47">
        <f>IF(AF445&lt;=0,"",VLOOKUP(B445,country_opex,7,FALSE)/AF445)</f>
        <v/>
      </c>
      <c r="AI445" s="44">
        <f>((G445*R445/diesel_nmpg)*diesel_co2pg-(battery/range_nm)*G445*R445*VLOOKUP(B445,country_opex,4,FALSE))/1000</f>
        <v/>
      </c>
      <c r="AJ445" s="42" t="n">
        <v>580000</v>
      </c>
      <c r="AK445" s="43" t="inlineStr">
        <is>
          <t>T2</t>
        </is>
      </c>
      <c r="AL445" s="43" t="inlineStr">
        <is>
          <t>low</t>
        </is>
      </c>
      <c r="AM445" s="50" t="n">
        <v>0.1</v>
      </c>
      <c r="AN445" s="45">
        <f>IF(AJ445="","",AJ445*AM445)</f>
        <v/>
      </c>
      <c r="AO445" s="45">
        <f>IF(OR(AJ445="",U445=0),"",MIN(IF(AV445="",9.9E+99,AV445),FLOOR(AN445/U445,1)))</f>
        <v/>
      </c>
      <c r="AP445" s="49">
        <f>IF(AO445="","",AO445*W445)</f>
        <v/>
      </c>
      <c r="AQ445" s="47">
        <f>IF(OR(AJ445="",U445=0),"",MIN(IF(AV445="",9.9E+99,AV445),AN445/U445))</f>
        <v/>
      </c>
      <c r="AR445" s="49">
        <f>IF(AQ445="","",AQ445*W445)</f>
        <v/>
      </c>
      <c r="AS445" s="51" t="n"/>
      <c r="AT445" s="52" t="n"/>
      <c r="AU445" s="52" t="n"/>
      <c r="AV445" s="53" t="n"/>
      <c r="AW445" s="54">
        <f>IF(((V445*pax_cap*load_thin*ROUND(N445*O445*revleg_thin,0))-(((battery/range_nm)*G445*ROUND(N445*O445*revleg_thin,0)*VLOOKUP(B445,country_opex,3,FALSE))+Y445+Z445+AA445+AB445+AC445))&lt;=0,"",VLOOKUP(B445,country_opex,7,FALSE)/((V445*pax_cap*load_thin*ROUND(N445*O445*revleg_thin,0))-(((battery/range_nm)*G445*ROUND(N445*O445*revleg_thin,0)*VLOOKUP(B445,country_opex,3,FALSE))+Y445+Z445+AA445+AB445+AC445)))</f>
        <v/>
      </c>
      <c r="AX445" s="54">
        <f>IF(((V445*pax_cap*load_mid*ROUND(N445*O445*revleg_mid,0))-(((battery/range_nm)*G445*ROUND(N445*O445*revleg_mid,0)*VLOOKUP(B445,country_opex,3,FALSE))+Y445+Z445+AA445+AB445+AC445))&lt;=0,"",VLOOKUP(B445,country_opex,7,FALSE)/((V445*pax_cap*load_mid*ROUND(N445*O445*revleg_mid,0))-(((battery/range_nm)*G445*ROUND(N445*O445*revleg_mid,0)*VLOOKUP(B445,country_opex,3,FALSE))+Y445+Z445+AA445+AB445+AC445)))</f>
        <v/>
      </c>
      <c r="AY445" s="54">
        <f>IF(((V445*pax_cap*load_full*ROUND(N445*O445*revleg_full,0))-(((battery/range_nm)*G445*ROUND(N445*O445*revleg_full,0)*VLOOKUP(B445,country_opex,3,FALSE))+Y445+Z445+AA445+AB445+AC445))&lt;=0,"",VLOOKUP(B445,country_opex,7,FALSE)/((V445*pax_cap*load_full*ROUND(N445*O445*revleg_full,0))-(((battery/range_nm)*G445*ROUND(N445*O445*revleg_full,0)*VLOOKUP(B445,country_opex,3,FALSE))+Y445+Z445+AA445+AB445+AC445)))</f>
        <v/>
      </c>
      <c r="AZ445" s="40" t="inlineStr">
        <is>
          <t>Phuket-&gt;Similan/Surin premium shared speedboat day-tour (THB/USD 36): premium catamaran-speedboat tours ~2,500-2,600 THB incl 500 THB park fee+meals from Khao Lak (phiphitours 2,590 THB=$72); Phuket-origin runs higher ~2,900-3,500 THB ($80-97) for the longer 55nm leg. Private charter Phuket-&gt;Similan 50,000-80,000 THB/boat/day (forbesandpartners) = whole-boat, excluded. Premium per-seat anchored ~2,900 THB ($80) net for the longer Phuket origin.</t>
        </is>
      </c>
      <c r="BA445" s="40" t="inlineStr">
        <is>
          <t>Mu Ko Similan NP official visitor statistics (DNP/park clarification, May-2025, via MGR Online https://mgronline.com/uptodate/detail/9680000041761): FY2561(2018)=912,566; FY2562(2019)=676,793; FY2566(2023)=352,701; FY2567(2024)=578,535; FY2568=503,142 as of 30-Apr-2025. Daily cap 3,850 visitors/day (DNP, http://news.dnp.go.th/news/7966). Season: park CLOSED ~May 16 - Oct 14; open season ~212 days/yr (reopened 15-Oct each year, prd.go.th).</t>
        </is>
      </c>
    </row>
    <row r="446">
      <c r="A446" s="38" t="inlineStr">
        <is>
          <t>Yango Tunisia</t>
        </is>
      </c>
      <c r="B446" s="38" t="inlineStr">
        <is>
          <t>Tunisia</t>
        </is>
      </c>
      <c r="C446" s="39" t="inlineStr">
        <is>
          <t>Jorf (mainland) → Ajim (Djerba Island)</t>
        </is>
      </c>
      <c r="D446" s="38" t="inlineStr">
        <is>
          <t>yango</t>
        </is>
      </c>
      <c r="E446" s="40" t="inlineStr">
        <is>
          <t>yango-tunisia</t>
        </is>
      </c>
      <c r="F446" s="41" t="n">
        <v>1</v>
      </c>
      <c r="G446" s="42" t="n">
        <v>1.1</v>
      </c>
      <c r="H446" s="35" t="n"/>
      <c r="I446" s="43" t="n"/>
      <c r="J446" s="43" t="n"/>
      <c r="K446" s="29" t="n">
        <v>1</v>
      </c>
      <c r="L446" s="44">
        <f>60*G446/cruise_kt</f>
        <v/>
      </c>
      <c r="M446" s="44">
        <f>L446+turn_min+dwell_min</f>
        <v/>
      </c>
      <c r="N446" s="45">
        <f>MIN(10,FLOOR(60*service_hr/M446,1))</f>
        <v/>
      </c>
      <c r="O446" s="45">
        <f>ROUND(365*mech_uptime*K446,0)</f>
        <v/>
      </c>
      <c r="P446" s="46">
        <f>mech_uptime</f>
        <v/>
      </c>
      <c r="Q446" s="46">
        <f>revleg_sel</f>
        <v/>
      </c>
      <c r="R446" s="45">
        <f>ROUND(N446*O446*revleg_sel,0)</f>
        <v/>
      </c>
      <c r="S446" s="47">
        <f>load_sel</f>
        <v/>
      </c>
      <c r="T446" s="47">
        <f>pax_cap*S446</f>
        <v/>
      </c>
      <c r="U446" s="45">
        <f>T446*R446</f>
        <v/>
      </c>
      <c r="V446" s="48">
        <f>H446*discount</f>
        <v/>
      </c>
      <c r="W446" s="49">
        <f>V446*U446</f>
        <v/>
      </c>
      <c r="X446" s="49">
        <f>(battery/range_nm)*G446*R446*VLOOKUP(B446,country_opex,3,FALSE)</f>
        <v/>
      </c>
      <c r="Y446" s="49">
        <f>VLOOKUP(B446,country_opex,2,FALSE)*crew_factor</f>
        <v/>
      </c>
      <c r="Z446" s="49">
        <f>VLOOKUP(B446,country_opex,5,FALSE)</f>
        <v/>
      </c>
      <c r="AA446" s="49">
        <f>maint</f>
        <v/>
      </c>
      <c r="AB446" s="49">
        <f>VLOOKUP(B446,country_opex,7,FALSE)*ins_pct</f>
        <v/>
      </c>
      <c r="AC446" s="49">
        <f>charge_berth</f>
        <v/>
      </c>
      <c r="AD446" s="49">
        <f>X446+Y446+Z446+AA446+AB446+AC446</f>
        <v/>
      </c>
      <c r="AE446" s="49">
        <f>VLOOKUP(B446,country_opex,7,FALSE)/dep_years</f>
        <v/>
      </c>
      <c r="AF446" s="49">
        <f>W446-AD446</f>
        <v/>
      </c>
      <c r="AG446" s="46">
        <f>IF(W446=0,"",AF446/W446)</f>
        <v/>
      </c>
      <c r="AH446" s="47">
        <f>IF(AF446&lt;=0,"",VLOOKUP(B446,country_opex,7,FALSE)/AF446)</f>
        <v/>
      </c>
      <c r="AI446" s="44">
        <f>((G446*R446/diesel_nmpg)*diesel_co2pg-(battery/range_nm)*G446*R446*VLOOKUP(B446,country_opex,4,FALSE))/1000</f>
        <v/>
      </c>
      <c r="AJ446" s="42" t="n">
        <v>2463750</v>
      </c>
      <c r="AK446" s="43" t="n"/>
      <c r="AL446" s="43" t="n"/>
      <c r="AM446" s="50" t="n">
        <v>0.1</v>
      </c>
      <c r="AN446" s="45">
        <f>IF(AJ446="","",AJ446*AM446)</f>
        <v/>
      </c>
      <c r="AO446" s="45">
        <f>IF(OR(AJ446="",U446=0),"",MIN(IF(AV446="",9.9E+99,AV446),FLOOR(AN446/U446,1)))</f>
        <v/>
      </c>
      <c r="AP446" s="49">
        <f>IF(AO446="","",AO446*W446)</f>
        <v/>
      </c>
      <c r="AQ446" s="47">
        <f>IF(OR(AJ446="",U446=0),"",MIN(IF(AV446="",9.9E+99,AV446),AN446/U446))</f>
        <v/>
      </c>
      <c r="AR446" s="49">
        <f>IF(AQ446="","",AQ446*W446)</f>
        <v/>
      </c>
      <c r="AS446" s="51" t="n"/>
      <c r="AT446" s="52" t="n"/>
      <c r="AU446" s="52" t="n"/>
      <c r="AV446" s="53" t="n"/>
      <c r="AW446" s="54">
        <f>IF(((V446*pax_cap*load_thin*ROUND(N446*O446*revleg_thin,0))-(((battery/range_nm)*G446*ROUND(N446*O446*revleg_thin,0)*VLOOKUP(B446,country_opex,3,FALSE))+Y446+Z446+AA446+AB446+AC446))&lt;=0,"",VLOOKUP(B446,country_opex,7,FALSE)/((V446*pax_cap*load_thin*ROUND(N446*O446*revleg_thin,0))-(((battery/range_nm)*G446*ROUND(N446*O446*revleg_thin,0)*VLOOKUP(B446,country_opex,3,FALSE))+Y446+Z446+AA446+AB446+AC446)))</f>
        <v/>
      </c>
      <c r="AX446" s="54">
        <f>IF(((V446*pax_cap*load_mid*ROUND(N446*O446*revleg_mid,0))-(((battery/range_nm)*G446*ROUND(N446*O446*revleg_mid,0)*VLOOKUP(B446,country_opex,3,FALSE))+Y446+Z446+AA446+AB446+AC446))&lt;=0,"",VLOOKUP(B446,country_opex,7,FALSE)/((V446*pax_cap*load_mid*ROUND(N446*O446*revleg_mid,0))-(((battery/range_nm)*G446*ROUND(N446*O446*revleg_mid,0)*VLOOKUP(B446,country_opex,3,FALSE))+Y446+Z446+AA446+AB446+AC446)))</f>
        <v/>
      </c>
      <c r="AY446" s="54">
        <f>IF(((V446*pax_cap*load_full*ROUND(N446*O446*revleg_full,0))-(((battery/range_nm)*G446*ROUND(N446*O446*revleg_full,0)*VLOOKUP(B446,country_opex,3,FALSE))+Y446+Z446+AA446+AB446+AC446))&lt;=0,"",VLOOKUP(B446,country_opex,7,FALSE)/((V446*pax_cap*load_full*ROUND(N446*O446*revleg_full,0))-(((battery/range_nm)*G446*ROUND(N446*O446*revleg_full,0)*VLOOKUP(B446,country_opex,3,FALSE))+Y446+Z446+AA446+AB446+AC446)))</f>
        <v/>
      </c>
      <c r="AZ446" s="40" t="n"/>
      <c r="BA446" s="40" t="n"/>
    </row>
    <row r="447">
      <c r="A447" s="38" t="inlineStr">
        <is>
          <t>Yango Tunisia</t>
        </is>
      </c>
      <c r="B447" s="38" t="inlineStr">
        <is>
          <t>Tunisia</t>
        </is>
      </c>
      <c r="C447" s="39" t="inlineStr">
        <is>
          <t>La Goulette → Sidi Bou Said</t>
        </is>
      </c>
      <c r="D447" s="38" t="inlineStr">
        <is>
          <t>yango</t>
        </is>
      </c>
      <c r="E447" s="40" t="inlineStr">
        <is>
          <t>yango-tunisia</t>
        </is>
      </c>
      <c r="F447" s="41" t="n">
        <v>1</v>
      </c>
      <c r="G447" s="42" t="n">
        <v>4</v>
      </c>
      <c r="H447" s="35" t="n">
        <v>27</v>
      </c>
      <c r="I447" s="43" t="inlineStr">
        <is>
          <t>T2</t>
        </is>
      </c>
      <c r="J447" s="43" t="inlineStr">
        <is>
          <t>med</t>
        </is>
      </c>
      <c r="K447" s="29" t="n">
        <v>1</v>
      </c>
      <c r="L447" s="44">
        <f>60*G447/cruise_kt</f>
        <v/>
      </c>
      <c r="M447" s="44">
        <f>L447+turn_min+dwell_min</f>
        <v/>
      </c>
      <c r="N447" s="45">
        <f>MIN(10,FLOOR(60*service_hr/M447,1))</f>
        <v/>
      </c>
      <c r="O447" s="45">
        <f>ROUND(365*mech_uptime*K447,0)</f>
        <v/>
      </c>
      <c r="P447" s="46">
        <f>mech_uptime</f>
        <v/>
      </c>
      <c r="Q447" s="46">
        <f>revleg_sel</f>
        <v/>
      </c>
      <c r="R447" s="45">
        <f>ROUND(N447*O447*revleg_sel,0)</f>
        <v/>
      </c>
      <c r="S447" s="47">
        <f>load_sel</f>
        <v/>
      </c>
      <c r="T447" s="47">
        <f>pax_cap*S447</f>
        <v/>
      </c>
      <c r="U447" s="45">
        <f>T447*R447</f>
        <v/>
      </c>
      <c r="V447" s="48">
        <f>H447*discount</f>
        <v/>
      </c>
      <c r="W447" s="49">
        <f>V447*U447</f>
        <v/>
      </c>
      <c r="X447" s="49">
        <f>(battery/range_nm)*G447*R447*VLOOKUP(B447,country_opex,3,FALSE)</f>
        <v/>
      </c>
      <c r="Y447" s="49">
        <f>VLOOKUP(B447,country_opex,2,FALSE)*crew_factor</f>
        <v/>
      </c>
      <c r="Z447" s="49">
        <f>VLOOKUP(B447,country_opex,5,FALSE)</f>
        <v/>
      </c>
      <c r="AA447" s="49">
        <f>maint</f>
        <v/>
      </c>
      <c r="AB447" s="49">
        <f>VLOOKUP(B447,country_opex,7,FALSE)*ins_pct</f>
        <v/>
      </c>
      <c r="AC447" s="49">
        <f>charge_berth</f>
        <v/>
      </c>
      <c r="AD447" s="49">
        <f>X447+Y447+Z447+AA447+AB447+AC447</f>
        <v/>
      </c>
      <c r="AE447" s="49">
        <f>VLOOKUP(B447,country_opex,7,FALSE)/dep_years</f>
        <v/>
      </c>
      <c r="AF447" s="49">
        <f>W447-AD447</f>
        <v/>
      </c>
      <c r="AG447" s="46">
        <f>IF(W447=0,"",AF447/W447)</f>
        <v/>
      </c>
      <c r="AH447" s="47">
        <f>IF(AF447&lt;=0,"",VLOOKUP(B447,country_opex,7,FALSE)/AF447)</f>
        <v/>
      </c>
      <c r="AI447" s="44">
        <f>((G447*R447/diesel_nmpg)*diesel_co2pg-(battery/range_nm)*G447*R447*VLOOKUP(B447,country_opex,4,FALSE))/1000</f>
        <v/>
      </c>
      <c r="AJ447" s="42" t="n">
        <v>222000</v>
      </c>
      <c r="AK447" s="43" t="n"/>
      <c r="AL447" s="43" t="n"/>
      <c r="AM447" s="50" t="n">
        <v>0.1</v>
      </c>
      <c r="AN447" s="45">
        <f>IF(AJ447="","",AJ447*AM447)</f>
        <v/>
      </c>
      <c r="AO447" s="45">
        <f>IF(OR(AJ447="",U447=0),"",MIN(IF(AV447="",9.9E+99,AV447),FLOOR(AN447/U447,1)))</f>
        <v/>
      </c>
      <c r="AP447" s="49">
        <f>IF(AO447="","",AO447*W447)</f>
        <v/>
      </c>
      <c r="AQ447" s="47">
        <f>IF(OR(AJ447="",U447=0),"",MIN(IF(AV447="",9.9E+99,AV447),AN447/U447))</f>
        <v/>
      </c>
      <c r="AR447" s="49">
        <f>IF(AQ447="","",AQ447*W447)</f>
        <v/>
      </c>
      <c r="AS447" s="51" t="n"/>
      <c r="AT447" s="52" t="n"/>
      <c r="AU447" s="52" t="n"/>
      <c r="AV447" s="53" t="n"/>
      <c r="AW447" s="54">
        <f>IF(((V447*pax_cap*load_thin*ROUND(N447*O447*revleg_thin,0))-(((battery/range_nm)*G447*ROUND(N447*O447*revleg_thin,0)*VLOOKUP(B447,country_opex,3,FALSE))+Y447+Z447+AA447+AB447+AC447))&lt;=0,"",VLOOKUP(B447,country_opex,7,FALSE)/((V447*pax_cap*load_thin*ROUND(N447*O447*revleg_thin,0))-(((battery/range_nm)*G447*ROUND(N447*O447*revleg_thin,0)*VLOOKUP(B447,country_opex,3,FALSE))+Y447+Z447+AA447+AB447+AC447)))</f>
        <v/>
      </c>
      <c r="AX447" s="54">
        <f>IF(((V447*pax_cap*load_mid*ROUND(N447*O447*revleg_mid,0))-(((battery/range_nm)*G447*ROUND(N447*O447*revleg_mid,0)*VLOOKUP(B447,country_opex,3,FALSE))+Y447+Z447+AA447+AB447+AC447))&lt;=0,"",VLOOKUP(B447,country_opex,7,FALSE)/((V447*pax_cap*load_mid*ROUND(N447*O447*revleg_mid,0))-(((battery/range_nm)*G447*ROUND(N447*O447*revleg_mid,0)*VLOOKUP(B447,country_opex,3,FALSE))+Y447+Z447+AA447+AB447+AC447)))</f>
        <v/>
      </c>
      <c r="AY447" s="54">
        <f>IF(((V447*pax_cap*load_full*ROUND(N447*O447*revleg_full,0))-(((battery/range_nm)*G447*ROUND(N447*O447*revleg_full,0)*VLOOKUP(B447,country_opex,3,FALSE))+Y447+Z447+AA447+AB447+AC447))&lt;=0,"",VLOOKUP(B447,country_opex,7,FALSE)/((V447*pax_cap*load_full*ROUND(N447*O447*revleg_full,0))-(((battery/range_nm)*G447*ROUND(N447*O447*revleg_full,0)*VLOOKUP(B447,country_opex,3,FALSE))+Y447+Z447+AA447+AB447+AC447)))</f>
        <v/>
      </c>
      <c r="AZ447" s="40" t="inlineStr">
        <is>
          <t>PREMIUM charter-divided tier: Gulf of Tunis / Sidi Bou Said per-seat excursion cruise ~EUR 25 (pirate-boat dinner cruise 'from EUR 30'; 3h marina cruise EUR 15-20) x 1.08 ~= $27. Nearest premium per-seat water product on this corridor; no scheduled fast catamaran exists.</t>
        </is>
      </c>
      <c r="BA447" s="40" t="n"/>
    </row>
    <row r="448">
      <c r="A448" s="38" t="inlineStr">
        <is>
          <t>Yango Tunisia</t>
        </is>
      </c>
      <c r="B448" s="38" t="inlineStr">
        <is>
          <t>Tunisia</t>
        </is>
      </c>
      <c r="C448" s="39" t="inlineStr">
        <is>
          <t>Tunis (Tunis Marine) → La Goulette</t>
        </is>
      </c>
      <c r="D448" s="38" t="inlineStr">
        <is>
          <t>yango</t>
        </is>
      </c>
      <c r="E448" s="40" t="inlineStr">
        <is>
          <t>yango-tunisia</t>
        </is>
      </c>
      <c r="F448" s="41" t="n">
        <v>1</v>
      </c>
      <c r="G448" s="42" t="n">
        <v>5</v>
      </c>
      <c r="H448" s="35" t="n"/>
      <c r="I448" s="43" t="n"/>
      <c r="J448" s="43" t="n"/>
      <c r="K448" s="29" t="n">
        <v>1</v>
      </c>
      <c r="L448" s="44">
        <f>60*G448/cruise_kt</f>
        <v/>
      </c>
      <c r="M448" s="44">
        <f>L448+turn_min+dwell_min</f>
        <v/>
      </c>
      <c r="N448" s="45">
        <f>MIN(16,FLOOR(60*service_hr/M448,1))</f>
        <v/>
      </c>
      <c r="O448" s="45">
        <f>ROUND(365*mech_uptime*K448,0)</f>
        <v/>
      </c>
      <c r="P448" s="46">
        <f>mech_uptime</f>
        <v/>
      </c>
      <c r="Q448" s="46">
        <f>revleg_sel</f>
        <v/>
      </c>
      <c r="R448" s="45">
        <f>ROUND(N448*O448*revleg_sel,0)</f>
        <v/>
      </c>
      <c r="S448" s="47">
        <f>load_sel</f>
        <v/>
      </c>
      <c r="T448" s="47">
        <f>pax_cap*S448</f>
        <v/>
      </c>
      <c r="U448" s="45">
        <f>T448*R448</f>
        <v/>
      </c>
      <c r="V448" s="48">
        <f>H448*discount</f>
        <v/>
      </c>
      <c r="W448" s="49">
        <f>V448*U448</f>
        <v/>
      </c>
      <c r="X448" s="49">
        <f>(battery/range_nm)*G448*R448*VLOOKUP(B448,country_opex,3,FALSE)</f>
        <v/>
      </c>
      <c r="Y448" s="49">
        <f>VLOOKUP(B448,country_opex,2,FALSE)*crew_factor</f>
        <v/>
      </c>
      <c r="Z448" s="49">
        <f>VLOOKUP(B448,country_opex,5,FALSE)</f>
        <v/>
      </c>
      <c r="AA448" s="49">
        <f>maint</f>
        <v/>
      </c>
      <c r="AB448" s="49">
        <f>VLOOKUP(B448,country_opex,7,FALSE)*ins_pct</f>
        <v/>
      </c>
      <c r="AC448" s="49">
        <f>charge_berth</f>
        <v/>
      </c>
      <c r="AD448" s="49">
        <f>X448+Y448+Z448+AA448+AB448+AC448</f>
        <v/>
      </c>
      <c r="AE448" s="49">
        <f>VLOOKUP(B448,country_opex,7,FALSE)/dep_years</f>
        <v/>
      </c>
      <c r="AF448" s="49">
        <f>W448-AD448</f>
        <v/>
      </c>
      <c r="AG448" s="46">
        <f>IF(W448=0,"",AF448/W448)</f>
        <v/>
      </c>
      <c r="AH448" s="47">
        <f>IF(AF448&lt;=0,"",VLOOKUP(B448,country_opex,7,FALSE)/AF448)</f>
        <v/>
      </c>
      <c r="AI448" s="44">
        <f>((G448*R448/diesel_nmpg)*diesel_co2pg-(battery/range_nm)*G448*R448*VLOOKUP(B448,country_opex,4,FALSE))/1000</f>
        <v/>
      </c>
      <c r="AJ448" s="42" t="n">
        <v>296000</v>
      </c>
      <c r="AK448" s="43" t="n"/>
      <c r="AL448" s="43" t="n"/>
      <c r="AM448" s="50" t="n">
        <v>0.1</v>
      </c>
      <c r="AN448" s="45">
        <f>IF(AJ448="","",AJ448*AM448)</f>
        <v/>
      </c>
      <c r="AO448" s="45">
        <f>IF(OR(AJ448="",U448=0),"",MIN(IF(AV448="",9.9E+99,AV448),FLOOR(AN448/U448,1)))</f>
        <v/>
      </c>
      <c r="AP448" s="49">
        <f>IF(AO448="","",AO448*W448)</f>
        <v/>
      </c>
      <c r="AQ448" s="47">
        <f>IF(OR(AJ448="",U448=0),"",MIN(IF(AV448="",9.9E+99,AV448),AN448/U448))</f>
        <v/>
      </c>
      <c r="AR448" s="49">
        <f>IF(AQ448="","",AQ448*W448)</f>
        <v/>
      </c>
      <c r="AS448" s="51" t="n"/>
      <c r="AT448" s="52" t="n"/>
      <c r="AU448" s="52" t="n"/>
      <c r="AV448" s="53" t="n"/>
      <c r="AW448" s="54">
        <f>IF(((V448*pax_cap*load_thin*ROUND(N448*O448*revleg_thin,0))-(((battery/range_nm)*G448*ROUND(N448*O448*revleg_thin,0)*VLOOKUP(B448,country_opex,3,FALSE))+Y448+Z448+AA448+AB448+AC448))&lt;=0,"",VLOOKUP(B448,country_opex,7,FALSE)/((V448*pax_cap*load_thin*ROUND(N448*O448*revleg_thin,0))-(((battery/range_nm)*G448*ROUND(N448*O448*revleg_thin,0)*VLOOKUP(B448,country_opex,3,FALSE))+Y448+Z448+AA448+AB448+AC448)))</f>
        <v/>
      </c>
      <c r="AX448" s="54">
        <f>IF(((V448*pax_cap*load_mid*ROUND(N448*O448*revleg_mid,0))-(((battery/range_nm)*G448*ROUND(N448*O448*revleg_mid,0)*VLOOKUP(B448,country_opex,3,FALSE))+Y448+Z448+AA448+AB448+AC448))&lt;=0,"",VLOOKUP(B448,country_opex,7,FALSE)/((V448*pax_cap*load_mid*ROUND(N448*O448*revleg_mid,0))-(((battery/range_nm)*G448*ROUND(N448*O448*revleg_mid,0)*VLOOKUP(B448,country_opex,3,FALSE))+Y448+Z448+AA448+AB448+AC448)))</f>
        <v/>
      </c>
      <c r="AY448" s="54">
        <f>IF(((V448*pax_cap*load_full*ROUND(N448*O448*revleg_full,0))-(((battery/range_nm)*G448*ROUND(N448*O448*revleg_full,0)*VLOOKUP(B448,country_opex,3,FALSE))+Y448+Z448+AA448+AB448+AC448))&lt;=0,"",VLOOKUP(B448,country_opex,7,FALSE)/((V448*pax_cap*load_full*ROUND(N448*O448*revleg_full,0))-(((battery/range_nm)*G448*ROUND(N448*O448*revleg_full,0)*VLOOKUP(B448,country_opex,3,FALSE))+Y448+Z448+AA448+AB448+AC448)))</f>
        <v/>
      </c>
      <c r="AZ448" s="40" t="n"/>
      <c r="BA448" s="40" t="n"/>
    </row>
    <row r="449">
      <c r="A449" s="38" t="inlineStr">
        <is>
          <t>Yango Tunisia</t>
        </is>
      </c>
      <c r="B449" s="38" t="inlineStr">
        <is>
          <t>Tunisia</t>
        </is>
      </c>
      <c r="C449" s="39" t="inlineStr">
        <is>
          <t>Tunis (La Goulette) → La Marsa / Gammarth</t>
        </is>
      </c>
      <c r="D449" s="38" t="inlineStr">
        <is>
          <t>yango</t>
        </is>
      </c>
      <c r="E449" s="40" t="inlineStr">
        <is>
          <t>yango-tunisia</t>
        </is>
      </c>
      <c r="F449" s="41" t="n">
        <v>1</v>
      </c>
      <c r="G449" s="42" t="n">
        <v>7</v>
      </c>
      <c r="H449" s="35" t="n"/>
      <c r="I449" s="43" t="n"/>
      <c r="J449" s="43" t="n"/>
      <c r="K449" s="29" t="n">
        <v>1</v>
      </c>
      <c r="L449" s="44">
        <f>60*G449/cruise_kt</f>
        <v/>
      </c>
      <c r="M449" s="44">
        <f>L449+turn_min+dwell_min</f>
        <v/>
      </c>
      <c r="N449" s="45">
        <f>MIN(16,FLOOR(60*service_hr/M449,1))</f>
        <v/>
      </c>
      <c r="O449" s="45">
        <f>ROUND(365*mech_uptime*K449,0)</f>
        <v/>
      </c>
      <c r="P449" s="46">
        <f>mech_uptime</f>
        <v/>
      </c>
      <c r="Q449" s="46">
        <f>revleg_sel</f>
        <v/>
      </c>
      <c r="R449" s="45">
        <f>ROUND(N449*O449*revleg_sel,0)</f>
        <v/>
      </c>
      <c r="S449" s="47">
        <f>load_sel</f>
        <v/>
      </c>
      <c r="T449" s="47">
        <f>pax_cap*S449</f>
        <v/>
      </c>
      <c r="U449" s="45">
        <f>T449*R449</f>
        <v/>
      </c>
      <c r="V449" s="48">
        <f>H449*discount</f>
        <v/>
      </c>
      <c r="W449" s="49">
        <f>V449*U449</f>
        <v/>
      </c>
      <c r="X449" s="49">
        <f>(battery/range_nm)*G449*R449*VLOOKUP(B449,country_opex,3,FALSE)</f>
        <v/>
      </c>
      <c r="Y449" s="49">
        <f>VLOOKUP(B449,country_opex,2,FALSE)*crew_factor</f>
        <v/>
      </c>
      <c r="Z449" s="49">
        <f>VLOOKUP(B449,country_opex,5,FALSE)</f>
        <v/>
      </c>
      <c r="AA449" s="49">
        <f>maint</f>
        <v/>
      </c>
      <c r="AB449" s="49">
        <f>VLOOKUP(B449,country_opex,7,FALSE)*ins_pct</f>
        <v/>
      </c>
      <c r="AC449" s="49">
        <f>charge_berth</f>
        <v/>
      </c>
      <c r="AD449" s="49">
        <f>X449+Y449+Z449+AA449+AB449+AC449</f>
        <v/>
      </c>
      <c r="AE449" s="49">
        <f>VLOOKUP(B449,country_opex,7,FALSE)/dep_years</f>
        <v/>
      </c>
      <c r="AF449" s="49">
        <f>W449-AD449</f>
        <v/>
      </c>
      <c r="AG449" s="46">
        <f>IF(W449=0,"",AF449/W449)</f>
        <v/>
      </c>
      <c r="AH449" s="47">
        <f>IF(AF449&lt;=0,"",VLOOKUP(B449,country_opex,7,FALSE)/AF449)</f>
        <v/>
      </c>
      <c r="AI449" s="44">
        <f>((G449*R449/diesel_nmpg)*diesel_co2pg-(battery/range_nm)*G449*R449*VLOOKUP(B449,country_opex,4,FALSE))/1000</f>
        <v/>
      </c>
      <c r="AJ449" s="42" t="n">
        <v>222000</v>
      </c>
      <c r="AK449" s="43" t="n"/>
      <c r="AL449" s="43" t="n"/>
      <c r="AM449" s="50" t="n">
        <v>0.1</v>
      </c>
      <c r="AN449" s="45">
        <f>IF(AJ449="","",AJ449*AM449)</f>
        <v/>
      </c>
      <c r="AO449" s="45">
        <f>IF(OR(AJ449="",U449=0),"",MIN(IF(AV449="",9.9E+99,AV449),FLOOR(AN449/U449,1)))</f>
        <v/>
      </c>
      <c r="AP449" s="49">
        <f>IF(AO449="","",AO449*W449)</f>
        <v/>
      </c>
      <c r="AQ449" s="47">
        <f>IF(OR(AJ449="",U449=0),"",MIN(IF(AV449="",9.9E+99,AV449),AN449/U449))</f>
        <v/>
      </c>
      <c r="AR449" s="49">
        <f>IF(AQ449="","",AQ449*W449)</f>
        <v/>
      </c>
      <c r="AS449" s="51" t="n"/>
      <c r="AT449" s="52" t="n"/>
      <c r="AU449" s="52" t="n"/>
      <c r="AV449" s="53" t="n"/>
      <c r="AW449" s="54">
        <f>IF(((V449*pax_cap*load_thin*ROUND(N449*O449*revleg_thin,0))-(((battery/range_nm)*G449*ROUND(N449*O449*revleg_thin,0)*VLOOKUP(B449,country_opex,3,FALSE))+Y449+Z449+AA449+AB449+AC449))&lt;=0,"",VLOOKUP(B449,country_opex,7,FALSE)/((V449*pax_cap*load_thin*ROUND(N449*O449*revleg_thin,0))-(((battery/range_nm)*G449*ROUND(N449*O449*revleg_thin,0)*VLOOKUP(B449,country_opex,3,FALSE))+Y449+Z449+AA449+AB449+AC449)))</f>
        <v/>
      </c>
      <c r="AX449" s="54">
        <f>IF(((V449*pax_cap*load_mid*ROUND(N449*O449*revleg_mid,0))-(((battery/range_nm)*G449*ROUND(N449*O449*revleg_mid,0)*VLOOKUP(B449,country_opex,3,FALSE))+Y449+Z449+AA449+AB449+AC449))&lt;=0,"",VLOOKUP(B449,country_opex,7,FALSE)/((V449*pax_cap*load_mid*ROUND(N449*O449*revleg_mid,0))-(((battery/range_nm)*G449*ROUND(N449*O449*revleg_mid,0)*VLOOKUP(B449,country_opex,3,FALSE))+Y449+Z449+AA449+AB449+AC449)))</f>
        <v/>
      </c>
      <c r="AY449" s="54">
        <f>IF(((V449*pax_cap*load_full*ROUND(N449*O449*revleg_full,0))-(((battery/range_nm)*G449*ROUND(N449*O449*revleg_full,0)*VLOOKUP(B449,country_opex,3,FALSE))+Y449+Z449+AA449+AB449+AC449))&lt;=0,"",VLOOKUP(B449,country_opex,7,FALSE)/((V449*pax_cap*load_full*ROUND(N449*O449*revleg_full,0))-(((battery/range_nm)*G449*ROUND(N449*O449*revleg_full,0)*VLOOKUP(B449,country_opex,3,FALSE))+Y449+Z449+AA449+AB449+AC449)))</f>
        <v/>
      </c>
      <c r="AZ449" s="40" t="n"/>
      <c r="BA449" s="40" t="n"/>
    </row>
    <row r="450">
      <c r="A450" s="38" t="inlineStr">
        <is>
          <t>Yango Tunisia</t>
        </is>
      </c>
      <c r="B450" s="38" t="inlineStr">
        <is>
          <t>Tunisia</t>
        </is>
      </c>
      <c r="C450" s="39" t="inlineStr">
        <is>
          <t>Yasmine Hammamet → Nabeul</t>
        </is>
      </c>
      <c r="D450" s="38" t="inlineStr">
        <is>
          <t>yango</t>
        </is>
      </c>
      <c r="E450" s="40" t="inlineStr">
        <is>
          <t>yango-tunisia</t>
        </is>
      </c>
      <c r="F450" s="41" t="n">
        <v>1</v>
      </c>
      <c r="G450" s="42" t="n">
        <v>7</v>
      </c>
      <c r="H450" s="35" t="n">
        <v>22</v>
      </c>
      <c r="I450" s="43" t="inlineStr">
        <is>
          <t>T2</t>
        </is>
      </c>
      <c r="J450" s="43" t="inlineStr">
        <is>
          <t>med</t>
        </is>
      </c>
      <c r="K450" s="29" t="n">
        <v>1</v>
      </c>
      <c r="L450" s="44">
        <f>60*G450/cruise_kt</f>
        <v/>
      </c>
      <c r="M450" s="44">
        <f>L450+turn_min+dwell_min</f>
        <v/>
      </c>
      <c r="N450" s="45">
        <f>MIN(10,FLOOR(60*service_hr/M450,1))</f>
        <v/>
      </c>
      <c r="O450" s="45">
        <f>ROUND(365*mech_uptime*K450,0)</f>
        <v/>
      </c>
      <c r="P450" s="46">
        <f>mech_uptime</f>
        <v/>
      </c>
      <c r="Q450" s="46">
        <f>revleg_sel</f>
        <v/>
      </c>
      <c r="R450" s="45">
        <f>ROUND(N450*O450*revleg_sel,0)</f>
        <v/>
      </c>
      <c r="S450" s="47">
        <f>load_sel</f>
        <v/>
      </c>
      <c r="T450" s="47">
        <f>pax_cap*S450</f>
        <v/>
      </c>
      <c r="U450" s="45">
        <f>T450*R450</f>
        <v/>
      </c>
      <c r="V450" s="48">
        <f>H450*discount</f>
        <v/>
      </c>
      <c r="W450" s="49">
        <f>V450*U450</f>
        <v/>
      </c>
      <c r="X450" s="49">
        <f>(battery/range_nm)*G450*R450*VLOOKUP(B450,country_opex,3,FALSE)</f>
        <v/>
      </c>
      <c r="Y450" s="49">
        <f>VLOOKUP(B450,country_opex,2,FALSE)*crew_factor</f>
        <v/>
      </c>
      <c r="Z450" s="49">
        <f>VLOOKUP(B450,country_opex,5,FALSE)</f>
        <v/>
      </c>
      <c r="AA450" s="49">
        <f>maint</f>
        <v/>
      </c>
      <c r="AB450" s="49">
        <f>VLOOKUP(B450,country_opex,7,FALSE)*ins_pct</f>
        <v/>
      </c>
      <c r="AC450" s="49">
        <f>charge_berth</f>
        <v/>
      </c>
      <c r="AD450" s="49">
        <f>X450+Y450+Z450+AA450+AB450+AC450</f>
        <v/>
      </c>
      <c r="AE450" s="49">
        <f>VLOOKUP(B450,country_opex,7,FALSE)/dep_years</f>
        <v/>
      </c>
      <c r="AF450" s="49">
        <f>W450-AD450</f>
        <v/>
      </c>
      <c r="AG450" s="46">
        <f>IF(W450=0,"",AF450/W450)</f>
        <v/>
      </c>
      <c r="AH450" s="47">
        <f>IF(AF450&lt;=0,"",VLOOKUP(B450,country_opex,7,FALSE)/AF450)</f>
        <v/>
      </c>
      <c r="AI450" s="44">
        <f>((G450*R450/diesel_nmpg)*diesel_co2pg-(battery/range_nm)*G450*R450*VLOOKUP(B450,country_opex,4,FALSE))/1000</f>
        <v/>
      </c>
      <c r="AJ450" s="42" t="n"/>
      <c r="AK450" s="43" t="n"/>
      <c r="AL450" s="43" t="n"/>
      <c r="AM450" s="50" t="n">
        <v>0.1</v>
      </c>
      <c r="AN450" s="45">
        <f>IF(AJ450="","",AJ450*AM450)</f>
        <v/>
      </c>
      <c r="AO450" s="45">
        <f>IF(OR(AJ450="",U450=0),"",MIN(IF(AV450="",9.9E+99,AV450),FLOOR(AN450/U450,1)))</f>
        <v/>
      </c>
      <c r="AP450" s="49">
        <f>IF(AO450="","",AO450*W450)</f>
        <v/>
      </c>
      <c r="AQ450" s="47">
        <f>IF(OR(AJ450="",U450=0),"",MIN(IF(AV450="",9.9E+99,AV450),AN450/U450))</f>
        <v/>
      </c>
      <c r="AR450" s="49">
        <f>IF(AQ450="","",AQ450*W450)</f>
        <v/>
      </c>
      <c r="AS450" s="51" t="n"/>
      <c r="AT450" s="52" t="n"/>
      <c r="AU450" s="52" t="n"/>
      <c r="AV450" s="53" t="n"/>
      <c r="AW450" s="54">
        <f>IF(((V450*pax_cap*load_thin*ROUND(N450*O450*revleg_thin,0))-(((battery/range_nm)*G450*ROUND(N450*O450*revleg_thin,0)*VLOOKUP(B450,country_opex,3,FALSE))+Y450+Z450+AA450+AB450+AC450))&lt;=0,"",VLOOKUP(B450,country_opex,7,FALSE)/((V450*pax_cap*load_thin*ROUND(N450*O450*revleg_thin,0))-(((battery/range_nm)*G450*ROUND(N450*O450*revleg_thin,0)*VLOOKUP(B450,country_opex,3,FALSE))+Y450+Z450+AA450+AB450+AC450)))</f>
        <v/>
      </c>
      <c r="AX450" s="54">
        <f>IF(((V450*pax_cap*load_mid*ROUND(N450*O450*revleg_mid,0))-(((battery/range_nm)*G450*ROUND(N450*O450*revleg_mid,0)*VLOOKUP(B450,country_opex,3,FALSE))+Y450+Z450+AA450+AB450+AC450))&lt;=0,"",VLOOKUP(B450,country_opex,7,FALSE)/((V450*pax_cap*load_mid*ROUND(N450*O450*revleg_mid,0))-(((battery/range_nm)*G450*ROUND(N450*O450*revleg_mid,0)*VLOOKUP(B450,country_opex,3,FALSE))+Y450+Z450+AA450+AB450+AC450)))</f>
        <v/>
      </c>
      <c r="AY450" s="54">
        <f>IF(((V450*pax_cap*load_full*ROUND(N450*O450*revleg_full,0))-(((battery/range_nm)*G450*ROUND(N450*O450*revleg_full,0)*VLOOKUP(B450,country_opex,3,FALSE))+Y450+Z450+AA450+AB450+AC450))&lt;=0,"",VLOOKUP(B450,country_opex,7,FALSE)/((V450*pax_cap*load_full*ROUND(N450*O450*revleg_full,0))-(((battery/range_nm)*G450*ROUND(N450*O450*revleg_full,0)*VLOOKUP(B450,country_opex,3,FALSE))+Y450+Z450+AA450+AB450+AC450)))</f>
        <v/>
      </c>
      <c r="AZ450" s="40" t="inlineStr">
        <is>
          <t>PREMIUM charter-divided tier: Hammamet/Nabeul bay per-seat excursion boat ~EUR 15-25 (3h marina cruise w/ swim stop) -&gt; ~EUR 20 x 1.08 ~= $22. Nearest premium per-seat water product on the bay.</t>
        </is>
      </c>
      <c r="BA450" s="40" t="n"/>
    </row>
    <row r="451">
      <c r="A451" s="38" t="inlineStr">
        <is>
          <t>Yango Tunisia</t>
        </is>
      </c>
      <c r="B451" s="38" t="inlineStr">
        <is>
          <t>Tunisia</t>
        </is>
      </c>
      <c r="C451" s="39" t="inlineStr">
        <is>
          <t>Sfax → Sidi Youssef (Kerkennah Islands)</t>
        </is>
      </c>
      <c r="D451" s="38" t="inlineStr">
        <is>
          <t>yango</t>
        </is>
      </c>
      <c r="E451" s="40" t="inlineStr">
        <is>
          <t>yango-tunisia</t>
        </is>
      </c>
      <c r="F451" s="41" t="n">
        <v>1</v>
      </c>
      <c r="G451" s="42" t="n">
        <v>11</v>
      </c>
      <c r="H451" s="35" t="n"/>
      <c r="I451" s="43" t="n"/>
      <c r="J451" s="43" t="n"/>
      <c r="K451" s="29" t="n">
        <v>1</v>
      </c>
      <c r="L451" s="44">
        <f>60*G451/cruise_kt</f>
        <v/>
      </c>
      <c r="M451" s="44">
        <f>L451+turn_min+dwell_min</f>
        <v/>
      </c>
      <c r="N451" s="45">
        <f>MIN(10,FLOOR(60*service_hr/M451,1))</f>
        <v/>
      </c>
      <c r="O451" s="45">
        <f>ROUND(365*mech_uptime*K451,0)</f>
        <v/>
      </c>
      <c r="P451" s="46">
        <f>mech_uptime</f>
        <v/>
      </c>
      <c r="Q451" s="46">
        <f>revleg_sel</f>
        <v/>
      </c>
      <c r="R451" s="45">
        <f>ROUND(N451*O451*revleg_sel,0)</f>
        <v/>
      </c>
      <c r="S451" s="47">
        <f>load_sel</f>
        <v/>
      </c>
      <c r="T451" s="47">
        <f>pax_cap*S451</f>
        <v/>
      </c>
      <c r="U451" s="45">
        <f>T451*R451</f>
        <v/>
      </c>
      <c r="V451" s="48">
        <f>H451*discount</f>
        <v/>
      </c>
      <c r="W451" s="49">
        <f>V451*U451</f>
        <v/>
      </c>
      <c r="X451" s="49">
        <f>(battery/range_nm)*G451*R451*VLOOKUP(B451,country_opex,3,FALSE)</f>
        <v/>
      </c>
      <c r="Y451" s="49">
        <f>VLOOKUP(B451,country_opex,2,FALSE)*crew_factor</f>
        <v/>
      </c>
      <c r="Z451" s="49">
        <f>VLOOKUP(B451,country_opex,5,FALSE)</f>
        <v/>
      </c>
      <c r="AA451" s="49">
        <f>maint</f>
        <v/>
      </c>
      <c r="AB451" s="49">
        <f>VLOOKUP(B451,country_opex,7,FALSE)*ins_pct</f>
        <v/>
      </c>
      <c r="AC451" s="49">
        <f>charge_berth</f>
        <v/>
      </c>
      <c r="AD451" s="49">
        <f>X451+Y451+Z451+AA451+AB451+AC451</f>
        <v/>
      </c>
      <c r="AE451" s="49">
        <f>VLOOKUP(B451,country_opex,7,FALSE)/dep_years</f>
        <v/>
      </c>
      <c r="AF451" s="49">
        <f>W451-AD451</f>
        <v/>
      </c>
      <c r="AG451" s="46">
        <f>IF(W451=0,"",AF451/W451)</f>
        <v/>
      </c>
      <c r="AH451" s="47">
        <f>IF(AF451&lt;=0,"",VLOOKUP(B451,country_opex,7,FALSE)/AF451)</f>
        <v/>
      </c>
      <c r="AI451" s="44">
        <f>((G451*R451/diesel_nmpg)*diesel_co2pg-(battery/range_nm)*G451*R451*VLOOKUP(B451,country_opex,4,FALSE))/1000</f>
        <v/>
      </c>
      <c r="AJ451" s="42" t="n">
        <v>1750000</v>
      </c>
      <c r="AK451" s="43" t="n"/>
      <c r="AL451" s="43" t="n"/>
      <c r="AM451" s="50" t="n">
        <v>0.1</v>
      </c>
      <c r="AN451" s="45">
        <f>IF(AJ451="","",AJ451*AM451)</f>
        <v/>
      </c>
      <c r="AO451" s="45">
        <f>IF(OR(AJ451="",U451=0),"",MIN(IF(AV451="",9.9E+99,AV451),FLOOR(AN451/U451,1)))</f>
        <v/>
      </c>
      <c r="AP451" s="49">
        <f>IF(AO451="","",AO451*W451)</f>
        <v/>
      </c>
      <c r="AQ451" s="47">
        <f>IF(OR(AJ451="",U451=0),"",MIN(IF(AV451="",9.9E+99,AV451),AN451/U451))</f>
        <v/>
      </c>
      <c r="AR451" s="49">
        <f>IF(AQ451="","",AQ451*W451)</f>
        <v/>
      </c>
      <c r="AS451" s="51" t="n"/>
      <c r="AT451" s="52" t="n"/>
      <c r="AU451" s="52" t="n"/>
      <c r="AV451" s="53" t="n"/>
      <c r="AW451" s="54">
        <f>IF(((V451*pax_cap*load_thin*ROUND(N451*O451*revleg_thin,0))-(((battery/range_nm)*G451*ROUND(N451*O451*revleg_thin,0)*VLOOKUP(B451,country_opex,3,FALSE))+Y451+Z451+AA451+AB451+AC451))&lt;=0,"",VLOOKUP(B451,country_opex,7,FALSE)/((V451*pax_cap*load_thin*ROUND(N451*O451*revleg_thin,0))-(((battery/range_nm)*G451*ROUND(N451*O451*revleg_thin,0)*VLOOKUP(B451,country_opex,3,FALSE))+Y451+Z451+AA451+AB451+AC451)))</f>
        <v/>
      </c>
      <c r="AX451" s="54">
        <f>IF(((V451*pax_cap*load_mid*ROUND(N451*O451*revleg_mid,0))-(((battery/range_nm)*G451*ROUND(N451*O451*revleg_mid,0)*VLOOKUP(B451,country_opex,3,FALSE))+Y451+Z451+AA451+AB451+AC451))&lt;=0,"",VLOOKUP(B451,country_opex,7,FALSE)/((V451*pax_cap*load_mid*ROUND(N451*O451*revleg_mid,0))-(((battery/range_nm)*G451*ROUND(N451*O451*revleg_mid,0)*VLOOKUP(B451,country_opex,3,FALSE))+Y451+Z451+AA451+AB451+AC451)))</f>
        <v/>
      </c>
      <c r="AY451" s="54">
        <f>IF(((V451*pax_cap*load_full*ROUND(N451*O451*revleg_full,0))-(((battery/range_nm)*G451*ROUND(N451*O451*revleg_full,0)*VLOOKUP(B451,country_opex,3,FALSE))+Y451+Z451+AA451+AB451+AC451))&lt;=0,"",VLOOKUP(B451,country_opex,7,FALSE)/((V451*pax_cap*load_full*ROUND(N451*O451*revleg_full,0))-(((battery/range_nm)*G451*ROUND(N451*O451*revleg_full,0)*VLOOKUP(B451,country_opex,3,FALSE))+Y451+Z451+AA451+AB451+AC451)))</f>
        <v/>
      </c>
      <c r="AZ451" s="40" t="n"/>
      <c r="BA451" s="40" t="n"/>
    </row>
    <row r="452">
      <c r="A452" s="38" t="inlineStr">
        <is>
          <t>Yango Tunisia</t>
        </is>
      </c>
      <c r="B452" s="38" t="inlineStr">
        <is>
          <t>Tunisia</t>
        </is>
      </c>
      <c r="C452" s="39" t="inlineStr">
        <is>
          <t>Sousse (Port El Kantaoui) → Monastir (Marina)</t>
        </is>
      </c>
      <c r="D452" s="38" t="inlineStr">
        <is>
          <t>yango</t>
        </is>
      </c>
      <c r="E452" s="40" t="inlineStr">
        <is>
          <t>yango-tunisia</t>
        </is>
      </c>
      <c r="F452" s="41" t="n">
        <v>1</v>
      </c>
      <c r="G452" s="42" t="n">
        <v>12</v>
      </c>
      <c r="H452" s="35" t="n">
        <v>32</v>
      </c>
      <c r="I452" s="43" t="inlineStr">
        <is>
          <t>T2</t>
        </is>
      </c>
      <c r="J452" s="43" t="inlineStr">
        <is>
          <t>med</t>
        </is>
      </c>
      <c r="K452" s="29" t="n">
        <v>1</v>
      </c>
      <c r="L452" s="44">
        <f>60*G452/cruise_kt</f>
        <v/>
      </c>
      <c r="M452" s="44">
        <f>L452+turn_min+dwell_min</f>
        <v/>
      </c>
      <c r="N452" s="45">
        <f>MIN(16,FLOOR(60*service_hr/M452,1))</f>
        <v/>
      </c>
      <c r="O452" s="45">
        <f>ROUND(365*mech_uptime*K452,0)</f>
        <v/>
      </c>
      <c r="P452" s="46">
        <f>mech_uptime</f>
        <v/>
      </c>
      <c r="Q452" s="46">
        <f>revleg_sel</f>
        <v/>
      </c>
      <c r="R452" s="45">
        <f>ROUND(N452*O452*revleg_sel,0)</f>
        <v/>
      </c>
      <c r="S452" s="47">
        <f>load_sel</f>
        <v/>
      </c>
      <c r="T452" s="47">
        <f>pax_cap*S452</f>
        <v/>
      </c>
      <c r="U452" s="45">
        <f>T452*R452</f>
        <v/>
      </c>
      <c r="V452" s="48">
        <f>H452*discount</f>
        <v/>
      </c>
      <c r="W452" s="49">
        <f>V452*U452</f>
        <v/>
      </c>
      <c r="X452" s="49">
        <f>(battery/range_nm)*G452*R452*VLOOKUP(B452,country_opex,3,FALSE)</f>
        <v/>
      </c>
      <c r="Y452" s="49">
        <f>VLOOKUP(B452,country_opex,2,FALSE)*crew_factor</f>
        <v/>
      </c>
      <c r="Z452" s="49">
        <f>VLOOKUP(B452,country_opex,5,FALSE)</f>
        <v/>
      </c>
      <c r="AA452" s="49">
        <f>maint</f>
        <v/>
      </c>
      <c r="AB452" s="49">
        <f>VLOOKUP(B452,country_opex,7,FALSE)*ins_pct</f>
        <v/>
      </c>
      <c r="AC452" s="49">
        <f>charge_berth</f>
        <v/>
      </c>
      <c r="AD452" s="49">
        <f>X452+Y452+Z452+AA452+AB452+AC452</f>
        <v/>
      </c>
      <c r="AE452" s="49">
        <f>VLOOKUP(B452,country_opex,7,FALSE)/dep_years</f>
        <v/>
      </c>
      <c r="AF452" s="49">
        <f>W452-AD452</f>
        <v/>
      </c>
      <c r="AG452" s="46">
        <f>IF(W452=0,"",AF452/W452)</f>
        <v/>
      </c>
      <c r="AH452" s="47">
        <f>IF(AF452&lt;=0,"",VLOOKUP(B452,country_opex,7,FALSE)/AF452)</f>
        <v/>
      </c>
      <c r="AI452" s="44">
        <f>((G452*R452/diesel_nmpg)*diesel_co2pg-(battery/range_nm)*G452*R452*VLOOKUP(B452,country_opex,4,FALSE))/1000</f>
        <v/>
      </c>
      <c r="AJ452" s="42" t="n">
        <v>344000</v>
      </c>
      <c r="AK452" s="43" t="n"/>
      <c r="AL452" s="43" t="n"/>
      <c r="AM452" s="50" t="n">
        <v>0.1</v>
      </c>
      <c r="AN452" s="45">
        <f>IF(AJ452="","",AJ452*AM452)</f>
        <v/>
      </c>
      <c r="AO452" s="45">
        <f>IF(OR(AJ452="",U452=0),"",MIN(IF(AV452="",9.9E+99,AV452),FLOOR(AN452/U452,1)))</f>
        <v/>
      </c>
      <c r="AP452" s="49">
        <f>IF(AO452="","",AO452*W452)</f>
        <v/>
      </c>
      <c r="AQ452" s="47">
        <f>IF(OR(AJ452="",U452=0),"",MIN(IF(AV452="",9.9E+99,AV452),AN452/U452))</f>
        <v/>
      </c>
      <c r="AR452" s="49">
        <f>IF(AQ452="","",AQ452*W452)</f>
        <v/>
      </c>
      <c r="AS452" s="51" t="n"/>
      <c r="AT452" s="52" t="n"/>
      <c r="AU452" s="52" t="n"/>
      <c r="AV452" s="53" t="n"/>
      <c r="AW452" s="54">
        <f>IF(((V452*pax_cap*load_thin*ROUND(N452*O452*revleg_thin,0))-(((battery/range_nm)*G452*ROUND(N452*O452*revleg_thin,0)*VLOOKUP(B452,country_opex,3,FALSE))+Y452+Z452+AA452+AB452+AC452))&lt;=0,"",VLOOKUP(B452,country_opex,7,FALSE)/((V452*pax_cap*load_thin*ROUND(N452*O452*revleg_thin,0))-(((battery/range_nm)*G452*ROUND(N452*O452*revleg_thin,0)*VLOOKUP(B452,country_opex,3,FALSE))+Y452+Z452+AA452+AB452+AC452)))</f>
        <v/>
      </c>
      <c r="AX452" s="54">
        <f>IF(((V452*pax_cap*load_mid*ROUND(N452*O452*revleg_mid,0))-(((battery/range_nm)*G452*ROUND(N452*O452*revleg_mid,0)*VLOOKUP(B452,country_opex,3,FALSE))+Y452+Z452+AA452+AB452+AC452))&lt;=0,"",VLOOKUP(B452,country_opex,7,FALSE)/((V452*pax_cap*load_mid*ROUND(N452*O452*revleg_mid,0))-(((battery/range_nm)*G452*ROUND(N452*O452*revleg_mid,0)*VLOOKUP(B452,country_opex,3,FALSE))+Y452+Z452+AA452+AB452+AC452)))</f>
        <v/>
      </c>
      <c r="AY452" s="54">
        <f>IF(((V452*pax_cap*load_full*ROUND(N452*O452*revleg_full,0))-(((battery/range_nm)*G452*ROUND(N452*O452*revleg_full,0)*VLOOKUP(B452,country_opex,3,FALSE))+Y452+Z452+AA452+AB452+AC452))&lt;=0,"",VLOOKUP(B452,country_opex,7,FALSE)/((V452*pax_cap*load_full*ROUND(N452*O452*revleg_full,0))-(((battery/range_nm)*G452*ROUND(N452*O452*revleg_full,0)*VLOOKUP(B452,country_opex,3,FALSE))+Y452+Z452+AA452+AB452+AC452)))</f>
        <v/>
      </c>
      <c r="AZ452" s="40" t="inlineStr">
        <is>
          <t>PREMIUM charter-divided tier: Port El Kantaoui per-seat catamaran / 'pirate boat' coastal cruise ~EUR 25-35 (Catamaran Amira day-cruise; half-day pirate-boat Sousse-Monastir) -&gt; midpoint ~EUR 30 x 1.08 ~= $32. This is the nearest premium per-seat water product operating on this exact coast.</t>
        </is>
      </c>
      <c r="BA452" s="40" t="n"/>
    </row>
    <row r="453">
      <c r="A453" s="38" t="inlineStr">
        <is>
          <t>Yango Turkey</t>
        </is>
      </c>
      <c r="B453" s="38" t="inlineStr">
        <is>
          <t>Turkey</t>
        </is>
      </c>
      <c r="C453" s="39" t="inlineStr">
        <is>
          <t>Eminönü → Üsküdar</t>
        </is>
      </c>
      <c r="D453" s="38" t="inlineStr">
        <is>
          <t>yango</t>
        </is>
      </c>
      <c r="E453" s="40" t="inlineStr">
        <is>
          <t>yango-turkey</t>
        </is>
      </c>
      <c r="F453" s="41" t="n">
        <v>1</v>
      </c>
      <c r="G453" s="42" t="n">
        <v>0.9</v>
      </c>
      <c r="H453" s="35" t="n">
        <v>18</v>
      </c>
      <c r="I453" s="43" t="inlineStr">
        <is>
          <t>T2</t>
        </is>
      </c>
      <c r="J453" s="43" t="inlineStr">
        <is>
          <t>med</t>
        </is>
      </c>
      <c r="K453" s="29" t="n">
        <v>1</v>
      </c>
      <c r="L453" s="44">
        <f>60*G453/cruise_kt</f>
        <v/>
      </c>
      <c r="M453" s="44">
        <f>L453+turn_min+dwell_min</f>
        <v/>
      </c>
      <c r="N453" s="45">
        <f>MIN(16,FLOOR(60*service_hr/M453,1))</f>
        <v/>
      </c>
      <c r="O453" s="45">
        <f>ROUND(365*mech_uptime*K453,0)</f>
        <v/>
      </c>
      <c r="P453" s="46">
        <f>mech_uptime</f>
        <v/>
      </c>
      <c r="Q453" s="46">
        <f>revleg_sel</f>
        <v/>
      </c>
      <c r="R453" s="45">
        <f>ROUND(N453*O453*revleg_sel,0)</f>
        <v/>
      </c>
      <c r="S453" s="47">
        <f>load_sel</f>
        <v/>
      </c>
      <c r="T453" s="47">
        <f>pax_cap*S453</f>
        <v/>
      </c>
      <c r="U453" s="45">
        <f>T453*R453</f>
        <v/>
      </c>
      <c r="V453" s="48">
        <f>H453*discount</f>
        <v/>
      </c>
      <c r="W453" s="49">
        <f>V453*U453</f>
        <v/>
      </c>
      <c r="X453" s="49">
        <f>(battery/range_nm)*G453*R453*VLOOKUP(B453,country_opex,3,FALSE)</f>
        <v/>
      </c>
      <c r="Y453" s="49">
        <f>VLOOKUP(B453,country_opex,2,FALSE)*crew_factor</f>
        <v/>
      </c>
      <c r="Z453" s="49">
        <f>VLOOKUP(B453,country_opex,5,FALSE)</f>
        <v/>
      </c>
      <c r="AA453" s="49">
        <f>maint</f>
        <v/>
      </c>
      <c r="AB453" s="49">
        <f>VLOOKUP(B453,country_opex,7,FALSE)*ins_pct</f>
        <v/>
      </c>
      <c r="AC453" s="49">
        <f>charge_berth</f>
        <v/>
      </c>
      <c r="AD453" s="49">
        <f>X453+Y453+Z453+AA453+AB453+AC453</f>
        <v/>
      </c>
      <c r="AE453" s="49">
        <f>VLOOKUP(B453,country_opex,7,FALSE)/dep_years</f>
        <v/>
      </c>
      <c r="AF453" s="49">
        <f>W453-AD453</f>
        <v/>
      </c>
      <c r="AG453" s="46">
        <f>IF(W453=0,"",AF453/W453)</f>
        <v/>
      </c>
      <c r="AH453" s="47">
        <f>IF(AF453&lt;=0,"",VLOOKUP(B453,country_opex,7,FALSE)/AF453)</f>
        <v/>
      </c>
      <c r="AI453" s="44">
        <f>((G453*R453/diesel_nmpg)*diesel_co2pg-(battery/range_nm)*G453*R453*VLOOKUP(B453,country_opex,4,FALSE))/1000</f>
        <v/>
      </c>
      <c r="AJ453" s="42" t="n">
        <v>880476</v>
      </c>
      <c r="AK453" s="43" t="n"/>
      <c r="AL453" s="43" t="inlineStr">
        <is>
          <t>med</t>
        </is>
      </c>
      <c r="AM453" s="50" t="n">
        <v>0.25</v>
      </c>
      <c r="AN453" s="45">
        <f>IF(AJ453="","",AJ453*AM453)</f>
        <v/>
      </c>
      <c r="AO453" s="45">
        <f>IF(OR(AJ453="",U453=0),"",MIN(IF(AV453="",9.9E+99,AV453),FLOOR(AN453/U453,1)))</f>
        <v/>
      </c>
      <c r="AP453" s="49">
        <f>IF(AO453="","",AO453*W453)</f>
        <v/>
      </c>
      <c r="AQ453" s="47">
        <f>IF(OR(AJ453="",U453=0),"",MIN(IF(AV453="",9.9E+99,AV453),AN453/U453))</f>
        <v/>
      </c>
      <c r="AR453" s="49">
        <f>IF(AQ453="","",AQ453*W453)</f>
        <v/>
      </c>
      <c r="AS453" s="51" t="n"/>
      <c r="AT453" s="52" t="n"/>
      <c r="AU453" s="52" t="n"/>
      <c r="AV453" s="53" t="n"/>
      <c r="AW453" s="54">
        <f>IF(((V453*pax_cap*load_thin*ROUND(N453*O453*revleg_thin,0))-(((battery/range_nm)*G453*ROUND(N453*O453*revleg_thin,0)*VLOOKUP(B453,country_opex,3,FALSE))+Y453+Z453+AA453+AB453+AC453))&lt;=0,"",VLOOKUP(B453,country_opex,7,FALSE)/((V453*pax_cap*load_thin*ROUND(N453*O453*revleg_thin,0))-(((battery/range_nm)*G453*ROUND(N453*O453*revleg_thin,0)*VLOOKUP(B453,country_opex,3,FALSE))+Y453+Z453+AA453+AB453+AC453)))</f>
        <v/>
      </c>
      <c r="AX453" s="54">
        <f>IF(((V453*pax_cap*load_mid*ROUND(N453*O453*revleg_mid,0))-(((battery/range_nm)*G453*ROUND(N453*O453*revleg_mid,0)*VLOOKUP(B453,country_opex,3,FALSE))+Y453+Z453+AA453+AB453+AC453))&lt;=0,"",VLOOKUP(B453,country_opex,7,FALSE)/((V453*pax_cap*load_mid*ROUND(N453*O453*revleg_mid,0))-(((battery/range_nm)*G453*ROUND(N453*O453*revleg_mid,0)*VLOOKUP(B453,country_opex,3,FALSE))+Y453+Z453+AA453+AB453+AC453)))</f>
        <v/>
      </c>
      <c r="AY453" s="54">
        <f>IF(((V453*pax_cap*load_full*ROUND(N453*O453*revleg_full,0))-(((battery/range_nm)*G453*ROUND(N453*O453*revleg_full,0)*VLOOKUP(B453,country_opex,3,FALSE))+Y453+Z453+AA453+AB453+AC453))&lt;=0,"",VLOOKUP(B453,country_opex,7,FALSE)/((V453*pax_cap*load_full*ROUND(N453*O453*revleg_full,0))-(((battery/range_nm)*G453*ROUND(N453*O453*revleg_full,0)*VLOOKUP(B453,country_opex,3,FALSE))+Y453+Z453+AA453+AB453+AC453)))</f>
        <v/>
      </c>
      <c r="AZ453" s="40" t="inlineStr">
        <is>
          <t>[LB-255 PREMIUM RE-FARE: subsidized comparable $2.53 lifted to premium on-demand floor $18.0] IMM Sea Taxi shared per-seat on 0.9 nm = (500+0.9×750)/10 = 117.5 TL ÷ 46.4 = $2.53 (whole-boat 1175 TL = $25.3).</t>
        </is>
      </c>
      <c r="BA453" s="40" t="n"/>
    </row>
    <row r="454">
      <c r="A454" s="38" t="inlineStr">
        <is>
          <t>Yango Turkey</t>
        </is>
      </c>
      <c r="B454" s="38" t="inlineStr">
        <is>
          <t>Turkey</t>
        </is>
      </c>
      <c r="C454" s="39" t="inlineStr">
        <is>
          <t>Karaköy → Kadıköy</t>
        </is>
      </c>
      <c r="D454" s="38" t="inlineStr">
        <is>
          <t>yango</t>
        </is>
      </c>
      <c r="E454" s="40" t="inlineStr">
        <is>
          <t>yango-turkey</t>
        </is>
      </c>
      <c r="F454" s="41" t="n">
        <v>1</v>
      </c>
      <c r="G454" s="42" t="n">
        <v>2.4</v>
      </c>
      <c r="H454" s="35" t="n">
        <v>18</v>
      </c>
      <c r="I454" s="43" t="inlineStr">
        <is>
          <t>T2</t>
        </is>
      </c>
      <c r="J454" s="43" t="inlineStr">
        <is>
          <t>med</t>
        </is>
      </c>
      <c r="K454" s="29" t="n">
        <v>1</v>
      </c>
      <c r="L454" s="44">
        <f>60*G454/cruise_kt</f>
        <v/>
      </c>
      <c r="M454" s="44">
        <f>L454+turn_min+dwell_min</f>
        <v/>
      </c>
      <c r="N454" s="45">
        <f>MIN(16,FLOOR(60*service_hr/M454,1))</f>
        <v/>
      </c>
      <c r="O454" s="45">
        <f>ROUND(365*mech_uptime*K454,0)</f>
        <v/>
      </c>
      <c r="P454" s="46">
        <f>mech_uptime</f>
        <v/>
      </c>
      <c r="Q454" s="46">
        <f>revleg_sel</f>
        <v/>
      </c>
      <c r="R454" s="45">
        <f>ROUND(N454*O454*revleg_sel,0)</f>
        <v/>
      </c>
      <c r="S454" s="47">
        <f>load_sel</f>
        <v/>
      </c>
      <c r="T454" s="47">
        <f>pax_cap*S454</f>
        <v/>
      </c>
      <c r="U454" s="45">
        <f>T454*R454</f>
        <v/>
      </c>
      <c r="V454" s="48">
        <f>H454*discount</f>
        <v/>
      </c>
      <c r="W454" s="49">
        <f>V454*U454</f>
        <v/>
      </c>
      <c r="X454" s="49">
        <f>(battery/range_nm)*G454*R454*VLOOKUP(B454,country_opex,3,FALSE)</f>
        <v/>
      </c>
      <c r="Y454" s="49">
        <f>VLOOKUP(B454,country_opex,2,FALSE)*crew_factor</f>
        <v/>
      </c>
      <c r="Z454" s="49">
        <f>VLOOKUP(B454,country_opex,5,FALSE)</f>
        <v/>
      </c>
      <c r="AA454" s="49">
        <f>maint</f>
        <v/>
      </c>
      <c r="AB454" s="49">
        <f>VLOOKUP(B454,country_opex,7,FALSE)*ins_pct</f>
        <v/>
      </c>
      <c r="AC454" s="49">
        <f>charge_berth</f>
        <v/>
      </c>
      <c r="AD454" s="49">
        <f>X454+Y454+Z454+AA454+AB454+AC454</f>
        <v/>
      </c>
      <c r="AE454" s="49">
        <f>VLOOKUP(B454,country_opex,7,FALSE)/dep_years</f>
        <v/>
      </c>
      <c r="AF454" s="49">
        <f>W454-AD454</f>
        <v/>
      </c>
      <c r="AG454" s="46">
        <f>IF(W454=0,"",AF454/W454)</f>
        <v/>
      </c>
      <c r="AH454" s="47">
        <f>IF(AF454&lt;=0,"",VLOOKUP(B454,country_opex,7,FALSE)/AF454)</f>
        <v/>
      </c>
      <c r="AI454" s="44">
        <f>((G454*R454/diesel_nmpg)*diesel_co2pg-(battery/range_nm)*G454*R454*VLOOKUP(B454,country_opex,4,FALSE))/1000</f>
        <v/>
      </c>
      <c r="AJ454" s="42" t="n">
        <v>725476</v>
      </c>
      <c r="AK454" s="43" t="n"/>
      <c r="AL454" s="43" t="inlineStr">
        <is>
          <t>med</t>
        </is>
      </c>
      <c r="AM454" s="50" t="n">
        <v>0.25</v>
      </c>
      <c r="AN454" s="45">
        <f>IF(AJ454="","",AJ454*AM454)</f>
        <v/>
      </c>
      <c r="AO454" s="45">
        <f>IF(OR(AJ454="",U454=0),"",MIN(IF(AV454="",9.9E+99,AV454),FLOOR(AN454/U454,1)))</f>
        <v/>
      </c>
      <c r="AP454" s="49">
        <f>IF(AO454="","",AO454*W454)</f>
        <v/>
      </c>
      <c r="AQ454" s="47">
        <f>IF(OR(AJ454="",U454=0),"",MIN(IF(AV454="",9.9E+99,AV454),AN454/U454))</f>
        <v/>
      </c>
      <c r="AR454" s="49">
        <f>IF(AQ454="","",AQ454*W454)</f>
        <v/>
      </c>
      <c r="AS454" s="51" t="n"/>
      <c r="AT454" s="52" t="n"/>
      <c r="AU454" s="52" t="n"/>
      <c r="AV454" s="53" t="n"/>
      <c r="AW454" s="54">
        <f>IF(((V454*pax_cap*load_thin*ROUND(N454*O454*revleg_thin,0))-(((battery/range_nm)*G454*ROUND(N454*O454*revleg_thin,0)*VLOOKUP(B454,country_opex,3,FALSE))+Y454+Z454+AA454+AB454+AC454))&lt;=0,"",VLOOKUP(B454,country_opex,7,FALSE)/((V454*pax_cap*load_thin*ROUND(N454*O454*revleg_thin,0))-(((battery/range_nm)*G454*ROUND(N454*O454*revleg_thin,0)*VLOOKUP(B454,country_opex,3,FALSE))+Y454+Z454+AA454+AB454+AC454)))</f>
        <v/>
      </c>
      <c r="AX454" s="54">
        <f>IF(((V454*pax_cap*load_mid*ROUND(N454*O454*revleg_mid,0))-(((battery/range_nm)*G454*ROUND(N454*O454*revleg_mid,0)*VLOOKUP(B454,country_opex,3,FALSE))+Y454+Z454+AA454+AB454+AC454))&lt;=0,"",VLOOKUP(B454,country_opex,7,FALSE)/((V454*pax_cap*load_mid*ROUND(N454*O454*revleg_mid,0))-(((battery/range_nm)*G454*ROUND(N454*O454*revleg_mid,0)*VLOOKUP(B454,country_opex,3,FALSE))+Y454+Z454+AA454+AB454+AC454)))</f>
        <v/>
      </c>
      <c r="AY454" s="54">
        <f>IF(((V454*pax_cap*load_full*ROUND(N454*O454*revleg_full,0))-(((battery/range_nm)*G454*ROUND(N454*O454*revleg_full,0)*VLOOKUP(B454,country_opex,3,FALSE))+Y454+Z454+AA454+AB454+AC454))&lt;=0,"",VLOOKUP(B454,country_opex,7,FALSE)/((V454*pax_cap*load_full*ROUND(N454*O454*revleg_full,0))-(((battery/range_nm)*G454*ROUND(N454*O454*revleg_full,0)*VLOOKUP(B454,country_opex,3,FALSE))+Y454+Z454+AA454+AB454+AC454)))</f>
        <v/>
      </c>
      <c r="AZ454" s="40" t="inlineStr">
        <is>
          <t>[LB-255 PREMIUM RE-FARE: subsidized comparable $4.96 lifted to premium on-demand floor $18.0] IMM Sea Taxi shared per-seat on 2.4 nm = (500+2.4×750)/10 = 230 TL ÷ 46.4 = $4.96 (whole-boat charter 2300 TL = $49.6).</t>
        </is>
      </c>
      <c r="BA454" s="40" t="n"/>
    </row>
    <row r="455">
      <c r="A455" s="38" t="inlineStr">
        <is>
          <t>Yango Turkey</t>
        </is>
      </c>
      <c r="B455" s="38" t="inlineStr">
        <is>
          <t>Turkey</t>
        </is>
      </c>
      <c r="C455" s="39" t="inlineStr">
        <is>
          <t>İzmir (Konak) → Karşıyaka</t>
        </is>
      </c>
      <c r="D455" s="38" t="inlineStr">
        <is>
          <t>yango</t>
        </is>
      </c>
      <c r="E455" s="40" t="inlineStr">
        <is>
          <t>yango-turkey</t>
        </is>
      </c>
      <c r="F455" s="41" t="n">
        <v>1</v>
      </c>
      <c r="G455" s="42" t="n">
        <v>2.5</v>
      </c>
      <c r="H455" s="35" t="n"/>
      <c r="I455" s="43" t="n"/>
      <c r="J455" s="43" t="n"/>
      <c r="K455" s="29" t="n">
        <v>1</v>
      </c>
      <c r="L455" s="44">
        <f>60*G455/cruise_kt</f>
        <v/>
      </c>
      <c r="M455" s="44">
        <f>L455+turn_min+dwell_min</f>
        <v/>
      </c>
      <c r="N455" s="45">
        <f>MIN(16,FLOOR(60*service_hr/M455,1))</f>
        <v/>
      </c>
      <c r="O455" s="45">
        <f>ROUND(365*mech_uptime*K455,0)</f>
        <v/>
      </c>
      <c r="P455" s="46">
        <f>mech_uptime</f>
        <v/>
      </c>
      <c r="Q455" s="46">
        <f>revleg_sel</f>
        <v/>
      </c>
      <c r="R455" s="45">
        <f>ROUND(N455*O455*revleg_sel,0)</f>
        <v/>
      </c>
      <c r="S455" s="47">
        <f>load_sel</f>
        <v/>
      </c>
      <c r="T455" s="47">
        <f>pax_cap*S455</f>
        <v/>
      </c>
      <c r="U455" s="45">
        <f>T455*R455</f>
        <v/>
      </c>
      <c r="V455" s="48">
        <f>H455*discount</f>
        <v/>
      </c>
      <c r="W455" s="49">
        <f>V455*U455</f>
        <v/>
      </c>
      <c r="X455" s="49">
        <f>(battery/range_nm)*G455*R455*VLOOKUP(B455,country_opex,3,FALSE)</f>
        <v/>
      </c>
      <c r="Y455" s="49">
        <f>VLOOKUP(B455,country_opex,2,FALSE)*crew_factor</f>
        <v/>
      </c>
      <c r="Z455" s="49">
        <f>VLOOKUP(B455,country_opex,5,FALSE)</f>
        <v/>
      </c>
      <c r="AA455" s="49">
        <f>maint</f>
        <v/>
      </c>
      <c r="AB455" s="49">
        <f>VLOOKUP(B455,country_opex,7,FALSE)*ins_pct</f>
        <v/>
      </c>
      <c r="AC455" s="49">
        <f>charge_berth</f>
        <v/>
      </c>
      <c r="AD455" s="49">
        <f>X455+Y455+Z455+AA455+AB455+AC455</f>
        <v/>
      </c>
      <c r="AE455" s="49">
        <f>VLOOKUP(B455,country_opex,7,FALSE)/dep_years</f>
        <v/>
      </c>
      <c r="AF455" s="49">
        <f>W455-AD455</f>
        <v/>
      </c>
      <c r="AG455" s="46">
        <f>IF(W455=0,"",AF455/W455)</f>
        <v/>
      </c>
      <c r="AH455" s="47">
        <f>IF(AF455&lt;=0,"",VLOOKUP(B455,country_opex,7,FALSE)/AF455)</f>
        <v/>
      </c>
      <c r="AI455" s="44">
        <f>((G455*R455/diesel_nmpg)*diesel_co2pg-(battery/range_nm)*G455*R455*VLOOKUP(B455,country_opex,4,FALSE))/1000</f>
        <v/>
      </c>
      <c r="AJ455" s="42" t="n">
        <v>14621849</v>
      </c>
      <c r="AK455" s="43" t="n"/>
      <c r="AL455" s="43" t="n"/>
      <c r="AM455" s="50" t="n">
        <v>0.1</v>
      </c>
      <c r="AN455" s="45">
        <f>IF(AJ455="","",AJ455*AM455)</f>
        <v/>
      </c>
      <c r="AO455" s="45">
        <f>IF(OR(AJ455="",U455=0),"",MIN(IF(AV455="",9.9E+99,AV455),FLOOR(AN455/U455,1)))</f>
        <v/>
      </c>
      <c r="AP455" s="49">
        <f>IF(AO455="","",AO455*W455)</f>
        <v/>
      </c>
      <c r="AQ455" s="47">
        <f>IF(OR(AJ455="",U455=0),"",MIN(IF(AV455="",9.9E+99,AV455),AN455/U455))</f>
        <v/>
      </c>
      <c r="AR455" s="49">
        <f>IF(AQ455="","",AQ455*W455)</f>
        <v/>
      </c>
      <c r="AS455" s="51" t="n"/>
      <c r="AT455" s="52" t="n"/>
      <c r="AU455" s="52" t="n"/>
      <c r="AV455" s="53" t="n"/>
      <c r="AW455" s="54">
        <f>IF(((V455*pax_cap*load_thin*ROUND(N455*O455*revleg_thin,0))-(((battery/range_nm)*G455*ROUND(N455*O455*revleg_thin,0)*VLOOKUP(B455,country_opex,3,FALSE))+Y455+Z455+AA455+AB455+AC455))&lt;=0,"",VLOOKUP(B455,country_opex,7,FALSE)/((V455*pax_cap*load_thin*ROUND(N455*O455*revleg_thin,0))-(((battery/range_nm)*G455*ROUND(N455*O455*revleg_thin,0)*VLOOKUP(B455,country_opex,3,FALSE))+Y455+Z455+AA455+AB455+AC455)))</f>
        <v/>
      </c>
      <c r="AX455" s="54">
        <f>IF(((V455*pax_cap*load_mid*ROUND(N455*O455*revleg_mid,0))-(((battery/range_nm)*G455*ROUND(N455*O455*revleg_mid,0)*VLOOKUP(B455,country_opex,3,FALSE))+Y455+Z455+AA455+AB455+AC455))&lt;=0,"",VLOOKUP(B455,country_opex,7,FALSE)/((V455*pax_cap*load_mid*ROUND(N455*O455*revleg_mid,0))-(((battery/range_nm)*G455*ROUND(N455*O455*revleg_mid,0)*VLOOKUP(B455,country_opex,3,FALSE))+Y455+Z455+AA455+AB455+AC455)))</f>
        <v/>
      </c>
      <c r="AY455" s="54">
        <f>IF(((V455*pax_cap*load_full*ROUND(N455*O455*revleg_full,0))-(((battery/range_nm)*G455*ROUND(N455*O455*revleg_full,0)*VLOOKUP(B455,country_opex,3,FALSE))+Y455+Z455+AA455+AB455+AC455))&lt;=0,"",VLOOKUP(B455,country_opex,7,FALSE)/((V455*pax_cap*load_full*ROUND(N455*O455*revleg_full,0))-(((battery/range_nm)*G455*ROUND(N455*O455*revleg_full,0)*VLOOKUP(B455,country_opex,3,FALSE))+Y455+Z455+AA455+AB455+AC455)))</f>
        <v/>
      </c>
      <c r="AZ455" s="40" t="n"/>
      <c r="BA455" s="40" t="n"/>
    </row>
    <row r="456">
      <c r="A456" s="38" t="inlineStr">
        <is>
          <t>Yango Turkey</t>
        </is>
      </c>
      <c r="B456" s="38" t="inlineStr">
        <is>
          <t>Turkey</t>
        </is>
      </c>
      <c r="C456" s="39" t="inlineStr">
        <is>
          <t>Istanbul (Galataport) → Beşiktaş / Bosphorus</t>
        </is>
      </c>
      <c r="D456" s="38" t="inlineStr">
        <is>
          <t>yango</t>
        </is>
      </c>
      <c r="E456" s="40" t="inlineStr">
        <is>
          <t>yango-turkey</t>
        </is>
      </c>
      <c r="F456" s="41" t="n">
        <v>1</v>
      </c>
      <c r="G456" s="42" t="n">
        <v>2.6</v>
      </c>
      <c r="H456" s="35" t="n">
        <v>13</v>
      </c>
      <c r="I456" s="43" t="inlineStr">
        <is>
          <t>T2</t>
        </is>
      </c>
      <c r="J456" s="43" t="inlineStr">
        <is>
          <t>med</t>
        </is>
      </c>
      <c r="K456" s="29" t="n">
        <v>1</v>
      </c>
      <c r="L456" s="44">
        <f>60*G456/cruise_kt</f>
        <v/>
      </c>
      <c r="M456" s="44">
        <f>L456+turn_min+dwell_min</f>
        <v/>
      </c>
      <c r="N456" s="45">
        <f>MIN(16,FLOOR(60*service_hr/M456,1))</f>
        <v/>
      </c>
      <c r="O456" s="45">
        <f>ROUND(365*mech_uptime*K456,0)</f>
        <v/>
      </c>
      <c r="P456" s="46">
        <f>mech_uptime</f>
        <v/>
      </c>
      <c r="Q456" s="46">
        <f>revleg_sel</f>
        <v/>
      </c>
      <c r="R456" s="45">
        <f>ROUND(N456*O456*revleg_sel,0)</f>
        <v/>
      </c>
      <c r="S456" s="47">
        <f>load_sel</f>
        <v/>
      </c>
      <c r="T456" s="47">
        <f>pax_cap*S456</f>
        <v/>
      </c>
      <c r="U456" s="45">
        <f>T456*R456</f>
        <v/>
      </c>
      <c r="V456" s="48">
        <f>H456*discount</f>
        <v/>
      </c>
      <c r="W456" s="49">
        <f>V456*U456</f>
        <v/>
      </c>
      <c r="X456" s="49">
        <f>(battery/range_nm)*G456*R456*VLOOKUP(B456,country_opex,3,FALSE)</f>
        <v/>
      </c>
      <c r="Y456" s="49">
        <f>VLOOKUP(B456,country_opex,2,FALSE)*crew_factor</f>
        <v/>
      </c>
      <c r="Z456" s="49">
        <f>VLOOKUP(B456,country_opex,5,FALSE)</f>
        <v/>
      </c>
      <c r="AA456" s="49">
        <f>maint</f>
        <v/>
      </c>
      <c r="AB456" s="49">
        <f>VLOOKUP(B456,country_opex,7,FALSE)*ins_pct</f>
        <v/>
      </c>
      <c r="AC456" s="49">
        <f>charge_berth</f>
        <v/>
      </c>
      <c r="AD456" s="49">
        <f>X456+Y456+Z456+AA456+AB456+AC456</f>
        <v/>
      </c>
      <c r="AE456" s="49">
        <f>VLOOKUP(B456,country_opex,7,FALSE)/dep_years</f>
        <v/>
      </c>
      <c r="AF456" s="49">
        <f>W456-AD456</f>
        <v/>
      </c>
      <c r="AG456" s="46">
        <f>IF(W456=0,"",AF456/W456)</f>
        <v/>
      </c>
      <c r="AH456" s="47">
        <f>IF(AF456&lt;=0,"",VLOOKUP(B456,country_opex,7,FALSE)/AF456)</f>
        <v/>
      </c>
      <c r="AI456" s="44">
        <f>((G456*R456/diesel_nmpg)*diesel_co2pg-(battery/range_nm)*G456*R456*VLOOKUP(B456,country_opex,4,FALSE))/1000</f>
        <v/>
      </c>
      <c r="AJ456" s="42" t="n">
        <v>400000</v>
      </c>
      <c r="AK456" s="43" t="n"/>
      <c r="AL456" s="43" t="n"/>
      <c r="AM456" s="50" t="n">
        <v>0.1</v>
      </c>
      <c r="AN456" s="45">
        <f>IF(AJ456="","",AJ456*AM456)</f>
        <v/>
      </c>
      <c r="AO456" s="45">
        <f>IF(OR(AJ456="",U456=0),"",MIN(IF(AV456="",9.9E+99,AV456),FLOOR(AN456/U456,1)))</f>
        <v/>
      </c>
      <c r="AP456" s="49">
        <f>IF(AO456="","",AO456*W456)</f>
        <v/>
      </c>
      <c r="AQ456" s="47">
        <f>IF(OR(AJ456="",U456=0),"",MIN(IF(AV456="",9.9E+99,AV456),AN456/U456))</f>
        <v/>
      </c>
      <c r="AR456" s="49">
        <f>IF(AQ456="","",AQ456*W456)</f>
        <v/>
      </c>
      <c r="AS456" s="51" t="n"/>
      <c r="AT456" s="52" t="n"/>
      <c r="AU456" s="52" t="n"/>
      <c r="AV456" s="53" t="n"/>
      <c r="AW456" s="54">
        <f>IF(((V456*pax_cap*load_thin*ROUND(N456*O456*revleg_thin,0))-(((battery/range_nm)*G456*ROUND(N456*O456*revleg_thin,0)*VLOOKUP(B456,country_opex,3,FALSE))+Y456+Z456+AA456+AB456+AC456))&lt;=0,"",VLOOKUP(B456,country_opex,7,FALSE)/((V456*pax_cap*load_thin*ROUND(N456*O456*revleg_thin,0))-(((battery/range_nm)*G456*ROUND(N456*O456*revleg_thin,0)*VLOOKUP(B456,country_opex,3,FALSE))+Y456+Z456+AA456+AB456+AC456)))</f>
        <v/>
      </c>
      <c r="AX456" s="54">
        <f>IF(((V456*pax_cap*load_mid*ROUND(N456*O456*revleg_mid,0))-(((battery/range_nm)*G456*ROUND(N456*O456*revleg_mid,0)*VLOOKUP(B456,country_opex,3,FALSE))+Y456+Z456+AA456+AB456+AC456))&lt;=0,"",VLOOKUP(B456,country_opex,7,FALSE)/((V456*pax_cap*load_mid*ROUND(N456*O456*revleg_mid,0))-(((battery/range_nm)*G456*ROUND(N456*O456*revleg_mid,0)*VLOOKUP(B456,country_opex,3,FALSE))+Y456+Z456+AA456+AB456+AC456)))</f>
        <v/>
      </c>
      <c r="AY456" s="54">
        <f>IF(((V456*pax_cap*load_full*ROUND(N456*O456*revleg_full,0))-(((battery/range_nm)*G456*ROUND(N456*O456*revleg_full,0)*VLOOKUP(B456,country_opex,3,FALSE))+Y456+Z456+AA456+AB456+AC456))&lt;=0,"",VLOOKUP(B456,country_opex,7,FALSE)/((V456*pax_cap*load_full*ROUND(N456*O456*revleg_full,0))-(((battery/range_nm)*G456*ROUND(N456*O456*revleg_full,0)*VLOOKUP(B456,country_opex,3,FALSE))+Y456+Z456+AA456+AB456+AC456)))</f>
        <v/>
      </c>
      <c r="AZ456" s="40" t="inlineStr">
        <is>
          <t>EXISTING anchor retained — private/tourist Bosphorus hop-on premium (~600 TL). For reference, the IMM Sea Taxi shared per-seat on this 2.6 nm leg = (500+2.6×750)/10 = 245 TL = $5.28; whole-boat charter 2450 TL = $52.8.</t>
        </is>
      </c>
      <c r="BA456" s="40" t="n"/>
    </row>
    <row r="457">
      <c r="A457" s="38" t="inlineStr">
        <is>
          <t>Yango Turkey</t>
        </is>
      </c>
      <c r="B457" s="38" t="inlineStr">
        <is>
          <t>Turkey</t>
        </is>
      </c>
      <c r="C457" s="39" t="inlineStr">
        <is>
          <t>Eminönü → Kadıköy</t>
        </is>
      </c>
      <c r="D457" s="38" t="inlineStr">
        <is>
          <t>yango</t>
        </is>
      </c>
      <c r="E457" s="40" t="inlineStr">
        <is>
          <t>yango-turkey</t>
        </is>
      </c>
      <c r="F457" s="41" t="n">
        <v>1</v>
      </c>
      <c r="G457" s="42" t="n">
        <v>2.6</v>
      </c>
      <c r="H457" s="35" t="n">
        <v>18</v>
      </c>
      <c r="I457" s="43" t="inlineStr">
        <is>
          <t>T2</t>
        </is>
      </c>
      <c r="J457" s="43" t="inlineStr">
        <is>
          <t>med</t>
        </is>
      </c>
      <c r="K457" s="29" t="n">
        <v>1</v>
      </c>
      <c r="L457" s="44">
        <f>60*G457/cruise_kt</f>
        <v/>
      </c>
      <c r="M457" s="44">
        <f>L457+turn_min+dwell_min</f>
        <v/>
      </c>
      <c r="N457" s="45">
        <f>MIN(16,FLOOR(60*service_hr/M457,1))</f>
        <v/>
      </c>
      <c r="O457" s="45">
        <f>ROUND(365*mech_uptime*K457,0)</f>
        <v/>
      </c>
      <c r="P457" s="46">
        <f>mech_uptime</f>
        <v/>
      </c>
      <c r="Q457" s="46">
        <f>revleg_sel</f>
        <v/>
      </c>
      <c r="R457" s="45">
        <f>ROUND(N457*O457*revleg_sel,0)</f>
        <v/>
      </c>
      <c r="S457" s="47">
        <f>load_sel</f>
        <v/>
      </c>
      <c r="T457" s="47">
        <f>pax_cap*S457</f>
        <v/>
      </c>
      <c r="U457" s="45">
        <f>T457*R457</f>
        <v/>
      </c>
      <c r="V457" s="48">
        <f>H457*discount</f>
        <v/>
      </c>
      <c r="W457" s="49">
        <f>V457*U457</f>
        <v/>
      </c>
      <c r="X457" s="49">
        <f>(battery/range_nm)*G457*R457*VLOOKUP(B457,country_opex,3,FALSE)</f>
        <v/>
      </c>
      <c r="Y457" s="49">
        <f>VLOOKUP(B457,country_opex,2,FALSE)*crew_factor</f>
        <v/>
      </c>
      <c r="Z457" s="49">
        <f>VLOOKUP(B457,country_opex,5,FALSE)</f>
        <v/>
      </c>
      <c r="AA457" s="49">
        <f>maint</f>
        <v/>
      </c>
      <c r="AB457" s="49">
        <f>VLOOKUP(B457,country_opex,7,FALSE)*ins_pct</f>
        <v/>
      </c>
      <c r="AC457" s="49">
        <f>charge_berth</f>
        <v/>
      </c>
      <c r="AD457" s="49">
        <f>X457+Y457+Z457+AA457+AB457+AC457</f>
        <v/>
      </c>
      <c r="AE457" s="49">
        <f>VLOOKUP(B457,country_opex,7,FALSE)/dep_years</f>
        <v/>
      </c>
      <c r="AF457" s="49">
        <f>W457-AD457</f>
        <v/>
      </c>
      <c r="AG457" s="46">
        <f>IF(W457=0,"",AF457/W457)</f>
        <v/>
      </c>
      <c r="AH457" s="47">
        <f>IF(AF457&lt;=0,"",VLOOKUP(B457,country_opex,7,FALSE)/AF457)</f>
        <v/>
      </c>
      <c r="AI457" s="44">
        <f>((G457*R457/diesel_nmpg)*diesel_co2pg-(battery/range_nm)*G457*R457*VLOOKUP(B457,country_opex,4,FALSE))/1000</f>
        <v/>
      </c>
      <c r="AJ457" s="42" t="n">
        <v>1091427</v>
      </c>
      <c r="AK457" s="43" t="n"/>
      <c r="AL457" s="43" t="inlineStr">
        <is>
          <t>med</t>
        </is>
      </c>
      <c r="AM457" s="50" t="n">
        <v>0.25</v>
      </c>
      <c r="AN457" s="45">
        <f>IF(AJ457="","",AJ457*AM457)</f>
        <v/>
      </c>
      <c r="AO457" s="45">
        <f>IF(OR(AJ457="",U457=0),"",MIN(IF(AV457="",9.9E+99,AV457),FLOOR(AN457/U457,1)))</f>
        <v/>
      </c>
      <c r="AP457" s="49">
        <f>IF(AO457="","",AO457*W457)</f>
        <v/>
      </c>
      <c r="AQ457" s="47">
        <f>IF(OR(AJ457="",U457=0),"",MIN(IF(AV457="",9.9E+99,AV457),AN457/U457))</f>
        <v/>
      </c>
      <c r="AR457" s="49">
        <f>IF(AQ457="","",AQ457*W457)</f>
        <v/>
      </c>
      <c r="AS457" s="51" t="n"/>
      <c r="AT457" s="52" t="n"/>
      <c r="AU457" s="52" t="n"/>
      <c r="AV457" s="53" t="n"/>
      <c r="AW457" s="54">
        <f>IF(((V457*pax_cap*load_thin*ROUND(N457*O457*revleg_thin,0))-(((battery/range_nm)*G457*ROUND(N457*O457*revleg_thin,0)*VLOOKUP(B457,country_opex,3,FALSE))+Y457+Z457+AA457+AB457+AC457))&lt;=0,"",VLOOKUP(B457,country_opex,7,FALSE)/((V457*pax_cap*load_thin*ROUND(N457*O457*revleg_thin,0))-(((battery/range_nm)*G457*ROUND(N457*O457*revleg_thin,0)*VLOOKUP(B457,country_opex,3,FALSE))+Y457+Z457+AA457+AB457+AC457)))</f>
        <v/>
      </c>
      <c r="AX457" s="54">
        <f>IF(((V457*pax_cap*load_mid*ROUND(N457*O457*revleg_mid,0))-(((battery/range_nm)*G457*ROUND(N457*O457*revleg_mid,0)*VLOOKUP(B457,country_opex,3,FALSE))+Y457+Z457+AA457+AB457+AC457))&lt;=0,"",VLOOKUP(B457,country_opex,7,FALSE)/((V457*pax_cap*load_mid*ROUND(N457*O457*revleg_mid,0))-(((battery/range_nm)*G457*ROUND(N457*O457*revleg_mid,0)*VLOOKUP(B457,country_opex,3,FALSE))+Y457+Z457+AA457+AB457+AC457)))</f>
        <v/>
      </c>
      <c r="AY457" s="54">
        <f>IF(((V457*pax_cap*load_full*ROUND(N457*O457*revleg_full,0))-(((battery/range_nm)*G457*ROUND(N457*O457*revleg_full,0)*VLOOKUP(B457,country_opex,3,FALSE))+Y457+Z457+AA457+AB457+AC457))&lt;=0,"",VLOOKUP(B457,country_opex,7,FALSE)/((V457*pax_cap*load_full*ROUND(N457*O457*revleg_full,0))-(((battery/range_nm)*G457*ROUND(N457*O457*revleg_full,0)*VLOOKUP(B457,country_opex,3,FALSE))+Y457+Z457+AA457+AB457+AC457)))</f>
        <v/>
      </c>
      <c r="AZ457" s="40" t="inlineStr">
        <is>
          <t>[LB-255 PREMIUM RE-FARE: subsidized comparable $5.28 lifted to premium on-demand floor $18.0] IMM Sea Taxi shared per-seat on 2.6 nm = (500+2.6×750)/10 = 245 TL ÷ 46.4 = $5.28 (whole-boat 2450 TL = $52.8).</t>
        </is>
      </c>
      <c r="BA457" s="40" t="n"/>
    </row>
    <row r="458">
      <c r="A458" s="38" t="inlineStr">
        <is>
          <t>Yango Turkey</t>
        </is>
      </c>
      <c r="B458" s="38" t="inlineStr">
        <is>
          <t>Turkey</t>
        </is>
      </c>
      <c r="C458" s="39" t="inlineStr">
        <is>
          <t>Beşiktaş → Kadıköy</t>
        </is>
      </c>
      <c r="D458" s="38" t="inlineStr">
        <is>
          <t>yango</t>
        </is>
      </c>
      <c r="E458" s="40" t="inlineStr">
        <is>
          <t>yango-turkey</t>
        </is>
      </c>
      <c r="F458" s="41" t="n">
        <v>1</v>
      </c>
      <c r="G458" s="42" t="n">
        <v>2.6</v>
      </c>
      <c r="H458" s="35" t="n">
        <v>18</v>
      </c>
      <c r="I458" s="43" t="inlineStr">
        <is>
          <t>T2</t>
        </is>
      </c>
      <c r="J458" s="43" t="inlineStr">
        <is>
          <t>med</t>
        </is>
      </c>
      <c r="K458" s="29" t="n">
        <v>1</v>
      </c>
      <c r="L458" s="44">
        <f>60*G458/cruise_kt</f>
        <v/>
      </c>
      <c r="M458" s="44">
        <f>L458+turn_min+dwell_min</f>
        <v/>
      </c>
      <c r="N458" s="45">
        <f>MIN(16,FLOOR(60*service_hr/M458,1))</f>
        <v/>
      </c>
      <c r="O458" s="45">
        <f>ROUND(365*mech_uptime*K458,0)</f>
        <v/>
      </c>
      <c r="P458" s="46">
        <f>mech_uptime</f>
        <v/>
      </c>
      <c r="Q458" s="46">
        <f>revleg_sel</f>
        <v/>
      </c>
      <c r="R458" s="45">
        <f>ROUND(N458*O458*revleg_sel,0)</f>
        <v/>
      </c>
      <c r="S458" s="47">
        <f>load_sel</f>
        <v/>
      </c>
      <c r="T458" s="47">
        <f>pax_cap*S458</f>
        <v/>
      </c>
      <c r="U458" s="45">
        <f>T458*R458</f>
        <v/>
      </c>
      <c r="V458" s="48">
        <f>H458*discount</f>
        <v/>
      </c>
      <c r="W458" s="49">
        <f>V458*U458</f>
        <v/>
      </c>
      <c r="X458" s="49">
        <f>(battery/range_nm)*G458*R458*VLOOKUP(B458,country_opex,3,FALSE)</f>
        <v/>
      </c>
      <c r="Y458" s="49">
        <f>VLOOKUP(B458,country_opex,2,FALSE)*crew_factor</f>
        <v/>
      </c>
      <c r="Z458" s="49">
        <f>VLOOKUP(B458,country_opex,5,FALSE)</f>
        <v/>
      </c>
      <c r="AA458" s="49">
        <f>maint</f>
        <v/>
      </c>
      <c r="AB458" s="49">
        <f>VLOOKUP(B458,country_opex,7,FALSE)*ins_pct</f>
        <v/>
      </c>
      <c r="AC458" s="49">
        <f>charge_berth</f>
        <v/>
      </c>
      <c r="AD458" s="49">
        <f>X458+Y458+Z458+AA458+AB458+AC458</f>
        <v/>
      </c>
      <c r="AE458" s="49">
        <f>VLOOKUP(B458,country_opex,7,FALSE)/dep_years</f>
        <v/>
      </c>
      <c r="AF458" s="49">
        <f>W458-AD458</f>
        <v/>
      </c>
      <c r="AG458" s="46">
        <f>IF(W458=0,"",AF458/W458)</f>
        <v/>
      </c>
      <c r="AH458" s="47">
        <f>IF(AF458&lt;=0,"",VLOOKUP(B458,country_opex,7,FALSE)/AF458)</f>
        <v/>
      </c>
      <c r="AI458" s="44">
        <f>((G458*R458/diesel_nmpg)*diesel_co2pg-(battery/range_nm)*G458*R458*VLOOKUP(B458,country_opex,4,FALSE))/1000</f>
        <v/>
      </c>
      <c r="AJ458" s="42" t="n"/>
      <c r="AK458" s="43" t="n"/>
      <c r="AL458" s="43" t="n"/>
      <c r="AM458" s="50" t="n">
        <v>0.1</v>
      </c>
      <c r="AN458" s="45">
        <f>IF(AJ458="","",AJ458*AM458)</f>
        <v/>
      </c>
      <c r="AO458" s="45">
        <f>IF(OR(AJ458="",U458=0),"",MIN(IF(AV458="",9.9E+99,AV458),FLOOR(AN458/U458,1)))</f>
        <v/>
      </c>
      <c r="AP458" s="49">
        <f>IF(AO458="","",AO458*W458)</f>
        <v/>
      </c>
      <c r="AQ458" s="47">
        <f>IF(OR(AJ458="",U458=0),"",MIN(IF(AV458="",9.9E+99,AV458),AN458/U458))</f>
        <v/>
      </c>
      <c r="AR458" s="49">
        <f>IF(AQ458="","",AQ458*W458)</f>
        <v/>
      </c>
      <c r="AS458" s="51" t="n"/>
      <c r="AT458" s="52" t="n"/>
      <c r="AU458" s="52" t="n"/>
      <c r="AV458" s="53" t="n"/>
      <c r="AW458" s="54">
        <f>IF(((V458*pax_cap*load_thin*ROUND(N458*O458*revleg_thin,0))-(((battery/range_nm)*G458*ROUND(N458*O458*revleg_thin,0)*VLOOKUP(B458,country_opex,3,FALSE))+Y458+Z458+AA458+AB458+AC458))&lt;=0,"",VLOOKUP(B458,country_opex,7,FALSE)/((V458*pax_cap*load_thin*ROUND(N458*O458*revleg_thin,0))-(((battery/range_nm)*G458*ROUND(N458*O458*revleg_thin,0)*VLOOKUP(B458,country_opex,3,FALSE))+Y458+Z458+AA458+AB458+AC458)))</f>
        <v/>
      </c>
      <c r="AX458" s="54">
        <f>IF(((V458*pax_cap*load_mid*ROUND(N458*O458*revleg_mid,0))-(((battery/range_nm)*G458*ROUND(N458*O458*revleg_mid,0)*VLOOKUP(B458,country_opex,3,FALSE))+Y458+Z458+AA458+AB458+AC458))&lt;=0,"",VLOOKUP(B458,country_opex,7,FALSE)/((V458*pax_cap*load_mid*ROUND(N458*O458*revleg_mid,0))-(((battery/range_nm)*G458*ROUND(N458*O458*revleg_mid,0)*VLOOKUP(B458,country_opex,3,FALSE))+Y458+Z458+AA458+AB458+AC458)))</f>
        <v/>
      </c>
      <c r="AY458" s="54">
        <f>IF(((V458*pax_cap*load_full*ROUND(N458*O458*revleg_full,0))-(((battery/range_nm)*G458*ROUND(N458*O458*revleg_full,0)*VLOOKUP(B458,country_opex,3,FALSE))+Y458+Z458+AA458+AB458+AC458))&lt;=0,"",VLOOKUP(B458,country_opex,7,FALSE)/((V458*pax_cap*load_full*ROUND(N458*O458*revleg_full,0))-(((battery/range_nm)*G458*ROUND(N458*O458*revleg_full,0)*VLOOKUP(B458,country_opex,3,FALSE))+Y458+Z458+AA458+AB458+AC458)))</f>
        <v/>
      </c>
      <c r="AZ458" s="40" t="inlineStr">
        <is>
          <t>[LB-255 PREMIUM RE-FARE: subsidized comparable $5.28 lifted to premium on-demand floor $18.0] IMM Sea Taxi shared per-seat on 2.6 nm = (500+2.6×750)/10 = 245 TL ÷ 46.4 = $5.28.</t>
        </is>
      </c>
      <c r="BA458" s="40" t="n"/>
    </row>
    <row r="459">
      <c r="A459" s="38" t="inlineStr">
        <is>
          <t>Yango Turkey</t>
        </is>
      </c>
      <c r="B459" s="38" t="inlineStr">
        <is>
          <t>Turkey</t>
        </is>
      </c>
      <c r="C459" s="39" t="inlineStr">
        <is>
          <t>Kadıköy → Kabataş</t>
        </is>
      </c>
      <c r="D459" s="38" t="inlineStr">
        <is>
          <t>yango</t>
        </is>
      </c>
      <c r="E459" s="40" t="inlineStr">
        <is>
          <t>yango-turkey</t>
        </is>
      </c>
      <c r="F459" s="41" t="n">
        <v>1</v>
      </c>
      <c r="G459" s="42" t="n">
        <v>2.6</v>
      </c>
      <c r="H459" s="35" t="n">
        <v>18</v>
      </c>
      <c r="I459" s="43" t="inlineStr">
        <is>
          <t>T2</t>
        </is>
      </c>
      <c r="J459" s="43" t="inlineStr">
        <is>
          <t>med</t>
        </is>
      </c>
      <c r="K459" s="29" t="n">
        <v>1</v>
      </c>
      <c r="L459" s="44">
        <f>60*G459/cruise_kt</f>
        <v/>
      </c>
      <c r="M459" s="44">
        <f>L459+turn_min+dwell_min</f>
        <v/>
      </c>
      <c r="N459" s="45">
        <f>MIN(16,FLOOR(60*service_hr/M459,1))</f>
        <v/>
      </c>
      <c r="O459" s="45">
        <f>ROUND(365*mech_uptime*K459,0)</f>
        <v/>
      </c>
      <c r="P459" s="46">
        <f>mech_uptime</f>
        <v/>
      </c>
      <c r="Q459" s="46">
        <f>revleg_sel</f>
        <v/>
      </c>
      <c r="R459" s="45">
        <f>ROUND(N459*O459*revleg_sel,0)</f>
        <v/>
      </c>
      <c r="S459" s="47">
        <f>load_sel</f>
        <v/>
      </c>
      <c r="T459" s="47">
        <f>pax_cap*S459</f>
        <v/>
      </c>
      <c r="U459" s="45">
        <f>T459*R459</f>
        <v/>
      </c>
      <c r="V459" s="48">
        <f>H459*discount</f>
        <v/>
      </c>
      <c r="W459" s="49">
        <f>V459*U459</f>
        <v/>
      </c>
      <c r="X459" s="49">
        <f>(battery/range_nm)*G459*R459*VLOOKUP(B459,country_opex,3,FALSE)</f>
        <v/>
      </c>
      <c r="Y459" s="49">
        <f>VLOOKUP(B459,country_opex,2,FALSE)*crew_factor</f>
        <v/>
      </c>
      <c r="Z459" s="49">
        <f>VLOOKUP(B459,country_opex,5,FALSE)</f>
        <v/>
      </c>
      <c r="AA459" s="49">
        <f>maint</f>
        <v/>
      </c>
      <c r="AB459" s="49">
        <f>VLOOKUP(B459,country_opex,7,FALSE)*ins_pct</f>
        <v/>
      </c>
      <c r="AC459" s="49">
        <f>charge_berth</f>
        <v/>
      </c>
      <c r="AD459" s="49">
        <f>X459+Y459+Z459+AA459+AB459+AC459</f>
        <v/>
      </c>
      <c r="AE459" s="49">
        <f>VLOOKUP(B459,country_opex,7,FALSE)/dep_years</f>
        <v/>
      </c>
      <c r="AF459" s="49">
        <f>W459-AD459</f>
        <v/>
      </c>
      <c r="AG459" s="46">
        <f>IF(W459=0,"",AF459/W459)</f>
        <v/>
      </c>
      <c r="AH459" s="47">
        <f>IF(AF459&lt;=0,"",VLOOKUP(B459,country_opex,7,FALSE)/AF459)</f>
        <v/>
      </c>
      <c r="AI459" s="44">
        <f>((G459*R459/diesel_nmpg)*diesel_co2pg-(battery/range_nm)*G459*R459*VLOOKUP(B459,country_opex,4,FALSE))/1000</f>
        <v/>
      </c>
      <c r="AJ459" s="42" t="n"/>
      <c r="AK459" s="43" t="n"/>
      <c r="AL459" s="43" t="n"/>
      <c r="AM459" s="50" t="n">
        <v>0.1</v>
      </c>
      <c r="AN459" s="45">
        <f>IF(AJ459="","",AJ459*AM459)</f>
        <v/>
      </c>
      <c r="AO459" s="45">
        <f>IF(OR(AJ459="",U459=0),"",MIN(IF(AV459="",9.9E+99,AV459),FLOOR(AN459/U459,1)))</f>
        <v/>
      </c>
      <c r="AP459" s="49">
        <f>IF(AO459="","",AO459*W459)</f>
        <v/>
      </c>
      <c r="AQ459" s="47">
        <f>IF(OR(AJ459="",U459=0),"",MIN(IF(AV459="",9.9E+99,AV459),AN459/U459))</f>
        <v/>
      </c>
      <c r="AR459" s="49">
        <f>IF(AQ459="","",AQ459*W459)</f>
        <v/>
      </c>
      <c r="AS459" s="51" t="n"/>
      <c r="AT459" s="52" t="n"/>
      <c r="AU459" s="52" t="n"/>
      <c r="AV459" s="53" t="n"/>
      <c r="AW459" s="54">
        <f>IF(((V459*pax_cap*load_thin*ROUND(N459*O459*revleg_thin,0))-(((battery/range_nm)*G459*ROUND(N459*O459*revleg_thin,0)*VLOOKUP(B459,country_opex,3,FALSE))+Y459+Z459+AA459+AB459+AC459))&lt;=0,"",VLOOKUP(B459,country_opex,7,FALSE)/((V459*pax_cap*load_thin*ROUND(N459*O459*revleg_thin,0))-(((battery/range_nm)*G459*ROUND(N459*O459*revleg_thin,0)*VLOOKUP(B459,country_opex,3,FALSE))+Y459+Z459+AA459+AB459+AC459)))</f>
        <v/>
      </c>
      <c r="AX459" s="54">
        <f>IF(((V459*pax_cap*load_mid*ROUND(N459*O459*revleg_mid,0))-(((battery/range_nm)*G459*ROUND(N459*O459*revleg_mid,0)*VLOOKUP(B459,country_opex,3,FALSE))+Y459+Z459+AA459+AB459+AC459))&lt;=0,"",VLOOKUP(B459,country_opex,7,FALSE)/((V459*pax_cap*load_mid*ROUND(N459*O459*revleg_mid,0))-(((battery/range_nm)*G459*ROUND(N459*O459*revleg_mid,0)*VLOOKUP(B459,country_opex,3,FALSE))+Y459+Z459+AA459+AB459+AC459)))</f>
        <v/>
      </c>
      <c r="AY459" s="54">
        <f>IF(((V459*pax_cap*load_full*ROUND(N459*O459*revleg_full,0))-(((battery/range_nm)*G459*ROUND(N459*O459*revleg_full,0)*VLOOKUP(B459,country_opex,3,FALSE))+Y459+Z459+AA459+AB459+AC459))&lt;=0,"",VLOOKUP(B459,country_opex,7,FALSE)/((V459*pax_cap*load_full*ROUND(N459*O459*revleg_full,0))-(((battery/range_nm)*G459*ROUND(N459*O459*revleg_full,0)*VLOOKUP(B459,country_opex,3,FALSE))+Y459+Z459+AA459+AB459+AC459)))</f>
        <v/>
      </c>
      <c r="AZ459" s="40" t="inlineStr">
        <is>
          <t>[LB-255 PREMIUM RE-FARE: subsidized comparable $5.28 lifted to premium on-demand floor $18.0] IMM Sea Taxi shared per-seat on 2.6 nm = (500+2.6×750)/10 = 245 TL ÷ 46.4 = $5.28.</t>
        </is>
      </c>
      <c r="BA459" s="40" t="n"/>
    </row>
    <row r="460">
      <c r="A460" s="38" t="inlineStr">
        <is>
          <t>Yango Turkey</t>
        </is>
      </c>
      <c r="B460" s="38" t="inlineStr">
        <is>
          <t>Turkey</t>
        </is>
      </c>
      <c r="C460" s="39" t="inlineStr">
        <is>
          <t>Bostancı → Büyükada (Princes' Islands)</t>
        </is>
      </c>
      <c r="D460" s="38" t="inlineStr">
        <is>
          <t>yango</t>
        </is>
      </c>
      <c r="E460" s="40" t="inlineStr">
        <is>
          <t>yango-turkey</t>
        </is>
      </c>
      <c r="F460" s="41" t="n">
        <v>1</v>
      </c>
      <c r="G460" s="42" t="n">
        <v>4.5</v>
      </c>
      <c r="H460" s="35" t="n">
        <v>8.35</v>
      </c>
      <c r="I460" s="43" t="inlineStr">
        <is>
          <t>T2</t>
        </is>
      </c>
      <c r="J460" s="43" t="inlineStr">
        <is>
          <t>med</t>
        </is>
      </c>
      <c r="K460" s="29" t="n">
        <v>1</v>
      </c>
      <c r="L460" s="44">
        <f>60*G460/cruise_kt</f>
        <v/>
      </c>
      <c r="M460" s="44">
        <f>L460+turn_min+dwell_min</f>
        <v/>
      </c>
      <c r="N460" s="45">
        <f>MIN(10,FLOOR(60*service_hr/M460,1))</f>
        <v/>
      </c>
      <c r="O460" s="45">
        <f>ROUND(365*mech_uptime*K460,0)</f>
        <v/>
      </c>
      <c r="P460" s="46">
        <f>mech_uptime</f>
        <v/>
      </c>
      <c r="Q460" s="46">
        <f>revleg_sel</f>
        <v/>
      </c>
      <c r="R460" s="45">
        <f>ROUND(N460*O460*revleg_sel,0)</f>
        <v/>
      </c>
      <c r="S460" s="47">
        <f>load_sel</f>
        <v/>
      </c>
      <c r="T460" s="47">
        <f>pax_cap*S460</f>
        <v/>
      </c>
      <c r="U460" s="45">
        <f>T460*R460</f>
        <v/>
      </c>
      <c r="V460" s="48">
        <f>H460*discount</f>
        <v/>
      </c>
      <c r="W460" s="49">
        <f>V460*U460</f>
        <v/>
      </c>
      <c r="X460" s="49">
        <f>(battery/range_nm)*G460*R460*VLOOKUP(B460,country_opex,3,FALSE)</f>
        <v/>
      </c>
      <c r="Y460" s="49">
        <f>VLOOKUP(B460,country_opex,2,FALSE)*crew_factor</f>
        <v/>
      </c>
      <c r="Z460" s="49">
        <f>VLOOKUP(B460,country_opex,5,FALSE)</f>
        <v/>
      </c>
      <c r="AA460" s="49">
        <f>maint</f>
        <v/>
      </c>
      <c r="AB460" s="49">
        <f>VLOOKUP(B460,country_opex,7,FALSE)*ins_pct</f>
        <v/>
      </c>
      <c r="AC460" s="49">
        <f>charge_berth</f>
        <v/>
      </c>
      <c r="AD460" s="49">
        <f>X460+Y460+Z460+AA460+AB460+AC460</f>
        <v/>
      </c>
      <c r="AE460" s="49">
        <f>VLOOKUP(B460,country_opex,7,FALSE)/dep_years</f>
        <v/>
      </c>
      <c r="AF460" s="49">
        <f>W460-AD460</f>
        <v/>
      </c>
      <c r="AG460" s="46">
        <f>IF(W460=0,"",AF460/W460)</f>
        <v/>
      </c>
      <c r="AH460" s="47">
        <f>IF(AF460&lt;=0,"",VLOOKUP(B460,country_opex,7,FALSE)/AF460)</f>
        <v/>
      </c>
      <c r="AI460" s="44">
        <f>((G460*R460/diesel_nmpg)*diesel_co2pg-(battery/range_nm)*G460*R460*VLOOKUP(B460,country_opex,4,FALSE))/1000</f>
        <v/>
      </c>
      <c r="AJ460" s="42" t="n"/>
      <c r="AK460" s="43" t="n"/>
      <c r="AL460" s="43" t="n"/>
      <c r="AM460" s="50" t="n">
        <v>0.1</v>
      </c>
      <c r="AN460" s="45">
        <f>IF(AJ460="","",AJ460*AM460)</f>
        <v/>
      </c>
      <c r="AO460" s="45">
        <f>IF(OR(AJ460="",U460=0),"",MIN(IF(AV460="",9.9E+99,AV460),FLOOR(AN460/U460,1)))</f>
        <v/>
      </c>
      <c r="AP460" s="49">
        <f>IF(AO460="","",AO460*W460)</f>
        <v/>
      </c>
      <c r="AQ460" s="47">
        <f>IF(OR(AJ460="",U460=0),"",MIN(IF(AV460="",9.9E+99,AV460),AN460/U460))</f>
        <v/>
      </c>
      <c r="AR460" s="49">
        <f>IF(AQ460="","",AQ460*W460)</f>
        <v/>
      </c>
      <c r="AS460" s="51" t="n"/>
      <c r="AT460" s="52" t="n"/>
      <c r="AU460" s="52" t="n"/>
      <c r="AV460" s="53" t="n"/>
      <c r="AW460" s="54">
        <f>IF(((V460*pax_cap*load_thin*ROUND(N460*O460*revleg_thin,0))-(((battery/range_nm)*G460*ROUND(N460*O460*revleg_thin,0)*VLOOKUP(B460,country_opex,3,FALSE))+Y460+Z460+AA460+AB460+AC460))&lt;=0,"",VLOOKUP(B460,country_opex,7,FALSE)/((V460*pax_cap*load_thin*ROUND(N460*O460*revleg_thin,0))-(((battery/range_nm)*G460*ROUND(N460*O460*revleg_thin,0)*VLOOKUP(B460,country_opex,3,FALSE))+Y460+Z460+AA460+AB460+AC460)))</f>
        <v/>
      </c>
      <c r="AX460" s="54">
        <f>IF(((V460*pax_cap*load_mid*ROUND(N460*O460*revleg_mid,0))-(((battery/range_nm)*G460*ROUND(N460*O460*revleg_mid,0)*VLOOKUP(B460,country_opex,3,FALSE))+Y460+Z460+AA460+AB460+AC460))&lt;=0,"",VLOOKUP(B460,country_opex,7,FALSE)/((V460*pax_cap*load_mid*ROUND(N460*O460*revleg_mid,0))-(((battery/range_nm)*G460*ROUND(N460*O460*revleg_mid,0)*VLOOKUP(B460,country_opex,3,FALSE))+Y460+Z460+AA460+AB460+AC460)))</f>
        <v/>
      </c>
      <c r="AY460" s="54">
        <f>IF(((V460*pax_cap*load_full*ROUND(N460*O460*revleg_full,0))-(((battery/range_nm)*G460*ROUND(N460*O460*revleg_full,0)*VLOOKUP(B460,country_opex,3,FALSE))+Y460+Z460+AA460+AB460+AC460))&lt;=0,"",VLOOKUP(B460,country_opex,7,FALSE)/((V460*pax_cap*load_full*ROUND(N460*O460*revleg_full,0))-(((battery/range_nm)*G460*ROUND(N460*O460*revleg_full,0)*VLOOKUP(B460,country_opex,3,FALSE))+Y460+Z460+AA460+AB460+AC460)))</f>
        <v/>
      </c>
      <c r="AZ460" s="40" t="inlineStr">
        <is>
          <t>IMM Sea Taxi shared per-seat on 4.5 nm = (500+4.5×750)/10 = 387.5 TL ÷ 46.4 = $8.35 (whole-boat 3875 TL = $83.5).</t>
        </is>
      </c>
      <c r="BA460" s="40" t="n"/>
    </row>
    <row r="461">
      <c r="A461" s="38" t="inlineStr">
        <is>
          <t>Yango Turkey</t>
        </is>
      </c>
      <c r="B461" s="38" t="inlineStr">
        <is>
          <t>Turkey</t>
        </is>
      </c>
      <c r="C461" s="39" t="inlineStr">
        <is>
          <t>Fethiye → Ölüdeniz</t>
        </is>
      </c>
      <c r="D461" s="38" t="inlineStr">
        <is>
          <t>yango</t>
        </is>
      </c>
      <c r="E461" s="40" t="inlineStr">
        <is>
          <t>yango-turkey</t>
        </is>
      </c>
      <c r="F461" s="41" t="n">
        <v>1</v>
      </c>
      <c r="G461" s="42" t="n">
        <v>6</v>
      </c>
      <c r="H461" s="35" t="n">
        <v>59</v>
      </c>
      <c r="I461" s="43" t="inlineStr">
        <is>
          <t>T2</t>
        </is>
      </c>
      <c r="J461" s="43" t="inlineStr">
        <is>
          <t>med</t>
        </is>
      </c>
      <c r="K461" s="29" t="n">
        <v>1</v>
      </c>
      <c r="L461" s="44">
        <f>60*G461/cruise_kt</f>
        <v/>
      </c>
      <c r="M461" s="44">
        <f>L461+turn_min+dwell_min</f>
        <v/>
      </c>
      <c r="N461" s="45">
        <f>MIN(10,FLOOR(60*service_hr/M461,1))</f>
        <v/>
      </c>
      <c r="O461" s="45">
        <f>ROUND(365*mech_uptime*K461,0)</f>
        <v/>
      </c>
      <c r="P461" s="46">
        <f>mech_uptime</f>
        <v/>
      </c>
      <c r="Q461" s="46">
        <f>revleg_sel</f>
        <v/>
      </c>
      <c r="R461" s="45">
        <f>ROUND(N461*O461*revleg_sel,0)</f>
        <v/>
      </c>
      <c r="S461" s="47">
        <f>load_sel</f>
        <v/>
      </c>
      <c r="T461" s="47">
        <f>pax_cap*S461</f>
        <v/>
      </c>
      <c r="U461" s="45">
        <f>T461*R461</f>
        <v/>
      </c>
      <c r="V461" s="48">
        <f>H461*discount</f>
        <v/>
      </c>
      <c r="W461" s="49">
        <f>V461*U461</f>
        <v/>
      </c>
      <c r="X461" s="49">
        <f>(battery/range_nm)*G461*R461*VLOOKUP(B461,country_opex,3,FALSE)</f>
        <v/>
      </c>
      <c r="Y461" s="49">
        <f>VLOOKUP(B461,country_opex,2,FALSE)*crew_factor</f>
        <v/>
      </c>
      <c r="Z461" s="49">
        <f>VLOOKUP(B461,country_opex,5,FALSE)</f>
        <v/>
      </c>
      <c r="AA461" s="49">
        <f>maint</f>
        <v/>
      </c>
      <c r="AB461" s="49">
        <f>VLOOKUP(B461,country_opex,7,FALSE)*ins_pct</f>
        <v/>
      </c>
      <c r="AC461" s="49">
        <f>charge_berth</f>
        <v/>
      </c>
      <c r="AD461" s="49">
        <f>X461+Y461+Z461+AA461+AB461+AC461</f>
        <v/>
      </c>
      <c r="AE461" s="49">
        <f>VLOOKUP(B461,country_opex,7,FALSE)/dep_years</f>
        <v/>
      </c>
      <c r="AF461" s="49">
        <f>W461-AD461</f>
        <v/>
      </c>
      <c r="AG461" s="46">
        <f>IF(W461=0,"",AF461/W461)</f>
        <v/>
      </c>
      <c r="AH461" s="47">
        <f>IF(AF461&lt;=0,"",VLOOKUP(B461,country_opex,7,FALSE)/AF461)</f>
        <v/>
      </c>
      <c r="AI461" s="44">
        <f>((G461*R461/diesel_nmpg)*diesel_co2pg-(battery/range_nm)*G461*R461*VLOOKUP(B461,country_opex,4,FALSE))/1000</f>
        <v/>
      </c>
      <c r="AJ461" s="42" t="n"/>
      <c r="AK461" s="43" t="n"/>
      <c r="AL461" s="43" t="n"/>
      <c r="AM461" s="50" t="n">
        <v>0.1</v>
      </c>
      <c r="AN461" s="45">
        <f>IF(AJ461="","",AJ461*AM461)</f>
        <v/>
      </c>
      <c r="AO461" s="45">
        <f>IF(OR(AJ461="",U461=0),"",MIN(IF(AV461="",9.9E+99,AV461),FLOOR(AN461/U461,1)))</f>
        <v/>
      </c>
      <c r="AP461" s="49">
        <f>IF(AO461="","",AO461*W461)</f>
        <v/>
      </c>
      <c r="AQ461" s="47">
        <f>IF(OR(AJ461="",U461=0),"",MIN(IF(AV461="",9.9E+99,AV461),AN461/U461))</f>
        <v/>
      </c>
      <c r="AR461" s="49">
        <f>IF(AQ461="","",AQ461*W461)</f>
        <v/>
      </c>
      <c r="AS461" s="51" t="n"/>
      <c r="AT461" s="52" t="n"/>
      <c r="AU461" s="52" t="n"/>
      <c r="AV461" s="53" t="n"/>
      <c r="AW461" s="54">
        <f>IF(((V461*pax_cap*load_thin*ROUND(N461*O461*revleg_thin,0))-(((battery/range_nm)*G461*ROUND(N461*O461*revleg_thin,0)*VLOOKUP(B461,country_opex,3,FALSE))+Y461+Z461+AA461+AB461+AC461))&lt;=0,"",VLOOKUP(B461,country_opex,7,FALSE)/((V461*pax_cap*load_thin*ROUND(N461*O461*revleg_thin,0))-(((battery/range_nm)*G461*ROUND(N461*O461*revleg_thin,0)*VLOOKUP(B461,country_opex,3,FALSE))+Y461+Z461+AA461+AB461+AC461)))</f>
        <v/>
      </c>
      <c r="AX461" s="54">
        <f>IF(((V461*pax_cap*load_mid*ROUND(N461*O461*revleg_mid,0))-(((battery/range_nm)*G461*ROUND(N461*O461*revleg_mid,0)*VLOOKUP(B461,country_opex,3,FALSE))+Y461+Z461+AA461+AB461+AC461))&lt;=0,"",VLOOKUP(B461,country_opex,7,FALSE)/((V461*pax_cap*load_mid*ROUND(N461*O461*revleg_mid,0))-(((battery/range_nm)*G461*ROUND(N461*O461*revleg_mid,0)*VLOOKUP(B461,country_opex,3,FALSE))+Y461+Z461+AA461+AB461+AC461)))</f>
        <v/>
      </c>
      <c r="AY461" s="54">
        <f>IF(((V461*pax_cap*load_full*ROUND(N461*O461*revleg_full,0))-(((battery/range_nm)*G461*ROUND(N461*O461*revleg_full,0)*VLOOKUP(B461,country_opex,3,FALSE))+Y461+Z461+AA461+AB461+AC461))&lt;=0,"",VLOOKUP(B461,country_opex,7,FALSE)/((V461*pax_cap*load_full*ROUND(N461*O461*revleg_full,0))-(((battery/range_nm)*G461*ROUND(N461*O461*revleg_full,0)*VLOOKUP(B461,country_opex,3,FALSE))+Y461+Z461+AA461+AB461+AC461)))</f>
        <v/>
      </c>
      <c r="AZ461" s="40" t="inlineStr">
        <is>
          <t>Fethiye/Ölüdeniz 6-Islands + Butterfly Valley + Blue Lagoon boat trip ~$59/adult (Tripadvisor) as premium per-seat day-cruise anchor.</t>
        </is>
      </c>
      <c r="BA461" s="40" t="n"/>
    </row>
    <row r="462">
      <c r="A462" s="38" t="inlineStr">
        <is>
          <t>Yango Turkey</t>
        </is>
      </c>
      <c r="B462" s="38" t="inlineStr">
        <is>
          <t>Turkey</t>
        </is>
      </c>
      <c r="C462" s="39" t="inlineStr">
        <is>
          <t>Çeşme → Chios (Greece)</t>
        </is>
      </c>
      <c r="D462" s="38" t="inlineStr">
        <is>
          <t>yango</t>
        </is>
      </c>
      <c r="E462" s="40" t="inlineStr">
        <is>
          <t>yango-turkey</t>
        </is>
      </c>
      <c r="F462" s="41" t="n">
        <v>1</v>
      </c>
      <c r="G462" s="42" t="n">
        <v>7</v>
      </c>
      <c r="H462" s="35" t="n"/>
      <c r="I462" s="43" t="n"/>
      <c r="J462" s="43" t="n"/>
      <c r="K462" s="29" t="n">
        <v>1</v>
      </c>
      <c r="L462" s="44">
        <f>60*G462/cruise_kt</f>
        <v/>
      </c>
      <c r="M462" s="44">
        <f>L462+turn_min+dwell_min</f>
        <v/>
      </c>
      <c r="N462" s="45">
        <f>MIN(10,FLOOR(60*service_hr/M462,1))</f>
        <v/>
      </c>
      <c r="O462" s="45">
        <f>ROUND(365*mech_uptime*K462,0)</f>
        <v/>
      </c>
      <c r="P462" s="46">
        <f>mech_uptime</f>
        <v/>
      </c>
      <c r="Q462" s="46">
        <f>revleg_sel</f>
        <v/>
      </c>
      <c r="R462" s="45">
        <f>ROUND(N462*O462*revleg_sel,0)</f>
        <v/>
      </c>
      <c r="S462" s="47">
        <f>load_sel</f>
        <v/>
      </c>
      <c r="T462" s="47">
        <f>pax_cap*S462</f>
        <v/>
      </c>
      <c r="U462" s="45">
        <f>T462*R462</f>
        <v/>
      </c>
      <c r="V462" s="48">
        <f>H462*discount</f>
        <v/>
      </c>
      <c r="W462" s="49">
        <f>V462*U462</f>
        <v/>
      </c>
      <c r="X462" s="49">
        <f>(battery/range_nm)*G462*R462*VLOOKUP(B462,country_opex,3,FALSE)</f>
        <v/>
      </c>
      <c r="Y462" s="49">
        <f>VLOOKUP(B462,country_opex,2,FALSE)*crew_factor</f>
        <v/>
      </c>
      <c r="Z462" s="49">
        <f>VLOOKUP(B462,country_opex,5,FALSE)</f>
        <v/>
      </c>
      <c r="AA462" s="49">
        <f>maint</f>
        <v/>
      </c>
      <c r="AB462" s="49">
        <f>VLOOKUP(B462,country_opex,7,FALSE)*ins_pct</f>
        <v/>
      </c>
      <c r="AC462" s="49">
        <f>charge_berth</f>
        <v/>
      </c>
      <c r="AD462" s="49">
        <f>X462+Y462+Z462+AA462+AB462+AC462</f>
        <v/>
      </c>
      <c r="AE462" s="49">
        <f>VLOOKUP(B462,country_opex,7,FALSE)/dep_years</f>
        <v/>
      </c>
      <c r="AF462" s="49">
        <f>W462-AD462</f>
        <v/>
      </c>
      <c r="AG462" s="46">
        <f>IF(W462=0,"",AF462/W462)</f>
        <v/>
      </c>
      <c r="AH462" s="47">
        <f>IF(AF462&lt;=0,"",VLOOKUP(B462,country_opex,7,FALSE)/AF462)</f>
        <v/>
      </c>
      <c r="AI462" s="44">
        <f>((G462*R462/diesel_nmpg)*diesel_co2pg-(battery/range_nm)*G462*R462*VLOOKUP(B462,country_opex,4,FALSE))/1000</f>
        <v/>
      </c>
      <c r="AJ462" s="42" t="n"/>
      <c r="AK462" s="43" t="n"/>
      <c r="AL462" s="43" t="n"/>
      <c r="AM462" s="50" t="n">
        <v>0.1</v>
      </c>
      <c r="AN462" s="45">
        <f>IF(AJ462="","",AJ462*AM462)</f>
        <v/>
      </c>
      <c r="AO462" s="45">
        <f>IF(OR(AJ462="",U462=0),"",MIN(IF(AV462="",9.9E+99,AV462),FLOOR(AN462/U462,1)))</f>
        <v/>
      </c>
      <c r="AP462" s="49">
        <f>IF(AO462="","",AO462*W462)</f>
        <v/>
      </c>
      <c r="AQ462" s="47">
        <f>IF(OR(AJ462="",U462=0),"",MIN(IF(AV462="",9.9E+99,AV462),AN462/U462))</f>
        <v/>
      </c>
      <c r="AR462" s="49">
        <f>IF(AQ462="","",AQ462*W462)</f>
        <v/>
      </c>
      <c r="AS462" s="51" t="n"/>
      <c r="AT462" s="52" t="n"/>
      <c r="AU462" s="52" t="n"/>
      <c r="AV462" s="53" t="n"/>
      <c r="AW462" s="54">
        <f>IF(((V462*pax_cap*load_thin*ROUND(N462*O462*revleg_thin,0))-(((battery/range_nm)*G462*ROUND(N462*O462*revleg_thin,0)*VLOOKUP(B462,country_opex,3,FALSE))+Y462+Z462+AA462+AB462+AC462))&lt;=0,"",VLOOKUP(B462,country_opex,7,FALSE)/((V462*pax_cap*load_thin*ROUND(N462*O462*revleg_thin,0))-(((battery/range_nm)*G462*ROUND(N462*O462*revleg_thin,0)*VLOOKUP(B462,country_opex,3,FALSE))+Y462+Z462+AA462+AB462+AC462)))</f>
        <v/>
      </c>
      <c r="AX462" s="54">
        <f>IF(((V462*pax_cap*load_mid*ROUND(N462*O462*revleg_mid,0))-(((battery/range_nm)*G462*ROUND(N462*O462*revleg_mid,0)*VLOOKUP(B462,country_opex,3,FALSE))+Y462+Z462+AA462+AB462+AC462))&lt;=0,"",VLOOKUP(B462,country_opex,7,FALSE)/((V462*pax_cap*load_mid*ROUND(N462*O462*revleg_mid,0))-(((battery/range_nm)*G462*ROUND(N462*O462*revleg_mid,0)*VLOOKUP(B462,country_opex,3,FALSE))+Y462+Z462+AA462+AB462+AC462)))</f>
        <v/>
      </c>
      <c r="AY462" s="54">
        <f>IF(((V462*pax_cap*load_full*ROUND(N462*O462*revleg_full,0))-(((battery/range_nm)*G462*ROUND(N462*O462*revleg_full,0)*VLOOKUP(B462,country_opex,3,FALSE))+Y462+Z462+AA462+AB462+AC462))&lt;=0,"",VLOOKUP(B462,country_opex,7,FALSE)/((V462*pax_cap*load_full*ROUND(N462*O462*revleg_full,0))-(((battery/range_nm)*G462*ROUND(N462*O462*revleg_full,0)*VLOOKUP(B462,country_opex,3,FALSE))+Y462+Z462+AA462+AB462+AC462)))</f>
        <v/>
      </c>
      <c r="AZ462" s="40" t="n"/>
      <c r="BA462" s="40" t="n"/>
    </row>
    <row r="463">
      <c r="A463" s="38" t="inlineStr">
        <is>
          <t>Yango Turkey</t>
        </is>
      </c>
      <c r="B463" s="38" t="inlineStr">
        <is>
          <t>Turkey</t>
        </is>
      </c>
      <c r="C463" s="39" t="inlineStr">
        <is>
          <t>Fethiye → Göcek (12 Islands bays)</t>
        </is>
      </c>
      <c r="D463" s="38" t="inlineStr">
        <is>
          <t>yango</t>
        </is>
      </c>
      <c r="E463" s="40" t="inlineStr">
        <is>
          <t>yango-turkey</t>
        </is>
      </c>
      <c r="F463" s="41" t="n">
        <v>1</v>
      </c>
      <c r="G463" s="42" t="n">
        <v>8</v>
      </c>
      <c r="H463" s="35" t="n">
        <v>38</v>
      </c>
      <c r="I463" s="43" t="inlineStr">
        <is>
          <t>T2</t>
        </is>
      </c>
      <c r="J463" s="43" t="inlineStr">
        <is>
          <t>med</t>
        </is>
      </c>
      <c r="K463" s="29" t="n">
        <v>1</v>
      </c>
      <c r="L463" s="44">
        <f>60*G463/cruise_kt</f>
        <v/>
      </c>
      <c r="M463" s="44">
        <f>L463+turn_min+dwell_min</f>
        <v/>
      </c>
      <c r="N463" s="45">
        <f>MIN(10,FLOOR(60*service_hr/M463,1))</f>
        <v/>
      </c>
      <c r="O463" s="45">
        <f>ROUND(365*mech_uptime*K463,0)</f>
        <v/>
      </c>
      <c r="P463" s="46">
        <f>mech_uptime</f>
        <v/>
      </c>
      <c r="Q463" s="46">
        <f>revleg_sel</f>
        <v/>
      </c>
      <c r="R463" s="45">
        <f>ROUND(N463*O463*revleg_sel,0)</f>
        <v/>
      </c>
      <c r="S463" s="47">
        <f>load_sel</f>
        <v/>
      </c>
      <c r="T463" s="47">
        <f>pax_cap*S463</f>
        <v/>
      </c>
      <c r="U463" s="45">
        <f>T463*R463</f>
        <v/>
      </c>
      <c r="V463" s="48">
        <f>H463*discount</f>
        <v/>
      </c>
      <c r="W463" s="49">
        <f>V463*U463</f>
        <v/>
      </c>
      <c r="X463" s="49">
        <f>(battery/range_nm)*G463*R463*VLOOKUP(B463,country_opex,3,FALSE)</f>
        <v/>
      </c>
      <c r="Y463" s="49">
        <f>VLOOKUP(B463,country_opex,2,FALSE)*crew_factor</f>
        <v/>
      </c>
      <c r="Z463" s="49">
        <f>VLOOKUP(B463,country_opex,5,FALSE)</f>
        <v/>
      </c>
      <c r="AA463" s="49">
        <f>maint</f>
        <v/>
      </c>
      <c r="AB463" s="49">
        <f>VLOOKUP(B463,country_opex,7,FALSE)*ins_pct</f>
        <v/>
      </c>
      <c r="AC463" s="49">
        <f>charge_berth</f>
        <v/>
      </c>
      <c r="AD463" s="49">
        <f>X463+Y463+Z463+AA463+AB463+AC463</f>
        <v/>
      </c>
      <c r="AE463" s="49">
        <f>VLOOKUP(B463,country_opex,7,FALSE)/dep_years</f>
        <v/>
      </c>
      <c r="AF463" s="49">
        <f>W463-AD463</f>
        <v/>
      </c>
      <c r="AG463" s="46">
        <f>IF(W463=0,"",AF463/W463)</f>
        <v/>
      </c>
      <c r="AH463" s="47">
        <f>IF(AF463&lt;=0,"",VLOOKUP(B463,country_opex,7,FALSE)/AF463)</f>
        <v/>
      </c>
      <c r="AI463" s="44">
        <f>((G463*R463/diesel_nmpg)*diesel_co2pg-(battery/range_nm)*G463*R463*VLOOKUP(B463,country_opex,4,FALSE))/1000</f>
        <v/>
      </c>
      <c r="AJ463" s="42" t="n"/>
      <c r="AK463" s="43" t="n"/>
      <c r="AL463" s="43" t="n"/>
      <c r="AM463" s="50" t="n">
        <v>0.1</v>
      </c>
      <c r="AN463" s="45">
        <f>IF(AJ463="","",AJ463*AM463)</f>
        <v/>
      </c>
      <c r="AO463" s="45">
        <f>IF(OR(AJ463="",U463=0),"",MIN(IF(AV463="",9.9E+99,AV463),FLOOR(AN463/U463,1)))</f>
        <v/>
      </c>
      <c r="AP463" s="49">
        <f>IF(AO463="","",AO463*W463)</f>
        <v/>
      </c>
      <c r="AQ463" s="47">
        <f>IF(OR(AJ463="",U463=0),"",MIN(IF(AV463="",9.9E+99,AV463),AN463/U463))</f>
        <v/>
      </c>
      <c r="AR463" s="49">
        <f>IF(AQ463="","",AQ463*W463)</f>
        <v/>
      </c>
      <c r="AS463" s="51" t="n"/>
      <c r="AT463" s="52" t="n"/>
      <c r="AU463" s="52" t="n"/>
      <c r="AV463" s="53" t="n"/>
      <c r="AW463" s="54">
        <f>IF(((V463*pax_cap*load_thin*ROUND(N463*O463*revleg_thin,0))-(((battery/range_nm)*G463*ROUND(N463*O463*revleg_thin,0)*VLOOKUP(B463,country_opex,3,FALSE))+Y463+Z463+AA463+AB463+AC463))&lt;=0,"",VLOOKUP(B463,country_opex,7,FALSE)/((V463*pax_cap*load_thin*ROUND(N463*O463*revleg_thin,0))-(((battery/range_nm)*G463*ROUND(N463*O463*revleg_thin,0)*VLOOKUP(B463,country_opex,3,FALSE))+Y463+Z463+AA463+AB463+AC463)))</f>
        <v/>
      </c>
      <c r="AX463" s="54">
        <f>IF(((V463*pax_cap*load_mid*ROUND(N463*O463*revleg_mid,0))-(((battery/range_nm)*G463*ROUND(N463*O463*revleg_mid,0)*VLOOKUP(B463,country_opex,3,FALSE))+Y463+Z463+AA463+AB463+AC463))&lt;=0,"",VLOOKUP(B463,country_opex,7,FALSE)/((V463*pax_cap*load_mid*ROUND(N463*O463*revleg_mid,0))-(((battery/range_nm)*G463*ROUND(N463*O463*revleg_mid,0)*VLOOKUP(B463,country_opex,3,FALSE))+Y463+Z463+AA463+AB463+AC463)))</f>
        <v/>
      </c>
      <c r="AY463" s="54">
        <f>IF(((V463*pax_cap*load_full*ROUND(N463*O463*revleg_full,0))-(((battery/range_nm)*G463*ROUND(N463*O463*revleg_full,0)*VLOOKUP(B463,country_opex,3,FALSE))+Y463+Z463+AA463+AB463+AC463))&lt;=0,"",VLOOKUP(B463,country_opex,7,FALSE)/((V463*pax_cap*load_full*ROUND(N463*O463*revleg_full,0))-(((battery/range_nm)*G463*ROUND(N463*O463*revleg_full,0)*VLOOKUP(B463,country_opex,3,FALSE))+Y463+Z463+AA463+AB463+AC463)))</f>
        <v/>
      </c>
      <c r="AZ463" s="40" t="inlineStr">
        <is>
          <t>12-Islands day-cruise per-adult comparable ~$35-40 (GetYourGuide/Tripadvisor Göcek &amp; Fethiye tours); $38 premium per-seat anchor.</t>
        </is>
      </c>
      <c r="BA463" s="40" t="n"/>
    </row>
    <row r="464">
      <c r="A464" s="38" t="inlineStr">
        <is>
          <t>Yango Turkey</t>
        </is>
      </c>
      <c r="B464" s="38" t="inlineStr">
        <is>
          <t>Turkey</t>
        </is>
      </c>
      <c r="C464" s="39" t="inlineStr">
        <is>
          <t>Bodrum → Gümüşlük</t>
        </is>
      </c>
      <c r="D464" s="38" t="inlineStr">
        <is>
          <t>yango</t>
        </is>
      </c>
      <c r="E464" s="40" t="inlineStr">
        <is>
          <t>yango-turkey</t>
        </is>
      </c>
      <c r="F464" s="41" t="n">
        <v>1</v>
      </c>
      <c r="G464" s="42" t="n">
        <v>9</v>
      </c>
      <c r="H464" s="35" t="n">
        <v>30</v>
      </c>
      <c r="I464" s="43" t="inlineStr">
        <is>
          <t>T2</t>
        </is>
      </c>
      <c r="J464" s="43" t="inlineStr">
        <is>
          <t>med</t>
        </is>
      </c>
      <c r="K464" s="29" t="n">
        <v>1</v>
      </c>
      <c r="L464" s="44">
        <f>60*G464/cruise_kt</f>
        <v/>
      </c>
      <c r="M464" s="44">
        <f>L464+turn_min+dwell_min</f>
        <v/>
      </c>
      <c r="N464" s="45">
        <f>MIN(10,FLOOR(60*service_hr/M464,1))</f>
        <v/>
      </c>
      <c r="O464" s="45">
        <f>ROUND(365*mech_uptime*K464,0)</f>
        <v/>
      </c>
      <c r="P464" s="46">
        <f>mech_uptime</f>
        <v/>
      </c>
      <c r="Q464" s="46">
        <f>revleg_sel</f>
        <v/>
      </c>
      <c r="R464" s="45">
        <f>ROUND(N464*O464*revleg_sel,0)</f>
        <v/>
      </c>
      <c r="S464" s="47">
        <f>load_sel</f>
        <v/>
      </c>
      <c r="T464" s="47">
        <f>pax_cap*S464</f>
        <v/>
      </c>
      <c r="U464" s="45">
        <f>T464*R464</f>
        <v/>
      </c>
      <c r="V464" s="48">
        <f>H464*discount</f>
        <v/>
      </c>
      <c r="W464" s="49">
        <f>V464*U464</f>
        <v/>
      </c>
      <c r="X464" s="49">
        <f>(battery/range_nm)*G464*R464*VLOOKUP(B464,country_opex,3,FALSE)</f>
        <v/>
      </c>
      <c r="Y464" s="49">
        <f>VLOOKUP(B464,country_opex,2,FALSE)*crew_factor</f>
        <v/>
      </c>
      <c r="Z464" s="49">
        <f>VLOOKUP(B464,country_opex,5,FALSE)</f>
        <v/>
      </c>
      <c r="AA464" s="49">
        <f>maint</f>
        <v/>
      </c>
      <c r="AB464" s="49">
        <f>VLOOKUP(B464,country_opex,7,FALSE)*ins_pct</f>
        <v/>
      </c>
      <c r="AC464" s="49">
        <f>charge_berth</f>
        <v/>
      </c>
      <c r="AD464" s="49">
        <f>X464+Y464+Z464+AA464+AB464+AC464</f>
        <v/>
      </c>
      <c r="AE464" s="49">
        <f>VLOOKUP(B464,country_opex,7,FALSE)/dep_years</f>
        <v/>
      </c>
      <c r="AF464" s="49">
        <f>W464-AD464</f>
        <v/>
      </c>
      <c r="AG464" s="46">
        <f>IF(W464=0,"",AF464/W464)</f>
        <v/>
      </c>
      <c r="AH464" s="47">
        <f>IF(AF464&lt;=0,"",VLOOKUP(B464,country_opex,7,FALSE)/AF464)</f>
        <v/>
      </c>
      <c r="AI464" s="44">
        <f>((G464*R464/diesel_nmpg)*diesel_co2pg-(battery/range_nm)*G464*R464*VLOOKUP(B464,country_opex,4,FALSE))/1000</f>
        <v/>
      </c>
      <c r="AJ464" s="42" t="n"/>
      <c r="AK464" s="43" t="n"/>
      <c r="AL464" s="43" t="n"/>
      <c r="AM464" s="50" t="n">
        <v>0.1</v>
      </c>
      <c r="AN464" s="45">
        <f>IF(AJ464="","",AJ464*AM464)</f>
        <v/>
      </c>
      <c r="AO464" s="45">
        <f>IF(OR(AJ464="",U464=0),"",MIN(IF(AV464="",9.9E+99,AV464),FLOOR(AN464/U464,1)))</f>
        <v/>
      </c>
      <c r="AP464" s="49">
        <f>IF(AO464="","",AO464*W464)</f>
        <v/>
      </c>
      <c r="AQ464" s="47">
        <f>IF(OR(AJ464="",U464=0),"",MIN(IF(AV464="",9.9E+99,AV464),AN464/U464))</f>
        <v/>
      </c>
      <c r="AR464" s="49">
        <f>IF(AQ464="","",AQ464*W464)</f>
        <v/>
      </c>
      <c r="AS464" s="51" t="n"/>
      <c r="AT464" s="52" t="n"/>
      <c r="AU464" s="52" t="n"/>
      <c r="AV464" s="53" t="n"/>
      <c r="AW464" s="54">
        <f>IF(((V464*pax_cap*load_thin*ROUND(N464*O464*revleg_thin,0))-(((battery/range_nm)*G464*ROUND(N464*O464*revleg_thin,0)*VLOOKUP(B464,country_opex,3,FALSE))+Y464+Z464+AA464+AB464+AC464))&lt;=0,"",VLOOKUP(B464,country_opex,7,FALSE)/((V464*pax_cap*load_thin*ROUND(N464*O464*revleg_thin,0))-(((battery/range_nm)*G464*ROUND(N464*O464*revleg_thin,0)*VLOOKUP(B464,country_opex,3,FALSE))+Y464+Z464+AA464+AB464+AC464)))</f>
        <v/>
      </c>
      <c r="AX464" s="54">
        <f>IF(((V464*pax_cap*load_mid*ROUND(N464*O464*revleg_mid,0))-(((battery/range_nm)*G464*ROUND(N464*O464*revleg_mid,0)*VLOOKUP(B464,country_opex,3,FALSE))+Y464+Z464+AA464+AB464+AC464))&lt;=0,"",VLOOKUP(B464,country_opex,7,FALSE)/((V464*pax_cap*load_mid*ROUND(N464*O464*revleg_mid,0))-(((battery/range_nm)*G464*ROUND(N464*O464*revleg_mid,0)*VLOOKUP(B464,country_opex,3,FALSE))+Y464+Z464+AA464+AB464+AC464)))</f>
        <v/>
      </c>
      <c r="AY464" s="54">
        <f>IF(((V464*pax_cap*load_full*ROUND(N464*O464*revleg_full,0))-(((battery/range_nm)*G464*ROUND(N464*O464*revleg_full,0)*VLOOKUP(B464,country_opex,3,FALSE))+Y464+Z464+AA464+AB464+AC464))&lt;=0,"",VLOOKUP(B464,country_opex,7,FALSE)/((V464*pax_cap*load_full*ROUND(N464*O464*revleg_full,0))-(((battery/range_nm)*G464*ROUND(N464*O464*revleg_full,0)*VLOOKUP(B464,country_opex,3,FALSE))+Y464+Z464+AA464+AB464+AC464)))</f>
        <v/>
      </c>
      <c r="AZ464" s="40" t="inlineStr">
        <is>
          <t>Bodrum/Gümüşlük day-boat tour comparable ~$30/adult (Tripadvisor/GetYourGuide Bodrum cruises) used as premium per-seat leisure anchor (not pure point-to-point).</t>
        </is>
      </c>
      <c r="BA464" s="40" t="n"/>
    </row>
    <row r="465">
      <c r="A465" s="38" t="inlineStr">
        <is>
          <t>Yango Turkey</t>
        </is>
      </c>
      <c r="B465" s="38" t="inlineStr">
        <is>
          <t>Turkey</t>
        </is>
      </c>
      <c r="C465" s="39" t="inlineStr">
        <is>
          <t>Bodrum → Yalıkavak</t>
        </is>
      </c>
      <c r="D465" s="38" t="inlineStr">
        <is>
          <t>yango</t>
        </is>
      </c>
      <c r="E465" s="40" t="inlineStr">
        <is>
          <t>yango-turkey</t>
        </is>
      </c>
      <c r="F465" s="41" t="n">
        <v>1</v>
      </c>
      <c r="G465" s="42" t="n">
        <v>9</v>
      </c>
      <c r="H465" s="35" t="n">
        <v>40</v>
      </c>
      <c r="I465" s="43" t="inlineStr">
        <is>
          <t>T2</t>
        </is>
      </c>
      <c r="J465" s="43" t="inlineStr">
        <is>
          <t>med</t>
        </is>
      </c>
      <c r="K465" s="29" t="n">
        <v>1</v>
      </c>
      <c r="L465" s="44">
        <f>60*G465/cruise_kt</f>
        <v/>
      </c>
      <c r="M465" s="44">
        <f>L465+turn_min+dwell_min</f>
        <v/>
      </c>
      <c r="N465" s="45">
        <f>MIN(10,FLOOR(60*service_hr/M465,1))</f>
        <v/>
      </c>
      <c r="O465" s="45">
        <f>ROUND(365*mech_uptime*K465,0)</f>
        <v/>
      </c>
      <c r="P465" s="46">
        <f>mech_uptime</f>
        <v/>
      </c>
      <c r="Q465" s="46">
        <f>revleg_sel</f>
        <v/>
      </c>
      <c r="R465" s="45">
        <f>ROUND(N465*O465*revleg_sel,0)</f>
        <v/>
      </c>
      <c r="S465" s="47">
        <f>load_sel</f>
        <v/>
      </c>
      <c r="T465" s="47">
        <f>pax_cap*S465</f>
        <v/>
      </c>
      <c r="U465" s="45">
        <f>T465*R465</f>
        <v/>
      </c>
      <c r="V465" s="48">
        <f>H465*discount</f>
        <v/>
      </c>
      <c r="W465" s="49">
        <f>V465*U465</f>
        <v/>
      </c>
      <c r="X465" s="49">
        <f>(battery/range_nm)*G465*R465*VLOOKUP(B465,country_opex,3,FALSE)</f>
        <v/>
      </c>
      <c r="Y465" s="49">
        <f>VLOOKUP(B465,country_opex,2,FALSE)*crew_factor</f>
        <v/>
      </c>
      <c r="Z465" s="49">
        <f>VLOOKUP(B465,country_opex,5,FALSE)</f>
        <v/>
      </c>
      <c r="AA465" s="49">
        <f>maint</f>
        <v/>
      </c>
      <c r="AB465" s="49">
        <f>VLOOKUP(B465,country_opex,7,FALSE)*ins_pct</f>
        <v/>
      </c>
      <c r="AC465" s="49">
        <f>charge_berth</f>
        <v/>
      </c>
      <c r="AD465" s="49">
        <f>X465+Y465+Z465+AA465+AB465+AC465</f>
        <v/>
      </c>
      <c r="AE465" s="49">
        <f>VLOOKUP(B465,country_opex,7,FALSE)/dep_years</f>
        <v/>
      </c>
      <c r="AF465" s="49">
        <f>W465-AD465</f>
        <v/>
      </c>
      <c r="AG465" s="46">
        <f>IF(W465=0,"",AF465/W465)</f>
        <v/>
      </c>
      <c r="AH465" s="47">
        <f>IF(AF465&lt;=0,"",VLOOKUP(B465,country_opex,7,FALSE)/AF465)</f>
        <v/>
      </c>
      <c r="AI465" s="44">
        <f>((G465*R465/diesel_nmpg)*diesel_co2pg-(battery/range_nm)*G465*R465*VLOOKUP(B465,country_opex,4,FALSE))/1000</f>
        <v/>
      </c>
      <c r="AJ465" s="42" t="n"/>
      <c r="AK465" s="43" t="n"/>
      <c r="AL465" s="43" t="n"/>
      <c r="AM465" s="50" t="n">
        <v>0.1</v>
      </c>
      <c r="AN465" s="45">
        <f>IF(AJ465="","",AJ465*AM465)</f>
        <v/>
      </c>
      <c r="AO465" s="45">
        <f>IF(OR(AJ465="",U465=0),"",MIN(IF(AV465="",9.9E+99,AV465),FLOOR(AN465/U465,1)))</f>
        <v/>
      </c>
      <c r="AP465" s="49">
        <f>IF(AO465="","",AO465*W465)</f>
        <v/>
      </c>
      <c r="AQ465" s="47">
        <f>IF(OR(AJ465="",U465=0),"",MIN(IF(AV465="",9.9E+99,AV465),AN465/U465))</f>
        <v/>
      </c>
      <c r="AR465" s="49">
        <f>IF(AQ465="","",AQ465*W465)</f>
        <v/>
      </c>
      <c r="AS465" s="51" t="n"/>
      <c r="AT465" s="52" t="n"/>
      <c r="AU465" s="52" t="n"/>
      <c r="AV465" s="53" t="n"/>
      <c r="AW465" s="54">
        <f>IF(((V465*pax_cap*load_thin*ROUND(N465*O465*revleg_thin,0))-(((battery/range_nm)*G465*ROUND(N465*O465*revleg_thin,0)*VLOOKUP(B465,country_opex,3,FALSE))+Y465+Z465+AA465+AB465+AC465))&lt;=0,"",VLOOKUP(B465,country_opex,7,FALSE)/((V465*pax_cap*load_thin*ROUND(N465*O465*revleg_thin,0))-(((battery/range_nm)*G465*ROUND(N465*O465*revleg_thin,0)*VLOOKUP(B465,country_opex,3,FALSE))+Y465+Z465+AA465+AB465+AC465)))</f>
        <v/>
      </c>
      <c r="AX465" s="54">
        <f>IF(((V465*pax_cap*load_mid*ROUND(N465*O465*revleg_mid,0))-(((battery/range_nm)*G465*ROUND(N465*O465*revleg_mid,0)*VLOOKUP(B465,country_opex,3,FALSE))+Y465+Z465+AA465+AB465+AC465))&lt;=0,"",VLOOKUP(B465,country_opex,7,FALSE)/((V465*pax_cap*load_mid*ROUND(N465*O465*revleg_mid,0))-(((battery/range_nm)*G465*ROUND(N465*O465*revleg_mid,0)*VLOOKUP(B465,country_opex,3,FALSE))+Y465+Z465+AA465+AB465+AC465)))</f>
        <v/>
      </c>
      <c r="AY465" s="54">
        <f>IF(((V465*pax_cap*load_full*ROUND(N465*O465*revleg_full,0))-(((battery/range_nm)*G465*ROUND(N465*O465*revleg_full,0)*VLOOKUP(B465,country_opex,3,FALSE))+Y465+Z465+AA465+AB465+AC465))&lt;=0,"",VLOOKUP(B465,country_opex,7,FALSE)/((V465*pax_cap*load_full*ROUND(N465*O465*revleg_full,0))-(((battery/range_nm)*G465*ROUND(N465*O465*revleg_full,0)*VLOOKUP(B465,country_opex,3,FALSE))+Y465+Z465+AA465+AB465+AC465)))</f>
        <v/>
      </c>
      <c r="AZ465" s="40" t="inlineStr">
        <is>
          <t>Bodrum-peninsula premium day/charter tender comparable ~$40/seat (Viator/GetYourGuide Bodrum luxury cruises) — superyacht-marina premium tier.</t>
        </is>
      </c>
      <c r="BA465" s="40" t="n"/>
    </row>
    <row r="466">
      <c r="A466" s="38" t="inlineStr">
        <is>
          <t>Yango Turkey</t>
        </is>
      </c>
      <c r="B466" s="38" t="inlineStr">
        <is>
          <t>Turkey</t>
        </is>
      </c>
      <c r="C466" s="39" t="inlineStr">
        <is>
          <t>Bodrum → Datça</t>
        </is>
      </c>
      <c r="D466" s="38" t="inlineStr">
        <is>
          <t>yango</t>
        </is>
      </c>
      <c r="E466" s="40" t="inlineStr">
        <is>
          <t>yango-turkey</t>
        </is>
      </c>
      <c r="F466" s="41" t="n">
        <v>1</v>
      </c>
      <c r="G466" s="42" t="n">
        <v>10</v>
      </c>
      <c r="H466" s="35" t="n">
        <v>15.1</v>
      </c>
      <c r="I466" s="43" t="inlineStr">
        <is>
          <t>T2</t>
        </is>
      </c>
      <c r="J466" s="43" t="inlineStr">
        <is>
          <t>med</t>
        </is>
      </c>
      <c r="K466" s="29" t="n">
        <v>1</v>
      </c>
      <c r="L466" s="44">
        <f>60*G466/cruise_kt</f>
        <v/>
      </c>
      <c r="M466" s="44">
        <f>L466+turn_min+dwell_min</f>
        <v/>
      </c>
      <c r="N466" s="45">
        <f>MIN(16,FLOOR(60*service_hr/M466,1))</f>
        <v/>
      </c>
      <c r="O466" s="45">
        <f>ROUND(365*mech_uptime*K466,0)</f>
        <v/>
      </c>
      <c r="P466" s="46">
        <f>mech_uptime</f>
        <v/>
      </c>
      <c r="Q466" s="46">
        <f>revleg_sel</f>
        <v/>
      </c>
      <c r="R466" s="45">
        <f>ROUND(N466*O466*revleg_sel,0)</f>
        <v/>
      </c>
      <c r="S466" s="47">
        <f>load_sel</f>
        <v/>
      </c>
      <c r="T466" s="47">
        <f>pax_cap*S466</f>
        <v/>
      </c>
      <c r="U466" s="45">
        <f>T466*R466</f>
        <v/>
      </c>
      <c r="V466" s="48">
        <f>H466*discount</f>
        <v/>
      </c>
      <c r="W466" s="49">
        <f>V466*U466</f>
        <v/>
      </c>
      <c r="X466" s="49">
        <f>(battery/range_nm)*G466*R466*VLOOKUP(B466,country_opex,3,FALSE)</f>
        <v/>
      </c>
      <c r="Y466" s="49">
        <f>VLOOKUP(B466,country_opex,2,FALSE)*crew_factor</f>
        <v/>
      </c>
      <c r="Z466" s="49">
        <f>VLOOKUP(B466,country_opex,5,FALSE)</f>
        <v/>
      </c>
      <c r="AA466" s="49">
        <f>maint</f>
        <v/>
      </c>
      <c r="AB466" s="49">
        <f>VLOOKUP(B466,country_opex,7,FALSE)*ins_pct</f>
        <v/>
      </c>
      <c r="AC466" s="49">
        <f>charge_berth</f>
        <v/>
      </c>
      <c r="AD466" s="49">
        <f>X466+Y466+Z466+AA466+AB466+AC466</f>
        <v/>
      </c>
      <c r="AE466" s="49">
        <f>VLOOKUP(B466,country_opex,7,FALSE)/dep_years</f>
        <v/>
      </c>
      <c r="AF466" s="49">
        <f>W466-AD466</f>
        <v/>
      </c>
      <c r="AG466" s="46">
        <f>IF(W466=0,"",AF466/W466)</f>
        <v/>
      </c>
      <c r="AH466" s="47">
        <f>IF(AF466&lt;=0,"",VLOOKUP(B466,country_opex,7,FALSE)/AF466)</f>
        <v/>
      </c>
      <c r="AI466" s="44">
        <f>((G466*R466/diesel_nmpg)*diesel_co2pg-(battery/range_nm)*G466*R466*VLOOKUP(B466,country_opex,4,FALSE))/1000</f>
        <v/>
      </c>
      <c r="AJ466" s="42" t="n"/>
      <c r="AK466" s="43" t="n"/>
      <c r="AL466" s="43" t="n"/>
      <c r="AM466" s="50" t="n">
        <v>0.1</v>
      </c>
      <c r="AN466" s="45">
        <f>IF(AJ466="","",AJ466*AM466)</f>
        <v/>
      </c>
      <c r="AO466" s="45">
        <f>IF(OR(AJ466="",U466=0),"",MIN(IF(AV466="",9.9E+99,AV466),FLOOR(AN466/U466,1)))</f>
        <v/>
      </c>
      <c r="AP466" s="49">
        <f>IF(AO466="","",AO466*W466)</f>
        <v/>
      </c>
      <c r="AQ466" s="47">
        <f>IF(OR(AJ466="",U466=0),"",MIN(IF(AV466="",9.9E+99,AV466),AN466/U466))</f>
        <v/>
      </c>
      <c r="AR466" s="49">
        <f>IF(AQ466="","",AQ466*W466)</f>
        <v/>
      </c>
      <c r="AS466" s="51" t="n"/>
      <c r="AT466" s="52" t="n"/>
      <c r="AU466" s="52" t="n"/>
      <c r="AV466" s="53" t="n"/>
      <c r="AW466" s="54">
        <f>IF(((V466*pax_cap*load_thin*ROUND(N466*O466*revleg_thin,0))-(((battery/range_nm)*G466*ROUND(N466*O466*revleg_thin,0)*VLOOKUP(B466,country_opex,3,FALSE))+Y466+Z466+AA466+AB466+AC466))&lt;=0,"",VLOOKUP(B466,country_opex,7,FALSE)/((V466*pax_cap*load_thin*ROUND(N466*O466*revleg_thin,0))-(((battery/range_nm)*G466*ROUND(N466*O466*revleg_thin,0)*VLOOKUP(B466,country_opex,3,FALSE))+Y466+Z466+AA466+AB466+AC466)))</f>
        <v/>
      </c>
      <c r="AX466" s="54">
        <f>IF(((V466*pax_cap*load_mid*ROUND(N466*O466*revleg_mid,0))-(((battery/range_nm)*G466*ROUND(N466*O466*revleg_mid,0)*VLOOKUP(B466,country_opex,3,FALSE))+Y466+Z466+AA466+AB466+AC466))&lt;=0,"",VLOOKUP(B466,country_opex,7,FALSE)/((V466*pax_cap*load_mid*ROUND(N466*O466*revleg_mid,0))-(((battery/range_nm)*G466*ROUND(N466*O466*revleg_mid,0)*VLOOKUP(B466,country_opex,3,FALSE))+Y466+Z466+AA466+AB466+AC466)))</f>
        <v/>
      </c>
      <c r="AY466" s="54">
        <f>IF(((V466*pax_cap*load_full*ROUND(N466*O466*revleg_full,0))-(((battery/range_nm)*G466*ROUND(N466*O466*revleg_full,0)*VLOOKUP(B466,country_opex,3,FALSE))+Y466+Z466+AA466+AB466+AC466))&lt;=0,"",VLOOKUP(B466,country_opex,7,FALSE)/((V466*pax_cap*load_full*ROUND(N466*O466*revleg_full,0))-(((battery/range_nm)*G466*ROUND(N466*O466*revleg_full,0)*VLOOKUP(B466,country_opex,3,FALSE))+Y466+Z466+AA466+AB466+AC466)))</f>
        <v/>
      </c>
      <c r="AZ466" s="40" t="inlineStr">
        <is>
          <t>Bodrum→Datça scheduled ferry one-way 700 TL (Jun 2025, Turkey's For Life / bodrumferibot) ÷ 46.4 = $15.1; return 1,250 TL = $26.9.</t>
        </is>
      </c>
      <c r="BA466" s="40" t="n"/>
    </row>
    <row r="467">
      <c r="A467" s="38" t="inlineStr">
        <is>
          <t>Yango Turkey</t>
        </is>
      </c>
      <c r="B467" s="38" t="inlineStr">
        <is>
          <t>Turkey</t>
        </is>
      </c>
      <c r="C467" s="39" t="inlineStr">
        <is>
          <t>Bodrum → Turgutreis</t>
        </is>
      </c>
      <c r="D467" s="38" t="inlineStr">
        <is>
          <t>yango</t>
        </is>
      </c>
      <c r="E467" s="40" t="inlineStr">
        <is>
          <t>yango-turkey</t>
        </is>
      </c>
      <c r="F467" s="41" t="n">
        <v>1</v>
      </c>
      <c r="G467" s="42" t="n">
        <v>10</v>
      </c>
      <c r="H467" s="35" t="n">
        <v>35</v>
      </c>
      <c r="I467" s="43" t="inlineStr">
        <is>
          <t>T2</t>
        </is>
      </c>
      <c r="J467" s="43" t="inlineStr">
        <is>
          <t>med</t>
        </is>
      </c>
      <c r="K467" s="29" t="n">
        <v>1</v>
      </c>
      <c r="L467" s="44">
        <f>60*G467/cruise_kt</f>
        <v/>
      </c>
      <c r="M467" s="44">
        <f>L467+turn_min+dwell_min</f>
        <v/>
      </c>
      <c r="N467" s="45">
        <f>MIN(10,FLOOR(60*service_hr/M467,1))</f>
        <v/>
      </c>
      <c r="O467" s="45">
        <f>ROUND(365*mech_uptime*K467,0)</f>
        <v/>
      </c>
      <c r="P467" s="46">
        <f>mech_uptime</f>
        <v/>
      </c>
      <c r="Q467" s="46">
        <f>revleg_sel</f>
        <v/>
      </c>
      <c r="R467" s="45">
        <f>ROUND(N467*O467*revleg_sel,0)</f>
        <v/>
      </c>
      <c r="S467" s="47">
        <f>load_sel</f>
        <v/>
      </c>
      <c r="T467" s="47">
        <f>pax_cap*S467</f>
        <v/>
      </c>
      <c r="U467" s="45">
        <f>T467*R467</f>
        <v/>
      </c>
      <c r="V467" s="48">
        <f>H467*discount</f>
        <v/>
      </c>
      <c r="W467" s="49">
        <f>V467*U467</f>
        <v/>
      </c>
      <c r="X467" s="49">
        <f>(battery/range_nm)*G467*R467*VLOOKUP(B467,country_opex,3,FALSE)</f>
        <v/>
      </c>
      <c r="Y467" s="49">
        <f>VLOOKUP(B467,country_opex,2,FALSE)*crew_factor</f>
        <v/>
      </c>
      <c r="Z467" s="49">
        <f>VLOOKUP(B467,country_opex,5,FALSE)</f>
        <v/>
      </c>
      <c r="AA467" s="49">
        <f>maint</f>
        <v/>
      </c>
      <c r="AB467" s="49">
        <f>VLOOKUP(B467,country_opex,7,FALSE)*ins_pct</f>
        <v/>
      </c>
      <c r="AC467" s="49">
        <f>charge_berth</f>
        <v/>
      </c>
      <c r="AD467" s="49">
        <f>X467+Y467+Z467+AA467+AB467+AC467</f>
        <v/>
      </c>
      <c r="AE467" s="49">
        <f>VLOOKUP(B467,country_opex,7,FALSE)/dep_years</f>
        <v/>
      </c>
      <c r="AF467" s="49">
        <f>W467-AD467</f>
        <v/>
      </c>
      <c r="AG467" s="46">
        <f>IF(W467=0,"",AF467/W467)</f>
        <v/>
      </c>
      <c r="AH467" s="47">
        <f>IF(AF467&lt;=0,"",VLOOKUP(B467,country_opex,7,FALSE)/AF467)</f>
        <v/>
      </c>
      <c r="AI467" s="44">
        <f>((G467*R467/diesel_nmpg)*diesel_co2pg-(battery/range_nm)*G467*R467*VLOOKUP(B467,country_opex,4,FALSE))/1000</f>
        <v/>
      </c>
      <c r="AJ467" s="42" t="n"/>
      <c r="AK467" s="43" t="n"/>
      <c r="AL467" s="43" t="n"/>
      <c r="AM467" s="50" t="n">
        <v>0.1</v>
      </c>
      <c r="AN467" s="45">
        <f>IF(AJ467="","",AJ467*AM467)</f>
        <v/>
      </c>
      <c r="AO467" s="45">
        <f>IF(OR(AJ467="",U467=0),"",MIN(IF(AV467="",9.9E+99,AV467),FLOOR(AN467/U467,1)))</f>
        <v/>
      </c>
      <c r="AP467" s="49">
        <f>IF(AO467="","",AO467*W467)</f>
        <v/>
      </c>
      <c r="AQ467" s="47">
        <f>IF(OR(AJ467="",U467=0),"",MIN(IF(AV467="",9.9E+99,AV467),AN467/U467))</f>
        <v/>
      </c>
      <c r="AR467" s="49">
        <f>IF(AQ467="","",AQ467*W467)</f>
        <v/>
      </c>
      <c r="AS467" s="51" t="n"/>
      <c r="AT467" s="52" t="n"/>
      <c r="AU467" s="52" t="n"/>
      <c r="AV467" s="53" t="n"/>
      <c r="AW467" s="54">
        <f>IF(((V467*pax_cap*load_thin*ROUND(N467*O467*revleg_thin,0))-(((battery/range_nm)*G467*ROUND(N467*O467*revleg_thin,0)*VLOOKUP(B467,country_opex,3,FALSE))+Y467+Z467+AA467+AB467+AC467))&lt;=0,"",VLOOKUP(B467,country_opex,7,FALSE)/((V467*pax_cap*load_thin*ROUND(N467*O467*revleg_thin,0))-(((battery/range_nm)*G467*ROUND(N467*O467*revleg_thin,0)*VLOOKUP(B467,country_opex,3,FALSE))+Y467+Z467+AA467+AB467+AC467)))</f>
        <v/>
      </c>
      <c r="AX467" s="54">
        <f>IF(((V467*pax_cap*load_mid*ROUND(N467*O467*revleg_mid,0))-(((battery/range_nm)*G467*ROUND(N467*O467*revleg_mid,0)*VLOOKUP(B467,country_opex,3,FALSE))+Y467+Z467+AA467+AB467+AC467))&lt;=0,"",VLOOKUP(B467,country_opex,7,FALSE)/((V467*pax_cap*load_mid*ROUND(N467*O467*revleg_mid,0))-(((battery/range_nm)*G467*ROUND(N467*O467*revleg_mid,0)*VLOOKUP(B467,country_opex,3,FALSE))+Y467+Z467+AA467+AB467+AC467)))</f>
        <v/>
      </c>
      <c r="AY467" s="54">
        <f>IF(((V467*pax_cap*load_full*ROUND(N467*O467*revleg_full,0))-(((battery/range_nm)*G467*ROUND(N467*O467*revleg_full,0)*VLOOKUP(B467,country_opex,3,FALSE))+Y467+Z467+AA467+AB467+AC467))&lt;=0,"",VLOOKUP(B467,country_opex,7,FALSE)/((V467*pax_cap*load_full*ROUND(N467*O467*revleg_full,0))-(((battery/range_nm)*G467*ROUND(N467*O467*revleg_full,0)*VLOOKUP(B467,country_opex,3,FALSE))+Y467+Z467+AA467+AB467+AC467)))</f>
        <v/>
      </c>
      <c r="AZ467" s="40" t="inlineStr">
        <is>
          <t>Bodrum-peninsula day/sunset cruise comparable ~$35/adult (Tripadvisor/Viator Bodrum &amp; Turgutreis tours).</t>
        </is>
      </c>
      <c r="BA467" s="40" t="n"/>
    </row>
    <row r="468">
      <c r="A468" s="38" t="inlineStr">
        <is>
          <t>Yango Turkey</t>
        </is>
      </c>
      <c r="B468" s="38" t="inlineStr">
        <is>
          <t>Turkey</t>
        </is>
      </c>
      <c r="C468" s="39" t="inlineStr">
        <is>
          <t>Kabataş → Büyükada (Princes' Islands)</t>
        </is>
      </c>
      <c r="D468" s="38" t="inlineStr">
        <is>
          <t>yango</t>
        </is>
      </c>
      <c r="E468" s="40" t="inlineStr">
        <is>
          <t>yango-turkey</t>
        </is>
      </c>
      <c r="F468" s="41" t="n">
        <v>1</v>
      </c>
      <c r="G468" s="42" t="n">
        <v>11</v>
      </c>
      <c r="H468" s="35" t="n">
        <v>18.86</v>
      </c>
      <c r="I468" s="43" t="inlineStr">
        <is>
          <t>T2</t>
        </is>
      </c>
      <c r="J468" s="43" t="inlineStr">
        <is>
          <t>med</t>
        </is>
      </c>
      <c r="K468" s="29" t="n">
        <v>1</v>
      </c>
      <c r="L468" s="44">
        <f>60*G468/cruise_kt</f>
        <v/>
      </c>
      <c r="M468" s="44">
        <f>L468+turn_min+dwell_min</f>
        <v/>
      </c>
      <c r="N468" s="45">
        <f>MIN(10,FLOOR(60*service_hr/M468,1))</f>
        <v/>
      </c>
      <c r="O468" s="45">
        <f>ROUND(365*mech_uptime*K468,0)</f>
        <v/>
      </c>
      <c r="P468" s="46">
        <f>mech_uptime</f>
        <v/>
      </c>
      <c r="Q468" s="46">
        <f>revleg_sel</f>
        <v/>
      </c>
      <c r="R468" s="45">
        <f>ROUND(N468*O468*revleg_sel,0)</f>
        <v/>
      </c>
      <c r="S468" s="47">
        <f>load_sel</f>
        <v/>
      </c>
      <c r="T468" s="47">
        <f>pax_cap*S468</f>
        <v/>
      </c>
      <c r="U468" s="45">
        <f>T468*R468</f>
        <v/>
      </c>
      <c r="V468" s="48">
        <f>H468*discount</f>
        <v/>
      </c>
      <c r="W468" s="49">
        <f>V468*U468</f>
        <v/>
      </c>
      <c r="X468" s="49">
        <f>(battery/range_nm)*G468*R468*VLOOKUP(B468,country_opex,3,FALSE)</f>
        <v/>
      </c>
      <c r="Y468" s="49">
        <f>VLOOKUP(B468,country_opex,2,FALSE)*crew_factor</f>
        <v/>
      </c>
      <c r="Z468" s="49">
        <f>VLOOKUP(B468,country_opex,5,FALSE)</f>
        <v/>
      </c>
      <c r="AA468" s="49">
        <f>maint</f>
        <v/>
      </c>
      <c r="AB468" s="49">
        <f>VLOOKUP(B468,country_opex,7,FALSE)*ins_pct</f>
        <v/>
      </c>
      <c r="AC468" s="49">
        <f>charge_berth</f>
        <v/>
      </c>
      <c r="AD468" s="49">
        <f>X468+Y468+Z468+AA468+AB468+AC468</f>
        <v/>
      </c>
      <c r="AE468" s="49">
        <f>VLOOKUP(B468,country_opex,7,FALSE)/dep_years</f>
        <v/>
      </c>
      <c r="AF468" s="49">
        <f>W468-AD468</f>
        <v/>
      </c>
      <c r="AG468" s="46">
        <f>IF(W468=0,"",AF468/W468)</f>
        <v/>
      </c>
      <c r="AH468" s="47">
        <f>IF(AF468&lt;=0,"",VLOOKUP(B468,country_opex,7,FALSE)/AF468)</f>
        <v/>
      </c>
      <c r="AI468" s="44">
        <f>((G468*R468/diesel_nmpg)*diesel_co2pg-(battery/range_nm)*G468*R468*VLOOKUP(B468,country_opex,4,FALSE))/1000</f>
        <v/>
      </c>
      <c r="AJ468" s="42" t="n">
        <v>2000000</v>
      </c>
      <c r="AK468" s="43" t="n"/>
      <c r="AL468" s="43" t="n"/>
      <c r="AM468" s="50" t="n">
        <v>0.1</v>
      </c>
      <c r="AN468" s="45">
        <f>IF(AJ468="","",AJ468*AM468)</f>
        <v/>
      </c>
      <c r="AO468" s="45">
        <f>IF(OR(AJ468="",U468=0),"",MIN(IF(AV468="",9.9E+99,AV468),FLOOR(AN468/U468,1)))</f>
        <v/>
      </c>
      <c r="AP468" s="49">
        <f>IF(AO468="","",AO468*W468)</f>
        <v/>
      </c>
      <c r="AQ468" s="47">
        <f>IF(OR(AJ468="",U468=0),"",MIN(IF(AV468="",9.9E+99,AV468),AN468/U468))</f>
        <v/>
      </c>
      <c r="AR468" s="49">
        <f>IF(AQ468="","",AQ468*W468)</f>
        <v/>
      </c>
      <c r="AS468" s="51" t="n"/>
      <c r="AT468" s="52" t="n"/>
      <c r="AU468" s="52" t="n"/>
      <c r="AV468" s="53" t="n"/>
      <c r="AW468" s="54">
        <f>IF(((V468*pax_cap*load_thin*ROUND(N468*O468*revleg_thin,0))-(((battery/range_nm)*G468*ROUND(N468*O468*revleg_thin,0)*VLOOKUP(B468,country_opex,3,FALSE))+Y468+Z468+AA468+AB468+AC468))&lt;=0,"",VLOOKUP(B468,country_opex,7,FALSE)/((V468*pax_cap*load_thin*ROUND(N468*O468*revleg_thin,0))-(((battery/range_nm)*G468*ROUND(N468*O468*revleg_thin,0)*VLOOKUP(B468,country_opex,3,FALSE))+Y468+Z468+AA468+AB468+AC468)))</f>
        <v/>
      </c>
      <c r="AX468" s="54">
        <f>IF(((V468*pax_cap*load_mid*ROUND(N468*O468*revleg_mid,0))-(((battery/range_nm)*G468*ROUND(N468*O468*revleg_mid,0)*VLOOKUP(B468,country_opex,3,FALSE))+Y468+Z468+AA468+AB468+AC468))&lt;=0,"",VLOOKUP(B468,country_opex,7,FALSE)/((V468*pax_cap*load_mid*ROUND(N468*O468*revleg_mid,0))-(((battery/range_nm)*G468*ROUND(N468*O468*revleg_mid,0)*VLOOKUP(B468,country_opex,3,FALSE))+Y468+Z468+AA468+AB468+AC468)))</f>
        <v/>
      </c>
      <c r="AY468" s="54">
        <f>IF(((V468*pax_cap*load_full*ROUND(N468*O468*revleg_full,0))-(((battery/range_nm)*G468*ROUND(N468*O468*revleg_full,0)*VLOOKUP(B468,country_opex,3,FALSE))+Y468+Z468+AA468+AB468+AC468))&lt;=0,"",VLOOKUP(B468,country_opex,7,FALSE)/((V468*pax_cap*load_full*ROUND(N468*O468*revleg_full,0))-(((battery/range_nm)*G468*ROUND(N468*O468*revleg_full,0)*VLOOKUP(B468,country_opex,3,FALSE))+Y468+Z468+AA468+AB468+AC468)))</f>
        <v/>
      </c>
      <c r="AZ468" s="40" t="inlineStr">
        <is>
          <t>IMM Sea Taxi shared per-seat on 11 nm = (500+11×750)/10 = 875 TL ÷ 46.4 = $18.86 (whole-boat 8750 TL = $188.6). Scheduled premium = İDO/Şehir Hatları fast-ferry Adalar tier.</t>
        </is>
      </c>
      <c r="BA468" s="40" t="n"/>
    </row>
    <row r="469">
      <c r="A469" s="38" t="inlineStr">
        <is>
          <t>Yango Turkey</t>
        </is>
      </c>
      <c r="B469" s="38" t="inlineStr">
        <is>
          <t>Turkey</t>
        </is>
      </c>
      <c r="C469" s="39" t="inlineStr">
        <is>
          <t>Bodrum → Kos (Greece)</t>
        </is>
      </c>
      <c r="D469" s="38" t="inlineStr">
        <is>
          <t>yango</t>
        </is>
      </c>
      <c r="E469" s="40" t="inlineStr">
        <is>
          <t>yango-turkey</t>
        </is>
      </c>
      <c r="F469" s="41" t="n">
        <v>1</v>
      </c>
      <c r="G469" s="42" t="n">
        <v>12</v>
      </c>
      <c r="H469" s="35" t="n">
        <v>35</v>
      </c>
      <c r="I469" s="43" t="inlineStr">
        <is>
          <t>T2</t>
        </is>
      </c>
      <c r="J469" s="43" t="inlineStr">
        <is>
          <t>med</t>
        </is>
      </c>
      <c r="K469" s="29" t="n">
        <v>1</v>
      </c>
      <c r="L469" s="44">
        <f>60*G469/cruise_kt</f>
        <v/>
      </c>
      <c r="M469" s="44">
        <f>L469+turn_min+dwell_min</f>
        <v/>
      </c>
      <c r="N469" s="45">
        <f>MIN(10,FLOOR(60*service_hr/M469,1))</f>
        <v/>
      </c>
      <c r="O469" s="45">
        <f>ROUND(365*mech_uptime*K469,0)</f>
        <v/>
      </c>
      <c r="P469" s="46">
        <f>mech_uptime</f>
        <v/>
      </c>
      <c r="Q469" s="46">
        <f>revleg_sel</f>
        <v/>
      </c>
      <c r="R469" s="45">
        <f>ROUND(N469*O469*revleg_sel,0)</f>
        <v/>
      </c>
      <c r="S469" s="47">
        <f>load_sel</f>
        <v/>
      </c>
      <c r="T469" s="47">
        <f>pax_cap*S469</f>
        <v/>
      </c>
      <c r="U469" s="45">
        <f>T469*R469</f>
        <v/>
      </c>
      <c r="V469" s="48">
        <f>H469*discount</f>
        <v/>
      </c>
      <c r="W469" s="49">
        <f>V469*U469</f>
        <v/>
      </c>
      <c r="X469" s="49">
        <f>(battery/range_nm)*G469*R469*VLOOKUP(B469,country_opex,3,FALSE)</f>
        <v/>
      </c>
      <c r="Y469" s="49">
        <f>VLOOKUP(B469,country_opex,2,FALSE)*crew_factor</f>
        <v/>
      </c>
      <c r="Z469" s="49">
        <f>VLOOKUP(B469,country_opex,5,FALSE)</f>
        <v/>
      </c>
      <c r="AA469" s="49">
        <f>maint</f>
        <v/>
      </c>
      <c r="AB469" s="49">
        <f>VLOOKUP(B469,country_opex,7,FALSE)*ins_pct</f>
        <v/>
      </c>
      <c r="AC469" s="49">
        <f>charge_berth</f>
        <v/>
      </c>
      <c r="AD469" s="49">
        <f>X469+Y469+Z469+AA469+AB469+AC469</f>
        <v/>
      </c>
      <c r="AE469" s="49">
        <f>VLOOKUP(B469,country_opex,7,FALSE)/dep_years</f>
        <v/>
      </c>
      <c r="AF469" s="49">
        <f>W469-AD469</f>
        <v/>
      </c>
      <c r="AG469" s="46">
        <f>IF(W469=0,"",AF469/W469)</f>
        <v/>
      </c>
      <c r="AH469" s="47">
        <f>IF(AF469&lt;=0,"",VLOOKUP(B469,country_opex,7,FALSE)/AF469)</f>
        <v/>
      </c>
      <c r="AI469" s="44">
        <f>((G469*R469/diesel_nmpg)*diesel_co2pg-(battery/range_nm)*G469*R469*VLOOKUP(B469,country_opex,4,FALSE))/1000</f>
        <v/>
      </c>
      <c r="AJ469" s="42" t="n">
        <v>138149</v>
      </c>
      <c r="AK469" s="43" t="n"/>
      <c r="AL469" s="43" t="n"/>
      <c r="AM469" s="50" t="n">
        <v>0.1</v>
      </c>
      <c r="AN469" s="45">
        <f>IF(AJ469="","",AJ469*AM469)</f>
        <v/>
      </c>
      <c r="AO469" s="45">
        <f>IF(OR(AJ469="",U469=0),"",MIN(IF(AV469="",9.9E+99,AV469),FLOOR(AN469/U469,1)))</f>
        <v/>
      </c>
      <c r="AP469" s="49">
        <f>IF(AO469="","",AO469*W469)</f>
        <v/>
      </c>
      <c r="AQ469" s="47">
        <f>IF(OR(AJ469="",U469=0),"",MIN(IF(AV469="",9.9E+99,AV469),AN469/U469))</f>
        <v/>
      </c>
      <c r="AR469" s="49">
        <f>IF(AQ469="","",AQ469*W469)</f>
        <v/>
      </c>
      <c r="AS469" s="51" t="n"/>
      <c r="AT469" s="52" t="n"/>
      <c r="AU469" s="52" t="n"/>
      <c r="AV469" s="53" t="n"/>
      <c r="AW469" s="54">
        <f>IF(((V469*pax_cap*load_thin*ROUND(N469*O469*revleg_thin,0))-(((battery/range_nm)*G469*ROUND(N469*O469*revleg_thin,0)*VLOOKUP(B469,country_opex,3,FALSE))+Y469+Z469+AA469+AB469+AC469))&lt;=0,"",VLOOKUP(B469,country_opex,7,FALSE)/((V469*pax_cap*load_thin*ROUND(N469*O469*revleg_thin,0))-(((battery/range_nm)*G469*ROUND(N469*O469*revleg_thin,0)*VLOOKUP(B469,country_opex,3,FALSE))+Y469+Z469+AA469+AB469+AC469)))</f>
        <v/>
      </c>
      <c r="AX469" s="54">
        <f>IF(((V469*pax_cap*load_mid*ROUND(N469*O469*revleg_mid,0))-(((battery/range_nm)*G469*ROUND(N469*O469*revleg_mid,0)*VLOOKUP(B469,country_opex,3,FALSE))+Y469+Z469+AA469+AB469+AC469))&lt;=0,"",VLOOKUP(B469,country_opex,7,FALSE)/((V469*pax_cap*load_mid*ROUND(N469*O469*revleg_mid,0))-(((battery/range_nm)*G469*ROUND(N469*O469*revleg_mid,0)*VLOOKUP(B469,country_opex,3,FALSE))+Y469+Z469+AA469+AB469+AC469)))</f>
        <v/>
      </c>
      <c r="AY469" s="54">
        <f>IF(((V469*pax_cap*load_full*ROUND(N469*O469*revleg_full,0))-(((battery/range_nm)*G469*ROUND(N469*O469*revleg_full,0)*VLOOKUP(B469,country_opex,3,FALSE))+Y469+Z469+AA469+AB469+AC469))&lt;=0,"",VLOOKUP(B469,country_opex,7,FALSE)/((V469*pax_cap*load_full*ROUND(N469*O469*revleg_full,0))-(((battery/range_nm)*G469*ROUND(N469*O469*revleg_full,0)*VLOOKUP(B469,country_opex,3,FALSE))+Y469+Z469+AA469+AB469+AC469)))</f>
        <v/>
      </c>
      <c r="AZ469" s="40" t="inlineStr">
        <is>
          <t>Scheduled fast catamaran Bodrum→Kos adult one-way €25-40 (Bodrum Express Lines / ferrybodrum); midpoint €32 × 1.08 = $34.6 ≈ $35.</t>
        </is>
      </c>
      <c r="BA469" s="40" t="n"/>
    </row>
    <row r="470">
      <c r="A470" s="38" t="inlineStr">
        <is>
          <t>Yango Turkey</t>
        </is>
      </c>
      <c r="B470" s="38" t="inlineStr">
        <is>
          <t>Turkey</t>
        </is>
      </c>
      <c r="C470" s="39" t="inlineStr">
        <is>
          <t>Kuşadası → Samos (Greece)</t>
        </is>
      </c>
      <c r="D470" s="38" t="inlineStr">
        <is>
          <t>yango</t>
        </is>
      </c>
      <c r="E470" s="40" t="inlineStr">
        <is>
          <t>yango-turkey</t>
        </is>
      </c>
      <c r="F470" s="41" t="n">
        <v>1</v>
      </c>
      <c r="G470" s="42" t="n">
        <v>12</v>
      </c>
      <c r="H470" s="35" t="n"/>
      <c r="I470" s="43" t="n"/>
      <c r="J470" s="43" t="n"/>
      <c r="K470" s="29" t="n">
        <v>1</v>
      </c>
      <c r="L470" s="44">
        <f>60*G470/cruise_kt</f>
        <v/>
      </c>
      <c r="M470" s="44">
        <f>L470+turn_min+dwell_min</f>
        <v/>
      </c>
      <c r="N470" s="45">
        <f>MIN(10,FLOOR(60*service_hr/M470,1))</f>
        <v/>
      </c>
      <c r="O470" s="45">
        <f>ROUND(365*mech_uptime*K470,0)</f>
        <v/>
      </c>
      <c r="P470" s="46">
        <f>mech_uptime</f>
        <v/>
      </c>
      <c r="Q470" s="46">
        <f>revleg_sel</f>
        <v/>
      </c>
      <c r="R470" s="45">
        <f>ROUND(N470*O470*revleg_sel,0)</f>
        <v/>
      </c>
      <c r="S470" s="47">
        <f>load_sel</f>
        <v/>
      </c>
      <c r="T470" s="47">
        <f>pax_cap*S470</f>
        <v/>
      </c>
      <c r="U470" s="45">
        <f>T470*R470</f>
        <v/>
      </c>
      <c r="V470" s="48">
        <f>H470*discount</f>
        <v/>
      </c>
      <c r="W470" s="49">
        <f>V470*U470</f>
        <v/>
      </c>
      <c r="X470" s="49">
        <f>(battery/range_nm)*G470*R470*VLOOKUP(B470,country_opex,3,FALSE)</f>
        <v/>
      </c>
      <c r="Y470" s="49">
        <f>VLOOKUP(B470,country_opex,2,FALSE)*crew_factor</f>
        <v/>
      </c>
      <c r="Z470" s="49">
        <f>VLOOKUP(B470,country_opex,5,FALSE)</f>
        <v/>
      </c>
      <c r="AA470" s="49">
        <f>maint</f>
        <v/>
      </c>
      <c r="AB470" s="49">
        <f>VLOOKUP(B470,country_opex,7,FALSE)*ins_pct</f>
        <v/>
      </c>
      <c r="AC470" s="49">
        <f>charge_berth</f>
        <v/>
      </c>
      <c r="AD470" s="49">
        <f>X470+Y470+Z470+AA470+AB470+AC470</f>
        <v/>
      </c>
      <c r="AE470" s="49">
        <f>VLOOKUP(B470,country_opex,7,FALSE)/dep_years</f>
        <v/>
      </c>
      <c r="AF470" s="49">
        <f>W470-AD470</f>
        <v/>
      </c>
      <c r="AG470" s="46">
        <f>IF(W470=0,"",AF470/W470)</f>
        <v/>
      </c>
      <c r="AH470" s="47">
        <f>IF(AF470&lt;=0,"",VLOOKUP(B470,country_opex,7,FALSE)/AF470)</f>
        <v/>
      </c>
      <c r="AI470" s="44">
        <f>((G470*R470/diesel_nmpg)*diesel_co2pg-(battery/range_nm)*G470*R470*VLOOKUP(B470,country_opex,4,FALSE))/1000</f>
        <v/>
      </c>
      <c r="AJ470" s="42" t="n"/>
      <c r="AK470" s="43" t="n"/>
      <c r="AL470" s="43" t="n"/>
      <c r="AM470" s="50" t="n">
        <v>0.1</v>
      </c>
      <c r="AN470" s="45">
        <f>IF(AJ470="","",AJ470*AM470)</f>
        <v/>
      </c>
      <c r="AO470" s="45">
        <f>IF(OR(AJ470="",U470=0),"",MIN(IF(AV470="",9.9E+99,AV470),FLOOR(AN470/U470,1)))</f>
        <v/>
      </c>
      <c r="AP470" s="49">
        <f>IF(AO470="","",AO470*W470)</f>
        <v/>
      </c>
      <c r="AQ470" s="47">
        <f>IF(OR(AJ470="",U470=0),"",MIN(IF(AV470="",9.9E+99,AV470),AN470/U470))</f>
        <v/>
      </c>
      <c r="AR470" s="49">
        <f>IF(AQ470="","",AQ470*W470)</f>
        <v/>
      </c>
      <c r="AS470" s="51" t="n"/>
      <c r="AT470" s="52" t="n"/>
      <c r="AU470" s="52" t="n"/>
      <c r="AV470" s="53" t="n"/>
      <c r="AW470" s="54">
        <f>IF(((V470*pax_cap*load_thin*ROUND(N470*O470*revleg_thin,0))-(((battery/range_nm)*G470*ROUND(N470*O470*revleg_thin,0)*VLOOKUP(B470,country_opex,3,FALSE))+Y470+Z470+AA470+AB470+AC470))&lt;=0,"",VLOOKUP(B470,country_opex,7,FALSE)/((V470*pax_cap*load_thin*ROUND(N470*O470*revleg_thin,0))-(((battery/range_nm)*G470*ROUND(N470*O470*revleg_thin,0)*VLOOKUP(B470,country_opex,3,FALSE))+Y470+Z470+AA470+AB470+AC470)))</f>
        <v/>
      </c>
      <c r="AX470" s="54">
        <f>IF(((V470*pax_cap*load_mid*ROUND(N470*O470*revleg_mid,0))-(((battery/range_nm)*G470*ROUND(N470*O470*revleg_mid,0)*VLOOKUP(B470,country_opex,3,FALSE))+Y470+Z470+AA470+AB470+AC470))&lt;=0,"",VLOOKUP(B470,country_opex,7,FALSE)/((V470*pax_cap*load_mid*ROUND(N470*O470*revleg_mid,0))-(((battery/range_nm)*G470*ROUND(N470*O470*revleg_mid,0)*VLOOKUP(B470,country_opex,3,FALSE))+Y470+Z470+AA470+AB470+AC470)))</f>
        <v/>
      </c>
      <c r="AY470" s="54">
        <f>IF(((V470*pax_cap*load_full*ROUND(N470*O470*revleg_full,0))-(((battery/range_nm)*G470*ROUND(N470*O470*revleg_full,0)*VLOOKUP(B470,country_opex,3,FALSE))+Y470+Z470+AA470+AB470+AC470))&lt;=0,"",VLOOKUP(B470,country_opex,7,FALSE)/((V470*pax_cap*load_full*ROUND(N470*O470*revleg_full,0))-(((battery/range_nm)*G470*ROUND(N470*O470*revleg_full,0)*VLOOKUP(B470,country_opex,3,FALSE))+Y470+Z470+AA470+AB470+AC470)))</f>
        <v/>
      </c>
      <c r="AZ470" s="40" t="n"/>
      <c r="BA470" s="40" t="n"/>
    </row>
    <row r="471">
      <c r="A471" s="38" t="inlineStr">
        <is>
          <t>Yango Turkey</t>
        </is>
      </c>
      <c r="B471" s="38" t="inlineStr">
        <is>
          <t>Turkey</t>
        </is>
      </c>
      <c r="C471" s="39" t="inlineStr">
        <is>
          <t>Sabiha Gökçen Airport (Pendik) → Kabataş / Beşiktaş (city)</t>
        </is>
      </c>
      <c r="D471" s="38" t="inlineStr">
        <is>
          <t>yango</t>
        </is>
      </c>
      <c r="E471" s="40" t="inlineStr">
        <is>
          <t>yango-turkey</t>
        </is>
      </c>
      <c r="F471" s="41" t="n">
        <v>1</v>
      </c>
      <c r="G471" s="42" t="n">
        <v>15</v>
      </c>
      <c r="H471" s="35" t="n">
        <v>25.3</v>
      </c>
      <c r="I471" s="43" t="inlineStr">
        <is>
          <t>T2</t>
        </is>
      </c>
      <c r="J471" s="43" t="inlineStr">
        <is>
          <t>med</t>
        </is>
      </c>
      <c r="K471" s="29" t="n">
        <v>1</v>
      </c>
      <c r="L471" s="44">
        <f>60*G471/cruise_kt</f>
        <v/>
      </c>
      <c r="M471" s="44">
        <f>L471+turn_min+dwell_min</f>
        <v/>
      </c>
      <c r="N471" s="45">
        <f>MIN(10,FLOOR(60*service_hr/M471,1))</f>
        <v/>
      </c>
      <c r="O471" s="45">
        <f>ROUND(365*mech_uptime*K471,0)</f>
        <v/>
      </c>
      <c r="P471" s="46">
        <f>mech_uptime</f>
        <v/>
      </c>
      <c r="Q471" s="46">
        <f>revleg_sel</f>
        <v/>
      </c>
      <c r="R471" s="45">
        <f>ROUND(N471*O471*revleg_sel,0)</f>
        <v/>
      </c>
      <c r="S471" s="47">
        <f>load_sel</f>
        <v/>
      </c>
      <c r="T471" s="47">
        <f>pax_cap*S471</f>
        <v/>
      </c>
      <c r="U471" s="45">
        <f>T471*R471</f>
        <v/>
      </c>
      <c r="V471" s="48">
        <f>H471*discount</f>
        <v/>
      </c>
      <c r="W471" s="49">
        <f>V471*U471</f>
        <v/>
      </c>
      <c r="X471" s="49">
        <f>(battery/range_nm)*G471*R471*VLOOKUP(B471,country_opex,3,FALSE)</f>
        <v/>
      </c>
      <c r="Y471" s="49">
        <f>VLOOKUP(B471,country_opex,2,FALSE)*crew_factor</f>
        <v/>
      </c>
      <c r="Z471" s="49">
        <f>VLOOKUP(B471,country_opex,5,FALSE)</f>
        <v/>
      </c>
      <c r="AA471" s="49">
        <f>maint</f>
        <v/>
      </c>
      <c r="AB471" s="49">
        <f>VLOOKUP(B471,country_opex,7,FALSE)*ins_pct</f>
        <v/>
      </c>
      <c r="AC471" s="49">
        <f>charge_berth</f>
        <v/>
      </c>
      <c r="AD471" s="49">
        <f>X471+Y471+Z471+AA471+AB471+AC471</f>
        <v/>
      </c>
      <c r="AE471" s="49">
        <f>VLOOKUP(B471,country_opex,7,FALSE)/dep_years</f>
        <v/>
      </c>
      <c r="AF471" s="49">
        <f>W471-AD471</f>
        <v/>
      </c>
      <c r="AG471" s="46">
        <f>IF(W471=0,"",AF471/W471)</f>
        <v/>
      </c>
      <c r="AH471" s="47">
        <f>IF(AF471&lt;=0,"",VLOOKUP(B471,country_opex,7,FALSE)/AF471)</f>
        <v/>
      </c>
      <c r="AI471" s="44">
        <f>((G471*R471/diesel_nmpg)*diesel_co2pg-(battery/range_nm)*G471*R471*VLOOKUP(B471,country_opex,4,FALSE))/1000</f>
        <v/>
      </c>
      <c r="AJ471" s="42" t="n"/>
      <c r="AK471" s="43" t="n"/>
      <c r="AL471" s="43" t="n"/>
      <c r="AM471" s="50" t="n">
        <v>0.1</v>
      </c>
      <c r="AN471" s="45">
        <f>IF(AJ471="","",AJ471*AM471)</f>
        <v/>
      </c>
      <c r="AO471" s="45">
        <f>IF(OR(AJ471="",U471=0),"",MIN(IF(AV471="",9.9E+99,AV471),FLOOR(AN471/U471,1)))</f>
        <v/>
      </c>
      <c r="AP471" s="49">
        <f>IF(AO471="","",AO471*W471)</f>
        <v/>
      </c>
      <c r="AQ471" s="47">
        <f>IF(OR(AJ471="",U471=0),"",MIN(IF(AV471="",9.9E+99,AV471),AN471/U471))</f>
        <v/>
      </c>
      <c r="AR471" s="49">
        <f>IF(AQ471="","",AQ471*W471)</f>
        <v/>
      </c>
      <c r="AS471" s="51" t="n"/>
      <c r="AT471" s="52" t="n"/>
      <c r="AU471" s="52" t="n"/>
      <c r="AV471" s="53" t="n"/>
      <c r="AW471" s="54">
        <f>IF(((V471*pax_cap*load_thin*ROUND(N471*O471*revleg_thin,0))-(((battery/range_nm)*G471*ROUND(N471*O471*revleg_thin,0)*VLOOKUP(B471,country_opex,3,FALSE))+Y471+Z471+AA471+AB471+AC471))&lt;=0,"",VLOOKUP(B471,country_opex,7,FALSE)/((V471*pax_cap*load_thin*ROUND(N471*O471*revleg_thin,0))-(((battery/range_nm)*G471*ROUND(N471*O471*revleg_thin,0)*VLOOKUP(B471,country_opex,3,FALSE))+Y471+Z471+AA471+AB471+AC471)))</f>
        <v/>
      </c>
      <c r="AX471" s="54">
        <f>IF(((V471*pax_cap*load_mid*ROUND(N471*O471*revleg_mid,0))-(((battery/range_nm)*G471*ROUND(N471*O471*revleg_mid,0)*VLOOKUP(B471,country_opex,3,FALSE))+Y471+Z471+AA471+AB471+AC471))&lt;=0,"",VLOOKUP(B471,country_opex,7,FALSE)/((V471*pax_cap*load_mid*ROUND(N471*O471*revleg_mid,0))-(((battery/range_nm)*G471*ROUND(N471*O471*revleg_mid,0)*VLOOKUP(B471,country_opex,3,FALSE))+Y471+Z471+AA471+AB471+AC471)))</f>
        <v/>
      </c>
      <c r="AY471" s="54">
        <f>IF(((V471*pax_cap*load_full*ROUND(N471*O471*revleg_full,0))-(((battery/range_nm)*G471*ROUND(N471*O471*revleg_full,0)*VLOOKUP(B471,country_opex,3,FALSE))+Y471+Z471+AA471+AB471+AC471))&lt;=0,"",VLOOKUP(B471,country_opex,7,FALSE)/((V471*pax_cap*load_full*ROUND(N471*O471*revleg_full,0))-(((battery/range_nm)*G471*ROUND(N471*O471*revleg_full,0)*VLOOKUP(B471,country_opex,3,FALSE))+Y471+Z471+AA471+AB471+AC471)))</f>
        <v/>
      </c>
      <c r="AZ471" s="40" t="inlineStr">
        <is>
          <t>IMM Sea Taxi shared per-seat on 15 nm = (500+15×750)/10 = 1175 TL ÷ 46.4 = $25.3 (whole-boat charter 11,750 TL = $253).</t>
        </is>
      </c>
      <c r="BA471" s="40" t="n"/>
    </row>
    <row r="472">
      <c r="A472" s="38" t="inlineStr">
        <is>
          <t>Yango Turkey</t>
        </is>
      </c>
      <c r="B472" s="38" t="inlineStr">
        <is>
          <t>Turkey</t>
        </is>
      </c>
      <c r="C472" s="39" t="inlineStr">
        <is>
          <t>Marmaris → Datça</t>
        </is>
      </c>
      <c r="D472" s="38" t="inlineStr">
        <is>
          <t>yango</t>
        </is>
      </c>
      <c r="E472" s="40" t="inlineStr">
        <is>
          <t>yango-turkey</t>
        </is>
      </c>
      <c r="F472" s="41" t="n">
        <v>1</v>
      </c>
      <c r="G472" s="42" t="n">
        <v>18</v>
      </c>
      <c r="H472" s="35" t="n">
        <v>40</v>
      </c>
      <c r="I472" s="43" t="inlineStr">
        <is>
          <t>T2</t>
        </is>
      </c>
      <c r="J472" s="43" t="inlineStr">
        <is>
          <t>med</t>
        </is>
      </c>
      <c r="K472" s="29" t="n">
        <v>1</v>
      </c>
      <c r="L472" s="44">
        <f>60*G472/cruise_kt</f>
        <v/>
      </c>
      <c r="M472" s="44">
        <f>L472+turn_min+dwell_min</f>
        <v/>
      </c>
      <c r="N472" s="45">
        <f>MIN(10,FLOOR(60*service_hr/M472,1))</f>
        <v/>
      </c>
      <c r="O472" s="45">
        <f>ROUND(365*mech_uptime*K472,0)</f>
        <v/>
      </c>
      <c r="P472" s="46">
        <f>mech_uptime</f>
        <v/>
      </c>
      <c r="Q472" s="46">
        <f>revleg_sel</f>
        <v/>
      </c>
      <c r="R472" s="45">
        <f>ROUND(N472*O472*revleg_sel,0)</f>
        <v/>
      </c>
      <c r="S472" s="47">
        <f>load_sel</f>
        <v/>
      </c>
      <c r="T472" s="47">
        <f>pax_cap*S472</f>
        <v/>
      </c>
      <c r="U472" s="45">
        <f>T472*R472</f>
        <v/>
      </c>
      <c r="V472" s="48">
        <f>H472*discount</f>
        <v/>
      </c>
      <c r="W472" s="49">
        <f>V472*U472</f>
        <v/>
      </c>
      <c r="X472" s="49">
        <f>(battery/range_nm)*G472*R472*VLOOKUP(B472,country_opex,3,FALSE)</f>
        <v/>
      </c>
      <c r="Y472" s="49">
        <f>VLOOKUP(B472,country_opex,2,FALSE)*crew_factor</f>
        <v/>
      </c>
      <c r="Z472" s="49">
        <f>VLOOKUP(B472,country_opex,5,FALSE)</f>
        <v/>
      </c>
      <c r="AA472" s="49">
        <f>maint</f>
        <v/>
      </c>
      <c r="AB472" s="49">
        <f>VLOOKUP(B472,country_opex,7,FALSE)*ins_pct</f>
        <v/>
      </c>
      <c r="AC472" s="49">
        <f>charge_berth</f>
        <v/>
      </c>
      <c r="AD472" s="49">
        <f>X472+Y472+Z472+AA472+AB472+AC472</f>
        <v/>
      </c>
      <c r="AE472" s="49">
        <f>VLOOKUP(B472,country_opex,7,FALSE)/dep_years</f>
        <v/>
      </c>
      <c r="AF472" s="49">
        <f>W472-AD472</f>
        <v/>
      </c>
      <c r="AG472" s="46">
        <f>IF(W472=0,"",AF472/W472)</f>
        <v/>
      </c>
      <c r="AH472" s="47">
        <f>IF(AF472&lt;=0,"",VLOOKUP(B472,country_opex,7,FALSE)/AF472)</f>
        <v/>
      </c>
      <c r="AI472" s="44">
        <f>((G472*R472/diesel_nmpg)*diesel_co2pg-(battery/range_nm)*G472*R472*VLOOKUP(B472,country_opex,4,FALSE))/1000</f>
        <v/>
      </c>
      <c r="AJ472" s="42" t="n"/>
      <c r="AK472" s="43" t="n"/>
      <c r="AL472" s="43" t="n"/>
      <c r="AM472" s="50" t="n">
        <v>0.1</v>
      </c>
      <c r="AN472" s="45">
        <f>IF(AJ472="","",AJ472*AM472)</f>
        <v/>
      </c>
      <c r="AO472" s="45">
        <f>IF(OR(AJ472="",U472=0),"",MIN(IF(AV472="",9.9E+99,AV472),FLOOR(AN472/U472,1)))</f>
        <v/>
      </c>
      <c r="AP472" s="49">
        <f>IF(AO472="","",AO472*W472)</f>
        <v/>
      </c>
      <c r="AQ472" s="47">
        <f>IF(OR(AJ472="",U472=0),"",MIN(IF(AV472="",9.9E+99,AV472),AN472/U472))</f>
        <v/>
      </c>
      <c r="AR472" s="49">
        <f>IF(AQ472="","",AQ472*W472)</f>
        <v/>
      </c>
      <c r="AS472" s="51" t="n"/>
      <c r="AT472" s="52" t="n"/>
      <c r="AU472" s="52" t="n"/>
      <c r="AV472" s="53" t="n"/>
      <c r="AW472" s="54">
        <f>IF(((V472*pax_cap*load_thin*ROUND(N472*O472*revleg_thin,0))-(((battery/range_nm)*G472*ROUND(N472*O472*revleg_thin,0)*VLOOKUP(B472,country_opex,3,FALSE))+Y472+Z472+AA472+AB472+AC472))&lt;=0,"",VLOOKUP(B472,country_opex,7,FALSE)/((V472*pax_cap*load_thin*ROUND(N472*O472*revleg_thin,0))-(((battery/range_nm)*G472*ROUND(N472*O472*revleg_thin,0)*VLOOKUP(B472,country_opex,3,FALSE))+Y472+Z472+AA472+AB472+AC472)))</f>
        <v/>
      </c>
      <c r="AX472" s="54">
        <f>IF(((V472*pax_cap*load_mid*ROUND(N472*O472*revleg_mid,0))-(((battery/range_nm)*G472*ROUND(N472*O472*revleg_mid,0)*VLOOKUP(B472,country_opex,3,FALSE))+Y472+Z472+AA472+AB472+AC472))&lt;=0,"",VLOOKUP(B472,country_opex,7,FALSE)/((V472*pax_cap*load_mid*ROUND(N472*O472*revleg_mid,0))-(((battery/range_nm)*G472*ROUND(N472*O472*revleg_mid,0)*VLOOKUP(B472,country_opex,3,FALSE))+Y472+Z472+AA472+AB472+AC472)))</f>
        <v/>
      </c>
      <c r="AY472" s="54">
        <f>IF(((V472*pax_cap*load_full*ROUND(N472*O472*revleg_full,0))-(((battery/range_nm)*G472*ROUND(N472*O472*revleg_full,0)*VLOOKUP(B472,country_opex,3,FALSE))+Y472+Z472+AA472+AB472+AC472))&lt;=0,"",VLOOKUP(B472,country_opex,7,FALSE)/((V472*pax_cap*load_full*ROUND(N472*O472*revleg_full,0))-(((battery/range_nm)*G472*ROUND(N472*O472*revleg_full,0)*VLOOKUP(B472,country_opex,3,FALSE))+Y472+Z472+AA472+AB472+AC472)))</f>
        <v/>
      </c>
      <c r="AZ472" s="40" t="inlineStr">
        <is>
          <t>Marmaris→Datça cabin-charter/day-boat per-person comparable ~$40 (Blue Cruise Bodrum Marmaris-Datça route). Scheduled point-to-point not separately tariffed → leisure anchor.</t>
        </is>
      </c>
      <c r="BA472" s="40" t="n"/>
    </row>
    <row r="473">
      <c r="A473" s="38" t="inlineStr">
        <is>
          <t>Yango Turkey</t>
        </is>
      </c>
      <c r="B473" s="38" t="inlineStr">
        <is>
          <t>Turkey</t>
        </is>
      </c>
      <c r="C473" s="39" t="inlineStr">
        <is>
          <t>Bodrum → Didim</t>
        </is>
      </c>
      <c r="D473" s="38" t="inlineStr">
        <is>
          <t>yango</t>
        </is>
      </c>
      <c r="E473" s="40" t="inlineStr">
        <is>
          <t>yango-turkey</t>
        </is>
      </c>
      <c r="F473" s="41" t="n">
        <v>1</v>
      </c>
      <c r="G473" s="42" t="n">
        <v>20</v>
      </c>
      <c r="H473" s="35" t="n">
        <v>27</v>
      </c>
      <c r="I473" s="43" t="inlineStr">
        <is>
          <t>T2</t>
        </is>
      </c>
      <c r="J473" s="43" t="inlineStr">
        <is>
          <t>med</t>
        </is>
      </c>
      <c r="K473" s="29" t="n">
        <v>1</v>
      </c>
      <c r="L473" s="44">
        <f>60*G473/cruise_kt</f>
        <v/>
      </c>
      <c r="M473" s="44">
        <f>L473+turn_min+dwell_min</f>
        <v/>
      </c>
      <c r="N473" s="45">
        <f>MIN(16,FLOOR(60*service_hr/M473,1))</f>
        <v/>
      </c>
      <c r="O473" s="45">
        <f>ROUND(365*mech_uptime*K473,0)</f>
        <v/>
      </c>
      <c r="P473" s="46">
        <f>mech_uptime</f>
        <v/>
      </c>
      <c r="Q473" s="46">
        <f>revleg_sel</f>
        <v/>
      </c>
      <c r="R473" s="45">
        <f>ROUND(N473*O473*revleg_sel,0)</f>
        <v/>
      </c>
      <c r="S473" s="47">
        <f>load_sel</f>
        <v/>
      </c>
      <c r="T473" s="47">
        <f>pax_cap*S473</f>
        <v/>
      </c>
      <c r="U473" s="45">
        <f>T473*R473</f>
        <v/>
      </c>
      <c r="V473" s="48">
        <f>H473*discount</f>
        <v/>
      </c>
      <c r="W473" s="49">
        <f>V473*U473</f>
        <v/>
      </c>
      <c r="X473" s="49">
        <f>(battery/range_nm)*G473*R473*VLOOKUP(B473,country_opex,3,FALSE)</f>
        <v/>
      </c>
      <c r="Y473" s="49">
        <f>VLOOKUP(B473,country_opex,2,FALSE)*crew_factor</f>
        <v/>
      </c>
      <c r="Z473" s="49">
        <f>VLOOKUP(B473,country_opex,5,FALSE)</f>
        <v/>
      </c>
      <c r="AA473" s="49">
        <f>maint</f>
        <v/>
      </c>
      <c r="AB473" s="49">
        <f>VLOOKUP(B473,country_opex,7,FALSE)*ins_pct</f>
        <v/>
      </c>
      <c r="AC473" s="49">
        <f>charge_berth</f>
        <v/>
      </c>
      <c r="AD473" s="49">
        <f>X473+Y473+Z473+AA473+AB473+AC473</f>
        <v/>
      </c>
      <c r="AE473" s="49">
        <f>VLOOKUP(B473,country_opex,7,FALSE)/dep_years</f>
        <v/>
      </c>
      <c r="AF473" s="49">
        <f>W473-AD473</f>
        <v/>
      </c>
      <c r="AG473" s="46">
        <f>IF(W473=0,"",AF473/W473)</f>
        <v/>
      </c>
      <c r="AH473" s="47">
        <f>IF(AF473&lt;=0,"",VLOOKUP(B473,country_opex,7,FALSE)/AF473)</f>
        <v/>
      </c>
      <c r="AI473" s="44">
        <f>((G473*R473/diesel_nmpg)*diesel_co2pg-(battery/range_nm)*G473*R473*VLOOKUP(B473,country_opex,4,FALSE))/1000</f>
        <v/>
      </c>
      <c r="AJ473" s="42" t="n"/>
      <c r="AK473" s="43" t="n"/>
      <c r="AL473" s="43" t="n"/>
      <c r="AM473" s="50" t="n">
        <v>0.1</v>
      </c>
      <c r="AN473" s="45">
        <f>IF(AJ473="","",AJ473*AM473)</f>
        <v/>
      </c>
      <c r="AO473" s="45">
        <f>IF(OR(AJ473="",U473=0),"",MIN(IF(AV473="",9.9E+99,AV473),FLOOR(AN473/U473,1)))</f>
        <v/>
      </c>
      <c r="AP473" s="49">
        <f>IF(AO473="","",AO473*W473)</f>
        <v/>
      </c>
      <c r="AQ473" s="47">
        <f>IF(OR(AJ473="",U473=0),"",MIN(IF(AV473="",9.9E+99,AV473),AN473/U473))</f>
        <v/>
      </c>
      <c r="AR473" s="49">
        <f>IF(AQ473="","",AQ473*W473)</f>
        <v/>
      </c>
      <c r="AS473" s="51" t="n"/>
      <c r="AT473" s="52" t="n"/>
      <c r="AU473" s="52" t="n"/>
      <c r="AV473" s="53" t="n"/>
      <c r="AW473" s="54">
        <f>IF(((V473*pax_cap*load_thin*ROUND(N473*O473*revleg_thin,0))-(((battery/range_nm)*G473*ROUND(N473*O473*revleg_thin,0)*VLOOKUP(B473,country_opex,3,FALSE))+Y473+Z473+AA473+AB473+AC473))&lt;=0,"",VLOOKUP(B473,country_opex,7,FALSE)/((V473*pax_cap*load_thin*ROUND(N473*O473*revleg_thin,0))-(((battery/range_nm)*G473*ROUND(N473*O473*revleg_thin,0)*VLOOKUP(B473,country_opex,3,FALSE))+Y473+Z473+AA473+AB473+AC473)))</f>
        <v/>
      </c>
      <c r="AX473" s="54">
        <f>IF(((V473*pax_cap*load_mid*ROUND(N473*O473*revleg_mid,0))-(((battery/range_nm)*G473*ROUND(N473*O473*revleg_mid,0)*VLOOKUP(B473,country_opex,3,FALSE))+Y473+Z473+AA473+AB473+AC473))&lt;=0,"",VLOOKUP(B473,country_opex,7,FALSE)/((V473*pax_cap*load_mid*ROUND(N473*O473*revleg_mid,0))-(((battery/range_nm)*G473*ROUND(N473*O473*revleg_mid,0)*VLOOKUP(B473,country_opex,3,FALSE))+Y473+Z473+AA473+AB473+AC473)))</f>
        <v/>
      </c>
      <c r="AY473" s="54">
        <f>IF(((V473*pax_cap*load_full*ROUND(N473*O473*revleg_full,0))-(((battery/range_nm)*G473*ROUND(N473*O473*revleg_full,0)*VLOOKUP(B473,country_opex,3,FALSE))+Y473+Z473+AA473+AB473+AC473))&lt;=0,"",VLOOKUP(B473,country_opex,7,FALSE)/((V473*pax_cap*load_full*ROUND(N473*O473*revleg_full,0))-(((battery/range_nm)*G473*ROUND(N473*O473*revleg_full,0)*VLOOKUP(B473,country_opex,3,FALSE))+Y473+Z473+AA473+AB473+AC473)))</f>
        <v/>
      </c>
      <c r="AZ473" s="40" t="inlineStr">
        <is>
          <t>Didim→Turgutreis/Bodrum catamaran ~€25 (Didim Sea Lines / Voices Newspaper 2024 tariff) × 1.08 = $27.</t>
        </is>
      </c>
      <c r="BA473" s="40" t="n"/>
    </row>
    <row r="474">
      <c r="A474" s="38" t="inlineStr">
        <is>
          <t>Yango Turkey</t>
        </is>
      </c>
      <c r="B474" s="38" t="inlineStr">
        <is>
          <t>Turkey</t>
        </is>
      </c>
      <c r="C474" s="39" t="inlineStr">
        <is>
          <t>Antalya → Kemer</t>
        </is>
      </c>
      <c r="D474" s="38" t="inlineStr">
        <is>
          <t>yango</t>
        </is>
      </c>
      <c r="E474" s="40" t="inlineStr">
        <is>
          <t>yango-turkey</t>
        </is>
      </c>
      <c r="F474" s="41" t="n">
        <v>1</v>
      </c>
      <c r="G474" s="42" t="n">
        <v>22</v>
      </c>
      <c r="H474" s="35" t="n">
        <v>45</v>
      </c>
      <c r="I474" s="43" t="inlineStr">
        <is>
          <t>T2</t>
        </is>
      </c>
      <c r="J474" s="43" t="inlineStr">
        <is>
          <t>med</t>
        </is>
      </c>
      <c r="K474" s="29" t="n">
        <v>1</v>
      </c>
      <c r="L474" s="44">
        <f>60*G474/cruise_kt</f>
        <v/>
      </c>
      <c r="M474" s="44">
        <f>L474+turn_min+dwell_min</f>
        <v/>
      </c>
      <c r="N474" s="45">
        <f>MIN(16,FLOOR(60*service_hr/M474,1))</f>
        <v/>
      </c>
      <c r="O474" s="45">
        <f>ROUND(365*mech_uptime*K474,0)</f>
        <v/>
      </c>
      <c r="P474" s="46">
        <f>mech_uptime</f>
        <v/>
      </c>
      <c r="Q474" s="46">
        <f>revleg_sel</f>
        <v/>
      </c>
      <c r="R474" s="45">
        <f>ROUND(N474*O474*revleg_sel,0)</f>
        <v/>
      </c>
      <c r="S474" s="47">
        <f>load_sel</f>
        <v/>
      </c>
      <c r="T474" s="47">
        <f>pax_cap*S474</f>
        <v/>
      </c>
      <c r="U474" s="45">
        <f>T474*R474</f>
        <v/>
      </c>
      <c r="V474" s="48">
        <f>H474*discount</f>
        <v/>
      </c>
      <c r="W474" s="49">
        <f>V474*U474</f>
        <v/>
      </c>
      <c r="X474" s="49">
        <f>(battery/range_nm)*G474*R474*VLOOKUP(B474,country_opex,3,FALSE)</f>
        <v/>
      </c>
      <c r="Y474" s="49">
        <f>VLOOKUP(B474,country_opex,2,FALSE)*crew_factor</f>
        <v/>
      </c>
      <c r="Z474" s="49">
        <f>VLOOKUP(B474,country_opex,5,FALSE)</f>
        <v/>
      </c>
      <c r="AA474" s="49">
        <f>maint</f>
        <v/>
      </c>
      <c r="AB474" s="49">
        <f>VLOOKUP(B474,country_opex,7,FALSE)*ins_pct</f>
        <v/>
      </c>
      <c r="AC474" s="49">
        <f>charge_berth</f>
        <v/>
      </c>
      <c r="AD474" s="49">
        <f>X474+Y474+Z474+AA474+AB474+AC474</f>
        <v/>
      </c>
      <c r="AE474" s="49">
        <f>VLOOKUP(B474,country_opex,7,FALSE)/dep_years</f>
        <v/>
      </c>
      <c r="AF474" s="49">
        <f>W474-AD474</f>
        <v/>
      </c>
      <c r="AG474" s="46">
        <f>IF(W474=0,"",AF474/W474)</f>
        <v/>
      </c>
      <c r="AH474" s="47">
        <f>IF(AF474&lt;=0,"",VLOOKUP(B474,country_opex,7,FALSE)/AF474)</f>
        <v/>
      </c>
      <c r="AI474" s="44">
        <f>((G474*R474/diesel_nmpg)*diesel_co2pg-(battery/range_nm)*G474*R474*VLOOKUP(B474,country_opex,4,FALSE))/1000</f>
        <v/>
      </c>
      <c r="AJ474" s="42" t="n"/>
      <c r="AK474" s="43" t="n"/>
      <c r="AL474" s="43" t="n"/>
      <c r="AM474" s="50" t="n">
        <v>0.1</v>
      </c>
      <c r="AN474" s="45">
        <f>IF(AJ474="","",AJ474*AM474)</f>
        <v/>
      </c>
      <c r="AO474" s="45">
        <f>IF(OR(AJ474="",U474=0),"",MIN(IF(AV474="",9.9E+99,AV474),FLOOR(AN474/U474,1)))</f>
        <v/>
      </c>
      <c r="AP474" s="49">
        <f>IF(AO474="","",AO474*W474)</f>
        <v/>
      </c>
      <c r="AQ474" s="47">
        <f>IF(OR(AJ474="",U474=0),"",MIN(IF(AV474="",9.9E+99,AV474),AN474/U474))</f>
        <v/>
      </c>
      <c r="AR474" s="49">
        <f>IF(AQ474="","",AQ474*W474)</f>
        <v/>
      </c>
      <c r="AS474" s="51" t="n"/>
      <c r="AT474" s="52" t="n"/>
      <c r="AU474" s="52" t="n"/>
      <c r="AV474" s="53" t="n"/>
      <c r="AW474" s="54">
        <f>IF(((V474*pax_cap*load_thin*ROUND(N474*O474*revleg_thin,0))-(((battery/range_nm)*G474*ROUND(N474*O474*revleg_thin,0)*VLOOKUP(B474,country_opex,3,FALSE))+Y474+Z474+AA474+AB474+AC474))&lt;=0,"",VLOOKUP(B474,country_opex,7,FALSE)/((V474*pax_cap*load_thin*ROUND(N474*O474*revleg_thin,0))-(((battery/range_nm)*G474*ROUND(N474*O474*revleg_thin,0)*VLOOKUP(B474,country_opex,3,FALSE))+Y474+Z474+AA474+AB474+AC474)))</f>
        <v/>
      </c>
      <c r="AX474" s="54">
        <f>IF(((V474*pax_cap*load_mid*ROUND(N474*O474*revleg_mid,0))-(((battery/range_nm)*G474*ROUND(N474*O474*revleg_mid,0)*VLOOKUP(B474,country_opex,3,FALSE))+Y474+Z474+AA474+AB474+AC474))&lt;=0,"",VLOOKUP(B474,country_opex,7,FALSE)/((V474*pax_cap*load_mid*ROUND(N474*O474*revleg_mid,0))-(((battery/range_nm)*G474*ROUND(N474*O474*revleg_mid,0)*VLOOKUP(B474,country_opex,3,FALSE))+Y474+Z474+AA474+AB474+AC474)))</f>
        <v/>
      </c>
      <c r="AY474" s="54">
        <f>IF(((V474*pax_cap*load_full*ROUND(N474*O474*revleg_full,0))-(((battery/range_nm)*G474*ROUND(N474*O474*revleg_full,0)*VLOOKUP(B474,country_opex,3,FALSE))+Y474+Z474+AA474+AB474+AC474))&lt;=0,"",VLOOKUP(B474,country_opex,7,FALSE)/((V474*pax_cap*load_full*ROUND(N474*O474*revleg_full,0))-(((battery/range_nm)*G474*ROUND(N474*O474*revleg_full,0)*VLOOKUP(B474,country_opex,3,FALSE))+Y474+Z474+AA474+AB474+AC474)))</f>
        <v/>
      </c>
      <c r="AZ474" s="40" t="inlineStr">
        <is>
          <t>Kemer full-day pirate-boat cruise comparable ~$41-53 (Viator/Tinggly/Tripadvisor); $45 premium per-seat anchor.</t>
        </is>
      </c>
      <c r="BA474" s="40" t="n"/>
    </row>
    <row r="475">
      <c r="A475" s="38" t="inlineStr">
        <is>
          <t>Yango Turkey</t>
        </is>
      </c>
      <c r="B475" s="38" t="inlineStr">
        <is>
          <t>Turkey</t>
        </is>
      </c>
      <c r="C475" s="39" t="inlineStr">
        <is>
          <t>Marmaris → Göcek</t>
        </is>
      </c>
      <c r="D475" s="38" t="inlineStr">
        <is>
          <t>yango</t>
        </is>
      </c>
      <c r="E475" s="40" t="inlineStr">
        <is>
          <t>yango-turkey</t>
        </is>
      </c>
      <c r="F475" s="41" t="n">
        <v>1</v>
      </c>
      <c r="G475" s="42" t="n">
        <v>24</v>
      </c>
      <c r="H475" s="35" t="n">
        <v>45</v>
      </c>
      <c r="I475" s="43" t="inlineStr">
        <is>
          <t>T2</t>
        </is>
      </c>
      <c r="J475" s="43" t="inlineStr">
        <is>
          <t>med</t>
        </is>
      </c>
      <c r="K475" s="29" t="n">
        <v>1</v>
      </c>
      <c r="L475" s="44">
        <f>60*G475/cruise_kt</f>
        <v/>
      </c>
      <c r="M475" s="44">
        <f>L475+turn_min+dwell_min</f>
        <v/>
      </c>
      <c r="N475" s="45">
        <f>MIN(10,FLOOR(60*service_hr/M475,1))</f>
        <v/>
      </c>
      <c r="O475" s="45">
        <f>ROUND(365*mech_uptime*K475,0)</f>
        <v/>
      </c>
      <c r="P475" s="46">
        <f>mech_uptime</f>
        <v/>
      </c>
      <c r="Q475" s="46">
        <f>revleg_sel</f>
        <v/>
      </c>
      <c r="R475" s="45">
        <f>ROUND(N475*O475*revleg_sel,0)</f>
        <v/>
      </c>
      <c r="S475" s="47">
        <f>load_sel</f>
        <v/>
      </c>
      <c r="T475" s="47">
        <f>pax_cap*S475</f>
        <v/>
      </c>
      <c r="U475" s="45">
        <f>T475*R475</f>
        <v/>
      </c>
      <c r="V475" s="48">
        <f>H475*discount</f>
        <v/>
      </c>
      <c r="W475" s="49">
        <f>V475*U475</f>
        <v/>
      </c>
      <c r="X475" s="49">
        <f>(battery/range_nm)*G475*R475*VLOOKUP(B475,country_opex,3,FALSE)</f>
        <v/>
      </c>
      <c r="Y475" s="49">
        <f>VLOOKUP(B475,country_opex,2,FALSE)*crew_factor</f>
        <v/>
      </c>
      <c r="Z475" s="49">
        <f>VLOOKUP(B475,country_opex,5,FALSE)</f>
        <v/>
      </c>
      <c r="AA475" s="49">
        <f>maint</f>
        <v/>
      </c>
      <c r="AB475" s="49">
        <f>VLOOKUP(B475,country_opex,7,FALSE)*ins_pct</f>
        <v/>
      </c>
      <c r="AC475" s="49">
        <f>charge_berth</f>
        <v/>
      </c>
      <c r="AD475" s="49">
        <f>X475+Y475+Z475+AA475+AB475+AC475</f>
        <v/>
      </c>
      <c r="AE475" s="49">
        <f>VLOOKUP(B475,country_opex,7,FALSE)/dep_years</f>
        <v/>
      </c>
      <c r="AF475" s="49">
        <f>W475-AD475</f>
        <v/>
      </c>
      <c r="AG475" s="46">
        <f>IF(W475=0,"",AF475/W475)</f>
        <v/>
      </c>
      <c r="AH475" s="47">
        <f>IF(AF475&lt;=0,"",VLOOKUP(B475,country_opex,7,FALSE)/AF475)</f>
        <v/>
      </c>
      <c r="AI475" s="44">
        <f>((G475*R475/diesel_nmpg)*diesel_co2pg-(battery/range_nm)*G475*R475*VLOOKUP(B475,country_opex,4,FALSE))/1000</f>
        <v/>
      </c>
      <c r="AJ475" s="42" t="n"/>
      <c r="AK475" s="43" t="n"/>
      <c r="AL475" s="43" t="n"/>
      <c r="AM475" s="50" t="n">
        <v>0.1</v>
      </c>
      <c r="AN475" s="45">
        <f>IF(AJ475="","",AJ475*AM475)</f>
        <v/>
      </c>
      <c r="AO475" s="45">
        <f>IF(OR(AJ475="",U475=0),"",MIN(IF(AV475="",9.9E+99,AV475),FLOOR(AN475/U475,1)))</f>
        <v/>
      </c>
      <c r="AP475" s="49">
        <f>IF(AO475="","",AO475*W475)</f>
        <v/>
      </c>
      <c r="AQ475" s="47">
        <f>IF(OR(AJ475="",U475=0),"",MIN(IF(AV475="",9.9E+99,AV475),AN475/U475))</f>
        <v/>
      </c>
      <c r="AR475" s="49">
        <f>IF(AQ475="","",AQ475*W475)</f>
        <v/>
      </c>
      <c r="AS475" s="51" t="n"/>
      <c r="AT475" s="52" t="n"/>
      <c r="AU475" s="52" t="n"/>
      <c r="AV475" s="53" t="n"/>
      <c r="AW475" s="54">
        <f>IF(((V475*pax_cap*load_thin*ROUND(N475*O475*revleg_thin,0))-(((battery/range_nm)*G475*ROUND(N475*O475*revleg_thin,0)*VLOOKUP(B475,country_opex,3,FALSE))+Y475+Z475+AA475+AB475+AC475))&lt;=0,"",VLOOKUP(B475,country_opex,7,FALSE)/((V475*pax_cap*load_thin*ROUND(N475*O475*revleg_thin,0))-(((battery/range_nm)*G475*ROUND(N475*O475*revleg_thin,0)*VLOOKUP(B475,country_opex,3,FALSE))+Y475+Z475+AA475+AB475+AC475)))</f>
        <v/>
      </c>
      <c r="AX475" s="54">
        <f>IF(((V475*pax_cap*load_mid*ROUND(N475*O475*revleg_mid,0))-(((battery/range_nm)*G475*ROUND(N475*O475*revleg_mid,0)*VLOOKUP(B475,country_opex,3,FALSE))+Y475+Z475+AA475+AB475+AC475))&lt;=0,"",VLOOKUP(B475,country_opex,7,FALSE)/((V475*pax_cap*load_mid*ROUND(N475*O475*revleg_mid,0))-(((battery/range_nm)*G475*ROUND(N475*O475*revleg_mid,0)*VLOOKUP(B475,country_opex,3,FALSE))+Y475+Z475+AA475+AB475+AC475)))</f>
        <v/>
      </c>
      <c r="AY475" s="54">
        <f>IF(((V475*pax_cap*load_full*ROUND(N475*O475*revleg_full,0))-(((battery/range_nm)*G475*ROUND(N475*O475*revleg_full,0)*VLOOKUP(B475,country_opex,3,FALSE))+Y475+Z475+AA475+AB475+AC475))&lt;=0,"",VLOOKUP(B475,country_opex,7,FALSE)/((V475*pax_cap*load_full*ROUND(N475*O475*revleg_full,0))-(((battery/range_nm)*G475*ROUND(N475*O475*revleg_full,0)*VLOOKUP(B475,country_opex,3,FALSE))+Y475+Z475+AA475+AB475+AC475)))</f>
        <v/>
      </c>
      <c r="AZ475" s="40" t="inlineStr">
        <is>
          <t>Marmaris/Göcek gulet &amp; blue-cruise day-leg per-seat comparable ~$45 (Blue Cruise / Tripadvisor Marmaris-Datça/Göcek cabin charters, per-day per-person).</t>
        </is>
      </c>
      <c r="BA475" s="40" t="n"/>
    </row>
    <row r="476">
      <c r="A476" s="38" t="inlineStr">
        <is>
          <t>Yango Turkey</t>
        </is>
      </c>
      <c r="B476" s="38" t="inlineStr">
        <is>
          <t>Turkey</t>
        </is>
      </c>
      <c r="C476" s="39" t="inlineStr">
        <is>
          <t>Marmaris → Rhodes (Greece)</t>
        </is>
      </c>
      <c r="D476" s="38" t="inlineStr">
        <is>
          <t>yango</t>
        </is>
      </c>
      <c r="E476" s="40" t="inlineStr">
        <is>
          <t>yango-turkey</t>
        </is>
      </c>
      <c r="F476" s="41" t="n">
        <v>1</v>
      </c>
      <c r="G476" s="42" t="n">
        <v>30</v>
      </c>
      <c r="H476" s="35" t="n">
        <v>59</v>
      </c>
      <c r="I476" s="43" t="inlineStr">
        <is>
          <t>T2</t>
        </is>
      </c>
      <c r="J476" s="43" t="inlineStr">
        <is>
          <t>med</t>
        </is>
      </c>
      <c r="K476" s="29" t="n">
        <v>1</v>
      </c>
      <c r="L476" s="44">
        <f>60*G476/cruise_kt</f>
        <v/>
      </c>
      <c r="M476" s="44">
        <f>L476+turn_min+dwell_min</f>
        <v/>
      </c>
      <c r="N476" s="45">
        <f>MIN(10,FLOOR(60*service_hr/M476,1))</f>
        <v/>
      </c>
      <c r="O476" s="45">
        <f>ROUND(365*mech_uptime*K476,0)</f>
        <v/>
      </c>
      <c r="P476" s="46">
        <f>mech_uptime</f>
        <v/>
      </c>
      <c r="Q476" s="46">
        <f>revleg_sel</f>
        <v/>
      </c>
      <c r="R476" s="45">
        <f>ROUND(N476*O476*revleg_sel,0)</f>
        <v/>
      </c>
      <c r="S476" s="47">
        <f>load_sel</f>
        <v/>
      </c>
      <c r="T476" s="47">
        <f>pax_cap*S476</f>
        <v/>
      </c>
      <c r="U476" s="45">
        <f>T476*R476</f>
        <v/>
      </c>
      <c r="V476" s="48">
        <f>H476*discount</f>
        <v/>
      </c>
      <c r="W476" s="49">
        <f>V476*U476</f>
        <v/>
      </c>
      <c r="X476" s="49">
        <f>(battery/range_nm)*G476*R476*VLOOKUP(B476,country_opex,3,FALSE)</f>
        <v/>
      </c>
      <c r="Y476" s="49">
        <f>VLOOKUP(B476,country_opex,2,FALSE)*crew_factor</f>
        <v/>
      </c>
      <c r="Z476" s="49">
        <f>VLOOKUP(B476,country_opex,5,FALSE)</f>
        <v/>
      </c>
      <c r="AA476" s="49">
        <f>maint</f>
        <v/>
      </c>
      <c r="AB476" s="49">
        <f>VLOOKUP(B476,country_opex,7,FALSE)*ins_pct</f>
        <v/>
      </c>
      <c r="AC476" s="49">
        <f>charge_berth</f>
        <v/>
      </c>
      <c r="AD476" s="49">
        <f>X476+Y476+Z476+AA476+AB476+AC476</f>
        <v/>
      </c>
      <c r="AE476" s="49">
        <f>VLOOKUP(B476,country_opex,7,FALSE)/dep_years</f>
        <v/>
      </c>
      <c r="AF476" s="49">
        <f>W476-AD476</f>
        <v/>
      </c>
      <c r="AG476" s="46">
        <f>IF(W476=0,"",AF476/W476)</f>
        <v/>
      </c>
      <c r="AH476" s="47">
        <f>IF(AF476&lt;=0,"",VLOOKUP(B476,country_opex,7,FALSE)/AF476)</f>
        <v/>
      </c>
      <c r="AI476" s="44">
        <f>((G476*R476/diesel_nmpg)*diesel_co2pg-(battery/range_nm)*G476*R476*VLOOKUP(B476,country_opex,4,FALSE))/1000</f>
        <v/>
      </c>
      <c r="AJ476" s="42" t="n"/>
      <c r="AK476" s="43" t="n"/>
      <c r="AL476" s="43" t="n"/>
      <c r="AM476" s="50" t="n">
        <v>0.1</v>
      </c>
      <c r="AN476" s="45">
        <f>IF(AJ476="","",AJ476*AM476)</f>
        <v/>
      </c>
      <c r="AO476" s="45">
        <f>IF(OR(AJ476="",U476=0),"",MIN(IF(AV476="",9.9E+99,AV476),FLOOR(AN476/U476,1)))</f>
        <v/>
      </c>
      <c r="AP476" s="49">
        <f>IF(AO476="","",AO476*W476)</f>
        <v/>
      </c>
      <c r="AQ476" s="47">
        <f>IF(OR(AJ476="",U476=0),"",MIN(IF(AV476="",9.9E+99,AV476),AN476/U476))</f>
        <v/>
      </c>
      <c r="AR476" s="49">
        <f>IF(AQ476="","",AQ476*W476)</f>
        <v/>
      </c>
      <c r="AS476" s="51" t="n"/>
      <c r="AT476" s="52" t="n"/>
      <c r="AU476" s="52" t="n"/>
      <c r="AV476" s="53" t="n"/>
      <c r="AW476" s="54">
        <f>IF(((V476*pax_cap*load_thin*ROUND(N476*O476*revleg_thin,0))-(((battery/range_nm)*G476*ROUND(N476*O476*revleg_thin,0)*VLOOKUP(B476,country_opex,3,FALSE))+Y476+Z476+AA476+AB476+AC476))&lt;=0,"",VLOOKUP(B476,country_opex,7,FALSE)/((V476*pax_cap*load_thin*ROUND(N476*O476*revleg_thin,0))-(((battery/range_nm)*G476*ROUND(N476*O476*revleg_thin,0)*VLOOKUP(B476,country_opex,3,FALSE))+Y476+Z476+AA476+AB476+AC476)))</f>
        <v/>
      </c>
      <c r="AX476" s="54">
        <f>IF(((V476*pax_cap*load_mid*ROUND(N476*O476*revleg_mid,0))-(((battery/range_nm)*G476*ROUND(N476*O476*revleg_mid,0)*VLOOKUP(B476,country_opex,3,FALSE))+Y476+Z476+AA476+AB476+AC476))&lt;=0,"",VLOOKUP(B476,country_opex,7,FALSE)/((V476*pax_cap*load_mid*ROUND(N476*O476*revleg_mid,0))-(((battery/range_nm)*G476*ROUND(N476*O476*revleg_mid,0)*VLOOKUP(B476,country_opex,3,FALSE))+Y476+Z476+AA476+AB476+AC476)))</f>
        <v/>
      </c>
      <c r="AY476" s="54">
        <f>IF(((V476*pax_cap*load_full*ROUND(N476*O476*revleg_full,0))-(((battery/range_nm)*G476*ROUND(N476*O476*revleg_full,0)*VLOOKUP(B476,country_opex,3,FALSE))+Y476+Z476+AA476+AB476+AC476))&lt;=0,"",VLOOKUP(B476,country_opex,7,FALSE)/((V476*pax_cap*load_full*ROUND(N476*O476*revleg_full,0))-(((battery/range_nm)*G476*ROUND(N476*O476*revleg_full,0)*VLOOKUP(B476,country_opex,3,FALSE))+Y476+Z476+AA476+AB476+AC476)))</f>
        <v/>
      </c>
      <c r="AZ476" s="40" t="inlineStr">
        <is>
          <t>Scheduled fast catamaran Marmaris→Rhodes one-way ~€55 (Yeşil Marmaris Lines), ~45 min; €55 × 1.08 = $59.</t>
        </is>
      </c>
      <c r="BA476" s="40" t="n"/>
    </row>
    <row r="477">
      <c r="A477" s="38" t="inlineStr">
        <is>
          <t>Yango Turkey</t>
        </is>
      </c>
      <c r="B477" s="38" t="inlineStr">
        <is>
          <t>Turkey</t>
        </is>
      </c>
      <c r="C477" s="39" t="inlineStr">
        <is>
          <t>Antalya → Side</t>
        </is>
      </c>
      <c r="D477" s="38" t="inlineStr">
        <is>
          <t>yango</t>
        </is>
      </c>
      <c r="E477" s="40" t="inlineStr">
        <is>
          <t>yango-turkey</t>
        </is>
      </c>
      <c r="F477" s="41" t="n">
        <v>1</v>
      </c>
      <c r="G477" s="42" t="n">
        <v>33</v>
      </c>
      <c r="H477" s="35" t="n">
        <v>50</v>
      </c>
      <c r="I477" s="43" t="inlineStr">
        <is>
          <t>T2</t>
        </is>
      </c>
      <c r="J477" s="43" t="inlineStr">
        <is>
          <t>med</t>
        </is>
      </c>
      <c r="K477" s="29" t="n">
        <v>1</v>
      </c>
      <c r="L477" s="44">
        <f>60*G477/cruise_kt</f>
        <v/>
      </c>
      <c r="M477" s="44">
        <f>L477+turn_min+dwell_min</f>
        <v/>
      </c>
      <c r="N477" s="45">
        <f>MIN(16,FLOOR(60*service_hr/M477,1))</f>
        <v/>
      </c>
      <c r="O477" s="45">
        <f>ROUND(365*mech_uptime*K477,0)</f>
        <v/>
      </c>
      <c r="P477" s="46">
        <f>mech_uptime</f>
        <v/>
      </c>
      <c r="Q477" s="46">
        <f>revleg_sel</f>
        <v/>
      </c>
      <c r="R477" s="45">
        <f>ROUND(N477*O477*revleg_sel,0)</f>
        <v/>
      </c>
      <c r="S477" s="47">
        <f>load_sel</f>
        <v/>
      </c>
      <c r="T477" s="47">
        <f>pax_cap*S477</f>
        <v/>
      </c>
      <c r="U477" s="45">
        <f>T477*R477</f>
        <v/>
      </c>
      <c r="V477" s="48">
        <f>H477*discount</f>
        <v/>
      </c>
      <c r="W477" s="49">
        <f>V477*U477</f>
        <v/>
      </c>
      <c r="X477" s="49">
        <f>(battery/range_nm)*G477*R477*VLOOKUP(B477,country_opex,3,FALSE)</f>
        <v/>
      </c>
      <c r="Y477" s="49">
        <f>VLOOKUP(B477,country_opex,2,FALSE)*crew_factor</f>
        <v/>
      </c>
      <c r="Z477" s="49">
        <f>VLOOKUP(B477,country_opex,5,FALSE)</f>
        <v/>
      </c>
      <c r="AA477" s="49">
        <f>maint</f>
        <v/>
      </c>
      <c r="AB477" s="49">
        <f>VLOOKUP(B477,country_opex,7,FALSE)*ins_pct</f>
        <v/>
      </c>
      <c r="AC477" s="49">
        <f>charge_berth</f>
        <v/>
      </c>
      <c r="AD477" s="49">
        <f>X477+Y477+Z477+AA477+AB477+AC477</f>
        <v/>
      </c>
      <c r="AE477" s="49">
        <f>VLOOKUP(B477,country_opex,7,FALSE)/dep_years</f>
        <v/>
      </c>
      <c r="AF477" s="49">
        <f>W477-AD477</f>
        <v/>
      </c>
      <c r="AG477" s="46">
        <f>IF(W477=0,"",AF477/W477)</f>
        <v/>
      </c>
      <c r="AH477" s="47">
        <f>IF(AF477&lt;=0,"",VLOOKUP(B477,country_opex,7,FALSE)/AF477)</f>
        <v/>
      </c>
      <c r="AI477" s="44">
        <f>((G477*R477/diesel_nmpg)*diesel_co2pg-(battery/range_nm)*G477*R477*VLOOKUP(B477,country_opex,4,FALSE))/1000</f>
        <v/>
      </c>
      <c r="AJ477" s="42" t="n"/>
      <c r="AK477" s="43" t="n"/>
      <c r="AL477" s="43" t="n"/>
      <c r="AM477" s="50" t="n">
        <v>0.1</v>
      </c>
      <c r="AN477" s="45">
        <f>IF(AJ477="","",AJ477*AM477)</f>
        <v/>
      </c>
      <c r="AO477" s="45">
        <f>IF(OR(AJ477="",U477=0),"",MIN(IF(AV477="",9.9E+99,AV477),FLOOR(AN477/U477,1)))</f>
        <v/>
      </c>
      <c r="AP477" s="49">
        <f>IF(AO477="","",AO477*W477)</f>
        <v/>
      </c>
      <c r="AQ477" s="47">
        <f>IF(OR(AJ477="",U477=0),"",MIN(IF(AV477="",9.9E+99,AV477),AN477/U477))</f>
        <v/>
      </c>
      <c r="AR477" s="49">
        <f>IF(AQ477="","",AQ477*W477)</f>
        <v/>
      </c>
      <c r="AS477" s="51" t="n"/>
      <c r="AT477" s="52" t="n"/>
      <c r="AU477" s="52" t="n"/>
      <c r="AV477" s="53" t="n"/>
      <c r="AW477" s="54">
        <f>IF(((V477*pax_cap*load_thin*ROUND(N477*O477*revleg_thin,0))-(((battery/range_nm)*G477*ROUND(N477*O477*revleg_thin,0)*VLOOKUP(B477,country_opex,3,FALSE))+Y477+Z477+AA477+AB477+AC477))&lt;=0,"",VLOOKUP(B477,country_opex,7,FALSE)/((V477*pax_cap*load_thin*ROUND(N477*O477*revleg_thin,0))-(((battery/range_nm)*G477*ROUND(N477*O477*revleg_thin,0)*VLOOKUP(B477,country_opex,3,FALSE))+Y477+Z477+AA477+AB477+AC477)))</f>
        <v/>
      </c>
      <c r="AX477" s="54">
        <f>IF(((V477*pax_cap*load_mid*ROUND(N477*O477*revleg_mid,0))-(((battery/range_nm)*G477*ROUND(N477*O477*revleg_mid,0)*VLOOKUP(B477,country_opex,3,FALSE))+Y477+Z477+AA477+AB477+AC477))&lt;=0,"",VLOOKUP(B477,country_opex,7,FALSE)/((V477*pax_cap*load_mid*ROUND(N477*O477*revleg_mid,0))-(((battery/range_nm)*G477*ROUND(N477*O477*revleg_mid,0)*VLOOKUP(B477,country_opex,3,FALSE))+Y477+Z477+AA477+AB477+AC477)))</f>
        <v/>
      </c>
      <c r="AY477" s="54">
        <f>IF(((V477*pax_cap*load_full*ROUND(N477*O477*revleg_full,0))-(((battery/range_nm)*G477*ROUND(N477*O477*revleg_full,0)*VLOOKUP(B477,country_opex,3,FALSE))+Y477+Z477+AA477+AB477+AC477))&lt;=0,"",VLOOKUP(B477,country_opex,7,FALSE)/((V477*pax_cap*load_full*ROUND(N477*O477*revleg_full,0))-(((battery/range_nm)*G477*ROUND(N477*O477*revleg_full,0)*VLOOKUP(B477,country_opex,3,FALSE))+Y477+Z477+AA477+AB477+AC477)))</f>
        <v/>
      </c>
      <c r="AZ477" s="40" t="inlineStr">
        <is>
          <t>Side full-day boat cruise comparable ~$44-60/adult (Tripadvisor/GetYourGuide Side cruises); $50 premium per-seat anchor.</t>
        </is>
      </c>
      <c r="BA477" s="40" t="n"/>
    </row>
    <row r="478">
      <c r="A478" s="38" t="inlineStr">
        <is>
          <t>Yango Turkey</t>
        </is>
      </c>
      <c r="B478" s="38" t="inlineStr">
        <is>
          <t>Turkey</t>
        </is>
      </c>
      <c r="C478" s="39" t="inlineStr">
        <is>
          <t>İzmir → Çeşme</t>
        </is>
      </c>
      <c r="D478" s="38" t="inlineStr">
        <is>
          <t>yango</t>
        </is>
      </c>
      <c r="E478" s="40" t="inlineStr">
        <is>
          <t>yango-turkey</t>
        </is>
      </c>
      <c r="F478" s="41" t="n">
        <v>1</v>
      </c>
      <c r="G478" s="42" t="n">
        <v>38</v>
      </c>
      <c r="H478" s="35" t="n"/>
      <c r="I478" s="43" t="n"/>
      <c r="J478" s="43" t="n"/>
      <c r="K478" s="29" t="n">
        <v>1</v>
      </c>
      <c r="L478" s="44">
        <f>60*G478/cruise_kt</f>
        <v/>
      </c>
      <c r="M478" s="44">
        <f>L478+turn_min+dwell_min</f>
        <v/>
      </c>
      <c r="N478" s="45">
        <f>MIN(16,FLOOR(60*service_hr/M478,1))</f>
        <v/>
      </c>
      <c r="O478" s="45">
        <f>ROUND(365*mech_uptime*K478,0)</f>
        <v/>
      </c>
      <c r="P478" s="46">
        <f>mech_uptime</f>
        <v/>
      </c>
      <c r="Q478" s="46">
        <f>revleg_sel</f>
        <v/>
      </c>
      <c r="R478" s="45">
        <f>ROUND(N478*O478*revleg_sel,0)</f>
        <v/>
      </c>
      <c r="S478" s="47">
        <f>load_sel</f>
        <v/>
      </c>
      <c r="T478" s="47">
        <f>pax_cap*S478</f>
        <v/>
      </c>
      <c r="U478" s="45">
        <f>T478*R478</f>
        <v/>
      </c>
      <c r="V478" s="48">
        <f>H478*discount</f>
        <v/>
      </c>
      <c r="W478" s="49">
        <f>V478*U478</f>
        <v/>
      </c>
      <c r="X478" s="49">
        <f>(battery/range_nm)*G478*R478*VLOOKUP(B478,country_opex,3,FALSE)</f>
        <v/>
      </c>
      <c r="Y478" s="49">
        <f>VLOOKUP(B478,country_opex,2,FALSE)*crew_factor</f>
        <v/>
      </c>
      <c r="Z478" s="49">
        <f>VLOOKUP(B478,country_opex,5,FALSE)</f>
        <v/>
      </c>
      <c r="AA478" s="49">
        <f>maint</f>
        <v/>
      </c>
      <c r="AB478" s="49">
        <f>VLOOKUP(B478,country_opex,7,FALSE)*ins_pct</f>
        <v/>
      </c>
      <c r="AC478" s="49">
        <f>charge_berth</f>
        <v/>
      </c>
      <c r="AD478" s="49">
        <f>X478+Y478+Z478+AA478+AB478+AC478</f>
        <v/>
      </c>
      <c r="AE478" s="49">
        <f>VLOOKUP(B478,country_opex,7,FALSE)/dep_years</f>
        <v/>
      </c>
      <c r="AF478" s="49">
        <f>W478-AD478</f>
        <v/>
      </c>
      <c r="AG478" s="46">
        <f>IF(W478=0,"",AF478/W478)</f>
        <v/>
      </c>
      <c r="AH478" s="47">
        <f>IF(AF478&lt;=0,"",VLOOKUP(B478,country_opex,7,FALSE)/AF478)</f>
        <v/>
      </c>
      <c r="AI478" s="44">
        <f>((G478*R478/diesel_nmpg)*diesel_co2pg-(battery/range_nm)*G478*R478*VLOOKUP(B478,country_opex,4,FALSE))/1000</f>
        <v/>
      </c>
      <c r="AJ478" s="42" t="n"/>
      <c r="AK478" s="43" t="n"/>
      <c r="AL478" s="43" t="n"/>
      <c r="AM478" s="50" t="n">
        <v>0.1</v>
      </c>
      <c r="AN478" s="45">
        <f>IF(AJ478="","",AJ478*AM478)</f>
        <v/>
      </c>
      <c r="AO478" s="45">
        <f>IF(OR(AJ478="",U478=0),"",MIN(IF(AV478="",9.9E+99,AV478),FLOOR(AN478/U478,1)))</f>
        <v/>
      </c>
      <c r="AP478" s="49">
        <f>IF(AO478="","",AO478*W478)</f>
        <v/>
      </c>
      <c r="AQ478" s="47">
        <f>IF(OR(AJ478="",U478=0),"",MIN(IF(AV478="",9.9E+99,AV478),AN478/U478))</f>
        <v/>
      </c>
      <c r="AR478" s="49">
        <f>IF(AQ478="","",AQ478*W478)</f>
        <v/>
      </c>
      <c r="AS478" s="51" t="n"/>
      <c r="AT478" s="52" t="n"/>
      <c r="AU478" s="52" t="n"/>
      <c r="AV478" s="53" t="n"/>
      <c r="AW478" s="54">
        <f>IF(((V478*pax_cap*load_thin*ROUND(N478*O478*revleg_thin,0))-(((battery/range_nm)*G478*ROUND(N478*O478*revleg_thin,0)*VLOOKUP(B478,country_opex,3,FALSE))+Y478+Z478+AA478+AB478+AC478))&lt;=0,"",VLOOKUP(B478,country_opex,7,FALSE)/((V478*pax_cap*load_thin*ROUND(N478*O478*revleg_thin,0))-(((battery/range_nm)*G478*ROUND(N478*O478*revleg_thin,0)*VLOOKUP(B478,country_opex,3,FALSE))+Y478+Z478+AA478+AB478+AC478)))</f>
        <v/>
      </c>
      <c r="AX478" s="54">
        <f>IF(((V478*pax_cap*load_mid*ROUND(N478*O478*revleg_mid,0))-(((battery/range_nm)*G478*ROUND(N478*O478*revleg_mid,0)*VLOOKUP(B478,country_opex,3,FALSE))+Y478+Z478+AA478+AB478+AC478))&lt;=0,"",VLOOKUP(B478,country_opex,7,FALSE)/((V478*pax_cap*load_mid*ROUND(N478*O478*revleg_mid,0))-(((battery/range_nm)*G478*ROUND(N478*O478*revleg_mid,0)*VLOOKUP(B478,country_opex,3,FALSE))+Y478+Z478+AA478+AB478+AC478)))</f>
        <v/>
      </c>
      <c r="AY478" s="54">
        <f>IF(((V478*pax_cap*load_full*ROUND(N478*O478*revleg_full,0))-(((battery/range_nm)*G478*ROUND(N478*O478*revleg_full,0)*VLOOKUP(B478,country_opex,3,FALSE))+Y478+Z478+AA478+AB478+AC478))&lt;=0,"",VLOOKUP(B478,country_opex,7,FALSE)/((V478*pax_cap*load_full*ROUND(N478*O478*revleg_full,0))-(((battery/range_nm)*G478*ROUND(N478*O478*revleg_full,0)*VLOOKUP(B478,country_opex,3,FALSE))+Y478+Z478+AA478+AB478+AC478)))</f>
        <v/>
      </c>
      <c r="AZ478" s="40" t="n"/>
      <c r="BA478" s="40" t="n"/>
    </row>
    <row r="479">
      <c r="A479" s="38" t="inlineStr">
        <is>
          <t>Yango Turkey</t>
        </is>
      </c>
      <c r="B479" s="38" t="inlineStr">
        <is>
          <t>Turkey</t>
        </is>
      </c>
      <c r="C479" s="39" t="inlineStr">
        <is>
          <t>Fethiye → Rhodes (Greece)</t>
        </is>
      </c>
      <c r="D479" s="38" t="inlineStr">
        <is>
          <t>yango</t>
        </is>
      </c>
      <c r="E479" s="40" t="inlineStr">
        <is>
          <t>yango-turkey</t>
        </is>
      </c>
      <c r="F479" s="41" t="n">
        <v>1</v>
      </c>
      <c r="G479" s="42" t="n">
        <v>42</v>
      </c>
      <c r="H479" s="35" t="n">
        <v>64</v>
      </c>
      <c r="I479" s="43" t="inlineStr">
        <is>
          <t>T2</t>
        </is>
      </c>
      <c r="J479" s="43" t="inlineStr">
        <is>
          <t>med</t>
        </is>
      </c>
      <c r="K479" s="29" t="n">
        <v>1</v>
      </c>
      <c r="L479" s="44">
        <f>60*G479/cruise_kt</f>
        <v/>
      </c>
      <c r="M479" s="44">
        <f>L479+turn_min+dwell_min</f>
        <v/>
      </c>
      <c r="N479" s="45">
        <f>MIN(10,FLOOR(60*service_hr/M479,1))</f>
        <v/>
      </c>
      <c r="O479" s="45">
        <f>ROUND(365*mech_uptime*K479,0)</f>
        <v/>
      </c>
      <c r="P479" s="46">
        <f>mech_uptime</f>
        <v/>
      </c>
      <c r="Q479" s="46">
        <f>revleg_sel</f>
        <v/>
      </c>
      <c r="R479" s="45">
        <f>ROUND(N479*O479*revleg_sel,0)</f>
        <v/>
      </c>
      <c r="S479" s="47">
        <f>load_sel</f>
        <v/>
      </c>
      <c r="T479" s="47">
        <f>pax_cap*S479</f>
        <v/>
      </c>
      <c r="U479" s="45">
        <f>T479*R479</f>
        <v/>
      </c>
      <c r="V479" s="48">
        <f>H479*discount</f>
        <v/>
      </c>
      <c r="W479" s="49">
        <f>V479*U479</f>
        <v/>
      </c>
      <c r="X479" s="49">
        <f>(battery/range_nm)*G479*R479*VLOOKUP(B479,country_opex,3,FALSE)</f>
        <v/>
      </c>
      <c r="Y479" s="49">
        <f>VLOOKUP(B479,country_opex,2,FALSE)*crew_factor</f>
        <v/>
      </c>
      <c r="Z479" s="49">
        <f>VLOOKUP(B479,country_opex,5,FALSE)</f>
        <v/>
      </c>
      <c r="AA479" s="49">
        <f>maint</f>
        <v/>
      </c>
      <c r="AB479" s="49">
        <f>VLOOKUP(B479,country_opex,7,FALSE)*ins_pct</f>
        <v/>
      </c>
      <c r="AC479" s="49">
        <f>charge_berth</f>
        <v/>
      </c>
      <c r="AD479" s="49">
        <f>X479+Y479+Z479+AA479+AB479+AC479</f>
        <v/>
      </c>
      <c r="AE479" s="49">
        <f>VLOOKUP(B479,country_opex,7,FALSE)/dep_years</f>
        <v/>
      </c>
      <c r="AF479" s="49">
        <f>W479-AD479</f>
        <v/>
      </c>
      <c r="AG479" s="46">
        <f>IF(W479=0,"",AF479/W479)</f>
        <v/>
      </c>
      <c r="AH479" s="47">
        <f>IF(AF479&lt;=0,"",VLOOKUP(B479,country_opex,7,FALSE)/AF479)</f>
        <v/>
      </c>
      <c r="AI479" s="44">
        <f>((G479*R479/diesel_nmpg)*diesel_co2pg-(battery/range_nm)*G479*R479*VLOOKUP(B479,country_opex,4,FALSE))/1000</f>
        <v/>
      </c>
      <c r="AJ479" s="42" t="n"/>
      <c r="AK479" s="43" t="n"/>
      <c r="AL479" s="43" t="n"/>
      <c r="AM479" s="50" t="n">
        <v>0.1</v>
      </c>
      <c r="AN479" s="45">
        <f>IF(AJ479="","",AJ479*AM479)</f>
        <v/>
      </c>
      <c r="AO479" s="45">
        <f>IF(OR(AJ479="",U479=0),"",MIN(IF(AV479="",9.9E+99,AV479),FLOOR(AN479/U479,1)))</f>
        <v/>
      </c>
      <c r="AP479" s="49">
        <f>IF(AO479="","",AO479*W479)</f>
        <v/>
      </c>
      <c r="AQ479" s="47">
        <f>IF(OR(AJ479="",U479=0),"",MIN(IF(AV479="",9.9E+99,AV479),AN479/U479))</f>
        <v/>
      </c>
      <c r="AR479" s="49">
        <f>IF(AQ479="","",AQ479*W479)</f>
        <v/>
      </c>
      <c r="AS479" s="51" t="n"/>
      <c r="AT479" s="52" t="n"/>
      <c r="AU479" s="52" t="n"/>
      <c r="AV479" s="53" t="n"/>
      <c r="AW479" s="54">
        <f>IF(((V479*pax_cap*load_thin*ROUND(N479*O479*revleg_thin,0))-(((battery/range_nm)*G479*ROUND(N479*O479*revleg_thin,0)*VLOOKUP(B479,country_opex,3,FALSE))+Y479+Z479+AA479+AB479+AC479))&lt;=0,"",VLOOKUP(B479,country_opex,7,FALSE)/((V479*pax_cap*load_thin*ROUND(N479*O479*revleg_thin,0))-(((battery/range_nm)*G479*ROUND(N479*O479*revleg_thin,0)*VLOOKUP(B479,country_opex,3,FALSE))+Y479+Z479+AA479+AB479+AC479)))</f>
        <v/>
      </c>
      <c r="AX479" s="54">
        <f>IF(((V479*pax_cap*load_mid*ROUND(N479*O479*revleg_mid,0))-(((battery/range_nm)*G479*ROUND(N479*O479*revleg_mid,0)*VLOOKUP(B479,country_opex,3,FALSE))+Y479+Z479+AA479+AB479+AC479))&lt;=0,"",VLOOKUP(B479,country_opex,7,FALSE)/((V479*pax_cap*load_mid*ROUND(N479*O479*revleg_mid,0))-(((battery/range_nm)*G479*ROUND(N479*O479*revleg_mid,0)*VLOOKUP(B479,country_opex,3,FALSE))+Y479+Z479+AA479+AB479+AC479)))</f>
        <v/>
      </c>
      <c r="AY479" s="54">
        <f>IF(((V479*pax_cap*load_full*ROUND(N479*O479*revleg_full,0))-(((battery/range_nm)*G479*ROUND(N479*O479*revleg_full,0)*VLOOKUP(B479,country_opex,3,FALSE))+Y479+Z479+AA479+AB479+AC479))&lt;=0,"",VLOOKUP(B479,country_opex,7,FALSE)/((V479*pax_cap*load_full*ROUND(N479*O479*revleg_full,0))-(((battery/range_nm)*G479*ROUND(N479*O479*revleg_full,0)*VLOOKUP(B479,country_opex,3,FALSE))+Y479+Z479+AA479+AB479+AC479)))</f>
        <v/>
      </c>
      <c r="AZ479" s="40" t="inlineStr">
        <is>
          <t>Fethiye→Rhodes fast catamaran from $64 one-way (Direct Ferries), ~1h40.</t>
        </is>
      </c>
      <c r="BA479" s="40" t="n"/>
    </row>
    <row r="480">
      <c r="A480" s="38" t="inlineStr">
        <is>
          <t>UAE (Careem)</t>
        </is>
      </c>
      <c r="B480" s="38" t="inlineStr">
        <is>
          <t>United Arab Emirates</t>
        </is>
      </c>
      <c r="C480" s="39" t="inlineStr">
        <is>
          <t>One&amp;Only The Palm Jetty → Jumeirah Zabeel Saray Jetty</t>
        </is>
      </c>
      <c r="D480" s="38" t="inlineStr">
        <is>
          <t>careem</t>
        </is>
      </c>
      <c r="E480" s="40" t="inlineStr">
        <is>
          <t>bolt-uae, uae-careem, uae-luxury, yango-uae</t>
        </is>
      </c>
      <c r="F480" s="41" t="n">
        <v>4</v>
      </c>
      <c r="G480" s="42" t="n">
        <v>0.5</v>
      </c>
      <c r="H480" s="35" t="n">
        <v>130</v>
      </c>
      <c r="I480" s="43" t="inlineStr">
        <is>
          <t>T5</t>
        </is>
      </c>
      <c r="J480" s="43" t="inlineStr">
        <is>
          <t>low</t>
        </is>
      </c>
      <c r="K480" s="29" t="n">
        <v>1</v>
      </c>
      <c r="L480" s="44">
        <f>60*G480/cruise_kt</f>
        <v/>
      </c>
      <c r="M480" s="44">
        <f>L480+turn_min+dwell_min</f>
        <v/>
      </c>
      <c r="N480" s="45">
        <f>MIN(10,FLOOR(60*service_hr/M480,1))</f>
        <v/>
      </c>
      <c r="O480" s="45">
        <f>ROUND(365*mech_uptime*K480,0)</f>
        <v/>
      </c>
      <c r="P480" s="46">
        <f>mech_uptime</f>
        <v/>
      </c>
      <c r="Q480" s="46">
        <f>revleg_sel</f>
        <v/>
      </c>
      <c r="R480" s="45">
        <f>ROUND(N480*O480*revleg_sel,0)</f>
        <v/>
      </c>
      <c r="S480" s="47">
        <f>load_sel</f>
        <v/>
      </c>
      <c r="T480" s="47">
        <f>pax_cap*S480</f>
        <v/>
      </c>
      <c r="U480" s="45">
        <f>T480*R480</f>
        <v/>
      </c>
      <c r="V480" s="48">
        <f>H480*discount</f>
        <v/>
      </c>
      <c r="W480" s="49">
        <f>V480*U480</f>
        <v/>
      </c>
      <c r="X480" s="49">
        <f>(battery/range_nm)*G480*R480*VLOOKUP(B480,country_opex,3,FALSE)</f>
        <v/>
      </c>
      <c r="Y480" s="49">
        <f>VLOOKUP(B480,country_opex,2,FALSE)*crew_factor</f>
        <v/>
      </c>
      <c r="Z480" s="49">
        <f>VLOOKUP(B480,country_opex,5,FALSE)</f>
        <v/>
      </c>
      <c r="AA480" s="49">
        <f>maint</f>
        <v/>
      </c>
      <c r="AB480" s="49">
        <f>VLOOKUP(B480,country_opex,7,FALSE)*ins_pct</f>
        <v/>
      </c>
      <c r="AC480" s="49">
        <f>charge_berth</f>
        <v/>
      </c>
      <c r="AD480" s="49">
        <f>X480+Y480+Z480+AA480+AB480+AC480</f>
        <v/>
      </c>
      <c r="AE480" s="49">
        <f>VLOOKUP(B480,country_opex,7,FALSE)/dep_years</f>
        <v/>
      </c>
      <c r="AF480" s="49">
        <f>W480-AD480</f>
        <v/>
      </c>
      <c r="AG480" s="46">
        <f>IF(W480=0,"",AF480/W480)</f>
        <v/>
      </c>
      <c r="AH480" s="47">
        <f>IF(AF480&lt;=0,"",VLOOKUP(B480,country_opex,7,FALSE)/AF480)</f>
        <v/>
      </c>
      <c r="AI480" s="44">
        <f>((G480*R480/diesel_nmpg)*diesel_co2pg-(battery/range_nm)*G480*R480*VLOOKUP(B480,country_opex,4,FALSE))/1000</f>
        <v/>
      </c>
      <c r="AJ480" s="42" t="n">
        <v>25000</v>
      </c>
      <c r="AK480" s="43" t="inlineStr">
        <is>
          <t>T3</t>
        </is>
      </c>
      <c r="AL480" s="43" t="inlineStr">
        <is>
          <t>low</t>
        </is>
      </c>
      <c r="AM480" s="50" t="n">
        <v>0.1</v>
      </c>
      <c r="AN480" s="45">
        <f>IF(AJ480="","",AJ480*AM480)</f>
        <v/>
      </c>
      <c r="AO480" s="45">
        <f>IF(OR(AJ480="",U480=0),"",MIN(IF(AV480="",9.9E+99,AV480),FLOOR(AN480/U480,1)))</f>
        <v/>
      </c>
      <c r="AP480" s="49">
        <f>IF(AO480="","",AO480*W480)</f>
        <v/>
      </c>
      <c r="AQ480" s="47">
        <f>IF(OR(AJ480="",U480=0),"",MIN(IF(AV480="",9.9E+99,AV480),AN480/U480))</f>
        <v/>
      </c>
      <c r="AR480" s="49">
        <f>IF(AQ480="","",AQ480*W480)</f>
        <v/>
      </c>
      <c r="AS480" s="51" t="n"/>
      <c r="AT480" s="52" t="n"/>
      <c r="AU480" s="52" t="n"/>
      <c r="AV480" s="53" t="n"/>
      <c r="AW480" s="54">
        <f>IF(((V480*pax_cap*load_thin*ROUND(N480*O480*revleg_thin,0))-(((battery/range_nm)*G480*ROUND(N480*O480*revleg_thin,0)*VLOOKUP(B480,country_opex,3,FALSE))+Y480+Z480+AA480+AB480+AC480))&lt;=0,"",VLOOKUP(B480,country_opex,7,FALSE)/((V480*pax_cap*load_thin*ROUND(N480*O480*revleg_thin,0))-(((battery/range_nm)*G480*ROUND(N480*O480*revleg_thin,0)*VLOOKUP(B480,country_opex,3,FALSE))+Y480+Z480+AA480+AB480+AC480)))</f>
        <v/>
      </c>
      <c r="AX480" s="54">
        <f>IF(((V480*pax_cap*load_mid*ROUND(N480*O480*revleg_mid,0))-(((battery/range_nm)*G480*ROUND(N480*O480*revleg_mid,0)*VLOOKUP(B480,country_opex,3,FALSE))+Y480+Z480+AA480+AB480+AC480))&lt;=0,"",VLOOKUP(B480,country_opex,7,FALSE)/((V480*pax_cap*load_mid*ROUND(N480*O480*revleg_mid,0))-(((battery/range_nm)*G480*ROUND(N480*O480*revleg_mid,0)*VLOOKUP(B480,country_opex,3,FALSE))+Y480+Z480+AA480+AB480+AC480)))</f>
        <v/>
      </c>
      <c r="AY480" s="54">
        <f>IF(((V480*pax_cap*load_full*ROUND(N480*O480*revleg_full,0))-(((battery/range_nm)*G480*ROUND(N480*O480*revleg_full,0)*VLOOKUP(B480,country_opex,3,FALSE))+Y480+Z480+AA480+AB480+AC480))&lt;=0,"",VLOOKUP(B480,country_opex,7,FALSE)/((V480*pax_cap*load_full*ROUND(N480*O480*revleg_full,0))-(((battery/range_nm)*G480*ROUND(N480*O480*revleg_full,0)*VLOOKUP(B480,country_opex,3,FALSE))+Y480+Z480+AA480+AB480+AC480)))</f>
        <v/>
      </c>
      <c r="AZ480" s="40" t="inlineStr">
        <is>
          <t>Palm ultra-lux cluster (One&amp;Only&lt;-&gt;Zabeel Saray). Road-served. T5/low.</t>
        </is>
      </c>
      <c r="BA480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481">
      <c r="A481" s="38" t="inlineStr">
        <is>
          <t>UAE (Careem)</t>
        </is>
      </c>
      <c r="B481" s="38" t="inlineStr">
        <is>
          <t>United Arab Emirates</t>
        </is>
      </c>
      <c r="C481" s="39" t="inlineStr">
        <is>
          <t>Dubai Harbour Marina → Bluewaters Marina</t>
        </is>
      </c>
      <c r="D481" s="38" t="inlineStr">
        <is>
          <t>careem</t>
        </is>
      </c>
      <c r="E481" s="40" t="inlineStr">
        <is>
          <t>bolt-uae, uae-careem, uae-luxury, yango-uae</t>
        </is>
      </c>
      <c r="F481" s="41" t="n">
        <v>4</v>
      </c>
      <c r="G481" s="42" t="n">
        <v>1.1</v>
      </c>
      <c r="H481" s="35" t="n">
        <v>45</v>
      </c>
      <c r="I481" s="43" t="inlineStr">
        <is>
          <t>T1</t>
        </is>
      </c>
      <c r="J481" s="43" t="inlineStr">
        <is>
          <t>high</t>
        </is>
      </c>
      <c r="K481" s="29" t="n">
        <v>1</v>
      </c>
      <c r="L481" s="44">
        <f>60*G481/cruise_kt</f>
        <v/>
      </c>
      <c r="M481" s="44">
        <f>L481+turn_min+dwell_min</f>
        <v/>
      </c>
      <c r="N481" s="45">
        <f>MIN(10,FLOOR(60*service_hr/M481,1))</f>
        <v/>
      </c>
      <c r="O481" s="45">
        <f>ROUND(365*mech_uptime*K481,0)</f>
        <v/>
      </c>
      <c r="P481" s="46">
        <f>mech_uptime</f>
        <v/>
      </c>
      <c r="Q481" s="46">
        <f>revleg_sel</f>
        <v/>
      </c>
      <c r="R481" s="45">
        <f>ROUND(N481*O481*revleg_sel,0)</f>
        <v/>
      </c>
      <c r="S481" s="47">
        <f>load_sel</f>
        <v/>
      </c>
      <c r="T481" s="47">
        <f>pax_cap*S481</f>
        <v/>
      </c>
      <c r="U481" s="45">
        <f>T481*R481</f>
        <v/>
      </c>
      <c r="V481" s="48">
        <f>H481*discount</f>
        <v/>
      </c>
      <c r="W481" s="49">
        <f>V481*U481</f>
        <v/>
      </c>
      <c r="X481" s="49">
        <f>(battery/range_nm)*G481*R481*VLOOKUP(B481,country_opex,3,FALSE)</f>
        <v/>
      </c>
      <c r="Y481" s="49">
        <f>VLOOKUP(B481,country_opex,2,FALSE)*crew_factor</f>
        <v/>
      </c>
      <c r="Z481" s="49">
        <f>VLOOKUP(B481,country_opex,5,FALSE)</f>
        <v/>
      </c>
      <c r="AA481" s="49">
        <f>maint</f>
        <v/>
      </c>
      <c r="AB481" s="49">
        <f>VLOOKUP(B481,country_opex,7,FALSE)*ins_pct</f>
        <v/>
      </c>
      <c r="AC481" s="49">
        <f>charge_berth</f>
        <v/>
      </c>
      <c r="AD481" s="49">
        <f>X481+Y481+Z481+AA481+AB481+AC481</f>
        <v/>
      </c>
      <c r="AE481" s="49">
        <f>VLOOKUP(B481,country_opex,7,FALSE)/dep_years</f>
        <v/>
      </c>
      <c r="AF481" s="49">
        <f>W481-AD481</f>
        <v/>
      </c>
      <c r="AG481" s="46">
        <f>IF(W481=0,"",AF481/W481)</f>
        <v/>
      </c>
      <c r="AH481" s="47">
        <f>IF(AF481&lt;=0,"",VLOOKUP(B481,country_opex,7,FALSE)/AF481)</f>
        <v/>
      </c>
      <c r="AI481" s="44">
        <f>((G481*R481/diesel_nmpg)*diesel_co2pg-(battery/range_nm)*G481*R481*VLOOKUP(B481,country_opex,4,FALSE))/1000</f>
        <v/>
      </c>
      <c r="AJ481" s="42" t="n">
        <v>200000</v>
      </c>
      <c r="AK481" s="43" t="inlineStr">
        <is>
          <t>T5</t>
        </is>
      </c>
      <c r="AL481" s="43" t="inlineStr">
        <is>
          <t>low</t>
        </is>
      </c>
      <c r="AM481" s="50" t="n">
        <v>0.1</v>
      </c>
      <c r="AN481" s="45">
        <f>IF(AJ481="","",AJ481*AM481)</f>
        <v/>
      </c>
      <c r="AO481" s="45">
        <f>IF(OR(AJ481="",U481=0),"",MIN(IF(AV481="",9.9E+99,AV481),FLOOR(AN481/U481,1)))</f>
        <v/>
      </c>
      <c r="AP481" s="49">
        <f>IF(AO481="","",AO481*W481)</f>
        <v/>
      </c>
      <c r="AQ481" s="47">
        <f>IF(OR(AJ481="",U481=0),"",MIN(IF(AV481="",9.9E+99,AV481),AN481/U481))</f>
        <v/>
      </c>
      <c r="AR481" s="49">
        <f>IF(AQ481="","",AQ481*W481)</f>
        <v/>
      </c>
      <c r="AS481" s="51" t="n"/>
      <c r="AT481" s="52" t="n"/>
      <c r="AU481" s="52" t="n"/>
      <c r="AV481" s="53" t="n"/>
      <c r="AW481" s="54">
        <f>IF(((V481*pax_cap*load_thin*ROUND(N481*O481*revleg_thin,0))-(((battery/range_nm)*G481*ROUND(N481*O481*revleg_thin,0)*VLOOKUP(B481,country_opex,3,FALSE))+Y481+Z481+AA481+AB481+AC481))&lt;=0,"",VLOOKUP(B481,country_opex,7,FALSE)/((V481*pax_cap*load_thin*ROUND(N481*O481*revleg_thin,0))-(((battery/range_nm)*G481*ROUND(N481*O481*revleg_thin,0)*VLOOKUP(B481,country_opex,3,FALSE))+Y481+Z481+AA481+AB481+AC481)))</f>
        <v/>
      </c>
      <c r="AX481" s="54">
        <f>IF(((V481*pax_cap*load_mid*ROUND(N481*O481*revleg_mid,0))-(((battery/range_nm)*G481*ROUND(N481*O481*revleg_mid,0)*VLOOKUP(B481,country_opex,3,FALSE))+Y481+Z481+AA481+AB481+AC481))&lt;=0,"",VLOOKUP(B481,country_opex,7,FALSE)/((V481*pax_cap*load_mid*ROUND(N481*O481*revleg_mid,0))-(((battery/range_nm)*G481*ROUND(N481*O481*revleg_mid,0)*VLOOKUP(B481,country_opex,3,FALSE))+Y481+Z481+AA481+AB481+AC481)))</f>
        <v/>
      </c>
      <c r="AY481" s="54">
        <f>IF(((V481*pax_cap*load_full*ROUND(N481*O481*revleg_full,0))-(((battery/range_nm)*G481*ROUND(N481*O481*revleg_full,0)*VLOOKUP(B481,country_opex,3,FALSE))+Y481+Z481+AA481+AB481+AC481))&lt;=0,"",VLOOKUP(B481,country_opex,7,FALSE)/((V481*pax_cap*load_full*ROUND(N481*O481*revleg_full,0))-(((battery/range_nm)*G481*ROUND(N481*O481*revleg_full,0)*VLOOKUP(B481,country_opex,3,FALSE))+Y481+Z481+AA481+AB481+AC481)))</f>
        <v/>
      </c>
      <c r="AZ481" s="40" t="inlineStr">
        <is>
          <t>RTA/Dubai-Ferry official ladder (R-RTA, T1): Water Taxi on-demand single AED 150/pax = $40.8; Dubai Ferry Gold AED 75 = $20.4, Silver AED 50 = $13.6; Water Bus AED 7; Abra AED 1. dubai-ferry.com / rta.ae 2025/26. Bluewaters/Ain Dubai is a genuine water-served island attraction adjacent to Dubai Marina.</t>
        </is>
      </c>
      <c r="BA481" s="40" t="inlineStr">
        <is>
          <t>RTA marine = 18.4M riders 2025 (WAM, T1); bulk are ~1km Creek abras (R3-ABRA, different micro-corridor). Premium non-abra modes a small fraction.</t>
        </is>
      </c>
    </row>
    <row r="482">
      <c r="A482" s="38" t="inlineStr">
        <is>
          <t>UAE (Careem)</t>
        </is>
      </c>
      <c r="B482" s="38" t="inlineStr">
        <is>
          <t>United Arab Emirates</t>
        </is>
      </c>
      <c r="C482" s="39" t="inlineStr">
        <is>
          <t>Kempinski Hotel &amp; Residences Palm Jumeirah Jetty → Atlantis The Palm Jetty</t>
        </is>
      </c>
      <c r="D482" s="38" t="inlineStr">
        <is>
          <t>careem</t>
        </is>
      </c>
      <c r="E482" s="40" t="inlineStr">
        <is>
          <t>bolt-uae, uae-careem, uae-luxury, yango-uae</t>
        </is>
      </c>
      <c r="F482" s="41" t="n">
        <v>4</v>
      </c>
      <c r="G482" s="42" t="n">
        <v>1.2</v>
      </c>
      <c r="H482" s="35" t="n">
        <v>130</v>
      </c>
      <c r="I482" s="43" t="inlineStr">
        <is>
          <t>T5</t>
        </is>
      </c>
      <c r="J482" s="43" t="inlineStr">
        <is>
          <t>low</t>
        </is>
      </c>
      <c r="K482" s="29" t="n">
        <v>1</v>
      </c>
      <c r="L482" s="44">
        <f>60*G482/cruise_kt</f>
        <v/>
      </c>
      <c r="M482" s="44">
        <f>L482+turn_min+dwell_min</f>
        <v/>
      </c>
      <c r="N482" s="45">
        <f>MIN(10,FLOOR(60*service_hr/M482,1))</f>
        <v/>
      </c>
      <c r="O482" s="45">
        <f>ROUND(365*mech_uptime*K482,0)</f>
        <v/>
      </c>
      <c r="P482" s="46">
        <f>mech_uptime</f>
        <v/>
      </c>
      <c r="Q482" s="46">
        <f>revleg_sel</f>
        <v/>
      </c>
      <c r="R482" s="45">
        <f>ROUND(N482*O482*revleg_sel,0)</f>
        <v/>
      </c>
      <c r="S482" s="47">
        <f>load_sel</f>
        <v/>
      </c>
      <c r="T482" s="47">
        <f>pax_cap*S482</f>
        <v/>
      </c>
      <c r="U482" s="45">
        <f>T482*R482</f>
        <v/>
      </c>
      <c r="V482" s="48">
        <f>H482*discount</f>
        <v/>
      </c>
      <c r="W482" s="49">
        <f>V482*U482</f>
        <v/>
      </c>
      <c r="X482" s="49">
        <f>(battery/range_nm)*G482*R482*VLOOKUP(B482,country_opex,3,FALSE)</f>
        <v/>
      </c>
      <c r="Y482" s="49">
        <f>VLOOKUP(B482,country_opex,2,FALSE)*crew_factor</f>
        <v/>
      </c>
      <c r="Z482" s="49">
        <f>VLOOKUP(B482,country_opex,5,FALSE)</f>
        <v/>
      </c>
      <c r="AA482" s="49">
        <f>maint</f>
        <v/>
      </c>
      <c r="AB482" s="49">
        <f>VLOOKUP(B482,country_opex,7,FALSE)*ins_pct</f>
        <v/>
      </c>
      <c r="AC482" s="49">
        <f>charge_berth</f>
        <v/>
      </c>
      <c r="AD482" s="49">
        <f>X482+Y482+Z482+AA482+AB482+AC482</f>
        <v/>
      </c>
      <c r="AE482" s="49">
        <f>VLOOKUP(B482,country_opex,7,FALSE)/dep_years</f>
        <v/>
      </c>
      <c r="AF482" s="49">
        <f>W482-AD482</f>
        <v/>
      </c>
      <c r="AG482" s="46">
        <f>IF(W482=0,"",AF482/W482)</f>
        <v/>
      </c>
      <c r="AH482" s="47">
        <f>IF(AF482&lt;=0,"",VLOOKUP(B482,country_opex,7,FALSE)/AF482)</f>
        <v/>
      </c>
      <c r="AI482" s="44">
        <f>((G482*R482/diesel_nmpg)*diesel_co2pg-(battery/range_nm)*G482*R482*VLOOKUP(B482,country_opex,4,FALSE))/1000</f>
        <v/>
      </c>
      <c r="AJ482" s="42" t="n">
        <v>30000</v>
      </c>
      <c r="AK482" s="43" t="inlineStr">
        <is>
          <t>T3</t>
        </is>
      </c>
      <c r="AL482" s="43" t="inlineStr">
        <is>
          <t>low</t>
        </is>
      </c>
      <c r="AM482" s="50" t="n">
        <v>0.1</v>
      </c>
      <c r="AN482" s="45">
        <f>IF(AJ482="","",AJ482*AM482)</f>
        <v/>
      </c>
      <c r="AO482" s="45">
        <f>IF(OR(AJ482="",U482=0),"",MIN(IF(AV482="",9.9E+99,AV482),FLOOR(AN482/U482,1)))</f>
        <v/>
      </c>
      <c r="AP482" s="49">
        <f>IF(AO482="","",AO482*W482)</f>
        <v/>
      </c>
      <c r="AQ482" s="47">
        <f>IF(OR(AJ482="",U482=0),"",MIN(IF(AV482="",9.9E+99,AV482),AN482/U482))</f>
        <v/>
      </c>
      <c r="AR482" s="49">
        <f>IF(AQ482="","",AQ482*W482)</f>
        <v/>
      </c>
      <c r="AS482" s="51" t="n"/>
      <c r="AT482" s="52" t="n"/>
      <c r="AU482" s="52" t="n"/>
      <c r="AV482" s="53" t="n"/>
      <c r="AW482" s="54">
        <f>IF(((V482*pax_cap*load_thin*ROUND(N482*O482*revleg_thin,0))-(((battery/range_nm)*G482*ROUND(N482*O482*revleg_thin,0)*VLOOKUP(B482,country_opex,3,FALSE))+Y482+Z482+AA482+AB482+AC482))&lt;=0,"",VLOOKUP(B482,country_opex,7,FALSE)/((V482*pax_cap*load_thin*ROUND(N482*O482*revleg_thin,0))-(((battery/range_nm)*G482*ROUND(N482*O482*revleg_thin,0)*VLOOKUP(B482,country_opex,3,FALSE))+Y482+Z482+AA482+AB482+AC482)))</f>
        <v/>
      </c>
      <c r="AX482" s="54">
        <f>IF(((V482*pax_cap*load_mid*ROUND(N482*O482*revleg_mid,0))-(((battery/range_nm)*G482*ROUND(N482*O482*revleg_mid,0)*VLOOKUP(B482,country_opex,3,FALSE))+Y482+Z482+AA482+AB482+AC482))&lt;=0,"",VLOOKUP(B482,country_opex,7,FALSE)/((V482*pax_cap*load_mid*ROUND(N482*O482*revleg_mid,0))-(((battery/range_nm)*G482*ROUND(N482*O482*revleg_mid,0)*VLOOKUP(B482,country_opex,3,FALSE))+Y482+Z482+AA482+AB482+AC482)))</f>
        <v/>
      </c>
      <c r="AY482" s="54">
        <f>IF(((V482*pax_cap*load_full*ROUND(N482*O482*revleg_full,0))-(((battery/range_nm)*G482*ROUND(N482*O482*revleg_full,0)*VLOOKUP(B482,country_opex,3,FALSE))+Y482+Z482+AA482+AB482+AC482))&lt;=0,"",VLOOKUP(B482,country_opex,7,FALSE)/((V482*pax_cap*load_full*ROUND(N482*O482*revleg_full,0))-(((battery/range_nm)*G482*ROUND(N482*O482*revleg_full,0)*VLOOKUP(B482,country_opex,3,FALSE))+Y482+Z482+AA482+AB482+AC482)))</f>
        <v/>
      </c>
      <c r="AZ482" s="40" t="inlineStr">
        <is>
          <t>Palm resort cluster (Kempinski&lt;-&gt;Atlantis). Road-served. T5/low.</t>
        </is>
      </c>
      <c r="BA482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483">
      <c r="A483" s="38" t="inlineStr">
        <is>
          <t>UAE (Careem)</t>
        </is>
      </c>
      <c r="B483" s="38" t="inlineStr">
        <is>
          <t>United Arab Emirates</t>
        </is>
      </c>
      <c r="C483" s="39" t="inlineStr">
        <is>
          <t>La Mer / J1 Beach Jetty → Nikki Beach Resort Pearl Jumeirah Jetty</t>
        </is>
      </c>
      <c r="D483" s="38" t="inlineStr">
        <is>
          <t>careem</t>
        </is>
      </c>
      <c r="E483" s="40" t="inlineStr">
        <is>
          <t>bolt-uae, uae-careem, uae-luxury, yango-uae</t>
        </is>
      </c>
      <c r="F483" s="41" t="n">
        <v>4</v>
      </c>
      <c r="G483" s="42" t="n">
        <v>1.2</v>
      </c>
      <c r="H483" s="35" t="n">
        <v>110</v>
      </c>
      <c r="I483" s="43" t="inlineStr">
        <is>
          <t>T5</t>
        </is>
      </c>
      <c r="J483" s="43" t="inlineStr">
        <is>
          <t>low</t>
        </is>
      </c>
      <c r="K483" s="29" t="n">
        <v>1</v>
      </c>
      <c r="L483" s="44">
        <f>60*G483/cruise_kt</f>
        <v/>
      </c>
      <c r="M483" s="44">
        <f>L483+turn_min+dwell_min</f>
        <v/>
      </c>
      <c r="N483" s="45">
        <f>MIN(10,FLOOR(60*service_hr/M483,1))</f>
        <v/>
      </c>
      <c r="O483" s="45">
        <f>ROUND(365*mech_uptime*K483,0)</f>
        <v/>
      </c>
      <c r="P483" s="46">
        <f>mech_uptime</f>
        <v/>
      </c>
      <c r="Q483" s="46">
        <f>revleg_sel</f>
        <v/>
      </c>
      <c r="R483" s="45">
        <f>ROUND(N483*O483*revleg_sel,0)</f>
        <v/>
      </c>
      <c r="S483" s="47">
        <f>load_sel</f>
        <v/>
      </c>
      <c r="T483" s="47">
        <f>pax_cap*S483</f>
        <v/>
      </c>
      <c r="U483" s="45">
        <f>T483*R483</f>
        <v/>
      </c>
      <c r="V483" s="48">
        <f>H483*discount</f>
        <v/>
      </c>
      <c r="W483" s="49">
        <f>V483*U483</f>
        <v/>
      </c>
      <c r="X483" s="49">
        <f>(battery/range_nm)*G483*R483*VLOOKUP(B483,country_opex,3,FALSE)</f>
        <v/>
      </c>
      <c r="Y483" s="49">
        <f>VLOOKUP(B483,country_opex,2,FALSE)*crew_factor</f>
        <v/>
      </c>
      <c r="Z483" s="49">
        <f>VLOOKUP(B483,country_opex,5,FALSE)</f>
        <v/>
      </c>
      <c r="AA483" s="49">
        <f>maint</f>
        <v/>
      </c>
      <c r="AB483" s="49">
        <f>VLOOKUP(B483,country_opex,7,FALSE)*ins_pct</f>
        <v/>
      </c>
      <c r="AC483" s="49">
        <f>charge_berth</f>
        <v/>
      </c>
      <c r="AD483" s="49">
        <f>X483+Y483+Z483+AA483+AB483+AC483</f>
        <v/>
      </c>
      <c r="AE483" s="49">
        <f>VLOOKUP(B483,country_opex,7,FALSE)/dep_years</f>
        <v/>
      </c>
      <c r="AF483" s="49">
        <f>W483-AD483</f>
        <v/>
      </c>
      <c r="AG483" s="46">
        <f>IF(W483=0,"",AF483/W483)</f>
        <v/>
      </c>
      <c r="AH483" s="47">
        <f>IF(AF483&lt;=0,"",VLOOKUP(B483,country_opex,7,FALSE)/AF483)</f>
        <v/>
      </c>
      <c r="AI483" s="44">
        <f>((G483*R483/diesel_nmpg)*diesel_co2pg-(battery/range_nm)*G483*R483*VLOOKUP(B483,country_opex,4,FALSE))/1000</f>
        <v/>
      </c>
      <c r="AJ483" s="42" t="n">
        <v>25000</v>
      </c>
      <c r="AK483" s="43" t="inlineStr">
        <is>
          <t>T3</t>
        </is>
      </c>
      <c r="AL483" s="43" t="inlineStr">
        <is>
          <t>low</t>
        </is>
      </c>
      <c r="AM483" s="50" t="n">
        <v>0.1</v>
      </c>
      <c r="AN483" s="45">
        <f>IF(AJ483="","",AJ483*AM483)</f>
        <v/>
      </c>
      <c r="AO483" s="45">
        <f>IF(OR(AJ483="",U483=0),"",MIN(IF(AV483="",9.9E+99,AV483),FLOOR(AN483/U483,1)))</f>
        <v/>
      </c>
      <c r="AP483" s="49">
        <f>IF(AO483="","",AO483*W483)</f>
        <v/>
      </c>
      <c r="AQ483" s="47">
        <f>IF(OR(AJ483="",U483=0),"",MIN(IF(AV483="",9.9E+99,AV483),AN483/U483))</f>
        <v/>
      </c>
      <c r="AR483" s="49">
        <f>IF(AQ483="","",AQ483*W483)</f>
        <v/>
      </c>
      <c r="AS483" s="51" t="n"/>
      <c r="AT483" s="52" t="n"/>
      <c r="AU483" s="52" t="n"/>
      <c r="AV483" s="53" t="n"/>
      <c r="AW483" s="54">
        <f>IF(((V483*pax_cap*load_thin*ROUND(N483*O483*revleg_thin,0))-(((battery/range_nm)*G483*ROUND(N483*O483*revleg_thin,0)*VLOOKUP(B483,country_opex,3,FALSE))+Y483+Z483+AA483+AB483+AC483))&lt;=0,"",VLOOKUP(B483,country_opex,7,FALSE)/((V483*pax_cap*load_thin*ROUND(N483*O483*revleg_thin,0))-(((battery/range_nm)*G483*ROUND(N483*O483*revleg_thin,0)*VLOOKUP(B483,country_opex,3,FALSE))+Y483+Z483+AA483+AB483+AC483)))</f>
        <v/>
      </c>
      <c r="AX483" s="54">
        <f>IF(((V483*pax_cap*load_mid*ROUND(N483*O483*revleg_mid,0))-(((battery/range_nm)*G483*ROUND(N483*O483*revleg_mid,0)*VLOOKUP(B483,country_opex,3,FALSE))+Y483+Z483+AA483+AB483+AC483))&lt;=0,"",VLOOKUP(B483,country_opex,7,FALSE)/((V483*pax_cap*load_mid*ROUND(N483*O483*revleg_mid,0))-(((battery/range_nm)*G483*ROUND(N483*O483*revleg_mid,0)*VLOOKUP(B483,country_opex,3,FALSE))+Y483+Z483+AA483+AB483+AC483)))</f>
        <v/>
      </c>
      <c r="AY483" s="54">
        <f>IF(((V483*pax_cap*load_full*ROUND(N483*O483*revleg_full,0))-(((battery/range_nm)*G483*ROUND(N483*O483*revleg_full,0)*VLOOKUP(B483,country_opex,3,FALSE))+Y483+Z483+AA483+AB483+AC483))&lt;=0,"",VLOOKUP(B483,country_opex,7,FALSE)/((V483*pax_cap*load_full*ROUND(N483*O483*revleg_full,0))-(((battery/range_nm)*G483*ROUND(N483*O483*revleg_full,0)*VLOOKUP(B483,country_opex,3,FALSE))+Y483+Z483+AA483+AB483+AC483)))</f>
        <v/>
      </c>
      <c r="AZ483" s="40" t="inlineStr">
        <is>
          <t>Urban Dubai beach-club leisure hop. Road-served. T5/low.</t>
        </is>
      </c>
      <c r="BA483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484">
      <c r="A484" s="38" t="inlineStr">
        <is>
          <t>UAE (Careem)</t>
        </is>
      </c>
      <c r="B484" s="38" t="inlineStr">
        <is>
          <t>United Arab Emirates</t>
        </is>
      </c>
      <c r="C484" s="39" t="inlineStr">
        <is>
          <t>Palm Jumeirah Marina West → Atlantis The Palm Jetty</t>
        </is>
      </c>
      <c r="D484" s="38" t="inlineStr">
        <is>
          <t>yango</t>
        </is>
      </c>
      <c r="E484" s="40" t="inlineStr">
        <is>
          <t>bolt-uae, uae-careem, uae-luxury, yango-uae</t>
        </is>
      </c>
      <c r="F484" s="41" t="n">
        <v>4</v>
      </c>
      <c r="G484" s="42" t="n">
        <v>1.3</v>
      </c>
      <c r="H484" s="35" t="n">
        <v>150</v>
      </c>
      <c r="I484" s="43" t="inlineStr">
        <is>
          <t>T5</t>
        </is>
      </c>
      <c r="J484" s="43" t="inlineStr">
        <is>
          <t>low</t>
        </is>
      </c>
      <c r="K484" s="29" t="n">
        <v>1</v>
      </c>
      <c r="L484" s="44">
        <f>60*G484/cruise_kt</f>
        <v/>
      </c>
      <c r="M484" s="44">
        <f>L484+turn_min+dwell_min</f>
        <v/>
      </c>
      <c r="N484" s="45">
        <f>MIN(10,FLOOR(60*service_hr/M484,1))</f>
        <v/>
      </c>
      <c r="O484" s="45">
        <f>ROUND(365*mech_uptime*K484,0)</f>
        <v/>
      </c>
      <c r="P484" s="46">
        <f>mech_uptime</f>
        <v/>
      </c>
      <c r="Q484" s="46">
        <f>revleg_sel</f>
        <v/>
      </c>
      <c r="R484" s="45">
        <f>ROUND(N484*O484*revleg_sel,0)</f>
        <v/>
      </c>
      <c r="S484" s="47">
        <f>load_sel</f>
        <v/>
      </c>
      <c r="T484" s="47">
        <f>pax_cap*S484</f>
        <v/>
      </c>
      <c r="U484" s="45">
        <f>T484*R484</f>
        <v/>
      </c>
      <c r="V484" s="48">
        <f>H484*discount</f>
        <v/>
      </c>
      <c r="W484" s="49">
        <f>V484*U484</f>
        <v/>
      </c>
      <c r="X484" s="49">
        <f>(battery/range_nm)*G484*R484*VLOOKUP(B484,country_opex,3,FALSE)</f>
        <v/>
      </c>
      <c r="Y484" s="49">
        <f>VLOOKUP(B484,country_opex,2,FALSE)*crew_factor</f>
        <v/>
      </c>
      <c r="Z484" s="49">
        <f>VLOOKUP(B484,country_opex,5,FALSE)</f>
        <v/>
      </c>
      <c r="AA484" s="49">
        <f>maint</f>
        <v/>
      </c>
      <c r="AB484" s="49">
        <f>VLOOKUP(B484,country_opex,7,FALSE)*ins_pct</f>
        <v/>
      </c>
      <c r="AC484" s="49">
        <f>charge_berth</f>
        <v/>
      </c>
      <c r="AD484" s="49">
        <f>X484+Y484+Z484+AA484+AB484+AC484</f>
        <v/>
      </c>
      <c r="AE484" s="49">
        <f>VLOOKUP(B484,country_opex,7,FALSE)/dep_years</f>
        <v/>
      </c>
      <c r="AF484" s="49">
        <f>W484-AD484</f>
        <v/>
      </c>
      <c r="AG484" s="46">
        <f>IF(W484=0,"",AF484/W484)</f>
        <v/>
      </c>
      <c r="AH484" s="47">
        <f>IF(AF484&lt;=0,"",VLOOKUP(B484,country_opex,7,FALSE)/AF484)</f>
        <v/>
      </c>
      <c r="AI484" s="44">
        <f>((G484*R484/diesel_nmpg)*diesel_co2pg-(battery/range_nm)*G484*R484*VLOOKUP(B484,country_opex,4,FALSE))/1000</f>
        <v/>
      </c>
      <c r="AJ484" s="42" t="n">
        <v>120000</v>
      </c>
      <c r="AK484" s="43" t="inlineStr">
        <is>
          <t>T2</t>
        </is>
      </c>
      <c r="AL484" s="43" t="inlineStr">
        <is>
          <t>medium</t>
        </is>
      </c>
      <c r="AM484" s="50" t="n">
        <v>0.1</v>
      </c>
      <c r="AN484" s="45">
        <f>IF(AJ484="","",AJ484*AM484)</f>
        <v/>
      </c>
      <c r="AO484" s="45">
        <f>IF(OR(AJ484="",U484=0),"",MIN(IF(AV484="",9.9E+99,AV484),FLOOR(AN484/U484,1)))</f>
        <v/>
      </c>
      <c r="AP484" s="49">
        <f>IF(AO484="","",AO484*W484)</f>
        <v/>
      </c>
      <c r="AQ484" s="47">
        <f>IF(OR(AJ484="",U484=0),"",MIN(IF(AV484="",9.9E+99,AV484),AN484/U484))</f>
        <v/>
      </c>
      <c r="AR484" s="49">
        <f>IF(AQ484="","",AQ484*W484)</f>
        <v/>
      </c>
      <c r="AS484" s="51" t="n"/>
      <c r="AT484" s="52" t="n"/>
      <c r="AU484" s="52" t="n"/>
      <c r="AV484" s="53" t="n"/>
      <c r="AW484" s="54">
        <f>IF(((V484*pax_cap*load_thin*ROUND(N484*O484*revleg_thin,0))-(((battery/range_nm)*G484*ROUND(N484*O484*revleg_thin,0)*VLOOKUP(B484,country_opex,3,FALSE))+Y484+Z484+AA484+AB484+AC484))&lt;=0,"",VLOOKUP(B484,country_opex,7,FALSE)/((V484*pax_cap*load_thin*ROUND(N484*O484*revleg_thin,0))-(((battery/range_nm)*G484*ROUND(N484*O484*revleg_thin,0)*VLOOKUP(B484,country_opex,3,FALSE))+Y484+Z484+AA484+AB484+AC484)))</f>
        <v/>
      </c>
      <c r="AX484" s="54">
        <f>IF(((V484*pax_cap*load_mid*ROUND(N484*O484*revleg_mid,0))-(((battery/range_nm)*G484*ROUND(N484*O484*revleg_mid,0)*VLOOKUP(B484,country_opex,3,FALSE))+Y484+Z484+AA484+AB484+AC484))&lt;=0,"",VLOOKUP(B484,country_opex,7,FALSE)/((V484*pax_cap*load_mid*ROUND(N484*O484*revleg_mid,0))-(((battery/range_nm)*G484*ROUND(N484*O484*revleg_mid,0)*VLOOKUP(B484,country_opex,3,FALSE))+Y484+Z484+AA484+AB484+AC484)))</f>
        <v/>
      </c>
      <c r="AY484" s="54">
        <f>IF(((V484*pax_cap*load_full*ROUND(N484*O484*revleg_full,0))-(((battery/range_nm)*G484*ROUND(N484*O484*revleg_full,0)*VLOOKUP(B484,country_opex,3,FALSE))+Y484+Z484+AA484+AB484+AC484))&lt;=0,"",VLOOKUP(B484,country_opex,7,FALSE)/((V484*pax_cap*load_full*ROUND(N484*O484*revleg_full,0))-(((battery/range_nm)*G484*ROUND(N484*O484*revleg_full,0)*VLOOKUP(B484,country_opex,3,FALSE))+Y484+Z484+AA484+AB484+AC484)))</f>
        <v/>
      </c>
      <c r="AZ484" s="40" t="inlineStr">
        <is>
          <t>Atlantis The Palm (1,544 rooms) road-served; premium marine arrival opportunity-to-create. T5/low.</t>
        </is>
      </c>
      <c r="BA484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485">
      <c r="A485" s="38" t="inlineStr">
        <is>
          <t>UAE (Careem)</t>
        </is>
      </c>
      <c r="B485" s="38" t="inlineStr">
        <is>
          <t>United Arab Emirates</t>
        </is>
      </c>
      <c r="C485" s="39" t="inlineStr">
        <is>
          <t>Dubai Creek Marina → Al Seef Marine Transport Station</t>
        </is>
      </c>
      <c r="D485" s="38" t="inlineStr">
        <is>
          <t>yango</t>
        </is>
      </c>
      <c r="E485" s="40" t="inlineStr">
        <is>
          <t>bolt-uae, uae-careem, uae-luxury, yango-uae</t>
        </is>
      </c>
      <c r="F485" s="41" t="n">
        <v>4</v>
      </c>
      <c r="G485" s="42" t="n">
        <v>1.5</v>
      </c>
      <c r="H485" s="35" t="n">
        <v>41</v>
      </c>
      <c r="I485" s="43" t="inlineStr">
        <is>
          <t>T1</t>
        </is>
      </c>
      <c r="J485" s="43" t="inlineStr">
        <is>
          <t>high</t>
        </is>
      </c>
      <c r="K485" s="29" t="n">
        <v>1</v>
      </c>
      <c r="L485" s="44">
        <f>60*G485/cruise_kt</f>
        <v/>
      </c>
      <c r="M485" s="44">
        <f>L485+turn_min+dwell_min</f>
        <v/>
      </c>
      <c r="N485" s="45">
        <f>MIN(10,FLOOR(60*service_hr/M485,1))</f>
        <v/>
      </c>
      <c r="O485" s="45">
        <f>ROUND(365*mech_uptime*K485,0)</f>
        <v/>
      </c>
      <c r="P485" s="46">
        <f>mech_uptime</f>
        <v/>
      </c>
      <c r="Q485" s="46">
        <f>revleg_sel</f>
        <v/>
      </c>
      <c r="R485" s="45">
        <f>ROUND(N485*O485*revleg_sel,0)</f>
        <v/>
      </c>
      <c r="S485" s="47">
        <f>load_sel</f>
        <v/>
      </c>
      <c r="T485" s="47">
        <f>pax_cap*S485</f>
        <v/>
      </c>
      <c r="U485" s="45">
        <f>T485*R485</f>
        <v/>
      </c>
      <c r="V485" s="48">
        <f>H485*discount</f>
        <v/>
      </c>
      <c r="W485" s="49">
        <f>V485*U485</f>
        <v/>
      </c>
      <c r="X485" s="49">
        <f>(battery/range_nm)*G485*R485*VLOOKUP(B485,country_opex,3,FALSE)</f>
        <v/>
      </c>
      <c r="Y485" s="49">
        <f>VLOOKUP(B485,country_opex,2,FALSE)*crew_factor</f>
        <v/>
      </c>
      <c r="Z485" s="49">
        <f>VLOOKUP(B485,country_opex,5,FALSE)</f>
        <v/>
      </c>
      <c r="AA485" s="49">
        <f>maint</f>
        <v/>
      </c>
      <c r="AB485" s="49">
        <f>VLOOKUP(B485,country_opex,7,FALSE)*ins_pct</f>
        <v/>
      </c>
      <c r="AC485" s="49">
        <f>charge_berth</f>
        <v/>
      </c>
      <c r="AD485" s="49">
        <f>X485+Y485+Z485+AA485+AB485+AC485</f>
        <v/>
      </c>
      <c r="AE485" s="49">
        <f>VLOOKUP(B485,country_opex,7,FALSE)/dep_years</f>
        <v/>
      </c>
      <c r="AF485" s="49">
        <f>W485-AD485</f>
        <v/>
      </c>
      <c r="AG485" s="46">
        <f>IF(W485=0,"",AF485/W485)</f>
        <v/>
      </c>
      <c r="AH485" s="47">
        <f>IF(AF485&lt;=0,"",VLOOKUP(B485,country_opex,7,FALSE)/AF485)</f>
        <v/>
      </c>
      <c r="AI485" s="44">
        <f>((G485*R485/diesel_nmpg)*diesel_co2pg-(battery/range_nm)*G485*R485*VLOOKUP(B485,country_opex,4,FALSE))/1000</f>
        <v/>
      </c>
      <c r="AJ485" s="42" t="n">
        <v>120000</v>
      </c>
      <c r="AK485" s="43" t="inlineStr">
        <is>
          <t>T5</t>
        </is>
      </c>
      <c r="AL485" s="43" t="inlineStr">
        <is>
          <t>low</t>
        </is>
      </c>
      <c r="AM485" s="50" t="n">
        <v>0.1</v>
      </c>
      <c r="AN485" s="45">
        <f>IF(AJ485="","",AJ485*AM485)</f>
        <v/>
      </c>
      <c r="AO485" s="45">
        <f>IF(OR(AJ485="",U485=0),"",MIN(IF(AV485="",9.9E+99,AV485),FLOOR(AN485/U485,1)))</f>
        <v/>
      </c>
      <c r="AP485" s="49">
        <f>IF(AO485="","",AO485*W485)</f>
        <v/>
      </c>
      <c r="AQ485" s="47">
        <f>IF(OR(AJ485="",U485=0),"",MIN(IF(AV485="",9.9E+99,AV485),AN485/U485))</f>
        <v/>
      </c>
      <c r="AR485" s="49">
        <f>IF(AQ485="","",AQ485*W485)</f>
        <v/>
      </c>
      <c r="AS485" s="51" t="n"/>
      <c r="AT485" s="52" t="n"/>
      <c r="AU485" s="52" t="n"/>
      <c r="AV485" s="53" t="n"/>
      <c r="AW485" s="54">
        <f>IF(((V485*pax_cap*load_thin*ROUND(N485*O485*revleg_thin,0))-(((battery/range_nm)*G485*ROUND(N485*O485*revleg_thin,0)*VLOOKUP(B485,country_opex,3,FALSE))+Y485+Z485+AA485+AB485+AC485))&lt;=0,"",VLOOKUP(B485,country_opex,7,FALSE)/((V485*pax_cap*load_thin*ROUND(N485*O485*revleg_thin,0))-(((battery/range_nm)*G485*ROUND(N485*O485*revleg_thin,0)*VLOOKUP(B485,country_opex,3,FALSE))+Y485+Z485+AA485+AB485+AC485)))</f>
        <v/>
      </c>
      <c r="AX485" s="54">
        <f>IF(((V485*pax_cap*load_mid*ROUND(N485*O485*revleg_mid,0))-(((battery/range_nm)*G485*ROUND(N485*O485*revleg_mid,0)*VLOOKUP(B485,country_opex,3,FALSE))+Y485+Z485+AA485+AB485+AC485))&lt;=0,"",VLOOKUP(B485,country_opex,7,FALSE)/((V485*pax_cap*load_mid*ROUND(N485*O485*revleg_mid,0))-(((battery/range_nm)*G485*ROUND(N485*O485*revleg_mid,0)*VLOOKUP(B485,country_opex,3,FALSE))+Y485+Z485+AA485+AB485+AC485)))</f>
        <v/>
      </c>
      <c r="AY485" s="54">
        <f>IF(((V485*pax_cap*load_full*ROUND(N485*O485*revleg_full,0))-(((battery/range_nm)*G485*ROUND(N485*O485*revleg_full,0)*VLOOKUP(B485,country_opex,3,FALSE))+Y485+Z485+AA485+AB485+AC485))&lt;=0,"",VLOOKUP(B485,country_opex,7,FALSE)/((V485*pax_cap*load_full*ROUND(N485*O485*revleg_full,0))-(((battery/range_nm)*G485*ROUND(N485*O485*revleg_full,0)*VLOOKUP(B485,country_opex,3,FALSE))+Y485+Z485+AA485+AB485+AC485)))</f>
        <v/>
      </c>
      <c r="AZ485" s="40" t="inlineStr">
        <is>
          <t>RTA/Dubai-Ferry official ladder (R-RTA, T1): Water Taxi on-demand single AED 150/pax = $40.8; Dubai Ferry Gold AED 75 = $20.4, Silver AED 50 = $13.6; Water Bus AED 7; Abra AED 1. dubai-ferry.com / rta.ae 2025/26. Creek Marina&lt;-&gt;Al Seef is an operating RTA marine corridor.</t>
        </is>
      </c>
      <c r="BA485" s="40" t="inlineStr">
        <is>
          <t>18.4M RTA marine is ~all sub-1km abras (R3-ABRA); premium water-taxi/ferry tier is a small fraction.</t>
        </is>
      </c>
    </row>
    <row r="486">
      <c r="A486" s="38" t="inlineStr">
        <is>
          <t>UAE (Careem)</t>
        </is>
      </c>
      <c r="B486" s="38" t="inlineStr">
        <is>
          <t>United Arab Emirates</t>
        </is>
      </c>
      <c r="C486" s="39" t="inlineStr">
        <is>
          <t>Yacht Marina → The Westin Dubai Mina Seyahi Beach Resort &amp; Marina</t>
        </is>
      </c>
      <c r="D486" s="38" t="inlineStr">
        <is>
          <t>careem</t>
        </is>
      </c>
      <c r="E486" s="40" t="inlineStr">
        <is>
          <t>bolt-uae, uae-careem, uae-luxury, yango-uae</t>
        </is>
      </c>
      <c r="F486" s="41" t="n">
        <v>4</v>
      </c>
      <c r="G486" s="42" t="n">
        <v>1.5</v>
      </c>
      <c r="H486" s="35" t="n">
        <v>95</v>
      </c>
      <c r="I486" s="43" t="inlineStr">
        <is>
          <t>T4</t>
        </is>
      </c>
      <c r="J486" s="43" t="inlineStr">
        <is>
          <t>low</t>
        </is>
      </c>
      <c r="K486" s="29" t="n">
        <v>1</v>
      </c>
      <c r="L486" s="44">
        <f>60*G486/cruise_kt</f>
        <v/>
      </c>
      <c r="M486" s="44">
        <f>L486+turn_min+dwell_min</f>
        <v/>
      </c>
      <c r="N486" s="45">
        <f>MIN(10,FLOOR(60*service_hr/M486,1))</f>
        <v/>
      </c>
      <c r="O486" s="45">
        <f>ROUND(365*mech_uptime*K486,0)</f>
        <v/>
      </c>
      <c r="P486" s="46">
        <f>mech_uptime</f>
        <v/>
      </c>
      <c r="Q486" s="46">
        <f>revleg_sel</f>
        <v/>
      </c>
      <c r="R486" s="45">
        <f>ROUND(N486*O486*revleg_sel,0)</f>
        <v/>
      </c>
      <c r="S486" s="47">
        <f>load_sel</f>
        <v/>
      </c>
      <c r="T486" s="47">
        <f>pax_cap*S486</f>
        <v/>
      </c>
      <c r="U486" s="45">
        <f>T486*R486</f>
        <v/>
      </c>
      <c r="V486" s="48">
        <f>H486*discount</f>
        <v/>
      </c>
      <c r="W486" s="49">
        <f>V486*U486</f>
        <v/>
      </c>
      <c r="X486" s="49">
        <f>(battery/range_nm)*G486*R486*VLOOKUP(B486,country_opex,3,FALSE)</f>
        <v/>
      </c>
      <c r="Y486" s="49">
        <f>VLOOKUP(B486,country_opex,2,FALSE)*crew_factor</f>
        <v/>
      </c>
      <c r="Z486" s="49">
        <f>VLOOKUP(B486,country_opex,5,FALSE)</f>
        <v/>
      </c>
      <c r="AA486" s="49">
        <f>maint</f>
        <v/>
      </c>
      <c r="AB486" s="49">
        <f>VLOOKUP(B486,country_opex,7,FALSE)*ins_pct</f>
        <v/>
      </c>
      <c r="AC486" s="49">
        <f>charge_berth</f>
        <v/>
      </c>
      <c r="AD486" s="49">
        <f>X486+Y486+Z486+AA486+AB486+AC486</f>
        <v/>
      </c>
      <c r="AE486" s="49">
        <f>VLOOKUP(B486,country_opex,7,FALSE)/dep_years</f>
        <v/>
      </c>
      <c r="AF486" s="49">
        <f>W486-AD486</f>
        <v/>
      </c>
      <c r="AG486" s="46">
        <f>IF(W486=0,"",AF486/W486)</f>
        <v/>
      </c>
      <c r="AH486" s="47">
        <f>IF(AF486&lt;=0,"",VLOOKUP(B486,country_opex,7,FALSE)/AF486)</f>
        <v/>
      </c>
      <c r="AI486" s="44">
        <f>((G486*R486/diesel_nmpg)*diesel_co2pg-(battery/range_nm)*G486*R486*VLOOKUP(B486,country_opex,4,FALSE))/1000</f>
        <v/>
      </c>
      <c r="AJ486" s="42" t="n">
        <v>25000</v>
      </c>
      <c r="AK486" s="43" t="inlineStr">
        <is>
          <t>T3</t>
        </is>
      </c>
      <c r="AL486" s="43" t="inlineStr">
        <is>
          <t>low</t>
        </is>
      </c>
      <c r="AM486" s="50" t="n">
        <v>0.1</v>
      </c>
      <c r="AN486" s="45">
        <f>IF(AJ486="","",AJ486*AM486)</f>
        <v/>
      </c>
      <c r="AO486" s="45">
        <f>IF(OR(AJ486="",U486=0),"",MIN(IF(AV486="",9.9E+99,AV486),FLOOR(AN486/U486,1)))</f>
        <v/>
      </c>
      <c r="AP486" s="49">
        <f>IF(AO486="","",AO486*W486)</f>
        <v/>
      </c>
      <c r="AQ486" s="47">
        <f>IF(OR(AJ486="",U486=0),"",MIN(IF(AV486="",9.9E+99,AV486),AN486/U486))</f>
        <v/>
      </c>
      <c r="AR486" s="49">
        <f>IF(AQ486="","",AQ486*W486)</f>
        <v/>
      </c>
      <c r="AS486" s="51" t="n"/>
      <c r="AT486" s="52" t="n"/>
      <c r="AU486" s="52" t="n"/>
      <c r="AV486" s="53" t="n"/>
      <c r="AW486" s="54">
        <f>IF(((V486*pax_cap*load_thin*ROUND(N486*O486*revleg_thin,0))-(((battery/range_nm)*G486*ROUND(N486*O486*revleg_thin,0)*VLOOKUP(B486,country_opex,3,FALSE))+Y486+Z486+AA486+AB486+AC486))&lt;=0,"",VLOOKUP(B486,country_opex,7,FALSE)/((V486*pax_cap*load_thin*ROUND(N486*O486*revleg_thin,0))-(((battery/range_nm)*G486*ROUND(N486*O486*revleg_thin,0)*VLOOKUP(B486,country_opex,3,FALSE))+Y486+Z486+AA486+AB486+AC486)))</f>
        <v/>
      </c>
      <c r="AX486" s="54">
        <f>IF(((V486*pax_cap*load_mid*ROUND(N486*O486*revleg_mid,0))-(((battery/range_nm)*G486*ROUND(N486*O486*revleg_mid,0)*VLOOKUP(B486,country_opex,3,FALSE))+Y486+Z486+AA486+AB486+AC486))&lt;=0,"",VLOOKUP(B486,country_opex,7,FALSE)/((V486*pax_cap*load_mid*ROUND(N486*O486*revleg_mid,0))-(((battery/range_nm)*G486*ROUND(N486*O486*revleg_mid,0)*VLOOKUP(B486,country_opex,3,FALSE))+Y486+Z486+AA486+AB486+AC486)))</f>
        <v/>
      </c>
      <c r="AY486" s="54">
        <f>IF(((V486*pax_cap*load_full*ROUND(N486*O486*revleg_full,0))-(((battery/range_nm)*G486*ROUND(N486*O486*revleg_full,0)*VLOOKUP(B486,country_opex,3,FALSE))+Y486+Z486+AA486+AB486+AC486))&lt;=0,"",VLOOKUP(B486,country_opex,7,FALSE)/((V486*pax_cap*load_full*ROUND(N486*O486*revleg_full,0))-(((battery/range_nm)*G486*ROUND(N486*O486*revleg_full,0)*VLOOKUP(B486,country_opex,3,FALSE))+Y486+Z486+AA486+AB486+AC486)))</f>
        <v/>
      </c>
      <c r="AZ486" s="40" t="inlineStr">
        <is>
          <t>RTA/Dubai-Ferry official ladder (R-RTA, T1): Water Taxi on-demand single AED 150/pax = $40.8; Dubai Ferry Gold AED 75 = $20.4, Silver AED 50 = $13.6; Water Bus AED 7; Abra AED 1. dubai-ferry.com / rta.ae 2025/26. Dubai Marina (Mina Seyahi) premium resort hop.</t>
        </is>
      </c>
      <c r="BA486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487">
      <c r="A487" s="38" t="inlineStr">
        <is>
          <t>UAE (Careem)</t>
        </is>
      </c>
      <c r="B487" s="38" t="inlineStr">
        <is>
          <t>United Arab Emirates</t>
        </is>
      </c>
      <c r="C487" s="39" t="inlineStr">
        <is>
          <t>Marina Mall / Breakwater Marina → Lulu Island Jetty</t>
        </is>
      </c>
      <c r="D487" s="38" t="inlineStr">
        <is>
          <t>careem</t>
        </is>
      </c>
      <c r="E487" s="40" t="inlineStr">
        <is>
          <t>bolt-uae, uae-careem, uae-luxury, yango-uae</t>
        </is>
      </c>
      <c r="F487" s="41" t="n">
        <v>4</v>
      </c>
      <c r="G487" s="42" t="n">
        <v>1.7</v>
      </c>
      <c r="H487" s="35" t="n">
        <v>45</v>
      </c>
      <c r="I487" s="43" t="inlineStr">
        <is>
          <t>T4</t>
        </is>
      </c>
      <c r="J487" s="43" t="inlineStr">
        <is>
          <t>low</t>
        </is>
      </c>
      <c r="K487" s="29" t="n">
        <v>1</v>
      </c>
      <c r="L487" s="44">
        <f>60*G487/cruise_kt</f>
        <v/>
      </c>
      <c r="M487" s="44">
        <f>L487+turn_min+dwell_min</f>
        <v/>
      </c>
      <c r="N487" s="45">
        <f>MIN(10,FLOOR(60*service_hr/M487,1))</f>
        <v/>
      </c>
      <c r="O487" s="45">
        <f>ROUND(365*mech_uptime*K487,0)</f>
        <v/>
      </c>
      <c r="P487" s="46">
        <f>mech_uptime</f>
        <v/>
      </c>
      <c r="Q487" s="46">
        <f>revleg_sel</f>
        <v/>
      </c>
      <c r="R487" s="45">
        <f>ROUND(N487*O487*revleg_sel,0)</f>
        <v/>
      </c>
      <c r="S487" s="47">
        <f>load_sel</f>
        <v/>
      </c>
      <c r="T487" s="47">
        <f>pax_cap*S487</f>
        <v/>
      </c>
      <c r="U487" s="45">
        <f>T487*R487</f>
        <v/>
      </c>
      <c r="V487" s="48">
        <f>H487*discount</f>
        <v/>
      </c>
      <c r="W487" s="49">
        <f>V487*U487</f>
        <v/>
      </c>
      <c r="X487" s="49">
        <f>(battery/range_nm)*G487*R487*VLOOKUP(B487,country_opex,3,FALSE)</f>
        <v/>
      </c>
      <c r="Y487" s="49">
        <f>VLOOKUP(B487,country_opex,2,FALSE)*crew_factor</f>
        <v/>
      </c>
      <c r="Z487" s="49">
        <f>VLOOKUP(B487,country_opex,5,FALSE)</f>
        <v/>
      </c>
      <c r="AA487" s="49">
        <f>maint</f>
        <v/>
      </c>
      <c r="AB487" s="49">
        <f>VLOOKUP(B487,country_opex,7,FALSE)*ins_pct</f>
        <v/>
      </c>
      <c r="AC487" s="49">
        <f>charge_berth</f>
        <v/>
      </c>
      <c r="AD487" s="49">
        <f>X487+Y487+Z487+AA487+AB487+AC487</f>
        <v/>
      </c>
      <c r="AE487" s="49">
        <f>VLOOKUP(B487,country_opex,7,FALSE)/dep_years</f>
        <v/>
      </c>
      <c r="AF487" s="49">
        <f>W487-AD487</f>
        <v/>
      </c>
      <c r="AG487" s="46">
        <f>IF(W487=0,"",AF487/W487)</f>
        <v/>
      </c>
      <c r="AH487" s="47">
        <f>IF(AF487&lt;=0,"",VLOOKUP(B487,country_opex,7,FALSE)/AF487)</f>
        <v/>
      </c>
      <c r="AI487" s="44">
        <f>((G487*R487/diesel_nmpg)*diesel_co2pg-(battery/range_nm)*G487*R487*VLOOKUP(B487,country_opex,4,FALSE))/1000</f>
        <v/>
      </c>
      <c r="AJ487" s="42" t="n">
        <v>20000</v>
      </c>
      <c r="AK487" s="43" t="inlineStr">
        <is>
          <t>T5</t>
        </is>
      </c>
      <c r="AL487" s="43" t="inlineStr">
        <is>
          <t>low</t>
        </is>
      </c>
      <c r="AM487" s="50" t="n">
        <v>0.1</v>
      </c>
      <c r="AN487" s="45">
        <f>IF(AJ487="","",AJ487*AM487)</f>
        <v/>
      </c>
      <c r="AO487" s="45">
        <f>IF(OR(AJ487="",U487=0),"",MIN(IF(AV487="",9.9E+99,AV487),FLOOR(AN487/U487,1)))</f>
        <v/>
      </c>
      <c r="AP487" s="49">
        <f>IF(AO487="","",AO487*W487)</f>
        <v/>
      </c>
      <c r="AQ487" s="47">
        <f>IF(OR(AJ487="",U487=0),"",MIN(IF(AV487="",9.9E+99,AV487),AN487/U487))</f>
        <v/>
      </c>
      <c r="AR487" s="49">
        <f>IF(AQ487="","",AQ487*W487)</f>
        <v/>
      </c>
      <c r="AS487" s="51" t="n"/>
      <c r="AT487" s="52" t="n"/>
      <c r="AU487" s="52" t="n"/>
      <c r="AV487" s="53" t="n"/>
      <c r="AW487" s="54">
        <f>IF(((V487*pax_cap*load_thin*ROUND(N487*O487*revleg_thin,0))-(((battery/range_nm)*G487*ROUND(N487*O487*revleg_thin,0)*VLOOKUP(B487,country_opex,3,FALSE))+Y487+Z487+AA487+AB487+AC487))&lt;=0,"",VLOOKUP(B487,country_opex,7,FALSE)/((V487*pax_cap*load_thin*ROUND(N487*O487*revleg_thin,0))-(((battery/range_nm)*G487*ROUND(N487*O487*revleg_thin,0)*VLOOKUP(B487,country_opex,3,FALSE))+Y487+Z487+AA487+AB487+AC487)))</f>
        <v/>
      </c>
      <c r="AX487" s="54">
        <f>IF(((V487*pax_cap*load_mid*ROUND(N487*O487*revleg_mid,0))-(((battery/range_nm)*G487*ROUND(N487*O487*revleg_mid,0)*VLOOKUP(B487,country_opex,3,FALSE))+Y487+Z487+AA487+AB487+AC487))&lt;=0,"",VLOOKUP(B487,country_opex,7,FALSE)/((V487*pax_cap*load_mid*ROUND(N487*O487*revleg_mid,0))-(((battery/range_nm)*G487*ROUND(N487*O487*revleg_mid,0)*VLOOKUP(B487,country_opex,3,FALSE))+Y487+Z487+AA487+AB487+AC487)))</f>
        <v/>
      </c>
      <c r="AY487" s="54">
        <f>IF(((V487*pax_cap*load_full*ROUND(N487*O487*revleg_full,0))-(((battery/range_nm)*G487*ROUND(N487*O487*revleg_full,0)*VLOOKUP(B487,country_opex,3,FALSE))+Y487+Z487+AA487+AB487+AC487))&lt;=0,"",VLOOKUP(B487,country_opex,7,FALSE)/((V487*pax_cap*load_full*ROUND(N487*O487*revleg_full,0))-(((battery/range_nm)*G487*ROUND(N487*O487*revleg_full,0)*VLOOKUP(B487,country_opex,3,FALSE))+Y487+Z487+AA487+AB487+AC487)))</f>
        <v/>
      </c>
      <c r="AZ487" s="40" t="inlineStr">
        <is>
          <t>RTA/Dubai-Ferry official ladder (R-RTA, T1): Water Taxi on-demand single AED 150/pax = $40.8; Dubai Ferry Gold AED 75 = $20.4, Silver AED 50 = $13.6; Water Bus AED 7; Abra AED 1. dubai-ferry.com / rta.ae 2025/26. Lulu Island - boat-only undeveloped island fronting the Corniche.</t>
        </is>
      </c>
      <c r="BA487" s="40" t="inlineStr">
        <is>
          <t>Lulu boat-only (R3-EXCEPTION) but undeveloped/limited-access -&gt; small day-visit pool.</t>
        </is>
      </c>
    </row>
    <row r="488">
      <c r="A488" s="38" t="inlineStr">
        <is>
          <t>UAE (Careem)</t>
        </is>
      </c>
      <c r="B488" s="38" t="inlineStr">
        <is>
          <t>United Arab Emirates</t>
        </is>
      </c>
      <c r="C488" s="39" t="inlineStr">
        <is>
          <t>Dubai Harbour Marina → Palm Jumeirah Marina West</t>
        </is>
      </c>
      <c r="D488" s="38" t="inlineStr">
        <is>
          <t>careem</t>
        </is>
      </c>
      <c r="E488" s="40" t="inlineStr">
        <is>
          <t>bolt-uae, uae-careem, uae-luxury, yango-uae</t>
        </is>
      </c>
      <c r="F488" s="41" t="n">
        <v>4</v>
      </c>
      <c r="G488" s="42" t="n">
        <v>2.1</v>
      </c>
      <c r="H488" s="35" t="n">
        <v>48</v>
      </c>
      <c r="I488" s="43" t="inlineStr">
        <is>
          <t>T1</t>
        </is>
      </c>
      <c r="J488" s="43" t="inlineStr">
        <is>
          <t>high</t>
        </is>
      </c>
      <c r="K488" s="29" t="n">
        <v>1</v>
      </c>
      <c r="L488" s="44">
        <f>60*G488/cruise_kt</f>
        <v/>
      </c>
      <c r="M488" s="44">
        <f>L488+turn_min+dwell_min</f>
        <v/>
      </c>
      <c r="N488" s="45">
        <f>MIN(10,FLOOR(60*service_hr/M488,1))</f>
        <v/>
      </c>
      <c r="O488" s="45">
        <f>ROUND(365*mech_uptime*K488,0)</f>
        <v/>
      </c>
      <c r="P488" s="46">
        <f>mech_uptime</f>
        <v/>
      </c>
      <c r="Q488" s="46">
        <f>revleg_sel</f>
        <v/>
      </c>
      <c r="R488" s="45">
        <f>ROUND(N488*O488*revleg_sel,0)</f>
        <v/>
      </c>
      <c r="S488" s="47">
        <f>load_sel</f>
        <v/>
      </c>
      <c r="T488" s="47">
        <f>pax_cap*S488</f>
        <v/>
      </c>
      <c r="U488" s="45">
        <f>T488*R488</f>
        <v/>
      </c>
      <c r="V488" s="48">
        <f>H488*discount</f>
        <v/>
      </c>
      <c r="W488" s="49">
        <f>V488*U488</f>
        <v/>
      </c>
      <c r="X488" s="49">
        <f>(battery/range_nm)*G488*R488*VLOOKUP(B488,country_opex,3,FALSE)</f>
        <v/>
      </c>
      <c r="Y488" s="49">
        <f>VLOOKUP(B488,country_opex,2,FALSE)*crew_factor</f>
        <v/>
      </c>
      <c r="Z488" s="49">
        <f>VLOOKUP(B488,country_opex,5,FALSE)</f>
        <v/>
      </c>
      <c r="AA488" s="49">
        <f>maint</f>
        <v/>
      </c>
      <c r="AB488" s="49">
        <f>VLOOKUP(B488,country_opex,7,FALSE)*ins_pct</f>
        <v/>
      </c>
      <c r="AC488" s="49">
        <f>charge_berth</f>
        <v/>
      </c>
      <c r="AD488" s="49">
        <f>X488+Y488+Z488+AA488+AB488+AC488</f>
        <v/>
      </c>
      <c r="AE488" s="49">
        <f>VLOOKUP(B488,country_opex,7,FALSE)/dep_years</f>
        <v/>
      </c>
      <c r="AF488" s="49">
        <f>W488-AD488</f>
        <v/>
      </c>
      <c r="AG488" s="46">
        <f>IF(W488=0,"",AF488/W488)</f>
        <v/>
      </c>
      <c r="AH488" s="47">
        <f>IF(AF488&lt;=0,"",VLOOKUP(B488,country_opex,7,FALSE)/AF488)</f>
        <v/>
      </c>
      <c r="AI488" s="44">
        <f>((G488*R488/diesel_nmpg)*diesel_co2pg-(battery/range_nm)*G488*R488*VLOOKUP(B488,country_opex,4,FALSE))/1000</f>
        <v/>
      </c>
      <c r="AJ488" s="42" t="n">
        <v>35000</v>
      </c>
      <c r="AK488" s="43" t="inlineStr">
        <is>
          <t>T3</t>
        </is>
      </c>
      <c r="AL488" s="43" t="inlineStr">
        <is>
          <t>low</t>
        </is>
      </c>
      <c r="AM488" s="50" t="n">
        <v>0.1</v>
      </c>
      <c r="AN488" s="45">
        <f>IF(AJ488="","",AJ488*AM488)</f>
        <v/>
      </c>
      <c r="AO488" s="45">
        <f>IF(OR(AJ488="",U488=0),"",MIN(IF(AV488="",9.9E+99,AV488),FLOOR(AN488/U488,1)))</f>
        <v/>
      </c>
      <c r="AP488" s="49">
        <f>IF(AO488="","",AO488*W488)</f>
        <v/>
      </c>
      <c r="AQ488" s="47">
        <f>IF(OR(AJ488="",U488=0),"",MIN(IF(AV488="",9.9E+99,AV488),AN488/U488))</f>
        <v/>
      </c>
      <c r="AR488" s="49">
        <f>IF(AQ488="","",AQ488*W488)</f>
        <v/>
      </c>
      <c r="AS488" s="51" t="n"/>
      <c r="AT488" s="52" t="n"/>
      <c r="AU488" s="52" t="n"/>
      <c r="AV488" s="53" t="n"/>
      <c r="AW488" s="54">
        <f>IF(((V488*pax_cap*load_thin*ROUND(N488*O488*revleg_thin,0))-(((battery/range_nm)*G488*ROUND(N488*O488*revleg_thin,0)*VLOOKUP(B488,country_opex,3,FALSE))+Y488+Z488+AA488+AB488+AC488))&lt;=0,"",VLOOKUP(B488,country_opex,7,FALSE)/((V488*pax_cap*load_thin*ROUND(N488*O488*revleg_thin,0))-(((battery/range_nm)*G488*ROUND(N488*O488*revleg_thin,0)*VLOOKUP(B488,country_opex,3,FALSE))+Y488+Z488+AA488+AB488+AC488)))</f>
        <v/>
      </c>
      <c r="AX488" s="54">
        <f>IF(((V488*pax_cap*load_mid*ROUND(N488*O488*revleg_mid,0))-(((battery/range_nm)*G488*ROUND(N488*O488*revleg_mid,0)*VLOOKUP(B488,country_opex,3,FALSE))+Y488+Z488+AA488+AB488+AC488))&lt;=0,"",VLOOKUP(B488,country_opex,7,FALSE)/((V488*pax_cap*load_mid*ROUND(N488*O488*revleg_mid,0))-(((battery/range_nm)*G488*ROUND(N488*O488*revleg_mid,0)*VLOOKUP(B488,country_opex,3,FALSE))+Y488+Z488+AA488+AB488+AC488)))</f>
        <v/>
      </c>
      <c r="AY488" s="54">
        <f>IF(((V488*pax_cap*load_full*ROUND(N488*O488*revleg_full,0))-(((battery/range_nm)*G488*ROUND(N488*O488*revleg_full,0)*VLOOKUP(B488,country_opex,3,FALSE))+Y488+Z488+AA488+AB488+AC488))&lt;=0,"",VLOOKUP(B488,country_opex,7,FALSE)/((V488*pax_cap*load_full*ROUND(N488*O488*revleg_full,0))-(((battery/range_nm)*G488*ROUND(N488*O488*revleg_full,0)*VLOOKUP(B488,country_opex,3,FALSE))+Y488+Z488+AA488+AB488+AC488)))</f>
        <v/>
      </c>
      <c r="AZ488" s="40" t="inlineStr">
        <is>
          <t>RTA/Dubai-Ferry official ladder (R-RTA, T1): Water Taxi on-demand single AED 150/pax = $40.8; Dubai Ferry Gold AED 75 = $20.4, Silver AED 50 = $13.6; Water Bus AED 7; Abra AED 1. dubai-ferry.com / rta.ae 2025/26. Palm Jumeirah served by RTA Water Taxi + Dubai Ferry.</t>
        </is>
      </c>
      <c r="BA488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489">
      <c r="A489" s="38" t="inlineStr">
        <is>
          <t>UAE (Careem)</t>
        </is>
      </c>
      <c r="B489" s="38" t="inlineStr">
        <is>
          <t>United Arab Emirates</t>
        </is>
      </c>
      <c r="C489" s="39" t="inlineStr">
        <is>
          <t>Al Bateen Marina → Emirates Palace Marina</t>
        </is>
      </c>
      <c r="D489" s="38" t="inlineStr">
        <is>
          <t>careem</t>
        </is>
      </c>
      <c r="E489" s="40" t="inlineStr">
        <is>
          <t>bolt-uae, uae-careem, uae-luxury, yango-uae</t>
        </is>
      </c>
      <c r="F489" s="41" t="n">
        <v>4</v>
      </c>
      <c r="G489" s="42" t="n">
        <v>2.2</v>
      </c>
      <c r="H489" s="35" t="n">
        <v>150</v>
      </c>
      <c r="I489" s="43" t="inlineStr">
        <is>
          <t>T5</t>
        </is>
      </c>
      <c r="J489" s="43" t="inlineStr">
        <is>
          <t>low</t>
        </is>
      </c>
      <c r="K489" s="29" t="n">
        <v>1</v>
      </c>
      <c r="L489" s="44">
        <f>60*G489/cruise_kt</f>
        <v/>
      </c>
      <c r="M489" s="44">
        <f>L489+turn_min+dwell_min</f>
        <v/>
      </c>
      <c r="N489" s="45">
        <f>MIN(10,FLOOR(60*service_hr/M489,1))</f>
        <v/>
      </c>
      <c r="O489" s="45">
        <f>ROUND(365*mech_uptime*K489,0)</f>
        <v/>
      </c>
      <c r="P489" s="46">
        <f>mech_uptime</f>
        <v/>
      </c>
      <c r="Q489" s="46">
        <f>revleg_sel</f>
        <v/>
      </c>
      <c r="R489" s="45">
        <f>ROUND(N489*O489*revleg_sel,0)</f>
        <v/>
      </c>
      <c r="S489" s="47">
        <f>load_sel</f>
        <v/>
      </c>
      <c r="T489" s="47">
        <f>pax_cap*S489</f>
        <v/>
      </c>
      <c r="U489" s="45">
        <f>T489*R489</f>
        <v/>
      </c>
      <c r="V489" s="48">
        <f>H489*discount</f>
        <v/>
      </c>
      <c r="W489" s="49">
        <f>V489*U489</f>
        <v/>
      </c>
      <c r="X489" s="49">
        <f>(battery/range_nm)*G489*R489*VLOOKUP(B489,country_opex,3,FALSE)</f>
        <v/>
      </c>
      <c r="Y489" s="49">
        <f>VLOOKUP(B489,country_opex,2,FALSE)*crew_factor</f>
        <v/>
      </c>
      <c r="Z489" s="49">
        <f>VLOOKUP(B489,country_opex,5,FALSE)</f>
        <v/>
      </c>
      <c r="AA489" s="49">
        <f>maint</f>
        <v/>
      </c>
      <c r="AB489" s="49">
        <f>VLOOKUP(B489,country_opex,7,FALSE)*ins_pct</f>
        <v/>
      </c>
      <c r="AC489" s="49">
        <f>charge_berth</f>
        <v/>
      </c>
      <c r="AD489" s="49">
        <f>X489+Y489+Z489+AA489+AB489+AC489</f>
        <v/>
      </c>
      <c r="AE489" s="49">
        <f>VLOOKUP(B489,country_opex,7,FALSE)/dep_years</f>
        <v/>
      </c>
      <c r="AF489" s="49">
        <f>W489-AD489</f>
        <v/>
      </c>
      <c r="AG489" s="46">
        <f>IF(W489=0,"",AF489/W489)</f>
        <v/>
      </c>
      <c r="AH489" s="47">
        <f>IF(AF489&lt;=0,"",VLOOKUP(B489,country_opex,7,FALSE)/AF489)</f>
        <v/>
      </c>
      <c r="AI489" s="44">
        <f>((G489*R489/diesel_nmpg)*diesel_co2pg-(battery/range_nm)*G489*R489*VLOOKUP(B489,country_opex,4,FALSE))/1000</f>
        <v/>
      </c>
      <c r="AJ489" s="42" t="n">
        <v>20000</v>
      </c>
      <c r="AK489" s="43" t="inlineStr">
        <is>
          <t>T3</t>
        </is>
      </c>
      <c r="AL489" s="43" t="inlineStr">
        <is>
          <t>low</t>
        </is>
      </c>
      <c r="AM489" s="50" t="n">
        <v>0.1</v>
      </c>
      <c r="AN489" s="45">
        <f>IF(AJ489="","",AJ489*AM489)</f>
        <v/>
      </c>
      <c r="AO489" s="45">
        <f>IF(OR(AJ489="",U489=0),"",MIN(IF(AV489="",9.9E+99,AV489),FLOOR(AN489/U489,1)))</f>
        <v/>
      </c>
      <c r="AP489" s="49">
        <f>IF(AO489="","",AO489*W489)</f>
        <v/>
      </c>
      <c r="AQ489" s="47">
        <f>IF(OR(AJ489="",U489=0),"",MIN(IF(AV489="",9.9E+99,AV489),AN489/U489))</f>
        <v/>
      </c>
      <c r="AR489" s="49">
        <f>IF(AQ489="","",AQ489*W489)</f>
        <v/>
      </c>
      <c r="AS489" s="51" t="n"/>
      <c r="AT489" s="52" t="n"/>
      <c r="AU489" s="52" t="n"/>
      <c r="AV489" s="53" t="n"/>
      <c r="AW489" s="54">
        <f>IF(((V489*pax_cap*load_thin*ROUND(N489*O489*revleg_thin,0))-(((battery/range_nm)*G489*ROUND(N489*O489*revleg_thin,0)*VLOOKUP(B489,country_opex,3,FALSE))+Y489+Z489+AA489+AB489+AC489))&lt;=0,"",VLOOKUP(B489,country_opex,7,FALSE)/((V489*pax_cap*load_thin*ROUND(N489*O489*revleg_thin,0))-(((battery/range_nm)*G489*ROUND(N489*O489*revleg_thin,0)*VLOOKUP(B489,country_opex,3,FALSE))+Y489+Z489+AA489+AB489+AC489)))</f>
        <v/>
      </c>
      <c r="AX489" s="54">
        <f>IF(((V489*pax_cap*load_mid*ROUND(N489*O489*revleg_mid,0))-(((battery/range_nm)*G489*ROUND(N489*O489*revleg_mid,0)*VLOOKUP(B489,country_opex,3,FALSE))+Y489+Z489+AA489+AB489+AC489))&lt;=0,"",VLOOKUP(B489,country_opex,7,FALSE)/((V489*pax_cap*load_mid*ROUND(N489*O489*revleg_mid,0))-(((battery/range_nm)*G489*ROUND(N489*O489*revleg_mid,0)*VLOOKUP(B489,country_opex,3,FALSE))+Y489+Z489+AA489+AB489+AC489)))</f>
        <v/>
      </c>
      <c r="AY489" s="54">
        <f>IF(((V489*pax_cap*load_full*ROUND(N489*O489*revleg_full,0))-(((battery/range_nm)*G489*ROUND(N489*O489*revleg_full,0)*VLOOKUP(B489,country_opex,3,FALSE))+Y489+Z489+AA489+AB489+AC489))&lt;=0,"",VLOOKUP(B489,country_opex,7,FALSE)/((V489*pax_cap*load_full*ROUND(N489*O489*revleg_full,0))-(((battery/range_nm)*G489*ROUND(N489*O489*revleg_full,0)*VLOOKUP(B489,country_opex,3,FALSE))+Y489+Z489+AA489+AB489+AC489)))</f>
        <v/>
      </c>
      <c r="AZ489" s="40" t="inlineStr">
        <is>
          <t>Emirates Palace (flagship AD luxury hotel) marina arrival; road-served; opportunity-to-create. T5/low.</t>
        </is>
      </c>
      <c r="BA489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490">
      <c r="A490" s="38" t="inlineStr">
        <is>
          <t>UAE (Careem)</t>
        </is>
      </c>
      <c r="B490" s="38" t="inlineStr">
        <is>
          <t>United Arab Emirates</t>
        </is>
      </c>
      <c r="C490" s="39" t="inlineStr">
        <is>
          <t>Côte d'Azur Resort Marina (Heart of Europe) → Anantara World Islands Resort Jetty (planned)</t>
        </is>
      </c>
      <c r="D490" s="38" t="inlineStr">
        <is>
          <t>careem</t>
        </is>
      </c>
      <c r="E490" s="40" t="inlineStr">
        <is>
          <t>bolt-uae, uae-careem, uae-luxury, yango-uae</t>
        </is>
      </c>
      <c r="F490" s="41" t="n">
        <v>4</v>
      </c>
      <c r="G490" s="42" t="n">
        <v>2.4</v>
      </c>
      <c r="H490" s="35" t="n">
        <v>150</v>
      </c>
      <c r="I490" s="43" t="inlineStr">
        <is>
          <t>T5</t>
        </is>
      </c>
      <c r="J490" s="43" t="inlineStr">
        <is>
          <t>low</t>
        </is>
      </c>
      <c r="K490" s="29" t="n">
        <v>1</v>
      </c>
      <c r="L490" s="44">
        <f>60*G490/cruise_kt</f>
        <v/>
      </c>
      <c r="M490" s="44">
        <f>L490+turn_min+dwell_min</f>
        <v/>
      </c>
      <c r="N490" s="45">
        <f>MIN(10,FLOOR(60*service_hr/M490,1))</f>
        <v/>
      </c>
      <c r="O490" s="45">
        <f>ROUND(365*mech_uptime*K490,0)</f>
        <v/>
      </c>
      <c r="P490" s="46">
        <f>mech_uptime</f>
        <v/>
      </c>
      <c r="Q490" s="46">
        <f>revleg_sel</f>
        <v/>
      </c>
      <c r="R490" s="45">
        <f>ROUND(N490*O490*revleg_sel,0)</f>
        <v/>
      </c>
      <c r="S490" s="47">
        <f>load_sel</f>
        <v/>
      </c>
      <c r="T490" s="47">
        <f>pax_cap*S490</f>
        <v/>
      </c>
      <c r="U490" s="45">
        <f>T490*R490</f>
        <v/>
      </c>
      <c r="V490" s="48">
        <f>H490*discount</f>
        <v/>
      </c>
      <c r="W490" s="49">
        <f>V490*U490</f>
        <v/>
      </c>
      <c r="X490" s="49">
        <f>(battery/range_nm)*G490*R490*VLOOKUP(B490,country_opex,3,FALSE)</f>
        <v/>
      </c>
      <c r="Y490" s="49">
        <f>VLOOKUP(B490,country_opex,2,FALSE)*crew_factor</f>
        <v/>
      </c>
      <c r="Z490" s="49">
        <f>VLOOKUP(B490,country_opex,5,FALSE)</f>
        <v/>
      </c>
      <c r="AA490" s="49">
        <f>maint</f>
        <v/>
      </c>
      <c r="AB490" s="49">
        <f>VLOOKUP(B490,country_opex,7,FALSE)*ins_pct</f>
        <v/>
      </c>
      <c r="AC490" s="49">
        <f>charge_berth</f>
        <v/>
      </c>
      <c r="AD490" s="49">
        <f>X490+Y490+Z490+AA490+AB490+AC490</f>
        <v/>
      </c>
      <c r="AE490" s="49">
        <f>VLOOKUP(B490,country_opex,7,FALSE)/dep_years</f>
        <v/>
      </c>
      <c r="AF490" s="49">
        <f>W490-AD490</f>
        <v/>
      </c>
      <c r="AG490" s="46">
        <f>IF(W490=0,"",AF490/W490)</f>
        <v/>
      </c>
      <c r="AH490" s="47">
        <f>IF(AF490&lt;=0,"",VLOOKUP(B490,country_opex,7,FALSE)/AF490)</f>
        <v/>
      </c>
      <c r="AI490" s="44">
        <f>((G490*R490/diesel_nmpg)*diesel_co2pg-(battery/range_nm)*G490*R490*VLOOKUP(B490,country_opex,4,FALSE))/1000</f>
        <v/>
      </c>
      <c r="AJ490" s="42" t="n">
        <v>25000</v>
      </c>
      <c r="AK490" s="43" t="inlineStr">
        <is>
          <t>T3</t>
        </is>
      </c>
      <c r="AL490" s="43" t="inlineStr">
        <is>
          <t>low</t>
        </is>
      </c>
      <c r="AM490" s="50" t="n">
        <v>0.1</v>
      </c>
      <c r="AN490" s="45">
        <f>IF(AJ490="","",AJ490*AM490)</f>
        <v/>
      </c>
      <c r="AO490" s="45">
        <f>IF(OR(AJ490="",U490=0),"",MIN(IF(AV490="",9.9E+99,AV490),FLOOR(AN490/U490,1)))</f>
        <v/>
      </c>
      <c r="AP490" s="49">
        <f>IF(AO490="","",AO490*W490)</f>
        <v/>
      </c>
      <c r="AQ490" s="47">
        <f>IF(OR(AJ490="",U490=0),"",MIN(IF(AV490="",9.9E+99,AV490),AN490/U490))</f>
        <v/>
      </c>
      <c r="AR490" s="49">
        <f>IF(AQ490="","",AQ490*W490)</f>
        <v/>
      </c>
      <c r="AS490" s="51" t="n"/>
      <c r="AT490" s="52" t="n"/>
      <c r="AU490" s="52" t="n"/>
      <c r="AV490" s="53" t="n"/>
      <c r="AW490" s="54">
        <f>IF(((V490*pax_cap*load_thin*ROUND(N490*O490*revleg_thin,0))-(((battery/range_nm)*G490*ROUND(N490*O490*revleg_thin,0)*VLOOKUP(B490,country_opex,3,FALSE))+Y490+Z490+AA490+AB490+AC490))&lt;=0,"",VLOOKUP(B490,country_opex,7,FALSE)/((V490*pax_cap*load_thin*ROUND(N490*O490*revleg_thin,0))-(((battery/range_nm)*G490*ROUND(N490*O490*revleg_thin,0)*VLOOKUP(B490,country_opex,3,FALSE))+Y490+Z490+AA490+AB490+AC490)))</f>
        <v/>
      </c>
      <c r="AX490" s="54">
        <f>IF(((V490*pax_cap*load_mid*ROUND(N490*O490*revleg_mid,0))-(((battery/range_nm)*G490*ROUND(N490*O490*revleg_mid,0)*VLOOKUP(B490,country_opex,3,FALSE))+Y490+Z490+AA490+AB490+AC490))&lt;=0,"",VLOOKUP(B490,country_opex,7,FALSE)/((V490*pax_cap*load_mid*ROUND(N490*O490*revleg_mid,0))-(((battery/range_nm)*G490*ROUND(N490*O490*revleg_mid,0)*VLOOKUP(B490,country_opex,3,FALSE))+Y490+Z490+AA490+AB490+AC490)))</f>
        <v/>
      </c>
      <c r="AY490" s="54">
        <f>IF(((V490*pax_cap*load_full*ROUND(N490*O490*revleg_full,0))-(((battery/range_nm)*G490*ROUND(N490*O490*revleg_full,0)*VLOOKUP(B490,country_opex,3,FALSE))+Y490+Z490+AA490+AB490+AC490))&lt;=0,"",VLOOKUP(B490,country_opex,7,FALSE)/((V490*pax_cap*load_full*ROUND(N490*O490*revleg_full,0))-(((battery/range_nm)*G490*ROUND(N490*O490*revleg_full,0)*VLOOKUP(B490,country_opex,3,FALSE))+Y490+Z490+AA490+AB490+AC490)))</f>
        <v/>
      </c>
      <c r="AZ490" s="40" t="inlineStr">
        <is>
          <t>Intra-The-World offshore hop; both boat-only. Greenfield premium per-seat. T5/low.</t>
        </is>
      </c>
      <c r="BA490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491">
      <c r="A491" s="38" t="inlineStr">
        <is>
          <t>UAE (Careem)</t>
        </is>
      </c>
      <c r="B491" s="38" t="inlineStr">
        <is>
          <t>United Arab Emirates</t>
        </is>
      </c>
      <c r="C491" s="39" t="inlineStr">
        <is>
          <t>Marina Mall / Breakwater Marina → Al Bateen Marina</t>
        </is>
      </c>
      <c r="D491" s="38" t="inlineStr">
        <is>
          <t>careem</t>
        </is>
      </c>
      <c r="E491" s="40" t="inlineStr">
        <is>
          <t>bolt-uae, uae-careem, uae-luxury, yango-uae</t>
        </is>
      </c>
      <c r="F491" s="41" t="n">
        <v>4</v>
      </c>
      <c r="G491" s="42" t="n">
        <v>2.6</v>
      </c>
      <c r="H491" s="35" t="n">
        <v>45</v>
      </c>
      <c r="I491" s="43" t="inlineStr">
        <is>
          <t>T4</t>
        </is>
      </c>
      <c r="J491" s="43" t="inlineStr">
        <is>
          <t>low</t>
        </is>
      </c>
      <c r="K491" s="29" t="n">
        <v>1</v>
      </c>
      <c r="L491" s="44">
        <f>60*G491/cruise_kt</f>
        <v/>
      </c>
      <c r="M491" s="44">
        <f>L491+turn_min+dwell_min</f>
        <v/>
      </c>
      <c r="N491" s="45">
        <f>MIN(10,FLOOR(60*service_hr/M491,1))</f>
        <v/>
      </c>
      <c r="O491" s="45">
        <f>ROUND(365*mech_uptime*K491,0)</f>
        <v/>
      </c>
      <c r="P491" s="46">
        <f>mech_uptime</f>
        <v/>
      </c>
      <c r="Q491" s="46">
        <f>revleg_sel</f>
        <v/>
      </c>
      <c r="R491" s="45">
        <f>ROUND(N491*O491*revleg_sel,0)</f>
        <v/>
      </c>
      <c r="S491" s="47">
        <f>load_sel</f>
        <v/>
      </c>
      <c r="T491" s="47">
        <f>pax_cap*S491</f>
        <v/>
      </c>
      <c r="U491" s="45">
        <f>T491*R491</f>
        <v/>
      </c>
      <c r="V491" s="48">
        <f>H491*discount</f>
        <v/>
      </c>
      <c r="W491" s="49">
        <f>V491*U491</f>
        <v/>
      </c>
      <c r="X491" s="49">
        <f>(battery/range_nm)*G491*R491*VLOOKUP(B491,country_opex,3,FALSE)</f>
        <v/>
      </c>
      <c r="Y491" s="49">
        <f>VLOOKUP(B491,country_opex,2,FALSE)*crew_factor</f>
        <v/>
      </c>
      <c r="Z491" s="49">
        <f>VLOOKUP(B491,country_opex,5,FALSE)</f>
        <v/>
      </c>
      <c r="AA491" s="49">
        <f>maint</f>
        <v/>
      </c>
      <c r="AB491" s="49">
        <f>VLOOKUP(B491,country_opex,7,FALSE)*ins_pct</f>
        <v/>
      </c>
      <c r="AC491" s="49">
        <f>charge_berth</f>
        <v/>
      </c>
      <c r="AD491" s="49">
        <f>X491+Y491+Z491+AA491+AB491+AC491</f>
        <v/>
      </c>
      <c r="AE491" s="49">
        <f>VLOOKUP(B491,country_opex,7,FALSE)/dep_years</f>
        <v/>
      </c>
      <c r="AF491" s="49">
        <f>W491-AD491</f>
        <v/>
      </c>
      <c r="AG491" s="46">
        <f>IF(W491=0,"",AF491/W491)</f>
        <v/>
      </c>
      <c r="AH491" s="47">
        <f>IF(AF491&lt;=0,"",VLOOKUP(B491,country_opex,7,FALSE)/AF491)</f>
        <v/>
      </c>
      <c r="AI491" s="44">
        <f>((G491*R491/diesel_nmpg)*diesel_co2pg-(battery/range_nm)*G491*R491*VLOOKUP(B491,country_opex,4,FALSE))/1000</f>
        <v/>
      </c>
      <c r="AJ491" s="42" t="n">
        <v>50000</v>
      </c>
      <c r="AK491" s="43" t="inlineStr">
        <is>
          <t>T3</t>
        </is>
      </c>
      <c r="AL491" s="43" t="inlineStr">
        <is>
          <t>low</t>
        </is>
      </c>
      <c r="AM491" s="50" t="n">
        <v>0.1</v>
      </c>
      <c r="AN491" s="45">
        <f>IF(AJ491="","",AJ491*AM491)</f>
        <v/>
      </c>
      <c r="AO491" s="45">
        <f>IF(OR(AJ491="",U491=0),"",MIN(IF(AV491="",9.9E+99,AV491),FLOOR(AN491/U491,1)))</f>
        <v/>
      </c>
      <c r="AP491" s="49">
        <f>IF(AO491="","",AO491*W491)</f>
        <v/>
      </c>
      <c r="AQ491" s="47">
        <f>IF(OR(AJ491="",U491=0),"",MIN(IF(AV491="",9.9E+99,AV491),AN491/U491))</f>
        <v/>
      </c>
      <c r="AR491" s="49">
        <f>IF(AQ491="","",AQ491*W491)</f>
        <v/>
      </c>
      <c r="AS491" s="51" t="n"/>
      <c r="AT491" s="52" t="n"/>
      <c r="AU491" s="52" t="n"/>
      <c r="AV491" s="53" t="n"/>
      <c r="AW491" s="54">
        <f>IF(((V491*pax_cap*load_thin*ROUND(N491*O491*revleg_thin,0))-(((battery/range_nm)*G491*ROUND(N491*O491*revleg_thin,0)*VLOOKUP(B491,country_opex,3,FALSE))+Y491+Z491+AA491+AB491+AC491))&lt;=0,"",VLOOKUP(B491,country_opex,7,FALSE)/((V491*pax_cap*load_thin*ROUND(N491*O491*revleg_thin,0))-(((battery/range_nm)*G491*ROUND(N491*O491*revleg_thin,0)*VLOOKUP(B491,country_opex,3,FALSE))+Y491+Z491+AA491+AB491+AC491)))</f>
        <v/>
      </c>
      <c r="AX491" s="54">
        <f>IF(((V491*pax_cap*load_mid*ROUND(N491*O491*revleg_mid,0))-(((battery/range_nm)*G491*ROUND(N491*O491*revleg_mid,0)*VLOOKUP(B491,country_opex,3,FALSE))+Y491+Z491+AA491+AB491+AC491))&lt;=0,"",VLOOKUP(B491,country_opex,7,FALSE)/((V491*pax_cap*load_mid*ROUND(N491*O491*revleg_mid,0))-(((battery/range_nm)*G491*ROUND(N491*O491*revleg_mid,0)*VLOOKUP(B491,country_opex,3,FALSE))+Y491+Z491+AA491+AB491+AC491)))</f>
        <v/>
      </c>
      <c r="AY491" s="54">
        <f>IF(((V491*pax_cap*load_full*ROUND(N491*O491*revleg_full,0))-(((battery/range_nm)*G491*ROUND(N491*O491*revleg_full,0)*VLOOKUP(B491,country_opex,3,FALSE))+Y491+Z491+AA491+AB491+AC491))&lt;=0,"",VLOOKUP(B491,country_opex,7,FALSE)/((V491*pax_cap*load_full*ROUND(N491*O491*revleg_full,0))-(((battery/range_nm)*G491*ROUND(N491*O491*revleg_full,0)*VLOOKUP(B491,country_opex,3,FALSE))+Y491+Z491+AA491+AB491+AC491)))</f>
        <v/>
      </c>
      <c r="AZ491" s="40" t="inlineStr">
        <is>
          <t>RTA/Dubai-Ferry official ladder (R-RTA, T1): Water Taxi on-demand single AED 150/pax = $40.8; Dubai Ferry Gold AED 75 = $20.4, Silver AED 50 = $13.6; Water Bus AED 7; Abra AED 1. dubai-ferry.com / rta.ae 2025/26. Al Bateen Marina, AD.</t>
        </is>
      </c>
      <c r="BA491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492">
      <c r="A492" s="38" t="inlineStr">
        <is>
          <t>UAE (Careem)</t>
        </is>
      </c>
      <c r="B492" s="38" t="inlineStr">
        <is>
          <t>United Arab Emirates</t>
        </is>
      </c>
      <c r="C492" s="39" t="inlineStr">
        <is>
          <t>Bulgari Yacht Club &amp; Marina → La Mer / J1 Beach Jetty</t>
        </is>
      </c>
      <c r="D492" s="38" t="inlineStr">
        <is>
          <t>careem</t>
        </is>
      </c>
      <c r="E492" s="40" t="inlineStr">
        <is>
          <t>bolt-uae, uae-careem, uae-luxury, yango-uae</t>
        </is>
      </c>
      <c r="F492" s="41" t="n">
        <v>4</v>
      </c>
      <c r="G492" s="42" t="n">
        <v>2.6</v>
      </c>
      <c r="H492" s="35" t="n">
        <v>120</v>
      </c>
      <c r="I492" s="43" t="inlineStr">
        <is>
          <t>T5</t>
        </is>
      </c>
      <c r="J492" s="43" t="inlineStr">
        <is>
          <t>low</t>
        </is>
      </c>
      <c r="K492" s="29" t="n">
        <v>1</v>
      </c>
      <c r="L492" s="44">
        <f>60*G492/cruise_kt</f>
        <v/>
      </c>
      <c r="M492" s="44">
        <f>L492+turn_min+dwell_min</f>
        <v/>
      </c>
      <c r="N492" s="45">
        <f>MIN(10,FLOOR(60*service_hr/M492,1))</f>
        <v/>
      </c>
      <c r="O492" s="45">
        <f>ROUND(365*mech_uptime*K492,0)</f>
        <v/>
      </c>
      <c r="P492" s="46">
        <f>mech_uptime</f>
        <v/>
      </c>
      <c r="Q492" s="46">
        <f>revleg_sel</f>
        <v/>
      </c>
      <c r="R492" s="45">
        <f>ROUND(N492*O492*revleg_sel,0)</f>
        <v/>
      </c>
      <c r="S492" s="47">
        <f>load_sel</f>
        <v/>
      </c>
      <c r="T492" s="47">
        <f>pax_cap*S492</f>
        <v/>
      </c>
      <c r="U492" s="45">
        <f>T492*R492</f>
        <v/>
      </c>
      <c r="V492" s="48">
        <f>H492*discount</f>
        <v/>
      </c>
      <c r="W492" s="49">
        <f>V492*U492</f>
        <v/>
      </c>
      <c r="X492" s="49">
        <f>(battery/range_nm)*G492*R492*VLOOKUP(B492,country_opex,3,FALSE)</f>
        <v/>
      </c>
      <c r="Y492" s="49">
        <f>VLOOKUP(B492,country_opex,2,FALSE)*crew_factor</f>
        <v/>
      </c>
      <c r="Z492" s="49">
        <f>VLOOKUP(B492,country_opex,5,FALSE)</f>
        <v/>
      </c>
      <c r="AA492" s="49">
        <f>maint</f>
        <v/>
      </c>
      <c r="AB492" s="49">
        <f>VLOOKUP(B492,country_opex,7,FALSE)*ins_pct</f>
        <v/>
      </c>
      <c r="AC492" s="49">
        <f>charge_berth</f>
        <v/>
      </c>
      <c r="AD492" s="49">
        <f>X492+Y492+Z492+AA492+AB492+AC492</f>
        <v/>
      </c>
      <c r="AE492" s="49">
        <f>VLOOKUP(B492,country_opex,7,FALSE)/dep_years</f>
        <v/>
      </c>
      <c r="AF492" s="49">
        <f>W492-AD492</f>
        <v/>
      </c>
      <c r="AG492" s="46">
        <f>IF(W492=0,"",AF492/W492)</f>
        <v/>
      </c>
      <c r="AH492" s="47">
        <f>IF(AF492&lt;=0,"",VLOOKUP(B492,country_opex,7,FALSE)/AF492)</f>
        <v/>
      </c>
      <c r="AI492" s="44">
        <f>((G492*R492/diesel_nmpg)*diesel_co2pg-(battery/range_nm)*G492*R492*VLOOKUP(B492,country_opex,4,FALSE))/1000</f>
        <v/>
      </c>
      <c r="AJ492" s="42" t="n">
        <v>30000</v>
      </c>
      <c r="AK492" s="43" t="inlineStr">
        <is>
          <t>T3</t>
        </is>
      </c>
      <c r="AL492" s="43" t="inlineStr">
        <is>
          <t>low</t>
        </is>
      </c>
      <c r="AM492" s="50" t="n">
        <v>0.1</v>
      </c>
      <c r="AN492" s="45">
        <f>IF(AJ492="","",AJ492*AM492)</f>
        <v/>
      </c>
      <c r="AO492" s="45">
        <f>IF(OR(AJ492="",U492=0),"",MIN(IF(AV492="",9.9E+99,AV492),FLOOR(AN492/U492,1)))</f>
        <v/>
      </c>
      <c r="AP492" s="49">
        <f>IF(AO492="","",AO492*W492)</f>
        <v/>
      </c>
      <c r="AQ492" s="47">
        <f>IF(OR(AJ492="",U492=0),"",MIN(IF(AV492="",9.9E+99,AV492),AN492/U492))</f>
        <v/>
      </c>
      <c r="AR492" s="49">
        <f>IF(AQ492="","",AQ492*W492)</f>
        <v/>
      </c>
      <c r="AS492" s="51" t="n"/>
      <c r="AT492" s="52" t="n"/>
      <c r="AU492" s="52" t="n"/>
      <c r="AV492" s="53" t="n"/>
      <c r="AW492" s="54">
        <f>IF(((V492*pax_cap*load_thin*ROUND(N492*O492*revleg_thin,0))-(((battery/range_nm)*G492*ROUND(N492*O492*revleg_thin,0)*VLOOKUP(B492,country_opex,3,FALSE))+Y492+Z492+AA492+AB492+AC492))&lt;=0,"",VLOOKUP(B492,country_opex,7,FALSE)/((V492*pax_cap*load_thin*ROUND(N492*O492*revleg_thin,0))-(((battery/range_nm)*G492*ROUND(N492*O492*revleg_thin,0)*VLOOKUP(B492,country_opex,3,FALSE))+Y492+Z492+AA492+AB492+AC492)))</f>
        <v/>
      </c>
      <c r="AX492" s="54">
        <f>IF(((V492*pax_cap*load_mid*ROUND(N492*O492*revleg_mid,0))-(((battery/range_nm)*G492*ROUND(N492*O492*revleg_mid,0)*VLOOKUP(B492,country_opex,3,FALSE))+Y492+Z492+AA492+AB492+AC492))&lt;=0,"",VLOOKUP(B492,country_opex,7,FALSE)/((V492*pax_cap*load_mid*ROUND(N492*O492*revleg_mid,0))-(((battery/range_nm)*G492*ROUND(N492*O492*revleg_mid,0)*VLOOKUP(B492,country_opex,3,FALSE))+Y492+Z492+AA492+AB492+AC492)))</f>
        <v/>
      </c>
      <c r="AY492" s="54">
        <f>IF(((V492*pax_cap*load_full*ROUND(N492*O492*revleg_full,0))-(((battery/range_nm)*G492*ROUND(N492*O492*revleg_full,0)*VLOOKUP(B492,country_opex,3,FALSE))+Y492+Z492+AA492+AB492+AC492))&lt;=0,"",VLOOKUP(B492,country_opex,7,FALSE)/((V492*pax_cap*load_full*ROUND(N492*O492*revleg_full,0))-(((battery/range_nm)*G492*ROUND(N492*O492*revleg_full,0)*VLOOKUP(B492,country_opex,3,FALSE))+Y492+Z492+AA492+AB492+AC492)))</f>
        <v/>
      </c>
      <c r="AZ492" s="40" t="inlineStr">
        <is>
          <t>Urban Dubai beach-club leisure hop (Bulgari Bay&lt;-&gt;La Mer/J1). Road-served. T5/low.</t>
        </is>
      </c>
      <c r="BA492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493">
      <c r="A493" s="38" t="inlineStr">
        <is>
          <t>UAE (Careem)</t>
        </is>
      </c>
      <c r="B493" s="38" t="inlineStr">
        <is>
          <t>United Arab Emirates</t>
        </is>
      </c>
      <c r="C493" s="39" t="inlineStr">
        <is>
          <t>Al Bateen Marina → Hudayriat Marina</t>
        </is>
      </c>
      <c r="D493" s="38" t="inlineStr">
        <is>
          <t>careem</t>
        </is>
      </c>
      <c r="E493" s="40" t="inlineStr">
        <is>
          <t>bolt-uae, uae-careem, uae-luxury, yango-uae</t>
        </is>
      </c>
      <c r="F493" s="41" t="n">
        <v>4</v>
      </c>
      <c r="G493" s="42" t="n">
        <v>3.6</v>
      </c>
      <c r="H493" s="35" t="n">
        <v>90</v>
      </c>
      <c r="I493" s="43" t="inlineStr">
        <is>
          <t>T4</t>
        </is>
      </c>
      <c r="J493" s="43" t="inlineStr">
        <is>
          <t>low</t>
        </is>
      </c>
      <c r="K493" s="29" t="n">
        <v>1</v>
      </c>
      <c r="L493" s="44">
        <f>60*G493/cruise_kt</f>
        <v/>
      </c>
      <c r="M493" s="44">
        <f>L493+turn_min+dwell_min</f>
        <v/>
      </c>
      <c r="N493" s="45">
        <f>MIN(10,FLOOR(60*service_hr/M493,1))</f>
        <v/>
      </c>
      <c r="O493" s="45">
        <f>ROUND(365*mech_uptime*K493,0)</f>
        <v/>
      </c>
      <c r="P493" s="46">
        <f>mech_uptime</f>
        <v/>
      </c>
      <c r="Q493" s="46">
        <f>revleg_sel</f>
        <v/>
      </c>
      <c r="R493" s="45">
        <f>ROUND(N493*O493*revleg_sel,0)</f>
        <v/>
      </c>
      <c r="S493" s="47">
        <f>load_sel</f>
        <v/>
      </c>
      <c r="T493" s="47">
        <f>pax_cap*S493</f>
        <v/>
      </c>
      <c r="U493" s="45">
        <f>T493*R493</f>
        <v/>
      </c>
      <c r="V493" s="48">
        <f>H493*discount</f>
        <v/>
      </c>
      <c r="W493" s="49">
        <f>V493*U493</f>
        <v/>
      </c>
      <c r="X493" s="49">
        <f>(battery/range_nm)*G493*R493*VLOOKUP(B493,country_opex,3,FALSE)</f>
        <v/>
      </c>
      <c r="Y493" s="49">
        <f>VLOOKUP(B493,country_opex,2,FALSE)*crew_factor</f>
        <v/>
      </c>
      <c r="Z493" s="49">
        <f>VLOOKUP(B493,country_opex,5,FALSE)</f>
        <v/>
      </c>
      <c r="AA493" s="49">
        <f>maint</f>
        <v/>
      </c>
      <c r="AB493" s="49">
        <f>VLOOKUP(B493,country_opex,7,FALSE)*ins_pct</f>
        <v/>
      </c>
      <c r="AC493" s="49">
        <f>charge_berth</f>
        <v/>
      </c>
      <c r="AD493" s="49">
        <f>X493+Y493+Z493+AA493+AB493+AC493</f>
        <v/>
      </c>
      <c r="AE493" s="49">
        <f>VLOOKUP(B493,country_opex,7,FALSE)/dep_years</f>
        <v/>
      </c>
      <c r="AF493" s="49">
        <f>W493-AD493</f>
        <v/>
      </c>
      <c r="AG493" s="46">
        <f>IF(W493=0,"",AF493/W493)</f>
        <v/>
      </c>
      <c r="AH493" s="47">
        <f>IF(AF493&lt;=0,"",VLOOKUP(B493,country_opex,7,FALSE)/AF493)</f>
        <v/>
      </c>
      <c r="AI493" s="44">
        <f>((G493*R493/diesel_nmpg)*diesel_co2pg-(battery/range_nm)*G493*R493*VLOOKUP(B493,country_opex,4,FALSE))/1000</f>
        <v/>
      </c>
      <c r="AJ493" s="42" t="n">
        <v>35000</v>
      </c>
      <c r="AK493" s="43" t="inlineStr">
        <is>
          <t>T3</t>
        </is>
      </c>
      <c r="AL493" s="43" t="inlineStr">
        <is>
          <t>low</t>
        </is>
      </c>
      <c r="AM493" s="50" t="n">
        <v>0.1</v>
      </c>
      <c r="AN493" s="45">
        <f>IF(AJ493="","",AJ493*AM493)</f>
        <v/>
      </c>
      <c r="AO493" s="45">
        <f>IF(OR(AJ493="",U493=0),"",MIN(IF(AV493="",9.9E+99,AV493),FLOOR(AN493/U493,1)))</f>
        <v/>
      </c>
      <c r="AP493" s="49">
        <f>IF(AO493="","",AO493*W493)</f>
        <v/>
      </c>
      <c r="AQ493" s="47">
        <f>IF(OR(AJ493="",U493=0),"",MIN(IF(AV493="",9.9E+99,AV493),AN493/U493))</f>
        <v/>
      </c>
      <c r="AR493" s="49">
        <f>IF(AQ493="","",AQ493*W493)</f>
        <v/>
      </c>
      <c r="AS493" s="51" t="n"/>
      <c r="AT493" s="52" t="n"/>
      <c r="AU493" s="52" t="n"/>
      <c r="AV493" s="53" t="n"/>
      <c r="AW493" s="54">
        <f>IF(((V493*pax_cap*load_thin*ROUND(N493*O493*revleg_thin,0))-(((battery/range_nm)*G493*ROUND(N493*O493*revleg_thin,0)*VLOOKUP(B493,country_opex,3,FALSE))+Y493+Z493+AA493+AB493+AC493))&lt;=0,"",VLOOKUP(B493,country_opex,7,FALSE)/((V493*pax_cap*load_thin*ROUND(N493*O493*revleg_thin,0))-(((battery/range_nm)*G493*ROUND(N493*O493*revleg_thin,0)*VLOOKUP(B493,country_opex,3,FALSE))+Y493+Z493+AA493+AB493+AC493)))</f>
        <v/>
      </c>
      <c r="AX493" s="54">
        <f>IF(((V493*pax_cap*load_mid*ROUND(N493*O493*revleg_mid,0))-(((battery/range_nm)*G493*ROUND(N493*O493*revleg_mid,0)*VLOOKUP(B493,country_opex,3,FALSE))+Y493+Z493+AA493+AB493+AC493))&lt;=0,"",VLOOKUP(B493,country_opex,7,FALSE)/((V493*pax_cap*load_mid*ROUND(N493*O493*revleg_mid,0))-(((battery/range_nm)*G493*ROUND(N493*O493*revleg_mid,0)*VLOOKUP(B493,country_opex,3,FALSE))+Y493+Z493+AA493+AB493+AC493)))</f>
        <v/>
      </c>
      <c r="AY493" s="54">
        <f>IF(((V493*pax_cap*load_full*ROUND(N493*O493*revleg_full,0))-(((battery/range_nm)*G493*ROUND(N493*O493*revleg_full,0)*VLOOKUP(B493,country_opex,3,FALSE))+Y493+Z493+AA493+AB493+AC493))&lt;=0,"",VLOOKUP(B493,country_opex,7,FALSE)/((V493*pax_cap*load_full*ROUND(N493*O493*revleg_full,0))-(((battery/range_nm)*G493*ROUND(N493*O493*revleg_full,0)*VLOOKUP(B493,country_opex,3,FALSE))+Y493+Z493+AA493+AB493+AC493)))</f>
        <v/>
      </c>
      <c r="AZ493" s="40" t="inlineStr">
        <is>
          <t>RTA/Dubai-Ferry official ladder (R-RTA, T1): Water Taxi on-demand single AED 150/pax = $40.8; Dubai Ferry Gold AED 75 = $20.4, Silver AED 50 = $13.6; Water Bus AED 7; Abra AED 1. dubai-ferry.com / rta.ae 2025/26. Hudayriat Island leisure/beach destination, AD.</t>
        </is>
      </c>
      <c r="BA493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494">
      <c r="A494" s="38" t="inlineStr">
        <is>
          <t>UAE (Careem)</t>
        </is>
      </c>
      <c r="B494" s="38" t="inlineStr">
        <is>
          <t>United Arab Emirates</t>
        </is>
      </c>
      <c r="C494" s="39" t="inlineStr">
        <is>
          <t>Côte d'Azur Resort Marina (Heart of Europe) → Bulgari Yacht Club &amp; Marina</t>
        </is>
      </c>
      <c r="D494" s="38" t="inlineStr">
        <is>
          <t>careem</t>
        </is>
      </c>
      <c r="E494" s="40" t="inlineStr">
        <is>
          <t>bolt-uae, uae-careem, uae-luxury, yango-uae</t>
        </is>
      </c>
      <c r="F494" s="41" t="n">
        <v>4</v>
      </c>
      <c r="G494" s="42" t="n">
        <v>4.2</v>
      </c>
      <c r="H494" s="35" t="n">
        <v>150</v>
      </c>
      <c r="I494" s="43" t="inlineStr">
        <is>
          <t>T5</t>
        </is>
      </c>
      <c r="J494" s="43" t="inlineStr">
        <is>
          <t>low</t>
        </is>
      </c>
      <c r="K494" s="29" t="n">
        <v>1</v>
      </c>
      <c r="L494" s="44">
        <f>60*G494/cruise_kt</f>
        <v/>
      </c>
      <c r="M494" s="44">
        <f>L494+turn_min+dwell_min</f>
        <v/>
      </c>
      <c r="N494" s="45">
        <f>MIN(10,FLOOR(60*service_hr/M494,1))</f>
        <v/>
      </c>
      <c r="O494" s="45">
        <f>ROUND(365*mech_uptime*K494,0)</f>
        <v/>
      </c>
      <c r="P494" s="46">
        <f>mech_uptime</f>
        <v/>
      </c>
      <c r="Q494" s="46">
        <f>revleg_sel</f>
        <v/>
      </c>
      <c r="R494" s="45">
        <f>ROUND(N494*O494*revleg_sel,0)</f>
        <v/>
      </c>
      <c r="S494" s="47">
        <f>load_sel</f>
        <v/>
      </c>
      <c r="T494" s="47">
        <f>pax_cap*S494</f>
        <v/>
      </c>
      <c r="U494" s="45">
        <f>T494*R494</f>
        <v/>
      </c>
      <c r="V494" s="48">
        <f>H494*discount</f>
        <v/>
      </c>
      <c r="W494" s="49">
        <f>V494*U494</f>
        <v/>
      </c>
      <c r="X494" s="49">
        <f>(battery/range_nm)*G494*R494*VLOOKUP(B494,country_opex,3,FALSE)</f>
        <v/>
      </c>
      <c r="Y494" s="49">
        <f>VLOOKUP(B494,country_opex,2,FALSE)*crew_factor</f>
        <v/>
      </c>
      <c r="Z494" s="49">
        <f>VLOOKUP(B494,country_opex,5,FALSE)</f>
        <v/>
      </c>
      <c r="AA494" s="49">
        <f>maint</f>
        <v/>
      </c>
      <c r="AB494" s="49">
        <f>VLOOKUP(B494,country_opex,7,FALSE)*ins_pct</f>
        <v/>
      </c>
      <c r="AC494" s="49">
        <f>charge_berth</f>
        <v/>
      </c>
      <c r="AD494" s="49">
        <f>X494+Y494+Z494+AA494+AB494+AC494</f>
        <v/>
      </c>
      <c r="AE494" s="49">
        <f>VLOOKUP(B494,country_opex,7,FALSE)/dep_years</f>
        <v/>
      </c>
      <c r="AF494" s="49">
        <f>W494-AD494</f>
        <v/>
      </c>
      <c r="AG494" s="46">
        <f>IF(W494=0,"",AF494/W494)</f>
        <v/>
      </c>
      <c r="AH494" s="47">
        <f>IF(AF494&lt;=0,"",VLOOKUP(B494,country_opex,7,FALSE)/AF494)</f>
        <v/>
      </c>
      <c r="AI494" s="44">
        <f>((G494*R494/diesel_nmpg)*diesel_co2pg-(battery/range_nm)*G494*R494*VLOOKUP(B494,country_opex,4,FALSE))/1000</f>
        <v/>
      </c>
      <c r="AJ494" s="42" t="n">
        <v>20000</v>
      </c>
      <c r="AK494" s="43" t="inlineStr">
        <is>
          <t>T3</t>
        </is>
      </c>
      <c r="AL494" s="43" t="inlineStr">
        <is>
          <t>low</t>
        </is>
      </c>
      <c r="AM494" s="50" t="n">
        <v>0.1</v>
      </c>
      <c r="AN494" s="45">
        <f>IF(AJ494="","",AJ494*AM494)</f>
        <v/>
      </c>
      <c r="AO494" s="45">
        <f>IF(OR(AJ494="",U494=0),"",MIN(IF(AV494="",9.9E+99,AV494),FLOOR(AN494/U494,1)))</f>
        <v/>
      </c>
      <c r="AP494" s="49">
        <f>IF(AO494="","",AO494*W494)</f>
        <v/>
      </c>
      <c r="AQ494" s="47">
        <f>IF(OR(AJ494="",U494=0),"",MIN(IF(AV494="",9.9E+99,AV494),AN494/U494))</f>
        <v/>
      </c>
      <c r="AR494" s="49">
        <f>IF(AQ494="","",AQ494*W494)</f>
        <v/>
      </c>
      <c r="AS494" s="51" t="n"/>
      <c r="AT494" s="52" t="n"/>
      <c r="AU494" s="52" t="n"/>
      <c r="AV494" s="53" t="n"/>
      <c r="AW494" s="54">
        <f>IF(((V494*pax_cap*load_thin*ROUND(N494*O494*revleg_thin,0))-(((battery/range_nm)*G494*ROUND(N494*O494*revleg_thin,0)*VLOOKUP(B494,country_opex,3,FALSE))+Y494+Z494+AA494+AB494+AC494))&lt;=0,"",VLOOKUP(B494,country_opex,7,FALSE)/((V494*pax_cap*load_thin*ROUND(N494*O494*revleg_thin,0))-(((battery/range_nm)*G494*ROUND(N494*O494*revleg_thin,0)*VLOOKUP(B494,country_opex,3,FALSE))+Y494+Z494+AA494+AB494+AC494)))</f>
        <v/>
      </c>
      <c r="AX494" s="54">
        <f>IF(((V494*pax_cap*load_mid*ROUND(N494*O494*revleg_mid,0))-(((battery/range_nm)*G494*ROUND(N494*O494*revleg_mid,0)*VLOOKUP(B494,country_opex,3,FALSE))+Y494+Z494+AA494+AB494+AC494))&lt;=0,"",VLOOKUP(B494,country_opex,7,FALSE)/((V494*pax_cap*load_mid*ROUND(N494*O494*revleg_mid,0))-(((battery/range_nm)*G494*ROUND(N494*O494*revleg_mid,0)*VLOOKUP(B494,country_opex,3,FALSE))+Y494+Z494+AA494+AB494+AC494)))</f>
        <v/>
      </c>
      <c r="AY494" s="54">
        <f>IF(((V494*pax_cap*load_full*ROUND(N494*O494*revleg_full,0))-(((battery/range_nm)*G494*ROUND(N494*O494*revleg_full,0)*VLOOKUP(B494,country_opex,3,FALSE))+Y494+Z494+AA494+AB494+AC494))&lt;=0,"",VLOOKUP(B494,country_opex,7,FALSE)/((V494*pax_cap*load_full*ROUND(N494*O494*revleg_full,0))-(((battery/range_nm)*G494*ROUND(N494*O494*revleg_full,0)*VLOOKUP(B494,country_opex,3,FALSE))+Y494+Z494+AA494+AB494+AC494)))</f>
        <v/>
      </c>
      <c r="AZ494" s="40" t="inlineStr">
        <is>
          <t>The World (boat-only)&lt;-&gt;Bulgari (Jumeirah Bay) luxury hop. Greenfield. T5/low.</t>
        </is>
      </c>
      <c r="BA494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495">
      <c r="A495" s="38" t="inlineStr">
        <is>
          <t>UAE (Careem)</t>
        </is>
      </c>
      <c r="B495" s="38" t="inlineStr">
        <is>
          <t>United Arab Emirates</t>
        </is>
      </c>
      <c r="C495" s="39" t="inlineStr">
        <is>
          <t>Saadiyat Beach Club Jetty → Zaya Nurai Island Jetty</t>
        </is>
      </c>
      <c r="D495" s="38" t="inlineStr">
        <is>
          <t>careem</t>
        </is>
      </c>
      <c r="E495" s="40" t="inlineStr">
        <is>
          <t>bolt-uae, uae-careem, uae-luxury, yango-uae</t>
        </is>
      </c>
      <c r="F495" s="41" t="n">
        <v>4</v>
      </c>
      <c r="G495" s="42" t="n">
        <v>4.4</v>
      </c>
      <c r="H495" s="35" t="n">
        <v>150</v>
      </c>
      <c r="I495" s="43" t="inlineStr">
        <is>
          <t>T3</t>
        </is>
      </c>
      <c r="J495" s="43" t="inlineStr">
        <is>
          <t>med</t>
        </is>
      </c>
      <c r="K495" s="29" t="n">
        <v>1</v>
      </c>
      <c r="L495" s="44">
        <f>60*G495/cruise_kt</f>
        <v/>
      </c>
      <c r="M495" s="44">
        <f>L495+turn_min+dwell_min</f>
        <v/>
      </c>
      <c r="N495" s="45">
        <f>MIN(10,FLOOR(60*service_hr/M495,1))</f>
        <v/>
      </c>
      <c r="O495" s="45">
        <f>ROUND(365*mech_uptime*K495,0)</f>
        <v/>
      </c>
      <c r="P495" s="46">
        <f>mech_uptime</f>
        <v/>
      </c>
      <c r="Q495" s="46">
        <f>revleg_sel</f>
        <v/>
      </c>
      <c r="R495" s="45">
        <f>ROUND(N495*O495*revleg_sel,0)</f>
        <v/>
      </c>
      <c r="S495" s="47">
        <f>load_sel</f>
        <v/>
      </c>
      <c r="T495" s="47">
        <f>pax_cap*S495</f>
        <v/>
      </c>
      <c r="U495" s="45">
        <f>T495*R495</f>
        <v/>
      </c>
      <c r="V495" s="48">
        <f>H495*discount</f>
        <v/>
      </c>
      <c r="W495" s="49">
        <f>V495*U495</f>
        <v/>
      </c>
      <c r="X495" s="49">
        <f>(battery/range_nm)*G495*R495*VLOOKUP(B495,country_opex,3,FALSE)</f>
        <v/>
      </c>
      <c r="Y495" s="49">
        <f>VLOOKUP(B495,country_opex,2,FALSE)*crew_factor</f>
        <v/>
      </c>
      <c r="Z495" s="49">
        <f>VLOOKUP(B495,country_opex,5,FALSE)</f>
        <v/>
      </c>
      <c r="AA495" s="49">
        <f>maint</f>
        <v/>
      </c>
      <c r="AB495" s="49">
        <f>VLOOKUP(B495,country_opex,7,FALSE)*ins_pct</f>
        <v/>
      </c>
      <c r="AC495" s="49">
        <f>charge_berth</f>
        <v/>
      </c>
      <c r="AD495" s="49">
        <f>X495+Y495+Z495+AA495+AB495+AC495</f>
        <v/>
      </c>
      <c r="AE495" s="49">
        <f>VLOOKUP(B495,country_opex,7,FALSE)/dep_years</f>
        <v/>
      </c>
      <c r="AF495" s="49">
        <f>W495-AD495</f>
        <v/>
      </c>
      <c r="AG495" s="46">
        <f>IF(W495=0,"",AF495/W495)</f>
        <v/>
      </c>
      <c r="AH495" s="47">
        <f>IF(AF495&lt;=0,"",VLOOKUP(B495,country_opex,7,FALSE)/AF495)</f>
        <v/>
      </c>
      <c r="AI495" s="44">
        <f>((G495*R495/diesel_nmpg)*diesel_co2pg-(battery/range_nm)*G495*R495*VLOOKUP(B495,country_opex,4,FALSE))/1000</f>
        <v/>
      </c>
      <c r="AJ495" s="42" t="n">
        <v>45000</v>
      </c>
      <c r="AK495" s="43" t="inlineStr">
        <is>
          <t>T5</t>
        </is>
      </c>
      <c r="AL495" s="43" t="inlineStr">
        <is>
          <t>low</t>
        </is>
      </c>
      <c r="AM495" s="50" t="n">
        <v>0.1</v>
      </c>
      <c r="AN495" s="45">
        <f>IF(AJ495="","",AJ495*AM495)</f>
        <v/>
      </c>
      <c r="AO495" s="45">
        <f>IF(OR(AJ495="",U495=0),"",MIN(IF(AV495="",9.9E+99,AV495),FLOOR(AN495/U495,1)))</f>
        <v/>
      </c>
      <c r="AP495" s="49">
        <f>IF(AO495="","",AO495*W495)</f>
        <v/>
      </c>
      <c r="AQ495" s="47">
        <f>IF(OR(AJ495="",U495=0),"",MIN(IF(AV495="",9.9E+99,AV495),AN495/U495))</f>
        <v/>
      </c>
      <c r="AR495" s="49">
        <f>IF(AQ495="","",AQ495*W495)</f>
        <v/>
      </c>
      <c r="AS495" s="51" t="n"/>
      <c r="AT495" s="52" t="n"/>
      <c r="AU495" s="52" t="n"/>
      <c r="AV495" s="53" t="n"/>
      <c r="AW495" s="54">
        <f>IF(((V495*pax_cap*load_thin*ROUND(N495*O495*revleg_thin,0))-(((battery/range_nm)*G495*ROUND(N495*O495*revleg_thin,0)*VLOOKUP(B495,country_opex,3,FALSE))+Y495+Z495+AA495+AB495+AC495))&lt;=0,"",VLOOKUP(B495,country_opex,7,FALSE)/((V495*pax_cap*load_thin*ROUND(N495*O495*revleg_thin,0))-(((battery/range_nm)*G495*ROUND(N495*O495*revleg_thin,0)*VLOOKUP(B495,country_opex,3,FALSE))+Y495+Z495+AA495+AB495+AC495)))</f>
        <v/>
      </c>
      <c r="AX495" s="54">
        <f>IF(((V495*pax_cap*load_mid*ROUND(N495*O495*revleg_mid,0))-(((battery/range_nm)*G495*ROUND(N495*O495*revleg_mid,0)*VLOOKUP(B495,country_opex,3,FALSE))+Y495+Z495+AA495+AB495+AC495))&lt;=0,"",VLOOKUP(B495,country_opex,7,FALSE)/((V495*pax_cap*load_mid*ROUND(N495*O495*revleg_mid,0))-(((battery/range_nm)*G495*ROUND(N495*O495*revleg_mid,0)*VLOOKUP(B495,country_opex,3,FALSE))+Y495+Z495+AA495+AB495+AC495)))</f>
        <v/>
      </c>
      <c r="AY495" s="54">
        <f>IF(((V495*pax_cap*load_full*ROUND(N495*O495*revleg_full,0))-(((battery/range_nm)*G495*ROUND(N495*O495*revleg_full,0)*VLOOKUP(B495,country_opex,3,FALSE))+Y495+Z495+AA495+AB495+AC495))&lt;=0,"",VLOOKUP(B495,country_opex,7,FALSE)/((V495*pax_cap*load_full*ROUND(N495*O495*revleg_full,0))-(((battery/range_nm)*G495*ROUND(N495*O495*revleg_full,0)*VLOOKUP(B495,country_opex,3,FALSE))+Y495+Z495+AA495+AB495+AC495)))</f>
        <v/>
      </c>
      <c r="AZ495" s="40" t="inlineStr">
        <is>
          <t>Saadiyat Beach Club-&gt;Zaya Nurai Island (4.4nm). WATER-ONLY (12-15min boat from Saadiyat; boat-only, 32 villas + 23 residences). Day-pass + transfer redemption ladder; premium per-seat $150.</t>
        </is>
      </c>
      <c r="BA495" s="40" t="inlineStr">
        <is>
          <t>Boat-only -&gt; FULLY addressable (R3-EXCEPTION). 32 villas + 23 residences stay-pool + day-club guests (major Saadiyat day-trip).</t>
        </is>
      </c>
    </row>
    <row r="496">
      <c r="A496" s="38" t="inlineStr">
        <is>
          <t>UAE (Careem)</t>
        </is>
      </c>
      <c r="B496" s="38" t="inlineStr">
        <is>
          <t>United Arab Emirates</t>
        </is>
      </c>
      <c r="C496" s="39" t="inlineStr">
        <is>
          <t>Dubai Harbour Marina → Atlantis The Royal Jetty</t>
        </is>
      </c>
      <c r="D496" s="38" t="inlineStr">
        <is>
          <t>careem</t>
        </is>
      </c>
      <c r="E496" s="40" t="inlineStr">
        <is>
          <t>bolt-uae, uae-careem, uae-luxury, yango-uae</t>
        </is>
      </c>
      <c r="F496" s="41" t="n">
        <v>4</v>
      </c>
      <c r="G496" s="42" t="n">
        <v>4.9</v>
      </c>
      <c r="H496" s="35" t="n">
        <v>175</v>
      </c>
      <c r="I496" s="43" t="inlineStr">
        <is>
          <t>T5</t>
        </is>
      </c>
      <c r="J496" s="43" t="inlineStr">
        <is>
          <t>low</t>
        </is>
      </c>
      <c r="K496" s="29" t="n">
        <v>1</v>
      </c>
      <c r="L496" s="44">
        <f>60*G496/cruise_kt</f>
        <v/>
      </c>
      <c r="M496" s="44">
        <f>L496+turn_min+dwell_min</f>
        <v/>
      </c>
      <c r="N496" s="45">
        <f>MIN(10,FLOOR(60*service_hr/M496,1))</f>
        <v/>
      </c>
      <c r="O496" s="45">
        <f>ROUND(365*mech_uptime*K496,0)</f>
        <v/>
      </c>
      <c r="P496" s="46">
        <f>mech_uptime</f>
        <v/>
      </c>
      <c r="Q496" s="46">
        <f>revleg_sel</f>
        <v/>
      </c>
      <c r="R496" s="45">
        <f>ROUND(N496*O496*revleg_sel,0)</f>
        <v/>
      </c>
      <c r="S496" s="47">
        <f>load_sel</f>
        <v/>
      </c>
      <c r="T496" s="47">
        <f>pax_cap*S496</f>
        <v/>
      </c>
      <c r="U496" s="45">
        <f>T496*R496</f>
        <v/>
      </c>
      <c r="V496" s="48">
        <f>H496*discount</f>
        <v/>
      </c>
      <c r="W496" s="49">
        <f>V496*U496</f>
        <v/>
      </c>
      <c r="X496" s="49">
        <f>(battery/range_nm)*G496*R496*VLOOKUP(B496,country_opex,3,FALSE)</f>
        <v/>
      </c>
      <c r="Y496" s="49">
        <f>VLOOKUP(B496,country_opex,2,FALSE)*crew_factor</f>
        <v/>
      </c>
      <c r="Z496" s="49">
        <f>VLOOKUP(B496,country_opex,5,FALSE)</f>
        <v/>
      </c>
      <c r="AA496" s="49">
        <f>maint</f>
        <v/>
      </c>
      <c r="AB496" s="49">
        <f>VLOOKUP(B496,country_opex,7,FALSE)*ins_pct</f>
        <v/>
      </c>
      <c r="AC496" s="49">
        <f>charge_berth</f>
        <v/>
      </c>
      <c r="AD496" s="49">
        <f>X496+Y496+Z496+AA496+AB496+AC496</f>
        <v/>
      </c>
      <c r="AE496" s="49">
        <f>VLOOKUP(B496,country_opex,7,FALSE)/dep_years</f>
        <v/>
      </c>
      <c r="AF496" s="49">
        <f>W496-AD496</f>
        <v/>
      </c>
      <c r="AG496" s="46">
        <f>IF(W496=0,"",AF496/W496)</f>
        <v/>
      </c>
      <c r="AH496" s="47">
        <f>IF(AF496&lt;=0,"",VLOOKUP(B496,country_opex,7,FALSE)/AF496)</f>
        <v/>
      </c>
      <c r="AI496" s="44">
        <f>((G496*R496/diesel_nmpg)*diesel_co2pg-(battery/range_nm)*G496*R496*VLOOKUP(B496,country_opex,4,FALSE))/1000</f>
        <v/>
      </c>
      <c r="AJ496" s="42" t="n">
        <v>10000</v>
      </c>
      <c r="AK496" s="43" t="inlineStr">
        <is>
          <t>T5</t>
        </is>
      </c>
      <c r="AL496" s="43" t="inlineStr">
        <is>
          <t>low</t>
        </is>
      </c>
      <c r="AM496" s="50" t="n">
        <v>0.1</v>
      </c>
      <c r="AN496" s="45">
        <f>IF(AJ496="","",AJ496*AM496)</f>
        <v/>
      </c>
      <c r="AO496" s="45">
        <f>IF(OR(AJ496="",U496=0),"",MIN(IF(AV496="",9.9E+99,AV496),FLOOR(AN496/U496,1)))</f>
        <v/>
      </c>
      <c r="AP496" s="49">
        <f>IF(AO496="","",AO496*W496)</f>
        <v/>
      </c>
      <c r="AQ496" s="47">
        <f>IF(OR(AJ496="",U496=0),"",MIN(IF(AV496="",9.9E+99,AV496),AN496/U496))</f>
        <v/>
      </c>
      <c r="AR496" s="49">
        <f>IF(AQ496="","",AQ496*W496)</f>
        <v/>
      </c>
      <c r="AS496" s="51" t="n"/>
      <c r="AT496" s="52" t="n"/>
      <c r="AU496" s="52" t="n"/>
      <c r="AV496" s="53" t="n"/>
      <c r="AW496" s="54">
        <f>IF(((V496*pax_cap*load_thin*ROUND(N496*O496*revleg_thin,0))-(((battery/range_nm)*G496*ROUND(N496*O496*revleg_thin,0)*VLOOKUP(B496,country_opex,3,FALSE))+Y496+Z496+AA496+AB496+AC496))&lt;=0,"",VLOOKUP(B496,country_opex,7,FALSE)/((V496*pax_cap*load_thin*ROUND(N496*O496*revleg_thin,0))-(((battery/range_nm)*G496*ROUND(N496*O496*revleg_thin,0)*VLOOKUP(B496,country_opex,3,FALSE))+Y496+Z496+AA496+AB496+AC496)))</f>
        <v/>
      </c>
      <c r="AX496" s="54">
        <f>IF(((V496*pax_cap*load_mid*ROUND(N496*O496*revleg_mid,0))-(((battery/range_nm)*G496*ROUND(N496*O496*revleg_mid,0)*VLOOKUP(B496,country_opex,3,FALSE))+Y496+Z496+AA496+AB496+AC496))&lt;=0,"",VLOOKUP(B496,country_opex,7,FALSE)/((V496*pax_cap*load_mid*ROUND(N496*O496*revleg_mid,0))-(((battery/range_nm)*G496*ROUND(N496*O496*revleg_mid,0)*VLOOKUP(B496,country_opex,3,FALSE))+Y496+Z496+AA496+AB496+AC496)))</f>
        <v/>
      </c>
      <c r="AY496" s="54">
        <f>IF(((V496*pax_cap*load_full*ROUND(N496*O496*revleg_full,0))-(((battery/range_nm)*G496*ROUND(N496*O496*revleg_full,0)*VLOOKUP(B496,country_opex,3,FALSE))+Y496+Z496+AA496+AB496+AC496))&lt;=0,"",VLOOKUP(B496,country_opex,7,FALSE)/((V496*pax_cap*load_full*ROUND(N496*O496*revleg_full,0))-(((battery/range_nm)*G496*ROUND(N496*O496*revleg_full,0)*VLOOKUP(B496,country_opex,3,FALSE))+Y496+Z496+AA496+AB496+AC496)))</f>
        <v/>
      </c>
      <c r="AZ496" s="40" t="inlineStr">
        <is>
          <t>Atlantis The Royal (795 keys) road-served; signature marine arrival opportunity-to-create. T5/low.</t>
        </is>
      </c>
      <c r="BA496" s="40" t="inlineStr">
        <is>
          <t>OPT-IN luxury-arrival fraction only (R3-LAND road-served). 795 keys x occ -&gt; small opt-in marine pool.</t>
        </is>
      </c>
    </row>
    <row r="497">
      <c r="A497" s="38" t="inlineStr">
        <is>
          <t>UAE (Careem)</t>
        </is>
      </c>
      <c r="B497" s="38" t="inlineStr">
        <is>
          <t>United Arab Emirates</t>
        </is>
      </c>
      <c r="C497" s="39" t="inlineStr">
        <is>
          <t>Jebel Dhanna / Ruwais Ferry Terminal → Sir Bani Yas Cruise Port</t>
        </is>
      </c>
      <c r="D497" s="38" t="inlineStr">
        <is>
          <t>careem</t>
        </is>
      </c>
      <c r="E497" s="40" t="inlineStr">
        <is>
          <t>bolt-uae, uae-careem, uae-luxury, yango-uae</t>
        </is>
      </c>
      <c r="F497" s="41" t="n">
        <v>4</v>
      </c>
      <c r="G497" s="42" t="n">
        <v>5.3</v>
      </c>
      <c r="H497" s="35" t="n">
        <v>90</v>
      </c>
      <c r="I497" s="43" t="inlineStr">
        <is>
          <t>T5</t>
        </is>
      </c>
      <c r="J497" s="43" t="inlineStr">
        <is>
          <t>low</t>
        </is>
      </c>
      <c r="K497" s="29" t="n">
        <v>1</v>
      </c>
      <c r="L497" s="44">
        <f>60*G497/cruise_kt</f>
        <v/>
      </c>
      <c r="M497" s="44">
        <f>L497+turn_min+dwell_min</f>
        <v/>
      </c>
      <c r="N497" s="45">
        <f>MIN(10,FLOOR(60*service_hr/M497,1))</f>
        <v/>
      </c>
      <c r="O497" s="45">
        <f>ROUND(365*mech_uptime*K497,0)</f>
        <v/>
      </c>
      <c r="P497" s="46">
        <f>mech_uptime</f>
        <v/>
      </c>
      <c r="Q497" s="46">
        <f>revleg_sel</f>
        <v/>
      </c>
      <c r="R497" s="45">
        <f>ROUND(N497*O497*revleg_sel,0)</f>
        <v/>
      </c>
      <c r="S497" s="47">
        <f>load_sel</f>
        <v/>
      </c>
      <c r="T497" s="47">
        <f>pax_cap*S497</f>
        <v/>
      </c>
      <c r="U497" s="45">
        <f>T497*R497</f>
        <v/>
      </c>
      <c r="V497" s="48">
        <f>H497*discount</f>
        <v/>
      </c>
      <c r="W497" s="49">
        <f>V497*U497</f>
        <v/>
      </c>
      <c r="X497" s="49">
        <f>(battery/range_nm)*G497*R497*VLOOKUP(B497,country_opex,3,FALSE)</f>
        <v/>
      </c>
      <c r="Y497" s="49">
        <f>VLOOKUP(B497,country_opex,2,FALSE)*crew_factor</f>
        <v/>
      </c>
      <c r="Z497" s="49">
        <f>VLOOKUP(B497,country_opex,5,FALSE)</f>
        <v/>
      </c>
      <c r="AA497" s="49">
        <f>maint</f>
        <v/>
      </c>
      <c r="AB497" s="49">
        <f>VLOOKUP(B497,country_opex,7,FALSE)*ins_pct</f>
        <v/>
      </c>
      <c r="AC497" s="49">
        <f>charge_berth</f>
        <v/>
      </c>
      <c r="AD497" s="49">
        <f>X497+Y497+Z497+AA497+AB497+AC497</f>
        <v/>
      </c>
      <c r="AE497" s="49">
        <f>VLOOKUP(B497,country_opex,7,FALSE)/dep_years</f>
        <v/>
      </c>
      <c r="AF497" s="49">
        <f>W497-AD497</f>
        <v/>
      </c>
      <c r="AG497" s="46">
        <f>IF(W497=0,"",AF497/W497)</f>
        <v/>
      </c>
      <c r="AH497" s="47">
        <f>IF(AF497&lt;=0,"",VLOOKUP(B497,country_opex,7,FALSE)/AF497)</f>
        <v/>
      </c>
      <c r="AI497" s="44">
        <f>((G497*R497/diesel_nmpg)*diesel_co2pg-(battery/range_nm)*G497*R497*VLOOKUP(B497,country_opex,4,FALSE))/1000</f>
        <v/>
      </c>
      <c r="AJ497" s="42" t="n">
        <v>60000</v>
      </c>
      <c r="AK497" s="43" t="inlineStr">
        <is>
          <t>T5</t>
        </is>
      </c>
      <c r="AL497" s="43" t="inlineStr">
        <is>
          <t>low</t>
        </is>
      </c>
      <c r="AM497" s="50" t="n">
        <v>0.1</v>
      </c>
      <c r="AN497" s="45">
        <f>IF(AJ497="","",AJ497*AM497)</f>
        <v/>
      </c>
      <c r="AO497" s="45">
        <f>IF(OR(AJ497="",U497=0),"",MIN(IF(AV497="",9.9E+99,AV497),FLOOR(AN497/U497,1)))</f>
        <v/>
      </c>
      <c r="AP497" s="49">
        <f>IF(AO497="","",AO497*W497)</f>
        <v/>
      </c>
      <c r="AQ497" s="47">
        <f>IF(OR(AJ497="",U497=0),"",MIN(IF(AV497="",9.9E+99,AV497),AN497/U497))</f>
        <v/>
      </c>
      <c r="AR497" s="49">
        <f>IF(AQ497="","",AQ497*W497)</f>
        <v/>
      </c>
      <c r="AS497" s="51" t="n"/>
      <c r="AT497" s="52" t="n"/>
      <c r="AU497" s="52" t="n"/>
      <c r="AV497" s="53" t="n"/>
      <c r="AW497" s="54">
        <f>IF(((V497*pax_cap*load_thin*ROUND(N497*O497*revleg_thin,0))-(((battery/range_nm)*G497*ROUND(N497*O497*revleg_thin,0)*VLOOKUP(B497,country_opex,3,FALSE))+Y497+Z497+AA497+AB497+AC497))&lt;=0,"",VLOOKUP(B497,country_opex,7,FALSE)/((V497*pax_cap*load_thin*ROUND(N497*O497*revleg_thin,0))-(((battery/range_nm)*G497*ROUND(N497*O497*revleg_thin,0)*VLOOKUP(B497,country_opex,3,FALSE))+Y497+Z497+AA497+AB497+AC497)))</f>
        <v/>
      </c>
      <c r="AX497" s="54">
        <f>IF(((V497*pax_cap*load_mid*ROUND(N497*O497*revleg_mid,0))-(((battery/range_nm)*G497*ROUND(N497*O497*revleg_mid,0)*VLOOKUP(B497,country_opex,3,FALSE))+Y497+Z497+AA497+AB497+AC497))&lt;=0,"",VLOOKUP(B497,country_opex,7,FALSE)/((V497*pax_cap*load_mid*ROUND(N497*O497*revleg_mid,0))-(((battery/range_nm)*G497*ROUND(N497*O497*revleg_mid,0)*VLOOKUP(B497,country_opex,3,FALSE))+Y497+Z497+AA497+AB497+AC497)))</f>
        <v/>
      </c>
      <c r="AY497" s="54">
        <f>IF(((V497*pax_cap*load_full*ROUND(N497*O497*revleg_full,0))-(((battery/range_nm)*G497*ROUND(N497*O497*revleg_full,0)*VLOOKUP(B497,country_opex,3,FALSE))+Y497+Z497+AA497+AB497+AC497))&lt;=0,"",VLOOKUP(B497,country_opex,7,FALSE)/((V497*pax_cap*load_full*ROUND(N497*O497*revleg_full,0))-(((battery/range_nm)*G497*ROUND(N497*O497*revleg_full,0)*VLOOKUP(B497,country_opex,3,FALSE))+Y497+Z497+AA497+AB497+AC497)))</f>
        <v/>
      </c>
      <c r="AZ497" s="40" t="inlineStr">
        <is>
          <t>Sir Bani Yas boat-only (~8km offshore). 3 Anantara resorts ~124 keys. Guest boat transfer FREE today (R-UAE-1) -&gt; $90 opportunity-to-create / day-guest analog. T5/low.</t>
        </is>
      </c>
      <c r="BA497" s="40" t="inlineStr">
        <is>
          <t>Sir Bani Yas boat-only (R3-EXCEPTION). 3 Anantara resorts ~124 keys + Arabian Wildlife Park day-visitors via Jebel Dhanna ferry.</t>
        </is>
      </c>
    </row>
    <row r="498">
      <c r="A498" s="38" t="inlineStr">
        <is>
          <t>UAE (Careem)</t>
        </is>
      </c>
      <c r="B498" s="38" t="inlineStr">
        <is>
          <t>United Arab Emirates</t>
        </is>
      </c>
      <c r="C498" s="39" t="inlineStr">
        <is>
          <t>Dubai Harbour Marina → Burj Al Arab Private Jetty</t>
        </is>
      </c>
      <c r="D498" s="38" t="inlineStr">
        <is>
          <t>careem</t>
        </is>
      </c>
      <c r="E498" s="40" t="inlineStr">
        <is>
          <t>bolt-uae, uae-careem, uae-luxury, yango-uae</t>
        </is>
      </c>
      <c r="F498" s="41" t="n">
        <v>4</v>
      </c>
      <c r="G498" s="42" t="n">
        <v>6.9</v>
      </c>
      <c r="H498" s="35" t="n">
        <v>250</v>
      </c>
      <c r="I498" s="43" t="inlineStr">
        <is>
          <t>T5</t>
        </is>
      </c>
      <c r="J498" s="43" t="inlineStr">
        <is>
          <t>low</t>
        </is>
      </c>
      <c r="K498" s="29" t="n">
        <v>1</v>
      </c>
      <c r="L498" s="44">
        <f>60*G498/cruise_kt</f>
        <v/>
      </c>
      <c r="M498" s="44">
        <f>L498+turn_min+dwell_min</f>
        <v/>
      </c>
      <c r="N498" s="45">
        <f>MIN(10,FLOOR(60*service_hr/M498,1))</f>
        <v/>
      </c>
      <c r="O498" s="45">
        <f>ROUND(365*mech_uptime*K498,0)</f>
        <v/>
      </c>
      <c r="P498" s="46">
        <f>mech_uptime</f>
        <v/>
      </c>
      <c r="Q498" s="46">
        <f>revleg_sel</f>
        <v/>
      </c>
      <c r="R498" s="45">
        <f>ROUND(N498*O498*revleg_sel,0)</f>
        <v/>
      </c>
      <c r="S498" s="47">
        <f>load_sel</f>
        <v/>
      </c>
      <c r="T498" s="47">
        <f>pax_cap*S498</f>
        <v/>
      </c>
      <c r="U498" s="45">
        <f>T498*R498</f>
        <v/>
      </c>
      <c r="V498" s="48">
        <f>H498*discount</f>
        <v/>
      </c>
      <c r="W498" s="49">
        <f>V498*U498</f>
        <v/>
      </c>
      <c r="X498" s="49">
        <f>(battery/range_nm)*G498*R498*VLOOKUP(B498,country_opex,3,FALSE)</f>
        <v/>
      </c>
      <c r="Y498" s="49">
        <f>VLOOKUP(B498,country_opex,2,FALSE)*crew_factor</f>
        <v/>
      </c>
      <c r="Z498" s="49">
        <f>VLOOKUP(B498,country_opex,5,FALSE)</f>
        <v/>
      </c>
      <c r="AA498" s="49">
        <f>maint</f>
        <v/>
      </c>
      <c r="AB498" s="49">
        <f>VLOOKUP(B498,country_opex,7,FALSE)*ins_pct</f>
        <v/>
      </c>
      <c r="AC498" s="49">
        <f>charge_berth</f>
        <v/>
      </c>
      <c r="AD498" s="49">
        <f>X498+Y498+Z498+AA498+AB498+AC498</f>
        <v/>
      </c>
      <c r="AE498" s="49">
        <f>VLOOKUP(B498,country_opex,7,FALSE)/dep_years</f>
        <v/>
      </c>
      <c r="AF498" s="49">
        <f>W498-AD498</f>
        <v/>
      </c>
      <c r="AG498" s="46">
        <f>IF(W498=0,"",AF498/W498)</f>
        <v/>
      </c>
      <c r="AH498" s="47">
        <f>IF(AF498&lt;=0,"",VLOOKUP(B498,country_opex,7,FALSE)/AF498)</f>
        <v/>
      </c>
      <c r="AI498" s="44">
        <f>((G498*R498/diesel_nmpg)*diesel_co2pg-(battery/range_nm)*G498*R498*VLOOKUP(B498,country_opex,4,FALSE))/1000</f>
        <v/>
      </c>
      <c r="AJ498" s="42" t="n">
        <v>5000</v>
      </c>
      <c r="AK498" s="43" t="inlineStr">
        <is>
          <t>T5</t>
        </is>
      </c>
      <c r="AL498" s="43" t="inlineStr">
        <is>
          <t>low</t>
        </is>
      </c>
      <c r="AM498" s="50" t="n">
        <v>0.1</v>
      </c>
      <c r="AN498" s="45">
        <f>IF(AJ498="","",AJ498*AM498)</f>
        <v/>
      </c>
      <c r="AO498" s="45">
        <f>IF(OR(AJ498="",U498=0),"",MIN(IF(AV498="",9.9E+99,AV498),FLOOR(AN498/U498,1)))</f>
        <v/>
      </c>
      <c r="AP498" s="49">
        <f>IF(AO498="","",AO498*W498)</f>
        <v/>
      </c>
      <c r="AQ498" s="47">
        <f>IF(OR(AJ498="",U498=0),"",MIN(IF(AV498="",9.9E+99,AV498),AN498/U498))</f>
        <v/>
      </c>
      <c r="AR498" s="49">
        <f>IF(AQ498="","",AQ498*W498)</f>
        <v/>
      </c>
      <c r="AS498" s="51" t="n"/>
      <c r="AT498" s="52" t="n"/>
      <c r="AU498" s="52" t="n"/>
      <c r="AV498" s="53" t="n"/>
      <c r="AW498" s="54">
        <f>IF(((V498*pax_cap*load_thin*ROUND(N498*O498*revleg_thin,0))-(((battery/range_nm)*G498*ROUND(N498*O498*revleg_thin,0)*VLOOKUP(B498,country_opex,3,FALSE))+Y498+Z498+AA498+AB498+AC498))&lt;=0,"",VLOOKUP(B498,country_opex,7,FALSE)/((V498*pax_cap*load_thin*ROUND(N498*O498*revleg_thin,0))-(((battery/range_nm)*G498*ROUND(N498*O498*revleg_thin,0)*VLOOKUP(B498,country_opex,3,FALSE))+Y498+Z498+AA498+AB498+AC498)))</f>
        <v/>
      </c>
      <c r="AX498" s="54">
        <f>IF(((V498*pax_cap*load_mid*ROUND(N498*O498*revleg_mid,0))-(((battery/range_nm)*G498*ROUND(N498*O498*revleg_mid,0)*VLOOKUP(B498,country_opex,3,FALSE))+Y498+Z498+AA498+AB498+AC498))&lt;=0,"",VLOOKUP(B498,country_opex,7,FALSE)/((V498*pax_cap*load_mid*ROUND(N498*O498*revleg_mid,0))-(((battery/range_nm)*G498*ROUND(N498*O498*revleg_mid,0)*VLOOKUP(B498,country_opex,3,FALSE))+Y498+Z498+AA498+AB498+AC498)))</f>
        <v/>
      </c>
      <c r="AY498" s="54">
        <f>IF(((V498*pax_cap*load_full*ROUND(N498*O498*revleg_full,0))-(((battery/range_nm)*G498*ROUND(N498*O498*revleg_full,0)*VLOOKUP(B498,country_opex,3,FALSE))+Y498+Z498+AA498+AB498+AC498))&lt;=0,"",VLOOKUP(B498,country_opex,7,FALSE)/((V498*pax_cap*load_full*ROUND(N498*O498*revleg_full,0))-(((battery/range_nm)*G498*ROUND(N498*O498*revleg_full,0)*VLOOKUP(B498,country_opex,3,FALSE))+Y498+Z498+AA498+AB498+AC498)))</f>
        <v/>
      </c>
      <c r="AZ498" s="40" t="inlineStr">
        <is>
          <t>Burj Al Arab (202 suites) road-served; iconic signature marine arrival. T5/low.</t>
        </is>
      </c>
      <c r="BA498" s="40" t="inlineStr">
        <is>
          <t>OPT-IN only (R3-LAND). 202 suites x occ -&gt; modest base + experiential day-guest yacht-arrivals.</t>
        </is>
      </c>
    </row>
    <row r="499">
      <c r="A499" s="38" t="inlineStr">
        <is>
          <t>UAE (Careem)</t>
        </is>
      </c>
      <c r="B499" s="38" t="inlineStr">
        <is>
          <t>United Arab Emirates</t>
        </is>
      </c>
      <c r="C499" s="39" t="inlineStr">
        <is>
          <t>Marina Mall / Breakwater Marina → Reem Island Marina (Najmat / Marina Square)</t>
        </is>
      </c>
      <c r="D499" s="38" t="inlineStr">
        <is>
          <t>careem</t>
        </is>
      </c>
      <c r="E499" s="40" t="inlineStr">
        <is>
          <t>bolt-uae, uae-careem, uae-luxury, yango-uae</t>
        </is>
      </c>
      <c r="F499" s="41" t="n">
        <v>4</v>
      </c>
      <c r="G499" s="42" t="n">
        <v>7.1</v>
      </c>
      <c r="H499" s="35" t="n">
        <v>60</v>
      </c>
      <c r="I499" s="43" t="inlineStr">
        <is>
          <t>T4</t>
        </is>
      </c>
      <c r="J499" s="43" t="inlineStr">
        <is>
          <t>low</t>
        </is>
      </c>
      <c r="K499" s="29" t="n">
        <v>1</v>
      </c>
      <c r="L499" s="44">
        <f>60*G499/cruise_kt</f>
        <v/>
      </c>
      <c r="M499" s="44">
        <f>L499+turn_min+dwell_min</f>
        <v/>
      </c>
      <c r="N499" s="45">
        <f>MIN(10,FLOOR(60*service_hr/M499,1))</f>
        <v/>
      </c>
      <c r="O499" s="45">
        <f>ROUND(365*mech_uptime*K499,0)</f>
        <v/>
      </c>
      <c r="P499" s="46">
        <f>mech_uptime</f>
        <v/>
      </c>
      <c r="Q499" s="46">
        <f>revleg_sel</f>
        <v/>
      </c>
      <c r="R499" s="45">
        <f>ROUND(N499*O499*revleg_sel,0)</f>
        <v/>
      </c>
      <c r="S499" s="47">
        <f>load_sel</f>
        <v/>
      </c>
      <c r="T499" s="47">
        <f>pax_cap*S499</f>
        <v/>
      </c>
      <c r="U499" s="45">
        <f>T499*R499</f>
        <v/>
      </c>
      <c r="V499" s="48">
        <f>H499*discount</f>
        <v/>
      </c>
      <c r="W499" s="49">
        <f>V499*U499</f>
        <v/>
      </c>
      <c r="X499" s="49">
        <f>(battery/range_nm)*G499*R499*VLOOKUP(B499,country_opex,3,FALSE)</f>
        <v/>
      </c>
      <c r="Y499" s="49">
        <f>VLOOKUP(B499,country_opex,2,FALSE)*crew_factor</f>
        <v/>
      </c>
      <c r="Z499" s="49">
        <f>VLOOKUP(B499,country_opex,5,FALSE)</f>
        <v/>
      </c>
      <c r="AA499" s="49">
        <f>maint</f>
        <v/>
      </c>
      <c r="AB499" s="49">
        <f>VLOOKUP(B499,country_opex,7,FALSE)*ins_pct</f>
        <v/>
      </c>
      <c r="AC499" s="49">
        <f>charge_berth</f>
        <v/>
      </c>
      <c r="AD499" s="49">
        <f>X499+Y499+Z499+AA499+AB499+AC499</f>
        <v/>
      </c>
      <c r="AE499" s="49">
        <f>VLOOKUP(B499,country_opex,7,FALSE)/dep_years</f>
        <v/>
      </c>
      <c r="AF499" s="49">
        <f>W499-AD499</f>
        <v/>
      </c>
      <c r="AG499" s="46">
        <f>IF(W499=0,"",AF499/W499)</f>
        <v/>
      </c>
      <c r="AH499" s="47">
        <f>IF(AF499&lt;=0,"",VLOOKUP(B499,country_opex,7,FALSE)/AF499)</f>
        <v/>
      </c>
      <c r="AI499" s="44">
        <f>((G499*R499/diesel_nmpg)*diesel_co2pg-(battery/range_nm)*G499*R499*VLOOKUP(B499,country_opex,4,FALSE))/1000</f>
        <v/>
      </c>
      <c r="AJ499" s="42" t="n">
        <v>35000</v>
      </c>
      <c r="AK499" s="43" t="inlineStr">
        <is>
          <t>T3</t>
        </is>
      </c>
      <c r="AL499" s="43" t="inlineStr">
        <is>
          <t>low</t>
        </is>
      </c>
      <c r="AM499" s="50" t="n">
        <v>0.1</v>
      </c>
      <c r="AN499" s="45">
        <f>IF(AJ499="","",AJ499*AM499)</f>
        <v/>
      </c>
      <c r="AO499" s="45">
        <f>IF(OR(AJ499="",U499=0),"",MIN(IF(AV499="",9.9E+99,AV499),FLOOR(AN499/U499,1)))</f>
        <v/>
      </c>
      <c r="AP499" s="49">
        <f>IF(AO499="","",AO499*W499)</f>
        <v/>
      </c>
      <c r="AQ499" s="47">
        <f>IF(OR(AJ499="",U499=0),"",MIN(IF(AV499="",9.9E+99,AV499),AN499/U499))</f>
        <v/>
      </c>
      <c r="AR499" s="49">
        <f>IF(AQ499="","",AQ499*W499)</f>
        <v/>
      </c>
      <c r="AS499" s="51" t="n"/>
      <c r="AT499" s="52" t="n"/>
      <c r="AU499" s="52" t="n"/>
      <c r="AV499" s="53" t="n"/>
      <c r="AW499" s="54">
        <f>IF(((V499*pax_cap*load_thin*ROUND(N499*O499*revleg_thin,0))-(((battery/range_nm)*G499*ROUND(N499*O499*revleg_thin,0)*VLOOKUP(B499,country_opex,3,FALSE))+Y499+Z499+AA499+AB499+AC499))&lt;=0,"",VLOOKUP(B499,country_opex,7,FALSE)/((V499*pax_cap*load_thin*ROUND(N499*O499*revleg_thin,0))-(((battery/range_nm)*G499*ROUND(N499*O499*revleg_thin,0)*VLOOKUP(B499,country_opex,3,FALSE))+Y499+Z499+AA499+AB499+AC499)))</f>
        <v/>
      </c>
      <c r="AX499" s="54">
        <f>IF(((V499*pax_cap*load_mid*ROUND(N499*O499*revleg_mid,0))-(((battery/range_nm)*G499*ROUND(N499*O499*revleg_mid,0)*VLOOKUP(B499,country_opex,3,FALSE))+Y499+Z499+AA499+AB499+AC499))&lt;=0,"",VLOOKUP(B499,country_opex,7,FALSE)/((V499*pax_cap*load_mid*ROUND(N499*O499*revleg_mid,0))-(((battery/range_nm)*G499*ROUND(N499*O499*revleg_mid,0)*VLOOKUP(B499,country_opex,3,FALSE))+Y499+Z499+AA499+AB499+AC499)))</f>
        <v/>
      </c>
      <c r="AY499" s="54">
        <f>IF(((V499*pax_cap*load_full*ROUND(N499*O499*revleg_full,0))-(((battery/range_nm)*G499*ROUND(N499*O499*revleg_full,0)*VLOOKUP(B499,country_opex,3,FALSE))+Y499+Z499+AA499+AB499+AC499))&lt;=0,"",VLOOKUP(B499,country_opex,7,FALSE)/((V499*pax_cap*load_full*ROUND(N499*O499*revleg_full,0))-(((battery/range_nm)*G499*ROUND(N499*O499*revleg_full,0)*VLOOKUP(B499,country_opex,3,FALSE))+Y499+Z499+AA499+AB499+AC499)))</f>
        <v/>
      </c>
      <c r="AZ499" s="40" t="inlineStr">
        <is>
          <t>RTA/Dubai-Ferry official ladder (R-RTA, T1): Water Taxi on-demand single AED 150/pax = $40.8; Dubai Ferry Gold AED 75 = $20.4, Silver AED 50 = $13.6; Water Bus AED 7; Abra AED 1. dubai-ferry.com / rta.ae 2025/26. Reem Island (Najmat/Marina Square).</t>
        </is>
      </c>
      <c r="BA499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00">
      <c r="A500" s="38" t="inlineStr">
        <is>
          <t>UAE (Careem)</t>
        </is>
      </c>
      <c r="B500" s="38" t="inlineStr">
        <is>
          <t>United Arab Emirates</t>
        </is>
      </c>
      <c r="C500" s="39" t="inlineStr">
        <is>
          <t>Dubai Harbour Marina → Anantara World Islands Resort Jetty (planned)</t>
        </is>
      </c>
      <c r="D500" s="38" t="inlineStr">
        <is>
          <t>careem</t>
        </is>
      </c>
      <c r="E500" s="40" t="inlineStr">
        <is>
          <t>bolt-uae, uae-careem, uae-luxury, yango-uae</t>
        </is>
      </c>
      <c r="F500" s="41" t="n">
        <v>4</v>
      </c>
      <c r="G500" s="42" t="n">
        <v>7.9</v>
      </c>
      <c r="H500" s="35" t="n">
        <v>80</v>
      </c>
      <c r="I500" s="43" t="inlineStr">
        <is>
          <t>T4</t>
        </is>
      </c>
      <c r="J500" s="43" t="inlineStr">
        <is>
          <t>low</t>
        </is>
      </c>
      <c r="K500" s="29" t="n">
        <v>1</v>
      </c>
      <c r="L500" s="44">
        <f>60*G500/cruise_kt</f>
        <v/>
      </c>
      <c r="M500" s="44">
        <f>L500+turn_min+dwell_min</f>
        <v/>
      </c>
      <c r="N500" s="45">
        <f>MIN(10,FLOOR(60*service_hr/M500,1))</f>
        <v/>
      </c>
      <c r="O500" s="45">
        <f>ROUND(365*mech_uptime*K500,0)</f>
        <v/>
      </c>
      <c r="P500" s="46">
        <f>mech_uptime</f>
        <v/>
      </c>
      <c r="Q500" s="46">
        <f>revleg_sel</f>
        <v/>
      </c>
      <c r="R500" s="45">
        <f>ROUND(N500*O500*revleg_sel,0)</f>
        <v/>
      </c>
      <c r="S500" s="47">
        <f>load_sel</f>
        <v/>
      </c>
      <c r="T500" s="47">
        <f>pax_cap*S500</f>
        <v/>
      </c>
      <c r="U500" s="45">
        <f>T500*R500</f>
        <v/>
      </c>
      <c r="V500" s="48">
        <f>H500*discount</f>
        <v/>
      </c>
      <c r="W500" s="49">
        <f>V500*U500</f>
        <v/>
      </c>
      <c r="X500" s="49">
        <f>(battery/range_nm)*G500*R500*VLOOKUP(B500,country_opex,3,FALSE)</f>
        <v/>
      </c>
      <c r="Y500" s="49">
        <f>VLOOKUP(B500,country_opex,2,FALSE)*crew_factor</f>
        <v/>
      </c>
      <c r="Z500" s="49">
        <f>VLOOKUP(B500,country_opex,5,FALSE)</f>
        <v/>
      </c>
      <c r="AA500" s="49">
        <f>maint</f>
        <v/>
      </c>
      <c r="AB500" s="49">
        <f>VLOOKUP(B500,country_opex,7,FALSE)*ins_pct</f>
        <v/>
      </c>
      <c r="AC500" s="49">
        <f>charge_berth</f>
        <v/>
      </c>
      <c r="AD500" s="49">
        <f>X500+Y500+Z500+AA500+AB500+AC500</f>
        <v/>
      </c>
      <c r="AE500" s="49">
        <f>VLOOKUP(B500,country_opex,7,FALSE)/dep_years</f>
        <v/>
      </c>
      <c r="AF500" s="49">
        <f>W500-AD500</f>
        <v/>
      </c>
      <c r="AG500" s="46">
        <f>IF(W500=0,"",AF500/W500)</f>
        <v/>
      </c>
      <c r="AH500" s="47">
        <f>IF(AF500&lt;=0,"",VLOOKUP(B500,country_opex,7,FALSE)/AF500)</f>
        <v/>
      </c>
      <c r="AI500" s="44">
        <f>((G500*R500/diesel_nmpg)*diesel_co2pg-(battery/range_nm)*G500*R500*VLOOKUP(B500,country_opex,4,FALSE))/1000</f>
        <v/>
      </c>
      <c r="AJ500" s="42" t="n">
        <v>30000</v>
      </c>
      <c r="AK500" s="43" t="inlineStr">
        <is>
          <t>T5</t>
        </is>
      </c>
      <c r="AL500" s="43" t="inlineStr">
        <is>
          <t>low</t>
        </is>
      </c>
      <c r="AM500" s="50" t="n">
        <v>0.1</v>
      </c>
      <c r="AN500" s="45">
        <f>IF(AJ500="","",AJ500*AM500)</f>
        <v/>
      </c>
      <c r="AO500" s="45">
        <f>IF(OR(AJ500="",U500=0),"",MIN(IF(AV500="",9.9E+99,AV500),FLOOR(AN500/U500,1)))</f>
        <v/>
      </c>
      <c r="AP500" s="49">
        <f>IF(AO500="","",AO500*W500)</f>
        <v/>
      </c>
      <c r="AQ500" s="47">
        <f>IF(OR(AJ500="",U500=0),"",MIN(IF(AV500="",9.9E+99,AV500),AN500/U500))</f>
        <v/>
      </c>
      <c r="AR500" s="49">
        <f>IF(AQ500="","",AQ500*W500)</f>
        <v/>
      </c>
      <c r="AS500" s="51" t="n"/>
      <c r="AT500" s="52" t="n"/>
      <c r="AU500" s="52" t="n"/>
      <c r="AV500" s="53" t="n"/>
      <c r="AW500" s="54">
        <f>IF(((V500*pax_cap*load_thin*ROUND(N500*O500*revleg_thin,0))-(((battery/range_nm)*G500*ROUND(N500*O500*revleg_thin,0)*VLOOKUP(B500,country_opex,3,FALSE))+Y500+Z500+AA500+AB500+AC500))&lt;=0,"",VLOOKUP(B500,country_opex,7,FALSE)/((V500*pax_cap*load_thin*ROUND(N500*O500*revleg_thin,0))-(((battery/range_nm)*G500*ROUND(N500*O500*revleg_thin,0)*VLOOKUP(B500,country_opex,3,FALSE))+Y500+Z500+AA500+AB500+AC500)))</f>
        <v/>
      </c>
      <c r="AX500" s="54">
        <f>IF(((V500*pax_cap*load_mid*ROUND(N500*O500*revleg_mid,0))-(((battery/range_nm)*G500*ROUND(N500*O500*revleg_mid,0)*VLOOKUP(B500,country_opex,3,FALSE))+Y500+Z500+AA500+AB500+AC500))&lt;=0,"",VLOOKUP(B500,country_opex,7,FALSE)/((V500*pax_cap*load_mid*ROUND(N500*O500*revleg_mid,0))-(((battery/range_nm)*G500*ROUND(N500*O500*revleg_mid,0)*VLOOKUP(B500,country_opex,3,FALSE))+Y500+Z500+AA500+AB500+AC500)))</f>
        <v/>
      </c>
      <c r="AY500" s="54">
        <f>IF(((V500*pax_cap*load_full*ROUND(N500*O500*revleg_full,0))-(((battery/range_nm)*G500*ROUND(N500*O500*revleg_full,0)*VLOOKUP(B500,country_opex,3,FALSE))+Y500+Z500+AA500+AB500+AC500))&lt;=0,"",VLOOKUP(B500,country_opex,7,FALSE)/((V500*pax_cap*load_full*ROUND(N500*O500*revleg_full,0))-(((battery/range_nm)*G500*ROUND(N500*O500*revleg_full,0)*VLOOKUP(B500,country_opex,3,FALSE))+Y500+Z500+AA500+AB500+AC500)))</f>
        <v/>
      </c>
      <c r="AZ500" s="40" t="inlineStr">
        <is>
          <t>Anantara World Islands Resort (boat-only; Forbes/Expedia 'accessible only by boat'). Resort shuttle ~AED 150/pax RETURN (~$20/way); premium per-seat modeled $80.</t>
        </is>
      </c>
      <c r="BA500" s="40" t="inlineStr">
        <is>
          <t>Boot-only -&gt; arrivals=crossing ridership FULLY addressable (R3-EXCEPTION). ~70 keys x ~65% occ + day-guests.</t>
        </is>
      </c>
    </row>
    <row r="501">
      <c r="A501" s="38" t="inlineStr">
        <is>
          <t>UAE (Careem)</t>
        </is>
      </c>
      <c r="B501" s="38" t="inlineStr">
        <is>
          <t>United Arab Emirates</t>
        </is>
      </c>
      <c r="C501" s="39" t="inlineStr">
        <is>
          <t>Saadiyat Beach Club Jetty → Marina Mall / Breakwater Marina</t>
        </is>
      </c>
      <c r="D501" s="38" t="inlineStr">
        <is>
          <t>careem</t>
        </is>
      </c>
      <c r="E501" s="40" t="inlineStr">
        <is>
          <t>bolt-uae, uae-careem, uae-luxury, yango-uae</t>
        </is>
      </c>
      <c r="F501" s="41" t="n">
        <v>4</v>
      </c>
      <c r="G501" s="42" t="n">
        <v>8.9</v>
      </c>
      <c r="H501" s="35" t="n">
        <v>70</v>
      </c>
      <c r="I501" s="43" t="inlineStr">
        <is>
          <t>T4</t>
        </is>
      </c>
      <c r="J501" s="43" t="inlineStr">
        <is>
          <t>low</t>
        </is>
      </c>
      <c r="K501" s="29" t="n">
        <v>1</v>
      </c>
      <c r="L501" s="44">
        <f>60*G501/cruise_kt</f>
        <v/>
      </c>
      <c r="M501" s="44">
        <f>L501+turn_min+dwell_min</f>
        <v/>
      </c>
      <c r="N501" s="45">
        <f>MIN(10,FLOOR(60*service_hr/M501,1))</f>
        <v/>
      </c>
      <c r="O501" s="45">
        <f>ROUND(365*mech_uptime*K501,0)</f>
        <v/>
      </c>
      <c r="P501" s="46">
        <f>mech_uptime</f>
        <v/>
      </c>
      <c r="Q501" s="46">
        <f>revleg_sel</f>
        <v/>
      </c>
      <c r="R501" s="45">
        <f>ROUND(N501*O501*revleg_sel,0)</f>
        <v/>
      </c>
      <c r="S501" s="47">
        <f>load_sel</f>
        <v/>
      </c>
      <c r="T501" s="47">
        <f>pax_cap*S501</f>
        <v/>
      </c>
      <c r="U501" s="45">
        <f>T501*R501</f>
        <v/>
      </c>
      <c r="V501" s="48">
        <f>H501*discount</f>
        <v/>
      </c>
      <c r="W501" s="49">
        <f>V501*U501</f>
        <v/>
      </c>
      <c r="X501" s="49">
        <f>(battery/range_nm)*G501*R501*VLOOKUP(B501,country_opex,3,FALSE)</f>
        <v/>
      </c>
      <c r="Y501" s="49">
        <f>VLOOKUP(B501,country_opex,2,FALSE)*crew_factor</f>
        <v/>
      </c>
      <c r="Z501" s="49">
        <f>VLOOKUP(B501,country_opex,5,FALSE)</f>
        <v/>
      </c>
      <c r="AA501" s="49">
        <f>maint</f>
        <v/>
      </c>
      <c r="AB501" s="49">
        <f>VLOOKUP(B501,country_opex,7,FALSE)*ins_pct</f>
        <v/>
      </c>
      <c r="AC501" s="49">
        <f>charge_berth</f>
        <v/>
      </c>
      <c r="AD501" s="49">
        <f>X501+Y501+Z501+AA501+AB501+AC501</f>
        <v/>
      </c>
      <c r="AE501" s="49">
        <f>VLOOKUP(B501,country_opex,7,FALSE)/dep_years</f>
        <v/>
      </c>
      <c r="AF501" s="49">
        <f>W501-AD501</f>
        <v/>
      </c>
      <c r="AG501" s="46">
        <f>IF(W501=0,"",AF501/W501)</f>
        <v/>
      </c>
      <c r="AH501" s="47">
        <f>IF(AF501&lt;=0,"",VLOOKUP(B501,country_opex,7,FALSE)/AF501)</f>
        <v/>
      </c>
      <c r="AI501" s="44">
        <f>((G501*R501/diesel_nmpg)*diesel_co2pg-(battery/range_nm)*G501*R501*VLOOKUP(B501,country_opex,4,FALSE))/1000</f>
        <v/>
      </c>
      <c r="AJ501" s="42" t="n">
        <v>25000</v>
      </c>
      <c r="AK501" s="43" t="inlineStr">
        <is>
          <t>T3</t>
        </is>
      </c>
      <c r="AL501" s="43" t="inlineStr">
        <is>
          <t>low</t>
        </is>
      </c>
      <c r="AM501" s="50" t="n">
        <v>0.1</v>
      </c>
      <c r="AN501" s="45">
        <f>IF(AJ501="","",AJ501*AM501)</f>
        <v/>
      </c>
      <c r="AO501" s="45">
        <f>IF(OR(AJ501="",U501=0),"",MIN(IF(AV501="",9.9E+99,AV501),FLOOR(AN501/U501,1)))</f>
        <v/>
      </c>
      <c r="AP501" s="49">
        <f>IF(AO501="","",AO501*W501)</f>
        <v/>
      </c>
      <c r="AQ501" s="47">
        <f>IF(OR(AJ501="",U501=0),"",MIN(IF(AV501="",9.9E+99,AV501),AN501/U501))</f>
        <v/>
      </c>
      <c r="AR501" s="49">
        <f>IF(AQ501="","",AQ501*W501)</f>
        <v/>
      </c>
      <c r="AS501" s="51" t="n"/>
      <c r="AT501" s="52" t="n"/>
      <c r="AU501" s="52" t="n"/>
      <c r="AV501" s="53" t="n"/>
      <c r="AW501" s="54">
        <f>IF(((V501*pax_cap*load_thin*ROUND(N501*O501*revleg_thin,0))-(((battery/range_nm)*G501*ROUND(N501*O501*revleg_thin,0)*VLOOKUP(B501,country_opex,3,FALSE))+Y501+Z501+AA501+AB501+AC501))&lt;=0,"",VLOOKUP(B501,country_opex,7,FALSE)/((V501*pax_cap*load_thin*ROUND(N501*O501*revleg_thin,0))-(((battery/range_nm)*G501*ROUND(N501*O501*revleg_thin,0)*VLOOKUP(B501,country_opex,3,FALSE))+Y501+Z501+AA501+AB501+AC501)))</f>
        <v/>
      </c>
      <c r="AX501" s="54">
        <f>IF(((V501*pax_cap*load_mid*ROUND(N501*O501*revleg_mid,0))-(((battery/range_nm)*G501*ROUND(N501*O501*revleg_mid,0)*VLOOKUP(B501,country_opex,3,FALSE))+Y501+Z501+AA501+AB501+AC501))&lt;=0,"",VLOOKUP(B501,country_opex,7,FALSE)/((V501*pax_cap*load_mid*ROUND(N501*O501*revleg_mid,0))-(((battery/range_nm)*G501*ROUND(N501*O501*revleg_mid,0)*VLOOKUP(B501,country_opex,3,FALSE))+Y501+Z501+AA501+AB501+AC501)))</f>
        <v/>
      </c>
      <c r="AY501" s="54">
        <f>IF(((V501*pax_cap*load_full*ROUND(N501*O501*revleg_full,0))-(((battery/range_nm)*G501*ROUND(N501*O501*revleg_full,0)*VLOOKUP(B501,country_opex,3,FALSE))+Y501+Z501+AA501+AB501+AC501))&lt;=0,"",VLOOKUP(B501,country_opex,7,FALSE)/((V501*pax_cap*load_full*ROUND(N501*O501*revleg_full,0))-(((battery/range_nm)*G501*ROUND(N501*O501*revleg_full,0)*VLOOKUP(B501,country_opex,3,FALSE))+Y501+Z501+AA501+AB501+AC501)))</f>
        <v/>
      </c>
      <c r="AZ501" s="40" t="inlineStr">
        <is>
          <t>RTA/Dubai-Ferry official ladder (R-RTA, T1): Water Taxi on-demand single AED 150/pax = $40.8; Dubai Ferry Gold AED 75 = $20.4, Silver AED 50 = $13.6; Water Bus AED 7; Abra AED 1. dubai-ferry.com / rta.ae 2025/26. AD Corniche&lt;-&gt;Saadiyat marine hop.</t>
        </is>
      </c>
      <c r="BA501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02">
      <c r="A502" s="38" t="inlineStr">
        <is>
          <t>UAE (Careem)</t>
        </is>
      </c>
      <c r="B502" s="38" t="inlineStr">
        <is>
          <t>United Arab Emirates</t>
        </is>
      </c>
      <c r="C502" s="39" t="inlineStr">
        <is>
          <t>Dubai Harbour Marina → Côte d'Azur Resort Marina (Heart of Europe)</t>
        </is>
      </c>
      <c r="D502" s="38" t="inlineStr">
        <is>
          <t>careem</t>
        </is>
      </c>
      <c r="E502" s="40" t="inlineStr">
        <is>
          <t>bolt-uae, uae-careem, uae-luxury, yango-uae</t>
        </is>
      </c>
      <c r="F502" s="41" t="n">
        <v>4</v>
      </c>
      <c r="G502" s="42" t="n">
        <v>9.199999999999999</v>
      </c>
      <c r="H502" s="35" t="n">
        <v>175</v>
      </c>
      <c r="I502" s="43" t="inlineStr">
        <is>
          <t>T5</t>
        </is>
      </c>
      <c r="J502" s="43" t="inlineStr">
        <is>
          <t>low</t>
        </is>
      </c>
      <c r="K502" s="29" t="n">
        <v>1</v>
      </c>
      <c r="L502" s="44">
        <f>60*G502/cruise_kt</f>
        <v/>
      </c>
      <c r="M502" s="44">
        <f>L502+turn_min+dwell_min</f>
        <v/>
      </c>
      <c r="N502" s="45">
        <f>MIN(10,FLOOR(60*service_hr/M502,1))</f>
        <v/>
      </c>
      <c r="O502" s="45">
        <f>ROUND(365*mech_uptime*K502,0)</f>
        <v/>
      </c>
      <c r="P502" s="46">
        <f>mech_uptime</f>
        <v/>
      </c>
      <c r="Q502" s="46">
        <f>revleg_sel</f>
        <v/>
      </c>
      <c r="R502" s="45">
        <f>ROUND(N502*O502*revleg_sel,0)</f>
        <v/>
      </c>
      <c r="S502" s="47">
        <f>load_sel</f>
        <v/>
      </c>
      <c r="T502" s="47">
        <f>pax_cap*S502</f>
        <v/>
      </c>
      <c r="U502" s="45">
        <f>T502*R502</f>
        <v/>
      </c>
      <c r="V502" s="48">
        <f>H502*discount</f>
        <v/>
      </c>
      <c r="W502" s="49">
        <f>V502*U502</f>
        <v/>
      </c>
      <c r="X502" s="49">
        <f>(battery/range_nm)*G502*R502*VLOOKUP(B502,country_opex,3,FALSE)</f>
        <v/>
      </c>
      <c r="Y502" s="49">
        <f>VLOOKUP(B502,country_opex,2,FALSE)*crew_factor</f>
        <v/>
      </c>
      <c r="Z502" s="49">
        <f>VLOOKUP(B502,country_opex,5,FALSE)</f>
        <v/>
      </c>
      <c r="AA502" s="49">
        <f>maint</f>
        <v/>
      </c>
      <c r="AB502" s="49">
        <f>VLOOKUP(B502,country_opex,7,FALSE)*ins_pct</f>
        <v/>
      </c>
      <c r="AC502" s="49">
        <f>charge_berth</f>
        <v/>
      </c>
      <c r="AD502" s="49">
        <f>X502+Y502+Z502+AA502+AB502+AC502</f>
        <v/>
      </c>
      <c r="AE502" s="49">
        <f>VLOOKUP(B502,country_opex,7,FALSE)/dep_years</f>
        <v/>
      </c>
      <c r="AF502" s="49">
        <f>W502-AD502</f>
        <v/>
      </c>
      <c r="AG502" s="46">
        <f>IF(W502=0,"",AF502/W502)</f>
        <v/>
      </c>
      <c r="AH502" s="47">
        <f>IF(AF502&lt;=0,"",VLOOKUP(B502,country_opex,7,FALSE)/AF502)</f>
        <v/>
      </c>
      <c r="AI502" s="44">
        <f>((G502*R502/diesel_nmpg)*diesel_co2pg-(battery/range_nm)*G502*R502*VLOOKUP(B502,country_opex,4,FALSE))/1000</f>
        <v/>
      </c>
      <c r="AJ502" s="42" t="n">
        <v>70000</v>
      </c>
      <c r="AK502" s="43" t="inlineStr">
        <is>
          <t>T2</t>
        </is>
      </c>
      <c r="AL502" s="43" t="inlineStr">
        <is>
          <t>medium</t>
        </is>
      </c>
      <c r="AM502" s="50" t="n">
        <v>0.1</v>
      </c>
      <c r="AN502" s="45">
        <f>IF(AJ502="","",AJ502*AM502)</f>
        <v/>
      </c>
      <c r="AO502" s="45">
        <f>IF(OR(AJ502="",U502=0),"",MIN(IF(AV502="",9.9E+99,AV502),FLOOR(AN502/U502,1)))</f>
        <v/>
      </c>
      <c r="AP502" s="49">
        <f>IF(AO502="","",AO502*W502)</f>
        <v/>
      </c>
      <c r="AQ502" s="47">
        <f>IF(OR(AJ502="",U502=0),"",MIN(IF(AV502="",9.9E+99,AV502),AN502/U502))</f>
        <v/>
      </c>
      <c r="AR502" s="49">
        <f>IF(AQ502="","",AQ502*W502)</f>
        <v/>
      </c>
      <c r="AS502" s="51" t="n"/>
      <c r="AT502" s="52" t="n"/>
      <c r="AU502" s="52" t="n"/>
      <c r="AV502" s="53" t="n"/>
      <c r="AW502" s="54">
        <f>IF(((V502*pax_cap*load_thin*ROUND(N502*O502*revleg_thin,0))-(((battery/range_nm)*G502*ROUND(N502*O502*revleg_thin,0)*VLOOKUP(B502,country_opex,3,FALSE))+Y502+Z502+AA502+AB502+AC502))&lt;=0,"",VLOOKUP(B502,country_opex,7,FALSE)/((V502*pax_cap*load_thin*ROUND(N502*O502*revleg_thin,0))-(((battery/range_nm)*G502*ROUND(N502*O502*revleg_thin,0)*VLOOKUP(B502,country_opex,3,FALSE))+Y502+Z502+AA502+AB502+AC502)))</f>
        <v/>
      </c>
      <c r="AX502" s="54">
        <f>IF(((V502*pax_cap*load_mid*ROUND(N502*O502*revleg_mid,0))-(((battery/range_nm)*G502*ROUND(N502*O502*revleg_mid,0)*VLOOKUP(B502,country_opex,3,FALSE))+Y502+Z502+AA502+AB502+AC502))&lt;=0,"",VLOOKUP(B502,country_opex,7,FALSE)/((V502*pax_cap*load_mid*ROUND(N502*O502*revleg_mid,0))-(((battery/range_nm)*G502*ROUND(N502*O502*revleg_mid,0)*VLOOKUP(B502,country_opex,3,FALSE))+Y502+Z502+AA502+AB502+AC502)))</f>
        <v/>
      </c>
      <c r="AY502" s="54">
        <f>IF(((V502*pax_cap*load_full*ROUND(N502*O502*revleg_full,0))-(((battery/range_nm)*G502*ROUND(N502*O502*revleg_full,0)*VLOOKUP(B502,country_opex,3,FALSE))+Y502+Z502+AA502+AB502+AC502))&lt;=0,"",VLOOKUP(B502,country_opex,7,FALSE)/((V502*pax_cap*load_full*ROUND(N502*O502*revleg_full,0))-(((battery/range_nm)*G502*ROUND(N502*O502*revleg_full,0)*VLOOKUP(B502,country_opex,3,FALSE))+Y502+Z502+AA502+AB502+AC502)))</f>
        <v/>
      </c>
      <c r="AZ502" s="40" t="inlineStr">
        <is>
          <t>The World (Heart of Europe/Cote d'Azur) boat-only offshore. Shared per-seat $56-120/pax; resort transfers bundled. T5/low - opportunity-to-create.</t>
        </is>
      </c>
      <c r="BA502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503">
      <c r="A503" s="38" t="inlineStr">
        <is>
          <t>Uae Noon</t>
        </is>
      </c>
      <c r="B503" s="38" t="inlineStr">
        <is>
          <t>United Arab Emirates</t>
        </is>
      </c>
      <c r="C503" s="39" t="inlineStr">
        <is>
          <t>Vida Beach Resort Umm Al Quwain → Sharjah Waterfront City marina</t>
        </is>
      </c>
      <c r="D503" s="38" t="inlineStr">
        <is>
          <t>noon</t>
        </is>
      </c>
      <c r="E503" s="40" t="inlineStr">
        <is>
          <t>uae-noon</t>
        </is>
      </c>
      <c r="F503" s="41" t="n">
        <v>1</v>
      </c>
      <c r="G503" s="42" t="n">
        <v>9.6</v>
      </c>
      <c r="H503" s="35" t="n">
        <v>48</v>
      </c>
      <c r="I503" s="43" t="inlineStr">
        <is>
          <t>T3</t>
        </is>
      </c>
      <c r="J503" s="43" t="inlineStr">
        <is>
          <t>med-low</t>
        </is>
      </c>
      <c r="K503" s="29" t="n">
        <v>1</v>
      </c>
      <c r="L503" s="44">
        <f>60*G503/cruise_kt</f>
        <v/>
      </c>
      <c r="M503" s="44">
        <f>L503+turn_min+dwell_min</f>
        <v/>
      </c>
      <c r="N503" s="45">
        <f>MIN(10,FLOOR(60*service_hr/M503,1))</f>
        <v/>
      </c>
      <c r="O503" s="45">
        <f>ROUND(365*mech_uptime*K503,0)</f>
        <v/>
      </c>
      <c r="P503" s="46">
        <f>mech_uptime</f>
        <v/>
      </c>
      <c r="Q503" s="46">
        <f>revleg_sel</f>
        <v/>
      </c>
      <c r="R503" s="45">
        <f>ROUND(N503*O503*revleg_sel,0)</f>
        <v/>
      </c>
      <c r="S503" s="47">
        <f>load_sel</f>
        <v/>
      </c>
      <c r="T503" s="47">
        <f>pax_cap*S503</f>
        <v/>
      </c>
      <c r="U503" s="45">
        <f>T503*R503</f>
        <v/>
      </c>
      <c r="V503" s="48">
        <f>H503*discount</f>
        <v/>
      </c>
      <c r="W503" s="49">
        <f>V503*U503</f>
        <v/>
      </c>
      <c r="X503" s="49">
        <f>(battery/range_nm)*G503*R503*VLOOKUP(B503,country_opex,3,FALSE)</f>
        <v/>
      </c>
      <c r="Y503" s="49">
        <f>VLOOKUP(B503,country_opex,2,FALSE)*crew_factor</f>
        <v/>
      </c>
      <c r="Z503" s="49">
        <f>VLOOKUP(B503,country_opex,5,FALSE)</f>
        <v/>
      </c>
      <c r="AA503" s="49">
        <f>maint</f>
        <v/>
      </c>
      <c r="AB503" s="49">
        <f>VLOOKUP(B503,country_opex,7,FALSE)*ins_pct</f>
        <v/>
      </c>
      <c r="AC503" s="49">
        <f>charge_berth</f>
        <v/>
      </c>
      <c r="AD503" s="49">
        <f>X503+Y503+Z503+AA503+AB503+AC503</f>
        <v/>
      </c>
      <c r="AE503" s="49">
        <f>VLOOKUP(B503,country_opex,7,FALSE)/dep_years</f>
        <v/>
      </c>
      <c r="AF503" s="49">
        <f>W503-AD503</f>
        <v/>
      </c>
      <c r="AG503" s="46">
        <f>IF(W503=0,"",AF503/W503)</f>
        <v/>
      </c>
      <c r="AH503" s="47">
        <f>IF(AF503&lt;=0,"",VLOOKUP(B503,country_opex,7,FALSE)/AF503)</f>
        <v/>
      </c>
      <c r="AI503" s="44">
        <f>((G503*R503/diesel_nmpg)*diesel_co2pg-(battery/range_nm)*G503*R503*VLOOKUP(B503,country_opex,4,FALSE))/1000</f>
        <v/>
      </c>
      <c r="AJ503" s="42" t="n">
        <v>35000</v>
      </c>
      <c r="AK503" s="43" t="inlineStr">
        <is>
          <t>T3</t>
        </is>
      </c>
      <c r="AL503" s="43" t="inlineStr">
        <is>
          <t>med-low</t>
        </is>
      </c>
      <c r="AM503" s="50" t="n">
        <v>0.1</v>
      </c>
      <c r="AN503" s="45">
        <f>IF(AJ503="","",AJ503*AM503)</f>
        <v/>
      </c>
      <c r="AO503" s="45">
        <f>IF(OR(AJ503="",U503=0),"",MIN(IF(AV503="",9.9E+99,AV503),FLOOR(AN503/U503,1)))</f>
        <v/>
      </c>
      <c r="AP503" s="49">
        <f>IF(AO503="","",AO503*W503)</f>
        <v/>
      </c>
      <c r="AQ503" s="47">
        <f>IF(OR(AJ503="",U503=0),"",MIN(IF(AV503="",9.9E+99,AV503),AN503/U503))</f>
        <v/>
      </c>
      <c r="AR503" s="49">
        <f>IF(AQ503="","",AQ503*W503)</f>
        <v/>
      </c>
      <c r="AS503" s="51" t="n"/>
      <c r="AT503" s="52" t="n"/>
      <c r="AU503" s="52" t="n"/>
      <c r="AV503" s="53" t="n"/>
      <c r="AW503" s="54">
        <f>IF(((V503*pax_cap*load_thin*ROUND(N503*O503*revleg_thin,0))-(((battery/range_nm)*G503*ROUND(N503*O503*revleg_thin,0)*VLOOKUP(B503,country_opex,3,FALSE))+Y503+Z503+AA503+AB503+AC503))&lt;=0,"",VLOOKUP(B503,country_opex,7,FALSE)/((V503*pax_cap*load_thin*ROUND(N503*O503*revleg_thin,0))-(((battery/range_nm)*G503*ROUND(N503*O503*revleg_thin,0)*VLOOKUP(B503,country_opex,3,FALSE))+Y503+Z503+AA503+AB503+AC503)))</f>
        <v/>
      </c>
      <c r="AX503" s="54">
        <f>IF(((V503*pax_cap*load_mid*ROUND(N503*O503*revleg_mid,0))-(((battery/range_nm)*G503*ROUND(N503*O503*revleg_mid,0)*VLOOKUP(B503,country_opex,3,FALSE))+Y503+Z503+AA503+AB503+AC503))&lt;=0,"",VLOOKUP(B503,country_opex,7,FALSE)/((V503*pax_cap*load_mid*ROUND(N503*O503*revleg_mid,0))-(((battery/range_nm)*G503*ROUND(N503*O503*revleg_mid,0)*VLOOKUP(B503,country_opex,3,FALSE))+Y503+Z503+AA503+AB503+AC503)))</f>
        <v/>
      </c>
      <c r="AY503" s="54">
        <f>IF(((V503*pax_cap*load_full*ROUND(N503*O503*revleg_full,0))-(((battery/range_nm)*G503*ROUND(N503*O503*revleg_full,0)*VLOOKUP(B503,country_opex,3,FALSE))+Y503+Z503+AA503+AB503+AC503))&lt;=0,"",VLOOKUP(B503,country_opex,7,FALSE)/((V503*pax_cap*load_full*ROUND(N503*O503*revleg_full,0))-(((battery/range_nm)*G503*ROUND(N503*O503*revleg_full,0)*VLOOKUP(B503,country_opex,3,FALSE))+Y503+Z503+AA503+AB503+AC503)))</f>
        <v/>
      </c>
      <c r="AZ503" s="40" t="inlineStr">
        <is>
          <t>uae-careem demand ladder + PR #58 Noon route seal (Careem-style super_app)</t>
        </is>
      </c>
      <c r="BA503" s="40" t="inlineStr">
        <is>
          <t>uae-careem demand ladder + PR #58 Noon route seal (Careem-style super_app)</t>
        </is>
      </c>
    </row>
    <row r="504">
      <c r="A504" s="38" t="inlineStr">
        <is>
          <t>UAE (Careem)</t>
        </is>
      </c>
      <c r="B504" s="38" t="inlineStr">
        <is>
          <t>United Arab Emirates</t>
        </is>
      </c>
      <c r="C504" s="39" t="inlineStr">
        <is>
          <t>Bluewaters Marina → Heart of Europe — Main Marina (The World)</t>
        </is>
      </c>
      <c r="D504" s="38" t="inlineStr">
        <is>
          <t>careem</t>
        </is>
      </c>
      <c r="E504" s="40" t="inlineStr">
        <is>
          <t>bolt-uae, uae-careem, uae-luxury, yango-uae</t>
        </is>
      </c>
      <c r="F504" s="41" t="n">
        <v>4</v>
      </c>
      <c r="G504" s="42" t="n">
        <v>9.880000000000001</v>
      </c>
      <c r="H504" s="35" t="n">
        <v>175</v>
      </c>
      <c r="I504" s="43" t="inlineStr">
        <is>
          <t>T5</t>
        </is>
      </c>
      <c r="J504" s="43" t="inlineStr">
        <is>
          <t>low</t>
        </is>
      </c>
      <c r="K504" s="29" t="n">
        <v>1</v>
      </c>
      <c r="L504" s="44">
        <f>60*G504/cruise_kt</f>
        <v/>
      </c>
      <c r="M504" s="44">
        <f>L504+turn_min+dwell_min</f>
        <v/>
      </c>
      <c r="N504" s="45">
        <f>MIN(10,FLOOR(60*service_hr/M504,1))</f>
        <v/>
      </c>
      <c r="O504" s="45">
        <f>ROUND(365*mech_uptime*K504,0)</f>
        <v/>
      </c>
      <c r="P504" s="46">
        <f>mech_uptime</f>
        <v/>
      </c>
      <c r="Q504" s="46">
        <f>revleg_sel</f>
        <v/>
      </c>
      <c r="R504" s="45">
        <f>ROUND(N504*O504*revleg_sel,0)</f>
        <v/>
      </c>
      <c r="S504" s="47">
        <f>load_sel</f>
        <v/>
      </c>
      <c r="T504" s="47">
        <f>pax_cap*S504</f>
        <v/>
      </c>
      <c r="U504" s="45">
        <f>T504*R504</f>
        <v/>
      </c>
      <c r="V504" s="48">
        <f>H504*discount</f>
        <v/>
      </c>
      <c r="W504" s="49">
        <f>V504*U504</f>
        <v/>
      </c>
      <c r="X504" s="49">
        <f>(battery/range_nm)*G504*R504*VLOOKUP(B504,country_opex,3,FALSE)</f>
        <v/>
      </c>
      <c r="Y504" s="49">
        <f>VLOOKUP(B504,country_opex,2,FALSE)*crew_factor</f>
        <v/>
      </c>
      <c r="Z504" s="49">
        <f>VLOOKUP(B504,country_opex,5,FALSE)</f>
        <v/>
      </c>
      <c r="AA504" s="49">
        <f>maint</f>
        <v/>
      </c>
      <c r="AB504" s="49">
        <f>VLOOKUP(B504,country_opex,7,FALSE)*ins_pct</f>
        <v/>
      </c>
      <c r="AC504" s="49">
        <f>charge_berth</f>
        <v/>
      </c>
      <c r="AD504" s="49">
        <f>X504+Y504+Z504+AA504+AB504+AC504</f>
        <v/>
      </c>
      <c r="AE504" s="49">
        <f>VLOOKUP(B504,country_opex,7,FALSE)/dep_years</f>
        <v/>
      </c>
      <c r="AF504" s="49">
        <f>W504-AD504</f>
        <v/>
      </c>
      <c r="AG504" s="46">
        <f>IF(W504=0,"",AF504/W504)</f>
        <v/>
      </c>
      <c r="AH504" s="47">
        <f>IF(AF504&lt;=0,"",VLOOKUP(B504,country_opex,7,FALSE)/AF504)</f>
        <v/>
      </c>
      <c r="AI504" s="44">
        <f>((G504*R504/diesel_nmpg)*diesel_co2pg-(battery/range_nm)*G504*R504*VLOOKUP(B504,country_opex,4,FALSE))/1000</f>
        <v/>
      </c>
      <c r="AJ504" s="42" t="n">
        <v>20000</v>
      </c>
      <c r="AK504" s="43" t="inlineStr">
        <is>
          <t>T3</t>
        </is>
      </c>
      <c r="AL504" s="43" t="inlineStr">
        <is>
          <t>low</t>
        </is>
      </c>
      <c r="AM504" s="50" t="n">
        <v>0.1</v>
      </c>
      <c r="AN504" s="45">
        <f>IF(AJ504="","",AJ504*AM504)</f>
        <v/>
      </c>
      <c r="AO504" s="45">
        <f>IF(OR(AJ504="",U504=0),"",MIN(IF(AV504="",9.9E+99,AV504),FLOOR(AN504/U504,1)))</f>
        <v/>
      </c>
      <c r="AP504" s="49">
        <f>IF(AO504="","",AO504*W504)</f>
        <v/>
      </c>
      <c r="AQ504" s="47">
        <f>IF(OR(AJ504="",U504=0),"",MIN(IF(AV504="",9.9E+99,AV504),AN504/U504))</f>
        <v/>
      </c>
      <c r="AR504" s="49">
        <f>IF(AQ504="","",AQ504*W504)</f>
        <v/>
      </c>
      <c r="AS504" s="51" t="n"/>
      <c r="AT504" s="52" t="n"/>
      <c r="AU504" s="52" t="n"/>
      <c r="AV504" s="53" t="n"/>
      <c r="AW504" s="54">
        <f>IF(((V504*pax_cap*load_thin*ROUND(N504*O504*revleg_thin,0))-(((battery/range_nm)*G504*ROUND(N504*O504*revleg_thin,0)*VLOOKUP(B504,country_opex,3,FALSE))+Y504+Z504+AA504+AB504+AC504))&lt;=0,"",VLOOKUP(B504,country_opex,7,FALSE)/((V504*pax_cap*load_thin*ROUND(N504*O504*revleg_thin,0))-(((battery/range_nm)*G504*ROUND(N504*O504*revleg_thin,0)*VLOOKUP(B504,country_opex,3,FALSE))+Y504+Z504+AA504+AB504+AC504)))</f>
        <v/>
      </c>
      <c r="AX504" s="54">
        <f>IF(((V504*pax_cap*load_mid*ROUND(N504*O504*revleg_mid,0))-(((battery/range_nm)*G504*ROUND(N504*O504*revleg_mid,0)*VLOOKUP(B504,country_opex,3,FALSE))+Y504+Z504+AA504+AB504+AC504))&lt;=0,"",VLOOKUP(B504,country_opex,7,FALSE)/((V504*pax_cap*load_mid*ROUND(N504*O504*revleg_mid,0))-(((battery/range_nm)*G504*ROUND(N504*O504*revleg_mid,0)*VLOOKUP(B504,country_opex,3,FALSE))+Y504+Z504+AA504+AB504+AC504)))</f>
        <v/>
      </c>
      <c r="AY504" s="54">
        <f>IF(((V504*pax_cap*load_full*ROUND(N504*O504*revleg_full,0))-(((battery/range_nm)*G504*ROUND(N504*O504*revleg_full,0)*VLOOKUP(B504,country_opex,3,FALSE))+Y504+Z504+AA504+AB504+AC504))&lt;=0,"",VLOOKUP(B504,country_opex,7,FALSE)/((V504*pax_cap*load_full*ROUND(N504*O504*revleg_full,0))-(((battery/range_nm)*G504*ROUND(N504*O504*revleg_full,0)*VLOOKUP(B504,country_opex,3,FALSE))+Y504+Z504+AA504+AB504+AC504)))</f>
        <v/>
      </c>
      <c r="AZ504" s="40" t="inlineStr">
        <is>
          <t>The World (Heart of Europe) boat-only offshore; greenfield. T5/low.</t>
        </is>
      </c>
      <c r="BA504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05">
      <c r="A505" s="38" t="inlineStr">
        <is>
          <t>UAE (Careem)</t>
        </is>
      </c>
      <c r="B505" s="38" t="inlineStr">
        <is>
          <t>United Arab Emirates</t>
        </is>
      </c>
      <c r="C505" s="39" t="inlineStr">
        <is>
          <t>Dubai Harbour Marina → Bulgari Yacht Club &amp; Marina</t>
        </is>
      </c>
      <c r="D505" s="38" t="inlineStr">
        <is>
          <t>careem</t>
        </is>
      </c>
      <c r="E505" s="40" t="inlineStr">
        <is>
          <t>bolt-uae, uae-careem, uae-luxury, yango-uae</t>
        </is>
      </c>
      <c r="F505" s="41" t="n">
        <v>4</v>
      </c>
      <c r="G505" s="42" t="n">
        <v>10.2</v>
      </c>
      <c r="H505" s="35" t="n">
        <v>200</v>
      </c>
      <c r="I505" s="43" t="inlineStr">
        <is>
          <t>T5</t>
        </is>
      </c>
      <c r="J505" s="43" t="inlineStr">
        <is>
          <t>low</t>
        </is>
      </c>
      <c r="K505" s="29" t="n">
        <v>1</v>
      </c>
      <c r="L505" s="44">
        <f>60*G505/cruise_kt</f>
        <v/>
      </c>
      <c r="M505" s="44">
        <f>L505+turn_min+dwell_min</f>
        <v/>
      </c>
      <c r="N505" s="45">
        <f>MIN(10,FLOOR(60*service_hr/M505,1))</f>
        <v/>
      </c>
      <c r="O505" s="45">
        <f>ROUND(365*mech_uptime*K505,0)</f>
        <v/>
      </c>
      <c r="P505" s="46">
        <f>mech_uptime</f>
        <v/>
      </c>
      <c r="Q505" s="46">
        <f>revleg_sel</f>
        <v/>
      </c>
      <c r="R505" s="45">
        <f>ROUND(N505*O505*revleg_sel,0)</f>
        <v/>
      </c>
      <c r="S505" s="47">
        <f>load_sel</f>
        <v/>
      </c>
      <c r="T505" s="47">
        <f>pax_cap*S505</f>
        <v/>
      </c>
      <c r="U505" s="45">
        <f>T505*R505</f>
        <v/>
      </c>
      <c r="V505" s="48">
        <f>H505*discount</f>
        <v/>
      </c>
      <c r="W505" s="49">
        <f>V505*U505</f>
        <v/>
      </c>
      <c r="X505" s="49">
        <f>(battery/range_nm)*G505*R505*VLOOKUP(B505,country_opex,3,FALSE)</f>
        <v/>
      </c>
      <c r="Y505" s="49">
        <f>VLOOKUP(B505,country_opex,2,FALSE)*crew_factor</f>
        <v/>
      </c>
      <c r="Z505" s="49">
        <f>VLOOKUP(B505,country_opex,5,FALSE)</f>
        <v/>
      </c>
      <c r="AA505" s="49">
        <f>maint</f>
        <v/>
      </c>
      <c r="AB505" s="49">
        <f>VLOOKUP(B505,country_opex,7,FALSE)*ins_pct</f>
        <v/>
      </c>
      <c r="AC505" s="49">
        <f>charge_berth</f>
        <v/>
      </c>
      <c r="AD505" s="49">
        <f>X505+Y505+Z505+AA505+AB505+AC505</f>
        <v/>
      </c>
      <c r="AE505" s="49">
        <f>VLOOKUP(B505,country_opex,7,FALSE)/dep_years</f>
        <v/>
      </c>
      <c r="AF505" s="49">
        <f>W505-AD505</f>
        <v/>
      </c>
      <c r="AG505" s="46">
        <f>IF(W505=0,"",AF505/W505)</f>
        <v/>
      </c>
      <c r="AH505" s="47">
        <f>IF(AF505&lt;=0,"",VLOOKUP(B505,country_opex,7,FALSE)/AF505)</f>
        <v/>
      </c>
      <c r="AI505" s="44">
        <f>((G505*R505/diesel_nmpg)*diesel_co2pg-(battery/range_nm)*G505*R505*VLOOKUP(B505,country_opex,4,FALSE))/1000</f>
        <v/>
      </c>
      <c r="AJ505" s="42" t="n">
        <v>4000</v>
      </c>
      <c r="AK505" s="43" t="inlineStr">
        <is>
          <t>T5</t>
        </is>
      </c>
      <c r="AL505" s="43" t="inlineStr">
        <is>
          <t>low</t>
        </is>
      </c>
      <c r="AM505" s="50" t="n">
        <v>0.1</v>
      </c>
      <c r="AN505" s="45">
        <f>IF(AJ505="","",AJ505*AM505)</f>
        <v/>
      </c>
      <c r="AO505" s="45">
        <f>IF(OR(AJ505="",U505=0),"",MIN(IF(AV505="",9.9E+99,AV505),FLOOR(AN505/U505,1)))</f>
        <v/>
      </c>
      <c r="AP505" s="49">
        <f>IF(AO505="","",AO505*W505)</f>
        <v/>
      </c>
      <c r="AQ505" s="47">
        <f>IF(OR(AJ505="",U505=0),"",MIN(IF(AV505="",9.9E+99,AV505),AN505/U505))</f>
        <v/>
      </c>
      <c r="AR505" s="49">
        <f>IF(AQ505="","",AQ505*W505)</f>
        <v/>
      </c>
      <c r="AS505" s="51" t="n"/>
      <c r="AT505" s="52" t="n"/>
      <c r="AU505" s="52" t="n"/>
      <c r="AV505" s="53" t="n"/>
      <c r="AW505" s="54">
        <f>IF(((V505*pax_cap*load_thin*ROUND(N505*O505*revleg_thin,0))-(((battery/range_nm)*G505*ROUND(N505*O505*revleg_thin,0)*VLOOKUP(B505,country_opex,3,FALSE))+Y505+Z505+AA505+AB505+AC505))&lt;=0,"",VLOOKUP(B505,country_opex,7,FALSE)/((V505*pax_cap*load_thin*ROUND(N505*O505*revleg_thin,0))-(((battery/range_nm)*G505*ROUND(N505*O505*revleg_thin,0)*VLOOKUP(B505,country_opex,3,FALSE))+Y505+Z505+AA505+AB505+AC505)))</f>
        <v/>
      </c>
      <c r="AX505" s="54">
        <f>IF(((V505*pax_cap*load_mid*ROUND(N505*O505*revleg_mid,0))-(((battery/range_nm)*G505*ROUND(N505*O505*revleg_mid,0)*VLOOKUP(B505,country_opex,3,FALSE))+Y505+Z505+AA505+AB505+AC505))&lt;=0,"",VLOOKUP(B505,country_opex,7,FALSE)/((V505*pax_cap*load_mid*ROUND(N505*O505*revleg_mid,0))-(((battery/range_nm)*G505*ROUND(N505*O505*revleg_mid,0)*VLOOKUP(B505,country_opex,3,FALSE))+Y505+Z505+AA505+AB505+AC505)))</f>
        <v/>
      </c>
      <c r="AY505" s="54">
        <f>IF(((V505*pax_cap*load_full*ROUND(N505*O505*revleg_full,0))-(((battery/range_nm)*G505*ROUND(N505*O505*revleg_full,0)*VLOOKUP(B505,country_opex,3,FALSE))+Y505+Z505+AA505+AB505+AC505))&lt;=0,"",VLOOKUP(B505,country_opex,7,FALSE)/((V505*pax_cap*load_full*ROUND(N505*O505*revleg_full,0))-(((battery/range_nm)*G505*ROUND(N505*O505*revleg_full,0)*VLOOKUP(B505,country_opex,3,FALSE))+Y505+Z505+AA505+AB505+AC505)))</f>
        <v/>
      </c>
      <c r="AZ505" s="40" t="inlineStr">
        <is>
          <t>Bulgari Resort Dubai ~129 keys + Bulgari Yacht Club &amp; Marina; road-served. T5/low.</t>
        </is>
      </c>
      <c r="BA505" s="40" t="inlineStr">
        <is>
          <t>OPT-IN only (R3-LAND). ~129-key resort + yacht-club members.</t>
        </is>
      </c>
    </row>
    <row r="506">
      <c r="A506" s="38" t="inlineStr">
        <is>
          <t>UAE (Careem)</t>
        </is>
      </c>
      <c r="B506" s="38" t="inlineStr">
        <is>
          <t>United Arab Emirates</t>
        </is>
      </c>
      <c r="C506" s="39" t="inlineStr">
        <is>
          <t>Emirates Palace Marina → Saadiyat Beach Club Jetty</t>
        </is>
      </c>
      <c r="D506" s="38" t="inlineStr">
        <is>
          <t>careem</t>
        </is>
      </c>
      <c r="E506" s="40" t="inlineStr">
        <is>
          <t>bolt-uae, uae-careem, uae-luxury, yango-uae</t>
        </is>
      </c>
      <c r="F506" s="41" t="n">
        <v>4</v>
      </c>
      <c r="G506" s="42" t="n">
        <v>10.4</v>
      </c>
      <c r="H506" s="35" t="n">
        <v>175</v>
      </c>
      <c r="I506" s="43" t="inlineStr">
        <is>
          <t>T5</t>
        </is>
      </c>
      <c r="J506" s="43" t="inlineStr">
        <is>
          <t>low</t>
        </is>
      </c>
      <c r="K506" s="29" t="n">
        <v>1</v>
      </c>
      <c r="L506" s="44">
        <f>60*G506/cruise_kt</f>
        <v/>
      </c>
      <c r="M506" s="44">
        <f>L506+turn_min+dwell_min</f>
        <v/>
      </c>
      <c r="N506" s="45">
        <f>MIN(10,FLOOR(60*service_hr/M506,1))</f>
        <v/>
      </c>
      <c r="O506" s="45">
        <f>ROUND(365*mech_uptime*K506,0)</f>
        <v/>
      </c>
      <c r="P506" s="46">
        <f>mech_uptime</f>
        <v/>
      </c>
      <c r="Q506" s="46">
        <f>revleg_sel</f>
        <v/>
      </c>
      <c r="R506" s="45">
        <f>ROUND(N506*O506*revleg_sel,0)</f>
        <v/>
      </c>
      <c r="S506" s="47">
        <f>load_sel</f>
        <v/>
      </c>
      <c r="T506" s="47">
        <f>pax_cap*S506</f>
        <v/>
      </c>
      <c r="U506" s="45">
        <f>T506*R506</f>
        <v/>
      </c>
      <c r="V506" s="48">
        <f>H506*discount</f>
        <v/>
      </c>
      <c r="W506" s="49">
        <f>V506*U506</f>
        <v/>
      </c>
      <c r="X506" s="49">
        <f>(battery/range_nm)*G506*R506*VLOOKUP(B506,country_opex,3,FALSE)</f>
        <v/>
      </c>
      <c r="Y506" s="49">
        <f>VLOOKUP(B506,country_opex,2,FALSE)*crew_factor</f>
        <v/>
      </c>
      <c r="Z506" s="49">
        <f>VLOOKUP(B506,country_opex,5,FALSE)</f>
        <v/>
      </c>
      <c r="AA506" s="49">
        <f>maint</f>
        <v/>
      </c>
      <c r="AB506" s="49">
        <f>VLOOKUP(B506,country_opex,7,FALSE)*ins_pct</f>
        <v/>
      </c>
      <c r="AC506" s="49">
        <f>charge_berth</f>
        <v/>
      </c>
      <c r="AD506" s="49">
        <f>X506+Y506+Z506+AA506+AB506+AC506</f>
        <v/>
      </c>
      <c r="AE506" s="49">
        <f>VLOOKUP(B506,country_opex,7,FALSE)/dep_years</f>
        <v/>
      </c>
      <c r="AF506" s="49">
        <f>W506-AD506</f>
        <v/>
      </c>
      <c r="AG506" s="46">
        <f>IF(W506=0,"",AF506/W506)</f>
        <v/>
      </c>
      <c r="AH506" s="47">
        <f>IF(AF506&lt;=0,"",VLOOKUP(B506,country_opex,7,FALSE)/AF506)</f>
        <v/>
      </c>
      <c r="AI506" s="44">
        <f>((G506*R506/diesel_nmpg)*diesel_co2pg-(battery/range_nm)*G506*R506*VLOOKUP(B506,country_opex,4,FALSE))/1000</f>
        <v/>
      </c>
      <c r="AJ506" s="42" t="n">
        <v>3000</v>
      </c>
      <c r="AK506" s="43" t="inlineStr">
        <is>
          <t>T5</t>
        </is>
      </c>
      <c r="AL506" s="43" t="inlineStr">
        <is>
          <t>low</t>
        </is>
      </c>
      <c r="AM506" s="50" t="n">
        <v>0.1</v>
      </c>
      <c r="AN506" s="45">
        <f>IF(AJ506="","",AJ506*AM506)</f>
        <v/>
      </c>
      <c r="AO506" s="45">
        <f>IF(OR(AJ506="",U506=0),"",MIN(IF(AV506="",9.9E+99,AV506),FLOOR(AN506/U506,1)))</f>
        <v/>
      </c>
      <c r="AP506" s="49">
        <f>IF(AO506="","",AO506*W506)</f>
        <v/>
      </c>
      <c r="AQ506" s="47">
        <f>IF(OR(AJ506="",U506=0),"",MIN(IF(AV506="",9.9E+99,AV506),AN506/U506))</f>
        <v/>
      </c>
      <c r="AR506" s="49">
        <f>IF(AQ506="","",AQ506*W506)</f>
        <v/>
      </c>
      <c r="AS506" s="51" t="n"/>
      <c r="AT506" s="52" t="n"/>
      <c r="AU506" s="52" t="n"/>
      <c r="AV506" s="53" t="n"/>
      <c r="AW506" s="54">
        <f>IF(((V506*pax_cap*load_thin*ROUND(N506*O506*revleg_thin,0))-(((battery/range_nm)*G506*ROUND(N506*O506*revleg_thin,0)*VLOOKUP(B506,country_opex,3,FALSE))+Y506+Z506+AA506+AB506+AC506))&lt;=0,"",VLOOKUP(B506,country_opex,7,FALSE)/((V506*pax_cap*load_thin*ROUND(N506*O506*revleg_thin,0))-(((battery/range_nm)*G506*ROUND(N506*O506*revleg_thin,0)*VLOOKUP(B506,country_opex,3,FALSE))+Y506+Z506+AA506+AB506+AC506)))</f>
        <v/>
      </c>
      <c r="AX506" s="54">
        <f>IF(((V506*pax_cap*load_mid*ROUND(N506*O506*revleg_mid,0))-(((battery/range_nm)*G506*ROUND(N506*O506*revleg_mid,0)*VLOOKUP(B506,country_opex,3,FALSE))+Y506+Z506+AA506+AB506+AC506))&lt;=0,"",VLOOKUP(B506,country_opex,7,FALSE)/((V506*pax_cap*load_mid*ROUND(N506*O506*revleg_mid,0))-(((battery/range_nm)*G506*ROUND(N506*O506*revleg_mid,0)*VLOOKUP(B506,country_opex,3,FALSE))+Y506+Z506+AA506+AB506+AC506)))</f>
        <v/>
      </c>
      <c r="AY506" s="54">
        <f>IF(((V506*pax_cap*load_full*ROUND(N506*O506*revleg_full,0))-(((battery/range_nm)*G506*ROUND(N506*O506*revleg_full,0)*VLOOKUP(B506,country_opex,3,FALSE))+Y506+Z506+AA506+AB506+AC506))&lt;=0,"",VLOOKUP(B506,country_opex,7,FALSE)/((V506*pax_cap*load_full*ROUND(N506*O506*revleg_full,0))-(((battery/range_nm)*G506*ROUND(N506*O506*revleg_full,0)*VLOOKUP(B506,country_opex,3,FALSE))+Y506+Z506+AA506+AB506+AC506)))</f>
        <v/>
      </c>
      <c r="AZ506" s="40" t="inlineStr">
        <is>
          <t>Emirates Palace&lt;-&gt;Saadiyat experiential luxury hop; both road-served. T5/low.</t>
        </is>
      </c>
      <c r="BA506" s="40" t="inlineStr">
        <is>
          <t>OPT-IN only (R3-LAND: both road-served). Experiential luxury hop.</t>
        </is>
      </c>
    </row>
    <row r="507">
      <c r="A507" s="38" t="inlineStr">
        <is>
          <t>Uae Noon</t>
        </is>
      </c>
      <c r="B507" s="38" t="inlineStr">
        <is>
          <t>United Arab Emirates</t>
        </is>
      </c>
      <c r="C507" s="39" t="inlineStr">
        <is>
          <t>Fujairah → Khorfakkan Corniche / Port</t>
        </is>
      </c>
      <c r="D507" s="38" t="inlineStr">
        <is>
          <t>noon</t>
        </is>
      </c>
      <c r="E507" s="40" t="inlineStr">
        <is>
          <t>uae-noon</t>
        </is>
      </c>
      <c r="F507" s="41" t="n">
        <v>1</v>
      </c>
      <c r="G507" s="42" t="n">
        <v>11.4</v>
      </c>
      <c r="H507" s="35" t="n">
        <v>48</v>
      </c>
      <c r="I507" s="43" t="inlineStr">
        <is>
          <t>T3</t>
        </is>
      </c>
      <c r="J507" s="43" t="inlineStr">
        <is>
          <t>med-low</t>
        </is>
      </c>
      <c r="K507" s="29" t="n">
        <v>1</v>
      </c>
      <c r="L507" s="44">
        <f>60*G507/cruise_kt</f>
        <v/>
      </c>
      <c r="M507" s="44">
        <f>L507+turn_min+dwell_min</f>
        <v/>
      </c>
      <c r="N507" s="45">
        <f>MIN(10,FLOOR(60*service_hr/M507,1))</f>
        <v/>
      </c>
      <c r="O507" s="45">
        <f>ROUND(365*mech_uptime*K507,0)</f>
        <v/>
      </c>
      <c r="P507" s="46">
        <f>mech_uptime</f>
        <v/>
      </c>
      <c r="Q507" s="46">
        <f>revleg_sel</f>
        <v/>
      </c>
      <c r="R507" s="45">
        <f>ROUND(N507*O507*revleg_sel,0)</f>
        <v/>
      </c>
      <c r="S507" s="47">
        <f>load_sel</f>
        <v/>
      </c>
      <c r="T507" s="47">
        <f>pax_cap*S507</f>
        <v/>
      </c>
      <c r="U507" s="45">
        <f>T507*R507</f>
        <v/>
      </c>
      <c r="V507" s="48">
        <f>H507*discount</f>
        <v/>
      </c>
      <c r="W507" s="49">
        <f>V507*U507</f>
        <v/>
      </c>
      <c r="X507" s="49">
        <f>(battery/range_nm)*G507*R507*VLOOKUP(B507,country_opex,3,FALSE)</f>
        <v/>
      </c>
      <c r="Y507" s="49">
        <f>VLOOKUP(B507,country_opex,2,FALSE)*crew_factor</f>
        <v/>
      </c>
      <c r="Z507" s="49">
        <f>VLOOKUP(B507,country_opex,5,FALSE)</f>
        <v/>
      </c>
      <c r="AA507" s="49">
        <f>maint</f>
        <v/>
      </c>
      <c r="AB507" s="49">
        <f>VLOOKUP(B507,country_opex,7,FALSE)*ins_pct</f>
        <v/>
      </c>
      <c r="AC507" s="49">
        <f>charge_berth</f>
        <v/>
      </c>
      <c r="AD507" s="49">
        <f>X507+Y507+Z507+AA507+AB507+AC507</f>
        <v/>
      </c>
      <c r="AE507" s="49">
        <f>VLOOKUP(B507,country_opex,7,FALSE)/dep_years</f>
        <v/>
      </c>
      <c r="AF507" s="49">
        <f>W507-AD507</f>
        <v/>
      </c>
      <c r="AG507" s="46">
        <f>IF(W507=0,"",AF507/W507)</f>
        <v/>
      </c>
      <c r="AH507" s="47">
        <f>IF(AF507&lt;=0,"",VLOOKUP(B507,country_opex,7,FALSE)/AF507)</f>
        <v/>
      </c>
      <c r="AI507" s="44">
        <f>((G507*R507/diesel_nmpg)*diesel_co2pg-(battery/range_nm)*G507*R507*VLOOKUP(B507,country_opex,4,FALSE))/1000</f>
        <v/>
      </c>
      <c r="AJ507" s="42" t="n">
        <v>35000</v>
      </c>
      <c r="AK507" s="43" t="inlineStr">
        <is>
          <t>T3</t>
        </is>
      </c>
      <c r="AL507" s="43" t="inlineStr">
        <is>
          <t>med-low</t>
        </is>
      </c>
      <c r="AM507" s="50" t="n">
        <v>0.1</v>
      </c>
      <c r="AN507" s="45">
        <f>IF(AJ507="","",AJ507*AM507)</f>
        <v/>
      </c>
      <c r="AO507" s="45">
        <f>IF(OR(AJ507="",U507=0),"",MIN(IF(AV507="",9.9E+99,AV507),FLOOR(AN507/U507,1)))</f>
        <v/>
      </c>
      <c r="AP507" s="49">
        <f>IF(AO507="","",AO507*W507)</f>
        <v/>
      </c>
      <c r="AQ507" s="47">
        <f>IF(OR(AJ507="",U507=0),"",MIN(IF(AV507="",9.9E+99,AV507),AN507/U507))</f>
        <v/>
      </c>
      <c r="AR507" s="49">
        <f>IF(AQ507="","",AQ507*W507)</f>
        <v/>
      </c>
      <c r="AS507" s="51" t="n"/>
      <c r="AT507" s="52" t="n"/>
      <c r="AU507" s="52" t="n"/>
      <c r="AV507" s="53" t="n"/>
      <c r="AW507" s="54">
        <f>IF(((V507*pax_cap*load_thin*ROUND(N507*O507*revleg_thin,0))-(((battery/range_nm)*G507*ROUND(N507*O507*revleg_thin,0)*VLOOKUP(B507,country_opex,3,FALSE))+Y507+Z507+AA507+AB507+AC507))&lt;=0,"",VLOOKUP(B507,country_opex,7,FALSE)/((V507*pax_cap*load_thin*ROUND(N507*O507*revleg_thin,0))-(((battery/range_nm)*G507*ROUND(N507*O507*revleg_thin,0)*VLOOKUP(B507,country_opex,3,FALSE))+Y507+Z507+AA507+AB507+AC507)))</f>
        <v/>
      </c>
      <c r="AX507" s="54">
        <f>IF(((V507*pax_cap*load_mid*ROUND(N507*O507*revleg_mid,0))-(((battery/range_nm)*G507*ROUND(N507*O507*revleg_mid,0)*VLOOKUP(B507,country_opex,3,FALSE))+Y507+Z507+AA507+AB507+AC507))&lt;=0,"",VLOOKUP(B507,country_opex,7,FALSE)/((V507*pax_cap*load_mid*ROUND(N507*O507*revleg_mid,0))-(((battery/range_nm)*G507*ROUND(N507*O507*revleg_mid,0)*VLOOKUP(B507,country_opex,3,FALSE))+Y507+Z507+AA507+AB507+AC507)))</f>
        <v/>
      </c>
      <c r="AY507" s="54">
        <f>IF(((V507*pax_cap*load_full*ROUND(N507*O507*revleg_full,0))-(((battery/range_nm)*G507*ROUND(N507*O507*revleg_full,0)*VLOOKUP(B507,country_opex,3,FALSE))+Y507+Z507+AA507+AB507+AC507))&lt;=0,"",VLOOKUP(B507,country_opex,7,FALSE)/((V507*pax_cap*load_full*ROUND(N507*O507*revleg_full,0))-(((battery/range_nm)*G507*ROUND(N507*O507*revleg_full,0)*VLOOKUP(B507,country_opex,3,FALSE))+Y507+Z507+AA507+AB507+AC507)))</f>
        <v/>
      </c>
      <c r="AZ507" s="40" t="inlineStr">
        <is>
          <t>uae-careem demand ladder + PR #58 Noon route seal (Careem-style super_app)</t>
        </is>
      </c>
      <c r="BA507" s="40" t="inlineStr">
        <is>
          <t>uae-careem demand ladder + PR #58 Noon route seal (Careem-style super_app)</t>
        </is>
      </c>
    </row>
    <row r="508">
      <c r="A508" s="38" t="inlineStr">
        <is>
          <t>Uae Noon</t>
        </is>
      </c>
      <c r="B508" s="38" t="inlineStr">
        <is>
          <t>United Arab Emirates</t>
        </is>
      </c>
      <c r="C508" s="39" t="inlineStr">
        <is>
          <t>Dubai Harbour Marina → Nikki Beach Resort Pearl Jumeirah Jetty</t>
        </is>
      </c>
      <c r="D508" s="38" t="inlineStr">
        <is>
          <t>noon</t>
        </is>
      </c>
      <c r="E508" s="40" t="inlineStr">
        <is>
          <t>uae-noon</t>
        </is>
      </c>
      <c r="F508" s="41" t="n">
        <v>1</v>
      </c>
      <c r="G508" s="42" t="n">
        <v>11.9</v>
      </c>
      <c r="H508" s="35" t="n">
        <v>48</v>
      </c>
      <c r="I508" s="43" t="inlineStr">
        <is>
          <t>T3</t>
        </is>
      </c>
      <c r="J508" s="43" t="inlineStr">
        <is>
          <t>med-low</t>
        </is>
      </c>
      <c r="K508" s="29" t="n">
        <v>1</v>
      </c>
      <c r="L508" s="44">
        <f>60*G508/cruise_kt</f>
        <v/>
      </c>
      <c r="M508" s="44">
        <f>L508+turn_min+dwell_min</f>
        <v/>
      </c>
      <c r="N508" s="45">
        <f>MIN(10,FLOOR(60*service_hr/M508,1))</f>
        <v/>
      </c>
      <c r="O508" s="45">
        <f>ROUND(365*mech_uptime*K508,0)</f>
        <v/>
      </c>
      <c r="P508" s="46">
        <f>mech_uptime</f>
        <v/>
      </c>
      <c r="Q508" s="46">
        <f>revleg_sel</f>
        <v/>
      </c>
      <c r="R508" s="45">
        <f>ROUND(N508*O508*revleg_sel,0)</f>
        <v/>
      </c>
      <c r="S508" s="47">
        <f>load_sel</f>
        <v/>
      </c>
      <c r="T508" s="47">
        <f>pax_cap*S508</f>
        <v/>
      </c>
      <c r="U508" s="45">
        <f>T508*R508</f>
        <v/>
      </c>
      <c r="V508" s="48">
        <f>H508*discount</f>
        <v/>
      </c>
      <c r="W508" s="49">
        <f>V508*U508</f>
        <v/>
      </c>
      <c r="X508" s="49">
        <f>(battery/range_nm)*G508*R508*VLOOKUP(B508,country_opex,3,FALSE)</f>
        <v/>
      </c>
      <c r="Y508" s="49">
        <f>VLOOKUP(B508,country_opex,2,FALSE)*crew_factor</f>
        <v/>
      </c>
      <c r="Z508" s="49">
        <f>VLOOKUP(B508,country_opex,5,FALSE)</f>
        <v/>
      </c>
      <c r="AA508" s="49">
        <f>maint</f>
        <v/>
      </c>
      <c r="AB508" s="49">
        <f>VLOOKUP(B508,country_opex,7,FALSE)*ins_pct</f>
        <v/>
      </c>
      <c r="AC508" s="49">
        <f>charge_berth</f>
        <v/>
      </c>
      <c r="AD508" s="49">
        <f>X508+Y508+Z508+AA508+AB508+AC508</f>
        <v/>
      </c>
      <c r="AE508" s="49">
        <f>VLOOKUP(B508,country_opex,7,FALSE)/dep_years</f>
        <v/>
      </c>
      <c r="AF508" s="49">
        <f>W508-AD508</f>
        <v/>
      </c>
      <c r="AG508" s="46">
        <f>IF(W508=0,"",AF508/W508)</f>
        <v/>
      </c>
      <c r="AH508" s="47">
        <f>IF(AF508&lt;=0,"",VLOOKUP(B508,country_opex,7,FALSE)/AF508)</f>
        <v/>
      </c>
      <c r="AI508" s="44">
        <f>((G508*R508/diesel_nmpg)*diesel_co2pg-(battery/range_nm)*G508*R508*VLOOKUP(B508,country_opex,4,FALSE))/1000</f>
        <v/>
      </c>
      <c r="AJ508" s="42" t="n">
        <v>35000</v>
      </c>
      <c r="AK508" s="43" t="inlineStr">
        <is>
          <t>T3</t>
        </is>
      </c>
      <c r="AL508" s="43" t="inlineStr">
        <is>
          <t>med-low</t>
        </is>
      </c>
      <c r="AM508" s="50" t="n">
        <v>0.1</v>
      </c>
      <c r="AN508" s="45">
        <f>IF(AJ508="","",AJ508*AM508)</f>
        <v/>
      </c>
      <c r="AO508" s="45">
        <f>IF(OR(AJ508="",U508=0),"",MIN(IF(AV508="",9.9E+99,AV508),FLOOR(AN508/U508,1)))</f>
        <v/>
      </c>
      <c r="AP508" s="49">
        <f>IF(AO508="","",AO508*W508)</f>
        <v/>
      </c>
      <c r="AQ508" s="47">
        <f>IF(OR(AJ508="",U508=0),"",MIN(IF(AV508="",9.9E+99,AV508),AN508/U508))</f>
        <v/>
      </c>
      <c r="AR508" s="49">
        <f>IF(AQ508="","",AQ508*W508)</f>
        <v/>
      </c>
      <c r="AS508" s="51" t="n"/>
      <c r="AT508" s="52" t="n"/>
      <c r="AU508" s="52" t="n"/>
      <c r="AV508" s="53" t="n"/>
      <c r="AW508" s="54">
        <f>IF(((V508*pax_cap*load_thin*ROUND(N508*O508*revleg_thin,0))-(((battery/range_nm)*G508*ROUND(N508*O508*revleg_thin,0)*VLOOKUP(B508,country_opex,3,FALSE))+Y508+Z508+AA508+AB508+AC508))&lt;=0,"",VLOOKUP(B508,country_opex,7,FALSE)/((V508*pax_cap*load_thin*ROUND(N508*O508*revleg_thin,0))-(((battery/range_nm)*G508*ROUND(N508*O508*revleg_thin,0)*VLOOKUP(B508,country_opex,3,FALSE))+Y508+Z508+AA508+AB508+AC508)))</f>
        <v/>
      </c>
      <c r="AX508" s="54">
        <f>IF(((V508*pax_cap*load_mid*ROUND(N508*O508*revleg_mid,0))-(((battery/range_nm)*G508*ROUND(N508*O508*revleg_mid,0)*VLOOKUP(B508,country_opex,3,FALSE))+Y508+Z508+AA508+AB508+AC508))&lt;=0,"",VLOOKUP(B508,country_opex,7,FALSE)/((V508*pax_cap*load_mid*ROUND(N508*O508*revleg_mid,0))-(((battery/range_nm)*G508*ROUND(N508*O508*revleg_mid,0)*VLOOKUP(B508,country_opex,3,FALSE))+Y508+Z508+AA508+AB508+AC508)))</f>
        <v/>
      </c>
      <c r="AY508" s="54">
        <f>IF(((V508*pax_cap*load_full*ROUND(N508*O508*revleg_full,0))-(((battery/range_nm)*G508*ROUND(N508*O508*revleg_full,0)*VLOOKUP(B508,country_opex,3,FALSE))+Y508+Z508+AA508+AB508+AC508))&lt;=0,"",VLOOKUP(B508,country_opex,7,FALSE)/((V508*pax_cap*load_full*ROUND(N508*O508*revleg_full,0))-(((battery/range_nm)*G508*ROUND(N508*O508*revleg_full,0)*VLOOKUP(B508,country_opex,3,FALSE))+Y508+Z508+AA508+AB508+AC508)))</f>
        <v/>
      </c>
      <c r="AZ508" s="40" t="inlineStr">
        <is>
          <t>uae-careem demand ladder + PR #58 Noon route seal (Careem-style super_app)</t>
        </is>
      </c>
      <c r="BA508" s="40" t="inlineStr">
        <is>
          <t>uae-careem demand ladder + PR #58 Noon route seal (Careem-style super_app)</t>
        </is>
      </c>
    </row>
    <row r="509">
      <c r="A509" s="38" t="inlineStr">
        <is>
          <t>Uae Noon</t>
        </is>
      </c>
      <c r="B509" s="38" t="inlineStr">
        <is>
          <t>United Arab Emirates</t>
        </is>
      </c>
      <c r="C509" s="39" t="inlineStr">
        <is>
          <t>Ras Al Khaimah → ميناء صيادين غليلة</t>
        </is>
      </c>
      <c r="D509" s="38" t="inlineStr">
        <is>
          <t>noon</t>
        </is>
      </c>
      <c r="E509" s="40" t="inlineStr">
        <is>
          <t>uae-noon</t>
        </is>
      </c>
      <c r="F509" s="41" t="n">
        <v>1</v>
      </c>
      <c r="G509" s="42" t="n">
        <v>11.9</v>
      </c>
      <c r="H509" s="35" t="n">
        <v>48</v>
      </c>
      <c r="I509" s="43" t="inlineStr">
        <is>
          <t>T3</t>
        </is>
      </c>
      <c r="J509" s="43" t="inlineStr">
        <is>
          <t>med-low</t>
        </is>
      </c>
      <c r="K509" s="29" t="n">
        <v>1</v>
      </c>
      <c r="L509" s="44">
        <f>60*G509/cruise_kt</f>
        <v/>
      </c>
      <c r="M509" s="44">
        <f>L509+turn_min+dwell_min</f>
        <v/>
      </c>
      <c r="N509" s="45">
        <f>MIN(10,FLOOR(60*service_hr/M509,1))</f>
        <v/>
      </c>
      <c r="O509" s="45">
        <f>ROUND(365*mech_uptime*K509,0)</f>
        <v/>
      </c>
      <c r="P509" s="46">
        <f>mech_uptime</f>
        <v/>
      </c>
      <c r="Q509" s="46">
        <f>revleg_sel</f>
        <v/>
      </c>
      <c r="R509" s="45">
        <f>ROUND(N509*O509*revleg_sel,0)</f>
        <v/>
      </c>
      <c r="S509" s="47">
        <f>load_sel</f>
        <v/>
      </c>
      <c r="T509" s="47">
        <f>pax_cap*S509</f>
        <v/>
      </c>
      <c r="U509" s="45">
        <f>T509*R509</f>
        <v/>
      </c>
      <c r="V509" s="48">
        <f>H509*discount</f>
        <v/>
      </c>
      <c r="W509" s="49">
        <f>V509*U509</f>
        <v/>
      </c>
      <c r="X509" s="49">
        <f>(battery/range_nm)*G509*R509*VLOOKUP(B509,country_opex,3,FALSE)</f>
        <v/>
      </c>
      <c r="Y509" s="49">
        <f>VLOOKUP(B509,country_opex,2,FALSE)*crew_factor</f>
        <v/>
      </c>
      <c r="Z509" s="49">
        <f>VLOOKUP(B509,country_opex,5,FALSE)</f>
        <v/>
      </c>
      <c r="AA509" s="49">
        <f>maint</f>
        <v/>
      </c>
      <c r="AB509" s="49">
        <f>VLOOKUP(B509,country_opex,7,FALSE)*ins_pct</f>
        <v/>
      </c>
      <c r="AC509" s="49">
        <f>charge_berth</f>
        <v/>
      </c>
      <c r="AD509" s="49">
        <f>X509+Y509+Z509+AA509+AB509+AC509</f>
        <v/>
      </c>
      <c r="AE509" s="49">
        <f>VLOOKUP(B509,country_opex,7,FALSE)/dep_years</f>
        <v/>
      </c>
      <c r="AF509" s="49">
        <f>W509-AD509</f>
        <v/>
      </c>
      <c r="AG509" s="46">
        <f>IF(W509=0,"",AF509/W509)</f>
        <v/>
      </c>
      <c r="AH509" s="47">
        <f>IF(AF509&lt;=0,"",VLOOKUP(B509,country_opex,7,FALSE)/AF509)</f>
        <v/>
      </c>
      <c r="AI509" s="44">
        <f>((G509*R509/diesel_nmpg)*diesel_co2pg-(battery/range_nm)*G509*R509*VLOOKUP(B509,country_opex,4,FALSE))/1000</f>
        <v/>
      </c>
      <c r="AJ509" s="42" t="n">
        <v>35000</v>
      </c>
      <c r="AK509" s="43" t="inlineStr">
        <is>
          <t>T3</t>
        </is>
      </c>
      <c r="AL509" s="43" t="inlineStr">
        <is>
          <t>med-low</t>
        </is>
      </c>
      <c r="AM509" s="50" t="n">
        <v>0.1</v>
      </c>
      <c r="AN509" s="45">
        <f>IF(AJ509="","",AJ509*AM509)</f>
        <v/>
      </c>
      <c r="AO509" s="45">
        <f>IF(OR(AJ509="",U509=0),"",MIN(IF(AV509="",9.9E+99,AV509),FLOOR(AN509/U509,1)))</f>
        <v/>
      </c>
      <c r="AP509" s="49">
        <f>IF(AO509="","",AO509*W509)</f>
        <v/>
      </c>
      <c r="AQ509" s="47">
        <f>IF(OR(AJ509="",U509=0),"",MIN(IF(AV509="",9.9E+99,AV509),AN509/U509))</f>
        <v/>
      </c>
      <c r="AR509" s="49">
        <f>IF(AQ509="","",AQ509*W509)</f>
        <v/>
      </c>
      <c r="AS509" s="51" t="n"/>
      <c r="AT509" s="52" t="n"/>
      <c r="AU509" s="52" t="n"/>
      <c r="AV509" s="53" t="n"/>
      <c r="AW509" s="54">
        <f>IF(((V509*pax_cap*load_thin*ROUND(N509*O509*revleg_thin,0))-(((battery/range_nm)*G509*ROUND(N509*O509*revleg_thin,0)*VLOOKUP(B509,country_opex,3,FALSE))+Y509+Z509+AA509+AB509+AC509))&lt;=0,"",VLOOKUP(B509,country_opex,7,FALSE)/((V509*pax_cap*load_thin*ROUND(N509*O509*revleg_thin,0))-(((battery/range_nm)*G509*ROUND(N509*O509*revleg_thin,0)*VLOOKUP(B509,country_opex,3,FALSE))+Y509+Z509+AA509+AB509+AC509)))</f>
        <v/>
      </c>
      <c r="AX509" s="54">
        <f>IF(((V509*pax_cap*load_mid*ROUND(N509*O509*revleg_mid,0))-(((battery/range_nm)*G509*ROUND(N509*O509*revleg_mid,0)*VLOOKUP(B509,country_opex,3,FALSE))+Y509+Z509+AA509+AB509+AC509))&lt;=0,"",VLOOKUP(B509,country_opex,7,FALSE)/((V509*pax_cap*load_mid*ROUND(N509*O509*revleg_mid,0))-(((battery/range_nm)*G509*ROUND(N509*O509*revleg_mid,0)*VLOOKUP(B509,country_opex,3,FALSE))+Y509+Z509+AA509+AB509+AC509)))</f>
        <v/>
      </c>
      <c r="AY509" s="54">
        <f>IF(((V509*pax_cap*load_full*ROUND(N509*O509*revleg_full,0))-(((battery/range_nm)*G509*ROUND(N509*O509*revleg_full,0)*VLOOKUP(B509,country_opex,3,FALSE))+Y509+Z509+AA509+AB509+AC509))&lt;=0,"",VLOOKUP(B509,country_opex,7,FALSE)/((V509*pax_cap*load_full*ROUND(N509*O509*revleg_full,0))-(((battery/range_nm)*G509*ROUND(N509*O509*revleg_full,0)*VLOOKUP(B509,country_opex,3,FALSE))+Y509+Z509+AA509+AB509+AC509)))</f>
        <v/>
      </c>
      <c r="AZ509" s="40" t="inlineStr">
        <is>
          <t>uae-careem demand ladder + PR #58 Noon route seal (Careem-style super_app)</t>
        </is>
      </c>
      <c r="BA509" s="40" t="inlineStr">
        <is>
          <t>uae-careem demand ladder + PR #58 Noon route seal (Careem-style super_app)</t>
        </is>
      </c>
    </row>
    <row r="510">
      <c r="A510" s="38" t="inlineStr">
        <is>
          <t>UAE (Careem)</t>
        </is>
      </c>
      <c r="B510" s="38" t="inlineStr">
        <is>
          <t>United Arab Emirates</t>
        </is>
      </c>
      <c r="C510" s="39" t="inlineStr">
        <is>
          <t>Dubai Marina → Downtown Creek</t>
        </is>
      </c>
      <c r="D510" s="38" t="inlineStr">
        <is>
          <t>careem</t>
        </is>
      </c>
      <c r="E510" s="40" t="inlineStr">
        <is>
          <t>bolt-uae, uae-careem, uae-luxury, yango-uae</t>
        </is>
      </c>
      <c r="F510" s="41" t="n">
        <v>4</v>
      </c>
      <c r="G510" s="42" t="n">
        <v>12</v>
      </c>
      <c r="H510" s="35" t="n"/>
      <c r="I510" s="43" t="n"/>
      <c r="J510" s="43" t="n"/>
      <c r="K510" s="29" t="n">
        <v>1</v>
      </c>
      <c r="L510" s="44">
        <f>60*G510/cruise_kt</f>
        <v/>
      </c>
      <c r="M510" s="44">
        <f>L510+turn_min+dwell_min</f>
        <v/>
      </c>
      <c r="N510" s="45">
        <f>MIN(10,FLOOR(60*service_hr/M510,1))</f>
        <v/>
      </c>
      <c r="O510" s="45">
        <f>ROUND(365*mech_uptime*K510,0)</f>
        <v/>
      </c>
      <c r="P510" s="46">
        <f>mech_uptime</f>
        <v/>
      </c>
      <c r="Q510" s="46">
        <f>revleg_sel</f>
        <v/>
      </c>
      <c r="R510" s="45">
        <f>ROUND(N510*O510*revleg_sel,0)</f>
        <v/>
      </c>
      <c r="S510" s="47">
        <f>load_sel</f>
        <v/>
      </c>
      <c r="T510" s="47">
        <f>pax_cap*S510</f>
        <v/>
      </c>
      <c r="U510" s="45">
        <f>T510*R510</f>
        <v/>
      </c>
      <c r="V510" s="48">
        <f>H510*discount</f>
        <v/>
      </c>
      <c r="W510" s="49">
        <f>V510*U510</f>
        <v/>
      </c>
      <c r="X510" s="49">
        <f>(battery/range_nm)*G510*R510*VLOOKUP(B510,country_opex,3,FALSE)</f>
        <v/>
      </c>
      <c r="Y510" s="49">
        <f>VLOOKUP(B510,country_opex,2,FALSE)*crew_factor</f>
        <v/>
      </c>
      <c r="Z510" s="49">
        <f>VLOOKUP(B510,country_opex,5,FALSE)</f>
        <v/>
      </c>
      <c r="AA510" s="49">
        <f>maint</f>
        <v/>
      </c>
      <c r="AB510" s="49">
        <f>VLOOKUP(B510,country_opex,7,FALSE)*ins_pct</f>
        <v/>
      </c>
      <c r="AC510" s="49">
        <f>charge_berth</f>
        <v/>
      </c>
      <c r="AD510" s="49">
        <f>X510+Y510+Z510+AA510+AB510+AC510</f>
        <v/>
      </c>
      <c r="AE510" s="49">
        <f>VLOOKUP(B510,country_opex,7,FALSE)/dep_years</f>
        <v/>
      </c>
      <c r="AF510" s="49">
        <f>W510-AD510</f>
        <v/>
      </c>
      <c r="AG510" s="46">
        <f>IF(W510=0,"",AF510/W510)</f>
        <v/>
      </c>
      <c r="AH510" s="47">
        <f>IF(AF510&lt;=0,"",VLOOKUP(B510,country_opex,7,FALSE)/AF510)</f>
        <v/>
      </c>
      <c r="AI510" s="44">
        <f>((G510*R510/diesel_nmpg)*diesel_co2pg-(battery/range_nm)*G510*R510*VLOOKUP(B510,country_opex,4,FALSE))/1000</f>
        <v/>
      </c>
      <c r="AJ510" s="42" t="n"/>
      <c r="AK510" s="43" t="n"/>
      <c r="AL510" s="43" t="n"/>
      <c r="AM510" s="50" t="n">
        <v>0.1</v>
      </c>
      <c r="AN510" s="45">
        <f>IF(AJ510="","",AJ510*AM510)</f>
        <v/>
      </c>
      <c r="AO510" s="45">
        <f>IF(OR(AJ510="",U510=0),"",MIN(IF(AV510="",9.9E+99,AV510),FLOOR(AN510/U510,1)))</f>
        <v/>
      </c>
      <c r="AP510" s="49">
        <f>IF(AO510="","",AO510*W510)</f>
        <v/>
      </c>
      <c r="AQ510" s="47">
        <f>IF(OR(AJ510="",U510=0),"",MIN(IF(AV510="",9.9E+99,AV510),AN510/U510))</f>
        <v/>
      </c>
      <c r="AR510" s="49">
        <f>IF(AQ510="","",AQ510*W510)</f>
        <v/>
      </c>
      <c r="AS510" s="51" t="n"/>
      <c r="AT510" s="52" t="n"/>
      <c r="AU510" s="52" t="n"/>
      <c r="AV510" s="53" t="n"/>
      <c r="AW510" s="54">
        <f>IF(((V510*pax_cap*load_thin*ROUND(N510*O510*revleg_thin,0))-(((battery/range_nm)*G510*ROUND(N510*O510*revleg_thin,0)*VLOOKUP(B510,country_opex,3,FALSE))+Y510+Z510+AA510+AB510+AC510))&lt;=0,"",VLOOKUP(B510,country_opex,7,FALSE)/((V510*pax_cap*load_thin*ROUND(N510*O510*revleg_thin,0))-(((battery/range_nm)*G510*ROUND(N510*O510*revleg_thin,0)*VLOOKUP(B510,country_opex,3,FALSE))+Y510+Z510+AA510+AB510+AC510)))</f>
        <v/>
      </c>
      <c r="AX510" s="54">
        <f>IF(((V510*pax_cap*load_mid*ROUND(N510*O510*revleg_mid,0))-(((battery/range_nm)*G510*ROUND(N510*O510*revleg_mid,0)*VLOOKUP(B510,country_opex,3,FALSE))+Y510+Z510+AA510+AB510+AC510))&lt;=0,"",VLOOKUP(B510,country_opex,7,FALSE)/((V510*pax_cap*load_mid*ROUND(N510*O510*revleg_mid,0))-(((battery/range_nm)*G510*ROUND(N510*O510*revleg_mid,0)*VLOOKUP(B510,country_opex,3,FALSE))+Y510+Z510+AA510+AB510+AC510)))</f>
        <v/>
      </c>
      <c r="AY510" s="54">
        <f>IF(((V510*pax_cap*load_full*ROUND(N510*O510*revleg_full,0))-(((battery/range_nm)*G510*ROUND(N510*O510*revleg_full,0)*VLOOKUP(B510,country_opex,3,FALSE))+Y510+Z510+AA510+AB510+AC510))&lt;=0,"",VLOOKUP(B510,country_opex,7,FALSE)/((V510*pax_cap*load_full*ROUND(N510*O510*revleg_full,0))-(((battery/range_nm)*G510*ROUND(N510*O510*revleg_full,0)*VLOOKUP(B510,country_opex,3,FALSE))+Y510+Z510+AA510+AB510+AC510)))</f>
        <v/>
      </c>
      <c r="AZ510" s="40" t="n"/>
      <c r="BA510" s="40" t="n"/>
    </row>
    <row r="511">
      <c r="A511" s="38" t="inlineStr">
        <is>
          <t>UAE (Careem)</t>
        </is>
      </c>
      <c r="B511" s="38" t="inlineStr">
        <is>
          <t>United Arab Emirates</t>
        </is>
      </c>
      <c r="C511" s="39" t="inlineStr">
        <is>
          <t>Dubai Marina → Downtown / Dubai Creek</t>
        </is>
      </c>
      <c r="D511" s="38" t="inlineStr">
        <is>
          <t>careem</t>
        </is>
      </c>
      <c r="E511" s="40" t="inlineStr">
        <is>
          <t>bolt-uae, uae-careem, uae-luxury, yango-uae</t>
        </is>
      </c>
      <c r="F511" s="41" t="n">
        <v>4</v>
      </c>
      <c r="G511" s="42" t="n">
        <v>12</v>
      </c>
      <c r="H511" s="35" t="n"/>
      <c r="I511" s="43" t="n"/>
      <c r="J511" s="43" t="n"/>
      <c r="K511" s="29" t="n">
        <v>1</v>
      </c>
      <c r="L511" s="44">
        <f>60*G511/cruise_kt</f>
        <v/>
      </c>
      <c r="M511" s="44">
        <f>L511+turn_min+dwell_min</f>
        <v/>
      </c>
      <c r="N511" s="45">
        <f>MIN(10,FLOOR(60*service_hr/M511,1))</f>
        <v/>
      </c>
      <c r="O511" s="45">
        <f>ROUND(365*mech_uptime*K511,0)</f>
        <v/>
      </c>
      <c r="P511" s="46">
        <f>mech_uptime</f>
        <v/>
      </c>
      <c r="Q511" s="46">
        <f>revleg_sel</f>
        <v/>
      </c>
      <c r="R511" s="45">
        <f>ROUND(N511*O511*revleg_sel,0)</f>
        <v/>
      </c>
      <c r="S511" s="47">
        <f>load_sel</f>
        <v/>
      </c>
      <c r="T511" s="47">
        <f>pax_cap*S511</f>
        <v/>
      </c>
      <c r="U511" s="45">
        <f>T511*R511</f>
        <v/>
      </c>
      <c r="V511" s="48">
        <f>H511*discount</f>
        <v/>
      </c>
      <c r="W511" s="49">
        <f>V511*U511</f>
        <v/>
      </c>
      <c r="X511" s="49">
        <f>(battery/range_nm)*G511*R511*VLOOKUP(B511,country_opex,3,FALSE)</f>
        <v/>
      </c>
      <c r="Y511" s="49">
        <f>VLOOKUP(B511,country_opex,2,FALSE)*crew_factor</f>
        <v/>
      </c>
      <c r="Z511" s="49">
        <f>VLOOKUP(B511,country_opex,5,FALSE)</f>
        <v/>
      </c>
      <c r="AA511" s="49">
        <f>maint</f>
        <v/>
      </c>
      <c r="AB511" s="49">
        <f>VLOOKUP(B511,country_opex,7,FALSE)*ins_pct</f>
        <v/>
      </c>
      <c r="AC511" s="49">
        <f>charge_berth</f>
        <v/>
      </c>
      <c r="AD511" s="49">
        <f>X511+Y511+Z511+AA511+AB511+AC511</f>
        <v/>
      </c>
      <c r="AE511" s="49">
        <f>VLOOKUP(B511,country_opex,7,FALSE)/dep_years</f>
        <v/>
      </c>
      <c r="AF511" s="49">
        <f>W511-AD511</f>
        <v/>
      </c>
      <c r="AG511" s="46">
        <f>IF(W511=0,"",AF511/W511)</f>
        <v/>
      </c>
      <c r="AH511" s="47">
        <f>IF(AF511&lt;=0,"",VLOOKUP(B511,country_opex,7,FALSE)/AF511)</f>
        <v/>
      </c>
      <c r="AI511" s="44">
        <f>((G511*R511/diesel_nmpg)*diesel_co2pg-(battery/range_nm)*G511*R511*VLOOKUP(B511,country_opex,4,FALSE))/1000</f>
        <v/>
      </c>
      <c r="AJ511" s="42" t="n"/>
      <c r="AK511" s="43" t="n"/>
      <c r="AL511" s="43" t="n"/>
      <c r="AM511" s="50" t="n">
        <v>0.1</v>
      </c>
      <c r="AN511" s="45">
        <f>IF(AJ511="","",AJ511*AM511)</f>
        <v/>
      </c>
      <c r="AO511" s="45">
        <f>IF(OR(AJ511="",U511=0),"",MIN(IF(AV511="",9.9E+99,AV511),FLOOR(AN511/U511,1)))</f>
        <v/>
      </c>
      <c r="AP511" s="49">
        <f>IF(AO511="","",AO511*W511)</f>
        <v/>
      </c>
      <c r="AQ511" s="47">
        <f>IF(OR(AJ511="",U511=0),"",MIN(IF(AV511="",9.9E+99,AV511),AN511/U511))</f>
        <v/>
      </c>
      <c r="AR511" s="49">
        <f>IF(AQ511="","",AQ511*W511)</f>
        <v/>
      </c>
      <c r="AS511" s="51" t="n"/>
      <c r="AT511" s="52" t="n"/>
      <c r="AU511" s="52" t="n"/>
      <c r="AV511" s="53" t="n"/>
      <c r="AW511" s="54">
        <f>IF(((V511*pax_cap*load_thin*ROUND(N511*O511*revleg_thin,0))-(((battery/range_nm)*G511*ROUND(N511*O511*revleg_thin,0)*VLOOKUP(B511,country_opex,3,FALSE))+Y511+Z511+AA511+AB511+AC511))&lt;=0,"",VLOOKUP(B511,country_opex,7,FALSE)/((V511*pax_cap*load_thin*ROUND(N511*O511*revleg_thin,0))-(((battery/range_nm)*G511*ROUND(N511*O511*revleg_thin,0)*VLOOKUP(B511,country_opex,3,FALSE))+Y511+Z511+AA511+AB511+AC511)))</f>
        <v/>
      </c>
      <c r="AX511" s="54">
        <f>IF(((V511*pax_cap*load_mid*ROUND(N511*O511*revleg_mid,0))-(((battery/range_nm)*G511*ROUND(N511*O511*revleg_mid,0)*VLOOKUP(B511,country_opex,3,FALSE))+Y511+Z511+AA511+AB511+AC511))&lt;=0,"",VLOOKUP(B511,country_opex,7,FALSE)/((V511*pax_cap*load_mid*ROUND(N511*O511*revleg_mid,0))-(((battery/range_nm)*G511*ROUND(N511*O511*revleg_mid,0)*VLOOKUP(B511,country_opex,3,FALSE))+Y511+Z511+AA511+AB511+AC511)))</f>
        <v/>
      </c>
      <c r="AY511" s="54">
        <f>IF(((V511*pax_cap*load_full*ROUND(N511*O511*revleg_full,0))-(((battery/range_nm)*G511*ROUND(N511*O511*revleg_full,0)*VLOOKUP(B511,country_opex,3,FALSE))+Y511+Z511+AA511+AB511+AC511))&lt;=0,"",VLOOKUP(B511,country_opex,7,FALSE)/((V511*pax_cap*load_full*ROUND(N511*O511*revleg_full,0))-(((battery/range_nm)*G511*ROUND(N511*O511*revleg_full,0)*VLOOKUP(B511,country_opex,3,FALSE))+Y511+Z511+AA511+AB511+AC511)))</f>
        <v/>
      </c>
      <c r="AZ511" s="40" t="n"/>
      <c r="BA511" s="40" t="n"/>
    </row>
    <row r="512">
      <c r="A512" s="38" t="inlineStr">
        <is>
          <t>Uae Noon</t>
        </is>
      </c>
      <c r="B512" s="38" t="inlineStr">
        <is>
          <t>United Arab Emirates</t>
        </is>
      </c>
      <c r="C512" s="39" t="inlineStr">
        <is>
          <t>Yas Marina → Four Seasons Al Maryah Jetty</t>
        </is>
      </c>
      <c r="D512" s="38" t="inlineStr">
        <is>
          <t>noon</t>
        </is>
      </c>
      <c r="E512" s="40" t="inlineStr">
        <is>
          <t>uae-noon</t>
        </is>
      </c>
      <c r="F512" s="41" t="n">
        <v>1</v>
      </c>
      <c r="G512" s="42" t="n">
        <v>12.4</v>
      </c>
      <c r="H512" s="35" t="n">
        <v>48</v>
      </c>
      <c r="I512" s="43" t="inlineStr">
        <is>
          <t>T3</t>
        </is>
      </c>
      <c r="J512" s="43" t="inlineStr">
        <is>
          <t>med-low</t>
        </is>
      </c>
      <c r="K512" s="29" t="n">
        <v>1</v>
      </c>
      <c r="L512" s="44">
        <f>60*G512/cruise_kt</f>
        <v/>
      </c>
      <c r="M512" s="44">
        <f>L512+turn_min+dwell_min</f>
        <v/>
      </c>
      <c r="N512" s="45">
        <f>MIN(10,FLOOR(60*service_hr/M512,1))</f>
        <v/>
      </c>
      <c r="O512" s="45">
        <f>ROUND(365*mech_uptime*K512,0)</f>
        <v/>
      </c>
      <c r="P512" s="46">
        <f>mech_uptime</f>
        <v/>
      </c>
      <c r="Q512" s="46">
        <f>revleg_sel</f>
        <v/>
      </c>
      <c r="R512" s="45">
        <f>ROUND(N512*O512*revleg_sel,0)</f>
        <v/>
      </c>
      <c r="S512" s="47">
        <f>load_sel</f>
        <v/>
      </c>
      <c r="T512" s="47">
        <f>pax_cap*S512</f>
        <v/>
      </c>
      <c r="U512" s="45">
        <f>T512*R512</f>
        <v/>
      </c>
      <c r="V512" s="48">
        <f>H512*discount</f>
        <v/>
      </c>
      <c r="W512" s="49">
        <f>V512*U512</f>
        <v/>
      </c>
      <c r="X512" s="49">
        <f>(battery/range_nm)*G512*R512*VLOOKUP(B512,country_opex,3,FALSE)</f>
        <v/>
      </c>
      <c r="Y512" s="49">
        <f>VLOOKUP(B512,country_opex,2,FALSE)*crew_factor</f>
        <v/>
      </c>
      <c r="Z512" s="49">
        <f>VLOOKUP(B512,country_opex,5,FALSE)</f>
        <v/>
      </c>
      <c r="AA512" s="49">
        <f>maint</f>
        <v/>
      </c>
      <c r="AB512" s="49">
        <f>VLOOKUP(B512,country_opex,7,FALSE)*ins_pct</f>
        <v/>
      </c>
      <c r="AC512" s="49">
        <f>charge_berth</f>
        <v/>
      </c>
      <c r="AD512" s="49">
        <f>X512+Y512+Z512+AA512+AB512+AC512</f>
        <v/>
      </c>
      <c r="AE512" s="49">
        <f>VLOOKUP(B512,country_opex,7,FALSE)/dep_years</f>
        <v/>
      </c>
      <c r="AF512" s="49">
        <f>W512-AD512</f>
        <v/>
      </c>
      <c r="AG512" s="46">
        <f>IF(W512=0,"",AF512/W512)</f>
        <v/>
      </c>
      <c r="AH512" s="47">
        <f>IF(AF512&lt;=0,"",VLOOKUP(B512,country_opex,7,FALSE)/AF512)</f>
        <v/>
      </c>
      <c r="AI512" s="44">
        <f>((G512*R512/diesel_nmpg)*diesel_co2pg-(battery/range_nm)*G512*R512*VLOOKUP(B512,country_opex,4,FALSE))/1000</f>
        <v/>
      </c>
      <c r="AJ512" s="42" t="n">
        <v>35000</v>
      </c>
      <c r="AK512" s="43" t="inlineStr">
        <is>
          <t>T3</t>
        </is>
      </c>
      <c r="AL512" s="43" t="inlineStr">
        <is>
          <t>med-low</t>
        </is>
      </c>
      <c r="AM512" s="50" t="n">
        <v>0.1</v>
      </c>
      <c r="AN512" s="45">
        <f>IF(AJ512="","",AJ512*AM512)</f>
        <v/>
      </c>
      <c r="AO512" s="45">
        <f>IF(OR(AJ512="",U512=0),"",MIN(IF(AV512="",9.9E+99,AV512),FLOOR(AN512/U512,1)))</f>
        <v/>
      </c>
      <c r="AP512" s="49">
        <f>IF(AO512="","",AO512*W512)</f>
        <v/>
      </c>
      <c r="AQ512" s="47">
        <f>IF(OR(AJ512="",U512=0),"",MIN(IF(AV512="",9.9E+99,AV512),AN512/U512))</f>
        <v/>
      </c>
      <c r="AR512" s="49">
        <f>IF(AQ512="","",AQ512*W512)</f>
        <v/>
      </c>
      <c r="AS512" s="51" t="n"/>
      <c r="AT512" s="52" t="n"/>
      <c r="AU512" s="52" t="n"/>
      <c r="AV512" s="53" t="n"/>
      <c r="AW512" s="54">
        <f>IF(((V512*pax_cap*load_thin*ROUND(N512*O512*revleg_thin,0))-(((battery/range_nm)*G512*ROUND(N512*O512*revleg_thin,0)*VLOOKUP(B512,country_opex,3,FALSE))+Y512+Z512+AA512+AB512+AC512))&lt;=0,"",VLOOKUP(B512,country_opex,7,FALSE)/((V512*pax_cap*load_thin*ROUND(N512*O512*revleg_thin,0))-(((battery/range_nm)*G512*ROUND(N512*O512*revleg_thin,0)*VLOOKUP(B512,country_opex,3,FALSE))+Y512+Z512+AA512+AB512+AC512)))</f>
        <v/>
      </c>
      <c r="AX512" s="54">
        <f>IF(((V512*pax_cap*load_mid*ROUND(N512*O512*revleg_mid,0))-(((battery/range_nm)*G512*ROUND(N512*O512*revleg_mid,0)*VLOOKUP(B512,country_opex,3,FALSE))+Y512+Z512+AA512+AB512+AC512))&lt;=0,"",VLOOKUP(B512,country_opex,7,FALSE)/((V512*pax_cap*load_mid*ROUND(N512*O512*revleg_mid,0))-(((battery/range_nm)*G512*ROUND(N512*O512*revleg_mid,0)*VLOOKUP(B512,country_opex,3,FALSE))+Y512+Z512+AA512+AB512+AC512)))</f>
        <v/>
      </c>
      <c r="AY512" s="54">
        <f>IF(((V512*pax_cap*load_full*ROUND(N512*O512*revleg_full,0))-(((battery/range_nm)*G512*ROUND(N512*O512*revleg_full,0)*VLOOKUP(B512,country_opex,3,FALSE))+Y512+Z512+AA512+AB512+AC512))&lt;=0,"",VLOOKUP(B512,country_opex,7,FALSE)/((V512*pax_cap*load_full*ROUND(N512*O512*revleg_full,0))-(((battery/range_nm)*G512*ROUND(N512*O512*revleg_full,0)*VLOOKUP(B512,country_opex,3,FALSE))+Y512+Z512+AA512+AB512+AC512)))</f>
        <v/>
      </c>
      <c r="AZ512" s="40" t="inlineStr">
        <is>
          <t>uae-careem demand ladder + PR #58 Noon route seal (Careem-style super_app)</t>
        </is>
      </c>
      <c r="BA512" s="40" t="inlineStr">
        <is>
          <t>uae-careem demand ladder + PR #58 Noon route seal (Careem-style super_app)</t>
        </is>
      </c>
    </row>
    <row r="513">
      <c r="A513" s="38" t="inlineStr">
        <is>
          <t>UAE (Careem)</t>
        </is>
      </c>
      <c r="B513" s="38" t="inlineStr">
        <is>
          <t>United Arab Emirates</t>
        </is>
      </c>
      <c r="C513" s="39" t="inlineStr">
        <is>
          <t>Yas Marina → Zaya Nurai Island Jetty</t>
        </is>
      </c>
      <c r="D513" s="38" t="inlineStr">
        <is>
          <t>careem</t>
        </is>
      </c>
      <c r="E513" s="40" t="inlineStr">
        <is>
          <t>bolt-uae, uae-careem, uae-luxury, yango-uae</t>
        </is>
      </c>
      <c r="F513" s="41" t="n">
        <v>4</v>
      </c>
      <c r="G513" s="42" t="n">
        <v>12.6</v>
      </c>
      <c r="H513" s="35" t="n">
        <v>175</v>
      </c>
      <c r="I513" s="43" t="inlineStr">
        <is>
          <t>T5</t>
        </is>
      </c>
      <c r="J513" s="43" t="inlineStr">
        <is>
          <t>low</t>
        </is>
      </c>
      <c r="K513" s="29" t="n">
        <v>1</v>
      </c>
      <c r="L513" s="44">
        <f>60*G513/cruise_kt</f>
        <v/>
      </c>
      <c r="M513" s="44">
        <f>L513+turn_min+dwell_min</f>
        <v/>
      </c>
      <c r="N513" s="45">
        <f>MIN(10,FLOOR(60*service_hr/M513,1))</f>
        <v/>
      </c>
      <c r="O513" s="45">
        <f>ROUND(365*mech_uptime*K513,0)</f>
        <v/>
      </c>
      <c r="P513" s="46">
        <f>mech_uptime</f>
        <v/>
      </c>
      <c r="Q513" s="46">
        <f>revleg_sel</f>
        <v/>
      </c>
      <c r="R513" s="45">
        <f>ROUND(N513*O513*revleg_sel,0)</f>
        <v/>
      </c>
      <c r="S513" s="47">
        <f>load_sel</f>
        <v/>
      </c>
      <c r="T513" s="47">
        <f>pax_cap*S513</f>
        <v/>
      </c>
      <c r="U513" s="45">
        <f>T513*R513</f>
        <v/>
      </c>
      <c r="V513" s="48">
        <f>H513*discount</f>
        <v/>
      </c>
      <c r="W513" s="49">
        <f>V513*U513</f>
        <v/>
      </c>
      <c r="X513" s="49">
        <f>(battery/range_nm)*G513*R513*VLOOKUP(B513,country_opex,3,FALSE)</f>
        <v/>
      </c>
      <c r="Y513" s="49">
        <f>VLOOKUP(B513,country_opex,2,FALSE)*crew_factor</f>
        <v/>
      </c>
      <c r="Z513" s="49">
        <f>VLOOKUP(B513,country_opex,5,FALSE)</f>
        <v/>
      </c>
      <c r="AA513" s="49">
        <f>maint</f>
        <v/>
      </c>
      <c r="AB513" s="49">
        <f>VLOOKUP(B513,country_opex,7,FALSE)*ins_pct</f>
        <v/>
      </c>
      <c r="AC513" s="49">
        <f>charge_berth</f>
        <v/>
      </c>
      <c r="AD513" s="49">
        <f>X513+Y513+Z513+AA513+AB513+AC513</f>
        <v/>
      </c>
      <c r="AE513" s="49">
        <f>VLOOKUP(B513,country_opex,7,FALSE)/dep_years</f>
        <v/>
      </c>
      <c r="AF513" s="49">
        <f>W513-AD513</f>
        <v/>
      </c>
      <c r="AG513" s="46">
        <f>IF(W513=0,"",AF513/W513)</f>
        <v/>
      </c>
      <c r="AH513" s="47">
        <f>IF(AF513&lt;=0,"",VLOOKUP(B513,country_opex,7,FALSE)/AF513)</f>
        <v/>
      </c>
      <c r="AI513" s="44">
        <f>((G513*R513/diesel_nmpg)*diesel_co2pg-(battery/range_nm)*G513*R513*VLOOKUP(B513,country_opex,4,FALSE))/1000</f>
        <v/>
      </c>
      <c r="AJ513" s="42" t="n">
        <v>15000</v>
      </c>
      <c r="AK513" s="43" t="inlineStr">
        <is>
          <t>T3</t>
        </is>
      </c>
      <c r="AL513" s="43" t="inlineStr">
        <is>
          <t>low</t>
        </is>
      </c>
      <c r="AM513" s="50" t="n">
        <v>0.1</v>
      </c>
      <c r="AN513" s="45">
        <f>IF(AJ513="","",AJ513*AM513)</f>
        <v/>
      </c>
      <c r="AO513" s="45">
        <f>IF(OR(AJ513="",U513=0),"",MIN(IF(AV513="",9.9E+99,AV513),FLOOR(AN513/U513,1)))</f>
        <v/>
      </c>
      <c r="AP513" s="49">
        <f>IF(AO513="","",AO513*W513)</f>
        <v/>
      </c>
      <c r="AQ513" s="47">
        <f>IF(OR(AJ513="",U513=0),"",MIN(IF(AV513="",9.9E+99,AV513),AN513/U513))</f>
        <v/>
      </c>
      <c r="AR513" s="49">
        <f>IF(AQ513="","",AQ513*W513)</f>
        <v/>
      </c>
      <c r="AS513" s="51" t="n"/>
      <c r="AT513" s="52" t="n"/>
      <c r="AU513" s="52" t="n"/>
      <c r="AV513" s="53" t="n"/>
      <c r="AW513" s="54">
        <f>IF(((V513*pax_cap*load_thin*ROUND(N513*O513*revleg_thin,0))-(((battery/range_nm)*G513*ROUND(N513*O513*revleg_thin,0)*VLOOKUP(B513,country_opex,3,FALSE))+Y513+Z513+AA513+AB513+AC513))&lt;=0,"",VLOOKUP(B513,country_opex,7,FALSE)/((V513*pax_cap*load_thin*ROUND(N513*O513*revleg_thin,0))-(((battery/range_nm)*G513*ROUND(N513*O513*revleg_thin,0)*VLOOKUP(B513,country_opex,3,FALSE))+Y513+Z513+AA513+AB513+AC513)))</f>
        <v/>
      </c>
      <c r="AX513" s="54">
        <f>IF(((V513*pax_cap*load_mid*ROUND(N513*O513*revleg_mid,0))-(((battery/range_nm)*G513*ROUND(N513*O513*revleg_mid,0)*VLOOKUP(B513,country_opex,3,FALSE))+Y513+Z513+AA513+AB513+AC513))&lt;=0,"",VLOOKUP(B513,country_opex,7,FALSE)/((V513*pax_cap*load_mid*ROUND(N513*O513*revleg_mid,0))-(((battery/range_nm)*G513*ROUND(N513*O513*revleg_mid,0)*VLOOKUP(B513,country_opex,3,FALSE))+Y513+Z513+AA513+AB513+AC513)))</f>
        <v/>
      </c>
      <c r="AY513" s="54">
        <f>IF(((V513*pax_cap*load_full*ROUND(N513*O513*revleg_full,0))-(((battery/range_nm)*G513*ROUND(N513*O513*revleg_full,0)*VLOOKUP(B513,country_opex,3,FALSE))+Y513+Z513+AA513+AB513+AC513))&lt;=0,"",VLOOKUP(B513,country_opex,7,FALSE)/((V513*pax_cap*load_full*ROUND(N513*O513*revleg_full,0))-(((battery/range_nm)*G513*ROUND(N513*O513*revleg_full,0)*VLOOKUP(B513,country_opex,3,FALSE))+Y513+Z513+AA513+AB513+AC513)))</f>
        <v/>
      </c>
      <c r="AZ513" s="40" t="inlineStr">
        <is>
          <t>Zaya Nurai boat-only, but real transfers depart Saadiyat (4.4nm) not Yas Marina (12.6nm) -&gt; R3-PIER. $175 modeled; demand NULL. T5/low.</t>
        </is>
      </c>
      <c r="BA513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14">
      <c r="A514" s="38" t="inlineStr">
        <is>
          <t>UAE (Careem)</t>
        </is>
      </c>
      <c r="B514" s="38" t="inlineStr">
        <is>
          <t>United Arab Emirates</t>
        </is>
      </c>
      <c r="C514" s="39" t="inlineStr">
        <is>
          <t>Yas Marina → Saadiyat Beach Club Jetty</t>
        </is>
      </c>
      <c r="D514" s="38" t="inlineStr">
        <is>
          <t>careem</t>
        </is>
      </c>
      <c r="E514" s="40" t="inlineStr">
        <is>
          <t>bolt-uae, uae-careem, uae-luxury, yango-uae</t>
        </is>
      </c>
      <c r="F514" s="41" t="n">
        <v>4</v>
      </c>
      <c r="G514" s="42" t="n">
        <v>13</v>
      </c>
      <c r="H514" s="35" t="n">
        <v>75</v>
      </c>
      <c r="I514" s="43" t="inlineStr">
        <is>
          <t>T4</t>
        </is>
      </c>
      <c r="J514" s="43" t="inlineStr">
        <is>
          <t>low</t>
        </is>
      </c>
      <c r="K514" s="29" t="n">
        <v>1</v>
      </c>
      <c r="L514" s="44">
        <f>60*G514/cruise_kt</f>
        <v/>
      </c>
      <c r="M514" s="44">
        <f>L514+turn_min+dwell_min</f>
        <v/>
      </c>
      <c r="N514" s="45">
        <f>MIN(10,FLOOR(60*service_hr/M514,1))</f>
        <v/>
      </c>
      <c r="O514" s="45">
        <f>ROUND(365*mech_uptime*K514,0)</f>
        <v/>
      </c>
      <c r="P514" s="46">
        <f>mech_uptime</f>
        <v/>
      </c>
      <c r="Q514" s="46">
        <f>revleg_sel</f>
        <v/>
      </c>
      <c r="R514" s="45">
        <f>ROUND(N514*O514*revleg_sel,0)</f>
        <v/>
      </c>
      <c r="S514" s="47">
        <f>load_sel</f>
        <v/>
      </c>
      <c r="T514" s="47">
        <f>pax_cap*S514</f>
        <v/>
      </c>
      <c r="U514" s="45">
        <f>T514*R514</f>
        <v/>
      </c>
      <c r="V514" s="48">
        <f>H514*discount</f>
        <v/>
      </c>
      <c r="W514" s="49">
        <f>V514*U514</f>
        <v/>
      </c>
      <c r="X514" s="49">
        <f>(battery/range_nm)*G514*R514*VLOOKUP(B514,country_opex,3,FALSE)</f>
        <v/>
      </c>
      <c r="Y514" s="49">
        <f>VLOOKUP(B514,country_opex,2,FALSE)*crew_factor</f>
        <v/>
      </c>
      <c r="Z514" s="49">
        <f>VLOOKUP(B514,country_opex,5,FALSE)</f>
        <v/>
      </c>
      <c r="AA514" s="49">
        <f>maint</f>
        <v/>
      </c>
      <c r="AB514" s="49">
        <f>VLOOKUP(B514,country_opex,7,FALSE)*ins_pct</f>
        <v/>
      </c>
      <c r="AC514" s="49">
        <f>charge_berth</f>
        <v/>
      </c>
      <c r="AD514" s="49">
        <f>X514+Y514+Z514+AA514+AB514+AC514</f>
        <v/>
      </c>
      <c r="AE514" s="49">
        <f>VLOOKUP(B514,country_opex,7,FALSE)/dep_years</f>
        <v/>
      </c>
      <c r="AF514" s="49">
        <f>W514-AD514</f>
        <v/>
      </c>
      <c r="AG514" s="46">
        <f>IF(W514=0,"",AF514/W514)</f>
        <v/>
      </c>
      <c r="AH514" s="47">
        <f>IF(AF514&lt;=0,"",VLOOKUP(B514,country_opex,7,FALSE)/AF514)</f>
        <v/>
      </c>
      <c r="AI514" s="44">
        <f>((G514*R514/diesel_nmpg)*diesel_co2pg-(battery/range_nm)*G514*R514*VLOOKUP(B514,country_opex,4,FALSE))/1000</f>
        <v/>
      </c>
      <c r="AJ514" s="42" t="n">
        <v>30000</v>
      </c>
      <c r="AK514" s="43" t="inlineStr">
        <is>
          <t>T3</t>
        </is>
      </c>
      <c r="AL514" s="43" t="inlineStr">
        <is>
          <t>low</t>
        </is>
      </c>
      <c r="AM514" s="50" t="n">
        <v>0.1</v>
      </c>
      <c r="AN514" s="45">
        <f>IF(AJ514="","",AJ514*AM514)</f>
        <v/>
      </c>
      <c r="AO514" s="45">
        <f>IF(OR(AJ514="",U514=0),"",MIN(IF(AV514="",9.9E+99,AV514),FLOOR(AN514/U514,1)))</f>
        <v/>
      </c>
      <c r="AP514" s="49">
        <f>IF(AO514="","",AO514*W514)</f>
        <v/>
      </c>
      <c r="AQ514" s="47">
        <f>IF(OR(AJ514="",U514=0),"",MIN(IF(AV514="",9.9E+99,AV514),AN514/U514))</f>
        <v/>
      </c>
      <c r="AR514" s="49">
        <f>IF(AQ514="","",AQ514*W514)</f>
        <v/>
      </c>
      <c r="AS514" s="51" t="n"/>
      <c r="AT514" s="52" t="n"/>
      <c r="AU514" s="52" t="n"/>
      <c r="AV514" s="53" t="n"/>
      <c r="AW514" s="54">
        <f>IF(((V514*pax_cap*load_thin*ROUND(N514*O514*revleg_thin,0))-(((battery/range_nm)*G514*ROUND(N514*O514*revleg_thin,0)*VLOOKUP(B514,country_opex,3,FALSE))+Y514+Z514+AA514+AB514+AC514))&lt;=0,"",VLOOKUP(B514,country_opex,7,FALSE)/((V514*pax_cap*load_thin*ROUND(N514*O514*revleg_thin,0))-(((battery/range_nm)*G514*ROUND(N514*O514*revleg_thin,0)*VLOOKUP(B514,country_opex,3,FALSE))+Y514+Z514+AA514+AB514+AC514)))</f>
        <v/>
      </c>
      <c r="AX514" s="54">
        <f>IF(((V514*pax_cap*load_mid*ROUND(N514*O514*revleg_mid,0))-(((battery/range_nm)*G514*ROUND(N514*O514*revleg_mid,0)*VLOOKUP(B514,country_opex,3,FALSE))+Y514+Z514+AA514+AB514+AC514))&lt;=0,"",VLOOKUP(B514,country_opex,7,FALSE)/((V514*pax_cap*load_mid*ROUND(N514*O514*revleg_mid,0))-(((battery/range_nm)*G514*ROUND(N514*O514*revleg_mid,0)*VLOOKUP(B514,country_opex,3,FALSE))+Y514+Z514+AA514+AB514+AC514)))</f>
        <v/>
      </c>
      <c r="AY514" s="54">
        <f>IF(((V514*pax_cap*load_full*ROUND(N514*O514*revleg_full,0))-(((battery/range_nm)*G514*ROUND(N514*O514*revleg_full,0)*VLOOKUP(B514,country_opex,3,FALSE))+Y514+Z514+AA514+AB514+AC514))&lt;=0,"",VLOOKUP(B514,country_opex,7,FALSE)/((V514*pax_cap*load_full*ROUND(N514*O514*revleg_full,0))-(((battery/range_nm)*G514*ROUND(N514*O514*revleg_full,0)*VLOOKUP(B514,country_opex,3,FALSE))+Y514+Z514+AA514+AB514+AC514)))</f>
        <v/>
      </c>
      <c r="AZ514" s="40" t="inlineStr">
        <is>
          <t>RTA/Dubai-Ferry official ladder (R-RTA, T1): Water Taxi on-demand single AED 150/pax = $40.8; Dubai Ferry Gold AED 75 = $20.4, Silver AED 50 = $13.6; Water Bus AED 7; Abra AED 1. dubai-ferry.com / rta.ae 2025/26. AD leisure-island network; no published AD water-taxi tariff; anchored on Dubai RTA premium ladder.</t>
        </is>
      </c>
      <c r="BA514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15">
      <c r="A515" s="38" t="inlineStr">
        <is>
          <t>UAE (Careem)</t>
        </is>
      </c>
      <c r="B515" s="38" t="inlineStr">
        <is>
          <t>United Arab Emirates</t>
        </is>
      </c>
      <c r="C515" s="39" t="inlineStr">
        <is>
          <t>Dibba Marina (Fujairah) → Khorfakkan Corniche / Port (Sharjah enclave)</t>
        </is>
      </c>
      <c r="D515" s="38" t="inlineStr">
        <is>
          <t>careem</t>
        </is>
      </c>
      <c r="E515" s="40" t="inlineStr">
        <is>
          <t>bolt-uae, uae-careem, uae-luxury, yango-uae</t>
        </is>
      </c>
      <c r="F515" s="41" t="n">
        <v>4</v>
      </c>
      <c r="G515" s="42" t="n">
        <v>20.4</v>
      </c>
      <c r="H515" s="35" t="n">
        <v>65</v>
      </c>
      <c r="I515" s="43" t="inlineStr">
        <is>
          <t>T3</t>
        </is>
      </c>
      <c r="J515" s="43" t="inlineStr">
        <is>
          <t>med</t>
        </is>
      </c>
      <c r="K515" s="29" t="n">
        <v>1</v>
      </c>
      <c r="L515" s="44">
        <f>60*G515/cruise_kt</f>
        <v/>
      </c>
      <c r="M515" s="44">
        <f>L515+turn_min+dwell_min</f>
        <v/>
      </c>
      <c r="N515" s="45">
        <f>MIN(10,FLOOR(60*service_hr/M515,1))</f>
        <v/>
      </c>
      <c r="O515" s="45">
        <f>ROUND(365*mech_uptime*K515,0)</f>
        <v/>
      </c>
      <c r="P515" s="46">
        <f>mech_uptime</f>
        <v/>
      </c>
      <c r="Q515" s="46">
        <f>revleg_sel</f>
        <v/>
      </c>
      <c r="R515" s="45">
        <f>ROUND(N515*O515*revleg_sel,0)</f>
        <v/>
      </c>
      <c r="S515" s="47">
        <f>load_sel</f>
        <v/>
      </c>
      <c r="T515" s="47">
        <f>pax_cap*S515</f>
        <v/>
      </c>
      <c r="U515" s="45">
        <f>T515*R515</f>
        <v/>
      </c>
      <c r="V515" s="48">
        <f>H515*discount</f>
        <v/>
      </c>
      <c r="W515" s="49">
        <f>V515*U515</f>
        <v/>
      </c>
      <c r="X515" s="49">
        <f>(battery/range_nm)*G515*R515*VLOOKUP(B515,country_opex,3,FALSE)</f>
        <v/>
      </c>
      <c r="Y515" s="49">
        <f>VLOOKUP(B515,country_opex,2,FALSE)*crew_factor</f>
        <v/>
      </c>
      <c r="Z515" s="49">
        <f>VLOOKUP(B515,country_opex,5,FALSE)</f>
        <v/>
      </c>
      <c r="AA515" s="49">
        <f>maint</f>
        <v/>
      </c>
      <c r="AB515" s="49">
        <f>VLOOKUP(B515,country_opex,7,FALSE)*ins_pct</f>
        <v/>
      </c>
      <c r="AC515" s="49">
        <f>charge_berth</f>
        <v/>
      </c>
      <c r="AD515" s="49">
        <f>X515+Y515+Z515+AA515+AB515+AC515</f>
        <v/>
      </c>
      <c r="AE515" s="49">
        <f>VLOOKUP(B515,country_opex,7,FALSE)/dep_years</f>
        <v/>
      </c>
      <c r="AF515" s="49">
        <f>W515-AD515</f>
        <v/>
      </c>
      <c r="AG515" s="46">
        <f>IF(W515=0,"",AF515/W515)</f>
        <v/>
      </c>
      <c r="AH515" s="47">
        <f>IF(AF515&lt;=0,"",VLOOKUP(B515,country_opex,7,FALSE)/AF515)</f>
        <v/>
      </c>
      <c r="AI515" s="44">
        <f>((G515*R515/diesel_nmpg)*diesel_co2pg-(battery/range_nm)*G515*R515*VLOOKUP(B515,country_opex,4,FALSE))/1000</f>
        <v/>
      </c>
      <c r="AJ515" s="42" t="n">
        <v>60000</v>
      </c>
      <c r="AK515" s="43" t="inlineStr">
        <is>
          <t>T4</t>
        </is>
      </c>
      <c r="AL515" s="43" t="inlineStr">
        <is>
          <t>low</t>
        </is>
      </c>
      <c r="AM515" s="50" t="n">
        <v>0.1</v>
      </c>
      <c r="AN515" s="45">
        <f>IF(AJ515="","",AJ515*AM515)</f>
        <v/>
      </c>
      <c r="AO515" s="45">
        <f>IF(OR(AJ515="",U515=0),"",MIN(IF(AV515="",9.9E+99,AV515),FLOOR(AN515/U515,1)))</f>
        <v/>
      </c>
      <c r="AP515" s="49">
        <f>IF(AO515="","",AO515*W515)</f>
        <v/>
      </c>
      <c r="AQ515" s="47">
        <f>IF(OR(AJ515="",U515=0),"",MIN(IF(AV515="",9.9E+99,AV515),AN515/U515))</f>
        <v/>
      </c>
      <c r="AR515" s="49">
        <f>IF(AQ515="","",AQ515*W515)</f>
        <v/>
      </c>
      <c r="AS515" s="51" t="n"/>
      <c r="AT515" s="52" t="n"/>
      <c r="AU515" s="52" t="n"/>
      <c r="AV515" s="53" t="n"/>
      <c r="AW515" s="54">
        <f>IF(((V515*pax_cap*load_thin*ROUND(N515*O515*revleg_thin,0))-(((battery/range_nm)*G515*ROUND(N515*O515*revleg_thin,0)*VLOOKUP(B515,country_opex,3,FALSE))+Y515+Z515+AA515+AB515+AC515))&lt;=0,"",VLOOKUP(B515,country_opex,7,FALSE)/((V515*pax_cap*load_thin*ROUND(N515*O515*revleg_thin,0))-(((battery/range_nm)*G515*ROUND(N515*O515*revleg_thin,0)*VLOOKUP(B515,country_opex,3,FALSE))+Y515+Z515+AA515+AB515+AC515)))</f>
        <v/>
      </c>
      <c r="AX515" s="54">
        <f>IF(((V515*pax_cap*load_mid*ROUND(N515*O515*revleg_mid,0))-(((battery/range_nm)*G515*ROUND(N515*O515*revleg_mid,0)*VLOOKUP(B515,country_opex,3,FALSE))+Y515+Z515+AA515+AB515+AC515))&lt;=0,"",VLOOKUP(B515,country_opex,7,FALSE)/((V515*pax_cap*load_mid*ROUND(N515*O515*revleg_mid,0))-(((battery/range_nm)*G515*ROUND(N515*O515*revleg_mid,0)*VLOOKUP(B515,country_opex,3,FALSE))+Y515+Z515+AA515+AB515+AC515)))</f>
        <v/>
      </c>
      <c r="AY515" s="54">
        <f>IF(((V515*pax_cap*load_full*ROUND(N515*O515*revleg_full,0))-(((battery/range_nm)*G515*ROUND(N515*O515*revleg_full,0)*VLOOKUP(B515,country_opex,3,FALSE))+Y515+Z515+AA515+AB515+AC515))&lt;=0,"",VLOOKUP(B515,country_opex,7,FALSE)/((V515*pax_cap*load_full*ROUND(N515*O515*revleg_full,0))-(((battery/range_nm)*G515*ROUND(N515*O515*revleg_full,0)*VLOOKUP(B515,country_opex,3,FALSE))+Y515+Z515+AA515+AB515+AC515)))</f>
        <v/>
      </c>
      <c r="AZ515" s="40" t="inlineStr">
        <is>
          <t>Fujairah east-coast day-trip boats: Dibba/Khor Fakkan dhow &amp; speedboat tours AED 140-210/pax (Instagram/Tripadvisor/Viator 2025); Musandam dhow cruises similar.</t>
        </is>
      </c>
      <c r="BA515" s="40" t="inlineStr">
        <is>
          <t>Fujairah arrivals crossed 340,000 (+22% YoY), 209 hotels, 70-100% occ (UAE Ministry/Fujairah Tourism); east-coast diving/Musandam day-trips genuinely water-based.</t>
        </is>
      </c>
    </row>
    <row r="516">
      <c r="A516" s="38" t="inlineStr">
        <is>
          <t>UAE (Careem)</t>
        </is>
      </c>
      <c r="B516" s="38" t="inlineStr">
        <is>
          <t>United Arab Emirates</t>
        </is>
      </c>
      <c r="C516" s="39" t="inlineStr">
        <is>
          <t>Dubai Harbour Marina → Al Khan Lagoon mouth</t>
        </is>
      </c>
      <c r="D516" s="38" t="inlineStr">
        <is>
          <t>careem</t>
        </is>
      </c>
      <c r="E516" s="40" t="inlineStr">
        <is>
          <t>bolt-uae, uae-careem, uae-luxury, uae-noon, yango-uae</t>
        </is>
      </c>
      <c r="F516" s="41" t="n">
        <v>5</v>
      </c>
      <c r="G516" s="42" t="n">
        <v>25.1</v>
      </c>
      <c r="H516" s="35" t="n">
        <v>85</v>
      </c>
      <c r="I516" s="43" t="inlineStr">
        <is>
          <t>T5</t>
        </is>
      </c>
      <c r="J516" s="43" t="inlineStr">
        <is>
          <t>low</t>
        </is>
      </c>
      <c r="K516" s="29" t="n">
        <v>1</v>
      </c>
      <c r="L516" s="44">
        <f>60*G516/cruise_kt</f>
        <v/>
      </c>
      <c r="M516" s="44">
        <f>L516+turn_min+dwell_min</f>
        <v/>
      </c>
      <c r="N516" s="45">
        <f>MIN(10,FLOOR(60*service_hr/M516,1))</f>
        <v/>
      </c>
      <c r="O516" s="45">
        <f>ROUND(365*mech_uptime*K516,0)</f>
        <v/>
      </c>
      <c r="P516" s="46">
        <f>mech_uptime</f>
        <v/>
      </c>
      <c r="Q516" s="46">
        <f>revleg_sel</f>
        <v/>
      </c>
      <c r="R516" s="45">
        <f>ROUND(N516*O516*revleg_sel,0)</f>
        <v/>
      </c>
      <c r="S516" s="47">
        <f>load_sel</f>
        <v/>
      </c>
      <c r="T516" s="47">
        <f>pax_cap*S516</f>
        <v/>
      </c>
      <c r="U516" s="45">
        <f>T516*R516</f>
        <v/>
      </c>
      <c r="V516" s="48">
        <f>H516*discount</f>
        <v/>
      </c>
      <c r="W516" s="49">
        <f>V516*U516</f>
        <v/>
      </c>
      <c r="X516" s="49">
        <f>(battery/range_nm)*G516*R516*VLOOKUP(B516,country_opex,3,FALSE)</f>
        <v/>
      </c>
      <c r="Y516" s="49">
        <f>VLOOKUP(B516,country_opex,2,FALSE)*crew_factor</f>
        <v/>
      </c>
      <c r="Z516" s="49">
        <f>VLOOKUP(B516,country_opex,5,FALSE)</f>
        <v/>
      </c>
      <c r="AA516" s="49">
        <f>maint</f>
        <v/>
      </c>
      <c r="AB516" s="49">
        <f>VLOOKUP(B516,country_opex,7,FALSE)*ins_pct</f>
        <v/>
      </c>
      <c r="AC516" s="49">
        <f>charge_berth</f>
        <v/>
      </c>
      <c r="AD516" s="49">
        <f>X516+Y516+Z516+AA516+AB516+AC516</f>
        <v/>
      </c>
      <c r="AE516" s="49">
        <f>VLOOKUP(B516,country_opex,7,FALSE)/dep_years</f>
        <v/>
      </c>
      <c r="AF516" s="49">
        <f>W516-AD516</f>
        <v/>
      </c>
      <c r="AG516" s="46">
        <f>IF(W516=0,"",AF516/W516)</f>
        <v/>
      </c>
      <c r="AH516" s="47">
        <f>IF(AF516&lt;=0,"",VLOOKUP(B516,country_opex,7,FALSE)/AF516)</f>
        <v/>
      </c>
      <c r="AI516" s="44">
        <f>((G516*R516/diesel_nmpg)*diesel_co2pg-(battery/range_nm)*G516*R516*VLOOKUP(B516,country_opex,4,FALSE))/1000</f>
        <v/>
      </c>
      <c r="AJ516" s="42" t="n">
        <v>40000</v>
      </c>
      <c r="AK516" s="43" t="inlineStr">
        <is>
          <t>T2</t>
        </is>
      </c>
      <c r="AL516" s="43" t="inlineStr">
        <is>
          <t>low</t>
        </is>
      </c>
      <c r="AM516" s="50" t="n">
        <v>0.1</v>
      </c>
      <c r="AN516" s="45">
        <f>IF(AJ516="","",AJ516*AM516)</f>
        <v/>
      </c>
      <c r="AO516" s="45">
        <f>IF(OR(AJ516="",U516=0),"",MIN(IF(AV516="",9.9E+99,AV516),FLOOR(AN516/U516,1)))</f>
        <v/>
      </c>
      <c r="AP516" s="49">
        <f>IF(AO516="","",AO516*W516)</f>
        <v/>
      </c>
      <c r="AQ516" s="47">
        <f>IF(OR(AJ516="",U516=0),"",MIN(IF(AV516="",9.9E+99,AV516),AN516/U516))</f>
        <v/>
      </c>
      <c r="AR516" s="49">
        <f>IF(AQ516="","",AQ516*W516)</f>
        <v/>
      </c>
      <c r="AS516" s="51" t="n"/>
      <c r="AT516" s="52" t="n"/>
      <c r="AU516" s="52" t="n"/>
      <c r="AV516" s="53" t="n"/>
      <c r="AW516" s="54">
        <f>IF(((V516*pax_cap*load_thin*ROUND(N516*O516*revleg_thin,0))-(((battery/range_nm)*G516*ROUND(N516*O516*revleg_thin,0)*VLOOKUP(B516,country_opex,3,FALSE))+Y516+Z516+AA516+AB516+AC516))&lt;=0,"",VLOOKUP(B516,country_opex,7,FALSE)/((V516*pax_cap*load_thin*ROUND(N516*O516*revleg_thin,0))-(((battery/range_nm)*G516*ROUND(N516*O516*revleg_thin,0)*VLOOKUP(B516,country_opex,3,FALSE))+Y516+Z516+AA516+AB516+AC516)))</f>
        <v/>
      </c>
      <c r="AX516" s="54">
        <f>IF(((V516*pax_cap*load_mid*ROUND(N516*O516*revleg_mid,0))-(((battery/range_nm)*G516*ROUND(N516*O516*revleg_mid,0)*VLOOKUP(B516,country_opex,3,FALSE))+Y516+Z516+AA516+AB516+AC516))&lt;=0,"",VLOOKUP(B516,country_opex,7,FALSE)/((V516*pax_cap*load_mid*ROUND(N516*O516*revleg_mid,0))-(((battery/range_nm)*G516*ROUND(N516*O516*revleg_mid,0)*VLOOKUP(B516,country_opex,3,FALSE))+Y516+Z516+AA516+AB516+AC516)))</f>
        <v/>
      </c>
      <c r="AY516" s="54">
        <f>IF(((V516*pax_cap*load_full*ROUND(N516*O516*revleg_full,0))-(((battery/range_nm)*G516*ROUND(N516*O516*revleg_full,0)*VLOOKUP(B516,country_opex,3,FALSE))+Y516+Z516+AA516+AB516+AC516))&lt;=0,"",VLOOKUP(B516,country_opex,7,FALSE)/((V516*pax_cap*load_full*ROUND(N516*O516*revleg_full,0))-(((battery/range_nm)*G516*ROUND(N516*O516*revleg_full,0)*VLOOKUP(B516,country_opex,3,FALSE))+Y516+Z516+AA516+AB516+AC516)))</f>
        <v/>
      </c>
      <c r="AZ516" s="40" t="inlineStr">
        <is>
          <t>Dubai-Sharjah Ferry Gold AED 25 subsidized-commuter (R5-EXT). Premium per-seat $85 modeled (between subsidized ferry and charter). T5/low.</t>
        </is>
      </c>
      <c r="BA516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517">
      <c r="A517" s="38" t="inlineStr">
        <is>
          <t>UAE (Careem)</t>
        </is>
      </c>
      <c r="B517" s="38" t="inlineStr">
        <is>
          <t>United Arab Emirates</t>
        </is>
      </c>
      <c r="C517" s="39" t="inlineStr">
        <is>
          <t>Dubai → Abu Dhabi (Corniche)</t>
        </is>
      </c>
      <c r="D517" s="38" t="inlineStr">
        <is>
          <t>careem</t>
        </is>
      </c>
      <c r="E517" s="40" t="inlineStr">
        <is>
          <t>bolt-uae, uae-careem, uae-luxury, yango-uae</t>
        </is>
      </c>
      <c r="F517" s="41" t="n">
        <v>4</v>
      </c>
      <c r="G517" s="42" t="n">
        <v>55.8</v>
      </c>
      <c r="H517" s="35" t="n"/>
      <c r="I517" s="43" t="n"/>
      <c r="J517" s="43" t="n"/>
      <c r="K517" s="29" t="n">
        <v>1</v>
      </c>
      <c r="L517" s="44">
        <f>60*G517/cruise_kt</f>
        <v/>
      </c>
      <c r="M517" s="44">
        <f>L517+turn_min+dwell_min</f>
        <v/>
      </c>
      <c r="N517" s="45">
        <f>MIN(10,FLOOR(60*service_hr/M517,1))</f>
        <v/>
      </c>
      <c r="O517" s="45">
        <f>ROUND(365*mech_uptime*K517,0)</f>
        <v/>
      </c>
      <c r="P517" s="46">
        <f>mech_uptime</f>
        <v/>
      </c>
      <c r="Q517" s="46">
        <f>revleg_sel</f>
        <v/>
      </c>
      <c r="R517" s="45">
        <f>ROUND(N517*O517*revleg_sel,0)</f>
        <v/>
      </c>
      <c r="S517" s="47">
        <f>load_sel</f>
        <v/>
      </c>
      <c r="T517" s="47">
        <f>pax_cap*S517</f>
        <v/>
      </c>
      <c r="U517" s="45">
        <f>T517*R517</f>
        <v/>
      </c>
      <c r="V517" s="48">
        <f>H517*discount</f>
        <v/>
      </c>
      <c r="W517" s="49">
        <f>V517*U517</f>
        <v/>
      </c>
      <c r="X517" s="49">
        <f>(battery/range_nm)*G517*R517*VLOOKUP(B517,country_opex,3,FALSE)</f>
        <v/>
      </c>
      <c r="Y517" s="49">
        <f>VLOOKUP(B517,country_opex,2,FALSE)*crew_factor</f>
        <v/>
      </c>
      <c r="Z517" s="49">
        <f>VLOOKUP(B517,country_opex,5,FALSE)</f>
        <v/>
      </c>
      <c r="AA517" s="49">
        <f>maint</f>
        <v/>
      </c>
      <c r="AB517" s="49">
        <f>VLOOKUP(B517,country_opex,7,FALSE)*ins_pct</f>
        <v/>
      </c>
      <c r="AC517" s="49">
        <f>charge_berth</f>
        <v/>
      </c>
      <c r="AD517" s="49">
        <f>X517+Y517+Z517+AA517+AB517+AC517</f>
        <v/>
      </c>
      <c r="AE517" s="49">
        <f>VLOOKUP(B517,country_opex,7,FALSE)/dep_years</f>
        <v/>
      </c>
      <c r="AF517" s="49">
        <f>W517-AD517</f>
        <v/>
      </c>
      <c r="AG517" s="46">
        <f>IF(W517=0,"",AF517/W517)</f>
        <v/>
      </c>
      <c r="AH517" s="47">
        <f>IF(AF517&lt;=0,"",VLOOKUP(B517,country_opex,7,FALSE)/AF517)</f>
        <v/>
      </c>
      <c r="AI517" s="44">
        <f>((G517*R517/diesel_nmpg)*diesel_co2pg-(battery/range_nm)*G517*R517*VLOOKUP(B517,country_opex,4,FALSE))/1000</f>
        <v/>
      </c>
      <c r="AJ517" s="42" t="n"/>
      <c r="AK517" s="43" t="n"/>
      <c r="AL517" s="43" t="n"/>
      <c r="AM517" s="50" t="n">
        <v>0.1</v>
      </c>
      <c r="AN517" s="45">
        <f>IF(AJ517="","",AJ517*AM517)</f>
        <v/>
      </c>
      <c r="AO517" s="45">
        <f>IF(OR(AJ517="",U517=0),"",MIN(IF(AV517="",9.9E+99,AV517),FLOOR(AN517/U517,1)))</f>
        <v/>
      </c>
      <c r="AP517" s="49">
        <f>IF(AO517="","",AO517*W517)</f>
        <v/>
      </c>
      <c r="AQ517" s="47">
        <f>IF(OR(AJ517="",U517=0),"",MIN(IF(AV517="",9.9E+99,AV517),AN517/U517))</f>
        <v/>
      </c>
      <c r="AR517" s="49">
        <f>IF(AQ517="","",AQ517*W517)</f>
        <v/>
      </c>
      <c r="AS517" s="51" t="n"/>
      <c r="AT517" s="52" t="n"/>
      <c r="AU517" s="52" t="n"/>
      <c r="AV517" s="53" t="n"/>
      <c r="AW517" s="54">
        <f>IF(((V517*pax_cap*load_thin*ROUND(N517*O517*revleg_thin,0))-(((battery/range_nm)*G517*ROUND(N517*O517*revleg_thin,0)*VLOOKUP(B517,country_opex,3,FALSE))+Y517+Z517+AA517+AB517+AC517))&lt;=0,"",VLOOKUP(B517,country_opex,7,FALSE)/((V517*pax_cap*load_thin*ROUND(N517*O517*revleg_thin,0))-(((battery/range_nm)*G517*ROUND(N517*O517*revleg_thin,0)*VLOOKUP(B517,country_opex,3,FALSE))+Y517+Z517+AA517+AB517+AC517)))</f>
        <v/>
      </c>
      <c r="AX517" s="54">
        <f>IF(((V517*pax_cap*load_mid*ROUND(N517*O517*revleg_mid,0))-(((battery/range_nm)*G517*ROUND(N517*O517*revleg_mid,0)*VLOOKUP(B517,country_opex,3,FALSE))+Y517+Z517+AA517+AB517+AC517))&lt;=0,"",VLOOKUP(B517,country_opex,7,FALSE)/((V517*pax_cap*load_mid*ROUND(N517*O517*revleg_mid,0))-(((battery/range_nm)*G517*ROUND(N517*O517*revleg_mid,0)*VLOOKUP(B517,country_opex,3,FALSE))+Y517+Z517+AA517+AB517+AC517)))</f>
        <v/>
      </c>
      <c r="AY517" s="54">
        <f>IF(((V517*pax_cap*load_full*ROUND(N517*O517*revleg_full,0))-(((battery/range_nm)*G517*ROUND(N517*O517*revleg_full,0)*VLOOKUP(B517,country_opex,3,FALSE))+Y517+Z517+AA517+AB517+AC517))&lt;=0,"",VLOOKUP(B517,country_opex,7,FALSE)/((V517*pax_cap*load_full*ROUND(N517*O517*revleg_full,0))-(((battery/range_nm)*G517*ROUND(N517*O517*revleg_full,0)*VLOOKUP(B517,country_opex,3,FALSE))+Y517+Z517+AA517+AB517+AC517)))</f>
        <v/>
      </c>
      <c r="AZ517" s="40" t="n"/>
      <c r="BA517" s="40" t="n"/>
    </row>
    <row r="518">
      <c r="A518" s="38" t="inlineStr">
        <is>
          <t>UAE (Careem)</t>
        </is>
      </c>
      <c r="B518" s="38" t="inlineStr">
        <is>
          <t>United Arab Emirates</t>
        </is>
      </c>
      <c r="C518" s="39" t="inlineStr">
        <is>
          <t>Dubai Marina → Abu Dhabi Corniche</t>
        </is>
      </c>
      <c r="D518" s="38" t="inlineStr">
        <is>
          <t>careem</t>
        </is>
      </c>
      <c r="E518" s="40" t="inlineStr">
        <is>
          <t>bolt-uae, uae-careem, uae-luxury, yango-uae</t>
        </is>
      </c>
      <c r="F518" s="41" t="n">
        <v>4</v>
      </c>
      <c r="G518" s="42" t="n">
        <v>55.8</v>
      </c>
      <c r="H518" s="35" t="n"/>
      <c r="I518" s="43" t="n"/>
      <c r="J518" s="43" t="n"/>
      <c r="K518" s="29" t="n">
        <v>1</v>
      </c>
      <c r="L518" s="44">
        <f>60*G518/cruise_kt</f>
        <v/>
      </c>
      <c r="M518" s="44">
        <f>L518+turn_min+dwell_min</f>
        <v/>
      </c>
      <c r="N518" s="45">
        <f>MIN(10,FLOOR(60*service_hr/M518,1))</f>
        <v/>
      </c>
      <c r="O518" s="45">
        <f>ROUND(365*mech_uptime*K518,0)</f>
        <v/>
      </c>
      <c r="P518" s="46">
        <f>mech_uptime</f>
        <v/>
      </c>
      <c r="Q518" s="46">
        <f>revleg_sel</f>
        <v/>
      </c>
      <c r="R518" s="45">
        <f>ROUND(N518*O518*revleg_sel,0)</f>
        <v/>
      </c>
      <c r="S518" s="47">
        <f>load_sel</f>
        <v/>
      </c>
      <c r="T518" s="47">
        <f>pax_cap*S518</f>
        <v/>
      </c>
      <c r="U518" s="45">
        <f>T518*R518</f>
        <v/>
      </c>
      <c r="V518" s="48">
        <f>H518*discount</f>
        <v/>
      </c>
      <c r="W518" s="49">
        <f>V518*U518</f>
        <v/>
      </c>
      <c r="X518" s="49">
        <f>(battery/range_nm)*G518*R518*VLOOKUP(B518,country_opex,3,FALSE)</f>
        <v/>
      </c>
      <c r="Y518" s="49">
        <f>VLOOKUP(B518,country_opex,2,FALSE)*crew_factor</f>
        <v/>
      </c>
      <c r="Z518" s="49">
        <f>VLOOKUP(B518,country_opex,5,FALSE)</f>
        <v/>
      </c>
      <c r="AA518" s="49">
        <f>maint</f>
        <v/>
      </c>
      <c r="AB518" s="49">
        <f>VLOOKUP(B518,country_opex,7,FALSE)*ins_pct</f>
        <v/>
      </c>
      <c r="AC518" s="49">
        <f>charge_berth</f>
        <v/>
      </c>
      <c r="AD518" s="49">
        <f>X518+Y518+Z518+AA518+AB518+AC518</f>
        <v/>
      </c>
      <c r="AE518" s="49">
        <f>VLOOKUP(B518,country_opex,7,FALSE)/dep_years</f>
        <v/>
      </c>
      <c r="AF518" s="49">
        <f>W518-AD518</f>
        <v/>
      </c>
      <c r="AG518" s="46">
        <f>IF(W518=0,"",AF518/W518)</f>
        <v/>
      </c>
      <c r="AH518" s="47">
        <f>IF(AF518&lt;=0,"",VLOOKUP(B518,country_opex,7,FALSE)/AF518)</f>
        <v/>
      </c>
      <c r="AI518" s="44">
        <f>((G518*R518/diesel_nmpg)*diesel_co2pg-(battery/range_nm)*G518*R518*VLOOKUP(B518,country_opex,4,FALSE))/1000</f>
        <v/>
      </c>
      <c r="AJ518" s="42" t="n"/>
      <c r="AK518" s="43" t="n"/>
      <c r="AL518" s="43" t="n"/>
      <c r="AM518" s="50" t="n">
        <v>0.1</v>
      </c>
      <c r="AN518" s="45">
        <f>IF(AJ518="","",AJ518*AM518)</f>
        <v/>
      </c>
      <c r="AO518" s="45">
        <f>IF(OR(AJ518="",U518=0),"",MIN(IF(AV518="",9.9E+99,AV518),FLOOR(AN518/U518,1)))</f>
        <v/>
      </c>
      <c r="AP518" s="49">
        <f>IF(AO518="","",AO518*W518)</f>
        <v/>
      </c>
      <c r="AQ518" s="47">
        <f>IF(OR(AJ518="",U518=0),"",MIN(IF(AV518="",9.9E+99,AV518),AN518/U518))</f>
        <v/>
      </c>
      <c r="AR518" s="49">
        <f>IF(AQ518="","",AQ518*W518)</f>
        <v/>
      </c>
      <c r="AS518" s="51" t="n"/>
      <c r="AT518" s="52" t="n"/>
      <c r="AU518" s="52" t="n"/>
      <c r="AV518" s="53" t="n"/>
      <c r="AW518" s="54">
        <f>IF(((V518*pax_cap*load_thin*ROUND(N518*O518*revleg_thin,0))-(((battery/range_nm)*G518*ROUND(N518*O518*revleg_thin,0)*VLOOKUP(B518,country_opex,3,FALSE))+Y518+Z518+AA518+AB518+AC518))&lt;=0,"",VLOOKUP(B518,country_opex,7,FALSE)/((V518*pax_cap*load_thin*ROUND(N518*O518*revleg_thin,0))-(((battery/range_nm)*G518*ROUND(N518*O518*revleg_thin,0)*VLOOKUP(B518,country_opex,3,FALSE))+Y518+Z518+AA518+AB518+AC518)))</f>
        <v/>
      </c>
      <c r="AX518" s="54">
        <f>IF(((V518*pax_cap*load_mid*ROUND(N518*O518*revleg_mid,0))-(((battery/range_nm)*G518*ROUND(N518*O518*revleg_mid,0)*VLOOKUP(B518,country_opex,3,FALSE))+Y518+Z518+AA518+AB518+AC518))&lt;=0,"",VLOOKUP(B518,country_opex,7,FALSE)/((V518*pax_cap*load_mid*ROUND(N518*O518*revleg_mid,0))-(((battery/range_nm)*G518*ROUND(N518*O518*revleg_mid,0)*VLOOKUP(B518,country_opex,3,FALSE))+Y518+Z518+AA518+AB518+AC518)))</f>
        <v/>
      </c>
      <c r="AY518" s="54">
        <f>IF(((V518*pax_cap*load_full*ROUND(N518*O518*revleg_full,0))-(((battery/range_nm)*G518*ROUND(N518*O518*revleg_full,0)*VLOOKUP(B518,country_opex,3,FALSE))+Y518+Z518+AA518+AB518+AC518))&lt;=0,"",VLOOKUP(B518,country_opex,7,FALSE)/((V518*pax_cap*load_full*ROUND(N518*O518*revleg_full,0))-(((battery/range_nm)*G518*ROUND(N518*O518*revleg_full,0)*VLOOKUP(B518,country_opex,3,FALSE))+Y518+Z518+AA518+AB518+AC518)))</f>
        <v/>
      </c>
      <c r="AZ518" s="40" t="n"/>
      <c r="BA518" s="40" t="n"/>
    </row>
    <row r="519">
      <c r="A519" s="38" t="inlineStr">
        <is>
          <t>UAE (Careem)</t>
        </is>
      </c>
      <c r="B519" s="38" t="inlineStr">
        <is>
          <t>United Arab Emirates</t>
        </is>
      </c>
      <c r="C519" s="39" t="inlineStr">
        <is>
          <t>Dubai Harbour Marina → Wynn Al Marjan Island arrival lagoon</t>
        </is>
      </c>
      <c r="D519" s="38" t="inlineStr">
        <is>
          <t>careem</t>
        </is>
      </c>
      <c r="E519" s="40" t="inlineStr">
        <is>
          <t>bolt-uae, uae-careem, uae-luxury, uae-noon, yango-uae</t>
        </is>
      </c>
      <c r="F519" s="41" t="n">
        <v>5</v>
      </c>
      <c r="G519" s="42" t="n">
        <v>56</v>
      </c>
      <c r="H519" s="35" t="n">
        <v>200</v>
      </c>
      <c r="I519" s="43" t="inlineStr">
        <is>
          <t>T5</t>
        </is>
      </c>
      <c r="J519" s="43" t="inlineStr">
        <is>
          <t>low</t>
        </is>
      </c>
      <c r="K519" s="29" t="n">
        <v>1</v>
      </c>
      <c r="L519" s="44">
        <f>60*G519/cruise_kt</f>
        <v/>
      </c>
      <c r="M519" s="44">
        <f>L519+turn_min+dwell_min</f>
        <v/>
      </c>
      <c r="N519" s="45">
        <f>MIN(10,FLOOR(60*service_hr/M519,1))</f>
        <v/>
      </c>
      <c r="O519" s="45">
        <f>ROUND(365*mech_uptime*K519,0)</f>
        <v/>
      </c>
      <c r="P519" s="46">
        <f>mech_uptime</f>
        <v/>
      </c>
      <c r="Q519" s="46">
        <f>revleg_sel</f>
        <v/>
      </c>
      <c r="R519" s="45">
        <f>ROUND(N519*O519*revleg_sel,0)</f>
        <v/>
      </c>
      <c r="S519" s="47">
        <f>load_sel</f>
        <v/>
      </c>
      <c r="T519" s="47">
        <f>pax_cap*S519</f>
        <v/>
      </c>
      <c r="U519" s="45">
        <f>T519*R519</f>
        <v/>
      </c>
      <c r="V519" s="48">
        <f>H519*discount</f>
        <v/>
      </c>
      <c r="W519" s="49">
        <f>V519*U519</f>
        <v/>
      </c>
      <c r="X519" s="49">
        <f>(battery/range_nm)*G519*R519*VLOOKUP(B519,country_opex,3,FALSE)</f>
        <v/>
      </c>
      <c r="Y519" s="49">
        <f>VLOOKUP(B519,country_opex,2,FALSE)*crew_factor</f>
        <v/>
      </c>
      <c r="Z519" s="49">
        <f>VLOOKUP(B519,country_opex,5,FALSE)</f>
        <v/>
      </c>
      <c r="AA519" s="49">
        <f>maint</f>
        <v/>
      </c>
      <c r="AB519" s="49">
        <f>VLOOKUP(B519,country_opex,7,FALSE)*ins_pct</f>
        <v/>
      </c>
      <c r="AC519" s="49">
        <f>charge_berth</f>
        <v/>
      </c>
      <c r="AD519" s="49">
        <f>X519+Y519+Z519+AA519+AB519+AC519</f>
        <v/>
      </c>
      <c r="AE519" s="49">
        <f>VLOOKUP(B519,country_opex,7,FALSE)/dep_years</f>
        <v/>
      </c>
      <c r="AF519" s="49">
        <f>W519-AD519</f>
        <v/>
      </c>
      <c r="AG519" s="46">
        <f>IF(W519=0,"",AF519/W519)</f>
        <v/>
      </c>
      <c r="AH519" s="47">
        <f>IF(AF519&lt;=0,"",VLOOKUP(B519,country_opex,7,FALSE)/AF519)</f>
        <v/>
      </c>
      <c r="AI519" s="44">
        <f>((G519*R519/diesel_nmpg)*diesel_co2pg-(battery/range_nm)*G519*R519*VLOOKUP(B519,country_opex,4,FALSE))/1000</f>
        <v/>
      </c>
      <c r="AJ519" s="42" t="n">
        <v>60000</v>
      </c>
      <c r="AK519" s="43" t="inlineStr">
        <is>
          <t>T2</t>
        </is>
      </c>
      <c r="AL519" s="43" t="inlineStr">
        <is>
          <t>medium</t>
        </is>
      </c>
      <c r="AM519" s="50" t="n">
        <v>0.1</v>
      </c>
      <c r="AN519" s="45">
        <f>IF(AJ519="","",AJ519*AM519)</f>
        <v/>
      </c>
      <c r="AO519" s="45">
        <f>IF(OR(AJ519="",U519=0),"",MIN(IF(AV519="",9.9E+99,AV519),FLOOR(AN519/U519,1)))</f>
        <v/>
      </c>
      <c r="AP519" s="49">
        <f>IF(AO519="","",AO519*W519)</f>
        <v/>
      </c>
      <c r="AQ519" s="47">
        <f>IF(OR(AJ519="",U519=0),"",MIN(IF(AV519="",9.9E+99,AV519),AN519/U519))</f>
        <v/>
      </c>
      <c r="AR519" s="49">
        <f>IF(AQ519="","",AQ519*W519)</f>
        <v/>
      </c>
      <c r="AS519" s="51" t="n"/>
      <c r="AT519" s="52" t="n"/>
      <c r="AU519" s="52" t="n"/>
      <c r="AV519" s="53" t="n"/>
      <c r="AW519" s="54">
        <f>IF(((V519*pax_cap*load_thin*ROUND(N519*O519*revleg_thin,0))-(((battery/range_nm)*G519*ROUND(N519*O519*revleg_thin,0)*VLOOKUP(B519,country_opex,3,FALSE))+Y519+Z519+AA519+AB519+AC519))&lt;=0,"",VLOOKUP(B519,country_opex,7,FALSE)/((V519*pax_cap*load_thin*ROUND(N519*O519*revleg_thin,0))-(((battery/range_nm)*G519*ROUND(N519*O519*revleg_thin,0)*VLOOKUP(B519,country_opex,3,FALSE))+Y519+Z519+AA519+AB519+AC519)))</f>
        <v/>
      </c>
      <c r="AX519" s="54">
        <f>IF(((V519*pax_cap*load_mid*ROUND(N519*O519*revleg_mid,0))-(((battery/range_nm)*G519*ROUND(N519*O519*revleg_mid,0)*VLOOKUP(B519,country_opex,3,FALSE))+Y519+Z519+AA519+AB519+AC519))&lt;=0,"",VLOOKUP(B519,country_opex,7,FALSE)/((V519*pax_cap*load_mid*ROUND(N519*O519*revleg_mid,0))-(((battery/range_nm)*G519*ROUND(N519*O519*revleg_mid,0)*VLOOKUP(B519,country_opex,3,FALSE))+Y519+Z519+AA519+AB519+AC519)))</f>
        <v/>
      </c>
      <c r="AY519" s="54">
        <f>IF(((V519*pax_cap*load_full*ROUND(N519*O519*revleg_full,0))-(((battery/range_nm)*G519*ROUND(N519*O519*revleg_full,0)*VLOOKUP(B519,country_opex,3,FALSE))+Y519+Z519+AA519+AB519+AC519))&lt;=0,"",VLOOKUP(B519,country_opex,7,FALSE)/((V519*pax_cap*load_full*ROUND(N519*O519*revleg_full,0))-(((battery/range_nm)*G519*ROUND(N519*O519*revleg_full,0)*VLOOKUP(B519,country_opex,3,FALSE))+Y519+Z519+AA519+AB519+AC519)))</f>
        <v/>
      </c>
      <c r="AZ519" s="40" t="inlineStr">
        <is>
          <t>Wynn Al Marjan (first UAE gaming resort) opens early 2027: 1,217 rooms + 297 residences. No marine transfer today. T5/low - greenfield.</t>
        </is>
      </c>
      <c r="BA519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520">
      <c r="A520" s="38" t="inlineStr">
        <is>
          <t>Uae Noon</t>
        </is>
      </c>
      <c r="B520" s="38" t="inlineStr">
        <is>
          <t>United Arab Emirates</t>
        </is>
      </c>
      <c r="C520" s="39" t="inlineStr">
        <is>
          <t>Ushuaïa Dubai Harbour Experience → Marina Mall / Breakwater Marina</t>
        </is>
      </c>
      <c r="D520" s="38" t="inlineStr">
        <is>
          <t>noon</t>
        </is>
      </c>
      <c r="E520" s="40" t="inlineStr">
        <is>
          <t>uae-noon</t>
        </is>
      </c>
      <c r="F520" s="41" t="n">
        <v>1</v>
      </c>
      <c r="G520" s="42" t="n">
        <v>57.4</v>
      </c>
      <c r="H520" s="35" t="n">
        <v>48</v>
      </c>
      <c r="I520" s="43" t="inlineStr">
        <is>
          <t>T3</t>
        </is>
      </c>
      <c r="J520" s="43" t="inlineStr">
        <is>
          <t>med-low</t>
        </is>
      </c>
      <c r="K520" s="29" t="n">
        <v>1</v>
      </c>
      <c r="L520" s="44">
        <f>60*G520/cruise_kt</f>
        <v/>
      </c>
      <c r="M520" s="44">
        <f>L520+turn_min+dwell_min</f>
        <v/>
      </c>
      <c r="N520" s="45">
        <f>MIN(10,FLOOR(60*service_hr/M520,1))</f>
        <v/>
      </c>
      <c r="O520" s="45">
        <f>ROUND(365*mech_uptime*K520,0)</f>
        <v/>
      </c>
      <c r="P520" s="46">
        <f>mech_uptime</f>
        <v/>
      </c>
      <c r="Q520" s="46">
        <f>revleg_sel</f>
        <v/>
      </c>
      <c r="R520" s="45">
        <f>ROUND(N520*O520*revleg_sel,0)</f>
        <v/>
      </c>
      <c r="S520" s="47">
        <f>load_sel</f>
        <v/>
      </c>
      <c r="T520" s="47">
        <f>pax_cap*S520</f>
        <v/>
      </c>
      <c r="U520" s="45">
        <f>T520*R520</f>
        <v/>
      </c>
      <c r="V520" s="48">
        <f>H520*discount</f>
        <v/>
      </c>
      <c r="W520" s="49">
        <f>V520*U520</f>
        <v/>
      </c>
      <c r="X520" s="49">
        <f>(battery/range_nm)*G520*R520*VLOOKUP(B520,country_opex,3,FALSE)</f>
        <v/>
      </c>
      <c r="Y520" s="49">
        <f>VLOOKUP(B520,country_opex,2,FALSE)*crew_factor</f>
        <v/>
      </c>
      <c r="Z520" s="49">
        <f>VLOOKUP(B520,country_opex,5,FALSE)</f>
        <v/>
      </c>
      <c r="AA520" s="49">
        <f>maint</f>
        <v/>
      </c>
      <c r="AB520" s="49">
        <f>VLOOKUP(B520,country_opex,7,FALSE)*ins_pct</f>
        <v/>
      </c>
      <c r="AC520" s="49">
        <f>charge_berth</f>
        <v/>
      </c>
      <c r="AD520" s="49">
        <f>X520+Y520+Z520+AA520+AB520+AC520</f>
        <v/>
      </c>
      <c r="AE520" s="49">
        <f>VLOOKUP(B520,country_opex,7,FALSE)/dep_years</f>
        <v/>
      </c>
      <c r="AF520" s="49">
        <f>W520-AD520</f>
        <v/>
      </c>
      <c r="AG520" s="46">
        <f>IF(W520=0,"",AF520/W520)</f>
        <v/>
      </c>
      <c r="AH520" s="47">
        <f>IF(AF520&lt;=0,"",VLOOKUP(B520,country_opex,7,FALSE)/AF520)</f>
        <v/>
      </c>
      <c r="AI520" s="44">
        <f>((G520*R520/diesel_nmpg)*diesel_co2pg-(battery/range_nm)*G520*R520*VLOOKUP(B520,country_opex,4,FALSE))/1000</f>
        <v/>
      </c>
      <c r="AJ520" s="42" t="n">
        <v>35000</v>
      </c>
      <c r="AK520" s="43" t="inlineStr">
        <is>
          <t>T3</t>
        </is>
      </c>
      <c r="AL520" s="43" t="inlineStr">
        <is>
          <t>med-low</t>
        </is>
      </c>
      <c r="AM520" s="50" t="n">
        <v>0.1</v>
      </c>
      <c r="AN520" s="45">
        <f>IF(AJ520="","",AJ520*AM520)</f>
        <v/>
      </c>
      <c r="AO520" s="45">
        <f>IF(OR(AJ520="",U520=0),"",MIN(IF(AV520="",9.9E+99,AV520),FLOOR(AN520/U520,1)))</f>
        <v/>
      </c>
      <c r="AP520" s="49">
        <f>IF(AO520="","",AO520*W520)</f>
        <v/>
      </c>
      <c r="AQ520" s="47">
        <f>IF(OR(AJ520="",U520=0),"",MIN(IF(AV520="",9.9E+99,AV520),AN520/U520))</f>
        <v/>
      </c>
      <c r="AR520" s="49">
        <f>IF(AQ520="","",AQ520*W520)</f>
        <v/>
      </c>
      <c r="AS520" s="51" t="n"/>
      <c r="AT520" s="52" t="n"/>
      <c r="AU520" s="52" t="n"/>
      <c r="AV520" s="53" t="n"/>
      <c r="AW520" s="54">
        <f>IF(((V520*pax_cap*load_thin*ROUND(N520*O520*revleg_thin,0))-(((battery/range_nm)*G520*ROUND(N520*O520*revleg_thin,0)*VLOOKUP(B520,country_opex,3,FALSE))+Y520+Z520+AA520+AB520+AC520))&lt;=0,"",VLOOKUP(B520,country_opex,7,FALSE)/((V520*pax_cap*load_thin*ROUND(N520*O520*revleg_thin,0))-(((battery/range_nm)*G520*ROUND(N520*O520*revleg_thin,0)*VLOOKUP(B520,country_opex,3,FALSE))+Y520+Z520+AA520+AB520+AC520)))</f>
        <v/>
      </c>
      <c r="AX520" s="54">
        <f>IF(((V520*pax_cap*load_mid*ROUND(N520*O520*revleg_mid,0))-(((battery/range_nm)*G520*ROUND(N520*O520*revleg_mid,0)*VLOOKUP(B520,country_opex,3,FALSE))+Y520+Z520+AA520+AB520+AC520))&lt;=0,"",VLOOKUP(B520,country_opex,7,FALSE)/((V520*pax_cap*load_mid*ROUND(N520*O520*revleg_mid,0))-(((battery/range_nm)*G520*ROUND(N520*O520*revleg_mid,0)*VLOOKUP(B520,country_opex,3,FALSE))+Y520+Z520+AA520+AB520+AC520)))</f>
        <v/>
      </c>
      <c r="AY520" s="54">
        <f>IF(((V520*pax_cap*load_full*ROUND(N520*O520*revleg_full,0))-(((battery/range_nm)*G520*ROUND(N520*O520*revleg_full,0)*VLOOKUP(B520,country_opex,3,FALSE))+Y520+Z520+AA520+AB520+AC520))&lt;=0,"",VLOOKUP(B520,country_opex,7,FALSE)/((V520*pax_cap*load_full*ROUND(N520*O520*revleg_full,0))-(((battery/range_nm)*G520*ROUND(N520*O520*revleg_full,0)*VLOOKUP(B520,country_opex,3,FALSE))+Y520+Z520+AA520+AB520+AC520)))</f>
        <v/>
      </c>
      <c r="AZ520" s="40" t="inlineStr">
        <is>
          <t>uae-careem demand ladder + PR #58 Noon route seal (Careem-style super_app)</t>
        </is>
      </c>
      <c r="BA520" s="40" t="inlineStr">
        <is>
          <t>uae-careem demand ladder + PR #58 Noon route seal (Careem-style super_app)</t>
        </is>
      </c>
    </row>
    <row r="521">
      <c r="A521" s="38" t="inlineStr">
        <is>
          <t>UAE (Careem)</t>
        </is>
      </c>
      <c r="B521" s="38" t="inlineStr">
        <is>
          <t>United Arab Emirates</t>
        </is>
      </c>
      <c r="C521" s="39" t="inlineStr">
        <is>
          <t>Dubai Harbour Marina → Marina Mall / Breakwater Marina</t>
        </is>
      </c>
      <c r="D521" s="38" t="inlineStr">
        <is>
          <t>careem</t>
        </is>
      </c>
      <c r="E521" s="40" t="inlineStr">
        <is>
          <t>bolt-uae, uae-careem, uae-luxury, yango-uae</t>
        </is>
      </c>
      <c r="F521" s="41" t="n">
        <v>4</v>
      </c>
      <c r="G521" s="42" t="n">
        <v>59.8</v>
      </c>
      <c r="H521" s="35" t="n">
        <v>110</v>
      </c>
      <c r="I521" s="43" t="inlineStr">
        <is>
          <t>T5</t>
        </is>
      </c>
      <c r="J521" s="43" t="inlineStr">
        <is>
          <t>low</t>
        </is>
      </c>
      <c r="K521" s="29" t="n">
        <v>1</v>
      </c>
      <c r="L521" s="44">
        <f>60*G521/cruise_kt</f>
        <v/>
      </c>
      <c r="M521" s="44">
        <f>L521+turn_min+dwell_min</f>
        <v/>
      </c>
      <c r="N521" s="45">
        <f>MIN(10,FLOOR(60*service_hr/M521,1))</f>
        <v/>
      </c>
      <c r="O521" s="45">
        <f>ROUND(365*mech_uptime*K521,0)</f>
        <v/>
      </c>
      <c r="P521" s="46">
        <f>mech_uptime</f>
        <v/>
      </c>
      <c r="Q521" s="46">
        <f>revleg_sel</f>
        <v/>
      </c>
      <c r="R521" s="45">
        <f>ROUND(N521*O521*revleg_sel,0)</f>
        <v/>
      </c>
      <c r="S521" s="47">
        <f>load_sel</f>
        <v/>
      </c>
      <c r="T521" s="47">
        <f>pax_cap*S521</f>
        <v/>
      </c>
      <c r="U521" s="45">
        <f>T521*R521</f>
        <v/>
      </c>
      <c r="V521" s="48">
        <f>H521*discount</f>
        <v/>
      </c>
      <c r="W521" s="49">
        <f>V521*U521</f>
        <v/>
      </c>
      <c r="X521" s="49">
        <f>(battery/range_nm)*G521*R521*VLOOKUP(B521,country_opex,3,FALSE)</f>
        <v/>
      </c>
      <c r="Y521" s="49">
        <f>VLOOKUP(B521,country_opex,2,FALSE)*crew_factor</f>
        <v/>
      </c>
      <c r="Z521" s="49">
        <f>VLOOKUP(B521,country_opex,5,FALSE)</f>
        <v/>
      </c>
      <c r="AA521" s="49">
        <f>maint</f>
        <v/>
      </c>
      <c r="AB521" s="49">
        <f>VLOOKUP(B521,country_opex,7,FALSE)*ins_pct</f>
        <v/>
      </c>
      <c r="AC521" s="49">
        <f>charge_berth</f>
        <v/>
      </c>
      <c r="AD521" s="49">
        <f>X521+Y521+Z521+AA521+AB521+AC521</f>
        <v/>
      </c>
      <c r="AE521" s="49">
        <f>VLOOKUP(B521,country_opex,7,FALSE)/dep_years</f>
        <v/>
      </c>
      <c r="AF521" s="49">
        <f>W521-AD521</f>
        <v/>
      </c>
      <c r="AG521" s="46">
        <f>IF(W521=0,"",AF521/W521)</f>
        <v/>
      </c>
      <c r="AH521" s="47">
        <f>IF(AF521&lt;=0,"",VLOOKUP(B521,country_opex,7,FALSE)/AF521)</f>
        <v/>
      </c>
      <c r="AI521" s="44">
        <f>((G521*R521/diesel_nmpg)*diesel_co2pg-(battery/range_nm)*G521*R521*VLOOKUP(B521,country_opex,4,FALSE))/1000</f>
        <v/>
      </c>
      <c r="AJ521" s="42" t="n">
        <v>25000</v>
      </c>
      <c r="AK521" s="43" t="inlineStr">
        <is>
          <t>T2</t>
        </is>
      </c>
      <c r="AL521" s="43" t="inlineStr">
        <is>
          <t>low</t>
        </is>
      </c>
      <c r="AM521" s="50" t="n">
        <v>0.1</v>
      </c>
      <c r="AN521" s="45">
        <f>IF(AJ521="","",AJ521*AM521)</f>
        <v/>
      </c>
      <c r="AO521" s="45">
        <f>IF(OR(AJ521="",U521=0),"",MIN(IF(AV521="",9.9E+99,AV521),FLOOR(AN521/U521,1)))</f>
        <v/>
      </c>
      <c r="AP521" s="49">
        <f>IF(AO521="","",AO521*W521)</f>
        <v/>
      </c>
      <c r="AQ521" s="47">
        <f>IF(OR(AJ521="",U521=0),"",MIN(IF(AV521="",9.9E+99,AV521),AN521/U521))</f>
        <v/>
      </c>
      <c r="AR521" s="49">
        <f>IF(AQ521="","",AQ521*W521)</f>
        <v/>
      </c>
      <c r="AS521" s="51" t="n"/>
      <c r="AT521" s="52" t="n"/>
      <c r="AU521" s="52" t="n"/>
      <c r="AV521" s="53" t="n"/>
      <c r="AW521" s="54">
        <f>IF(((V521*pax_cap*load_thin*ROUND(N521*O521*revleg_thin,0))-(((battery/range_nm)*G521*ROUND(N521*O521*revleg_thin,0)*VLOOKUP(B521,country_opex,3,FALSE))+Y521+Z521+AA521+AB521+AC521))&lt;=0,"",VLOOKUP(B521,country_opex,7,FALSE)/((V521*pax_cap*load_thin*ROUND(N521*O521*revleg_thin,0))-(((battery/range_nm)*G521*ROUND(N521*O521*revleg_thin,0)*VLOOKUP(B521,country_opex,3,FALSE))+Y521+Z521+AA521+AB521+AC521)))</f>
        <v/>
      </c>
      <c r="AX521" s="54">
        <f>IF(((V521*pax_cap*load_mid*ROUND(N521*O521*revleg_mid,0))-(((battery/range_nm)*G521*ROUND(N521*O521*revleg_mid,0)*VLOOKUP(B521,country_opex,3,FALSE))+Y521+Z521+AA521+AB521+AC521))&lt;=0,"",VLOOKUP(B521,country_opex,7,FALSE)/((V521*pax_cap*load_mid*ROUND(N521*O521*revleg_mid,0))-(((battery/range_nm)*G521*ROUND(N521*O521*revleg_mid,0)*VLOOKUP(B521,country_opex,3,FALSE))+Y521+Z521+AA521+AB521+AC521)))</f>
        <v/>
      </c>
      <c r="AY521" s="54">
        <f>IF(((V521*pax_cap*load_full*ROUND(N521*O521*revleg_full,0))-(((battery/range_nm)*G521*ROUND(N521*O521*revleg_full,0)*VLOOKUP(B521,country_opex,3,FALSE))+Y521+Z521+AA521+AB521+AC521))&lt;=0,"",VLOOKUP(B521,country_opex,7,FALSE)/((V521*pax_cap*load_full*ROUND(N521*O521*revleg_full,0))-(((battery/range_nm)*G521*ROUND(N521*O521*revleg_full,0)*VLOOKUP(B521,country_opex,3,FALSE))+Y521+Z521+AA521+AB521+AC521)))</f>
        <v/>
      </c>
      <c r="AZ521" s="40" t="inlineStr">
        <is>
          <t>No Dubai&lt;-&gt;AD ferry. Whole-yacht charter AED 4,500/hr (8-pax ~$95-150/seat); limo AED 250-350. T5/low - opportunity-to-create.</t>
        </is>
      </c>
      <c r="BA521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522">
      <c r="A522" s="38" t="inlineStr">
        <is>
          <t>Vietnam</t>
        </is>
      </c>
      <c r="B522" s="38" t="inlineStr">
        <is>
          <t>Vietnam</t>
        </is>
      </c>
      <c r="C522" s="39" t="inlineStr">
        <is>
          <t>Da Nang (Han River) → Hoi An / Cham Islands</t>
        </is>
      </c>
      <c r="D522" s="38" t="inlineStr">
        <is>
          <t>grab</t>
        </is>
      </c>
      <c r="E522" s="40" t="inlineStr">
        <is>
          <t>vietnam</t>
        </is>
      </c>
      <c r="F522" s="41" t="n">
        <v>1</v>
      </c>
      <c r="G522" s="42" t="n">
        <v>12</v>
      </c>
      <c r="H522" s="35" t="n">
        <v>35</v>
      </c>
      <c r="I522" s="43" t="inlineStr">
        <is>
          <t>T3</t>
        </is>
      </c>
      <c r="J522" s="43" t="inlineStr">
        <is>
          <t>med</t>
        </is>
      </c>
      <c r="K522" s="29" t="n">
        <v>1</v>
      </c>
      <c r="L522" s="44">
        <f>60*G522/cruise_kt</f>
        <v/>
      </c>
      <c r="M522" s="44">
        <f>L522+turn_min+dwell_min</f>
        <v/>
      </c>
      <c r="N522" s="45">
        <f>MIN(10,FLOOR(60*service_hr/M522,1))</f>
        <v/>
      </c>
      <c r="O522" s="45">
        <f>ROUND(365*mech_uptime*K522,0)</f>
        <v/>
      </c>
      <c r="P522" s="46">
        <f>mech_uptime</f>
        <v/>
      </c>
      <c r="Q522" s="46">
        <f>revleg_sel</f>
        <v/>
      </c>
      <c r="R522" s="45">
        <f>ROUND(N522*O522*revleg_sel,0)</f>
        <v/>
      </c>
      <c r="S522" s="47">
        <f>load_sel</f>
        <v/>
      </c>
      <c r="T522" s="47">
        <f>pax_cap*S522</f>
        <v/>
      </c>
      <c r="U522" s="45">
        <f>T522*R522</f>
        <v/>
      </c>
      <c r="V522" s="48">
        <f>H522*discount</f>
        <v/>
      </c>
      <c r="W522" s="49">
        <f>V522*U522</f>
        <v/>
      </c>
      <c r="X522" s="49">
        <f>(battery/range_nm)*G522*R522*VLOOKUP(B522,country_opex,3,FALSE)</f>
        <v/>
      </c>
      <c r="Y522" s="49">
        <f>VLOOKUP(B522,country_opex,2,FALSE)*crew_factor</f>
        <v/>
      </c>
      <c r="Z522" s="49">
        <f>VLOOKUP(B522,country_opex,5,FALSE)</f>
        <v/>
      </c>
      <c r="AA522" s="49">
        <f>maint</f>
        <v/>
      </c>
      <c r="AB522" s="49">
        <f>VLOOKUP(B522,country_opex,7,FALSE)*ins_pct</f>
        <v/>
      </c>
      <c r="AC522" s="49">
        <f>charge_berth</f>
        <v/>
      </c>
      <c r="AD522" s="49">
        <f>X522+Y522+Z522+AA522+AB522+AC522</f>
        <v/>
      </c>
      <c r="AE522" s="49">
        <f>VLOOKUP(B522,country_opex,7,FALSE)/dep_years</f>
        <v/>
      </c>
      <c r="AF522" s="49">
        <f>W522-AD522</f>
        <v/>
      </c>
      <c r="AG522" s="46">
        <f>IF(W522=0,"",AF522/W522)</f>
        <v/>
      </c>
      <c r="AH522" s="47">
        <f>IF(AF522&lt;=0,"",VLOOKUP(B522,country_opex,7,FALSE)/AF522)</f>
        <v/>
      </c>
      <c r="AI522" s="44">
        <f>((G522*R522/diesel_nmpg)*diesel_co2pg-(battery/range_nm)*G522*R522*VLOOKUP(B522,country_opex,4,FALSE))/1000</f>
        <v/>
      </c>
      <c r="AJ522" s="42" t="n">
        <v>434000</v>
      </c>
      <c r="AK522" s="43" t="inlineStr">
        <is>
          <t>T2</t>
        </is>
      </c>
      <c r="AL522" s="43" t="inlineStr">
        <is>
          <t>med</t>
        </is>
      </c>
      <c r="AM522" s="50" t="n">
        <v>0.1</v>
      </c>
      <c r="AN522" s="45">
        <f>IF(AJ522="","",AJ522*AM522)</f>
        <v/>
      </c>
      <c r="AO522" s="45">
        <f>IF(OR(AJ522="",U522=0),"",MIN(IF(AV522="",9.9E+99,AV522),FLOOR(AN522/U522,1)))</f>
        <v/>
      </c>
      <c r="AP522" s="49">
        <f>IF(AO522="","",AO522*W522)</f>
        <v/>
      </c>
      <c r="AQ522" s="47">
        <f>IF(OR(AJ522="",U522=0),"",MIN(IF(AV522="",9.9E+99,AV522),AN522/U522))</f>
        <v/>
      </c>
      <c r="AR522" s="49">
        <f>IF(AQ522="","",AQ522*W522)</f>
        <v/>
      </c>
      <c r="AS522" s="51" t="n"/>
      <c r="AT522" s="52" t="n"/>
      <c r="AU522" s="52" t="n"/>
      <c r="AV522" s="53" t="n"/>
      <c r="AW522" s="54">
        <f>IF(((V522*pax_cap*load_thin*ROUND(N522*O522*revleg_thin,0))-(((battery/range_nm)*G522*ROUND(N522*O522*revleg_thin,0)*VLOOKUP(B522,country_opex,3,FALSE))+Y522+Z522+AA522+AB522+AC522))&lt;=0,"",VLOOKUP(B522,country_opex,7,FALSE)/((V522*pax_cap*load_thin*ROUND(N522*O522*revleg_thin,0))-(((battery/range_nm)*G522*ROUND(N522*O522*revleg_thin,0)*VLOOKUP(B522,country_opex,3,FALSE))+Y522+Z522+AA522+AB522+AC522)))</f>
        <v/>
      </c>
      <c r="AX522" s="54">
        <f>IF(((V522*pax_cap*load_mid*ROUND(N522*O522*revleg_mid,0))-(((battery/range_nm)*G522*ROUND(N522*O522*revleg_mid,0)*VLOOKUP(B522,country_opex,3,FALSE))+Y522+Z522+AA522+AB522+AC522))&lt;=0,"",VLOOKUP(B522,country_opex,7,FALSE)/((V522*pax_cap*load_mid*ROUND(N522*O522*revleg_mid,0))-(((battery/range_nm)*G522*ROUND(N522*O522*revleg_mid,0)*VLOOKUP(B522,country_opex,3,FALSE))+Y522+Z522+AA522+AB522+AC522)))</f>
        <v/>
      </c>
      <c r="AY522" s="54">
        <f>IF(((V522*pax_cap*load_full*ROUND(N522*O522*revleg_full,0))-(((battery/range_nm)*G522*ROUND(N522*O522*revleg_full,0)*VLOOKUP(B522,country_opex,3,FALSE))+Y522+Z522+AA522+AB522+AC522))&lt;=0,"",VLOOKUP(B522,country_opex,7,FALSE)/((V522*pax_cap*load_full*ROUND(N522*O522*revleg_full,0))-(((battery/range_nm)*G522*ROUND(N522*O522*revleg_full,0)*VLOOKUP(B522,country_opex,3,FALSE))+Y522+Z522+AA522+AB522+AC522)))</f>
        <v/>
      </c>
      <c r="AZ522" s="40" t="inlineStr">
        <is>
          <t>Da Nang/Hoi An -&gt; Cu Lao Cham (Cham Islands). Local wooden ferry 70,000 VND ($2.7); tourist speedboat transfer 500,000-600,000 VND ($19-23); bundled day tour 650,000 VND ($24.7) to Tripadvisor speedboat tours $53-56 (incl lunch/snorkel); private speedboat $195/boat. Premium per-seat transfer anchored at ~$35 (premium speedboat point-to-point, above standard $23, conservative vs $56 bundled tour, excludes whole-boat charter).</t>
        </is>
      </c>
      <c r="BA522" s="40" t="inlineStr">
        <is>
          <t>Cu Lao Cham visitors 2024: ~217,000 (~600/day avg) per VNAT/Quang Nam (vietnamtourism.gov.vn/post/61674, 2025). 2025 season: &gt;269,000 (nhandan.vn/cu-lao-cham-vien-ngoc-tho-dang-duoc-mai-giua-post918502.html) -&gt; 538k one-way upside. Pre-covid 2016: ~300,000 (laodong.vn 713091); daily cap ~3,000 debated. Holiday peak: ~21,000 in 5 days 30/4-1/5 2025 (baochinhphu.vn 102255646). 140 vessels (mostly speedboats) licensed on the national inland waterway Cua Dai-Cu Lao Cham (baotayninh.vn 36220).</t>
        </is>
      </c>
    </row>
    <row r="523">
      <c r="A523" s="38" t="inlineStr">
        <is>
          <t>Vietnam</t>
        </is>
      </c>
      <c r="B523" s="38" t="inlineStr">
        <is>
          <t>Vietnam</t>
        </is>
      </c>
      <c r="C523" s="39" t="inlineStr">
        <is>
          <t>Ha Long / Tuan Chau → Lan Ha Bay / Cat Ba</t>
        </is>
      </c>
      <c r="D523" s="38" t="inlineStr">
        <is>
          <t>grab</t>
        </is>
      </c>
      <c r="E523" s="40" t="inlineStr">
        <is>
          <t>vietnam</t>
        </is>
      </c>
      <c r="F523" s="41" t="n">
        <v>1</v>
      </c>
      <c r="G523" s="42" t="n">
        <v>12</v>
      </c>
      <c r="H523" s="35" t="n">
        <v>16</v>
      </c>
      <c r="I523" s="43" t="inlineStr">
        <is>
          <t>T3</t>
        </is>
      </c>
      <c r="J523" s="43" t="inlineStr">
        <is>
          <t>med</t>
        </is>
      </c>
      <c r="K523" s="29" t="n">
        <v>1</v>
      </c>
      <c r="L523" s="44">
        <f>60*G523/cruise_kt</f>
        <v/>
      </c>
      <c r="M523" s="44">
        <f>L523+turn_min+dwell_min</f>
        <v/>
      </c>
      <c r="N523" s="45">
        <f>MIN(10,FLOOR(60*service_hr/M523,1))</f>
        <v/>
      </c>
      <c r="O523" s="45">
        <f>ROUND(365*mech_uptime*K523,0)</f>
        <v/>
      </c>
      <c r="P523" s="46">
        <f>mech_uptime</f>
        <v/>
      </c>
      <c r="Q523" s="46">
        <f>revleg_sel</f>
        <v/>
      </c>
      <c r="R523" s="45">
        <f>ROUND(N523*O523*revleg_sel,0)</f>
        <v/>
      </c>
      <c r="S523" s="47">
        <f>load_sel</f>
        <v/>
      </c>
      <c r="T523" s="47">
        <f>pax_cap*S523</f>
        <v/>
      </c>
      <c r="U523" s="45">
        <f>T523*R523</f>
        <v/>
      </c>
      <c r="V523" s="48">
        <f>H523*discount</f>
        <v/>
      </c>
      <c r="W523" s="49">
        <f>V523*U523</f>
        <v/>
      </c>
      <c r="X523" s="49">
        <f>(battery/range_nm)*G523*R523*VLOOKUP(B523,country_opex,3,FALSE)</f>
        <v/>
      </c>
      <c r="Y523" s="49">
        <f>VLOOKUP(B523,country_opex,2,FALSE)*crew_factor</f>
        <v/>
      </c>
      <c r="Z523" s="49">
        <f>VLOOKUP(B523,country_opex,5,FALSE)</f>
        <v/>
      </c>
      <c r="AA523" s="49">
        <f>maint</f>
        <v/>
      </c>
      <c r="AB523" s="49">
        <f>VLOOKUP(B523,country_opex,7,FALSE)*ins_pct</f>
        <v/>
      </c>
      <c r="AC523" s="49">
        <f>charge_berth</f>
        <v/>
      </c>
      <c r="AD523" s="49">
        <f>X523+Y523+Z523+AA523+AB523+AC523</f>
        <v/>
      </c>
      <c r="AE523" s="49">
        <f>VLOOKUP(B523,country_opex,7,FALSE)/dep_years</f>
        <v/>
      </c>
      <c r="AF523" s="49">
        <f>W523-AD523</f>
        <v/>
      </c>
      <c r="AG523" s="46">
        <f>IF(W523=0,"",AF523/W523)</f>
        <v/>
      </c>
      <c r="AH523" s="47">
        <f>IF(AF523&lt;=0,"",VLOOKUP(B523,country_opex,7,FALSE)/AF523)</f>
        <v/>
      </c>
      <c r="AI523" s="44">
        <f>((G523*R523/diesel_nmpg)*diesel_co2pg-(battery/range_nm)*G523*R523*VLOOKUP(B523,country_opex,4,FALSE))/1000</f>
        <v/>
      </c>
      <c r="AJ523" s="42" t="n">
        <v>350000</v>
      </c>
      <c r="AK523" s="43" t="inlineStr">
        <is>
          <t>T5</t>
        </is>
      </c>
      <c r="AL523" s="43" t="inlineStr">
        <is>
          <t>low-med</t>
        </is>
      </c>
      <c r="AM523" s="50" t="n">
        <v>0.1</v>
      </c>
      <c r="AN523" s="45">
        <f>IF(AJ523="","",AJ523*AM523)</f>
        <v/>
      </c>
      <c r="AO523" s="45">
        <f>IF(OR(AJ523="",U523=0),"",MIN(IF(AV523="",9.9E+99,AV523),FLOOR(AN523/U523,1)))</f>
        <v/>
      </c>
      <c r="AP523" s="49">
        <f>IF(AO523="","",AO523*W523)</f>
        <v/>
      </c>
      <c r="AQ523" s="47">
        <f>IF(OR(AJ523="",U523=0),"",MIN(IF(AV523="",9.9E+99,AV523),AN523/U523))</f>
        <v/>
      </c>
      <c r="AR523" s="49">
        <f>IF(AQ523="","",AQ523*W523)</f>
        <v/>
      </c>
      <c r="AS523" s="51" t="n"/>
      <c r="AT523" s="52" t="n"/>
      <c r="AU523" s="52" t="n"/>
      <c r="AV523" s="53" t="n"/>
      <c r="AW523" s="54">
        <f>IF(((V523*pax_cap*load_thin*ROUND(N523*O523*revleg_thin,0))-(((battery/range_nm)*G523*ROUND(N523*O523*revleg_thin,0)*VLOOKUP(B523,country_opex,3,FALSE))+Y523+Z523+AA523+AB523+AC523))&lt;=0,"",VLOOKUP(B523,country_opex,7,FALSE)/((V523*pax_cap*load_thin*ROUND(N523*O523*revleg_thin,0))-(((battery/range_nm)*G523*ROUND(N523*O523*revleg_thin,0)*VLOOKUP(B523,country_opex,3,FALSE))+Y523+Z523+AA523+AB523+AC523)))</f>
        <v/>
      </c>
      <c r="AX523" s="54">
        <f>IF(((V523*pax_cap*load_mid*ROUND(N523*O523*revleg_mid,0))-(((battery/range_nm)*G523*ROUND(N523*O523*revleg_mid,0)*VLOOKUP(B523,country_opex,3,FALSE))+Y523+Z523+AA523+AB523+AC523))&lt;=0,"",VLOOKUP(B523,country_opex,7,FALSE)/((V523*pax_cap*load_mid*ROUND(N523*O523*revleg_mid,0))-(((battery/range_nm)*G523*ROUND(N523*O523*revleg_mid,0)*VLOOKUP(B523,country_opex,3,FALSE))+Y523+Z523+AA523+AB523+AC523)))</f>
        <v/>
      </c>
      <c r="AY523" s="54">
        <f>IF(((V523*pax_cap*load_full*ROUND(N523*O523*revleg_full,0))-(((battery/range_nm)*G523*ROUND(N523*O523*revleg_full,0)*VLOOKUP(B523,country_opex,3,FALSE))+Y523+Z523+AA523+AB523+AC523))&lt;=0,"",VLOOKUP(B523,country_opex,7,FALSE)/((V523*pax_cap*load_full*ROUND(N523*O523*revleg_full,0))-(((battery/range_nm)*G523*ROUND(N523*O523*revleg_full,0)*VLOOKUP(B523,country_opex,3,FALSE))+Y523+Z523+AA523+AB523+AC523)))</f>
        <v/>
      </c>
      <c r="AZ523" s="40" t="inlineStr">
        <is>
          <t>Tuan Chau/Ha Long -&gt; Cat Ba / Lan Ha Bay. Slow car-ferry 60,000-80,000 VND ($2.4-3); tourist speedboat 250,000-350,000 VND ($9.5-13.3, ~13-pax craft). Premium per-seat anchored at ~$16 (premium/private Lan Ha speedboat transfer point, above the ~$12.5 standard speedboat). No business-class ferry tier on this short crossing.</t>
        </is>
      </c>
      <c r="BA523" s="40" t="inlineStr">
        <is>
          <t>ADJACENT MEGA-POOLS (cited, then EXCLUDED per R3): Ha Long Bay sightseeing ~3.1M luot 2024 (1.9M intl; BQL Vinh Ha Long via laodong/halongbay.com.vn p/352) and 3.4M+ 2025 - these are in-bay loop cruises, not the Tuan Chau-&gt;Cat Ba crossing. Cat Ba 3,675,000 visitors 2024 / 4.5M 2025 (vietnamtourism.gov.vn/post/62981; baophutho.vn 244997) - ~all arrive via the HAI PHONG side (Got/Dong Bai ferry, road, Cat Hai-Phu Long cable car), R3-LAND exclude. ON-CORRIDOR: Tuan Chau&lt;-&gt;Gia Luan (Cat Ba) car ferry, 5 RT/day scheduled (up to 15 peak), 75,000 VND foot pax (vietnamcoracle.com tuan-chau-cat-ba-island-ferry; catbaexpress.com 2026) - ridership unpublished. Overnight-on-bay cruise guests ~434,000 luot luu tru (BQL via thuonghieucongluan.com.vn a236498, 2023), a slice of which transits Tuan Chau-&gt;Lan Ha.</t>
        </is>
      </c>
    </row>
    <row r="524">
      <c r="A524" s="38" t="inlineStr">
        <is>
          <t>Vietnam</t>
        </is>
      </c>
      <c r="B524" s="38" t="inlineStr">
        <is>
          <t>Vietnam</t>
        </is>
      </c>
      <c r="C524" s="39" t="inlineStr">
        <is>
          <t>Phu Quoc (Duong Dong) → An Thoi Archipelago</t>
        </is>
      </c>
      <c r="D524" s="38" t="inlineStr">
        <is>
          <t>grab</t>
        </is>
      </c>
      <c r="E524" s="40" t="inlineStr">
        <is>
          <t>vietnam</t>
        </is>
      </c>
      <c r="F524" s="41" t="n">
        <v>1</v>
      </c>
      <c r="G524" s="42" t="n">
        <v>12</v>
      </c>
      <c r="H524" s="35" t="n">
        <v>45</v>
      </c>
      <c r="I524" s="43" t="inlineStr">
        <is>
          <t>T3</t>
        </is>
      </c>
      <c r="J524" s="43" t="inlineStr">
        <is>
          <t>med-low</t>
        </is>
      </c>
      <c r="K524" s="29" t="n">
        <v>1</v>
      </c>
      <c r="L524" s="44">
        <f>60*G524/cruise_kt</f>
        <v/>
      </c>
      <c r="M524" s="44">
        <f>L524+turn_min+dwell_min</f>
        <v/>
      </c>
      <c r="N524" s="45">
        <f>MIN(10,FLOOR(60*service_hr/M524,1))</f>
        <v/>
      </c>
      <c r="O524" s="45">
        <f>ROUND(365*mech_uptime*K524,0)</f>
        <v/>
      </c>
      <c r="P524" s="46">
        <f>mech_uptime</f>
        <v/>
      </c>
      <c r="Q524" s="46">
        <f>revleg_sel</f>
        <v/>
      </c>
      <c r="R524" s="45">
        <f>ROUND(N524*O524*revleg_sel,0)</f>
        <v/>
      </c>
      <c r="S524" s="47">
        <f>load_sel</f>
        <v/>
      </c>
      <c r="T524" s="47">
        <f>pax_cap*S524</f>
        <v/>
      </c>
      <c r="U524" s="45">
        <f>T524*R524</f>
        <v/>
      </c>
      <c r="V524" s="48">
        <f>H524*discount</f>
        <v/>
      </c>
      <c r="W524" s="49">
        <f>V524*U524</f>
        <v/>
      </c>
      <c r="X524" s="49">
        <f>(battery/range_nm)*G524*R524*VLOOKUP(B524,country_opex,3,FALSE)</f>
        <v/>
      </c>
      <c r="Y524" s="49">
        <f>VLOOKUP(B524,country_opex,2,FALSE)*crew_factor</f>
        <v/>
      </c>
      <c r="Z524" s="49">
        <f>VLOOKUP(B524,country_opex,5,FALSE)</f>
        <v/>
      </c>
      <c r="AA524" s="49">
        <f>maint</f>
        <v/>
      </c>
      <c r="AB524" s="49">
        <f>VLOOKUP(B524,country_opex,7,FALSE)*ins_pct</f>
        <v/>
      </c>
      <c r="AC524" s="49">
        <f>charge_berth</f>
        <v/>
      </c>
      <c r="AD524" s="49">
        <f>X524+Y524+Z524+AA524+AB524+AC524</f>
        <v/>
      </c>
      <c r="AE524" s="49">
        <f>VLOOKUP(B524,country_opex,7,FALSE)/dep_years</f>
        <v/>
      </c>
      <c r="AF524" s="49">
        <f>W524-AD524</f>
        <v/>
      </c>
      <c r="AG524" s="46">
        <f>IF(W524=0,"",AF524/W524)</f>
        <v/>
      </c>
      <c r="AH524" s="47">
        <f>IF(AF524&lt;=0,"",VLOOKUP(B524,country_opex,7,FALSE)/AF524)</f>
        <v/>
      </c>
      <c r="AI524" s="44">
        <f>((G524*R524/diesel_nmpg)*diesel_co2pg-(battery/range_nm)*G524*R524*VLOOKUP(B524,country_opex,4,FALSE))/1000</f>
        <v/>
      </c>
      <c r="AJ524" s="42" t="n">
        <v>1000000</v>
      </c>
      <c r="AK524" s="43" t="inlineStr">
        <is>
          <t>T5</t>
        </is>
      </c>
      <c r="AL524" s="43" t="inlineStr">
        <is>
          <t>low-med</t>
        </is>
      </c>
      <c r="AM524" s="50" t="n">
        <v>0.1</v>
      </c>
      <c r="AN524" s="45">
        <f>IF(AJ524="","",AJ524*AM524)</f>
        <v/>
      </c>
      <c r="AO524" s="45">
        <f>IF(OR(AJ524="",U524=0),"",MIN(IF(AV524="",9.9E+99,AV524),FLOOR(AN524/U524,1)))</f>
        <v/>
      </c>
      <c r="AP524" s="49">
        <f>IF(AO524="","",AO524*W524)</f>
        <v/>
      </c>
      <c r="AQ524" s="47">
        <f>IF(OR(AJ524="",U524=0),"",MIN(IF(AV524="",9.9E+99,AV524),AN524/U524))</f>
        <v/>
      </c>
      <c r="AR524" s="49">
        <f>IF(AQ524="","",AQ524*W524)</f>
        <v/>
      </c>
      <c r="AS524" s="51" t="n"/>
      <c r="AT524" s="52" t="n"/>
      <c r="AU524" s="52" t="n"/>
      <c r="AV524" s="53" t="n"/>
      <c r="AW524" s="54">
        <f>IF(((V524*pax_cap*load_thin*ROUND(N524*O524*revleg_thin,0))-(((battery/range_nm)*G524*ROUND(N524*O524*revleg_thin,0)*VLOOKUP(B524,country_opex,3,FALSE))+Y524+Z524+AA524+AB524+AC524))&lt;=0,"",VLOOKUP(B524,country_opex,7,FALSE)/((V524*pax_cap*load_thin*ROUND(N524*O524*revleg_thin,0))-(((battery/range_nm)*G524*ROUND(N524*O524*revleg_thin,0)*VLOOKUP(B524,country_opex,3,FALSE))+Y524+Z524+AA524+AB524+AC524)))</f>
        <v/>
      </c>
      <c r="AX524" s="54">
        <f>IF(((V524*pax_cap*load_mid*ROUND(N524*O524*revleg_mid,0))-(((battery/range_nm)*G524*ROUND(N524*O524*revleg_mid,0)*VLOOKUP(B524,country_opex,3,FALSE))+Y524+Z524+AA524+AB524+AC524))&lt;=0,"",VLOOKUP(B524,country_opex,7,FALSE)/((V524*pax_cap*load_mid*ROUND(N524*O524*revleg_mid,0))-(((battery/range_nm)*G524*ROUND(N524*O524*revleg_mid,0)*VLOOKUP(B524,country_opex,3,FALSE))+Y524+Z524+AA524+AB524+AC524)))</f>
        <v/>
      </c>
      <c r="AY524" s="54">
        <f>IF(((V524*pax_cap*load_full*ROUND(N524*O524*revleg_full,0))-(((battery/range_nm)*G524*ROUND(N524*O524*revleg_full,0)*VLOOKUP(B524,country_opex,3,FALSE))+Y524+Z524+AA524+AB524+AC524))&lt;=0,"",VLOOKUP(B524,country_opex,7,FALSE)/((V524*pax_cap*load_full*ROUND(N524*O524*revleg_full,0))-(((battery/range_nm)*G524*ROUND(N524*O524*revleg_full,0)*VLOOKUP(B524,country_opex,3,FALSE))+Y524+Z524+AA524+AB524+AC524)))</f>
        <v/>
      </c>
      <c r="AZ524" s="40" t="inlineStr">
        <is>
          <t>Phu Quoc -&gt; An Thoi archipelago island-hopping by speedboat. Klook/operator 3-4 island speedboat tours $25-64/pax (John's Tours cable-car + 4 islands $64 USD-priced); private speedboat to 3 islands ~$195/boat. Premium per-seat anchored at ~$45 (premium speedboat island-hop seat, conservative vs $64 bundled-with-cablecar, excludes whole-boat charter). Note: An Thoi transfer is sold as a tour, so this is a tour-bundled proxy for a pure transfer.</t>
        </is>
      </c>
      <c r="BA524" s="40" t="inlineStr">
        <is>
          <t>Base pool: Phu Quoc 7.6M visitors 2025 (SKG 2025 HOSE annual report citing tourism dept, cdn.24hmoney.vn 17-Apr-2026 PDF; cross-check: An Giang Tourism Dept ~7.1M in 10mo-2025, nld.com.vn 196251117141314421); 2024: ~3.97M by Jul (vietnamtourism.gov.vn). The 3-5-island An Thoi canoe/speedboat tour (Hon May Rut, Gam Ghi, Mong Tay, Hon Thom) is THE staple Phu Quoc activity, sold universally (KKday, phuquoctrip, Klook; ~USD 35-50 incl cable-car combos). An Thoi islands are boat-only (R3-EXCEPTION). SUBSTITUTION: Sun World Hon Thom cable car (world's longest oversea, Duong Dong-adjacent An Thoi-&gt;Hon Thom) - developer capacity claim ~3,500 pax/hr (~6.9M/yr theoretical); ACTUALS UNPUBLISHED ('luong khach ky luc' marketing only, sungroupcatba/sunworld.vn) - capacity claim NOT used as demand.</t>
        </is>
      </c>
    </row>
    <row r="525">
      <c r="A525" s="38" t="inlineStr">
        <is>
          <t>Vietnam</t>
        </is>
      </c>
      <c r="B525" s="38" t="inlineStr">
        <is>
          <t>Vietnam</t>
        </is>
      </c>
      <c r="C525" s="39" t="inlineStr">
        <is>
          <t>Bach Dang Wharf (Saigon) → Can Gio Mangrove Biosphere</t>
        </is>
      </c>
      <c r="D525" s="38" t="inlineStr">
        <is>
          <t>grab</t>
        </is>
      </c>
      <c r="E525" s="40" t="inlineStr">
        <is>
          <t>vietnam</t>
        </is>
      </c>
      <c r="F525" s="41" t="n">
        <v>1</v>
      </c>
      <c r="G525" s="42" t="n">
        <v>30</v>
      </c>
      <c r="H525" s="35" t="n">
        <v>65</v>
      </c>
      <c r="I525" s="43" t="inlineStr">
        <is>
          <t>T3</t>
        </is>
      </c>
      <c r="J525" s="43" t="inlineStr">
        <is>
          <t>med-low</t>
        </is>
      </c>
      <c r="K525" s="29" t="n">
        <v>1</v>
      </c>
      <c r="L525" s="44">
        <f>60*G525/cruise_kt</f>
        <v/>
      </c>
      <c r="M525" s="44">
        <f>L525+turn_min+dwell_min</f>
        <v/>
      </c>
      <c r="N525" s="45">
        <f>MIN(10,FLOOR(60*service_hr/M525,1))</f>
        <v/>
      </c>
      <c r="O525" s="45">
        <f>ROUND(365*mech_uptime*K525,0)</f>
        <v/>
      </c>
      <c r="P525" s="46">
        <f>mech_uptime</f>
        <v/>
      </c>
      <c r="Q525" s="46">
        <f>revleg_sel</f>
        <v/>
      </c>
      <c r="R525" s="45">
        <f>ROUND(N525*O525*revleg_sel,0)</f>
        <v/>
      </c>
      <c r="S525" s="47">
        <f>load_sel</f>
        <v/>
      </c>
      <c r="T525" s="47">
        <f>pax_cap*S525</f>
        <v/>
      </c>
      <c r="U525" s="45">
        <f>T525*R525</f>
        <v/>
      </c>
      <c r="V525" s="48">
        <f>H525*discount</f>
        <v/>
      </c>
      <c r="W525" s="49">
        <f>V525*U525</f>
        <v/>
      </c>
      <c r="X525" s="49">
        <f>(battery/range_nm)*G525*R525*VLOOKUP(B525,country_opex,3,FALSE)</f>
        <v/>
      </c>
      <c r="Y525" s="49">
        <f>VLOOKUP(B525,country_opex,2,FALSE)*crew_factor</f>
        <v/>
      </c>
      <c r="Z525" s="49">
        <f>VLOOKUP(B525,country_opex,5,FALSE)</f>
        <v/>
      </c>
      <c r="AA525" s="49">
        <f>maint</f>
        <v/>
      </c>
      <c r="AB525" s="49">
        <f>VLOOKUP(B525,country_opex,7,FALSE)*ins_pct</f>
        <v/>
      </c>
      <c r="AC525" s="49">
        <f>charge_berth</f>
        <v/>
      </c>
      <c r="AD525" s="49">
        <f>X525+Y525+Z525+AA525+AB525+AC525</f>
        <v/>
      </c>
      <c r="AE525" s="49">
        <f>VLOOKUP(B525,country_opex,7,FALSE)/dep_years</f>
        <v/>
      </c>
      <c r="AF525" s="49">
        <f>W525-AD525</f>
        <v/>
      </c>
      <c r="AG525" s="46">
        <f>IF(W525=0,"",AF525/W525)</f>
        <v/>
      </c>
      <c r="AH525" s="47">
        <f>IF(AF525&lt;=0,"",VLOOKUP(B525,country_opex,7,FALSE)/AF525)</f>
        <v/>
      </c>
      <c r="AI525" s="44">
        <f>((G525*R525/diesel_nmpg)*diesel_co2pg-(battery/range_nm)*G525*R525*VLOOKUP(B525,country_opex,4,FALSE))/1000</f>
        <v/>
      </c>
      <c r="AJ525" s="42" t="n"/>
      <c r="AK525" s="43" t="inlineStr">
        <is>
          <t>null</t>
        </is>
      </c>
      <c r="AL525" s="43" t="inlineStr">
        <is>
          <t>null</t>
        </is>
      </c>
      <c r="AM525" s="50" t="n">
        <v>0.1</v>
      </c>
      <c r="AN525" s="45">
        <f>IF(AJ525="","",AJ525*AM525)</f>
        <v/>
      </c>
      <c r="AO525" s="45">
        <f>IF(OR(AJ525="",U525=0),"",MIN(IF(AV525="",9.9E+99,AV525),FLOOR(AN525/U525,1)))</f>
        <v/>
      </c>
      <c r="AP525" s="49">
        <f>IF(AO525="","",AO525*W525)</f>
        <v/>
      </c>
      <c r="AQ525" s="47">
        <f>IF(OR(AJ525="",U525=0),"",MIN(IF(AV525="",9.9E+99,AV525),AN525/U525))</f>
        <v/>
      </c>
      <c r="AR525" s="49">
        <f>IF(AQ525="","",AQ525*W525)</f>
        <v/>
      </c>
      <c r="AS525" s="51" t="n"/>
      <c r="AT525" s="52" t="n"/>
      <c r="AU525" s="52" t="n"/>
      <c r="AV525" s="53" t="n"/>
      <c r="AW525" s="54">
        <f>IF(((V525*pax_cap*load_thin*ROUND(N525*O525*revleg_thin,0))-(((battery/range_nm)*G525*ROUND(N525*O525*revleg_thin,0)*VLOOKUP(B525,country_opex,3,FALSE))+Y525+Z525+AA525+AB525+AC525))&lt;=0,"",VLOOKUP(B525,country_opex,7,FALSE)/((V525*pax_cap*load_thin*ROUND(N525*O525*revleg_thin,0))-(((battery/range_nm)*G525*ROUND(N525*O525*revleg_thin,0)*VLOOKUP(B525,country_opex,3,FALSE))+Y525+Z525+AA525+AB525+AC525)))</f>
        <v/>
      </c>
      <c r="AX525" s="54">
        <f>IF(((V525*pax_cap*load_mid*ROUND(N525*O525*revleg_mid,0))-(((battery/range_nm)*G525*ROUND(N525*O525*revleg_mid,0)*VLOOKUP(B525,country_opex,3,FALSE))+Y525+Z525+AA525+AB525+AC525))&lt;=0,"",VLOOKUP(B525,country_opex,7,FALSE)/((V525*pax_cap*load_mid*ROUND(N525*O525*revleg_mid,0))-(((battery/range_nm)*G525*ROUND(N525*O525*revleg_mid,0)*VLOOKUP(B525,country_opex,3,FALSE))+Y525+Z525+AA525+AB525+AC525)))</f>
        <v/>
      </c>
      <c r="AY525" s="54">
        <f>IF(((V525*pax_cap*load_full*ROUND(N525*O525*revleg_full,0))-(((battery/range_nm)*G525*ROUND(N525*O525*revleg_full,0)*VLOOKUP(B525,country_opex,3,FALSE))+Y525+Z525+AA525+AB525+AC525))&lt;=0,"",VLOOKUP(B525,country_opex,7,FALSE)/((V525*pax_cap*load_full*ROUND(N525*O525*revleg_full,0))-(((battery/range_nm)*G525*ROUND(N525*O525*revleg_full,0)*VLOOKUP(B525,country_opex,3,FALSE))+Y525+Z525+AA525+AB525+AC525)))</f>
        <v/>
      </c>
      <c r="AZ525" s="40" t="inlineStr">
        <is>
          <t>Saigon -&gt; Can Gio Mangrove Biosphere. No scheduled public boat; visitors go by ROAD + Binh Khanh car-ferry. Premium boat product = Les Rives luxury-speedboat day tour 3,099,000 VND ($118 bundled w/ lunch+guide); private Vam Sat tour $129; small-group road+boat $38; local Vam Sat speedboat ~$26/6pax. Premium per-seat transfer anchored at ~$65 (luxury speedboat de-bundled from tour). R5 finding: near-greenfield premium-boat corridor (no scheduled crossing) -&gt; cascade candidate.</t>
        </is>
      </c>
      <c r="BA525" s="40" t="inlineStr">
        <is>
          <t>NO scheduled boat crossing Saigon&lt;-&gt;Can Gio exists; Can Gio visitors arrive by road + Binh Khanh car-ferry. Premium speedboat is a niche luxury tour only. No credible annual on-corridor pax pool. R2 (null beats guess) + R5 (no direct premium route is itself a finding).</t>
        </is>
      </c>
    </row>
    <row r="526">
      <c r="A526" s="38" t="inlineStr">
        <is>
          <t>Vietnam</t>
        </is>
      </c>
      <c r="B526" s="38" t="inlineStr">
        <is>
          <t>Vietnam</t>
        </is>
      </c>
      <c r="C526" s="39" t="inlineStr">
        <is>
          <t>Saigon (Bach Dang) → Vung Tau</t>
        </is>
      </c>
      <c r="D526" s="38" t="inlineStr">
        <is>
          <t>grab</t>
        </is>
      </c>
      <c r="E526" s="40" t="inlineStr">
        <is>
          <t>vietnam</t>
        </is>
      </c>
      <c r="F526" s="41" t="n">
        <v>1</v>
      </c>
      <c r="G526" s="42" t="n">
        <v>44.7</v>
      </c>
      <c r="H526" s="35" t="n">
        <v>14</v>
      </c>
      <c r="I526" s="43" t="inlineStr">
        <is>
          <t>T3</t>
        </is>
      </c>
      <c r="J526" s="43" t="inlineStr">
        <is>
          <t>med-high</t>
        </is>
      </c>
      <c r="K526" s="29" t="n">
        <v>1</v>
      </c>
      <c r="L526" s="44">
        <f>60*G526/cruise_kt</f>
        <v/>
      </c>
      <c r="M526" s="44">
        <f>L526+turn_min+dwell_min</f>
        <v/>
      </c>
      <c r="N526" s="45">
        <f>MIN(10,FLOOR(60*service_hr/M526,1))</f>
        <v/>
      </c>
      <c r="O526" s="45">
        <f>ROUND(365*mech_uptime*K526,0)</f>
        <v/>
      </c>
      <c r="P526" s="46">
        <f>mech_uptime</f>
        <v/>
      </c>
      <c r="Q526" s="46">
        <f>revleg_sel</f>
        <v/>
      </c>
      <c r="R526" s="45">
        <f>ROUND(N526*O526*revleg_sel,0)</f>
        <v/>
      </c>
      <c r="S526" s="47">
        <f>load_sel</f>
        <v/>
      </c>
      <c r="T526" s="47">
        <f>pax_cap*S526</f>
        <v/>
      </c>
      <c r="U526" s="45">
        <f>T526*R526</f>
        <v/>
      </c>
      <c r="V526" s="48">
        <f>H526*discount</f>
        <v/>
      </c>
      <c r="W526" s="49">
        <f>V526*U526</f>
        <v/>
      </c>
      <c r="X526" s="49">
        <f>(battery/range_nm)*G526*R526*VLOOKUP(B526,country_opex,3,FALSE)</f>
        <v/>
      </c>
      <c r="Y526" s="49">
        <f>VLOOKUP(B526,country_opex,2,FALSE)*crew_factor</f>
        <v/>
      </c>
      <c r="Z526" s="49">
        <f>VLOOKUP(B526,country_opex,5,FALSE)</f>
        <v/>
      </c>
      <c r="AA526" s="49">
        <f>maint</f>
        <v/>
      </c>
      <c r="AB526" s="49">
        <f>VLOOKUP(B526,country_opex,7,FALSE)*ins_pct</f>
        <v/>
      </c>
      <c r="AC526" s="49">
        <f>charge_berth</f>
        <v/>
      </c>
      <c r="AD526" s="49">
        <f>X526+Y526+Z526+AA526+AB526+AC526</f>
        <v/>
      </c>
      <c r="AE526" s="49">
        <f>VLOOKUP(B526,country_opex,7,FALSE)/dep_years</f>
        <v/>
      </c>
      <c r="AF526" s="49">
        <f>W526-AD526</f>
        <v/>
      </c>
      <c r="AG526" s="46">
        <f>IF(W526=0,"",AF526/W526)</f>
        <v/>
      </c>
      <c r="AH526" s="47">
        <f>IF(AF526&lt;=0,"",VLOOKUP(B526,country_opex,7,FALSE)/AF526)</f>
        <v/>
      </c>
      <c r="AI526" s="44">
        <f>((G526*R526/diesel_nmpg)*diesel_co2pg-(battery/range_nm)*G526*R526*VLOOKUP(B526,country_opex,4,FALSE))/1000</f>
        <v/>
      </c>
      <c r="AJ526" s="42" t="n">
        <v>100000</v>
      </c>
      <c r="AK526" s="43" t="inlineStr">
        <is>
          <t>T5</t>
        </is>
      </c>
      <c r="AL526" s="43" t="inlineStr">
        <is>
          <t>low-med</t>
        </is>
      </c>
      <c r="AM526" s="50" t="n">
        <v>0.1</v>
      </c>
      <c r="AN526" s="45">
        <f>IF(AJ526="","",AJ526*AM526)</f>
        <v/>
      </c>
      <c r="AO526" s="45">
        <f>IF(OR(AJ526="",U526=0),"",MIN(IF(AV526="",9.9E+99,AV526),FLOOR(AN526/U526,1)))</f>
        <v/>
      </c>
      <c r="AP526" s="49">
        <f>IF(AO526="","",AO526*W526)</f>
        <v/>
      </c>
      <c r="AQ526" s="47">
        <f>IF(OR(AJ526="",U526=0),"",MIN(IF(AV526="",9.9E+99,AV526),AN526/U526))</f>
        <v/>
      </c>
      <c r="AR526" s="49">
        <f>IF(AQ526="","",AQ526*W526)</f>
        <v/>
      </c>
      <c r="AS526" s="51" t="n"/>
      <c r="AT526" s="52" t="n"/>
      <c r="AU526" s="52" t="n"/>
      <c r="AV526" s="53" t="n"/>
      <c r="AW526" s="54">
        <f>IF(((V526*pax_cap*load_thin*ROUND(N526*O526*revleg_thin,0))-(((battery/range_nm)*G526*ROUND(N526*O526*revleg_thin,0)*VLOOKUP(B526,country_opex,3,FALSE))+Y526+Z526+AA526+AB526+AC526))&lt;=0,"",VLOOKUP(B526,country_opex,7,FALSE)/((V526*pax_cap*load_thin*ROUND(N526*O526*revleg_thin,0))-(((battery/range_nm)*G526*ROUND(N526*O526*revleg_thin,0)*VLOOKUP(B526,country_opex,3,FALSE))+Y526+Z526+AA526+AB526+AC526)))</f>
        <v/>
      </c>
      <c r="AX526" s="54">
        <f>IF(((V526*pax_cap*load_mid*ROUND(N526*O526*revleg_mid,0))-(((battery/range_nm)*G526*ROUND(N526*O526*revleg_mid,0)*VLOOKUP(B526,country_opex,3,FALSE))+Y526+Z526+AA526+AB526+AC526))&lt;=0,"",VLOOKUP(B526,country_opex,7,FALSE)/((V526*pax_cap*load_mid*ROUND(N526*O526*revleg_mid,0))-(((battery/range_nm)*G526*ROUND(N526*O526*revleg_mid,0)*VLOOKUP(B526,country_opex,3,FALSE))+Y526+Z526+AA526+AB526+AC526)))</f>
        <v/>
      </c>
      <c r="AY526" s="54">
        <f>IF(((V526*pax_cap*load_full*ROUND(N526*O526*revleg_full,0))-(((battery/range_nm)*G526*ROUND(N526*O526*revleg_full,0)*VLOOKUP(B526,country_opex,3,FALSE))+Y526+Z526+AA526+AB526+AC526))&lt;=0,"",VLOOKUP(B526,country_opex,7,FALSE)/((V526*pax_cap*load_full*ROUND(N526*O526*revleg_full,0))-(((battery/range_nm)*G526*ROUND(N526*O526*revleg_full,0)*VLOOKUP(B526,country_opex,3,FALSE))+Y526+Z526+AA526+AB526+AC526)))</f>
        <v/>
      </c>
      <c r="AZ526" s="40" t="inlineStr">
        <is>
          <t>Greenlines DP high-speed ferry Saigon-&gt;Vung Tau, single fast-craft class: standard ~320,000 VND ($12.2), advance promo 260,000-290,000 VND ($9.9-11). No business/VIP sub-tier on this route; the fast ferry IS the premium option vs the 2.5h highway bus. Private whole-boat day charter ($205, Tripadvisor) excluded as overclaim. Premium per-seat anchored at ~$14.</t>
        </is>
      </c>
      <c r="BA526" s="40" t="inlineStr">
        <is>
          <t>CURRENT: GreenlinesDP is sole operator (Bach Dang-&gt;Tac Suat Can Gio-&gt;Ho May Vung Tau, since 2018; 4-8 trips/day, 10-12 weekend; VnExpress 06-May-2025 vnexpress.net/tau-cao-toc-tu-trung-tam-tp-hcm-di-vung-tau-dung-chay-4882184.html). Service DISRUPTED May-2025 (Bach Dang Pier 2 returned for Thu Thiem pedestrian-bridge construction); resumed/expanded by Jul-2025 incl. new 07:00 daily sailing from 28-Jul-2025 (vovgiaothong.vn d46090, 2025). HISTORIC CEILING: hydrofoil era 1996-2016 peaked ~500,000 luot khach/yr with 21 vessels (Vina Express + Petro Express + Greenlines; baoxaydung.vn 17-Nov-2016 xin-gia-han-tau-canh-ngam-tphcm-vung-tau-den-2020-192176776.htm, T2); post-2014-fire loads fell to ~40%, fleet 14-&gt;4, hydrofoils terminated end-2016 (znews.vn post710155). Highway/bus mega-flow NOT poolable (R3-LAND).</t>
        </is>
      </c>
    </row>
    <row r="527">
      <c r="A527" s="38" t="inlineStr">
        <is>
          <t>Vietnam</t>
        </is>
      </c>
      <c r="B527" s="38" t="inlineStr">
        <is>
          <t>Vietnam</t>
        </is>
      </c>
      <c r="C527" s="39" t="inlineStr">
        <is>
          <t>Phu Quoc (Bai Vong Port) → Rach Gia (mainland)</t>
        </is>
      </c>
      <c r="D527" s="38" t="inlineStr">
        <is>
          <t>grab</t>
        </is>
      </c>
      <c r="E527" s="40" t="inlineStr">
        <is>
          <t>vietnam</t>
        </is>
      </c>
      <c r="F527" s="41" t="n">
        <v>1</v>
      </c>
      <c r="G527" s="42" t="n">
        <v>62</v>
      </c>
      <c r="H527" s="35" t="n">
        <v>19</v>
      </c>
      <c r="I527" s="43" t="inlineStr">
        <is>
          <t>T3</t>
        </is>
      </c>
      <c r="J527" s="43" t="inlineStr">
        <is>
          <t>med-high</t>
        </is>
      </c>
      <c r="K527" s="29" t="n">
        <v>1</v>
      </c>
      <c r="L527" s="44">
        <f>60*G527/cruise_kt</f>
        <v/>
      </c>
      <c r="M527" s="44">
        <f>L527+turn_min+dwell_min</f>
        <v/>
      </c>
      <c r="N527" s="45">
        <f>MIN(10,FLOOR(60*service_hr/M527,1))</f>
        <v/>
      </c>
      <c r="O527" s="45">
        <f>ROUND(365*mech_uptime*K527,0)</f>
        <v/>
      </c>
      <c r="P527" s="46">
        <f>mech_uptime</f>
        <v/>
      </c>
      <c r="Q527" s="46">
        <f>revleg_sel</f>
        <v/>
      </c>
      <c r="R527" s="45">
        <f>ROUND(N527*O527*revleg_sel,0)</f>
        <v/>
      </c>
      <c r="S527" s="47">
        <f>load_sel</f>
        <v/>
      </c>
      <c r="T527" s="47">
        <f>pax_cap*S527</f>
        <v/>
      </c>
      <c r="U527" s="45">
        <f>T527*R527</f>
        <v/>
      </c>
      <c r="V527" s="48">
        <f>H527*discount</f>
        <v/>
      </c>
      <c r="W527" s="49">
        <f>V527*U527</f>
        <v/>
      </c>
      <c r="X527" s="49">
        <f>(battery/range_nm)*G527*R527*VLOOKUP(B527,country_opex,3,FALSE)</f>
        <v/>
      </c>
      <c r="Y527" s="49">
        <f>VLOOKUP(B527,country_opex,2,FALSE)*crew_factor</f>
        <v/>
      </c>
      <c r="Z527" s="49">
        <f>VLOOKUP(B527,country_opex,5,FALSE)</f>
        <v/>
      </c>
      <c r="AA527" s="49">
        <f>maint</f>
        <v/>
      </c>
      <c r="AB527" s="49">
        <f>VLOOKUP(B527,country_opex,7,FALSE)*ins_pct</f>
        <v/>
      </c>
      <c r="AC527" s="49">
        <f>charge_berth</f>
        <v/>
      </c>
      <c r="AD527" s="49">
        <f>X527+Y527+Z527+AA527+AB527+AC527</f>
        <v/>
      </c>
      <c r="AE527" s="49">
        <f>VLOOKUP(B527,country_opex,7,FALSE)/dep_years</f>
        <v/>
      </c>
      <c r="AF527" s="49">
        <f>W527-AD527</f>
        <v/>
      </c>
      <c r="AG527" s="46">
        <f>IF(W527=0,"",AF527/W527)</f>
        <v/>
      </c>
      <c r="AH527" s="47">
        <f>IF(AF527&lt;=0,"",VLOOKUP(B527,country_opex,7,FALSE)/AF527)</f>
        <v/>
      </c>
      <c r="AI527" s="44">
        <f>((G527*R527/diesel_nmpg)*diesel_co2pg-(battery/range_nm)*G527*R527*VLOOKUP(B527,country_opex,4,FALSE))/1000</f>
        <v/>
      </c>
      <c r="AJ527" s="42" t="n">
        <v>650000</v>
      </c>
      <c r="AK527" s="43" t="inlineStr">
        <is>
          <t>T2</t>
        </is>
      </c>
      <c r="AL527" s="43" t="inlineStr">
        <is>
          <t>med</t>
        </is>
      </c>
      <c r="AM527" s="50" t="n">
        <v>0.1</v>
      </c>
      <c r="AN527" s="45">
        <f>IF(AJ527="","",AJ527*AM527)</f>
        <v/>
      </c>
      <c r="AO527" s="45">
        <f>IF(OR(AJ527="",U527=0),"",MIN(IF(AV527="",9.9E+99,AV527),FLOOR(AN527/U527,1)))</f>
        <v/>
      </c>
      <c r="AP527" s="49">
        <f>IF(AO527="","",AO527*W527)</f>
        <v/>
      </c>
      <c r="AQ527" s="47">
        <f>IF(OR(AJ527="",U527=0),"",MIN(IF(AV527="",9.9E+99,AV527),AN527/U527))</f>
        <v/>
      </c>
      <c r="AR527" s="49">
        <f>IF(AQ527="","",AQ527*W527)</f>
        <v/>
      </c>
      <c r="AS527" s="51" t="n"/>
      <c r="AT527" s="52" t="n"/>
      <c r="AU527" s="52" t="n"/>
      <c r="AV527" s="53" t="n"/>
      <c r="AW527" s="54">
        <f>IF(((V527*pax_cap*load_thin*ROUND(N527*O527*revleg_thin,0))-(((battery/range_nm)*G527*ROUND(N527*O527*revleg_thin,0)*VLOOKUP(B527,country_opex,3,FALSE))+Y527+Z527+AA527+AB527+AC527))&lt;=0,"",VLOOKUP(B527,country_opex,7,FALSE)/((V527*pax_cap*load_thin*ROUND(N527*O527*revleg_thin,0))-(((battery/range_nm)*G527*ROUND(N527*O527*revleg_thin,0)*VLOOKUP(B527,country_opex,3,FALSE))+Y527+Z527+AA527+AB527+AC527)))</f>
        <v/>
      </c>
      <c r="AX527" s="54">
        <f>IF(((V527*pax_cap*load_mid*ROUND(N527*O527*revleg_mid,0))-(((battery/range_nm)*G527*ROUND(N527*O527*revleg_mid,0)*VLOOKUP(B527,country_opex,3,FALSE))+Y527+Z527+AA527+AB527+AC527))&lt;=0,"",VLOOKUP(B527,country_opex,7,FALSE)/((V527*pax_cap*load_mid*ROUND(N527*O527*revleg_mid,0))-(((battery/range_nm)*G527*ROUND(N527*O527*revleg_mid,0)*VLOOKUP(B527,country_opex,3,FALSE))+Y527+Z527+AA527+AB527+AC527)))</f>
        <v/>
      </c>
      <c r="AY527" s="54">
        <f>IF(((V527*pax_cap*load_full*ROUND(N527*O527*revleg_full,0))-(((battery/range_nm)*G527*ROUND(N527*O527*revleg_full,0)*VLOOKUP(B527,country_opex,3,FALSE))+Y527+Z527+AA527+AB527+AC527))&lt;=0,"",VLOOKUP(B527,country_opex,7,FALSE)/((V527*pax_cap*load_full*ROUND(N527*O527*revleg_full,0))-(((battery/range_nm)*G527*ROUND(N527*O527*revleg_full,0)*VLOOKUP(B527,country_opex,3,FALSE))+Y527+Z527+AA527+AB527+AC527)))</f>
        <v/>
      </c>
      <c r="AZ527" s="40" t="inlineStr">
        <is>
          <t>Phu Quoc &lt;-&gt; Rach Gia high-speed ferry. Superdong VIP class 500,000 VND ($19); standard adult 315,000-350,000 VND ($12-13.3); Phu Quoc Express ~340,000 VND ($12.9). Clean published premium tier = Superdong VIP -&gt; anchor $19. Corroborated: Vinpearl (VIP 500k / adult 315k), phuquocislandguide (adult 350k).</t>
        </is>
      </c>
      <c r="BA527" s="40" t="inlineStr">
        <is>
          <t>R3-GOLD pattern (listed-company disclosure): Superdong-Kien Giang (HOSE: SKG) 2025 annual report (cdn.24hmoney.vn/upload/file/2026-2/2026-04-17/no-name-1776366287.pdf) discloses per-route revenue: Rach Gia-Phu Quoc = VND 113.857bn (29.88% of 2024) -&gt; VND 122.001bn (28.91% of 2025), gross profit VND 36.2bn 2025; 3 dedicated vessels (Superdong VII, X, XI). SKG fleet-wide carries &gt;1.5M pax/yr (SKG company materials via studocu/MBS). Adult one-way fare RG-PQ ~VND 340,000-360,000 (superdong.com.vn 2025). Competitor Phu Quoc Express operates same route with larger (~300-seat) craft; route described as 2-operator (MBS/nguoiquansat SKG initiation PDF, 2023). Fare war on PQ routes ongoing (vnexpress.net 5008109, Q4-2025).</t>
        </is>
      </c>
    </row>
    <row r="528">
      <c r="A528" s="14" t="inlineStr">
        <is>
          <t>TOTAL / median</t>
        </is>
      </c>
      <c r="W528" s="55">
        <f>SUM(W4:W527)</f>
        <v/>
      </c>
      <c r="AF528" s="55">
        <f>SUM(AF4:AF527)</f>
        <v/>
      </c>
      <c r="AG528" s="56">
        <f>IF(W528=0,"",AF528/W528)</f>
        <v/>
      </c>
      <c r="AO528" s="57">
        <f>SUM(AO4:AO527)</f>
        <v/>
      </c>
      <c r="AP528" s="55">
        <f>SUM(AP4:AP527)</f>
        <v/>
      </c>
    </row>
    <row r="529"/>
    <row r="530">
      <c r="A530" s="19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531">
      <c r="A531" s="34" t="inlineStr">
        <is>
          <t>Market</t>
        </is>
      </c>
      <c r="B531" s="34" t="inlineStr">
        <is>
          <t>Fleet basis</t>
        </is>
      </c>
      <c r="C531" s="34" t="inlineStr">
        <is>
          <t>Raw vessels (sum)</t>
        </is>
      </c>
      <c r="D531" s="34" t="inlineStr">
        <is>
          <t>Fleet (rounded once)</t>
        </is>
      </c>
      <c r="E531" s="34" t="inlineStr">
        <is>
          <t>Market rev/yr (raw sum)</t>
        </is>
      </c>
    </row>
    <row r="532">
      <c r="A532" s="9" t="inlineStr">
        <is>
          <t>Yango Caspian Az</t>
        </is>
      </c>
      <c r="B532" s="24" t="inlineStr">
        <is>
          <t>aspirational</t>
        </is>
      </c>
      <c r="C532" s="24" t="inlineStr">
        <is>
          <t>—</t>
        </is>
      </c>
      <c r="D532" s="58">
        <f>SUMIFS(AO4:AO527,A4:A527,"Yango Caspian Az",AS4:AS527,"=",AT4:AT527,"=",AU4:AU527,"=")</f>
        <v/>
      </c>
      <c r="E532" s="59">
        <f>SUMIFS(AP4:AP527,A4:A527,"Yango Caspian Az",AS4:AS527,"=",AT4:AT527,"=",AU4:AU527,"=")</f>
        <v/>
      </c>
    </row>
    <row r="533">
      <c r="A533" s="9" t="inlineStr">
        <is>
          <t>Cambodia</t>
        </is>
      </c>
      <c r="B533" s="24" t="inlineStr">
        <is>
          <t>network_sum / ceil</t>
        </is>
      </c>
      <c r="C533" s="33">
        <f>SUMIFS(AQ4:AQ527,A4:A527,"Cambodia",AS4:AS527,"=",AT4:AT527,"=",AU4:AU527,"=")</f>
        <v/>
      </c>
      <c r="D533" s="58">
        <f>IF(C533=0,0,CEILING(C533,1))</f>
        <v/>
      </c>
      <c r="E533" s="59">
        <f>SUMIFS(AR4:AR527,A4:A527,"Cambodia",AS4:AS527,"=",AT4:AT527,"=",AU4:AU527,"=")</f>
        <v/>
      </c>
    </row>
    <row r="534">
      <c r="A534" s="9" t="inlineStr">
        <is>
          <t>Bolt Croatia</t>
        </is>
      </c>
      <c r="B534" s="24" t="inlineStr">
        <is>
          <t>grounded</t>
        </is>
      </c>
      <c r="C534" s="24" t="inlineStr">
        <is>
          <t>—</t>
        </is>
      </c>
      <c r="D534" s="58">
        <f>SUMIFS(AO4:AO527,A4:A527,"Bolt Croatia",AS4:AS527,"=",AT4:AT527,"=",AU4:AU527,"=")</f>
        <v/>
      </c>
      <c r="E534" s="59">
        <f>SUMIFS(AP4:AP527,A4:A527,"Bolt Croatia",AS4:AS527,"=",AT4:AT527,"=",AU4:AU527,"=")</f>
        <v/>
      </c>
    </row>
    <row r="535">
      <c r="A535" s="9" t="inlineStr">
        <is>
          <t>Bolt Cyprus</t>
        </is>
      </c>
      <c r="B535" s="24" t="inlineStr">
        <is>
          <t>aspirational</t>
        </is>
      </c>
      <c r="C535" s="24" t="inlineStr">
        <is>
          <t>—</t>
        </is>
      </c>
      <c r="D535" s="58">
        <f>SUMIFS(AO4:AO527,A4:A527,"Bolt Cyprus",AS4:AS527,"=",AT4:AT527,"=",AU4:AU527,"=")</f>
        <v/>
      </c>
      <c r="E535" s="59">
        <f>SUMIFS(AP4:AP527,A4:A527,"Bolt Cyprus",AS4:AS527,"=",AT4:AT527,"=",AU4:AU527,"=")</f>
        <v/>
      </c>
    </row>
    <row r="536">
      <c r="A536" s="9" t="inlineStr">
        <is>
          <t>Yango Cote Divoire</t>
        </is>
      </c>
      <c r="B536" s="24" t="inlineStr">
        <is>
          <t>aspirational</t>
        </is>
      </c>
      <c r="C536" s="24" t="inlineStr">
        <is>
          <t>—</t>
        </is>
      </c>
      <c r="D536" s="58">
        <f>SUMIFS(AO4:AO527,A4:A527,"Yango Cote Divoire",AS4:AS527,"=",AT4:AT527,"=",AU4:AU527,"=")</f>
        <v/>
      </c>
      <c r="E536" s="59">
        <f>SUMIFS(AP4:AP527,A4:A527,"Yango Cote Divoire",AS4:AS527,"=",AT4:AT527,"=",AU4:AU527,"=")</f>
        <v/>
      </c>
    </row>
    <row r="537">
      <c r="A537" s="9" t="inlineStr">
        <is>
          <t>Bolt Egypt</t>
        </is>
      </c>
      <c r="B537" s="24" t="inlineStr">
        <is>
          <t>aspirational</t>
        </is>
      </c>
      <c r="C537" s="24" t="inlineStr">
        <is>
          <t>—</t>
        </is>
      </c>
      <c r="D537" s="58">
        <f>SUMIFS(AO4:AO527,A4:A527,"Bolt Egypt",AS4:AS527,"=",AT4:AT527,"=",AU4:AU527,"=")</f>
        <v/>
      </c>
      <c r="E537" s="59">
        <f>SUMIFS(AP4:AP527,A4:A527,"Bolt Egypt",AS4:AS527,"=",AT4:AT527,"=",AU4:AU527,"=")</f>
        <v/>
      </c>
    </row>
    <row r="538">
      <c r="A538" s="9" t="inlineStr">
        <is>
          <t>Bolt Estonia</t>
        </is>
      </c>
      <c r="B538" s="24" t="inlineStr">
        <is>
          <t>aspirational</t>
        </is>
      </c>
      <c r="C538" s="24" t="inlineStr">
        <is>
          <t>—</t>
        </is>
      </c>
      <c r="D538" s="58">
        <f>SUMIFS(AO4:AO527,A4:A527,"Bolt Estonia",AS4:AS527,"=",AT4:AT527,"=",AU4:AU527,"=")</f>
        <v/>
      </c>
      <c r="E538" s="59">
        <f>SUMIFS(AP4:AP527,A4:A527,"Bolt Estonia",AS4:AS527,"=",AT4:AT527,"=",AU4:AU527,"=")</f>
        <v/>
      </c>
    </row>
    <row r="539">
      <c r="A539" s="9" t="inlineStr">
        <is>
          <t>Bolt Finland</t>
        </is>
      </c>
      <c r="B539" s="24" t="inlineStr">
        <is>
          <t>aspirational</t>
        </is>
      </c>
      <c r="C539" s="24" t="inlineStr">
        <is>
          <t>—</t>
        </is>
      </c>
      <c r="D539" s="58">
        <f>SUMIFS(AO4:AO527,A4:A527,"Bolt Finland",AS4:AS527,"=",AT4:AT527,"=",AU4:AU527,"=")</f>
        <v/>
      </c>
      <c r="E539" s="59">
        <f>SUMIFS(AP4:AP527,A4:A527,"Bolt Finland",AS4:AS527,"=",AT4:AT527,"=",AU4:AU527,"=")</f>
        <v/>
      </c>
    </row>
    <row r="540">
      <c r="A540" s="9" t="inlineStr">
        <is>
          <t>Bolt France Riviera</t>
        </is>
      </c>
      <c r="B540" s="24" t="inlineStr">
        <is>
          <t>grounded</t>
        </is>
      </c>
      <c r="C540" s="24" t="inlineStr">
        <is>
          <t>—</t>
        </is>
      </c>
      <c r="D540" s="58">
        <f>SUMIFS(AO4:AO527,A4:A527,"Bolt France Riviera",AS4:AS527,"=",AT4:AT527,"=",AU4:AU527,"=")</f>
        <v/>
      </c>
      <c r="E540" s="59">
        <f>SUMIFS(AP4:AP527,A4:A527,"Bolt France Riviera",AS4:AS527,"=",AT4:AT527,"=",AU4:AU527,"=")</f>
        <v/>
      </c>
    </row>
    <row r="541">
      <c r="A541" s="9" t="inlineStr">
        <is>
          <t>French Polynesia</t>
        </is>
      </c>
      <c r="B541" s="24" t="inlineStr">
        <is>
          <t>captive-luxury-with-public-transit-trunk / phase-cap</t>
        </is>
      </c>
      <c r="C541" s="24" t="inlineStr">
        <is>
          <t>—</t>
        </is>
      </c>
      <c r="D541" s="58">
        <f>SUMIFS(AO4:AO527,A4:A527,"French Polynesia",AS4:AS527,"=",AT4:AT527,"=",AU4:AU527,"=")</f>
        <v/>
      </c>
      <c r="E541" s="59">
        <f>SUMIFS(AP4:AP527,A4:A527,"French Polynesia",AS4:AS527,"=",AT4:AT527,"=",AU4:AU527,"=")</f>
        <v/>
      </c>
    </row>
    <row r="542">
      <c r="A542" s="9" t="inlineStr">
        <is>
          <t>Bolt Greece</t>
        </is>
      </c>
      <c r="B542" s="24" t="inlineStr">
        <is>
          <t>grounded</t>
        </is>
      </c>
      <c r="C542" s="24" t="inlineStr">
        <is>
          <t>—</t>
        </is>
      </c>
      <c r="D542" s="58">
        <f>SUMIFS(AO4:AO527,A4:A527,"Bolt Greece",AS4:AS527,"=",AT4:AT527,"=",AU4:AU527,"=")</f>
        <v/>
      </c>
      <c r="E542" s="59">
        <f>SUMIFS(AP4:AP527,A4:A527,"Bolt Greece",AS4:AS527,"=",AT4:AT527,"=",AU4:AU527,"=")</f>
        <v/>
      </c>
    </row>
    <row r="543">
      <c r="A543" s="9" t="inlineStr">
        <is>
          <t>India Andaman Rapido</t>
        </is>
      </c>
      <c r="B543" s="24" t="inlineStr">
        <is>
          <t>network_sum / ceil</t>
        </is>
      </c>
      <c r="C543" s="33">
        <f>SUMIFS(AQ4:AQ527,A4:A527,"India Andaman Rapido",AS4:AS527,"=",AT4:AT527,"=",AU4:AU527,"=")</f>
        <v/>
      </c>
      <c r="D543" s="58">
        <f>IF(C543=0,0,CEILING(C543,1))</f>
        <v/>
      </c>
      <c r="E543" s="59">
        <f>SUMIFS(AR4:AR527,A4:A527,"India Andaman Rapido",AS4:AS527,"=",AT4:AT527,"=",AU4:AU527,"=")</f>
        <v/>
      </c>
    </row>
    <row r="544">
      <c r="A544" s="9" t="inlineStr">
        <is>
          <t>India Goa Rapido</t>
        </is>
      </c>
      <c r="B544" s="24" t="inlineStr">
        <is>
          <t>network_sum / ceil</t>
        </is>
      </c>
      <c r="C544" s="33">
        <f>SUMIFS(AQ4:AQ527,A4:A527,"India Goa Rapido",AS4:AS527,"=",AT4:AT527,"=",AU4:AU527,"=")</f>
        <v/>
      </c>
      <c r="D544" s="58">
        <f>IF(C544=0,0,CEILING(C544,1))</f>
        <v/>
      </c>
      <c r="E544" s="59">
        <f>SUMIFS(AR4:AR527,A4:A527,"India Goa Rapido",AS4:AS527,"=",AT4:AT527,"=",AU4:AU527,"=")</f>
        <v/>
      </c>
    </row>
    <row r="545">
      <c r="A545" s="9" t="inlineStr">
        <is>
          <t>India Kerala Rapido</t>
        </is>
      </c>
      <c r="B545" s="24" t="inlineStr">
        <is>
          <t>network_sum / ceil</t>
        </is>
      </c>
      <c r="C545" s="33">
        <f>SUMIFS(AQ4:AQ527,A4:A527,"India Kerala Rapido",AS4:AS527,"=",AT4:AT527,"=",AU4:AU527,"=")</f>
        <v/>
      </c>
      <c r="D545" s="58">
        <f>IF(C545=0,0,CEILING(C545,1))</f>
        <v/>
      </c>
      <c r="E545" s="59">
        <f>SUMIFS(AR4:AR527,A4:A527,"India Kerala Rapido",AS4:AS527,"=",AT4:AT527,"=",AU4:AU527,"=")</f>
        <v/>
      </c>
    </row>
    <row r="546">
      <c r="A546" s="9" t="inlineStr">
        <is>
          <t>India Mumbai Rapido</t>
        </is>
      </c>
      <c r="B546" s="24" t="inlineStr">
        <is>
          <t>network_sum / ceil</t>
        </is>
      </c>
      <c r="C546" s="33">
        <f>SUMIFS(AQ4:AQ527,A4:A527,"India Mumbai Rapido",AS4:AS527,"=",AT4:AT527,"=",AU4:AU527,"=")</f>
        <v/>
      </c>
      <c r="D546" s="58">
        <f>IF(C546=0,0,CEILING(C546,1))</f>
        <v/>
      </c>
      <c r="E546" s="59">
        <f>SUMIFS(AR4:AR527,A4:A527,"India Mumbai Rapido",AS4:AS527,"=",AT4:AT527,"=",AU4:AU527,"=")</f>
        <v/>
      </c>
    </row>
    <row r="547">
      <c r="A547" s="9" t="inlineStr">
        <is>
          <t>Rapido Mumbai</t>
        </is>
      </c>
      <c r="B547" s="24" t="inlineStr">
        <is>
          <t>per_corridor_floor</t>
        </is>
      </c>
      <c r="C547" s="24" t="inlineStr">
        <is>
          <t>—</t>
        </is>
      </c>
      <c r="D547" s="58">
        <f>SUMIFS(AO4:AO527,A4:A527,"Rapido Mumbai",AS4:AS527,"=",AT4:AT527,"=",AU4:AU527,"=")</f>
        <v/>
      </c>
      <c r="E547" s="59">
        <f>SUMIFS(AP4:AP527,A4:A527,"Rapido Mumbai",AS4:AS527,"=",AT4:AT527,"=",AU4:AU527,"=")</f>
        <v/>
      </c>
    </row>
    <row r="548">
      <c r="A548" s="9" t="inlineStr">
        <is>
          <t>Ola Mumbai</t>
        </is>
      </c>
      <c r="B548" s="24" t="inlineStr">
        <is>
          <t>per_corridor_floor</t>
        </is>
      </c>
      <c r="C548" s="24" t="inlineStr">
        <is>
          <t>—</t>
        </is>
      </c>
      <c r="D548" s="58">
        <f>SUMIFS(AO4:AO527,A4:A527,"Ola Mumbai",AS4:AS527,"=",AT4:AT527,"=",AU4:AU527,"=")</f>
        <v/>
      </c>
      <c r="E548" s="59">
        <f>SUMIFS(AP4:AP527,A4:A527,"Ola Mumbai",AS4:AS527,"=",AT4:AT527,"=",AU4:AU527,"=")</f>
        <v/>
      </c>
    </row>
    <row r="549">
      <c r="A549" s="9" t="inlineStr">
        <is>
          <t>Jakarta</t>
        </is>
      </c>
      <c r="B549" s="24" t="inlineStr">
        <is>
          <t>network_sum / ceil</t>
        </is>
      </c>
      <c r="C549" s="33">
        <f>SUMIFS(AQ4:AQ527,A4:A527,"Jakarta",AS4:AS527,"=",AT4:AT527,"=",AU4:AU527,"=")</f>
        <v/>
      </c>
      <c r="D549" s="58">
        <f>IF(C549=0,0,CEILING(C549,1))</f>
        <v/>
      </c>
      <c r="E549" s="59">
        <f>SUMIFS(AR4:AR527,A4:A527,"Jakarta",AS4:AS527,"=",AT4:AT527,"=",AU4:AU527,"=")</f>
        <v/>
      </c>
    </row>
    <row r="550">
      <c r="A550" s="9" t="inlineStr">
        <is>
          <t>Bali</t>
        </is>
      </c>
      <c r="B550" s="24" t="inlineStr">
        <is>
          <t>network_sum / ceil</t>
        </is>
      </c>
      <c r="C550" s="33">
        <f>SUMIFS(AQ4:AQ527,A4:A527,"Bali",AS4:AS527,"=",AT4:AT527,"=",AU4:AU527,"=")</f>
        <v/>
      </c>
      <c r="D550" s="58">
        <f>IF(C550=0,0,CEILING(C550,1))</f>
        <v/>
      </c>
      <c r="E550" s="59">
        <f>SUMIFS(AR4:AR527,A4:A527,"Bali",AS4:AS527,"=",AT4:AT527,"=",AU4:AU527,"=")</f>
        <v/>
      </c>
    </row>
    <row r="551">
      <c r="A551" s="9" t="inlineStr">
        <is>
          <t>Bolt Ireland</t>
        </is>
      </c>
      <c r="B551" s="24" t="inlineStr">
        <is>
          <t>aspirational</t>
        </is>
      </c>
      <c r="C551" s="24" t="inlineStr">
        <is>
          <t>—</t>
        </is>
      </c>
      <c r="D551" s="58">
        <f>SUMIFS(AO4:AO527,A4:A527,"Bolt Ireland",AS4:AS527,"=",AT4:AT527,"=",AU4:AU527,"=")</f>
        <v/>
      </c>
      <c r="E551" s="59">
        <f>SUMIFS(AP4:AP527,A4:A527,"Bolt Ireland",AS4:AS527,"=",AT4:AT527,"=",AU4:AU527,"=")</f>
        <v/>
      </c>
    </row>
    <row r="552">
      <c r="A552" s="9" t="inlineStr">
        <is>
          <t>Bolt Israel</t>
        </is>
      </c>
      <c r="B552" s="24" t="inlineStr">
        <is>
          <t>aspirational</t>
        </is>
      </c>
      <c r="C552" s="24" t="inlineStr">
        <is>
          <t>—</t>
        </is>
      </c>
      <c r="D552" s="58">
        <f>SUMIFS(AO4:AO527,A4:A527,"Bolt Israel",AS4:AS527,"=",AT4:AT527,"=",AU4:AU527,"=")</f>
        <v/>
      </c>
      <c r="E552" s="59">
        <f>SUMIFS(AP4:AP527,A4:A527,"Bolt Israel",AS4:AS527,"=",AT4:AT527,"=",AU4:AU527,"=")</f>
        <v/>
      </c>
    </row>
    <row r="553">
      <c r="A553" s="9" t="inlineStr">
        <is>
          <t>Bolt Italy</t>
        </is>
      </c>
      <c r="B553" s="24" t="inlineStr">
        <is>
          <t>grounded</t>
        </is>
      </c>
      <c r="C553" s="24" t="inlineStr">
        <is>
          <t>—</t>
        </is>
      </c>
      <c r="D553" s="58">
        <f>SUMIFS(AO4:AO527,A4:A527,"Bolt Italy",AS4:AS527,"=",AT4:AT527,"=",AU4:AU527,"=")</f>
        <v/>
      </c>
      <c r="E553" s="59">
        <f>SUMIFS(AP4:AP527,A4:A527,"Bolt Italy",AS4:AS527,"=",AT4:AT527,"=",AU4:AU527,"=")</f>
        <v/>
      </c>
    </row>
    <row r="554">
      <c r="A554" s="9" t="inlineStr">
        <is>
          <t>Yango Caspian Kz</t>
        </is>
      </c>
      <c r="B554" s="24" t="inlineStr">
        <is>
          <t>aspirational</t>
        </is>
      </c>
      <c r="C554" s="24" t="inlineStr">
        <is>
          <t>—</t>
        </is>
      </c>
      <c r="D554" s="58">
        <f>SUMIFS(AO4:AO527,A4:A527,"Yango Caspian Kz",AS4:AS527,"=",AT4:AT527,"=",AU4:AU527,"=")</f>
        <v/>
      </c>
      <c r="E554" s="59">
        <f>SUMIFS(AP4:AP527,A4:A527,"Yango Caspian Kz",AS4:AS527,"=",AT4:AT527,"=",AU4:AU527,"=")</f>
        <v/>
      </c>
    </row>
    <row r="555">
      <c r="A555" s="9" t="inlineStr">
        <is>
          <t>Bolt Lebanon</t>
        </is>
      </c>
      <c r="B555" s="24" t="inlineStr">
        <is>
          <t>aspirational</t>
        </is>
      </c>
      <c r="C555" s="24" t="inlineStr">
        <is>
          <t>—</t>
        </is>
      </c>
      <c r="D555" s="58">
        <f>SUMIFS(AO4:AO527,A4:A527,"Bolt Lebanon",AS4:AS527,"=",AT4:AT527,"=",AU4:AU527,"=")</f>
        <v/>
      </c>
      <c r="E555" s="59">
        <f>SUMIFS(AP4:AP527,A4:A527,"Bolt Lebanon",AS4:AS527,"=",AT4:AT527,"=",AU4:AU527,"=")</f>
        <v/>
      </c>
    </row>
    <row r="556">
      <c r="A556" s="9" t="inlineStr">
        <is>
          <t>Langkawi</t>
        </is>
      </c>
      <c r="B556" s="24" t="inlineStr">
        <is>
          <t>network_sum / ceil</t>
        </is>
      </c>
      <c r="C556" s="33">
        <f>SUMIFS(AQ4:AQ527,A4:A527,"Langkawi",AS4:AS527,"=",AT4:AT527,"=",AU4:AU527,"=")</f>
        <v/>
      </c>
      <c r="D556" s="58">
        <f>IF(C556=0,0,CEILING(C556,1))</f>
        <v/>
      </c>
      <c r="E556" s="59">
        <f>SUMIFS(AR4:AR527,A4:A527,"Langkawi",AS4:AS527,"=",AT4:AT527,"=",AU4:AU527,"=")</f>
        <v/>
      </c>
    </row>
    <row r="557">
      <c r="A557" s="9" t="inlineStr">
        <is>
          <t>Borneo</t>
        </is>
      </c>
      <c r="B557" s="24" t="inlineStr">
        <is>
          <t>network_sum / ceil</t>
        </is>
      </c>
      <c r="C557" s="33">
        <f>SUMIFS(AQ4:AQ527,A4:A527,"Borneo",AS4:AS527,"=",AT4:AT527,"=",AU4:AU527,"=")</f>
        <v/>
      </c>
      <c r="D557" s="58">
        <f>IF(C557=0,0,CEILING(C557,1))</f>
        <v/>
      </c>
      <c r="E557" s="59">
        <f>SUMIFS(AR4:AR527,A4:A527,"Borneo",AS4:AS527,"=",AT4:AT527,"=",AU4:AU527,"=")</f>
        <v/>
      </c>
    </row>
    <row r="558">
      <c r="A558" s="9" t="inlineStr">
        <is>
          <t>Penang</t>
        </is>
      </c>
      <c r="B558" s="24" t="inlineStr">
        <is>
          <t>network_sum / ceil</t>
        </is>
      </c>
      <c r="C558" s="33">
        <f>SUMIFS(AQ4:AQ527,A4:A527,"Penang",AS4:AS527,"=",AT4:AT527,"=",AU4:AU527,"=")</f>
        <v/>
      </c>
      <c r="D558" s="58">
        <f>IF(C558=0,0,CEILING(C558,1))</f>
        <v/>
      </c>
      <c r="E558" s="59">
        <f>SUMIFS(AR4:AR527,A4:A527,"Penang",AS4:AS527,"=",AT4:AT527,"=",AU4:AU527,"=")</f>
        <v/>
      </c>
    </row>
    <row r="559">
      <c r="A559" s="9" t="inlineStr">
        <is>
          <t>Maldives (JIH)</t>
        </is>
      </c>
      <c r="B559" s="24" t="inlineStr">
        <is>
          <t>network_sum</t>
        </is>
      </c>
      <c r="C559" s="33">
        <f>SUMIFS(AQ4:AQ527,A4:A527,"Maldives (JIH)",AS4:AS527,"=",AT4:AT527,"=",AU4:AU527,"=")</f>
        <v/>
      </c>
      <c r="D559" s="58">
        <f>ROUND(C559,0)</f>
        <v/>
      </c>
      <c r="E559" s="59">
        <f>SUMIFS(AR4:AR527,A4:A527,"Maldives (JIH)",AS4:AS527,"=",AT4:AT527,"=",AU4:AU527,"=")</f>
        <v/>
      </c>
    </row>
    <row r="560">
      <c r="A560" s="9" t="inlineStr">
        <is>
          <t>Yango Morocco</t>
        </is>
      </c>
      <c r="B560" s="24" t="inlineStr">
        <is>
          <t>aspirational</t>
        </is>
      </c>
      <c r="C560" s="24" t="inlineStr">
        <is>
          <t>—</t>
        </is>
      </c>
      <c r="D560" s="58">
        <f>SUMIFS(AO4:AO527,A4:A527,"Yango Morocco",AS4:AS527,"=",AT4:AT527,"=",AU4:AU527,"=")</f>
        <v/>
      </c>
      <c r="E560" s="59">
        <f>SUMIFS(AP4:AP527,A4:A527,"Yango Morocco",AS4:AS527,"=",AT4:AT527,"=",AU4:AU527,"=")</f>
        <v/>
      </c>
    </row>
    <row r="561">
      <c r="A561" s="9" t="inlineStr">
        <is>
          <t>Yango Mozambique</t>
        </is>
      </c>
      <c r="B561" s="24" t="inlineStr">
        <is>
          <t>aspirational</t>
        </is>
      </c>
      <c r="C561" s="24" t="inlineStr">
        <is>
          <t>—</t>
        </is>
      </c>
      <c r="D561" s="58">
        <f>SUMIFS(AO4:AO527,A4:A527,"Yango Mozambique",AS4:AS527,"=",AT4:AT527,"=",AU4:AU527,"=")</f>
        <v/>
      </c>
      <c r="E561" s="59">
        <f>SUMIFS(AP4:AP527,A4:A527,"Yango Mozambique",AS4:AS527,"=",AT4:AT527,"=",AU4:AU527,"=")</f>
        <v/>
      </c>
    </row>
    <row r="562">
      <c r="A562" s="9" t="inlineStr">
        <is>
          <t>Yango Lagos</t>
        </is>
      </c>
      <c r="B562" s="24" t="inlineStr">
        <is>
          <t>grounded</t>
        </is>
      </c>
      <c r="C562" s="24" t="inlineStr">
        <is>
          <t>—</t>
        </is>
      </c>
      <c r="D562" s="58">
        <f>SUMIFS(AO4:AO527,A4:A527,"Yango Lagos",AS4:AS527,"=",AT4:AT527,"=",AU4:AU527,"=")</f>
        <v/>
      </c>
      <c r="E562" s="59">
        <f>SUMIFS(AP4:AP527,A4:A527,"Yango Lagos",AS4:AS527,"=",AT4:AT527,"=",AU4:AU527,"=")</f>
        <v/>
      </c>
    </row>
    <row r="563">
      <c r="A563" s="9" t="inlineStr">
        <is>
          <t>Yango Pakistan</t>
        </is>
      </c>
      <c r="B563" s="24" t="inlineStr">
        <is>
          <t>aspirational</t>
        </is>
      </c>
      <c r="C563" s="24" t="inlineStr">
        <is>
          <t>—</t>
        </is>
      </c>
      <c r="D563" s="58">
        <f>SUMIFS(AO4:AO527,A4:A527,"Yango Pakistan",AS4:AS527,"=",AT4:AT527,"=",AU4:AU527,"=")</f>
        <v/>
      </c>
      <c r="E563" s="59">
        <f>SUMIFS(AP4:AP527,A4:A527,"Yango Pakistan",AS4:AS527,"=",AT4:AT527,"=",AU4:AU527,"=")</f>
        <v/>
      </c>
    </row>
    <row r="564">
      <c r="A564" s="9" t="inlineStr">
        <is>
          <t>Philippines</t>
        </is>
      </c>
      <c r="B564" s="24" t="inlineStr">
        <is>
          <t>network_sum / ceil</t>
        </is>
      </c>
      <c r="C564" s="33">
        <f>SUMIFS(AQ4:AQ527,A4:A527,"Philippines",AS4:AS527,"=",AT4:AT527,"=",AU4:AU527,"=")</f>
        <v/>
      </c>
      <c r="D564" s="58">
        <f>IF(C564=0,0,CEILING(C564,1))</f>
        <v/>
      </c>
      <c r="E564" s="59">
        <f>SUMIFS(AR4:AR527,A4:A527,"Philippines",AS4:AS527,"=",AT4:AT527,"=",AU4:AU527,"=")</f>
        <v/>
      </c>
    </row>
    <row r="565">
      <c r="A565" s="9" t="inlineStr">
        <is>
          <t>Bolt Portugal</t>
        </is>
      </c>
      <c r="B565" s="24" t="inlineStr">
        <is>
          <t>grounded</t>
        </is>
      </c>
      <c r="C565" s="24" t="inlineStr">
        <is>
          <t>—</t>
        </is>
      </c>
      <c r="D565" s="58">
        <f>SUMIFS(AO4:AO527,A4:A527,"Bolt Portugal",AS4:AS527,"=",AT4:AT527,"=",AU4:AU527,"=")</f>
        <v/>
      </c>
      <c r="E565" s="59">
        <f>SUMIFS(AP4:AP527,A4:A527,"Bolt Portugal",AS4:AS527,"=",AT4:AT527,"=",AU4:AU527,"=")</f>
        <v/>
      </c>
    </row>
    <row r="566">
      <c r="A566" s="9" t="inlineStr">
        <is>
          <t>Qatar</t>
        </is>
      </c>
      <c r="B566" s="24" t="inlineStr">
        <is>
          <t>per_corridor_floor</t>
        </is>
      </c>
      <c r="C566" s="24" t="inlineStr">
        <is>
          <t>—</t>
        </is>
      </c>
      <c r="D566" s="58">
        <f>SUMIFS(AO4:AO527,A4:A527,"Qatar",AS4:AS527,"=",AT4:AT527,"=",AU4:AU527,"=")</f>
        <v/>
      </c>
      <c r="E566" s="59">
        <f>SUMIFS(AP4:AP527,A4:A527,"Qatar",AS4:AS527,"=",AT4:AT527,"=",AU4:AU527,"=")</f>
        <v/>
      </c>
    </row>
    <row r="567">
      <c r="A567" s="9" t="inlineStr">
        <is>
          <t>Bolt Romania</t>
        </is>
      </c>
      <c r="B567" s="24" t="inlineStr">
        <is>
          <t>aspirational</t>
        </is>
      </c>
      <c r="C567" s="24" t="inlineStr">
        <is>
          <t>—</t>
        </is>
      </c>
      <c r="D567" s="58">
        <f>SUMIFS(AO4:AO527,A4:A527,"Bolt Romania",AS4:AS527,"=",AT4:AT527,"=",AU4:AU527,"=")</f>
        <v/>
      </c>
      <c r="E567" s="59">
        <f>SUMIFS(AP4:AP527,A4:A527,"Bolt Romania",AS4:AS527,"=",AT4:AT527,"=",AU4:AU527,"=")</f>
        <v/>
      </c>
    </row>
    <row r="568">
      <c r="A568" s="9" t="inlineStr">
        <is>
          <t>Saudi – Red Sea</t>
        </is>
      </c>
      <c r="B568" s="24" t="inlineStr">
        <is>
          <t>per_corridor_floor</t>
        </is>
      </c>
      <c r="C568" s="24" t="inlineStr">
        <is>
          <t>—</t>
        </is>
      </c>
      <c r="D568" s="58">
        <f>SUMIFS(AO4:AO527,A4:A527,"Saudi – Red Sea",AS4:AS527,"=",AT4:AT527,"=",AU4:AU527,"=")</f>
        <v/>
      </c>
      <c r="E568" s="59">
        <f>SUMIFS(AP4:AP527,A4:A527,"Saudi – Red Sea",AS4:AS527,"=",AT4:AT527,"=",AU4:AU527,"=")</f>
        <v/>
      </c>
    </row>
    <row r="569">
      <c r="A569" s="9" t="inlineStr">
        <is>
          <t>Yango Senegal</t>
        </is>
      </c>
      <c r="B569" s="24" t="inlineStr">
        <is>
          <t>aspirational</t>
        </is>
      </c>
      <c r="C569" s="24" t="inlineStr">
        <is>
          <t>—</t>
        </is>
      </c>
      <c r="D569" s="58">
        <f>SUMIFS(AO4:AO527,A4:A527,"Yango Senegal",AS4:AS527,"=",AT4:AT527,"=",AU4:AU527,"=")</f>
        <v/>
      </c>
      <c r="E569" s="59">
        <f>SUMIFS(AP4:AP527,A4:A527,"Yango Senegal",AS4:AS527,"=",AT4:AT527,"=",AU4:AU527,"=")</f>
        <v/>
      </c>
    </row>
    <row r="570">
      <c r="A570" s="9" t="inlineStr">
        <is>
          <t>Singapore</t>
        </is>
      </c>
      <c r="B570" s="24" t="inlineStr">
        <is>
          <t>network_sum / ceil</t>
        </is>
      </c>
      <c r="C570" s="33">
        <f>SUMIFS(AQ4:AQ527,A4:A527,"Singapore",AS4:AS527,"=",AT4:AT527,"=",AU4:AU527,"=")</f>
        <v/>
      </c>
      <c r="D570" s="58">
        <f>IF(C570=0,0,CEILING(C570,1))</f>
        <v/>
      </c>
      <c r="E570" s="59">
        <f>SUMIFS(AR4:AR527,A4:A527,"Singapore",AS4:AS527,"=",AT4:AT527,"=",AU4:AU527,"=")</f>
        <v/>
      </c>
    </row>
    <row r="571">
      <c r="A571" s="9" t="inlineStr">
        <is>
          <t>Cross-Border</t>
        </is>
      </c>
      <c r="B571" s="24" t="inlineStr">
        <is>
          <t>network_sum / ceil</t>
        </is>
      </c>
      <c r="C571" s="33">
        <f>SUMIFS(AQ4:AQ527,A4:A527,"Cross-Border",AS4:AS527,"=",AT4:AT527,"=",AU4:AU527,"=")</f>
        <v/>
      </c>
      <c r="D571" s="58">
        <f>IF(C571=0,0,CEILING(C571,1))</f>
        <v/>
      </c>
      <c r="E571" s="59">
        <f>SUMIFS(AR4:AR527,A4:A527,"Cross-Border",AS4:AS527,"=",AT4:AT527,"=",AU4:AU527,"=")</f>
        <v/>
      </c>
    </row>
    <row r="572">
      <c r="A572" s="9" t="inlineStr">
        <is>
          <t>Bolt Spain</t>
        </is>
      </c>
      <c r="B572" s="24" t="inlineStr">
        <is>
          <t>aspirational</t>
        </is>
      </c>
      <c r="C572" s="24" t="inlineStr">
        <is>
          <t>—</t>
        </is>
      </c>
      <c r="D572" s="58">
        <f>SUMIFS(AO4:AO527,A4:A527,"Bolt Spain",AS4:AS527,"=",AT4:AT527,"=",AU4:AU527,"=")</f>
        <v/>
      </c>
      <c r="E572" s="59">
        <f>SUMIFS(AP4:AP527,A4:A527,"Bolt Spain",AS4:AS527,"=",AT4:AT527,"=",AU4:AU527,"=")</f>
        <v/>
      </c>
    </row>
    <row r="573">
      <c r="A573" s="9" t="inlineStr">
        <is>
          <t>Bolt Sweden</t>
        </is>
      </c>
      <c r="B573" s="24" t="inlineStr">
        <is>
          <t>aspirational</t>
        </is>
      </c>
      <c r="C573" s="24" t="inlineStr">
        <is>
          <t>—</t>
        </is>
      </c>
      <c r="D573" s="58">
        <f>SUMIFS(AO4:AO527,A4:A527,"Bolt Sweden",AS4:AS527,"=",AT4:AT527,"=",AU4:AU527,"=")</f>
        <v/>
      </c>
      <c r="E573" s="59">
        <f>SUMIFS(AP4:AP527,A4:A527,"Bolt Sweden",AS4:AS527,"=",AT4:AT527,"=",AU4:AU527,"=")</f>
        <v/>
      </c>
    </row>
    <row r="574">
      <c r="A574" s="9" t="inlineStr">
        <is>
          <t>Taiwan</t>
        </is>
      </c>
      <c r="B574" s="24" t="inlineStr">
        <is>
          <t>network_sum / ceil</t>
        </is>
      </c>
      <c r="C574" s="33">
        <f>SUMIFS(AQ4:AQ527,A4:A527,"Taiwan",AS4:AS527,"=",AT4:AT527,"=",AU4:AU527,"=")</f>
        <v/>
      </c>
      <c r="D574" s="58">
        <f>IF(C574=0,0,CEILING(C574,1))</f>
        <v/>
      </c>
      <c r="E574" s="59">
        <f>SUMIFS(AR4:AR527,A4:A527,"Taiwan",AS4:AS527,"=",AT4:AT527,"=",AU4:AU527,"=")</f>
        <v/>
      </c>
    </row>
    <row r="575">
      <c r="A575" s="9" t="inlineStr">
        <is>
          <t>Bangkok</t>
        </is>
      </c>
      <c r="B575" s="24" t="inlineStr">
        <is>
          <t>network_sum / ceil</t>
        </is>
      </c>
      <c r="C575" s="33">
        <f>SUMIFS(AQ4:AQ527,A4:A527,"Bangkok",AS4:AS527,"=",AT4:AT527,"=",AU4:AU527,"=")</f>
        <v/>
      </c>
      <c r="D575" s="58">
        <f>IF(C575=0,0,CEILING(C575,1))</f>
        <v/>
      </c>
      <c r="E575" s="59">
        <f>SUMIFS(AR4:AR527,A4:A527,"Bangkok",AS4:AS527,"=",AT4:AT527,"=",AU4:AU527,"=")</f>
        <v/>
      </c>
    </row>
    <row r="576">
      <c r="A576" s="9" t="inlineStr">
        <is>
          <t>Koh Samui</t>
        </is>
      </c>
      <c r="B576" s="24" t="inlineStr">
        <is>
          <t>network_sum / ceil</t>
        </is>
      </c>
      <c r="C576" s="33">
        <f>SUMIFS(AQ4:AQ527,A4:A527,"Koh Samui",AS4:AS527,"=",AT4:AT527,"=",AU4:AU527,"=")</f>
        <v/>
      </c>
      <c r="D576" s="58">
        <f>IF(C576=0,0,CEILING(C576,1))</f>
        <v/>
      </c>
      <c r="E576" s="59">
        <f>SUMIFS(AR4:AR527,A4:A527,"Koh Samui",AS4:AS527,"=",AT4:AT527,"=",AU4:AU527,"=")</f>
        <v/>
      </c>
    </row>
    <row r="577">
      <c r="A577" s="9" t="inlineStr">
        <is>
          <t>Phuket</t>
        </is>
      </c>
      <c r="B577" s="24" t="inlineStr">
        <is>
          <t>network_sum / ceil</t>
        </is>
      </c>
      <c r="C577" s="33">
        <f>SUMIFS(AQ4:AQ527,A4:A527,"Phuket",AS4:AS527,"=",AT4:AT527,"=",AU4:AU527,"=")</f>
        <v/>
      </c>
      <c r="D577" s="58">
        <f>IF(C577=0,0,CEILING(C577,1))</f>
        <v/>
      </c>
      <c r="E577" s="59">
        <f>SUMIFS(AR4:AR527,A4:A527,"Phuket",AS4:AS527,"=",AT4:AT527,"=",AU4:AU527,"=")</f>
        <v/>
      </c>
    </row>
    <row r="578">
      <c r="A578" s="9" t="inlineStr">
        <is>
          <t>Yango Tunisia</t>
        </is>
      </c>
      <c r="B578" s="24" t="inlineStr">
        <is>
          <t>aspirational</t>
        </is>
      </c>
      <c r="C578" s="24" t="inlineStr">
        <is>
          <t>—</t>
        </is>
      </c>
      <c r="D578" s="58">
        <f>SUMIFS(AO4:AO527,A4:A527,"Yango Tunisia",AS4:AS527,"=",AT4:AT527,"=",AU4:AU527,"=")</f>
        <v/>
      </c>
      <c r="E578" s="59">
        <f>SUMIFS(AP4:AP527,A4:A527,"Yango Tunisia",AS4:AS527,"=",AT4:AT527,"=",AU4:AU527,"=")</f>
        <v/>
      </c>
    </row>
    <row r="579">
      <c r="A579" s="9" t="inlineStr">
        <is>
          <t>Yango Turkey</t>
        </is>
      </c>
      <c r="B579" s="24" t="inlineStr">
        <is>
          <t>grounded</t>
        </is>
      </c>
      <c r="C579" s="24" t="inlineStr">
        <is>
          <t>—</t>
        </is>
      </c>
      <c r="D579" s="58">
        <f>SUMIFS(AO4:AO527,A4:A527,"Yango Turkey",AS4:AS527,"=",AT4:AT527,"=",AU4:AU527,"=")</f>
        <v/>
      </c>
      <c r="E579" s="59">
        <f>SUMIFS(AP4:AP527,A4:A527,"Yango Turkey",AS4:AS527,"=",AT4:AT527,"=",AU4:AU527,"=")</f>
        <v/>
      </c>
    </row>
    <row r="580">
      <c r="A580" s="9" t="inlineStr">
        <is>
          <t>UAE (Careem)</t>
        </is>
      </c>
      <c r="B580" s="24" t="inlineStr">
        <is>
          <t>network_sum / ceil</t>
        </is>
      </c>
      <c r="C580" s="33">
        <f>SUMIFS(AQ4:AQ527,A4:A527,"UAE (Careem)",AS4:AS527,"=",AT4:AT527,"=",AU4:AU527,"=")</f>
        <v/>
      </c>
      <c r="D580" s="58">
        <f>IF(C580=0,0,CEILING(C580,1))</f>
        <v/>
      </c>
      <c r="E580" s="59">
        <f>SUMIFS(AR4:AR527,A4:A527,"UAE (Careem)",AS4:AS527,"=",AT4:AT527,"=",AU4:AU527,"=")</f>
        <v/>
      </c>
    </row>
    <row r="581">
      <c r="A581" s="9" t="inlineStr">
        <is>
          <t>Uae Noon</t>
        </is>
      </c>
      <c r="B581" s="24" t="inlineStr">
        <is>
          <t>network_sum / ceil</t>
        </is>
      </c>
      <c r="C581" s="33">
        <f>SUMIFS(AQ4:AQ527,A4:A527,"Uae Noon",AS4:AS527,"=",AT4:AT527,"=",AU4:AU527,"=")</f>
        <v/>
      </c>
      <c r="D581" s="58">
        <f>IF(C581=0,0,CEILING(C581,1))</f>
        <v/>
      </c>
      <c r="E581" s="59">
        <f>SUMIFS(AR4:AR527,A4:A527,"Uae Noon",AS4:AS527,"=",AT4:AT527,"=",AU4:AU527,"=")</f>
        <v/>
      </c>
    </row>
    <row r="582">
      <c r="A582" s="9" t="inlineStr">
        <is>
          <t>Vietnam</t>
        </is>
      </c>
      <c r="B582" s="24" t="inlineStr">
        <is>
          <t>network_sum / ceil</t>
        </is>
      </c>
      <c r="C582" s="33">
        <f>SUMIFS(AQ4:AQ527,A4:A527,"Vietnam",AS4:AS527,"=",AT4:AT527,"=",AU4:AU527,"=")</f>
        <v/>
      </c>
      <c r="D582" s="58">
        <f>IF(C582=0,0,CEILING(C582,1))</f>
        <v/>
      </c>
      <c r="E582" s="59">
        <f>SUMIFS(AR4:AR527,A4:A527,"Vietnam",AS4:AS527,"=",AT4:AT527,"=",AU4:AU527,"=")</f>
        <v/>
      </c>
    </row>
    <row r="583">
      <c r="A583" s="14" t="inlineStr">
        <is>
          <t>GROUNDED FLOOR (PUBLISHED)</t>
        </is>
      </c>
      <c r="D583" s="57">
        <f>SUM(D532:D582)</f>
        <v/>
      </c>
      <c r="E583" s="55">
        <f>SUM(E532:E582)</f>
        <v/>
      </c>
    </row>
    <row r="584">
      <c r="A584" s="30" t="inlineStr">
        <is>
          <t>ESTIMATED UPSIDE (LB-99 modal-shift / experience-upside tiers; held OUT of grounded floor)</t>
        </is>
      </c>
      <c r="D584" s="60">
        <f>SUMIF(AU4:AU527,"&lt;&gt;",AO4:AO527)</f>
        <v/>
      </c>
      <c r="E584" s="61">
        <f>SUMIF(AU4:AU527,"&lt;&gt;",AP4:AP527)</f>
        <v/>
      </c>
    </row>
    <row r="585">
      <c r="A585" s="30" t="inlineStr">
        <is>
          <t>FORWARD SAM (2030-dated; held OUT of grounded floor)</t>
        </is>
      </c>
      <c r="D585" s="60">
        <f>SUMIF(AT4:AT527,"&lt;&gt;",AO4:AO527)</f>
        <v/>
      </c>
      <c r="E585" s="61">
        <f>SUMIF(AT4:AT527,"&lt;&gt;",AP4:AP527)</f>
        <v/>
      </c>
    </row>
    <row r="586"/>
    <row r="587">
      <c r="A587" s="62" t="inlineStr">
        <is>
          <t>Held for Quanta-LR (&gt;70nm, roadmap H2 2026+):</t>
        </is>
      </c>
      <c r="C587" s="63" t="inlineStr">
        <is>
          <t>Singapore (Tanah Merah) → Tioman Island (east-coast Malaysia) (108.6nm)</t>
        </is>
      </c>
    </row>
    <row r="588">
      <c r="C588" s="63" t="inlineStr">
        <is>
          <t>Lombok → Komodo / Labuan Bajo (237nm)</t>
        </is>
      </c>
    </row>
    <row r="589">
      <c r="C589" s="63" t="inlineStr">
        <is>
          <t>Komodo / Labuan Bajo → Sumba (Nihi) (90nm)</t>
        </is>
      </c>
    </row>
    <row r="590">
      <c r="C590" s="63" t="inlineStr">
        <is>
          <t>Phuket → Langkawi (cross-border, regional reach) (107nm)</t>
        </is>
      </c>
    </row>
    <row r="591">
      <c r="C591" s="63" t="inlineStr">
        <is>
          <t>Manila → Coron (Palawan) (150nm)</t>
        </is>
      </c>
    </row>
    <row r="592">
      <c r="C592" s="63" t="inlineStr">
        <is>
          <t>Cebu → Boracay (90nm)</t>
        </is>
      </c>
    </row>
    <row r="593">
      <c r="C593" s="63" t="inlineStr">
        <is>
          <t>Kaohsiung → Magong (Penghu) (73.0nm)</t>
        </is>
      </c>
    </row>
    <row r="594">
      <c r="C594" s="63" t="inlineStr">
        <is>
          <t>Shura Island hub → AMAALA (Triple Bay) (82.9nm)</t>
        </is>
      </c>
    </row>
    <row r="595">
      <c r="C595" s="63" t="inlineStr">
        <is>
          <t>The Red Sea → NEOM (Sindalah) / Jeddah gateway (196.9nm)</t>
        </is>
      </c>
    </row>
    <row r="596">
      <c r="C596" s="63" t="inlineStr">
        <is>
          <t>Jeddah gateway → The Red Sea archipelago (275.5nm)</t>
        </is>
      </c>
    </row>
    <row r="597">
      <c r="C597" s="63" t="inlineStr">
        <is>
          <t>Jeddah → NEOM (Sindalah) (463.9nm)</t>
        </is>
      </c>
    </row>
    <row r="598">
      <c r="C598" s="63" t="inlineStr">
        <is>
          <t>Marina Mall / Breakwater Marina → Sir Bani Yas Cruise Port (93.1nm)</t>
        </is>
      </c>
    </row>
    <row r="599">
      <c r="C599" s="63" t="inlineStr">
        <is>
          <t>Dubai Harbour Marina → Old Doha Port (195.42nm)</t>
        </is>
      </c>
    </row>
    <row r="600">
      <c r="C600" s="63" t="inlineStr">
        <is>
          <t>Marina Mall / Breakwater Marina → Bahrain Financial Harbour Marina (235.44nm)</t>
        </is>
      </c>
    </row>
    <row r="601">
      <c r="C601" s="63" t="inlineStr">
        <is>
          <t>Doha (Lusail Marina) → Manama (Bahrain Financial Harbour) (94.5nm)</t>
        </is>
      </c>
    </row>
    <row r="602">
      <c r="C602" s="63" t="inlineStr">
        <is>
          <t>Papeete (Tahiti) → Bora Bora (Vaitape) (140nm)</t>
        </is>
      </c>
    </row>
    <row r="603">
      <c r="C603" s="63" t="inlineStr">
        <is>
          <t>Moorea (Vaiare) → Huahine (Fare) (80nm)</t>
        </is>
      </c>
    </row>
    <row r="604">
      <c r="C604" s="63" t="inlineStr">
        <is>
          <t>Papeete (Tahiti) → Raiatea (Uturoa) (115nm)</t>
        </is>
      </c>
    </row>
    <row r="605">
      <c r="C605" s="63" t="inlineStr">
        <is>
          <t>Papeete (Tahiti) → Maupiti (Vai'ea) (150nm)</t>
        </is>
      </c>
    </row>
    <row r="606">
      <c r="C606" s="63" t="inlineStr">
        <is>
          <t>Rangiroa → Fakarava (150nm)</t>
        </is>
      </c>
    </row>
    <row r="607">
      <c r="C607" s="63" t="inlineStr">
        <is>
          <t>Papeete (Tahiti) → Rangiroa (Avatoru) (190nm)</t>
        </is>
      </c>
    </row>
    <row r="608">
      <c r="C608" s="63" t="inlineStr">
        <is>
          <t>Mykonos → Santorini (Thira) (75nm)</t>
        </is>
      </c>
    </row>
    <row r="609">
      <c r="C609" s="63" t="inlineStr">
        <is>
          <t>Monaco → Portofino (85.0nm)</t>
        </is>
      </c>
    </row>
    <row r="610">
      <c r="C610" s="63" t="inlineStr">
        <is>
          <t>Tallinn → Stockholm (210nm)</t>
        </is>
      </c>
    </row>
    <row r="611">
      <c r="C611" s="63" t="inlineStr">
        <is>
          <t>Larnaca → Jounieh / Beirut (Lebanon) (115nm)</t>
        </is>
      </c>
    </row>
    <row r="612">
      <c r="C612" s="63" t="inlineStr">
        <is>
          <t>Stockholm (Vartahamnen / Stadsgarden) → Mariehamn (Aland) (75nm)</t>
        </is>
      </c>
    </row>
    <row r="613">
      <c r="C613" s="63" t="inlineStr">
        <is>
          <t>Palma de Mallorca → Ibiza Town (75.0nm)</t>
        </is>
      </c>
    </row>
    <row r="614">
      <c r="C614" s="63" t="inlineStr">
        <is>
          <t>Palma de Mallorca → Maó (Menorca) (100nm)</t>
        </is>
      </c>
    </row>
    <row r="615">
      <c r="C615" s="63" t="inlineStr">
        <is>
          <t>Dénia → Palma de Mallorca (130nm)</t>
        </is>
      </c>
    </row>
    <row r="616">
      <c r="C616" s="63" t="inlineStr">
        <is>
          <t>Barcelona → Palma de Mallorca (115nm)</t>
        </is>
      </c>
    </row>
    <row r="617">
      <c r="C617" s="63" t="inlineStr">
        <is>
          <t>Barcelona → Ibiza Town (Eivissa) (140nm)</t>
        </is>
      </c>
    </row>
    <row r="618">
      <c r="C618" s="63" t="inlineStr">
        <is>
          <t>Helsinki → Stockholm (210nm)</t>
        </is>
      </c>
    </row>
    <row r="619">
      <c r="C619" s="63" t="inlineStr">
        <is>
          <t>Haifa → Limassol (Cyprus) (147.1nm)</t>
        </is>
      </c>
    </row>
    <row r="620">
      <c r="C620" s="63" t="inlineStr">
        <is>
          <t>Beirut / Jounieh → Larnaca (Cyprus) (110.5nm)</t>
        </is>
      </c>
    </row>
    <row r="621">
      <c r="C621" s="63" t="inlineStr">
        <is>
          <t>Baku (Alat — Baku International Sea Port) → Turkmenbashi (150nm)</t>
        </is>
      </c>
    </row>
    <row r="622">
      <c r="C622" s="63" t="inlineStr">
        <is>
          <t>Baku (Alat — Baku International Sea Port) → Aktau / Kuryk (Kazakhstan) (250nm)</t>
        </is>
      </c>
    </row>
    <row r="623">
      <c r="C623" s="63" t="inlineStr">
        <is>
          <t>Kuryk (Port of Kuryk) → Baku (Alat — Baku International Sea Port, Azerbaijan) (215nm)</t>
        </is>
      </c>
    </row>
    <row r="624">
      <c r="C624" s="63" t="inlineStr">
        <is>
          <t>Aktau (Aktau Sea Port) → Baku (Alat, Azerbaijan) (230nm)</t>
        </is>
      </c>
    </row>
    <row r="625">
      <c r="C625" s="63" t="inlineStr">
        <is>
          <t>Karachi (Keamari) → Gwadar (255nm)</t>
        </is>
      </c>
    </row>
    <row r="626">
      <c r="C626" s="63" t="inlineStr">
        <is>
          <t>Dakar (Gare maritime / Port) → Ziguinchor (Port de Ziguinchor, Casamance) (200nm)</t>
        </is>
      </c>
    </row>
    <row r="627">
      <c r="C627" s="63" t="inlineStr">
        <is>
          <t>Dakar → Saint-Louis (du Senegal) (90nm)</t>
        </is>
      </c>
    </row>
    <row r="628">
      <c r="C628" s="63" t="inlineStr">
        <is>
          <t>Tunis (La Goulette) → Palermo (Sicily, Italy) (170nm)</t>
        </is>
      </c>
    </row>
    <row r="629">
      <c r="C629" s="63" t="inlineStr">
        <is>
          <t>Nador (Beni Ensar) → Almeria (Spain) (92nm)</t>
        </is>
      </c>
    </row>
    <row r="630">
      <c r="C630" s="63" t="inlineStr">
        <is>
          <t>Goa → Mumbai (213.3nm)</t>
        </is>
      </c>
    </row>
    <row r="631">
      <c r="C631" s="63" t="inlineStr">
        <is>
          <t>Abu Dhabi → Muscat (360.9nm)</t>
        </is>
      </c>
    </row>
    <row r="632">
      <c r="C632" s="63" t="inlineStr">
        <is>
          <t>Abu Dhabi → Manama (264.1nm)</t>
        </is>
      </c>
    </row>
    <row r="633">
      <c r="C633" s="63" t="inlineStr">
        <is>
          <t>Abu Dhabi → Doha (179.1nm)</t>
        </is>
      </c>
    </row>
    <row r="634">
      <c r="C634" s="63" t="inlineStr">
        <is>
          <t>Fujairah → Muscat (149.1nm)</t>
        </is>
      </c>
    </row>
  </sheetData>
  <mergeCells count="2">
    <mergeCell ref="A530:L530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19" t="inlineStr">
        <is>
          <t>Global TAM — unique geometry (one row per pier-pair; SOM → SAM → TAM)</t>
        </is>
      </c>
    </row>
    <row r="2"/>
    <row r="3">
      <c r="A3" s="20" t="inlineStr">
        <is>
          <t>Growth multipliers (bands: low / MID / high)</t>
        </is>
      </c>
    </row>
    <row r="4">
      <c r="A4" s="21" t="inlineStr">
        <is>
          <t>Multiplier</t>
        </is>
      </c>
      <c r="B4" s="21" t="inlineStr">
        <is>
          <t>Low</t>
        </is>
      </c>
      <c r="C4" s="21" t="inlineStr">
        <is>
          <t>MID</t>
        </is>
      </c>
      <c r="D4" s="21" t="inlineStr">
        <is>
          <t>High</t>
        </is>
      </c>
      <c r="E4" s="21" t="inlineStr">
        <is>
          <t>What it means</t>
        </is>
      </c>
    </row>
    <row r="5">
      <c r="A5" s="9" t="inlineStr">
        <is>
          <t>Induced demand (k)</t>
        </is>
      </c>
      <c r="B5" s="29" t="n">
        <v>1.3</v>
      </c>
      <c r="C5" s="29" t="n">
        <v>1.8</v>
      </c>
      <c r="D5" s="29" t="n">
        <v>2.5</v>
      </c>
      <c r="E5" s="13" t="inlineStr">
        <is>
          <t>Faster/quieter product grows the crossing market beyond today's trips.</t>
        </is>
      </c>
    </row>
    <row r="6">
      <c r="A6" s="9" t="inlineStr">
        <is>
          <t>Mature capture rate (c)</t>
        </is>
      </c>
      <c r="B6" s="50" t="n">
        <v>0.15</v>
      </c>
      <c r="C6" s="50" t="n">
        <v>0.25</v>
      </c>
      <c r="D6" s="50" t="n">
        <v>0.4</v>
      </c>
      <c r="E6" s="13" t="inlineStr">
        <is>
          <t>Navier's corridor share once it is the established premium default (vs 10% floor).</t>
        </is>
      </c>
    </row>
    <row r="7">
      <c r="A7" s="9" t="inlineStr">
        <is>
          <t>Journey GMV multiple (m)</t>
        </is>
      </c>
      <c r="B7" s="29" t="n">
        <v>2</v>
      </c>
      <c r="C7" s="29" t="n">
        <v>3</v>
      </c>
      <c r="D7" s="29" t="n">
        <v>4</v>
      </c>
      <c r="E7" s="13" t="inlineStr">
        <is>
          <t>Whole island-journey wallet (transport+food+stay+experiences) as a multiple of the boat fare.</t>
        </is>
      </c>
    </row>
    <row r="8">
      <c r="A8" s="9" t="inlineStr">
        <is>
          <t>Greenfield network factor (g)</t>
        </is>
      </c>
      <c r="B8" s="29" t="n">
        <v>3.44</v>
      </c>
      <c r="C8" s="29" t="n">
        <v>4.9</v>
      </c>
      <c r="D8" s="29" t="n">
        <v>6.36</v>
      </c>
      <c r="E8" s="13" t="inlineStr">
        <is>
          <t>Width lever: addressable network vs the sourced subset (ID-based census).</t>
        </is>
      </c>
    </row>
    <row r="9">
      <c r="A9" s="9" t="inlineStr">
        <is>
          <t>Platform take rate</t>
        </is>
      </c>
      <c r="C9" s="50" t="n">
        <v>0.18</v>
      </c>
      <c r="E9" s="13" t="inlineStr">
        <is>
          <t>Super-app blended commission on journey GMV (derived line only).</t>
        </is>
      </c>
    </row>
    <row r="10"/>
    <row r="11">
      <c r="A11" s="9" t="inlineStr">
        <is>
          <t>SOM capture rate (floor)</t>
        </is>
      </c>
      <c r="C11" s="50" t="n">
        <v>0.2182</v>
      </c>
      <c r="E11" s="13" t="inlineStr">
        <is>
          <t>New-entrant ~22% share of today's pool (= the published floor).</t>
        </is>
      </c>
    </row>
    <row r="12"/>
    <row r="13">
      <c r="A13" s="20" t="inlineStr">
        <is>
          <t>The ladder (live off the corridor floor)</t>
        </is>
      </c>
    </row>
    <row r="14">
      <c r="A14" s="21" t="inlineStr">
        <is>
          <t>Rung</t>
        </is>
      </c>
      <c r="B14" s="21" t="inlineStr">
        <is>
          <t>Low</t>
        </is>
      </c>
      <c r="C14" s="21" t="inlineStr">
        <is>
          <t>MID</t>
        </is>
      </c>
      <c r="D14" s="21" t="inlineStr">
        <is>
          <t>High</t>
        </is>
      </c>
      <c r="E14" s="21" t="inlineStr">
        <is>
          <t>Definition</t>
        </is>
      </c>
    </row>
    <row r="15">
      <c r="A15" s="9" t="inlineStr">
        <is>
          <t>SOM floor — Navier transport rev/yr (PUBLISHED)</t>
        </is>
      </c>
      <c r="C15" s="59">
        <f>som_floor_rev</f>
        <v/>
      </c>
      <c r="E15" s="13" t="inlineStr">
        <is>
          <t>Live sum of grounded corridor market-rev (10% capture, today's demand, sourced corridors).</t>
        </is>
      </c>
    </row>
    <row r="16">
      <c r="A16" s="9" t="inlineStr">
        <is>
          <t>M_today — full transport spend on sourced corridors</t>
        </is>
      </c>
      <c r="C16" s="59">
        <f>$C$15/$C$11</f>
        <v/>
      </c>
      <c r="E16" s="13" t="inlineStr">
        <is>
          <t>Anchor = SOM floor ÷ capture rate; recovers the whole crossing pool's premium-transfer spend today.</t>
        </is>
      </c>
    </row>
    <row r="17"/>
    <row r="18">
      <c r="A18" s="9" t="inlineStr">
        <is>
          <t>SOM full network (~22% capture, today, +greenfield)</t>
        </is>
      </c>
      <c r="B18" s="59">
        <f>$C$16*$C$11*$B$8</f>
        <v/>
      </c>
      <c r="C18" s="59">
        <f>$C$16*$C$11*$C$8</f>
        <v/>
      </c>
      <c r="D18" s="59">
        <f>$C$16*$C$11*$D$8</f>
        <v/>
      </c>
      <c r="E18" s="13" t="inlineStr">
        <is>
          <t>Floor posture (~22% captive capture, today's demand) extended across the whole mapped network.</t>
        </is>
      </c>
    </row>
    <row r="19">
      <c r="A19" s="9" t="inlineStr">
        <is>
          <t>SAM — sourced corridors only (depth, no greenfield)</t>
        </is>
      </c>
      <c r="B19" s="59">
        <f>$C$16*$B$5*$B$6</f>
        <v/>
      </c>
      <c r="C19" s="59">
        <f>$C$16*$C$5*$C$6</f>
        <v/>
      </c>
      <c r="D19" s="59">
        <f>$C$16*$D$5*$D$6</f>
        <v/>
      </c>
      <c r="E19" s="13" t="inlineStr">
        <is>
          <t>Matured network on the sourced corridors alone: induced demand × mature capture.</t>
        </is>
      </c>
    </row>
    <row r="20">
      <c r="A20" s="9" t="inlineStr">
        <is>
          <t>SAM — Navier transport rev @ full network (HEADLINE)</t>
        </is>
      </c>
      <c r="B20" s="59">
        <f>$C$16*$B$5*$B$6*$B$8</f>
        <v/>
      </c>
      <c r="C20" s="59">
        <f>$C$16*$C$5*$C$6*$C$8</f>
        <v/>
      </c>
      <c r="D20" s="59">
        <f>$C$16*$D$5*$D$6*$D$8</f>
        <v/>
      </c>
      <c r="E20" s="13" t="inlineStr">
        <is>
          <t>Matured across the full addressable network: induced × mature capture × greenfield width.</t>
        </is>
      </c>
    </row>
    <row r="21">
      <c r="A21" s="9" t="inlineStr">
        <is>
          <t>Marine mobility TAM — induced marine-transfer market (LB-110)</t>
        </is>
      </c>
      <c r="B21" s="59">
        <f>$C$16*$B$5*$B$8</f>
        <v/>
      </c>
      <c r="C21" s="59">
        <f>$C$16*$C$5*$C$8</f>
        <v/>
      </c>
      <c r="D21" s="59">
        <f>$C$16*$D$5*$D$8</f>
        <v/>
      </c>
      <c r="E21" s="13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9" t="inlineStr">
        <is>
          <t>Journey GMV — induced crossing × multiple (was TAM journey GMV)</t>
        </is>
      </c>
      <c r="B22" s="59">
        <f>$C$16*$B$5*$B$7*$B$8</f>
        <v/>
      </c>
      <c r="C22" s="59">
        <f>$C$16*$C$5*$C$7*$C$8</f>
        <v/>
      </c>
      <c r="D22" s="59">
        <f>$C$16*$D$5*$D$7*$D$8</f>
        <v/>
      </c>
      <c r="E22" s="13" t="inlineStr">
        <is>
          <t>Whole-journey spend (transport+food+stay+experiences) across the induced crossing market on the full network. Marine TAM × journey GMV multiple.</t>
        </is>
      </c>
    </row>
    <row r="23">
      <c r="A23" s="9" t="inlineStr">
        <is>
          <t>Journey GMV routed through Navier network</t>
        </is>
      </c>
      <c r="B23" s="59">
        <f>$C$16*$B$5*$B$6*$B$7*$B$8</f>
        <v/>
      </c>
      <c r="C23" s="59">
        <f>$C$16*$C$5*$C$6*$C$7*$C$8</f>
        <v/>
      </c>
      <c r="D23" s="59">
        <f>$C$16*$D$5*$D$6*$D$7*$D$8</f>
        <v/>
      </c>
      <c r="E23" s="13" t="inlineStr">
        <is>
          <t>Journey GMV on Navier-carried trips only.</t>
        </is>
      </c>
    </row>
    <row r="24">
      <c r="A24" s="9" t="inlineStr">
        <is>
          <t>Partner platform revenue on Navier (LB-113 — on-Navier subset, not 18% of full Journey GMV)</t>
        </is>
      </c>
      <c r="B24" s="59">
        <f>$C$16*$B$5*$B$6*$B$7*$B$8*$C$9</f>
        <v/>
      </c>
      <c r="C24" s="59">
        <f>$C$16*$C$5*$C$6*$C$7*$C$8*$C$9</f>
        <v/>
      </c>
      <c r="D24" s="59">
        <f>$C$16*$D$5*$D$6*$D$7*$D$8*$C$9</f>
        <v/>
      </c>
      <c r="E24" s="13" t="inlineStr">
        <is>
          <t>The super-app's own commission — the number a platform partner cares about.</t>
        </is>
      </c>
    </row>
    <row r="25"/>
    <row r="26">
      <c r="A26" s="64" t="inlineStr">
        <is>
          <t>Note</t>
        </is>
      </c>
      <c r="B26" s="2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  <row r="29">
      <c r="A29" s="65" t="inlineStr">
        <is>
          <t>Engine cross-check (growth-unique-global.json — unique geometry)</t>
        </is>
      </c>
      <c r="B29" s="66" t="n"/>
      <c r="C29" s="66" t="n"/>
      <c r="D29" s="66" t="n"/>
      <c r="E29" s="67" t="n"/>
    </row>
    <row r="30">
      <c r="A30" s="13" t="inlineStr">
        <is>
          <t>M_today pool</t>
        </is>
      </c>
      <c r="C30" s="68" t="n">
        <v>2304812429</v>
      </c>
    </row>
    <row r="31">
      <c r="A31" s="13" t="inlineStr">
        <is>
          <t>SOM floor (published)</t>
        </is>
      </c>
      <c r="C31" s="68" t="n">
        <v>502814750</v>
      </c>
    </row>
    <row r="32">
      <c r="A32" s="13" t="inlineStr">
        <is>
          <t>SAM @ full network (MID)</t>
        </is>
      </c>
      <c r="C32" s="68" t="n">
        <v>5082111406</v>
      </c>
    </row>
    <row r="33">
      <c r="A33" s="13" t="inlineStr">
        <is>
          <t>TAM journey GMV (MID)</t>
        </is>
      </c>
      <c r="C33" s="68" t="n">
        <v>60985336871</v>
      </c>
    </row>
    <row r="34">
      <c r="A34" s="13" t="inlineStr">
        <is>
          <t>Platform rev on Navier (MID)</t>
        </is>
      </c>
      <c r="C34" s="68" t="n">
        <v>2744340159</v>
      </c>
    </row>
  </sheetData>
  <mergeCells count="5">
    <mergeCell ref="B26:E26"/>
    <mergeCell ref="A29:E29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2026-06-21T03:02:35Z</dcterms:created>
  <dcterms:modified xsi:type="dcterms:W3CDTF">2026-06-21T03:02:45Z</dcterms:modified>
</cp:coreProperties>
</file>