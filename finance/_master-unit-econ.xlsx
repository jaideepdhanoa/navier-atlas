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opex'!$A$4:$G$51</definedName>
    <definedName name="som_floor_fleet">'Corridor economics'!$D$669</definedName>
    <definedName name="som_floor_rev">'Corridor economics'!$E$669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25 / 118</t>
        </is>
      </c>
      <c r="D7" s="11" t="n">
        <v>86</v>
      </c>
      <c r="E7" s="12" t="n">
        <v>25931643</v>
      </c>
      <c r="F7" s="11" t="n">
        <v>56</v>
      </c>
      <c r="G7" s="12" t="n">
        <v>0</v>
      </c>
      <c r="H7" s="11" t="n">
        <v>142</v>
      </c>
      <c r="I7" s="12" t="n">
        <v>25931643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0 / 0</t>
        </is>
      </c>
      <c r="D8" s="6" t="n">
        <v>0</v>
      </c>
      <c r="E8" s="7" t="n">
        <v>0</v>
      </c>
      <c r="F8" s="6" t="n">
        <v>0</v>
      </c>
      <c r="G8" s="7" t="n">
        <v>0</v>
      </c>
      <c r="H8" s="6" t="n">
        <v>0</v>
      </c>
      <c r="I8" s="7" t="n">
        <v>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79 / 10</t>
        </is>
      </c>
      <c r="D9" s="11" t="n">
        <v>91</v>
      </c>
      <c r="E9" s="12" t="n">
        <v>16047967</v>
      </c>
      <c r="F9" s="11" t="n">
        <v>0</v>
      </c>
      <c r="G9" s="12" t="n">
        <v>0</v>
      </c>
      <c r="H9" s="11" t="n">
        <v>91</v>
      </c>
      <c r="I9" s="12" t="n">
        <v>16047967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40</t>
        </is>
      </c>
      <c r="D11" s="11" t="n">
        <v>6</v>
      </c>
      <c r="E11" s="12" t="n">
        <v>1344000</v>
      </c>
      <c r="F11" s="11" t="n">
        <v>7</v>
      </c>
      <c r="G11" s="12" t="n">
        <v>0</v>
      </c>
      <c r="H11" s="11" t="n">
        <v>13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1 / 1</t>
        </is>
      </c>
      <c r="D17" s="11" t="n">
        <v>1</v>
      </c>
      <c r="E17" s="12" t="n">
        <v>1384740</v>
      </c>
      <c r="F17" s="11" t="n">
        <v>0</v>
      </c>
      <c r="G17" s="12" t="n">
        <v>0</v>
      </c>
      <c r="H17" s="11" t="n">
        <v>1</v>
      </c>
      <c r="I17" s="12" t="n">
        <v>1384740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103</v>
      </c>
      <c r="E18" s="7" t="n">
        <v>18179287</v>
      </c>
      <c r="F18" s="6" t="n">
        <v>0</v>
      </c>
      <c r="G18" s="7" t="n">
        <v>0</v>
      </c>
      <c r="H18" s="6" t="n">
        <v>103</v>
      </c>
      <c r="I18" s="7" t="n">
        <v>18179285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Airasia Move</t>
        </is>
      </c>
      <c r="B19" s="10">
        <f>HYPERLINK("https://docs.google.com/spreadsheets/d/1FhINXFACrLo0ebRSUL9m0cvSEmVo3sFoKYnttlGgxEw/edit","open ↗")</f>
        <v/>
      </c>
      <c r="C19" s="11" t="inlineStr">
        <is>
          <t>0 / 0</t>
        </is>
      </c>
      <c r="D19" s="11" t="n">
        <v>0</v>
      </c>
      <c r="E19" s="12" t="n">
        <v>0</v>
      </c>
      <c r="F19" s="11" t="n">
        <v>0</v>
      </c>
      <c r="G19" s="12" t="n">
        <v>0</v>
      </c>
      <c r="H19" s="11" t="n">
        <v>0</v>
      </c>
      <c r="I19" s="12" t="n">
        <v>0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Bahrain Motc</t>
        </is>
      </c>
      <c r="B20" s="5">
        <f>HYPERLINK("https://docs.google.com/spreadsheets/d/1OdzEYePq4dBcRZrW3UbjYHuy4cMrmKR6buYZTccMNuY/edit","open ↗")</f>
        <v/>
      </c>
      <c r="C20" s="6" t="inlineStr">
        <is>
          <t>2 / 0</t>
        </is>
      </c>
      <c r="D20" s="6" t="n">
        <v>1</v>
      </c>
      <c r="E20" s="7" t="n">
        <v>126000</v>
      </c>
      <c r="F20" s="6" t="n">
        <v>0</v>
      </c>
      <c r="G20" s="7" t="n">
        <v>0</v>
      </c>
      <c r="H20" s="6" t="n">
        <v>1</v>
      </c>
      <c r="I20" s="7" t="n">
        <v>126000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Caribbean</t>
        </is>
      </c>
      <c r="B21" s="10">
        <f>HYPERLINK("https://docs.google.com/spreadsheets/d/1J9rb-rAXkLnJPrKO8WhG7bLkofG-IB5En6hrjnwDyt0/edit","open ↗")</f>
        <v/>
      </c>
      <c r="C21" s="11" t="inlineStr">
        <is>
          <t>7 / 1</t>
        </is>
      </c>
      <c r="D21" s="11" t="n">
        <v>37</v>
      </c>
      <c r="E21" s="12" t="n">
        <v>14198258</v>
      </c>
      <c r="F21" s="11" t="n">
        <v>1</v>
      </c>
      <c r="G21" s="12" t="n">
        <v>464156</v>
      </c>
      <c r="H21" s="11" t="n">
        <v>38</v>
      </c>
      <c r="I21" s="12" t="n">
        <v>14662414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 Mobility</t>
        </is>
      </c>
      <c r="B22" s="5">
        <f>HYPERLINK("https://docs.google.com/spreadsheets/d/1J9rb-rAXkLnJPrKO8WhG7bLkofG-IB5En6hrjnwDyt0/edit","open ↗")</f>
        <v/>
      </c>
      <c r="C22" s="6" t="inlineStr">
        <is>
          <t>0 / 5</t>
        </is>
      </c>
      <c r="D22" s="6" t="n">
        <v>0</v>
      </c>
      <c r="E22" s="7" t="n">
        <v>0</v>
      </c>
      <c r="F22" s="6" t="n">
        <v>0</v>
      </c>
      <c r="G22" s="7" t="n">
        <v>0</v>
      </c>
      <c r="H22" s="6" t="n">
        <v>0</v>
      </c>
      <c r="I22" s="7" t="n">
        <v>0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Centara Thailand</t>
        </is>
      </c>
      <c r="B23" s="10">
        <f>HYPERLINK("https://docs.google.com/spreadsheets/d/1881eaYOCQrNFgIf08ibNemTdDAow7uvYimFC4bKqUy0/edit","open ↗")</f>
        <v/>
      </c>
      <c r="C23" s="11" t="inlineStr">
        <is>
          <t>2 / 5</t>
        </is>
      </c>
      <c r="D23" s="11" t="n">
        <v>2</v>
      </c>
      <c r="E23" s="12" t="n">
        <v>877734</v>
      </c>
      <c r="F23" s="11" t="n">
        <v>0</v>
      </c>
      <c r="G23" s="12" t="n">
        <v>0</v>
      </c>
      <c r="H23" s="11" t="n">
        <v>2</v>
      </c>
      <c r="I23" s="12" t="n">
        <v>877734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Gojek</t>
        </is>
      </c>
      <c r="B24" s="5">
        <f>HYPERLINK("https://docs.google.com/spreadsheets/d/1OghNZhtCqeHinxnYK9U_Bev_ZkD6eklWPk8yfk4_UF4/edit","open ↗")</f>
        <v/>
      </c>
      <c r="C24" s="6" t="inlineStr">
        <is>
          <t>0 / 0</t>
        </is>
      </c>
      <c r="D24" s="6" t="n">
        <v>0</v>
      </c>
      <c r="E24" s="7" t="n">
        <v>0</v>
      </c>
      <c r="F24" s="6" t="n">
        <v>0</v>
      </c>
      <c r="G24" s="7" t="n">
        <v>0</v>
      </c>
      <c r="H24" s="6" t="n">
        <v>0</v>
      </c>
      <c r="I24" s="7" t="n">
        <v>0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Grab Thailand</t>
        </is>
      </c>
      <c r="B25" s="10">
        <f>HYPERLINK("https://docs.google.com/spreadsheets/d/1ACYTZar0odZCASzKUwo1A4rXGsCsz6Luec6Cu3vQ20w/edit","open ↗")</f>
        <v/>
      </c>
      <c r="C25" s="11" t="inlineStr">
        <is>
          <t>0 / 0</t>
        </is>
      </c>
      <c r="D25" s="11" t="n">
        <v>0</v>
      </c>
      <c r="E25" s="12" t="n">
        <v>0</v>
      </c>
      <c r="F25" s="11" t="n">
        <v>0</v>
      </c>
      <c r="G25" s="12" t="n">
        <v>0</v>
      </c>
      <c r="H25" s="11" t="n">
        <v>0</v>
      </c>
      <c r="I25" s="12" t="n">
        <v>0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Line Man Wongnai</t>
        </is>
      </c>
      <c r="B26" s="5">
        <f>HYPERLINK("https://docs.google.com/spreadsheets/d/1LU9Silplz2FxeHIhhQKs-h0RHBCVqKobI95VotiBCUk/edit","open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Ocean Whisperer</t>
        </is>
      </c>
      <c r="B27" s="10">
        <f>HYPERLINK("https://docs.google.com/spreadsheets/d/109GGDSUoU_xofFU5Losb8-3OCW5ykZMBD41m4XTvOeU/edit","open ↗")</f>
        <v/>
      </c>
      <c r="C27" s="11" t="inlineStr">
        <is>
          <t>6 / 0</t>
        </is>
      </c>
      <c r="D27" s="11" t="n">
        <v>11</v>
      </c>
      <c r="E27" s="12" t="n">
        <v>7726488</v>
      </c>
      <c r="F27" s="11" t="n">
        <v>0</v>
      </c>
      <c r="G27" s="12" t="n">
        <v>0</v>
      </c>
      <c r="H27" s="11" t="n">
        <v>11</v>
      </c>
      <c r="I27" s="12" t="n">
        <v>7726488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Rakta</t>
        </is>
      </c>
      <c r="B28" s="5">
        <f>HYPERLINK("https://docs.google.com/spreadsheets/d/1k7npSsgsawIemvn-B6KxI6uZuu6F_GzqZjdgZPARiQs/edit","open ↗")</f>
        <v/>
      </c>
      <c r="C28" s="6" t="inlineStr">
        <is>
          <t>42 / 0</t>
        </is>
      </c>
      <c r="D28" s="6" t="n">
        <v>3</v>
      </c>
      <c r="E28" s="7" t="n">
        <v>766899</v>
      </c>
      <c r="F28" s="6" t="n">
        <v>0</v>
      </c>
      <c r="G28" s="7" t="n">
        <v>0</v>
      </c>
      <c r="H28" s="6" t="n">
        <v>3</v>
      </c>
      <c r="I28" s="7" t="n">
        <v>766899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Reliance Industries</t>
        </is>
      </c>
      <c r="B29" s="10">
        <f>HYPERLINK("https://docs.google.com/spreadsheets/d/12A3sSM5HMOF1qoDm4lq8zOKQ5YU17VzlIQ9favraS8Y/edit","open ↗")</f>
        <v/>
      </c>
      <c r="C29" s="11" t="inlineStr">
        <is>
          <t>99 / 0</t>
        </is>
      </c>
      <c r="D29" s="11" t="n">
        <v>73</v>
      </c>
      <c r="E29" s="12" t="n">
        <v>12675814</v>
      </c>
      <c r="F29" s="11" t="n">
        <v>0</v>
      </c>
      <c r="G29" s="12" t="n">
        <v>0</v>
      </c>
      <c r="H29" s="11" t="n">
        <v>73</v>
      </c>
      <c r="I29" s="12" t="n">
        <v>12675813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Uber India</t>
        </is>
      </c>
      <c r="B30" s="5">
        <f>HYPERLINK("https://docs.google.com/spreadsheets/d/1L6StDXDjdR26l_bIqRRH150B1rTeT9pHk76JKkG3rqw/edit","open ↗")</f>
        <v/>
      </c>
      <c r="C30" s="6" t="inlineStr">
        <is>
          <t>6 / 10</t>
        </is>
      </c>
      <c r="D30" s="6" t="n">
        <v>83</v>
      </c>
      <c r="E30" s="7" t="n">
        <v>14879980</v>
      </c>
      <c r="F30" s="6" t="n">
        <v>0</v>
      </c>
      <c r="G30" s="7" t="n">
        <v>0</v>
      </c>
      <c r="H30" s="6" t="n">
        <v>83</v>
      </c>
      <c r="I30" s="7" t="n">
        <v>14879980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Yassir</t>
        </is>
      </c>
      <c r="B31" s="10">
        <f>HYPERLINK("https://docs.google.com/spreadsheets/d/1ba9Zpap5hPAehDKFHgk2PwRq4xStr2rx_z1LGSY52Q4/edit","open ↗")</f>
        <v/>
      </c>
      <c r="C31" s="11" t="inlineStr">
        <is>
          <t>6 / 20</t>
        </is>
      </c>
      <c r="D31" s="11" t="n">
        <v>34</v>
      </c>
      <c r="E31" s="12" t="n">
        <v>10758663</v>
      </c>
      <c r="F31" s="11" t="n">
        <v>51</v>
      </c>
      <c r="G31" s="12" t="n">
        <v>0</v>
      </c>
      <c r="H31" s="11" t="n">
        <v>85</v>
      </c>
      <c r="I31" s="12" t="n">
        <v>10758663</v>
      </c>
      <c r="J31" s="13" t="inlineStr">
        <is>
          <t>Unit-economics transparent sheet — see agg rollup when present.</t>
        </is>
      </c>
    </row>
    <row r="32" ht="30" customHeight="1">
      <c r="A32" s="14" t="inlineStr">
        <is>
          <t>PORTFOLIO (gross)</t>
        </is>
      </c>
      <c r="B32" s="15" t="inlineStr"/>
      <c r="C32" s="15" t="inlineStr"/>
      <c r="D32" s="16">
        <f>SUM(D4:D31)</f>
        <v/>
      </c>
      <c r="E32" s="17">
        <f>SUM(E4:E31)</f>
        <v/>
      </c>
      <c r="F32" s="16">
        <f>SUM(F4:F31)</f>
        <v/>
      </c>
      <c r="G32" s="17">
        <f>SUM(G4:G31)</f>
        <v/>
      </c>
      <c r="H32" s="16">
        <f>SUM(H4:H31)</f>
        <v/>
      </c>
      <c r="I32" s="17">
        <f>SUM(I4:I31)</f>
        <v/>
      </c>
      <c r="J32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fallbacks — localized energy, crew, berth admin on Country opex tab)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Utilization scenarios  (load factor + revenue-leg factor)</t>
        </is>
      </c>
    </row>
    <row r="33">
      <c r="A33" s="21" t="inlineStr">
        <is>
          <t>Scenario</t>
        </is>
      </c>
      <c r="B33" s="21" t="inlineStr">
        <is>
          <t>Load factor</t>
        </is>
      </c>
      <c r="C33" s="21" t="inlineStr">
        <is>
          <t>Rev-leg factor</t>
        </is>
      </c>
      <c r="D33" s="21" t="n"/>
      <c r="E33" s="21" t="n"/>
      <c r="F33" s="21" t="inlineStr">
        <is>
          <t>Note</t>
        </is>
      </c>
    </row>
    <row r="34">
      <c r="A34" s="28" t="inlineStr">
        <is>
          <t>THIN</t>
        </is>
      </c>
      <c r="B34" s="29" t="n">
        <v>0.45</v>
      </c>
      <c r="C34" s="29" t="n">
        <v>0.55</v>
      </c>
      <c r="F34" s="13" t="inlineStr">
        <is>
          <t>thin/one-way/seasonal corridor — conservative floor</t>
        </is>
      </c>
    </row>
    <row r="35">
      <c r="A35" s="28" t="inlineStr">
        <is>
          <t>MID</t>
        </is>
      </c>
      <c r="B35" s="29" t="n">
        <v>0.55</v>
      </c>
      <c r="C35" s="29" t="n">
        <v>0.65</v>
      </c>
      <c r="F35" s="13" t="inlineStr">
        <is>
          <t>HEADLINE — realistic busy two-way corridor</t>
        </is>
      </c>
    </row>
    <row r="36">
      <c r="A36" s="28" t="inlineStr">
        <is>
          <t>FULL</t>
        </is>
      </c>
      <c r="B36" s="29" t="n">
        <v>0.7</v>
      </c>
      <c r="C36" s="29" t="n">
        <v>0.75</v>
      </c>
      <c r="F36" s="13" t="inlineStr">
        <is>
          <t>mature/dense corridor — optimistic ceiling</t>
        </is>
      </c>
    </row>
    <row r="37"/>
    <row r="38">
      <c r="A38" s="30" t="inlineStr">
        <is>
          <t>SCENARIO (toggle me)</t>
        </is>
      </c>
      <c r="B38" s="31" t="inlineStr">
        <is>
          <t>MID</t>
        </is>
      </c>
      <c r="C38" s="32" t="inlineStr">
        <is>
          <t>← set THIN / MID / FULL</t>
        </is>
      </c>
    </row>
    <row r="39">
      <c r="A39" s="22" t="inlineStr">
        <is>
          <t>Selected load factor</t>
        </is>
      </c>
      <c r="B39" s="33">
        <f>VLOOKUP(scenario,'Assumptions'!$A$34:$C$36,2,FALSE)</f>
        <v/>
      </c>
    </row>
    <row r="40">
      <c r="A40" s="22" t="inlineStr">
        <is>
          <t>Selected rev-leg factor</t>
        </is>
      </c>
      <c r="B40" s="3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Cambodia</t>
        </is>
      </c>
      <c r="B11" s="35" t="n">
        <v>11000</v>
      </c>
      <c r="C11" s="36" t="n">
        <v>0.15</v>
      </c>
      <c r="D11" s="29" t="n">
        <v>0.6</v>
      </c>
      <c r="E11" s="35" t="n">
        <v>9000</v>
      </c>
      <c r="F11" s="29" t="n">
        <v>0.42</v>
      </c>
      <c r="G11" s="35" t="n">
        <v>600000</v>
      </c>
      <c r="H11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2">
      <c r="A12" s="9" t="inlineStr">
        <is>
          <t>Colombia</t>
        </is>
      </c>
      <c r="B12" s="35" t="n">
        <v>14000</v>
      </c>
      <c r="C12" s="36" t="n">
        <v>0.15</v>
      </c>
      <c r="D12" s="29" t="n">
        <v>0.2</v>
      </c>
      <c r="E12" s="35" t="n">
        <v>10000</v>
      </c>
      <c r="F12" s="29" t="n">
        <v>0.42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Croatia</t>
        </is>
      </c>
      <c r="B13" s="35" t="n">
        <v>28000</v>
      </c>
      <c r="C13" s="36" t="n">
        <v>0.15</v>
      </c>
      <c r="D13" s="29" t="n">
        <v>0.2</v>
      </c>
      <c r="E13" s="35" t="n">
        <v>16000</v>
      </c>
      <c r="F13" s="29" t="n">
        <v>0.6</v>
      </c>
      <c r="G13" s="35" t="n">
        <v>900000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Curaçao</t>
        </is>
      </c>
      <c r="B14" s="35" t="n">
        <v>40000</v>
      </c>
      <c r="C14" s="36" t="n">
        <v>0.35</v>
      </c>
      <c r="D14" s="29" t="n">
        <v>0.6</v>
      </c>
      <c r="E14" s="35" t="n">
        <v>18000</v>
      </c>
      <c r="F14" s="29" t="n">
        <v>0.78</v>
      </c>
      <c r="G14" s="35" t="n">
        <v>600000</v>
      </c>
      <c r="H14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5">
      <c r="A15" s="9" t="inlineStr">
        <is>
          <t>Cyprus</t>
        </is>
      </c>
      <c r="B15" s="35" t="n">
        <v>34000</v>
      </c>
      <c r="C15" s="36" t="n">
        <v>0.26</v>
      </c>
      <c r="D15" s="29" t="n">
        <v>0.6</v>
      </c>
      <c r="E15" s="35" t="n">
        <v>22000</v>
      </c>
      <c r="F15" s="29" t="n">
        <v>0.72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Côte d'Ivoire</t>
        </is>
      </c>
      <c r="B16" s="35" t="n">
        <v>12000</v>
      </c>
      <c r="C16" s="36" t="n">
        <v>0.13</v>
      </c>
      <c r="D16" s="29" t="n">
        <v>0.4</v>
      </c>
      <c r="E16" s="35" t="n">
        <v>8000</v>
      </c>
      <c r="F16" s="29" t="n">
        <v>0.3</v>
      </c>
      <c r="G16" s="35" t="n">
        <v>600000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Egypt</t>
        </is>
      </c>
      <c r="B17" s="35" t="n">
        <v>12000</v>
      </c>
      <c r="C17" s="36" t="n">
        <v>0.06</v>
      </c>
      <c r="D17" s="29" t="n">
        <v>0.45</v>
      </c>
      <c r="E17" s="35" t="n">
        <v>8000</v>
      </c>
      <c r="F17" s="29" t="n">
        <v>0.3</v>
      </c>
      <c r="G17" s="35" t="n">
        <v>600000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Estonia</t>
        </is>
      </c>
      <c r="B18" s="35" t="n">
        <v>30000</v>
      </c>
      <c r="C18" s="36" t="n">
        <v>0.16</v>
      </c>
      <c r="D18" s="29" t="n">
        <v>0.45</v>
      </c>
      <c r="E18" s="35" t="n">
        <v>14000</v>
      </c>
      <c r="F18" s="29" t="n">
        <v>0.65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Finland</t>
        </is>
      </c>
      <c r="B19" s="35" t="n">
        <v>55000</v>
      </c>
      <c r="C19" s="36" t="n">
        <v>0.14</v>
      </c>
      <c r="D19" s="29" t="n">
        <v>0.08</v>
      </c>
      <c r="E19" s="35" t="n">
        <v>18000</v>
      </c>
      <c r="F19" s="29" t="n">
        <v>1.15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France</t>
        </is>
      </c>
      <c r="B20" s="35" t="n">
        <v>55000</v>
      </c>
      <c r="C20" s="36" t="n">
        <v>0.2</v>
      </c>
      <c r="D20" s="29" t="n">
        <v>0.06</v>
      </c>
      <c r="E20" s="35" t="n">
        <v>30000</v>
      </c>
      <c r="F20" s="29" t="n">
        <v>1.15</v>
      </c>
      <c r="G20" s="35" t="n">
        <v>900000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French Polynesia</t>
        </is>
      </c>
      <c r="B21" s="35" t="n">
        <v>55000</v>
      </c>
      <c r="C21" s="36" t="n">
        <v>0.32</v>
      </c>
      <c r="D21" s="29" t="n">
        <v>0.58</v>
      </c>
      <c r="E21" s="35" t="n">
        <v>18000</v>
      </c>
      <c r="F21" s="29" t="n">
        <v>0.9</v>
      </c>
      <c r="G21" s="35" t="n">
        <v>600000</v>
      </c>
      <c r="H21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2">
      <c r="A22" s="9" t="inlineStr">
        <is>
          <t>Greece</t>
        </is>
      </c>
      <c r="B22" s="35" t="n">
        <v>32000</v>
      </c>
      <c r="C22" s="36" t="n">
        <v>0.19</v>
      </c>
      <c r="D22" s="29" t="n">
        <v>0.4</v>
      </c>
      <c r="E22" s="35" t="n">
        <v>18000</v>
      </c>
      <c r="F22" s="29" t="n">
        <v>0.7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India</t>
        </is>
      </c>
      <c r="B23" s="35" t="n">
        <v>19000</v>
      </c>
      <c r="C23" s="36" t="n">
        <v>0.08500000000000001</v>
      </c>
      <c r="D23" s="29" t="n">
        <v>0.727</v>
      </c>
      <c r="E23" s="35" t="n">
        <v>10000</v>
      </c>
      <c r="F23" s="29" t="n">
        <v>0.5</v>
      </c>
      <c r="G23" s="35" t="n">
        <v>600000</v>
      </c>
      <c r="H23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4">
      <c r="A24" s="9" t="inlineStr">
        <is>
          <t>Indonesia</t>
        </is>
      </c>
      <c r="B24" s="35" t="n">
        <v>12000</v>
      </c>
      <c r="C24" s="36" t="n">
        <v>0.07000000000000001</v>
      </c>
      <c r="D24" s="29" t="n">
        <v>0.75</v>
      </c>
      <c r="E24" s="35" t="n">
        <v>10000</v>
      </c>
      <c r="F24" s="29" t="n">
        <v>0.45</v>
      </c>
      <c r="G24" s="35" t="n">
        <v>600000</v>
      </c>
      <c r="H24" s="13" t="inlineStr">
        <is>
          <t>Blended local crew; ERI pro $23k vs informal local | PLN business IDR 1,114/kWh = $0.07 | Modeled | CAPEX LB-243 US/EU=$900K else $600K</t>
        </is>
      </c>
    </row>
    <row r="25">
      <c r="A25" s="9" t="inlineStr">
        <is>
          <t>Ireland</t>
        </is>
      </c>
      <c r="B25" s="35" t="n">
        <v>55000</v>
      </c>
      <c r="C25" s="36" t="n">
        <v>0.27</v>
      </c>
      <c r="D25" s="29" t="n">
        <v>0.33</v>
      </c>
      <c r="E25" s="35" t="n">
        <v>22000</v>
      </c>
      <c r="F25" s="29" t="n">
        <v>1.15</v>
      </c>
      <c r="G25" s="35" t="n">
        <v>900000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Israel</t>
        </is>
      </c>
      <c r="B26" s="35" t="n">
        <v>50000</v>
      </c>
      <c r="C26" s="36" t="n">
        <v>0.16</v>
      </c>
      <c r="D26" s="29" t="n">
        <v>0.55</v>
      </c>
      <c r="E26" s="35" t="n">
        <v>20000</v>
      </c>
      <c r="F26" s="29" t="n">
        <v>1.05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Italy</t>
        </is>
      </c>
      <c r="B27" s="35" t="n">
        <v>48000</v>
      </c>
      <c r="C27" s="36" t="n">
        <v>0.28</v>
      </c>
      <c r="D27" s="29" t="n">
        <v>0.33</v>
      </c>
      <c r="E27" s="35" t="n">
        <v>26000</v>
      </c>
      <c r="F27" s="29" t="n">
        <v>1</v>
      </c>
      <c r="G27" s="35" t="n">
        <v>900000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Kazakhstan</t>
        </is>
      </c>
      <c r="B28" s="35" t="n">
        <v>14000</v>
      </c>
      <c r="C28" s="36" t="n">
        <v>0.06</v>
      </c>
      <c r="D28" s="29" t="n">
        <v>0.55</v>
      </c>
      <c r="E28" s="35" t="n">
        <v>8000</v>
      </c>
      <c r="F28" s="29" t="n">
        <v>0.35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Lebanon</t>
        </is>
      </c>
      <c r="B29" s="35" t="n">
        <v>20000</v>
      </c>
      <c r="C29" s="36" t="n">
        <v>0.2</v>
      </c>
      <c r="D29" s="29" t="n">
        <v>0.6</v>
      </c>
      <c r="E29" s="35" t="n">
        <v>12000</v>
      </c>
      <c r="F29" s="29" t="n">
        <v>0.45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Malaysia</t>
        </is>
      </c>
      <c r="B30" s="35" t="n">
        <v>17000</v>
      </c>
      <c r="C30" s="36" t="n">
        <v>0.1</v>
      </c>
      <c r="D30" s="29" t="n">
        <v>0.7</v>
      </c>
      <c r="E30" s="35" t="n">
        <v>11000</v>
      </c>
      <c r="F30" s="29" t="n">
        <v>0.55</v>
      </c>
      <c r="G30" s="35" t="n">
        <v>600000</v>
      </c>
      <c r="H30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1">
      <c r="A31" s="9" t="inlineStr">
        <is>
          <t>Maldives</t>
        </is>
      </c>
      <c r="B31" s="35" t="n">
        <v>27000</v>
      </c>
      <c r="C31" s="36" t="n">
        <v>0.3</v>
      </c>
      <c r="D31" s="29" t="n">
        <v>0.72</v>
      </c>
      <c r="E31" s="35" t="n">
        <v>16000</v>
      </c>
      <c r="F31" s="29" t="n">
        <v>0.63</v>
      </c>
      <c r="G31" s="35" t="n">
        <v>600000</v>
      </c>
      <c r="H31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2">
      <c r="A32" s="9" t="inlineStr">
        <is>
          <t>Morocco</t>
        </is>
      </c>
      <c r="B32" s="35" t="n">
        <v>14000</v>
      </c>
      <c r="C32" s="36" t="n">
        <v>0.12</v>
      </c>
      <c r="D32" s="29" t="n">
        <v>0.6</v>
      </c>
      <c r="E32" s="35" t="n">
        <v>10000</v>
      </c>
      <c r="F32" s="29" t="n">
        <v>0.38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Mozambique</t>
        </is>
      </c>
      <c r="B33" s="35" t="n">
        <v>10000</v>
      </c>
      <c r="C33" s="36" t="n">
        <v>0.1</v>
      </c>
      <c r="D33" s="29" t="n">
        <v>0.1</v>
      </c>
      <c r="E33" s="35" t="n">
        <v>7000</v>
      </c>
      <c r="F33" s="29" t="n">
        <v>0.28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Pakistan</t>
        </is>
      </c>
      <c r="B34" s="35" t="n">
        <v>10000</v>
      </c>
      <c r="C34" s="36" t="n">
        <v>0.12</v>
      </c>
      <c r="D34" s="29" t="n">
        <v>0.4</v>
      </c>
      <c r="E34" s="35" t="n">
        <v>7000</v>
      </c>
      <c r="F34" s="29" t="n">
        <v>0.25</v>
      </c>
      <c r="G34" s="35" t="n">
        <v>600000</v>
      </c>
      <c r="H3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5">
      <c r="A35" s="9" t="inlineStr">
        <is>
          <t>Peru</t>
        </is>
      </c>
      <c r="B35" s="35" t="n">
        <v>14000</v>
      </c>
      <c r="C35" s="36" t="n">
        <v>0.13</v>
      </c>
      <c r="D35" s="29" t="n">
        <v>0.25</v>
      </c>
      <c r="E35" s="35" t="n">
        <v>10000</v>
      </c>
      <c r="F35" s="29" t="n">
        <v>0.45</v>
      </c>
      <c r="G35" s="35" t="n">
        <v>600000</v>
      </c>
      <c r="H3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6">
      <c r="A36" s="9" t="inlineStr">
        <is>
          <t>Philippines</t>
        </is>
      </c>
      <c r="B36" s="35" t="n">
        <v>15000</v>
      </c>
      <c r="C36" s="36" t="n">
        <v>0.2</v>
      </c>
      <c r="D36" s="29" t="n">
        <v>0.68</v>
      </c>
      <c r="E36" s="35" t="n">
        <v>10000</v>
      </c>
      <c r="F36" s="29" t="n">
        <v>0.5</v>
      </c>
      <c r="G36" s="35" t="n">
        <v>600000</v>
      </c>
      <c r="H36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7">
      <c r="A37" s="9" t="inlineStr">
        <is>
          <t>Portugal</t>
        </is>
      </c>
      <c r="B37" s="35" t="n">
        <v>30000</v>
      </c>
      <c r="C37" s="36" t="n">
        <v>0.18</v>
      </c>
      <c r="D37" s="29" t="n">
        <v>0.2</v>
      </c>
      <c r="E37" s="35" t="n">
        <v>16000</v>
      </c>
      <c r="F37" s="29" t="n">
        <v>0.65</v>
      </c>
      <c r="G37" s="35" t="n">
        <v>900000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Puerto Rico</t>
        </is>
      </c>
      <c r="B38" s="35" t="n">
        <v>52000</v>
      </c>
      <c r="C38" s="36" t="n">
        <v>0.26</v>
      </c>
      <c r="D38" s="29" t="n">
        <v>0.62</v>
      </c>
      <c r="E38" s="35" t="n">
        <v>24000</v>
      </c>
      <c r="F38" s="29" t="n">
        <v>0.92</v>
      </c>
      <c r="G38" s="35" t="n">
        <v>600000</v>
      </c>
      <c r="H38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9">
      <c r="A39" s="9" t="inlineStr">
        <is>
          <t>Qatar</t>
        </is>
      </c>
      <c r="B39" s="35" t="n">
        <v>43000</v>
      </c>
      <c r="C39" s="36" t="n">
        <v>0.036</v>
      </c>
      <c r="D39" s="29" t="n">
        <v>0.49</v>
      </c>
      <c r="E39" s="35" t="n">
        <v>20000</v>
      </c>
      <c r="F39" s="29" t="n">
        <v>0.7</v>
      </c>
      <c r="G39" s="35" t="n">
        <v>600000</v>
      </c>
      <c r="H39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0">
      <c r="A40" s="9" t="inlineStr">
        <is>
          <t>Romania</t>
        </is>
      </c>
      <c r="B40" s="35" t="n">
        <v>22000</v>
      </c>
      <c r="C40" s="36" t="n">
        <v>0.16</v>
      </c>
      <c r="D40" s="29" t="n">
        <v>0.26</v>
      </c>
      <c r="E40" s="35" t="n">
        <v>12000</v>
      </c>
      <c r="F40" s="29" t="n">
        <v>0.5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Saudi Arabia</t>
        </is>
      </c>
      <c r="B41" s="35" t="n">
        <v>42000</v>
      </c>
      <c r="C41" s="36" t="n">
        <v>0.074</v>
      </c>
      <c r="D41" s="29" t="n">
        <v>0.57</v>
      </c>
      <c r="E41" s="35" t="n">
        <v>18000</v>
      </c>
      <c r="F41" s="29" t="n">
        <v>0.68</v>
      </c>
      <c r="G41" s="35" t="n">
        <v>600000</v>
      </c>
      <c r="H41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2">
      <c r="A42" s="9" t="inlineStr">
        <is>
          <t>Senegal</t>
        </is>
      </c>
      <c r="B42" s="35" t="n">
        <v>12000</v>
      </c>
      <c r="C42" s="36" t="n">
        <v>0.18</v>
      </c>
      <c r="D42" s="29" t="n">
        <v>0.55</v>
      </c>
      <c r="E42" s="35" t="n">
        <v>8000</v>
      </c>
      <c r="F42" s="29" t="n">
        <v>0.32</v>
      </c>
      <c r="G42" s="35" t="n">
        <v>600000</v>
      </c>
      <c r="H4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3">
      <c r="A43" s="9" t="inlineStr">
        <is>
          <t>Singapore</t>
        </is>
      </c>
      <c r="B43" s="35" t="n">
        <v>48000</v>
      </c>
      <c r="C43" s="36" t="n">
        <v>0.21</v>
      </c>
      <c r="D43" s="29" t="n">
        <v>0.4</v>
      </c>
      <c r="E43" s="35" t="n">
        <v>20000</v>
      </c>
      <c r="F43" s="29" t="n">
        <v>1</v>
      </c>
      <c r="G43" s="35" t="n">
        <v>600000</v>
      </c>
      <c r="H43" s="13" t="inlineStr">
        <is>
          <t>Modeled SG marine crew ~SGD 4-5k/mo blended | SG regulated tariff 28.1c SGD = $0.21 | SG high-cost berth modeled | CAPEX LB-243 US/EU=$900K else $600K</t>
        </is>
      </c>
    </row>
    <row r="44">
      <c r="A44" s="9" t="inlineStr">
        <is>
          <t>Spain</t>
        </is>
      </c>
      <c r="B44" s="35" t="n">
        <v>38000</v>
      </c>
      <c r="C44" s="36" t="n">
        <v>0.18</v>
      </c>
      <c r="D44" s="29" t="n">
        <v>0.19</v>
      </c>
      <c r="E44" s="35" t="n">
        <v>20000</v>
      </c>
      <c r="F44" s="29" t="n">
        <v>0.8</v>
      </c>
      <c r="G44" s="35" t="n">
        <v>900000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Sweden</t>
        </is>
      </c>
      <c r="B45" s="35" t="n">
        <v>58000</v>
      </c>
      <c r="C45" s="36" t="n">
        <v>0.13</v>
      </c>
      <c r="D45" s="29" t="n">
        <v>0.04</v>
      </c>
      <c r="E45" s="35" t="n">
        <v>22000</v>
      </c>
      <c r="F45" s="29" t="n">
        <v>1.2</v>
      </c>
      <c r="G45" s="35" t="n">
        <v>900000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Taiwan</t>
        </is>
      </c>
      <c r="B46" s="35" t="n">
        <v>38000</v>
      </c>
      <c r="C46" s="36" t="n">
        <v>0.18</v>
      </c>
      <c r="D46" s="29" t="n">
        <v>0.46</v>
      </c>
      <c r="E46" s="35" t="n">
        <v>14000</v>
      </c>
      <c r="F46" s="29" t="n">
        <v>0.72</v>
      </c>
      <c r="G46" s="35" t="n">
        <v>600000</v>
      </c>
      <c r="H46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7">
      <c r="A47" s="9" t="inlineStr">
        <is>
          <t>Thailand</t>
        </is>
      </c>
      <c r="B47" s="35" t="n">
        <v>24000</v>
      </c>
      <c r="C47" s="36" t="n">
        <v>0.116</v>
      </c>
      <c r="D47" s="29" t="n">
        <v>0.5</v>
      </c>
      <c r="E47" s="35" t="n">
        <v>12000</v>
      </c>
      <c r="F47" s="29" t="n">
        <v>0.55</v>
      </c>
      <c r="G47" s="35" t="n">
        <v>600000</v>
      </c>
      <c r="H47" s="13" t="inlineStr">
        <is>
          <t>ERI Thailand boat captain ~876k THB/yr | MEA/PEA business tariff ~4.18 THB/kWh | Modeled Phuket marine ops | CAPEX LB-243 US/EU=$900K else $600K</t>
        </is>
      </c>
    </row>
    <row r="48">
      <c r="A48" s="9" t="inlineStr">
        <is>
          <t>Tunisia</t>
        </is>
      </c>
      <c r="B48" s="35" t="n">
        <v>14000</v>
      </c>
      <c r="C48" s="36" t="n">
        <v>0.1</v>
      </c>
      <c r="D48" s="29" t="n">
        <v>0.45</v>
      </c>
      <c r="E48" s="35" t="n">
        <v>9000</v>
      </c>
      <c r="F48" s="29" t="n">
        <v>0.35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U.S. Virgin Islands</t>
        </is>
      </c>
      <c r="B49" s="35" t="n">
        <v>56000</v>
      </c>
      <c r="C49" s="36" t="n">
        <v>0.36</v>
      </c>
      <c r="D49" s="29" t="n">
        <v>0.72</v>
      </c>
      <c r="E49" s="35" t="n">
        <v>30000</v>
      </c>
      <c r="F49" s="29" t="n">
        <v>1.02</v>
      </c>
      <c r="G49" s="35" t="n">
        <v>600000</v>
      </c>
      <c r="H49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0">
      <c r="A50" s="9" t="inlineStr">
        <is>
          <t>United Arab Emirates</t>
        </is>
      </c>
      <c r="B50" s="35" t="n">
        <v>40000</v>
      </c>
      <c r="C50" s="36" t="n">
        <v>0.08500000000000001</v>
      </c>
      <c r="D50" s="29" t="n">
        <v>0.4</v>
      </c>
      <c r="E50" s="35" t="n">
        <v>22000</v>
      </c>
      <c r="F50" s="29" t="n">
        <v>0.74</v>
      </c>
      <c r="G50" s="35" t="n">
        <v>600000</v>
      </c>
      <c r="H50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1">
      <c r="A51" s="9" t="inlineStr">
        <is>
          <t>Vietnam</t>
        </is>
      </c>
      <c r="B51" s="35" t="n">
        <v>14000</v>
      </c>
      <c r="C51" s="36" t="n">
        <v>0.12</v>
      </c>
      <c r="D51" s="29" t="n">
        <v>0.66</v>
      </c>
      <c r="E51" s="35" t="n">
        <v>9000</v>
      </c>
      <c r="F51" s="29" t="n">
        <v>0.45</v>
      </c>
      <c r="G51" s="35" t="n">
        <v>600000</v>
      </c>
      <c r="H51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73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2" customWidth="1" min="26" max="26"/>
    <col width="9" customWidth="1" min="27" max="27"/>
    <col width="12" customWidth="1" min="28" max="28"/>
    <col width="12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4" customWidth="1" min="46" max="46"/>
    <col width="16" customWidth="1" min="47" max="47"/>
    <col width="16" customWidth="1" min="48" max="48"/>
    <col width="9" customWidth="1" min="49" max="49"/>
    <col width="9" customWidth="1" min="50" max="50"/>
    <col width="9" customWidth="1" min="51" max="51"/>
    <col width="9" customWidth="1" min="52" max="52"/>
    <col width="50" customWidth="1" min="53" max="53"/>
    <col width="50" customWidth="1" min="54" max="54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Berth &amp; port admin/yr</t>
        </is>
      </c>
      <c r="AA3" s="34" t="inlineStr">
        <is>
          <t>Maint/yr</t>
        </is>
      </c>
      <c r="AB3" s="34" t="inlineStr">
        <is>
          <t>Vessel insurance/yr</t>
        </is>
      </c>
      <c r="AC3" s="34" t="inlineStr">
        <is>
          <t>Fast-charge 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Floor bucket (aggregate status)</t>
        </is>
      </c>
      <c r="AU3" s="34" t="inlineStr">
        <is>
          <t>Forward SAM (2030-dated; held OUT of grounded floor)</t>
        </is>
      </c>
      <c r="AV3" s="34" t="inlineStr">
        <is>
          <t>Upside tier (LB-99; held OUT of grounded floor)</t>
        </is>
      </c>
      <c r="AW3" s="34" t="inlineStr">
        <is>
          <t>Fleet ceiling (captive villas/25)</t>
        </is>
      </c>
      <c r="AX3" s="34" t="inlineStr">
        <is>
          <t>Payback THIN</t>
        </is>
      </c>
      <c r="AY3" s="34" t="inlineStr">
        <is>
          <t>Payback MID</t>
        </is>
      </c>
      <c r="AZ3" s="34" t="inlineStr">
        <is>
          <t>Payback FULL</t>
        </is>
      </c>
      <c r="BA3" s="34" t="inlineStr">
        <is>
          <t>Fare source (provenance)</t>
        </is>
      </c>
      <c r="BB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Port of Annaba (Môle Cigogne / Quai Nord) → Annaba Corniche — Plage Rizi Amor / Saint-Cloud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2.1</v>
      </c>
      <c r="H4" s="35" t="n"/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/>
      <c r="AK4" s="43" t="n"/>
      <c r="AL4" s="43" t="n"/>
      <c r="AM4" s="50" t="n">
        <v>0.1</v>
      </c>
      <c r="AN4" s="45">
        <f>IF(AJ4="","",AJ4*AM4)</f>
        <v/>
      </c>
      <c r="AO4" s="45">
        <f>IF(OR(AJ4="",U4=0),"",MIN(IF(AW4="",9.9E+99,AW4),FLOOR(AN4/U4,1)))</f>
        <v/>
      </c>
      <c r="AP4" s="49">
        <f>IF(AO4="","",AO4*W4)</f>
        <v/>
      </c>
      <c r="AQ4" s="47">
        <f>IF(OR(AJ4="",U4=0),"",MIN(IF(AW4="",9.9E+99,AW4),AN4/U4))</f>
        <v/>
      </c>
      <c r="AR4" s="49">
        <f>IF(AQ4="","",AQ4*W4)</f>
        <v/>
      </c>
      <c r="AS4" s="51" t="n"/>
      <c r="AT4" s="43" t="inlineStr">
        <is>
          <t>Estimated</t>
        </is>
      </c>
      <c r="AU4" s="52" t="n"/>
      <c r="AV4" s="52" t="n"/>
      <c r="AW4" s="53" t="n"/>
      <c r="AX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Y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Z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BA4" s="40" t="n"/>
      <c r="BB4" s="40" t="n"/>
    </row>
    <row r="5">
      <c r="A5" s="38" t="inlineStr">
        <is>
          <t>Yassir Algeria</t>
        </is>
      </c>
      <c r="B5" s="38" t="inlineStr">
        <is>
          <t>Algeria</t>
        </is>
      </c>
      <c r="C5" s="39" t="inlineStr">
        <is>
          <t>Gare Maritime / Port d'Oran → Ain El Turck / Kristel waterfront</t>
        </is>
      </c>
      <c r="D5" s="38" t="inlineStr">
        <is>
          <t>yassir</t>
        </is>
      </c>
      <c r="E5" s="40" t="inlineStr">
        <is>
          <t>yassir-algeria</t>
        </is>
      </c>
      <c r="F5" s="41" t="n">
        <v>1</v>
      </c>
      <c r="G5" s="42" t="n">
        <v>2.3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IF(OR(AJ5="",U5=0),"",MIN(IF(AW5="",9.9E+99,AW5),FLOOR(AN5/U5,1)))</f>
        <v/>
      </c>
      <c r="AP5" s="49">
        <f>IF(AO5="","",AO5*W5)</f>
        <v/>
      </c>
      <c r="AQ5" s="47">
        <f>IF(OR(AJ5="",U5=0),"",MIN(IF(AW5="",9.9E+99,AW5),AN5/U5))</f>
        <v/>
      </c>
      <c r="AR5" s="49">
        <f>IF(AQ5="","",AQ5*W5)</f>
        <v/>
      </c>
      <c r="AS5" s="51" t="n"/>
      <c r="AT5" s="43" t="inlineStr">
        <is>
          <t>Estimated</t>
        </is>
      </c>
      <c r="AU5" s="52" t="n"/>
      <c r="AV5" s="52" t="n"/>
      <c r="AW5" s="53" t="n"/>
      <c r="AX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Y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Z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BA5" s="40" t="n"/>
      <c r="BB5" s="40" t="n"/>
    </row>
    <row r="6">
      <c r="A6" s="38" t="inlineStr">
        <is>
          <t>Yassir Algeria</t>
        </is>
      </c>
      <c r="B6" s="38" t="inlineStr">
        <is>
          <t>Algeria</t>
        </is>
      </c>
      <c r="C6" s="39" t="inlineStr">
        <is>
          <t>La Pêcherie / Port d'Alger → El Djamila / Aïn Bénian</t>
        </is>
      </c>
      <c r="D6" s="38" t="inlineStr">
        <is>
          <t>yassir</t>
        </is>
      </c>
      <c r="E6" s="40" t="inlineStr">
        <is>
          <t>yassir-algeria</t>
        </is>
      </c>
      <c r="F6" s="41" t="n">
        <v>1</v>
      </c>
      <c r="G6" s="42" t="n">
        <v>8.5</v>
      </c>
      <c r="H6" s="35" t="n">
        <v>18</v>
      </c>
      <c r="I6" s="43" t="n"/>
      <c r="J6" s="43" t="n"/>
      <c r="K6" s="29" t="n">
        <v>1</v>
      </c>
      <c r="L6" s="44">
        <f>60*G6/cruise_kt</f>
        <v/>
      </c>
      <c r="M6" s="44">
        <f>L6+turn_min+dwell_min</f>
        <v/>
      </c>
      <c r="N6" s="45">
        <f>MIN(15,FLOOR(60*service_hr/M6,1))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170280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IF(OR(AJ6="",U6=0),"",MIN(IF(AW6="",9.9E+99,AW6),FLOOR(AN6/U6,1)))</f>
        <v/>
      </c>
      <c r="AP6" s="49">
        <f>IF(AO6="","",AO6*W6)</f>
        <v/>
      </c>
      <c r="AQ6" s="47">
        <f>IF(OR(AJ6="",U6=0),"",MIN(IF(AW6="",9.9E+99,AW6),AN6/U6))</f>
        <v/>
      </c>
      <c r="AR6" s="49">
        <f>IF(AQ6="","",AQ6*W6)</f>
        <v/>
      </c>
      <c r="AS6" s="51" t="n"/>
      <c r="AT6" s="43" t="inlineStr">
        <is>
          <t>Grounded</t>
        </is>
      </c>
      <c r="AU6" s="52" t="n"/>
      <c r="AV6" s="52" t="n"/>
      <c r="AW6" s="53" t="n"/>
      <c r="AX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Y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Z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BA6" s="40" t="inlineStr">
        <is>
          <t xml:space="preserve">[LB-255 PREMIUM RE-FARE: subsidized comparable $3.7 lifted to premium on-demand floor $18.0] </t>
        </is>
      </c>
      <c r="BB6" s="40" t="n"/>
    </row>
    <row r="7">
      <c r="A7" s="38" t="inlineStr">
        <is>
          <t>Yassir Algeria</t>
        </is>
      </c>
      <c r="B7" s="38" t="inlineStr">
        <is>
          <t>Algeria</t>
        </is>
      </c>
      <c r="C7" s="39" t="inlineStr">
        <is>
          <t>La Pêcherie / Port d'Alger / Gare Maritime → Tamentfoust (east bay harbour)</t>
        </is>
      </c>
      <c r="D7" s="38" t="inlineStr">
        <is>
          <t>yassir</t>
        </is>
      </c>
      <c r="E7" s="40" t="inlineStr">
        <is>
          <t>yassir-algeria</t>
        </is>
      </c>
      <c r="F7" s="41" t="n">
        <v>1</v>
      </c>
      <c r="G7" s="42" t="n">
        <v>10.3</v>
      </c>
      <c r="H7" s="35" t="n"/>
      <c r="I7" s="43" t="n"/>
      <c r="J7" s="43" t="n"/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IF(OR(AJ7="",U7=0),"",MIN(IF(AW7="",9.9E+99,AW7),FLOOR(AN7/U7,1)))</f>
        <v/>
      </c>
      <c r="AP7" s="49">
        <f>IF(AO7="","",AO7*W7)</f>
        <v/>
      </c>
      <c r="AQ7" s="47">
        <f>IF(OR(AJ7="",U7=0),"",MIN(IF(AW7="",9.9E+99,AW7),AN7/U7))</f>
        <v/>
      </c>
      <c r="AR7" s="49">
        <f>IF(AQ7="","",AQ7*W7)</f>
        <v/>
      </c>
      <c r="AS7" s="51" t="n"/>
      <c r="AT7" s="43" t="inlineStr">
        <is>
          <t>Estimated</t>
        </is>
      </c>
      <c r="AU7" s="52" t="n"/>
      <c r="AV7" s="52" t="n"/>
      <c r="AW7" s="53" t="n"/>
      <c r="AX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Y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Z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BA7" s="40" t="n"/>
      <c r="BB7" s="40" t="n"/>
    </row>
    <row r="8">
      <c r="A8" s="38" t="inlineStr">
        <is>
          <t>Yassir Algeria</t>
        </is>
      </c>
      <c r="B8" s="38" t="inlineStr">
        <is>
          <t>Algeria</t>
        </is>
      </c>
      <c r="C8" s="39" t="inlineStr">
        <is>
          <t>Port de Sidi Fredj (marina) → El Djamila / Aïn Bénian</t>
        </is>
      </c>
      <c r="D8" s="38" t="inlineStr">
        <is>
          <t>yassir</t>
        </is>
      </c>
      <c r="E8" s="40" t="inlineStr">
        <is>
          <t>yassir-algeria</t>
        </is>
      </c>
      <c r="F8" s="41" t="n">
        <v>1</v>
      </c>
      <c r="G8" s="42" t="n">
        <v>13.8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L8+turn_min+dwell_min</f>
        <v/>
      </c>
      <c r="N8" s="45">
        <f>MIN(15,FLOOR(60*service_hr/M8,1))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n"/>
      <c r="AL8" s="43" t="n"/>
      <c r="AM8" s="50" t="n">
        <v>0.1</v>
      </c>
      <c r="AN8" s="45">
        <f>IF(AJ8="","",AJ8*AM8)</f>
        <v/>
      </c>
      <c r="AO8" s="45">
        <f>IF(OR(AJ8="",U8=0),"",MIN(IF(AW8="",9.9E+99,AW8),FLOOR(AN8/U8,1)))</f>
        <v/>
      </c>
      <c r="AP8" s="49">
        <f>IF(AO8="","",AO8*W8)</f>
        <v/>
      </c>
      <c r="AQ8" s="47">
        <f>IF(OR(AJ8="",U8=0),"",MIN(IF(AW8="",9.9E+99,AW8),AN8/U8))</f>
        <v/>
      </c>
      <c r="AR8" s="49">
        <f>IF(AQ8="","",AQ8*W8)</f>
        <v/>
      </c>
      <c r="AS8" s="51" t="n"/>
      <c r="AT8" s="43" t="inlineStr">
        <is>
          <t>Estimated</t>
        </is>
      </c>
      <c r="AU8" s="52" t="n"/>
      <c r="AV8" s="52" t="n"/>
      <c r="AW8" s="53" t="n"/>
      <c r="AX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Y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Z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BA8" s="40" t="n"/>
      <c r="BB8" s="40" t="n"/>
    </row>
    <row r="9">
      <c r="A9" s="38" t="inlineStr">
        <is>
          <t>Caribbean</t>
        </is>
      </c>
      <c r="B9" s="38" t="inlineStr">
        <is>
          <t>Aruba</t>
        </is>
      </c>
      <c r="C9" s="39" t="inlineStr">
        <is>
          <t>Queen Beatrix Airport waterfront (Aruba) → Palm Beach resort strip (Aruba)</t>
        </is>
      </c>
      <c r="D9" s="38" t="inlineStr">
        <is>
          <t>caribbean</t>
        </is>
      </c>
      <c r="E9" s="40" t="inlineStr">
        <is>
          <t>caribbean</t>
        </is>
      </c>
      <c r="F9" s="41" t="n">
        <v>1</v>
      </c>
      <c r="G9" s="42" t="n">
        <v>5</v>
      </c>
      <c r="H9" s="35" t="n">
        <v>45</v>
      </c>
      <c r="I9" s="43" t="inlineStr">
        <is>
          <t>T5</t>
        </is>
      </c>
      <c r="J9" s="43" t="inlineStr">
        <is>
          <t>low</t>
        </is>
      </c>
      <c r="K9" s="29" t="n">
        <v>0.9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/>
      <c r="AK9" s="43" t="n"/>
      <c r="AL9" s="43" t="n"/>
      <c r="AM9" s="50" t="n">
        <v>0.1</v>
      </c>
      <c r="AN9" s="45">
        <f>IF(AJ9="","",AJ9*AM9)</f>
        <v/>
      </c>
      <c r="AO9" s="45">
        <f>IF(OR(AJ9="",U9=0),"",MIN(IF(AW9="",9.9E+99,AW9),FLOOR(AN9/U9,1)))</f>
        <v/>
      </c>
      <c r="AP9" s="49">
        <f>IF(AO9="","",AO9*W9)</f>
        <v/>
      </c>
      <c r="AQ9" s="47">
        <f>IF(OR(AJ9="",U9=0),"",MIN(IF(AW9="",9.9E+99,AW9),AN9/U9))</f>
        <v/>
      </c>
      <c r="AR9" s="49">
        <f>IF(AQ9="","",AQ9*W9)</f>
        <v/>
      </c>
      <c r="AS9" s="51" t="n"/>
      <c r="AT9" s="43" t="inlineStr">
        <is>
          <t>Estimated</t>
        </is>
      </c>
      <c r="AU9" s="52" t="n"/>
      <c r="AV9" s="52" t="n"/>
      <c r="AW9" s="53" t="n"/>
      <c r="AX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Y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Z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BA9" s="40" t="inlineStr">
        <is>
          <t>MODELED premium air→resort transfer band. To be finalized in cascade.</t>
        </is>
      </c>
      <c r="BB9" s="40" t="n"/>
    </row>
    <row r="10">
      <c r="A10" s="38" t="inlineStr">
        <is>
          <t>Caribbean</t>
        </is>
      </c>
      <c r="B10" s="38" t="inlineStr">
        <is>
          <t>Aruba</t>
        </is>
      </c>
      <c r="C10" s="39" t="inlineStr">
        <is>
          <t>Oranjestad Cruise Terminal (Aruba) → Palm Beach resort strip (Aruba)</t>
        </is>
      </c>
      <c r="D10" s="38" t="inlineStr">
        <is>
          <t>caribbean</t>
        </is>
      </c>
      <c r="E10" s="40" t="inlineStr">
        <is>
          <t>caribbean</t>
        </is>
      </c>
      <c r="F10" s="41" t="n">
        <v>1</v>
      </c>
      <c r="G10" s="42" t="n">
        <v>6</v>
      </c>
      <c r="H10" s="35" t="n">
        <v>40</v>
      </c>
      <c r="I10" s="43" t="inlineStr">
        <is>
          <t>T5</t>
        </is>
      </c>
      <c r="J10" s="43" t="inlineStr">
        <is>
          <t>low</t>
        </is>
      </c>
      <c r="K10" s="29" t="n">
        <v>0.9</v>
      </c>
      <c r="L10" s="44">
        <f>60*G10/cruise_kt</f>
        <v/>
      </c>
      <c r="M10" s="44">
        <f>L10+turn_min+dwell_min</f>
        <v/>
      </c>
      <c r="N10" s="45">
        <f>MIN(15,FLOOR(60*service_hr/M10,1))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/>
      <c r="AK10" s="43" t="n"/>
      <c r="AL10" s="43" t="n"/>
      <c r="AM10" s="50" t="n">
        <v>0.1</v>
      </c>
      <c r="AN10" s="45">
        <f>IF(AJ10="","",AJ10*AM10)</f>
        <v/>
      </c>
      <c r="AO10" s="45">
        <f>IF(OR(AJ10="",U10=0),"",MIN(IF(AW10="",9.9E+99,AW10),FLOOR(AN10/U10,1)))</f>
        <v/>
      </c>
      <c r="AP10" s="49">
        <f>IF(AO10="","",AO10*W10)</f>
        <v/>
      </c>
      <c r="AQ10" s="47">
        <f>IF(OR(AJ10="",U10=0),"",MIN(IF(AW10="",9.9E+99,AW10),AN10/U10))</f>
        <v/>
      </c>
      <c r="AR10" s="49">
        <f>IF(AQ10="","",AQ10*W10)</f>
        <v/>
      </c>
      <c r="AS10" s="51" t="n"/>
      <c r="AT10" s="43" t="inlineStr">
        <is>
          <t>Estimated</t>
        </is>
      </c>
      <c r="AU10" s="52" t="n"/>
      <c r="AV10" s="52" t="n"/>
      <c r="AW10" s="53" t="n"/>
      <c r="AX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Y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Z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BA10" s="40" t="inlineStr">
        <is>
          <t>MODELED premium cruise-shore / resort transfer band. To be finalized in cascade.</t>
        </is>
      </c>
      <c r="BB10" s="40" t="n"/>
    </row>
    <row r="11">
      <c r="A11" s="38" t="inlineStr">
        <is>
          <t>Yango Caspian Az</t>
        </is>
      </c>
      <c r="B11" s="38" t="inlineStr">
        <is>
          <t>Azerbaijan</t>
        </is>
      </c>
      <c r="C11" s="39" t="inlineStr">
        <is>
          <t>Baku Bay leisure loop (Boulevard) → Baku Bay leisure loop (Boulevard)</t>
        </is>
      </c>
      <c r="D11" s="38" t="inlineStr">
        <is>
          <t>yango</t>
        </is>
      </c>
      <c r="E11" s="40" t="inlineStr">
        <is>
          <t>yango-caspian-az</t>
        </is>
      </c>
      <c r="F11" s="41" t="n">
        <v>1</v>
      </c>
      <c r="G11" s="42" t="n">
        <v>6</v>
      </c>
      <c r="H11" s="35" t="n">
        <v>30</v>
      </c>
      <c r="I11" s="43" t="inlineStr">
        <is>
          <t>T2</t>
        </is>
      </c>
      <c r="J11" s="43" t="inlineStr">
        <is>
          <t>med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/>
      <c r="AK11" s="43" t="n"/>
      <c r="AL11" s="43" t="n"/>
      <c r="AM11" s="50" t="n">
        <v>0.1</v>
      </c>
      <c r="AN11" s="45">
        <f>IF(AJ11="","",AJ11*AM11)</f>
        <v/>
      </c>
      <c r="AO11" s="45">
        <f>IF(OR(AJ11="",U11=0),"",MIN(IF(AW11="",9.9E+99,AW11),FLOOR(AN11/U11,1)))</f>
        <v/>
      </c>
      <c r="AP11" s="49">
        <f>IF(AO11="","",AO11*W11)</f>
        <v/>
      </c>
      <c r="AQ11" s="47">
        <f>IF(OR(AJ11="",U11=0),"",MIN(IF(AW11="",9.9E+99,AW11),AN11/U11))</f>
        <v/>
      </c>
      <c r="AR11" s="49">
        <f>IF(AQ11="","",AQ11*W11)</f>
        <v/>
      </c>
      <c r="AS11" s="51" t="n"/>
      <c r="AT11" s="43" t="inlineStr">
        <is>
          <t>Estimated</t>
        </is>
      </c>
      <c r="AU11" s="52" t="n"/>
      <c r="AV11" s="52" t="n"/>
      <c r="AW11" s="53" t="n"/>
      <c r="AX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Y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Z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BA11" s="40" t="inlineStr">
        <is>
          <t>PREMIUM tier: private Boulevard boat tour ~$30/seat (range $30-44; privatetoursbaku, Tripadvisor, GetYourGuide).</t>
        </is>
      </c>
      <c r="BB11" s="40" t="n"/>
    </row>
    <row r="12">
      <c r="A12" s="38" t="inlineStr">
        <is>
          <t>Yango Caspian Az</t>
        </is>
      </c>
      <c r="B12" s="38" t="inlineStr">
        <is>
          <t>Azerbaijan</t>
        </is>
      </c>
      <c r="C12" s="39" t="inlineStr">
        <is>
          <t>Baku (Boulevard / Port Baku) → Sumqayit</t>
        </is>
      </c>
      <c r="D12" s="38" t="inlineStr">
        <is>
          <t>yango</t>
        </is>
      </c>
      <c r="E12" s="40" t="inlineStr">
        <is>
          <t>yango-caspian-az</t>
        </is>
      </c>
      <c r="F12" s="41" t="n">
        <v>1</v>
      </c>
      <c r="G12" s="42" t="n">
        <v>16</v>
      </c>
      <c r="H12" s="35" t="n"/>
      <c r="I12" s="43" t="n"/>
      <c r="J12" s="43" t="n"/>
      <c r="K12" s="29" t="n">
        <v>1</v>
      </c>
      <c r="L12" s="44">
        <f>60*G12/cruise_kt</f>
        <v/>
      </c>
      <c r="M12" s="44">
        <f>L12+turn_min+dwell_min</f>
        <v/>
      </c>
      <c r="N12" s="45">
        <f>MIN(24,FLOOR(60*service_hr/M12,1))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74000</v>
      </c>
      <c r="AK12" s="43" t="n"/>
      <c r="AL12" s="43" t="n"/>
      <c r="AM12" s="50" t="n">
        <v>0.1</v>
      </c>
      <c r="AN12" s="45">
        <f>IF(AJ12="","",AJ12*AM12)</f>
        <v/>
      </c>
      <c r="AO12" s="45">
        <f>IF(OR(AJ12="",U12=0),"",MIN(IF(AW12="",9.9E+99,AW12),FLOOR(AN12/U12,1)))</f>
        <v/>
      </c>
      <c r="AP12" s="49">
        <f>IF(AO12="","",AO12*W12)</f>
        <v/>
      </c>
      <c r="AQ12" s="47">
        <f>IF(OR(AJ12="",U12=0),"",MIN(IF(AW12="",9.9E+99,AW12),AN12/U12))</f>
        <v/>
      </c>
      <c r="AR12" s="49">
        <f>IF(AQ12="","",AQ12*W12)</f>
        <v/>
      </c>
      <c r="AS12" s="51" t="n"/>
      <c r="AT12" s="43" t="inlineStr">
        <is>
          <t>Estimated</t>
        </is>
      </c>
      <c r="AU12" s="52" t="n"/>
      <c r="AV12" s="52" t="n"/>
      <c r="AW12" s="53" t="n"/>
      <c r="AX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Y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Z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BA12" s="40" t="n"/>
      <c r="BB12" s="40" t="n"/>
    </row>
    <row r="13">
      <c r="A13" s="38" t="inlineStr">
        <is>
          <t>Yango Caspian Az</t>
        </is>
      </c>
      <c r="B13" s="38" t="inlineStr">
        <is>
          <t>Azerbaijan</t>
        </is>
      </c>
      <c r="C13" s="39" t="inlineStr">
        <is>
          <t>Baku Bay (Bulvar) → Bilgah</t>
        </is>
      </c>
      <c r="D13" s="38" t="inlineStr">
        <is>
          <t>yango</t>
        </is>
      </c>
      <c r="E13" s="40" t="inlineStr">
        <is>
          <t>yango-caspian-az</t>
        </is>
      </c>
      <c r="F13" s="41" t="n">
        <v>1</v>
      </c>
      <c r="G13" s="42" t="n">
        <v>18</v>
      </c>
      <c r="H13" s="35" t="n">
        <v>30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>
        <v>30000</v>
      </c>
      <c r="AK13" s="43" t="n"/>
      <c r="AL13" s="43" t="n"/>
      <c r="AM13" s="50" t="n">
        <v>0.1</v>
      </c>
      <c r="AN13" s="45">
        <f>IF(AJ13="","",AJ13*AM13)</f>
        <v/>
      </c>
      <c r="AO13" s="45">
        <f>IF(OR(AJ13="",U13=0),"",MIN(IF(AW13="",9.9E+99,AW13),FLOOR(AN13/U13,1)))</f>
        <v/>
      </c>
      <c r="AP13" s="49">
        <f>IF(AO13="","",AO13*W13)</f>
        <v/>
      </c>
      <c r="AQ13" s="47">
        <f>IF(OR(AJ13="",U13=0),"",MIN(IF(AW13="",9.9E+99,AW13),AN13/U13))</f>
        <v/>
      </c>
      <c r="AR13" s="49">
        <f>IF(AQ13="","",AQ13*W13)</f>
        <v/>
      </c>
      <c r="AS13" s="51" t="n"/>
      <c r="AT13" s="43" t="inlineStr">
        <is>
          <t>Estimated</t>
        </is>
      </c>
      <c r="AU13" s="52" t="n"/>
      <c r="AV13" s="52" t="n"/>
      <c r="AW13" s="53" t="n"/>
      <c r="AX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Y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Z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BA13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B13" s="40" t="n"/>
    </row>
    <row r="14">
      <c r="A14" s="38" t="inlineStr">
        <is>
          <t>Yango Caspian Az</t>
        </is>
      </c>
      <c r="B14" s="38" t="inlineStr">
        <is>
          <t>Azerbaijan</t>
        </is>
      </c>
      <c r="C14" s="39" t="inlineStr">
        <is>
          <t>Baku (Boulevard / Port Baku) → Mardakan / Nardaran (Sea Breeze resort cluster)</t>
        </is>
      </c>
      <c r="D14" s="38" t="inlineStr">
        <is>
          <t>yango</t>
        </is>
      </c>
      <c r="E14" s="40" t="inlineStr">
        <is>
          <t>yango-caspian-az</t>
        </is>
      </c>
      <c r="F14" s="41" t="n">
        <v>1</v>
      </c>
      <c r="G14" s="42" t="n">
        <v>20</v>
      </c>
      <c r="H14" s="35" t="n">
        <v>30</v>
      </c>
      <c r="I14" s="43" t="inlineStr">
        <is>
          <t>T2</t>
        </is>
      </c>
      <c r="J14" s="43" t="inlineStr">
        <is>
          <t>med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MIN(24,FLOOR(60*service_hr/M14,1))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n"/>
      <c r="AL14" s="43" t="n"/>
      <c r="AM14" s="50" t="n">
        <v>0.1</v>
      </c>
      <c r="AN14" s="45">
        <f>IF(AJ14="","",AJ14*AM14)</f>
        <v/>
      </c>
      <c r="AO14" s="45">
        <f>IF(OR(AJ14="",U14=0),"",MIN(IF(AW14="",9.9E+99,AW14),FLOOR(AN14/U14,1)))</f>
        <v/>
      </c>
      <c r="AP14" s="49">
        <f>IF(AO14="","",AO14*W14)</f>
        <v/>
      </c>
      <c r="AQ14" s="47">
        <f>IF(OR(AJ14="",U14=0),"",MIN(IF(AW14="",9.9E+99,AW14),AN14/U14))</f>
        <v/>
      </c>
      <c r="AR14" s="49">
        <f>IF(AQ14="","",AQ14*W14)</f>
        <v/>
      </c>
      <c r="AS14" s="51" t="n"/>
      <c r="AT14" s="43" t="inlineStr">
        <is>
          <t>Estimated</t>
        </is>
      </c>
      <c r="AU14" s="52" t="n"/>
      <c r="AV14" s="52" t="n"/>
      <c r="AW14" s="53" t="n"/>
      <c r="AX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Y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Z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BA14" s="40" t="inlineStr">
        <is>
          <t>PREMIUM tier proxy: private Boulevard boat-tour per-seat ~$30 (range $30-44) — same in-market premium marine comparable as Bilgah; no scheduled fast craft to Nardaran exists today.</t>
        </is>
      </c>
      <c r="BB14" s="40" t="n"/>
    </row>
    <row r="15">
      <c r="A15" s="38" t="inlineStr">
        <is>
          <t>Caribbean Mobility</t>
        </is>
      </c>
      <c r="B15" s="38" t="inlineStr">
        <is>
          <t>Bahamas</t>
        </is>
      </c>
      <c r="C15" s="39" t="inlineStr">
        <is>
          <t>Downtown Nassau / cruise-port waterfront → Paradise Island / Atlantis-marina catchment</t>
        </is>
      </c>
      <c r="D15" s="38" t="inlineStr">
        <is>
          <t>caribbean-mobility</t>
        </is>
      </c>
      <c r="E15" s="40" t="inlineStr">
        <is>
          <t>caribbean-mobility</t>
        </is>
      </c>
      <c r="F15" s="41" t="n">
        <v>1</v>
      </c>
      <c r="G15" s="42" t="n">
        <v>1.01</v>
      </c>
      <c r="H15" s="35" t="n">
        <v>18</v>
      </c>
      <c r="I15" s="43" t="n"/>
      <c r="J15" s="43" t="n"/>
      <c r="K15" s="29" t="n">
        <v>1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67200</v>
      </c>
      <c r="AK15" s="43" t="n"/>
      <c r="AL15" s="43" t="n"/>
      <c r="AM15" s="50" t="n">
        <v>0.1</v>
      </c>
      <c r="AN15" s="45">
        <f>IF(AJ15="","",AJ15*AM15)</f>
        <v/>
      </c>
      <c r="AO15" s="45">
        <f>IF(OR(AJ15="",U15=0),"",MIN(IF(AW15="",9.9E+99,AW15),FLOOR(AN15/U15,1)))</f>
        <v/>
      </c>
      <c r="AP15" s="49">
        <f>IF(AO15="","",AO15*W15)</f>
        <v/>
      </c>
      <c r="AQ15" s="47">
        <f>IF(OR(AJ15="",U15=0),"",MIN(IF(AW15="",9.9E+99,AW15),AN15/U15))</f>
        <v/>
      </c>
      <c r="AR15" s="49">
        <f>IF(AQ15="","",AQ15*W15)</f>
        <v/>
      </c>
      <c r="AS15" s="51" t="n"/>
      <c r="AT15" s="43" t="inlineStr">
        <is>
          <t>Estimated</t>
        </is>
      </c>
      <c r="AU15" s="52" t="n"/>
      <c r="AV15" s="52" t="n"/>
      <c r="AW15" s="53" t="n"/>
      <c r="AX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Y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Z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BA15" s="40" t="n"/>
      <c r="BB15" s="40" t="n"/>
    </row>
    <row r="16">
      <c r="A16" s="38" t="inlineStr">
        <is>
          <t>Gulf Authority Rakta</t>
        </is>
      </c>
      <c r="B16" s="38" t="inlineStr">
        <is>
          <t>Bahrain</t>
        </is>
      </c>
      <c r="C16" s="39" t="inlineStr">
        <is>
          <t>Sitra (Ad-Dur) Hawar Ferry Terminal → Bahrain Yacht Club</t>
        </is>
      </c>
      <c r="D16" s="38" t="inlineStr">
        <is>
          <t>bahrain-motc</t>
        </is>
      </c>
      <c r="E16" s="40" t="inlineStr">
        <is>
          <t>gulf-authority-bahrain-motc, gulf-authority-rakta</t>
        </is>
      </c>
      <c r="F16" s="41" t="n">
        <v>2</v>
      </c>
      <c r="G16" s="42" t="n">
        <v>1.2</v>
      </c>
      <c r="H16" s="35" t="n"/>
      <c r="I16" s="43" t="n"/>
      <c r="J16" s="43" t="n"/>
      <c r="K16" s="29" t="n">
        <v>1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n"/>
      <c r="AL16" s="43" t="n"/>
      <c r="AM16" s="50" t="n">
        <v>0.1</v>
      </c>
      <c r="AN16" s="45">
        <f>IF(AJ16="","",AJ16*AM16)</f>
        <v/>
      </c>
      <c r="AO16" s="45">
        <f>IF(OR(AJ16="",U16=0),"",MIN(IF(AW16="",9.9E+99,AW16),FLOOR(AN16/U16,1)))</f>
        <v/>
      </c>
      <c r="AP16" s="49">
        <f>IF(AO16="","",AO16*W16)</f>
        <v/>
      </c>
      <c r="AQ16" s="47">
        <f>IF(OR(AJ16="",U16=0),"",MIN(IF(AW16="",9.9E+99,AW16),AN16/U16))</f>
        <v/>
      </c>
      <c r="AR16" s="49">
        <f>IF(AQ16="","",AQ16*W16)</f>
        <v/>
      </c>
      <c r="AS16" s="51" t="n"/>
      <c r="AT16" s="43" t="inlineStr">
        <is>
          <t>Estimated</t>
        </is>
      </c>
      <c r="AU16" s="52" t="n"/>
      <c r="AV16" s="52" t="n"/>
      <c r="AW16" s="53" t="n"/>
      <c r="AX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Y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Z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BA16" s="40" t="n"/>
      <c r="BB16" s="40" t="n"/>
    </row>
    <row r="17">
      <c r="A17" s="38" t="inlineStr">
        <is>
          <t>Gulf Authority Rakta</t>
        </is>
      </c>
      <c r="B17" s="38" t="inlineStr">
        <is>
          <t>Bahrain</t>
        </is>
      </c>
      <c r="C17" s="39" t="inlineStr">
        <is>
          <t>Manama → Eastern Province</t>
        </is>
      </c>
      <c r="D17" s="38" t="inlineStr">
        <is>
          <t>bahrain-motc</t>
        </is>
      </c>
      <c r="E17" s="40" t="inlineStr">
        <is>
          <t>gulf-authority-bahrain-motc, gulf-authority-rakta</t>
        </is>
      </c>
      <c r="F17" s="41" t="n">
        <v>2</v>
      </c>
      <c r="G17" s="42" t="n">
        <v>21.2</v>
      </c>
      <c r="H17" s="35" t="n"/>
      <c r="I17" s="43" t="n"/>
      <c r="J17" s="43" t="n"/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n"/>
      <c r="AL17" s="43" t="n"/>
      <c r="AM17" s="50" t="n">
        <v>0.1</v>
      </c>
      <c r="AN17" s="45">
        <f>IF(AJ17="","",AJ17*AM17)</f>
        <v/>
      </c>
      <c r="AO17" s="45">
        <f>IF(OR(AJ17="",U17=0),"",MIN(IF(AW17="",9.9E+99,AW17),FLOOR(AN17/U17,1)))</f>
        <v/>
      </c>
      <c r="AP17" s="49">
        <f>IF(AO17="","",AO17*W17)</f>
        <v/>
      </c>
      <c r="AQ17" s="47">
        <f>IF(OR(AJ17="",U17=0),"",MIN(IF(AW17="",9.9E+99,AW17),AN17/U17))</f>
        <v/>
      </c>
      <c r="AR17" s="49">
        <f>IF(AQ17="","",AQ17*W17)</f>
        <v/>
      </c>
      <c r="AS17" s="51" t="n"/>
      <c r="AT17" s="43" t="inlineStr">
        <is>
          <t>Estimated</t>
        </is>
      </c>
      <c r="AU17" s="52" t="n"/>
      <c r="AV17" s="52" t="n"/>
      <c r="AW17" s="53" t="n"/>
      <c r="AX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Y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Z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BA17" s="40" t="n"/>
      <c r="BB17" s="40" t="n"/>
    </row>
    <row r="18">
      <c r="A18" s="38" t="inlineStr">
        <is>
          <t>Caribbean Mobility</t>
        </is>
      </c>
      <c r="B18" s="38" t="inlineStr">
        <is>
          <t>Barbados</t>
        </is>
      </c>
      <c r="C18" s="39" t="inlineStr">
        <is>
          <t>Bridgetown Cruise Terminal / Port of Bridgetown → Bridgetown / Carlisle Bay / west-coast visitor catchment</t>
        </is>
      </c>
      <c r="D18" s="38" t="inlineStr">
        <is>
          <t>caribbean-mobility</t>
        </is>
      </c>
      <c r="E18" s="40" t="inlineStr">
        <is>
          <t>caribbean-mobility</t>
        </is>
      </c>
      <c r="F18" s="41" t="n">
        <v>1</v>
      </c>
      <c r="G18" s="42" t="n">
        <v>0.9</v>
      </c>
      <c r="H18" s="35" t="n">
        <v>18</v>
      </c>
      <c r="I18" s="43" t="n"/>
      <c r="J18" s="43" t="n"/>
      <c r="K18" s="29" t="n">
        <v>1</v>
      </c>
      <c r="L18" s="44">
        <f>60*G18/cruise_kt</f>
        <v/>
      </c>
      <c r="M18" s="44">
        <f>L18+turn_min+dwell_min</f>
        <v/>
      </c>
      <c r="N18" s="45">
        <f>MIN(15,FLOOR(60*service_hr/M18,1))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>
        <v>18000</v>
      </c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IF(OR(AJ18="",U18=0),"",MIN(IF(AW18="",9.9E+99,AW18),FLOOR(AN18/U18,1)))</f>
        <v/>
      </c>
      <c r="AP18" s="49">
        <f>IF(AO18="","",AO18*W18)</f>
        <v/>
      </c>
      <c r="AQ18" s="47">
        <f>IF(OR(AJ18="",U18=0),"",MIN(IF(AW18="",9.9E+99,AW18),AN18/U18))</f>
        <v/>
      </c>
      <c r="AR18" s="49">
        <f>IF(AQ18="","",AQ18*W18)</f>
        <v/>
      </c>
      <c r="AS18" s="51" t="n"/>
      <c r="AT18" s="43" t="inlineStr">
        <is>
          <t>Estimated</t>
        </is>
      </c>
      <c r="AU18" s="52" t="n"/>
      <c r="AV18" s="52" t="n"/>
      <c r="AW18" s="53" t="n"/>
      <c r="AX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Y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Z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BA18" s="40" t="n"/>
      <c r="BB18" s="40" t="n"/>
    </row>
    <row r="19">
      <c r="A19" s="38" t="inlineStr">
        <is>
          <t>Caribbean</t>
        </is>
      </c>
      <c r="B19" s="38" t="inlineStr">
        <is>
          <t>Bonaire</t>
        </is>
      </c>
      <c r="C19" s="39" t="inlineStr">
        <is>
          <t>Kralendijk Town Pier (Bonaire) → Klein Bonaire dive transfer (Bonaire National Marine Park)</t>
        </is>
      </c>
      <c r="D19" s="38" t="inlineStr">
        <is>
          <t>caribbean</t>
        </is>
      </c>
      <c r="E19" s="40" t="inlineStr">
        <is>
          <t>caribbean</t>
        </is>
      </c>
      <c r="F19" s="41" t="n">
        <v>1</v>
      </c>
      <c r="G19" s="42" t="n">
        <v>2</v>
      </c>
      <c r="H19" s="35" t="n">
        <v>30</v>
      </c>
      <c r="I19" s="43" t="inlineStr">
        <is>
          <t>T5</t>
        </is>
      </c>
      <c r="J19" s="43" t="inlineStr">
        <is>
          <t>low</t>
        </is>
      </c>
      <c r="K19" s="29" t="n">
        <v>0.92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IF(OR(AJ19="",U19=0),"",MIN(IF(AW19="",9.9E+99,AW19),FLOOR(AN19/U19,1)))</f>
        <v/>
      </c>
      <c r="AP19" s="49">
        <f>IF(AO19="","",AO19*W19)</f>
        <v/>
      </c>
      <c r="AQ19" s="47">
        <f>IF(OR(AJ19="",U19=0),"",MIN(IF(AW19="",9.9E+99,AW19),AN19/U19))</f>
        <v/>
      </c>
      <c r="AR19" s="49">
        <f>IF(AQ19="","",AQ19*W19)</f>
        <v/>
      </c>
      <c r="AS19" s="51" t="n"/>
      <c r="AT19" s="43" t="inlineStr">
        <is>
          <t>Estimated</t>
        </is>
      </c>
      <c r="AU19" s="52" t="n"/>
      <c r="AV19" s="52" t="n"/>
      <c r="AW19" s="53" t="n"/>
      <c r="AX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Y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Z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BA19" s="40" t="inlineStr">
        <is>
          <t>MODELED dive-transfer band (Klein Bonaire). To be finalized in cascade.</t>
        </is>
      </c>
      <c r="BB19" s="40" t="n"/>
    </row>
    <row r="20">
      <c r="A20" s="38" t="inlineStr">
        <is>
          <t>Caribbean</t>
        </is>
      </c>
      <c r="B20" s="38" t="inlineStr">
        <is>
          <t>Bonaire</t>
        </is>
      </c>
      <c r="C20" s="39" t="inlineStr">
        <is>
          <t>Kralendijk Town Pier (Bonaire) → Harbour Village Marina / dive-resort jetty cluster (Bonaire)</t>
        </is>
      </c>
      <c r="D20" s="38" t="inlineStr">
        <is>
          <t>caribbean</t>
        </is>
      </c>
      <c r="E20" s="40" t="inlineStr">
        <is>
          <t>caribbean</t>
        </is>
      </c>
      <c r="F20" s="41" t="n">
        <v>1</v>
      </c>
      <c r="G20" s="42" t="n">
        <v>2</v>
      </c>
      <c r="H20" s="35" t="n">
        <v>28</v>
      </c>
      <c r="I20" s="43" t="inlineStr">
        <is>
          <t>T5</t>
        </is>
      </c>
      <c r="J20" s="43" t="inlineStr">
        <is>
          <t>low</t>
        </is>
      </c>
      <c r="K20" s="29" t="n">
        <v>0.92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IF(OR(AJ20="",U20=0),"",MIN(IF(AW20="",9.9E+99,AW20),FLOOR(AN20/U20,1)))</f>
        <v/>
      </c>
      <c r="AP20" s="49">
        <f>IF(AO20="","",AO20*W20)</f>
        <v/>
      </c>
      <c r="AQ20" s="47">
        <f>IF(OR(AJ20="",U20=0),"",MIN(IF(AW20="",9.9E+99,AW20),AN20/U20))</f>
        <v/>
      </c>
      <c r="AR20" s="49">
        <f>IF(AQ20="","",AQ20*W20)</f>
        <v/>
      </c>
      <c r="AS20" s="51" t="n"/>
      <c r="AT20" s="43" t="inlineStr">
        <is>
          <t>Estimated</t>
        </is>
      </c>
      <c r="AU20" s="52" t="n"/>
      <c r="AV20" s="52" t="n"/>
      <c r="AW20" s="53" t="n"/>
      <c r="AX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Y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Z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BA20" s="40" t="inlineStr">
        <is>
          <t>MODELED short town/cruise→dive-resort transfer. To be finalized in cascade.</t>
        </is>
      </c>
      <c r="BB20" s="40" t="n"/>
    </row>
    <row r="21">
      <c r="A21" s="38" t="inlineStr">
        <is>
          <t>Cambodia</t>
        </is>
      </c>
      <c r="B21" s="38" t="inlineStr">
        <is>
          <t>Cambodia</t>
        </is>
      </c>
      <c r="C21" s="39" t="inlineStr">
        <is>
          <t>Sihanoukville Port → Lila Resort / Ream private islands</t>
        </is>
      </c>
      <c r="D21" s="38" t="inlineStr">
        <is>
          <t>grab</t>
        </is>
      </c>
      <c r="E21" s="40" t="inlineStr">
        <is>
          <t>cambodia</t>
        </is>
      </c>
      <c r="F21" s="41" t="n">
        <v>1</v>
      </c>
      <c r="G21" s="42" t="n">
        <v>7.6</v>
      </c>
      <c r="H21" s="35" t="n">
        <v>30</v>
      </c>
      <c r="I21" s="43" t="inlineStr">
        <is>
          <t>T4</t>
        </is>
      </c>
      <c r="J21" s="43" t="inlineStr">
        <is>
          <t>med-low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MIN(15,FLOOR(60*service_hr/M21,1))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/>
      <c r="AK21" s="43" t="inlineStr">
        <is>
          <t>null</t>
        </is>
      </c>
      <c r="AL21" s="43" t="inlineStr">
        <is>
          <t>null</t>
        </is>
      </c>
      <c r="AM21" s="50" t="n">
        <v>0.1</v>
      </c>
      <c r="AN21" s="45">
        <f>IF(AJ21="","",AJ21*AM21)</f>
        <v/>
      </c>
      <c r="AO21" s="45">
        <f>IF(OR(AJ21="",U21=0),"",MIN(IF(AW21="",9.9E+99,AW21),FLOOR(AN21/U21,1)))</f>
        <v/>
      </c>
      <c r="AP21" s="49">
        <f>IF(AO21="","",AO21*W21)</f>
        <v/>
      </c>
      <c r="AQ21" s="47">
        <f>IF(OR(AJ21="",U21=0),"",MIN(IF(AW21="",9.9E+99,AW21),AN21/U21))</f>
        <v/>
      </c>
      <c r="AR21" s="49">
        <f>IF(AQ21="","",AQ21*W21)</f>
        <v/>
      </c>
      <c r="AS21" s="51" t="n"/>
      <c r="AT21" s="43" t="inlineStr">
        <is>
          <t>Estimated</t>
        </is>
      </c>
      <c r="AU21" s="52" t="n"/>
      <c r="AV21" s="52" t="n"/>
      <c r="AW21" s="53" t="n"/>
      <c r="AX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Y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Z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BA21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B21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22">
      <c r="A22" s="38" t="inlineStr">
        <is>
          <t>Cambodia</t>
        </is>
      </c>
      <c r="B22" s="38" t="inlineStr">
        <is>
          <t>Cambodia</t>
        </is>
      </c>
      <c r="C22" s="39" t="inlineStr">
        <is>
          <t>Sihanoukville → Koh Ta Kiev / Ream National Park</t>
        </is>
      </c>
      <c r="D22" s="38" t="inlineStr">
        <is>
          <t>grab</t>
        </is>
      </c>
      <c r="E22" s="40" t="inlineStr">
        <is>
          <t>cambodia</t>
        </is>
      </c>
      <c r="F22" s="41" t="n">
        <v>1</v>
      </c>
      <c r="G22" s="42" t="n">
        <v>8.949999999999999</v>
      </c>
      <c r="H22" s="35" t="n">
        <v>20</v>
      </c>
      <c r="I22" s="43" t="inlineStr">
        <is>
          <t>T3</t>
        </is>
      </c>
      <c r="J22" s="43" t="inlineStr">
        <is>
          <t>med-low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MIN(15,FLOOR(60*service_hr/M22,1))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/>
      <c r="AK22" s="43" t="inlineStr">
        <is>
          <t>null</t>
        </is>
      </c>
      <c r="AL22" s="43" t="inlineStr">
        <is>
          <t>null</t>
        </is>
      </c>
      <c r="AM22" s="50" t="n">
        <v>0.1</v>
      </c>
      <c r="AN22" s="45">
        <f>IF(AJ22="","",AJ22*AM22)</f>
        <v/>
      </c>
      <c r="AO22" s="45">
        <f>IF(OR(AJ22="",U22=0),"",MIN(IF(AW22="",9.9E+99,AW22),FLOOR(AN22/U22,1)))</f>
        <v/>
      </c>
      <c r="AP22" s="49">
        <f>IF(AO22="","",AO22*W22)</f>
        <v/>
      </c>
      <c r="AQ22" s="47">
        <f>IF(OR(AJ22="",U22=0),"",MIN(IF(AW22="",9.9E+99,AW22),AN22/U22))</f>
        <v/>
      </c>
      <c r="AR22" s="49">
        <f>IF(AQ22="","",AQ22*W22)</f>
        <v/>
      </c>
      <c r="AS22" s="51" t="n"/>
      <c r="AT22" s="43" t="inlineStr">
        <is>
          <t>Estimated</t>
        </is>
      </c>
      <c r="AU22" s="52" t="n"/>
      <c r="AV22" s="52" t="n"/>
      <c r="AW22" s="53" t="n"/>
      <c r="AX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Y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Z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BA22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B22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23">
      <c r="A23" s="38" t="inlineStr">
        <is>
          <t>Cambodia</t>
        </is>
      </c>
      <c r="B23" s="38" t="inlineStr">
        <is>
          <t>Cambodia</t>
        </is>
      </c>
      <c r="C23" s="39" t="inlineStr">
        <is>
          <t>Sihanoukville → Koh Rong Sanloem (Saracen Bay)</t>
        </is>
      </c>
      <c r="D23" s="38" t="inlineStr">
        <is>
          <t>grab</t>
        </is>
      </c>
      <c r="E23" s="40" t="inlineStr">
        <is>
          <t>cambodia</t>
        </is>
      </c>
      <c r="F23" s="41" t="n">
        <v>1</v>
      </c>
      <c r="G23" s="42" t="n">
        <v>12.87</v>
      </c>
      <c r="H23" s="35" t="n">
        <v>30</v>
      </c>
      <c r="I23" s="43" t="inlineStr">
        <is>
          <t>T3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100000</v>
      </c>
      <c r="AK23" s="43" t="inlineStr">
        <is>
          <t>T2</t>
        </is>
      </c>
      <c r="AL23" s="43" t="inlineStr">
        <is>
          <t>med</t>
        </is>
      </c>
      <c r="AM23" s="50" t="n">
        <v>0.1</v>
      </c>
      <c r="AN23" s="45">
        <f>IF(AJ23="","",AJ23*AM23)</f>
        <v/>
      </c>
      <c r="AO23" s="45">
        <f>IF(OR(AJ23="",U23=0),"",MIN(IF(AW23="",9.9E+99,AW23),FLOOR(AN23/U23,1)))</f>
        <v/>
      </c>
      <c r="AP23" s="49">
        <f>IF(AO23="","",AO23*W23)</f>
        <v/>
      </c>
      <c r="AQ23" s="47">
        <f>IF(OR(AJ23="",U23=0),"",MIN(IF(AW23="",9.9E+99,AW23),AN23/U23))</f>
        <v/>
      </c>
      <c r="AR23" s="49">
        <f>IF(AQ23="","",AQ23*W23)</f>
        <v/>
      </c>
      <c r="AS23" s="51" t="n"/>
      <c r="AT23" s="43" t="inlineStr">
        <is>
          <t>Grounded</t>
        </is>
      </c>
      <c r="AU23" s="52" t="n"/>
      <c r="AV23" s="52" t="n"/>
      <c r="AW23" s="53" t="n"/>
      <c r="AX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Y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Z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BA23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B23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24">
      <c r="A24" s="38" t="inlineStr">
        <is>
          <t>Cambodia</t>
        </is>
      </c>
      <c r="B24" s="38" t="inlineStr">
        <is>
          <t>Cambodia</t>
        </is>
      </c>
      <c r="C24" s="39" t="inlineStr">
        <is>
          <t>Koh Rong → Song Saa / Koh Russey</t>
        </is>
      </c>
      <c r="D24" s="38" t="inlineStr">
        <is>
          <t>grab</t>
        </is>
      </c>
      <c r="E24" s="40" t="inlineStr">
        <is>
          <t>cambodia</t>
        </is>
      </c>
      <c r="F24" s="41" t="n">
        <v>1</v>
      </c>
      <c r="G24" s="42" t="n">
        <v>18.56</v>
      </c>
      <c r="H24" s="35" t="n">
        <v>65</v>
      </c>
      <c r="I24" s="43" t="inlineStr">
        <is>
          <t>T3</t>
        </is>
      </c>
      <c r="J24" s="43" t="inlineStr">
        <is>
          <t>med-low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MIN(15,FLOOR(60*service_hr/M24,1))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/>
      <c r="AK24" s="43" t="inlineStr">
        <is>
          <t>null</t>
        </is>
      </c>
      <c r="AL24" s="43" t="inlineStr">
        <is>
          <t>null</t>
        </is>
      </c>
      <c r="AM24" s="50" t="n">
        <v>0.1</v>
      </c>
      <c r="AN24" s="45">
        <f>IF(AJ24="","",AJ24*AM24)</f>
        <v/>
      </c>
      <c r="AO24" s="45">
        <f>IF(OR(AJ24="",U24=0),"",MIN(IF(AW24="",9.9E+99,AW24),FLOOR(AN24/U24,1)))</f>
        <v/>
      </c>
      <c r="AP24" s="49">
        <f>IF(AO24="","",AO24*W24)</f>
        <v/>
      </c>
      <c r="AQ24" s="47">
        <f>IF(OR(AJ24="",U24=0),"",MIN(IF(AW24="",9.9E+99,AW24),AN24/U24))</f>
        <v/>
      </c>
      <c r="AR24" s="49">
        <f>IF(AQ24="","",AQ24*W24)</f>
        <v/>
      </c>
      <c r="AS24" s="51" t="n"/>
      <c r="AT24" s="43" t="inlineStr">
        <is>
          <t>Estimated</t>
        </is>
      </c>
      <c r="AU24" s="52" t="n"/>
      <c r="AV24" s="52" t="n"/>
      <c r="AW24" s="53" t="n"/>
      <c r="AX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Y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Z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BA24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B24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25">
      <c r="A25" s="38" t="inlineStr">
        <is>
          <t>Cambodia</t>
        </is>
      </c>
      <c r="B25" s="38" t="inlineStr">
        <is>
          <t>Cambodia</t>
        </is>
      </c>
      <c r="C25" s="39" t="inlineStr">
        <is>
          <t>Sihanoukville → Koh Kong / Cardamom coast</t>
        </is>
      </c>
      <c r="D25" s="38" t="inlineStr">
        <is>
          <t>grab</t>
        </is>
      </c>
      <c r="E25" s="40" t="inlineStr">
        <is>
          <t>cambodia</t>
        </is>
      </c>
      <c r="F25" s="41" t="n">
        <v>1</v>
      </c>
      <c r="G25" s="42" t="n">
        <v>68.22</v>
      </c>
      <c r="H25" s="35" t="n">
        <v>50</v>
      </c>
      <c r="I25" s="43" t="inlineStr">
        <is>
          <t>T5</t>
        </is>
      </c>
      <c r="J25" s="43" t="inlineStr">
        <is>
          <t>low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/>
      <c r="AK25" s="43" t="inlineStr">
        <is>
          <t>null</t>
        </is>
      </c>
      <c r="AL25" s="43" t="inlineStr">
        <is>
          <t>null</t>
        </is>
      </c>
      <c r="AM25" s="50" t="n">
        <v>0.1</v>
      </c>
      <c r="AN25" s="45">
        <f>IF(AJ25="","",AJ25*AM25)</f>
        <v/>
      </c>
      <c r="AO25" s="45">
        <f>IF(OR(AJ25="",U25=0),"",MIN(IF(AW25="",9.9E+99,AW25),FLOOR(AN25/U25,1)))</f>
        <v/>
      </c>
      <c r="AP25" s="49">
        <f>IF(AO25="","",AO25*W25)</f>
        <v/>
      </c>
      <c r="AQ25" s="47">
        <f>IF(OR(AJ25="",U25=0),"",MIN(IF(AW25="",9.9E+99,AW25),AN25/U25))</f>
        <v/>
      </c>
      <c r="AR25" s="49">
        <f>IF(AQ25="","",AQ25*W25)</f>
        <v/>
      </c>
      <c r="AS25" s="51" t="n"/>
      <c r="AT25" s="43" t="inlineStr">
        <is>
          <t>Estimated</t>
        </is>
      </c>
      <c r="AU25" s="52" t="n"/>
      <c r="AV25" s="52" t="n"/>
      <c r="AW25" s="53" t="n"/>
      <c r="AX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Y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Z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BA25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B25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26">
      <c r="A26" s="38" t="inlineStr">
        <is>
          <t>Yango Colombia</t>
        </is>
      </c>
      <c r="B26" s="38" t="inlineStr">
        <is>
          <t>Colombia</t>
        </is>
      </c>
      <c r="C26" s="39" t="inlineStr">
        <is>
          <t>Cartagena Old City → Bocagrande</t>
        </is>
      </c>
      <c r="D26" s="38" t="inlineStr">
        <is>
          <t>yango</t>
        </is>
      </c>
      <c r="E26" s="40" t="inlineStr">
        <is>
          <t>yango-colombia</t>
        </is>
      </c>
      <c r="F26" s="41" t="n">
        <v>1</v>
      </c>
      <c r="G26" s="42" t="n">
        <v>1.5</v>
      </c>
      <c r="H26" s="35" t="n">
        <v>18</v>
      </c>
      <c r="I26" s="43" t="inlineStr">
        <is>
          <t>T2</t>
        </is>
      </c>
      <c r="J26" s="43" t="inlineStr">
        <is>
          <t>low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MIN(24,FLOOR(60*service_hr/M26,1))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10000</v>
      </c>
      <c r="AK26" s="43" t="n"/>
      <c r="AL26" s="43" t="inlineStr">
        <is>
          <t>low</t>
        </is>
      </c>
      <c r="AM26" s="50" t="n">
        <v>0.25</v>
      </c>
      <c r="AN26" s="45">
        <f>IF(AJ26="","",AJ26*AM26)</f>
        <v/>
      </c>
      <c r="AO26" s="45">
        <f>IF(OR(AJ26="",U26=0),"",MIN(IF(AW26="",9.9E+99,AW26),FLOOR(AN26/U26,1)))</f>
        <v/>
      </c>
      <c r="AP26" s="49">
        <f>IF(AO26="","",AO26*W26)</f>
        <v/>
      </c>
      <c r="AQ26" s="47">
        <f>IF(OR(AJ26="",U26=0),"",MIN(IF(AW26="",9.9E+99,AW26),AN26/U26))</f>
        <v/>
      </c>
      <c r="AR26" s="49">
        <f>IF(AQ26="","",AQ26*W26)</f>
        <v/>
      </c>
      <c r="AS26" s="51" t="n"/>
      <c r="AT26" s="43" t="inlineStr">
        <is>
          <t>Estimated</t>
        </is>
      </c>
      <c r="AU26" s="52" t="n"/>
      <c r="AV26" s="52" t="n"/>
      <c r="AW26" s="53" t="n"/>
      <c r="AX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Y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Z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BA26" s="40" t="inlineStr">
        <is>
          <t>[LB-255 PREMIUM RE-FARE: subsidized comparable $6.0 lifted to premium on-demand floor $18.0] Intra-bay water taxi comparable ~ COP 20-25k ~ $6; commuter floor Cartagena bus ~$0.60.</t>
        </is>
      </c>
      <c r="BB26" s="40" t="n"/>
    </row>
    <row r="27">
      <c r="A27" s="38" t="inlineStr">
        <is>
          <t>Yango Colombia</t>
        </is>
      </c>
      <c r="B27" s="38" t="inlineStr">
        <is>
          <t>Colombia</t>
        </is>
      </c>
      <c r="C27" s="39" t="inlineStr">
        <is>
          <t>Cartagena Old City → Tierrabomba</t>
        </is>
      </c>
      <c r="D27" s="38" t="inlineStr">
        <is>
          <t>yango</t>
        </is>
      </c>
      <c r="E27" s="40" t="inlineStr">
        <is>
          <t>yango-colombia</t>
        </is>
      </c>
      <c r="F27" s="41" t="n">
        <v>1</v>
      </c>
      <c r="G27" s="42" t="n">
        <v>2.9</v>
      </c>
      <c r="H27" s="35" t="n">
        <v>8</v>
      </c>
      <c r="I27" s="43" t="inlineStr">
        <is>
          <t>T2</t>
        </is>
      </c>
      <c r="J27" s="43" t="inlineStr">
        <is>
          <t>low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12000</v>
      </c>
      <c r="AK27" s="43" t="n"/>
      <c r="AL27" s="43" t="inlineStr">
        <is>
          <t>low</t>
        </is>
      </c>
      <c r="AM27" s="50" t="n">
        <v>0.25</v>
      </c>
      <c r="AN27" s="45">
        <f>IF(AJ27="","",AJ27*AM27)</f>
        <v/>
      </c>
      <c r="AO27" s="45">
        <f>IF(OR(AJ27="",U27=0),"",MIN(IF(AW27="",9.9E+99,AW27),FLOOR(AN27/U27,1)))</f>
        <v/>
      </c>
      <c r="AP27" s="49">
        <f>IF(AO27="","",AO27*W27)</f>
        <v/>
      </c>
      <c r="AQ27" s="47">
        <f>IF(OR(AJ27="",U27=0),"",MIN(IF(AW27="",9.9E+99,AW27),AN27/U27))</f>
        <v/>
      </c>
      <c r="AR27" s="49">
        <f>IF(AQ27="","",AQ27*W27)</f>
        <v/>
      </c>
      <c r="AS27" s="51" t="n"/>
      <c r="AT27" s="43" t="inlineStr">
        <is>
          <t>Estimated</t>
        </is>
      </c>
      <c r="AU27" s="52" t="n"/>
      <c r="AV27" s="52" t="n"/>
      <c r="AW27" s="53" t="n"/>
      <c r="AX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Y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Z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BA27" s="40" t="inlineStr">
        <is>
          <t>Comparable Tierrabomba beach shuttle ~ COP 25-35k ~ $8 per-seat.</t>
        </is>
      </c>
      <c r="BB27" s="40" t="n"/>
    </row>
    <row r="28">
      <c r="A28" s="38" t="inlineStr">
        <is>
          <t>Yango Colombia</t>
        </is>
      </c>
      <c r="B28" s="38" t="inlineStr">
        <is>
          <t>Colombia</t>
        </is>
      </c>
      <c r="C28" s="39" t="inlineStr">
        <is>
          <t>Barranquilla → Puerto Colombia</t>
        </is>
      </c>
      <c r="D28" s="38" t="inlineStr">
        <is>
          <t>yango</t>
        </is>
      </c>
      <c r="E28" s="40" t="inlineStr">
        <is>
          <t>yango-colombia</t>
        </is>
      </c>
      <c r="F28" s="41" t="n">
        <v>1</v>
      </c>
      <c r="G28" s="42" t="n">
        <v>11.6</v>
      </c>
      <c r="H28" s="35" t="n">
        <v>18</v>
      </c>
      <c r="I28" s="43" t="inlineStr">
        <is>
          <t>T2</t>
        </is>
      </c>
      <c r="J28" s="43" t="inlineStr">
        <is>
          <t>low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MIN(24,FLOOR(60*service_hr/M28,1))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>
        <v>8000</v>
      </c>
      <c r="AK28" s="43" t="n"/>
      <c r="AL28" s="43" t="inlineStr">
        <is>
          <t>low</t>
        </is>
      </c>
      <c r="AM28" s="50" t="n">
        <v>0.25</v>
      </c>
      <c r="AN28" s="45">
        <f>IF(AJ28="","",AJ28*AM28)</f>
        <v/>
      </c>
      <c r="AO28" s="45">
        <f>IF(OR(AJ28="",U28=0),"",MIN(IF(AW28="",9.9E+99,AW28),FLOOR(AN28/U28,1)))</f>
        <v/>
      </c>
      <c r="AP28" s="49">
        <f>IF(AO28="","",AO28*W28)</f>
        <v/>
      </c>
      <c r="AQ28" s="47">
        <f>IF(OR(AJ28="",U28=0),"",MIN(IF(AW28="",9.9E+99,AW28),AN28/U28))</f>
        <v/>
      </c>
      <c r="AR28" s="49">
        <f>IF(AQ28="","",AQ28*W28)</f>
        <v/>
      </c>
      <c r="AS28" s="51" t="n"/>
      <c r="AT28" s="43" t="inlineStr">
        <is>
          <t>Estimated</t>
        </is>
      </c>
      <c r="AU28" s="52" t="n"/>
      <c r="AV28" s="52" t="n"/>
      <c r="AW28" s="53" t="n"/>
      <c r="AX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Y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Z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BA28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B28" s="40" t="n"/>
    </row>
    <row r="29">
      <c r="A29" s="38" t="inlineStr">
        <is>
          <t>Yango Colombia</t>
        </is>
      </c>
      <c r="B29" s="38" t="inlineStr">
        <is>
          <t>Colombia</t>
        </is>
      </c>
      <c r="C29" s="39" t="inlineStr">
        <is>
          <t>Cartagena Old City → Baru (Playa Blanca)</t>
        </is>
      </c>
      <c r="D29" s="38" t="inlineStr">
        <is>
          <t>yango</t>
        </is>
      </c>
      <c r="E29" s="40" t="inlineStr">
        <is>
          <t>yango-colombia</t>
        </is>
      </c>
      <c r="F29" s="41" t="n">
        <v>1</v>
      </c>
      <c r="G29" s="42" t="n">
        <v>13.3</v>
      </c>
      <c r="H29" s="35" t="n">
        <v>25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30000</v>
      </c>
      <c r="AK29" s="43" t="n"/>
      <c r="AL29" s="43" t="inlineStr">
        <is>
          <t>med</t>
        </is>
      </c>
      <c r="AM29" s="50" t="n">
        <v>0.25</v>
      </c>
      <c r="AN29" s="45">
        <f>IF(AJ29="","",AJ29*AM29)</f>
        <v/>
      </c>
      <c r="AO29" s="45">
        <f>IF(OR(AJ29="",U29=0),"",MIN(IF(AW29="",9.9E+99,AW29),FLOOR(AN29/U29,1)))</f>
        <v/>
      </c>
      <c r="AP29" s="49">
        <f>IF(AO29="","",AO29*W29)</f>
        <v/>
      </c>
      <c r="AQ29" s="47">
        <f>IF(OR(AJ29="",U29=0),"",MIN(IF(AW29="",9.9E+99,AW29),AN29/U29))</f>
        <v/>
      </c>
      <c r="AR29" s="49">
        <f>IF(AQ29="","",AQ29*W29)</f>
        <v/>
      </c>
      <c r="AS29" s="51" t="n"/>
      <c r="AT29" s="43" t="inlineStr">
        <is>
          <t>Estimated</t>
        </is>
      </c>
      <c r="AU29" s="52" t="n"/>
      <c r="AV29" s="52" t="n"/>
      <c r="AW29" s="53" t="n"/>
      <c r="AX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Y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Z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BA29" s="40" t="inlineStr">
        <is>
          <t>PREMIUM tier: Cartagena -&gt; Baru/Playa Blanca boat day-trip ~ COP 90-120k ~ $25 comparable per-seat (2026 operators, Muelle de la Bodeguita).</t>
        </is>
      </c>
      <c r="BB29" s="40" t="n"/>
    </row>
    <row r="30">
      <c r="A30" s="38" t="inlineStr">
        <is>
          <t>Yango Colombia</t>
        </is>
      </c>
      <c r="B30" s="38" t="inlineStr">
        <is>
          <t>Colombia</t>
        </is>
      </c>
      <c r="C30" s="39" t="inlineStr">
        <is>
          <t>Cartagena Old City → Islas del Rosario (A)</t>
        </is>
      </c>
      <c r="D30" s="38" t="inlineStr">
        <is>
          <t>yango</t>
        </is>
      </c>
      <c r="E30" s="40" t="inlineStr">
        <is>
          <t>yango-colombia</t>
        </is>
      </c>
      <c r="F30" s="41" t="n">
        <v>1</v>
      </c>
      <c r="G30" s="42" t="n">
        <v>19.6</v>
      </c>
      <c r="H30" s="35" t="n">
        <v>22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25000</v>
      </c>
      <c r="AK30" s="43" t="n"/>
      <c r="AL30" s="43" t="inlineStr">
        <is>
          <t>med</t>
        </is>
      </c>
      <c r="AM30" s="50" t="n">
        <v>0.25</v>
      </c>
      <c r="AN30" s="45">
        <f>IF(AJ30="","",AJ30*AM30)</f>
        <v/>
      </c>
      <c r="AO30" s="45">
        <f>IF(OR(AJ30="",U30=0),"",MIN(IF(AW30="",9.9E+99,AW30),FLOOR(AN30/U30,1)))</f>
        <v/>
      </c>
      <c r="AP30" s="49">
        <f>IF(AO30="","",AO30*W30)</f>
        <v/>
      </c>
      <c r="AQ30" s="47">
        <f>IF(OR(AJ30="",U30=0),"",MIN(IF(AW30="",9.9E+99,AW30),AN30/U30))</f>
        <v/>
      </c>
      <c r="AR30" s="49">
        <f>IF(AQ30="","",AQ30*W30)</f>
        <v/>
      </c>
      <c r="AS30" s="51" t="n"/>
      <c r="AT30" s="43" t="inlineStr">
        <is>
          <t>Estimated</t>
        </is>
      </c>
      <c r="AU30" s="52" t="n"/>
      <c r="AV30" s="52" t="n"/>
      <c r="AW30" s="53" t="n"/>
      <c r="AX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Y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Z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BA30" s="40" t="inlineStr">
        <is>
          <t>PREMIUM tier: Cartagena -&gt; Islas del Rosario transport COP 90,000 (~$22) each way (GetYourGuide 2026); tours $25-90.</t>
        </is>
      </c>
      <c r="BB30" s="40" t="n"/>
    </row>
    <row r="31">
      <c r="A31" s="38" t="inlineStr">
        <is>
          <t>Yango Colombia</t>
        </is>
      </c>
      <c r="B31" s="38" t="inlineStr">
        <is>
          <t>Colombia</t>
        </is>
      </c>
      <c r="C31" s="39" t="inlineStr">
        <is>
          <t>Cartagena Old City → Islas del Rosario (B)</t>
        </is>
      </c>
      <c r="D31" s="38" t="inlineStr">
        <is>
          <t>yango</t>
        </is>
      </c>
      <c r="E31" s="40" t="inlineStr">
        <is>
          <t>yango-colombia</t>
        </is>
      </c>
      <c r="F31" s="41" t="n">
        <v>1</v>
      </c>
      <c r="G31" s="42" t="n">
        <v>19.6</v>
      </c>
      <c r="H31" s="35" t="n">
        <v>22</v>
      </c>
      <c r="I31" s="43" t="inlineStr">
        <is>
          <t>T2</t>
        </is>
      </c>
      <c r="J31" s="43" t="inlineStr">
        <is>
          <t>med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MIN(15,FLOOR(60*service_hr/M31,1))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25000</v>
      </c>
      <c r="AK31" s="43" t="n"/>
      <c r="AL31" s="43" t="inlineStr">
        <is>
          <t>med</t>
        </is>
      </c>
      <c r="AM31" s="50" t="n">
        <v>0.25</v>
      </c>
      <c r="AN31" s="45">
        <f>IF(AJ31="","",AJ31*AM31)</f>
        <v/>
      </c>
      <c r="AO31" s="45">
        <f>IF(OR(AJ31="",U31=0),"",MIN(IF(AW31="",9.9E+99,AW31),FLOOR(AN31/U31,1)))</f>
        <v/>
      </c>
      <c r="AP31" s="49">
        <f>IF(AO31="","",AO31*W31)</f>
        <v/>
      </c>
      <c r="AQ31" s="47">
        <f>IF(OR(AJ31="",U31=0),"",MIN(IF(AW31="",9.9E+99,AW31),AN31/U31))</f>
        <v/>
      </c>
      <c r="AR31" s="49">
        <f>IF(AQ31="","",AQ31*W31)</f>
        <v/>
      </c>
      <c r="AS31" s="51" t="n"/>
      <c r="AT31" s="43" t="inlineStr">
        <is>
          <t>Estimated</t>
        </is>
      </c>
      <c r="AU31" s="52" t="n"/>
      <c r="AV31" s="52" t="n"/>
      <c r="AW31" s="53" t="n"/>
      <c r="AX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Y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Z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BA31" s="40" t="inlineStr">
        <is>
          <t>PREMIUM tier: Cartagena -&gt; Islas del Rosario transport COP 90,000 (~$22) each way (GetYourGuide 2026).</t>
        </is>
      </c>
      <c r="BB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Split → Trogir (via Čiovo)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8</v>
      </c>
      <c r="H32" s="35" t="n">
        <v>10.8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MIN(24,FLOOR(60*service_hr/M32,1))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IF(OR(AJ32="",U32=0),"",MIN(IF(AW32="",9.9E+99,AW32),FLOOR(AN32/U32,1)))</f>
        <v/>
      </c>
      <c r="AP32" s="49">
        <f>IF(AO32="","",AO32*W32)</f>
        <v/>
      </c>
      <c r="AQ32" s="47">
        <f>IF(OR(AJ32="",U32=0),"",MIN(IF(AW32="",9.9E+99,AW32),AN32/U32))</f>
        <v/>
      </c>
      <c r="AR32" s="49">
        <f>IF(AQ32="","",AQ32*W32)</f>
        <v/>
      </c>
      <c r="AS32" s="51" t="n"/>
      <c r="AT32" s="43" t="inlineStr">
        <is>
          <t>Estimated</t>
        </is>
      </c>
      <c r="AU32" s="52" t="n"/>
      <c r="AV32" s="52" t="n"/>
      <c r="AW32" s="53" t="n"/>
      <c r="AX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Y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Z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BA32" s="40" t="inlineStr">
        <is>
          <t>PREMIUM/scheduled per-seat: Bura Line Split-&gt;Trogir EUR 10 adult (60 min). EUR 10 x 1.08 = $10.8.</t>
        </is>
      </c>
      <c r="BB32" s="40" t="n"/>
    </row>
    <row r="33">
      <c r="A33" s="38" t="inlineStr">
        <is>
          <t>Bolt Croatia</t>
        </is>
      </c>
      <c r="B33" s="38" t="inlineStr">
        <is>
          <t>Croatia</t>
        </is>
      </c>
      <c r="C33" s="39" t="inlineStr">
        <is>
          <t>Dubrovnik → Elaphiti Islands (Lopud / Šipan / Koločep)</t>
        </is>
      </c>
      <c r="D33" s="38" t="inlineStr">
        <is>
          <t>bolt</t>
        </is>
      </c>
      <c r="E33" s="40" t="inlineStr">
        <is>
          <t>bolt-croatia</t>
        </is>
      </c>
      <c r="F33" s="41" t="n">
        <v>1</v>
      </c>
      <c r="G33" s="42" t="n">
        <v>8</v>
      </c>
      <c r="H33" s="35" t="n">
        <v>45.4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MIN(15,FLOOR(60*service_hr/M33,1))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/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IF(OR(AJ33="",U33=0),"",MIN(IF(AW33="",9.9E+99,AW33),FLOOR(AN33/U33,1)))</f>
        <v/>
      </c>
      <c r="AP33" s="49">
        <f>IF(AO33="","",AO33*W33)</f>
        <v/>
      </c>
      <c r="AQ33" s="47">
        <f>IF(OR(AJ33="",U33=0),"",MIN(IF(AW33="",9.9E+99,AW33),AN33/U33))</f>
        <v/>
      </c>
      <c r="AR33" s="49">
        <f>IF(AQ33="","",AQ33*W33)</f>
        <v/>
      </c>
      <c r="AS33" s="51" t="n"/>
      <c r="AT33" s="43" t="inlineStr">
        <is>
          <t>Estimated</t>
        </is>
      </c>
      <c r="AU33" s="52" t="n"/>
      <c r="AV33" s="52" t="n"/>
      <c r="AW33" s="53" t="n"/>
      <c r="AX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Y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Z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BA33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B33" s="40" t="n"/>
    </row>
    <row r="34">
      <c r="A34" s="38" t="inlineStr">
        <is>
          <t>Bolt Croatia</t>
        </is>
      </c>
      <c r="B34" s="38" t="inlineStr">
        <is>
          <t>Croatia</t>
        </is>
      </c>
      <c r="C34" s="39" t="inlineStr">
        <is>
          <t>Split → Šolta (Rogač)</t>
        </is>
      </c>
      <c r="D34" s="38" t="inlineStr">
        <is>
          <t>bolt</t>
        </is>
      </c>
      <c r="E34" s="40" t="inlineStr">
        <is>
          <t>bolt-croatia</t>
        </is>
      </c>
      <c r="F34" s="41" t="n">
        <v>1</v>
      </c>
      <c r="G34" s="42" t="n">
        <v>9</v>
      </c>
      <c r="H34" s="35" t="n">
        <v>7.6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/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IF(OR(AJ34="",U34=0),"",MIN(IF(AW34="",9.9E+99,AW34),FLOOR(AN34/U34,1)))</f>
        <v/>
      </c>
      <c r="AP34" s="49">
        <f>IF(AO34="","",AO34*W34)</f>
        <v/>
      </c>
      <c r="AQ34" s="47">
        <f>IF(OR(AJ34="",U34=0),"",MIN(IF(AW34="",9.9E+99,AW34),AN34/U34))</f>
        <v/>
      </c>
      <c r="AR34" s="49">
        <f>IF(AQ34="","",AQ34*W34)</f>
        <v/>
      </c>
      <c r="AS34" s="51" t="n"/>
      <c r="AT34" s="43" t="inlineStr">
        <is>
          <t>Estimated</t>
        </is>
      </c>
      <c r="AU34" s="52" t="n"/>
      <c r="AV34" s="52" t="n"/>
      <c r="AW34" s="53" t="n"/>
      <c r="AX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Y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Z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BA34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B34" s="40" t="n"/>
    </row>
    <row r="35">
      <c r="A35" s="38" t="inlineStr">
        <is>
          <t>Bolt Croatia</t>
        </is>
      </c>
      <c r="B35" s="38" t="inlineStr">
        <is>
          <t>Croatia</t>
        </is>
      </c>
      <c r="C35" s="39" t="inlineStr">
        <is>
          <t>Dubrovnik → Cavtat</t>
        </is>
      </c>
      <c r="D35" s="38" t="inlineStr">
        <is>
          <t>bolt</t>
        </is>
      </c>
      <c r="E35" s="40" t="inlineStr">
        <is>
          <t>bolt-croatia</t>
        </is>
      </c>
      <c r="F35" s="41" t="n">
        <v>1</v>
      </c>
      <c r="G35" s="42" t="n">
        <v>9</v>
      </c>
      <c r="H35" s="35" t="n">
        <v>10.8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MIN(24,FLOOR(60*service_hr/M35,1))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>
        <v>179000</v>
      </c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IF(OR(AJ35="",U35=0),"",MIN(IF(AW35="",9.9E+99,AW35),FLOOR(AN35/U35,1)))</f>
        <v/>
      </c>
      <c r="AP35" s="49">
        <f>IF(AO35="","",AO35*W35)</f>
        <v/>
      </c>
      <c r="AQ35" s="47">
        <f>IF(OR(AJ35="",U35=0),"",MIN(IF(AW35="",9.9E+99,AW35),AN35/U35))</f>
        <v/>
      </c>
      <c r="AR35" s="49">
        <f>IF(AQ35="","",AQ35*W35)</f>
        <v/>
      </c>
      <c r="AS35" s="51" t="n"/>
      <c r="AT35" s="43" t="inlineStr">
        <is>
          <t>Grounded</t>
        </is>
      </c>
      <c r="AU35" s="52" t="n"/>
      <c r="AV35" s="52" t="n"/>
      <c r="AW35" s="53" t="n"/>
      <c r="AX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Y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Z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BA35" s="40" t="inlineStr">
        <is>
          <t>Scheduled water-taxi/boat Dubrovnik&lt;-&gt;Cavtat ~EUR 9-10 one-way (regular service via Mlini/Srebreno). EUR 10 x 1.08 = $10.8.</t>
        </is>
      </c>
      <c r="BB35" s="40" t="n"/>
    </row>
    <row r="36">
      <c r="A36" s="38" t="inlineStr">
        <is>
          <t>Bolt Croatia</t>
        </is>
      </c>
      <c r="B36" s="38" t="inlineStr">
        <is>
          <t>Croatia</t>
        </is>
      </c>
      <c r="C36" s="39" t="inlineStr">
        <is>
          <t>Dubrovnik Airport (Čilipi) → Dubrovnik / Cavtat (resort transfer)</t>
        </is>
      </c>
      <c r="D36" s="38" t="inlineStr">
        <is>
          <t>bolt</t>
        </is>
      </c>
      <c r="E36" s="40" t="inlineStr">
        <is>
          <t>bolt-croatia</t>
        </is>
      </c>
      <c r="F36" s="41" t="n">
        <v>1</v>
      </c>
      <c r="G36" s="42" t="n">
        <v>10</v>
      </c>
      <c r="H36" s="35" t="n"/>
      <c r="I36" s="43" t="n"/>
      <c r="J36" s="43" t="n"/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/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IF(OR(AJ36="",U36=0),"",MIN(IF(AW36="",9.9E+99,AW36),FLOOR(AN36/U36,1)))</f>
        <v/>
      </c>
      <c r="AP36" s="49">
        <f>IF(AO36="","",AO36*W36)</f>
        <v/>
      </c>
      <c r="AQ36" s="47">
        <f>IF(OR(AJ36="",U36=0),"",MIN(IF(AW36="",9.9E+99,AW36),AN36/U36))</f>
        <v/>
      </c>
      <c r="AR36" s="49">
        <f>IF(AQ36="","",AQ36*W36)</f>
        <v/>
      </c>
      <c r="AS36" s="51" t="n"/>
      <c r="AT36" s="43" t="inlineStr">
        <is>
          <t>Estimated</t>
        </is>
      </c>
      <c r="AU36" s="52" t="n"/>
      <c r="AV36" s="52" t="n"/>
      <c r="AW36" s="53" t="n"/>
      <c r="AX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Y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Z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BA36" s="40" t="n"/>
      <c r="BB36" s="40" t="n"/>
    </row>
    <row r="37">
      <c r="A37" s="38" t="inlineStr">
        <is>
          <t>Bolt Croatia</t>
        </is>
      </c>
      <c r="B37" s="38" t="inlineStr">
        <is>
          <t>Croatia</t>
        </is>
      </c>
      <c r="C37" s="39" t="inlineStr">
        <is>
          <t>Split → Brač (Bol)</t>
        </is>
      </c>
      <c r="D37" s="38" t="inlineStr">
        <is>
          <t>bolt</t>
        </is>
      </c>
      <c r="E37" s="40" t="inlineStr">
        <is>
          <t>bolt-croatia</t>
        </is>
      </c>
      <c r="F37" s="41" t="n">
        <v>1</v>
      </c>
      <c r="G37" s="42" t="n">
        <v>12</v>
      </c>
      <c r="H37" s="35" t="n">
        <v>23.5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MIN(15,FLOOR(60*service_hr/M37,1))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400000</v>
      </c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IF(OR(AJ37="",U37=0),"",MIN(IF(AW37="",9.9E+99,AW37),FLOOR(AN37/U37,1)))</f>
        <v/>
      </c>
      <c r="AP37" s="49">
        <f>IF(AO37="","",AO37*W37)</f>
        <v/>
      </c>
      <c r="AQ37" s="47">
        <f>IF(OR(AJ37="",U37=0),"",MIN(IF(AW37="",9.9E+99,AW37),AN37/U37))</f>
        <v/>
      </c>
      <c r="AR37" s="49">
        <f>IF(AQ37="","",AQ37*W37)</f>
        <v/>
      </c>
      <c r="AS37" s="51" t="n"/>
      <c r="AT37" s="43" t="inlineStr">
        <is>
          <t>Grounded</t>
        </is>
      </c>
      <c r="AU37" s="52" t="n"/>
      <c r="AV37" s="52" t="n"/>
      <c r="AW37" s="53" t="n"/>
      <c r="AX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Y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Z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BA37" s="40" t="inlineStr">
        <is>
          <t>PREMIUM tier: seasonal fast catamaran Split-&gt;Bol adult EUR 20-23 (Jadrolinija Split-Bol-Jelsa EUR 20; Krilo/Jadrolinija from EUR 23). Midpoint ~EUR 21.7 x 1.08 = $23.5.</t>
        </is>
      </c>
      <c r="BB37" s="40" t="n"/>
    </row>
    <row r="38">
      <c r="A38" s="38" t="inlineStr">
        <is>
          <t>Bolt Croatia</t>
        </is>
      </c>
      <c r="B38" s="38" t="inlineStr">
        <is>
          <t>Croatia</t>
        </is>
      </c>
      <c r="C38" s="39" t="inlineStr">
        <is>
          <t>Split Airport (Resnik / Trogir) → Split / Brač / Hvar (resort &amp; island transfer)</t>
        </is>
      </c>
      <c r="D38" s="38" t="inlineStr">
        <is>
          <t>bolt</t>
        </is>
      </c>
      <c r="E38" s="40" t="inlineStr">
        <is>
          <t>bolt-croatia</t>
        </is>
      </c>
      <c r="F38" s="41" t="n">
        <v>1</v>
      </c>
      <c r="G38" s="42" t="n">
        <v>12</v>
      </c>
      <c r="H38" s="35" t="n">
        <v>27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/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IF(OR(AJ38="",U38=0),"",MIN(IF(AW38="",9.9E+99,AW38),FLOOR(AN38/U38,1)))</f>
        <v/>
      </c>
      <c r="AP38" s="49">
        <f>IF(AO38="","",AO38*W38)</f>
        <v/>
      </c>
      <c r="AQ38" s="47">
        <f>IF(OR(AJ38="",U38=0),"",MIN(IF(AW38="",9.9E+99,AW38),AN38/U38))</f>
        <v/>
      </c>
      <c r="AR38" s="49">
        <f>IF(AQ38="","",AQ38*W38)</f>
        <v/>
      </c>
      <c r="AS38" s="51" t="n"/>
      <c r="AT38" s="43" t="inlineStr">
        <is>
          <t>Estimated</t>
        </is>
      </c>
      <c r="AU38" s="52" t="n"/>
      <c r="AV38" s="52" t="n"/>
      <c r="AW38" s="53" t="n"/>
      <c r="AX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Y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Z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BA38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B38" s="40" t="n"/>
    </row>
    <row r="39">
      <c r="A39" s="38" t="inlineStr">
        <is>
          <t>Bolt Croatia</t>
        </is>
      </c>
      <c r="B39" s="38" t="inlineStr">
        <is>
          <t>Croatia</t>
        </is>
      </c>
      <c r="C39" s="39" t="inlineStr">
        <is>
          <t>Zadar (Murter / Biograd gateway) → Kornati National Park</t>
        </is>
      </c>
      <c r="D39" s="38" t="inlineStr">
        <is>
          <t>bolt</t>
        </is>
      </c>
      <c r="E39" s="40" t="inlineStr">
        <is>
          <t>bolt-croatia</t>
        </is>
      </c>
      <c r="F39" s="41" t="n">
        <v>1</v>
      </c>
      <c r="G39" s="42" t="n">
        <v>20</v>
      </c>
      <c r="H39" s="35" t="n">
        <v>75.59999999999999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110000</v>
      </c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IF(OR(AJ39="",U39=0),"",MIN(IF(AW39="",9.9E+99,AW39),FLOOR(AN39/U39,1)))</f>
        <v/>
      </c>
      <c r="AP39" s="49">
        <f>IF(AO39="","",AO39*W39)</f>
        <v/>
      </c>
      <c r="AQ39" s="47">
        <f>IF(OR(AJ39="",U39=0),"",MIN(IF(AW39="",9.9E+99,AW39),AN39/U39))</f>
        <v/>
      </c>
      <c r="AR39" s="49">
        <f>IF(AQ39="","",AQ39*W39)</f>
        <v/>
      </c>
      <c r="AS39" s="51" t="n"/>
      <c r="AT39" s="43" t="inlineStr">
        <is>
          <t>Grounded</t>
        </is>
      </c>
      <c r="AU39" s="52" t="n"/>
      <c r="AV39" s="52" t="n"/>
      <c r="AW39" s="53" t="n"/>
      <c r="AX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Y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Z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BA39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B39" s="40" t="n"/>
    </row>
    <row r="40">
      <c r="A40" s="38" t="inlineStr">
        <is>
          <t>Bolt Croatia</t>
        </is>
      </c>
      <c r="B40" s="38" t="inlineStr">
        <is>
          <t>Croatia</t>
        </is>
      </c>
      <c r="C40" s="39" t="inlineStr">
        <is>
          <t>Split → Hvar</t>
        </is>
      </c>
      <c r="D40" s="38" t="inlineStr">
        <is>
          <t>bolt</t>
        </is>
      </c>
      <c r="E40" s="40" t="inlineStr">
        <is>
          <t>bolt-croatia</t>
        </is>
      </c>
      <c r="F40" s="41" t="n">
        <v>1</v>
      </c>
      <c r="G40" s="42" t="n">
        <v>22</v>
      </c>
      <c r="H40" s="35" t="n">
        <v>27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MIN(15,FLOOR(60*service_hr/M40,1))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550000</v>
      </c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IF(OR(AJ40="",U40=0),"",MIN(IF(AW40="",9.9E+99,AW40),FLOOR(AN40/U40,1)))</f>
        <v/>
      </c>
      <c r="AP40" s="49">
        <f>IF(AO40="","",AO40*W40)</f>
        <v/>
      </c>
      <c r="AQ40" s="47">
        <f>IF(OR(AJ40="",U40=0),"",MIN(IF(AW40="",9.9E+99,AW40),AN40/U40))</f>
        <v/>
      </c>
      <c r="AR40" s="49">
        <f>IF(AQ40="","",AQ40*W40)</f>
        <v/>
      </c>
      <c r="AS40" s="51" t="n"/>
      <c r="AT40" s="43" t="inlineStr">
        <is>
          <t>Grounded</t>
        </is>
      </c>
      <c r="AU40" s="52" t="n"/>
      <c r="AV40" s="52" t="n"/>
      <c r="AW40" s="53" t="n"/>
      <c r="AX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Y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Z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BA40" s="40" t="inlineStr">
        <is>
          <t>PREMIUM tier: scheduled fast tourist catamaran Split-&gt;Hvar Town adult ~EUR 25 (Kapetan Luka 'Krilo', TP Line, Adriatic Fast Ferries, Jadrolinija fast cat). EUR 25 x 1.08 = $27.0.</t>
        </is>
      </c>
      <c r="BB40" s="40" t="n"/>
    </row>
    <row r="41">
      <c r="A41" s="38" t="inlineStr">
        <is>
          <t>Bolt Croatia</t>
        </is>
      </c>
      <c r="B41" s="38" t="inlineStr">
        <is>
          <t>Croatia</t>
        </is>
      </c>
      <c r="C41" s="39" t="inlineStr">
        <is>
          <t>Dubrovnik → Mljet (Polače / Sobra)</t>
        </is>
      </c>
      <c r="D41" s="38" t="inlineStr">
        <is>
          <t>bolt</t>
        </is>
      </c>
      <c r="E41" s="40" t="inlineStr">
        <is>
          <t>bolt-croatia</t>
        </is>
      </c>
      <c r="F41" s="41" t="n">
        <v>1</v>
      </c>
      <c r="G41" s="42" t="n">
        <v>22</v>
      </c>
      <c r="H41" s="35" t="n">
        <v>21.6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MIN(15,FLOOR(60*service_hr/M41,1))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>
        <v>125000</v>
      </c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IF(OR(AJ41="",U41=0),"",MIN(IF(AW41="",9.9E+99,AW41),FLOOR(AN41/U41,1)))</f>
        <v/>
      </c>
      <c r="AP41" s="49">
        <f>IF(AO41="","",AO41*W41)</f>
        <v/>
      </c>
      <c r="AQ41" s="47">
        <f>IF(OR(AJ41="",U41=0),"",MIN(IF(AW41="",9.9E+99,AW41),AN41/U41))</f>
        <v/>
      </c>
      <c r="AR41" s="49">
        <f>IF(AQ41="","",AQ41*W41)</f>
        <v/>
      </c>
      <c r="AS41" s="51" t="n"/>
      <c r="AT41" s="43" t="inlineStr">
        <is>
          <t>Grounded</t>
        </is>
      </c>
      <c r="AU41" s="52" t="n"/>
      <c r="AV41" s="52" t="n"/>
      <c r="AW41" s="53" t="n"/>
      <c r="AX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Y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Z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BA41" s="40" t="inlineStr">
        <is>
          <t>PREMIUM tier: TP Line/Krilo catamaran Dubrovnik-&gt;Polače peak adult ~EUR 20 (summer range to EUR 20). EUR 20 x 1.08 = $21.6.</t>
        </is>
      </c>
      <c r="BB41" s="40" t="n"/>
    </row>
    <row r="42">
      <c r="A42" s="38" t="inlineStr">
        <is>
          <t>Bolt Croatia</t>
        </is>
      </c>
      <c r="B42" s="38" t="inlineStr">
        <is>
          <t>Croatia</t>
        </is>
      </c>
      <c r="C42" s="39" t="inlineStr">
        <is>
          <t>Hvar (Hvar Town) → Korčula (Korčula Town)</t>
        </is>
      </c>
      <c r="D42" s="38" t="inlineStr">
        <is>
          <t>bolt</t>
        </is>
      </c>
      <c r="E42" s="40" t="inlineStr">
        <is>
          <t>bolt-croatia</t>
        </is>
      </c>
      <c r="F42" s="41" t="n">
        <v>1</v>
      </c>
      <c r="G42" s="42" t="n">
        <v>30</v>
      </c>
      <c r="H42" s="35" t="n">
        <v>27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MIN(15,FLOOR(60*service_hr/M42,1))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/>
      <c r="AK42" s="43" t="n"/>
      <c r="AL42" s="43" t="n"/>
      <c r="AM42" s="50" t="n">
        <v>0.1</v>
      </c>
      <c r="AN42" s="45">
        <f>IF(AJ42="","",AJ42*AM42)</f>
        <v/>
      </c>
      <c r="AO42" s="45">
        <f>IF(OR(AJ42="",U42=0),"",MIN(IF(AW42="",9.9E+99,AW42),FLOOR(AN42/U42,1)))</f>
        <v/>
      </c>
      <c r="AP42" s="49">
        <f>IF(AO42="","",AO42*W42)</f>
        <v/>
      </c>
      <c r="AQ42" s="47">
        <f>IF(OR(AJ42="",U42=0),"",MIN(IF(AW42="",9.9E+99,AW42),AN42/U42))</f>
        <v/>
      </c>
      <c r="AR42" s="49">
        <f>IF(AQ42="","",AQ42*W42)</f>
        <v/>
      </c>
      <c r="AS42" s="51" t="n"/>
      <c r="AT42" s="43" t="inlineStr">
        <is>
          <t>Estimated</t>
        </is>
      </c>
      <c r="AU42" s="52" t="n"/>
      <c r="AV42" s="52" t="n"/>
      <c r="AW42" s="53" t="n"/>
      <c r="AX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Y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Z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BA42" s="40" t="inlineStr">
        <is>
          <t>PREMIUM tier: Krilo/Kapetan Luka &amp; TP Line catamaran Hvar-&gt;Korčula top foot fare ~EUR 25 (range EUR 5.84-25). EUR 25 x 1.08 = $27.0.</t>
        </is>
      </c>
      <c r="BB42" s="40" t="n"/>
    </row>
    <row r="43">
      <c r="A43" s="38" t="inlineStr">
        <is>
          <t>Bolt Croatia</t>
        </is>
      </c>
      <c r="B43" s="38" t="inlineStr">
        <is>
          <t>Croatia</t>
        </is>
      </c>
      <c r="C43" s="39" t="inlineStr">
        <is>
          <t>Split → Vis</t>
        </is>
      </c>
      <c r="D43" s="38" t="inlineStr">
        <is>
          <t>bolt</t>
        </is>
      </c>
      <c r="E43" s="40" t="inlineStr">
        <is>
          <t>bolt-croatia</t>
        </is>
      </c>
      <c r="F43" s="41" t="n">
        <v>1</v>
      </c>
      <c r="G43" s="42" t="n">
        <v>31</v>
      </c>
      <c r="H43" s="35" t="n">
        <v>30.2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MIN(15,FLOOR(60*service_hr/M43,1))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46000</v>
      </c>
      <c r="AK43" s="43" t="n"/>
      <c r="AL43" s="43" t="n"/>
      <c r="AM43" s="50" t="n">
        <v>0.1</v>
      </c>
      <c r="AN43" s="45">
        <f>IF(AJ43="","",AJ43*AM43)</f>
        <v/>
      </c>
      <c r="AO43" s="45">
        <f>IF(OR(AJ43="",U43=0),"",MIN(IF(AW43="",9.9E+99,AW43),FLOOR(AN43/U43,1)))</f>
        <v/>
      </c>
      <c r="AP43" s="49">
        <f>IF(AO43="","",AO43*W43)</f>
        <v/>
      </c>
      <c r="AQ43" s="47">
        <f>IF(OR(AJ43="",U43=0),"",MIN(IF(AW43="",9.9E+99,AW43),AN43/U43))</f>
        <v/>
      </c>
      <c r="AR43" s="49">
        <f>IF(AQ43="","",AQ43*W43)</f>
        <v/>
      </c>
      <c r="AS43" s="51" t="n"/>
      <c r="AT43" s="43" t="inlineStr">
        <is>
          <t>Grounded</t>
        </is>
      </c>
      <c r="AU43" s="52" t="n"/>
      <c r="AV43" s="52" t="n"/>
      <c r="AW43" s="53" t="n"/>
      <c r="AX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Y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Z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BA43" s="40" t="inlineStr">
        <is>
          <t>PREMIUM tier: Kapetan Luka 'Krilo'/Jadrolinija fast catamaran Split-&gt;Vis, top foot fare ~EUR 28 (range EUR 6.50-28). EUR 28 x 1.08 = $30.2.</t>
        </is>
      </c>
      <c r="BB43" s="40" t="n"/>
    </row>
    <row r="44">
      <c r="A44" s="38" t="inlineStr">
        <is>
          <t>Bolt Croatia</t>
        </is>
      </c>
      <c r="B44" s="38" t="inlineStr">
        <is>
          <t>Croatia</t>
        </is>
      </c>
      <c r="C44" s="39" t="inlineStr">
        <is>
          <t>Split → Korčula (Korčula Town)</t>
        </is>
      </c>
      <c r="D44" s="38" t="inlineStr">
        <is>
          <t>bolt</t>
        </is>
      </c>
      <c r="E44" s="40" t="inlineStr">
        <is>
          <t>bolt-croatia</t>
        </is>
      </c>
      <c r="F44" s="41" t="n">
        <v>1</v>
      </c>
      <c r="G44" s="42" t="n">
        <v>40</v>
      </c>
      <c r="H44" s="35" t="n">
        <v>32.4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MIN(15,FLOOR(60*service_hr/M44,1))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183000</v>
      </c>
      <c r="AK44" s="43" t="n"/>
      <c r="AL44" s="43" t="n"/>
      <c r="AM44" s="50" t="n">
        <v>0.1</v>
      </c>
      <c r="AN44" s="45">
        <f>IF(AJ44="","",AJ44*AM44)</f>
        <v/>
      </c>
      <c r="AO44" s="45">
        <f>IF(OR(AJ44="",U44=0),"",MIN(IF(AW44="",9.9E+99,AW44),FLOOR(AN44/U44,1)))</f>
        <v/>
      </c>
      <c r="AP44" s="49">
        <f>IF(AO44="","",AO44*W44)</f>
        <v/>
      </c>
      <c r="AQ44" s="47">
        <f>IF(OR(AJ44="",U44=0),"",MIN(IF(AW44="",9.9E+99,AW44),AN44/U44))</f>
        <v/>
      </c>
      <c r="AR44" s="49">
        <f>IF(AQ44="","",AQ44*W44)</f>
        <v/>
      </c>
      <c r="AS44" s="51" t="n"/>
      <c r="AT44" s="43" t="inlineStr">
        <is>
          <t>Grounded</t>
        </is>
      </c>
      <c r="AU44" s="52" t="n"/>
      <c r="AV44" s="52" t="n"/>
      <c r="AW44" s="53" t="n"/>
      <c r="AX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Y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Z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BA44" s="40" t="inlineStr">
        <is>
          <t>PREMIUM tier: high-season fast catamaran Split-&gt;Korčula adult up to EUR 30 (Krilo/TP Line). EUR 30 x 1.08 = $32.4.</t>
        </is>
      </c>
      <c r="BB44" s="40" t="n"/>
    </row>
    <row r="45">
      <c r="A45" s="38" t="inlineStr">
        <is>
          <t>Bolt Croatia</t>
        </is>
      </c>
      <c r="B45" s="38" t="inlineStr">
        <is>
          <t>Croatia</t>
        </is>
      </c>
      <c r="C45" s="39" t="inlineStr">
        <is>
          <t>Dubrovnik → Kotor (Montenegro)</t>
        </is>
      </c>
      <c r="D45" s="38" t="inlineStr">
        <is>
          <t>bolt</t>
        </is>
      </c>
      <c r="E45" s="40" t="inlineStr">
        <is>
          <t>bolt-croatia</t>
        </is>
      </c>
      <c r="F45" s="41" t="n">
        <v>1</v>
      </c>
      <c r="G45" s="42" t="n">
        <v>40</v>
      </c>
      <c r="H45" s="35" t="n"/>
      <c r="I45" s="43" t="n"/>
      <c r="J45" s="43" t="n"/>
      <c r="K45" s="29" t="n">
        <v>1</v>
      </c>
      <c r="L45" s="44">
        <f>60*G45/cruise_kt</f>
        <v/>
      </c>
      <c r="M45" s="44">
        <f>L45+turn_min+dwell_min</f>
        <v/>
      </c>
      <c r="N45" s="45">
        <f>MIN(15,FLOOR(60*service_hr/M45,1))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/>
      <c r="AK45" s="43" t="n"/>
      <c r="AL45" s="43" t="n"/>
      <c r="AM45" s="50" t="n">
        <v>0.1</v>
      </c>
      <c r="AN45" s="45">
        <f>IF(AJ45="","",AJ45*AM45)</f>
        <v/>
      </c>
      <c r="AO45" s="45">
        <f>IF(OR(AJ45="",U45=0),"",MIN(IF(AW45="",9.9E+99,AW45),FLOOR(AN45/U45,1)))</f>
        <v/>
      </c>
      <c r="AP45" s="49">
        <f>IF(AO45="","",AO45*W45)</f>
        <v/>
      </c>
      <c r="AQ45" s="47">
        <f>IF(OR(AJ45="",U45=0),"",MIN(IF(AW45="",9.9E+99,AW45),AN45/U45))</f>
        <v/>
      </c>
      <c r="AR45" s="49">
        <f>IF(AQ45="","",AQ45*W45)</f>
        <v/>
      </c>
      <c r="AS45" s="51" t="n"/>
      <c r="AT45" s="43" t="inlineStr">
        <is>
          <t>Estimated</t>
        </is>
      </c>
      <c r="AU45" s="52" t="n"/>
      <c r="AV45" s="52" t="n"/>
      <c r="AW45" s="53" t="n"/>
      <c r="AX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Y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Z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BA45" s="40" t="n"/>
      <c r="BB45" s="40" t="n"/>
    </row>
    <row r="46">
      <c r="A46" s="38" t="inlineStr">
        <is>
          <t>Bolt Croatia</t>
        </is>
      </c>
      <c r="B46" s="38" t="inlineStr">
        <is>
          <t>Croatia</t>
        </is>
      </c>
      <c r="C46" s="39" t="inlineStr">
        <is>
          <t>Dubrovnik → Korčula (Korčula Town)</t>
        </is>
      </c>
      <c r="D46" s="38" t="inlineStr">
        <is>
          <t>bolt</t>
        </is>
      </c>
      <c r="E46" s="40" t="inlineStr">
        <is>
          <t>bolt-croatia</t>
        </is>
      </c>
      <c r="F46" s="41" t="n">
        <v>1</v>
      </c>
      <c r="G46" s="42" t="n">
        <v>47</v>
      </c>
      <c r="H46" s="35" t="n">
        <v>32.4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MIN(15,FLOOR(60*service_hr/M46,1))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/>
      <c r="AK46" s="43" t="n"/>
      <c r="AL46" s="43" t="n"/>
      <c r="AM46" s="50" t="n">
        <v>0.1</v>
      </c>
      <c r="AN46" s="45">
        <f>IF(AJ46="","",AJ46*AM46)</f>
        <v/>
      </c>
      <c r="AO46" s="45">
        <f>IF(OR(AJ46="",U46=0),"",MIN(IF(AW46="",9.9E+99,AW46),FLOOR(AN46/U46,1)))</f>
        <v/>
      </c>
      <c r="AP46" s="49">
        <f>IF(AO46="","",AO46*W46)</f>
        <v/>
      </c>
      <c r="AQ46" s="47">
        <f>IF(OR(AJ46="",U46=0),"",MIN(IF(AW46="",9.9E+99,AW46),AN46/U46))</f>
        <v/>
      </c>
      <c r="AR46" s="49">
        <f>IF(AQ46="","",AQ46*W46)</f>
        <v/>
      </c>
      <c r="AS46" s="51" t="n"/>
      <c r="AT46" s="43" t="inlineStr">
        <is>
          <t>Estimated</t>
        </is>
      </c>
      <c r="AU46" s="52" t="n"/>
      <c r="AV46" s="52" t="n"/>
      <c r="AW46" s="53" t="n"/>
      <c r="AX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Y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Z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BA46" s="40" t="inlineStr">
        <is>
          <t>PREMIUM tier: high-season catamaran Dubrovnik-&gt;Korčula adult up to EUR 30 (TP Line/Krilo). EUR 30 x 1.08 = $32.4.</t>
        </is>
      </c>
      <c r="BB46" s="40" t="n"/>
    </row>
    <row r="47">
      <c r="A47" s="38" t="inlineStr">
        <is>
          <t>Ocean Whisperer</t>
        </is>
      </c>
      <c r="B47" s="38" t="inlineStr">
        <is>
          <t>Curaçao</t>
        </is>
      </c>
      <c r="C47" s="39" t="inlineStr">
        <is>
          <t>Willemstad / Sint Anna Bay → Piscadera Bay (Marriott / JW-style resort cluster)</t>
        </is>
      </c>
      <c r="D47" s="38" t="inlineStr">
        <is>
          <t>ocean-whisperer</t>
        </is>
      </c>
      <c r="E47" s="40" t="inlineStr">
        <is>
          <t>ocean-whisperer</t>
        </is>
      </c>
      <c r="F47" s="41" t="n">
        <v>1</v>
      </c>
      <c r="G47" s="42" t="n">
        <v>3</v>
      </c>
      <c r="H47" s="35" t="n">
        <v>45</v>
      </c>
      <c r="I47" s="43" t="inlineStr">
        <is>
          <t>T5</t>
        </is>
      </c>
      <c r="J47" s="43" t="inlineStr">
        <is>
          <t>low</t>
        </is>
      </c>
      <c r="K47" s="29" t="n">
        <v>0.9</v>
      </c>
      <c r="L47" s="44">
        <f>60*G47/cruise_kt</f>
        <v/>
      </c>
      <c r="M47" s="44">
        <f>L47+turn_min+dwell_min</f>
        <v/>
      </c>
      <c r="N47" s="45">
        <f>MIN(15,FLOOR(60*service_hr/M47,1))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0.9</v>
      </c>
      <c r="AN47" s="45">
        <f>IF(AJ47="","",AJ47*AM47)</f>
        <v/>
      </c>
      <c r="AO47" s="45">
        <f>IF(OR(AJ47="",U47=0),"",MIN(IF(AW47="",9.9E+99,AW47),FLOOR(AN47/U47,1)))</f>
        <v/>
      </c>
      <c r="AP47" s="49">
        <f>IF(AO47="","",AO47*W47)</f>
        <v/>
      </c>
      <c r="AQ47" s="47">
        <f>IF(OR(AJ47="",U47=0),"",MIN(IF(AW47="",9.9E+99,AW47),AN47/U47))</f>
        <v/>
      </c>
      <c r="AR47" s="49">
        <f>IF(AQ47="","",AQ47*W47)</f>
        <v/>
      </c>
      <c r="AS47" s="51" t="n"/>
      <c r="AT47" s="43" t="inlineStr">
        <is>
          <t>Estimated</t>
        </is>
      </c>
      <c r="AU47" s="52" t="n"/>
      <c r="AV47" s="52" t="n"/>
      <c r="AW47" s="53" t="n"/>
      <c r="AX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Y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Z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BA47" s="40" t="inlineStr">
        <is>
          <t>MODELED short premium transfer. To be finalized in cascade.</t>
        </is>
      </c>
      <c r="BB47" s="40" t="n"/>
    </row>
    <row r="48">
      <c r="A48" s="38" t="inlineStr">
        <is>
          <t>Ocean Whisperer</t>
        </is>
      </c>
      <c r="B48" s="38" t="inlineStr">
        <is>
          <t>Curaçao</t>
        </is>
      </c>
      <c r="C48" s="39" t="inlineStr">
        <is>
          <t>Hato air arrival → leeward embarkation (Piscadera Bay) → Baoase Luxury Resort (south coast, near Willemstad)</t>
        </is>
      </c>
      <c r="D48" s="38" t="inlineStr">
        <is>
          <t>ocean-whisperer</t>
        </is>
      </c>
      <c r="E48" s="40" t="n"/>
      <c r="F48" s="41" t="n">
        <v>1</v>
      </c>
      <c r="G48" s="42" t="n">
        <v>4.4</v>
      </c>
      <c r="H48" s="35" t="n">
        <v>85</v>
      </c>
      <c r="I48" s="43" t="inlineStr">
        <is>
          <t>T5</t>
        </is>
      </c>
      <c r="J48" s="43" t="inlineStr">
        <is>
          <t>low</t>
        </is>
      </c>
      <c r="K48" s="29" t="n">
        <v>0.9</v>
      </c>
      <c r="L48" s="44">
        <f>60*G48/cruise_kt</f>
        <v/>
      </c>
      <c r="M48" s="44">
        <f>L48+turn_min+dwell_min</f>
        <v/>
      </c>
      <c r="N48" s="45">
        <f>MIN(15,FLOOR(60*service_hr/M48,1))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/>
      <c r="AK48" s="43" t="n"/>
      <c r="AL48" s="43" t="n"/>
      <c r="AM48" s="50" t="n">
        <v>0.9</v>
      </c>
      <c r="AN48" s="45">
        <f>IF(AJ48="","",AJ48*AM48)</f>
        <v/>
      </c>
      <c r="AO48" s="45">
        <f>IF(OR(AJ48="",U48=0),"",MIN(IF(AW48="",9.9E+99,AW48),FLOOR(AN48/U48,1)))</f>
        <v/>
      </c>
      <c r="AP48" s="49">
        <f>IF(AO48="","",AO48*W48)</f>
        <v/>
      </c>
      <c r="AQ48" s="47">
        <f>IF(OR(AJ48="",U48=0),"",MIN(IF(AW48="",9.9E+99,AW48),AN48/U48))</f>
        <v/>
      </c>
      <c r="AR48" s="49">
        <f>IF(AQ48="","",AQ48*W48)</f>
        <v/>
      </c>
      <c r="AS48" s="51" t="n"/>
      <c r="AT48" s="43" t="inlineStr">
        <is>
          <t>Estimated</t>
        </is>
      </c>
      <c r="AU48" s="52" t="n"/>
      <c r="AV48" s="52" t="n"/>
      <c r="AW48" s="53" t="n"/>
      <c r="AX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Y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Z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BA48" s="40" t="inlineStr">
        <is>
          <t>MODELED captive-luxury air→resort transfer (shorter leg than Sandals). To be finalized in cascade.</t>
        </is>
      </c>
      <c r="BB48" s="40" t="n"/>
    </row>
    <row r="49">
      <c r="A49" s="38" t="inlineStr">
        <is>
          <t>Ocean Whisperer</t>
        </is>
      </c>
      <c r="B49" s="38" t="inlineStr">
        <is>
          <t>Curaçao</t>
        </is>
      </c>
      <c r="C49" s="39" t="inlineStr">
        <is>
          <t>Spanish Water / Jan Thiel (resort &amp; leisure cluster) → Baoase Luxury Resort</t>
        </is>
      </c>
      <c r="D49" s="38" t="inlineStr">
        <is>
          <t>ocean-whisperer</t>
        </is>
      </c>
      <c r="E49" s="40" t="inlineStr">
        <is>
          <t>ocean-whisperer</t>
        </is>
      </c>
      <c r="F49" s="41" t="n">
        <v>1</v>
      </c>
      <c r="G49" s="42" t="n">
        <v>5</v>
      </c>
      <c r="H49" s="35" t="n">
        <v>50</v>
      </c>
      <c r="I49" s="43" t="inlineStr">
        <is>
          <t>T5</t>
        </is>
      </c>
      <c r="J49" s="43" t="inlineStr">
        <is>
          <t>low</t>
        </is>
      </c>
      <c r="K49" s="29" t="n">
        <v>0.9</v>
      </c>
      <c r="L49" s="44">
        <f>60*G49/cruise_kt</f>
        <v/>
      </c>
      <c r="M49" s="44">
        <f>L49+turn_min+dwell_min</f>
        <v/>
      </c>
      <c r="N49" s="45">
        <f>MIN(15,FLOOR(60*service_hr/M49,1))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/>
      <c r="AK49" s="43" t="n"/>
      <c r="AL49" s="43" t="n"/>
      <c r="AM49" s="50" t="n">
        <v>0.9</v>
      </c>
      <c r="AN49" s="45">
        <f>IF(AJ49="","",AJ49*AM49)</f>
        <v/>
      </c>
      <c r="AO49" s="45">
        <f>IF(OR(AJ49="",U49=0),"",MIN(IF(AW49="",9.9E+99,AW49),FLOOR(AN49/U49,1)))</f>
        <v/>
      </c>
      <c r="AP49" s="49">
        <f>IF(AO49="","",AO49*W49)</f>
        <v/>
      </c>
      <c r="AQ49" s="47">
        <f>IF(OR(AJ49="",U49=0),"",MIN(IF(AW49="",9.9E+99,AW49),AN49/U49))</f>
        <v/>
      </c>
      <c r="AR49" s="49">
        <f>IF(AQ49="","",AQ49*W49)</f>
        <v/>
      </c>
      <c r="AS49" s="51" t="n"/>
      <c r="AT49" s="43" t="inlineStr">
        <is>
          <t>Estimated</t>
        </is>
      </c>
      <c r="AU49" s="52" t="n"/>
      <c r="AV49" s="52" t="n"/>
      <c r="AW49" s="53" t="n"/>
      <c r="AX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Y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Z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BA49" s="40" t="inlineStr">
        <is>
          <t>MODELED inter-resort premium hop. To be finalized in cascade.</t>
        </is>
      </c>
      <c r="BB49" s="40" t="n"/>
    </row>
    <row r="50">
      <c r="A50" s="38" t="inlineStr">
        <is>
          <t>Ocean Whisperer</t>
        </is>
      </c>
      <c r="B50" s="38" t="inlineStr">
        <is>
          <t>Curaçao</t>
        </is>
      </c>
      <c r="C50" s="39" t="inlineStr">
        <is>
          <t>Willemstad / Sint Anna Bay (cruise mega-pier + Queen Emma waterfront) → Sandals Royal Curaçao (Spanish Water / Santa Barbara)</t>
        </is>
      </c>
      <c r="D50" s="38" t="inlineStr">
        <is>
          <t>ocean-whisperer</t>
        </is>
      </c>
      <c r="E50" s="40" t="inlineStr">
        <is>
          <t>ocean-whisperer</t>
        </is>
      </c>
      <c r="F50" s="41" t="n">
        <v>1</v>
      </c>
      <c r="G50" s="42" t="n">
        <v>7</v>
      </c>
      <c r="H50" s="35" t="n">
        <v>55</v>
      </c>
      <c r="I50" s="43" t="inlineStr">
        <is>
          <t>T5</t>
        </is>
      </c>
      <c r="J50" s="43" t="inlineStr">
        <is>
          <t>low</t>
        </is>
      </c>
      <c r="K50" s="29" t="n">
        <v>0.9</v>
      </c>
      <c r="L50" s="44">
        <f>60*G50/cruise_kt</f>
        <v/>
      </c>
      <c r="M50" s="44">
        <f>L50+turn_min+dwell_min</f>
        <v/>
      </c>
      <c r="N50" s="45">
        <f>MIN(15,FLOOR(60*service_hr/M50,1))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/>
      <c r="AK50" s="43" t="n"/>
      <c r="AL50" s="43" t="n"/>
      <c r="AM50" s="50" t="n">
        <v>0.9</v>
      </c>
      <c r="AN50" s="45">
        <f>IF(AJ50="","",AJ50*AM50)</f>
        <v/>
      </c>
      <c r="AO50" s="45">
        <f>IF(OR(AJ50="",U50=0),"",MIN(IF(AW50="",9.9E+99,AW50),FLOOR(AN50/U50,1)))</f>
        <v/>
      </c>
      <c r="AP50" s="49">
        <f>IF(AO50="","",AO50*W50)</f>
        <v/>
      </c>
      <c r="AQ50" s="47">
        <f>IF(OR(AJ50="",U50=0),"",MIN(IF(AW50="",9.9E+99,AW50),AN50/U50))</f>
        <v/>
      </c>
      <c r="AR50" s="49">
        <f>IF(AQ50="","",AQ50*W50)</f>
        <v/>
      </c>
      <c r="AS50" s="51" t="n"/>
      <c r="AT50" s="43" t="inlineStr">
        <is>
          <t>Estimated</t>
        </is>
      </c>
      <c r="AU50" s="52" t="n"/>
      <c r="AV50" s="52" t="n"/>
      <c r="AW50" s="53" t="n"/>
      <c r="AX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Y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Z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BA50" s="40" t="inlineStr">
        <is>
          <t>MODELED premium cruise-shore-excursion / resort transfer band. To be finalized in cascade.</t>
        </is>
      </c>
      <c r="BB50" s="40" t="n"/>
    </row>
    <row r="51">
      <c r="A51" s="38" t="inlineStr">
        <is>
          <t>Caribbean</t>
        </is>
      </c>
      <c r="B51" s="38" t="inlineStr">
        <is>
          <t>Curaçao</t>
        </is>
      </c>
      <c r="C51" s="39" t="inlineStr">
        <is>
          <t>Willemstad / Sint Anna Bay (Curaçao) → Spanish Water / Jan Thiel resort &amp; leisure cluster (Curaçao)</t>
        </is>
      </c>
      <c r="D51" s="38" t="inlineStr">
        <is>
          <t>caribbean</t>
        </is>
      </c>
      <c r="E51" s="40" t="inlineStr">
        <is>
          <t>caribbean</t>
        </is>
      </c>
      <c r="F51" s="41" t="n">
        <v>1</v>
      </c>
      <c r="G51" s="42" t="n">
        <v>7</v>
      </c>
      <c r="H51" s="35" t="n">
        <v>40</v>
      </c>
      <c r="I51" s="43" t="inlineStr">
        <is>
          <t>T5</t>
        </is>
      </c>
      <c r="J51" s="43" t="inlineStr">
        <is>
          <t>low</t>
        </is>
      </c>
      <c r="K51" s="29" t="n">
        <v>0.9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IF(OR(AJ51="",U51=0),"",MIN(IF(AW51="",9.9E+99,AW51),FLOOR(AN51/U51,1)))</f>
        <v/>
      </c>
      <c r="AP51" s="49">
        <f>IF(AO51="","",AO51*W51)</f>
        <v/>
      </c>
      <c r="AQ51" s="47">
        <f>IF(OR(AJ51="",U51=0),"",MIN(IF(AW51="",9.9E+99,AW51),AN51/U51))</f>
        <v/>
      </c>
      <c r="AR51" s="49">
        <f>IF(AQ51="","",AQ51*W51)</f>
        <v/>
      </c>
      <c r="AS51" s="51" t="n"/>
      <c r="AT51" s="43" t="inlineStr">
        <is>
          <t>Estimated</t>
        </is>
      </c>
      <c r="AU51" s="52" t="n"/>
      <c r="AV51" s="52" t="n"/>
      <c r="AW51" s="53" t="n"/>
      <c r="AX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Y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Z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BA51" s="40" t="inlineStr">
        <is>
          <t>MODELED premium cruise/town→resort transfer band. To be finalized in cascade.</t>
        </is>
      </c>
      <c r="BB51" s="40" t="n"/>
    </row>
    <row r="52">
      <c r="A52" s="38" t="inlineStr">
        <is>
          <t>Ocean Whisperer</t>
        </is>
      </c>
      <c r="B52" s="38" t="inlineStr">
        <is>
          <t>Curaçao</t>
        </is>
      </c>
      <c r="C52" s="39" t="inlineStr">
        <is>
          <t>Hato air arrival → leeward embarkation (Piscadera Bay) → Sandals Royal Curaçao (Spanish Water / Santa Barbara)</t>
        </is>
      </c>
      <c r="D52" s="38" t="inlineStr">
        <is>
          <t>ocean-whisperer</t>
        </is>
      </c>
      <c r="E52" s="40" t="n"/>
      <c r="F52" s="41" t="n">
        <v>1</v>
      </c>
      <c r="G52" s="42" t="n">
        <v>7.7</v>
      </c>
      <c r="H52" s="35" t="n">
        <v>95</v>
      </c>
      <c r="I52" s="43" t="inlineStr">
        <is>
          <t>T5</t>
        </is>
      </c>
      <c r="J52" s="43" t="inlineStr">
        <is>
          <t>low</t>
        </is>
      </c>
      <c r="K52" s="29" t="n">
        <v>0.9</v>
      </c>
      <c r="L52" s="44">
        <f>60*G52/cruise_kt</f>
        <v/>
      </c>
      <c r="M52" s="44">
        <f>L52+turn_min+dwell_min</f>
        <v/>
      </c>
      <c r="N52" s="45">
        <f>MIN(15,FLOOR(60*service_hr/M52,1))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0.9</v>
      </c>
      <c r="AN52" s="45">
        <f>IF(AJ52="","",AJ52*AM52)</f>
        <v/>
      </c>
      <c r="AO52" s="45">
        <f>IF(OR(AJ52="",U52=0),"",MIN(IF(AW52="",9.9E+99,AW52),FLOOR(AN52/U52,1)))</f>
        <v/>
      </c>
      <c r="AP52" s="49">
        <f>IF(AO52="","",AO52*W52)</f>
        <v/>
      </c>
      <c r="AQ52" s="47">
        <f>IF(OR(AJ52="",U52=0),"",MIN(IF(AW52="",9.9E+99,AW52),AN52/U52))</f>
        <v/>
      </c>
      <c r="AR52" s="49">
        <f>IF(AQ52="","",AQ52*W52)</f>
        <v/>
      </c>
      <c r="AS52" s="51" t="n"/>
      <c r="AT52" s="43" t="inlineStr">
        <is>
          <t>Estimated</t>
        </is>
      </c>
      <c r="AU52" s="52" t="n"/>
      <c r="AV52" s="52" t="n"/>
      <c r="AW52" s="53" t="n"/>
      <c r="AX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Y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Z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BA52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B52" s="40" t="n"/>
    </row>
    <row r="53">
      <c r="A53" s="38" t="inlineStr">
        <is>
          <t>Caribbean</t>
        </is>
      </c>
      <c r="B53" s="38" t="inlineStr">
        <is>
          <t>Curaçao</t>
        </is>
      </c>
      <c r="C53" s="39" t="inlineStr">
        <is>
          <t>Hato (Curaçao Int'l) airport waterfront → Spanish Water / Jan Thiel resort cluster (Curaçao)</t>
        </is>
      </c>
      <c r="D53" s="38" t="inlineStr">
        <is>
          <t>caribbean</t>
        </is>
      </c>
      <c r="E53" s="40" t="inlineStr">
        <is>
          <t>caribbean</t>
        </is>
      </c>
      <c r="F53" s="41" t="n">
        <v>1</v>
      </c>
      <c r="G53" s="42" t="n">
        <v>10</v>
      </c>
      <c r="H53" s="35" t="n">
        <v>50</v>
      </c>
      <c r="I53" s="43" t="inlineStr">
        <is>
          <t>T5</t>
        </is>
      </c>
      <c r="J53" s="43" t="inlineStr">
        <is>
          <t>low</t>
        </is>
      </c>
      <c r="K53" s="29" t="n">
        <v>0.9</v>
      </c>
      <c r="L53" s="44">
        <f>60*G53/cruise_kt</f>
        <v/>
      </c>
      <c r="M53" s="44">
        <f>L53+turn_min+dwell_min</f>
        <v/>
      </c>
      <c r="N53" s="45">
        <f>MIN(15,FLOOR(60*service_hr/M53,1))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IF(OR(AJ53="",U53=0),"",MIN(IF(AW53="",9.9E+99,AW53),FLOOR(AN53/U53,1)))</f>
        <v/>
      </c>
      <c r="AP53" s="49">
        <f>IF(AO53="","",AO53*W53)</f>
        <v/>
      </c>
      <c r="AQ53" s="47">
        <f>IF(OR(AJ53="",U53=0),"",MIN(IF(AW53="",9.9E+99,AW53),AN53/U53))</f>
        <v/>
      </c>
      <c r="AR53" s="49">
        <f>IF(AQ53="","",AQ53*W53)</f>
        <v/>
      </c>
      <c r="AS53" s="51" t="n"/>
      <c r="AT53" s="43" t="inlineStr">
        <is>
          <t>Estimated</t>
        </is>
      </c>
      <c r="AU53" s="52" t="n"/>
      <c r="AV53" s="52" t="n"/>
      <c r="AW53" s="53" t="n"/>
      <c r="AX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Y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Z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BA53" s="40" t="inlineStr">
        <is>
          <t>MODELED premium air→resort transfer band. To be finalized in cascade.</t>
        </is>
      </c>
      <c r="BB53" s="40" t="n"/>
    </row>
    <row r="54">
      <c r="A54" s="38" t="inlineStr">
        <is>
          <t>Ocean Whisperer</t>
        </is>
      </c>
      <c r="B54" s="38" t="inlineStr">
        <is>
          <t>Curaçao</t>
        </is>
      </c>
      <c r="C54" s="39" t="inlineStr">
        <is>
          <t>Spanish Water / Caracasbaai (Curaçao) → Klein Curaçao day-trip jetty</t>
        </is>
      </c>
      <c r="D54" s="38" t="inlineStr">
        <is>
          <t>ocean-whisperer</t>
        </is>
      </c>
      <c r="E54" s="40" t="inlineStr">
        <is>
          <t>ocean-whisperer</t>
        </is>
      </c>
      <c r="F54" s="41" t="n">
        <v>1</v>
      </c>
      <c r="G54" s="42" t="n">
        <v>15</v>
      </c>
      <c r="H54" s="35" t="n">
        <v>120</v>
      </c>
      <c r="I54" s="43" t="inlineStr">
        <is>
          <t>T5</t>
        </is>
      </c>
      <c r="J54" s="43" t="inlineStr">
        <is>
          <t>low</t>
        </is>
      </c>
      <c r="K54" s="29" t="n">
        <v>0.6</v>
      </c>
      <c r="L54" s="44">
        <f>60*G54/cruise_kt</f>
        <v/>
      </c>
      <c r="M54" s="44">
        <f>L54+turn_min+dwell_min</f>
        <v/>
      </c>
      <c r="N54" s="45">
        <f>MIN(15,FLOOR(60*service_hr/M54,1))</f>
        <v/>
      </c>
      <c r="O54" s="42" t="n">
        <v>90</v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0.9</v>
      </c>
      <c r="AN54" s="45">
        <f>IF(AJ54="","",AJ54*AM54)</f>
        <v/>
      </c>
      <c r="AO54" s="45">
        <f>IF(OR(AJ54="",U54=0),"",MIN(IF(AW54="",9.9E+99,AW54),FLOOR(AN54/U54,1)))</f>
        <v/>
      </c>
      <c r="AP54" s="49">
        <f>IF(AO54="","",AO54*W54)</f>
        <v/>
      </c>
      <c r="AQ54" s="47">
        <f>IF(OR(AJ54="",U54=0),"",MIN(IF(AW54="",9.9E+99,AW54),AN54/U54))</f>
        <v/>
      </c>
      <c r="AR54" s="49">
        <f>IF(AQ54="","",AQ54*W54)</f>
        <v/>
      </c>
      <c r="AS54" s="51" t="n"/>
      <c r="AT54" s="43" t="inlineStr">
        <is>
          <t>Estimated</t>
        </is>
      </c>
      <c r="AU54" s="52" t="n"/>
      <c r="AV54" s="52" t="n"/>
      <c r="AW54" s="53" t="n"/>
      <c r="AX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Y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Z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BA54" s="40" t="inlineStr">
        <is>
          <t>MODELED premium seasonal excursion. To be finalized in cascade with season_days.</t>
        </is>
      </c>
      <c r="BB54" s="40" t="n"/>
    </row>
    <row r="55">
      <c r="A55" s="38" t="inlineStr">
        <is>
          <t>Caribbean</t>
        </is>
      </c>
      <c r="B55" s="38" t="inlineStr">
        <is>
          <t>Curaçao</t>
        </is>
      </c>
      <c r="C55" s="39" t="inlineStr">
        <is>
          <t>Curaçao (Spanish Water / Caracasbaai) → Klein Curaçao day-trip jetty</t>
        </is>
      </c>
      <c r="D55" s="38" t="inlineStr">
        <is>
          <t>caribbean</t>
        </is>
      </c>
      <c r="E55" s="40" t="inlineStr">
        <is>
          <t>caribbean</t>
        </is>
      </c>
      <c r="F55" s="41" t="n">
        <v>1</v>
      </c>
      <c r="G55" s="42" t="n">
        <v>15</v>
      </c>
      <c r="H55" s="35" t="n">
        <v>110</v>
      </c>
      <c r="I55" s="43" t="inlineStr">
        <is>
          <t>T5</t>
        </is>
      </c>
      <c r="J55" s="43" t="inlineStr">
        <is>
          <t>low</t>
        </is>
      </c>
      <c r="K55" s="29" t="n">
        <v>0.6</v>
      </c>
      <c r="L55" s="44">
        <f>60*G55/cruise_kt</f>
        <v/>
      </c>
      <c r="M55" s="44">
        <f>L55+turn_min+dwell_min</f>
        <v/>
      </c>
      <c r="N55" s="45">
        <f>MIN(15,FLOOR(60*service_hr/M55,1))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IF(OR(AJ55="",U55=0),"",MIN(IF(AW55="",9.9E+99,AW55),FLOOR(AN55/U55,1)))</f>
        <v/>
      </c>
      <c r="AP55" s="49">
        <f>IF(AO55="","",AO55*W55)</f>
        <v/>
      </c>
      <c r="AQ55" s="47">
        <f>IF(OR(AJ55="",U55=0),"",MIN(IF(AW55="",9.9E+99,AW55),AN55/U55))</f>
        <v/>
      </c>
      <c r="AR55" s="49">
        <f>IF(AQ55="","",AQ55*W55)</f>
        <v/>
      </c>
      <c r="AS55" s="51" t="n"/>
      <c r="AT55" s="43" t="inlineStr">
        <is>
          <t>Estimated</t>
        </is>
      </c>
      <c r="AU55" s="52" t="n"/>
      <c r="AV55" s="52" t="n"/>
      <c r="AW55" s="53" t="n"/>
      <c r="AX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Y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Z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BA55" s="40" t="inlineStr">
        <is>
          <t>MODELED premium seasonal excursion. To be finalized in cascade with season_days.</t>
        </is>
      </c>
      <c r="BB55" s="40" t="n"/>
    </row>
    <row r="56">
      <c r="A56" s="38" t="inlineStr">
        <is>
          <t>Caribbean</t>
        </is>
      </c>
      <c r="B56" s="38" t="inlineStr">
        <is>
          <t>Curaçao</t>
        </is>
      </c>
      <c r="C56" s="39" t="inlineStr">
        <is>
          <t>Curaçao (Spanish Water / Caracasbaai) → Bonaire (Kralendijk town pier)</t>
        </is>
      </c>
      <c r="D56" s="38" t="inlineStr">
        <is>
          <t>caribbean</t>
        </is>
      </c>
      <c r="E56" s="40" t="inlineStr">
        <is>
          <t>caribbean</t>
        </is>
      </c>
      <c r="F56" s="41" t="n">
        <v>1</v>
      </c>
      <c r="G56" s="42" t="n">
        <v>38</v>
      </c>
      <c r="H56" s="35" t="n">
        <v>75</v>
      </c>
      <c r="I56" s="43" t="inlineStr">
        <is>
          <t>T4</t>
        </is>
      </c>
      <c r="J56" s="43" t="inlineStr">
        <is>
          <t>low-med</t>
        </is>
      </c>
      <c r="K56" s="29" t="n">
        <v>0.85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/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IF(OR(AJ56="",U56=0),"",MIN(IF(AW56="",9.9E+99,AW56),FLOOR(AN56/U56,1)))</f>
        <v/>
      </c>
      <c r="AP56" s="49">
        <f>IF(AO56="","",AO56*W56)</f>
        <v/>
      </c>
      <c r="AQ56" s="47">
        <f>IF(OR(AJ56="",U56=0),"",MIN(IF(AW56="",9.9E+99,AW56),AN56/U56))</f>
        <v/>
      </c>
      <c r="AR56" s="49">
        <f>IF(AQ56="","",AQ56*W56)</f>
        <v/>
      </c>
      <c r="AS56" s="51" t="n"/>
      <c r="AT56" s="43" t="inlineStr">
        <is>
          <t>Estimated</t>
        </is>
      </c>
      <c r="AU56" s="52" t="n"/>
      <c r="AV56" s="52" t="n"/>
      <c r="AW56" s="53" t="n"/>
      <c r="AX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Y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Z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BA56" s="40" t="inlineStr">
        <is>
          <t>MODELED against the live Divi Divi/EZ Air Curaçao↔Bonaire one-way fare band (~$90-130); sea transfer priced below air. To be finalized in cascade.</t>
        </is>
      </c>
      <c r="BB56" s="40" t="n"/>
    </row>
    <row r="57">
      <c r="A57" s="38" t="inlineStr">
        <is>
          <t>Bolt Cyprus</t>
        </is>
      </c>
      <c r="B57" s="38" t="inlineStr">
        <is>
          <t>Cyprus</t>
        </is>
      </c>
      <c r="C57" s="39" t="inlineStr">
        <is>
          <t>Ayia Napa → Protaras</t>
        </is>
      </c>
      <c r="D57" s="38" t="inlineStr">
        <is>
          <t>bolt</t>
        </is>
      </c>
      <c r="E57" s="40" t="inlineStr">
        <is>
          <t>bolt-cyprus</t>
        </is>
      </c>
      <c r="F57" s="41" t="n">
        <v>1</v>
      </c>
      <c r="G57" s="42" t="n">
        <v>7</v>
      </c>
      <c r="H57" s="35" t="n">
        <v>32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IF(OR(AJ57="",U57=0),"",MIN(IF(AW57="",9.9E+99,AW57),FLOOR(AN57/U57,1)))</f>
        <v/>
      </c>
      <c r="AP57" s="49">
        <f>IF(AO57="","",AO57*W57)</f>
        <v/>
      </c>
      <c r="AQ57" s="47">
        <f>IF(OR(AJ57="",U57=0),"",MIN(IF(AW57="",9.9E+99,AW57),AN57/U57))</f>
        <v/>
      </c>
      <c r="AR57" s="49">
        <f>IF(AQ57="","",AQ57*W57)</f>
        <v/>
      </c>
      <c r="AS57" s="51" t="n"/>
      <c r="AT57" s="43" t="inlineStr">
        <is>
          <t>Estimated</t>
        </is>
      </c>
      <c r="AU57" s="52" t="n"/>
      <c r="AV57" s="52" t="n"/>
      <c r="AW57" s="53" t="n"/>
      <c r="AX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Y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Z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BA57" s="40" t="inlineStr">
        <is>
          <t>PREMIUM tier (sea analogue) = scheduled Ayia Napa/Protaras Cape Greco cruise per-seat ~EUR 30/pax (~$32); semi-private EUR 99/pax (MedCruises) as charter context.</t>
        </is>
      </c>
      <c r="BB57" s="40" t="n"/>
    </row>
    <row r="58">
      <c r="A58" s="38" t="inlineStr">
        <is>
          <t>Bolt Cyprus</t>
        </is>
      </c>
      <c r="B58" s="38" t="inlineStr">
        <is>
          <t>Cyprus</t>
        </is>
      </c>
      <c r="C58" s="39" t="inlineStr">
        <is>
          <t>Paphos Airport (PFO) → Paphos resorts (Coral Bay)</t>
        </is>
      </c>
      <c r="D58" s="38" t="inlineStr">
        <is>
          <t>bolt</t>
        </is>
      </c>
      <c r="E58" s="40" t="inlineStr">
        <is>
          <t>bolt-cyprus</t>
        </is>
      </c>
      <c r="F58" s="41" t="n">
        <v>1</v>
      </c>
      <c r="G58" s="42" t="n">
        <v>12</v>
      </c>
      <c r="H58" s="35" t="n">
        <v>32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40000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IF(OR(AJ58="",U58=0),"",MIN(IF(AW58="",9.9E+99,AW58),FLOOR(AN58/U58,1)))</f>
        <v/>
      </c>
      <c r="AP58" s="49">
        <f>IF(AO58="","",AO58*W58)</f>
        <v/>
      </c>
      <c r="AQ58" s="47">
        <f>IF(OR(AJ58="",U58=0),"",MIN(IF(AW58="",9.9E+99,AW58),AN58/U58))</f>
        <v/>
      </c>
      <c r="AR58" s="49">
        <f>IF(AQ58="","",AQ58*W58)</f>
        <v/>
      </c>
      <c r="AS58" s="51" t="n"/>
      <c r="AT58" s="43" t="inlineStr">
        <is>
          <t>Estimated</t>
        </is>
      </c>
      <c r="AU58" s="52" t="n"/>
      <c r="AV58" s="52" t="n"/>
      <c r="AW58" s="53" t="n"/>
      <c r="AX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Y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Z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BA58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B58" s="40" t="n"/>
    </row>
    <row r="59">
      <c r="A59" s="38" t="inlineStr">
        <is>
          <t>Bolt Cyprus</t>
        </is>
      </c>
      <c r="B59" s="38" t="inlineStr">
        <is>
          <t>Cyprus</t>
        </is>
      </c>
      <c r="C59" s="39" t="inlineStr">
        <is>
          <t>Larnaca → Ayia Napa</t>
        </is>
      </c>
      <c r="D59" s="38" t="inlineStr">
        <is>
          <t>bolt</t>
        </is>
      </c>
      <c r="E59" s="40" t="inlineStr">
        <is>
          <t>bolt-cyprus</t>
        </is>
      </c>
      <c r="F59" s="41" t="n">
        <v>1</v>
      </c>
      <c r="G59" s="42" t="n">
        <v>19</v>
      </c>
      <c r="H59" s="35" t="n">
        <v>32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MIN(24,FLOOR(60*service_hr/M59,1))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IF(OR(AJ59="",U59=0),"",MIN(IF(AW59="",9.9E+99,AW59),FLOOR(AN59/U59,1)))</f>
        <v/>
      </c>
      <c r="AP59" s="49">
        <f>IF(AO59="","",AO59*W59)</f>
        <v/>
      </c>
      <c r="AQ59" s="47">
        <f>IF(OR(AJ59="",U59=0),"",MIN(IF(AW59="",9.9E+99,AW59),AN59/U59))</f>
        <v/>
      </c>
      <c r="AR59" s="49">
        <f>IF(AQ59="","",AQ59*W59)</f>
        <v/>
      </c>
      <c r="AS59" s="51" t="n"/>
      <c r="AT59" s="43" t="inlineStr">
        <is>
          <t>Estimated</t>
        </is>
      </c>
      <c r="AU59" s="52" t="n"/>
      <c r="AV59" s="52" t="n"/>
      <c r="AW59" s="53" t="n"/>
      <c r="AX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Y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Z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BA59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B59" s="40" t="n"/>
    </row>
    <row r="60">
      <c r="A60" s="38" t="inlineStr">
        <is>
          <t>Bolt Cyprus</t>
        </is>
      </c>
      <c r="B60" s="38" t="inlineStr">
        <is>
          <t>Cyprus</t>
        </is>
      </c>
      <c r="C60" s="39" t="inlineStr">
        <is>
          <t>Larnaca Airport (LCA) → Ayia Napa</t>
        </is>
      </c>
      <c r="D60" s="38" t="inlineStr">
        <is>
          <t>bolt</t>
        </is>
      </c>
      <c r="E60" s="40" t="inlineStr">
        <is>
          <t>bolt-cyprus</t>
        </is>
      </c>
      <c r="F60" s="41" t="n">
        <v>1</v>
      </c>
      <c r="G60" s="42" t="n">
        <v>20</v>
      </c>
      <c r="H60" s="35" t="n">
        <v>38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MIN(15,FLOOR(60*service_hr/M60,1))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>
        <v>28000</v>
      </c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IF(OR(AJ60="",U60=0),"",MIN(IF(AW60="",9.9E+99,AW60),FLOOR(AN60/U60,1)))</f>
        <v/>
      </c>
      <c r="AP60" s="49">
        <f>IF(AO60="","",AO60*W60)</f>
        <v/>
      </c>
      <c r="AQ60" s="47">
        <f>IF(OR(AJ60="",U60=0),"",MIN(IF(AW60="",9.9E+99,AW60),AN60/U60))</f>
        <v/>
      </c>
      <c r="AR60" s="49">
        <f>IF(AQ60="","",AQ60*W60)</f>
        <v/>
      </c>
      <c r="AS60" s="51" t="n"/>
      <c r="AT60" s="43" t="inlineStr">
        <is>
          <t>Estimated</t>
        </is>
      </c>
      <c r="AU60" s="52" t="n"/>
      <c r="AV60" s="52" t="n"/>
      <c r="AW60" s="53" t="n"/>
      <c r="AX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Y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Z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BA60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B60" s="40" t="n"/>
    </row>
    <row r="61">
      <c r="A61" s="38" t="inlineStr">
        <is>
          <t>Bolt Cyprus</t>
        </is>
      </c>
      <c r="B61" s="38" t="inlineStr">
        <is>
          <t>Cyprus</t>
        </is>
      </c>
      <c r="C61" s="39" t="inlineStr">
        <is>
          <t>Larnaca → Protaras</t>
        </is>
      </c>
      <c r="D61" s="38" t="inlineStr">
        <is>
          <t>bolt</t>
        </is>
      </c>
      <c r="E61" s="40" t="inlineStr">
        <is>
          <t>bolt-cyprus</t>
        </is>
      </c>
      <c r="F61" s="41" t="n">
        <v>1</v>
      </c>
      <c r="G61" s="42" t="n">
        <v>23</v>
      </c>
      <c r="H61" s="35" t="n">
        <v>32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MIN(24,FLOOR(60*service_hr/M61,1))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/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IF(OR(AJ61="",U61=0),"",MIN(IF(AW61="",9.9E+99,AW61),FLOOR(AN61/U61,1)))</f>
        <v/>
      </c>
      <c r="AP61" s="49">
        <f>IF(AO61="","",AO61*W61)</f>
        <v/>
      </c>
      <c r="AQ61" s="47">
        <f>IF(OR(AJ61="",U61=0),"",MIN(IF(AW61="",9.9E+99,AW61),AN61/U61))</f>
        <v/>
      </c>
      <c r="AR61" s="49">
        <f>IF(AQ61="","",AQ61*W61)</f>
        <v/>
      </c>
      <c r="AS61" s="51" t="n"/>
      <c r="AT61" s="43" t="inlineStr">
        <is>
          <t>Estimated</t>
        </is>
      </c>
      <c r="AU61" s="52" t="n"/>
      <c r="AV61" s="52" t="n"/>
      <c r="AW61" s="53" t="n"/>
      <c r="AX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Y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Z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BA61" s="40" t="inlineStr">
        <is>
          <t>PREMIUM tier (sea analogue) = Protaras/Ayia Napa scheduled sea-cruise per-seat ~EUR 30/pax (~$32). Yellow Boat Cruises / semi-private EUR 99 as charter context.</t>
        </is>
      </c>
      <c r="BB61" s="40" t="n"/>
    </row>
    <row r="62">
      <c r="A62" s="38" t="inlineStr">
        <is>
          <t>Bolt Cyprus</t>
        </is>
      </c>
      <c r="B62" s="38" t="inlineStr">
        <is>
          <t>Cyprus</t>
        </is>
      </c>
      <c r="C62" s="39" t="inlineStr">
        <is>
          <t>Limassol Marina → Larnaca Marina</t>
        </is>
      </c>
      <c r="D62" s="38" t="inlineStr">
        <is>
          <t>bolt</t>
        </is>
      </c>
      <c r="E62" s="40" t="inlineStr">
        <is>
          <t>bolt-cyprus</t>
        </is>
      </c>
      <c r="F62" s="41" t="n">
        <v>1</v>
      </c>
      <c r="G62" s="42" t="n">
        <v>35</v>
      </c>
      <c r="H62" s="35" t="n">
        <v>38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MIN(15,FLOOR(60*service_hr/M62,1))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99000</v>
      </c>
      <c r="AK62" s="43" t="n"/>
      <c r="AL62" s="43" t="n"/>
      <c r="AM62" s="50" t="n">
        <v>0.1</v>
      </c>
      <c r="AN62" s="45">
        <f>IF(AJ62="","",AJ62*AM62)</f>
        <v/>
      </c>
      <c r="AO62" s="45">
        <f>IF(OR(AJ62="",U62=0),"",MIN(IF(AW62="",9.9E+99,AW62),FLOOR(AN62/U62,1)))</f>
        <v/>
      </c>
      <c r="AP62" s="49">
        <f>IF(AO62="","",AO62*W62)</f>
        <v/>
      </c>
      <c r="AQ62" s="47">
        <f>IF(OR(AJ62="",U62=0),"",MIN(IF(AW62="",9.9E+99,AW62),AN62/U62))</f>
        <v/>
      </c>
      <c r="AR62" s="49">
        <f>IF(AQ62="","",AQ62*W62)</f>
        <v/>
      </c>
      <c r="AS62" s="51" t="n"/>
      <c r="AT62" s="43" t="inlineStr">
        <is>
          <t>Upside tier</t>
        </is>
      </c>
      <c r="AU62" s="52" t="n"/>
      <c r="AV62" s="52" t="inlineStr">
        <is>
          <t>modal_shift_greenfield</t>
        </is>
      </c>
      <c r="AW62" s="53" t="n"/>
      <c r="AX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Y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Z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BA62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B62" s="40" t="n"/>
    </row>
    <row r="63">
      <c r="A63" s="38" t="inlineStr">
        <is>
          <t>Bolt Cyprus</t>
        </is>
      </c>
      <c r="B63" s="38" t="inlineStr">
        <is>
          <t>Cyprus</t>
        </is>
      </c>
      <c r="C63" s="39" t="inlineStr">
        <is>
          <t>Larnaca Airport (LCA) → Limassol</t>
        </is>
      </c>
      <c r="D63" s="38" t="inlineStr">
        <is>
          <t>bolt</t>
        </is>
      </c>
      <c r="E63" s="40" t="inlineStr">
        <is>
          <t>bolt-cyprus</t>
        </is>
      </c>
      <c r="F63" s="41" t="n">
        <v>1</v>
      </c>
      <c r="G63" s="42" t="n">
        <v>35</v>
      </c>
      <c r="H63" s="35" t="n">
        <v>38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MIN(15,FLOOR(60*service_hr/M63,1))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/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IF(OR(AJ63="",U63=0),"",MIN(IF(AW63="",9.9E+99,AW63),FLOOR(AN63/U63,1)))</f>
        <v/>
      </c>
      <c r="AP63" s="49">
        <f>IF(AO63="","",AO63*W63)</f>
        <v/>
      </c>
      <c r="AQ63" s="47">
        <f>IF(OR(AJ63="",U63=0),"",MIN(IF(AW63="",9.9E+99,AW63),AN63/U63))</f>
        <v/>
      </c>
      <c r="AR63" s="49">
        <f>IF(AQ63="","",AQ63*W63)</f>
        <v/>
      </c>
      <c r="AS63" s="51" t="n"/>
      <c r="AT63" s="43" t="inlineStr">
        <is>
          <t>Estimated</t>
        </is>
      </c>
      <c r="AU63" s="52" t="n"/>
      <c r="AV63" s="52" t="n"/>
      <c r="AW63" s="53" t="n"/>
      <c r="AX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Y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Z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BA63" s="40" t="inlineStr">
        <is>
          <t>PREMIUM tier = premium shared airport transfer LCA&lt;-&gt;Limassol EUR 30-40 each way (Rome2Rio), ~$38/seat. Same anchor as the Limassol-&gt;Larnaca corridor.</t>
        </is>
      </c>
      <c r="BB63" s="40" t="n"/>
    </row>
    <row r="64">
      <c r="A64" s="38" t="inlineStr">
        <is>
          <t>Bolt Cyprus</t>
        </is>
      </c>
      <c r="B64" s="38" t="inlineStr">
        <is>
          <t>Cyprus</t>
        </is>
      </c>
      <c r="C64" s="39" t="inlineStr">
        <is>
          <t>Limassol → Paphos</t>
        </is>
      </c>
      <c r="D64" s="38" t="inlineStr">
        <is>
          <t>bolt</t>
        </is>
      </c>
      <c r="E64" s="40" t="inlineStr">
        <is>
          <t>bolt-cyprus</t>
        </is>
      </c>
      <c r="F64" s="41" t="n">
        <v>1</v>
      </c>
      <c r="G64" s="42" t="n">
        <v>40</v>
      </c>
      <c r="H64" s="35" t="n">
        <v>20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IF(OR(AJ64="",U64=0),"",MIN(IF(AW64="",9.9E+99,AW64),FLOOR(AN64/U64,1)))</f>
        <v/>
      </c>
      <c r="AP64" s="49">
        <f>IF(AO64="","",AO64*W64)</f>
        <v/>
      </c>
      <c r="AQ64" s="47">
        <f>IF(OR(AJ64="",U64=0),"",MIN(IF(AW64="",9.9E+99,AW64),AN64/U64))</f>
        <v/>
      </c>
      <c r="AR64" s="49">
        <f>IF(AQ64="","",AQ64*W64)</f>
        <v/>
      </c>
      <c r="AS64" s="51" t="n"/>
      <c r="AT64" s="43" t="inlineStr">
        <is>
          <t>Estimated</t>
        </is>
      </c>
      <c r="AU64" s="52" t="n"/>
      <c r="AV64" s="52" t="n"/>
      <c r="AW64" s="53" t="n"/>
      <c r="AX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Y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Z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BA64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B64" s="40" t="n"/>
    </row>
    <row r="65">
      <c r="A65" s="38" t="inlineStr">
        <is>
          <t>Bolt Cyprus</t>
        </is>
      </c>
      <c r="B65" s="38" t="inlineStr">
        <is>
          <t>Cyprus</t>
        </is>
      </c>
      <c r="C65" s="39" t="inlineStr">
        <is>
          <t>Limassol → Ayia Napa</t>
        </is>
      </c>
      <c r="D65" s="38" t="inlineStr">
        <is>
          <t>bolt</t>
        </is>
      </c>
      <c r="E65" s="40" t="inlineStr">
        <is>
          <t>bolt-cyprus</t>
        </is>
      </c>
      <c r="F65" s="41" t="n">
        <v>1</v>
      </c>
      <c r="G65" s="42" t="n">
        <v>52</v>
      </c>
      <c r="H65" s="35" t="n">
        <v>38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MIN(24,FLOOR(60*service_hr/M65,1))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/>
      <c r="AK65" s="43" t="n"/>
      <c r="AL65" s="43" t="n"/>
      <c r="AM65" s="50" t="n">
        <v>0.1</v>
      </c>
      <c r="AN65" s="45">
        <f>IF(AJ65="","",AJ65*AM65)</f>
        <v/>
      </c>
      <c r="AO65" s="45">
        <f>IF(OR(AJ65="",U65=0),"",MIN(IF(AW65="",9.9E+99,AW65),FLOOR(AN65/U65,1)))</f>
        <v/>
      </c>
      <c r="AP65" s="49">
        <f>IF(AO65="","",AO65*W65)</f>
        <v/>
      </c>
      <c r="AQ65" s="47">
        <f>IF(OR(AJ65="",U65=0),"",MIN(IF(AW65="",9.9E+99,AW65),AN65/U65))</f>
        <v/>
      </c>
      <c r="AR65" s="49">
        <f>IF(AQ65="","",AQ65*W65)</f>
        <v/>
      </c>
      <c r="AS65" s="51" t="n"/>
      <c r="AT65" s="43" t="inlineStr">
        <is>
          <t>Estimated</t>
        </is>
      </c>
      <c r="AU65" s="52" t="n"/>
      <c r="AV65" s="52" t="n"/>
      <c r="AW65" s="53" t="n"/>
      <c r="AX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Y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Z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BA65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B65" s="40" t="n"/>
    </row>
    <row r="66">
      <c r="A66" s="38" t="inlineStr">
        <is>
          <t>Yango Cote Divoire</t>
        </is>
      </c>
      <c r="B66" s="38" t="inlineStr">
        <is>
          <t>Côte d'Ivoire</t>
        </is>
      </c>
      <c r="C66" s="39" t="inlineStr">
        <is>
          <t>Plateau → Treichville</t>
        </is>
      </c>
      <c r="D66" s="38" t="inlineStr">
        <is>
          <t>yango</t>
        </is>
      </c>
      <c r="E66" s="40" t="inlineStr">
        <is>
          <t>yango-cote-divoire</t>
        </is>
      </c>
      <c r="F66" s="41" t="n">
        <v>1</v>
      </c>
      <c r="G66" s="42" t="n">
        <v>1.5</v>
      </c>
      <c r="H66" s="35" t="n">
        <v>18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150600</v>
      </c>
      <c r="AK66" s="43" t="n"/>
      <c r="AL66" s="43" t="inlineStr">
        <is>
          <t>med</t>
        </is>
      </c>
      <c r="AM66" s="50" t="n">
        <v>0.25</v>
      </c>
      <c r="AN66" s="45">
        <f>IF(AJ66="","",AJ66*AM66)</f>
        <v/>
      </c>
      <c r="AO66" s="45">
        <f>IF(OR(AJ66="",U66=0),"",MIN(IF(AW66="",9.9E+99,AW66),FLOOR(AN66/U66,1)))</f>
        <v/>
      </c>
      <c r="AP66" s="49">
        <f>IF(AO66="","",AO66*W66)</f>
        <v/>
      </c>
      <c r="AQ66" s="47">
        <f>IF(OR(AJ66="",U66=0),"",MIN(IF(AW66="",9.9E+99,AW66),AN66/U66))</f>
        <v/>
      </c>
      <c r="AR66" s="49">
        <f>IF(AQ66="","",AQ66*W66)</f>
        <v/>
      </c>
      <c r="AS66" s="51" t="n"/>
      <c r="AT66" s="43" t="inlineStr">
        <is>
          <t>Grounded</t>
        </is>
      </c>
      <c r="AU66" s="52" t="n"/>
      <c r="AV66" s="52" t="n"/>
      <c r="AW66" s="53" t="n"/>
      <c r="AX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Y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Z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BA66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B66" s="40" t="n"/>
    </row>
    <row r="67">
      <c r="A67" s="38" t="inlineStr">
        <is>
          <t>Yango Cote Divoire</t>
        </is>
      </c>
      <c r="B67" s="38" t="inlineStr">
        <is>
          <t>Côte d'Ivoire</t>
        </is>
      </c>
      <c r="C67" s="39" t="inlineStr">
        <is>
          <t>Abobo-Doume (Attecoube) → Plateau</t>
        </is>
      </c>
      <c r="D67" s="38" t="inlineStr">
        <is>
          <t>yango</t>
        </is>
      </c>
      <c r="E67" s="40" t="inlineStr">
        <is>
          <t>yango-cote-divoire</t>
        </is>
      </c>
      <c r="F67" s="41" t="n">
        <v>1</v>
      </c>
      <c r="G67" s="42" t="n">
        <v>1.5</v>
      </c>
      <c r="H67" s="35" t="n">
        <v>18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MIN(24,FLOOR(60*service_hr/M67,1))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150600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IF(OR(AJ67="",U67=0),"",MIN(IF(AW67="",9.9E+99,AW67),FLOOR(AN67/U67,1)))</f>
        <v/>
      </c>
      <c r="AP67" s="49">
        <f>IF(AO67="","",AO67*W67)</f>
        <v/>
      </c>
      <c r="AQ67" s="47">
        <f>IF(OR(AJ67="",U67=0),"",MIN(IF(AW67="",9.9E+99,AW67),AN67/U67))</f>
        <v/>
      </c>
      <c r="AR67" s="49">
        <f>IF(AQ67="","",AQ67*W67)</f>
        <v/>
      </c>
      <c r="AS67" s="51" t="n"/>
      <c r="AT67" s="43" t="inlineStr">
        <is>
          <t>Grounded</t>
        </is>
      </c>
      <c r="AU67" s="52" t="n"/>
      <c r="AV67" s="52" t="n"/>
      <c r="AW67" s="53" t="n"/>
      <c r="AX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Y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Z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BA67" s="40" t="inlineStr">
        <is>
          <t>[LB-255 PREMIUM RE-FARE: subsidized comparable $0.87 lifted to premium on-demand floor $18.0] PREMIUM tier: STL/CITRANS VIP cabin 500 FCFA ~ $0.87.</t>
        </is>
      </c>
      <c r="BB67" s="40" t="n"/>
    </row>
    <row r="68">
      <c r="A68" s="38" t="inlineStr">
        <is>
          <t>Yango Cote Divoire</t>
        </is>
      </c>
      <c r="B68" s="38" t="inlineStr">
        <is>
          <t>Côte d'Ivoire</t>
        </is>
      </c>
      <c r="C68" s="39" t="inlineStr">
        <is>
          <t>Blockhauss (Cocody / Blokosso) → Plateau</t>
        </is>
      </c>
      <c r="D68" s="38" t="inlineStr">
        <is>
          <t>yango</t>
        </is>
      </c>
      <c r="E68" s="40" t="inlineStr">
        <is>
          <t>yango-cote-divoire</t>
        </is>
      </c>
      <c r="F68" s="41" t="n">
        <v>1</v>
      </c>
      <c r="G68" s="42" t="n">
        <v>1.8</v>
      </c>
      <c r="H68" s="35" t="n">
        <v>18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>
        <v>150600</v>
      </c>
      <c r="AK68" s="43" t="n"/>
      <c r="AL68" s="43" t="inlineStr">
        <is>
          <t>med</t>
        </is>
      </c>
      <c r="AM68" s="50" t="n">
        <v>0.25</v>
      </c>
      <c r="AN68" s="45">
        <f>IF(AJ68="","",AJ68*AM68)</f>
        <v/>
      </c>
      <c r="AO68" s="45">
        <f>IF(OR(AJ68="",U68=0),"",MIN(IF(AW68="",9.9E+99,AW68),FLOOR(AN68/U68,1)))</f>
        <v/>
      </c>
      <c r="AP68" s="49">
        <f>IF(AO68="","",AO68*W68)</f>
        <v/>
      </c>
      <c r="AQ68" s="47">
        <f>IF(OR(AJ68="",U68=0),"",MIN(IF(AW68="",9.9E+99,AW68),AN68/U68))</f>
        <v/>
      </c>
      <c r="AR68" s="49">
        <f>IF(AQ68="","",AQ68*W68)</f>
        <v/>
      </c>
      <c r="AS68" s="51" t="n"/>
      <c r="AT68" s="43" t="inlineStr">
        <is>
          <t>Grounded</t>
        </is>
      </c>
      <c r="AU68" s="52" t="n"/>
      <c r="AV68" s="52" t="n"/>
      <c r="AW68" s="53" t="n"/>
      <c r="AX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Y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Z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BA68" s="40" t="inlineStr">
        <is>
          <t>[LB-255 PREMIUM RE-FARE: subsidized comparable $0.87 lifted to premium on-demand floor $18.0] PREMIUM tier: STL/CITRANS VIP cabin 500 FCFA ~ $0.87 (SOTRA standard now ~500 FCFA in 2026).</t>
        </is>
      </c>
      <c r="BB68" s="40" t="n"/>
    </row>
    <row r="69">
      <c r="A69" s="38" t="inlineStr">
        <is>
          <t>Yango Cote Divoire</t>
        </is>
      </c>
      <c r="B69" s="38" t="inlineStr">
        <is>
          <t>Côte d'Ivoire</t>
        </is>
      </c>
      <c r="C69" s="39" t="inlineStr">
        <is>
          <t>Abobo-Doume (Attecoube) → Treichville</t>
        </is>
      </c>
      <c r="D69" s="38" t="inlineStr">
        <is>
          <t>yango</t>
        </is>
      </c>
      <c r="E69" s="40" t="inlineStr">
        <is>
          <t>yango-cote-divoire</t>
        </is>
      </c>
      <c r="F69" s="41" t="n">
        <v>1</v>
      </c>
      <c r="G69" s="42" t="n">
        <v>2</v>
      </c>
      <c r="H69" s="35" t="n">
        <v>18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150600</v>
      </c>
      <c r="AK69" s="43" t="n"/>
      <c r="AL69" s="43" t="inlineStr">
        <is>
          <t>med</t>
        </is>
      </c>
      <c r="AM69" s="50" t="n">
        <v>0.25</v>
      </c>
      <c r="AN69" s="45">
        <f>IF(AJ69="","",AJ69*AM69)</f>
        <v/>
      </c>
      <c r="AO69" s="45">
        <f>IF(OR(AJ69="",U69=0),"",MIN(IF(AW69="",9.9E+99,AW69),FLOOR(AN69/U69,1)))</f>
        <v/>
      </c>
      <c r="AP69" s="49">
        <f>IF(AO69="","",AO69*W69)</f>
        <v/>
      </c>
      <c r="AQ69" s="47">
        <f>IF(OR(AJ69="",U69=0),"",MIN(IF(AW69="",9.9E+99,AW69),AN69/U69))</f>
        <v/>
      </c>
      <c r="AR69" s="49">
        <f>IF(AQ69="","",AQ69*W69)</f>
        <v/>
      </c>
      <c r="AS69" s="51" t="n"/>
      <c r="AT69" s="43" t="inlineStr">
        <is>
          <t>Grounded</t>
        </is>
      </c>
      <c r="AU69" s="52" t="n"/>
      <c r="AV69" s="52" t="n"/>
      <c r="AW69" s="53" t="n"/>
      <c r="AX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Y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Z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BA69" s="40" t="inlineStr">
        <is>
          <t>[LB-255 PREMIUM RE-FARE: subsidized comparable $0.87 lifted to premium on-demand floor $18.0] PREMIUM tier: STL/CITRANS VIP cabin 500 FCFA ~ $0.87.</t>
        </is>
      </c>
      <c r="BB69" s="40" t="n"/>
    </row>
    <row r="70">
      <c r="A70" s="38" t="inlineStr">
        <is>
          <t>Yango Cote Divoire</t>
        </is>
      </c>
      <c r="B70" s="38" t="inlineStr">
        <is>
          <t>Côte d'Ivoire</t>
        </is>
      </c>
      <c r="C70" s="39" t="inlineStr">
        <is>
          <t>Plateau → Cocody (Riviera)</t>
        </is>
      </c>
      <c r="D70" s="38" t="inlineStr">
        <is>
          <t>yango</t>
        </is>
      </c>
      <c r="E70" s="40" t="inlineStr">
        <is>
          <t>yango-cote-divoire</t>
        </is>
      </c>
      <c r="F70" s="41" t="n">
        <v>1</v>
      </c>
      <c r="G70" s="42" t="n">
        <v>3</v>
      </c>
      <c r="H70" s="35" t="n">
        <v>18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MIN(24,FLOOR(60*service_hr/M70,1))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225900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IF(OR(AJ70="",U70=0),"",MIN(IF(AW70="",9.9E+99,AW70),FLOOR(AN70/U70,1)))</f>
        <v/>
      </c>
      <c r="AP70" s="49">
        <f>IF(AO70="","",AO70*W70)</f>
        <v/>
      </c>
      <c r="AQ70" s="47">
        <f>IF(OR(AJ70="",U70=0),"",MIN(IF(AW70="",9.9E+99,AW70),AN70/U70))</f>
        <v/>
      </c>
      <c r="AR70" s="49">
        <f>IF(AQ70="","",AQ70*W70)</f>
        <v/>
      </c>
      <c r="AS70" s="51" t="n"/>
      <c r="AT70" s="43" t="inlineStr">
        <is>
          <t>Grounded</t>
        </is>
      </c>
      <c r="AU70" s="52" t="n"/>
      <c r="AV70" s="52" t="n"/>
      <c r="AW70" s="53" t="n"/>
      <c r="AX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Y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Z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BA70" s="40" t="inlineStr">
        <is>
          <t>[LB-255 PREMIUM RE-FARE: subsidized comparable $0.87 lifted to premium on-demand floor $18.0] PREMIUM tier: STL/CITRANS air-conditioned VIP cabin (Wifi) 500 FCFA ~ $0.87.</t>
        </is>
      </c>
      <c r="BB70" s="40" t="n"/>
    </row>
    <row r="71">
      <c r="A71" s="38" t="inlineStr">
        <is>
          <t>Yango Cote Divoire</t>
        </is>
      </c>
      <c r="B71" s="38" t="inlineStr">
        <is>
          <t>Côte d'Ivoire</t>
        </is>
      </c>
      <c r="C71" s="39" t="inlineStr">
        <is>
          <t>Marcory → Koumassi</t>
        </is>
      </c>
      <c r="D71" s="38" t="inlineStr">
        <is>
          <t>yango</t>
        </is>
      </c>
      <c r="E71" s="40" t="inlineStr">
        <is>
          <t>yango-cote-divoire</t>
        </is>
      </c>
      <c r="F71" s="41" t="n">
        <v>1</v>
      </c>
      <c r="G71" s="42" t="n">
        <v>3</v>
      </c>
      <c r="H71" s="35" t="n"/>
      <c r="I71" s="43" t="n"/>
      <c r="J71" s="43" t="n"/>
      <c r="K71" s="29" t="n">
        <v>1</v>
      </c>
      <c r="L71" s="44">
        <f>60*G71/cruise_kt</f>
        <v/>
      </c>
      <c r="M71" s="44">
        <f>L71+turn_min+dwell_min</f>
        <v/>
      </c>
      <c r="N71" s="45">
        <f>MIN(24,FLOOR(60*service_hr/M71,1))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/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IF(OR(AJ71="",U71=0),"",MIN(IF(AW71="",9.9E+99,AW71),FLOOR(AN71/U71,1)))</f>
        <v/>
      </c>
      <c r="AP71" s="49">
        <f>IF(AO71="","",AO71*W71)</f>
        <v/>
      </c>
      <c r="AQ71" s="47">
        <f>IF(OR(AJ71="",U71=0),"",MIN(IF(AW71="",9.9E+99,AW71),AN71/U71))</f>
        <v/>
      </c>
      <c r="AR71" s="49">
        <f>IF(AQ71="","",AQ71*W71)</f>
        <v/>
      </c>
      <c r="AS71" s="51" t="n"/>
      <c r="AT71" s="43" t="inlineStr">
        <is>
          <t>Estimated</t>
        </is>
      </c>
      <c r="AU71" s="52" t="n"/>
      <c r="AV71" s="52" t="n"/>
      <c r="AW71" s="53" t="n"/>
      <c r="AX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Y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Z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BA71" s="40" t="n"/>
      <c r="BB71" s="40" t="n"/>
    </row>
    <row r="72">
      <c r="A72" s="38" t="inlineStr">
        <is>
          <t>Yango Cote Divoire</t>
        </is>
      </c>
      <c r="B72" s="38" t="inlineStr">
        <is>
          <t>Côte d'Ivoire</t>
        </is>
      </c>
      <c r="C72" s="39" t="inlineStr">
        <is>
          <t>Treichville → Koumassi</t>
        </is>
      </c>
      <c r="D72" s="38" t="inlineStr">
        <is>
          <t>yango</t>
        </is>
      </c>
      <c r="E72" s="40" t="inlineStr">
        <is>
          <t>yango-cote-divoire</t>
        </is>
      </c>
      <c r="F72" s="41" t="n">
        <v>1</v>
      </c>
      <c r="G72" s="42" t="n">
        <v>3.5</v>
      </c>
      <c r="H72" s="35" t="n">
        <v>18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MIN(24,FLOOR(60*service_hr/M72,1))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225900</v>
      </c>
      <c r="AK72" s="43" t="n"/>
      <c r="AL72" s="43" t="inlineStr">
        <is>
          <t>med</t>
        </is>
      </c>
      <c r="AM72" s="50" t="n">
        <v>0.25</v>
      </c>
      <c r="AN72" s="45">
        <f>IF(AJ72="","",AJ72*AM72)</f>
        <v/>
      </c>
      <c r="AO72" s="45">
        <f>IF(OR(AJ72="",U72=0),"",MIN(IF(AW72="",9.9E+99,AW72),FLOOR(AN72/U72,1)))</f>
        <v/>
      </c>
      <c r="AP72" s="49">
        <f>IF(AO72="","",AO72*W72)</f>
        <v/>
      </c>
      <c r="AQ72" s="47">
        <f>IF(OR(AJ72="",U72=0),"",MIN(IF(AW72="",9.9E+99,AW72),AN72/U72))</f>
        <v/>
      </c>
      <c r="AR72" s="49">
        <f>IF(AQ72="","",AQ72*W72)</f>
        <v/>
      </c>
      <c r="AS72" s="51" t="n"/>
      <c r="AT72" s="43" t="inlineStr">
        <is>
          <t>Grounded</t>
        </is>
      </c>
      <c r="AU72" s="52" t="n"/>
      <c r="AV72" s="52" t="n"/>
      <c r="AW72" s="53" t="n"/>
      <c r="AX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Y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Z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BA72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B72" s="40" t="n"/>
    </row>
    <row r="73">
      <c r="A73" s="38" t="inlineStr">
        <is>
          <t>Yango Cote Divoire</t>
        </is>
      </c>
      <c r="B73" s="38" t="inlineStr">
        <is>
          <t>Côte d'Ivoire</t>
        </is>
      </c>
      <c r="C73" s="39" t="inlineStr">
        <is>
          <t>M'Pouto (Cocody) → Koumassi</t>
        </is>
      </c>
      <c r="D73" s="38" t="inlineStr">
        <is>
          <t>yango</t>
        </is>
      </c>
      <c r="E73" s="40" t="inlineStr">
        <is>
          <t>yango-cote-divoire</t>
        </is>
      </c>
      <c r="F73" s="41" t="n">
        <v>1</v>
      </c>
      <c r="G73" s="42" t="n">
        <v>3.5</v>
      </c>
      <c r="H73" s="35" t="n">
        <v>18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MIN(24,FLOOR(60*service_hr/M73,1))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>
        <v>225900</v>
      </c>
      <c r="AK73" s="43" t="n"/>
      <c r="AL73" s="43" t="inlineStr">
        <is>
          <t>med</t>
        </is>
      </c>
      <c r="AM73" s="50" t="n">
        <v>0.25</v>
      </c>
      <c r="AN73" s="45">
        <f>IF(AJ73="","",AJ73*AM73)</f>
        <v/>
      </c>
      <c r="AO73" s="45">
        <f>IF(OR(AJ73="",U73=0),"",MIN(IF(AW73="",9.9E+99,AW73),FLOOR(AN73/U73,1)))</f>
        <v/>
      </c>
      <c r="AP73" s="49">
        <f>IF(AO73="","",AO73*W73)</f>
        <v/>
      </c>
      <c r="AQ73" s="47">
        <f>IF(OR(AJ73="",U73=0),"",MIN(IF(AW73="",9.9E+99,AW73),AN73/U73))</f>
        <v/>
      </c>
      <c r="AR73" s="49">
        <f>IF(AQ73="","",AQ73*W73)</f>
        <v/>
      </c>
      <c r="AS73" s="51" t="n"/>
      <c r="AT73" s="43" t="inlineStr">
        <is>
          <t>Grounded</t>
        </is>
      </c>
      <c r="AU73" s="52" t="n"/>
      <c r="AV73" s="52" t="n"/>
      <c r="AW73" s="53" t="n"/>
      <c r="AX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Y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Z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BA73" s="40" t="inlineStr">
        <is>
          <t>[LB-255 PREMIUM RE-FARE: subsidized comparable $1.22 lifted to premium on-demand floor $18.0] PREMIUM tier: STL/Aqualines M'Pouto-Koumassi 700 FCFA ~ $1.22.</t>
        </is>
      </c>
      <c r="BB73" s="40" t="n"/>
    </row>
    <row r="74">
      <c r="A74" s="38" t="inlineStr">
        <is>
          <t>Yango Cote Divoire</t>
        </is>
      </c>
      <c r="B74" s="38" t="inlineStr">
        <is>
          <t>Côte d'Ivoire</t>
        </is>
      </c>
      <c r="C74" s="39" t="inlineStr">
        <is>
          <t>Plateau → Yopougon</t>
        </is>
      </c>
      <c r="D74" s="38" t="inlineStr">
        <is>
          <t>yango</t>
        </is>
      </c>
      <c r="E74" s="40" t="inlineStr">
        <is>
          <t>yango-cote-divoire</t>
        </is>
      </c>
      <c r="F74" s="41" t="n">
        <v>1</v>
      </c>
      <c r="G74" s="42" t="n">
        <v>5</v>
      </c>
      <c r="H74" s="35" t="n">
        <v>18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MIN(24,FLOOR(60*service_hr/M74,1))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225900</v>
      </c>
      <c r="AK74" s="43" t="n"/>
      <c r="AL74" s="43" t="inlineStr">
        <is>
          <t>med</t>
        </is>
      </c>
      <c r="AM74" s="50" t="n">
        <v>0.25</v>
      </c>
      <c r="AN74" s="45">
        <f>IF(AJ74="","",AJ74*AM74)</f>
        <v/>
      </c>
      <c r="AO74" s="45">
        <f>IF(OR(AJ74="",U74=0),"",MIN(IF(AW74="",9.9E+99,AW74),FLOOR(AN74/U74,1)))</f>
        <v/>
      </c>
      <c r="AP74" s="49">
        <f>IF(AO74="","",AO74*W74)</f>
        <v/>
      </c>
      <c r="AQ74" s="47">
        <f>IF(OR(AJ74="",U74=0),"",MIN(IF(AW74="",9.9E+99,AW74),AN74/U74))</f>
        <v/>
      </c>
      <c r="AR74" s="49">
        <f>IF(AQ74="","",AQ74*W74)</f>
        <v/>
      </c>
      <c r="AS74" s="51" t="n"/>
      <c r="AT74" s="43" t="inlineStr">
        <is>
          <t>Grounded</t>
        </is>
      </c>
      <c r="AU74" s="52" t="n"/>
      <c r="AV74" s="52" t="n"/>
      <c r="AW74" s="53" t="n"/>
      <c r="AX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Y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Z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BA74" s="40" t="inlineStr">
        <is>
          <t>[LB-255 PREMIUM RE-FARE: subsidized comparable $1.22 lifted to premium on-demand floor $18.0] PREMIUM tier: STL long-trip / VIP Plateau-Yopougon Azito 700 FCFA ~ $1.22.</t>
        </is>
      </c>
      <c r="BB74" s="40" t="n"/>
    </row>
    <row r="75">
      <c r="A75" s="38" t="inlineStr">
        <is>
          <t>Yango Cote Divoire</t>
        </is>
      </c>
      <c r="B75" s="38" t="inlineStr">
        <is>
          <t>Côte d'Ivoire</t>
        </is>
      </c>
      <c r="C75" s="39" t="inlineStr">
        <is>
          <t>Plateau → Port-Bouet (Aeroport)</t>
        </is>
      </c>
      <c r="D75" s="38" t="inlineStr">
        <is>
          <t>yango</t>
        </is>
      </c>
      <c r="E75" s="40" t="inlineStr">
        <is>
          <t>yango-cote-divoire</t>
        </is>
      </c>
      <c r="F75" s="41" t="n">
        <v>1</v>
      </c>
      <c r="G75" s="42" t="n">
        <v>6</v>
      </c>
      <c r="H75" s="35" t="n">
        <v>8.699999999999999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MIN(15,FLOOR(60*service_hr/M75,1))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IF(OR(AJ75="",U75=0),"",MIN(IF(AW75="",9.9E+99,AW75),FLOOR(AN75/U75,1)))</f>
        <v/>
      </c>
      <c r="AP75" s="49">
        <f>IF(AO75="","",AO75*W75)</f>
        <v/>
      </c>
      <c r="AQ75" s="47">
        <f>IF(OR(AJ75="",U75=0),"",MIN(IF(AW75="",9.9E+99,AW75),AN75/U75))</f>
        <v/>
      </c>
      <c r="AR75" s="49">
        <f>IF(AQ75="","",AQ75*W75)</f>
        <v/>
      </c>
      <c r="AS75" s="51" t="n"/>
      <c r="AT75" s="43" t="inlineStr">
        <is>
          <t>Estimated</t>
        </is>
      </c>
      <c r="AU75" s="52" t="n"/>
      <c r="AV75" s="52" t="n"/>
      <c r="AW75" s="53" t="n"/>
      <c r="AX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Y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Z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BA75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B75" s="40" t="n"/>
    </row>
    <row r="76">
      <c r="A76" s="38" t="inlineStr">
        <is>
          <t>Yango Cote Divoire</t>
        </is>
      </c>
      <c r="B76" s="38" t="inlineStr">
        <is>
          <t>Côte d'Ivoire</t>
        </is>
      </c>
      <c r="C76" s="39" t="inlineStr">
        <is>
          <t>Plateau → Abatta (Bingerville)</t>
        </is>
      </c>
      <c r="D76" s="38" t="inlineStr">
        <is>
          <t>yango</t>
        </is>
      </c>
      <c r="E76" s="40" t="inlineStr">
        <is>
          <t>yango-cote-divoire</t>
        </is>
      </c>
      <c r="F76" s="41" t="n">
        <v>1</v>
      </c>
      <c r="G76" s="42" t="n">
        <v>9</v>
      </c>
      <c r="H76" s="35" t="n">
        <v>18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MIN(24,FLOOR(60*service_hr/M76,1))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/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IF(OR(AJ76="",U76=0),"",MIN(IF(AW76="",9.9E+99,AW76),FLOOR(AN76/U76,1)))</f>
        <v/>
      </c>
      <c r="AP76" s="49">
        <f>IF(AO76="","",AO76*W76)</f>
        <v/>
      </c>
      <c r="AQ76" s="47">
        <f>IF(OR(AJ76="",U76=0),"",MIN(IF(AW76="",9.9E+99,AW76),AN76/U76))</f>
        <v/>
      </c>
      <c r="AR76" s="49">
        <f>IF(AQ76="","",AQ76*W76)</f>
        <v/>
      </c>
      <c r="AS76" s="51" t="n"/>
      <c r="AT76" s="43" t="inlineStr">
        <is>
          <t>Estimated</t>
        </is>
      </c>
      <c r="AU76" s="52" t="n"/>
      <c r="AV76" s="52" t="n"/>
      <c r="AW76" s="53" t="n"/>
      <c r="AX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Y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Z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BA76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B76" s="40" t="n"/>
    </row>
    <row r="77">
      <c r="A77" s="38" t="inlineStr">
        <is>
          <t>Yango Cote Divoire</t>
        </is>
      </c>
      <c r="B77" s="38" t="inlineStr">
        <is>
          <t>Côte d'Ivoire</t>
        </is>
      </c>
      <c r="C77" s="39" t="inlineStr">
        <is>
          <t>Songon → Plateau</t>
        </is>
      </c>
      <c r="D77" s="38" t="inlineStr">
        <is>
          <t>yango</t>
        </is>
      </c>
      <c r="E77" s="40" t="inlineStr">
        <is>
          <t>yango-cote-divoire</t>
        </is>
      </c>
      <c r="F77" s="41" t="n">
        <v>1</v>
      </c>
      <c r="G77" s="42" t="n">
        <v>12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MIN(15,FLOOR(60*service_hr/M77,1))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IF(OR(AJ77="",U77=0),"",MIN(IF(AW77="",9.9E+99,AW77),FLOOR(AN77/U77,1)))</f>
        <v/>
      </c>
      <c r="AP77" s="49">
        <f>IF(AO77="","",AO77*W77)</f>
        <v/>
      </c>
      <c r="AQ77" s="47">
        <f>IF(OR(AJ77="",U77=0),"",MIN(IF(AW77="",9.9E+99,AW77),AN77/U77))</f>
        <v/>
      </c>
      <c r="AR77" s="49">
        <f>IF(AQ77="","",AQ77*W77)</f>
        <v/>
      </c>
      <c r="AS77" s="51" t="n"/>
      <c r="AT77" s="43" t="inlineStr">
        <is>
          <t>Estimated</t>
        </is>
      </c>
      <c r="AU77" s="52" t="n"/>
      <c r="AV77" s="52" t="n"/>
      <c r="AW77" s="53" t="n"/>
      <c r="AX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Y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Z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BA77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B77" s="40" t="n"/>
    </row>
    <row r="78">
      <c r="A78" s="38" t="inlineStr">
        <is>
          <t>Yango Cote Divoire</t>
        </is>
      </c>
      <c r="B78" s="38" t="inlineStr">
        <is>
          <t>Côte d'Ivoire</t>
        </is>
      </c>
      <c r="C78" s="39" t="inlineStr">
        <is>
          <t>Abidjan → Grand-Bassam</t>
        </is>
      </c>
      <c r="D78" s="38" t="inlineStr">
        <is>
          <t>yango</t>
        </is>
      </c>
      <c r="E78" s="40" t="inlineStr">
        <is>
          <t>yango-cote-divoire</t>
        </is>
      </c>
      <c r="F78" s="41" t="n">
        <v>1</v>
      </c>
      <c r="G78" s="42" t="n">
        <v>18</v>
      </c>
      <c r="H78" s="35" t="n">
        <v>52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MIN(24,FLOOR(60*service_hr/M78,1))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/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IF(OR(AJ78="",U78=0),"",MIN(IF(AW78="",9.9E+99,AW78),FLOOR(AN78/U78,1)))</f>
        <v/>
      </c>
      <c r="AP78" s="49">
        <f>IF(AO78="","",AO78*W78)</f>
        <v/>
      </c>
      <c r="AQ78" s="47">
        <f>IF(OR(AJ78="",U78=0),"",MIN(IF(AW78="",9.9E+99,AW78),AN78/U78))</f>
        <v/>
      </c>
      <c r="AR78" s="49">
        <f>IF(AQ78="","",AQ78*W78)</f>
        <v/>
      </c>
      <c r="AS78" s="51" t="n"/>
      <c r="AT78" s="43" t="inlineStr">
        <is>
          <t>Estimated</t>
        </is>
      </c>
      <c r="AU78" s="52" t="n"/>
      <c r="AV78" s="52" t="n"/>
      <c r="AW78" s="53" t="n"/>
      <c r="AX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Y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Z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BA78" s="40" t="inlineStr">
        <is>
          <t>PREMIUM leisure/charter tier: STL/Aqualines lagoon cruise charter 25,000-40,000 FCFA/seat ~ $43-$70; midpoint ~$52 (re-derived at 575 FCFA/USD; was $50 at 600).</t>
        </is>
      </c>
      <c r="BB78" s="40" t="n"/>
    </row>
    <row r="79">
      <c r="A79" s="38" t="inlineStr">
        <is>
          <t>Yango Cote Divoire</t>
        </is>
      </c>
      <c r="B79" s="38" t="inlineStr">
        <is>
          <t>Côte d'Ivoire</t>
        </is>
      </c>
      <c r="C79" s="39" t="inlineStr">
        <is>
          <t>Abidjan → Jacqueville</t>
        </is>
      </c>
      <c r="D79" s="38" t="inlineStr">
        <is>
          <t>yango</t>
        </is>
      </c>
      <c r="E79" s="40" t="inlineStr">
        <is>
          <t>yango-cote-divoire</t>
        </is>
      </c>
      <c r="F79" s="41" t="n">
        <v>1</v>
      </c>
      <c r="G79" s="42" t="n">
        <v>22</v>
      </c>
      <c r="H79" s="35" t="n">
        <v>8.699999999999999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L79+turn_min+dwell_min</f>
        <v/>
      </c>
      <c r="N79" s="45">
        <f>MIN(24,FLOOR(60*service_hr/M79,1))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IF(OR(AJ79="",U79=0),"",MIN(IF(AW79="",9.9E+99,AW79),FLOOR(AN79/U79,1)))</f>
        <v/>
      </c>
      <c r="AP79" s="49">
        <f>IF(AO79="","",AO79*W79)</f>
        <v/>
      </c>
      <c r="AQ79" s="47">
        <f>IF(OR(AJ79="",U79=0),"",MIN(IF(AW79="",9.9E+99,AW79),AN79/U79))</f>
        <v/>
      </c>
      <c r="AR79" s="49">
        <f>IF(AQ79="","",AQ79*W79)</f>
        <v/>
      </c>
      <c r="AS79" s="51" t="n"/>
      <c r="AT79" s="43" t="inlineStr">
        <is>
          <t>Estimated</t>
        </is>
      </c>
      <c r="AU79" s="52" t="n"/>
      <c r="AV79" s="52" t="n"/>
      <c r="AW79" s="53" t="n"/>
      <c r="AX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Y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Z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BA79" s="40" t="inlineStr">
        <is>
          <t>PREMIUM leisure tier: divided 'navette de luxe / balade VIP' per-seat 5,000 FCFA ~ $8.7 (CITRANS Aqualines VIP balade); cruise-charter range $43-$70 not corridor-specific.</t>
        </is>
      </c>
      <c r="BB79" s="40" t="n"/>
    </row>
    <row r="80">
      <c r="A80" s="38" t="inlineStr">
        <is>
          <t>Bolt Egypt</t>
        </is>
      </c>
      <c r="B80" s="38" t="inlineStr">
        <is>
          <t>Egypt</t>
        </is>
      </c>
      <c r="C80" s="39" t="inlineStr">
        <is>
          <t>El Gouna (internal lagoon) → El Gouna Downtown / Abu Tig</t>
        </is>
      </c>
      <c r="D80" s="38" t="inlineStr">
        <is>
          <t>bolt</t>
        </is>
      </c>
      <c r="E80" s="40" t="inlineStr">
        <is>
          <t>bolt-egypt, yango-egypt</t>
        </is>
      </c>
      <c r="F80" s="41" t="n">
        <v>2</v>
      </c>
      <c r="G80" s="42" t="n">
        <v>2</v>
      </c>
      <c r="H80" s="35" t="n">
        <v>18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MIN(15,FLOOR(60*service_hr/M80,1))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/>
      <c r="AK80" s="43" t="n"/>
      <c r="AL80" s="43" t="n"/>
      <c r="AM80" s="50" t="n">
        <v>0.1</v>
      </c>
      <c r="AN80" s="45">
        <f>IF(AJ80="","",AJ80*AM80)</f>
        <v/>
      </c>
      <c r="AO80" s="45">
        <f>IF(OR(AJ80="",U80=0),"",MIN(IF(AW80="",9.9E+99,AW80),FLOOR(AN80/U80,1)))</f>
        <v/>
      </c>
      <c r="AP80" s="49">
        <f>IF(AO80="","",AO80*W80)</f>
        <v/>
      </c>
      <c r="AQ80" s="47">
        <f>IF(OR(AJ80="",U80=0),"",MIN(IF(AW80="",9.9E+99,AW80),AN80/U80))</f>
        <v/>
      </c>
      <c r="AR80" s="49">
        <f>IF(AQ80="","",AQ80*W80)</f>
        <v/>
      </c>
      <c r="AS80" s="51" t="n"/>
      <c r="AT80" s="43" t="inlineStr">
        <is>
          <t>Estimated</t>
        </is>
      </c>
      <c r="AU80" s="52" t="n"/>
      <c r="AV80" s="52" t="n"/>
      <c r="AW80" s="53" t="n"/>
      <c r="AX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Y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Z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BA80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B80" s="40" t="n"/>
    </row>
    <row r="81">
      <c r="A81" s="38" t="inlineStr">
        <is>
          <t>Bolt Egypt</t>
        </is>
      </c>
      <c r="B81" s="38" t="inlineStr">
        <is>
          <t>Egypt</t>
        </is>
      </c>
      <c r="C81" s="39" t="inlineStr">
        <is>
          <t>Cairo - Maadi → Cairo - Zamalek / Downtown</t>
        </is>
      </c>
      <c r="D81" s="38" t="inlineStr">
        <is>
          <t>bolt</t>
        </is>
      </c>
      <c r="E81" s="40" t="inlineStr">
        <is>
          <t>bolt-egypt, yango-egypt</t>
        </is>
      </c>
      <c r="F81" s="41" t="n">
        <v>2</v>
      </c>
      <c r="G81" s="42" t="n">
        <v>6</v>
      </c>
      <c r="H81" s="35" t="n">
        <v>18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MIN(24,FLOOR(60*service_hr/M81,1))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/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IF(OR(AJ81="",U81=0),"",MIN(IF(AW81="",9.9E+99,AW81),FLOOR(AN81/U81,1)))</f>
        <v/>
      </c>
      <c r="AP81" s="49">
        <f>IF(AO81="","",AO81*W81)</f>
        <v/>
      </c>
      <c r="AQ81" s="47">
        <f>IF(OR(AJ81="",U81=0),"",MIN(IF(AW81="",9.9E+99,AW81),AN81/U81))</f>
        <v/>
      </c>
      <c r="AR81" s="49">
        <f>IF(AQ81="","",AQ81*W81)</f>
        <v/>
      </c>
      <c r="AS81" s="51" t="n"/>
      <c r="AT81" s="43" t="inlineStr">
        <is>
          <t>Estimated</t>
        </is>
      </c>
      <c r="AU81" s="52" t="n"/>
      <c r="AV81" s="52" t="n"/>
      <c r="AW81" s="53" t="n"/>
      <c r="AX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Y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Z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BA81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B81" s="40" t="n"/>
    </row>
    <row r="82">
      <c r="A82" s="38" t="inlineStr">
        <is>
          <t>Bolt Egypt</t>
        </is>
      </c>
      <c r="B82" s="38" t="inlineStr">
        <is>
          <t>Egypt</t>
        </is>
      </c>
      <c r="C82" s="39" t="inlineStr">
        <is>
          <t>Hurghada → Giftun Island (Orange Bay / Mahmya)</t>
        </is>
      </c>
      <c r="D82" s="38" t="inlineStr">
        <is>
          <t>bolt</t>
        </is>
      </c>
      <c r="E82" s="40" t="inlineStr">
        <is>
          <t>bolt-egypt, yango-egypt</t>
        </is>
      </c>
      <c r="F82" s="41" t="n">
        <v>2</v>
      </c>
      <c r="G82" s="42" t="n">
        <v>9</v>
      </c>
      <c r="H82" s="35" t="n">
        <v>32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L82+turn_min+dwell_min</f>
        <v/>
      </c>
      <c r="N82" s="45">
        <f>MIN(15,FLOOR(60*service_hr/M82,1))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1204586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IF(OR(AJ82="",U82=0),"",MIN(IF(AW82="",9.9E+99,AW82),FLOOR(AN82/U82,1)))</f>
        <v/>
      </c>
      <c r="AP82" s="49">
        <f>IF(AO82="","",AO82*W82)</f>
        <v/>
      </c>
      <c r="AQ82" s="47">
        <f>IF(OR(AJ82="",U82=0),"",MIN(IF(AW82="",9.9E+99,AW82),AN82/U82))</f>
        <v/>
      </c>
      <c r="AR82" s="49">
        <f>IF(AQ82="","",AQ82*W82)</f>
        <v/>
      </c>
      <c r="AS82" s="51" t="n"/>
      <c r="AT82" s="43" t="inlineStr">
        <is>
          <t>Grounded</t>
        </is>
      </c>
      <c r="AU82" s="52" t="n"/>
      <c r="AV82" s="52" t="n"/>
      <c r="AW82" s="53" t="n"/>
      <c r="AX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Y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Z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BA82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B82" s="40" t="n"/>
    </row>
    <row r="83">
      <c r="A83" s="38" t="inlineStr">
        <is>
          <t>Bolt Egypt</t>
        </is>
      </c>
      <c r="B83" s="38" t="inlineStr">
        <is>
          <t>Egypt</t>
        </is>
      </c>
      <c r="C83" s="39" t="inlineStr">
        <is>
          <t>Hurghada → Sahl Hasheesh</t>
        </is>
      </c>
      <c r="D83" s="38" t="inlineStr">
        <is>
          <t>bolt</t>
        </is>
      </c>
      <c r="E83" s="40" t="inlineStr">
        <is>
          <t>bolt-egypt, yango-egypt</t>
        </is>
      </c>
      <c r="F83" s="41" t="n">
        <v>2</v>
      </c>
      <c r="G83" s="42" t="n">
        <v>10</v>
      </c>
      <c r="H83" s="35" t="n">
        <v>40.8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MIN(15,FLOOR(60*service_hr/M83,1))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/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IF(OR(AJ83="",U83=0),"",MIN(IF(AW83="",9.9E+99,AW83),FLOOR(AN83/U83,1)))</f>
        <v/>
      </c>
      <c r="AP83" s="49">
        <f>IF(AO83="","",AO83*W83)</f>
        <v/>
      </c>
      <c r="AQ83" s="47">
        <f>IF(OR(AJ83="",U83=0),"",MIN(IF(AW83="",9.9E+99,AW83),AN83/U83))</f>
        <v/>
      </c>
      <c r="AR83" s="49">
        <f>IF(AQ83="","",AQ83*W83)</f>
        <v/>
      </c>
      <c r="AS83" s="51" t="n"/>
      <c r="AT83" s="43" t="inlineStr">
        <is>
          <t>Estimated</t>
        </is>
      </c>
      <c r="AU83" s="52" t="n"/>
      <c r="AV83" s="52" t="n"/>
      <c r="AW83" s="53" t="n"/>
      <c r="AX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Y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Z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BA83" s="40" t="inlineStr">
        <is>
          <t>PREMIUM tier proxy = Dubai RTA convention $40.8/seat (same premium resort-transfer tier as El Gouna). No Egypt-native scheduled water-taxi fare on this leg published.</t>
        </is>
      </c>
      <c r="BB83" s="40" t="n"/>
    </row>
    <row r="84">
      <c r="A84" s="38" t="inlineStr">
        <is>
          <t>Bolt Egypt</t>
        </is>
      </c>
      <c r="B84" s="38" t="inlineStr">
        <is>
          <t>Egypt</t>
        </is>
      </c>
      <c r="C84" s="39" t="inlineStr">
        <is>
          <t>Greater Cairo - Maspero (Downtown) → Greater Cairo - Warraq / El Qanater</t>
        </is>
      </c>
      <c r="D84" s="38" t="inlineStr">
        <is>
          <t>bolt</t>
        </is>
      </c>
      <c r="E84" s="40" t="inlineStr">
        <is>
          <t>bolt-egypt, yango-egypt</t>
        </is>
      </c>
      <c r="F84" s="41" t="n">
        <v>2</v>
      </c>
      <c r="G84" s="42" t="n">
        <v>13</v>
      </c>
      <c r="H84" s="35" t="n">
        <v>18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/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IF(OR(AJ84="",U84=0),"",MIN(IF(AW84="",9.9E+99,AW84),FLOOR(AN84/U84,1)))</f>
        <v/>
      </c>
      <c r="AP84" s="49">
        <f>IF(AO84="","",AO84*W84)</f>
        <v/>
      </c>
      <c r="AQ84" s="47">
        <f>IF(OR(AJ84="",U84=0),"",MIN(IF(AW84="",9.9E+99,AW84),AN84/U84))</f>
        <v/>
      </c>
      <c r="AR84" s="49">
        <f>IF(AQ84="","",AQ84*W84)</f>
        <v/>
      </c>
      <c r="AS84" s="51" t="n"/>
      <c r="AT84" s="43" t="inlineStr">
        <is>
          <t>Estimated</t>
        </is>
      </c>
      <c r="AU84" s="52" t="n"/>
      <c r="AV84" s="52" t="n"/>
      <c r="AW84" s="53" t="n"/>
      <c r="AX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Y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Z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BA84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B84" s="40" t="n"/>
    </row>
    <row r="85">
      <c r="A85" s="38" t="inlineStr">
        <is>
          <t>Bolt Egypt</t>
        </is>
      </c>
      <c r="B85" s="38" t="inlineStr">
        <is>
          <t>Egypt</t>
        </is>
      </c>
      <c r="C85" s="39" t="inlineStr">
        <is>
          <t>Hurghada → El Gouna</t>
        </is>
      </c>
      <c r="D85" s="38" t="inlineStr">
        <is>
          <t>bolt</t>
        </is>
      </c>
      <c r="E85" s="40" t="inlineStr">
        <is>
          <t>bolt-egypt, yango-egypt</t>
        </is>
      </c>
      <c r="F85" s="41" t="n">
        <v>2</v>
      </c>
      <c r="G85" s="42" t="n">
        <v>14</v>
      </c>
      <c r="H85" s="35" t="n">
        <v>40.8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MIN(15,FLOOR(60*service_hr/M85,1))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10402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IF(OR(AJ85="",U85=0),"",MIN(IF(AW85="",9.9E+99,AW85),FLOOR(AN85/U85,1)))</f>
        <v/>
      </c>
      <c r="AP85" s="49">
        <f>IF(AO85="","",AO85*W85)</f>
        <v/>
      </c>
      <c r="AQ85" s="47">
        <f>IF(OR(AJ85="",U85=0),"",MIN(IF(AW85="",9.9E+99,AW85),AN85/U85))</f>
        <v/>
      </c>
      <c r="AR85" s="49">
        <f>IF(AQ85="","",AQ85*W85)</f>
        <v/>
      </c>
      <c r="AS85" s="51" t="n"/>
      <c r="AT85" s="43" t="inlineStr">
        <is>
          <t>Upside tier</t>
        </is>
      </c>
      <c r="AU85" s="52" t="n"/>
      <c r="AV85" s="52" t="inlineStr">
        <is>
          <t>modal_shift_greenfield</t>
        </is>
      </c>
      <c r="AW85" s="53" t="n"/>
      <c r="AX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Y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Z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BA85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B85" s="40" t="n"/>
    </row>
    <row r="86">
      <c r="A86" s="38" t="inlineStr">
        <is>
          <t>Bolt Egypt</t>
        </is>
      </c>
      <c r="B86" s="38" t="inlineStr">
        <is>
          <t>Egypt</t>
        </is>
      </c>
      <c r="C86" s="39" t="inlineStr">
        <is>
          <t>Sharm El Sheikh → Ras Mohammed / Tiran reefs</t>
        </is>
      </c>
      <c r="D86" s="38" t="inlineStr">
        <is>
          <t>bolt</t>
        </is>
      </c>
      <c r="E86" s="40" t="inlineStr">
        <is>
          <t>bolt-egypt, yango-egypt</t>
        </is>
      </c>
      <c r="F86" s="41" t="n">
        <v>2</v>
      </c>
      <c r="G86" s="42" t="n">
        <v>16</v>
      </c>
      <c r="H86" s="35" t="n">
        <v>50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MIN(15,FLOOR(60*service_hr/M86,1))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50000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IF(OR(AJ86="",U86=0),"",MIN(IF(AW86="",9.9E+99,AW86),FLOOR(AN86/U86,1)))</f>
        <v/>
      </c>
      <c r="AP86" s="49">
        <f>IF(AO86="","",AO86*W86)</f>
        <v/>
      </c>
      <c r="AQ86" s="47">
        <f>IF(OR(AJ86="",U86=0),"",MIN(IF(AW86="",9.9E+99,AW86),AN86/U86))</f>
        <v/>
      </c>
      <c r="AR86" s="49">
        <f>IF(AQ86="","",AQ86*W86)</f>
        <v/>
      </c>
      <c r="AS86" s="51" t="n"/>
      <c r="AT86" s="43" t="inlineStr">
        <is>
          <t>Estimated</t>
        </is>
      </c>
      <c r="AU86" s="52" t="n"/>
      <c r="AV86" s="52" t="n"/>
      <c r="AW86" s="53" t="n"/>
      <c r="AX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Y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Z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BA86" s="40" t="inlineStr">
        <is>
          <t>PREMIUM tier = VIP/premium Ras Mohammed + White Island boat sea-trip ~$52/adult (Tripadvisor VIP boat); standard scheduled boat day-trips from EUR 24 (~$26). Modeled premium tier ~$50.</t>
        </is>
      </c>
      <c r="BB86" s="40" t="n"/>
    </row>
    <row r="87">
      <c r="A87" s="38" t="inlineStr">
        <is>
          <t>Bolt Egypt</t>
        </is>
      </c>
      <c r="B87" s="38" t="inlineStr">
        <is>
          <t>Egypt</t>
        </is>
      </c>
      <c r="C87" s="39" t="inlineStr">
        <is>
          <t>Hurghada → Soma Bay</t>
        </is>
      </c>
      <c r="D87" s="38" t="inlineStr">
        <is>
          <t>bolt</t>
        </is>
      </c>
      <c r="E87" s="40" t="inlineStr">
        <is>
          <t>bolt-egypt, yango-egypt</t>
        </is>
      </c>
      <c r="F87" s="41" t="n">
        <v>2</v>
      </c>
      <c r="G87" s="42" t="n">
        <v>25</v>
      </c>
      <c r="H87" s="35" t="n">
        <v>40.8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6935</v>
      </c>
      <c r="AK87" s="43" t="n"/>
      <c r="AL87" s="43" t="n"/>
      <c r="AM87" s="50" t="n">
        <v>0.1</v>
      </c>
      <c r="AN87" s="45">
        <f>IF(AJ87="","",AJ87*AM87)</f>
        <v/>
      </c>
      <c r="AO87" s="45">
        <f>IF(OR(AJ87="",U87=0),"",MIN(IF(AW87="",9.9E+99,AW87),FLOOR(AN87/U87,1)))</f>
        <v/>
      </c>
      <c r="AP87" s="49">
        <f>IF(AO87="","",AO87*W87)</f>
        <v/>
      </c>
      <c r="AQ87" s="47">
        <f>IF(OR(AJ87="",U87=0),"",MIN(IF(AW87="",9.9E+99,AW87),AN87/U87))</f>
        <v/>
      </c>
      <c r="AR87" s="49">
        <f>IF(AQ87="","",AQ87*W87)</f>
        <v/>
      </c>
      <c r="AS87" s="51" t="n"/>
      <c r="AT87" s="43" t="inlineStr">
        <is>
          <t>Estimated</t>
        </is>
      </c>
      <c r="AU87" s="52" t="n"/>
      <c r="AV87" s="52" t="n"/>
      <c r="AW87" s="53" t="n"/>
      <c r="AX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Y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Z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BA87" s="40" t="inlineStr">
        <is>
          <t>PREMIUM tier proxy = Dubai RTA convention $40.8/seat (premium resort-transfer tier). No scheduled Egypt-native marine fare on this leg.</t>
        </is>
      </c>
      <c r="BB87" s="40" t="n"/>
    </row>
    <row r="88">
      <c r="A88" s="38" t="inlineStr">
        <is>
          <t>Bolt Egypt</t>
        </is>
      </c>
      <c r="B88" s="38" t="inlineStr">
        <is>
          <t>Egypt</t>
        </is>
      </c>
      <c r="C88" s="39" t="inlineStr">
        <is>
          <t>Sharm El Sheikh → Dahab</t>
        </is>
      </c>
      <c r="D88" s="38" t="inlineStr">
        <is>
          <t>bolt</t>
        </is>
      </c>
      <c r="E88" s="40" t="inlineStr">
        <is>
          <t>bolt-egypt, yango-egypt</t>
        </is>
      </c>
      <c r="F88" s="41" t="n">
        <v>2</v>
      </c>
      <c r="G88" s="42" t="n">
        <v>28</v>
      </c>
      <c r="H88" s="35" t="n">
        <v>15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/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IF(OR(AJ88="",U88=0),"",MIN(IF(AW88="",9.9E+99,AW88),FLOOR(AN88/U88,1)))</f>
        <v/>
      </c>
      <c r="AP88" s="49">
        <f>IF(AO88="","",AO88*W88)</f>
        <v/>
      </c>
      <c r="AQ88" s="47">
        <f>IF(OR(AJ88="",U88=0),"",MIN(IF(AW88="",9.9E+99,AW88),AN88/U88))</f>
        <v/>
      </c>
      <c r="AR88" s="49">
        <f>IF(AQ88="","",AQ88*W88)</f>
        <v/>
      </c>
      <c r="AS88" s="51" t="n"/>
      <c r="AT88" s="43" t="inlineStr">
        <is>
          <t>Estimated</t>
        </is>
      </c>
      <c r="AU88" s="52" t="n"/>
      <c r="AV88" s="52" t="n"/>
      <c r="AW88" s="53" t="n"/>
      <c r="AX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Y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Z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BA88" s="40" t="inlineStr">
        <is>
          <t>PREMIUM tier (road analogue) = private transfer Sharm&lt;-&gt;Dahab ~1400-1500 EGP/car (~$29-31) divided ~4 pax (~$7.5/seat) up to premium per-seat ~$15; no scheduled marine fare exists.</t>
        </is>
      </c>
      <c r="BB88" s="40" t="n"/>
    </row>
    <row r="89">
      <c r="A89" s="38" t="inlineStr">
        <is>
          <t>Bolt Egypt</t>
        </is>
      </c>
      <c r="B89" s="38" t="inlineStr">
        <is>
          <t>Egypt</t>
        </is>
      </c>
      <c r="C89" s="39" t="inlineStr">
        <is>
          <t>Hurghada / El Gouna → Sharm El Sheikh</t>
        </is>
      </c>
      <c r="D89" s="38" t="inlineStr">
        <is>
          <t>bolt</t>
        </is>
      </c>
      <c r="E89" s="40" t="inlineStr">
        <is>
          <t>bolt-egypt, yango-egypt</t>
        </is>
      </c>
      <c r="F89" s="41" t="n">
        <v>2</v>
      </c>
      <c r="G89" s="42" t="n">
        <v>49.8</v>
      </c>
      <c r="H89" s="35" t="n">
        <v>110</v>
      </c>
      <c r="I89" s="43" t="inlineStr">
        <is>
          <t>T2</t>
        </is>
      </c>
      <c r="J89" s="43" t="inlineStr">
        <is>
          <t>med</t>
        </is>
      </c>
      <c r="K89" s="29" t="n">
        <v>1</v>
      </c>
      <c r="L89" s="44">
        <f>60*G89/cruise_kt</f>
        <v/>
      </c>
      <c r="M89" s="44">
        <f>L89+turn_min+dwell_min</f>
        <v/>
      </c>
      <c r="N89" s="45">
        <f>MIN(15,FLOOR(60*service_hr/M89,1))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/>
      <c r="AK89" s="43" t="inlineStr">
        <is>
          <t>T5</t>
        </is>
      </c>
      <c r="AL89" s="43" t="inlineStr">
        <is>
          <t>low</t>
        </is>
      </c>
      <c r="AM89" s="50" t="n">
        <v>0.1</v>
      </c>
      <c r="AN89" s="45">
        <f>IF(AJ89="","",AJ89*AM89)</f>
        <v/>
      </c>
      <c r="AO89" s="45">
        <f>IF(OR(AJ89="",U89=0),"",MIN(IF(AW89="",9.9E+99,AW89),FLOOR(AN89/U89,1)))</f>
        <v/>
      </c>
      <c r="AP89" s="49">
        <f>IF(AO89="","",AO89*W89)</f>
        <v/>
      </c>
      <c r="AQ89" s="47">
        <f>IF(OR(AJ89="",U89=0),"",MIN(IF(AW89="",9.9E+99,AW89),AN89/U89))</f>
        <v/>
      </c>
      <c r="AR89" s="49">
        <f>IF(AQ89="","",AQ89*W89)</f>
        <v/>
      </c>
      <c r="AS89" s="51" t="n"/>
      <c r="AT89" s="43" t="inlineStr">
        <is>
          <t>Upside tier</t>
        </is>
      </c>
      <c r="AU89" s="52" t="n"/>
      <c r="AV89" s="52" t="inlineStr">
        <is>
          <t>modal_shift_greenfield</t>
        </is>
      </c>
      <c r="AW89" s="53" t="n"/>
      <c r="AX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Y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Z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BA89" s="40" t="inlineStr">
        <is>
          <t>Kept from prior registry = $110/seat (historic fast-ferry premium fare level / cross-gulf premium tier). FLAG: legacy/aspirational - no active service.</t>
        </is>
      </c>
      <c r="BB89" s="40" t="inlineStr">
        <is>
          <t>tourism</t>
        </is>
      </c>
    </row>
    <row r="90">
      <c r="A90" s="38" t="inlineStr">
        <is>
          <t>Bolt Estonia</t>
        </is>
      </c>
      <c r="B90" s="38" t="inlineStr">
        <is>
          <t>Estonia</t>
        </is>
      </c>
      <c r="C90" s="39" t="inlineStr">
        <is>
          <t>Tallinn Old City Harbour → Pirita Marina</t>
        </is>
      </c>
      <c r="D90" s="38" t="inlineStr">
        <is>
          <t>bolt</t>
        </is>
      </c>
      <c r="E90" s="40" t="inlineStr">
        <is>
          <t>bolt-estonia</t>
        </is>
      </c>
      <c r="F90" s="41" t="n">
        <v>1</v>
      </c>
      <c r="G90" s="42" t="n">
        <v>4.5</v>
      </c>
      <c r="H90" s="35" t="n"/>
      <c r="I90" s="43" t="inlineStr">
        <is>
          <t>T5</t>
        </is>
      </c>
      <c r="J90" s="43" t="inlineStr">
        <is>
          <t>low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MIN(24,FLOOR(60*service_hr/M90,1))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/>
      <c r="AK90" s="43" t="inlineStr">
        <is>
          <t>T5</t>
        </is>
      </c>
      <c r="AL90" s="43" t="inlineStr">
        <is>
          <t>low</t>
        </is>
      </c>
      <c r="AM90" s="50" t="n">
        <v>0.1</v>
      </c>
      <c r="AN90" s="45">
        <f>IF(AJ90="","",AJ90*AM90)</f>
        <v/>
      </c>
      <c r="AO90" s="45">
        <f>IF(OR(AJ90="",U90=0),"",MIN(IF(AW90="",9.9E+99,AW90),FLOOR(AN90/U90,1)))</f>
        <v/>
      </c>
      <c r="AP90" s="49">
        <f>IF(AO90="","",AO90*W90)</f>
        <v/>
      </c>
      <c r="AQ90" s="47">
        <f>IF(OR(AJ90="",U90=0),"",MIN(IF(AW90="",9.9E+99,AW90),AN90/U90))</f>
        <v/>
      </c>
      <c r="AR90" s="49">
        <f>IF(AQ90="","",AQ90*W90)</f>
        <v/>
      </c>
      <c r="AS90" s="51" t="n"/>
      <c r="AT90" s="43" t="inlineStr">
        <is>
          <t>Estimated</t>
        </is>
      </c>
      <c r="AU90" s="52" t="n"/>
      <c r="AV90" s="52" t="n"/>
      <c r="AW90" s="53" t="n"/>
      <c r="AX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Y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Z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BA90" s="40" t="inlineStr">
        <is>
          <t>TBD — Tier-B headline placeholder</t>
        </is>
      </c>
      <c r="BB90" s="40" t="inlineStr">
        <is>
          <t>TBD — Tier-B headline placeholder</t>
        </is>
      </c>
    </row>
    <row r="91">
      <c r="A91" s="38" t="inlineStr">
        <is>
          <t>Bolt Estonia</t>
        </is>
      </c>
      <c r="B91" s="38" t="inlineStr">
        <is>
          <t>Estonia</t>
        </is>
      </c>
      <c r="C91" s="39" t="inlineStr">
        <is>
          <t>Tallinn → Prangli</t>
        </is>
      </c>
      <c r="D91" s="38" t="inlineStr">
        <is>
          <t>bolt</t>
        </is>
      </c>
      <c r="E91" s="40" t="inlineStr">
        <is>
          <t>bolt-estonia</t>
        </is>
      </c>
      <c r="F91" s="41" t="n">
        <v>1</v>
      </c>
      <c r="G91" s="42" t="n">
        <v>5</v>
      </c>
      <c r="H91" s="35" t="n">
        <v>6.5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4500</v>
      </c>
      <c r="AK91" s="43" t="n"/>
      <c r="AL91" s="43" t="inlineStr">
        <is>
          <t>med</t>
        </is>
      </c>
      <c r="AM91" s="50" t="n">
        <v>0.25</v>
      </c>
      <c r="AN91" s="45">
        <f>IF(AJ91="","",AJ91*AM91)</f>
        <v/>
      </c>
      <c r="AO91" s="45">
        <f>IF(OR(AJ91="",U91=0),"",MIN(IF(AW91="",9.9E+99,AW91),FLOOR(AN91/U91,1)))</f>
        <v/>
      </c>
      <c r="AP91" s="49">
        <f>IF(AO91="","",AO91*W91)</f>
        <v/>
      </c>
      <c r="AQ91" s="47">
        <f>IF(OR(AJ91="",U91=0),"",MIN(IF(AW91="",9.9E+99,AW91),AN91/U91))</f>
        <v/>
      </c>
      <c r="AR91" s="49">
        <f>IF(AQ91="","",AQ91*W91)</f>
        <v/>
      </c>
      <c r="AS91" s="51" t="n"/>
      <c r="AT91" s="43" t="inlineStr">
        <is>
          <t>Estimated</t>
        </is>
      </c>
      <c r="AU91" s="52" t="n"/>
      <c r="AV91" s="52" t="n"/>
      <c r="AW91" s="53" t="n"/>
      <c r="AX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Y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Z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BA91" s="40" t="inlineStr">
        <is>
          <t>Wrango ferry Leppneeme&lt;-&gt;Kelnase adult EUR 6 one-way (Viimsi municipality). EUR 6 x 1.08 = $6.5.</t>
        </is>
      </c>
      <c r="BB91" s="40" t="n"/>
    </row>
    <row r="92">
      <c r="A92" s="38" t="inlineStr">
        <is>
          <t>Bolt Estonia</t>
        </is>
      </c>
      <c r="B92" s="38" t="inlineStr">
        <is>
          <t>Estonia</t>
        </is>
      </c>
      <c r="C92" s="39" t="inlineStr">
        <is>
          <t>Tallinn → Viimsi</t>
        </is>
      </c>
      <c r="D92" s="38" t="inlineStr">
        <is>
          <t>bolt</t>
        </is>
      </c>
      <c r="E92" s="40" t="inlineStr">
        <is>
          <t>bolt-estonia</t>
        </is>
      </c>
      <c r="F92" s="41" t="n">
        <v>1</v>
      </c>
      <c r="G92" s="42" t="n">
        <v>5</v>
      </c>
      <c r="H92" s="35" t="n"/>
      <c r="I92" s="43" t="n"/>
      <c r="J92" s="43" t="n"/>
      <c r="K92" s="29" t="n">
        <v>1</v>
      </c>
      <c r="L92" s="44">
        <f>60*G92/cruise_kt</f>
        <v/>
      </c>
      <c r="M92" s="44">
        <f>L92+turn_min+dwell_min</f>
        <v/>
      </c>
      <c r="N92" s="45">
        <f>MIN(24,FLOOR(60*service_hr/M92,1))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/>
      <c r="AK92" s="43" t="n"/>
      <c r="AL92" s="43" t="n"/>
      <c r="AM92" s="50" t="n">
        <v>0.1</v>
      </c>
      <c r="AN92" s="45">
        <f>IF(AJ92="","",AJ92*AM92)</f>
        <v/>
      </c>
      <c r="AO92" s="45">
        <f>IF(OR(AJ92="",U92=0),"",MIN(IF(AW92="",9.9E+99,AW92),FLOOR(AN92/U92,1)))</f>
        <v/>
      </c>
      <c r="AP92" s="49">
        <f>IF(AO92="","",AO92*W92)</f>
        <v/>
      </c>
      <c r="AQ92" s="47">
        <f>IF(OR(AJ92="",U92=0),"",MIN(IF(AW92="",9.9E+99,AW92),AN92/U92))</f>
        <v/>
      </c>
      <c r="AR92" s="49">
        <f>IF(AQ92="","",AQ92*W92)</f>
        <v/>
      </c>
      <c r="AS92" s="51" t="n"/>
      <c r="AT92" s="43" t="inlineStr">
        <is>
          <t>Estimated</t>
        </is>
      </c>
      <c r="AU92" s="52" t="n"/>
      <c r="AV92" s="52" t="n"/>
      <c r="AW92" s="53" t="n"/>
      <c r="AX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Y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Z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BA92" s="40" t="n"/>
      <c r="BB92" s="40" t="n"/>
    </row>
    <row r="93">
      <c r="A93" s="38" t="inlineStr">
        <is>
          <t>Bolt Estonia</t>
        </is>
      </c>
      <c r="B93" s="38" t="inlineStr">
        <is>
          <t>Estonia</t>
        </is>
      </c>
      <c r="C93" s="39" t="inlineStr">
        <is>
          <t>Tallinn → Kakumäe</t>
        </is>
      </c>
      <c r="D93" s="38" t="inlineStr">
        <is>
          <t>bolt</t>
        </is>
      </c>
      <c r="E93" s="40" t="inlineStr">
        <is>
          <t>bolt-estonia</t>
        </is>
      </c>
      <c r="F93" s="41" t="n">
        <v>1</v>
      </c>
      <c r="G93" s="42" t="n">
        <v>6</v>
      </c>
      <c r="H93" s="35" t="n"/>
      <c r="I93" s="43" t="n"/>
      <c r="J93" s="43" t="n"/>
      <c r="K93" s="29" t="n">
        <v>1</v>
      </c>
      <c r="L93" s="44">
        <f>60*G93/cruise_kt</f>
        <v/>
      </c>
      <c r="M93" s="44">
        <f>L93+turn_min+dwell_min</f>
        <v/>
      </c>
      <c r="N93" s="45">
        <f>MIN(24,FLOOR(60*service_hr/M93,1))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n"/>
      <c r="AL93" s="43" t="n"/>
      <c r="AM93" s="50" t="n">
        <v>0.1</v>
      </c>
      <c r="AN93" s="45">
        <f>IF(AJ93="","",AJ93*AM93)</f>
        <v/>
      </c>
      <c r="AO93" s="45">
        <f>IF(OR(AJ93="",U93=0),"",MIN(IF(AW93="",9.9E+99,AW93),FLOOR(AN93/U93,1)))</f>
        <v/>
      </c>
      <c r="AP93" s="49">
        <f>IF(AO93="","",AO93*W93)</f>
        <v/>
      </c>
      <c r="AQ93" s="47">
        <f>IF(OR(AJ93="",U93=0),"",MIN(IF(AW93="",9.9E+99,AW93),AN93/U93))</f>
        <v/>
      </c>
      <c r="AR93" s="49">
        <f>IF(AQ93="","",AQ93*W93)</f>
        <v/>
      </c>
      <c r="AS93" s="51" t="n"/>
      <c r="AT93" s="43" t="inlineStr">
        <is>
          <t>Estimated</t>
        </is>
      </c>
      <c r="AU93" s="52" t="n"/>
      <c r="AV93" s="52" t="n"/>
      <c r="AW93" s="53" t="n"/>
      <c r="AX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Y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Z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BA93" s="40" t="n"/>
      <c r="BB93" s="40" t="n"/>
    </row>
    <row r="94">
      <c r="A94" s="38" t="inlineStr">
        <is>
          <t>Bolt Estonia</t>
        </is>
      </c>
      <c r="B94" s="38" t="inlineStr">
        <is>
          <t>Estonia</t>
        </is>
      </c>
      <c r="C94" s="39" t="inlineStr">
        <is>
          <t>Tallinn → Aegna</t>
        </is>
      </c>
      <c r="D94" s="38" t="inlineStr">
        <is>
          <t>bolt</t>
        </is>
      </c>
      <c r="E94" s="40" t="inlineStr">
        <is>
          <t>bolt-estonia</t>
        </is>
      </c>
      <c r="F94" s="41" t="n">
        <v>1</v>
      </c>
      <c r="G94" s="42" t="n">
        <v>7</v>
      </c>
      <c r="H94" s="35" t="n">
        <v>6.5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3300</v>
      </c>
      <c r="AK94" s="43" t="n"/>
      <c r="AL94" s="43" t="inlineStr">
        <is>
          <t>med</t>
        </is>
      </c>
      <c r="AM94" s="50" t="n">
        <v>0.25</v>
      </c>
      <c r="AN94" s="45">
        <f>IF(AJ94="","",AJ94*AM94)</f>
        <v/>
      </c>
      <c r="AO94" s="45">
        <f>IF(OR(AJ94="",U94=0),"",MIN(IF(AW94="",9.9E+99,AW94),FLOOR(AN94/U94,1)))</f>
        <v/>
      </c>
      <c r="AP94" s="49">
        <f>IF(AO94="","",AO94*W94)</f>
        <v/>
      </c>
      <c r="AQ94" s="47">
        <f>IF(OR(AJ94="",U94=0),"",MIN(IF(AW94="",9.9E+99,AW94),AN94/U94))</f>
        <v/>
      </c>
      <c r="AR94" s="49">
        <f>IF(AQ94="","",AQ94*W94)</f>
        <v/>
      </c>
      <c r="AS94" s="51" t="n"/>
      <c r="AT94" s="43" t="inlineStr">
        <is>
          <t>Estimated</t>
        </is>
      </c>
      <c r="AU94" s="52" t="n"/>
      <c r="AV94" s="52" t="n"/>
      <c r="AW94" s="53" t="n"/>
      <c r="AX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Y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Z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BA94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B94" s="40" t="n"/>
    </row>
    <row r="95">
      <c r="A95" s="38" t="inlineStr">
        <is>
          <t>Bolt Estonia</t>
        </is>
      </c>
      <c r="B95" s="38" t="inlineStr">
        <is>
          <t>Estonia</t>
        </is>
      </c>
      <c r="C95" s="39" t="inlineStr">
        <is>
          <t>Tallinn → Naissaar</t>
        </is>
      </c>
      <c r="D95" s="38" t="inlineStr">
        <is>
          <t>bolt</t>
        </is>
      </c>
      <c r="E95" s="40" t="inlineStr">
        <is>
          <t>bolt-estonia</t>
        </is>
      </c>
      <c r="F95" s="41" t="n">
        <v>1</v>
      </c>
      <c r="G95" s="42" t="n">
        <v>11</v>
      </c>
      <c r="H95" s="35" t="n">
        <v>10.8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>
        <v>50000</v>
      </c>
      <c r="AK95" s="43" t="n"/>
      <c r="AL95" s="43" t="n"/>
      <c r="AM95" s="50" t="n">
        <v>0.1</v>
      </c>
      <c r="AN95" s="45">
        <f>IF(AJ95="","",AJ95*AM95)</f>
        <v/>
      </c>
      <c r="AO95" s="45">
        <f>IF(OR(AJ95="",U95=0),"",MIN(IF(AW95="",9.9E+99,AW95),FLOOR(AN95/U95,1)))</f>
        <v/>
      </c>
      <c r="AP95" s="49">
        <f>IF(AO95="","",AO95*W95)</f>
        <v/>
      </c>
      <c r="AQ95" s="47">
        <f>IF(OR(AJ95="",U95=0),"",MIN(IF(AW95="",9.9E+99,AW95),AN95/U95))</f>
        <v/>
      </c>
      <c r="AR95" s="49">
        <f>IF(AQ95="","",AQ95*W95)</f>
        <v/>
      </c>
      <c r="AS95" s="51" t="n"/>
      <c r="AT95" s="43" t="inlineStr">
        <is>
          <t>Estimated</t>
        </is>
      </c>
      <c r="AU95" s="52" t="n"/>
      <c r="AV95" s="52" t="n"/>
      <c r="AW95" s="53" t="n"/>
      <c r="AX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Y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Z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BA95" s="40" t="inlineStr">
        <is>
          <t>Sunlines 'Strande' (300 pax) adult scheduled fare EUR 10 one-way / EUR 20 round-trip, departing Linnahall 11:00. EUR 10 x 1.08 = $10.8.</t>
        </is>
      </c>
      <c r="BB95" s="40" t="n"/>
    </row>
    <row r="96">
      <c r="A96" s="38" t="inlineStr">
        <is>
          <t>Bolt Estonia</t>
        </is>
      </c>
      <c r="B96" s="38" t="inlineStr">
        <is>
          <t>Estonia</t>
        </is>
      </c>
      <c r="C96" s="39" t="inlineStr">
        <is>
          <t>Tallinn → Helsinki</t>
        </is>
      </c>
      <c r="D96" s="38" t="inlineStr">
        <is>
          <t>bolt</t>
        </is>
      </c>
      <c r="E96" s="40" t="inlineStr">
        <is>
          <t>bolt-estonia</t>
        </is>
      </c>
      <c r="F96" s="41" t="n">
        <v>1</v>
      </c>
      <c r="G96" s="42" t="n">
        <v>43</v>
      </c>
      <c r="H96" s="35" t="n">
        <v>27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750000</v>
      </c>
      <c r="AK96" s="43" t="n"/>
      <c r="AL96" s="43" t="inlineStr">
        <is>
          <t>med</t>
        </is>
      </c>
      <c r="AM96" s="50" t="n">
        <v>0.25</v>
      </c>
      <c r="AN96" s="45">
        <f>IF(AJ96="","",AJ96*AM96)</f>
        <v/>
      </c>
      <c r="AO96" s="45">
        <f>IF(OR(AJ96="",U96=0),"",MIN(IF(AW96="",9.9E+99,AW96),FLOOR(AN96/U96,1)))</f>
        <v/>
      </c>
      <c r="AP96" s="49">
        <f>IF(AO96="","",AO96*W96)</f>
        <v/>
      </c>
      <c r="AQ96" s="47">
        <f>IF(OR(AJ96="",U96=0),"",MIN(IF(AW96="",9.9E+99,AW96),AN96/U96))</f>
        <v/>
      </c>
      <c r="AR96" s="49">
        <f>IF(AQ96="","",AQ96*W96)</f>
        <v/>
      </c>
      <c r="AS96" s="51" t="n"/>
      <c r="AT96" s="43" t="inlineStr">
        <is>
          <t>Grounded</t>
        </is>
      </c>
      <c r="AU96" s="52" t="n"/>
      <c r="AV96" s="52" t="n"/>
      <c r="AW96" s="53" t="n"/>
      <c r="AX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Y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Z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BA96" s="40" t="inlineStr">
        <is>
          <t>PREMIUM tier: standard adult walk-up fast-ferry seat ~EUR 25 (range EUR 18-35 by season/operator/advance; Tallink Megastar/MyStar, Viking from EUR 18, Eckero). EUR 25 x 1.08 = $27.0.</t>
        </is>
      </c>
      <c r="BB96" s="40" t="n"/>
    </row>
    <row r="97">
      <c r="A97" s="38" t="inlineStr">
        <is>
          <t>Bolt Finland</t>
        </is>
      </c>
      <c r="B97" s="38" t="inlineStr">
        <is>
          <t>Finland</t>
        </is>
      </c>
      <c r="C97" s="39" t="inlineStr">
        <is>
          <t>Helsinki → Lonna</t>
        </is>
      </c>
      <c r="D97" s="38" t="inlineStr">
        <is>
          <t>bolt</t>
        </is>
      </c>
      <c r="E97" s="40" t="inlineStr">
        <is>
          <t>bolt-finland</t>
        </is>
      </c>
      <c r="F97" s="41" t="n">
        <v>1</v>
      </c>
      <c r="G97" s="42" t="n">
        <v>1.2</v>
      </c>
      <c r="H97" s="35" t="n">
        <v>8.640000000000001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L97+turn_min+dwell_min</f>
        <v/>
      </c>
      <c r="N97" s="45">
        <f>MIN(15,FLOOR(60*service_hr/M97,1))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n"/>
      <c r="AL97" s="43" t="n"/>
      <c r="AM97" s="50" t="n">
        <v>0.1</v>
      </c>
      <c r="AN97" s="45">
        <f>IF(AJ97="","",AJ97*AM97)</f>
        <v/>
      </c>
      <c r="AO97" s="45">
        <f>IF(OR(AJ97="",U97=0),"",MIN(IF(AW97="",9.9E+99,AW97),FLOOR(AN97/U97,1)))</f>
        <v/>
      </c>
      <c r="AP97" s="49">
        <f>IF(AO97="","",AO97*W97)</f>
        <v/>
      </c>
      <c r="AQ97" s="47">
        <f>IF(OR(AJ97="",U97=0),"",MIN(IF(AW97="",9.9E+99,AW97),AN97/U97))</f>
        <v/>
      </c>
      <c r="AR97" s="49">
        <f>IF(AQ97="","",AQ97*W97)</f>
        <v/>
      </c>
      <c r="AS97" s="51" t="n"/>
      <c r="AT97" s="43" t="inlineStr">
        <is>
          <t>Estimated</t>
        </is>
      </c>
      <c r="AU97" s="52" t="n"/>
      <c r="AV97" s="52" t="n"/>
      <c r="AW97" s="53" t="n"/>
      <c r="AX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Y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Z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BA97" s="40" t="inlineStr">
        <is>
          <t>JT-Line Kauppatori-&gt;Lonna adult fare EUR 8 (Rome2Rio; 10 min). EUR 8 x 1.08 = $8.64.</t>
        </is>
      </c>
      <c r="BB97" s="40" t="n"/>
    </row>
    <row r="98">
      <c r="A98" s="38" t="inlineStr">
        <is>
          <t>Bolt Finland</t>
        </is>
      </c>
      <c r="B98" s="38" t="inlineStr">
        <is>
          <t>Finland</t>
        </is>
      </c>
      <c r="C98" s="39" t="inlineStr">
        <is>
          <t>Helsinki Market Square → Suomenlinna</t>
        </is>
      </c>
      <c r="D98" s="38" t="inlineStr">
        <is>
          <t>bolt</t>
        </is>
      </c>
      <c r="E98" s="40" t="inlineStr">
        <is>
          <t>bolt-finland</t>
        </is>
      </c>
      <c r="F98" s="41" t="n">
        <v>1</v>
      </c>
      <c r="G98" s="42" t="n">
        <v>1.5</v>
      </c>
      <c r="H98" s="35" t="n">
        <v>8.640000000000001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1000000</v>
      </c>
      <c r="AK98" s="43" t="n"/>
      <c r="AL98" s="43" t="n"/>
      <c r="AM98" s="50" t="n">
        <v>0.1</v>
      </c>
      <c r="AN98" s="45">
        <f>IF(AJ98="","",AJ98*AM98)</f>
        <v/>
      </c>
      <c r="AO98" s="45">
        <f>IF(OR(AJ98="",U98=0),"",MIN(IF(AW98="",9.9E+99,AW98),FLOOR(AN98/U98,1)))</f>
        <v/>
      </c>
      <c r="AP98" s="49">
        <f>IF(AO98="","",AO98*W98)</f>
        <v/>
      </c>
      <c r="AQ98" s="47">
        <f>IF(OR(AJ98="",U98=0),"",MIN(IF(AW98="",9.9E+99,AW98),AN98/U98))</f>
        <v/>
      </c>
      <c r="AR98" s="49">
        <f>IF(AQ98="","",AQ98*W98)</f>
        <v/>
      </c>
      <c r="AS98" s="51" t="n"/>
      <c r="AT98" s="43" t="inlineStr">
        <is>
          <t>Grounded</t>
        </is>
      </c>
      <c r="AU98" s="52" t="n"/>
      <c r="AV98" s="52" t="n"/>
      <c r="AW98" s="53" t="n"/>
      <c r="AX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Y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Z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BA98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B98" s="40" t="n"/>
    </row>
    <row r="99">
      <c r="A99" s="38" t="inlineStr">
        <is>
          <t>Bolt Finland</t>
        </is>
      </c>
      <c r="B99" s="38" t="inlineStr">
        <is>
          <t>Finland</t>
        </is>
      </c>
      <c r="C99" s="39" t="inlineStr">
        <is>
          <t>Helsinki → Pihlajasaari</t>
        </is>
      </c>
      <c r="D99" s="38" t="inlineStr">
        <is>
          <t>bolt</t>
        </is>
      </c>
      <c r="E99" s="40" t="inlineStr">
        <is>
          <t>bolt-finland</t>
        </is>
      </c>
      <c r="F99" s="41" t="n">
        <v>1</v>
      </c>
      <c r="G99" s="42" t="n">
        <v>1.5</v>
      </c>
      <c r="H99" s="35" t="n">
        <v>8.640000000000001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L99+turn_min+dwell_min</f>
        <v/>
      </c>
      <c r="N99" s="45">
        <f>MIN(15,FLOOR(60*service_hr/M99,1))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/>
      <c r="AK99" s="43" t="n"/>
      <c r="AL99" s="43" t="n"/>
      <c r="AM99" s="50" t="n">
        <v>0.1</v>
      </c>
      <c r="AN99" s="45">
        <f>IF(AJ99="","",AJ99*AM99)</f>
        <v/>
      </c>
      <c r="AO99" s="45">
        <f>IF(OR(AJ99="",U99=0),"",MIN(IF(AW99="",9.9E+99,AW99),FLOOR(AN99/U99,1)))</f>
        <v/>
      </c>
      <c r="AP99" s="49">
        <f>IF(AO99="","",AO99*W99)</f>
        <v/>
      </c>
      <c r="AQ99" s="47">
        <f>IF(OR(AJ99="",U99=0),"",MIN(IF(AW99="",9.9E+99,AW99),AN99/U99))</f>
        <v/>
      </c>
      <c r="AR99" s="49">
        <f>IF(AQ99="","",AQ99*W99)</f>
        <v/>
      </c>
      <c r="AS99" s="51" t="n"/>
      <c r="AT99" s="43" t="inlineStr">
        <is>
          <t>Estimated</t>
        </is>
      </c>
      <c r="AU99" s="52" t="n"/>
      <c r="AV99" s="52" t="n"/>
      <c r="AW99" s="53" t="n"/>
      <c r="AX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Y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Z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BA99" s="40" t="inlineStr">
        <is>
          <t>JT-Line adult ferry seat EUR 8 (Summer 2026; EUR 9 quoted 2024). EUR 8 x 1.08 = $8.64.</t>
        </is>
      </c>
      <c r="BB99" s="40" t="n"/>
    </row>
    <row r="100">
      <c r="A100" s="38" t="inlineStr">
        <is>
          <t>Bolt Finland</t>
        </is>
      </c>
      <c r="B100" s="38" t="inlineStr">
        <is>
          <t>Finland</t>
        </is>
      </c>
      <c r="C100" s="39" t="inlineStr">
        <is>
          <t>Helsinki → Korkeasaari (Zoo island)</t>
        </is>
      </c>
      <c r="D100" s="38" t="inlineStr">
        <is>
          <t>bolt</t>
        </is>
      </c>
      <c r="E100" s="40" t="inlineStr">
        <is>
          <t>bolt-finland</t>
        </is>
      </c>
      <c r="F100" s="41" t="n">
        <v>1</v>
      </c>
      <c r="G100" s="42" t="n">
        <v>2</v>
      </c>
      <c r="H100" s="35" t="n">
        <v>8.640000000000001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>
        <v>500000</v>
      </c>
      <c r="AK100" s="43" t="n"/>
      <c r="AL100" s="43" t="n"/>
      <c r="AM100" s="50" t="n">
        <v>0.1</v>
      </c>
      <c r="AN100" s="45">
        <f>IF(AJ100="","",AJ100*AM100)</f>
        <v/>
      </c>
      <c r="AO100" s="45">
        <f>IF(OR(AJ100="",U100=0),"",MIN(IF(AW100="",9.9E+99,AW100),FLOOR(AN100/U100,1)))</f>
        <v/>
      </c>
      <c r="AP100" s="49">
        <f>IF(AO100="","",AO100*W100)</f>
        <v/>
      </c>
      <c r="AQ100" s="47">
        <f>IF(OR(AJ100="",U100=0),"",MIN(IF(AW100="",9.9E+99,AW100),AN100/U100))</f>
        <v/>
      </c>
      <c r="AR100" s="49">
        <f>IF(AQ100="","",AQ100*W100)</f>
        <v/>
      </c>
      <c r="AS100" s="51" t="n"/>
      <c r="AT100" s="43" t="inlineStr">
        <is>
          <t>Grounded</t>
        </is>
      </c>
      <c r="AU100" s="52" t="n"/>
      <c r="AV100" s="52" t="n"/>
      <c r="AW100" s="53" t="n"/>
      <c r="AX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Y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Z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BA100" s="40" t="inlineStr">
        <is>
          <t>Seasonal Market Square-&gt;Korkeasaari ferry adult seat ~EUR 8 (archipelago leisure tier; zoo admission separate). EUR 8 x 1.08 = $8.64.</t>
        </is>
      </c>
      <c r="BB100" s="40" t="n"/>
    </row>
    <row r="101">
      <c r="A101" s="38" t="inlineStr">
        <is>
          <t>Bolt Finland</t>
        </is>
      </c>
      <c r="B101" s="38" t="inlineStr">
        <is>
          <t>Finland</t>
        </is>
      </c>
      <c r="C101" s="39" t="inlineStr">
        <is>
          <t>Helsinki → Kruunuvuorenranta (Laajasalo)</t>
        </is>
      </c>
      <c r="D101" s="38" t="inlineStr">
        <is>
          <t>bolt</t>
        </is>
      </c>
      <c r="E101" s="40" t="inlineStr">
        <is>
          <t>bolt-finland</t>
        </is>
      </c>
      <c r="F101" s="41" t="n">
        <v>1</v>
      </c>
      <c r="G101" s="42" t="n">
        <v>2</v>
      </c>
      <c r="H101" s="35" t="n">
        <v>18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L101+turn_min+dwell_min</f>
        <v/>
      </c>
      <c r="N101" s="45">
        <f>MIN(24,FLOOR(60*service_hr/M101,1))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/>
      <c r="AK101" s="43" t="n"/>
      <c r="AL101" s="43" t="n"/>
      <c r="AM101" s="50" t="n">
        <v>0.1</v>
      </c>
      <c r="AN101" s="45">
        <f>IF(AJ101="","",AJ101*AM101)</f>
        <v/>
      </c>
      <c r="AO101" s="45">
        <f>IF(OR(AJ101="",U101=0),"",MIN(IF(AW101="",9.9E+99,AW101),FLOOR(AN101/U101,1)))</f>
        <v/>
      </c>
      <c r="AP101" s="49">
        <f>IF(AO101="","",AO101*W101)</f>
        <v/>
      </c>
      <c r="AQ101" s="47">
        <f>IF(OR(AJ101="",U101=0),"",MIN(IF(AW101="",9.9E+99,AW101),AN101/U101))</f>
        <v/>
      </c>
      <c r="AR101" s="49">
        <f>IF(AQ101="","",AQ101*W101)</f>
        <v/>
      </c>
      <c r="AS101" s="51" t="n"/>
      <c r="AT101" s="43" t="inlineStr">
        <is>
          <t>Estimated</t>
        </is>
      </c>
      <c r="AU101" s="52" t="n"/>
      <c r="AV101" s="52" t="n"/>
      <c r="AW101" s="53" t="n"/>
      <c r="AX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Y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Z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BA101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B101" s="40" t="n"/>
    </row>
    <row r="102">
      <c r="A102" s="38" t="inlineStr">
        <is>
          <t>Bolt Finland</t>
        </is>
      </c>
      <c r="B102" s="38" t="inlineStr">
        <is>
          <t>Finland</t>
        </is>
      </c>
      <c r="C102" s="39" t="inlineStr">
        <is>
          <t>Helsinki → Vallisaari</t>
        </is>
      </c>
      <c r="D102" s="38" t="inlineStr">
        <is>
          <t>bolt</t>
        </is>
      </c>
      <c r="E102" s="40" t="inlineStr">
        <is>
          <t>bolt-finland</t>
        </is>
      </c>
      <c r="F102" s="41" t="n">
        <v>1</v>
      </c>
      <c r="G102" s="42" t="n">
        <v>2.5</v>
      </c>
      <c r="H102" s="35" t="n">
        <v>8.640000000000001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L102+turn_min+dwell_min</f>
        <v/>
      </c>
      <c r="N102" s="45">
        <f>MIN(15,FLOOR(60*service_hr/M102,1))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>
        <v>500000</v>
      </c>
      <c r="AK102" s="43" t="n"/>
      <c r="AL102" s="43" t="n"/>
      <c r="AM102" s="50" t="n">
        <v>0.1</v>
      </c>
      <c r="AN102" s="45">
        <f>IF(AJ102="","",AJ102*AM102)</f>
        <v/>
      </c>
      <c r="AO102" s="45">
        <f>IF(OR(AJ102="",U102=0),"",MIN(IF(AW102="",9.9E+99,AW102),FLOOR(AN102/U102,1)))</f>
        <v/>
      </c>
      <c r="AP102" s="49">
        <f>IF(AO102="","",AO102*W102)</f>
        <v/>
      </c>
      <c r="AQ102" s="47">
        <f>IF(OR(AJ102="",U102=0),"",MIN(IF(AW102="",9.9E+99,AW102),AN102/U102))</f>
        <v/>
      </c>
      <c r="AR102" s="49">
        <f>IF(AQ102="","",AQ102*W102)</f>
        <v/>
      </c>
      <c r="AS102" s="51" t="n"/>
      <c r="AT102" s="43" t="inlineStr">
        <is>
          <t>Grounded</t>
        </is>
      </c>
      <c r="AU102" s="52" t="n"/>
      <c r="AV102" s="52" t="n"/>
      <c r="AW102" s="53" t="n"/>
      <c r="AX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Y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Z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BA102" s="40" t="inlineStr">
        <is>
          <t>JT-Line adult island ferry seat ~EUR 8 (2026 island-hop tariff; EUR 9 quoted 2024). EUR 8 x 1.08 = $8.64.</t>
        </is>
      </c>
      <c r="BB102" s="40" t="n"/>
    </row>
    <row r="103">
      <c r="A103" s="38" t="inlineStr">
        <is>
          <t>Bolt Finland</t>
        </is>
      </c>
      <c r="B103" s="38" t="inlineStr">
        <is>
          <t>Finland</t>
        </is>
      </c>
      <c r="C103" s="39" t="inlineStr">
        <is>
          <t>Helsinki → Porvoo</t>
        </is>
      </c>
      <c r="D103" s="38" t="inlineStr">
        <is>
          <t>bolt</t>
        </is>
      </c>
      <c r="E103" s="40" t="inlineStr">
        <is>
          <t>bolt-finland</t>
        </is>
      </c>
      <c r="F103" s="41" t="n">
        <v>1</v>
      </c>
      <c r="G103" s="42" t="n">
        <v>26</v>
      </c>
      <c r="H103" s="35" t="n"/>
      <c r="I103" s="43" t="n"/>
      <c r="J103" s="43" t="n"/>
      <c r="K103" s="29" t="n">
        <v>1</v>
      </c>
      <c r="L103" s="44">
        <f>60*G103/cruise_kt</f>
        <v/>
      </c>
      <c r="M103" s="44">
        <f>L103+turn_min+dwell_min</f>
        <v/>
      </c>
      <c r="N103" s="45">
        <f>MIN(24,FLOOR(60*service_hr/M103,1))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n"/>
      <c r="AL103" s="43" t="n"/>
      <c r="AM103" s="50" t="n">
        <v>0.1</v>
      </c>
      <c r="AN103" s="45">
        <f>IF(AJ103="","",AJ103*AM103)</f>
        <v/>
      </c>
      <c r="AO103" s="45">
        <f>IF(OR(AJ103="",U103=0),"",MIN(IF(AW103="",9.9E+99,AW103),FLOOR(AN103/U103,1)))</f>
        <v/>
      </c>
      <c r="AP103" s="49">
        <f>IF(AO103="","",AO103*W103)</f>
        <v/>
      </c>
      <c r="AQ103" s="47">
        <f>IF(OR(AJ103="",U103=0),"",MIN(IF(AW103="",9.9E+99,AW103),AN103/U103))</f>
        <v/>
      </c>
      <c r="AR103" s="49">
        <f>IF(AQ103="","",AQ103*W103)</f>
        <v/>
      </c>
      <c r="AS103" s="51" t="n"/>
      <c r="AT103" s="43" t="inlineStr">
        <is>
          <t>Estimated</t>
        </is>
      </c>
      <c r="AU103" s="52" t="n"/>
      <c r="AV103" s="52" t="n"/>
      <c r="AW103" s="53" t="n"/>
      <c r="AX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Y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Z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BA103" s="40" t="n"/>
      <c r="BB103" s="40" t="n"/>
    </row>
    <row r="104">
      <c r="A104" s="38" t="inlineStr">
        <is>
          <t>Bolt Finland</t>
        </is>
      </c>
      <c r="B104" s="38" t="inlineStr">
        <is>
          <t>Finland</t>
        </is>
      </c>
      <c r="C104" s="39" t="inlineStr">
        <is>
          <t>Helsinki → Tallinn</t>
        </is>
      </c>
      <c r="D104" s="38" t="inlineStr">
        <is>
          <t>bolt</t>
        </is>
      </c>
      <c r="E104" s="40" t="inlineStr">
        <is>
          <t>bolt-finland</t>
        </is>
      </c>
      <c r="F104" s="41" t="n">
        <v>1</v>
      </c>
      <c r="G104" s="42" t="n">
        <v>43</v>
      </c>
      <c r="H104" s="35" t="n">
        <v>27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L104+turn_min+dwell_min</f>
        <v/>
      </c>
      <c r="N104" s="45">
        <f>MIN(15,FLOOR(60*service_hr/M104,1))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750000</v>
      </c>
      <c r="AK104" s="43" t="n"/>
      <c r="AL104" s="43" t="inlineStr">
        <is>
          <t>med</t>
        </is>
      </c>
      <c r="AM104" s="50" t="n">
        <v>0.25</v>
      </c>
      <c r="AN104" s="45">
        <f>IF(AJ104="","",AJ104*AM104)</f>
        <v/>
      </c>
      <c r="AO104" s="45">
        <f>IF(OR(AJ104="",U104=0),"",MIN(IF(AW104="",9.9E+99,AW104),FLOOR(AN104/U104,1)))</f>
        <v/>
      </c>
      <c r="AP104" s="49">
        <f>IF(AO104="","",AO104*W104)</f>
        <v/>
      </c>
      <c r="AQ104" s="47">
        <f>IF(OR(AJ104="",U104=0),"",MIN(IF(AW104="",9.9E+99,AW104),AN104/U104))</f>
        <v/>
      </c>
      <c r="AR104" s="49">
        <f>IF(AQ104="","",AQ104*W104)</f>
        <v/>
      </c>
      <c r="AS104" s="51" t="n"/>
      <c r="AT104" s="43" t="inlineStr">
        <is>
          <t>Estimated</t>
        </is>
      </c>
      <c r="AU104" s="52" t="n"/>
      <c r="AV104" s="52" t="n"/>
      <c r="AW104" s="53" t="n"/>
      <c r="AX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Y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Z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BA104" s="40" t="inlineStr">
        <is>
          <t>PREMIUM tier: standard adult walk-up fast-ferry seat ~EUR 25 (range EUR 18-35 by season/operator/advance; Tallink Megastar/MyStar, Viking from EUR 18, Eckero). EUR 25 x 1.08 = $27.0.</t>
        </is>
      </c>
      <c r="BB104" s="40" t="n"/>
    </row>
    <row r="105">
      <c r="A105" s="38" t="inlineStr">
        <is>
          <t>Bolt France Riviera</t>
        </is>
      </c>
      <c r="B105" s="38" t="inlineStr">
        <is>
          <t>France</t>
        </is>
      </c>
      <c r="C105" s="39" t="inlineStr">
        <is>
          <t>Cannes → Ile Sainte-Marguerite (Iles de Lerins)</t>
        </is>
      </c>
      <c r="D105" s="38" t="inlineStr">
        <is>
          <t>bolt</t>
        </is>
      </c>
      <c r="E105" s="40" t="inlineStr">
        <is>
          <t>bolt-france-riviera</t>
        </is>
      </c>
      <c r="F105" s="41" t="n">
        <v>1</v>
      </c>
      <c r="G105" s="42" t="n">
        <v>1.5</v>
      </c>
      <c r="H105" s="35" t="n">
        <v>10.3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L105+turn_min+dwell_min</f>
        <v/>
      </c>
      <c r="N105" s="45">
        <f>MIN(15,FLOOR(60*service_hr/M105,1))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>
        <v>300000</v>
      </c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IF(OR(AJ105="",U105=0),"",MIN(IF(AW105="",9.9E+99,AW105),FLOOR(AN105/U105,1)))</f>
        <v/>
      </c>
      <c r="AP105" s="49">
        <f>IF(AO105="","",AO105*W105)</f>
        <v/>
      </c>
      <c r="AQ105" s="47">
        <f>IF(OR(AJ105="",U105=0),"",MIN(IF(AW105="",9.9E+99,AW105),AN105/U105))</f>
        <v/>
      </c>
      <c r="AR105" s="49">
        <f>IF(AQ105="","",AQ105*W105)</f>
        <v/>
      </c>
      <c r="AS105" s="51" t="n"/>
      <c r="AT105" s="43" t="inlineStr">
        <is>
          <t>Grounded</t>
        </is>
      </c>
      <c r="AU105" s="52" t="n"/>
      <c r="AV105" s="52" t="n"/>
      <c r="AW105" s="53" t="n"/>
      <c r="AX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Y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Z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BA105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B105" s="40" t="n"/>
    </row>
    <row r="106">
      <c r="A106" s="38" t="inlineStr">
        <is>
          <t>Bolt France Riviera</t>
        </is>
      </c>
      <c r="B106" s="38" t="inlineStr">
        <is>
          <t>France</t>
        </is>
      </c>
      <c r="C106" s="39" t="inlineStr">
        <is>
          <t>Menton → Monaco</t>
        </is>
      </c>
      <c r="D106" s="38" t="inlineStr">
        <is>
          <t>bolt</t>
        </is>
      </c>
      <c r="E106" s="40" t="inlineStr">
        <is>
          <t>bolt-france-riviera</t>
        </is>
      </c>
      <c r="F106" s="41" t="n">
        <v>1</v>
      </c>
      <c r="G106" s="42" t="n">
        <v>4</v>
      </c>
      <c r="H106" s="35" t="n"/>
      <c r="I106" s="43" t="n"/>
      <c r="J106" s="43" t="n"/>
      <c r="K106" s="29" t="n">
        <v>1</v>
      </c>
      <c r="L106" s="44">
        <f>60*G106/cruise_kt</f>
        <v/>
      </c>
      <c r="M106" s="44">
        <f>L106+turn_min+dwell_min</f>
        <v/>
      </c>
      <c r="N106" s="45">
        <f>MIN(24,FLOOR(60*service_hr/M106,1))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>
        <v>110565</v>
      </c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IF(OR(AJ106="",U106=0),"",MIN(IF(AW106="",9.9E+99,AW106),FLOOR(AN106/U106,1)))</f>
        <v/>
      </c>
      <c r="AP106" s="49">
        <f>IF(AO106="","",AO106*W106)</f>
        <v/>
      </c>
      <c r="AQ106" s="47">
        <f>IF(OR(AJ106="",U106=0),"",MIN(IF(AW106="",9.9E+99,AW106),AN106/U106))</f>
        <v/>
      </c>
      <c r="AR106" s="49">
        <f>IF(AQ106="","",AQ106*W106)</f>
        <v/>
      </c>
      <c r="AS106" s="51" t="n"/>
      <c r="AT106" s="43" t="inlineStr">
        <is>
          <t>Estimated</t>
        </is>
      </c>
      <c r="AU106" s="52" t="n"/>
      <c r="AV106" s="52" t="n"/>
      <c r="AW106" s="53" t="n"/>
      <c r="AX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Y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Z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BA106" s="40" t="n"/>
      <c r="BB106" s="40" t="n"/>
    </row>
    <row r="107">
      <c r="A107" s="38" t="inlineStr">
        <is>
          <t>Bolt France Riviera</t>
        </is>
      </c>
      <c r="B107" s="38" t="inlineStr">
        <is>
          <t>France</t>
        </is>
      </c>
      <c r="C107" s="39" t="inlineStr">
        <is>
          <t>Villefranche-sur-Mer → Monaco</t>
        </is>
      </c>
      <c r="D107" s="38" t="inlineStr">
        <is>
          <t>bolt</t>
        </is>
      </c>
      <c r="E107" s="40" t="inlineStr">
        <is>
          <t>bolt-france-riviera</t>
        </is>
      </c>
      <c r="F107" s="41" t="n">
        <v>1</v>
      </c>
      <c r="G107" s="42" t="n">
        <v>5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L107+turn_min+dwell_min</f>
        <v/>
      </c>
      <c r="N107" s="45">
        <f>MIN(24,FLOOR(60*service_hr/M107,1))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IF(OR(AJ107="",U107=0),"",MIN(IF(AW107="",9.9E+99,AW107),FLOOR(AN107/U107,1)))</f>
        <v/>
      </c>
      <c r="AP107" s="49">
        <f>IF(AO107="","",AO107*W107)</f>
        <v/>
      </c>
      <c r="AQ107" s="47">
        <f>IF(OR(AJ107="",U107=0),"",MIN(IF(AW107="",9.9E+99,AW107),AN107/U107))</f>
        <v/>
      </c>
      <c r="AR107" s="49">
        <f>IF(AQ107="","",AQ107*W107)</f>
        <v/>
      </c>
      <c r="AS107" s="51" t="n"/>
      <c r="AT107" s="43" t="inlineStr">
        <is>
          <t>Estimated</t>
        </is>
      </c>
      <c r="AU107" s="52" t="n"/>
      <c r="AV107" s="52" t="n"/>
      <c r="AW107" s="53" t="n"/>
      <c r="AX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Y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Z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BA107" s="40" t="n"/>
      <c r="BB107" s="40" t="n"/>
    </row>
    <row r="108">
      <c r="A108" s="38" t="inlineStr">
        <is>
          <t>Bolt France Riviera</t>
        </is>
      </c>
      <c r="B108" s="38" t="inlineStr">
        <is>
          <t>France</t>
        </is>
      </c>
      <c r="C108" s="39" t="inlineStr">
        <is>
          <t>Antibes → Cannes</t>
        </is>
      </c>
      <c r="D108" s="38" t="inlineStr">
        <is>
          <t>bolt</t>
        </is>
      </c>
      <c r="E108" s="40" t="inlineStr">
        <is>
          <t>bolt-france-riviera</t>
        </is>
      </c>
      <c r="F108" s="41" t="n">
        <v>1</v>
      </c>
      <c r="G108" s="42" t="n">
        <v>6</v>
      </c>
      <c r="H108" s="35" t="n"/>
      <c r="I108" s="43" t="n"/>
      <c r="J108" s="43" t="n"/>
      <c r="K108" s="29" t="n">
        <v>1</v>
      </c>
      <c r="L108" s="44">
        <f>60*G108/cruise_kt</f>
        <v/>
      </c>
      <c r="M108" s="44">
        <f>L108+turn_min+dwell_min</f>
        <v/>
      </c>
      <c r="N108" s="45">
        <f>MIN(24,FLOOR(60*service_hr/M108,1))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136595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IF(OR(AJ108="",U108=0),"",MIN(IF(AW108="",9.9E+99,AW108),FLOOR(AN108/U108,1)))</f>
        <v/>
      </c>
      <c r="AP108" s="49">
        <f>IF(AO108="","",AO108*W108)</f>
        <v/>
      </c>
      <c r="AQ108" s="47">
        <f>IF(OR(AJ108="",U108=0),"",MIN(IF(AW108="",9.9E+99,AW108),AN108/U108))</f>
        <v/>
      </c>
      <c r="AR108" s="49">
        <f>IF(AQ108="","",AQ108*W108)</f>
        <v/>
      </c>
      <c r="AS108" s="51" t="n"/>
      <c r="AT108" s="43" t="inlineStr">
        <is>
          <t>Estimated</t>
        </is>
      </c>
      <c r="AU108" s="52" t="n"/>
      <c r="AV108" s="52" t="n"/>
      <c r="AW108" s="53" t="n"/>
      <c r="AX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Y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Z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BA108" s="40" t="n"/>
      <c r="BB108" s="40" t="n"/>
    </row>
    <row r="109">
      <c r="A109" s="38" t="inlineStr">
        <is>
          <t>Bolt France Riviera</t>
        </is>
      </c>
      <c r="B109" s="38" t="inlineStr">
        <is>
          <t>France</t>
        </is>
      </c>
      <c r="C109" s="39" t="inlineStr">
        <is>
          <t>Nice → Monaco</t>
        </is>
      </c>
      <c r="D109" s="38" t="inlineStr">
        <is>
          <t>bolt</t>
        </is>
      </c>
      <c r="E109" s="40" t="inlineStr">
        <is>
          <t>bolt-france-riviera</t>
        </is>
      </c>
      <c r="F109" s="41" t="n">
        <v>1</v>
      </c>
      <c r="G109" s="42" t="n">
        <v>6.5</v>
      </c>
      <c r="H109" s="35" t="n">
        <v>26.7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MIN(24,FLOOR(60*service_hr/M109,1))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368966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IF(OR(AJ109="",U109=0),"",MIN(IF(AW109="",9.9E+99,AW109),FLOOR(AN109/U109,1)))</f>
        <v/>
      </c>
      <c r="AP109" s="49">
        <f>IF(AO109="","",AO109*W109)</f>
        <v/>
      </c>
      <c r="AQ109" s="47">
        <f>IF(OR(AJ109="",U109=0),"",MIN(IF(AW109="",9.9E+99,AW109),AN109/U109))</f>
        <v/>
      </c>
      <c r="AR109" s="49">
        <f>IF(AQ109="","",AQ109*W109)</f>
        <v/>
      </c>
      <c r="AS109" s="51" t="n"/>
      <c r="AT109" s="43" t="inlineStr">
        <is>
          <t>Grounded</t>
        </is>
      </c>
      <c r="AU109" s="52" t="n"/>
      <c r="AV109" s="52" t="n"/>
      <c r="AW109" s="53" t="n"/>
      <c r="AX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Y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Z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BA109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B109" s="40" t="n"/>
    </row>
    <row r="110">
      <c r="A110" s="38" t="inlineStr">
        <is>
          <t>Bolt France Riviera</t>
        </is>
      </c>
      <c r="B110" s="38" t="inlineStr">
        <is>
          <t>France</t>
        </is>
      </c>
      <c r="C110" s="39" t="inlineStr">
        <is>
          <t>Nice Airport → Monaco</t>
        </is>
      </c>
      <c r="D110" s="38" t="inlineStr">
        <is>
          <t>bolt</t>
        </is>
      </c>
      <c r="E110" s="40" t="inlineStr">
        <is>
          <t>bolt-france-riviera</t>
        </is>
      </c>
      <c r="F110" s="41" t="n">
        <v>1</v>
      </c>
      <c r="G110" s="42" t="n">
        <v>6.7</v>
      </c>
      <c r="H110" s="35" t="n">
        <v>210.6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MIN(15,FLOOR(60*service_hr/M110,1))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>
        <v>79000</v>
      </c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IF(OR(AJ110="",U110=0),"",MIN(IF(AW110="",9.9E+99,AW110),FLOOR(AN110/U110,1)))</f>
        <v/>
      </c>
      <c r="AP110" s="49">
        <f>IF(AO110="","",AO110*W110)</f>
        <v/>
      </c>
      <c r="AQ110" s="47">
        <f>IF(OR(AJ110="",U110=0),"",MIN(IF(AW110="",9.9E+99,AW110),AN110/U110))</f>
        <v/>
      </c>
      <c r="AR110" s="49">
        <f>IF(AQ110="","",AQ110*W110)</f>
        <v/>
      </c>
      <c r="AS110" s="51" t="n"/>
      <c r="AT110" s="43" t="inlineStr">
        <is>
          <t>Upside tier</t>
        </is>
      </c>
      <c r="AU110" s="52" t="n"/>
      <c r="AV110" s="52" t="inlineStr">
        <is>
          <t>modal_shift_greenfield</t>
        </is>
      </c>
      <c r="AW110" s="53" t="n"/>
      <c r="AX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Y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Z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BA110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B110" s="40" t="n"/>
    </row>
    <row r="111">
      <c r="A111" s="38" t="inlineStr">
        <is>
          <t>Bolt France Riviera</t>
        </is>
      </c>
      <c r="B111" s="38" t="inlineStr">
        <is>
          <t>France</t>
        </is>
      </c>
      <c r="C111" s="39" t="inlineStr">
        <is>
          <t>Nice Airport → Cannes</t>
        </is>
      </c>
      <c r="D111" s="38" t="inlineStr">
        <is>
          <t>bolt</t>
        </is>
      </c>
      <c r="E111" s="40" t="inlineStr">
        <is>
          <t>bolt-france-riviera</t>
        </is>
      </c>
      <c r="F111" s="41" t="n">
        <v>1</v>
      </c>
      <c r="G111" s="42" t="n">
        <v>9</v>
      </c>
      <c r="H111" s="35" t="n"/>
      <c r="I111" s="43" t="n"/>
      <c r="J111" s="43" t="n"/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IF(OR(AJ111="",U111=0),"",MIN(IF(AW111="",9.9E+99,AW111),FLOOR(AN111/U111,1)))</f>
        <v/>
      </c>
      <c r="AP111" s="49">
        <f>IF(AO111="","",AO111*W111)</f>
        <v/>
      </c>
      <c r="AQ111" s="47">
        <f>IF(OR(AJ111="",U111=0),"",MIN(IF(AW111="",9.9E+99,AW111),AN111/U111))</f>
        <v/>
      </c>
      <c r="AR111" s="49">
        <f>IF(AQ111="","",AQ111*W111)</f>
        <v/>
      </c>
      <c r="AS111" s="51" t="n"/>
      <c r="AT111" s="43" t="inlineStr">
        <is>
          <t>Estimated</t>
        </is>
      </c>
      <c r="AU111" s="52" t="n"/>
      <c r="AV111" s="52" t="n"/>
      <c r="AW111" s="53" t="n"/>
      <c r="AX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Y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Z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BA111" s="40" t="n"/>
      <c r="BB111" s="40" t="n"/>
    </row>
    <row r="112">
      <c r="A112" s="38" t="inlineStr">
        <is>
          <t>Bolt France Riviera</t>
        </is>
      </c>
      <c r="B112" s="38" t="inlineStr">
        <is>
          <t>France</t>
        </is>
      </c>
      <c r="C112" s="39" t="inlineStr">
        <is>
          <t>Nice → Cannes</t>
        </is>
      </c>
      <c r="D112" s="38" t="inlineStr">
        <is>
          <t>bolt</t>
        </is>
      </c>
      <c r="E112" s="40" t="inlineStr">
        <is>
          <t>bolt-france-riviera</t>
        </is>
      </c>
      <c r="F112" s="41" t="n">
        <v>1</v>
      </c>
      <c r="G112" s="42" t="n">
        <v>13</v>
      </c>
      <c r="H112" s="35" t="n">
        <v>26.7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L112+turn_min+dwell_min</f>
        <v/>
      </c>
      <c r="N112" s="45">
        <f>MIN(24,FLOOR(60*service_hr/M112,1))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224880</v>
      </c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IF(OR(AJ112="",U112=0),"",MIN(IF(AW112="",9.9E+99,AW112),FLOOR(AN112/U112,1)))</f>
        <v/>
      </c>
      <c r="AP112" s="49">
        <f>IF(AO112="","",AO112*W112)</f>
        <v/>
      </c>
      <c r="AQ112" s="47">
        <f>IF(OR(AJ112="",U112=0),"",MIN(IF(AW112="",9.9E+99,AW112),AN112/U112))</f>
        <v/>
      </c>
      <c r="AR112" s="49">
        <f>IF(AQ112="","",AQ112*W112)</f>
        <v/>
      </c>
      <c r="AS112" s="51" t="n"/>
      <c r="AT112" s="43" t="inlineStr">
        <is>
          <t>Grounded</t>
        </is>
      </c>
      <c r="AU112" s="52" t="n"/>
      <c r="AV112" s="52" t="n"/>
      <c r="AW112" s="53" t="n"/>
      <c r="AX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Y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Z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BA112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B112" s="40" t="n"/>
    </row>
    <row r="113">
      <c r="A113" s="38" t="inlineStr">
        <is>
          <t>Bolt France Riviera</t>
        </is>
      </c>
      <c r="B113" s="38" t="inlineStr">
        <is>
          <t>France</t>
        </is>
      </c>
      <c r="C113" s="39" t="inlineStr">
        <is>
          <t>Monaco → Sanremo</t>
        </is>
      </c>
      <c r="D113" s="38" t="inlineStr">
        <is>
          <t>bolt</t>
        </is>
      </c>
      <c r="E113" s="40" t="inlineStr">
        <is>
          <t>bolt-france-riviera</t>
        </is>
      </c>
      <c r="F113" s="41" t="n">
        <v>1</v>
      </c>
      <c r="G113" s="42" t="n">
        <v>13</v>
      </c>
      <c r="H113" s="35" t="n"/>
      <c r="I113" s="43" t="n"/>
      <c r="J113" s="43" t="n"/>
      <c r="K113" s="29" t="n">
        <v>1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>
        <v>4748</v>
      </c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IF(OR(AJ113="",U113=0),"",MIN(IF(AW113="",9.9E+99,AW113),FLOOR(AN113/U113,1)))</f>
        <v/>
      </c>
      <c r="AP113" s="49">
        <f>IF(AO113="","",AO113*W113)</f>
        <v/>
      </c>
      <c r="AQ113" s="47">
        <f>IF(OR(AJ113="",U113=0),"",MIN(IF(AW113="",9.9E+99,AW113),AN113/U113))</f>
        <v/>
      </c>
      <c r="AR113" s="49">
        <f>IF(AQ113="","",AQ113*W113)</f>
        <v/>
      </c>
      <c r="AS113" s="51" t="n"/>
      <c r="AT113" s="43" t="inlineStr">
        <is>
          <t>Estimated</t>
        </is>
      </c>
      <c r="AU113" s="52" t="n"/>
      <c r="AV113" s="52" t="n"/>
      <c r="AW113" s="53" t="n"/>
      <c r="AX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Y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Z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BA113" s="40" t="n"/>
      <c r="BB113" s="40" t="n"/>
    </row>
    <row r="114">
      <c r="A114" s="38" t="inlineStr">
        <is>
          <t>Bolt France Riviera</t>
        </is>
      </c>
      <c r="B114" s="38" t="inlineStr">
        <is>
          <t>France</t>
        </is>
      </c>
      <c r="C114" s="39" t="inlineStr">
        <is>
          <t>Cannes → Saint-Tropez</t>
        </is>
      </c>
      <c r="D114" s="38" t="inlineStr">
        <is>
          <t>bolt</t>
        </is>
      </c>
      <c r="E114" s="40" t="inlineStr">
        <is>
          <t>bolt-france-riviera</t>
        </is>
      </c>
      <c r="F114" s="41" t="n">
        <v>1</v>
      </c>
      <c r="G114" s="42" t="n">
        <v>25</v>
      </c>
      <c r="H114" s="35" t="n">
        <v>38.3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>
        <v>32000</v>
      </c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IF(OR(AJ114="",U114=0),"",MIN(IF(AW114="",9.9E+99,AW114),FLOOR(AN114/U114,1)))</f>
        <v/>
      </c>
      <c r="AP114" s="49">
        <f>IF(AO114="","",AO114*W114)</f>
        <v/>
      </c>
      <c r="AQ114" s="47">
        <f>IF(OR(AJ114="",U114=0),"",MIN(IF(AW114="",9.9E+99,AW114),AN114/U114))</f>
        <v/>
      </c>
      <c r="AR114" s="49">
        <f>IF(AQ114="","",AQ114*W114)</f>
        <v/>
      </c>
      <c r="AS114" s="51" t="n"/>
      <c r="AT114" s="43" t="inlineStr">
        <is>
          <t>Estimated</t>
        </is>
      </c>
      <c r="AU114" s="52" t="n"/>
      <c r="AV114" s="52" t="n"/>
      <c r="AW114" s="53" t="n"/>
      <c r="AX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Y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Z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BA114" s="40" t="inlineStr">
        <is>
          <t>PREMIUM tier: Trans Cote d'Azur scheduled fast catamaran Cannes&lt;-&gt;Saint-Tropez EUR 71 adult RT (2026) = ~EUR 35.5 one-way x 1.08 = ~$38.3.</t>
        </is>
      </c>
      <c r="BB114" s="40" t="n"/>
    </row>
    <row r="115">
      <c r="A115" s="38" t="inlineStr">
        <is>
          <t>Bolt France Riviera</t>
        </is>
      </c>
      <c r="B115" s="38" t="inlineStr">
        <is>
          <t>France</t>
        </is>
      </c>
      <c r="C115" s="39" t="inlineStr">
        <is>
          <t>Nice → Saint-Tropez</t>
        </is>
      </c>
      <c r="D115" s="38" t="inlineStr">
        <is>
          <t>bolt</t>
        </is>
      </c>
      <c r="E115" s="40" t="inlineStr">
        <is>
          <t>bolt-france-riviera</t>
        </is>
      </c>
      <c r="F115" s="41" t="n">
        <v>1</v>
      </c>
      <c r="G115" s="42" t="n">
        <v>32</v>
      </c>
      <c r="H115" s="35" t="n">
        <v>45.4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>
        <v>32000</v>
      </c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IF(OR(AJ115="",U115=0),"",MIN(IF(AW115="",9.9E+99,AW115),FLOOR(AN115/U115,1)))</f>
        <v/>
      </c>
      <c r="AP115" s="49">
        <f>IF(AO115="","",AO115*W115)</f>
        <v/>
      </c>
      <c r="AQ115" s="47">
        <f>IF(OR(AJ115="",U115=0),"",MIN(IF(AW115="",9.9E+99,AW115),AN115/U115))</f>
        <v/>
      </c>
      <c r="AR115" s="49">
        <f>IF(AQ115="","",AQ115*W115)</f>
        <v/>
      </c>
      <c r="AS115" s="51" t="n"/>
      <c r="AT115" s="43" t="inlineStr">
        <is>
          <t>Estimated</t>
        </is>
      </c>
      <c r="AU115" s="52" t="n"/>
      <c r="AV115" s="52" t="n"/>
      <c r="AW115" s="53" t="n"/>
      <c r="AX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Y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Z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BA115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B115" s="40" t="n"/>
    </row>
    <row r="116">
      <c r="A116" s="38" t="inlineStr">
        <is>
          <t>French Polynesia</t>
        </is>
      </c>
      <c r="B116" s="38" t="inlineStr">
        <is>
          <t>French Polynesia</t>
        </is>
      </c>
      <c r="C116" s="39" t="inlineStr">
        <is>
          <t>Vaitape (Bora Bora) → Motu Mute Airport</t>
        </is>
      </c>
      <c r="D116" s="38" t="inlineStr">
        <is>
          <t>french-polynesia</t>
        </is>
      </c>
      <c r="E116" s="40" t="inlineStr">
        <is>
          <t>french-polynesia</t>
        </is>
      </c>
      <c r="F116" s="41" t="n">
        <v>1</v>
      </c>
      <c r="G116" s="42" t="n">
        <v>3</v>
      </c>
      <c r="H116" s="35" t="n">
        <v>65</v>
      </c>
      <c r="I116" s="43" t="inlineStr">
        <is>
          <t>T1</t>
        </is>
      </c>
      <c r="J116" s="43" t="inlineStr">
        <is>
          <t>high</t>
        </is>
      </c>
      <c r="K116" s="29" t="n">
        <v>0.93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>
        <v>600000</v>
      </c>
      <c r="AK116" s="43" t="inlineStr">
        <is>
          <t>T2</t>
        </is>
      </c>
      <c r="AL116" s="43" t="inlineStr">
        <is>
          <t>med-high</t>
        </is>
      </c>
      <c r="AM116" s="50" t="n">
        <v>0.9</v>
      </c>
      <c r="AN116" s="45">
        <f>IF(AJ116="","",AJ116*AM116)</f>
        <v/>
      </c>
      <c r="AO116" s="45">
        <f>IF(OR(AJ116="",U116=0),"",MIN(IF(AW116="",9.9E+99,AW116),FLOOR(AN116/U116,1)))</f>
        <v/>
      </c>
      <c r="AP116" s="49">
        <f>IF(AO116="","",AO116*W116)</f>
        <v/>
      </c>
      <c r="AQ116" s="47">
        <f>IF(OR(AJ116="",U116=0),"",MIN(IF(AW116="",9.9E+99,AW116),AN116/U116))</f>
        <v/>
      </c>
      <c r="AR116" s="49">
        <f>IF(AQ116="","",AQ116*W116)</f>
        <v/>
      </c>
      <c r="AS116" s="51" t="n"/>
      <c r="AT116" s="43" t="inlineStr">
        <is>
          <t>Grounded</t>
        </is>
      </c>
      <c r="AU116" s="52" t="n"/>
      <c r="AV116" s="52" t="n"/>
      <c r="AW116" s="53" t="n"/>
      <c r="AX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Y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Z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BA116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B116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117">
      <c r="A117" s="38" t="inlineStr">
        <is>
          <t>French Polynesia</t>
        </is>
      </c>
      <c r="B117" s="38" t="inlineStr">
        <is>
          <t>French Polynesia</t>
        </is>
      </c>
      <c r="C117" s="39" t="inlineStr">
        <is>
          <t>Bora Bora intra-lagoon resort mesh → (captive motu hop network)</t>
        </is>
      </c>
      <c r="D117" s="38" t="inlineStr">
        <is>
          <t>french-polynesia</t>
        </is>
      </c>
      <c r="E117" s="40" t="inlineStr">
        <is>
          <t>french-polynesia</t>
        </is>
      </c>
      <c r="F117" s="41" t="n">
        <v>1</v>
      </c>
      <c r="G117" s="42" t="n">
        <v>4</v>
      </c>
      <c r="H117" s="35" t="n">
        <v>55</v>
      </c>
      <c r="I117" s="43" t="inlineStr">
        <is>
          <t>T5</t>
        </is>
      </c>
      <c r="J117" s="43" t="inlineStr">
        <is>
          <t>low</t>
        </is>
      </c>
      <c r="K117" s="29" t="n">
        <v>0.93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inlineStr">
        <is>
          <t>T5</t>
        </is>
      </c>
      <c r="AL117" s="43" t="inlineStr">
        <is>
          <t>low</t>
        </is>
      </c>
      <c r="AM117" s="50" t="n">
        <v>0.9</v>
      </c>
      <c r="AN117" s="45">
        <f>IF(AJ117="","",AJ117*AM117)</f>
        <v/>
      </c>
      <c r="AO117" s="45">
        <f>IF(OR(AJ117="",U117=0),"",MIN(IF(AW117="",9.9E+99,AW117),FLOOR(AN117/U117,1)))</f>
        <v/>
      </c>
      <c r="AP117" s="49">
        <f>IF(AO117="","",AO117*W117)</f>
        <v/>
      </c>
      <c r="AQ117" s="47">
        <f>IF(OR(AJ117="",U117=0),"",MIN(IF(AW117="",9.9E+99,AW117),AN117/U117))</f>
        <v/>
      </c>
      <c r="AR117" s="49">
        <f>IF(AQ117="","",AQ117*W117)</f>
        <v/>
      </c>
      <c r="AS117" s="51" t="n"/>
      <c r="AT117" s="43" t="inlineStr">
        <is>
          <t>Estimated</t>
        </is>
      </c>
      <c r="AU117" s="52" t="n"/>
      <c r="AV117" s="52" t="n"/>
      <c r="AW117" s="53" t="n"/>
      <c r="AX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Y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Z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BA117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B117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118">
      <c r="A118" s="38" t="inlineStr">
        <is>
          <t>French Polynesia</t>
        </is>
      </c>
      <c r="B118" s="38" t="inlineStr">
        <is>
          <t>French Polynesia</t>
        </is>
      </c>
      <c r="C118" s="39" t="inlineStr">
        <is>
          <t>Tahaa intra-lagoon resort shuttle (Le Taha'a / Vahine / Patio) → (intra-lagoon)</t>
        </is>
      </c>
      <c r="D118" s="38" t="inlineStr">
        <is>
          <t>french-polynesia</t>
        </is>
      </c>
      <c r="E118" s="40" t="inlineStr">
        <is>
          <t>french-polynesia</t>
        </is>
      </c>
      <c r="F118" s="41" t="n">
        <v>1</v>
      </c>
      <c r="G118" s="42" t="n">
        <v>4</v>
      </c>
      <c r="H118" s="35" t="n">
        <v>50</v>
      </c>
      <c r="I118" s="43" t="inlineStr">
        <is>
          <t>T5</t>
        </is>
      </c>
      <c r="J118" s="43" t="inlineStr">
        <is>
          <t>low</t>
        </is>
      </c>
      <c r="K118" s="29" t="n">
        <v>0.93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/>
      <c r="AK118" s="43" t="inlineStr">
        <is>
          <t>T5</t>
        </is>
      </c>
      <c r="AL118" s="43" t="inlineStr">
        <is>
          <t>low</t>
        </is>
      </c>
      <c r="AM118" s="50" t="n">
        <v>0.9</v>
      </c>
      <c r="AN118" s="45">
        <f>IF(AJ118="","",AJ118*AM118)</f>
        <v/>
      </c>
      <c r="AO118" s="45">
        <f>IF(OR(AJ118="",U118=0),"",MIN(IF(AW118="",9.9E+99,AW118),FLOOR(AN118/U118,1)))</f>
        <v/>
      </c>
      <c r="AP118" s="49">
        <f>IF(AO118="","",AO118*W118)</f>
        <v/>
      </c>
      <c r="AQ118" s="47">
        <f>IF(OR(AJ118="",U118=0),"",MIN(IF(AW118="",9.9E+99,AW118),AN118/U118))</f>
        <v/>
      </c>
      <c r="AR118" s="49">
        <f>IF(AQ118="","",AQ118*W118)</f>
        <v/>
      </c>
      <c r="AS118" s="51" t="n"/>
      <c r="AT118" s="43" t="inlineStr">
        <is>
          <t>Estimated</t>
        </is>
      </c>
      <c r="AU118" s="52" t="n"/>
      <c r="AV118" s="52" t="n"/>
      <c r="AW118" s="53" t="n"/>
      <c r="AX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Y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Z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BA118" s="40" t="inlineStr">
        <is>
          <t>No published per-seat tariff for intra-Tahaa-lagoon resort shuttles. Modeled below Le Taha'a Pearl 7,100 XPF airport transfer (~$65) since intra-lagoon hops are shorter; per-seat ~$50.</t>
        </is>
      </c>
      <c r="BB118" s="40" t="inlineStr">
        <is>
          <t>Captive resort intra-lagoon shuttle; bundled into resort stays.</t>
        </is>
      </c>
    </row>
    <row r="119">
      <c r="A119" s="38" t="inlineStr">
        <is>
          <t>French Polynesia</t>
        </is>
      </c>
      <c r="B119" s="38" t="inlineStr">
        <is>
          <t>French Polynesia</t>
        </is>
      </c>
      <c r="C119" s="39" t="inlineStr">
        <is>
          <t>Raiatea (Marina Apooiti) → Tahaa (Le Taha'a Pearl)</t>
        </is>
      </c>
      <c r="D119" s="38" t="inlineStr">
        <is>
          <t>french-polynesia</t>
        </is>
      </c>
      <c r="E119" s="40" t="inlineStr">
        <is>
          <t>french-polynesia</t>
        </is>
      </c>
      <c r="F119" s="41" t="n">
        <v>1</v>
      </c>
      <c r="G119" s="42" t="n">
        <v>5</v>
      </c>
      <c r="H119" s="35" t="n">
        <v>65</v>
      </c>
      <c r="I119" s="43" t="inlineStr">
        <is>
          <t>T1</t>
        </is>
      </c>
      <c r="J119" s="43" t="inlineStr">
        <is>
          <t>high</t>
        </is>
      </c>
      <c r="K119" s="29" t="n">
        <v>0.93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12000</v>
      </c>
      <c r="AK119" s="43" t="inlineStr">
        <is>
          <t>T5</t>
        </is>
      </c>
      <c r="AL119" s="43" t="inlineStr">
        <is>
          <t>low</t>
        </is>
      </c>
      <c r="AM119" s="50" t="n">
        <v>0.9</v>
      </c>
      <c r="AN119" s="45">
        <f>IF(AJ119="","",AJ119*AM119)</f>
        <v/>
      </c>
      <c r="AO119" s="45">
        <f>IF(OR(AJ119="",U119=0),"",MIN(IF(AW119="",9.9E+99,AW119),FLOOR(AN119/U119,1)))</f>
        <v/>
      </c>
      <c r="AP119" s="49">
        <f>IF(AO119="","",AO119*W119)</f>
        <v/>
      </c>
      <c r="AQ119" s="47">
        <f>IF(OR(AJ119="",U119=0),"",MIN(IF(AW119="",9.9E+99,AW119),AN119/U119))</f>
        <v/>
      </c>
      <c r="AR119" s="49">
        <f>IF(AQ119="","",AQ119*W119)</f>
        <v/>
      </c>
      <c r="AS119" s="51" t="n"/>
      <c r="AT119" s="43" t="inlineStr">
        <is>
          <t>Estimated</t>
        </is>
      </c>
      <c r="AU119" s="52" t="n"/>
      <c r="AV119" s="52" t="n"/>
      <c r="AW119" s="53" t="n"/>
      <c r="AX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Y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Z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BA119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B119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120">
      <c r="A120" s="38" t="inlineStr">
        <is>
          <t>French Polynesia</t>
        </is>
      </c>
      <c r="B120" s="38" t="inlineStr">
        <is>
          <t>French Polynesia</t>
        </is>
      </c>
      <c r="C120" s="39" t="inlineStr">
        <is>
          <t>Hiva Oa (Atuona) → Tahuata (Vaitahu)</t>
        </is>
      </c>
      <c r="D120" s="38" t="inlineStr">
        <is>
          <t>french-polynesia</t>
        </is>
      </c>
      <c r="E120" s="40" t="inlineStr">
        <is>
          <t>french-polynesia</t>
        </is>
      </c>
      <c r="F120" s="41" t="n">
        <v>1</v>
      </c>
      <c r="G120" s="42" t="n">
        <v>5</v>
      </c>
      <c r="H120" s="35" t="n">
        <v>40</v>
      </c>
      <c r="I120" s="43" t="inlineStr">
        <is>
          <t>T4</t>
        </is>
      </c>
      <c r="J120" s="43" t="inlineStr">
        <is>
          <t>low</t>
        </is>
      </c>
      <c r="K120" s="29" t="n">
        <v>0.93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0.1</v>
      </c>
      <c r="AN120" s="45">
        <f>IF(AJ120="","",AJ120*AM120)</f>
        <v/>
      </c>
      <c r="AO120" s="45">
        <f>IF(OR(AJ120="",U120=0),"",MIN(IF(AW120="",9.9E+99,AW120),FLOOR(AN120/U120,1)))</f>
        <v/>
      </c>
      <c r="AP120" s="49">
        <f>IF(AO120="","",AO120*W120)</f>
        <v/>
      </c>
      <c r="AQ120" s="47">
        <f>IF(OR(AJ120="",U120=0),"",MIN(IF(AW120="",9.9E+99,AW120),AN120/U120))</f>
        <v/>
      </c>
      <c r="AR120" s="49">
        <f>IF(AQ120="","",AQ120*W120)</f>
        <v/>
      </c>
      <c r="AS120" s="51" t="n"/>
      <c r="AT120" s="43" t="inlineStr">
        <is>
          <t>Estimated</t>
        </is>
      </c>
      <c r="AU120" s="52" t="n"/>
      <c r="AV120" s="52" t="n"/>
      <c r="AW120" s="53" t="n"/>
      <c r="AX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Y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Z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BA120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B120" s="40" t="inlineStr">
        <is>
          <t>Tahuata ~700 residents + tourists from Hiva Oa ~1-2k/yr. Crossing ~5nm daily local boat.</t>
        </is>
      </c>
    </row>
    <row r="121">
      <c r="A121" s="38" t="inlineStr">
        <is>
          <t>French Polynesia</t>
        </is>
      </c>
      <c r="B121" s="38" t="inlineStr">
        <is>
          <t>French Polynesia</t>
        </is>
      </c>
      <c r="C121" s="39" t="inlineStr">
        <is>
          <t>Papeete (Tahiti) → Vaiare (Moorea)</t>
        </is>
      </c>
      <c r="D121" s="38" t="inlineStr">
        <is>
          <t>french-polynesia</t>
        </is>
      </c>
      <c r="E121" s="40" t="inlineStr">
        <is>
          <t>french-polynesia</t>
        </is>
      </c>
      <c r="F121" s="41" t="n">
        <v>1</v>
      </c>
      <c r="G121" s="42" t="n">
        <v>12</v>
      </c>
      <c r="H121" s="35" t="n">
        <v>18.5</v>
      </c>
      <c r="I121" s="43" t="inlineStr">
        <is>
          <t>T1</t>
        </is>
      </c>
      <c r="J121" s="43" t="inlineStr">
        <is>
          <t>high</t>
        </is>
      </c>
      <c r="K121" s="29" t="n">
        <v>0.93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>
        <v>1600000</v>
      </c>
      <c r="AK121" s="43" t="inlineStr">
        <is>
          <t>T2</t>
        </is>
      </c>
      <c r="AL121" s="43" t="inlineStr">
        <is>
          <t>high</t>
        </is>
      </c>
      <c r="AM121" s="50" t="n">
        <v>0.1</v>
      </c>
      <c r="AN121" s="45">
        <f>IF(AJ121="","",AJ121*AM121)</f>
        <v/>
      </c>
      <c r="AO121" s="45">
        <f>IF(OR(AJ121="",U121=0),"",MIN(IF(AW121="",9.9E+99,AW121),FLOOR(AN121/U121,1)))</f>
        <v/>
      </c>
      <c r="AP121" s="49">
        <f>IF(AO121="","",AO121*W121)</f>
        <v/>
      </c>
      <c r="AQ121" s="47">
        <f>IF(OR(AJ121="",U121=0),"",MIN(IF(AW121="",9.9E+99,AW121),AN121/U121))</f>
        <v/>
      </c>
      <c r="AR121" s="49">
        <f>IF(AQ121="","",AQ121*W121)</f>
        <v/>
      </c>
      <c r="AS121" s="51" t="n"/>
      <c r="AT121" s="43" t="inlineStr">
        <is>
          <t>Grounded</t>
        </is>
      </c>
      <c r="AU121" s="52" t="n"/>
      <c r="AV121" s="52" t="n"/>
      <c r="AW121" s="53" t="n"/>
      <c r="AX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Y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Z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BA121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B121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122">
      <c r="A122" s="38" t="inlineStr">
        <is>
          <t>French Polynesia</t>
        </is>
      </c>
      <c r="B122" s="38" t="inlineStr">
        <is>
          <t>French Polynesia</t>
        </is>
      </c>
      <c r="C122" s="39" t="inlineStr">
        <is>
          <t>Rangiroa intra-lagoon (Avatoru ↔ Blue Lagoon) → (intra-atoll)</t>
        </is>
      </c>
      <c r="D122" s="38" t="inlineStr">
        <is>
          <t>french-polynesia</t>
        </is>
      </c>
      <c r="E122" s="40" t="inlineStr">
        <is>
          <t>french-polynesia</t>
        </is>
      </c>
      <c r="F122" s="41" t="n">
        <v>1</v>
      </c>
      <c r="G122" s="42" t="n">
        <v>20</v>
      </c>
      <c r="H122" s="35" t="n">
        <v>75</v>
      </c>
      <c r="I122" s="43" t="inlineStr">
        <is>
          <t>T4</t>
        </is>
      </c>
      <c r="J122" s="43" t="inlineStr">
        <is>
          <t>med-low</t>
        </is>
      </c>
      <c r="K122" s="29" t="n">
        <v>0.93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>
        <v>30000</v>
      </c>
      <c r="AK122" s="43" t="inlineStr">
        <is>
          <t>T5</t>
        </is>
      </c>
      <c r="AL122" s="43" t="inlineStr">
        <is>
          <t>med-low</t>
        </is>
      </c>
      <c r="AM122" s="50" t="n">
        <v>0.9</v>
      </c>
      <c r="AN122" s="45">
        <f>IF(AJ122="","",AJ122*AM122)</f>
        <v/>
      </c>
      <c r="AO122" s="45">
        <f>IF(OR(AJ122="",U122=0),"",MIN(IF(AW122="",9.9E+99,AW122),FLOOR(AN122/U122,1)))</f>
        <v/>
      </c>
      <c r="AP122" s="49">
        <f>IF(AO122="","",AO122*W122)</f>
        <v/>
      </c>
      <c r="AQ122" s="47">
        <f>IF(OR(AJ122="",U122=0),"",MIN(IF(AW122="",9.9E+99,AW122),AN122/U122))</f>
        <v/>
      </c>
      <c r="AR122" s="49">
        <f>IF(AQ122="","",AQ122*W122)</f>
        <v/>
      </c>
      <c r="AS122" s="51" t="n"/>
      <c r="AT122" s="43" t="inlineStr">
        <is>
          <t>Grounded</t>
        </is>
      </c>
      <c r="AU122" s="52" t="n"/>
      <c r="AV122" s="52" t="n"/>
      <c r="AW122" s="53" t="n"/>
      <c r="AX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Y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Z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BA122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B122" s="40" t="inlineStr">
        <is>
          <t>Rangiroa ~10-15k tourists/yr (Hotel Kia Ora + pensions); Blue Lagoon is the main excursion - ~70% of guests do it. ~10-15k × 2 trips ≈ 25-30k pax/yr one-way intra-lagoon.</t>
        </is>
      </c>
    </row>
    <row r="123">
      <c r="A123" s="38" t="inlineStr">
        <is>
          <t>French Polynesia</t>
        </is>
      </c>
      <c r="B123" s="38" t="inlineStr">
        <is>
          <t>French Polynesia</t>
        </is>
      </c>
      <c r="C123" s="39" t="inlineStr">
        <is>
          <t>Bora Bora → Raiatea (Uturoa)</t>
        </is>
      </c>
      <c r="D123" s="38" t="inlineStr">
        <is>
          <t>french-polynesia</t>
        </is>
      </c>
      <c r="E123" s="40" t="inlineStr">
        <is>
          <t>french-polynesia</t>
        </is>
      </c>
      <c r="F123" s="41" t="n">
        <v>1</v>
      </c>
      <c r="G123" s="42" t="n">
        <v>22</v>
      </c>
      <c r="H123" s="35" t="n">
        <v>64</v>
      </c>
      <c r="I123" s="43" t="inlineStr">
        <is>
          <t>T1</t>
        </is>
      </c>
      <c r="J123" s="43" t="inlineStr">
        <is>
          <t>high</t>
        </is>
      </c>
      <c r="K123" s="29" t="n">
        <v>0.93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35000</v>
      </c>
      <c r="AK123" s="43" t="inlineStr">
        <is>
          <t>T2</t>
        </is>
      </c>
      <c r="AL123" s="43" t="inlineStr">
        <is>
          <t>med</t>
        </is>
      </c>
      <c r="AM123" s="50" t="n">
        <v>0.1</v>
      </c>
      <c r="AN123" s="45">
        <f>IF(AJ123="","",AJ123*AM123)</f>
        <v/>
      </c>
      <c r="AO123" s="45">
        <f>IF(OR(AJ123="",U123=0),"",MIN(IF(AW123="",9.9E+99,AW123),FLOOR(AN123/U123,1)))</f>
        <v/>
      </c>
      <c r="AP123" s="49">
        <f>IF(AO123="","",AO123*W123)</f>
        <v/>
      </c>
      <c r="AQ123" s="47">
        <f>IF(OR(AJ123="",U123=0),"",MIN(IF(AW123="",9.9E+99,AW123),AN123/U123))</f>
        <v/>
      </c>
      <c r="AR123" s="49">
        <f>IF(AQ123="","",AQ123*W123)</f>
        <v/>
      </c>
      <c r="AS123" s="51" t="n"/>
      <c r="AT123" s="43" t="inlineStr">
        <is>
          <t>Estimated</t>
        </is>
      </c>
      <c r="AU123" s="52" t="n"/>
      <c r="AV123" s="52" t="n"/>
      <c r="AW123" s="53" t="n"/>
      <c r="AX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Y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Z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BA123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B123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24">
      <c r="A124" s="38" t="inlineStr">
        <is>
          <t>French Polynesia</t>
        </is>
      </c>
      <c r="B124" s="38" t="inlineStr">
        <is>
          <t>French Polynesia</t>
        </is>
      </c>
      <c r="C124" s="39" t="inlineStr">
        <is>
          <t>Bora Bora → Tahaa (Patio)</t>
        </is>
      </c>
      <c r="D124" s="38" t="inlineStr">
        <is>
          <t>french-polynesia</t>
        </is>
      </c>
      <c r="E124" s="40" t="inlineStr">
        <is>
          <t>french-polynesia</t>
        </is>
      </c>
      <c r="F124" s="41" t="n">
        <v>1</v>
      </c>
      <c r="G124" s="42" t="n">
        <v>25</v>
      </c>
      <c r="H124" s="35" t="n">
        <v>65</v>
      </c>
      <c r="I124" s="43" t="inlineStr">
        <is>
          <t>T1</t>
        </is>
      </c>
      <c r="J124" s="43" t="inlineStr">
        <is>
          <t>high</t>
        </is>
      </c>
      <c r="K124" s="29" t="n">
        <v>0.93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/>
      <c r="AK124" s="43" t="inlineStr">
        <is>
          <t>T5</t>
        </is>
      </c>
      <c r="AL124" s="43" t="inlineStr">
        <is>
          <t>low</t>
        </is>
      </c>
      <c r="AM124" s="50" t="n">
        <v>0.9</v>
      </c>
      <c r="AN124" s="45">
        <f>IF(AJ124="","",AJ124*AM124)</f>
        <v/>
      </c>
      <c r="AO124" s="45">
        <f>IF(OR(AJ124="",U124=0),"",MIN(IF(AW124="",9.9E+99,AW124),FLOOR(AN124/U124,1)))</f>
        <v/>
      </c>
      <c r="AP124" s="49">
        <f>IF(AO124="","",AO124*W124)</f>
        <v/>
      </c>
      <c r="AQ124" s="47">
        <f>IF(OR(AJ124="",U124=0),"",MIN(IF(AW124="",9.9E+99,AW124),AN124/U124))</f>
        <v/>
      </c>
      <c r="AR124" s="49">
        <f>IF(AQ124="","",AQ124*W124)</f>
        <v/>
      </c>
      <c r="AS124" s="51" t="n"/>
      <c r="AT124" s="43" t="inlineStr">
        <is>
          <t>Estimated</t>
        </is>
      </c>
      <c r="AU124" s="52" t="n"/>
      <c r="AV124" s="52" t="n"/>
      <c r="AW124" s="53" t="n"/>
      <c r="AX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Y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Z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BA124" s="40" t="inlineStr">
        <is>
          <t>Le Taha'a by Pearl Resorts official transfer (bookings.letahaa.com / Pearl Resorts): 7,100 XPF per adult per way (~$65.1 @109). Apetahi Express also calls Tahaa 7,000 XPF.</t>
        </is>
      </c>
      <c r="BB124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25">
      <c r="A125" s="38" t="inlineStr">
        <is>
          <t>French Polynesia</t>
        </is>
      </c>
      <c r="B125" s="38" t="inlineStr">
        <is>
          <t>French Polynesia</t>
        </is>
      </c>
      <c r="C125" s="39" t="inlineStr">
        <is>
          <t>Raiatea (Uturoa) → Huahine (Fare)</t>
        </is>
      </c>
      <c r="D125" s="38" t="inlineStr">
        <is>
          <t>french-polynesia</t>
        </is>
      </c>
      <c r="E125" s="40" t="inlineStr">
        <is>
          <t>french-polynesia</t>
        </is>
      </c>
      <c r="F125" s="41" t="n">
        <v>1</v>
      </c>
      <c r="G125" s="42" t="n">
        <v>25</v>
      </c>
      <c r="H125" s="35" t="n">
        <v>64</v>
      </c>
      <c r="I125" s="43" t="inlineStr">
        <is>
          <t>T1</t>
        </is>
      </c>
      <c r="J125" s="43" t="inlineStr">
        <is>
          <t>high</t>
        </is>
      </c>
      <c r="K125" s="29" t="n">
        <v>0.93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20000</v>
      </c>
      <c r="AK125" s="43" t="inlineStr">
        <is>
          <t>T5</t>
        </is>
      </c>
      <c r="AL125" s="43" t="inlineStr">
        <is>
          <t>med-low</t>
        </is>
      </c>
      <c r="AM125" s="50" t="n">
        <v>0.1</v>
      </c>
      <c r="AN125" s="45">
        <f>IF(AJ125="","",AJ125*AM125)</f>
        <v/>
      </c>
      <c r="AO125" s="45">
        <f>IF(OR(AJ125="",U125=0),"",MIN(IF(AW125="",9.9E+99,AW125),FLOOR(AN125/U125,1)))</f>
        <v/>
      </c>
      <c r="AP125" s="49">
        <f>IF(AO125="","",AO125*W125)</f>
        <v/>
      </c>
      <c r="AQ125" s="47">
        <f>IF(OR(AJ125="",U125=0),"",MIN(IF(AW125="",9.9E+99,AW125),AN125/U125))</f>
        <v/>
      </c>
      <c r="AR125" s="49">
        <f>IF(AQ125="","",AQ125*W125)</f>
        <v/>
      </c>
      <c r="AS125" s="51" t="n"/>
      <c r="AT125" s="43" t="inlineStr">
        <is>
          <t>Estimated</t>
        </is>
      </c>
      <c r="AU125" s="52" t="n"/>
      <c r="AV125" s="52" t="n"/>
      <c r="AW125" s="53" t="n"/>
      <c r="AX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Y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Z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BA125" s="40" t="inlineStr">
        <is>
          <t>Apetahi Express 7,000 XPF per inter-island leg (~$64).</t>
        </is>
      </c>
      <c r="BB125" s="40" t="inlineStr">
        <is>
          <t>Apetahi network ~120k/yr split across 6 inter-island legs. Raiatea-Huahine is the second-densest Leeward inter-island leg after BB-Raiatea. Allocate ~20k/yr.</t>
        </is>
      </c>
    </row>
    <row r="126">
      <c r="A126" s="38" t="inlineStr">
        <is>
          <t>French Polynesia</t>
        </is>
      </c>
      <c r="B126" s="38" t="inlineStr">
        <is>
          <t>French Polynesia</t>
        </is>
      </c>
      <c r="C126" s="39" t="inlineStr">
        <is>
          <t>Papeete (Tahiti) → Tetiaroa / The Brando</t>
        </is>
      </c>
      <c r="D126" s="38" t="inlineStr">
        <is>
          <t>french-polynesia</t>
        </is>
      </c>
      <c r="E126" s="40" t="inlineStr">
        <is>
          <t>french-polynesia</t>
        </is>
      </c>
      <c r="F126" s="41" t="n">
        <v>1</v>
      </c>
      <c r="G126" s="42" t="n">
        <v>30</v>
      </c>
      <c r="H126" s="35" t="n">
        <v>335</v>
      </c>
      <c r="I126" s="43" t="inlineStr">
        <is>
          <t>T1</t>
        </is>
      </c>
      <c r="J126" s="43" t="inlineStr">
        <is>
          <t>med</t>
        </is>
      </c>
      <c r="K126" s="29" t="n">
        <v>0.93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/>
      <c r="AK126" s="43" t="inlineStr">
        <is>
          <t>T5</t>
        </is>
      </c>
      <c r="AL126" s="43" t="inlineStr">
        <is>
          <t>low</t>
        </is>
      </c>
      <c r="AM126" s="50" t="n">
        <v>0.9</v>
      </c>
      <c r="AN126" s="45">
        <f>IF(AJ126="","",AJ126*AM126)</f>
        <v/>
      </c>
      <c r="AO126" s="45">
        <f>IF(OR(AJ126="",U126=0),"",MIN(IF(AW126="",9.9E+99,AW126),FLOOR(AN126/U126,1)))</f>
        <v/>
      </c>
      <c r="AP126" s="49">
        <f>IF(AO126="","",AO126*W126)</f>
        <v/>
      </c>
      <c r="AQ126" s="47">
        <f>IF(OR(AJ126="",U126=0),"",MIN(IF(AW126="",9.9E+99,AW126),AN126/U126))</f>
        <v/>
      </c>
      <c r="AR126" s="49">
        <f>IF(AQ126="","",AQ126*W126)</f>
        <v/>
      </c>
      <c r="AS126" s="51" t="n"/>
      <c r="AT126" s="43" t="inlineStr">
        <is>
          <t>Estimated</t>
        </is>
      </c>
      <c r="AU126" s="52" t="n"/>
      <c r="AV126" s="52" t="n"/>
      <c r="AW126" s="53" t="n"/>
      <c r="AX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Y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Z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BA126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B126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27">
      <c r="A127" s="38" t="inlineStr">
        <is>
          <t>French Polynesia</t>
        </is>
      </c>
      <c r="B127" s="38" t="inlineStr">
        <is>
          <t>French Polynesia</t>
        </is>
      </c>
      <c r="C127" s="39" t="inlineStr">
        <is>
          <t>Bora Bora → Maupiti (Vai'ea)</t>
        </is>
      </c>
      <c r="D127" s="38" t="inlineStr">
        <is>
          <t>french-polynesia</t>
        </is>
      </c>
      <c r="E127" s="40" t="inlineStr">
        <is>
          <t>french-polynesia</t>
        </is>
      </c>
      <c r="F127" s="41" t="n">
        <v>1</v>
      </c>
      <c r="G127" s="42" t="n">
        <v>30</v>
      </c>
      <c r="H127" s="35" t="n">
        <v>37</v>
      </c>
      <c r="I127" s="43" t="inlineStr">
        <is>
          <t>T2</t>
        </is>
      </c>
      <c r="J127" s="43" t="inlineStr">
        <is>
          <t>med</t>
        </is>
      </c>
      <c r="K127" s="29" t="n">
        <v>0.93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/>
      <c r="AK127" s="43" t="inlineStr">
        <is>
          <t>T5</t>
        </is>
      </c>
      <c r="AL127" s="43" t="inlineStr">
        <is>
          <t>low</t>
        </is>
      </c>
      <c r="AM127" s="50" t="n">
        <v>0.1</v>
      </c>
      <c r="AN127" s="45">
        <f>IF(AJ127="","",AJ127*AM127)</f>
        <v/>
      </c>
      <c r="AO127" s="45">
        <f>IF(OR(AJ127="",U127=0),"",MIN(IF(AW127="",9.9E+99,AW127),FLOOR(AN127/U127,1)))</f>
        <v/>
      </c>
      <c r="AP127" s="49">
        <f>IF(AO127="","",AO127*W127)</f>
        <v/>
      </c>
      <c r="AQ127" s="47">
        <f>IF(OR(AJ127="",U127=0),"",MIN(IF(AW127="",9.9E+99,AW127),AN127/U127))</f>
        <v/>
      </c>
      <c r="AR127" s="49">
        <f>IF(AQ127="","",AQ127*W127)</f>
        <v/>
      </c>
      <c r="AS127" s="51" t="n"/>
      <c r="AT127" s="43" t="inlineStr">
        <is>
          <t>Estimated</t>
        </is>
      </c>
      <c r="AU127" s="52" t="n"/>
      <c r="AV127" s="52" t="n"/>
      <c r="AW127" s="53" t="n"/>
      <c r="AX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Y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Z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BA127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B127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28">
      <c r="A128" s="38" t="inlineStr">
        <is>
          <t>French Polynesia</t>
        </is>
      </c>
      <c r="B128" s="38" t="inlineStr">
        <is>
          <t>French Polynesia</t>
        </is>
      </c>
      <c r="C128" s="39" t="inlineStr">
        <is>
          <t>Fakarava (Rotoava ↔ Tetamanu south pass) → (intra-atoll)</t>
        </is>
      </c>
      <c r="D128" s="38" t="inlineStr">
        <is>
          <t>french-polynesia</t>
        </is>
      </c>
      <c r="E128" s="40" t="inlineStr">
        <is>
          <t>french-polynesia</t>
        </is>
      </c>
      <c r="F128" s="41" t="n">
        <v>1</v>
      </c>
      <c r="G128" s="42" t="n">
        <v>30</v>
      </c>
      <c r="H128" s="35" t="n">
        <v>95</v>
      </c>
      <c r="I128" s="43" t="inlineStr">
        <is>
          <t>T4</t>
        </is>
      </c>
      <c r="J128" s="43" t="inlineStr">
        <is>
          <t>med-low</t>
        </is>
      </c>
      <c r="K128" s="29" t="n">
        <v>0.93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15000</v>
      </c>
      <c r="AK128" s="43" t="inlineStr">
        <is>
          <t>T5</t>
        </is>
      </c>
      <c r="AL128" s="43" t="inlineStr">
        <is>
          <t>low</t>
        </is>
      </c>
      <c r="AM128" s="50" t="n">
        <v>0.9</v>
      </c>
      <c r="AN128" s="45">
        <f>IF(AJ128="","",AJ128*AM128)</f>
        <v/>
      </c>
      <c r="AO128" s="45">
        <f>IF(OR(AJ128="",U128=0),"",MIN(IF(AW128="",9.9E+99,AW128),FLOOR(AN128/U128,1)))</f>
        <v/>
      </c>
      <c r="AP128" s="49">
        <f>IF(AO128="","",AO128*W128)</f>
        <v/>
      </c>
      <c r="AQ128" s="47">
        <f>IF(OR(AJ128="",U128=0),"",MIN(IF(AW128="",9.9E+99,AW128),AN128/U128))</f>
        <v/>
      </c>
      <c r="AR128" s="49">
        <f>IF(AQ128="","",AQ128*W128)</f>
        <v/>
      </c>
      <c r="AS128" s="51" t="n"/>
      <c r="AT128" s="43" t="inlineStr">
        <is>
          <t>Grounded</t>
        </is>
      </c>
      <c r="AU128" s="52" t="n"/>
      <c r="AV128" s="52" t="n"/>
      <c r="AW128" s="53" t="n"/>
      <c r="AX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Y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Z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BA128" s="40" t="inlineStr">
        <is>
          <t>Fakarava Rotoava-Tetamanu South Pass dive/excursion boats: typical 10,000-14,000 XPF day-trip (~$90-130) incl dive/lunch; net transport ~$95/pax.</t>
        </is>
      </c>
      <c r="BB128" s="40" t="inlineStr">
        <is>
          <t>Fakarava UNESCO biosphere ~8-12k tourists/yr; South Pass is THE attraction. ~7-10k pax × 2 trips ≈ 15-20k one-way intra-atoll.</t>
        </is>
      </c>
    </row>
    <row r="129">
      <c r="A129" s="38" t="inlineStr">
        <is>
          <t>French Polynesia</t>
        </is>
      </c>
      <c r="B129" s="38" t="inlineStr">
        <is>
          <t>French Polynesia</t>
        </is>
      </c>
      <c r="C129" s="39" t="inlineStr">
        <is>
          <t>Nuku Hiva (Taiohae) → Ua Pou (Hakahau)</t>
        </is>
      </c>
      <c r="D129" s="38" t="inlineStr">
        <is>
          <t>french-polynesia</t>
        </is>
      </c>
      <c r="E129" s="40" t="inlineStr">
        <is>
          <t>french-polynesia</t>
        </is>
      </c>
      <c r="F129" s="41" t="n">
        <v>1</v>
      </c>
      <c r="G129" s="42" t="n">
        <v>30</v>
      </c>
      <c r="H129" s="35" t="n">
        <v>60</v>
      </c>
      <c r="I129" s="43" t="inlineStr">
        <is>
          <t>T4</t>
        </is>
      </c>
      <c r="J129" s="43" t="inlineStr">
        <is>
          <t>low</t>
        </is>
      </c>
      <c r="K129" s="29" t="n">
        <v>0.93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/>
      <c r="AK129" s="43" t="inlineStr">
        <is>
          <t>T5</t>
        </is>
      </c>
      <c r="AL129" s="43" t="inlineStr">
        <is>
          <t>low</t>
        </is>
      </c>
      <c r="AM129" s="50" t="n">
        <v>0.1</v>
      </c>
      <c r="AN129" s="45">
        <f>IF(AJ129="","",AJ129*AM129)</f>
        <v/>
      </c>
      <c r="AO129" s="45">
        <f>IF(OR(AJ129="",U129=0),"",MIN(IF(AW129="",9.9E+99,AW129),FLOOR(AN129/U129,1)))</f>
        <v/>
      </c>
      <c r="AP129" s="49">
        <f>IF(AO129="","",AO129*W129)</f>
        <v/>
      </c>
      <c r="AQ129" s="47">
        <f>IF(OR(AJ129="",U129=0),"",MIN(IF(AW129="",9.9E+99,AW129),AN129/U129))</f>
        <v/>
      </c>
      <c r="AR129" s="49">
        <f>IF(AQ129="","",AQ129*W129)</f>
        <v/>
      </c>
      <c r="AS129" s="51" t="n"/>
      <c r="AT129" s="43" t="inlineStr">
        <is>
          <t>Estimated</t>
        </is>
      </c>
      <c r="AU129" s="52" t="n"/>
      <c r="AV129" s="52" t="n"/>
      <c r="AW129" s="53" t="n"/>
      <c r="AX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Y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Z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BA129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B129" s="40" t="inlineStr">
        <is>
          <t>Marquesas total 10,995 tourists 2023 (ISPF, waaytv citing) + ~9,500 residents across 6 islands. Inter-island demand tiny; Te Ata O Hiva weekly.</t>
        </is>
      </c>
    </row>
    <row r="130">
      <c r="A130" s="38" t="inlineStr">
        <is>
          <t>French Polynesia</t>
        </is>
      </c>
      <c r="B130" s="38" t="inlineStr">
        <is>
          <t>French Polynesia</t>
        </is>
      </c>
      <c r="C130" s="39" t="inlineStr">
        <is>
          <t>Rangiroa (Avatoru) → Tikehau (Tuherahera)</t>
        </is>
      </c>
      <c r="D130" s="38" t="inlineStr">
        <is>
          <t>french-polynesia</t>
        </is>
      </c>
      <c r="E130" s="40" t="inlineStr">
        <is>
          <t>french-polynesia</t>
        </is>
      </c>
      <c r="F130" s="41" t="n">
        <v>1</v>
      </c>
      <c r="G130" s="42" t="n">
        <v>35</v>
      </c>
      <c r="H130" s="35" t="n">
        <v>150</v>
      </c>
      <c r="I130" s="43" t="inlineStr">
        <is>
          <t>T2</t>
        </is>
      </c>
      <c r="J130" s="43" t="inlineStr">
        <is>
          <t>med</t>
        </is>
      </c>
      <c r="K130" s="29" t="n">
        <v>0.93</v>
      </c>
      <c r="L130" s="44">
        <f>60*G130/cruise_kt</f>
        <v/>
      </c>
      <c r="M130" s="44">
        <f>L130+turn_min+dwell_min</f>
        <v/>
      </c>
      <c r="N130" s="45">
        <f>MIN(15,FLOOR(60*service_hr/M130,1))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/>
      <c r="AK130" s="43" t="inlineStr">
        <is>
          <t>T5</t>
        </is>
      </c>
      <c r="AL130" s="43" t="inlineStr">
        <is>
          <t>low</t>
        </is>
      </c>
      <c r="AM130" s="50" t="n">
        <v>0.9</v>
      </c>
      <c r="AN130" s="45">
        <f>IF(AJ130="","",AJ130*AM130)</f>
        <v/>
      </c>
      <c r="AO130" s="45">
        <f>IF(OR(AJ130="",U130=0),"",MIN(IF(AW130="",9.9E+99,AW130),FLOOR(AN130/U130,1)))</f>
        <v/>
      </c>
      <c r="AP130" s="49">
        <f>IF(AO130="","",AO130*W130)</f>
        <v/>
      </c>
      <c r="AQ130" s="47">
        <f>IF(OR(AJ130="",U130=0),"",MIN(IF(AW130="",9.9E+99,AW130),AN130/U130))</f>
        <v/>
      </c>
      <c r="AR130" s="49">
        <f>IF(AQ130="","",AQ130*W130)</f>
        <v/>
      </c>
      <c r="AS130" s="51" t="n"/>
      <c r="AT130" s="43" t="inlineStr">
        <is>
          <t>Estimated</t>
        </is>
      </c>
      <c r="AU130" s="52" t="n"/>
      <c r="AV130" s="52" t="n"/>
      <c r="AW130" s="53" t="n"/>
      <c r="AX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Y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Z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BA130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B130" s="40" t="inlineStr">
        <is>
          <t>Rangiroa+Tikehau combined ~20k tourists; inter-atoll demand thin; Air Tahiti carries it.</t>
        </is>
      </c>
    </row>
    <row r="131">
      <c r="A131" s="38" t="inlineStr">
        <is>
          <t>French Polynesia</t>
        </is>
      </c>
      <c r="B131" s="38" t="inlineStr">
        <is>
          <t>French Polynesia</t>
        </is>
      </c>
      <c r="C131" s="39" t="inlineStr">
        <is>
          <t>Hiva Oa (Atuona) → Fatu Hiva (Hanavave / Bay of Virgins)</t>
        </is>
      </c>
      <c r="D131" s="38" t="inlineStr">
        <is>
          <t>french-polynesia</t>
        </is>
      </c>
      <c r="E131" s="40" t="inlineStr">
        <is>
          <t>french-polynesia</t>
        </is>
      </c>
      <c r="F131" s="41" t="n">
        <v>1</v>
      </c>
      <c r="G131" s="42" t="n">
        <v>45</v>
      </c>
      <c r="H131" s="35" t="n">
        <v>75</v>
      </c>
      <c r="I131" s="43" t="inlineStr">
        <is>
          <t>T4</t>
        </is>
      </c>
      <c r="J131" s="43" t="inlineStr">
        <is>
          <t>low</t>
        </is>
      </c>
      <c r="K131" s="29" t="n">
        <v>0.93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/>
      <c r="AK131" s="43" t="inlineStr">
        <is>
          <t>T5</t>
        </is>
      </c>
      <c r="AL131" s="43" t="inlineStr">
        <is>
          <t>low</t>
        </is>
      </c>
      <c r="AM131" s="50" t="n">
        <v>0.1</v>
      </c>
      <c r="AN131" s="45">
        <f>IF(AJ131="","",AJ131*AM131)</f>
        <v/>
      </c>
      <c r="AO131" s="45">
        <f>IF(OR(AJ131="",U131=0),"",MIN(IF(AW131="",9.9E+99,AW131),FLOOR(AN131/U131,1)))</f>
        <v/>
      </c>
      <c r="AP131" s="49">
        <f>IF(AO131="","",AO131*W131)</f>
        <v/>
      </c>
      <c r="AQ131" s="47">
        <f>IF(OR(AJ131="",U131=0),"",MIN(IF(AW131="",9.9E+99,AW131),AN131/U131))</f>
        <v/>
      </c>
      <c r="AR131" s="49">
        <f>IF(AQ131="","",AQ131*W131)</f>
        <v/>
      </c>
      <c r="AS131" s="51" t="n"/>
      <c r="AT131" s="43" t="inlineStr">
        <is>
          <t>Estimated</t>
        </is>
      </c>
      <c r="AU131" s="52" t="n"/>
      <c r="AV131" s="52" t="n"/>
      <c r="AW131" s="53" t="n"/>
      <c r="AX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Y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Z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BA131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B131" s="40" t="inlineStr">
        <is>
          <t>Fatu Hiva ~600 residents + ~1-2k tourists/yr (Aranui calls + adventurers); demand a few thousand pax/yr inter-island including supply runs.</t>
        </is>
      </c>
    </row>
    <row r="132">
      <c r="A132" s="38" t="inlineStr">
        <is>
          <t>French Polynesia</t>
        </is>
      </c>
      <c r="B132" s="38" t="inlineStr">
        <is>
          <t>French Polynesia</t>
        </is>
      </c>
      <c r="C132" s="39" t="inlineStr">
        <is>
          <t>Bora Bora → Huahine (Fare)</t>
        </is>
      </c>
      <c r="D132" s="38" t="inlineStr">
        <is>
          <t>french-polynesia</t>
        </is>
      </c>
      <c r="E132" s="40" t="inlineStr">
        <is>
          <t>french-polynesia</t>
        </is>
      </c>
      <c r="F132" s="41" t="n">
        <v>1</v>
      </c>
      <c r="G132" s="42" t="n">
        <v>50</v>
      </c>
      <c r="H132" s="35" t="n">
        <v>64</v>
      </c>
      <c r="I132" s="43" t="inlineStr">
        <is>
          <t>T1</t>
        </is>
      </c>
      <c r="J132" s="43" t="inlineStr">
        <is>
          <t>high</t>
        </is>
      </c>
      <c r="K132" s="29" t="n">
        <v>0.93</v>
      </c>
      <c r="L132" s="44">
        <f>60*G132/cruise_kt</f>
        <v/>
      </c>
      <c r="M132" s="44">
        <f>L132+turn_min+dwell_min</f>
        <v/>
      </c>
      <c r="N132" s="45">
        <f>MIN(15,FLOOR(60*service_hr/M132,1))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25000</v>
      </c>
      <c r="AK132" s="43" t="inlineStr">
        <is>
          <t>T5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IF(OR(AJ132="",U132=0),"",MIN(IF(AW132="",9.9E+99,AW132),FLOOR(AN132/U132,1)))</f>
        <v/>
      </c>
      <c r="AP132" s="49">
        <f>IF(AO132="","",AO132*W132)</f>
        <v/>
      </c>
      <c r="AQ132" s="47">
        <f>IF(OR(AJ132="",U132=0),"",MIN(IF(AW132="",9.9E+99,AW132),AN132/U132))</f>
        <v/>
      </c>
      <c r="AR132" s="49">
        <f>IF(AQ132="","",AQ132*W132)</f>
        <v/>
      </c>
      <c r="AS132" s="51" t="n"/>
      <c r="AT132" s="43" t="inlineStr">
        <is>
          <t>Estimated</t>
        </is>
      </c>
      <c r="AU132" s="52" t="n"/>
      <c r="AV132" s="52" t="n"/>
      <c r="AW132" s="53" t="n"/>
      <c r="AX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Y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Z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BA132" s="40" t="inlineStr">
        <is>
          <t>Apetahi Express 7,000 XPF per inter-island leg (tuateaferries.com); 50nm BB-Huahine ~2-hour crossing.</t>
        </is>
      </c>
      <c r="BB132" s="40" t="inlineStr">
        <is>
          <t>Apetahi network ~120k/yr (400k since 2021) split across legs; BB-Huahine is a less-core leg than BB-Raiatea or Pap-BB. Allocate ~20-30k/yr.</t>
        </is>
      </c>
    </row>
    <row r="133">
      <c r="A133" s="38" t="inlineStr">
        <is>
          <t>Bolt Greece</t>
        </is>
      </c>
      <c r="B133" s="38" t="inlineStr">
        <is>
          <t>Greece</t>
        </is>
      </c>
      <c r="C133" s="39" t="inlineStr">
        <is>
          <t>Mykonos Town → Delos</t>
        </is>
      </c>
      <c r="D133" s="38" t="inlineStr">
        <is>
          <t>bolt</t>
        </is>
      </c>
      <c r="E133" s="40" t="inlineStr">
        <is>
          <t>bolt-greece</t>
        </is>
      </c>
      <c r="F133" s="41" t="n">
        <v>1</v>
      </c>
      <c r="G133" s="42" t="n">
        <v>3.5</v>
      </c>
      <c r="H133" s="35" t="n">
        <v>54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120000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IF(OR(AJ133="",U133=0),"",MIN(IF(AW133="",9.9E+99,AW133),FLOOR(AN133/U133,1)))</f>
        <v/>
      </c>
      <c r="AP133" s="49">
        <f>IF(AO133="","",AO133*W133)</f>
        <v/>
      </c>
      <c r="AQ133" s="47">
        <f>IF(OR(AJ133="",U133=0),"",MIN(IF(AW133="",9.9E+99,AW133),AN133/U133))</f>
        <v/>
      </c>
      <c r="AR133" s="49">
        <f>IF(AQ133="","",AQ133*W133)</f>
        <v/>
      </c>
      <c r="AS133" s="51" t="n"/>
      <c r="AT133" s="43" t="inlineStr">
        <is>
          <t>Grounded</t>
        </is>
      </c>
      <c r="AU133" s="52" t="n"/>
      <c r="AV133" s="52" t="n"/>
      <c r="AW133" s="53" t="n"/>
      <c r="AX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Y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Z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BA133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B133" s="40" t="n"/>
    </row>
    <row r="134">
      <c r="A134" s="38" t="inlineStr">
        <is>
          <t>Bolt Greece</t>
        </is>
      </c>
      <c r="B134" s="38" t="inlineStr">
        <is>
          <t>Greece</t>
        </is>
      </c>
      <c r="C134" s="39" t="inlineStr">
        <is>
          <t>Glyfada (Athens Riviera) → Vouliagmeni (Astir resort cluster)</t>
        </is>
      </c>
      <c r="D134" s="38" t="inlineStr">
        <is>
          <t>bolt</t>
        </is>
      </c>
      <c r="E134" s="40" t="inlineStr">
        <is>
          <t>bolt-greece</t>
        </is>
      </c>
      <c r="F134" s="41" t="n">
        <v>1</v>
      </c>
      <c r="G134" s="42" t="n">
        <v>5</v>
      </c>
      <c r="H134" s="35" t="n"/>
      <c r="I134" s="43" t="n"/>
      <c r="J134" s="43" t="n"/>
      <c r="K134" s="29" t="n">
        <v>1</v>
      </c>
      <c r="L134" s="44">
        <f>60*G134/cruise_kt</f>
        <v/>
      </c>
      <c r="M134" s="44">
        <f>L134+turn_min+dwell_min</f>
        <v/>
      </c>
      <c r="N134" s="45">
        <f>MIN(24,FLOOR(60*service_hr/M134,1))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/>
      <c r="AK134" s="43" t="n"/>
      <c r="AL134" s="43" t="n"/>
      <c r="AM134" s="50" t="n">
        <v>0.1</v>
      </c>
      <c r="AN134" s="45">
        <f>IF(AJ134="","",AJ134*AM134)</f>
        <v/>
      </c>
      <c r="AO134" s="45">
        <f>IF(OR(AJ134="",U134=0),"",MIN(IF(AW134="",9.9E+99,AW134),FLOOR(AN134/U134,1)))</f>
        <v/>
      </c>
      <c r="AP134" s="49">
        <f>IF(AO134="","",AO134*W134)</f>
        <v/>
      </c>
      <c r="AQ134" s="47">
        <f>IF(OR(AJ134="",U134=0),"",MIN(IF(AW134="",9.9E+99,AW134),AN134/U134))</f>
        <v/>
      </c>
      <c r="AR134" s="49">
        <f>IF(AQ134="","",AQ134*W134)</f>
        <v/>
      </c>
      <c r="AS134" s="51" t="n"/>
      <c r="AT134" s="43" t="inlineStr">
        <is>
          <t>Estimated</t>
        </is>
      </c>
      <c r="AU134" s="52" t="n"/>
      <c r="AV134" s="52" t="n"/>
      <c r="AW134" s="53" t="n"/>
      <c r="AX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Y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Z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BA134" s="40" t="n"/>
      <c r="BB134" s="40" t="n"/>
    </row>
    <row r="135">
      <c r="A135" s="38" t="inlineStr">
        <is>
          <t>Bolt Greece</t>
        </is>
      </c>
      <c r="B135" s="38" t="inlineStr">
        <is>
          <t>Greece</t>
        </is>
      </c>
      <c r="C135" s="39" t="inlineStr">
        <is>
          <t>Naxos → Paros</t>
        </is>
      </c>
      <c r="D135" s="38" t="inlineStr">
        <is>
          <t>bolt</t>
        </is>
      </c>
      <c r="E135" s="40" t="inlineStr">
        <is>
          <t>bolt-greece</t>
        </is>
      </c>
      <c r="F135" s="41" t="n">
        <v>1</v>
      </c>
      <c r="G135" s="42" t="n">
        <v>6</v>
      </c>
      <c r="H135" s="35" t="n">
        <v>33.5</v>
      </c>
      <c r="I135" s="43" t="inlineStr">
        <is>
          <t>T2</t>
        </is>
      </c>
      <c r="J135" s="43" t="inlineStr">
        <is>
          <t>med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/>
      <c r="AK135" s="43" t="n"/>
      <c r="AL135" s="43" t="n"/>
      <c r="AM135" s="50" t="n">
        <v>0.1</v>
      </c>
      <c r="AN135" s="45">
        <f>IF(AJ135="","",AJ135*AM135)</f>
        <v/>
      </c>
      <c r="AO135" s="45">
        <f>IF(OR(AJ135="",U135=0),"",MIN(IF(AW135="",9.9E+99,AW135),FLOOR(AN135/U135,1)))</f>
        <v/>
      </c>
      <c r="AP135" s="49">
        <f>IF(AO135="","",AO135*W135)</f>
        <v/>
      </c>
      <c r="AQ135" s="47">
        <f>IF(OR(AJ135="",U135=0),"",MIN(IF(AW135="",9.9E+99,AW135),AN135/U135))</f>
        <v/>
      </c>
      <c r="AR135" s="49">
        <f>IF(AQ135="","",AQ135*W135)</f>
        <v/>
      </c>
      <c r="AS135" s="51" t="n"/>
      <c r="AT135" s="43" t="inlineStr">
        <is>
          <t>Estimated</t>
        </is>
      </c>
      <c r="AU135" s="52" t="n"/>
      <c r="AV135" s="52" t="n"/>
      <c r="AW135" s="53" t="n"/>
      <c r="AX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Y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Z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BA135" s="40" t="inlineStr">
        <is>
          <t>PREMIUM scheduled per-seat = fast-ferry Naxos-&gt;Paros ~EUR 31 one-way (AFerry foot-passenger from GBP 27 ~ EUR 31; ~$33.5). Short hop, so cheaper conventional options exist below.</t>
        </is>
      </c>
      <c r="BB135" s="40" t="n"/>
    </row>
    <row r="136">
      <c r="A136" s="38" t="inlineStr">
        <is>
          <t>Bolt Greece</t>
        </is>
      </c>
      <c r="B136" s="38" t="inlineStr">
        <is>
          <t>Greece</t>
        </is>
      </c>
      <c r="C136" s="39" t="inlineStr">
        <is>
          <t>Athens (Piraeus) → Glyfada (Athens Riviera)</t>
        </is>
      </c>
      <c r="D136" s="38" t="inlineStr">
        <is>
          <t>bolt</t>
        </is>
      </c>
      <c r="E136" s="40" t="inlineStr">
        <is>
          <t>bolt-greece</t>
        </is>
      </c>
      <c r="F136" s="41" t="n">
        <v>1</v>
      </c>
      <c r="G136" s="42" t="n">
        <v>8</v>
      </c>
      <c r="H136" s="35" t="n"/>
      <c r="I136" s="43" t="n"/>
      <c r="J136" s="43" t="n"/>
      <c r="K136" s="29" t="n">
        <v>1</v>
      </c>
      <c r="L136" s="44">
        <f>60*G136/cruise_kt</f>
        <v/>
      </c>
      <c r="M136" s="44">
        <f>L136+turn_min+dwell_min</f>
        <v/>
      </c>
      <c r="N136" s="45">
        <f>MIN(24,FLOOR(60*service_hr/M136,1))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949000</v>
      </c>
      <c r="AK136" s="43" t="n"/>
      <c r="AL136" s="43" t="n"/>
      <c r="AM136" s="50" t="n">
        <v>0.1</v>
      </c>
      <c r="AN136" s="45">
        <f>IF(AJ136="","",AJ136*AM136)</f>
        <v/>
      </c>
      <c r="AO136" s="45">
        <f>IF(OR(AJ136="",U136=0),"",MIN(IF(AW136="",9.9E+99,AW136),FLOOR(AN136/U136,1)))</f>
        <v/>
      </c>
      <c r="AP136" s="49">
        <f>IF(AO136="","",AO136*W136)</f>
        <v/>
      </c>
      <c r="AQ136" s="47">
        <f>IF(OR(AJ136="",U136=0),"",MIN(IF(AW136="",9.9E+99,AW136),AN136/U136))</f>
        <v/>
      </c>
      <c r="AR136" s="49">
        <f>IF(AQ136="","",AQ136*W136)</f>
        <v/>
      </c>
      <c r="AS136" s="51" t="n"/>
      <c r="AT136" s="43" t="inlineStr">
        <is>
          <t>Estimated</t>
        </is>
      </c>
      <c r="AU136" s="52" t="n"/>
      <c r="AV136" s="52" t="n"/>
      <c r="AW136" s="53" t="n"/>
      <c r="AX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Y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Z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BA136" s="40" t="n"/>
      <c r="BB136" s="40" t="n"/>
    </row>
    <row r="137">
      <c r="A137" s="38" t="inlineStr">
        <is>
          <t>Bolt Greece</t>
        </is>
      </c>
      <c r="B137" s="38" t="inlineStr">
        <is>
          <t>Greece</t>
        </is>
      </c>
      <c r="C137" s="39" t="inlineStr">
        <is>
          <t>Athens (Piraeus) → Aegina</t>
        </is>
      </c>
      <c r="D137" s="38" t="inlineStr">
        <is>
          <t>bolt</t>
        </is>
      </c>
      <c r="E137" s="40" t="inlineStr">
        <is>
          <t>bolt-greece</t>
        </is>
      </c>
      <c r="F137" s="41" t="n">
        <v>1</v>
      </c>
      <c r="G137" s="42" t="n">
        <v>17</v>
      </c>
      <c r="H137" s="35" t="n">
        <v>14</v>
      </c>
      <c r="I137" s="43" t="inlineStr">
        <is>
          <t>T2</t>
        </is>
      </c>
      <c r="J137" s="43" t="inlineStr">
        <is>
          <t>med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1000000</v>
      </c>
      <c r="AK137" s="43" t="n"/>
      <c r="AL137" s="43" t="n"/>
      <c r="AM137" s="50" t="n">
        <v>0.1</v>
      </c>
      <c r="AN137" s="45">
        <f>IF(AJ137="","",AJ137*AM137)</f>
        <v/>
      </c>
      <c r="AO137" s="45">
        <f>IF(OR(AJ137="",U137=0),"",MIN(IF(AW137="",9.9E+99,AW137),FLOOR(AN137/U137,1)))</f>
        <v/>
      </c>
      <c r="AP137" s="49">
        <f>IF(AO137="","",AO137*W137)</f>
        <v/>
      </c>
      <c r="AQ137" s="47">
        <f>IF(OR(AJ137="",U137=0),"",MIN(IF(AW137="",9.9E+99,AW137),AN137/U137))</f>
        <v/>
      </c>
      <c r="AR137" s="49">
        <f>IF(AQ137="","",AQ137*W137)</f>
        <v/>
      </c>
      <c r="AS137" s="51" t="n"/>
      <c r="AT137" s="43" t="inlineStr">
        <is>
          <t>Grounded</t>
        </is>
      </c>
      <c r="AU137" s="52" t="n"/>
      <c r="AV137" s="52" t="n"/>
      <c r="AW137" s="53" t="n"/>
      <c r="AX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Y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Z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BA137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B137" s="40" t="n"/>
    </row>
    <row r="138">
      <c r="A138" s="38" t="inlineStr">
        <is>
          <t>Bolt Greece</t>
        </is>
      </c>
      <c r="B138" s="38" t="inlineStr">
        <is>
          <t>Greece</t>
        </is>
      </c>
      <c r="C138" s="39" t="inlineStr">
        <is>
          <t>Santorini (Thira) → Ios</t>
        </is>
      </c>
      <c r="D138" s="38" t="inlineStr">
        <is>
          <t>bolt</t>
        </is>
      </c>
      <c r="E138" s="40" t="inlineStr">
        <is>
          <t>bolt-greece</t>
        </is>
      </c>
      <c r="F138" s="41" t="n">
        <v>1</v>
      </c>
      <c r="G138" s="42" t="n">
        <v>17</v>
      </c>
      <c r="H138" s="35" t="n">
        <v>54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/>
      <c r="AK138" s="43" t="n"/>
      <c r="AL138" s="43" t="n"/>
      <c r="AM138" s="50" t="n">
        <v>0.1</v>
      </c>
      <c r="AN138" s="45">
        <f>IF(AJ138="","",AJ138*AM138)</f>
        <v/>
      </c>
      <c r="AO138" s="45">
        <f>IF(OR(AJ138="",U138=0),"",MIN(IF(AW138="",9.9E+99,AW138),FLOOR(AN138/U138,1)))</f>
        <v/>
      </c>
      <c r="AP138" s="49">
        <f>IF(AO138="","",AO138*W138)</f>
        <v/>
      </c>
      <c r="AQ138" s="47">
        <f>IF(OR(AJ138="",U138=0),"",MIN(IF(AW138="",9.9E+99,AW138),AN138/U138))</f>
        <v/>
      </c>
      <c r="AR138" s="49">
        <f>IF(AQ138="","",AQ138*W138)</f>
        <v/>
      </c>
      <c r="AS138" s="51" t="n"/>
      <c r="AT138" s="43" t="inlineStr">
        <is>
          <t>Estimated</t>
        </is>
      </c>
      <c r="AU138" s="52" t="n"/>
      <c r="AV138" s="52" t="n"/>
      <c r="AW138" s="53" t="n"/>
      <c r="AX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Y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Z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BA138" s="40" t="inlineStr">
        <is>
          <t>PREMIUM scheduled per-seat = fast-ferry Santorini-&gt;Ios ~EUR 50 one-way (range to EUR 69.7; ~$54). Up to 7 daily crossings year-round.</t>
        </is>
      </c>
      <c r="BB138" s="40" t="n"/>
    </row>
    <row r="139">
      <c r="A139" s="38" t="inlineStr">
        <is>
          <t>Bolt Greece</t>
        </is>
      </c>
      <c r="B139" s="38" t="inlineStr">
        <is>
          <t>Greece</t>
        </is>
      </c>
      <c r="C139" s="39" t="inlineStr">
        <is>
          <t>Athens (Piraeus) → Agistri (Saronic)</t>
        </is>
      </c>
      <c r="D139" s="38" t="inlineStr">
        <is>
          <t>bolt</t>
        </is>
      </c>
      <c r="E139" s="40" t="inlineStr">
        <is>
          <t>bolt-greece</t>
        </is>
      </c>
      <c r="F139" s="41" t="n">
        <v>1</v>
      </c>
      <c r="G139" s="42" t="n">
        <v>18</v>
      </c>
      <c r="H139" s="35" t="n">
        <v>14.6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/>
      <c r="AK139" s="43" t="n"/>
      <c r="AL139" s="43" t="n"/>
      <c r="AM139" s="50" t="n">
        <v>0.1</v>
      </c>
      <c r="AN139" s="45">
        <f>IF(AJ139="","",AJ139*AM139)</f>
        <v/>
      </c>
      <c r="AO139" s="45">
        <f>IF(OR(AJ139="",U139=0),"",MIN(IF(AW139="",9.9E+99,AW139),FLOOR(AN139/U139,1)))</f>
        <v/>
      </c>
      <c r="AP139" s="49">
        <f>IF(AO139="","",AO139*W139)</f>
        <v/>
      </c>
      <c r="AQ139" s="47">
        <f>IF(OR(AJ139="",U139=0),"",MIN(IF(AW139="",9.9E+99,AW139),AN139/U139))</f>
        <v/>
      </c>
      <c r="AR139" s="49">
        <f>IF(AQ139="","",AQ139*W139)</f>
        <v/>
      </c>
      <c r="AS139" s="51" t="n"/>
      <c r="AT139" s="43" t="inlineStr">
        <is>
          <t>Estimated</t>
        </is>
      </c>
      <c r="AU139" s="52" t="n"/>
      <c r="AV139" s="52" t="n"/>
      <c r="AW139" s="53" t="n"/>
      <c r="AX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Y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Z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BA139" s="40" t="inlineStr">
        <is>
          <t>PREMIUM scheduled per-seat = Aegean Flying Dolphins Piraeus-&gt;Agistri (Myli) EUR 13.50 one-way (2026, ~$14.6).</t>
        </is>
      </c>
      <c r="BB139" s="40" t="n"/>
    </row>
    <row r="140">
      <c r="A140" s="38" t="inlineStr">
        <is>
          <t>Bolt Greece</t>
        </is>
      </c>
      <c r="B140" s="38" t="inlineStr">
        <is>
          <t>Greece</t>
        </is>
      </c>
      <c r="C140" s="39" t="inlineStr">
        <is>
          <t>Mykonos → Paros</t>
        </is>
      </c>
      <c r="D140" s="38" t="inlineStr">
        <is>
          <t>bolt</t>
        </is>
      </c>
      <c r="E140" s="40" t="inlineStr">
        <is>
          <t>bolt-greece</t>
        </is>
      </c>
      <c r="F140" s="41" t="n">
        <v>1</v>
      </c>
      <c r="G140" s="42" t="n">
        <v>22</v>
      </c>
      <c r="H140" s="35" t="n">
        <v>54</v>
      </c>
      <c r="I140" s="43" t="inlineStr">
        <is>
          <t>T2</t>
        </is>
      </c>
      <c r="J140" s="43" t="inlineStr">
        <is>
          <t>med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/>
      <c r="AK140" s="43" t="n"/>
      <c r="AL140" s="43" t="n"/>
      <c r="AM140" s="50" t="n">
        <v>0.1</v>
      </c>
      <c r="AN140" s="45">
        <f>IF(AJ140="","",AJ140*AM140)</f>
        <v/>
      </c>
      <c r="AO140" s="45">
        <f>IF(OR(AJ140="",U140=0),"",MIN(IF(AW140="",9.9E+99,AW140),FLOOR(AN140/U140,1)))</f>
        <v/>
      </c>
      <c r="AP140" s="49">
        <f>IF(AO140="","",AO140*W140)</f>
        <v/>
      </c>
      <c r="AQ140" s="47">
        <f>IF(OR(AJ140="",U140=0),"",MIN(IF(AW140="",9.9E+99,AW140),AN140/U140))</f>
        <v/>
      </c>
      <c r="AR140" s="49">
        <f>IF(AQ140="","",AQ140*W140)</f>
        <v/>
      </c>
      <c r="AS140" s="51" t="n"/>
      <c r="AT140" s="43" t="inlineStr">
        <is>
          <t>Estimated</t>
        </is>
      </c>
      <c r="AU140" s="52" t="n"/>
      <c r="AV140" s="52" t="n"/>
      <c r="AW140" s="53" t="n"/>
      <c r="AX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Y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Z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BA140" s="40" t="inlineStr">
        <is>
          <t>PREMIUM scheduled per-seat = Seajets/fast-ferry Mykonos-&gt;Paros ~EUR 50 one-way (range EUR 36-66; ~$54).</t>
        </is>
      </c>
      <c r="BB140" s="40" t="n"/>
    </row>
    <row r="141">
      <c r="A141" s="38" t="inlineStr">
        <is>
          <t>Bolt Greece</t>
        </is>
      </c>
      <c r="B141" s="38" t="inlineStr">
        <is>
          <t>Greece</t>
        </is>
      </c>
      <c r="C141" s="39" t="inlineStr">
        <is>
          <t>Rhodes → Marmaris (Turkey)</t>
        </is>
      </c>
      <c r="D141" s="38" t="inlineStr">
        <is>
          <t>bolt</t>
        </is>
      </c>
      <c r="E141" s="40" t="inlineStr">
        <is>
          <t>bolt-greece</t>
        </is>
      </c>
      <c r="F141" s="41" t="n">
        <v>1</v>
      </c>
      <c r="G141" s="42" t="n">
        <v>22</v>
      </c>
      <c r="H141" s="35" t="n"/>
      <c r="I141" s="43" t="n"/>
      <c r="J141" s="43" t="n"/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/>
      <c r="AK141" s="43" t="n"/>
      <c r="AL141" s="43" t="n"/>
      <c r="AM141" s="50" t="n">
        <v>0.1</v>
      </c>
      <c r="AN141" s="45">
        <f>IF(AJ141="","",AJ141*AM141)</f>
        <v/>
      </c>
      <c r="AO141" s="45">
        <f>IF(OR(AJ141="",U141=0),"",MIN(IF(AW141="",9.9E+99,AW141),FLOOR(AN141/U141,1)))</f>
        <v/>
      </c>
      <c r="AP141" s="49">
        <f>IF(AO141="","",AO141*W141)</f>
        <v/>
      </c>
      <c r="AQ141" s="47">
        <f>IF(OR(AJ141="",U141=0),"",MIN(IF(AW141="",9.9E+99,AW141),AN141/U141))</f>
        <v/>
      </c>
      <c r="AR141" s="49">
        <f>IF(AQ141="","",AQ141*W141)</f>
        <v/>
      </c>
      <c r="AS141" s="51" t="n"/>
      <c r="AT141" s="43" t="inlineStr">
        <is>
          <t>Estimated</t>
        </is>
      </c>
      <c r="AU141" s="52" t="n"/>
      <c r="AV141" s="52" t="n"/>
      <c r="AW141" s="53" t="n"/>
      <c r="AX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Y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Z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BA141" s="40" t="n"/>
      <c r="BB141" s="40" t="n"/>
    </row>
    <row r="142">
      <c r="A142" s="38" t="inlineStr">
        <is>
          <t>Bolt Greece</t>
        </is>
      </c>
      <c r="B142" s="38" t="inlineStr">
        <is>
          <t>Greece</t>
        </is>
      </c>
      <c r="C142" s="39" t="inlineStr">
        <is>
          <t>Athens (Piraeus) → Poros (Saronic)</t>
        </is>
      </c>
      <c r="D142" s="38" t="inlineStr">
        <is>
          <t>bolt</t>
        </is>
      </c>
      <c r="E142" s="40" t="inlineStr">
        <is>
          <t>bolt-greece</t>
        </is>
      </c>
      <c r="F142" s="41" t="n">
        <v>1</v>
      </c>
      <c r="G142" s="42" t="n">
        <v>27</v>
      </c>
      <c r="H142" s="35" t="n">
        <v>18.4</v>
      </c>
      <c r="I142" s="43" t="inlineStr">
        <is>
          <t>T2</t>
        </is>
      </c>
      <c r="J142" s="43" t="inlineStr">
        <is>
          <t>med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/>
      <c r="AK142" s="43" t="n"/>
      <c r="AL142" s="43" t="n"/>
      <c r="AM142" s="50" t="n">
        <v>0.1</v>
      </c>
      <c r="AN142" s="45">
        <f>IF(AJ142="","",AJ142*AM142)</f>
        <v/>
      </c>
      <c r="AO142" s="45">
        <f>IF(OR(AJ142="",U142=0),"",MIN(IF(AW142="",9.9E+99,AW142),FLOOR(AN142/U142,1)))</f>
        <v/>
      </c>
      <c r="AP142" s="49">
        <f>IF(AO142="","",AO142*W142)</f>
        <v/>
      </c>
      <c r="AQ142" s="47">
        <f>IF(OR(AJ142="",U142=0),"",MIN(IF(AW142="",9.9E+99,AW142),AN142/U142))</f>
        <v/>
      </c>
      <c r="AR142" s="49">
        <f>IF(AQ142="","",AQ142*W142)</f>
        <v/>
      </c>
      <c r="AS142" s="51" t="n"/>
      <c r="AT142" s="43" t="inlineStr">
        <is>
          <t>Estimated</t>
        </is>
      </c>
      <c r="AU142" s="52" t="n"/>
      <c r="AV142" s="52" t="n"/>
      <c r="AW142" s="53" t="n"/>
      <c r="AX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Y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Z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BA142" s="40" t="inlineStr">
        <is>
          <t>PREMIUM scheduled per-seat = Hellenic Seaways fast craft Piraeus-&gt;Poros EUR 17.00 one-way (~$18.4).</t>
        </is>
      </c>
      <c r="BB142" s="40" t="n"/>
    </row>
    <row r="143">
      <c r="A143" s="38" t="inlineStr">
        <is>
          <t>Bolt Greece</t>
        </is>
      </c>
      <c r="B143" s="38" t="inlineStr">
        <is>
          <t>Greece</t>
        </is>
      </c>
      <c r="C143" s="39" t="inlineStr">
        <is>
          <t>Mykonos → Naxos</t>
        </is>
      </c>
      <c r="D143" s="38" t="inlineStr">
        <is>
          <t>bolt</t>
        </is>
      </c>
      <c r="E143" s="40" t="inlineStr">
        <is>
          <t>bolt-greece</t>
        </is>
      </c>
      <c r="F143" s="41" t="n">
        <v>1</v>
      </c>
      <c r="G143" s="42" t="n">
        <v>28</v>
      </c>
      <c r="H143" s="35" t="n">
        <v>54</v>
      </c>
      <c r="I143" s="43" t="inlineStr">
        <is>
          <t>T2</t>
        </is>
      </c>
      <c r="J143" s="43" t="inlineStr">
        <is>
          <t>med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/>
      <c r="AK143" s="43" t="n"/>
      <c r="AL143" s="43" t="n"/>
      <c r="AM143" s="50" t="n">
        <v>0.1</v>
      </c>
      <c r="AN143" s="45">
        <f>IF(AJ143="","",AJ143*AM143)</f>
        <v/>
      </c>
      <c r="AO143" s="45">
        <f>IF(OR(AJ143="",U143=0),"",MIN(IF(AW143="",9.9E+99,AW143),FLOOR(AN143/U143,1)))</f>
        <v/>
      </c>
      <c r="AP143" s="49">
        <f>IF(AO143="","",AO143*W143)</f>
        <v/>
      </c>
      <c r="AQ143" s="47">
        <f>IF(OR(AJ143="",U143=0),"",MIN(IF(AW143="",9.9E+99,AW143),AN143/U143))</f>
        <v/>
      </c>
      <c r="AR143" s="49">
        <f>IF(AQ143="","",AQ143*W143)</f>
        <v/>
      </c>
      <c r="AS143" s="51" t="n"/>
      <c r="AT143" s="43" t="inlineStr">
        <is>
          <t>Estimated</t>
        </is>
      </c>
      <c r="AU143" s="52" t="n"/>
      <c r="AV143" s="52" t="n"/>
      <c r="AW143" s="53" t="n"/>
      <c r="AX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Y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Z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BA143" s="40" t="inlineStr">
        <is>
          <t>PREMIUM scheduled per-seat = Seajets/fast-ferry Mykonos-&gt;Naxos ~EUR 50 one-way (~$54), in line with the Mykonos-&gt;Paros tier (similar distance). Approximate.</t>
        </is>
      </c>
      <c r="BB143" s="40" t="n"/>
    </row>
    <row r="144">
      <c r="A144" s="38" t="inlineStr">
        <is>
          <t>Bolt Greece</t>
        </is>
      </c>
      <c r="B144" s="38" t="inlineStr">
        <is>
          <t>Greece</t>
        </is>
      </c>
      <c r="C144" s="39" t="inlineStr">
        <is>
          <t>Athens → Hydra (Saronic)</t>
        </is>
      </c>
      <c r="D144" s="38" t="inlineStr">
        <is>
          <t>bolt</t>
        </is>
      </c>
      <c r="E144" s="40" t="inlineStr">
        <is>
          <t>bolt-greece</t>
        </is>
      </c>
      <c r="F144" s="41" t="n">
        <v>1</v>
      </c>
      <c r="G144" s="42" t="n">
        <v>30</v>
      </c>
      <c r="H144" s="35" t="n">
        <v>43.2</v>
      </c>
      <c r="I144" s="43" t="inlineStr">
        <is>
          <t>T2</t>
        </is>
      </c>
      <c r="J144" s="43" t="inlineStr">
        <is>
          <t>med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/>
      <c r="AK144" s="43" t="inlineStr">
        <is>
          <t>T5</t>
        </is>
      </c>
      <c r="AL144" s="43" t="inlineStr">
        <is>
          <t>low</t>
        </is>
      </c>
      <c r="AM144" s="50" t="n">
        <v>0.1</v>
      </c>
      <c r="AN144" s="45">
        <f>IF(AJ144="","",AJ144*AM144)</f>
        <v/>
      </c>
      <c r="AO144" s="45">
        <f>IF(OR(AJ144="",U144=0),"",MIN(IF(AW144="",9.9E+99,AW144),FLOOR(AN144/U144,1)))</f>
        <v/>
      </c>
      <c r="AP144" s="49">
        <f>IF(AO144="","",AO144*W144)</f>
        <v/>
      </c>
      <c r="AQ144" s="47">
        <f>IF(OR(AJ144="",U144=0),"",MIN(IF(AW144="",9.9E+99,AW144),AN144/U144))</f>
        <v/>
      </c>
      <c r="AR144" s="49">
        <f>IF(AQ144="","",AQ144*W144)</f>
        <v/>
      </c>
      <c r="AS144" s="51" t="n"/>
      <c r="AT144" s="43" t="inlineStr">
        <is>
          <t>Estimated</t>
        </is>
      </c>
      <c r="AU144" s="52" t="n"/>
      <c r="AV144" s="52" t="n"/>
      <c r="AW144" s="53" t="n"/>
      <c r="AX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Y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Z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BA144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B144" s="40" t="n"/>
    </row>
    <row r="145">
      <c r="A145" s="38" t="inlineStr">
        <is>
          <t>Bolt Greece</t>
        </is>
      </c>
      <c r="B145" s="38" t="inlineStr">
        <is>
          <t>Greece</t>
        </is>
      </c>
      <c r="C145" s="39" t="inlineStr">
        <is>
          <t>Athens (Piraeus) → Spetses (Saronic)</t>
        </is>
      </c>
      <c r="D145" s="38" t="inlineStr">
        <is>
          <t>bolt</t>
        </is>
      </c>
      <c r="E145" s="40" t="inlineStr">
        <is>
          <t>bolt-greece</t>
        </is>
      </c>
      <c r="F145" s="41" t="n">
        <v>1</v>
      </c>
      <c r="G145" s="42" t="n">
        <v>50</v>
      </c>
      <c r="H145" s="35" t="n">
        <v>37.8</v>
      </c>
      <c r="I145" s="43" t="inlineStr">
        <is>
          <t>T2</t>
        </is>
      </c>
      <c r="J145" s="43" t="inlineStr">
        <is>
          <t>med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/>
      <c r="AK145" s="43" t="n"/>
      <c r="AL145" s="43" t="n"/>
      <c r="AM145" s="50" t="n">
        <v>0.1</v>
      </c>
      <c r="AN145" s="45">
        <f>IF(AJ145="","",AJ145*AM145)</f>
        <v/>
      </c>
      <c r="AO145" s="45">
        <f>IF(OR(AJ145="",U145=0),"",MIN(IF(AW145="",9.9E+99,AW145),FLOOR(AN145/U145,1)))</f>
        <v/>
      </c>
      <c r="AP145" s="49">
        <f>IF(AO145="","",AO145*W145)</f>
        <v/>
      </c>
      <c r="AQ145" s="47">
        <f>IF(OR(AJ145="",U145=0),"",MIN(IF(AW145="",9.9E+99,AW145),AN145/U145))</f>
        <v/>
      </c>
      <c r="AR145" s="49">
        <f>IF(AQ145="","",AQ145*W145)</f>
        <v/>
      </c>
      <c r="AS145" s="51" t="n"/>
      <c r="AT145" s="43" t="inlineStr">
        <is>
          <t>Estimated</t>
        </is>
      </c>
      <c r="AU145" s="52" t="n"/>
      <c r="AV145" s="52" t="n"/>
      <c r="AW145" s="53" t="n"/>
      <c r="AX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Y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Z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BA145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B145" s="40" t="n"/>
    </row>
    <row r="146">
      <c r="A146" s="38" t="inlineStr">
        <is>
          <t>Bolt Greece</t>
        </is>
      </c>
      <c r="B146" s="38" t="inlineStr">
        <is>
          <t>Greece</t>
        </is>
      </c>
      <c r="C146" s="39" t="inlineStr">
        <is>
          <t>Naxos → Santorini (Thira)</t>
        </is>
      </c>
      <c r="D146" s="38" t="inlineStr">
        <is>
          <t>bolt</t>
        </is>
      </c>
      <c r="E146" s="40" t="inlineStr">
        <is>
          <t>bolt-greece</t>
        </is>
      </c>
      <c r="F146" s="41" t="n">
        <v>1</v>
      </c>
      <c r="G146" s="42" t="n">
        <v>50</v>
      </c>
      <c r="H146" s="35" t="n">
        <v>54</v>
      </c>
      <c r="I146" s="43" t="inlineStr">
        <is>
          <t>T2</t>
        </is>
      </c>
      <c r="J146" s="43" t="inlineStr">
        <is>
          <t>med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/>
      <c r="AK146" s="43" t="n"/>
      <c r="AL146" s="43" t="n"/>
      <c r="AM146" s="50" t="n">
        <v>0.1</v>
      </c>
      <c r="AN146" s="45">
        <f>IF(AJ146="","",AJ146*AM146)</f>
        <v/>
      </c>
      <c r="AO146" s="45">
        <f>IF(OR(AJ146="",U146=0),"",MIN(IF(AW146="",9.9E+99,AW146),FLOOR(AN146/U146,1)))</f>
        <v/>
      </c>
      <c r="AP146" s="49">
        <f>IF(AO146="","",AO146*W146)</f>
        <v/>
      </c>
      <c r="AQ146" s="47">
        <f>IF(OR(AJ146="",U146=0),"",MIN(IF(AW146="",9.9E+99,AW146),AN146/U146))</f>
        <v/>
      </c>
      <c r="AR146" s="49">
        <f>IF(AQ146="","",AQ146*W146)</f>
        <v/>
      </c>
      <c r="AS146" s="51" t="n"/>
      <c r="AT146" s="43" t="inlineStr">
        <is>
          <t>Estimated</t>
        </is>
      </c>
      <c r="AU146" s="52" t="n"/>
      <c r="AV146" s="52" t="n"/>
      <c r="AW146" s="53" t="n"/>
      <c r="AX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Y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Z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BA146" s="40" t="inlineStr">
        <is>
          <t>PREMIUM scheduled per-seat = fast-ferry Naxos-&gt;Santorini ~EUR 50 one-way (~$54); standard fast-ferry tier on the central-to-southern Cyclades leg. Approximate.</t>
        </is>
      </c>
      <c r="BB146" s="40" t="n"/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Middle Strait Jetty → Oralkatcha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0.7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IF(OR(AJ147="",U147=0),"",MIN(IF(AW147="",9.9E+99,AW147),FLOOR(AN147/U147,1)))</f>
        <v/>
      </c>
      <c r="AP147" s="49">
        <f>IF(AO147="","",AO147*W147)</f>
        <v/>
      </c>
      <c r="AQ147" s="47">
        <f>IF(OR(AJ147="",U147=0),"",MIN(IF(AW147="",9.9E+99,AW147),AN147/U147))</f>
        <v/>
      </c>
      <c r="AR147" s="49">
        <f>IF(AQ147="","",AQ147*W147)</f>
        <v/>
      </c>
      <c r="AS147" s="51" t="n"/>
      <c r="AT147" s="43" t="inlineStr">
        <is>
          <t>Grounded</t>
        </is>
      </c>
      <c r="AU147" s="52" t="n"/>
      <c r="AV147" s="52" t="n"/>
      <c r="AW147" s="53" t="n"/>
      <c r="AX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Y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Z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BA147" s="40" t="inlineStr">
        <is>
          <t>handoff/INDIA-ECONOMICS-SIDECAR-V0-2026-06-20.json (andaman)</t>
        </is>
      </c>
      <c r="BB147" s="40" t="inlineStr">
        <is>
          <t>handoff/INDIA-ECONOMICS-SIDECAR-V0-2026-06-20.json (andaman)</t>
        </is>
      </c>
    </row>
    <row r="148">
      <c r="A148" s="38" t="inlineStr">
        <is>
          <t>India Andaman Rapido</t>
        </is>
      </c>
      <c r="B148" s="38" t="inlineStr">
        <is>
          <t>India</t>
        </is>
      </c>
      <c r="C148" s="39" t="inlineStr">
        <is>
          <t>Junglighat Jetty → Port Blair</t>
        </is>
      </c>
      <c r="D148" s="38" t="inlineStr">
        <is>
          <t>rapido</t>
        </is>
      </c>
      <c r="E148" s="40" t="inlineStr">
        <is>
          <t>india-andaman-ola, india-andaman-rapido</t>
        </is>
      </c>
      <c r="F148" s="41" t="n">
        <v>2</v>
      </c>
      <c r="G148" s="42" t="n">
        <v>0.8</v>
      </c>
      <c r="H148" s="35" t="n">
        <v>22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5000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IF(OR(AJ148="",U148=0),"",MIN(IF(AW148="",9.9E+99,AW148),FLOOR(AN148/U148,1)))</f>
        <v/>
      </c>
      <c r="AP148" s="49">
        <f>IF(AO148="","",AO148*W148)</f>
        <v/>
      </c>
      <c r="AQ148" s="47">
        <f>IF(OR(AJ148="",U148=0),"",MIN(IF(AW148="",9.9E+99,AW148),AN148/U148))</f>
        <v/>
      </c>
      <c r="AR148" s="49">
        <f>IF(AQ148="","",AQ148*W148)</f>
        <v/>
      </c>
      <c r="AS148" s="51" t="n"/>
      <c r="AT148" s="43" t="inlineStr">
        <is>
          <t>Grounded</t>
        </is>
      </c>
      <c r="AU148" s="52" t="n"/>
      <c r="AV148" s="52" t="n"/>
      <c r="AW148" s="53" t="n"/>
      <c r="AX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Y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Z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BA148" s="40" t="inlineStr">
        <is>
          <t>handoff/INDIA-ECONOMICS-SIDECAR-V0-2026-06-20.json (andaman)</t>
        </is>
      </c>
      <c r="BB148" s="40" t="inlineStr">
        <is>
          <t>handoff/INDIA-ECONOMICS-SIDECAR-V0-2026-06-20.json (andaman)</t>
        </is>
      </c>
    </row>
    <row r="149">
      <c r="A149" s="38" t="inlineStr">
        <is>
          <t>India Kolkata Rapido</t>
        </is>
      </c>
      <c r="B149" s="38" t="inlineStr">
        <is>
          <t>India</t>
        </is>
      </c>
      <c r="C149" s="39" t="inlineStr">
        <is>
          <t>Howrah Ferry Ghat → Fairlie Place Ferry</t>
        </is>
      </c>
      <c r="D149" s="38" t="inlineStr">
        <is>
          <t>rapido</t>
        </is>
      </c>
      <c r="E149" s="40" t="inlineStr">
        <is>
          <t>india-kolkata-ola, india-kolkata-rapido, india-kolkata-uber-india</t>
        </is>
      </c>
      <c r="F149" s="41" t="n">
        <v>3</v>
      </c>
      <c r="G149" s="42" t="n">
        <v>0.8</v>
      </c>
      <c r="H149" s="35" t="n">
        <v>18</v>
      </c>
      <c r="I149" s="43" t="n"/>
      <c r="J149" s="43" t="n"/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1600000</v>
      </c>
      <c r="AK149" s="43" t="n"/>
      <c r="AL149" s="43" t="n"/>
      <c r="AM149" s="50" t="n">
        <v>0.1</v>
      </c>
      <c r="AN149" s="45">
        <f>IF(AJ149="","",AJ149*AM149)</f>
        <v/>
      </c>
      <c r="AO149" s="45">
        <f>IF(OR(AJ149="",U149=0),"",MIN(IF(AW149="",9.9E+99,AW149),FLOOR(AN149/U149,1)))</f>
        <v/>
      </c>
      <c r="AP149" s="49">
        <f>IF(AO149="","",AO149*W149)</f>
        <v/>
      </c>
      <c r="AQ149" s="47">
        <f>IF(OR(AJ149="",U149=0),"",MIN(IF(AW149="",9.9E+99,AW149),AN149/U149))</f>
        <v/>
      </c>
      <c r="AR149" s="49">
        <f>IF(AQ149="","",AQ149*W149)</f>
        <v/>
      </c>
      <c r="AS149" s="51" t="n"/>
      <c r="AT149" s="43" t="inlineStr">
        <is>
          <t>Grounded</t>
        </is>
      </c>
      <c r="AU149" s="52" t="n"/>
      <c r="AV149" s="52" t="n"/>
      <c r="AW149" s="53" t="n"/>
      <c r="AX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Y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Z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BA149" s="40" t="inlineStr">
        <is>
          <t xml:space="preserve">[LB-255 PREMIUM RE-FARE: subsidized comparable $2.5 lifted to premium on-demand floor $18.0] </t>
        </is>
      </c>
      <c r="BB149" s="40" t="n"/>
    </row>
    <row r="150">
      <c r="A150" s="38" t="inlineStr">
        <is>
          <t>India Andaman Rapido</t>
        </is>
      </c>
      <c r="B150" s="38" t="inlineStr">
        <is>
          <t>India</t>
        </is>
      </c>
      <c r="C150" s="39" t="inlineStr">
        <is>
          <t>Marina Park → Aberdeen Jetty</t>
        </is>
      </c>
      <c r="D150" s="38" t="inlineStr">
        <is>
          <t>rapido</t>
        </is>
      </c>
      <c r="E150" s="40" t="inlineStr">
        <is>
          <t>india-andaman-ola, india-andaman-rapido</t>
        </is>
      </c>
      <c r="F150" s="41" t="n">
        <v>2</v>
      </c>
      <c r="G150" s="42" t="n">
        <v>0.9</v>
      </c>
      <c r="H150" s="35" t="n">
        <v>22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5000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IF(OR(AJ150="",U150=0),"",MIN(IF(AW150="",9.9E+99,AW150),FLOOR(AN150/U150,1)))</f>
        <v/>
      </c>
      <c r="AP150" s="49">
        <f>IF(AO150="","",AO150*W150)</f>
        <v/>
      </c>
      <c r="AQ150" s="47">
        <f>IF(OR(AJ150="",U150=0),"",MIN(IF(AW150="",9.9E+99,AW150),AN150/U150))</f>
        <v/>
      </c>
      <c r="AR150" s="49">
        <f>IF(AQ150="","",AQ150*W150)</f>
        <v/>
      </c>
      <c r="AS150" s="51" t="n"/>
      <c r="AT150" s="43" t="inlineStr">
        <is>
          <t>Grounded</t>
        </is>
      </c>
      <c r="AU150" s="52" t="n"/>
      <c r="AV150" s="52" t="n"/>
      <c r="AW150" s="53" t="n"/>
      <c r="AX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Y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Z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BA150" s="40" t="inlineStr">
        <is>
          <t>handoff/INDIA-ECONOMICS-SIDECAR-V0-2026-06-20.json (andaman)</t>
        </is>
      </c>
      <c r="BB150" s="40" t="inlineStr">
        <is>
          <t>handoff/INDIA-ECONOMICS-SIDECAR-V0-2026-06-20.json (andaman)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Marina View Point → Aberdeen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0.9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IF(OR(AJ151="",U151=0),"",MIN(IF(AW151="",9.9E+99,AW151),FLOOR(AN151/U151,1)))</f>
        <v/>
      </c>
      <c r="AP151" s="49">
        <f>IF(AO151="","",AO151*W151)</f>
        <v/>
      </c>
      <c r="AQ151" s="47">
        <f>IF(OR(AJ151="",U151=0),"",MIN(IF(AW151="",9.9E+99,AW151),AN151/U151))</f>
        <v/>
      </c>
      <c r="AR151" s="49">
        <f>IF(AQ151="","",AQ151*W151)</f>
        <v/>
      </c>
      <c r="AS151" s="51" t="n"/>
      <c r="AT151" s="43" t="inlineStr">
        <is>
          <t>Grounded</t>
        </is>
      </c>
      <c r="AU151" s="52" t="n"/>
      <c r="AV151" s="52" t="n"/>
      <c r="AW151" s="53" t="n"/>
      <c r="AX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Y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Z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BA151" s="40" t="inlineStr">
        <is>
          <t>handoff/INDIA-ECONOMICS-SIDECAR-V0-2026-06-20.json (andaman)</t>
        </is>
      </c>
      <c r="BB151" s="40" t="inlineStr">
        <is>
          <t>handoff/INDIA-ECONOMICS-SIDECAR-V0-2026-06-20.json (andaman)</t>
        </is>
      </c>
    </row>
    <row r="152">
      <c r="A152" s="38" t="inlineStr">
        <is>
          <t>India Kolkata Rapido</t>
        </is>
      </c>
      <c r="B152" s="38" t="inlineStr">
        <is>
          <t>India</t>
        </is>
      </c>
      <c r="C152" s="39" t="inlineStr">
        <is>
          <t>Howrah Ferry Ghat → Millennium Park Jetty</t>
        </is>
      </c>
      <c r="D152" s="38" t="inlineStr">
        <is>
          <t>rapido</t>
        </is>
      </c>
      <c r="E152" s="40" t="inlineStr">
        <is>
          <t>india-kolkata-ola, india-kolkata-rapido, india-kolkata-uber-india</t>
        </is>
      </c>
      <c r="F152" s="41" t="n">
        <v>3</v>
      </c>
      <c r="G152" s="42" t="n">
        <v>0.9</v>
      </c>
      <c r="H152" s="35" t="n">
        <v>18</v>
      </c>
      <c r="I152" s="43" t="n"/>
      <c r="J152" s="43" t="n"/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1600000</v>
      </c>
      <c r="AK152" s="43" t="n"/>
      <c r="AL152" s="43" t="n"/>
      <c r="AM152" s="50" t="n">
        <v>0.1</v>
      </c>
      <c r="AN152" s="45">
        <f>IF(AJ152="","",AJ152*AM152)</f>
        <v/>
      </c>
      <c r="AO152" s="45">
        <f>IF(OR(AJ152="",U152=0),"",MIN(IF(AW152="",9.9E+99,AW152),FLOOR(AN152/U152,1)))</f>
        <v/>
      </c>
      <c r="AP152" s="49">
        <f>IF(AO152="","",AO152*W152)</f>
        <v/>
      </c>
      <c r="AQ152" s="47">
        <f>IF(OR(AJ152="",U152=0),"",MIN(IF(AW152="",9.9E+99,AW152),AN152/U152))</f>
        <v/>
      </c>
      <c r="AR152" s="49">
        <f>IF(AQ152="","",AQ152*W152)</f>
        <v/>
      </c>
      <c r="AS152" s="51" t="n"/>
      <c r="AT152" s="43" t="inlineStr">
        <is>
          <t>Grounded</t>
        </is>
      </c>
      <c r="AU152" s="52" t="n"/>
      <c r="AV152" s="52" t="n"/>
      <c r="AW152" s="53" t="n"/>
      <c r="AX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Y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Z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BA152" s="40" t="inlineStr">
        <is>
          <t xml:space="preserve">[LB-255 PREMIUM RE-FARE: subsidized comparable $2.5 lifted to premium on-demand floor $18.0] </t>
        </is>
      </c>
      <c r="BB152" s="40" t="n"/>
    </row>
    <row r="153">
      <c r="A153" s="38" t="inlineStr">
        <is>
          <t>India Andaman Rapido</t>
        </is>
      </c>
      <c r="B153" s="38" t="inlineStr">
        <is>
          <t>India</t>
        </is>
      </c>
      <c r="C153" s="39" t="inlineStr">
        <is>
          <t>APARUPA SANDS MARINA → Office Of Assistant Engineer Civil, Andaman Lakshdweep Harbour Work Havelock</t>
        </is>
      </c>
      <c r="D153" s="38" t="inlineStr">
        <is>
          <t>rapido</t>
        </is>
      </c>
      <c r="E153" s="40" t="inlineStr">
        <is>
          <t>india-andaman-ola, india-andaman-rapido</t>
        </is>
      </c>
      <c r="F153" s="41" t="n">
        <v>2</v>
      </c>
      <c r="G153" s="42" t="n">
        <v>1.2</v>
      </c>
      <c r="H153" s="35" t="n">
        <v>22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5000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IF(OR(AJ153="",U153=0),"",MIN(IF(AW153="",9.9E+99,AW153),FLOOR(AN153/U153,1)))</f>
        <v/>
      </c>
      <c r="AP153" s="49">
        <f>IF(AO153="","",AO153*W153)</f>
        <v/>
      </c>
      <c r="AQ153" s="47">
        <f>IF(OR(AJ153="",U153=0),"",MIN(IF(AW153="",9.9E+99,AW153),AN153/U153))</f>
        <v/>
      </c>
      <c r="AR153" s="49">
        <f>IF(AQ153="","",AQ153*W153)</f>
        <v/>
      </c>
      <c r="AS153" s="51" t="n"/>
      <c r="AT153" s="43" t="inlineStr">
        <is>
          <t>Grounded</t>
        </is>
      </c>
      <c r="AU153" s="52" t="n"/>
      <c r="AV153" s="52" t="n"/>
      <c r="AW153" s="53" t="n"/>
      <c r="AX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Y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Z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BA153" s="40" t="inlineStr">
        <is>
          <t>handoff/INDIA-ECONOMICS-SIDECAR-V0-2026-06-20.json (andaman)</t>
        </is>
      </c>
      <c r="BB153" s="40" t="inlineStr">
        <is>
          <t>handoff/INDIA-ECONOMICS-SIDECAR-V0-2026-06-20.json (andaman)</t>
        </is>
      </c>
    </row>
    <row r="154">
      <c r="A154" s="38" t="inlineStr">
        <is>
          <t>India Kolkata Rapido</t>
        </is>
      </c>
      <c r="B154" s="38" t="inlineStr">
        <is>
          <t>India</t>
        </is>
      </c>
      <c r="C154" s="39" t="inlineStr">
        <is>
          <t>Dakshineswar Ferry Ghat → Belur Math Ferry Ghat</t>
        </is>
      </c>
      <c r="D154" s="38" t="inlineStr">
        <is>
          <t>rapido</t>
        </is>
      </c>
      <c r="E154" s="40" t="inlineStr">
        <is>
          <t>india-kolkata-ola, india-kolkata-rapido, india-kolkata-uber-india</t>
        </is>
      </c>
      <c r="F154" s="41" t="n">
        <v>3</v>
      </c>
      <c r="G154" s="42" t="n">
        <v>1.3</v>
      </c>
      <c r="H154" s="35" t="n">
        <v>18</v>
      </c>
      <c r="I154" s="43" t="n"/>
      <c r="J154" s="43" t="n"/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1600000</v>
      </c>
      <c r="AK154" s="43" t="n"/>
      <c r="AL154" s="43" t="n"/>
      <c r="AM154" s="50" t="n">
        <v>0.1</v>
      </c>
      <c r="AN154" s="45">
        <f>IF(AJ154="","",AJ154*AM154)</f>
        <v/>
      </c>
      <c r="AO154" s="45">
        <f>IF(OR(AJ154="",U154=0),"",MIN(IF(AW154="",9.9E+99,AW154),FLOOR(AN154/U154,1)))</f>
        <v/>
      </c>
      <c r="AP154" s="49">
        <f>IF(AO154="","",AO154*W154)</f>
        <v/>
      </c>
      <c r="AQ154" s="47">
        <f>IF(OR(AJ154="",U154=0),"",MIN(IF(AW154="",9.9E+99,AW154),AN154/U154))</f>
        <v/>
      </c>
      <c r="AR154" s="49">
        <f>IF(AQ154="","",AQ154*W154)</f>
        <v/>
      </c>
      <c r="AS154" s="51" t="n"/>
      <c r="AT154" s="43" t="inlineStr">
        <is>
          <t>Grounded</t>
        </is>
      </c>
      <c r="AU154" s="52" t="n"/>
      <c r="AV154" s="52" t="n"/>
      <c r="AW154" s="53" t="n"/>
      <c r="AX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Y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Z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BA154" s="40" t="inlineStr">
        <is>
          <t xml:space="preserve">[LB-255 PREMIUM RE-FARE: subsidized comparable $2.5 lifted to premium on-demand floor $18.0] </t>
        </is>
      </c>
      <c r="BB154" s="40" t="n"/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Marina Park → Marina View Point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1.4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IF(OR(AJ155="",U155=0),"",MIN(IF(AW155="",9.9E+99,AW155),FLOOR(AN155/U155,1)))</f>
        <v/>
      </c>
      <c r="AP155" s="49">
        <f>IF(AO155="","",AO155*W155)</f>
        <v/>
      </c>
      <c r="AQ155" s="47">
        <f>IF(OR(AJ155="",U155=0),"",MIN(IF(AW155="",9.9E+99,AW155),AN155/U155))</f>
        <v/>
      </c>
      <c r="AR155" s="49">
        <f>IF(AQ155="","",AQ155*W155)</f>
        <v/>
      </c>
      <c r="AS155" s="51" t="n"/>
      <c r="AT155" s="43" t="inlineStr">
        <is>
          <t>Grounded</t>
        </is>
      </c>
      <c r="AU155" s="52" t="n"/>
      <c r="AV155" s="52" t="n"/>
      <c r="AW155" s="53" t="n"/>
      <c r="AX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Y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Z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BA155" s="40" t="inlineStr">
        <is>
          <t>handoff/INDIA-ECONOMICS-SIDECAR-V0-2026-06-20.json (andaman)</t>
        </is>
      </c>
      <c r="BB155" s="40" t="inlineStr">
        <is>
          <t>handoff/INDIA-ECONOMICS-SIDECAR-V0-2026-06-20.json (andaman)</t>
        </is>
      </c>
    </row>
    <row r="156">
      <c r="A156" s="38" t="inlineStr">
        <is>
          <t>India Andaman Rapido</t>
        </is>
      </c>
      <c r="B156" s="38" t="inlineStr">
        <is>
          <t>India</t>
        </is>
      </c>
      <c r="C156" s="39" t="inlineStr">
        <is>
          <t>Game Fishing In Andaman | Bite Me Charter | Best Sport fishing in Andaman Islands → Port Blair</t>
        </is>
      </c>
      <c r="D156" s="38" t="inlineStr">
        <is>
          <t>rapido</t>
        </is>
      </c>
      <c r="E156" s="40" t="inlineStr">
        <is>
          <t>india-andaman-ola, india-andaman-rapido</t>
        </is>
      </c>
      <c r="F156" s="41" t="n">
        <v>2</v>
      </c>
      <c r="G156" s="42" t="n">
        <v>1.5</v>
      </c>
      <c r="H156" s="35" t="n">
        <v>22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IF(OR(AJ156="",U156=0),"",MIN(IF(AW156="",9.9E+99,AW156),FLOOR(AN156/U156,1)))</f>
        <v/>
      </c>
      <c r="AP156" s="49">
        <f>IF(AO156="","",AO156*W156)</f>
        <v/>
      </c>
      <c r="AQ156" s="47">
        <f>IF(OR(AJ156="",U156=0),"",MIN(IF(AW156="",9.9E+99,AW156),AN156/U156))</f>
        <v/>
      </c>
      <c r="AR156" s="49">
        <f>IF(AQ156="","",AQ156*W156)</f>
        <v/>
      </c>
      <c r="AS156" s="51" t="n"/>
      <c r="AT156" s="43" t="inlineStr">
        <is>
          <t>Grounded</t>
        </is>
      </c>
      <c r="AU156" s="52" t="n"/>
      <c r="AV156" s="52" t="n"/>
      <c r="AW156" s="53" t="n"/>
      <c r="AX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Y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Z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BA156" s="40" t="inlineStr">
        <is>
          <t>handoff/INDIA-ECONOMICS-SIDECAR-V0-2026-06-20.json (andaman)</t>
        </is>
      </c>
      <c r="BB156" s="40" t="inlineStr">
        <is>
          <t>handoff/INDIA-ECONOMICS-SIDECAR-V0-2026-06-20.json (andaman)</t>
        </is>
      </c>
    </row>
    <row r="157">
      <c r="A157" s="38" t="inlineStr">
        <is>
          <t>India Kolkata Rapido</t>
        </is>
      </c>
      <c r="B157" s="38" t="inlineStr">
        <is>
          <t>India</t>
        </is>
      </c>
      <c r="C157" s="39" t="inlineStr">
        <is>
          <t>Fairlie Place Ferry → Bagbazar Ghat</t>
        </is>
      </c>
      <c r="D157" s="38" t="inlineStr">
        <is>
          <t>rapido</t>
        </is>
      </c>
      <c r="E157" s="40" t="inlineStr">
        <is>
          <t>india-kolkata-ola, india-kolkata-rapido, india-kolkata-uber-india</t>
        </is>
      </c>
      <c r="F157" s="41" t="n">
        <v>3</v>
      </c>
      <c r="G157" s="42" t="n">
        <v>1.7</v>
      </c>
      <c r="H157" s="35" t="n">
        <v>18</v>
      </c>
      <c r="I157" s="43" t="n"/>
      <c r="J157" s="43" t="n"/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1600000</v>
      </c>
      <c r="AK157" s="43" t="n"/>
      <c r="AL157" s="43" t="n"/>
      <c r="AM157" s="50" t="n">
        <v>0.1</v>
      </c>
      <c r="AN157" s="45">
        <f>IF(AJ157="","",AJ157*AM157)</f>
        <v/>
      </c>
      <c r="AO157" s="45">
        <f>IF(OR(AJ157="",U157=0),"",MIN(IF(AW157="",9.9E+99,AW157),FLOOR(AN157/U157,1)))</f>
        <v/>
      </c>
      <c r="AP157" s="49">
        <f>IF(AO157="","",AO157*W157)</f>
        <v/>
      </c>
      <c r="AQ157" s="47">
        <f>IF(OR(AJ157="",U157=0),"",MIN(IF(AW157="",9.9E+99,AW157),AN157/U157))</f>
        <v/>
      </c>
      <c r="AR157" s="49">
        <f>IF(AQ157="","",AQ157*W157)</f>
        <v/>
      </c>
      <c r="AS157" s="51" t="n"/>
      <c r="AT157" s="43" t="inlineStr">
        <is>
          <t>Grounded</t>
        </is>
      </c>
      <c r="AU157" s="52" t="n"/>
      <c r="AV157" s="52" t="n"/>
      <c r="AW157" s="53" t="n"/>
      <c r="AX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Y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Z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BA157" s="40" t="inlineStr">
        <is>
          <t xml:space="preserve">[LB-255 PREMIUM RE-FARE: subsidized comparable $2.5 lifted to premium on-demand floor $18.0] </t>
        </is>
      </c>
      <c r="BB157" s="40" t="n"/>
    </row>
    <row r="158">
      <c r="A158" s="38" t="inlineStr">
        <is>
          <t>India Andaman Rapido</t>
        </is>
      </c>
      <c r="B158" s="38" t="inlineStr">
        <is>
          <t>India</t>
        </is>
      </c>
      <c r="C158" s="39" t="inlineStr">
        <is>
          <t>Fisheries Jetty → BookMyBoat Andaman Ferry Booking</t>
        </is>
      </c>
      <c r="D158" s="38" t="inlineStr">
        <is>
          <t>rapido</t>
        </is>
      </c>
      <c r="E158" s="40" t="inlineStr">
        <is>
          <t>india-andaman-ola, india-andaman-rapido</t>
        </is>
      </c>
      <c r="F158" s="41" t="n">
        <v>2</v>
      </c>
      <c r="G158" s="42" t="n">
        <v>1.8</v>
      </c>
      <c r="H158" s="35" t="n">
        <v>22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5000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IF(OR(AJ158="",U158=0),"",MIN(IF(AW158="",9.9E+99,AW158),FLOOR(AN158/U158,1)))</f>
        <v/>
      </c>
      <c r="AP158" s="49">
        <f>IF(AO158="","",AO158*W158)</f>
        <v/>
      </c>
      <c r="AQ158" s="47">
        <f>IF(OR(AJ158="",U158=0),"",MIN(IF(AW158="",9.9E+99,AW158),AN158/U158))</f>
        <v/>
      </c>
      <c r="AR158" s="49">
        <f>IF(AQ158="","",AQ158*W158)</f>
        <v/>
      </c>
      <c r="AS158" s="51" t="n"/>
      <c r="AT158" s="43" t="inlineStr">
        <is>
          <t>Grounded</t>
        </is>
      </c>
      <c r="AU158" s="52" t="n"/>
      <c r="AV158" s="52" t="n"/>
      <c r="AW158" s="53" t="n"/>
      <c r="AX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Y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Z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BA158" s="40" t="inlineStr">
        <is>
          <t>handoff/INDIA-ECONOMICS-SIDECAR-V0-2026-06-20.json (andaman)</t>
        </is>
      </c>
      <c r="BB158" s="40" t="inlineStr">
        <is>
          <t>handoff/INDIA-ECONOMICS-SIDECAR-V0-2026-06-20.json (andaman)</t>
        </is>
      </c>
    </row>
    <row r="159">
      <c r="A159" s="38" t="inlineStr">
        <is>
          <t>India Andaman Rapido</t>
        </is>
      </c>
      <c r="B159" s="38" t="inlineStr">
        <is>
          <t>India</t>
        </is>
      </c>
      <c r="C159" s="39" t="inlineStr">
        <is>
          <t>Fisheries Jetty → Gamefishing Asia</t>
        </is>
      </c>
      <c r="D159" s="38" t="inlineStr">
        <is>
          <t>rapido</t>
        </is>
      </c>
      <c r="E159" s="40" t="inlineStr">
        <is>
          <t>india-andaman-ola, india-andaman-rapido</t>
        </is>
      </c>
      <c r="F159" s="41" t="n">
        <v>2</v>
      </c>
      <c r="G159" s="42" t="n">
        <v>2</v>
      </c>
      <c r="H159" s="35" t="n">
        <v>22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5000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IF(OR(AJ159="",U159=0),"",MIN(IF(AW159="",9.9E+99,AW159),FLOOR(AN159/U159,1)))</f>
        <v/>
      </c>
      <c r="AP159" s="49">
        <f>IF(AO159="","",AO159*W159)</f>
        <v/>
      </c>
      <c r="AQ159" s="47">
        <f>IF(OR(AJ159="",U159=0),"",MIN(IF(AW159="",9.9E+99,AW159),AN159/U159))</f>
        <v/>
      </c>
      <c r="AR159" s="49">
        <f>IF(AQ159="","",AQ159*W159)</f>
        <v/>
      </c>
      <c r="AS159" s="51" t="n"/>
      <c r="AT159" s="43" t="inlineStr">
        <is>
          <t>Grounded</t>
        </is>
      </c>
      <c r="AU159" s="52" t="n"/>
      <c r="AV159" s="52" t="n"/>
      <c r="AW159" s="53" t="n"/>
      <c r="AX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Y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Z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BA159" s="40" t="inlineStr">
        <is>
          <t>handoff/INDIA-ECONOMICS-SIDECAR-V0-2026-06-20.json (andaman)</t>
        </is>
      </c>
      <c r="BB159" s="40" t="inlineStr">
        <is>
          <t>handoff/INDIA-ECONOMICS-SIDECAR-V0-2026-06-20.json (andaman)</t>
        </is>
      </c>
    </row>
    <row r="160">
      <c r="A160" s="38" t="inlineStr">
        <is>
          <t>India Andaman Rapido</t>
        </is>
      </c>
      <c r="B160" s="38" t="inlineStr">
        <is>
          <t>India</t>
        </is>
      </c>
      <c r="C160" s="39" t="inlineStr">
        <is>
          <t>Panighat Ferry Jetty → Chatham Harbour</t>
        </is>
      </c>
      <c r="D160" s="38" t="inlineStr">
        <is>
          <t>rapido</t>
        </is>
      </c>
      <c r="E160" s="40" t="inlineStr">
        <is>
          <t>india-andaman-ola, india-andaman-rapido</t>
        </is>
      </c>
      <c r="F160" s="41" t="n">
        <v>2</v>
      </c>
      <c r="G160" s="42" t="n">
        <v>2</v>
      </c>
      <c r="H160" s="35" t="n">
        <v>22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IF(OR(AJ160="",U160=0),"",MIN(IF(AW160="",9.9E+99,AW160),FLOOR(AN160/U160,1)))</f>
        <v/>
      </c>
      <c r="AP160" s="49">
        <f>IF(AO160="","",AO160*W160)</f>
        <v/>
      </c>
      <c r="AQ160" s="47">
        <f>IF(OR(AJ160="",U160=0),"",MIN(IF(AW160="",9.9E+99,AW160),AN160/U160))</f>
        <v/>
      </c>
      <c r="AR160" s="49">
        <f>IF(AQ160="","",AQ160*W160)</f>
        <v/>
      </c>
      <c r="AS160" s="51" t="n"/>
      <c r="AT160" s="43" t="inlineStr">
        <is>
          <t>Grounded</t>
        </is>
      </c>
      <c r="AU160" s="52" t="n"/>
      <c r="AV160" s="52" t="n"/>
      <c r="AW160" s="53" t="n"/>
      <c r="AX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Y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Z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BA160" s="40" t="inlineStr">
        <is>
          <t>handoff/INDIA-ECONOMICS-SIDECAR-V0-2026-06-20.json (andaman)</t>
        </is>
      </c>
      <c r="BB160" s="40" t="inlineStr">
        <is>
          <t>handoff/INDIA-ECONOMICS-SIDECAR-V0-2026-06-20.json (andaman)</t>
        </is>
      </c>
    </row>
    <row r="161">
      <c r="A161" s="38" t="inlineStr">
        <is>
          <t>India Goa Rapido</t>
        </is>
      </c>
      <c r="B161" s="38" t="inlineStr">
        <is>
          <t>India</t>
        </is>
      </c>
      <c r="C161" s="39" t="inlineStr">
        <is>
          <t>Panaji Jetty → Goa</t>
        </is>
      </c>
      <c r="D161" s="38" t="inlineStr">
        <is>
          <t>rapido</t>
        </is>
      </c>
      <c r="E161" s="40" t="inlineStr">
        <is>
          <t>india-goa-ola, india-goa-rapido</t>
        </is>
      </c>
      <c r="F161" s="41" t="n">
        <v>2</v>
      </c>
      <c r="G161" s="42" t="n">
        <v>2.1</v>
      </c>
      <c r="H161" s="35" t="n">
        <v>8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11250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IF(OR(AJ161="",U161=0),"",MIN(IF(AW161="",9.9E+99,AW161),FLOOR(AN161/U161,1)))</f>
        <v/>
      </c>
      <c r="AP161" s="49">
        <f>IF(AO161="","",AO161*W161)</f>
        <v/>
      </c>
      <c r="AQ161" s="47">
        <f>IF(OR(AJ161="",U161=0),"",MIN(IF(AW161="",9.9E+99,AW161),AN161/U161))</f>
        <v/>
      </c>
      <c r="AR161" s="49">
        <f>IF(AQ161="","",AQ161*W161)</f>
        <v/>
      </c>
      <c r="AS161" s="51" t="n"/>
      <c r="AT161" s="43" t="inlineStr">
        <is>
          <t>Grounded</t>
        </is>
      </c>
      <c r="AU161" s="52" t="n"/>
      <c r="AV161" s="52" t="n"/>
      <c r="AW161" s="53" t="n"/>
      <c r="AX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Y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Z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BA161" s="40" t="inlineStr">
        <is>
          <t>handoff/INDIA-ECONOMICS-SIDECAR-V0-2026-06-20.json (goa)</t>
        </is>
      </c>
      <c r="BB161" s="40" t="inlineStr">
        <is>
          <t>handoff/INDIA-ECONOMICS-SIDECAR-V0-2026-06-20.json (goa)</t>
        </is>
      </c>
    </row>
    <row r="162">
      <c r="A162" s="38" t="inlineStr">
        <is>
          <t>India Kerala Rapido</t>
        </is>
      </c>
      <c r="B162" s="38" t="inlineStr">
        <is>
          <t>India</t>
        </is>
      </c>
      <c r="C162" s="39" t="inlineStr">
        <is>
          <t>Kochi International Marina KTDC → Martins Harbour</t>
        </is>
      </c>
      <c r="D162" s="38" t="inlineStr">
        <is>
          <t>rapido</t>
        </is>
      </c>
      <c r="E162" s="40" t="inlineStr">
        <is>
          <t>india-kerala-ola, india-kerala-rapido</t>
        </is>
      </c>
      <c r="F162" s="41" t="n">
        <v>2</v>
      </c>
      <c r="G162" s="42" t="n">
        <v>2.1</v>
      </c>
      <c r="H162" s="35" t="n">
        <v>18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29166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IF(OR(AJ162="",U162=0),"",MIN(IF(AW162="",9.9E+99,AW162),FLOOR(AN162/U162,1)))</f>
        <v/>
      </c>
      <c r="AP162" s="49">
        <f>IF(AO162="","",AO162*W162)</f>
        <v/>
      </c>
      <c r="AQ162" s="47">
        <f>IF(OR(AJ162="",U162=0),"",MIN(IF(AW162="",9.9E+99,AW162),AN162/U162))</f>
        <v/>
      </c>
      <c r="AR162" s="49">
        <f>IF(AQ162="","",AQ162*W162)</f>
        <v/>
      </c>
      <c r="AS162" s="51" t="n"/>
      <c r="AT162" s="43" t="inlineStr">
        <is>
          <t>Grounded</t>
        </is>
      </c>
      <c r="AU162" s="52" t="n"/>
      <c r="AV162" s="52" t="n"/>
      <c r="AW162" s="53" t="n"/>
      <c r="AX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Y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Z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BA162" s="40" t="inlineStr">
        <is>
          <t>[LB-255 PREMIUM RE-FARE: subsidized comparable $3.5 lifted to premium on-demand floor $18.0] handoff/INDIA-ECONOMICS-SIDECAR-V0-2026-06-20.json (kerala)</t>
        </is>
      </c>
      <c r="BB162" s="40" t="inlineStr">
        <is>
          <t>handoff/INDIA-ECONOMICS-SIDECAR-V0-2026-06-20.json (kerala)</t>
        </is>
      </c>
    </row>
    <row r="163">
      <c r="A163" s="38" t="inlineStr">
        <is>
          <t>India Kerala Rapido</t>
        </is>
      </c>
      <c r="B163" s="38" t="inlineStr">
        <is>
          <t>India</t>
        </is>
      </c>
      <c r="C163" s="39" t="inlineStr">
        <is>
          <t>Marina One, Kochi → Harbour Roof Garden</t>
        </is>
      </c>
      <c r="D163" s="38" t="inlineStr">
        <is>
          <t>rapido</t>
        </is>
      </c>
      <c r="E163" s="40" t="inlineStr">
        <is>
          <t>india-kerala-ola, india-kerala-rapido</t>
        </is>
      </c>
      <c r="F163" s="41" t="n">
        <v>2</v>
      </c>
      <c r="G163" s="42" t="n">
        <v>2.1</v>
      </c>
      <c r="H163" s="35" t="n">
        <v>18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29166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IF(OR(AJ163="",U163=0),"",MIN(IF(AW163="",9.9E+99,AW163),FLOOR(AN163/U163,1)))</f>
        <v/>
      </c>
      <c r="AP163" s="49">
        <f>IF(AO163="","",AO163*W163)</f>
        <v/>
      </c>
      <c r="AQ163" s="47">
        <f>IF(OR(AJ163="",U163=0),"",MIN(IF(AW163="",9.9E+99,AW163),AN163/U163))</f>
        <v/>
      </c>
      <c r="AR163" s="49">
        <f>IF(AQ163="","",AQ163*W163)</f>
        <v/>
      </c>
      <c r="AS163" s="51" t="n"/>
      <c r="AT163" s="43" t="inlineStr">
        <is>
          <t>Grounded</t>
        </is>
      </c>
      <c r="AU163" s="52" t="n"/>
      <c r="AV163" s="52" t="n"/>
      <c r="AW163" s="53" t="n"/>
      <c r="AX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Y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Z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BA163" s="40" t="inlineStr">
        <is>
          <t>[LB-255 PREMIUM RE-FARE: subsidized comparable $3.5 lifted to premium on-demand floor $18.0] handoff/INDIA-ECONOMICS-SIDECAR-V0-2026-06-20.json (kerala)</t>
        </is>
      </c>
      <c r="BB163" s="40" t="inlineStr">
        <is>
          <t>handoff/INDIA-ECONOMICS-SIDECAR-V0-2026-06-20.json (kerala)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Water Wolf Speed Boat - Boating Kadamakudy → Ferry Terminal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2.1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IF(OR(AJ164="",U164=0),"",MIN(IF(AW164="",9.9E+99,AW164),FLOOR(AN164/U164,1)))</f>
        <v/>
      </c>
      <c r="AP164" s="49">
        <f>IF(AO164="","",AO164*W164)</f>
        <v/>
      </c>
      <c r="AQ164" s="47">
        <f>IF(OR(AJ164="",U164=0),"",MIN(IF(AW164="",9.9E+99,AW164),AN164/U164))</f>
        <v/>
      </c>
      <c r="AR164" s="49">
        <f>IF(AQ164="","",AQ164*W164)</f>
        <v/>
      </c>
      <c r="AS164" s="51" t="n"/>
      <c r="AT164" s="43" t="inlineStr">
        <is>
          <t>Grounded</t>
        </is>
      </c>
      <c r="AU164" s="52" t="n"/>
      <c r="AV164" s="52" t="n"/>
      <c r="AW164" s="53" t="n"/>
      <c r="AX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Y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Z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BA164" s="40" t="inlineStr">
        <is>
          <t>[LB-255 PREMIUM RE-FARE: subsidized comparable $3.5 lifted to premium on-demand floor $18.0] handoff/INDIA-ECONOMICS-SIDECAR-V0-2026-06-20.json (kerala)</t>
        </is>
      </c>
      <c r="BB164" s="40" t="inlineStr">
        <is>
          <t>handoff/INDIA-ECONOMICS-SIDECAR-V0-2026-06-20.json (kerala)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Andaman → Game Fishing In Andaman | Bite Me Charter | Best Sport fishing in Andaman Islands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2</v>
      </c>
      <c r="G165" s="42" t="n">
        <v>2.1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5000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IF(OR(AJ165="",U165=0),"",MIN(IF(AW165="",9.9E+99,AW165),FLOOR(AN165/U165,1)))</f>
        <v/>
      </c>
      <c r="AP165" s="49">
        <f>IF(AO165="","",AO165*W165)</f>
        <v/>
      </c>
      <c r="AQ165" s="47">
        <f>IF(OR(AJ165="",U165=0),"",MIN(IF(AW165="",9.9E+99,AW165),AN165/U165))</f>
        <v/>
      </c>
      <c r="AR165" s="49">
        <f>IF(AQ165="","",AQ165*W165)</f>
        <v/>
      </c>
      <c r="AS165" s="51" t="n"/>
      <c r="AT165" s="43" t="inlineStr">
        <is>
          <t>Grounded</t>
        </is>
      </c>
      <c r="AU165" s="52" t="n"/>
      <c r="AV165" s="52" t="n"/>
      <c r="AW165" s="53" t="n"/>
      <c r="AX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Y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Z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BA165" s="40" t="inlineStr">
        <is>
          <t>handoff/INDIA-ECONOMICS-SIDECAR-V0-2026-06-20.json (andaman)</t>
        </is>
      </c>
      <c r="BB165" s="40" t="inlineStr">
        <is>
          <t>handoff/INDIA-ECONOMICS-SIDECAR-V0-2026-06-20.json (andaman)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Game Fishing In Andaman | Bite Me Charter | Best Sport fishing in Andaman Islands → Junglighat Jetty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2.1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IF(OR(AJ166="",U166=0),"",MIN(IF(AW166="",9.9E+99,AW166),FLOOR(AN166/U166,1)))</f>
        <v/>
      </c>
      <c r="AP166" s="49">
        <f>IF(AO166="","",AO166*W166)</f>
        <v/>
      </c>
      <c r="AQ166" s="47">
        <f>IF(OR(AJ166="",U166=0),"",MIN(IF(AW166="",9.9E+99,AW166),AN166/U166))</f>
        <v/>
      </c>
      <c r="AR166" s="49">
        <f>IF(AQ166="","",AQ166*W166)</f>
        <v/>
      </c>
      <c r="AS166" s="51" t="n"/>
      <c r="AT166" s="43" t="inlineStr">
        <is>
          <t>Grounded</t>
        </is>
      </c>
      <c r="AU166" s="52" t="n"/>
      <c r="AV166" s="52" t="n"/>
      <c r="AW166" s="53" t="n"/>
      <c r="AX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Y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Z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BA166" s="40" t="inlineStr">
        <is>
          <t>handoff/INDIA-ECONOMICS-SIDECAR-V0-2026-06-20.json (andaman)</t>
        </is>
      </c>
      <c r="BB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Andaman → Marina Park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2.2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IF(OR(AJ167="",U167=0),"",MIN(IF(AW167="",9.9E+99,AW167),FLOOR(AN167/U167,1)))</f>
        <v/>
      </c>
      <c r="AP167" s="49">
        <f>IF(AO167="","",AO167*W167)</f>
        <v/>
      </c>
      <c r="AQ167" s="47">
        <f>IF(OR(AJ167="",U167=0),"",MIN(IF(AW167="",9.9E+99,AW167),AN167/U167))</f>
        <v/>
      </c>
      <c r="AR167" s="49">
        <f>IF(AQ167="","",AQ167*W167)</f>
        <v/>
      </c>
      <c r="AS167" s="51" t="n"/>
      <c r="AT167" s="43" t="inlineStr">
        <is>
          <t>Grounded</t>
        </is>
      </c>
      <c r="AU167" s="52" t="n"/>
      <c r="AV167" s="52" t="n"/>
      <c r="AW167" s="53" t="n"/>
      <c r="AX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Y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Z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BA167" s="40" t="inlineStr">
        <is>
          <t>handoff/INDIA-ECONOMICS-SIDECAR-V0-2026-06-20.json (andaman)</t>
        </is>
      </c>
      <c r="BB167" s="40" t="inlineStr">
        <is>
          <t>handoff/INDIA-ECONOMICS-SIDECAR-V0-2026-06-20.json (andaman)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Panighat Ferry Jetty → Chatham Jetty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2.2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IF(OR(AJ168="",U168=0),"",MIN(IF(AW168="",9.9E+99,AW168),FLOOR(AN168/U168,1)))</f>
        <v/>
      </c>
      <c r="AP168" s="49">
        <f>IF(AO168="","",AO168*W168)</f>
        <v/>
      </c>
      <c r="AQ168" s="47">
        <f>IF(OR(AJ168="",U168=0),"",MIN(IF(AW168="",9.9E+99,AW168),AN168/U168))</f>
        <v/>
      </c>
      <c r="AR168" s="49">
        <f>IF(AQ168="","",AQ168*W168)</f>
        <v/>
      </c>
      <c r="AS168" s="51" t="n"/>
      <c r="AT168" s="43" t="inlineStr">
        <is>
          <t>Grounded</t>
        </is>
      </c>
      <c r="AU168" s="52" t="n"/>
      <c r="AV168" s="52" t="n"/>
      <c r="AW168" s="53" t="n"/>
      <c r="AX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Y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Z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BA168" s="40" t="inlineStr">
        <is>
          <t>handoff/INDIA-ECONOMICS-SIDECAR-V0-2026-06-20.json (andaman)</t>
        </is>
      </c>
      <c r="BB168" s="40" t="inlineStr">
        <is>
          <t>handoff/INDIA-ECONOMICS-SIDECAR-V0-2026-06-20.json (andaman)</t>
        </is>
      </c>
    </row>
    <row r="169">
      <c r="A169" s="38" t="inlineStr">
        <is>
          <t>India Goa Rapido</t>
        </is>
      </c>
      <c r="B169" s="38" t="inlineStr">
        <is>
          <t>India</t>
        </is>
      </c>
      <c r="C169" s="39" t="inlineStr">
        <is>
          <t>Chorao Ferry Terminal → Piedade Ferry Terminal</t>
        </is>
      </c>
      <c r="D169" s="38" t="inlineStr">
        <is>
          <t>rapido</t>
        </is>
      </c>
      <c r="E169" s="40" t="inlineStr">
        <is>
          <t>india-goa-ola, india-goa-rapido</t>
        </is>
      </c>
      <c r="F169" s="41" t="n">
        <v>2</v>
      </c>
      <c r="G169" s="42" t="n">
        <v>2.4</v>
      </c>
      <c r="H169" s="35" t="n">
        <v>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11250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IF(OR(AJ169="",U169=0),"",MIN(IF(AW169="",9.9E+99,AW169),FLOOR(AN169/U169,1)))</f>
        <v/>
      </c>
      <c r="AP169" s="49">
        <f>IF(AO169="","",AO169*W169)</f>
        <v/>
      </c>
      <c r="AQ169" s="47">
        <f>IF(OR(AJ169="",U169=0),"",MIN(IF(AW169="",9.9E+99,AW169),AN169/U169))</f>
        <v/>
      </c>
      <c r="AR169" s="49">
        <f>IF(AQ169="","",AQ169*W169)</f>
        <v/>
      </c>
      <c r="AS169" s="51" t="n"/>
      <c r="AT169" s="43" t="inlineStr">
        <is>
          <t>Grounded</t>
        </is>
      </c>
      <c r="AU169" s="52" t="n"/>
      <c r="AV169" s="52" t="n"/>
      <c r="AW169" s="53" t="n"/>
      <c r="AX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Y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Z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BA169" s="40" t="inlineStr">
        <is>
          <t>handoff/INDIA-ECONOMICS-SIDECAR-V0-2026-06-20.json (goa)</t>
        </is>
      </c>
      <c r="BB169" s="40" t="inlineStr">
        <is>
          <t>handoff/INDIA-ECONOMICS-SIDECAR-V0-2026-06-20.json (goa)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Andaman → Fisheries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2.4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IF(OR(AJ170="",U170=0),"",MIN(IF(AW170="",9.9E+99,AW170),FLOOR(AN170/U170,1)))</f>
        <v/>
      </c>
      <c r="AP170" s="49">
        <f>IF(AO170="","",AO170*W170)</f>
        <v/>
      </c>
      <c r="AQ170" s="47">
        <f>IF(OR(AJ170="",U170=0),"",MIN(IF(AW170="",9.9E+99,AW170),AN170/U170))</f>
        <v/>
      </c>
      <c r="AR170" s="49">
        <f>IF(AQ170="","",AQ170*W170)</f>
        <v/>
      </c>
      <c r="AS170" s="51" t="n"/>
      <c r="AT170" s="43" t="inlineStr">
        <is>
          <t>Grounded</t>
        </is>
      </c>
      <c r="AU170" s="52" t="n"/>
      <c r="AV170" s="52" t="n"/>
      <c r="AW170" s="53" t="n"/>
      <c r="AX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Y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Z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BA170" s="40" t="inlineStr">
        <is>
          <t>handoff/INDIA-ECONOMICS-SIDECAR-V0-2026-06-20.json (andaman)</t>
        </is>
      </c>
      <c r="BB170" s="40" t="inlineStr">
        <is>
          <t>handoff/INDIA-ECONOMICS-SIDECAR-V0-2026-06-20.json (andaman)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Chatham Jetty → Chatham Harbour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2.4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5000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IF(OR(AJ171="",U171=0),"",MIN(IF(AW171="",9.9E+99,AW171),FLOOR(AN171/U171,1)))</f>
        <v/>
      </c>
      <c r="AP171" s="49">
        <f>IF(AO171="","",AO171*W171)</f>
        <v/>
      </c>
      <c r="AQ171" s="47">
        <f>IF(OR(AJ171="",U171=0),"",MIN(IF(AW171="",9.9E+99,AW171),AN171/U171))</f>
        <v/>
      </c>
      <c r="AR171" s="49">
        <f>IF(AQ171="","",AQ171*W171)</f>
        <v/>
      </c>
      <c r="AS171" s="51" t="n"/>
      <c r="AT171" s="43" t="inlineStr">
        <is>
          <t>Grounded</t>
        </is>
      </c>
      <c r="AU171" s="52" t="n"/>
      <c r="AV171" s="52" t="n"/>
      <c r="AW171" s="53" t="n"/>
      <c r="AX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Y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Z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BA171" s="40" t="inlineStr">
        <is>
          <t>handoff/INDIA-ECONOMICS-SIDECAR-V0-2026-06-20.json (andaman)</t>
        </is>
      </c>
      <c r="BB171" s="40" t="inlineStr">
        <is>
          <t>handoff/INDIA-ECONOMICS-SIDECAR-V0-2026-06-20.json (andaman)</t>
        </is>
      </c>
    </row>
    <row r="172">
      <c r="A172" s="38" t="inlineStr">
        <is>
          <t>India Mumbai Rapido</t>
        </is>
      </c>
      <c r="B172" s="38" t="inlineStr">
        <is>
          <t>India</t>
        </is>
      </c>
      <c r="C172" s="39" t="inlineStr">
        <is>
          <t>Bhaucha Dhakka → Cordelia Cruises</t>
        </is>
      </c>
      <c r="D172" s="38" t="inlineStr">
        <is>
          <t>rapido</t>
        </is>
      </c>
      <c r="E172" s="40" t="inlineStr">
        <is>
          <t>india-mumbai-ola, india-mumbai-rapido</t>
        </is>
      </c>
      <c r="F172" s="41" t="n">
        <v>2</v>
      </c>
      <c r="G172" s="42" t="n">
        <v>2.5</v>
      </c>
      <c r="H172" s="35" t="n">
        <v>18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5000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IF(OR(AJ172="",U172=0),"",MIN(IF(AW172="",9.9E+99,AW172),FLOOR(AN172/U172,1)))</f>
        <v/>
      </c>
      <c r="AP172" s="49">
        <f>IF(AO172="","",AO172*W172)</f>
        <v/>
      </c>
      <c r="AQ172" s="47">
        <f>IF(OR(AJ172="",U172=0),"",MIN(IF(AW172="",9.9E+99,AW172),AN172/U172))</f>
        <v/>
      </c>
      <c r="AR172" s="49">
        <f>IF(AQ172="","",AQ172*W172)</f>
        <v/>
      </c>
      <c r="AS172" s="51" t="n"/>
      <c r="AT172" s="43" t="inlineStr">
        <is>
          <t>Grounded</t>
        </is>
      </c>
      <c r="AU172" s="52" t="n"/>
      <c r="AV172" s="52" t="n"/>
      <c r="AW172" s="53" t="n"/>
      <c r="AX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Y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Z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BA172" s="40" t="inlineStr">
        <is>
          <t>[LB-255 PREMIUM RE-FARE: subsidized comparable $5.5 lifted to premium on-demand floor $18.0] handoff/INDIA-ECONOMICS-SIDECAR-V0-2026-06-20.json (mumbai)</t>
        </is>
      </c>
      <c r="BB172" s="40" t="inlineStr">
        <is>
          <t>handoff/INDIA-ECONOMICS-SIDECAR-V0-2026-06-20.json (mumbai)</t>
        </is>
      </c>
    </row>
    <row r="173">
      <c r="A173" s="38" t="inlineStr">
        <is>
          <t>India Mumbai Rapido</t>
        </is>
      </c>
      <c r="B173" s="38" t="inlineStr">
        <is>
          <t>India</t>
        </is>
      </c>
      <c r="C173" s="39" t="inlineStr">
        <is>
          <t>Bhaucha Dhakka Ferry Boat Service → Cordelia Cruises</t>
        </is>
      </c>
      <c r="D173" s="38" t="inlineStr">
        <is>
          <t>rapido</t>
        </is>
      </c>
      <c r="E173" s="40" t="inlineStr">
        <is>
          <t>india-mumbai-ola, india-mumbai-rapido</t>
        </is>
      </c>
      <c r="F173" s="41" t="n">
        <v>2</v>
      </c>
      <c r="G173" s="42" t="n">
        <v>2.5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5000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IF(OR(AJ173="",U173=0),"",MIN(IF(AW173="",9.9E+99,AW173),FLOOR(AN173/U173,1)))</f>
        <v/>
      </c>
      <c r="AP173" s="49">
        <f>IF(AO173="","",AO173*W173)</f>
        <v/>
      </c>
      <c r="AQ173" s="47">
        <f>IF(OR(AJ173="",U173=0),"",MIN(IF(AW173="",9.9E+99,AW173),AN173/U173))</f>
        <v/>
      </c>
      <c r="AR173" s="49">
        <f>IF(AQ173="","",AQ173*W173)</f>
        <v/>
      </c>
      <c r="AS173" s="51" t="n"/>
      <c r="AT173" s="43" t="inlineStr">
        <is>
          <t>Grounded</t>
        </is>
      </c>
      <c r="AU173" s="52" t="n"/>
      <c r="AV173" s="52" t="n"/>
      <c r="AW173" s="53" t="n"/>
      <c r="AX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Y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Z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BA173" s="40" t="inlineStr">
        <is>
          <t>[LB-255 PREMIUM RE-FARE: subsidized comparable $5.5 lifted to premium on-demand floor $18.0] handoff/INDIA-ECONOMICS-SIDECAR-V0-2026-06-20.json (mumbai)</t>
        </is>
      </c>
      <c r="BB173" s="40" t="inlineStr">
        <is>
          <t>handoff/INDIA-ECONOMICS-SIDECAR-V0-2026-06-20.json (mumbai)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Gamefishing Asia → Haddo Jetty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2.5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5000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IF(OR(AJ174="",U174=0),"",MIN(IF(AW174="",9.9E+99,AW174),FLOOR(AN174/U174,1)))</f>
        <v/>
      </c>
      <c r="AP174" s="49">
        <f>IF(AO174="","",AO174*W174)</f>
        <v/>
      </c>
      <c r="AQ174" s="47">
        <f>IF(OR(AJ174="",U174=0),"",MIN(IF(AW174="",9.9E+99,AW174),AN174/U174))</f>
        <v/>
      </c>
      <c r="AR174" s="49">
        <f>IF(AQ174="","",AQ174*W174)</f>
        <v/>
      </c>
      <c r="AS174" s="51" t="n"/>
      <c r="AT174" s="43" t="inlineStr">
        <is>
          <t>Grounded</t>
        </is>
      </c>
      <c r="AU174" s="52" t="n"/>
      <c r="AV174" s="52" t="n"/>
      <c r="AW174" s="53" t="n"/>
      <c r="AX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Y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Z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BA174" s="40" t="inlineStr">
        <is>
          <t>handoff/INDIA-ECONOMICS-SIDECAR-V0-2026-06-20.json (andaman)</t>
        </is>
      </c>
      <c r="BB174" s="40" t="inlineStr">
        <is>
          <t>handoff/INDIA-ECONOMICS-SIDECAR-V0-2026-06-20.json (andaman)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Haddo Jetty → Chatham Harbour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2.5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5000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IF(OR(AJ175="",U175=0),"",MIN(IF(AW175="",9.9E+99,AW175),FLOOR(AN175/U175,1)))</f>
        <v/>
      </c>
      <c r="AP175" s="49">
        <f>IF(AO175="","",AO175*W175)</f>
        <v/>
      </c>
      <c r="AQ175" s="47">
        <f>IF(OR(AJ175="",U175=0),"",MIN(IF(AW175="",9.9E+99,AW175),AN175/U175))</f>
        <v/>
      </c>
      <c r="AR175" s="49">
        <f>IF(AQ175="","",AQ175*W175)</f>
        <v/>
      </c>
      <c r="AS175" s="51" t="n"/>
      <c r="AT175" s="43" t="inlineStr">
        <is>
          <t>Grounded</t>
        </is>
      </c>
      <c r="AU175" s="52" t="n"/>
      <c r="AV175" s="52" t="n"/>
      <c r="AW175" s="53" t="n"/>
      <c r="AX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Y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Z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BA175" s="40" t="inlineStr">
        <is>
          <t>handoff/INDIA-ECONOMICS-SIDECAR-V0-2026-06-20.json (andaman)</t>
        </is>
      </c>
      <c r="BB175" s="40" t="inlineStr">
        <is>
          <t>handoff/INDIA-ECONOMICS-SIDECAR-V0-2026-06-20.json (andaman)</t>
        </is>
      </c>
    </row>
    <row r="176">
      <c r="A176" s="38" t="inlineStr">
        <is>
          <t>India Mumbai Rapido</t>
        </is>
      </c>
      <c r="B176" s="38" t="inlineStr">
        <is>
          <t>India</t>
        </is>
      </c>
      <c r="C176" s="39" t="inlineStr">
        <is>
          <t>Battle Harbour Design Studio → Cordelia Cruises</t>
        </is>
      </c>
      <c r="D176" s="38" t="inlineStr">
        <is>
          <t>rapido</t>
        </is>
      </c>
      <c r="E176" s="40" t="inlineStr">
        <is>
          <t>india-mumbai-ola, india-mumbai-rapido</t>
        </is>
      </c>
      <c r="F176" s="41" t="n">
        <v>2</v>
      </c>
      <c r="G176" s="42" t="n">
        <v>2.6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5000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IF(OR(AJ176="",U176=0),"",MIN(IF(AW176="",9.9E+99,AW176),FLOOR(AN176/U176,1)))</f>
        <v/>
      </c>
      <c r="AP176" s="49">
        <f>IF(AO176="","",AO176*W176)</f>
        <v/>
      </c>
      <c r="AQ176" s="47">
        <f>IF(OR(AJ176="",U176=0),"",MIN(IF(AW176="",9.9E+99,AW176),AN176/U176))</f>
        <v/>
      </c>
      <c r="AR176" s="49">
        <f>IF(AQ176="","",AQ176*W176)</f>
        <v/>
      </c>
      <c r="AS176" s="51" t="n"/>
      <c r="AT176" s="43" t="inlineStr">
        <is>
          <t>Grounded</t>
        </is>
      </c>
      <c r="AU176" s="52" t="n"/>
      <c r="AV176" s="52" t="n"/>
      <c r="AW176" s="53" t="n"/>
      <c r="AX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Y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Z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BA176" s="40" t="inlineStr">
        <is>
          <t>[LB-255 PREMIUM RE-FARE: subsidized comparable $5.5 lifted to premium on-demand floor $18.0] handoff/INDIA-ECONOMICS-SIDECAR-V0-2026-06-20.json (mumbai)</t>
        </is>
      </c>
      <c r="BB176" s="40" t="inlineStr">
        <is>
          <t>handoff/INDIA-ECONOMICS-SIDECAR-V0-2026-06-20.json (mumbai)</t>
        </is>
      </c>
    </row>
    <row r="177">
      <c r="A177" s="38" t="inlineStr">
        <is>
          <t>India Mumbai Rapido</t>
        </is>
      </c>
      <c r="B177" s="38" t="inlineStr">
        <is>
          <t>India</t>
        </is>
      </c>
      <c r="C177" s="39" t="inlineStr">
        <is>
          <t>Bombay Harbour → Mora</t>
        </is>
      </c>
      <c r="D177" s="38" t="inlineStr">
        <is>
          <t>rapido</t>
        </is>
      </c>
      <c r="E177" s="40" t="inlineStr">
        <is>
          <t>india-mumbai-ola, india-mumbai-rapido</t>
        </is>
      </c>
      <c r="F177" s="41" t="n">
        <v>2</v>
      </c>
      <c r="G177" s="42" t="n">
        <v>2.6</v>
      </c>
      <c r="H177" s="35" t="n">
        <v>18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IF(OR(AJ177="",U177=0),"",MIN(IF(AW177="",9.9E+99,AW177),FLOOR(AN177/U177,1)))</f>
        <v/>
      </c>
      <c r="AP177" s="49">
        <f>IF(AO177="","",AO177*W177)</f>
        <v/>
      </c>
      <c r="AQ177" s="47">
        <f>IF(OR(AJ177="",U177=0),"",MIN(IF(AW177="",9.9E+99,AW177),AN177/U177))</f>
        <v/>
      </c>
      <c r="AR177" s="49">
        <f>IF(AQ177="","",AQ177*W177)</f>
        <v/>
      </c>
      <c r="AS177" s="51" t="n"/>
      <c r="AT177" s="43" t="inlineStr">
        <is>
          <t>Grounded</t>
        </is>
      </c>
      <c r="AU177" s="52" t="n"/>
      <c r="AV177" s="52" t="n"/>
      <c r="AW177" s="53" t="n"/>
      <c r="AX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Y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Z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BA177" s="40" t="inlineStr">
        <is>
          <t>[LB-255 PREMIUM RE-FARE: subsidized comparable $5.5 lifted to premium on-demand floor $18.0] handoff/INDIA-ECONOMICS-SIDECAR-V0-2026-06-20.json (mumbai)</t>
        </is>
      </c>
      <c r="BB177" s="40" t="inlineStr">
        <is>
          <t>handoff/INDIA-ECONOMICS-SIDECAR-V0-2026-06-20.json (mumbai)</t>
        </is>
      </c>
    </row>
    <row r="178">
      <c r="A178" s="38" t="inlineStr">
        <is>
          <t>India Kerala Rapido</t>
        </is>
      </c>
      <c r="B178" s="38" t="inlineStr">
        <is>
          <t>India</t>
        </is>
      </c>
      <c r="C178" s="39" t="inlineStr">
        <is>
          <t>Palette MG Road Ernakulam formerly Harbour View Residency → BLUEMARINE Backwaters</t>
        </is>
      </c>
      <c r="D178" s="38" t="inlineStr">
        <is>
          <t>rapido</t>
        </is>
      </c>
      <c r="E178" s="40" t="inlineStr">
        <is>
          <t>india-kerala-ola, india-kerala-rapido</t>
        </is>
      </c>
      <c r="F178" s="41" t="n">
        <v>2</v>
      </c>
      <c r="G178" s="42" t="n">
        <v>2.6</v>
      </c>
      <c r="H178" s="35" t="n">
        <v>18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29166</v>
      </c>
      <c r="AK178" s="43" t="inlineStr">
        <is>
          <t>T3</t>
        </is>
      </c>
      <c r="AL178" s="43" t="inlineStr">
        <is>
          <t>med-low</t>
        </is>
      </c>
      <c r="AM178" s="50" t="n">
        <v>0.1</v>
      </c>
      <c r="AN178" s="45">
        <f>IF(AJ178="","",AJ178*AM178)</f>
        <v/>
      </c>
      <c r="AO178" s="45">
        <f>IF(OR(AJ178="",U178=0),"",MIN(IF(AW178="",9.9E+99,AW178),FLOOR(AN178/U178,1)))</f>
        <v/>
      </c>
      <c r="AP178" s="49">
        <f>IF(AO178="","",AO178*W178)</f>
        <v/>
      </c>
      <c r="AQ178" s="47">
        <f>IF(OR(AJ178="",U178=0),"",MIN(IF(AW178="",9.9E+99,AW178),AN178/U178))</f>
        <v/>
      </c>
      <c r="AR178" s="49">
        <f>IF(AQ178="","",AQ178*W178)</f>
        <v/>
      </c>
      <c r="AS178" s="51" t="n"/>
      <c r="AT178" s="43" t="inlineStr">
        <is>
          <t>Grounded</t>
        </is>
      </c>
      <c r="AU178" s="52" t="n"/>
      <c r="AV178" s="52" t="n"/>
      <c r="AW178" s="53" t="n"/>
      <c r="AX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Y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Z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BA178" s="40" t="inlineStr">
        <is>
          <t>[LB-255 PREMIUM RE-FARE: subsidized comparable $3.5 lifted to premium on-demand floor $18.0] handoff/INDIA-ECONOMICS-SIDECAR-V0-2026-06-20.json (kerala)</t>
        </is>
      </c>
      <c r="BB178" s="40" t="inlineStr">
        <is>
          <t>handoff/INDIA-ECONOMICS-SIDECAR-V0-2026-06-20.json (kerala)</t>
        </is>
      </c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Haddo Jetty → Chatham Jetty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2.6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5000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IF(OR(AJ179="",U179=0),"",MIN(IF(AW179="",9.9E+99,AW179),FLOOR(AN179/U179,1)))</f>
        <v/>
      </c>
      <c r="AP179" s="49">
        <f>IF(AO179="","",AO179*W179)</f>
        <v/>
      </c>
      <c r="AQ179" s="47">
        <f>IF(OR(AJ179="",U179=0),"",MIN(IF(AW179="",9.9E+99,AW179),AN179/U179))</f>
        <v/>
      </c>
      <c r="AR179" s="49">
        <f>IF(AQ179="","",AQ179*W179)</f>
        <v/>
      </c>
      <c r="AS179" s="51" t="n"/>
      <c r="AT179" s="43" t="inlineStr">
        <is>
          <t>Grounded</t>
        </is>
      </c>
      <c r="AU179" s="52" t="n"/>
      <c r="AV179" s="52" t="n"/>
      <c r="AW179" s="53" t="n"/>
      <c r="AX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Y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Z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BA179" s="40" t="inlineStr">
        <is>
          <t>handoff/INDIA-ECONOMICS-SIDECAR-V0-2026-06-20.json (andaman)</t>
        </is>
      </c>
      <c r="BB179" s="40" t="inlineStr">
        <is>
          <t>handoff/INDIA-ECONOMICS-SIDECAR-V0-2026-06-20.json (andaman)</t>
        </is>
      </c>
    </row>
    <row r="180">
      <c r="A180" s="38" t="inlineStr">
        <is>
          <t>India Mumbai Rapido</t>
        </is>
      </c>
      <c r="B180" s="38" t="inlineStr">
        <is>
          <t>India</t>
        </is>
      </c>
      <c r="C180" s="39" t="inlineStr">
        <is>
          <t>Bhaucha Dhakka Ferry Boat Service → Bombay Harbour</t>
        </is>
      </c>
      <c r="D180" s="38" t="inlineStr">
        <is>
          <t>rapido</t>
        </is>
      </c>
      <c r="E180" s="40" t="inlineStr">
        <is>
          <t>india-mumbai-ola, india-mumbai-rapido</t>
        </is>
      </c>
      <c r="F180" s="41" t="n">
        <v>2</v>
      </c>
      <c r="G180" s="42" t="n">
        <v>2.7</v>
      </c>
      <c r="H180" s="35" t="n">
        <v>18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IF(OR(AJ180="",U180=0),"",MIN(IF(AW180="",9.9E+99,AW180),FLOOR(AN180/U180,1)))</f>
        <v/>
      </c>
      <c r="AP180" s="49">
        <f>IF(AO180="","",AO180*W180)</f>
        <v/>
      </c>
      <c r="AQ180" s="47">
        <f>IF(OR(AJ180="",U180=0),"",MIN(IF(AW180="",9.9E+99,AW180),AN180/U180))</f>
        <v/>
      </c>
      <c r="AR180" s="49">
        <f>IF(AQ180="","",AQ180*W180)</f>
        <v/>
      </c>
      <c r="AS180" s="51" t="n"/>
      <c r="AT180" s="43" t="inlineStr">
        <is>
          <t>Grounded</t>
        </is>
      </c>
      <c r="AU180" s="52" t="n"/>
      <c r="AV180" s="52" t="n"/>
      <c r="AW180" s="53" t="n"/>
      <c r="AX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Y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Z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BA180" s="40" t="inlineStr">
        <is>
          <t>[LB-255 PREMIUM RE-FARE: subsidized comparable $5.5 lifted to premium on-demand floor $18.0] handoff/INDIA-ECONOMICS-SIDECAR-V0-2026-06-20.json (mumbai)</t>
        </is>
      </c>
      <c r="BB180" s="40" t="inlineStr">
        <is>
          <t>handoff/INDIA-ECONOMICS-SIDECAR-V0-2026-06-20.json (mumbai)</t>
        </is>
      </c>
    </row>
    <row r="181">
      <c r="A181" s="38" t="inlineStr">
        <is>
          <t>India Goa Rapido</t>
        </is>
      </c>
      <c r="B181" s="38" t="inlineStr">
        <is>
          <t>India</t>
        </is>
      </c>
      <c r="C181" s="39" t="inlineStr">
        <is>
          <t>Chorao Ferry Terminal → Pomburpa Ferry Terminal</t>
        </is>
      </c>
      <c r="D181" s="38" t="inlineStr">
        <is>
          <t>rapido</t>
        </is>
      </c>
      <c r="E181" s="40" t="inlineStr">
        <is>
          <t>india-goa-ola, india-goa-rapido</t>
        </is>
      </c>
      <c r="F181" s="41" t="n">
        <v>2</v>
      </c>
      <c r="G181" s="42" t="n">
        <v>2.7</v>
      </c>
      <c r="H181" s="35" t="n">
        <v>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11250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IF(OR(AJ181="",U181=0),"",MIN(IF(AW181="",9.9E+99,AW181),FLOOR(AN181/U181,1)))</f>
        <v/>
      </c>
      <c r="AP181" s="49">
        <f>IF(AO181="","",AO181*W181)</f>
        <v/>
      </c>
      <c r="AQ181" s="47">
        <f>IF(OR(AJ181="",U181=0),"",MIN(IF(AW181="",9.9E+99,AW181),AN181/U181))</f>
        <v/>
      </c>
      <c r="AR181" s="49">
        <f>IF(AQ181="","",AQ181*W181)</f>
        <v/>
      </c>
      <c r="AS181" s="51" t="n"/>
      <c r="AT181" s="43" t="inlineStr">
        <is>
          <t>Grounded</t>
        </is>
      </c>
      <c r="AU181" s="52" t="n"/>
      <c r="AV181" s="52" t="n"/>
      <c r="AW181" s="53" t="n"/>
      <c r="AX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Y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Z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BA181" s="40" t="inlineStr">
        <is>
          <t>handoff/INDIA-ECONOMICS-SIDECAR-V0-2026-06-20.json (goa)</t>
        </is>
      </c>
      <c r="BB181" s="40" t="inlineStr">
        <is>
          <t>handoff/INDIA-ECONOMICS-SIDECAR-V0-2026-06-20.json (goa)</t>
        </is>
      </c>
    </row>
    <row r="182">
      <c r="A182" s="38" t="inlineStr">
        <is>
          <t>India Goa Rapido</t>
        </is>
      </c>
      <c r="B182" s="38" t="inlineStr">
        <is>
          <t>India</t>
        </is>
      </c>
      <c r="C182" s="39" t="inlineStr">
        <is>
          <t>Goveia Marina → Camurlim Ferry Terminal</t>
        </is>
      </c>
      <c r="D182" s="38" t="inlineStr">
        <is>
          <t>rapido</t>
        </is>
      </c>
      <c r="E182" s="40" t="inlineStr">
        <is>
          <t>india-goa-ola, india-goa-rapido</t>
        </is>
      </c>
      <c r="F182" s="41" t="n">
        <v>2</v>
      </c>
      <c r="G182" s="42" t="n">
        <v>2.7</v>
      </c>
      <c r="H182" s="35" t="n">
        <v>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11250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IF(OR(AJ182="",U182=0),"",MIN(IF(AW182="",9.9E+99,AW182),FLOOR(AN182/U182,1)))</f>
        <v/>
      </c>
      <c r="AP182" s="49">
        <f>IF(AO182="","",AO182*W182)</f>
        <v/>
      </c>
      <c r="AQ182" s="47">
        <f>IF(OR(AJ182="",U182=0),"",MIN(IF(AW182="",9.9E+99,AW182),AN182/U182))</f>
        <v/>
      </c>
      <c r="AR182" s="49">
        <f>IF(AQ182="","",AQ182*W182)</f>
        <v/>
      </c>
      <c r="AS182" s="51" t="n"/>
      <c r="AT182" s="43" t="inlineStr">
        <is>
          <t>Grounded</t>
        </is>
      </c>
      <c r="AU182" s="52" t="n"/>
      <c r="AV182" s="52" t="n"/>
      <c r="AW182" s="53" t="n"/>
      <c r="AX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Y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Z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BA182" s="40" t="inlineStr">
        <is>
          <t>handoff/INDIA-ECONOMICS-SIDECAR-V0-2026-06-20.json (goa)</t>
        </is>
      </c>
      <c r="BB182" s="40" t="inlineStr">
        <is>
          <t>handoff/INDIA-ECONOMICS-SIDECAR-V0-2026-06-20.json (goa)</t>
        </is>
      </c>
    </row>
    <row r="183">
      <c r="A183" s="38" t="inlineStr">
        <is>
          <t>India Kerala Rapido</t>
        </is>
      </c>
      <c r="B183" s="38" t="inlineStr">
        <is>
          <t>India</t>
        </is>
      </c>
      <c r="C183" s="39" t="inlineStr">
        <is>
          <t>BLUEMARINE Backwaters → Sailing Club House</t>
        </is>
      </c>
      <c r="D183" s="38" t="inlineStr">
        <is>
          <t>rapido</t>
        </is>
      </c>
      <c r="E183" s="40" t="inlineStr">
        <is>
          <t>india-kerala-ola, india-kerala-rapido</t>
        </is>
      </c>
      <c r="F183" s="41" t="n">
        <v>2</v>
      </c>
      <c r="G183" s="42" t="n">
        <v>2.7</v>
      </c>
      <c r="H183" s="35" t="n">
        <v>18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29166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IF(OR(AJ183="",U183=0),"",MIN(IF(AW183="",9.9E+99,AW183),FLOOR(AN183/U183,1)))</f>
        <v/>
      </c>
      <c r="AP183" s="49">
        <f>IF(AO183="","",AO183*W183)</f>
        <v/>
      </c>
      <c r="AQ183" s="47">
        <f>IF(OR(AJ183="",U183=0),"",MIN(IF(AW183="",9.9E+99,AW183),AN183/U183))</f>
        <v/>
      </c>
      <c r="AR183" s="49">
        <f>IF(AQ183="","",AQ183*W183)</f>
        <v/>
      </c>
      <c r="AS183" s="51" t="n"/>
      <c r="AT183" s="43" t="inlineStr">
        <is>
          <t>Grounded</t>
        </is>
      </c>
      <c r="AU183" s="52" t="n"/>
      <c r="AV183" s="52" t="n"/>
      <c r="AW183" s="53" t="n"/>
      <c r="AX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Y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Z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BA183" s="40" t="inlineStr">
        <is>
          <t>[LB-255 PREMIUM RE-FARE: subsidized comparable $3.5 lifted to premium on-demand floor $18.0] handoff/INDIA-ECONOMICS-SIDECAR-V0-2026-06-20.json (kerala)</t>
        </is>
      </c>
      <c r="BB183" s="40" t="inlineStr">
        <is>
          <t>handoff/INDIA-ECONOMICS-SIDECAR-V0-2026-06-20.json (kerala)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Gamefishing Asia → Chatham Jetty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2.7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5000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IF(OR(AJ184="",U184=0),"",MIN(IF(AW184="",9.9E+99,AW184),FLOOR(AN184/U184,1)))</f>
        <v/>
      </c>
      <c r="AP184" s="49">
        <f>IF(AO184="","",AO184*W184)</f>
        <v/>
      </c>
      <c r="AQ184" s="47">
        <f>IF(OR(AJ184="",U184=0),"",MIN(IF(AW184="",9.9E+99,AW184),AN184/U184))</f>
        <v/>
      </c>
      <c r="AR184" s="49">
        <f>IF(AQ184="","",AQ184*W184)</f>
        <v/>
      </c>
      <c r="AS184" s="51" t="n"/>
      <c r="AT184" s="43" t="inlineStr">
        <is>
          <t>Grounded</t>
        </is>
      </c>
      <c r="AU184" s="52" t="n"/>
      <c r="AV184" s="52" t="n"/>
      <c r="AW184" s="53" t="n"/>
      <c r="AX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Y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Z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BA184" s="40" t="inlineStr">
        <is>
          <t>handoff/INDIA-ECONOMICS-SIDECAR-V0-2026-06-20.json (andaman)</t>
        </is>
      </c>
      <c r="BB184" s="40" t="inlineStr">
        <is>
          <t>handoff/INDIA-ECONOMICS-SIDECAR-V0-2026-06-20.json (andaman)</t>
        </is>
      </c>
    </row>
    <row r="185">
      <c r="A185" s="38" t="inlineStr">
        <is>
          <t>India Mumbai Rapido</t>
        </is>
      </c>
      <c r="B185" s="38" t="inlineStr">
        <is>
          <t>India</t>
        </is>
      </c>
      <c r="C185" s="39" t="inlineStr">
        <is>
          <t>Bhaucha Dhakka → Bombay Harbour</t>
        </is>
      </c>
      <c r="D185" s="38" t="inlineStr">
        <is>
          <t>rapido</t>
        </is>
      </c>
      <c r="E185" s="40" t="inlineStr">
        <is>
          <t>india-mumbai-ola, india-mumbai-rapido</t>
        </is>
      </c>
      <c r="F185" s="41" t="n">
        <v>2</v>
      </c>
      <c r="G185" s="42" t="n">
        <v>2.8</v>
      </c>
      <c r="H185" s="35" t="n">
        <v>18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IF(OR(AJ185="",U185=0),"",MIN(IF(AW185="",9.9E+99,AW185),FLOOR(AN185/U185,1)))</f>
        <v/>
      </c>
      <c r="AP185" s="49">
        <f>IF(AO185="","",AO185*W185)</f>
        <v/>
      </c>
      <c r="AQ185" s="47">
        <f>IF(OR(AJ185="",U185=0),"",MIN(IF(AW185="",9.9E+99,AW185),AN185/U185))</f>
        <v/>
      </c>
      <c r="AR185" s="49">
        <f>IF(AQ185="","",AQ185*W185)</f>
        <v/>
      </c>
      <c r="AS185" s="51" t="n"/>
      <c r="AT185" s="43" t="inlineStr">
        <is>
          <t>Grounded</t>
        </is>
      </c>
      <c r="AU185" s="52" t="n"/>
      <c r="AV185" s="52" t="n"/>
      <c r="AW185" s="53" t="n"/>
      <c r="AX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Y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Z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BA185" s="40" t="inlineStr">
        <is>
          <t>[LB-255 PREMIUM RE-FARE: subsidized comparable $5.5 lifted to premium on-demand floor $18.0] handoff/INDIA-ECONOMICS-SIDECAR-V0-2026-06-20.json (mumbai)</t>
        </is>
      </c>
      <c r="BB185" s="40" t="inlineStr">
        <is>
          <t>handoff/INDIA-ECONOMICS-SIDECAR-V0-2026-06-20.json (mumbai)</t>
        </is>
      </c>
    </row>
    <row r="186">
      <c r="A186" s="38" t="inlineStr">
        <is>
          <t>India Goa Rapido</t>
        </is>
      </c>
      <c r="B186" s="38" t="inlineStr">
        <is>
          <t>India</t>
        </is>
      </c>
      <c r="C186" s="39" t="inlineStr">
        <is>
          <t>Goveia Marina → Tuem Ferry Terminal</t>
        </is>
      </c>
      <c r="D186" s="38" t="inlineStr">
        <is>
          <t>rapido</t>
        </is>
      </c>
      <c r="E186" s="40" t="inlineStr">
        <is>
          <t>india-goa-ola, india-goa-rapido</t>
        </is>
      </c>
      <c r="F186" s="41" t="n">
        <v>2</v>
      </c>
      <c r="G186" s="42" t="n">
        <v>2.8</v>
      </c>
      <c r="H186" s="35" t="n">
        <v>8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11250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IF(OR(AJ186="",U186=0),"",MIN(IF(AW186="",9.9E+99,AW186),FLOOR(AN186/U186,1)))</f>
        <v/>
      </c>
      <c r="AP186" s="49">
        <f>IF(AO186="","",AO186*W186)</f>
        <v/>
      </c>
      <c r="AQ186" s="47">
        <f>IF(OR(AJ186="",U186=0),"",MIN(IF(AW186="",9.9E+99,AW186),AN186/U186))</f>
        <v/>
      </c>
      <c r="AR186" s="49">
        <f>IF(AQ186="","",AQ186*W186)</f>
        <v/>
      </c>
      <c r="AS186" s="51" t="n"/>
      <c r="AT186" s="43" t="inlineStr">
        <is>
          <t>Grounded</t>
        </is>
      </c>
      <c r="AU186" s="52" t="n"/>
      <c r="AV186" s="52" t="n"/>
      <c r="AW186" s="53" t="n"/>
      <c r="AX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Y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Z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BA186" s="40" t="inlineStr">
        <is>
          <t>handoff/INDIA-ECONOMICS-SIDECAR-V0-2026-06-20.json (goa)</t>
        </is>
      </c>
      <c r="BB186" s="40" t="inlineStr">
        <is>
          <t>handoff/INDIA-ECONOMICS-SIDECAR-V0-2026-06-20.json (goa)</t>
        </is>
      </c>
    </row>
    <row r="187">
      <c r="A187" s="38" t="inlineStr">
        <is>
          <t>India Goa Rapido</t>
        </is>
      </c>
      <c r="B187" s="38" t="inlineStr">
        <is>
          <t>India</t>
        </is>
      </c>
      <c r="C187" s="39" t="inlineStr">
        <is>
          <t>Ribandar Ferry → Piedade Ferry Terminal</t>
        </is>
      </c>
      <c r="D187" s="38" t="inlineStr">
        <is>
          <t>rapido</t>
        </is>
      </c>
      <c r="E187" s="40" t="inlineStr">
        <is>
          <t>india-goa-ola, india-goa-rapido</t>
        </is>
      </c>
      <c r="F187" s="41" t="n">
        <v>2</v>
      </c>
      <c r="G187" s="42" t="n">
        <v>2.8</v>
      </c>
      <c r="H187" s="35" t="n">
        <v>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11250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IF(OR(AJ187="",U187=0),"",MIN(IF(AW187="",9.9E+99,AW187),FLOOR(AN187/U187,1)))</f>
        <v/>
      </c>
      <c r="AP187" s="49">
        <f>IF(AO187="","",AO187*W187)</f>
        <v/>
      </c>
      <c r="AQ187" s="47">
        <f>IF(OR(AJ187="",U187=0),"",MIN(IF(AW187="",9.9E+99,AW187),AN187/U187))</f>
        <v/>
      </c>
      <c r="AR187" s="49">
        <f>IF(AQ187="","",AQ187*W187)</f>
        <v/>
      </c>
      <c r="AS187" s="51" t="n"/>
      <c r="AT187" s="43" t="inlineStr">
        <is>
          <t>Grounded</t>
        </is>
      </c>
      <c r="AU187" s="52" t="n"/>
      <c r="AV187" s="52" t="n"/>
      <c r="AW187" s="53" t="n"/>
      <c r="AX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Y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Z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BA187" s="40" t="inlineStr">
        <is>
          <t>handoff/INDIA-ECONOMICS-SIDECAR-V0-2026-06-20.json (goa)</t>
        </is>
      </c>
      <c r="BB187" s="40" t="inlineStr">
        <is>
          <t>handoff/INDIA-ECONOMICS-SIDECAR-V0-2026-06-20.json (goa)</t>
        </is>
      </c>
    </row>
    <row r="188">
      <c r="A188" s="38" t="inlineStr">
        <is>
          <t>India Kerala Rapido</t>
        </is>
      </c>
      <c r="B188" s="38" t="inlineStr">
        <is>
          <t>India</t>
        </is>
      </c>
      <c r="C188" s="39" t="inlineStr">
        <is>
          <t>Keltron Ferry → Sailing Club House</t>
        </is>
      </c>
      <c r="D188" s="38" t="inlineStr">
        <is>
          <t>rapido</t>
        </is>
      </c>
      <c r="E188" s="40" t="inlineStr">
        <is>
          <t>india-kerala-ola, india-kerala-rapido</t>
        </is>
      </c>
      <c r="F188" s="41" t="n">
        <v>2</v>
      </c>
      <c r="G188" s="42" t="n">
        <v>2.8</v>
      </c>
      <c r="H188" s="35" t="n">
        <v>18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29166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IF(OR(AJ188="",U188=0),"",MIN(IF(AW188="",9.9E+99,AW188),FLOOR(AN188/U188,1)))</f>
        <v/>
      </c>
      <c r="AP188" s="49">
        <f>IF(AO188="","",AO188*W188)</f>
        <v/>
      </c>
      <c r="AQ188" s="47">
        <f>IF(OR(AJ188="",U188=0),"",MIN(IF(AW188="",9.9E+99,AW188),AN188/U188))</f>
        <v/>
      </c>
      <c r="AR188" s="49">
        <f>IF(AQ188="","",AQ188*W188)</f>
        <v/>
      </c>
      <c r="AS188" s="51" t="n"/>
      <c r="AT188" s="43" t="inlineStr">
        <is>
          <t>Grounded</t>
        </is>
      </c>
      <c r="AU188" s="52" t="n"/>
      <c r="AV188" s="52" t="n"/>
      <c r="AW188" s="53" t="n"/>
      <c r="AX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Y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Z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BA188" s="40" t="inlineStr">
        <is>
          <t>[LB-255 PREMIUM RE-FARE: subsidized comparable $3.5 lifted to premium on-demand floor $18.0] handoff/INDIA-ECONOMICS-SIDECAR-V0-2026-06-20.json (kerala)</t>
        </is>
      </c>
      <c r="BB188" s="40" t="inlineStr">
        <is>
          <t>handoff/INDIA-ECONOMICS-SIDECAR-V0-2026-06-20.json (kerala)</t>
        </is>
      </c>
    </row>
    <row r="189">
      <c r="A189" s="38" t="inlineStr">
        <is>
          <t>India Andaman Rapido</t>
        </is>
      </c>
      <c r="B189" s="38" t="inlineStr">
        <is>
          <t>India</t>
        </is>
      </c>
      <c r="C189" s="39" t="inlineStr">
        <is>
          <t>Andaman → Andaman &amp; Nicobar Islands</t>
        </is>
      </c>
      <c r="D189" s="38" t="inlineStr">
        <is>
          <t>rapido</t>
        </is>
      </c>
      <c r="E189" s="40" t="inlineStr">
        <is>
          <t>india-andaman-ola, india-andaman-rapido</t>
        </is>
      </c>
      <c r="F189" s="41" t="n">
        <v>2</v>
      </c>
      <c r="G189" s="42" t="n">
        <v>2.8</v>
      </c>
      <c r="H189" s="35" t="n">
        <v>22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5000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IF(OR(AJ189="",U189=0),"",MIN(IF(AW189="",9.9E+99,AW189),FLOOR(AN189/U189,1)))</f>
        <v/>
      </c>
      <c r="AP189" s="49">
        <f>IF(AO189="","",AO189*W189)</f>
        <v/>
      </c>
      <c r="AQ189" s="47">
        <f>IF(OR(AJ189="",U189=0),"",MIN(IF(AW189="",9.9E+99,AW189),AN189/U189))</f>
        <v/>
      </c>
      <c r="AR189" s="49">
        <f>IF(AQ189="","",AQ189*W189)</f>
        <v/>
      </c>
      <c r="AS189" s="51" t="n"/>
      <c r="AT189" s="43" t="inlineStr">
        <is>
          <t>Grounded</t>
        </is>
      </c>
      <c r="AU189" s="52" t="n"/>
      <c r="AV189" s="52" t="n"/>
      <c r="AW189" s="53" t="n"/>
      <c r="AX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Y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Z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BA189" s="40" t="inlineStr">
        <is>
          <t>handoff/INDIA-ECONOMICS-SIDECAR-V0-2026-06-20.json (andaman)</t>
        </is>
      </c>
      <c r="BB189" s="40" t="inlineStr">
        <is>
          <t>handoff/INDIA-ECONOMICS-SIDECAR-V0-2026-06-20.json (andaman)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Andaman → BookMyBoat Andaman Ferry Booking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2.8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5000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IF(OR(AJ190="",U190=0),"",MIN(IF(AW190="",9.9E+99,AW190),FLOOR(AN190/U190,1)))</f>
        <v/>
      </c>
      <c r="AP190" s="49">
        <f>IF(AO190="","",AO190*W190)</f>
        <v/>
      </c>
      <c r="AQ190" s="47">
        <f>IF(OR(AJ190="",U190=0),"",MIN(IF(AW190="",9.9E+99,AW190),AN190/U190))</f>
        <v/>
      </c>
      <c r="AR190" s="49">
        <f>IF(AQ190="","",AQ190*W190)</f>
        <v/>
      </c>
      <c r="AS190" s="51" t="n"/>
      <c r="AT190" s="43" t="inlineStr">
        <is>
          <t>Grounded</t>
        </is>
      </c>
      <c r="AU190" s="52" t="n"/>
      <c r="AV190" s="52" t="n"/>
      <c r="AW190" s="53" t="n"/>
      <c r="AX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Y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Z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BA190" s="40" t="inlineStr">
        <is>
          <t>handoff/INDIA-ECONOMICS-SIDECAR-V0-2026-06-20.json (andaman)</t>
        </is>
      </c>
      <c r="BB190" s="40" t="inlineStr">
        <is>
          <t>handoff/INDIA-ECONOMICS-SIDECAR-V0-2026-06-20.json (andaman)</t>
        </is>
      </c>
    </row>
    <row r="191">
      <c r="A191" s="38" t="inlineStr">
        <is>
          <t>India Andaman Rapido</t>
        </is>
      </c>
      <c r="B191" s="38" t="inlineStr">
        <is>
          <t>India</t>
        </is>
      </c>
      <c r="C191" s="39" t="inlineStr">
        <is>
          <t>Junglighat Jetty → BookMyBoat Andaman Ferry Booking</t>
        </is>
      </c>
      <c r="D191" s="38" t="inlineStr">
        <is>
          <t>rapido</t>
        </is>
      </c>
      <c r="E191" s="40" t="inlineStr">
        <is>
          <t>india-andaman-ola, india-andaman-rapido</t>
        </is>
      </c>
      <c r="F191" s="41" t="n">
        <v>2</v>
      </c>
      <c r="G191" s="42" t="n">
        <v>2.8</v>
      </c>
      <c r="H191" s="35" t="n">
        <v>22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5000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IF(OR(AJ191="",U191=0),"",MIN(IF(AW191="",9.9E+99,AW191),FLOOR(AN191/U191,1)))</f>
        <v/>
      </c>
      <c r="AP191" s="49">
        <f>IF(AO191="","",AO191*W191)</f>
        <v/>
      </c>
      <c r="AQ191" s="47">
        <f>IF(OR(AJ191="",U191=0),"",MIN(IF(AW191="",9.9E+99,AW191),AN191/U191))</f>
        <v/>
      </c>
      <c r="AR191" s="49">
        <f>IF(AQ191="","",AQ191*W191)</f>
        <v/>
      </c>
      <c r="AS191" s="51" t="n"/>
      <c r="AT191" s="43" t="inlineStr">
        <is>
          <t>Grounded</t>
        </is>
      </c>
      <c r="AU191" s="52" t="n"/>
      <c r="AV191" s="52" t="n"/>
      <c r="AW191" s="53" t="n"/>
      <c r="AX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Y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Z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BA191" s="40" t="inlineStr">
        <is>
          <t>handoff/INDIA-ECONOMICS-SIDECAR-V0-2026-06-20.json (andaman)</t>
        </is>
      </c>
      <c r="BB191" s="40" t="inlineStr">
        <is>
          <t>handoff/INDIA-ECONOMICS-SIDECAR-V0-2026-06-20.json (andaman)</t>
        </is>
      </c>
    </row>
    <row r="192">
      <c r="A192" s="38" t="inlineStr">
        <is>
          <t>India Andaman Rapido</t>
        </is>
      </c>
      <c r="B192" s="38" t="inlineStr">
        <is>
          <t>India</t>
        </is>
      </c>
      <c r="C192" s="39" t="inlineStr">
        <is>
          <t>Port Blair → BookMyBoat Andaman Ferry Booking</t>
        </is>
      </c>
      <c r="D192" s="38" t="inlineStr">
        <is>
          <t>rapido</t>
        </is>
      </c>
      <c r="E192" s="40" t="inlineStr">
        <is>
          <t>india-andaman-ola, india-andaman-rapido</t>
        </is>
      </c>
      <c r="F192" s="41" t="n">
        <v>2</v>
      </c>
      <c r="G192" s="42" t="n">
        <v>2.8</v>
      </c>
      <c r="H192" s="35" t="n">
        <v>22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5000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IF(OR(AJ192="",U192=0),"",MIN(IF(AW192="",9.9E+99,AW192),FLOOR(AN192/U192,1)))</f>
        <v/>
      </c>
      <c r="AP192" s="49">
        <f>IF(AO192="","",AO192*W192)</f>
        <v/>
      </c>
      <c r="AQ192" s="47">
        <f>IF(OR(AJ192="",U192=0),"",MIN(IF(AW192="",9.9E+99,AW192),AN192/U192))</f>
        <v/>
      </c>
      <c r="AR192" s="49">
        <f>IF(AQ192="","",AQ192*W192)</f>
        <v/>
      </c>
      <c r="AS192" s="51" t="n"/>
      <c r="AT192" s="43" t="inlineStr">
        <is>
          <t>Grounded</t>
        </is>
      </c>
      <c r="AU192" s="52" t="n"/>
      <c r="AV192" s="52" t="n"/>
      <c r="AW192" s="53" t="n"/>
      <c r="AX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Y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Z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BA192" s="40" t="inlineStr">
        <is>
          <t>handoff/INDIA-ECONOMICS-SIDECAR-V0-2026-06-20.json (andaman)</t>
        </is>
      </c>
      <c r="BB192" s="40" t="inlineStr">
        <is>
          <t>handoff/INDIA-ECONOMICS-SIDECAR-V0-2026-06-20.json (andaman)</t>
        </is>
      </c>
    </row>
    <row r="193">
      <c r="A193" s="38" t="inlineStr">
        <is>
          <t>India Mumbai Rapido</t>
        </is>
      </c>
      <c r="B193" s="38" t="inlineStr">
        <is>
          <t>India</t>
        </is>
      </c>
      <c r="C193" s="39" t="inlineStr">
        <is>
          <t>Pirpau Jetty → JNPT Ferry Service</t>
        </is>
      </c>
      <c r="D193" s="38" t="inlineStr">
        <is>
          <t>rapido</t>
        </is>
      </c>
      <c r="E193" s="40" t="inlineStr">
        <is>
          <t>india-mumbai-ola, india-mumbai-rapido</t>
        </is>
      </c>
      <c r="F193" s="41" t="n">
        <v>2</v>
      </c>
      <c r="G193" s="42" t="n">
        <v>2.9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5000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IF(OR(AJ193="",U193=0),"",MIN(IF(AW193="",9.9E+99,AW193),FLOOR(AN193/U193,1)))</f>
        <v/>
      </c>
      <c r="AP193" s="49">
        <f>IF(AO193="","",AO193*W193)</f>
        <v/>
      </c>
      <c r="AQ193" s="47">
        <f>IF(OR(AJ193="",U193=0),"",MIN(IF(AW193="",9.9E+99,AW193),AN193/U193))</f>
        <v/>
      </c>
      <c r="AR193" s="49">
        <f>IF(AQ193="","",AQ193*W193)</f>
        <v/>
      </c>
      <c r="AS193" s="51" t="n"/>
      <c r="AT193" s="43" t="inlineStr">
        <is>
          <t>Grounded</t>
        </is>
      </c>
      <c r="AU193" s="52" t="n"/>
      <c r="AV193" s="52" t="n"/>
      <c r="AW193" s="53" t="n"/>
      <c r="AX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Y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Z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BA193" s="40" t="inlineStr">
        <is>
          <t>[LB-255 PREMIUM RE-FARE: subsidized comparable $5.5 lifted to premium on-demand floor $18.0] handoff/INDIA-ECONOMICS-SIDECAR-V0-2026-06-20.json (mumbai)</t>
        </is>
      </c>
      <c r="BB193" s="40" t="inlineStr">
        <is>
          <t>handoff/INDIA-ECONOMICS-SIDECAR-V0-2026-06-20.json (mumbai)</t>
        </is>
      </c>
    </row>
    <row r="194">
      <c r="A194" s="38" t="inlineStr">
        <is>
          <t>India Andaman Rapido</t>
        </is>
      </c>
      <c r="B194" s="38" t="inlineStr">
        <is>
          <t>India</t>
        </is>
      </c>
      <c r="C194" s="39" t="inlineStr">
        <is>
          <t>Bambooflat Jetty → Panighat Ferry Jetty</t>
        </is>
      </c>
      <c r="D194" s="38" t="inlineStr">
        <is>
          <t>rapido</t>
        </is>
      </c>
      <c r="E194" s="40" t="inlineStr">
        <is>
          <t>india-andaman-ola, india-andaman-rapido</t>
        </is>
      </c>
      <c r="F194" s="41" t="n">
        <v>2</v>
      </c>
      <c r="G194" s="42" t="n">
        <v>3</v>
      </c>
      <c r="H194" s="35" t="n">
        <v>22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5000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IF(OR(AJ194="",U194=0),"",MIN(IF(AW194="",9.9E+99,AW194),FLOOR(AN194/U194,1)))</f>
        <v/>
      </c>
      <c r="AP194" s="49">
        <f>IF(AO194="","",AO194*W194)</f>
        <v/>
      </c>
      <c r="AQ194" s="47">
        <f>IF(OR(AJ194="",U194=0),"",MIN(IF(AW194="",9.9E+99,AW194),AN194/U194))</f>
        <v/>
      </c>
      <c r="AR194" s="49">
        <f>IF(AQ194="","",AQ194*W194)</f>
        <v/>
      </c>
      <c r="AS194" s="51" t="n"/>
      <c r="AT194" s="43" t="inlineStr">
        <is>
          <t>Grounded</t>
        </is>
      </c>
      <c r="AU194" s="52" t="n"/>
      <c r="AV194" s="52" t="n"/>
      <c r="AW194" s="53" t="n"/>
      <c r="AX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Y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Z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BA194" s="40" t="inlineStr">
        <is>
          <t>handoff/INDIA-ECONOMICS-SIDECAR-V0-2026-06-20.json (andaman)</t>
        </is>
      </c>
      <c r="BB194" s="40" t="inlineStr">
        <is>
          <t>handoff/INDIA-ECONOMICS-SIDECAR-V0-2026-06-20.json (andaman)</t>
        </is>
      </c>
    </row>
    <row r="195">
      <c r="A195" s="38" t="inlineStr">
        <is>
          <t>India Goa Rapido</t>
        </is>
      </c>
      <c r="B195" s="38" t="inlineStr">
        <is>
          <t>India</t>
        </is>
      </c>
      <c r="C195" s="39" t="inlineStr">
        <is>
          <t>Yacht Life Goa → Camurlim Ferry Terminal</t>
        </is>
      </c>
      <c r="D195" s="38" t="inlineStr">
        <is>
          <t>rapido</t>
        </is>
      </c>
      <c r="E195" s="40" t="inlineStr">
        <is>
          <t>india-goa-ola, india-goa-rapido</t>
        </is>
      </c>
      <c r="F195" s="41" t="n">
        <v>2</v>
      </c>
      <c r="G195" s="42" t="n">
        <v>3.1</v>
      </c>
      <c r="H195" s="35" t="n">
        <v>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11250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IF(OR(AJ195="",U195=0),"",MIN(IF(AW195="",9.9E+99,AW195),FLOOR(AN195/U195,1)))</f>
        <v/>
      </c>
      <c r="AP195" s="49">
        <f>IF(AO195="","",AO195*W195)</f>
        <v/>
      </c>
      <c r="AQ195" s="47">
        <f>IF(OR(AJ195="",U195=0),"",MIN(IF(AW195="",9.9E+99,AW195),AN195/U195))</f>
        <v/>
      </c>
      <c r="AR195" s="49">
        <f>IF(AQ195="","",AQ195*W195)</f>
        <v/>
      </c>
      <c r="AS195" s="51" t="n"/>
      <c r="AT195" s="43" t="inlineStr">
        <is>
          <t>Grounded</t>
        </is>
      </c>
      <c r="AU195" s="52" t="n"/>
      <c r="AV195" s="52" t="n"/>
      <c r="AW195" s="53" t="n"/>
      <c r="AX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Y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Z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BA195" s="40" t="inlineStr">
        <is>
          <t>handoff/INDIA-ECONOMICS-SIDECAR-V0-2026-06-20.json (goa)</t>
        </is>
      </c>
      <c r="BB195" s="40" t="inlineStr">
        <is>
          <t>handoff/INDIA-ECONOMICS-SIDECAR-V0-2026-06-20.json (goa)</t>
        </is>
      </c>
    </row>
    <row r="196">
      <c r="A196" s="38" t="inlineStr">
        <is>
          <t>India Goa Rapido</t>
        </is>
      </c>
      <c r="B196" s="38" t="inlineStr">
        <is>
          <t>India</t>
        </is>
      </c>
      <c r="C196" s="39" t="inlineStr">
        <is>
          <t>Yacht Life Goa → Tuem Ferry Terminal</t>
        </is>
      </c>
      <c r="D196" s="38" t="inlineStr">
        <is>
          <t>rapido</t>
        </is>
      </c>
      <c r="E196" s="40" t="inlineStr">
        <is>
          <t>india-goa-ola, india-goa-rapido</t>
        </is>
      </c>
      <c r="F196" s="41" t="n">
        <v>2</v>
      </c>
      <c r="G196" s="42" t="n">
        <v>3.1</v>
      </c>
      <c r="H196" s="35" t="n">
        <v>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11250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IF(OR(AJ196="",U196=0),"",MIN(IF(AW196="",9.9E+99,AW196),FLOOR(AN196/U196,1)))</f>
        <v/>
      </c>
      <c r="AP196" s="49">
        <f>IF(AO196="","",AO196*W196)</f>
        <v/>
      </c>
      <c r="AQ196" s="47">
        <f>IF(OR(AJ196="",U196=0),"",MIN(IF(AW196="",9.9E+99,AW196),AN196/U196))</f>
        <v/>
      </c>
      <c r="AR196" s="49">
        <f>IF(AQ196="","",AQ196*W196)</f>
        <v/>
      </c>
      <c r="AS196" s="51" t="n"/>
      <c r="AT196" s="43" t="inlineStr">
        <is>
          <t>Grounded</t>
        </is>
      </c>
      <c r="AU196" s="52" t="n"/>
      <c r="AV196" s="52" t="n"/>
      <c r="AW196" s="53" t="n"/>
      <c r="AX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Y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Z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BA196" s="40" t="inlineStr">
        <is>
          <t>handoff/INDIA-ECONOMICS-SIDECAR-V0-2026-06-20.json (goa)</t>
        </is>
      </c>
      <c r="BB196" s="40" t="inlineStr">
        <is>
          <t>handoff/INDIA-ECONOMICS-SIDECAR-V0-2026-06-20.json (goa)</t>
        </is>
      </c>
    </row>
    <row r="197">
      <c r="A197" s="38" t="inlineStr">
        <is>
          <t>India Kerala Rapido</t>
        </is>
      </c>
      <c r="B197" s="38" t="inlineStr">
        <is>
          <t>India</t>
        </is>
      </c>
      <c r="C197" s="39" t="inlineStr">
        <is>
          <t>Martins Harbour → Kakkanad Ferry Terminal</t>
        </is>
      </c>
      <c r="D197" s="38" t="inlineStr">
        <is>
          <t>rapido</t>
        </is>
      </c>
      <c r="E197" s="40" t="inlineStr">
        <is>
          <t>india-kerala-ola, india-kerala-rapido</t>
        </is>
      </c>
      <c r="F197" s="41" t="n">
        <v>2</v>
      </c>
      <c r="G197" s="42" t="n">
        <v>3.1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29166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IF(OR(AJ197="",U197=0),"",MIN(IF(AW197="",9.9E+99,AW197),FLOOR(AN197/U197,1)))</f>
        <v/>
      </c>
      <c r="AP197" s="49">
        <f>IF(AO197="","",AO197*W197)</f>
        <v/>
      </c>
      <c r="AQ197" s="47">
        <f>IF(OR(AJ197="",U197=0),"",MIN(IF(AW197="",9.9E+99,AW197),AN197/U197))</f>
        <v/>
      </c>
      <c r="AR197" s="49">
        <f>IF(AQ197="","",AQ197*W197)</f>
        <v/>
      </c>
      <c r="AS197" s="51" t="n"/>
      <c r="AT197" s="43" t="inlineStr">
        <is>
          <t>Grounded</t>
        </is>
      </c>
      <c r="AU197" s="52" t="n"/>
      <c r="AV197" s="52" t="n"/>
      <c r="AW197" s="53" t="n"/>
      <c r="AX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Y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Z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BA197" s="40" t="inlineStr">
        <is>
          <t>[LB-255 PREMIUM RE-FARE: subsidized comparable $3.5 lifted to premium on-demand floor $18.0] handoff/INDIA-ECONOMICS-SIDECAR-V0-2026-06-20.json (kerala)</t>
        </is>
      </c>
      <c r="BB197" s="40" t="inlineStr">
        <is>
          <t>handoff/INDIA-ECONOMICS-SIDECAR-V0-2026-06-20.json (kerala)</t>
        </is>
      </c>
    </row>
    <row r="198">
      <c r="A198" s="38" t="inlineStr">
        <is>
          <t>Ola Mumbai</t>
        </is>
      </c>
      <c r="B198" s="38" t="inlineStr">
        <is>
          <t>India</t>
        </is>
      </c>
      <c r="C198" s="39" t="inlineStr">
        <is>
          <t>Bombay Harbour → Elephanta Caves</t>
        </is>
      </c>
      <c r="D198" s="38" t="inlineStr">
        <is>
          <t>rapido</t>
        </is>
      </c>
      <c r="E198" s="40" t="inlineStr">
        <is>
          <t>india-mumbai-ola, india-mumbai-rapido, ola-mumbai, rapido-mumbai, uber-mumbai</t>
        </is>
      </c>
      <c r="F198" s="41" t="n">
        <v>5</v>
      </c>
      <c r="G198" s="42" t="n">
        <v>3.2</v>
      </c>
      <c r="H198" s="35" t="n"/>
      <c r="I198" s="43" t="n"/>
      <c r="J198" s="43" t="n"/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/>
      <c r="AK198" s="43" t="n"/>
      <c r="AL198" s="43" t="n"/>
      <c r="AM198" s="50" t="n">
        <v>0.1</v>
      </c>
      <c r="AN198" s="45">
        <f>IF(AJ198="","",AJ198*AM198)</f>
        <v/>
      </c>
      <c r="AO198" s="45">
        <f>IF(OR(AJ198="",U198=0),"",MIN(IF(AW198="",9.9E+99,AW198),FLOOR(AN198/U198,1)))</f>
        <v/>
      </c>
      <c r="AP198" s="49">
        <f>IF(AO198="","",AO198*W198)</f>
        <v/>
      </c>
      <c r="AQ198" s="47">
        <f>IF(OR(AJ198="",U198=0),"",MIN(IF(AW198="",9.9E+99,AW198),AN198/U198))</f>
        <v/>
      </c>
      <c r="AR198" s="49">
        <f>IF(AQ198="","",AQ198*W198)</f>
        <v/>
      </c>
      <c r="AS198" s="51" t="n"/>
      <c r="AT198" s="43" t="inlineStr">
        <is>
          <t>Upside tier</t>
        </is>
      </c>
      <c r="AU198" s="52" t="n"/>
      <c r="AV198" s="52" t="inlineStr">
        <is>
          <t>experience_upside</t>
        </is>
      </c>
      <c r="AW198" s="53" t="n"/>
      <c r="AX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Y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Z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BA198" s="40" t="n"/>
      <c r="BB198" s="40" t="n"/>
    </row>
    <row r="199">
      <c r="A199" s="38" t="inlineStr">
        <is>
          <t>India Goa Rapido</t>
        </is>
      </c>
      <c r="B199" s="38" t="inlineStr">
        <is>
          <t>India</t>
        </is>
      </c>
      <c r="C199" s="39" t="inlineStr">
        <is>
          <t>Ribandar Ferry → Pomburpa Ferry Terminal</t>
        </is>
      </c>
      <c r="D199" s="38" t="inlineStr">
        <is>
          <t>rapido</t>
        </is>
      </c>
      <c r="E199" s="40" t="inlineStr">
        <is>
          <t>india-goa-ola, india-goa-rapido</t>
        </is>
      </c>
      <c r="F199" s="41" t="n">
        <v>2</v>
      </c>
      <c r="G199" s="42" t="n">
        <v>3.2</v>
      </c>
      <c r="H199" s="35" t="n">
        <v>8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11250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IF(OR(AJ199="",U199=0),"",MIN(IF(AW199="",9.9E+99,AW199),FLOOR(AN199/U199,1)))</f>
        <v/>
      </c>
      <c r="AP199" s="49">
        <f>IF(AO199="","",AO199*W199)</f>
        <v/>
      </c>
      <c r="AQ199" s="47">
        <f>IF(OR(AJ199="",U199=0),"",MIN(IF(AW199="",9.9E+99,AW199),AN199/U199))</f>
        <v/>
      </c>
      <c r="AR199" s="49">
        <f>IF(AQ199="","",AQ199*W199)</f>
        <v/>
      </c>
      <c r="AS199" s="51" t="n"/>
      <c r="AT199" s="43" t="inlineStr">
        <is>
          <t>Grounded</t>
        </is>
      </c>
      <c r="AU199" s="52" t="n"/>
      <c r="AV199" s="52" t="n"/>
      <c r="AW199" s="53" t="n"/>
      <c r="AX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Y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Z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BA199" s="40" t="inlineStr">
        <is>
          <t>handoff/INDIA-ECONOMICS-SIDECAR-V0-2026-06-20.json (goa)</t>
        </is>
      </c>
      <c r="BB199" s="40" t="inlineStr">
        <is>
          <t>handoff/INDIA-ECONOMICS-SIDECAR-V0-2026-06-20.json (goa)</t>
        </is>
      </c>
    </row>
    <row r="200">
      <c r="A200" s="38" t="inlineStr">
        <is>
          <t>India Kerala Rapido</t>
        </is>
      </c>
      <c r="B200" s="38" t="inlineStr">
        <is>
          <t>India</t>
        </is>
      </c>
      <c r="C200" s="39" t="inlineStr">
        <is>
          <t>Thevara Ferry → Sailing Club House</t>
        </is>
      </c>
      <c r="D200" s="38" t="inlineStr">
        <is>
          <t>rapido</t>
        </is>
      </c>
      <c r="E200" s="40" t="inlineStr">
        <is>
          <t>india-kerala-ola, india-kerala-rapido</t>
        </is>
      </c>
      <c r="F200" s="41" t="n">
        <v>2</v>
      </c>
      <c r="G200" s="42" t="n">
        <v>3.2</v>
      </c>
      <c r="H200" s="35" t="n">
        <v>18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29166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IF(OR(AJ200="",U200=0),"",MIN(IF(AW200="",9.9E+99,AW200),FLOOR(AN200/U200,1)))</f>
        <v/>
      </c>
      <c r="AP200" s="49">
        <f>IF(AO200="","",AO200*W200)</f>
        <v/>
      </c>
      <c r="AQ200" s="47">
        <f>IF(OR(AJ200="",U200=0),"",MIN(IF(AW200="",9.9E+99,AW200),AN200/U200))</f>
        <v/>
      </c>
      <c r="AR200" s="49">
        <f>IF(AQ200="","",AQ200*W200)</f>
        <v/>
      </c>
      <c r="AS200" s="51" t="n"/>
      <c r="AT200" s="43" t="inlineStr">
        <is>
          <t>Grounded</t>
        </is>
      </c>
      <c r="AU200" s="52" t="n"/>
      <c r="AV200" s="52" t="n"/>
      <c r="AW200" s="53" t="n"/>
      <c r="AX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Y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Z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BA200" s="40" t="inlineStr">
        <is>
          <t>[LB-255 PREMIUM RE-FARE: subsidized comparable $3.5 lifted to premium on-demand floor $18.0] handoff/INDIA-ECONOMICS-SIDECAR-V0-2026-06-20.json (kerala)</t>
        </is>
      </c>
      <c r="BB200" s="40" t="inlineStr">
        <is>
          <t>handoff/INDIA-ECONOMICS-SIDECAR-V0-2026-06-20.json (kerala)</t>
        </is>
      </c>
    </row>
    <row r="201">
      <c r="A201" s="38" t="inlineStr">
        <is>
          <t>India Andaman Rapido</t>
        </is>
      </c>
      <c r="B201" s="38" t="inlineStr">
        <is>
          <t>India</t>
        </is>
      </c>
      <c r="C201" s="39" t="inlineStr">
        <is>
          <t>Andaman → Panighat Ferry Jetty</t>
        </is>
      </c>
      <c r="D201" s="38" t="inlineStr">
        <is>
          <t>rapido</t>
        </is>
      </c>
      <c r="E201" s="40" t="inlineStr">
        <is>
          <t>india-andaman-ola, india-andaman-rapido</t>
        </is>
      </c>
      <c r="F201" s="41" t="n">
        <v>2</v>
      </c>
      <c r="G201" s="42" t="n">
        <v>3.2</v>
      </c>
      <c r="H201" s="35" t="n">
        <v>22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5000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IF(OR(AJ201="",U201=0),"",MIN(IF(AW201="",9.9E+99,AW201),FLOOR(AN201/U201,1)))</f>
        <v/>
      </c>
      <c r="AP201" s="49">
        <f>IF(AO201="","",AO201*W201)</f>
        <v/>
      </c>
      <c r="AQ201" s="47">
        <f>IF(OR(AJ201="",U201=0),"",MIN(IF(AW201="",9.9E+99,AW201),AN201/U201))</f>
        <v/>
      </c>
      <c r="AR201" s="49">
        <f>IF(AQ201="","",AQ201*W201)</f>
        <v/>
      </c>
      <c r="AS201" s="51" t="n"/>
      <c r="AT201" s="43" t="inlineStr">
        <is>
          <t>Grounded</t>
        </is>
      </c>
      <c r="AU201" s="52" t="n"/>
      <c r="AV201" s="52" t="n"/>
      <c r="AW201" s="53" t="n"/>
      <c r="AX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Y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Z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BA201" s="40" t="inlineStr">
        <is>
          <t>handoff/INDIA-ECONOMICS-SIDECAR-V0-2026-06-20.json (andaman)</t>
        </is>
      </c>
      <c r="BB201" s="40" t="inlineStr">
        <is>
          <t>handoff/INDIA-ECONOMICS-SIDECAR-V0-2026-06-20.json (andaman)</t>
        </is>
      </c>
    </row>
    <row r="202">
      <c r="A202" s="38" t="inlineStr">
        <is>
          <t>India Chennai Rapido</t>
        </is>
      </c>
      <c r="B202" s="38" t="inlineStr">
        <is>
          <t>India</t>
        </is>
      </c>
      <c r="C202" s="39" t="inlineStr">
        <is>
          <t>Chennai Port WQIV Cruise Terminal → Marina Beach Waterfront</t>
        </is>
      </c>
      <c r="D202" s="38" t="inlineStr">
        <is>
          <t>rapido</t>
        </is>
      </c>
      <c r="E202" s="40" t="inlineStr">
        <is>
          <t>india-chennai-ola, india-chennai-rapido, india-chennai-uber-india</t>
        </is>
      </c>
      <c r="F202" s="41" t="n">
        <v>3</v>
      </c>
      <c r="G202" s="42" t="n">
        <v>3.2</v>
      </c>
      <c r="H202" s="35" t="n">
        <v>12</v>
      </c>
      <c r="I202" s="43" t="n"/>
      <c r="J202" s="43" t="n"/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400000</v>
      </c>
      <c r="AK202" s="43" t="n"/>
      <c r="AL202" s="43" t="n"/>
      <c r="AM202" s="50" t="n">
        <v>0.1</v>
      </c>
      <c r="AN202" s="45">
        <f>IF(AJ202="","",AJ202*AM202)</f>
        <v/>
      </c>
      <c r="AO202" s="45">
        <f>IF(OR(AJ202="",U202=0),"",MIN(IF(AW202="",9.9E+99,AW202),FLOOR(AN202/U202,1)))</f>
        <v/>
      </c>
      <c r="AP202" s="49">
        <f>IF(AO202="","",AO202*W202)</f>
        <v/>
      </c>
      <c r="AQ202" s="47">
        <f>IF(OR(AJ202="",U202=0),"",MIN(IF(AW202="",9.9E+99,AW202),AN202/U202))</f>
        <v/>
      </c>
      <c r="AR202" s="49">
        <f>IF(AQ202="","",AQ202*W202)</f>
        <v/>
      </c>
      <c r="AS202" s="51" t="n"/>
      <c r="AT202" s="43" t="inlineStr">
        <is>
          <t>Grounded</t>
        </is>
      </c>
      <c r="AU202" s="52" t="n"/>
      <c r="AV202" s="52" t="n"/>
      <c r="AW202" s="53" t="n"/>
      <c r="AX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Y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Z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BA202" s="40" t="n"/>
      <c r="BB202" s="40" t="n"/>
    </row>
    <row r="203">
      <c r="A203" s="38" t="inlineStr">
        <is>
          <t>India Andaman Rapido</t>
        </is>
      </c>
      <c r="B203" s="38" t="inlineStr">
        <is>
          <t>India</t>
        </is>
      </c>
      <c r="C203" s="39" t="inlineStr">
        <is>
          <t>Andaman → Chatham Harbour</t>
        </is>
      </c>
      <c r="D203" s="38" t="inlineStr">
        <is>
          <t>rapido</t>
        </is>
      </c>
      <c r="E203" s="40" t="inlineStr">
        <is>
          <t>india-andaman-ola, india-andaman-rapido</t>
        </is>
      </c>
      <c r="F203" s="41" t="n">
        <v>2</v>
      </c>
      <c r="G203" s="42" t="n">
        <v>3.3</v>
      </c>
      <c r="H203" s="35" t="n">
        <v>22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5000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IF(OR(AJ203="",U203=0),"",MIN(IF(AW203="",9.9E+99,AW203),FLOOR(AN203/U203,1)))</f>
        <v/>
      </c>
      <c r="AP203" s="49">
        <f>IF(AO203="","",AO203*W203)</f>
        <v/>
      </c>
      <c r="AQ203" s="47">
        <f>IF(OR(AJ203="",U203=0),"",MIN(IF(AW203="",9.9E+99,AW203),AN203/U203))</f>
        <v/>
      </c>
      <c r="AR203" s="49">
        <f>IF(AQ203="","",AQ203*W203)</f>
        <v/>
      </c>
      <c r="AS203" s="51" t="n"/>
      <c r="AT203" s="43" t="inlineStr">
        <is>
          <t>Grounded</t>
        </is>
      </c>
      <c r="AU203" s="52" t="n"/>
      <c r="AV203" s="52" t="n"/>
      <c r="AW203" s="53" t="n"/>
      <c r="AX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Y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Z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BA203" s="40" t="inlineStr">
        <is>
          <t>handoff/INDIA-ECONOMICS-SIDECAR-V0-2026-06-20.json (andaman)</t>
        </is>
      </c>
      <c r="BB203" s="40" t="inlineStr">
        <is>
          <t>handoff/INDIA-ECONOMICS-SIDECAR-V0-2026-06-20.json (andaman)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Andaman → Haddo Jetty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3.3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5000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IF(OR(AJ204="",U204=0),"",MIN(IF(AW204="",9.9E+99,AW204),FLOOR(AN204/U204,1)))</f>
        <v/>
      </c>
      <c r="AP204" s="49">
        <f>IF(AO204="","",AO204*W204)</f>
        <v/>
      </c>
      <c r="AQ204" s="47">
        <f>IF(OR(AJ204="",U204=0),"",MIN(IF(AW204="",9.9E+99,AW204),AN204/U204))</f>
        <v/>
      </c>
      <c r="AR204" s="49">
        <f>IF(AQ204="","",AQ204*W204)</f>
        <v/>
      </c>
      <c r="AS204" s="51" t="n"/>
      <c r="AT204" s="43" t="inlineStr">
        <is>
          <t>Grounded</t>
        </is>
      </c>
      <c r="AU204" s="52" t="n"/>
      <c r="AV204" s="52" t="n"/>
      <c r="AW204" s="53" t="n"/>
      <c r="AX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Y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Z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BA204" s="40" t="inlineStr">
        <is>
          <t>handoff/INDIA-ECONOMICS-SIDECAR-V0-2026-06-20.json (andaman)</t>
        </is>
      </c>
      <c r="BB204" s="40" t="inlineStr">
        <is>
          <t>handoff/INDIA-ECONOMICS-SIDECAR-V0-2026-06-20.json (andaman)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Bambooflat Jetty → Chatham Jetty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3.3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IF(OR(AJ205="",U205=0),"",MIN(IF(AW205="",9.9E+99,AW205),FLOOR(AN205/U205,1)))</f>
        <v/>
      </c>
      <c r="AP205" s="49">
        <f>IF(AO205="","",AO205*W205)</f>
        <v/>
      </c>
      <c r="AQ205" s="47">
        <f>IF(OR(AJ205="",U205=0),"",MIN(IF(AW205="",9.9E+99,AW205),AN205/U205))</f>
        <v/>
      </c>
      <c r="AR205" s="49">
        <f>IF(AQ205="","",AQ205*W205)</f>
        <v/>
      </c>
      <c r="AS205" s="51" t="n"/>
      <c r="AT205" s="43" t="inlineStr">
        <is>
          <t>Grounded</t>
        </is>
      </c>
      <c r="AU205" s="52" t="n"/>
      <c r="AV205" s="52" t="n"/>
      <c r="AW205" s="53" t="n"/>
      <c r="AX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Y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Z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BA205" s="40" t="inlineStr">
        <is>
          <t>handoff/INDIA-ECONOMICS-SIDECAR-V0-2026-06-20.json (andaman)</t>
        </is>
      </c>
      <c r="BB205" s="40" t="inlineStr">
        <is>
          <t>handoff/INDIA-ECONOMICS-SIDECAR-V0-2026-06-20.json (andaman)</t>
        </is>
      </c>
    </row>
    <row r="206">
      <c r="A206" s="38" t="inlineStr">
        <is>
          <t>India Mumbai Rapido</t>
        </is>
      </c>
      <c r="B206" s="38" t="inlineStr">
        <is>
          <t>India</t>
        </is>
      </c>
      <c r="C206" s="39" t="inlineStr">
        <is>
          <t>Bombay Harbour → Pirpau Jetty</t>
        </is>
      </c>
      <c r="D206" s="38" t="inlineStr">
        <is>
          <t>rapido</t>
        </is>
      </c>
      <c r="E206" s="40" t="inlineStr">
        <is>
          <t>india-mumbai-ola, india-mumbai-rapido</t>
        </is>
      </c>
      <c r="F206" s="41" t="n">
        <v>2</v>
      </c>
      <c r="G206" s="42" t="n">
        <v>3.4</v>
      </c>
      <c r="H206" s="35" t="n">
        <v>18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5000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IF(OR(AJ206="",U206=0),"",MIN(IF(AW206="",9.9E+99,AW206),FLOOR(AN206/U206,1)))</f>
        <v/>
      </c>
      <c r="AP206" s="49">
        <f>IF(AO206="","",AO206*W206)</f>
        <v/>
      </c>
      <c r="AQ206" s="47">
        <f>IF(OR(AJ206="",U206=0),"",MIN(IF(AW206="",9.9E+99,AW206),AN206/U206))</f>
        <v/>
      </c>
      <c r="AR206" s="49">
        <f>IF(AQ206="","",AQ206*W206)</f>
        <v/>
      </c>
      <c r="AS206" s="51" t="n"/>
      <c r="AT206" s="43" t="inlineStr">
        <is>
          <t>Grounded</t>
        </is>
      </c>
      <c r="AU206" s="52" t="n"/>
      <c r="AV206" s="52" t="n"/>
      <c r="AW206" s="53" t="n"/>
      <c r="AX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Y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Z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BA206" s="40" t="inlineStr">
        <is>
          <t>[LB-255 PREMIUM RE-FARE: subsidized comparable $5.5 lifted to premium on-demand floor $18.0] handoff/INDIA-ECONOMICS-SIDECAR-V0-2026-06-20.json (mumbai)</t>
        </is>
      </c>
      <c r="BB206" s="40" t="inlineStr">
        <is>
          <t>handoff/INDIA-ECONOMICS-SIDECAR-V0-2026-06-20.json (mumbai)</t>
        </is>
      </c>
    </row>
    <row r="207">
      <c r="A207" s="38" t="inlineStr">
        <is>
          <t>Ola Mumbai</t>
        </is>
      </c>
      <c r="B207" s="38" t="inlineStr">
        <is>
          <t>India</t>
        </is>
      </c>
      <c r="C207" s="39" t="inlineStr">
        <is>
          <t>Gateway of India → Mumbai Harbour</t>
        </is>
      </c>
      <c r="D207" s="38" t="inlineStr">
        <is>
          <t>rapido</t>
        </is>
      </c>
      <c r="E207" s="40" t="inlineStr">
        <is>
          <t>india-mumbai-ola, india-mumbai-rapido, ola-mumbai, rapido-mumbai, uber-mumbai</t>
        </is>
      </c>
      <c r="F207" s="41" t="n">
        <v>5</v>
      </c>
      <c r="G207" s="42" t="n">
        <v>3.5</v>
      </c>
      <c r="H207" s="35" t="n"/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10909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IF(OR(AJ207="",U207=0),"",MIN(IF(AW207="",9.9E+99,AW207),FLOOR(AN207/U207,1)))</f>
        <v/>
      </c>
      <c r="AP207" s="49">
        <f>IF(AO207="","",AO207*W207)</f>
        <v/>
      </c>
      <c r="AQ207" s="47">
        <f>IF(OR(AJ207="",U207=0),"",MIN(IF(AW207="",9.9E+99,AW207),AN207/U207))</f>
        <v/>
      </c>
      <c r="AR207" s="49">
        <f>IF(AQ207="","",AQ207*W207)</f>
        <v/>
      </c>
      <c r="AS207" s="51" t="n"/>
      <c r="AT207" s="43" t="inlineStr">
        <is>
          <t>Upside tier</t>
        </is>
      </c>
      <c r="AU207" s="52" t="n"/>
      <c r="AV207" s="52" t="inlineStr">
        <is>
          <t>experience_upside</t>
        </is>
      </c>
      <c r="AW207" s="53" t="n"/>
      <c r="AX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Y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Z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BA20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7" s="40" t="inlineStr">
        <is>
          <t>PR #58 Mumbai spine route-count split (11 sealed rows × anchor 120,000 pax/yr)</t>
        </is>
      </c>
    </row>
    <row r="208">
      <c r="A208" s="38" t="inlineStr">
        <is>
          <t>India Andaman Rapido</t>
        </is>
      </c>
      <c r="B208" s="38" t="inlineStr">
        <is>
          <t>India</t>
        </is>
      </c>
      <c r="C208" s="39" t="inlineStr">
        <is>
          <t>Andaman → Chatham Jetty</t>
        </is>
      </c>
      <c r="D208" s="38" t="inlineStr">
        <is>
          <t>rapido</t>
        </is>
      </c>
      <c r="E208" s="40" t="inlineStr">
        <is>
          <t>india-andaman-ola, india-andaman-rapido</t>
        </is>
      </c>
      <c r="F208" s="41" t="n">
        <v>2</v>
      </c>
      <c r="G208" s="42" t="n">
        <v>3.5</v>
      </c>
      <c r="H208" s="35" t="n">
        <v>22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5000</v>
      </c>
      <c r="AK208" s="43" t="inlineStr">
        <is>
          <t>T3</t>
        </is>
      </c>
      <c r="AL208" s="43" t="inlineStr">
        <is>
          <t>med-low</t>
        </is>
      </c>
      <c r="AM208" s="50" t="n">
        <v>0.1</v>
      </c>
      <c r="AN208" s="45">
        <f>IF(AJ208="","",AJ208*AM208)</f>
        <v/>
      </c>
      <c r="AO208" s="45">
        <f>IF(OR(AJ208="",U208=0),"",MIN(IF(AW208="",9.9E+99,AW208),FLOOR(AN208/U208,1)))</f>
        <v/>
      </c>
      <c r="AP208" s="49">
        <f>IF(AO208="","",AO208*W208)</f>
        <v/>
      </c>
      <c r="AQ208" s="47">
        <f>IF(OR(AJ208="",U208=0),"",MIN(IF(AW208="",9.9E+99,AW208),AN208/U208))</f>
        <v/>
      </c>
      <c r="AR208" s="49">
        <f>IF(AQ208="","",AQ208*W208)</f>
        <v/>
      </c>
      <c r="AS208" s="51" t="n"/>
      <c r="AT208" s="43" t="inlineStr">
        <is>
          <t>Grounded</t>
        </is>
      </c>
      <c r="AU208" s="52" t="n"/>
      <c r="AV208" s="52" t="n"/>
      <c r="AW208" s="53" t="n"/>
      <c r="AX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Y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Z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BA208" s="40" t="inlineStr">
        <is>
          <t>handoff/INDIA-ECONOMICS-SIDECAR-V0-2026-06-20.json (andaman)</t>
        </is>
      </c>
      <c r="BB208" s="40" t="inlineStr">
        <is>
          <t>handoff/INDIA-ECONOMICS-SIDECAR-V0-2026-06-20.json (andaman)</t>
        </is>
      </c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Middle Strait Jetty → NK Cruise Terminal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3.7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5000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IF(OR(AJ209="",U209=0),"",MIN(IF(AW209="",9.9E+99,AW209),FLOOR(AN209/U209,1)))</f>
        <v/>
      </c>
      <c r="AP209" s="49">
        <f>IF(AO209="","",AO209*W209)</f>
        <v/>
      </c>
      <c r="AQ209" s="47">
        <f>IF(OR(AJ209="",U209=0),"",MIN(IF(AW209="",9.9E+99,AW209),AN209/U209))</f>
        <v/>
      </c>
      <c r="AR209" s="49">
        <f>IF(AQ209="","",AQ209*W209)</f>
        <v/>
      </c>
      <c r="AS209" s="51" t="n"/>
      <c r="AT209" s="43" t="inlineStr">
        <is>
          <t>Grounded</t>
        </is>
      </c>
      <c r="AU209" s="52" t="n"/>
      <c r="AV209" s="52" t="n"/>
      <c r="AW209" s="53" t="n"/>
      <c r="AX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Y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Z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BA209" s="40" t="inlineStr">
        <is>
          <t>handoff/INDIA-ECONOMICS-SIDECAR-V0-2026-06-20.json (andaman)</t>
        </is>
      </c>
      <c r="BB209" s="40" t="inlineStr">
        <is>
          <t>handoff/INDIA-ECONOMICS-SIDECAR-V0-2026-06-20.json (andaman)</t>
        </is>
      </c>
    </row>
    <row r="210">
      <c r="A210" s="38" t="inlineStr">
        <is>
          <t>Ola Mumbai</t>
        </is>
      </c>
      <c r="B210" s="38" t="inlineStr">
        <is>
          <t>India</t>
        </is>
      </c>
      <c r="C210" s="39" t="inlineStr">
        <is>
          <t>Mora → Elephanta Caves</t>
        </is>
      </c>
      <c r="D210" s="38" t="inlineStr">
        <is>
          <t>rapido</t>
        </is>
      </c>
      <c r="E210" s="40" t="inlineStr">
        <is>
          <t>india-mumbai-ola, india-mumbai-rapido, ola-mumbai, rapido-mumbai, uber-mumbai</t>
        </is>
      </c>
      <c r="F210" s="41" t="n">
        <v>5</v>
      </c>
      <c r="G210" s="42" t="n">
        <v>3.8</v>
      </c>
      <c r="H210" s="35" t="n"/>
      <c r="I210" s="43" t="n"/>
      <c r="J210" s="43" t="n"/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/>
      <c r="AK210" s="43" t="n"/>
      <c r="AL210" s="43" t="n"/>
      <c r="AM210" s="50" t="n">
        <v>0.1</v>
      </c>
      <c r="AN210" s="45">
        <f>IF(AJ210="","",AJ210*AM210)</f>
        <v/>
      </c>
      <c r="AO210" s="45">
        <f>IF(OR(AJ210="",U210=0),"",MIN(IF(AW210="",9.9E+99,AW210),FLOOR(AN210/U210,1)))</f>
        <v/>
      </c>
      <c r="AP210" s="49">
        <f>IF(AO210="","",AO210*W210)</f>
        <v/>
      </c>
      <c r="AQ210" s="47">
        <f>IF(OR(AJ210="",U210=0),"",MIN(IF(AW210="",9.9E+99,AW210),AN210/U210))</f>
        <v/>
      </c>
      <c r="AR210" s="49">
        <f>IF(AQ210="","",AQ210*W210)</f>
        <v/>
      </c>
      <c r="AS210" s="51" t="n"/>
      <c r="AT210" s="43" t="inlineStr">
        <is>
          <t>Upside tier</t>
        </is>
      </c>
      <c r="AU210" s="52" t="n"/>
      <c r="AV210" s="52" t="inlineStr">
        <is>
          <t>experience_upside</t>
        </is>
      </c>
      <c r="AW210" s="53" t="n"/>
      <c r="AX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Y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Z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BA210" s="40" t="n"/>
      <c r="BB210" s="40" t="n"/>
    </row>
    <row r="211">
      <c r="A211" s="38" t="inlineStr">
        <is>
          <t>India Andaman Rapido</t>
        </is>
      </c>
      <c r="B211" s="38" t="inlineStr">
        <is>
          <t>India</t>
        </is>
      </c>
      <c r="C211" s="39" t="inlineStr">
        <is>
          <t>Andaman → Bambooflat Jetty</t>
        </is>
      </c>
      <c r="D211" s="38" t="inlineStr">
        <is>
          <t>rapido</t>
        </is>
      </c>
      <c r="E211" s="40" t="inlineStr">
        <is>
          <t>india-andaman-ola, india-andaman-rapido</t>
        </is>
      </c>
      <c r="F211" s="41" t="n">
        <v>2</v>
      </c>
      <c r="G211" s="42" t="n">
        <v>4.2</v>
      </c>
      <c r="H211" s="35" t="n">
        <v>22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IF(OR(AJ211="",U211=0),"",MIN(IF(AW211="",9.9E+99,AW211),FLOOR(AN211/U211,1)))</f>
        <v/>
      </c>
      <c r="AP211" s="49">
        <f>IF(AO211="","",AO211*W211)</f>
        <v/>
      </c>
      <c r="AQ211" s="47">
        <f>IF(OR(AJ211="",U211=0),"",MIN(IF(AW211="",9.9E+99,AW211),AN211/U211))</f>
        <v/>
      </c>
      <c r="AR211" s="49">
        <f>IF(AQ211="","",AQ211*W211)</f>
        <v/>
      </c>
      <c r="AS211" s="51" t="n"/>
      <c r="AT211" s="43" t="inlineStr">
        <is>
          <t>Grounded</t>
        </is>
      </c>
      <c r="AU211" s="52" t="n"/>
      <c r="AV211" s="52" t="n"/>
      <c r="AW211" s="53" t="n"/>
      <c r="AX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Y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Z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BA211" s="40" t="inlineStr">
        <is>
          <t>handoff/INDIA-ECONOMICS-SIDECAR-V0-2026-06-20.json (andaman)</t>
        </is>
      </c>
      <c r="BB211" s="40" t="inlineStr">
        <is>
          <t>handoff/INDIA-ECONOMICS-SIDECAR-V0-2026-06-20.json (andaman)</t>
        </is>
      </c>
    </row>
    <row r="212">
      <c r="A212" s="38" t="inlineStr">
        <is>
          <t>Ola Mumbai</t>
        </is>
      </c>
      <c r="B212" s="38" t="inlineStr">
        <is>
          <t>India</t>
        </is>
      </c>
      <c r="C212" s="39" t="inlineStr">
        <is>
          <t>BSA Mandwa → Marina Bay Bistro @KARANJA Fishing Dock</t>
        </is>
      </c>
      <c r="D212" s="38" t="inlineStr">
        <is>
          <t>rapido</t>
        </is>
      </c>
      <c r="E212" s="40" t="inlineStr">
        <is>
          <t>india-mumbai-ola, india-mumbai-rapido, ola-mumbai, rapido-mumbai, uber-mumbai</t>
        </is>
      </c>
      <c r="F212" s="41" t="n">
        <v>5</v>
      </c>
      <c r="G212" s="42" t="n">
        <v>4.5</v>
      </c>
      <c r="H212" s="35" t="n"/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10909</v>
      </c>
      <c r="AK212" s="43" t="inlineStr">
        <is>
          <t>T3</t>
        </is>
      </c>
      <c r="AL212" s="43" t="inlineStr">
        <is>
          <t>med-low</t>
        </is>
      </c>
      <c r="AM212" s="50" t="n">
        <v>0.1</v>
      </c>
      <c r="AN212" s="45">
        <f>IF(AJ212="","",AJ212*AM212)</f>
        <v/>
      </c>
      <c r="AO212" s="45">
        <f>IF(OR(AJ212="",U212=0),"",MIN(IF(AW212="",9.9E+99,AW212),FLOOR(AN212/U212,1)))</f>
        <v/>
      </c>
      <c r="AP212" s="49">
        <f>IF(AO212="","",AO212*W212)</f>
        <v/>
      </c>
      <c r="AQ212" s="47">
        <f>IF(OR(AJ212="",U212=0),"",MIN(IF(AW212="",9.9E+99,AW212),AN212/U212))</f>
        <v/>
      </c>
      <c r="AR212" s="49">
        <f>IF(AQ212="","",AQ212*W212)</f>
        <v/>
      </c>
      <c r="AS212" s="51" t="n"/>
      <c r="AT212" s="43" t="inlineStr">
        <is>
          <t>Upside tier</t>
        </is>
      </c>
      <c r="AU212" s="52" t="n"/>
      <c r="AV212" s="52" t="inlineStr">
        <is>
          <t>experience_upside</t>
        </is>
      </c>
      <c r="AW212" s="53" t="n"/>
      <c r="AX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Y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Z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BA21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2" s="40" t="inlineStr">
        <is>
          <t>PR #58 Mumbai spine route-count split (11 sealed rows × anchor 120,000 pax/yr)</t>
        </is>
      </c>
    </row>
    <row r="213">
      <c r="A213" s="38" t="inlineStr">
        <is>
          <t>Ola Mumbai</t>
        </is>
      </c>
      <c r="B213" s="38" t="inlineStr">
        <is>
          <t>India</t>
        </is>
      </c>
      <c r="C213" s="39" t="inlineStr">
        <is>
          <t>Mandwa Jetty → Mumbai Harbour</t>
        </is>
      </c>
      <c r="D213" s="38" t="inlineStr">
        <is>
          <t>rapido</t>
        </is>
      </c>
      <c r="E213" s="40" t="inlineStr">
        <is>
          <t>india-mumbai-ola, india-mumbai-rapido, ola-mumbai, rapido-mumbai, uber-mumbai</t>
        </is>
      </c>
      <c r="F213" s="41" t="n">
        <v>5</v>
      </c>
      <c r="G213" s="42" t="n">
        <v>4.6</v>
      </c>
      <c r="H213" s="35" t="n"/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10909</v>
      </c>
      <c r="AK213" s="43" t="inlineStr">
        <is>
          <t>T3</t>
        </is>
      </c>
      <c r="AL213" s="43" t="inlineStr">
        <is>
          <t>med-low</t>
        </is>
      </c>
      <c r="AM213" s="50" t="n">
        <v>0.1</v>
      </c>
      <c r="AN213" s="45">
        <f>IF(AJ213="","",AJ213*AM213)</f>
        <v/>
      </c>
      <c r="AO213" s="45">
        <f>IF(OR(AJ213="",U213=0),"",MIN(IF(AW213="",9.9E+99,AW213),FLOOR(AN213/U213,1)))</f>
        <v/>
      </c>
      <c r="AP213" s="49">
        <f>IF(AO213="","",AO213*W213)</f>
        <v/>
      </c>
      <c r="AQ213" s="47">
        <f>IF(OR(AJ213="",U213=0),"",MIN(IF(AW213="",9.9E+99,AW213),AN213/U213))</f>
        <v/>
      </c>
      <c r="AR213" s="49">
        <f>IF(AQ213="","",AQ213*W213)</f>
        <v/>
      </c>
      <c r="AS213" s="51" t="n"/>
      <c r="AT213" s="43" t="inlineStr">
        <is>
          <t>Upside tier</t>
        </is>
      </c>
      <c r="AU213" s="52" t="n"/>
      <c r="AV213" s="52" t="inlineStr">
        <is>
          <t>experience_upside</t>
        </is>
      </c>
      <c r="AW213" s="53" t="n"/>
      <c r="AX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Y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Z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BA21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3" s="40" t="inlineStr">
        <is>
          <t>PR #58 Mumbai spine route-count split (11 sealed rows × anchor 120,000 pax/yr)</t>
        </is>
      </c>
    </row>
    <row r="214">
      <c r="A214" s="38" t="inlineStr">
        <is>
          <t>India Goa Rapido</t>
        </is>
      </c>
      <c r="B214" s="38" t="inlineStr">
        <is>
          <t>India</t>
        </is>
      </c>
      <c r="C214" s="39" t="inlineStr">
        <is>
          <t>Villa Marina → Mole</t>
        </is>
      </c>
      <c r="D214" s="38" t="inlineStr">
        <is>
          <t>rapido</t>
        </is>
      </c>
      <c r="E214" s="40" t="inlineStr">
        <is>
          <t>india-goa-ola, india-goa-rapido</t>
        </is>
      </c>
      <c r="F214" s="41" t="n">
        <v>2</v>
      </c>
      <c r="G214" s="42" t="n">
        <v>4.9</v>
      </c>
      <c r="H214" s="35" t="n">
        <v>8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11250</v>
      </c>
      <c r="AK214" s="43" t="inlineStr">
        <is>
          <t>T3</t>
        </is>
      </c>
      <c r="AL214" s="43" t="inlineStr">
        <is>
          <t>med-low</t>
        </is>
      </c>
      <c r="AM214" s="50" t="n">
        <v>0.1</v>
      </c>
      <c r="AN214" s="45">
        <f>IF(AJ214="","",AJ214*AM214)</f>
        <v/>
      </c>
      <c r="AO214" s="45">
        <f>IF(OR(AJ214="",U214=0),"",MIN(IF(AW214="",9.9E+99,AW214),FLOOR(AN214/U214,1)))</f>
        <v/>
      </c>
      <c r="AP214" s="49">
        <f>IF(AO214="","",AO214*W214)</f>
        <v/>
      </c>
      <c r="AQ214" s="47">
        <f>IF(OR(AJ214="",U214=0),"",MIN(IF(AW214="",9.9E+99,AW214),AN214/U214))</f>
        <v/>
      </c>
      <c r="AR214" s="49">
        <f>IF(AQ214="","",AQ214*W214)</f>
        <v/>
      </c>
      <c r="AS214" s="51" t="n"/>
      <c r="AT214" s="43" t="inlineStr">
        <is>
          <t>Grounded</t>
        </is>
      </c>
      <c r="AU214" s="52" t="n"/>
      <c r="AV214" s="52" t="n"/>
      <c r="AW214" s="53" t="n"/>
      <c r="AX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Y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Z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BA214" s="40" t="inlineStr">
        <is>
          <t>handoff/INDIA-ECONOMICS-SIDECAR-V0-2026-06-20.json (goa)</t>
        </is>
      </c>
      <c r="BB214" s="40" t="inlineStr">
        <is>
          <t>handoff/INDIA-ECONOMICS-SIDECAR-V0-2026-06-20.json (goa)</t>
        </is>
      </c>
    </row>
    <row r="215">
      <c r="A215" s="38" t="inlineStr">
        <is>
          <t>India Mumbai Rapido</t>
        </is>
      </c>
      <c r="B215" s="38" t="inlineStr">
        <is>
          <t>India</t>
        </is>
      </c>
      <c r="C215" s="39" t="inlineStr">
        <is>
          <t>Marina Bay Bistro @KARANJA Fishing Dock → Harbour view villa by 29 bungalow</t>
        </is>
      </c>
      <c r="D215" s="38" t="inlineStr">
        <is>
          <t>rapido</t>
        </is>
      </c>
      <c r="E215" s="40" t="inlineStr">
        <is>
          <t>india-mumbai-ola, india-mumbai-rapido</t>
        </is>
      </c>
      <c r="F215" s="41" t="n">
        <v>2</v>
      </c>
      <c r="G215" s="42" t="n">
        <v>5.4</v>
      </c>
      <c r="H215" s="35" t="n">
        <v>18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5000</v>
      </c>
      <c r="AK215" s="43" t="inlineStr">
        <is>
          <t>T3</t>
        </is>
      </c>
      <c r="AL215" s="43" t="inlineStr">
        <is>
          <t>med-low</t>
        </is>
      </c>
      <c r="AM215" s="50" t="n">
        <v>0.1</v>
      </c>
      <c r="AN215" s="45">
        <f>IF(AJ215="","",AJ215*AM215)</f>
        <v/>
      </c>
      <c r="AO215" s="45">
        <f>IF(OR(AJ215="",U215=0),"",MIN(IF(AW215="",9.9E+99,AW215),FLOOR(AN215/U215,1)))</f>
        <v/>
      </c>
      <c r="AP215" s="49">
        <f>IF(AO215="","",AO215*W215)</f>
        <v/>
      </c>
      <c r="AQ215" s="47">
        <f>IF(OR(AJ215="",U215=0),"",MIN(IF(AW215="",9.9E+99,AW215),AN215/U215))</f>
        <v/>
      </c>
      <c r="AR215" s="49">
        <f>IF(AQ215="","",AQ215*W215)</f>
        <v/>
      </c>
      <c r="AS215" s="51" t="n"/>
      <c r="AT215" s="43" t="inlineStr">
        <is>
          <t>Grounded</t>
        </is>
      </c>
      <c r="AU215" s="52" t="n"/>
      <c r="AV215" s="52" t="n"/>
      <c r="AW215" s="53" t="n"/>
      <c r="AX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Y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Z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BA215" s="40" t="inlineStr">
        <is>
          <t>[LB-255 PREMIUM RE-FARE: subsidized comparable $5.5 lifted to premium on-demand floor $18.0] handoff/INDIA-ECONOMICS-SIDECAR-V0-2026-06-20.json (mumbai)</t>
        </is>
      </c>
      <c r="BB215" s="40" t="inlineStr">
        <is>
          <t>handoff/INDIA-ECONOMICS-SIDECAR-V0-2026-06-20.json (mumbai)</t>
        </is>
      </c>
    </row>
    <row r="216">
      <c r="A216" s="38" t="inlineStr">
        <is>
          <t>Ola Mumbai</t>
        </is>
      </c>
      <c r="B216" s="38" t="inlineStr">
        <is>
          <t>India</t>
        </is>
      </c>
      <c r="C216" s="39" t="inlineStr">
        <is>
          <t>Elephanta Caves → Mumbai Trans-Harbour Navi Mumbai Toll Plaza</t>
        </is>
      </c>
      <c r="D216" s="38" t="inlineStr">
        <is>
          <t>rapido</t>
        </is>
      </c>
      <c r="E216" s="40" t="inlineStr">
        <is>
          <t>india-mumbai-ola, india-mumbai-rapido, ola-mumbai, rapido-mumbai, uber-mumbai</t>
        </is>
      </c>
      <c r="F216" s="41" t="n">
        <v>5</v>
      </c>
      <c r="G216" s="42" t="n">
        <v>5.6</v>
      </c>
      <c r="H216" s="35" t="n"/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10909</v>
      </c>
      <c r="AK216" s="43" t="inlineStr">
        <is>
          <t>T3</t>
        </is>
      </c>
      <c r="AL216" s="43" t="inlineStr">
        <is>
          <t>med-low</t>
        </is>
      </c>
      <c r="AM216" s="50" t="n">
        <v>0.1</v>
      </c>
      <c r="AN216" s="45">
        <f>IF(AJ216="","",AJ216*AM216)</f>
        <v/>
      </c>
      <c r="AO216" s="45">
        <f>IF(OR(AJ216="",U216=0),"",MIN(IF(AW216="",9.9E+99,AW216),FLOOR(AN216/U216,1)))</f>
        <v/>
      </c>
      <c r="AP216" s="49">
        <f>IF(AO216="","",AO216*W216)</f>
        <v/>
      </c>
      <c r="AQ216" s="47">
        <f>IF(OR(AJ216="",U216=0),"",MIN(IF(AW216="",9.9E+99,AW216),AN216/U216))</f>
        <v/>
      </c>
      <c r="AR216" s="49">
        <f>IF(AQ216="","",AQ216*W216)</f>
        <v/>
      </c>
      <c r="AS216" s="51" t="n"/>
      <c r="AT216" s="43" t="inlineStr">
        <is>
          <t>Upside tier</t>
        </is>
      </c>
      <c r="AU216" s="52" t="n"/>
      <c r="AV216" s="52" t="inlineStr">
        <is>
          <t>experience_upside</t>
        </is>
      </c>
      <c r="AW216" s="53" t="n"/>
      <c r="AX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Y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Z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BA21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6" s="40" t="inlineStr">
        <is>
          <t>PR #58 Mumbai spine route-count split (11 sealed rows × anchor 120,000 pax/yr)</t>
        </is>
      </c>
    </row>
    <row r="217">
      <c r="A217" s="38" t="inlineStr">
        <is>
          <t>India Goa Rapido</t>
        </is>
      </c>
      <c r="B217" s="38" t="inlineStr">
        <is>
          <t>India</t>
        </is>
      </c>
      <c r="C217" s="39" t="inlineStr">
        <is>
          <t>Goveia Marina → LifeOnYachts Goa</t>
        </is>
      </c>
      <c r="D217" s="38" t="inlineStr">
        <is>
          <t>rapido</t>
        </is>
      </c>
      <c r="E217" s="40" t="inlineStr">
        <is>
          <t>india-goa-ola, india-goa-rapido</t>
        </is>
      </c>
      <c r="F217" s="41" t="n">
        <v>2</v>
      </c>
      <c r="G217" s="42" t="n">
        <v>5.8</v>
      </c>
      <c r="H217" s="35" t="n">
        <v>8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11250</v>
      </c>
      <c r="AK217" s="43" t="inlineStr">
        <is>
          <t>T3</t>
        </is>
      </c>
      <c r="AL217" s="43" t="inlineStr">
        <is>
          <t>med-low</t>
        </is>
      </c>
      <c r="AM217" s="50" t="n">
        <v>0.1</v>
      </c>
      <c r="AN217" s="45">
        <f>IF(AJ217="","",AJ217*AM217)</f>
        <v/>
      </c>
      <c r="AO217" s="45">
        <f>IF(OR(AJ217="",U217=0),"",MIN(IF(AW217="",9.9E+99,AW217),FLOOR(AN217/U217,1)))</f>
        <v/>
      </c>
      <c r="AP217" s="49">
        <f>IF(AO217="","",AO217*W217)</f>
        <v/>
      </c>
      <c r="AQ217" s="47">
        <f>IF(OR(AJ217="",U217=0),"",MIN(IF(AW217="",9.9E+99,AW217),AN217/U217))</f>
        <v/>
      </c>
      <c r="AR217" s="49">
        <f>IF(AQ217="","",AQ217*W217)</f>
        <v/>
      </c>
      <c r="AS217" s="51" t="n"/>
      <c r="AT217" s="43" t="inlineStr">
        <is>
          <t>Grounded</t>
        </is>
      </c>
      <c r="AU217" s="52" t="n"/>
      <c r="AV217" s="52" t="n"/>
      <c r="AW217" s="53" t="n"/>
      <c r="AX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Y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Z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BA217" s="40" t="inlineStr">
        <is>
          <t>handoff/INDIA-ECONOMICS-SIDECAR-V0-2026-06-20.json (goa)</t>
        </is>
      </c>
      <c r="BB217" s="40" t="inlineStr">
        <is>
          <t>handoff/INDIA-ECONOMICS-SIDECAR-V0-2026-06-20.json (goa)</t>
        </is>
      </c>
    </row>
    <row r="218">
      <c r="A218" s="38" t="inlineStr">
        <is>
          <t>India Kerala Rapido</t>
        </is>
      </c>
      <c r="B218" s="38" t="inlineStr">
        <is>
          <t>India</t>
        </is>
      </c>
      <c r="C218" s="39" t="inlineStr">
        <is>
          <t>Keltron Ferry → Chellanam Harbour Kochi</t>
        </is>
      </c>
      <c r="D218" s="38" t="inlineStr">
        <is>
          <t>rapido</t>
        </is>
      </c>
      <c r="E218" s="40" t="inlineStr">
        <is>
          <t>india-kerala-ola, india-kerala-rapido</t>
        </is>
      </c>
      <c r="F218" s="41" t="n">
        <v>2</v>
      </c>
      <c r="G218" s="42" t="n">
        <v>5.8</v>
      </c>
      <c r="H218" s="35" t="n">
        <v>18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>
        <v>29166</v>
      </c>
      <c r="AK218" s="43" t="inlineStr">
        <is>
          <t>T3</t>
        </is>
      </c>
      <c r="AL218" s="43" t="inlineStr">
        <is>
          <t>med-low</t>
        </is>
      </c>
      <c r="AM218" s="50" t="n">
        <v>0.1</v>
      </c>
      <c r="AN218" s="45">
        <f>IF(AJ218="","",AJ218*AM218)</f>
        <v/>
      </c>
      <c r="AO218" s="45">
        <f>IF(OR(AJ218="",U218=0),"",MIN(IF(AW218="",9.9E+99,AW218),FLOOR(AN218/U218,1)))</f>
        <v/>
      </c>
      <c r="AP218" s="49">
        <f>IF(AO218="","",AO218*W218)</f>
        <v/>
      </c>
      <c r="AQ218" s="47">
        <f>IF(OR(AJ218="",U218=0),"",MIN(IF(AW218="",9.9E+99,AW218),AN218/U218))</f>
        <v/>
      </c>
      <c r="AR218" s="49">
        <f>IF(AQ218="","",AQ218*W218)</f>
        <v/>
      </c>
      <c r="AS218" s="51" t="n"/>
      <c r="AT218" s="43" t="inlineStr">
        <is>
          <t>Grounded</t>
        </is>
      </c>
      <c r="AU218" s="52" t="n"/>
      <c r="AV218" s="52" t="n"/>
      <c r="AW218" s="53" t="n"/>
      <c r="AX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Y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Z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BA218" s="40" t="inlineStr">
        <is>
          <t>[LB-255 PREMIUM RE-FARE: subsidized comparable $3.5 lifted to premium on-demand floor $18.0] handoff/INDIA-ECONOMICS-SIDECAR-V0-2026-06-20.json (kerala)</t>
        </is>
      </c>
      <c r="BB218" s="40" t="inlineStr">
        <is>
          <t>handoff/INDIA-ECONOMICS-SIDECAR-V0-2026-06-20.json (kerala)</t>
        </is>
      </c>
    </row>
    <row r="219">
      <c r="A219" s="38" t="inlineStr">
        <is>
          <t>Ola Mumbai</t>
        </is>
      </c>
      <c r="B219" s="38" t="inlineStr">
        <is>
          <t>India</t>
        </is>
      </c>
      <c r="C219" s="39" t="inlineStr">
        <is>
          <t>JNPT Ferry Service → Mumbai Trans-Harbour Navi Mumbai Toll Plaza</t>
        </is>
      </c>
      <c r="D219" s="38" t="inlineStr">
        <is>
          <t>rapido</t>
        </is>
      </c>
      <c r="E219" s="40" t="inlineStr">
        <is>
          <t>india-mumbai-ola, india-mumbai-rapido, ola-mumbai, rapido-mumbai, uber-mumbai</t>
        </is>
      </c>
      <c r="F219" s="41" t="n">
        <v>5</v>
      </c>
      <c r="G219" s="42" t="n">
        <v>5.9</v>
      </c>
      <c r="H219" s="35" t="n"/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10909</v>
      </c>
      <c r="AK219" s="43" t="inlineStr">
        <is>
          <t>T3</t>
        </is>
      </c>
      <c r="AL219" s="43" t="inlineStr">
        <is>
          <t>med-low</t>
        </is>
      </c>
      <c r="AM219" s="50" t="n">
        <v>0.1</v>
      </c>
      <c r="AN219" s="45">
        <f>IF(AJ219="","",AJ219*AM219)</f>
        <v/>
      </c>
      <c r="AO219" s="45">
        <f>IF(OR(AJ219="",U219=0),"",MIN(IF(AW219="",9.9E+99,AW219),FLOOR(AN219/U219,1)))</f>
        <v/>
      </c>
      <c r="AP219" s="49">
        <f>IF(AO219="","",AO219*W219)</f>
        <v/>
      </c>
      <c r="AQ219" s="47">
        <f>IF(OR(AJ219="",U219=0),"",MIN(IF(AW219="",9.9E+99,AW219),AN219/U219))</f>
        <v/>
      </c>
      <c r="AR219" s="49">
        <f>IF(AQ219="","",AQ219*W219)</f>
        <v/>
      </c>
      <c r="AS219" s="51" t="n"/>
      <c r="AT219" s="43" t="inlineStr">
        <is>
          <t>Upside tier</t>
        </is>
      </c>
      <c r="AU219" s="52" t="n"/>
      <c r="AV219" s="52" t="inlineStr">
        <is>
          <t>experience_upside</t>
        </is>
      </c>
      <c r="AW219" s="53" t="n"/>
      <c r="AX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Y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Z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BA21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9" s="40" t="inlineStr">
        <is>
          <t>PR #58 Mumbai spine route-count split (11 sealed rows × anchor 120,000 pax/yr)</t>
        </is>
      </c>
    </row>
    <row r="220">
      <c r="A220" s="38" t="inlineStr">
        <is>
          <t>Ola Mumbai</t>
        </is>
      </c>
      <c r="B220" s="38" t="inlineStr">
        <is>
          <t>India</t>
        </is>
      </c>
      <c r="C220" s="39" t="inlineStr">
        <is>
          <t>Pirpau Jetty → Mumbai Trans-Harbour Navi Mumbai Toll Plaza</t>
        </is>
      </c>
      <c r="D220" s="38" t="inlineStr">
        <is>
          <t>rapido</t>
        </is>
      </c>
      <c r="E220" s="40" t="inlineStr">
        <is>
          <t>india-mumbai-ola, india-mumbai-rapido, ola-mumbai, rapido-mumbai, uber-mumbai</t>
        </is>
      </c>
      <c r="F220" s="41" t="n">
        <v>5</v>
      </c>
      <c r="G220" s="42" t="n">
        <v>6.2</v>
      </c>
      <c r="H220" s="35" t="n"/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10909</v>
      </c>
      <c r="AK220" s="43" t="inlineStr">
        <is>
          <t>T3</t>
        </is>
      </c>
      <c r="AL220" s="43" t="inlineStr">
        <is>
          <t>med-low</t>
        </is>
      </c>
      <c r="AM220" s="50" t="n">
        <v>0.1</v>
      </c>
      <c r="AN220" s="45">
        <f>IF(AJ220="","",AJ220*AM220)</f>
        <v/>
      </c>
      <c r="AO220" s="45">
        <f>IF(OR(AJ220="",U220=0),"",MIN(IF(AW220="",9.9E+99,AW220),FLOOR(AN220/U220,1)))</f>
        <v/>
      </c>
      <c r="AP220" s="49">
        <f>IF(AO220="","",AO220*W220)</f>
        <v/>
      </c>
      <c r="AQ220" s="47">
        <f>IF(OR(AJ220="",U220=0),"",MIN(IF(AW220="",9.9E+99,AW220),AN220/U220))</f>
        <v/>
      </c>
      <c r="AR220" s="49">
        <f>IF(AQ220="","",AQ220*W220)</f>
        <v/>
      </c>
      <c r="AS220" s="51" t="n"/>
      <c r="AT220" s="43" t="inlineStr">
        <is>
          <t>Upside tier</t>
        </is>
      </c>
      <c r="AU220" s="52" t="n"/>
      <c r="AV220" s="52" t="inlineStr">
        <is>
          <t>experience_upside</t>
        </is>
      </c>
      <c r="AW220" s="53" t="n"/>
      <c r="AX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Y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Z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BA22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0" s="40" t="inlineStr">
        <is>
          <t>PR #58 Mumbai spine route-count split (11 sealed rows × anchor 120,000 pax/yr)</t>
        </is>
      </c>
    </row>
    <row r="221">
      <c r="A221" s="38" t="inlineStr">
        <is>
          <t>India Mumbai Rapido</t>
        </is>
      </c>
      <c r="B221" s="38" t="inlineStr">
        <is>
          <t>India</t>
        </is>
      </c>
      <c r="C221" s="39" t="inlineStr">
        <is>
          <t>Mora → Marina Bay Bistro @KARANJA Fishing Dock</t>
        </is>
      </c>
      <c r="D221" s="38" t="inlineStr">
        <is>
          <t>rapido</t>
        </is>
      </c>
      <c r="E221" s="40" t="inlineStr">
        <is>
          <t>india-mumbai-ola, india-mumbai-rapido</t>
        </is>
      </c>
      <c r="F221" s="41" t="n">
        <v>2</v>
      </c>
      <c r="G221" s="42" t="n">
        <v>6.7</v>
      </c>
      <c r="H221" s="35" t="n">
        <v>18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5000</v>
      </c>
      <c r="AK221" s="43" t="inlineStr">
        <is>
          <t>T3</t>
        </is>
      </c>
      <c r="AL221" s="43" t="inlineStr">
        <is>
          <t>med-low</t>
        </is>
      </c>
      <c r="AM221" s="50" t="n">
        <v>0.1</v>
      </c>
      <c r="AN221" s="45">
        <f>IF(AJ221="","",AJ221*AM221)</f>
        <v/>
      </c>
      <c r="AO221" s="45">
        <f>IF(OR(AJ221="",U221=0),"",MIN(IF(AW221="",9.9E+99,AW221),FLOOR(AN221/U221,1)))</f>
        <v/>
      </c>
      <c r="AP221" s="49">
        <f>IF(AO221="","",AO221*W221)</f>
        <v/>
      </c>
      <c r="AQ221" s="47">
        <f>IF(OR(AJ221="",U221=0),"",MIN(IF(AW221="",9.9E+99,AW221),AN221/U221))</f>
        <v/>
      </c>
      <c r="AR221" s="49">
        <f>IF(AQ221="","",AQ221*W221)</f>
        <v/>
      </c>
      <c r="AS221" s="51" t="n"/>
      <c r="AT221" s="43" t="inlineStr">
        <is>
          <t>Grounded</t>
        </is>
      </c>
      <c r="AU221" s="52" t="n"/>
      <c r="AV221" s="52" t="n"/>
      <c r="AW221" s="53" t="n"/>
      <c r="AX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Y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Z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BA221" s="40" t="inlineStr">
        <is>
          <t>[LB-255 PREMIUM RE-FARE: subsidized comparable $5.5 lifted to premium on-demand floor $18.0] handoff/INDIA-ECONOMICS-SIDECAR-V0-2026-06-20.json (mumbai)</t>
        </is>
      </c>
      <c r="BB221" s="40" t="inlineStr">
        <is>
          <t>handoff/INDIA-ECONOMICS-SIDECAR-V0-2026-06-20.json (mumbai)</t>
        </is>
      </c>
    </row>
    <row r="222">
      <c r="A222" s="38" t="inlineStr">
        <is>
          <t>India Goa Rapido</t>
        </is>
      </c>
      <c r="B222" s="38" t="inlineStr">
        <is>
          <t>India</t>
        </is>
      </c>
      <c r="C222" s="39" t="inlineStr">
        <is>
          <t>Villa Marina → Marina Russian B2B Thai Spa Service near me</t>
        </is>
      </c>
      <c r="D222" s="38" t="inlineStr">
        <is>
          <t>rapido</t>
        </is>
      </c>
      <c r="E222" s="40" t="inlineStr">
        <is>
          <t>india-goa-ola, india-goa-rapido</t>
        </is>
      </c>
      <c r="F222" s="41" t="n">
        <v>2</v>
      </c>
      <c r="G222" s="42" t="n">
        <v>6.7</v>
      </c>
      <c r="H222" s="35" t="n">
        <v>8</v>
      </c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11250</v>
      </c>
      <c r="AK222" s="43" t="inlineStr">
        <is>
          <t>T3</t>
        </is>
      </c>
      <c r="AL222" s="43" t="inlineStr">
        <is>
          <t>med-low</t>
        </is>
      </c>
      <c r="AM222" s="50" t="n">
        <v>0.1</v>
      </c>
      <c r="AN222" s="45">
        <f>IF(AJ222="","",AJ222*AM222)</f>
        <v/>
      </c>
      <c r="AO222" s="45">
        <f>IF(OR(AJ222="",U222=0),"",MIN(IF(AW222="",9.9E+99,AW222),FLOOR(AN222/U222,1)))</f>
        <v/>
      </c>
      <c r="AP222" s="49">
        <f>IF(AO222="","",AO222*W222)</f>
        <v/>
      </c>
      <c r="AQ222" s="47">
        <f>IF(OR(AJ222="",U222=0),"",MIN(IF(AW222="",9.9E+99,AW222),AN222/U222))</f>
        <v/>
      </c>
      <c r="AR222" s="49">
        <f>IF(AQ222="","",AQ222*W222)</f>
        <v/>
      </c>
      <c r="AS222" s="51" t="n"/>
      <c r="AT222" s="43" t="inlineStr">
        <is>
          <t>Grounded</t>
        </is>
      </c>
      <c r="AU222" s="52" t="n"/>
      <c r="AV222" s="52" t="n"/>
      <c r="AW222" s="53" t="n"/>
      <c r="AX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Y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Z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BA222" s="40" t="inlineStr">
        <is>
          <t>handoff/INDIA-ECONOMICS-SIDECAR-V0-2026-06-20.json (goa)</t>
        </is>
      </c>
      <c r="BB222" s="40" t="inlineStr">
        <is>
          <t>handoff/INDIA-ECONOMICS-SIDECAR-V0-2026-06-20.json (goa)</t>
        </is>
      </c>
    </row>
    <row r="223">
      <c r="A223" s="38" t="inlineStr">
        <is>
          <t>India Kerala Rapido</t>
        </is>
      </c>
      <c r="B223" s="38" t="inlineStr">
        <is>
          <t>India</t>
        </is>
      </c>
      <c r="C223" s="39" t="inlineStr">
        <is>
          <t>Willingdon Island → Kerala Backwaters &amp; Kochi</t>
        </is>
      </c>
      <c r="D223" s="38" t="inlineStr">
        <is>
          <t>rapido</t>
        </is>
      </c>
      <c r="E223" s="40" t="inlineStr">
        <is>
          <t>india-kerala-ola, india-kerala-rapido</t>
        </is>
      </c>
      <c r="F223" s="41" t="n">
        <v>2</v>
      </c>
      <c r="G223" s="42" t="n">
        <v>6.8</v>
      </c>
      <c r="H223" s="35" t="n">
        <v>18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29166</v>
      </c>
      <c r="AK223" s="43" t="inlineStr">
        <is>
          <t>T3</t>
        </is>
      </c>
      <c r="AL223" s="43" t="inlineStr">
        <is>
          <t>med-low</t>
        </is>
      </c>
      <c r="AM223" s="50" t="n">
        <v>0.1</v>
      </c>
      <c r="AN223" s="45">
        <f>IF(AJ223="","",AJ223*AM223)</f>
        <v/>
      </c>
      <c r="AO223" s="45">
        <f>IF(OR(AJ223="",U223=0),"",MIN(IF(AW223="",9.9E+99,AW223),FLOOR(AN223/U223,1)))</f>
        <v/>
      </c>
      <c r="AP223" s="49">
        <f>IF(AO223="","",AO223*W223)</f>
        <v/>
      </c>
      <c r="AQ223" s="47">
        <f>IF(OR(AJ223="",U223=0),"",MIN(IF(AW223="",9.9E+99,AW223),AN223/U223))</f>
        <v/>
      </c>
      <c r="AR223" s="49">
        <f>IF(AQ223="","",AQ223*W223)</f>
        <v/>
      </c>
      <c r="AS223" s="51" t="n"/>
      <c r="AT223" s="43" t="inlineStr">
        <is>
          <t>Grounded</t>
        </is>
      </c>
      <c r="AU223" s="52" t="n"/>
      <c r="AV223" s="52" t="n"/>
      <c r="AW223" s="53" t="n"/>
      <c r="AX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Y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Z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BA223" s="40" t="inlineStr">
        <is>
          <t>[LB-255 PREMIUM RE-FARE: subsidized comparable $3.5 lifted to premium on-demand floor $18.0] handoff/INDIA-ECONOMICS-SIDECAR-V0-2026-06-20.json (kerala)</t>
        </is>
      </c>
      <c r="BB223" s="40" t="inlineStr">
        <is>
          <t>handoff/INDIA-ECONOMICS-SIDECAR-V0-2026-06-20.json (kerala)</t>
        </is>
      </c>
    </row>
    <row r="224">
      <c r="A224" s="38" t="inlineStr">
        <is>
          <t>India Goa Rapido</t>
        </is>
      </c>
      <c r="B224" s="38" t="inlineStr">
        <is>
          <t>India</t>
        </is>
      </c>
      <c r="C224" s="39" t="inlineStr">
        <is>
          <t>Marina Russian B2B Thai Spa Service near me → Goveia Marina</t>
        </is>
      </c>
      <c r="D224" s="38" t="inlineStr">
        <is>
          <t>rapido</t>
        </is>
      </c>
      <c r="E224" s="40" t="inlineStr">
        <is>
          <t>india-goa-ola, india-goa-rapido</t>
        </is>
      </c>
      <c r="F224" s="41" t="n">
        <v>2</v>
      </c>
      <c r="G224" s="42" t="n">
        <v>7.5</v>
      </c>
      <c r="H224" s="35" t="n">
        <v>8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MIN(15,FLOOR(60*service_hr/M224,1))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11250</v>
      </c>
      <c r="AK224" s="43" t="inlineStr">
        <is>
          <t>T3</t>
        </is>
      </c>
      <c r="AL224" s="43" t="inlineStr">
        <is>
          <t>med-low</t>
        </is>
      </c>
      <c r="AM224" s="50" t="n">
        <v>0.1</v>
      </c>
      <c r="AN224" s="45">
        <f>IF(AJ224="","",AJ224*AM224)</f>
        <v/>
      </c>
      <c r="AO224" s="45">
        <f>IF(OR(AJ224="",U224=0),"",MIN(IF(AW224="",9.9E+99,AW224),FLOOR(AN224/U224,1)))</f>
        <v/>
      </c>
      <c r="AP224" s="49">
        <f>IF(AO224="","",AO224*W224)</f>
        <v/>
      </c>
      <c r="AQ224" s="47">
        <f>IF(OR(AJ224="",U224=0),"",MIN(IF(AW224="",9.9E+99,AW224),AN224/U224))</f>
        <v/>
      </c>
      <c r="AR224" s="49">
        <f>IF(AQ224="","",AQ224*W224)</f>
        <v/>
      </c>
      <c r="AS224" s="51" t="n"/>
      <c r="AT224" s="43" t="inlineStr">
        <is>
          <t>Grounded</t>
        </is>
      </c>
      <c r="AU224" s="52" t="n"/>
      <c r="AV224" s="52" t="n"/>
      <c r="AW224" s="53" t="n"/>
      <c r="AX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Y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Z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BA224" s="40" t="inlineStr">
        <is>
          <t>handoff/INDIA-ECONOMICS-SIDECAR-V0-2026-06-20.json (goa)</t>
        </is>
      </c>
      <c r="BB224" s="40" t="inlineStr">
        <is>
          <t>handoff/INDIA-ECONOMICS-SIDECAR-V0-2026-06-20.json (goa)</t>
        </is>
      </c>
    </row>
    <row r="225">
      <c r="A225" s="38" t="inlineStr">
        <is>
          <t>Ola Mumbai</t>
        </is>
      </c>
      <c r="B225" s="38" t="inlineStr">
        <is>
          <t>India</t>
        </is>
      </c>
      <c r="C225" s="39" t="inlineStr">
        <is>
          <t>Mumbai Harbour → Mandwa Jetty</t>
        </is>
      </c>
      <c r="D225" s="38" t="inlineStr">
        <is>
          <t>rapido</t>
        </is>
      </c>
      <c r="E225" s="40" t="inlineStr">
        <is>
          <t>india-mumbai-ola, india-mumbai-rapido, ola-mumbai, rapido-mumbai, uber-mumbai</t>
        </is>
      </c>
      <c r="F225" s="41" t="n">
        <v>5</v>
      </c>
      <c r="G225" s="42" t="n">
        <v>7.9</v>
      </c>
      <c r="H225" s="35" t="n"/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MIN(15,FLOOR(60*service_hr/M225,1))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10909</v>
      </c>
      <c r="AK225" s="43" t="inlineStr">
        <is>
          <t>T3</t>
        </is>
      </c>
      <c r="AL225" s="43" t="inlineStr">
        <is>
          <t>med-low</t>
        </is>
      </c>
      <c r="AM225" s="50" t="n">
        <v>0.1</v>
      </c>
      <c r="AN225" s="45">
        <f>IF(AJ225="","",AJ225*AM225)</f>
        <v/>
      </c>
      <c r="AO225" s="45">
        <f>IF(OR(AJ225="",U225=0),"",MIN(IF(AW225="",9.9E+99,AW225),FLOOR(AN225/U225,1)))</f>
        <v/>
      </c>
      <c r="AP225" s="49">
        <f>IF(AO225="","",AO225*W225)</f>
        <v/>
      </c>
      <c r="AQ225" s="47">
        <f>IF(OR(AJ225="",U225=0),"",MIN(IF(AW225="",9.9E+99,AW225),AN225/U225))</f>
        <v/>
      </c>
      <c r="AR225" s="49">
        <f>IF(AQ225="","",AQ225*W225)</f>
        <v/>
      </c>
      <c r="AS225" s="51" t="n"/>
      <c r="AT225" s="43" t="inlineStr">
        <is>
          <t>Upside tier</t>
        </is>
      </c>
      <c r="AU225" s="52" t="n"/>
      <c r="AV225" s="52" t="inlineStr">
        <is>
          <t>experience_upside</t>
        </is>
      </c>
      <c r="AW225" s="53" t="n"/>
      <c r="AX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Y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Z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BA22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5" s="40" t="inlineStr">
        <is>
          <t>PR #58 Mumbai spine route-count split (11 sealed rows × anchor 120,000 pax/yr)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Bambooflat Jetty → Game Fishing In Andaman | Bite Me Charter | Best Sport fishing in Andaman Islands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8.4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MIN(15,FLOOR(60*service_hr/M226,1))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>
        <v>5000</v>
      </c>
      <c r="AK226" s="43" t="inlineStr">
        <is>
          <t>T3</t>
        </is>
      </c>
      <c r="AL226" s="43" t="inlineStr">
        <is>
          <t>med-low</t>
        </is>
      </c>
      <c r="AM226" s="50" t="n">
        <v>0.1</v>
      </c>
      <c r="AN226" s="45">
        <f>IF(AJ226="","",AJ226*AM226)</f>
        <v/>
      </c>
      <c r="AO226" s="45">
        <f>IF(OR(AJ226="",U226=0),"",MIN(IF(AW226="",9.9E+99,AW226),FLOOR(AN226/U226,1)))</f>
        <v/>
      </c>
      <c r="AP226" s="49">
        <f>IF(AO226="","",AO226*W226)</f>
        <v/>
      </c>
      <c r="AQ226" s="47">
        <f>IF(OR(AJ226="",U226=0),"",MIN(IF(AW226="",9.9E+99,AW226),AN226/U226))</f>
        <v/>
      </c>
      <c r="AR226" s="49">
        <f>IF(AQ226="","",AQ226*W226)</f>
        <v/>
      </c>
      <c r="AS226" s="51" t="n"/>
      <c r="AT226" s="43" t="inlineStr">
        <is>
          <t>Grounded</t>
        </is>
      </c>
      <c r="AU226" s="52" t="n"/>
      <c r="AV226" s="52" t="n"/>
      <c r="AW226" s="53" t="n"/>
      <c r="AX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Y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Z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BA226" s="40" t="inlineStr">
        <is>
          <t>handoff/INDIA-ECONOMICS-SIDECAR-V0-2026-06-20.json (andaman)</t>
        </is>
      </c>
      <c r="BB226" s="40" t="inlineStr">
        <is>
          <t>handoff/INDIA-ECONOMICS-SIDECAR-V0-2026-06-20.json (andaman)</t>
        </is>
      </c>
    </row>
    <row r="227">
      <c r="A227" s="38" t="inlineStr">
        <is>
          <t>India Mumbai Rapido</t>
        </is>
      </c>
      <c r="B227" s="38" t="inlineStr">
        <is>
          <t>India</t>
        </is>
      </c>
      <c r="C227" s="39" t="inlineStr">
        <is>
          <t>Cordelia Cruises → OLD HARBOR TEA &amp; COFFEE</t>
        </is>
      </c>
      <c r="D227" s="38" t="inlineStr">
        <is>
          <t>rapido</t>
        </is>
      </c>
      <c r="E227" s="40" t="inlineStr">
        <is>
          <t>india-mumbai-ola, india-mumbai-rapido</t>
        </is>
      </c>
      <c r="F227" s="41" t="n">
        <v>2</v>
      </c>
      <c r="G227" s="42" t="n">
        <v>8.5</v>
      </c>
      <c r="H227" s="35" t="n">
        <v>18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MIN(15,FLOOR(60*service_hr/M227,1))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5000</v>
      </c>
      <c r="AK227" s="43" t="inlineStr">
        <is>
          <t>T3</t>
        </is>
      </c>
      <c r="AL227" s="43" t="inlineStr">
        <is>
          <t>med-low</t>
        </is>
      </c>
      <c r="AM227" s="50" t="n">
        <v>0.1</v>
      </c>
      <c r="AN227" s="45">
        <f>IF(AJ227="","",AJ227*AM227)</f>
        <v/>
      </c>
      <c r="AO227" s="45">
        <f>IF(OR(AJ227="",U227=0),"",MIN(IF(AW227="",9.9E+99,AW227),FLOOR(AN227/U227,1)))</f>
        <v/>
      </c>
      <c r="AP227" s="49">
        <f>IF(AO227="","",AO227*W227)</f>
        <v/>
      </c>
      <c r="AQ227" s="47">
        <f>IF(OR(AJ227="",U227=0),"",MIN(IF(AW227="",9.9E+99,AW227),AN227/U227))</f>
        <v/>
      </c>
      <c r="AR227" s="49">
        <f>IF(AQ227="","",AQ227*W227)</f>
        <v/>
      </c>
      <c r="AS227" s="51" t="n"/>
      <c r="AT227" s="43" t="inlineStr">
        <is>
          <t>Grounded</t>
        </is>
      </c>
      <c r="AU227" s="52" t="n"/>
      <c r="AV227" s="52" t="n"/>
      <c r="AW227" s="53" t="n"/>
      <c r="AX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Y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Z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BA227" s="40" t="inlineStr">
        <is>
          <t>[LB-255 PREMIUM RE-FARE: subsidized comparable $5.5 lifted to premium on-demand floor $18.0] handoff/INDIA-ECONOMICS-SIDECAR-V0-2026-06-20.json (mumbai)</t>
        </is>
      </c>
      <c r="BB227" s="40" t="inlineStr">
        <is>
          <t>handoff/INDIA-ECONOMICS-SIDECAR-V0-2026-06-20.json (mumbai)</t>
        </is>
      </c>
    </row>
    <row r="228">
      <c r="A228" s="38" t="inlineStr">
        <is>
          <t>Ola Mumbai</t>
        </is>
      </c>
      <c r="B228" s="38" t="inlineStr">
        <is>
          <t>India</t>
        </is>
      </c>
      <c r="C228" s="39" t="inlineStr">
        <is>
          <t>Versova Ferry Wharf → Gateway of India</t>
        </is>
      </c>
      <c r="D228" s="38" t="inlineStr">
        <is>
          <t>rapido</t>
        </is>
      </c>
      <c r="E228" s="40" t="inlineStr">
        <is>
          <t>india-mumbai-ola, india-mumbai-rapido, ola-mumbai, rapido-mumbai, uber-mumbai</t>
        </is>
      </c>
      <c r="F228" s="41" t="n">
        <v>5</v>
      </c>
      <c r="G228" s="42" t="n">
        <v>12.43</v>
      </c>
      <c r="H228" s="35" t="n"/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10909</v>
      </c>
      <c r="AK228" s="43" t="inlineStr">
        <is>
          <t>T3</t>
        </is>
      </c>
      <c r="AL228" s="43" t="inlineStr">
        <is>
          <t>med-low</t>
        </is>
      </c>
      <c r="AM228" s="50" t="n">
        <v>0.1</v>
      </c>
      <c r="AN228" s="45">
        <f>IF(AJ228="","",AJ228*AM228)</f>
        <v/>
      </c>
      <c r="AO228" s="45">
        <f>IF(OR(AJ228="",U228=0),"",MIN(IF(AW228="",9.9E+99,AW228),FLOOR(AN228/U228,1)))</f>
        <v/>
      </c>
      <c r="AP228" s="49">
        <f>IF(AO228="","",AO228*W228)</f>
        <v/>
      </c>
      <c r="AQ228" s="47">
        <f>IF(OR(AJ228="",U228=0),"",MIN(IF(AW228="",9.9E+99,AW228),AN228/U228))</f>
        <v/>
      </c>
      <c r="AR228" s="49">
        <f>IF(AQ228="","",AQ228*W228)</f>
        <v/>
      </c>
      <c r="AS228" s="51" t="n"/>
      <c r="AT228" s="43" t="inlineStr">
        <is>
          <t>Upside tier</t>
        </is>
      </c>
      <c r="AU228" s="52" t="n"/>
      <c r="AV228" s="52" t="inlineStr">
        <is>
          <t>experience_upside</t>
        </is>
      </c>
      <c r="AW228" s="53" t="n"/>
      <c r="AX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Y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Z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BA22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8" s="40" t="inlineStr">
        <is>
          <t>PR #58 Mumbai spine route-count split (11 sealed rows × anchor 120,000 pax/yr)</t>
        </is>
      </c>
    </row>
    <row r="229">
      <c r="A229" s="38" t="inlineStr">
        <is>
          <t>India Mumbai Rapido</t>
        </is>
      </c>
      <c r="B229" s="38" t="inlineStr">
        <is>
          <t>India</t>
        </is>
      </c>
      <c r="C229" s="39" t="inlineStr">
        <is>
          <t>Gorai / Marve Jetty → Nariman Point Water-Taxi Jetty</t>
        </is>
      </c>
      <c r="D229" s="38" t="inlineStr">
        <is>
          <t>rapido</t>
        </is>
      </c>
      <c r="E229" s="40" t="inlineStr">
        <is>
          <t>india-mumbai-ola, india-mumbai-rapido</t>
        </is>
      </c>
      <c r="F229" s="41" t="n">
        <v>2</v>
      </c>
      <c r="G229" s="42" t="n">
        <v>13.45</v>
      </c>
      <c r="H229" s="35" t="n">
        <v>18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MIN(15,FLOOR(60*service_hr/M229,1))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5000</v>
      </c>
      <c r="AK229" s="43" t="inlineStr">
        <is>
          <t>T3</t>
        </is>
      </c>
      <c r="AL229" s="43" t="inlineStr">
        <is>
          <t>med-low</t>
        </is>
      </c>
      <c r="AM229" s="50" t="n">
        <v>0.1</v>
      </c>
      <c r="AN229" s="45">
        <f>IF(AJ229="","",AJ229*AM229)</f>
        <v/>
      </c>
      <c r="AO229" s="45">
        <f>IF(OR(AJ229="",U229=0),"",MIN(IF(AW229="",9.9E+99,AW229),FLOOR(AN229/U229,1)))</f>
        <v/>
      </c>
      <c r="AP229" s="49">
        <f>IF(AO229="","",AO229*W229)</f>
        <v/>
      </c>
      <c r="AQ229" s="47">
        <f>IF(OR(AJ229="",U229=0),"",MIN(IF(AW229="",9.9E+99,AW229),AN229/U229))</f>
        <v/>
      </c>
      <c r="AR229" s="49">
        <f>IF(AQ229="","",AQ229*W229)</f>
        <v/>
      </c>
      <c r="AS229" s="51" t="n"/>
      <c r="AT229" s="43" t="inlineStr">
        <is>
          <t>Grounded</t>
        </is>
      </c>
      <c r="AU229" s="52" t="n"/>
      <c r="AV229" s="52" t="n"/>
      <c r="AW229" s="53" t="n"/>
      <c r="AX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Y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Z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BA229" s="40" t="inlineStr">
        <is>
          <t>[LB-255 PREMIUM RE-FARE: subsidized comparable $5.5 lifted to premium on-demand floor $18.0] handoff/INDIA-ECONOMICS-SIDECAR-V0-2026-06-20.json (mumbai)</t>
        </is>
      </c>
      <c r="BB229" s="40" t="inlineStr">
        <is>
          <t>handoff/INDIA-ECONOMICS-SIDECAR-V0-2026-06-20.json (mumbai)</t>
        </is>
      </c>
    </row>
    <row r="230">
      <c r="A230" s="38" t="inlineStr">
        <is>
          <t>India Andaman Rapido</t>
        </is>
      </c>
      <c r="B230" s="38" t="inlineStr">
        <is>
          <t>India</t>
        </is>
      </c>
      <c r="C230" s="39" t="inlineStr">
        <is>
          <t>APARUPA SANDS MARINA → Shaheed Dweep Jetty</t>
        </is>
      </c>
      <c r="D230" s="38" t="inlineStr">
        <is>
          <t>rapido</t>
        </is>
      </c>
      <c r="E230" s="40" t="inlineStr">
        <is>
          <t>india-andaman-ola, india-andaman-rapido</t>
        </is>
      </c>
      <c r="F230" s="41" t="n">
        <v>2</v>
      </c>
      <c r="G230" s="42" t="n">
        <v>13.9</v>
      </c>
      <c r="H230" s="35" t="n">
        <v>22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5000</v>
      </c>
      <c r="AK230" s="43" t="inlineStr">
        <is>
          <t>T3</t>
        </is>
      </c>
      <c r="AL230" s="43" t="inlineStr">
        <is>
          <t>med-low</t>
        </is>
      </c>
      <c r="AM230" s="50" t="n">
        <v>0.1</v>
      </c>
      <c r="AN230" s="45">
        <f>IF(AJ230="","",AJ230*AM230)</f>
        <v/>
      </c>
      <c r="AO230" s="45">
        <f>IF(OR(AJ230="",U230=0),"",MIN(IF(AW230="",9.9E+99,AW230),FLOOR(AN230/U230,1)))</f>
        <v/>
      </c>
      <c r="AP230" s="49">
        <f>IF(AO230="","",AO230*W230)</f>
        <v/>
      </c>
      <c r="AQ230" s="47">
        <f>IF(OR(AJ230="",U230=0),"",MIN(IF(AW230="",9.9E+99,AW230),AN230/U230))</f>
        <v/>
      </c>
      <c r="AR230" s="49">
        <f>IF(AQ230="","",AQ230*W230)</f>
        <v/>
      </c>
      <c r="AS230" s="51" t="n"/>
      <c r="AT230" s="43" t="inlineStr">
        <is>
          <t>Grounded</t>
        </is>
      </c>
      <c r="AU230" s="52" t="n"/>
      <c r="AV230" s="52" t="n"/>
      <c r="AW230" s="53" t="n"/>
      <c r="AX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Y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Z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BA230" s="40" t="inlineStr">
        <is>
          <t>handoff/INDIA-ECONOMICS-SIDECAR-V0-2026-06-20.json (andaman)</t>
        </is>
      </c>
      <c r="BB230" s="40" t="inlineStr">
        <is>
          <t>handoff/INDIA-ECONOMICS-SIDECAR-V0-2026-06-20.json (andaman)</t>
        </is>
      </c>
    </row>
    <row r="231">
      <c r="A231" s="38" t="inlineStr">
        <is>
          <t>India Andaman Rapido</t>
        </is>
      </c>
      <c r="B231" s="38" t="inlineStr">
        <is>
          <t>India</t>
        </is>
      </c>
      <c r="C231" s="39" t="inlineStr">
        <is>
          <t>Office Of Assistant Engineer Civil, Andaman Lakshdweep Harbour Work Havelock → Shaheed Dweep Jetty</t>
        </is>
      </c>
      <c r="D231" s="38" t="inlineStr">
        <is>
          <t>rapido</t>
        </is>
      </c>
      <c r="E231" s="40" t="inlineStr">
        <is>
          <t>india-andaman-ola, india-andaman-rapido</t>
        </is>
      </c>
      <c r="F231" s="41" t="n">
        <v>2</v>
      </c>
      <c r="G231" s="42" t="n">
        <v>15.2</v>
      </c>
      <c r="H231" s="35" t="n">
        <v>22</v>
      </c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5000</v>
      </c>
      <c r="AK231" s="43" t="inlineStr">
        <is>
          <t>T3</t>
        </is>
      </c>
      <c r="AL231" s="43" t="inlineStr">
        <is>
          <t>med-low</t>
        </is>
      </c>
      <c r="AM231" s="50" t="n">
        <v>0.1</v>
      </c>
      <c r="AN231" s="45">
        <f>IF(AJ231="","",AJ231*AM231)</f>
        <v/>
      </c>
      <c r="AO231" s="45">
        <f>IF(OR(AJ231="",U231=0),"",MIN(IF(AW231="",9.9E+99,AW231),FLOOR(AN231/U231,1)))</f>
        <v/>
      </c>
      <c r="AP231" s="49">
        <f>IF(AO231="","",AO231*W231)</f>
        <v/>
      </c>
      <c r="AQ231" s="47">
        <f>IF(OR(AJ231="",U231=0),"",MIN(IF(AW231="",9.9E+99,AW231),AN231/U231))</f>
        <v/>
      </c>
      <c r="AR231" s="49">
        <f>IF(AQ231="","",AQ231*W231)</f>
        <v/>
      </c>
      <c r="AS231" s="51" t="n"/>
      <c r="AT231" s="43" t="inlineStr">
        <is>
          <t>Grounded</t>
        </is>
      </c>
      <c r="AU231" s="52" t="n"/>
      <c r="AV231" s="52" t="n"/>
      <c r="AW231" s="53" t="n"/>
      <c r="AX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Y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Z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BA231" s="40" t="inlineStr">
        <is>
          <t>handoff/INDIA-ECONOMICS-SIDECAR-V0-2026-06-20.json (andaman)</t>
        </is>
      </c>
      <c r="BB231" s="40" t="inlineStr">
        <is>
          <t>handoff/INDIA-ECONOMICS-SIDECAR-V0-2026-06-20.json (andaman)</t>
        </is>
      </c>
    </row>
    <row r="232">
      <c r="A232" s="38" t="inlineStr">
        <is>
          <t>India Kolkata Rapido</t>
        </is>
      </c>
      <c r="B232" s="38" t="inlineStr">
        <is>
          <t>India</t>
        </is>
      </c>
      <c r="C232" s="39" t="inlineStr">
        <is>
          <t>Millennium Park Jetty → Chandannagar Riverfront</t>
        </is>
      </c>
      <c r="D232" s="38" t="inlineStr">
        <is>
          <t>rapido</t>
        </is>
      </c>
      <c r="E232" s="40" t="inlineStr">
        <is>
          <t>india-kolkata-ola, india-kolkata-rapido, india-kolkata-uber-india</t>
        </is>
      </c>
      <c r="F232" s="41" t="n">
        <v>3</v>
      </c>
      <c r="G232" s="42" t="n">
        <v>17.9</v>
      </c>
      <c r="H232" s="35" t="n">
        <v>18</v>
      </c>
      <c r="I232" s="43" t="n"/>
      <c r="J232" s="43" t="n"/>
      <c r="K232" s="29" t="n">
        <v>1</v>
      </c>
      <c r="L232" s="44">
        <f>60*G232/cruise_kt</f>
        <v/>
      </c>
      <c r="M232" s="44">
        <f>L232+turn_min+dwell_min</f>
        <v/>
      </c>
      <c r="N232" s="45">
        <f>MIN(15,FLOOR(60*service_hr/M232,1))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1600000</v>
      </c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IF(OR(AJ232="",U232=0),"",MIN(IF(AW232="",9.9E+99,AW232),FLOOR(AN232/U232,1)))</f>
        <v/>
      </c>
      <c r="AP232" s="49">
        <f>IF(AO232="","",AO232*W232)</f>
        <v/>
      </c>
      <c r="AQ232" s="47">
        <f>IF(OR(AJ232="",U232=0),"",MIN(IF(AW232="",9.9E+99,AW232),AN232/U232))</f>
        <v/>
      </c>
      <c r="AR232" s="49">
        <f>IF(AQ232="","",AQ232*W232)</f>
        <v/>
      </c>
      <c r="AS232" s="51" t="n"/>
      <c r="AT232" s="43" t="inlineStr">
        <is>
          <t>Grounded</t>
        </is>
      </c>
      <c r="AU232" s="52" t="n"/>
      <c r="AV232" s="52" t="n"/>
      <c r="AW232" s="53" t="n"/>
      <c r="AX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Y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Z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BA232" s="40" t="inlineStr">
        <is>
          <t xml:space="preserve">[LB-255 PREMIUM RE-FARE: subsidized comparable $2.5 lifted to premium on-demand floor $18.0] </t>
        </is>
      </c>
      <c r="BB232" s="40" t="n"/>
    </row>
    <row r="233">
      <c r="A233" s="38" t="inlineStr">
        <is>
          <t>India Andaman Rapido</t>
        </is>
      </c>
      <c r="B233" s="38" t="inlineStr">
        <is>
          <t>India</t>
        </is>
      </c>
      <c r="C233" s="39" t="inlineStr">
        <is>
          <t>Bambooflat Jetty → Shaheed Dweep Jetty</t>
        </is>
      </c>
      <c r="D233" s="38" t="inlineStr">
        <is>
          <t>rapido</t>
        </is>
      </c>
      <c r="E233" s="40" t="inlineStr">
        <is>
          <t>india-andaman-ola, india-andaman-rapido</t>
        </is>
      </c>
      <c r="F233" s="41" t="n">
        <v>2</v>
      </c>
      <c r="G233" s="42" t="n">
        <v>21.1</v>
      </c>
      <c r="H233" s="35" t="n">
        <v>22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MIN(15,FLOOR(60*service_hr/M233,1))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5000</v>
      </c>
      <c r="AK233" s="43" t="inlineStr">
        <is>
          <t>T3</t>
        </is>
      </c>
      <c r="AL233" s="43" t="inlineStr">
        <is>
          <t>med-low</t>
        </is>
      </c>
      <c r="AM233" s="50" t="n">
        <v>0.1</v>
      </c>
      <c r="AN233" s="45">
        <f>IF(AJ233="","",AJ233*AM233)</f>
        <v/>
      </c>
      <c r="AO233" s="45">
        <f>IF(OR(AJ233="",U233=0),"",MIN(IF(AW233="",9.9E+99,AW233),FLOOR(AN233/U233,1)))</f>
        <v/>
      </c>
      <c r="AP233" s="49">
        <f>IF(AO233="","",AO233*W233)</f>
        <v/>
      </c>
      <c r="AQ233" s="47">
        <f>IF(OR(AJ233="",U233=0),"",MIN(IF(AW233="",9.9E+99,AW233),AN233/U233))</f>
        <v/>
      </c>
      <c r="AR233" s="49">
        <f>IF(AQ233="","",AQ233*W233)</f>
        <v/>
      </c>
      <c r="AS233" s="51" t="n"/>
      <c r="AT233" s="43" t="inlineStr">
        <is>
          <t>Grounded</t>
        </is>
      </c>
      <c r="AU233" s="52" t="n"/>
      <c r="AV233" s="52" t="n"/>
      <c r="AW233" s="53" t="n"/>
      <c r="AX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Y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Z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BA233" s="40" t="inlineStr">
        <is>
          <t>handoff/INDIA-ECONOMICS-SIDECAR-V0-2026-06-20.json (andaman)</t>
        </is>
      </c>
      <c r="BB233" s="40" t="inlineStr">
        <is>
          <t>handoff/INDIA-ECONOMICS-SIDECAR-V0-2026-06-20.json (andaman)</t>
        </is>
      </c>
    </row>
    <row r="234">
      <c r="A234" s="38" t="inlineStr">
        <is>
          <t>India Andaman Rapido</t>
        </is>
      </c>
      <c r="B234" s="38" t="inlineStr">
        <is>
          <t>India</t>
        </is>
      </c>
      <c r="C234" s="39" t="inlineStr">
        <is>
          <t>Andaman → Office Of Assistant Engineer Civil, Andaman Lakshdweep Harbour Work Havelock</t>
        </is>
      </c>
      <c r="D234" s="38" t="inlineStr">
        <is>
          <t>rapido</t>
        </is>
      </c>
      <c r="E234" s="40" t="inlineStr">
        <is>
          <t>india-andaman-ola, india-andaman-rapido</t>
        </is>
      </c>
      <c r="F234" s="41" t="n">
        <v>2</v>
      </c>
      <c r="G234" s="42" t="n">
        <v>28.2</v>
      </c>
      <c r="H234" s="35" t="n">
        <v>22</v>
      </c>
      <c r="I234" s="43" t="inlineStr">
        <is>
          <t>T3</t>
        </is>
      </c>
      <c r="J234" s="43" t="inlineStr">
        <is>
          <t>med-low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MIN(15,FLOOR(60*service_hr/M234,1))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5000</v>
      </c>
      <c r="AK234" s="43" t="inlineStr">
        <is>
          <t>T3</t>
        </is>
      </c>
      <c r="AL234" s="43" t="inlineStr">
        <is>
          <t>med-low</t>
        </is>
      </c>
      <c r="AM234" s="50" t="n">
        <v>0.1</v>
      </c>
      <c r="AN234" s="45">
        <f>IF(AJ234="","",AJ234*AM234)</f>
        <v/>
      </c>
      <c r="AO234" s="45">
        <f>IF(OR(AJ234="",U234=0),"",MIN(IF(AW234="",9.9E+99,AW234),FLOOR(AN234/U234,1)))</f>
        <v/>
      </c>
      <c r="AP234" s="49">
        <f>IF(AO234="","",AO234*W234)</f>
        <v/>
      </c>
      <c r="AQ234" s="47">
        <f>IF(OR(AJ234="",U234=0),"",MIN(IF(AW234="",9.9E+99,AW234),AN234/U234))</f>
        <v/>
      </c>
      <c r="AR234" s="49">
        <f>IF(AQ234="","",AQ234*W234)</f>
        <v/>
      </c>
      <c r="AS234" s="51" t="n"/>
      <c r="AT234" s="43" t="inlineStr">
        <is>
          <t>Grounded</t>
        </is>
      </c>
      <c r="AU234" s="52" t="n"/>
      <c r="AV234" s="52" t="n"/>
      <c r="AW234" s="53" t="n"/>
      <c r="AX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Y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Z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BA234" s="40" t="inlineStr">
        <is>
          <t>handoff/INDIA-ECONOMICS-SIDECAR-V0-2026-06-20.json (andaman)</t>
        </is>
      </c>
      <c r="BB234" s="40" t="inlineStr">
        <is>
          <t>handoff/INDIA-ECONOMICS-SIDECAR-V0-2026-06-20.json (andaman)</t>
        </is>
      </c>
    </row>
    <row r="235">
      <c r="A235" s="38" t="inlineStr">
        <is>
          <t>India Andaman Rapido</t>
        </is>
      </c>
      <c r="B235" s="38" t="inlineStr">
        <is>
          <t>India</t>
        </is>
      </c>
      <c r="C235" s="39" t="inlineStr">
        <is>
          <t>Andaman → APARUPA SANDS MARINA</t>
        </is>
      </c>
      <c r="D235" s="38" t="inlineStr">
        <is>
          <t>rapido</t>
        </is>
      </c>
      <c r="E235" s="40" t="inlineStr">
        <is>
          <t>india-andaman-ola, india-andaman-rapido</t>
        </is>
      </c>
      <c r="F235" s="41" t="n">
        <v>2</v>
      </c>
      <c r="G235" s="42" t="n">
        <v>29.4</v>
      </c>
      <c r="H235" s="35" t="n">
        <v>22</v>
      </c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MIN(15,FLOOR(60*service_hr/M235,1))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5000</v>
      </c>
      <c r="AK235" s="43" t="inlineStr">
        <is>
          <t>T3</t>
        </is>
      </c>
      <c r="AL235" s="43" t="inlineStr">
        <is>
          <t>med-low</t>
        </is>
      </c>
      <c r="AM235" s="50" t="n">
        <v>0.1</v>
      </c>
      <c r="AN235" s="45">
        <f>IF(AJ235="","",AJ235*AM235)</f>
        <v/>
      </c>
      <c r="AO235" s="45">
        <f>IF(OR(AJ235="",U235=0),"",MIN(IF(AW235="",9.9E+99,AW235),FLOOR(AN235/U235,1)))</f>
        <v/>
      </c>
      <c r="AP235" s="49">
        <f>IF(AO235="","",AO235*W235)</f>
        <v/>
      </c>
      <c r="AQ235" s="47">
        <f>IF(OR(AJ235="",U235=0),"",MIN(IF(AW235="",9.9E+99,AW235),AN235/U235))</f>
        <v/>
      </c>
      <c r="AR235" s="49">
        <f>IF(AQ235="","",AQ235*W235)</f>
        <v/>
      </c>
      <c r="AS235" s="51" t="n"/>
      <c r="AT235" s="43" t="inlineStr">
        <is>
          <t>Grounded</t>
        </is>
      </c>
      <c r="AU235" s="52" t="n"/>
      <c r="AV235" s="52" t="n"/>
      <c r="AW235" s="53" t="n"/>
      <c r="AX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Y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Z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BA235" s="40" t="inlineStr">
        <is>
          <t>handoff/INDIA-ECONOMICS-SIDECAR-V0-2026-06-20.json (andaman)</t>
        </is>
      </c>
      <c r="BB235" s="40" t="inlineStr">
        <is>
          <t>handoff/INDIA-ECONOMICS-SIDECAR-V0-2026-06-20.json (andaman)</t>
        </is>
      </c>
    </row>
    <row r="236">
      <c r="A236" s="38" t="inlineStr">
        <is>
          <t>Komodo Flores</t>
        </is>
      </c>
      <c r="B236" s="38" t="inlineStr">
        <is>
          <t>Indonesia</t>
        </is>
      </c>
      <c r="C236" s="39" t="inlineStr">
        <is>
          <t>Komodo → Pelabuhan Labuan Bajo</t>
        </is>
      </c>
      <c r="D236" s="38" t="inlineStr">
        <is>
          <t>grab</t>
        </is>
      </c>
      <c r="E236" s="40" t="inlineStr">
        <is>
          <t>komodo-flores</t>
        </is>
      </c>
      <c r="F236" s="41" t="n">
        <v>1</v>
      </c>
      <c r="G236" s="42" t="n">
        <v>1.4</v>
      </c>
      <c r="H236" s="35" t="n">
        <v>50</v>
      </c>
      <c r="I236" s="43" t="inlineStr">
        <is>
          <t>T3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5000</v>
      </c>
      <c r="AK236" s="43" t="inlineStr">
        <is>
          <t>T3</t>
        </is>
      </c>
      <c r="AL236" s="43" t="inlineStr">
        <is>
          <t>med</t>
        </is>
      </c>
      <c r="AM236" s="50" t="n">
        <v>0.1</v>
      </c>
      <c r="AN236" s="45">
        <f>IF(AJ236="","",AJ236*AM236)</f>
        <v/>
      </c>
      <c r="AO236" s="45">
        <f>IF(OR(AJ236="",U236=0),"",MIN(IF(AW236="",9.9E+99,AW236),FLOOR(AN236/U236,1)))</f>
        <v/>
      </c>
      <c r="AP236" s="49">
        <f>IF(AO236="","",AO236*W236)</f>
        <v/>
      </c>
      <c r="AQ236" s="47">
        <f>IF(OR(AJ236="",U236=0),"",MIN(IF(AW236="",9.9E+99,AW236),AN236/U236))</f>
        <v/>
      </c>
      <c r="AR236" s="49">
        <f>IF(AQ236="","",AQ236*W236)</f>
        <v/>
      </c>
      <c r="AS236" s="51" t="n"/>
      <c r="AT236" s="43" t="inlineStr">
        <is>
          <t>Grounded</t>
        </is>
      </c>
      <c r="AU236" s="52" t="n"/>
      <c r="AV236" s="52" t="n"/>
      <c r="AW236" s="53" t="n"/>
      <c r="AX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Y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Z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BA236" s="40" t="inlineStr">
        <is>
          <t>economics_by_route_id.json</t>
        </is>
      </c>
      <c r="BB236" s="40" t="inlineStr">
        <is>
          <t>gojek-127/route+economics</t>
        </is>
      </c>
    </row>
    <row r="237">
      <c r="A237" s="38" t="inlineStr">
        <is>
          <t>Komodo Flores</t>
        </is>
      </c>
      <c r="B237" s="38" t="inlineStr">
        <is>
          <t>Indonesia</t>
        </is>
      </c>
      <c r="C237" s="39" t="inlineStr">
        <is>
          <t>Komodo → Meruorah Komodo Labuan Bajo</t>
        </is>
      </c>
      <c r="D237" s="38" t="inlineStr">
        <is>
          <t>grab</t>
        </is>
      </c>
      <c r="E237" s="40" t="inlineStr">
        <is>
          <t>komodo-flores</t>
        </is>
      </c>
      <c r="F237" s="41" t="n">
        <v>1</v>
      </c>
      <c r="G237" s="42" t="n">
        <v>1.5</v>
      </c>
      <c r="H237" s="35" t="n">
        <v>50</v>
      </c>
      <c r="I237" s="43" t="inlineStr">
        <is>
          <t>T3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MIN(24,FLOOR(60*service_hr/M237,1))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5000</v>
      </c>
      <c r="AK237" s="43" t="inlineStr">
        <is>
          <t>T3</t>
        </is>
      </c>
      <c r="AL237" s="43" t="inlineStr">
        <is>
          <t>med</t>
        </is>
      </c>
      <c r="AM237" s="50" t="n">
        <v>0.1</v>
      </c>
      <c r="AN237" s="45">
        <f>IF(AJ237="","",AJ237*AM237)</f>
        <v/>
      </c>
      <c r="AO237" s="45">
        <f>IF(OR(AJ237="",U237=0),"",MIN(IF(AW237="",9.9E+99,AW237),FLOOR(AN237/U237,1)))</f>
        <v/>
      </c>
      <c r="AP237" s="49">
        <f>IF(AO237="","",AO237*W237)</f>
        <v/>
      </c>
      <c r="AQ237" s="47">
        <f>IF(OR(AJ237="",U237=0),"",MIN(IF(AW237="",9.9E+99,AW237),AN237/U237))</f>
        <v/>
      </c>
      <c r="AR237" s="49">
        <f>IF(AQ237="","",AQ237*W237)</f>
        <v/>
      </c>
      <c r="AS237" s="51" t="n"/>
      <c r="AT237" s="43" t="inlineStr">
        <is>
          <t>Grounded</t>
        </is>
      </c>
      <c r="AU237" s="52" t="n"/>
      <c r="AV237" s="52" t="n"/>
      <c r="AW237" s="53" t="n"/>
      <c r="AX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Y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Z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BA237" s="40" t="inlineStr">
        <is>
          <t>economics_by_route_id.json</t>
        </is>
      </c>
      <c r="BB237" s="40" t="inlineStr">
        <is>
          <t>gojek-127/route+economics</t>
        </is>
      </c>
    </row>
    <row r="238">
      <c r="A238" s="38" t="inlineStr">
        <is>
          <t>Bali</t>
        </is>
      </c>
      <c r="B238" s="38" t="inlineStr">
        <is>
          <t>Indonesia</t>
        </is>
      </c>
      <c r="C238" s="39" t="inlineStr">
        <is>
          <t>Gili Meno Harbour → Ferry Terminal Gili Trawangan</t>
        </is>
      </c>
      <c r="D238" s="38" t="inlineStr">
        <is>
          <t>grab</t>
        </is>
      </c>
      <c r="E238" s="40" t="inlineStr">
        <is>
          <t>bali</t>
        </is>
      </c>
      <c r="F238" s="41" t="n">
        <v>1</v>
      </c>
      <c r="G238" s="42" t="n">
        <v>2</v>
      </c>
      <c r="H238" s="35" t="n">
        <v>50</v>
      </c>
      <c r="I238" s="43" t="inlineStr">
        <is>
          <t>T3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MIN(24,FLOOR(60*service_hr/M238,1))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5000</v>
      </c>
      <c r="AK238" s="43" t="inlineStr">
        <is>
          <t>T3</t>
        </is>
      </c>
      <c r="AL238" s="43" t="inlineStr">
        <is>
          <t>med</t>
        </is>
      </c>
      <c r="AM238" s="50" t="n">
        <v>0.1</v>
      </c>
      <c r="AN238" s="45">
        <f>IF(AJ238="","",AJ238*AM238)</f>
        <v/>
      </c>
      <c r="AO238" s="45">
        <f>IF(OR(AJ238="",U238=0),"",MIN(IF(AW238="",9.9E+99,AW238),FLOOR(AN238/U238,1)))</f>
        <v/>
      </c>
      <c r="AP238" s="49">
        <f>IF(AO238="","",AO238*W238)</f>
        <v/>
      </c>
      <c r="AQ238" s="47">
        <f>IF(OR(AJ238="",U238=0),"",MIN(IF(AW238="",9.9E+99,AW238),AN238/U238))</f>
        <v/>
      </c>
      <c r="AR238" s="49">
        <f>IF(AQ238="","",AQ238*W238)</f>
        <v/>
      </c>
      <c r="AS238" s="51" t="n"/>
      <c r="AT238" s="43" t="inlineStr">
        <is>
          <t>Grounded</t>
        </is>
      </c>
      <c r="AU238" s="52" t="n"/>
      <c r="AV238" s="52" t="n"/>
      <c r="AW238" s="53" t="n"/>
      <c r="AX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Y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Z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BA238" s="40" t="inlineStr">
        <is>
          <t>economics_by_route_id.json</t>
        </is>
      </c>
      <c r="BB238" s="40" t="inlineStr">
        <is>
          <t>gojek-127/route+economics</t>
        </is>
      </c>
    </row>
    <row r="239">
      <c r="A239" s="38" t="inlineStr">
        <is>
          <t>Jakarta</t>
        </is>
      </c>
      <c r="B239" s="38" t="inlineStr">
        <is>
          <t>Indonesia</t>
        </is>
      </c>
      <c r="C239" s="39" t="inlineStr">
        <is>
          <t>Pantai Laguna (Ancol Taman Impian) → Pantai Laguna (Ancol Taman Impian)</t>
        </is>
      </c>
      <c r="D239" s="38" t="inlineStr">
        <is>
          <t>grab</t>
        </is>
      </c>
      <c r="E239" s="40" t="inlineStr">
        <is>
          <t>jakarta</t>
        </is>
      </c>
      <c r="F239" s="41" t="n">
        <v>1</v>
      </c>
      <c r="G239" s="42" t="n">
        <v>2</v>
      </c>
      <c r="H239" s="35" t="n">
        <v>18</v>
      </c>
      <c r="I239" s="43" t="inlineStr">
        <is>
          <t>T1</t>
        </is>
      </c>
      <c r="J239" s="43" t="inlineStr">
        <is>
          <t>high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MIN(15,FLOOR(60*service_hr/M239,1))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200000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IF(OR(AJ239="",U239=0),"",MIN(IF(AW239="",9.9E+99,AW239),FLOOR(AN239/U239,1)))</f>
        <v/>
      </c>
      <c r="AP239" s="49">
        <f>IF(AO239="","",AO239*W239)</f>
        <v/>
      </c>
      <c r="AQ239" s="47">
        <f>IF(OR(AJ239="",U239=0),"",MIN(IF(AW239="",9.9E+99,AW239),AN239/U239))</f>
        <v/>
      </c>
      <c r="AR239" s="49">
        <f>IF(AQ239="","",AQ239*W239)</f>
        <v/>
      </c>
      <c r="AS239" s="51" t="n"/>
      <c r="AT239" s="43" t="inlineStr">
        <is>
          <t>Grounded</t>
        </is>
      </c>
      <c r="AU239" s="52" t="n"/>
      <c r="AV239" s="52" t="n"/>
      <c r="AW239" s="53" t="n"/>
      <c r="AX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Y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Z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BA239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B239" s="40" t="n"/>
    </row>
    <row r="240">
      <c r="A240" s="38" t="inlineStr">
        <is>
          <t>Bali</t>
        </is>
      </c>
      <c r="B240" s="38" t="inlineStr">
        <is>
          <t>Indonesia</t>
        </is>
      </c>
      <c r="C240" s="39" t="inlineStr">
        <is>
          <t>Jalan Crystal Bay → Nusa Bahari Lembongan</t>
        </is>
      </c>
      <c r="D240" s="38" t="inlineStr">
        <is>
          <t>grab</t>
        </is>
      </c>
      <c r="E240" s="40" t="inlineStr">
        <is>
          <t>bali</t>
        </is>
      </c>
      <c r="F240" s="41" t="n">
        <v>1</v>
      </c>
      <c r="G240" s="42" t="n">
        <v>2.9</v>
      </c>
      <c r="H240" s="35" t="n">
        <v>50</v>
      </c>
      <c r="I240" s="43" t="inlineStr">
        <is>
          <t>T3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5000</v>
      </c>
      <c r="AK240" s="43" t="inlineStr">
        <is>
          <t>T3</t>
        </is>
      </c>
      <c r="AL240" s="43" t="inlineStr">
        <is>
          <t>med</t>
        </is>
      </c>
      <c r="AM240" s="50" t="n">
        <v>0.1</v>
      </c>
      <c r="AN240" s="45">
        <f>IF(AJ240="","",AJ240*AM240)</f>
        <v/>
      </c>
      <c r="AO240" s="45">
        <f>IF(OR(AJ240="",U240=0),"",MIN(IF(AW240="",9.9E+99,AW240),FLOOR(AN240/U240,1)))</f>
        <v/>
      </c>
      <c r="AP240" s="49">
        <f>IF(AO240="","",AO240*W240)</f>
        <v/>
      </c>
      <c r="AQ240" s="47">
        <f>IF(OR(AJ240="",U240=0),"",MIN(IF(AW240="",9.9E+99,AW240),AN240/U240))</f>
        <v/>
      </c>
      <c r="AR240" s="49">
        <f>IF(AQ240="","",AQ240*W240)</f>
        <v/>
      </c>
      <c r="AS240" s="51" t="n"/>
      <c r="AT240" s="43" t="inlineStr">
        <is>
          <t>Grounded</t>
        </is>
      </c>
      <c r="AU240" s="52" t="n"/>
      <c r="AV240" s="52" t="n"/>
      <c r="AW240" s="53" t="n"/>
      <c r="AX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Y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Z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BA240" s="40" t="inlineStr">
        <is>
          <t>economics_by_route_id.json</t>
        </is>
      </c>
      <c r="BB240" s="40" t="inlineStr">
        <is>
          <t>gojek-127/route+economics</t>
        </is>
      </c>
    </row>
    <row r="241">
      <c r="A241" s="38" t="inlineStr">
        <is>
          <t>Eastern Indonesia</t>
        </is>
      </c>
      <c r="B241" s="38" t="inlineStr">
        <is>
          <t>Indonesia</t>
        </is>
      </c>
      <c r="C241" s="39" t="inlineStr">
        <is>
          <t>Likupang / Manado / Bunaken, North Sulawesi, Indonesia → Likupang North Sulawesi Indonesia</t>
        </is>
      </c>
      <c r="D241" s="38" t="inlineStr">
        <is>
          <t>grab</t>
        </is>
      </c>
      <c r="E241" s="40" t="inlineStr">
        <is>
          <t>eastern-indonesia</t>
        </is>
      </c>
      <c r="F241" s="41" t="n">
        <v>3</v>
      </c>
      <c r="G241" s="42" t="n">
        <v>3</v>
      </c>
      <c r="H241" s="35" t="n">
        <v>50</v>
      </c>
      <c r="I241" s="43" t="inlineStr">
        <is>
          <t>T3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MIN(24,FLOOR(60*service_hr/M241,1))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5000</v>
      </c>
      <c r="AK241" s="43" t="inlineStr">
        <is>
          <t>T3</t>
        </is>
      </c>
      <c r="AL241" s="43" t="inlineStr">
        <is>
          <t>med</t>
        </is>
      </c>
      <c r="AM241" s="50" t="n">
        <v>0.1</v>
      </c>
      <c r="AN241" s="45">
        <f>IF(AJ241="","",AJ241*AM241)</f>
        <v/>
      </c>
      <c r="AO241" s="45">
        <f>IF(OR(AJ241="",U241=0),"",MIN(IF(AW241="",9.9E+99,AW241),FLOOR(AN241/U241,1)))</f>
        <v/>
      </c>
      <c r="AP241" s="49">
        <f>IF(AO241="","",AO241*W241)</f>
        <v/>
      </c>
      <c r="AQ241" s="47">
        <f>IF(OR(AJ241="",U241=0),"",MIN(IF(AW241="",9.9E+99,AW241),AN241/U241))</f>
        <v/>
      </c>
      <c r="AR241" s="49">
        <f>IF(AQ241="","",AQ241*W241)</f>
        <v/>
      </c>
      <c r="AS241" s="51" t="n"/>
      <c r="AT241" s="43" t="inlineStr">
        <is>
          <t>Grounded</t>
        </is>
      </c>
      <c r="AU241" s="52" t="n"/>
      <c r="AV241" s="52" t="n"/>
      <c r="AW241" s="53" t="n"/>
      <c r="AX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Y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Z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BA241" s="40" t="inlineStr">
        <is>
          <t>economics_by_route_id.json</t>
        </is>
      </c>
      <c r="BB241" s="40" t="inlineStr">
        <is>
          <t>gojek-127/route+economics</t>
        </is>
      </c>
    </row>
    <row r="242">
      <c r="A242" s="38" t="inlineStr">
        <is>
          <t>Bali</t>
        </is>
      </c>
      <c r="B242" s="38" t="inlineStr">
        <is>
          <t>Indonesia</t>
        </is>
      </c>
      <c r="C242" s="39" t="inlineStr">
        <is>
          <t>Benoa Harbour Cruise Terminal → Benoa Harbour Cruise Terminal</t>
        </is>
      </c>
      <c r="D242" s="38" t="inlineStr">
        <is>
          <t>grab</t>
        </is>
      </c>
      <c r="E242" s="40" t="inlineStr">
        <is>
          <t>bali</t>
        </is>
      </c>
      <c r="F242" s="41" t="n">
        <v>1</v>
      </c>
      <c r="G242" s="42" t="n">
        <v>5</v>
      </c>
      <c r="H242" s="35" t="n">
        <v>85</v>
      </c>
      <c r="I242" s="43" t="inlineStr">
        <is>
          <t>T1</t>
        </is>
      </c>
      <c r="J242" s="43" t="inlineStr">
        <is>
          <t>high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>
        <v>85000</v>
      </c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IF(OR(AJ242="",U242=0),"",MIN(IF(AW242="",9.9E+99,AW242),FLOOR(AN242/U242,1)))</f>
        <v/>
      </c>
      <c r="AP242" s="49">
        <f>IF(AO242="","",AO242*W242)</f>
        <v/>
      </c>
      <c r="AQ242" s="47">
        <f>IF(OR(AJ242="",U242=0),"",MIN(IF(AW242="",9.9E+99,AW242),AN242/U242))</f>
        <v/>
      </c>
      <c r="AR242" s="49">
        <f>IF(AQ242="","",AQ242*W242)</f>
        <v/>
      </c>
      <c r="AS242" s="51" t="n"/>
      <c r="AT242" s="43" t="inlineStr">
        <is>
          <t>Grounded</t>
        </is>
      </c>
      <c r="AU242" s="52" t="n"/>
      <c r="AV242" s="52" t="n"/>
      <c r="AW242" s="53" t="n"/>
      <c r="AX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Y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Z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BA242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B242" s="40" t="n"/>
    </row>
    <row r="243">
      <c r="A243" s="38" t="inlineStr">
        <is>
          <t>Bali</t>
        </is>
      </c>
      <c r="B243" s="38" t="inlineStr">
        <is>
          <t>Indonesia</t>
        </is>
      </c>
      <c r="C243" s="39" t="inlineStr">
        <is>
          <t>Sampalan Harbour → Maruti Port - Nusa Penida</t>
        </is>
      </c>
      <c r="D243" s="38" t="inlineStr">
        <is>
          <t>grab</t>
        </is>
      </c>
      <c r="E243" s="40" t="inlineStr">
        <is>
          <t>bali</t>
        </is>
      </c>
      <c r="F243" s="41" t="n">
        <v>1</v>
      </c>
      <c r="G243" s="42" t="n">
        <v>5.6</v>
      </c>
      <c r="H243" s="35" t="n">
        <v>50</v>
      </c>
      <c r="I243" s="43" t="inlineStr">
        <is>
          <t>T3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MIN(24,FLOOR(60*service_hr/M243,1))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5000</v>
      </c>
      <c r="AK243" s="43" t="inlineStr">
        <is>
          <t>T3</t>
        </is>
      </c>
      <c r="AL243" s="43" t="inlineStr">
        <is>
          <t>med</t>
        </is>
      </c>
      <c r="AM243" s="50" t="n">
        <v>0.1</v>
      </c>
      <c r="AN243" s="45">
        <f>IF(AJ243="","",AJ243*AM243)</f>
        <v/>
      </c>
      <c r="AO243" s="45">
        <f>IF(OR(AJ243="",U243=0),"",MIN(IF(AW243="",9.9E+99,AW243),FLOOR(AN243/U243,1)))</f>
        <v/>
      </c>
      <c r="AP243" s="49">
        <f>IF(AO243="","",AO243*W243)</f>
        <v/>
      </c>
      <c r="AQ243" s="47">
        <f>IF(OR(AJ243="",U243=0),"",MIN(IF(AW243="",9.9E+99,AW243),AN243/U243))</f>
        <v/>
      </c>
      <c r="AR243" s="49">
        <f>IF(AQ243="","",AQ243*W243)</f>
        <v/>
      </c>
      <c r="AS243" s="51" t="n"/>
      <c r="AT243" s="43" t="inlineStr">
        <is>
          <t>Grounded</t>
        </is>
      </c>
      <c r="AU243" s="52" t="n"/>
      <c r="AV243" s="52" t="n"/>
      <c r="AW243" s="53" t="n"/>
      <c r="AX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Y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Z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BA243" s="40" t="inlineStr">
        <is>
          <t>economics_by_route_id.json</t>
        </is>
      </c>
      <c r="BB243" s="40" t="inlineStr">
        <is>
          <t>gojek-127/route+economics</t>
        </is>
      </c>
    </row>
    <row r="244">
      <c r="A244" s="38" t="inlineStr">
        <is>
          <t>Eastern Indonesia</t>
        </is>
      </c>
      <c r="B244" s="38" t="inlineStr">
        <is>
          <t>Indonesia</t>
        </is>
      </c>
      <c r="C244" s="39" t="inlineStr">
        <is>
          <t>Mall → Likupang / Manado / Bunaken, North Sulawesi, Indonesia</t>
        </is>
      </c>
      <c r="D244" s="38" t="inlineStr">
        <is>
          <t>grab</t>
        </is>
      </c>
      <c r="E244" s="40" t="inlineStr">
        <is>
          <t>eastern-indonesia</t>
        </is>
      </c>
      <c r="F244" s="41" t="n">
        <v>2</v>
      </c>
      <c r="G244" s="42" t="n">
        <v>7.1</v>
      </c>
      <c r="H244" s="35" t="n">
        <v>50</v>
      </c>
      <c r="I244" s="43" t="inlineStr">
        <is>
          <t>T3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MIN(24,FLOOR(60*service_hr/M244,1))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5000</v>
      </c>
      <c r="AK244" s="43" t="inlineStr">
        <is>
          <t>T3</t>
        </is>
      </c>
      <c r="AL244" s="43" t="inlineStr">
        <is>
          <t>med</t>
        </is>
      </c>
      <c r="AM244" s="50" t="n">
        <v>0.1</v>
      </c>
      <c r="AN244" s="45">
        <f>IF(AJ244="","",AJ244*AM244)</f>
        <v/>
      </c>
      <c r="AO244" s="45">
        <f>IF(OR(AJ244="",U244=0),"",MIN(IF(AW244="",9.9E+99,AW244),FLOOR(AN244/U244,1)))</f>
        <v/>
      </c>
      <c r="AP244" s="49">
        <f>IF(AO244="","",AO244*W244)</f>
        <v/>
      </c>
      <c r="AQ244" s="47">
        <f>IF(OR(AJ244="",U244=0),"",MIN(IF(AW244="",9.9E+99,AW244),AN244/U244))</f>
        <v/>
      </c>
      <c r="AR244" s="49">
        <f>IF(AQ244="","",AQ244*W244)</f>
        <v/>
      </c>
      <c r="AS244" s="51" t="n"/>
      <c r="AT244" s="43" t="inlineStr">
        <is>
          <t>Grounded</t>
        </is>
      </c>
      <c r="AU244" s="52" t="n"/>
      <c r="AV244" s="52" t="n"/>
      <c r="AW244" s="53" t="n"/>
      <c r="AX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Y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Z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BA244" s="40" t="inlineStr">
        <is>
          <t>economics_by_route_id.json</t>
        </is>
      </c>
      <c r="BB244" s="40" t="inlineStr">
        <is>
          <t>gojek-127/route+economics</t>
        </is>
      </c>
    </row>
    <row r="245">
      <c r="A245" s="38" t="inlineStr">
        <is>
          <t>Jakarta</t>
        </is>
      </c>
      <c r="B245" s="38" t="inlineStr">
        <is>
          <t>Indonesia</t>
        </is>
      </c>
      <c r="C245" s="39" t="inlineStr">
        <is>
          <t>Marina Ancol → Thousand Islands — inner ring (Bidadari / Ayer / Onrust)</t>
        </is>
      </c>
      <c r="D245" s="38" t="inlineStr">
        <is>
          <t>grab</t>
        </is>
      </c>
      <c r="E245" s="40" t="inlineStr">
        <is>
          <t>jakarta</t>
        </is>
      </c>
      <c r="F245" s="41" t="n">
        <v>1</v>
      </c>
      <c r="G245" s="42" t="n">
        <v>7.4</v>
      </c>
      <c r="H245" s="35" t="n">
        <v>11.7</v>
      </c>
      <c r="I245" s="43" t="inlineStr">
        <is>
          <t>T2/T3</t>
        </is>
      </c>
      <c r="J245" s="43" t="inlineStr">
        <is>
          <t>med-high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MIN(15,FLOOR(60*service_hr/M245,1))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10000</v>
      </c>
      <c r="AK245" s="43" t="inlineStr">
        <is>
          <t>T2</t>
        </is>
      </c>
      <c r="AL245" s="43" t="inlineStr">
        <is>
          <t>med</t>
        </is>
      </c>
      <c r="AM245" s="50" t="n">
        <v>0.1</v>
      </c>
      <c r="AN245" s="45">
        <f>IF(AJ245="","",AJ245*AM245)</f>
        <v/>
      </c>
      <c r="AO245" s="45">
        <f>IF(OR(AJ245="",U245=0),"",MIN(IF(AW245="",9.9E+99,AW245),FLOOR(AN245/U245,1)))</f>
        <v/>
      </c>
      <c r="AP245" s="49">
        <f>IF(AO245="","",AO245*W245)</f>
        <v/>
      </c>
      <c r="AQ245" s="47">
        <f>IF(OR(AJ245="",U245=0),"",MIN(IF(AW245="",9.9E+99,AW245),AN245/U245))</f>
        <v/>
      </c>
      <c r="AR245" s="49">
        <f>IF(AQ245="","",AQ245*W245)</f>
        <v/>
      </c>
      <c r="AS245" s="51" t="n"/>
      <c r="AT245" s="43" t="inlineStr">
        <is>
          <t>Grounded</t>
        </is>
      </c>
      <c r="AU245" s="52" t="n"/>
      <c r="AV245" s="52" t="n"/>
      <c r="AW245" s="53" t="n"/>
      <c r="AX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Y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Z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BA245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B245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46">
      <c r="A246" s="38" t="inlineStr">
        <is>
          <t>Bali</t>
        </is>
      </c>
      <c r="B246" s="38" t="inlineStr">
        <is>
          <t>Indonesia</t>
        </is>
      </c>
      <c r="C246" s="39" t="inlineStr">
        <is>
          <t>Sanur Beach Fast Boat Terminal → GoBoat.id - Nelayan Beach Canggu</t>
        </is>
      </c>
      <c r="D246" s="38" t="inlineStr">
        <is>
          <t>grab</t>
        </is>
      </c>
      <c r="E246" s="40" t="inlineStr">
        <is>
          <t>bali</t>
        </is>
      </c>
      <c r="F246" s="41" t="n">
        <v>1</v>
      </c>
      <c r="G246" s="42" t="n">
        <v>7.6</v>
      </c>
      <c r="H246" s="35" t="n">
        <v>85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MIN(15,FLOOR(60*service_hr/M246,1))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2900</v>
      </c>
      <c r="AK246" s="43" t="inlineStr">
        <is>
          <t>T2</t>
        </is>
      </c>
      <c r="AL246" s="43" t="inlineStr">
        <is>
          <t>med</t>
        </is>
      </c>
      <c r="AM246" s="50" t="n">
        <v>0.9</v>
      </c>
      <c r="AN246" s="45">
        <f>IF(AJ246="","",AJ246*AM246)</f>
        <v/>
      </c>
      <c r="AO246" s="45">
        <f>IF(OR(AJ246="",U246=0),"",MIN(IF(AW246="",9.9E+99,AW246),FLOOR(AN246/U246,1)))</f>
        <v/>
      </c>
      <c r="AP246" s="49">
        <f>IF(AO246="","",AO246*W246)</f>
        <v/>
      </c>
      <c r="AQ246" s="47">
        <f>IF(OR(AJ246="",U246=0),"",MIN(IF(AW246="",9.9E+99,AW246),AN246/U246))</f>
        <v/>
      </c>
      <c r="AR246" s="49">
        <f>IF(AQ246="","",AQ246*W246)</f>
        <v/>
      </c>
      <c r="AS246" s="51" t="n"/>
      <c r="AT246" s="43" t="inlineStr">
        <is>
          <t>Grounded</t>
        </is>
      </c>
      <c r="AU246" s="52" t="n"/>
      <c r="AV246" s="52" t="n"/>
      <c r="AW246" s="53" t="n"/>
      <c r="AX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Y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Z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BA246" s="40" t="inlineStr">
        <is>
          <t>Minor Hotels captive gateway — Avani Seminyak coastal transfer.</t>
        </is>
      </c>
      <c r="BB246" s="40" t="inlineStr">
        <is>
          <t>minor-hotels-bali-flagship-economics-DRAFT.json — Seminyak gateway pool</t>
        </is>
      </c>
    </row>
    <row r="247">
      <c r="A247" s="38" t="inlineStr">
        <is>
          <t>Bali</t>
        </is>
      </c>
      <c r="B247" s="38" t="inlineStr">
        <is>
          <t>Indonesia</t>
        </is>
      </c>
      <c r="C247" s="39" t="inlineStr">
        <is>
          <t>Bali Marina (Benoa) → Six Senses Uluwatu</t>
        </is>
      </c>
      <c r="D247" s="38" t="inlineStr">
        <is>
          <t>grab</t>
        </is>
      </c>
      <c r="E247" s="40" t="inlineStr">
        <is>
          <t>bali</t>
        </is>
      </c>
      <c r="F247" s="41" t="n">
        <v>1</v>
      </c>
      <c r="G247" s="42" t="n">
        <v>7.7</v>
      </c>
      <c r="H247" s="35" t="n">
        <v>85</v>
      </c>
      <c r="I247" s="43" t="inlineStr">
        <is>
          <t>T2</t>
        </is>
      </c>
      <c r="J247" s="43" t="inlineStr">
        <is>
          <t>med</t>
        </is>
      </c>
      <c r="K247" s="29" t="n">
        <v>1</v>
      </c>
      <c r="L247" s="44">
        <f>60*G247/cruise_kt</f>
        <v/>
      </c>
      <c r="M247" s="44">
        <f>L247+turn_min+dwell_min</f>
        <v/>
      </c>
      <c r="N247" s="45">
        <f>MIN(15,FLOOR(60*service_hr/M247,1))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2900</v>
      </c>
      <c r="AK247" s="43" t="inlineStr">
        <is>
          <t>T2</t>
        </is>
      </c>
      <c r="AL247" s="43" t="inlineStr">
        <is>
          <t>med</t>
        </is>
      </c>
      <c r="AM247" s="50" t="n">
        <v>0.9</v>
      </c>
      <c r="AN247" s="45">
        <f>IF(AJ247="","",AJ247*AM247)</f>
        <v/>
      </c>
      <c r="AO247" s="45">
        <f>IF(OR(AJ247="",U247=0),"",MIN(IF(AW247="",9.9E+99,AW247),FLOOR(AN247/U247,1)))</f>
        <v/>
      </c>
      <c r="AP247" s="49">
        <f>IF(AO247="","",AO247*W247)</f>
        <v/>
      </c>
      <c r="AQ247" s="47">
        <f>IF(OR(AJ247="",U247=0),"",MIN(IF(AW247="",9.9E+99,AW247),AN247/U247))</f>
        <v/>
      </c>
      <c r="AR247" s="49">
        <f>IF(AQ247="","",AQ247*W247)</f>
        <v/>
      </c>
      <c r="AS247" s="51" t="n"/>
      <c r="AT247" s="43" t="inlineStr">
        <is>
          <t>Grounded</t>
        </is>
      </c>
      <c r="AU247" s="52" t="n"/>
      <c r="AV247" s="52" t="n"/>
      <c r="AW247" s="53" t="n"/>
      <c r="AX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Y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Z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BA247" s="40" t="inlineStr">
        <is>
          <t>Minor Hotels captive gateway — Anantara Uluwatu Benoa marina transfer.</t>
        </is>
      </c>
      <c r="BB247" s="40" t="inlineStr">
        <is>
          <t>minor-hotels-bali-flagship-economics-DRAFT.json — Uluwatu gateway pool</t>
        </is>
      </c>
    </row>
    <row r="248">
      <c r="A248" s="38" t="inlineStr">
        <is>
          <t>Jakarta</t>
        </is>
      </c>
      <c r="B248" s="38" t="inlineStr">
        <is>
          <t>Indonesia</t>
        </is>
      </c>
      <c r="C248" s="39" t="inlineStr">
        <is>
          <t>Batavia Marina (Sunda Kelapa) → Batavia Marina (Sunda Kelapa)</t>
        </is>
      </c>
      <c r="D248" s="38" t="inlineStr">
        <is>
          <t>grab</t>
        </is>
      </c>
      <c r="E248" s="40" t="inlineStr">
        <is>
          <t>jakarta</t>
        </is>
      </c>
      <c r="F248" s="41" t="n">
        <v>1</v>
      </c>
      <c r="G248" s="42" t="n">
        <v>8</v>
      </c>
      <c r="H248" s="35" t="n">
        <v>35</v>
      </c>
      <c r="I248" s="43" t="inlineStr">
        <is>
          <t>T1</t>
        </is>
      </c>
      <c r="J248" s="43" t="inlineStr">
        <is>
          <t>high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MIN(15,FLOOR(60*service_hr/M248,1))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10000</v>
      </c>
      <c r="AK248" s="43" t="n"/>
      <c r="AL248" s="43" t="n"/>
      <c r="AM248" s="50" t="n">
        <v>0.1</v>
      </c>
      <c r="AN248" s="45">
        <f>IF(AJ248="","",AJ248*AM248)</f>
        <v/>
      </c>
      <c r="AO248" s="45">
        <f>IF(OR(AJ248="",U248=0),"",MIN(IF(AW248="",9.9E+99,AW248),FLOOR(AN248/U248,1)))</f>
        <v/>
      </c>
      <c r="AP248" s="49">
        <f>IF(AO248="","",AO248*W248)</f>
        <v/>
      </c>
      <c r="AQ248" s="47">
        <f>IF(OR(AJ248="",U248=0),"",MIN(IF(AW248="",9.9E+99,AW248),AN248/U248))</f>
        <v/>
      </c>
      <c r="AR248" s="49">
        <f>IF(AQ248="","",AQ248*W248)</f>
        <v/>
      </c>
      <c r="AS248" s="51" t="n"/>
      <c r="AT248" s="43" t="inlineStr">
        <is>
          <t>Grounded</t>
        </is>
      </c>
      <c r="AU248" s="52" t="n"/>
      <c r="AV248" s="52" t="n"/>
      <c r="AW248" s="53" t="n"/>
      <c r="AX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Y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Z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BA248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B248" s="40" t="n"/>
    </row>
    <row r="249">
      <c r="A249" s="38" t="inlineStr">
        <is>
          <t>Singapore</t>
        </is>
      </c>
      <c r="B249" s="38" t="inlineStr">
        <is>
          <t>Indonesia</t>
        </is>
      </c>
      <c r="C249" s="39" t="inlineStr">
        <is>
          <t>ONE°15 Marina Sentosa Cove → Harbour Bay</t>
        </is>
      </c>
      <c r="D249" s="38" t="inlineStr">
        <is>
          <t>grab</t>
        </is>
      </c>
      <c r="E249" s="40" t="inlineStr">
        <is>
          <t>singapore</t>
        </is>
      </c>
      <c r="F249" s="41" t="n">
        <v>1</v>
      </c>
      <c r="G249" s="42" t="n">
        <v>11.2</v>
      </c>
      <c r="H249" s="35" t="n">
        <v>50</v>
      </c>
      <c r="I249" s="43" t="inlineStr">
        <is>
          <t>T3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MIN(24,FLOOR(60*service_hr/M249,1))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5000</v>
      </c>
      <c r="AK249" s="43" t="inlineStr">
        <is>
          <t>T3</t>
        </is>
      </c>
      <c r="AL249" s="43" t="inlineStr">
        <is>
          <t>med</t>
        </is>
      </c>
      <c r="AM249" s="50" t="n">
        <v>0.1</v>
      </c>
      <c r="AN249" s="45">
        <f>IF(AJ249="","",AJ249*AM249)</f>
        <v/>
      </c>
      <c r="AO249" s="45">
        <f>IF(OR(AJ249="",U249=0),"",MIN(IF(AW249="",9.9E+99,AW249),FLOOR(AN249/U249,1)))</f>
        <v/>
      </c>
      <c r="AP249" s="49">
        <f>IF(AO249="","",AO249*W249)</f>
        <v/>
      </c>
      <c r="AQ249" s="47">
        <f>IF(OR(AJ249="",U249=0),"",MIN(IF(AW249="",9.9E+99,AW249),AN249/U249))</f>
        <v/>
      </c>
      <c r="AR249" s="49">
        <f>IF(AQ249="","",AQ249*W249)</f>
        <v/>
      </c>
      <c r="AS249" s="51" t="n"/>
      <c r="AT249" s="43" t="inlineStr">
        <is>
          <t>Grounded</t>
        </is>
      </c>
      <c r="AU249" s="52" t="n"/>
      <c r="AV249" s="52" t="n"/>
      <c r="AW249" s="53" t="n"/>
      <c r="AX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Y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Z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BA249" s="40" t="inlineStr">
        <is>
          <t>economics_by_route_id.json</t>
        </is>
      </c>
      <c r="BB249" s="40" t="inlineStr">
        <is>
          <t>gojek-127/route+economics</t>
        </is>
      </c>
    </row>
    <row r="250">
      <c r="A250" s="38" t="inlineStr">
        <is>
          <t>Singapore</t>
        </is>
      </c>
      <c r="B250" s="38" t="inlineStr">
        <is>
          <t>Indonesia</t>
        </is>
      </c>
      <c r="C250" s="39" t="inlineStr">
        <is>
          <t>Riau Islands → ONE°15 Marina Sentosa Cove Singapore</t>
        </is>
      </c>
      <c r="D250" s="38" t="inlineStr">
        <is>
          <t>grab</t>
        </is>
      </c>
      <c r="E250" s="40" t="inlineStr">
        <is>
          <t>cross-border, singapore</t>
        </is>
      </c>
      <c r="F250" s="41" t="n">
        <v>2</v>
      </c>
      <c r="G250" s="42" t="n">
        <v>11.9</v>
      </c>
      <c r="H250" s="35" t="n">
        <v>50</v>
      </c>
      <c r="I250" s="43" t="inlineStr">
        <is>
          <t>T3</t>
        </is>
      </c>
      <c r="J250" s="43" t="inlineStr">
        <is>
          <t>med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MIN(24,FLOOR(60*service_hr/M250,1))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5000</v>
      </c>
      <c r="AK250" s="43" t="inlineStr">
        <is>
          <t>T3</t>
        </is>
      </c>
      <c r="AL250" s="43" t="inlineStr">
        <is>
          <t>med</t>
        </is>
      </c>
      <c r="AM250" s="50" t="n">
        <v>0.1</v>
      </c>
      <c r="AN250" s="45">
        <f>IF(AJ250="","",AJ250*AM250)</f>
        <v/>
      </c>
      <c r="AO250" s="45">
        <f>IF(OR(AJ250="",U250=0),"",MIN(IF(AW250="",9.9E+99,AW250),FLOOR(AN250/U250,1)))</f>
        <v/>
      </c>
      <c r="AP250" s="49">
        <f>IF(AO250="","",AO250*W250)</f>
        <v/>
      </c>
      <c r="AQ250" s="47">
        <f>IF(OR(AJ250="",U250=0),"",MIN(IF(AW250="",9.9E+99,AW250),AN250/U250))</f>
        <v/>
      </c>
      <c r="AR250" s="49">
        <f>IF(AQ250="","",AQ250*W250)</f>
        <v/>
      </c>
      <c r="AS250" s="51" t="n"/>
      <c r="AT250" s="43" t="inlineStr">
        <is>
          <t>Grounded</t>
        </is>
      </c>
      <c r="AU250" s="52" t="n"/>
      <c r="AV250" s="52" t="n"/>
      <c r="AW250" s="53" t="n"/>
      <c r="AX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Y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Z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BA250" s="40" t="inlineStr">
        <is>
          <t>economics_by_route_id.json</t>
        </is>
      </c>
      <c r="BB250" s="40" t="inlineStr">
        <is>
          <t>gojek-127/route+economics</t>
        </is>
      </c>
    </row>
    <row r="251">
      <c r="A251" s="38" t="inlineStr">
        <is>
          <t>Bali</t>
        </is>
      </c>
      <c r="B251" s="38" t="inlineStr">
        <is>
          <t>Indonesia</t>
        </is>
      </c>
      <c r="C251" s="39" t="inlineStr">
        <is>
          <t>Bali (Benoa / Sanur) → Nusa Penida / Lembongan</t>
        </is>
      </c>
      <c r="D251" s="38" t="inlineStr">
        <is>
          <t>grab</t>
        </is>
      </c>
      <c r="E251" s="40" t="inlineStr">
        <is>
          <t>bali</t>
        </is>
      </c>
      <c r="F251" s="41" t="n">
        <v>1</v>
      </c>
      <c r="G251" s="42" t="n">
        <v>13.5</v>
      </c>
      <c r="H251" s="35" t="n">
        <v>60</v>
      </c>
      <c r="I251" s="43" t="inlineStr">
        <is>
          <t>T3</t>
        </is>
      </c>
      <c r="J251" s="43" t="inlineStr">
        <is>
          <t>med-high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MIN(15,FLOOR(60*service_hr/M251,1))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>
        <v>1500000</v>
      </c>
      <c r="AK251" s="43" t="inlineStr">
        <is>
          <t>T2</t>
        </is>
      </c>
      <c r="AL251" s="43" t="inlineStr">
        <is>
          <t>med-high</t>
        </is>
      </c>
      <c r="AM251" s="50" t="n">
        <v>0.1</v>
      </c>
      <c r="AN251" s="45">
        <f>IF(AJ251="","",AJ251*AM251)</f>
        <v/>
      </c>
      <c r="AO251" s="45">
        <f>IF(OR(AJ251="",U251=0),"",MIN(IF(AW251="",9.9E+99,AW251),FLOOR(AN251/U251,1)))</f>
        <v/>
      </c>
      <c r="AP251" s="49">
        <f>IF(AO251="","",AO251*W251)</f>
        <v/>
      </c>
      <c r="AQ251" s="47">
        <f>IF(OR(AJ251="",U251=0),"",MIN(IF(AW251="",9.9E+99,AW251),AN251/U251))</f>
        <v/>
      </c>
      <c r="AR251" s="49">
        <f>IF(AQ251="","",AQ251*W251)</f>
        <v/>
      </c>
      <c r="AS251" s="51" t="n"/>
      <c r="AT251" s="43" t="inlineStr">
        <is>
          <t>Grounded</t>
        </is>
      </c>
      <c r="AU251" s="52" t="n"/>
      <c r="AV251" s="52" t="n"/>
      <c r="AW251" s="53" t="n"/>
      <c r="AX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Y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Z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BA251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B251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52">
      <c r="A252" s="38" t="inlineStr">
        <is>
          <t>Bali</t>
        </is>
      </c>
      <c r="B252" s="38" t="inlineStr">
        <is>
          <t>Indonesia</t>
        </is>
      </c>
      <c r="C252" s="39" t="inlineStr">
        <is>
          <t>Sanur Beach Fast Boat Terminal → Nusa Penida (Toyapakeh / Banjar Nyuh harbour)</t>
        </is>
      </c>
      <c r="D252" s="38" t="inlineStr">
        <is>
          <t>grab</t>
        </is>
      </c>
      <c r="E252" s="40" t="inlineStr">
        <is>
          <t>bali</t>
        </is>
      </c>
      <c r="F252" s="41" t="n">
        <v>1</v>
      </c>
      <c r="G252" s="42" t="n">
        <v>13.5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5000</v>
      </c>
      <c r="AK252" s="43" t="inlineStr">
        <is>
          <t>T3</t>
        </is>
      </c>
      <c r="AL252" s="43" t="inlineStr">
        <is>
          <t>med</t>
        </is>
      </c>
      <c r="AM252" s="50" t="n">
        <v>0.1</v>
      </c>
      <c r="AN252" s="45">
        <f>IF(AJ252="","",AJ252*AM252)</f>
        <v/>
      </c>
      <c r="AO252" s="45">
        <f>IF(OR(AJ252="",U252=0),"",MIN(IF(AW252="",9.9E+99,AW252),FLOOR(AN252/U252,1)))</f>
        <v/>
      </c>
      <c r="AP252" s="49">
        <f>IF(AO252="","",AO252*W252)</f>
        <v/>
      </c>
      <c r="AQ252" s="47">
        <f>IF(OR(AJ252="",U252=0),"",MIN(IF(AW252="",9.9E+99,AW252),AN252/U252))</f>
        <v/>
      </c>
      <c r="AR252" s="49">
        <f>IF(AQ252="","",AQ252*W252)</f>
        <v/>
      </c>
      <c r="AS252" s="51" t="n"/>
      <c r="AT252" s="43" t="inlineStr">
        <is>
          <t>Grounded</t>
        </is>
      </c>
      <c r="AU252" s="52" t="n"/>
      <c r="AV252" s="52" t="n"/>
      <c r="AW252" s="53" t="n"/>
      <c r="AX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Y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Z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BA252" s="40" t="inlineStr">
        <is>
          <t>economics_by_route_id.json</t>
        </is>
      </c>
      <c r="BB252" s="40" t="inlineStr">
        <is>
          <t>gojek-127/route+economics</t>
        </is>
      </c>
    </row>
    <row r="253">
      <c r="A253" s="38" t="inlineStr">
        <is>
          <t>Bali</t>
        </is>
      </c>
      <c r="B253" s="38" t="inlineStr">
        <is>
          <t>Indonesia</t>
        </is>
      </c>
      <c r="C253" s="39" t="inlineStr">
        <is>
          <t>Benoa Harbour Cruise Terminal → Mushroom Bay pontoon / Beach Club (Nusa Lembongan)</t>
        </is>
      </c>
      <c r="D253" s="38" t="inlineStr">
        <is>
          <t>grab</t>
        </is>
      </c>
      <c r="E253" s="40" t="inlineStr">
        <is>
          <t>bali</t>
        </is>
      </c>
      <c r="F253" s="41" t="n">
        <v>1</v>
      </c>
      <c r="G253" s="42" t="n">
        <v>13.6</v>
      </c>
      <c r="H253" s="35" t="n">
        <v>95</v>
      </c>
      <c r="I253" s="43" t="inlineStr">
        <is>
          <t>T1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MIN(15,FLOOR(60*service_hr/M253,1))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165000</v>
      </c>
      <c r="AK253" s="43" t="n"/>
      <c r="AL253" s="43" t="n"/>
      <c r="AM253" s="50" t="n">
        <v>0.1</v>
      </c>
      <c r="AN253" s="45">
        <f>IF(AJ253="","",AJ253*AM253)</f>
        <v/>
      </c>
      <c r="AO253" s="45">
        <f>IF(OR(AJ253="",U253=0),"",MIN(IF(AW253="",9.9E+99,AW253),FLOOR(AN253/U253,1)))</f>
        <v/>
      </c>
      <c r="AP253" s="49">
        <f>IF(AO253="","",AO253*W253)</f>
        <v/>
      </c>
      <c r="AQ253" s="47">
        <f>IF(OR(AJ253="",U253=0),"",MIN(IF(AW253="",9.9E+99,AW253),AN253/U253))</f>
        <v/>
      </c>
      <c r="AR253" s="49">
        <f>IF(AQ253="","",AQ253*W253)</f>
        <v/>
      </c>
      <c r="AS253" s="51" t="n"/>
      <c r="AT253" s="43" t="inlineStr">
        <is>
          <t>Grounded</t>
        </is>
      </c>
      <c r="AU253" s="52" t="n"/>
      <c r="AV253" s="52" t="n"/>
      <c r="AW253" s="53" t="n"/>
      <c r="AX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Y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Z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BA253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B253" s="40" t="n"/>
    </row>
    <row r="254">
      <c r="A254" s="38" t="inlineStr">
        <is>
          <t>Bali</t>
        </is>
      </c>
      <c r="B254" s="38" t="inlineStr">
        <is>
          <t>Indonesia</t>
        </is>
      </c>
      <c r="C254" s="39" t="inlineStr">
        <is>
          <t>Bali (Canggu) → Uluwatu / Bukit</t>
        </is>
      </c>
      <c r="D254" s="38" t="inlineStr">
        <is>
          <t>grab</t>
        </is>
      </c>
      <c r="E254" s="40" t="inlineStr">
        <is>
          <t>bali</t>
        </is>
      </c>
      <c r="F254" s="41" t="n">
        <v>1</v>
      </c>
      <c r="G254" s="42" t="n">
        <v>16</v>
      </c>
      <c r="H254" s="35" t="n">
        <v>16</v>
      </c>
      <c r="I254" s="43" t="inlineStr">
        <is>
          <t>T1</t>
        </is>
      </c>
      <c r="J254" s="43" t="inlineStr">
        <is>
          <t>med-high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MIN(15,FLOOR(60*service_hr/M254,1))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inlineStr">
        <is>
          <t>T5</t>
        </is>
      </c>
      <c r="AL254" s="43" t="inlineStr">
        <is>
          <t>low</t>
        </is>
      </c>
      <c r="AM254" s="50" t="n">
        <v>0.1</v>
      </c>
      <c r="AN254" s="45">
        <f>IF(AJ254="","",AJ254*AM254)</f>
        <v/>
      </c>
      <c r="AO254" s="45">
        <f>IF(OR(AJ254="",U254=0),"",MIN(IF(AW254="",9.9E+99,AW254),FLOOR(AN254/U254,1)))</f>
        <v/>
      </c>
      <c r="AP254" s="49">
        <f>IF(AO254="","",AO254*W254)</f>
        <v/>
      </c>
      <c r="AQ254" s="47">
        <f>IF(OR(AJ254="",U254=0),"",MIN(IF(AW254="",9.9E+99,AW254),AN254/U254))</f>
        <v/>
      </c>
      <c r="AR254" s="49">
        <f>IF(AQ254="","",AQ254*W254)</f>
        <v/>
      </c>
      <c r="AS254" s="51" t="n"/>
      <c r="AT254" s="43" t="inlineStr">
        <is>
          <t>Estimated</t>
        </is>
      </c>
      <c r="AU254" s="52" t="n"/>
      <c r="AV254" s="52" t="n"/>
      <c r="AW254" s="53" t="n"/>
      <c r="AX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Y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Z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BA254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B254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55">
      <c r="A255" s="38" t="inlineStr">
        <is>
          <t>Komodo Flores</t>
        </is>
      </c>
      <c r="B255" s="38" t="inlineStr">
        <is>
          <t>Indonesia</t>
        </is>
      </c>
      <c r="C255" s="39" t="inlineStr">
        <is>
          <t>Komodo → Pink Beach / Pantai Merah anchorage</t>
        </is>
      </c>
      <c r="D255" s="38" t="inlineStr">
        <is>
          <t>grab</t>
        </is>
      </c>
      <c r="E255" s="40" t="inlineStr">
        <is>
          <t>komodo-flores</t>
        </is>
      </c>
      <c r="F255" s="41" t="n">
        <v>1</v>
      </c>
      <c r="G255" s="42" t="n">
        <v>23.9</v>
      </c>
      <c r="H255" s="35" t="n">
        <v>50</v>
      </c>
      <c r="I255" s="43" t="inlineStr">
        <is>
          <t>T3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MIN(24,FLOOR(60*service_hr/M255,1))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5000</v>
      </c>
      <c r="AK255" s="43" t="inlineStr">
        <is>
          <t>T3</t>
        </is>
      </c>
      <c r="AL255" s="43" t="inlineStr">
        <is>
          <t>med</t>
        </is>
      </c>
      <c r="AM255" s="50" t="n">
        <v>0.1</v>
      </c>
      <c r="AN255" s="45">
        <f>IF(AJ255="","",AJ255*AM255)</f>
        <v/>
      </c>
      <c r="AO255" s="45">
        <f>IF(OR(AJ255="",U255=0),"",MIN(IF(AW255="",9.9E+99,AW255),FLOOR(AN255/U255,1)))</f>
        <v/>
      </c>
      <c r="AP255" s="49">
        <f>IF(AO255="","",AO255*W255)</f>
        <v/>
      </c>
      <c r="AQ255" s="47">
        <f>IF(OR(AJ255="",U255=0),"",MIN(IF(AW255="",9.9E+99,AW255),AN255/U255))</f>
        <v/>
      </c>
      <c r="AR255" s="49">
        <f>IF(AQ255="","",AQ255*W255)</f>
        <v/>
      </c>
      <c r="AS255" s="51" t="n"/>
      <c r="AT255" s="43" t="inlineStr">
        <is>
          <t>Grounded</t>
        </is>
      </c>
      <c r="AU255" s="52" t="n"/>
      <c r="AV255" s="52" t="n"/>
      <c r="AW255" s="53" t="n"/>
      <c r="AX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Y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Z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BA255" s="40" t="inlineStr">
        <is>
          <t>economics_by_route_id.json</t>
        </is>
      </c>
      <c r="BB255" s="40" t="inlineStr">
        <is>
          <t>gojek-127/route+economics</t>
        </is>
      </c>
    </row>
    <row r="256">
      <c r="A256" s="38" t="inlineStr">
        <is>
          <t>Komodo Flores</t>
        </is>
      </c>
      <c r="B256" s="38" t="inlineStr">
        <is>
          <t>Indonesia</t>
        </is>
      </c>
      <c r="C256" s="39" t="inlineStr">
        <is>
          <t>Komodo → Padar Island Viewing-Platform Pier</t>
        </is>
      </c>
      <c r="D256" s="38" t="inlineStr">
        <is>
          <t>grab</t>
        </is>
      </c>
      <c r="E256" s="40" t="inlineStr">
        <is>
          <t>komodo-flores</t>
        </is>
      </c>
      <c r="F256" s="41" t="n">
        <v>1</v>
      </c>
      <c r="G256" s="42" t="n">
        <v>24.4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MIN(24,FLOOR(60*service_hr/M256,1))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5000</v>
      </c>
      <c r="AK256" s="43" t="inlineStr">
        <is>
          <t>T3</t>
        </is>
      </c>
      <c r="AL256" s="43" t="inlineStr">
        <is>
          <t>med</t>
        </is>
      </c>
      <c r="AM256" s="50" t="n">
        <v>0.1</v>
      </c>
      <c r="AN256" s="45">
        <f>IF(AJ256="","",AJ256*AM256)</f>
        <v/>
      </c>
      <c r="AO256" s="45">
        <f>IF(OR(AJ256="",U256=0),"",MIN(IF(AW256="",9.9E+99,AW256),FLOOR(AN256/U256,1)))</f>
        <v/>
      </c>
      <c r="AP256" s="49">
        <f>IF(AO256="","",AO256*W256)</f>
        <v/>
      </c>
      <c r="AQ256" s="47">
        <f>IF(OR(AJ256="",U256=0),"",MIN(IF(AW256="",9.9E+99,AW256),AN256/U256))</f>
        <v/>
      </c>
      <c r="AR256" s="49">
        <f>IF(AQ256="","",AQ256*W256)</f>
        <v/>
      </c>
      <c r="AS256" s="51" t="n"/>
      <c r="AT256" s="43" t="inlineStr">
        <is>
          <t>Grounded</t>
        </is>
      </c>
      <c r="AU256" s="52" t="n"/>
      <c r="AV256" s="52" t="n"/>
      <c r="AW256" s="53" t="n"/>
      <c r="AX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Y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Z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BA256" s="40" t="inlineStr">
        <is>
          <t>economics_by_route_id.json</t>
        </is>
      </c>
      <c r="BB256" s="40" t="inlineStr">
        <is>
          <t>gojek-127/route+economics</t>
        </is>
      </c>
    </row>
    <row r="257">
      <c r="A257" s="38" t="inlineStr">
        <is>
          <t>Komodo Flores</t>
        </is>
      </c>
      <c r="B257" s="38" t="inlineStr">
        <is>
          <t>Indonesia</t>
        </is>
      </c>
      <c r="C257" s="39" t="inlineStr">
        <is>
          <t>Komodo → Komodo Island — Ata Modo village</t>
        </is>
      </c>
      <c r="D257" s="38" t="inlineStr">
        <is>
          <t>grab</t>
        </is>
      </c>
      <c r="E257" s="40" t="inlineStr">
        <is>
          <t>komodo-flores</t>
        </is>
      </c>
      <c r="F257" s="41" t="n">
        <v>1</v>
      </c>
      <c r="G257" s="42" t="n">
        <v>24.8</v>
      </c>
      <c r="H257" s="35" t="n">
        <v>50</v>
      </c>
      <c r="I257" s="43" t="inlineStr">
        <is>
          <t>T3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MIN(24,FLOOR(60*service_hr/M257,1))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5000</v>
      </c>
      <c r="AK257" s="43" t="inlineStr">
        <is>
          <t>T3</t>
        </is>
      </c>
      <c r="AL257" s="43" t="inlineStr">
        <is>
          <t>med</t>
        </is>
      </c>
      <c r="AM257" s="50" t="n">
        <v>0.1</v>
      </c>
      <c r="AN257" s="45">
        <f>IF(AJ257="","",AJ257*AM257)</f>
        <v/>
      </c>
      <c r="AO257" s="45">
        <f>IF(OR(AJ257="",U257=0),"",MIN(IF(AW257="",9.9E+99,AW257),FLOOR(AN257/U257,1)))</f>
        <v/>
      </c>
      <c r="AP257" s="49">
        <f>IF(AO257="","",AO257*W257)</f>
        <v/>
      </c>
      <c r="AQ257" s="47">
        <f>IF(OR(AJ257="",U257=0),"",MIN(IF(AW257="",9.9E+99,AW257),AN257/U257))</f>
        <v/>
      </c>
      <c r="AR257" s="49">
        <f>IF(AQ257="","",AQ257*W257)</f>
        <v/>
      </c>
      <c r="AS257" s="51" t="n"/>
      <c r="AT257" s="43" t="inlineStr">
        <is>
          <t>Grounded</t>
        </is>
      </c>
      <c r="AU257" s="52" t="n"/>
      <c r="AV257" s="52" t="n"/>
      <c r="AW257" s="53" t="n"/>
      <c r="AX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Y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Z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BA257" s="40" t="inlineStr">
        <is>
          <t>economics_by_route_id.json</t>
        </is>
      </c>
      <c r="BB257" s="40" t="inlineStr">
        <is>
          <t>gojek-127/route+economics</t>
        </is>
      </c>
    </row>
    <row r="258">
      <c r="A258" s="38" t="inlineStr">
        <is>
          <t>Jakarta</t>
        </is>
      </c>
      <c r="B258" s="38" t="inlineStr">
        <is>
          <t>Indonesia</t>
        </is>
      </c>
      <c r="C258" s="39" t="inlineStr">
        <is>
          <t>Thousand Islands — inner ring → Thousand Islands — outer ring</t>
        </is>
      </c>
      <c r="D258" s="38" t="inlineStr">
        <is>
          <t>grab</t>
        </is>
      </c>
      <c r="E258" s="40" t="inlineStr">
        <is>
          <t>jakarta</t>
        </is>
      </c>
      <c r="F258" s="41" t="n">
        <v>1</v>
      </c>
      <c r="G258" s="42" t="n">
        <v>28.9</v>
      </c>
      <c r="H258" s="35" t="n">
        <v>16.6</v>
      </c>
      <c r="I258" s="43" t="inlineStr">
        <is>
          <t>T5</t>
        </is>
      </c>
      <c r="J258" s="43" t="inlineStr">
        <is>
          <t>low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MIN(15,FLOOR(60*service_hr/M258,1))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inlineStr">
        <is>
          <t>T5</t>
        </is>
      </c>
      <c r="AL258" s="43" t="inlineStr">
        <is>
          <t>low</t>
        </is>
      </c>
      <c r="AM258" s="50" t="n">
        <v>0.1</v>
      </c>
      <c r="AN258" s="45">
        <f>IF(AJ258="","",AJ258*AM258)</f>
        <v/>
      </c>
      <c r="AO258" s="45">
        <f>IF(OR(AJ258="",U258=0),"",MIN(IF(AW258="",9.9E+99,AW258),FLOOR(AN258/U258,1)))</f>
        <v/>
      </c>
      <c r="AP258" s="49">
        <f>IF(AO258="","",AO258*W258)</f>
        <v/>
      </c>
      <c r="AQ258" s="47">
        <f>IF(OR(AJ258="",U258=0),"",MIN(IF(AW258="",9.9E+99,AW258),AN258/U258))</f>
        <v/>
      </c>
      <c r="AR258" s="49">
        <f>IF(AQ258="","",AQ258*W258)</f>
        <v/>
      </c>
      <c r="AS258" s="51" t="n"/>
      <c r="AT258" s="43" t="inlineStr">
        <is>
          <t>Estimated</t>
        </is>
      </c>
      <c r="AU258" s="52" t="n"/>
      <c r="AV258" s="52" t="n"/>
      <c r="AW258" s="53" t="n"/>
      <c r="AX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Y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Z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BA258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B258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59">
      <c r="A259" s="38" t="inlineStr">
        <is>
          <t>Jakarta</t>
        </is>
      </c>
      <c r="B259" s="38" t="inlineStr">
        <is>
          <t>Indonesia</t>
        </is>
      </c>
      <c r="C259" s="39" t="inlineStr">
        <is>
          <t>Marina Ancol → Thousand Islands — outer ring (Macan / Pelangi / Putri / Sepa)</t>
        </is>
      </c>
      <c r="D259" s="38" t="inlineStr">
        <is>
          <t>grab</t>
        </is>
      </c>
      <c r="E259" s="40" t="inlineStr">
        <is>
          <t>jakarta</t>
        </is>
      </c>
      <c r="F259" s="41" t="n">
        <v>1</v>
      </c>
      <c r="G259" s="42" t="n">
        <v>35.9</v>
      </c>
      <c r="H259" s="35" t="n">
        <v>24.5</v>
      </c>
      <c r="I259" s="43" t="inlineStr">
        <is>
          <t>T2/T3</t>
        </is>
      </c>
      <c r="J259" s="43" t="inlineStr">
        <is>
          <t>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>
        <v>7000</v>
      </c>
      <c r="AK259" s="43" t="inlineStr">
        <is>
          <t>T2</t>
        </is>
      </c>
      <c r="AL259" s="43" t="inlineStr">
        <is>
          <t>med</t>
        </is>
      </c>
      <c r="AM259" s="50" t="n">
        <v>0.1</v>
      </c>
      <c r="AN259" s="45">
        <f>IF(AJ259="","",AJ259*AM259)</f>
        <v/>
      </c>
      <c r="AO259" s="45">
        <f>IF(OR(AJ259="",U259=0),"",MIN(IF(AW259="",9.9E+99,AW259),FLOOR(AN259/U259,1)))</f>
        <v/>
      </c>
      <c r="AP259" s="49">
        <f>IF(AO259="","",AO259*W259)</f>
        <v/>
      </c>
      <c r="AQ259" s="47">
        <f>IF(OR(AJ259="",U259=0),"",MIN(IF(AW259="",9.9E+99,AW259),AN259/U259))</f>
        <v/>
      </c>
      <c r="AR259" s="49">
        <f>IF(AQ259="","",AQ259*W259)</f>
        <v/>
      </c>
      <c r="AS259" s="51" t="n"/>
      <c r="AT259" s="43" t="inlineStr">
        <is>
          <t>Grounded</t>
        </is>
      </c>
      <c r="AU259" s="52" t="n"/>
      <c r="AV259" s="52" t="n"/>
      <c r="AW259" s="53" t="n"/>
      <c r="AX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Y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Z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BA259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B259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60">
      <c r="A260" s="38" t="inlineStr">
        <is>
          <t>Eastern Indonesia</t>
        </is>
      </c>
      <c r="B260" s="38" t="inlineStr">
        <is>
          <t>Indonesia</t>
        </is>
      </c>
      <c r="C260" s="39" t="inlineStr">
        <is>
          <t>Raja Ampat → Waisai Waterfront</t>
        </is>
      </c>
      <c r="D260" s="38" t="inlineStr">
        <is>
          <t>grab</t>
        </is>
      </c>
      <c r="E260" s="40" t="inlineStr">
        <is>
          <t>eastern-indonesia</t>
        </is>
      </c>
      <c r="F260" s="41" t="n">
        <v>1</v>
      </c>
      <c r="G260" s="42" t="n">
        <v>38.7</v>
      </c>
      <c r="H260" s="35" t="n">
        <v>50</v>
      </c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>
        <v>5000</v>
      </c>
      <c r="AK260" s="43" t="inlineStr">
        <is>
          <t>T3</t>
        </is>
      </c>
      <c r="AL260" s="43" t="inlineStr">
        <is>
          <t>med</t>
        </is>
      </c>
      <c r="AM260" s="50" t="n">
        <v>0.1</v>
      </c>
      <c r="AN260" s="45">
        <f>IF(AJ260="","",AJ260*AM260)</f>
        <v/>
      </c>
      <c r="AO260" s="45">
        <f>IF(OR(AJ260="",U260=0),"",MIN(IF(AW260="",9.9E+99,AW260),FLOOR(AN260/U260,1)))</f>
        <v/>
      </c>
      <c r="AP260" s="49">
        <f>IF(AO260="","",AO260*W260)</f>
        <v/>
      </c>
      <c r="AQ260" s="47">
        <f>IF(OR(AJ260="",U260=0),"",MIN(IF(AW260="",9.9E+99,AW260),AN260/U260))</f>
        <v/>
      </c>
      <c r="AR260" s="49">
        <f>IF(AQ260="","",AQ260*W260)</f>
        <v/>
      </c>
      <c r="AS260" s="51" t="n"/>
      <c r="AT260" s="43" t="inlineStr">
        <is>
          <t>Grounded</t>
        </is>
      </c>
      <c r="AU260" s="52" t="n"/>
      <c r="AV260" s="52" t="n"/>
      <c r="AW260" s="53" t="n"/>
      <c r="AX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Y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Z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BA260" s="40" t="inlineStr">
        <is>
          <t>economics_by_route_id.json</t>
        </is>
      </c>
      <c r="BB260" s="40" t="inlineStr">
        <is>
          <t>gojek-127/route+economics</t>
        </is>
      </c>
    </row>
    <row r="261">
      <c r="A261" s="38" t="inlineStr">
        <is>
          <t>Eastern Indonesia</t>
        </is>
      </c>
      <c r="B261" s="38" t="inlineStr">
        <is>
          <t>Indonesia</t>
        </is>
      </c>
      <c r="C261" s="39" t="inlineStr">
        <is>
          <t>Raja Ampat → Mioskon Islet</t>
        </is>
      </c>
      <c r="D261" s="38" t="inlineStr">
        <is>
          <t>grab</t>
        </is>
      </c>
      <c r="E261" s="40" t="inlineStr">
        <is>
          <t>eastern-indonesia</t>
        </is>
      </c>
      <c r="F261" s="41" t="n">
        <v>1</v>
      </c>
      <c r="G261" s="42" t="n">
        <v>40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5000</v>
      </c>
      <c r="AK261" s="43" t="inlineStr">
        <is>
          <t>T3</t>
        </is>
      </c>
      <c r="AL261" s="43" t="inlineStr">
        <is>
          <t>med</t>
        </is>
      </c>
      <c r="AM261" s="50" t="n">
        <v>0.1</v>
      </c>
      <c r="AN261" s="45">
        <f>IF(AJ261="","",AJ261*AM261)</f>
        <v/>
      </c>
      <c r="AO261" s="45">
        <f>IF(OR(AJ261="",U261=0),"",MIN(IF(AW261="",9.9E+99,AW261),FLOOR(AN261/U261,1)))</f>
        <v/>
      </c>
      <c r="AP261" s="49">
        <f>IF(AO261="","",AO261*W261)</f>
        <v/>
      </c>
      <c r="AQ261" s="47">
        <f>IF(OR(AJ261="",U261=0),"",MIN(IF(AW261="",9.9E+99,AW261),AN261/U261))</f>
        <v/>
      </c>
      <c r="AR261" s="49">
        <f>IF(AQ261="","",AQ261*W261)</f>
        <v/>
      </c>
      <c r="AS261" s="51" t="n"/>
      <c r="AT261" s="43" t="inlineStr">
        <is>
          <t>Grounded</t>
        </is>
      </c>
      <c r="AU261" s="52" t="n"/>
      <c r="AV261" s="52" t="n"/>
      <c r="AW261" s="53" t="n"/>
      <c r="AX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Y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Z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BA261" s="40" t="inlineStr">
        <is>
          <t>economics_by_route_id.json</t>
        </is>
      </c>
      <c r="BB261" s="40" t="inlineStr">
        <is>
          <t>gojek-127/route+economics</t>
        </is>
      </c>
    </row>
    <row r="262">
      <c r="A262" s="38" t="inlineStr">
        <is>
          <t>Eastern Indonesia</t>
        </is>
      </c>
      <c r="B262" s="38" t="inlineStr">
        <is>
          <t>Indonesia</t>
        </is>
      </c>
      <c r="C262" s="39" t="inlineStr">
        <is>
          <t>Raja Ampat → Mansuar Island South</t>
        </is>
      </c>
      <c r="D262" s="38" t="inlineStr">
        <is>
          <t>grab</t>
        </is>
      </c>
      <c r="E262" s="40" t="inlineStr">
        <is>
          <t>eastern-indonesia</t>
        </is>
      </c>
      <c r="F262" s="41" t="n">
        <v>1</v>
      </c>
      <c r="G262" s="42" t="n">
        <v>41.2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>
        <v>5000</v>
      </c>
      <c r="AK262" s="43" t="inlineStr">
        <is>
          <t>T3</t>
        </is>
      </c>
      <c r="AL262" s="43" t="inlineStr">
        <is>
          <t>med</t>
        </is>
      </c>
      <c r="AM262" s="50" t="n">
        <v>0.1</v>
      </c>
      <c r="AN262" s="45">
        <f>IF(AJ262="","",AJ262*AM262)</f>
        <v/>
      </c>
      <c r="AO262" s="45">
        <f>IF(OR(AJ262="",U262=0),"",MIN(IF(AW262="",9.9E+99,AW262),FLOOR(AN262/U262,1)))</f>
        <v/>
      </c>
      <c r="AP262" s="49">
        <f>IF(AO262="","",AO262*W262)</f>
        <v/>
      </c>
      <c r="AQ262" s="47">
        <f>IF(OR(AJ262="",U262=0),"",MIN(IF(AW262="",9.9E+99,AW262),AN262/U262))</f>
        <v/>
      </c>
      <c r="AR262" s="49">
        <f>IF(AQ262="","",AQ262*W262)</f>
        <v/>
      </c>
      <c r="AS262" s="51" t="n"/>
      <c r="AT262" s="43" t="inlineStr">
        <is>
          <t>Grounded</t>
        </is>
      </c>
      <c r="AU262" s="52" t="n"/>
      <c r="AV262" s="52" t="n"/>
      <c r="AW262" s="53" t="n"/>
      <c r="AX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Y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Z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BA262" s="40" t="inlineStr">
        <is>
          <t>economics_by_route_id.json</t>
        </is>
      </c>
      <c r="BB262" s="40" t="inlineStr">
        <is>
          <t>gojek-127/route+economics</t>
        </is>
      </c>
    </row>
    <row r="263">
      <c r="A263" s="38" t="inlineStr">
        <is>
          <t>Bali</t>
        </is>
      </c>
      <c r="B263" s="38" t="inlineStr">
        <is>
          <t>Indonesia</t>
        </is>
      </c>
      <c r="C263" s="39" t="inlineStr">
        <is>
          <t>Bali → Gili Islands / Lombok</t>
        </is>
      </c>
      <c r="D263" s="38" t="inlineStr">
        <is>
          <t>grab</t>
        </is>
      </c>
      <c r="E263" s="40" t="inlineStr">
        <is>
          <t>bali</t>
        </is>
      </c>
      <c r="F263" s="41" t="n">
        <v>1</v>
      </c>
      <c r="G263" s="42" t="n">
        <v>45</v>
      </c>
      <c r="H263" s="35" t="n">
        <v>64</v>
      </c>
      <c r="I263" s="43" t="inlineStr">
        <is>
          <t>T3</t>
        </is>
      </c>
      <c r="J263" s="43" t="inlineStr">
        <is>
          <t>med-high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600000</v>
      </c>
      <c r="AK263" s="43" t="inlineStr">
        <is>
          <t>T5</t>
        </is>
      </c>
      <c r="AL263" s="43" t="inlineStr">
        <is>
          <t>low-med</t>
        </is>
      </c>
      <c r="AM263" s="50" t="n">
        <v>0.1</v>
      </c>
      <c r="AN263" s="45">
        <f>IF(AJ263="","",AJ263*AM263)</f>
        <v/>
      </c>
      <c r="AO263" s="45">
        <f>IF(OR(AJ263="",U263=0),"",MIN(IF(AW263="",9.9E+99,AW263),FLOOR(AN263/U263,1)))</f>
        <v/>
      </c>
      <c r="AP263" s="49">
        <f>IF(AO263="","",AO263*W263)</f>
        <v/>
      </c>
      <c r="AQ263" s="47">
        <f>IF(OR(AJ263="",U263=0),"",MIN(IF(AW263="",9.9E+99,AW263),AN263/U263))</f>
        <v/>
      </c>
      <c r="AR263" s="49">
        <f>IF(AQ263="","",AQ263*W263)</f>
        <v/>
      </c>
      <c r="AS263" s="51" t="n"/>
      <c r="AT263" s="43" t="inlineStr">
        <is>
          <t>Grounded</t>
        </is>
      </c>
      <c r="AU263" s="52" t="n"/>
      <c r="AV263" s="52" t="n"/>
      <c r="AW263" s="53" t="n"/>
      <c r="AX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Y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Z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BA263" s="40" t="inlineStr">
        <is>
          <t>Premium transfer tier, Bali-&gt;Gili Trawangan. Tripadvisor 'Luxury Speedboat Transfer' $64; standard $28-42; budget ~$20; whole-boat private $500-1200.</t>
        </is>
      </c>
      <c r="BB263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64">
      <c r="A264" s="38" t="inlineStr">
        <is>
          <t>Bali</t>
        </is>
      </c>
      <c r="B264" s="38" t="inlineStr">
        <is>
          <t>Indonesia</t>
        </is>
      </c>
      <c r="C264" s="39" t="inlineStr">
        <is>
          <t>Bali → Lombok</t>
        </is>
      </c>
      <c r="D264" s="38" t="inlineStr">
        <is>
          <t>grab</t>
        </is>
      </c>
      <c r="E264" s="40" t="inlineStr">
        <is>
          <t>bali</t>
        </is>
      </c>
      <c r="F264" s="41" t="n">
        <v>2</v>
      </c>
      <c r="G264" s="42" t="n">
        <v>52.7</v>
      </c>
      <c r="H264" s="35" t="n">
        <v>50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5000</v>
      </c>
      <c r="AK264" s="43" t="inlineStr">
        <is>
          <t>T3</t>
        </is>
      </c>
      <c r="AL264" s="43" t="inlineStr">
        <is>
          <t>med</t>
        </is>
      </c>
      <c r="AM264" s="50" t="n">
        <v>0.1</v>
      </c>
      <c r="AN264" s="45">
        <f>IF(AJ264="","",AJ264*AM264)</f>
        <v/>
      </c>
      <c r="AO264" s="45">
        <f>IF(OR(AJ264="",U264=0),"",MIN(IF(AW264="",9.9E+99,AW264),FLOOR(AN264/U264,1)))</f>
        <v/>
      </c>
      <c r="AP264" s="49">
        <f>IF(AO264="","",AO264*W264)</f>
        <v/>
      </c>
      <c r="AQ264" s="47">
        <f>IF(OR(AJ264="",U264=0),"",MIN(IF(AW264="",9.9E+99,AW264),AN264/U264))</f>
        <v/>
      </c>
      <c r="AR264" s="49">
        <f>IF(AQ264="","",AQ264*W264)</f>
        <v/>
      </c>
      <c r="AS264" s="51" t="n"/>
      <c r="AT264" s="43" t="inlineStr">
        <is>
          <t>Grounded</t>
        </is>
      </c>
      <c r="AU264" s="52" t="n"/>
      <c r="AV264" s="52" t="n"/>
      <c r="AW264" s="53" t="n"/>
      <c r="AX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Y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Z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BA264" s="40" t="inlineStr">
        <is>
          <t>economics_by_route_id.json</t>
        </is>
      </c>
      <c r="BB264" s="40" t="inlineStr">
        <is>
          <t>gojek-127/route+economics</t>
        </is>
      </c>
    </row>
    <row r="265">
      <c r="A265" s="38" t="inlineStr">
        <is>
          <t>Bali</t>
        </is>
      </c>
      <c r="B265" s="38" t="inlineStr">
        <is>
          <t>Indonesia</t>
        </is>
      </c>
      <c r="C265" s="39" t="inlineStr">
        <is>
          <t>Lombok → Gili Trawangan main jetty</t>
        </is>
      </c>
      <c r="D265" s="38" t="inlineStr">
        <is>
          <t>grab</t>
        </is>
      </c>
      <c r="E265" s="40" t="inlineStr">
        <is>
          <t>bali</t>
        </is>
      </c>
      <c r="F265" s="41" t="n">
        <v>1</v>
      </c>
      <c r="G265" s="42" t="n">
        <v>62.6</v>
      </c>
      <c r="H265" s="35" t="n">
        <v>50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MIN(15,FLOOR(60*service_hr/M265,1))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5000</v>
      </c>
      <c r="AK265" s="43" t="inlineStr">
        <is>
          <t>T3</t>
        </is>
      </c>
      <c r="AL265" s="43" t="inlineStr">
        <is>
          <t>med</t>
        </is>
      </c>
      <c r="AM265" s="50" t="n">
        <v>0.1</v>
      </c>
      <c r="AN265" s="45">
        <f>IF(AJ265="","",AJ265*AM265)</f>
        <v/>
      </c>
      <c r="AO265" s="45">
        <f>IF(OR(AJ265="",U265=0),"",MIN(IF(AW265="",9.9E+99,AW265),FLOOR(AN265/U265,1)))</f>
        <v/>
      </c>
      <c r="AP265" s="49">
        <f>IF(AO265="","",AO265*W265)</f>
        <v/>
      </c>
      <c r="AQ265" s="47">
        <f>IF(OR(AJ265="",U265=0),"",MIN(IF(AW265="",9.9E+99,AW265),AN265/U265))</f>
        <v/>
      </c>
      <c r="AR265" s="49">
        <f>IF(AQ265="","",AQ265*W265)</f>
        <v/>
      </c>
      <c r="AS265" s="51" t="n"/>
      <c r="AT265" s="43" t="inlineStr">
        <is>
          <t>Grounded</t>
        </is>
      </c>
      <c r="AU265" s="52" t="n"/>
      <c r="AV265" s="52" t="n"/>
      <c r="AW265" s="53" t="n"/>
      <c r="AX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Y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Z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BA265" s="40" t="inlineStr">
        <is>
          <t>economics_by_route_id.json</t>
        </is>
      </c>
      <c r="BB265" s="40" t="inlineStr">
        <is>
          <t>gojek-127/route+economics</t>
        </is>
      </c>
    </row>
    <row r="266">
      <c r="A266" s="38" t="inlineStr">
        <is>
          <t>Bali</t>
        </is>
      </c>
      <c r="B266" s="38" t="inlineStr">
        <is>
          <t>Indonesia</t>
        </is>
      </c>
      <c r="C266" s="39" t="inlineStr">
        <is>
          <t>Lombok → Gili Air main jetty</t>
        </is>
      </c>
      <c r="D266" s="38" t="inlineStr">
        <is>
          <t>grab</t>
        </is>
      </c>
      <c r="E266" s="40" t="inlineStr">
        <is>
          <t>bali</t>
        </is>
      </c>
      <c r="F266" s="41" t="n">
        <v>1</v>
      </c>
      <c r="G266" s="42" t="n">
        <v>63.1</v>
      </c>
      <c r="H266" s="35" t="n">
        <v>50</v>
      </c>
      <c r="I266" s="43" t="inlineStr">
        <is>
          <t>T3</t>
        </is>
      </c>
      <c r="J266" s="43" t="inlineStr">
        <is>
          <t>med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MIN(15,FLOOR(60*service_hr/M266,1))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5000</v>
      </c>
      <c r="AK266" s="43" t="inlineStr">
        <is>
          <t>T3</t>
        </is>
      </c>
      <c r="AL266" s="43" t="inlineStr">
        <is>
          <t>med</t>
        </is>
      </c>
      <c r="AM266" s="50" t="n">
        <v>0.1</v>
      </c>
      <c r="AN266" s="45">
        <f>IF(AJ266="","",AJ266*AM266)</f>
        <v/>
      </c>
      <c r="AO266" s="45">
        <f>IF(OR(AJ266="",U266=0),"",MIN(IF(AW266="",9.9E+99,AW266),FLOOR(AN266/U266,1)))</f>
        <v/>
      </c>
      <c r="AP266" s="49">
        <f>IF(AO266="","",AO266*W266)</f>
        <v/>
      </c>
      <c r="AQ266" s="47">
        <f>IF(OR(AJ266="",U266=0),"",MIN(IF(AW266="",9.9E+99,AW266),AN266/U266))</f>
        <v/>
      </c>
      <c r="AR266" s="49">
        <f>IF(AQ266="","",AQ266*W266)</f>
        <v/>
      </c>
      <c r="AS266" s="51" t="n"/>
      <c r="AT266" s="43" t="inlineStr">
        <is>
          <t>Grounded</t>
        </is>
      </c>
      <c r="AU266" s="52" t="n"/>
      <c r="AV266" s="52" t="n"/>
      <c r="AW266" s="53" t="n"/>
      <c r="AX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Y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Z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BA266" s="40" t="inlineStr">
        <is>
          <t>economics_by_route_id.json</t>
        </is>
      </c>
      <c r="BB266" s="40" t="inlineStr">
        <is>
          <t>gojek-127/route+economics</t>
        </is>
      </c>
    </row>
    <row r="267">
      <c r="A267" s="38" t="inlineStr">
        <is>
          <t>Bolt Ireland</t>
        </is>
      </c>
      <c r="B267" s="38" t="inlineStr">
        <is>
          <t>Ireland</t>
        </is>
      </c>
      <c r="C267" s="39" t="inlineStr">
        <is>
          <t>Dalkey → Dalkey Island</t>
        </is>
      </c>
      <c r="D267" s="38" t="inlineStr">
        <is>
          <t>bolt</t>
        </is>
      </c>
      <c r="E267" s="40" t="inlineStr">
        <is>
          <t>bolt-ireland</t>
        </is>
      </c>
      <c r="F267" s="41" t="n">
        <v>1</v>
      </c>
      <c r="G267" s="42" t="n">
        <v>0.3</v>
      </c>
      <c r="H267" s="35" t="n">
        <v>10.8</v>
      </c>
      <c r="I267" s="43" t="inlineStr">
        <is>
          <t>T2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MIN(15,FLOOR(60*service_hr/M267,1))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/>
      <c r="AK267" s="43" t="n"/>
      <c r="AL267" s="43" t="n"/>
      <c r="AM267" s="50" t="n">
        <v>0.1</v>
      </c>
      <c r="AN267" s="45">
        <f>IF(AJ267="","",AJ267*AM267)</f>
        <v/>
      </c>
      <c r="AO267" s="45">
        <f>IF(OR(AJ267="",U267=0),"",MIN(IF(AW267="",9.9E+99,AW267),FLOOR(AN267/U267,1)))</f>
        <v/>
      </c>
      <c r="AP267" s="49">
        <f>IF(AO267="","",AO267*W267)</f>
        <v/>
      </c>
      <c r="AQ267" s="47">
        <f>IF(OR(AJ267="",U267=0),"",MIN(IF(AW267="",9.9E+99,AW267),AN267/U267))</f>
        <v/>
      </c>
      <c r="AR267" s="49">
        <f>IF(AQ267="","",AQ267*W267)</f>
        <v/>
      </c>
      <c r="AS267" s="51" t="n"/>
      <c r="AT267" s="43" t="inlineStr">
        <is>
          <t>Estimated</t>
        </is>
      </c>
      <c r="AU267" s="52" t="n"/>
      <c r="AV267" s="52" t="n"/>
      <c r="AW267" s="53" t="n"/>
      <c r="AX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Y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Z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BA267" s="40" t="inlineStr">
        <is>
          <t>Ken the Ferryman EUR 10 per person (the operating fare to Dalkey Island). EUR 10 x 1.08 = $10.80.</t>
        </is>
      </c>
      <c r="BB267" s="40" t="n"/>
    </row>
    <row r="268">
      <c r="A268" s="38" t="inlineStr">
        <is>
          <t>Bolt Ireland</t>
        </is>
      </c>
      <c r="B268" s="38" t="inlineStr">
        <is>
          <t>Ireland</t>
        </is>
      </c>
      <c r="C268" s="39" t="inlineStr">
        <is>
          <t>Howth → Ireland's Eye</t>
        </is>
      </c>
      <c r="D268" s="38" t="inlineStr">
        <is>
          <t>bolt</t>
        </is>
      </c>
      <c r="E268" s="40" t="inlineStr">
        <is>
          <t>bolt-ireland</t>
        </is>
      </c>
      <c r="F268" s="41" t="n">
        <v>1</v>
      </c>
      <c r="G268" s="42" t="n">
        <v>1</v>
      </c>
      <c r="H268" s="35" t="n">
        <v>32.4</v>
      </c>
      <c r="I268" s="43" t="inlineStr">
        <is>
          <t>T2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MIN(15,FLOOR(60*service_hr/M268,1))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/>
      <c r="AK268" s="43" t="n"/>
      <c r="AL268" s="43" t="n"/>
      <c r="AM268" s="50" t="n">
        <v>0.1</v>
      </c>
      <c r="AN268" s="45">
        <f>IF(AJ268="","",AJ268*AM268)</f>
        <v/>
      </c>
      <c r="AO268" s="45">
        <f>IF(OR(AJ268="",U268=0),"",MIN(IF(AW268="",9.9E+99,AW268),FLOOR(AN268/U268,1)))</f>
        <v/>
      </c>
      <c r="AP268" s="49">
        <f>IF(AO268="","",AO268*W268)</f>
        <v/>
      </c>
      <c r="AQ268" s="47">
        <f>IF(OR(AJ268="",U268=0),"",MIN(IF(AW268="",9.9E+99,AW268),AN268/U268))</f>
        <v/>
      </c>
      <c r="AR268" s="49">
        <f>IF(AQ268="","",AQ268*W268)</f>
        <v/>
      </c>
      <c r="AS268" s="51" t="n"/>
      <c r="AT268" s="43" t="inlineStr">
        <is>
          <t>Estimated</t>
        </is>
      </c>
      <c r="AU268" s="52" t="n"/>
      <c r="AV268" s="52" t="n"/>
      <c r="AW268" s="53" t="n"/>
      <c r="AX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Y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Z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BA268" s="40" t="inlineStr">
        <is>
          <t>Ireland's Eye Ferries / Howth Cliff Cruises adult EUR 30 return incl. island landing (the operating product). EUR 30 x 1.08 = $32.40. One-way equivalent ~$16.20.</t>
        </is>
      </c>
      <c r="BB268" s="40" t="n"/>
    </row>
    <row r="269">
      <c r="A269" s="38" t="inlineStr">
        <is>
          <t>Bolt Ireland</t>
        </is>
      </c>
      <c r="B269" s="38" t="inlineStr">
        <is>
          <t>Ireland</t>
        </is>
      </c>
      <c r="C269" s="39" t="inlineStr">
        <is>
          <t>Dublin Docklands → Dún Laoghaire</t>
        </is>
      </c>
      <c r="D269" s="38" t="inlineStr">
        <is>
          <t>bolt</t>
        </is>
      </c>
      <c r="E269" s="40" t="inlineStr">
        <is>
          <t>bolt-ireland</t>
        </is>
      </c>
      <c r="F269" s="41" t="n">
        <v>1</v>
      </c>
      <c r="G269" s="42" t="n">
        <v>6.5</v>
      </c>
      <c r="H269" s="35" t="n">
        <v>32.4</v>
      </c>
      <c r="I269" s="43" t="inlineStr">
        <is>
          <t>T2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MIN(24,FLOOR(60*service_hr/M269,1))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>
        <v>50000</v>
      </c>
      <c r="AK269" s="43" t="n"/>
      <c r="AL269" s="43" t="n"/>
      <c r="AM269" s="50" t="n">
        <v>0.1</v>
      </c>
      <c r="AN269" s="45">
        <f>IF(AJ269="","",AJ269*AM269)</f>
        <v/>
      </c>
      <c r="AO269" s="45">
        <f>IF(OR(AJ269="",U269=0),"",MIN(IF(AW269="",9.9E+99,AW269),FLOOR(AN269/U269,1)))</f>
        <v/>
      </c>
      <c r="AP269" s="49">
        <f>IF(AO269="","",AO269*W269)</f>
        <v/>
      </c>
      <c r="AQ269" s="47">
        <f>IF(OR(AJ269="",U269=0),"",MIN(IF(AW269="",9.9E+99,AW269),AN269/U269))</f>
        <v/>
      </c>
      <c r="AR269" s="49">
        <f>IF(AQ269="","",AQ269*W269)</f>
        <v/>
      </c>
      <c r="AS269" s="51" t="n"/>
      <c r="AT269" s="43" t="inlineStr">
        <is>
          <t>Estimated</t>
        </is>
      </c>
      <c r="AU269" s="52" t="n"/>
      <c r="AV269" s="52" t="n"/>
      <c r="AW269" s="53" t="n"/>
      <c r="AX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Y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Z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BA269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B269" s="40" t="n"/>
    </row>
    <row r="270">
      <c r="A270" s="38" t="inlineStr">
        <is>
          <t>Bolt Ireland</t>
        </is>
      </c>
      <c r="B270" s="38" t="inlineStr">
        <is>
          <t>Ireland</t>
        </is>
      </c>
      <c r="C270" s="39" t="inlineStr">
        <is>
          <t>Dublin City (Docklands) → Howth</t>
        </is>
      </c>
      <c r="D270" s="38" t="inlineStr">
        <is>
          <t>bolt</t>
        </is>
      </c>
      <c r="E270" s="40" t="inlineStr">
        <is>
          <t>bolt-ireland</t>
        </is>
      </c>
      <c r="F270" s="41" t="n">
        <v>1</v>
      </c>
      <c r="G270" s="42" t="n">
        <v>7</v>
      </c>
      <c r="H270" s="35" t="n">
        <v>43.2</v>
      </c>
      <c r="I270" s="43" t="inlineStr">
        <is>
          <t>T2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MIN(24,FLOOR(60*service_hr/M270,1))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>
        <v>46800</v>
      </c>
      <c r="AK270" s="43" t="n"/>
      <c r="AL270" s="43" t="n"/>
      <c r="AM270" s="50" t="n">
        <v>0.1</v>
      </c>
      <c r="AN270" s="45">
        <f>IF(AJ270="","",AJ270*AM270)</f>
        <v/>
      </c>
      <c r="AO270" s="45">
        <f>IF(OR(AJ270="",U270=0),"",MIN(IF(AW270="",9.9E+99,AW270),FLOOR(AN270/U270,1)))</f>
        <v/>
      </c>
      <c r="AP270" s="49">
        <f>IF(AO270="","",AO270*W270)</f>
        <v/>
      </c>
      <c r="AQ270" s="47">
        <f>IF(OR(AJ270="",U270=0),"",MIN(IF(AW270="",9.9E+99,AW270),AN270/U270))</f>
        <v/>
      </c>
      <c r="AR270" s="49">
        <f>IF(AQ270="","",AQ270*W270)</f>
        <v/>
      </c>
      <c r="AS270" s="51" t="n"/>
      <c r="AT270" s="43" t="inlineStr">
        <is>
          <t>Estimated</t>
        </is>
      </c>
      <c r="AU270" s="52" t="n"/>
      <c r="AV270" s="52" t="n"/>
      <c r="AW270" s="53" t="n"/>
      <c r="AX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Y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Z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BA270" s="40" t="inlineStr">
        <is>
          <t>Dublin Bay Cruises one-way Dublin City-&gt;Howth (via Dun Laoghaire) EUR 40 (premium scheduled water tier). EUR 40 x 1.08 = $43.20.</t>
        </is>
      </c>
      <c r="BB270" s="40" t="n"/>
    </row>
    <row r="271">
      <c r="A271" s="38" t="inlineStr">
        <is>
          <t>Bolt Ireland</t>
        </is>
      </c>
      <c r="B271" s="38" t="inlineStr">
        <is>
          <t>Ireland</t>
        </is>
      </c>
      <c r="C271" s="39" t="inlineStr">
        <is>
          <t>Dun Laoghaire → Howth</t>
        </is>
      </c>
      <c r="D271" s="38" t="inlineStr">
        <is>
          <t>bolt</t>
        </is>
      </c>
      <c r="E271" s="40" t="inlineStr">
        <is>
          <t>bolt-ireland</t>
        </is>
      </c>
      <c r="F271" s="41" t="n">
        <v>1</v>
      </c>
      <c r="G271" s="42" t="n">
        <v>7</v>
      </c>
      <c r="H271" s="35" t="n">
        <v>30.24</v>
      </c>
      <c r="I271" s="43" t="inlineStr">
        <is>
          <t>T2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MIN(24,FLOOR(60*service_hr/M271,1))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/>
      <c r="AK271" s="43" t="n"/>
      <c r="AL271" s="43" t="n"/>
      <c r="AM271" s="50" t="n">
        <v>0.1</v>
      </c>
      <c r="AN271" s="45">
        <f>IF(AJ271="","",AJ271*AM271)</f>
        <v/>
      </c>
      <c r="AO271" s="45">
        <f>IF(OR(AJ271="",U271=0),"",MIN(IF(AW271="",9.9E+99,AW271),FLOOR(AN271/U271,1)))</f>
        <v/>
      </c>
      <c r="AP271" s="49">
        <f>IF(AO271="","",AO271*W271)</f>
        <v/>
      </c>
      <c r="AQ271" s="47">
        <f>IF(OR(AJ271="",U271=0),"",MIN(IF(AW271="",9.9E+99,AW271),AN271/U271))</f>
        <v/>
      </c>
      <c r="AR271" s="49">
        <f>IF(AQ271="","",AQ271*W271)</f>
        <v/>
      </c>
      <c r="AS271" s="51" t="n"/>
      <c r="AT271" s="43" t="inlineStr">
        <is>
          <t>Estimated</t>
        </is>
      </c>
      <c r="AU271" s="52" t="n"/>
      <c r="AV271" s="52" t="n"/>
      <c r="AW271" s="53" t="n"/>
      <c r="AX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Y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Z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BA271" s="40" t="inlineStr">
        <is>
          <t>Dublin Bay Cruises one-way Dun Laoghaire&lt;-&gt;Howth EUR 28 per seat (scheduled scenic water tier). EUR 28 x 1.08 = $30.24.</t>
        </is>
      </c>
      <c r="BB271" s="40" t="n"/>
    </row>
    <row r="272">
      <c r="A272" s="38" t="inlineStr">
        <is>
          <t>Bolt Ireland</t>
        </is>
      </c>
      <c r="B272" s="38" t="inlineStr">
        <is>
          <t>Ireland</t>
        </is>
      </c>
      <c r="C272" s="39" t="inlineStr">
        <is>
          <t>Dublin City (Docklands) → Dalkey / Killiney</t>
        </is>
      </c>
      <c r="D272" s="38" t="inlineStr">
        <is>
          <t>bolt</t>
        </is>
      </c>
      <c r="E272" s="40" t="inlineStr">
        <is>
          <t>bolt-ireland</t>
        </is>
      </c>
      <c r="F272" s="41" t="n">
        <v>1</v>
      </c>
      <c r="G272" s="42" t="n">
        <v>9</v>
      </c>
      <c r="H272" s="35" t="n">
        <v>32.4</v>
      </c>
      <c r="I272" s="43" t="inlineStr">
        <is>
          <t>T2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MIN(24,FLOOR(60*service_hr/M272,1))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/>
      <c r="AK272" s="43" t="n"/>
      <c r="AL272" s="43" t="n"/>
      <c r="AM272" s="50" t="n">
        <v>0.1</v>
      </c>
      <c r="AN272" s="45">
        <f>IF(AJ272="","",AJ272*AM272)</f>
        <v/>
      </c>
      <c r="AO272" s="45">
        <f>IF(OR(AJ272="",U272=0),"",MIN(IF(AW272="",9.9E+99,AW272),FLOOR(AN272/U272,1)))</f>
        <v/>
      </c>
      <c r="AP272" s="49">
        <f>IF(AO272="","",AO272*W272)</f>
        <v/>
      </c>
      <c r="AQ272" s="47">
        <f>IF(OR(AJ272="",U272=0),"",MIN(IF(AW272="",9.9E+99,AW272),AN272/U272))</f>
        <v/>
      </c>
      <c r="AR272" s="49">
        <f>IF(AQ272="","",AQ272*W272)</f>
        <v/>
      </c>
      <c r="AS272" s="51" t="n"/>
      <c r="AT272" s="43" t="inlineStr">
        <is>
          <t>Estimated</t>
        </is>
      </c>
      <c r="AU272" s="52" t="n"/>
      <c r="AV272" s="52" t="n"/>
      <c r="AW272" s="53" t="n"/>
      <c r="AX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Y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Z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BA272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B272" s="40" t="n"/>
    </row>
    <row r="273">
      <c r="A273" s="38" t="inlineStr">
        <is>
          <t>Bolt Ireland</t>
        </is>
      </c>
      <c r="B273" s="38" t="inlineStr">
        <is>
          <t>Ireland</t>
        </is>
      </c>
      <c r="C273" s="39" t="inlineStr">
        <is>
          <t>Dublin Port → Holyhead (Wales)</t>
        </is>
      </c>
      <c r="D273" s="38" t="inlineStr">
        <is>
          <t>bolt</t>
        </is>
      </c>
      <c r="E273" s="40" t="inlineStr">
        <is>
          <t>bolt-ireland</t>
        </is>
      </c>
      <c r="F273" s="41" t="n">
        <v>1</v>
      </c>
      <c r="G273" s="42" t="n">
        <v>67</v>
      </c>
      <c r="H273" s="35" t="n">
        <v>48.6</v>
      </c>
      <c r="I273" s="43" t="inlineStr">
        <is>
          <t>T2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MIN(15,FLOOR(60*service_hr/M273,1))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n"/>
      <c r="AM273" s="50" t="n">
        <v>0.1</v>
      </c>
      <c r="AN273" s="45">
        <f>IF(AJ273="","",AJ273*AM273)</f>
        <v/>
      </c>
      <c r="AO273" s="45">
        <f>IF(OR(AJ273="",U273=0),"",MIN(IF(AW273="",9.9E+99,AW273),FLOOR(AN273/U273,1)))</f>
        <v/>
      </c>
      <c r="AP273" s="49">
        <f>IF(AO273="","",AO273*W273)</f>
        <v/>
      </c>
      <c r="AQ273" s="47">
        <f>IF(OR(AJ273="",U273=0),"",MIN(IF(AW273="",9.9E+99,AW273),AN273/U273))</f>
        <v/>
      </c>
      <c r="AR273" s="49">
        <f>IF(AQ273="","",AQ273*W273)</f>
        <v/>
      </c>
      <c r="AS273" s="51" t="n"/>
      <c r="AT273" s="43" t="inlineStr">
        <is>
          <t>Estimated</t>
        </is>
      </c>
      <c r="AU273" s="52" t="n"/>
      <c r="AV273" s="52" t="n"/>
      <c r="AW273" s="53" t="n"/>
      <c r="AX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Y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Z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BA273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B273" s="40" t="n"/>
    </row>
    <row r="274">
      <c r="A274" s="38" t="inlineStr">
        <is>
          <t>Bolt Israel</t>
        </is>
      </c>
      <c r="B274" s="38" t="inlineStr">
        <is>
          <t>Israel</t>
        </is>
      </c>
      <c r="C274" s="39" t="inlineStr">
        <is>
          <t>Tel Aviv → Jaffa (Old Jaffa Port)</t>
        </is>
      </c>
      <c r="D274" s="38" t="inlineStr">
        <is>
          <t>bolt</t>
        </is>
      </c>
      <c r="E274" s="40" t="inlineStr">
        <is>
          <t>bolt-israel</t>
        </is>
      </c>
      <c r="F274" s="41" t="n">
        <v>1</v>
      </c>
      <c r="G274" s="42" t="n">
        <v>2.2</v>
      </c>
      <c r="H274" s="35" t="n">
        <v>130</v>
      </c>
      <c r="I274" s="43" t="inlineStr">
        <is>
          <t>T2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MIN(24,FLOOR(60*service_hr/M274,1))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/>
      <c r="AK274" s="43" t="n"/>
      <c r="AL274" s="43" t="n"/>
      <c r="AM274" s="50" t="n">
        <v>0.1</v>
      </c>
      <c r="AN274" s="45">
        <f>IF(AJ274="","",AJ274*AM274)</f>
        <v/>
      </c>
      <c r="AO274" s="45">
        <f>IF(OR(AJ274="",U274=0),"",MIN(IF(AW274="",9.9E+99,AW274),FLOOR(AN274/U274,1)))</f>
        <v/>
      </c>
      <c r="AP274" s="49">
        <f>IF(AO274="","",AO274*W274)</f>
        <v/>
      </c>
      <c r="AQ274" s="47">
        <f>IF(OR(AJ274="",U274=0),"",MIN(IF(AW274="",9.9E+99,AW274),AN274/U274))</f>
        <v/>
      </c>
      <c r="AR274" s="49">
        <f>IF(AQ274="","",AQ274*W274)</f>
        <v/>
      </c>
      <c r="AS274" s="51" t="n"/>
      <c r="AT274" s="43" t="inlineStr">
        <is>
          <t>Estimated</t>
        </is>
      </c>
      <c r="AU274" s="52" t="n"/>
      <c r="AV274" s="52" t="n"/>
      <c r="AW274" s="53" t="n"/>
      <c r="AX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Y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Z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BA274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B274" s="40" t="n"/>
    </row>
    <row r="275">
      <c r="A275" s="38" t="inlineStr">
        <is>
          <t>Bolt Israel</t>
        </is>
      </c>
      <c r="B275" s="38" t="inlineStr">
        <is>
          <t>Israel</t>
        </is>
      </c>
      <c r="C275" s="39" t="inlineStr">
        <is>
          <t>Haifa → Akko (Acre)</t>
        </is>
      </c>
      <c r="D275" s="38" t="inlineStr">
        <is>
          <t>bolt</t>
        </is>
      </c>
      <c r="E275" s="40" t="inlineStr">
        <is>
          <t>bolt-israel</t>
        </is>
      </c>
      <c r="F275" s="41" t="n">
        <v>1</v>
      </c>
      <c r="G275" s="42" t="n">
        <v>6.8</v>
      </c>
      <c r="H275" s="35" t="n">
        <v>11</v>
      </c>
      <c r="I275" s="43" t="inlineStr">
        <is>
          <t>T2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MIN(15,FLOOR(60*service_hr/M275,1))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1500000</v>
      </c>
      <c r="AK275" s="43" t="n"/>
      <c r="AL275" s="43" t="n"/>
      <c r="AM275" s="50" t="n">
        <v>0.1</v>
      </c>
      <c r="AN275" s="45">
        <f>IF(AJ275="","",AJ275*AM275)</f>
        <v/>
      </c>
      <c r="AO275" s="45">
        <f>IF(OR(AJ275="",U275=0),"",MIN(IF(AW275="",9.9E+99,AW275),FLOOR(AN275/U275,1)))</f>
        <v/>
      </c>
      <c r="AP275" s="49">
        <f>IF(AO275="","",AO275*W275)</f>
        <v/>
      </c>
      <c r="AQ275" s="47">
        <f>IF(OR(AJ275="",U275=0),"",MIN(IF(AW275="",9.9E+99,AW275),AN275/U275))</f>
        <v/>
      </c>
      <c r="AR275" s="49">
        <f>IF(AQ275="","",AQ275*W275)</f>
        <v/>
      </c>
      <c r="AS275" s="51" t="n"/>
      <c r="AT275" s="43" t="inlineStr">
        <is>
          <t>Grounded</t>
        </is>
      </c>
      <c r="AU275" s="52" t="n"/>
      <c r="AV275" s="52" t="n"/>
      <c r="AW275" s="53" t="n"/>
      <c r="AX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Y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Z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BA275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B275" s="40" t="n"/>
    </row>
    <row r="276">
      <c r="A276" s="38" t="inlineStr">
        <is>
          <t>Bolt Israel</t>
        </is>
      </c>
      <c r="B276" s="38" t="inlineStr">
        <is>
          <t>Israel</t>
        </is>
      </c>
      <c r="C276" s="39" t="inlineStr">
        <is>
          <t>Tel Aviv Marina → Herzliya Marina</t>
        </is>
      </c>
      <c r="D276" s="38" t="inlineStr">
        <is>
          <t>bolt</t>
        </is>
      </c>
      <c r="E276" s="40" t="inlineStr">
        <is>
          <t>bolt-israel</t>
        </is>
      </c>
      <c r="F276" s="41" t="n">
        <v>1</v>
      </c>
      <c r="G276" s="42" t="n">
        <v>7</v>
      </c>
      <c r="H276" s="35" t="n">
        <v>130</v>
      </c>
      <c r="I276" s="43" t="inlineStr">
        <is>
          <t>T2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MIN(15,FLOOR(60*service_hr/M276,1))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234753</v>
      </c>
      <c r="AK276" s="43" t="n"/>
      <c r="AL276" s="43" t="n"/>
      <c r="AM276" s="50" t="n">
        <v>0.1</v>
      </c>
      <c r="AN276" s="45">
        <f>IF(AJ276="","",AJ276*AM276)</f>
        <v/>
      </c>
      <c r="AO276" s="45">
        <f>IF(OR(AJ276="",U276=0),"",MIN(IF(AW276="",9.9E+99,AW276),FLOOR(AN276/U276,1)))</f>
        <v/>
      </c>
      <c r="AP276" s="49">
        <f>IF(AO276="","",AO276*W276)</f>
        <v/>
      </c>
      <c r="AQ276" s="47">
        <f>IF(OR(AJ276="",U276=0),"",MIN(IF(AW276="",9.9E+99,AW276),AN276/U276))</f>
        <v/>
      </c>
      <c r="AR276" s="49">
        <f>IF(AQ276="","",AQ276*W276)</f>
        <v/>
      </c>
      <c r="AS276" s="51" t="n"/>
      <c r="AT276" s="43" t="inlineStr">
        <is>
          <t>Grounded</t>
        </is>
      </c>
      <c r="AU276" s="52" t="n"/>
      <c r="AV276" s="52" t="n"/>
      <c r="AW276" s="53" t="n"/>
      <c r="AX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Y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Z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BA276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B276" s="40" t="n"/>
    </row>
    <row r="277">
      <c r="A277" s="38" t="inlineStr">
        <is>
          <t>Bolt Israel</t>
        </is>
      </c>
      <c r="B277" s="38" t="inlineStr">
        <is>
          <t>Israel</t>
        </is>
      </c>
      <c r="C277" s="39" t="inlineStr">
        <is>
          <t>Herzliya → Netanya</t>
        </is>
      </c>
      <c r="D277" s="38" t="inlineStr">
        <is>
          <t>bolt</t>
        </is>
      </c>
      <c r="E277" s="40" t="inlineStr">
        <is>
          <t>bolt-israel</t>
        </is>
      </c>
      <c r="F277" s="41" t="n">
        <v>1</v>
      </c>
      <c r="G277" s="42" t="n">
        <v>10.4</v>
      </c>
      <c r="H277" s="35" t="n">
        <v>130</v>
      </c>
      <c r="I277" s="43" t="inlineStr">
        <is>
          <t>T2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MIN(24,FLOOR(60*service_hr/M277,1))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/>
      <c r="AK277" s="43" t="n"/>
      <c r="AL277" s="43" t="n"/>
      <c r="AM277" s="50" t="n">
        <v>0.1</v>
      </c>
      <c r="AN277" s="45">
        <f>IF(AJ277="","",AJ277*AM277)</f>
        <v/>
      </c>
      <c r="AO277" s="45">
        <f>IF(OR(AJ277="",U277=0),"",MIN(IF(AW277="",9.9E+99,AW277),FLOOR(AN277/U277,1)))</f>
        <v/>
      </c>
      <c r="AP277" s="49">
        <f>IF(AO277="","",AO277*W277)</f>
        <v/>
      </c>
      <c r="AQ277" s="47">
        <f>IF(OR(AJ277="",U277=0),"",MIN(IF(AW277="",9.9E+99,AW277),AN277/U277))</f>
        <v/>
      </c>
      <c r="AR277" s="49">
        <f>IF(AQ277="","",AQ277*W277)</f>
        <v/>
      </c>
      <c r="AS277" s="51" t="n"/>
      <c r="AT277" s="43" t="inlineStr">
        <is>
          <t>Estimated</t>
        </is>
      </c>
      <c r="AU277" s="52" t="n"/>
      <c r="AV277" s="52" t="n"/>
      <c r="AW277" s="53" t="n"/>
      <c r="AX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Y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Z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BA277" s="40" t="inlineStr">
        <is>
          <t>PREMIUM/excursion proxy: Tel Aviv-area shared skyline cruise ~$130/person (GetYourGuide, 2026); no scheduled service on this leg.</t>
        </is>
      </c>
      <c r="BB277" s="40" t="n"/>
    </row>
    <row r="278">
      <c r="A278" s="38" t="inlineStr">
        <is>
          <t>Bolt Israel</t>
        </is>
      </c>
      <c r="B278" s="38" t="inlineStr">
        <is>
          <t>Israel</t>
        </is>
      </c>
      <c r="C278" s="39" t="inlineStr">
        <is>
          <t>Ashdod → Ashkelon</t>
        </is>
      </c>
      <c r="D278" s="38" t="inlineStr">
        <is>
          <t>bolt</t>
        </is>
      </c>
      <c r="E278" s="40" t="inlineStr">
        <is>
          <t>bolt-israel</t>
        </is>
      </c>
      <c r="F278" s="41" t="n">
        <v>1</v>
      </c>
      <c r="G278" s="42" t="n">
        <v>10.4</v>
      </c>
      <c r="H278" s="35" t="n"/>
      <c r="I278" s="43" t="n"/>
      <c r="J278" s="43" t="n"/>
      <c r="K278" s="29" t="n">
        <v>1</v>
      </c>
      <c r="L278" s="44">
        <f>60*G278/cruise_kt</f>
        <v/>
      </c>
      <c r="M278" s="44">
        <f>L278+turn_min+dwell_min</f>
        <v/>
      </c>
      <c r="N278" s="45">
        <f>MIN(24,FLOOR(60*service_hr/M278,1))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142310</v>
      </c>
      <c r="AK278" s="43" t="n"/>
      <c r="AL278" s="43" t="n"/>
      <c r="AM278" s="50" t="n">
        <v>0.1</v>
      </c>
      <c r="AN278" s="45">
        <f>IF(AJ278="","",AJ278*AM278)</f>
        <v/>
      </c>
      <c r="AO278" s="45">
        <f>IF(OR(AJ278="",U278=0),"",MIN(IF(AW278="",9.9E+99,AW278),FLOOR(AN278/U278,1)))</f>
        <v/>
      </c>
      <c r="AP278" s="49">
        <f>IF(AO278="","",AO278*W278)</f>
        <v/>
      </c>
      <c r="AQ278" s="47">
        <f>IF(OR(AJ278="",U278=0),"",MIN(IF(AW278="",9.9E+99,AW278),AN278/U278))</f>
        <v/>
      </c>
      <c r="AR278" s="49">
        <f>IF(AQ278="","",AQ278*W278)</f>
        <v/>
      </c>
      <c r="AS278" s="51" t="n"/>
      <c r="AT278" s="43" t="inlineStr">
        <is>
          <t>Estimated</t>
        </is>
      </c>
      <c r="AU278" s="52" t="n"/>
      <c r="AV278" s="52" t="n"/>
      <c r="AW278" s="53" t="n"/>
      <c r="AX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Y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Z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BA278" s="40" t="n"/>
      <c r="BB278" s="40" t="n"/>
    </row>
    <row r="279">
      <c r="A279" s="38" t="inlineStr">
        <is>
          <t>Bolt Israel</t>
        </is>
      </c>
      <c r="B279" s="38" t="inlineStr">
        <is>
          <t>Israel</t>
        </is>
      </c>
      <c r="C279" s="39" t="inlineStr">
        <is>
          <t>Tel Aviv → Netanya</t>
        </is>
      </c>
      <c r="D279" s="38" t="inlineStr">
        <is>
          <t>bolt</t>
        </is>
      </c>
      <c r="E279" s="40" t="inlineStr">
        <is>
          <t>bolt-israel</t>
        </is>
      </c>
      <c r="F279" s="41" t="n">
        <v>1</v>
      </c>
      <c r="G279" s="42" t="n">
        <v>15.1</v>
      </c>
      <c r="H279" s="35" t="n">
        <v>130</v>
      </c>
      <c r="I279" s="43" t="inlineStr">
        <is>
          <t>T2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MIN(24,FLOOR(60*service_hr/M279,1))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168015</v>
      </c>
      <c r="AK279" s="43" t="n"/>
      <c r="AL279" s="43" t="n"/>
      <c r="AM279" s="50" t="n">
        <v>0.1</v>
      </c>
      <c r="AN279" s="45">
        <f>IF(AJ279="","",AJ279*AM279)</f>
        <v/>
      </c>
      <c r="AO279" s="45">
        <f>IF(OR(AJ279="",U279=0),"",MIN(IF(AW279="",9.9E+99,AW279),FLOOR(AN279/U279,1)))</f>
        <v/>
      </c>
      <c r="AP279" s="49">
        <f>IF(AO279="","",AO279*W279)</f>
        <v/>
      </c>
      <c r="AQ279" s="47">
        <f>IF(OR(AJ279="",U279=0),"",MIN(IF(AW279="",9.9E+99,AW279),AN279/U279))</f>
        <v/>
      </c>
      <c r="AR279" s="49">
        <f>IF(AQ279="","",AQ279*W279)</f>
        <v/>
      </c>
      <c r="AS279" s="51" t="n"/>
      <c r="AT279" s="43" t="inlineStr">
        <is>
          <t>Grounded</t>
        </is>
      </c>
      <c r="AU279" s="52" t="n"/>
      <c r="AV279" s="52" t="n"/>
      <c r="AW279" s="53" t="n"/>
      <c r="AX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Y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Z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BA279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B279" s="40" t="n"/>
    </row>
    <row r="280">
      <c r="A280" s="38" t="inlineStr">
        <is>
          <t>Bolt Israel</t>
        </is>
      </c>
      <c r="B280" s="38" t="inlineStr">
        <is>
          <t>Israel</t>
        </is>
      </c>
      <c r="C280" s="39" t="inlineStr">
        <is>
          <t>Tel Aviv → Ashdod</t>
        </is>
      </c>
      <c r="D280" s="38" t="inlineStr">
        <is>
          <t>bolt</t>
        </is>
      </c>
      <c r="E280" s="40" t="inlineStr">
        <is>
          <t>bolt-israel</t>
        </is>
      </c>
      <c r="F280" s="41" t="n">
        <v>1</v>
      </c>
      <c r="G280" s="42" t="n">
        <v>16.9</v>
      </c>
      <c r="H280" s="35" t="n">
        <v>130</v>
      </c>
      <c r="I280" s="43" t="inlineStr">
        <is>
          <t>T2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MIN(24,FLOOR(60*service_hr/M280,1))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143443</v>
      </c>
      <c r="AK280" s="43" t="n"/>
      <c r="AL280" s="43" t="n"/>
      <c r="AM280" s="50" t="n">
        <v>0.1</v>
      </c>
      <c r="AN280" s="45">
        <f>IF(AJ280="","",AJ280*AM280)</f>
        <v/>
      </c>
      <c r="AO280" s="45">
        <f>IF(OR(AJ280="",U280=0),"",MIN(IF(AW280="",9.9E+99,AW280),FLOOR(AN280/U280,1)))</f>
        <v/>
      </c>
      <c r="AP280" s="49">
        <f>IF(AO280="","",AO280*W280)</f>
        <v/>
      </c>
      <c r="AQ280" s="47">
        <f>IF(OR(AJ280="",U280=0),"",MIN(IF(AW280="",9.9E+99,AW280),AN280/U280))</f>
        <v/>
      </c>
      <c r="AR280" s="49">
        <f>IF(AQ280="","",AQ280*W280)</f>
        <v/>
      </c>
      <c r="AS280" s="51" t="n"/>
      <c r="AT280" s="43" t="inlineStr">
        <is>
          <t>Grounded</t>
        </is>
      </c>
      <c r="AU280" s="52" t="n"/>
      <c r="AV280" s="52" t="n"/>
      <c r="AW280" s="53" t="n"/>
      <c r="AX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Y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Z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BA280" s="40" t="inlineStr">
        <is>
          <t>PREMIUM/excursion proxy: Tel Aviv Marina shared skyline cruise ~$130/person (GetYourGuide, 2026). No scheduled TLV-Ashdod water service.</t>
        </is>
      </c>
      <c r="BB280" s="40" t="n"/>
    </row>
    <row r="281">
      <c r="A281" s="38" t="inlineStr">
        <is>
          <t>Bolt Israel</t>
        </is>
      </c>
      <c r="B281" s="38" t="inlineStr">
        <is>
          <t>Israel</t>
        </is>
      </c>
      <c r="C281" s="39" t="inlineStr">
        <is>
          <t>Tel Aviv → Haifa</t>
        </is>
      </c>
      <c r="D281" s="38" t="inlineStr">
        <is>
          <t>bolt</t>
        </is>
      </c>
      <c r="E281" s="40" t="inlineStr">
        <is>
          <t>bolt-israel</t>
        </is>
      </c>
      <c r="F281" s="41" t="n">
        <v>1</v>
      </c>
      <c r="G281" s="42" t="n">
        <v>45.6</v>
      </c>
      <c r="H281" s="35" t="n">
        <v>130</v>
      </c>
      <c r="I281" s="43" t="inlineStr">
        <is>
          <t>T2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MIN(24,FLOOR(60*service_hr/M281,1))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201092</v>
      </c>
      <c r="AK281" s="43" t="n"/>
      <c r="AL281" s="43" t="n"/>
      <c r="AM281" s="50" t="n">
        <v>0.1</v>
      </c>
      <c r="AN281" s="45">
        <f>IF(AJ281="","",AJ281*AM281)</f>
        <v/>
      </c>
      <c r="AO281" s="45">
        <f>IF(OR(AJ281="",U281=0),"",MIN(IF(AW281="",9.9E+99,AW281),FLOOR(AN281/U281,1)))</f>
        <v/>
      </c>
      <c r="AP281" s="49">
        <f>IF(AO281="","",AO281*W281)</f>
        <v/>
      </c>
      <c r="AQ281" s="47">
        <f>IF(OR(AJ281="",U281=0),"",MIN(IF(AW281="",9.9E+99,AW281),AN281/U281))</f>
        <v/>
      </c>
      <c r="AR281" s="49">
        <f>IF(AQ281="","",AQ281*W281)</f>
        <v/>
      </c>
      <c r="AS281" s="51" t="n"/>
      <c r="AT281" s="43" t="inlineStr">
        <is>
          <t>Grounded</t>
        </is>
      </c>
      <c r="AU281" s="52" t="n"/>
      <c r="AV281" s="52" t="n"/>
      <c r="AW281" s="53" t="n"/>
      <c r="AX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Y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Z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BA281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B281" s="40" t="n"/>
    </row>
    <row r="282">
      <c r="A282" s="38" t="inlineStr">
        <is>
          <t>Bolt Italy</t>
        </is>
      </c>
      <c r="B282" s="38" t="inlineStr">
        <is>
          <t>Italy</t>
        </is>
      </c>
      <c r="C282" s="39" t="inlineStr">
        <is>
          <t>Venice → Lido</t>
        </is>
      </c>
      <c r="D282" s="38" t="inlineStr">
        <is>
          <t>bolt</t>
        </is>
      </c>
      <c r="E282" s="40" t="inlineStr">
        <is>
          <t>bolt-italy</t>
        </is>
      </c>
      <c r="F282" s="41" t="n">
        <v>1</v>
      </c>
      <c r="G282" s="42" t="n">
        <v>1.5</v>
      </c>
      <c r="H282" s="35" t="n">
        <v>27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/>
      <c r="AK282" s="43" t="n"/>
      <c r="AL282" s="43" t="n"/>
      <c r="AM282" s="50" t="n">
        <v>0.1</v>
      </c>
      <c r="AN282" s="45">
        <f>IF(AJ282="","",AJ282*AM282)</f>
        <v/>
      </c>
      <c r="AO282" s="45">
        <f>IF(OR(AJ282="",U282=0),"",MIN(IF(AW282="",9.9E+99,AW282),FLOOR(AN282/U282,1)))</f>
        <v/>
      </c>
      <c r="AP282" s="49">
        <f>IF(AO282="","",AO282*W282)</f>
        <v/>
      </c>
      <c r="AQ282" s="47">
        <f>IF(OR(AJ282="",U282=0),"",MIN(IF(AW282="",9.9E+99,AW282),AN282/U282))</f>
        <v/>
      </c>
      <c r="AR282" s="49">
        <f>IF(AQ282="","",AQ282*W282)</f>
        <v/>
      </c>
      <c r="AS282" s="51" t="n"/>
      <c r="AT282" s="43" t="inlineStr">
        <is>
          <t>Estimated</t>
        </is>
      </c>
      <c r="AU282" s="52" t="n"/>
      <c r="AV282" s="52" t="n"/>
      <c r="AW282" s="53" t="n"/>
      <c r="AX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Y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Z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BA282" s="40" t="inlineStr">
        <is>
          <t>PREMIUM tourist tier = ACTV day travelcard EUR 25 (~$27) (covers the Lido lines); premium water-taxi tier higher. Navier models the premium tier, not the EUR 9.50 single.</t>
        </is>
      </c>
      <c r="BB282" s="40" t="n"/>
    </row>
    <row r="283">
      <c r="A283" s="38" t="inlineStr">
        <is>
          <t>Bolt Italy</t>
        </is>
      </c>
      <c r="B283" s="38" t="inlineStr">
        <is>
          <t>Italy</t>
        </is>
      </c>
      <c r="C283" s="39" t="inlineStr">
        <is>
          <t>San Marco → Murano / Burano</t>
        </is>
      </c>
      <c r="D283" s="38" t="inlineStr">
        <is>
          <t>bolt</t>
        </is>
      </c>
      <c r="E283" s="40" t="inlineStr">
        <is>
          <t>bolt-italy</t>
        </is>
      </c>
      <c r="F283" s="41" t="n">
        <v>1</v>
      </c>
      <c r="G283" s="42" t="n">
        <v>2</v>
      </c>
      <c r="H283" s="35" t="n">
        <v>27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1500000</v>
      </c>
      <c r="AK283" s="43" t="n"/>
      <c r="AL283" s="43" t="n"/>
      <c r="AM283" s="50" t="n">
        <v>0.1</v>
      </c>
      <c r="AN283" s="45">
        <f>IF(AJ283="","",AJ283*AM283)</f>
        <v/>
      </c>
      <c r="AO283" s="45">
        <f>IF(OR(AJ283="",U283=0),"",MIN(IF(AW283="",9.9E+99,AW283),FLOOR(AN283/U283,1)))</f>
        <v/>
      </c>
      <c r="AP283" s="49">
        <f>IF(AO283="","",AO283*W283)</f>
        <v/>
      </c>
      <c r="AQ283" s="47">
        <f>IF(OR(AJ283="",U283=0),"",MIN(IF(AW283="",9.9E+99,AW283),AN283/U283))</f>
        <v/>
      </c>
      <c r="AR283" s="49">
        <f>IF(AQ283="","",AQ283*W283)</f>
        <v/>
      </c>
      <c r="AS283" s="51" t="n"/>
      <c r="AT283" s="43" t="inlineStr">
        <is>
          <t>Grounded</t>
        </is>
      </c>
      <c r="AU283" s="52" t="n"/>
      <c r="AV283" s="52" t="n"/>
      <c r="AW283" s="53" t="n"/>
      <c r="AX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Y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Z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BA283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B283" s="40" t="n"/>
    </row>
    <row r="284">
      <c r="A284" s="38" t="inlineStr">
        <is>
          <t>Bolt Italy</t>
        </is>
      </c>
      <c r="B284" s="38" t="inlineStr">
        <is>
          <t>Italy</t>
        </is>
      </c>
      <c r="C284" s="39" t="inlineStr">
        <is>
          <t>Santa Margherita Ligure → Portofino</t>
        </is>
      </c>
      <c r="D284" s="38" t="inlineStr">
        <is>
          <t>bolt</t>
        </is>
      </c>
      <c r="E284" s="40" t="inlineStr">
        <is>
          <t>bolt-italy</t>
        </is>
      </c>
      <c r="F284" s="41" t="n">
        <v>1</v>
      </c>
      <c r="G284" s="42" t="n">
        <v>2</v>
      </c>
      <c r="H284" s="35" t="n">
        <v>11.9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MIN(24,FLOOR(60*service_hr/M284,1))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200000</v>
      </c>
      <c r="AK284" s="43" t="n"/>
      <c r="AL284" s="43" t="n"/>
      <c r="AM284" s="50" t="n">
        <v>0.1</v>
      </c>
      <c r="AN284" s="45">
        <f>IF(AJ284="","",AJ284*AM284)</f>
        <v/>
      </c>
      <c r="AO284" s="45">
        <f>IF(OR(AJ284="",U284=0),"",MIN(IF(AW284="",9.9E+99,AW284),FLOOR(AN284/U284,1)))</f>
        <v/>
      </c>
      <c r="AP284" s="49">
        <f>IF(AO284="","",AO284*W284)</f>
        <v/>
      </c>
      <c r="AQ284" s="47">
        <f>IF(OR(AJ284="",U284=0),"",MIN(IF(AW284="",9.9E+99,AW284),AN284/U284))</f>
        <v/>
      </c>
      <c r="AR284" s="49">
        <f>IF(AQ284="","",AQ284*W284)</f>
        <v/>
      </c>
      <c r="AS284" s="51" t="n"/>
      <c r="AT284" s="43" t="inlineStr">
        <is>
          <t>Grounded</t>
        </is>
      </c>
      <c r="AU284" s="52" t="n"/>
      <c r="AV284" s="52" t="n"/>
      <c r="AW284" s="53" t="n"/>
      <c r="AX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Y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Z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BA284" s="40" t="inlineStr">
        <is>
          <t>PREMIUM scheduled per-seat: Servizio Marittimo del Tigullio Santa Margherita-&gt;Portofino EUR 11 one-way (Rome2Rio) x 1.08 = ~$11.9. Short hop.</t>
        </is>
      </c>
      <c r="BB284" s="40" t="n"/>
    </row>
    <row r="285">
      <c r="A285" s="38" t="inlineStr">
        <is>
          <t>Bolt Italy</t>
        </is>
      </c>
      <c r="B285" s="38" t="inlineStr">
        <is>
          <t>Italy</t>
        </is>
      </c>
      <c r="C285" s="39" t="inlineStr">
        <is>
          <t>Positano → Amalfi</t>
        </is>
      </c>
      <c r="D285" s="38" t="inlineStr">
        <is>
          <t>bolt</t>
        </is>
      </c>
      <c r="E285" s="40" t="inlineStr">
        <is>
          <t>bolt-italy</t>
        </is>
      </c>
      <c r="F285" s="41" t="n">
        <v>1</v>
      </c>
      <c r="G285" s="42" t="n">
        <v>4</v>
      </c>
      <c r="H285" s="35" t="n">
        <v>11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MIN(24,FLOOR(60*service_hr/M285,1))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200000</v>
      </c>
      <c r="AK285" s="43" t="n"/>
      <c r="AL285" s="43" t="n"/>
      <c r="AM285" s="50" t="n">
        <v>0.1</v>
      </c>
      <c r="AN285" s="45">
        <f>IF(AJ285="","",AJ285*AM285)</f>
        <v/>
      </c>
      <c r="AO285" s="45">
        <f>IF(OR(AJ285="",U285=0),"",MIN(IF(AW285="",9.9E+99,AW285),FLOOR(AN285/U285,1)))</f>
        <v/>
      </c>
      <c r="AP285" s="49">
        <f>IF(AO285="","",AO285*W285)</f>
        <v/>
      </c>
      <c r="AQ285" s="47">
        <f>IF(OR(AJ285="",U285=0),"",MIN(IF(AW285="",9.9E+99,AW285),AN285/U285))</f>
        <v/>
      </c>
      <c r="AR285" s="49">
        <f>IF(AQ285="","",AQ285*W285)</f>
        <v/>
      </c>
      <c r="AS285" s="51" t="n"/>
      <c r="AT285" s="43" t="inlineStr">
        <is>
          <t>Grounded</t>
        </is>
      </c>
      <c r="AU285" s="52" t="n"/>
      <c r="AV285" s="52" t="n"/>
      <c r="AW285" s="53" t="n"/>
      <c r="AX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Y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Z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BA285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B285" s="40" t="n"/>
    </row>
    <row r="286">
      <c r="A286" s="38" t="inlineStr">
        <is>
          <t>Bolt Italy</t>
        </is>
      </c>
      <c r="B286" s="38" t="inlineStr">
        <is>
          <t>Italy</t>
        </is>
      </c>
      <c r="C286" s="39" t="inlineStr">
        <is>
          <t>Venice Marco Polo → San Marco</t>
        </is>
      </c>
      <c r="D286" s="38" t="inlineStr">
        <is>
          <t>bolt</t>
        </is>
      </c>
      <c r="E286" s="40" t="inlineStr">
        <is>
          <t>bolt-italy</t>
        </is>
      </c>
      <c r="F286" s="41" t="n">
        <v>1</v>
      </c>
      <c r="G286" s="42" t="n">
        <v>4.2</v>
      </c>
      <c r="H286" s="35" t="n">
        <v>42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MIN(15,FLOOR(60*service_hr/M286,1))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1777500</v>
      </c>
      <c r="AK286" s="43" t="n"/>
      <c r="AL286" s="43" t="n"/>
      <c r="AM286" s="50" t="n">
        <v>0.1</v>
      </c>
      <c r="AN286" s="45">
        <f>IF(AJ286="","",AJ286*AM286)</f>
        <v/>
      </c>
      <c r="AO286" s="45">
        <f>IF(OR(AJ286="",U286=0),"",MIN(IF(AW286="",9.9E+99,AW286),FLOOR(AN286/U286,1)))</f>
        <v/>
      </c>
      <c r="AP286" s="49">
        <f>IF(AO286="","",AO286*W286)</f>
        <v/>
      </c>
      <c r="AQ286" s="47">
        <f>IF(OR(AJ286="",U286=0),"",MIN(IF(AW286="",9.9E+99,AW286),AN286/U286))</f>
        <v/>
      </c>
      <c r="AR286" s="49">
        <f>IF(AQ286="","",AQ286*W286)</f>
        <v/>
      </c>
      <c r="AS286" s="51" t="n"/>
      <c r="AT286" s="43" t="inlineStr">
        <is>
          <t>Grounded</t>
        </is>
      </c>
      <c r="AU286" s="52" t="n"/>
      <c r="AV286" s="52" t="n"/>
      <c r="AW286" s="53" t="n"/>
      <c r="AX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Y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Z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BA286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B286" s="40" t="n"/>
    </row>
    <row r="287">
      <c r="A287" s="38" t="inlineStr">
        <is>
          <t>Bolt Italy</t>
        </is>
      </c>
      <c r="B287" s="38" t="inlineStr">
        <is>
          <t>Italy</t>
        </is>
      </c>
      <c r="C287" s="39" t="inlineStr">
        <is>
          <t>Capri → Positano</t>
        </is>
      </c>
      <c r="D287" s="38" t="inlineStr">
        <is>
          <t>bolt</t>
        </is>
      </c>
      <c r="E287" s="40" t="inlineStr">
        <is>
          <t>bolt-italy</t>
        </is>
      </c>
      <c r="F287" s="41" t="n">
        <v>1</v>
      </c>
      <c r="G287" s="42" t="n">
        <v>9</v>
      </c>
      <c r="H287" s="35" t="n">
        <v>31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/>
      <c r="AK287" s="43" t="n"/>
      <c r="AL287" s="43" t="n"/>
      <c r="AM287" s="50" t="n">
        <v>0.1</v>
      </c>
      <c r="AN287" s="45">
        <f>IF(AJ287="","",AJ287*AM287)</f>
        <v/>
      </c>
      <c r="AO287" s="45">
        <f>IF(OR(AJ287="",U287=0),"",MIN(IF(AW287="",9.9E+99,AW287),FLOOR(AN287/U287,1)))</f>
        <v/>
      </c>
      <c r="AP287" s="49">
        <f>IF(AO287="","",AO287*W287)</f>
        <v/>
      </c>
      <c r="AQ287" s="47">
        <f>IF(OR(AJ287="",U287=0),"",MIN(IF(AW287="",9.9E+99,AW287),AN287/U287))</f>
        <v/>
      </c>
      <c r="AR287" s="49">
        <f>IF(AQ287="","",AQ287*W287)</f>
        <v/>
      </c>
      <c r="AS287" s="51" t="n"/>
      <c r="AT287" s="43" t="inlineStr">
        <is>
          <t>Estimated</t>
        </is>
      </c>
      <c r="AU287" s="52" t="n"/>
      <c r="AV287" s="52" t="n"/>
      <c r="AW287" s="53" t="n"/>
      <c r="AX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Y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Z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BA287" s="40" t="inlineStr">
        <is>
          <t>PREMIUM scheduled per-seat: Capri-&gt;Positano fast ferry from ~EUR 28-29 one-way (positano.com / capri.com) x 1.08 = ~$31.</t>
        </is>
      </c>
      <c r="BB287" s="40" t="n"/>
    </row>
    <row r="288">
      <c r="A288" s="38" t="inlineStr">
        <is>
          <t>Bolt Italy</t>
        </is>
      </c>
      <c r="B288" s="38" t="inlineStr">
        <is>
          <t>Italy</t>
        </is>
      </c>
      <c r="C288" s="39" t="inlineStr">
        <is>
          <t>Sorrento → Capri</t>
        </is>
      </c>
      <c r="D288" s="38" t="inlineStr">
        <is>
          <t>bolt</t>
        </is>
      </c>
      <c r="E288" s="40" t="inlineStr">
        <is>
          <t>bolt-italy</t>
        </is>
      </c>
      <c r="F288" s="41" t="n">
        <v>1</v>
      </c>
      <c r="G288" s="42" t="n">
        <v>9.5</v>
      </c>
      <c r="H288" s="35" t="n">
        <v>28</v>
      </c>
      <c r="I288" s="43" t="inlineStr">
        <is>
          <t>T2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MIN(15,FLOOR(60*service_hr/M288,1))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575000</v>
      </c>
      <c r="AK288" s="43" t="n"/>
      <c r="AL288" s="43" t="n"/>
      <c r="AM288" s="50" t="n">
        <v>0.1</v>
      </c>
      <c r="AN288" s="45">
        <f>IF(AJ288="","",AJ288*AM288)</f>
        <v/>
      </c>
      <c r="AO288" s="45">
        <f>IF(OR(AJ288="",U288=0),"",MIN(IF(AW288="",9.9E+99,AW288),FLOOR(AN288/U288,1)))</f>
        <v/>
      </c>
      <c r="AP288" s="49">
        <f>IF(AO288="","",AO288*W288)</f>
        <v/>
      </c>
      <c r="AQ288" s="47">
        <f>IF(OR(AJ288="",U288=0),"",MIN(IF(AW288="",9.9E+99,AW288),AN288/U288))</f>
        <v/>
      </c>
      <c r="AR288" s="49">
        <f>IF(AQ288="","",AQ288*W288)</f>
        <v/>
      </c>
      <c r="AS288" s="51" t="n"/>
      <c r="AT288" s="43" t="inlineStr">
        <is>
          <t>Grounded</t>
        </is>
      </c>
      <c r="AU288" s="52" t="n"/>
      <c r="AV288" s="52" t="n"/>
      <c r="AW288" s="53" t="n"/>
      <c r="AX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Y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Z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BA288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B288" s="40" t="n"/>
    </row>
    <row r="289">
      <c r="A289" s="38" t="inlineStr">
        <is>
          <t>Bolt Italy</t>
        </is>
      </c>
      <c r="B289" s="38" t="inlineStr">
        <is>
          <t>Italy</t>
        </is>
      </c>
      <c r="C289" s="39" t="inlineStr">
        <is>
          <t>Naples → Procida</t>
        </is>
      </c>
      <c r="D289" s="38" t="inlineStr">
        <is>
          <t>bolt</t>
        </is>
      </c>
      <c r="E289" s="40" t="inlineStr">
        <is>
          <t>bolt-italy</t>
        </is>
      </c>
      <c r="F289" s="41" t="n">
        <v>1</v>
      </c>
      <c r="G289" s="42" t="n">
        <v>12</v>
      </c>
      <c r="H289" s="35" t="n">
        <v>22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240000</v>
      </c>
      <c r="AK289" s="43" t="n"/>
      <c r="AL289" s="43" t="n"/>
      <c r="AM289" s="50" t="n">
        <v>0.1</v>
      </c>
      <c r="AN289" s="45">
        <f>IF(AJ289="","",AJ289*AM289)</f>
        <v/>
      </c>
      <c r="AO289" s="45">
        <f>IF(OR(AJ289="",U289=0),"",MIN(IF(AW289="",9.9E+99,AW289),FLOOR(AN289/U289,1)))</f>
        <v/>
      </c>
      <c r="AP289" s="49">
        <f>IF(AO289="","",AO289*W289)</f>
        <v/>
      </c>
      <c r="AQ289" s="47">
        <f>IF(OR(AJ289="",U289=0),"",MIN(IF(AW289="",9.9E+99,AW289),AN289/U289))</f>
        <v/>
      </c>
      <c r="AR289" s="49">
        <f>IF(AQ289="","",AQ289*W289)</f>
        <v/>
      </c>
      <c r="AS289" s="51" t="n"/>
      <c r="AT289" s="43" t="inlineStr">
        <is>
          <t>Grounded</t>
        </is>
      </c>
      <c r="AU289" s="52" t="n"/>
      <c r="AV289" s="52" t="n"/>
      <c r="AW289" s="53" t="n"/>
      <c r="AX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Y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Z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BA289" s="40" t="inlineStr">
        <is>
          <t>PREMIUM scheduled per-seat = Caremar/SNAV hydrofoil Napoli(Beverello)-&gt;Procida ~EUR 19-22 one-way (visitprocida.com EUR 19-22; ferryhopper EUR 21.90) x 1.08 = ~$22.</t>
        </is>
      </c>
      <c r="BB289" s="40" t="n"/>
    </row>
    <row r="290">
      <c r="A290" s="38" t="inlineStr">
        <is>
          <t>Bolt Italy</t>
        </is>
      </c>
      <c r="B290" s="38" t="inlineStr">
        <is>
          <t>Italy</t>
        </is>
      </c>
      <c r="C290" s="39" t="inlineStr">
        <is>
          <t>Como → Bellagio</t>
        </is>
      </c>
      <c r="D290" s="38" t="inlineStr">
        <is>
          <t>bolt</t>
        </is>
      </c>
      <c r="E290" s="40" t="inlineStr">
        <is>
          <t>bolt-italy</t>
        </is>
      </c>
      <c r="F290" s="41" t="n">
        <v>1</v>
      </c>
      <c r="G290" s="42" t="n">
        <v>14</v>
      </c>
      <c r="H290" s="35" t="n">
        <v>13</v>
      </c>
      <c r="I290" s="43" t="inlineStr">
        <is>
          <t>T2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MIN(24,FLOOR(60*service_hr/M290,1))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112000</v>
      </c>
      <c r="AK290" s="43" t="n"/>
      <c r="AL290" s="43" t="n"/>
      <c r="AM290" s="50" t="n">
        <v>0.1</v>
      </c>
      <c r="AN290" s="45">
        <f>IF(AJ290="","",AJ290*AM290)</f>
        <v/>
      </c>
      <c r="AO290" s="45">
        <f>IF(OR(AJ290="",U290=0),"",MIN(IF(AW290="",9.9E+99,AW290),FLOOR(AN290/U290,1)))</f>
        <v/>
      </c>
      <c r="AP290" s="49">
        <f>IF(AO290="","",AO290*W290)</f>
        <v/>
      </c>
      <c r="AQ290" s="47">
        <f>IF(OR(AJ290="",U290=0),"",MIN(IF(AW290="",9.9E+99,AW290),AN290/U290))</f>
        <v/>
      </c>
      <c r="AR290" s="49">
        <f>IF(AQ290="","",AQ290*W290)</f>
        <v/>
      </c>
      <c r="AS290" s="51" t="n"/>
      <c r="AT290" s="43" t="inlineStr">
        <is>
          <t>Grounded</t>
        </is>
      </c>
      <c r="AU290" s="52" t="n"/>
      <c r="AV290" s="52" t="n"/>
      <c r="AW290" s="53" t="n"/>
      <c r="AX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Y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Z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BA290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B290" s="40" t="n"/>
    </row>
    <row r="291">
      <c r="A291" s="38" t="inlineStr">
        <is>
          <t>Bolt Italy</t>
        </is>
      </c>
      <c r="B291" s="38" t="inlineStr">
        <is>
          <t>Italy</t>
        </is>
      </c>
      <c r="C291" s="39" t="inlineStr">
        <is>
          <t>Amalfi → Capri</t>
        </is>
      </c>
      <c r="D291" s="38" t="inlineStr">
        <is>
          <t>bolt</t>
        </is>
      </c>
      <c r="E291" s="40" t="inlineStr">
        <is>
          <t>bolt-italy</t>
        </is>
      </c>
      <c r="F291" s="41" t="n">
        <v>1</v>
      </c>
      <c r="G291" s="42" t="n">
        <v>16</v>
      </c>
      <c r="H291" s="35" t="n">
        <v>33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138000</v>
      </c>
      <c r="AK291" s="43" t="n"/>
      <c r="AL291" s="43" t="n"/>
      <c r="AM291" s="50" t="n">
        <v>0.1</v>
      </c>
      <c r="AN291" s="45">
        <f>IF(AJ291="","",AJ291*AM291)</f>
        <v/>
      </c>
      <c r="AO291" s="45">
        <f>IF(OR(AJ291="",U291=0),"",MIN(IF(AW291="",9.9E+99,AW291),FLOOR(AN291/U291,1)))</f>
        <v/>
      </c>
      <c r="AP291" s="49">
        <f>IF(AO291="","",AO291*W291)</f>
        <v/>
      </c>
      <c r="AQ291" s="47">
        <f>IF(OR(AJ291="",U291=0),"",MIN(IF(AW291="",9.9E+99,AW291),AN291/U291))</f>
        <v/>
      </c>
      <c r="AR291" s="49">
        <f>IF(AQ291="","",AQ291*W291)</f>
        <v/>
      </c>
      <c r="AS291" s="51" t="n"/>
      <c r="AT291" s="43" t="inlineStr">
        <is>
          <t>Grounded</t>
        </is>
      </c>
      <c r="AU291" s="52" t="n"/>
      <c r="AV291" s="52" t="n"/>
      <c r="AW291" s="53" t="n"/>
      <c r="AX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Y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Z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BA291" s="40" t="inlineStr">
        <is>
          <t>PREMIUM scheduled per-seat: Amalfi-&gt;Capri fast ferry ~EUR 26-28 one-way (capri.com) + EUR 5 Capri landing = ~EUR 31-33 x 1.08 = ~$33.</t>
        </is>
      </c>
      <c r="BB291" s="40" t="n"/>
    </row>
    <row r="292">
      <c r="A292" s="38" t="inlineStr">
        <is>
          <t>Bolt Italy</t>
        </is>
      </c>
      <c r="B292" s="38" t="inlineStr">
        <is>
          <t>Italy</t>
        </is>
      </c>
      <c r="C292" s="39" t="inlineStr">
        <is>
          <t>Naples → Sorrento</t>
        </is>
      </c>
      <c r="D292" s="38" t="inlineStr">
        <is>
          <t>bolt</t>
        </is>
      </c>
      <c r="E292" s="40" t="inlineStr">
        <is>
          <t>bolt-italy</t>
        </is>
      </c>
      <c r="F292" s="41" t="n">
        <v>1</v>
      </c>
      <c r="G292" s="42" t="n">
        <v>16</v>
      </c>
      <c r="H292" s="35" t="n"/>
      <c r="I292" s="43" t="n"/>
      <c r="J292" s="43" t="n"/>
      <c r="K292" s="29" t="n">
        <v>1</v>
      </c>
      <c r="L292" s="44">
        <f>60*G292/cruise_kt</f>
        <v/>
      </c>
      <c r="M292" s="44">
        <f>L292+turn_min+dwell_min</f>
        <v/>
      </c>
      <c r="N292" s="45">
        <f>MIN(24,FLOOR(60*service_hr/M292,1))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200000</v>
      </c>
      <c r="AK292" s="43" t="n"/>
      <c r="AL292" s="43" t="n"/>
      <c r="AM292" s="50" t="n">
        <v>0.1</v>
      </c>
      <c r="AN292" s="45">
        <f>IF(AJ292="","",AJ292*AM292)</f>
        <v/>
      </c>
      <c r="AO292" s="45">
        <f>IF(OR(AJ292="",U292=0),"",MIN(IF(AW292="",9.9E+99,AW292),FLOOR(AN292/U292,1)))</f>
        <v/>
      </c>
      <c r="AP292" s="49">
        <f>IF(AO292="","",AO292*W292)</f>
        <v/>
      </c>
      <c r="AQ292" s="47">
        <f>IF(OR(AJ292="",U292=0),"",MIN(IF(AW292="",9.9E+99,AW292),AN292/U292))</f>
        <v/>
      </c>
      <c r="AR292" s="49">
        <f>IF(AQ292="","",AQ292*W292)</f>
        <v/>
      </c>
      <c r="AS292" s="51" t="n"/>
      <c r="AT292" s="43" t="inlineStr">
        <is>
          <t>Estimated</t>
        </is>
      </c>
      <c r="AU292" s="52" t="n"/>
      <c r="AV292" s="52" t="n"/>
      <c r="AW292" s="53" t="n"/>
      <c r="AX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Y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Z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BA292" s="40" t="n"/>
      <c r="BB292" s="40" t="n"/>
    </row>
    <row r="293">
      <c r="A293" s="38" t="inlineStr">
        <is>
          <t>Bolt Italy</t>
        </is>
      </c>
      <c r="B293" s="38" t="inlineStr">
        <is>
          <t>Italy</t>
        </is>
      </c>
      <c r="C293" s="39" t="inlineStr">
        <is>
          <t>Naples → Capri</t>
        </is>
      </c>
      <c r="D293" s="38" t="inlineStr">
        <is>
          <t>bolt</t>
        </is>
      </c>
      <c r="E293" s="40" t="inlineStr">
        <is>
          <t>bolt-italy</t>
        </is>
      </c>
      <c r="F293" s="41" t="n">
        <v>1</v>
      </c>
      <c r="G293" s="42" t="n">
        <v>17</v>
      </c>
      <c r="H293" s="35" t="n">
        <v>32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MIN(15,FLOOR(60*service_hr/M293,1))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1265000</v>
      </c>
      <c r="AK293" s="43" t="n"/>
      <c r="AL293" s="43" t="n"/>
      <c r="AM293" s="50" t="n">
        <v>0.1</v>
      </c>
      <c r="AN293" s="45">
        <f>IF(AJ293="","",AJ293*AM293)</f>
        <v/>
      </c>
      <c r="AO293" s="45">
        <f>IF(OR(AJ293="",U293=0),"",MIN(IF(AW293="",9.9E+99,AW293),FLOOR(AN293/U293,1)))</f>
        <v/>
      </c>
      <c r="AP293" s="49">
        <f>IF(AO293="","",AO293*W293)</f>
        <v/>
      </c>
      <c r="AQ293" s="47">
        <f>IF(OR(AJ293="",U293=0),"",MIN(IF(AW293="",9.9E+99,AW293),AN293/U293))</f>
        <v/>
      </c>
      <c r="AR293" s="49">
        <f>IF(AQ293="","",AQ293*W293)</f>
        <v/>
      </c>
      <c r="AS293" s="51" t="n"/>
      <c r="AT293" s="43" t="inlineStr">
        <is>
          <t>Grounded</t>
        </is>
      </c>
      <c r="AU293" s="52" t="n"/>
      <c r="AV293" s="52" t="n"/>
      <c r="AW293" s="53" t="n"/>
      <c r="AX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Y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Z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BA293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B293" s="40" t="n"/>
    </row>
    <row r="294">
      <c r="A294" s="38" t="inlineStr">
        <is>
          <t>Bolt Italy</t>
        </is>
      </c>
      <c r="B294" s="38" t="inlineStr">
        <is>
          <t>Italy</t>
        </is>
      </c>
      <c r="C294" s="39" t="inlineStr">
        <is>
          <t>Naples → Ischia</t>
        </is>
      </c>
      <c r="D294" s="38" t="inlineStr">
        <is>
          <t>bolt</t>
        </is>
      </c>
      <c r="E294" s="40" t="inlineStr">
        <is>
          <t>bolt-italy</t>
        </is>
      </c>
      <c r="F294" s="41" t="n">
        <v>1</v>
      </c>
      <c r="G294" s="42" t="n">
        <v>18</v>
      </c>
      <c r="H294" s="35" t="n">
        <v>25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675000</v>
      </c>
      <c r="AK294" s="43" t="n"/>
      <c r="AL294" s="43" t="n"/>
      <c r="AM294" s="50" t="n">
        <v>0.1</v>
      </c>
      <c r="AN294" s="45">
        <f>IF(AJ294="","",AJ294*AM294)</f>
        <v/>
      </c>
      <c r="AO294" s="45">
        <f>IF(OR(AJ294="",U294=0),"",MIN(IF(AW294="",9.9E+99,AW294),FLOOR(AN294/U294,1)))</f>
        <v/>
      </c>
      <c r="AP294" s="49">
        <f>IF(AO294="","",AO294*W294)</f>
        <v/>
      </c>
      <c r="AQ294" s="47">
        <f>IF(OR(AJ294="",U294=0),"",MIN(IF(AW294="",9.9E+99,AW294),AN294/U294))</f>
        <v/>
      </c>
      <c r="AR294" s="49">
        <f>IF(AQ294="","",AQ294*W294)</f>
        <v/>
      </c>
      <c r="AS294" s="51" t="n"/>
      <c r="AT294" s="43" t="inlineStr">
        <is>
          <t>Grounded</t>
        </is>
      </c>
      <c r="AU294" s="52" t="n"/>
      <c r="AV294" s="52" t="n"/>
      <c r="AW294" s="53" t="n"/>
      <c r="AX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Y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Z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BA294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B294" s="40" t="n"/>
    </row>
    <row r="295">
      <c r="A295" s="38" t="inlineStr">
        <is>
          <t>Bolt Italy</t>
        </is>
      </c>
      <c r="B295" s="38" t="inlineStr">
        <is>
          <t>Italy</t>
        </is>
      </c>
      <c r="C295" s="39" t="inlineStr">
        <is>
          <t>Portofino → Cinque Terre</t>
        </is>
      </c>
      <c r="D295" s="38" t="inlineStr">
        <is>
          <t>bolt</t>
        </is>
      </c>
      <c r="E295" s="40" t="inlineStr">
        <is>
          <t>bolt-italy</t>
        </is>
      </c>
      <c r="F295" s="41" t="n">
        <v>1</v>
      </c>
      <c r="G295" s="42" t="n">
        <v>22</v>
      </c>
      <c r="H295" s="35" t="n">
        <v>37.8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MIN(15,FLOOR(60*service_hr/M295,1))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>
        <v>40000</v>
      </c>
      <c r="AK295" s="43" t="n"/>
      <c r="AL295" s="43" t="n"/>
      <c r="AM295" s="50" t="n">
        <v>0.1</v>
      </c>
      <c r="AN295" s="45">
        <f>IF(AJ295="","",AJ295*AM295)</f>
        <v/>
      </c>
      <c r="AO295" s="45">
        <f>IF(OR(AJ295="",U295=0),"",MIN(IF(AW295="",9.9E+99,AW295),FLOOR(AN295/U295,1)))</f>
        <v/>
      </c>
      <c r="AP295" s="49">
        <f>IF(AO295="","",AO295*W295)</f>
        <v/>
      </c>
      <c r="AQ295" s="47">
        <f>IF(OR(AJ295="",U295=0),"",MIN(IF(AW295="",9.9E+99,AW295),AN295/U295))</f>
        <v/>
      </c>
      <c r="AR295" s="49">
        <f>IF(AQ295="","",AQ295*W295)</f>
        <v/>
      </c>
      <c r="AS295" s="51" t="n"/>
      <c r="AT295" s="43" t="inlineStr">
        <is>
          <t>Estimated</t>
        </is>
      </c>
      <c r="AU295" s="52" t="n"/>
      <c r="AV295" s="52" t="n"/>
      <c r="AW295" s="53" t="n"/>
      <c r="AX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Y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Z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BA295" s="40" t="inlineStr">
        <is>
          <t>PREMIUM scheduled per-seat: Golfo Paradiso Portofino-&gt;Cinque Terre EUR 35 one-way (A/R EUR 50) x 1.08 = ~$37.8.</t>
        </is>
      </c>
      <c r="BB295" s="40" t="n"/>
    </row>
    <row r="296">
      <c r="A296" s="38" t="inlineStr">
        <is>
          <t>Yango Caspian Kz</t>
        </is>
      </c>
      <c r="B296" s="38" t="inlineStr">
        <is>
          <t>Kazakhstan</t>
        </is>
      </c>
      <c r="C296" s="39" t="inlineStr">
        <is>
          <t>Aktau Port → Kuryk</t>
        </is>
      </c>
      <c r="D296" s="38" t="inlineStr">
        <is>
          <t>yango</t>
        </is>
      </c>
      <c r="E296" s="40" t="inlineStr">
        <is>
          <t>yango-caspian-kz</t>
        </is>
      </c>
      <c r="F296" s="41" t="n">
        <v>1</v>
      </c>
      <c r="G296" s="42" t="n">
        <v>35</v>
      </c>
      <c r="H296" s="35" t="n"/>
      <c r="I296" s="43" t="inlineStr">
        <is>
          <t>T5</t>
        </is>
      </c>
      <c r="J296" s="43" t="inlineStr">
        <is>
          <t>low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/>
      <c r="AK296" s="43" t="inlineStr">
        <is>
          <t>T5</t>
        </is>
      </c>
      <c r="AL296" s="43" t="inlineStr">
        <is>
          <t>low</t>
        </is>
      </c>
      <c r="AM296" s="50" t="n">
        <v>0.1</v>
      </c>
      <c r="AN296" s="45">
        <f>IF(AJ296="","",AJ296*AM296)</f>
        <v/>
      </c>
      <c r="AO296" s="45">
        <f>IF(OR(AJ296="",U296=0),"",MIN(IF(AW296="",9.9E+99,AW296),FLOOR(AN296/U296,1)))</f>
        <v/>
      </c>
      <c r="AP296" s="49">
        <f>IF(AO296="","",AO296*W296)</f>
        <v/>
      </c>
      <c r="AQ296" s="47">
        <f>IF(OR(AJ296="",U296=0),"",MIN(IF(AW296="",9.9E+99,AW296),AN296/U296))</f>
        <v/>
      </c>
      <c r="AR296" s="49">
        <f>IF(AQ296="","",AQ296*W296)</f>
        <v/>
      </c>
      <c r="AS296" s="51" t="n"/>
      <c r="AT296" s="43" t="inlineStr">
        <is>
          <t>Estimated</t>
        </is>
      </c>
      <c r="AU296" s="52" t="n"/>
      <c r="AV296" s="52" t="n"/>
      <c r="AW296" s="53" t="n"/>
      <c r="AX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Y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Z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BA296" s="40" t="inlineStr">
        <is>
          <t>TBD — Tier-B headline placeholder</t>
        </is>
      </c>
      <c r="BB296" s="40" t="inlineStr">
        <is>
          <t>TBD — Tier-B headline placeholder</t>
        </is>
      </c>
    </row>
    <row r="297">
      <c r="A297" s="38" t="inlineStr">
        <is>
          <t>Yango Caspian Kz</t>
        </is>
      </c>
      <c r="B297" s="38" t="inlineStr">
        <is>
          <t>Kazakhstan</t>
        </is>
      </c>
      <c r="C297" s="39" t="inlineStr">
        <is>
          <t>Aktau (Aktau Sea Port / city seafront) → Bautino / Fort-Shevchenko (Tupkaragan peninsula)</t>
        </is>
      </c>
      <c r="D297" s="38" t="inlineStr">
        <is>
          <t>yango</t>
        </is>
      </c>
      <c r="E297" s="40" t="inlineStr">
        <is>
          <t>yango-caspian-kz</t>
        </is>
      </c>
      <c r="F297" s="41" t="n">
        <v>1</v>
      </c>
      <c r="G297" s="42" t="n">
        <v>55</v>
      </c>
      <c r="H297" s="35" t="n">
        <v>50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MIN(24,FLOOR(60*service_hr/M297,1))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/>
      <c r="AK297" s="43" t="n"/>
      <c r="AL297" s="43" t="n"/>
      <c r="AM297" s="50" t="n">
        <v>0.1</v>
      </c>
      <c r="AN297" s="45">
        <f>IF(AJ297="","",AJ297*AM297)</f>
        <v/>
      </c>
      <c r="AO297" s="45">
        <f>IF(OR(AJ297="",U297=0),"",MIN(IF(AW297="",9.9E+99,AW297),FLOOR(AN297/U297,1)))</f>
        <v/>
      </c>
      <c r="AP297" s="49">
        <f>IF(AO297="","",AO297*W297)</f>
        <v/>
      </c>
      <c r="AQ297" s="47">
        <f>IF(OR(AJ297="",U297=0),"",MIN(IF(AW297="",9.9E+99,AW297),AN297/U297))</f>
        <v/>
      </c>
      <c r="AR297" s="49">
        <f>IF(AQ297="","",AQ297*W297)</f>
        <v/>
      </c>
      <c r="AS297" s="51" t="n"/>
      <c r="AT297" s="43" t="inlineStr">
        <is>
          <t>Estimated</t>
        </is>
      </c>
      <c r="AU297" s="52" t="n"/>
      <c r="AV297" s="52" t="n"/>
      <c r="AW297" s="53" t="n"/>
      <c r="AX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Y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Z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BA297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B297" s="40" t="n"/>
    </row>
    <row r="298">
      <c r="A298" s="38" t="inlineStr">
        <is>
          <t>Yango Caspian Kz</t>
        </is>
      </c>
      <c r="B298" s="38" t="inlineStr">
        <is>
          <t>Kazakhstan</t>
        </is>
      </c>
      <c r="C298" s="39" t="inlineStr">
        <is>
          <t>Aktau (Aktau Sea Port / city seafront) → Kenderli (Kenderli Bay resort zone)</t>
        </is>
      </c>
      <c r="D298" s="38" t="inlineStr">
        <is>
          <t>yango</t>
        </is>
      </c>
      <c r="E298" s="40" t="inlineStr">
        <is>
          <t>yango-caspian-kz</t>
        </is>
      </c>
      <c r="F298" s="41" t="n">
        <v>1</v>
      </c>
      <c r="G298" s="42" t="n">
        <v>65</v>
      </c>
      <c r="H298" s="35" t="n">
        <v>50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MIN(15,FLOOR(60*service_hr/M298,1))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/>
      <c r="AK298" s="43" t="n"/>
      <c r="AL298" s="43" t="n"/>
      <c r="AM298" s="50" t="n">
        <v>0.1</v>
      </c>
      <c r="AN298" s="45">
        <f>IF(AJ298="","",AJ298*AM298)</f>
        <v/>
      </c>
      <c r="AO298" s="45">
        <f>IF(OR(AJ298="",U298=0),"",MIN(IF(AW298="",9.9E+99,AW298),FLOOR(AN298/U298,1)))</f>
        <v/>
      </c>
      <c r="AP298" s="49">
        <f>IF(AO298="","",AO298*W298)</f>
        <v/>
      </c>
      <c r="AQ298" s="47">
        <f>IF(OR(AJ298="",U298=0),"",MIN(IF(AW298="",9.9E+99,AW298),AN298/U298))</f>
        <v/>
      </c>
      <c r="AR298" s="49">
        <f>IF(AQ298="","",AQ298*W298)</f>
        <v/>
      </c>
      <c r="AS298" s="51" t="n"/>
      <c r="AT298" s="43" t="inlineStr">
        <is>
          <t>Estimated</t>
        </is>
      </c>
      <c r="AU298" s="52" t="n"/>
      <c r="AV298" s="52" t="n"/>
      <c r="AW298" s="53" t="n"/>
      <c r="AX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Y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Z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BA298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B298" s="40" t="n"/>
    </row>
    <row r="299">
      <c r="A299" s="38" t="inlineStr">
        <is>
          <t>Bolt Lebanon</t>
        </is>
      </c>
      <c r="B299" s="38" t="inlineStr">
        <is>
          <t>Lebanon</t>
        </is>
      </c>
      <c r="C299" s="39" t="inlineStr">
        <is>
          <t>Jounieh → Byblos (Jbeil)</t>
        </is>
      </c>
      <c r="D299" s="38" t="inlineStr">
        <is>
          <t>bolt</t>
        </is>
      </c>
      <c r="E299" s="40" t="inlineStr">
        <is>
          <t>bolt-lebanon</t>
        </is>
      </c>
      <c r="F299" s="41" t="n">
        <v>1</v>
      </c>
      <c r="G299" s="42" t="n">
        <v>8.4</v>
      </c>
      <c r="H299" s="35" t="n">
        <v>55</v>
      </c>
      <c r="I299" s="43" t="inlineStr">
        <is>
          <t>T2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MIN(24,FLOOR(60*service_hr/M299,1))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/>
      <c r="AK299" s="43" t="n"/>
      <c r="AL299" s="43" t="n"/>
      <c r="AM299" s="50" t="n">
        <v>0.1</v>
      </c>
      <c r="AN299" s="45">
        <f>IF(AJ299="","",AJ299*AM299)</f>
        <v/>
      </c>
      <c r="AO299" s="45">
        <f>IF(OR(AJ299="",U299=0),"",MIN(IF(AW299="",9.9E+99,AW299),FLOOR(AN299/U299,1)))</f>
        <v/>
      </c>
      <c r="AP299" s="49">
        <f>IF(AO299="","",AO299*W299)</f>
        <v/>
      </c>
      <c r="AQ299" s="47">
        <f>IF(OR(AJ299="",U299=0),"",MIN(IF(AW299="",9.9E+99,AW299),AN299/U299))</f>
        <v/>
      </c>
      <c r="AR299" s="49">
        <f>IF(AQ299="","",AQ299*W299)</f>
        <v/>
      </c>
      <c r="AS299" s="51" t="n"/>
      <c r="AT299" s="43" t="inlineStr">
        <is>
          <t>Estimated</t>
        </is>
      </c>
      <c r="AU299" s="52" t="n"/>
      <c r="AV299" s="52" t="n"/>
      <c r="AW299" s="53" t="n"/>
      <c r="AX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Y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Z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BA299" s="40" t="inlineStr">
        <is>
          <t>PREMIUM/excursion proxy: shared Lebanese-coast sea cruise ~$55/seat (Zingy Ride). No scheduled service.</t>
        </is>
      </c>
      <c r="BB299" s="40" t="n"/>
    </row>
    <row r="300">
      <c r="A300" s="38" t="inlineStr">
        <is>
          <t>Bolt Lebanon</t>
        </is>
      </c>
      <c r="B300" s="38" t="inlineStr">
        <is>
          <t>Lebanon</t>
        </is>
      </c>
      <c r="C300" s="39" t="inlineStr">
        <is>
          <t>Beirut Marina (Zaitunay Bay) → Jounieh</t>
        </is>
      </c>
      <c r="D300" s="38" t="inlineStr">
        <is>
          <t>bolt</t>
        </is>
      </c>
      <c r="E300" s="40" t="inlineStr">
        <is>
          <t>bolt-lebanon</t>
        </is>
      </c>
      <c r="F300" s="41" t="n">
        <v>1</v>
      </c>
      <c r="G300" s="42" t="n">
        <v>11</v>
      </c>
      <c r="H300" s="35" t="n">
        <v>55</v>
      </c>
      <c r="I300" s="43" t="inlineStr">
        <is>
          <t>T2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6132000</v>
      </c>
      <c r="AK300" s="43" t="n"/>
      <c r="AL300" s="43" t="n"/>
      <c r="AM300" s="50" t="n">
        <v>0.1</v>
      </c>
      <c r="AN300" s="45">
        <f>IF(AJ300="","",AJ300*AM300)</f>
        <v/>
      </c>
      <c r="AO300" s="45">
        <f>IF(OR(AJ300="",U300=0),"",MIN(IF(AW300="",9.9E+99,AW300),FLOOR(AN300/U300,1)))</f>
        <v/>
      </c>
      <c r="AP300" s="49">
        <f>IF(AO300="","",AO300*W300)</f>
        <v/>
      </c>
      <c r="AQ300" s="47">
        <f>IF(OR(AJ300="",U300=0),"",MIN(IF(AW300="",9.9E+99,AW300),AN300/U300))</f>
        <v/>
      </c>
      <c r="AR300" s="49">
        <f>IF(AQ300="","",AQ300*W300)</f>
        <v/>
      </c>
      <c r="AS300" s="51" t="n"/>
      <c r="AT300" s="43" t="inlineStr">
        <is>
          <t>Estimated</t>
        </is>
      </c>
      <c r="AU300" s="52" t="n"/>
      <c r="AV300" s="52" t="n"/>
      <c r="AW300" s="53" t="n"/>
      <c r="AX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Y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Z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BA300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B300" s="40" t="n"/>
    </row>
    <row r="301">
      <c r="A301" s="38" t="inlineStr">
        <is>
          <t>Bolt Lebanon</t>
        </is>
      </c>
      <c r="B301" s="38" t="inlineStr">
        <is>
          <t>Lebanon</t>
        </is>
      </c>
      <c r="C301" s="39" t="inlineStr">
        <is>
          <t>Beirut → Byblos (Jbeil)</t>
        </is>
      </c>
      <c r="D301" s="38" t="inlineStr">
        <is>
          <t>bolt</t>
        </is>
      </c>
      <c r="E301" s="40" t="inlineStr">
        <is>
          <t>bolt-lebanon</t>
        </is>
      </c>
      <c r="F301" s="41" t="n">
        <v>1</v>
      </c>
      <c r="G301" s="42" t="n">
        <v>15</v>
      </c>
      <c r="H301" s="35" t="n">
        <v>55</v>
      </c>
      <c r="I301" s="43" t="inlineStr">
        <is>
          <t>T2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MIN(24,FLOOR(60*service_hr/M301,1))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/>
      <c r="AK301" s="43" t="n"/>
      <c r="AL301" s="43" t="n"/>
      <c r="AM301" s="50" t="n">
        <v>0.1</v>
      </c>
      <c r="AN301" s="45">
        <f>IF(AJ301="","",AJ301*AM301)</f>
        <v/>
      </c>
      <c r="AO301" s="45">
        <f>IF(OR(AJ301="",U301=0),"",MIN(IF(AW301="",9.9E+99,AW301),FLOOR(AN301/U301,1)))</f>
        <v/>
      </c>
      <c r="AP301" s="49">
        <f>IF(AO301="","",AO301*W301)</f>
        <v/>
      </c>
      <c r="AQ301" s="47">
        <f>IF(OR(AJ301="",U301=0),"",MIN(IF(AW301="",9.9E+99,AW301),AN301/U301))</f>
        <v/>
      </c>
      <c r="AR301" s="49">
        <f>IF(AQ301="","",AQ301*W301)</f>
        <v/>
      </c>
      <c r="AS301" s="51" t="n"/>
      <c r="AT301" s="43" t="inlineStr">
        <is>
          <t>Estimated</t>
        </is>
      </c>
      <c r="AU301" s="52" t="n"/>
      <c r="AV301" s="52" t="n"/>
      <c r="AW301" s="53" t="n"/>
      <c r="AX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Y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Z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BA301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B301" s="40" t="n"/>
    </row>
    <row r="302">
      <c r="A302" s="38" t="inlineStr">
        <is>
          <t>Bolt Lebanon</t>
        </is>
      </c>
      <c r="B302" s="38" t="inlineStr">
        <is>
          <t>Lebanon</t>
        </is>
      </c>
      <c r="C302" s="39" t="inlineStr">
        <is>
          <t>Beirut → Sidon (Saida)</t>
        </is>
      </c>
      <c r="D302" s="38" t="inlineStr">
        <is>
          <t>bolt</t>
        </is>
      </c>
      <c r="E302" s="40" t="inlineStr">
        <is>
          <t>bolt-lebanon</t>
        </is>
      </c>
      <c r="F302" s="41" t="n">
        <v>1</v>
      </c>
      <c r="G302" s="42" t="n">
        <v>22</v>
      </c>
      <c r="H302" s="35" t="n">
        <v>55</v>
      </c>
      <c r="I302" s="43" t="inlineStr">
        <is>
          <t>T2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MIN(24,FLOOR(60*service_hr/M302,1))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2207520</v>
      </c>
      <c r="AK302" s="43" t="n"/>
      <c r="AL302" s="43" t="n"/>
      <c r="AM302" s="50" t="n">
        <v>0.1</v>
      </c>
      <c r="AN302" s="45">
        <f>IF(AJ302="","",AJ302*AM302)</f>
        <v/>
      </c>
      <c r="AO302" s="45">
        <f>IF(OR(AJ302="",U302=0),"",MIN(IF(AW302="",9.9E+99,AW302),FLOOR(AN302/U302,1)))</f>
        <v/>
      </c>
      <c r="AP302" s="49">
        <f>IF(AO302="","",AO302*W302)</f>
        <v/>
      </c>
      <c r="AQ302" s="47">
        <f>IF(OR(AJ302="",U302=0),"",MIN(IF(AW302="",9.9E+99,AW302),AN302/U302))</f>
        <v/>
      </c>
      <c r="AR302" s="49">
        <f>IF(AQ302="","",AQ302*W302)</f>
        <v/>
      </c>
      <c r="AS302" s="51" t="n"/>
      <c r="AT302" s="43" t="inlineStr">
        <is>
          <t>Estimated</t>
        </is>
      </c>
      <c r="AU302" s="52" t="n"/>
      <c r="AV302" s="52" t="n"/>
      <c r="AW302" s="53" t="n"/>
      <c r="AX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Y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Z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BA302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B302" s="40" t="n"/>
    </row>
    <row r="303">
      <c r="A303" s="38" t="inlineStr">
        <is>
          <t>Bolt Lebanon</t>
        </is>
      </c>
      <c r="B303" s="38" t="inlineStr">
        <is>
          <t>Lebanon</t>
        </is>
      </c>
      <c r="C303" s="39" t="inlineStr">
        <is>
          <t>Beirut → Tripoli (El Mina)</t>
        </is>
      </c>
      <c r="D303" s="38" t="inlineStr">
        <is>
          <t>bolt</t>
        </is>
      </c>
      <c r="E303" s="40" t="inlineStr">
        <is>
          <t>bolt-lebanon</t>
        </is>
      </c>
      <c r="F303" s="41" t="n">
        <v>1</v>
      </c>
      <c r="G303" s="42" t="n">
        <v>36.5</v>
      </c>
      <c r="H303" s="35" t="n"/>
      <c r="I303" s="43" t="n"/>
      <c r="J303" s="43" t="n"/>
      <c r="K303" s="29" t="n">
        <v>1</v>
      </c>
      <c r="L303" s="44">
        <f>60*G303/cruise_kt</f>
        <v/>
      </c>
      <c r="M303" s="44">
        <f>L303+turn_min+dwell_min</f>
        <v/>
      </c>
      <c r="N303" s="45">
        <f>MIN(24,FLOOR(60*service_hr/M303,1))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n"/>
      <c r="AL303" s="43" t="n"/>
      <c r="AM303" s="50" t="n">
        <v>0.1</v>
      </c>
      <c r="AN303" s="45">
        <f>IF(AJ303="","",AJ303*AM303)</f>
        <v/>
      </c>
      <c r="AO303" s="45">
        <f>IF(OR(AJ303="",U303=0),"",MIN(IF(AW303="",9.9E+99,AW303),FLOOR(AN303/U303,1)))</f>
        <v/>
      </c>
      <c r="AP303" s="49">
        <f>IF(AO303="","",AO303*W303)</f>
        <v/>
      </c>
      <c r="AQ303" s="47">
        <f>IF(OR(AJ303="",U303=0),"",MIN(IF(AW303="",9.9E+99,AW303),AN303/U303))</f>
        <v/>
      </c>
      <c r="AR303" s="49">
        <f>IF(AQ303="","",AQ303*W303)</f>
        <v/>
      </c>
      <c r="AS303" s="51" t="n"/>
      <c r="AT303" s="43" t="inlineStr">
        <is>
          <t>Estimated</t>
        </is>
      </c>
      <c r="AU303" s="52" t="n"/>
      <c r="AV303" s="52" t="n"/>
      <c r="AW303" s="53" t="n"/>
      <c r="AX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Y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Z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BA303" s="40" t="n"/>
      <c r="BB303" s="40" t="n"/>
    </row>
    <row r="304">
      <c r="A304" s="38" t="inlineStr">
        <is>
          <t>Langkawi</t>
        </is>
      </c>
      <c r="B304" s="38" t="inlineStr">
        <is>
          <t>Malaysia</t>
        </is>
      </c>
      <c r="C304" s="39" t="inlineStr">
        <is>
          <t>George Town (Swettenham) → Butterworth (mainland)</t>
        </is>
      </c>
      <c r="D304" s="38" t="inlineStr">
        <is>
          <t>grab</t>
        </is>
      </c>
      <c r="E304" s="40" t="inlineStr">
        <is>
          <t>langkawi</t>
        </is>
      </c>
      <c r="F304" s="41" t="n">
        <v>1</v>
      </c>
      <c r="G304" s="42" t="n">
        <v>1.62</v>
      </c>
      <c r="H304" s="35" t="n"/>
      <c r="I304" s="43" t="inlineStr">
        <is>
          <t>T1</t>
        </is>
      </c>
      <c r="J304" s="43" t="inlineStr">
        <is>
          <t>high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/>
      <c r="AK304" s="43" t="inlineStr">
        <is>
          <t>T2</t>
        </is>
      </c>
      <c r="AL304" s="43" t="inlineStr">
        <is>
          <t>high</t>
        </is>
      </c>
      <c r="AM304" s="50" t="n">
        <v>0.1</v>
      </c>
      <c r="AN304" s="45">
        <f>IF(AJ304="","",AJ304*AM304)</f>
        <v/>
      </c>
      <c r="AO304" s="45">
        <f>IF(OR(AJ304="",U304=0),"",MIN(IF(AW304="",9.9E+99,AW304),FLOOR(AN304/U304,1)))</f>
        <v/>
      </c>
      <c r="AP304" s="49">
        <f>IF(AO304="","",AO304*W304)</f>
        <v/>
      </c>
      <c r="AQ304" s="47">
        <f>IF(OR(AJ304="",U304=0),"",MIN(IF(AW304="",9.9E+99,AW304),AN304/U304))</f>
        <v/>
      </c>
      <c r="AR304" s="49">
        <f>IF(AQ304="","",AQ304*W304)</f>
        <v/>
      </c>
      <c r="AS304" s="51" t="n"/>
      <c r="AT304" s="43" t="inlineStr">
        <is>
          <t>Estimated</t>
        </is>
      </c>
      <c r="AU304" s="52" t="n"/>
      <c r="AV304" s="52" t="n"/>
      <c r="AW304" s="53" t="n"/>
      <c r="AX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Y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Z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BA304" s="40" t="inlineStr">
        <is>
          <t>Penang Port public ferry (George Town&lt;-&gt;Butterworth) adult pedestrian fare RM2.00/way (RM1.00 under-12), per penangport.gov.my &amp; 2023 fare notice. RM2 @4.30 = $0.47.</t>
        </is>
      </c>
      <c r="BB304" s="40" t="inlineStr">
        <is>
          <t>Penang ferry service recorded 2.1 million passengers + 747,785 vehicles in 2024 (Wikipedia / Penang Port). New service hit 5M cumulative &lt;2yr (The Star, May 2025).</t>
        </is>
      </c>
    </row>
    <row r="305">
      <c r="A305" s="38" t="inlineStr">
        <is>
          <t>Borneo</t>
        </is>
      </c>
      <c r="B305" s="38" t="inlineStr">
        <is>
          <t>Malaysia</t>
        </is>
      </c>
      <c r="C305" s="39" t="inlineStr">
        <is>
          <t>Kota Kinabalu (Jesselton Point) → Tunku Abdul Rahman park (Gaya / Manukan / Sapi)</t>
        </is>
      </c>
      <c r="D305" s="38" t="inlineStr">
        <is>
          <t>grab</t>
        </is>
      </c>
      <c r="E305" s="40" t="inlineStr">
        <is>
          <t>borneo, langkawi</t>
        </is>
      </c>
      <c r="F305" s="41" t="n">
        <v>2</v>
      </c>
      <c r="G305" s="42" t="n">
        <v>3.16</v>
      </c>
      <c r="H305" s="35" t="n"/>
      <c r="I305" s="43" t="inlineStr">
        <is>
          <t>T3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/>
      <c r="AK305" s="43" t="inlineStr">
        <is>
          <t>T2</t>
        </is>
      </c>
      <c r="AL305" s="43" t="inlineStr">
        <is>
          <t>high</t>
        </is>
      </c>
      <c r="AM305" s="50" t="n">
        <v>0.1</v>
      </c>
      <c r="AN305" s="45">
        <f>IF(AJ305="","",AJ305*AM305)</f>
        <v/>
      </c>
      <c r="AO305" s="45">
        <f>IF(OR(AJ305="",U305=0),"",MIN(IF(AW305="",9.9E+99,AW305),FLOOR(AN305/U305,1)))</f>
        <v/>
      </c>
      <c r="AP305" s="49">
        <f>IF(AO305="","",AO305*W305)</f>
        <v/>
      </c>
      <c r="AQ305" s="47">
        <f>IF(OR(AJ305="",U305=0),"",MIN(IF(AW305="",9.9E+99,AW305),AN305/U305))</f>
        <v/>
      </c>
      <c r="AR305" s="49">
        <f>IF(AQ305="","",AQ305*W305)</f>
        <v/>
      </c>
      <c r="AS305" s="51" t="n"/>
      <c r="AT305" s="43" t="inlineStr">
        <is>
          <t>Estimated</t>
        </is>
      </c>
      <c r="AU305" s="52" t="n"/>
      <c r="AV305" s="52" t="n"/>
      <c r="AW305" s="53" t="n"/>
      <c r="AX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Y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Z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BA305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B305" s="40" t="inlineStr">
        <is>
          <t>Sabah Parks Dashboard (dashboard.sabahparks.org.my): Tunku Abdul Rahman Park highest accumulated visitor volume 546,383 (2025); &gt;500k in 2019 (citympvtravel).</t>
        </is>
      </c>
    </row>
    <row r="306">
      <c r="A306" s="38" t="inlineStr">
        <is>
          <t>Borneo</t>
        </is>
      </c>
      <c r="B306" s="38" t="inlineStr">
        <is>
          <t>Malaysia</t>
        </is>
      </c>
      <c r="C306" s="39" t="inlineStr">
        <is>
          <t>Kota Kinabalu (Sutera Harbour) → Gaya Island resorts</t>
        </is>
      </c>
      <c r="D306" s="38" t="inlineStr">
        <is>
          <t>grab</t>
        </is>
      </c>
      <c r="E306" s="40" t="inlineStr">
        <is>
          <t>borneo, langkawi</t>
        </is>
      </c>
      <c r="F306" s="41" t="n">
        <v>2</v>
      </c>
      <c r="G306" s="42" t="n">
        <v>4.29</v>
      </c>
      <c r="H306" s="35" t="n">
        <v>19</v>
      </c>
      <c r="I306" s="43" t="inlineStr">
        <is>
          <t>T1</t>
        </is>
      </c>
      <c r="J306" s="43" t="inlineStr">
        <is>
          <t>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45000</v>
      </c>
      <c r="AK306" s="43" t="inlineStr">
        <is>
          <t>T5</t>
        </is>
      </c>
      <c r="AL306" s="43" t="inlineStr">
        <is>
          <t>low</t>
        </is>
      </c>
      <c r="AM306" s="50" t="n">
        <v>0.1</v>
      </c>
      <c r="AN306" s="45">
        <f>IF(AJ306="","",AJ306*AM306)</f>
        <v/>
      </c>
      <c r="AO306" s="45">
        <f>IF(OR(AJ306="",U306=0),"",MIN(IF(AW306="",9.9E+99,AW306),FLOOR(AN306/U306,1)))</f>
        <v/>
      </c>
      <c r="AP306" s="49">
        <f>IF(AO306="","",AO306*W306)</f>
        <v/>
      </c>
      <c r="AQ306" s="47">
        <f>IF(OR(AJ306="",U306=0),"",MIN(IF(AW306="",9.9E+99,AW306),AN306/U306))</f>
        <v/>
      </c>
      <c r="AR306" s="49">
        <f>IF(AQ306="","",AQ306*W306)</f>
        <v/>
      </c>
      <c r="AS306" s="51" t="n"/>
      <c r="AT306" s="43" t="inlineStr">
        <is>
          <t>Grounded</t>
        </is>
      </c>
      <c r="AU306" s="52" t="n"/>
      <c r="AV306" s="52" t="n"/>
      <c r="AW306" s="53" t="n"/>
      <c r="AX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Y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Z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BA306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B306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307">
      <c r="A307" s="38" t="inlineStr">
        <is>
          <t>Penang</t>
        </is>
      </c>
      <c r="B307" s="38" t="inlineStr">
        <is>
          <t>Malaysia</t>
        </is>
      </c>
      <c r="C307" s="39" t="inlineStr">
        <is>
          <t>George Town → Batu Ferringhi resort strip</t>
        </is>
      </c>
      <c r="D307" s="38" t="inlineStr">
        <is>
          <t>grab</t>
        </is>
      </c>
      <c r="E307" s="40" t="inlineStr">
        <is>
          <t>langkawi, penang</t>
        </is>
      </c>
      <c r="F307" s="41" t="n">
        <v>2</v>
      </c>
      <c r="G307" s="42" t="n">
        <v>6.6</v>
      </c>
      <c r="H307" s="35" t="n">
        <v>30</v>
      </c>
      <c r="I307" s="43" t="inlineStr">
        <is>
          <t>T5</t>
        </is>
      </c>
      <c r="J307" s="43" t="inlineStr">
        <is>
          <t>low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/>
      <c r="AK307" s="43" t="inlineStr">
        <is>
          <t>T5</t>
        </is>
      </c>
      <c r="AL307" s="43" t="inlineStr">
        <is>
          <t>low</t>
        </is>
      </c>
      <c r="AM307" s="50" t="n">
        <v>0.1</v>
      </c>
      <c r="AN307" s="45">
        <f>IF(AJ307="","",AJ307*AM307)</f>
        <v/>
      </c>
      <c r="AO307" s="45">
        <f>IF(OR(AJ307="",U307=0),"",MIN(IF(AW307="",9.9E+99,AW307),FLOOR(AN307/U307,1)))</f>
        <v/>
      </c>
      <c r="AP307" s="49">
        <f>IF(AO307="","",AO307*W307)</f>
        <v/>
      </c>
      <c r="AQ307" s="47">
        <f>IF(OR(AJ307="",U307=0),"",MIN(IF(AW307="",9.9E+99,AW307),AN307/U307))</f>
        <v/>
      </c>
      <c r="AR307" s="49">
        <f>IF(AQ307="","",AQ307*W307)</f>
        <v/>
      </c>
      <c r="AS307" s="51" t="n"/>
      <c r="AT307" s="43" t="inlineStr">
        <is>
          <t>Estimated</t>
        </is>
      </c>
      <c r="AU307" s="52" t="n"/>
      <c r="AV307" s="52" t="n"/>
      <c r="AW307" s="53" t="n"/>
      <c r="AX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Y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Z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BA307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307" s="40" t="inlineStr">
        <is>
          <t>No boat crossing exists; Batu Ferringhi hotel-strip arrivals come by road. No credible on-water pax pool.</t>
        </is>
      </c>
    </row>
    <row r="308">
      <c r="A308" s="38" t="inlineStr">
        <is>
          <t>Penang</t>
        </is>
      </c>
      <c r="B308" s="38" t="inlineStr">
        <is>
          <t>Malaysia</t>
        </is>
      </c>
      <c r="C308" s="39" t="inlineStr">
        <is>
          <t>Kuah Jetty (Langkawi) → Langkawi geopark island-hop (Dayang Bunting / Payar)</t>
        </is>
      </c>
      <c r="D308" s="38" t="inlineStr">
        <is>
          <t>grab</t>
        </is>
      </c>
      <c r="E308" s="40" t="inlineStr">
        <is>
          <t>langkawi, penang</t>
        </is>
      </c>
      <c r="F308" s="41" t="n">
        <v>2</v>
      </c>
      <c r="G308" s="42" t="n">
        <v>10</v>
      </c>
      <c r="H308" s="35" t="n">
        <v>20</v>
      </c>
      <c r="I308" s="43" t="inlineStr">
        <is>
          <t>T3</t>
        </is>
      </c>
      <c r="J308" s="43" t="inlineStr">
        <is>
          <t>med-high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400000</v>
      </c>
      <c r="AK308" s="43" t="inlineStr">
        <is>
          <t>T5</t>
        </is>
      </c>
      <c r="AL308" s="43" t="inlineStr">
        <is>
          <t>low</t>
        </is>
      </c>
      <c r="AM308" s="50" t="n">
        <v>0.1</v>
      </c>
      <c r="AN308" s="45">
        <f>IF(AJ308="","",AJ308*AM308)</f>
        <v/>
      </c>
      <c r="AO308" s="45">
        <f>IF(OR(AJ308="",U308=0),"",MIN(IF(AW308="",9.9E+99,AW308),FLOOR(AN308/U308,1)))</f>
        <v/>
      </c>
      <c r="AP308" s="49">
        <f>IF(AO308="","",AO308*W308)</f>
        <v/>
      </c>
      <c r="AQ308" s="47">
        <f>IF(OR(AJ308="",U308=0),"",MIN(IF(AW308="",9.9E+99,AW308),AN308/U308))</f>
        <v/>
      </c>
      <c r="AR308" s="49">
        <f>IF(AQ308="","",AQ308*W308)</f>
        <v/>
      </c>
      <c r="AS308" s="51" t="n"/>
      <c r="AT308" s="43" t="inlineStr">
        <is>
          <t>Grounded</t>
        </is>
      </c>
      <c r="AU308" s="52" t="n"/>
      <c r="AV308" s="52" t="n"/>
      <c r="AW308" s="53" t="n"/>
      <c r="AX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Y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Z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BA308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B308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309">
      <c r="A309" s="38" t="inlineStr">
        <is>
          <t>Penang</t>
        </is>
      </c>
      <c r="B309" s="38" t="inlineStr">
        <is>
          <t>Malaysia</t>
        </is>
      </c>
      <c r="C309" s="39" t="inlineStr">
        <is>
          <t>Kuah Jetty (Langkawi) → Kuala Perlis (mainland)</t>
        </is>
      </c>
      <c r="D309" s="38" t="inlineStr">
        <is>
          <t>grab</t>
        </is>
      </c>
      <c r="E309" s="40" t="inlineStr">
        <is>
          <t>langkawi, penang</t>
        </is>
      </c>
      <c r="F309" s="41" t="n">
        <v>2</v>
      </c>
      <c r="G309" s="42" t="n">
        <v>16.8</v>
      </c>
      <c r="H309" s="35" t="n">
        <v>10.5</v>
      </c>
      <c r="I309" s="43" t="inlineStr">
        <is>
          <t>T1</t>
        </is>
      </c>
      <c r="J309" s="43" t="inlineStr">
        <is>
          <t>med-high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1600000</v>
      </c>
      <c r="AK309" s="43" t="inlineStr">
        <is>
          <t>T2</t>
        </is>
      </c>
      <c r="AL309" s="43" t="inlineStr">
        <is>
          <t>med</t>
        </is>
      </c>
      <c r="AM309" s="50" t="n">
        <v>0.1</v>
      </c>
      <c r="AN309" s="45">
        <f>IF(AJ309="","",AJ309*AM309)</f>
        <v/>
      </c>
      <c r="AO309" s="45">
        <f>IF(OR(AJ309="",U309=0),"",MIN(IF(AW309="",9.9E+99,AW309),FLOOR(AN309/U309,1)))</f>
        <v/>
      </c>
      <c r="AP309" s="49">
        <f>IF(AO309="","",AO309*W309)</f>
        <v/>
      </c>
      <c r="AQ309" s="47">
        <f>IF(OR(AJ309="",U309=0),"",MIN(IF(AW309="",9.9E+99,AW309),AN309/U309))</f>
        <v/>
      </c>
      <c r="AR309" s="49">
        <f>IF(AQ309="","",AQ309*W309)</f>
        <v/>
      </c>
      <c r="AS309" s="51" t="n"/>
      <c r="AT309" s="43" t="inlineStr">
        <is>
          <t>Grounded</t>
        </is>
      </c>
      <c r="AU309" s="52" t="n"/>
      <c r="AV309" s="52" t="n"/>
      <c r="AW309" s="53" t="n"/>
      <c r="AX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Y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Z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BA309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B309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310">
      <c r="A310" s="38" t="inlineStr">
        <is>
          <t>Penang</t>
        </is>
      </c>
      <c r="B310" s="38" t="inlineStr">
        <is>
          <t>Malaysia</t>
        </is>
      </c>
      <c r="C310" s="39" t="inlineStr">
        <is>
          <t>Telaga Harbour (Langkawi) → Koh Lipe (Thailand)</t>
        </is>
      </c>
      <c r="D310" s="38" t="inlineStr">
        <is>
          <t>grab</t>
        </is>
      </c>
      <c r="E310" s="40" t="inlineStr">
        <is>
          <t>langkawi, penang</t>
        </is>
      </c>
      <c r="F310" s="41" t="n">
        <v>2</v>
      </c>
      <c r="G310" s="42" t="n">
        <v>23</v>
      </c>
      <c r="H310" s="35" t="n">
        <v>41.9</v>
      </c>
      <c r="I310" s="43" t="inlineStr">
        <is>
          <t>T3</t>
        </is>
      </c>
      <c r="J310" s="43" t="inlineStr">
        <is>
          <t>high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>
        <v>45000</v>
      </c>
      <c r="AK310" s="43" t="inlineStr">
        <is>
          <t>T5</t>
        </is>
      </c>
      <c r="AL310" s="43" t="inlineStr">
        <is>
          <t>med-low</t>
        </is>
      </c>
      <c r="AM310" s="50" t="n">
        <v>0.1</v>
      </c>
      <c r="AN310" s="45">
        <f>IF(AJ310="","",AJ310*AM310)</f>
        <v/>
      </c>
      <c r="AO310" s="45">
        <f>IF(OR(AJ310="",U310=0),"",MIN(IF(AW310="",9.9E+99,AW310),FLOOR(AN310/U310,1)))</f>
        <v/>
      </c>
      <c r="AP310" s="49">
        <f>IF(AO310="","",AO310*W310)</f>
        <v/>
      </c>
      <c r="AQ310" s="47">
        <f>IF(OR(AJ310="",U310=0),"",MIN(IF(AW310="",9.9E+99,AW310),AN310/U310))</f>
        <v/>
      </c>
      <c r="AR310" s="49">
        <f>IF(AQ310="","",AQ310*W310)</f>
        <v/>
      </c>
      <c r="AS310" s="51" t="n"/>
      <c r="AT310" s="43" t="inlineStr">
        <is>
          <t>Grounded</t>
        </is>
      </c>
      <c r="AU310" s="52" t="n"/>
      <c r="AV310" s="52" t="n"/>
      <c r="AW310" s="53" t="n"/>
      <c r="AX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Y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Z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BA310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B310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311">
      <c r="A311" s="38" t="inlineStr">
        <is>
          <t>Penang</t>
        </is>
      </c>
      <c r="B311" s="38" t="inlineStr">
        <is>
          <t>Malaysia</t>
        </is>
      </c>
      <c r="C311" s="39" t="inlineStr">
        <is>
          <t>Langkawi → Koh Lipe (Thailand)</t>
        </is>
      </c>
      <c r="D311" s="38" t="inlineStr">
        <is>
          <t>grab</t>
        </is>
      </c>
      <c r="E311" s="40" t="inlineStr">
        <is>
          <t>langkawi, penang</t>
        </is>
      </c>
      <c r="F311" s="41" t="n">
        <v>2</v>
      </c>
      <c r="G311" s="42" t="n">
        <v>24.6</v>
      </c>
      <c r="H311" s="35" t="n">
        <v>37</v>
      </c>
      <c r="I311" s="43" t="inlineStr">
        <is>
          <t>T3</t>
        </is>
      </c>
      <c r="J311" s="43" t="inlineStr">
        <is>
          <t>high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60000</v>
      </c>
      <c r="AK311" s="43" t="inlineStr">
        <is>
          <t>T5</t>
        </is>
      </c>
      <c r="AL311" s="43" t="inlineStr">
        <is>
          <t>low</t>
        </is>
      </c>
      <c r="AM311" s="50" t="n">
        <v>0.1</v>
      </c>
      <c r="AN311" s="45">
        <f>IF(AJ311="","",AJ311*AM311)</f>
        <v/>
      </c>
      <c r="AO311" s="45">
        <f>IF(OR(AJ311="",U311=0),"",MIN(IF(AW311="",9.9E+99,AW311),FLOOR(AN311/U311,1)))</f>
        <v/>
      </c>
      <c r="AP311" s="49">
        <f>IF(AO311="","",AO311*W311)</f>
        <v/>
      </c>
      <c r="AQ311" s="47">
        <f>IF(OR(AJ311="",U311=0),"",MIN(IF(AW311="",9.9E+99,AW311),AN311/U311))</f>
        <v/>
      </c>
      <c r="AR311" s="49">
        <f>IF(AQ311="","",AQ311*W311)</f>
        <v/>
      </c>
      <c r="AS311" s="51" t="n"/>
      <c r="AT311" s="43" t="inlineStr">
        <is>
          <t>Grounded</t>
        </is>
      </c>
      <c r="AU311" s="52" t="n"/>
      <c r="AV311" s="52" t="n"/>
      <c r="AW311" s="53" t="n"/>
      <c r="AX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Y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Z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BA311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B311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312">
      <c r="A312" s="38" t="inlineStr">
        <is>
          <t>Penang</t>
        </is>
      </c>
      <c r="B312" s="38" t="inlineStr">
        <is>
          <t>Malaysia</t>
        </is>
      </c>
      <c r="C312" s="39" t="inlineStr">
        <is>
          <t>Kuah Jetty (Langkawi) → Kuala Kedah (mainland)</t>
        </is>
      </c>
      <c r="D312" s="38" t="inlineStr">
        <is>
          <t>grab</t>
        </is>
      </c>
      <c r="E312" s="40" t="inlineStr">
        <is>
          <t>langkawi, penang</t>
        </is>
      </c>
      <c r="F312" s="41" t="n">
        <v>2</v>
      </c>
      <c r="G312" s="42" t="n">
        <v>27</v>
      </c>
      <c r="H312" s="35" t="n">
        <v>12.8</v>
      </c>
      <c r="I312" s="43" t="inlineStr">
        <is>
          <t>T1</t>
        </is>
      </c>
      <c r="J312" s="43" t="inlineStr">
        <is>
          <t>med-high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1000000</v>
      </c>
      <c r="AK312" s="43" t="inlineStr">
        <is>
          <t>T2</t>
        </is>
      </c>
      <c r="AL312" s="43" t="inlineStr">
        <is>
          <t>med</t>
        </is>
      </c>
      <c r="AM312" s="50" t="n">
        <v>0.1</v>
      </c>
      <c r="AN312" s="45">
        <f>IF(AJ312="","",AJ312*AM312)</f>
        <v/>
      </c>
      <c r="AO312" s="45">
        <f>IF(OR(AJ312="",U312=0),"",MIN(IF(AW312="",9.9E+99,AW312),FLOOR(AN312/U312,1)))</f>
        <v/>
      </c>
      <c r="AP312" s="49">
        <f>IF(AO312="","",AO312*W312)</f>
        <v/>
      </c>
      <c r="AQ312" s="47">
        <f>IF(OR(AJ312="",U312=0),"",MIN(IF(AW312="",9.9E+99,AW312),AN312/U312))</f>
        <v/>
      </c>
      <c r="AR312" s="49">
        <f>IF(AQ312="","",AQ312*W312)</f>
        <v/>
      </c>
      <c r="AS312" s="51" t="n"/>
      <c r="AT312" s="43" t="inlineStr">
        <is>
          <t>Grounded</t>
        </is>
      </c>
      <c r="AU312" s="52" t="n"/>
      <c r="AV312" s="52" t="n"/>
      <c r="AW312" s="53" t="n"/>
      <c r="AX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Y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Z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BA312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B312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313">
      <c r="A313" s="38" t="inlineStr">
        <is>
          <t>Borneo</t>
        </is>
      </c>
      <c r="B313" s="38" t="inlineStr">
        <is>
          <t>Malaysia</t>
        </is>
      </c>
      <c r="C313" s="39" t="inlineStr">
        <is>
          <t>Kota Kinabalu → Mantanani Islands</t>
        </is>
      </c>
      <c r="D313" s="38" t="inlineStr">
        <is>
          <t>grab</t>
        </is>
      </c>
      <c r="E313" s="40" t="inlineStr">
        <is>
          <t>borneo, langkawi</t>
        </is>
      </c>
      <c r="F313" s="41" t="n">
        <v>2</v>
      </c>
      <c r="G313" s="42" t="n">
        <v>47.89</v>
      </c>
      <c r="H313" s="35" t="n">
        <v>26</v>
      </c>
      <c r="I313" s="43" t="inlineStr">
        <is>
          <t>T4</t>
        </is>
      </c>
      <c r="J313" s="43" t="inlineStr">
        <is>
          <t>low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150000</v>
      </c>
      <c r="AK313" s="43" t="inlineStr">
        <is>
          <t>T2</t>
        </is>
      </c>
      <c r="AL313" s="43" t="inlineStr">
        <is>
          <t>low</t>
        </is>
      </c>
      <c r="AM313" s="50" t="n">
        <v>0.1</v>
      </c>
      <c r="AN313" s="45">
        <f>IF(AJ313="","",AJ313*AM313)</f>
        <v/>
      </c>
      <c r="AO313" s="45">
        <f>IF(OR(AJ313="",U313=0),"",MIN(IF(AW313="",9.9E+99,AW313),FLOOR(AN313/U313,1)))</f>
        <v/>
      </c>
      <c r="AP313" s="49">
        <f>IF(AO313="","",AO313*W313)</f>
        <v/>
      </c>
      <c r="AQ313" s="47">
        <f>IF(OR(AJ313="",U313=0),"",MIN(IF(AW313="",9.9E+99,AW313),AN313/U313))</f>
        <v/>
      </c>
      <c r="AR313" s="49">
        <f>IF(AQ313="","",AQ313*W313)</f>
        <v/>
      </c>
      <c r="AS313" s="51" t="n"/>
      <c r="AT313" s="43" t="inlineStr">
        <is>
          <t>Grounded</t>
        </is>
      </c>
      <c r="AU313" s="52" t="n"/>
      <c r="AV313" s="52" t="n"/>
      <c r="AW313" s="53" t="n"/>
      <c r="AX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Y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Z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BA313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B313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314">
      <c r="A314" s="38" t="inlineStr">
        <is>
          <t>Penang</t>
        </is>
      </c>
      <c r="B314" s="38" t="inlineStr">
        <is>
          <t>Malaysia</t>
        </is>
      </c>
      <c r="C314" s="39" t="inlineStr">
        <is>
          <t>Kuah Jetty (Langkawi) → George Town, Penang (Swettenham Pier)</t>
        </is>
      </c>
      <c r="D314" s="38" t="inlineStr">
        <is>
          <t>grab</t>
        </is>
      </c>
      <c r="E314" s="40" t="inlineStr">
        <is>
          <t>langkawi, penang</t>
        </is>
      </c>
      <c r="F314" s="41" t="n">
        <v>2</v>
      </c>
      <c r="G314" s="42" t="n">
        <v>62</v>
      </c>
      <c r="H314" s="35" t="n">
        <v>17.4</v>
      </c>
      <c r="I314" s="43" t="inlineStr">
        <is>
          <t>T3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/>
      <c r="AK314" s="43" t="inlineStr">
        <is>
          <t>T5</t>
        </is>
      </c>
      <c r="AL314" s="43" t="inlineStr">
        <is>
          <t>low</t>
        </is>
      </c>
      <c r="AM314" s="50" t="n">
        <v>0.1</v>
      </c>
      <c r="AN314" s="45">
        <f>IF(AJ314="","",AJ314*AM314)</f>
        <v/>
      </c>
      <c r="AO314" s="45">
        <f>IF(OR(AJ314="",U314=0),"",MIN(IF(AW314="",9.9E+99,AW314),FLOOR(AN314/U314,1)))</f>
        <v/>
      </c>
      <c r="AP314" s="49">
        <f>IF(AO314="","",AO314*W314)</f>
        <v/>
      </c>
      <c r="AQ314" s="47">
        <f>IF(OR(AJ314="",U314=0),"",MIN(IF(AW314="",9.9E+99,AW314),AN314/U314))</f>
        <v/>
      </c>
      <c r="AR314" s="49">
        <f>IF(AQ314="","",AQ314*W314)</f>
        <v/>
      </c>
      <c r="AS314" s="51" t="n"/>
      <c r="AT314" s="43" t="inlineStr">
        <is>
          <t>Estimated</t>
        </is>
      </c>
      <c r="AU314" s="52" t="n"/>
      <c r="AV314" s="52" t="n"/>
      <c r="AW314" s="53" t="n"/>
      <c r="AX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Y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Z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BA314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B314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15">
      <c r="A315" s="38" t="inlineStr">
        <is>
          <t>Penang</t>
        </is>
      </c>
      <c r="B315" s="38" t="inlineStr">
        <is>
          <t>Malaysia</t>
        </is>
      </c>
      <c r="C315" s="39" t="inlineStr">
        <is>
          <t>Penang → Pangkor Island</t>
        </is>
      </c>
      <c r="D315" s="38" t="inlineStr">
        <is>
          <t>grab</t>
        </is>
      </c>
      <c r="E315" s="40" t="inlineStr">
        <is>
          <t>langkawi, penang</t>
        </is>
      </c>
      <c r="F315" s="41" t="n">
        <v>2</v>
      </c>
      <c r="G315" s="42" t="n">
        <v>66</v>
      </c>
      <c r="H315" s="35" t="n">
        <v>19</v>
      </c>
      <c r="I315" s="43" t="inlineStr">
        <is>
          <t>T1</t>
        </is>
      </c>
      <c r="J315" s="43" t="inlineStr">
        <is>
          <t>low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MIN(15,FLOOR(60*service_hr/M315,1))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inlineStr">
        <is>
          <t>T4</t>
        </is>
      </c>
      <c r="AL315" s="43" t="inlineStr">
        <is>
          <t>low</t>
        </is>
      </c>
      <c r="AM315" s="50" t="n">
        <v>0.1</v>
      </c>
      <c r="AN315" s="45">
        <f>IF(AJ315="","",AJ315*AM315)</f>
        <v/>
      </c>
      <c r="AO315" s="45">
        <f>IF(OR(AJ315="",U315=0),"",MIN(IF(AW315="",9.9E+99,AW315),FLOOR(AN315/U315,1)))</f>
        <v/>
      </c>
      <c r="AP315" s="49">
        <f>IF(AO315="","",AO315*W315)</f>
        <v/>
      </c>
      <c r="AQ315" s="47">
        <f>IF(OR(AJ315="",U315=0),"",MIN(IF(AW315="",9.9E+99,AW315),AN315/U315))</f>
        <v/>
      </c>
      <c r="AR315" s="49">
        <f>IF(AQ315="","",AQ315*W315)</f>
        <v/>
      </c>
      <c r="AS315" s="51" t="n"/>
      <c r="AT315" s="43" t="inlineStr">
        <is>
          <t>Estimated</t>
        </is>
      </c>
      <c r="AU315" s="52" t="n"/>
      <c r="AV315" s="52" t="n"/>
      <c r="AW315" s="53" t="n"/>
      <c r="AX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Y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Z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BA315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B315" s="40" t="inlineStr">
        <is>
          <t>Pangkor receives sizeable visitor traffic but via the Lumut/Marina Island crossing, not from Penang (50nm). No direct-Penang pax pool exists.</t>
        </is>
      </c>
    </row>
    <row r="316">
      <c r="A316" s="38" t="inlineStr">
        <is>
          <t>Penang</t>
        </is>
      </c>
      <c r="B316" s="38" t="inlineStr">
        <is>
          <t>Malaysia</t>
        </is>
      </c>
      <c r="C316" s="39" t="inlineStr">
        <is>
          <t>Penang → Langkawi</t>
        </is>
      </c>
      <c r="D316" s="38" t="inlineStr">
        <is>
          <t>grab</t>
        </is>
      </c>
      <c r="E316" s="40" t="inlineStr">
        <is>
          <t>langkawi, penang</t>
        </is>
      </c>
      <c r="F316" s="41" t="n">
        <v>3</v>
      </c>
      <c r="G316" s="42" t="n">
        <v>66.40000000000001</v>
      </c>
      <c r="H316" s="35" t="n">
        <v>17</v>
      </c>
      <c r="I316" s="43" t="inlineStr">
        <is>
          <t>T4</t>
        </is>
      </c>
      <c r="J316" s="43" t="inlineStr">
        <is>
          <t>low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/>
      <c r="AK316" s="43" t="inlineStr">
        <is>
          <t>T4</t>
        </is>
      </c>
      <c r="AL316" s="43" t="inlineStr">
        <is>
          <t>low</t>
        </is>
      </c>
      <c r="AM316" s="50" t="n">
        <v>0.1</v>
      </c>
      <c r="AN316" s="45">
        <f>IF(AJ316="","",AJ316*AM316)</f>
        <v/>
      </c>
      <c r="AO316" s="45">
        <f>IF(OR(AJ316="",U316=0),"",MIN(IF(AW316="",9.9E+99,AW316),FLOOR(AN316/U316,1)))</f>
        <v/>
      </c>
      <c r="AP316" s="49">
        <f>IF(AO316="","",AO316*W316)</f>
        <v/>
      </c>
      <c r="AQ316" s="47">
        <f>IF(OR(AJ316="",U316=0),"",MIN(IF(AW316="",9.9E+99,AW316),AN316/U316))</f>
        <v/>
      </c>
      <c r="AR316" s="49">
        <f>IF(AQ316="","",AQ316*W316)</f>
        <v/>
      </c>
      <c r="AS316" s="51" t="n"/>
      <c r="AT316" s="43" t="inlineStr">
        <is>
          <t>Estimated</t>
        </is>
      </c>
      <c r="AU316" s="52" t="n"/>
      <c r="AV316" s="52" t="n"/>
      <c r="AW316" s="53" t="n"/>
      <c r="AX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Y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Z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BA316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B316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17">
      <c r="A317" s="38" t="inlineStr">
        <is>
          <t>Maldives (JIH)</t>
        </is>
      </c>
      <c r="B317" s="38" t="inlineStr">
        <is>
          <t>Maldives</t>
        </is>
      </c>
      <c r="C317" s="39" t="inlineStr">
        <is>
          <t>Velana International Airport (MLE) Resort Speedboat Lounges → Kurumba Maldives (Vihamanafushi, North Malé)</t>
        </is>
      </c>
      <c r="D317" s="38" t="inlineStr">
        <is>
          <t>jih-global</t>
        </is>
      </c>
      <c r="E317" s="40" t="inlineStr">
        <is>
          <t>maldives-jih</t>
        </is>
      </c>
      <c r="F317" s="41" t="n">
        <v>1</v>
      </c>
      <c r="G317" s="42" t="n">
        <v>2.1</v>
      </c>
      <c r="H317" s="35" t="n">
        <v>60</v>
      </c>
      <c r="I317" s="43" t="inlineStr">
        <is>
          <t>T3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28000</v>
      </c>
      <c r="AK317" s="43" t="inlineStr">
        <is>
          <t>T5</t>
        </is>
      </c>
      <c r="AL317" s="43" t="inlineStr">
        <is>
          <t>low-med</t>
        </is>
      </c>
      <c r="AM317" s="50" t="n">
        <v>0.9</v>
      </c>
      <c r="AN317" s="45">
        <f>IF(AJ317="","",AJ317*AM317)</f>
        <v/>
      </c>
      <c r="AO317" s="45">
        <f>IF(OR(AJ317="",U317=0),"",MIN(IF(AW317="",9.9E+99,AW317),FLOOR(AN317/U317,1)))</f>
        <v/>
      </c>
      <c r="AP317" s="49">
        <f>IF(AO317="","",AO317*W317)</f>
        <v/>
      </c>
      <c r="AQ317" s="47">
        <f>IF(OR(AJ317="",U317=0),"",MIN(IF(AW317="",9.9E+99,AW317),AN317/U317))</f>
        <v/>
      </c>
      <c r="AR317" s="49">
        <f>IF(AQ317="","",AQ317*W317)</f>
        <v/>
      </c>
      <c r="AS317" s="51" t="n"/>
      <c r="AT317" s="43" t="inlineStr">
        <is>
          <t>Grounded</t>
        </is>
      </c>
      <c r="AU317" s="52" t="n"/>
      <c r="AV317" s="52" t="n"/>
      <c r="AW317" s="53" t="n">
        <v>8</v>
      </c>
      <c r="AX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Y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Z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BA317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B317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318">
      <c r="A318" s="38" t="inlineStr">
        <is>
          <t>Maldives (JIH)</t>
        </is>
      </c>
      <c r="B318" s="38" t="inlineStr">
        <is>
          <t>Maldives</t>
        </is>
      </c>
      <c r="C318" s="39" t="inlineStr">
        <is>
          <t>Kuredu Island Resort (Lhaviyani) → Hurawalhi (Lhaviyani)</t>
        </is>
      </c>
      <c r="D318" s="38" t="inlineStr">
        <is>
          <t>jih-global</t>
        </is>
      </c>
      <c r="E318" s="40" t="inlineStr">
        <is>
          <t>maldives-jih</t>
        </is>
      </c>
      <c r="F318" s="41" t="n">
        <v>1</v>
      </c>
      <c r="G318" s="42" t="n">
        <v>2.5</v>
      </c>
      <c r="H318" s="35" t="n">
        <v>150</v>
      </c>
      <c r="I318" s="43" t="inlineStr">
        <is>
          <t>T3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/>
      <c r="AK318" s="43" t="n"/>
      <c r="AL318" s="43" t="inlineStr">
        <is>
          <t>null</t>
        </is>
      </c>
      <c r="AM318" s="50" t="n">
        <v>0.9</v>
      </c>
      <c r="AN318" s="45">
        <f>IF(AJ318="","",AJ318*AM318)</f>
        <v/>
      </c>
      <c r="AO318" s="45">
        <f>IF(OR(AJ318="",U318=0),"",MIN(IF(AW318="",9.9E+99,AW318),FLOOR(AN318/U318,1)))</f>
        <v/>
      </c>
      <c r="AP318" s="49">
        <f>IF(AO318="","",AO318*W318)</f>
        <v/>
      </c>
      <c r="AQ318" s="47">
        <f>IF(OR(AJ318="",U318=0),"",MIN(IF(AW318="",9.9E+99,AW318),AN318/U318))</f>
        <v/>
      </c>
      <c r="AR318" s="49">
        <f>IF(AQ318="","",AQ318*W318)</f>
        <v/>
      </c>
      <c r="AS318" s="51" t="n"/>
      <c r="AT318" s="43" t="inlineStr">
        <is>
          <t>Estimated</t>
        </is>
      </c>
      <c r="AU318" s="52" t="n"/>
      <c r="AV318" s="52" t="n"/>
      <c r="AW318" s="53" t="n"/>
      <c r="AX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Y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Z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BA31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8" s="40" t="inlineStr">
        <is>
          <t>NULL — pure inter-resort island-hop; no grounded crossing pool (R2). Geometry only.</t>
        </is>
      </c>
    </row>
    <row r="319">
      <c r="A319" s="38" t="inlineStr">
        <is>
          <t>Maldives (JIH)</t>
        </is>
      </c>
      <c r="B319" s="38" t="inlineStr">
        <is>
          <t>Maldives</t>
        </is>
      </c>
      <c r="C319" s="39" t="inlineStr">
        <is>
          <t>Gan International Airport, Addu → Shangri-La Villingili (Addu)</t>
        </is>
      </c>
      <c r="D319" s="38" t="inlineStr">
        <is>
          <t>jih-global</t>
        </is>
      </c>
      <c r="E319" s="40" t="inlineStr">
        <is>
          <t>maldives-jih</t>
        </is>
      </c>
      <c r="F319" s="41" t="n">
        <v>1</v>
      </c>
      <c r="G319" s="42" t="n">
        <v>2.7</v>
      </c>
      <c r="H319" s="35" t="n">
        <v>150</v>
      </c>
      <c r="I319" s="43" t="inlineStr">
        <is>
          <t>T3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MIN(15,FLOOR(60*service_hr/M319,1))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>
        <v>9858</v>
      </c>
      <c r="AK319" s="43" t="inlineStr">
        <is>
          <t>T5</t>
        </is>
      </c>
      <c r="AL319" s="43" t="inlineStr">
        <is>
          <t>med</t>
        </is>
      </c>
      <c r="AM319" s="50" t="n">
        <v>0.9</v>
      </c>
      <c r="AN319" s="45">
        <f>IF(AJ319="","",AJ319*AM319)</f>
        <v/>
      </c>
      <c r="AO319" s="45">
        <f>IF(OR(AJ319="",U319=0),"",MIN(IF(AW319="",9.9E+99,AW319),FLOOR(AN319/U319,1)))</f>
        <v/>
      </c>
      <c r="AP319" s="49">
        <f>IF(AO319="","",AO319*W319)</f>
        <v/>
      </c>
      <c r="AQ319" s="47">
        <f>IF(OR(AJ319="",U319=0),"",MIN(IF(AW319="",9.9E+99,AW319),AN319/U319))</f>
        <v/>
      </c>
      <c r="AR319" s="49">
        <f>IF(AQ319="","",AQ319*W319)</f>
        <v/>
      </c>
      <c r="AS319" s="51" t="n"/>
      <c r="AT319" s="43" t="inlineStr">
        <is>
          <t>Grounded</t>
        </is>
      </c>
      <c r="AU319" s="52" t="n"/>
      <c r="AV319" s="52" t="n"/>
      <c r="AW319" s="53" t="n">
        <v>6</v>
      </c>
      <c r="AX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Y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Z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BA31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0">
      <c r="A320" s="38" t="inlineStr">
        <is>
          <t>Maldives (JIH)</t>
        </is>
      </c>
      <c r="B320" s="38" t="inlineStr">
        <is>
          <t>Maldives</t>
        </is>
      </c>
      <c r="C320" s="39" t="inlineStr">
        <is>
          <t>Maamigili (Villa) Airport, South Ari → Sun Island Resort (Nalaguraidhoo)</t>
        </is>
      </c>
      <c r="D320" s="38" t="inlineStr">
        <is>
          <t>jih-global</t>
        </is>
      </c>
      <c r="E320" s="40" t="inlineStr">
        <is>
          <t>maldives-jih</t>
        </is>
      </c>
      <c r="F320" s="41" t="n">
        <v>1</v>
      </c>
      <c r="G320" s="42" t="n">
        <v>3.2</v>
      </c>
      <c r="H320" s="35" t="n">
        <v>120</v>
      </c>
      <c r="I320" s="43" t="inlineStr">
        <is>
          <t>T3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MIN(15,FLOOR(60*service_hr/M320,1))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>
        <v>34504</v>
      </c>
      <c r="AK320" s="43" t="inlineStr">
        <is>
          <t>T5</t>
        </is>
      </c>
      <c r="AL320" s="43" t="inlineStr">
        <is>
          <t>med</t>
        </is>
      </c>
      <c r="AM320" s="50" t="n">
        <v>0.9</v>
      </c>
      <c r="AN320" s="45">
        <f>IF(AJ320="","",AJ320*AM320)</f>
        <v/>
      </c>
      <c r="AO320" s="45">
        <f>IF(OR(AJ320="",U320=0),"",MIN(IF(AW320="",9.9E+99,AW320),FLOOR(AN320/U320,1)))</f>
        <v/>
      </c>
      <c r="AP320" s="49">
        <f>IF(AO320="","",AO320*W320)</f>
        <v/>
      </c>
      <c r="AQ320" s="47">
        <f>IF(OR(AJ320="",U320=0),"",MIN(IF(AW320="",9.9E+99,AW320),AN320/U320))</f>
        <v/>
      </c>
      <c r="AR320" s="49">
        <f>IF(AQ320="","",AQ320*W320)</f>
        <v/>
      </c>
      <c r="AS320" s="51" t="n"/>
      <c r="AT320" s="43" t="inlineStr">
        <is>
          <t>Grounded</t>
        </is>
      </c>
      <c r="AU320" s="52" t="n"/>
      <c r="AV320" s="52" t="n"/>
      <c r="AW320" s="53" t="n">
        <v>19</v>
      </c>
      <c r="AX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Y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Z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BA32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1">
      <c r="A321" s="38" t="inlineStr">
        <is>
          <t>Maldives (JIH)</t>
        </is>
      </c>
      <c r="B321" s="38" t="inlineStr">
        <is>
          <t>Maldives</t>
        </is>
      </c>
      <c r="C321" s="39" t="inlineStr">
        <is>
          <t>Dharavandhoo Airport, Baa → Soneva Fushi (Kunfunadhoo, Baa)</t>
        </is>
      </c>
      <c r="D321" s="38" t="inlineStr">
        <is>
          <t>jih-global</t>
        </is>
      </c>
      <c r="E321" s="40" t="inlineStr">
        <is>
          <t>maldives-jih</t>
        </is>
      </c>
      <c r="F321" s="41" t="n">
        <v>1</v>
      </c>
      <c r="G321" s="42" t="n">
        <v>4.4</v>
      </c>
      <c r="H321" s="35" t="n">
        <v>200</v>
      </c>
      <c r="I321" s="43" t="inlineStr">
        <is>
          <t>T3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>
        <v>4705</v>
      </c>
      <c r="AK321" s="43" t="inlineStr">
        <is>
          <t>T5</t>
        </is>
      </c>
      <c r="AL321" s="43" t="inlineStr">
        <is>
          <t>med</t>
        </is>
      </c>
      <c r="AM321" s="50" t="n">
        <v>0.9</v>
      </c>
      <c r="AN321" s="45">
        <f>IF(AJ321="","",AJ321*AM321)</f>
        <v/>
      </c>
      <c r="AO321" s="45">
        <f>IF(OR(AJ321="",U321=0),"",MIN(IF(AW321="",9.9E+99,AW321),FLOOR(AN321/U321,1)))</f>
        <v/>
      </c>
      <c r="AP321" s="49">
        <f>IF(AO321="","",AO321*W321)</f>
        <v/>
      </c>
      <c r="AQ321" s="47">
        <f>IF(OR(AJ321="",U321=0),"",MIN(IF(AW321="",9.9E+99,AW321),AN321/U321))</f>
        <v/>
      </c>
      <c r="AR321" s="49">
        <f>IF(AQ321="","",AQ321*W321)</f>
        <v/>
      </c>
      <c r="AS321" s="51" t="n"/>
      <c r="AT321" s="43" t="inlineStr">
        <is>
          <t>Grounded</t>
        </is>
      </c>
      <c r="AU321" s="52" t="n"/>
      <c r="AV321" s="52" t="n"/>
      <c r="AW321" s="53" t="n">
        <v>3</v>
      </c>
      <c r="AX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Y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Z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BA32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2">
      <c r="A322" s="38" t="inlineStr">
        <is>
          <t>Maldives (JIH)</t>
        </is>
      </c>
      <c r="B322" s="38" t="inlineStr">
        <is>
          <t>Maldives</t>
        </is>
      </c>
      <c r="C322" s="39" t="inlineStr">
        <is>
          <t>Kudahuvadhoo Airport, Dhaalu → Niyama Private Islands (Dhaalu)</t>
        </is>
      </c>
      <c r="D322" s="38" t="inlineStr">
        <is>
          <t>jih-global</t>
        </is>
      </c>
      <c r="E322" s="40" t="inlineStr">
        <is>
          <t>maldives-jih</t>
        </is>
      </c>
      <c r="F322" s="41" t="n">
        <v>1</v>
      </c>
      <c r="G322" s="42" t="n">
        <v>4.7</v>
      </c>
      <c r="H322" s="35" t="n">
        <v>150</v>
      </c>
      <c r="I322" s="43" t="inlineStr">
        <is>
          <t>T3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MIN(15,FLOOR(60*service_hr/M322,1))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10008</v>
      </c>
      <c r="AK322" s="43" t="inlineStr">
        <is>
          <t>T5</t>
        </is>
      </c>
      <c r="AL322" s="43" t="inlineStr">
        <is>
          <t>med</t>
        </is>
      </c>
      <c r="AM322" s="50" t="n">
        <v>0.9</v>
      </c>
      <c r="AN322" s="45">
        <f>IF(AJ322="","",AJ322*AM322)</f>
        <v/>
      </c>
      <c r="AO322" s="45">
        <f>IF(OR(AJ322="",U322=0),"",MIN(IF(AW322="",9.9E+99,AW322),FLOOR(AN322/U322,1)))</f>
        <v/>
      </c>
      <c r="AP322" s="49">
        <f>IF(AO322="","",AO322*W322)</f>
        <v/>
      </c>
      <c r="AQ322" s="47">
        <f>IF(OR(AJ322="",U322=0),"",MIN(IF(AW322="",9.9E+99,AW322),AN322/U322))</f>
        <v/>
      </c>
      <c r="AR322" s="49">
        <f>IF(AQ322="","",AQ322*W322)</f>
        <v/>
      </c>
      <c r="AS322" s="51" t="n"/>
      <c r="AT322" s="43" t="inlineStr">
        <is>
          <t>Grounded</t>
        </is>
      </c>
      <c r="AU322" s="52" t="n"/>
      <c r="AV322" s="52" t="n"/>
      <c r="AW322" s="53" t="n">
        <v>6</v>
      </c>
      <c r="AX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Y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Z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BA32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3">
      <c r="A323" s="38" t="inlineStr">
        <is>
          <t>Maldives (JIH)</t>
        </is>
      </c>
      <c r="B323" s="38" t="inlineStr">
        <is>
          <t>Maldives</t>
        </is>
      </c>
      <c r="C323" s="39" t="inlineStr">
        <is>
          <t>Velana International Airport (MLE) Resort Speedboat Lounges → Gili Lankanfushi (North Malé)</t>
        </is>
      </c>
      <c r="D323" s="38" t="inlineStr">
        <is>
          <t>jih-global</t>
        </is>
      </c>
      <c r="E323" s="40" t="inlineStr">
        <is>
          <t>maldives-jih</t>
        </is>
      </c>
      <c r="F323" s="41" t="n">
        <v>1</v>
      </c>
      <c r="G323" s="42" t="n">
        <v>6.4</v>
      </c>
      <c r="H323" s="35" t="n">
        <v>150</v>
      </c>
      <c r="I323" s="43" t="inlineStr">
        <is>
          <t>T3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MIN(15,FLOOR(60*service_hr/M323,1))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7000</v>
      </c>
      <c r="AK323" s="43" t="inlineStr">
        <is>
          <t>T5</t>
        </is>
      </c>
      <c r="AL323" s="43" t="inlineStr">
        <is>
          <t>low-med</t>
        </is>
      </c>
      <c r="AM323" s="50" t="n">
        <v>0.9</v>
      </c>
      <c r="AN323" s="45">
        <f>IF(AJ323="","",AJ323*AM323)</f>
        <v/>
      </c>
      <c r="AO323" s="45">
        <f>IF(OR(AJ323="",U323=0),"",MIN(IF(AW323="",9.9E+99,AW323),FLOOR(AN323/U323,1)))</f>
        <v/>
      </c>
      <c r="AP323" s="49">
        <f>IF(AO323="","",AO323*W323)</f>
        <v/>
      </c>
      <c r="AQ323" s="47">
        <f>IF(OR(AJ323="",U323=0),"",MIN(IF(AW323="",9.9E+99,AW323),AN323/U323))</f>
        <v/>
      </c>
      <c r="AR323" s="49">
        <f>IF(AQ323="","",AQ323*W323)</f>
        <v/>
      </c>
      <c r="AS323" s="51" t="n"/>
      <c r="AT323" s="43" t="inlineStr">
        <is>
          <t>Grounded</t>
        </is>
      </c>
      <c r="AU323" s="52" t="n"/>
      <c r="AV323" s="52" t="n"/>
      <c r="AW323" s="53" t="n">
        <v>2</v>
      </c>
      <c r="AX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Y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Z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BA323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B323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324">
      <c r="A324" s="38" t="inlineStr">
        <is>
          <t>Maldives (JIH)</t>
        </is>
      </c>
      <c r="B324" s="38" t="inlineStr">
        <is>
          <t>Maldives</t>
        </is>
      </c>
      <c r="C324" s="39" t="inlineStr">
        <is>
          <t>Joali Maldives (Muravandhoo, Raa) → Joali Being (Bodufushi, Raa)</t>
        </is>
      </c>
      <c r="D324" s="38" t="inlineStr">
        <is>
          <t>jih-global</t>
        </is>
      </c>
      <c r="E324" s="40" t="inlineStr">
        <is>
          <t>maldives-jih</t>
        </is>
      </c>
      <c r="F324" s="41" t="n">
        <v>1</v>
      </c>
      <c r="G324" s="42" t="n">
        <v>6.5</v>
      </c>
      <c r="H324" s="35" t="n">
        <v>175</v>
      </c>
      <c r="I324" s="43" t="inlineStr">
        <is>
          <t>T3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MIN(15,FLOOR(60*service_hr/M324,1))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/>
      <c r="AK324" s="43" t="n"/>
      <c r="AL324" s="43" t="inlineStr">
        <is>
          <t>null</t>
        </is>
      </c>
      <c r="AM324" s="50" t="n">
        <v>0.9</v>
      </c>
      <c r="AN324" s="45">
        <f>IF(AJ324="","",AJ324*AM324)</f>
        <v/>
      </c>
      <c r="AO324" s="45">
        <f>IF(OR(AJ324="",U324=0),"",MIN(IF(AW324="",9.9E+99,AW324),FLOOR(AN324/U324,1)))</f>
        <v/>
      </c>
      <c r="AP324" s="49">
        <f>IF(AO324="","",AO324*W324)</f>
        <v/>
      </c>
      <c r="AQ324" s="47">
        <f>IF(OR(AJ324="",U324=0),"",MIN(IF(AW324="",9.9E+99,AW324),AN324/U324))</f>
        <v/>
      </c>
      <c r="AR324" s="49">
        <f>IF(AQ324="","",AQ324*W324)</f>
        <v/>
      </c>
      <c r="AS324" s="51" t="n"/>
      <c r="AT324" s="43" t="inlineStr">
        <is>
          <t>Estimated</t>
        </is>
      </c>
      <c r="AU324" s="52" t="n"/>
      <c r="AV324" s="52" t="n"/>
      <c r="AW324" s="53" t="n"/>
      <c r="AX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Y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Z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BA32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4" s="40" t="inlineStr">
        <is>
          <t>NULL — pure inter-resort island-hop; no grounded crossing pool (R2). Geometry only.</t>
        </is>
      </c>
    </row>
    <row r="325">
      <c r="A325" s="38" t="inlineStr">
        <is>
          <t>Maldives (JIH)</t>
        </is>
      </c>
      <c r="B325" s="38" t="inlineStr">
        <is>
          <t>Maldives</t>
        </is>
      </c>
      <c r="C325" s="39" t="inlineStr">
        <is>
          <t>Maafaru Airport, Noonu → Soneva Jani (Medhufaru, Noonu)</t>
        </is>
      </c>
      <c r="D325" s="38" t="inlineStr">
        <is>
          <t>jih-global</t>
        </is>
      </c>
      <c r="E325" s="40" t="inlineStr">
        <is>
          <t>maldives-jih</t>
        </is>
      </c>
      <c r="F325" s="41" t="n">
        <v>1</v>
      </c>
      <c r="G325" s="42" t="n">
        <v>7.6</v>
      </c>
      <c r="H325" s="35" t="n">
        <v>200</v>
      </c>
      <c r="I325" s="43" t="inlineStr">
        <is>
          <t>T3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3884</v>
      </c>
      <c r="AK325" s="43" t="inlineStr">
        <is>
          <t>T5</t>
        </is>
      </c>
      <c r="AL325" s="43" t="inlineStr">
        <is>
          <t>med</t>
        </is>
      </c>
      <c r="AM325" s="50" t="n">
        <v>0.9</v>
      </c>
      <c r="AN325" s="45">
        <f>IF(AJ325="","",AJ325*AM325)</f>
        <v/>
      </c>
      <c r="AO325" s="45">
        <f>IF(OR(AJ325="",U325=0),"",MIN(IF(AW325="",9.9E+99,AW325),FLOOR(AN325/U325,1)))</f>
        <v/>
      </c>
      <c r="AP325" s="49">
        <f>IF(AO325="","",AO325*W325)</f>
        <v/>
      </c>
      <c r="AQ325" s="47">
        <f>IF(OR(AJ325="",U325=0),"",MIN(IF(AW325="",9.9E+99,AW325),AN325/U325))</f>
        <v/>
      </c>
      <c r="AR325" s="49">
        <f>IF(AQ325="","",AQ325*W325)</f>
        <v/>
      </c>
      <c r="AS325" s="51" t="n"/>
      <c r="AT325" s="43" t="inlineStr">
        <is>
          <t>Grounded</t>
        </is>
      </c>
      <c r="AU325" s="52" t="n"/>
      <c r="AV325" s="52" t="n"/>
      <c r="AW325" s="53" t="n">
        <v>3</v>
      </c>
      <c r="AX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Y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Z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BA32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6">
      <c r="A326" s="38" t="inlineStr">
        <is>
          <t>Maldives (JIH)</t>
        </is>
      </c>
      <c r="B326" s="38" t="inlineStr">
        <is>
          <t>Maldives</t>
        </is>
      </c>
      <c r="C326" s="39" t="inlineStr">
        <is>
          <t>Kooddoo Airport, Gaafu Alif → Pullman Maldives Maamutaa (Gaafu)</t>
        </is>
      </c>
      <c r="D326" s="38" t="inlineStr">
        <is>
          <t>jih-global</t>
        </is>
      </c>
      <c r="E326" s="40" t="inlineStr">
        <is>
          <t>maldives-jih</t>
        </is>
      </c>
      <c r="F326" s="41" t="n">
        <v>1</v>
      </c>
      <c r="G326" s="42" t="n">
        <v>7.7</v>
      </c>
      <c r="H326" s="35" t="n">
        <v>150</v>
      </c>
      <c r="I326" s="43" t="inlineStr">
        <is>
          <t>T3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>
        <v>9112</v>
      </c>
      <c r="AK326" s="43" t="inlineStr">
        <is>
          <t>T5</t>
        </is>
      </c>
      <c r="AL326" s="43" t="inlineStr">
        <is>
          <t>med</t>
        </is>
      </c>
      <c r="AM326" s="50" t="n">
        <v>0.9</v>
      </c>
      <c r="AN326" s="45">
        <f>IF(AJ326="","",AJ326*AM326)</f>
        <v/>
      </c>
      <c r="AO326" s="45">
        <f>IF(OR(AJ326="",U326=0),"",MIN(IF(AW326="",9.9E+99,AW326),FLOOR(AN326/U326,1)))</f>
        <v/>
      </c>
      <c r="AP326" s="49">
        <f>IF(AO326="","",AO326*W326)</f>
        <v/>
      </c>
      <c r="AQ326" s="47">
        <f>IF(OR(AJ326="",U326=0),"",MIN(IF(AW326="",9.9E+99,AW326),AN326/U326))</f>
        <v/>
      </c>
      <c r="AR326" s="49">
        <f>IF(AQ326="","",AQ326*W326)</f>
        <v/>
      </c>
      <c r="AS326" s="51" t="n"/>
      <c r="AT326" s="43" t="inlineStr">
        <is>
          <t>Grounded</t>
        </is>
      </c>
      <c r="AU326" s="52" t="n"/>
      <c r="AV326" s="52" t="n"/>
      <c r="AW326" s="53" t="n">
        <v>5</v>
      </c>
      <c r="AX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Y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Z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BA32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7">
      <c r="A327" s="38" t="inlineStr">
        <is>
          <t>Maldives (JIH)</t>
        </is>
      </c>
      <c r="B327" s="38" t="inlineStr">
        <is>
          <t>Maldives</t>
        </is>
      </c>
      <c r="C327" s="39" t="inlineStr">
        <is>
          <t>Kadhdhoo Airport, Laamu → Six Senses Laamu</t>
        </is>
      </c>
      <c r="D327" s="38" t="inlineStr">
        <is>
          <t>jih-global</t>
        </is>
      </c>
      <c r="E327" s="40" t="inlineStr">
        <is>
          <t>maldives-jih</t>
        </is>
      </c>
      <c r="F327" s="41" t="n">
        <v>1</v>
      </c>
      <c r="G327" s="42" t="n">
        <v>7.8</v>
      </c>
      <c r="H327" s="35" t="n">
        <v>150</v>
      </c>
      <c r="I327" s="43" t="inlineStr">
        <is>
          <t>T3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>
        <v>7244</v>
      </c>
      <c r="AK327" s="43" t="inlineStr">
        <is>
          <t>T5</t>
        </is>
      </c>
      <c r="AL327" s="43" t="inlineStr">
        <is>
          <t>med</t>
        </is>
      </c>
      <c r="AM327" s="50" t="n">
        <v>0.9</v>
      </c>
      <c r="AN327" s="45">
        <f>IF(AJ327="","",AJ327*AM327)</f>
        <v/>
      </c>
      <c r="AO327" s="45">
        <f>IF(OR(AJ327="",U327=0),"",MIN(IF(AW327="",9.9E+99,AW327),FLOOR(AN327/U327,1)))</f>
        <v/>
      </c>
      <c r="AP327" s="49">
        <f>IF(AO327="","",AO327*W327)</f>
        <v/>
      </c>
      <c r="AQ327" s="47">
        <f>IF(OR(AJ327="",U327=0),"",MIN(IF(AW327="",9.9E+99,AW327),AN327/U327))</f>
        <v/>
      </c>
      <c r="AR327" s="49">
        <f>IF(AQ327="","",AQ327*W327)</f>
        <v/>
      </c>
      <c r="AS327" s="51" t="n"/>
      <c r="AT327" s="43" t="inlineStr">
        <is>
          <t>Grounded</t>
        </is>
      </c>
      <c r="AU327" s="52" t="n"/>
      <c r="AV327" s="52" t="n"/>
      <c r="AW327" s="53" t="n">
        <v>4</v>
      </c>
      <c r="AX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Y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Z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BA32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8">
      <c r="A328" s="38" t="inlineStr">
        <is>
          <t>Maldives (JIH)</t>
        </is>
      </c>
      <c r="B328" s="38" t="inlineStr">
        <is>
          <t>Maldives</t>
        </is>
      </c>
      <c r="C328" s="39" t="inlineStr">
        <is>
          <t>Velana International Airport (MLE) Resort Speedboat Lounges → Baros Maldives (North Malé)</t>
        </is>
      </c>
      <c r="D328" s="38" t="inlineStr">
        <is>
          <t>jih-global</t>
        </is>
      </c>
      <c r="E328" s="40" t="inlineStr">
        <is>
          <t>maldives-jih</t>
        </is>
      </c>
      <c r="F328" s="41" t="n">
        <v>1</v>
      </c>
      <c r="G328" s="42" t="n">
        <v>8.300000000000001</v>
      </c>
      <c r="H328" s="35" t="n">
        <v>120</v>
      </c>
      <c r="I328" s="43" t="inlineStr">
        <is>
          <t>T3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MIN(15,FLOOR(60*service_hr/M328,1))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>
        <v>11700</v>
      </c>
      <c r="AK328" s="43" t="inlineStr">
        <is>
          <t>T5</t>
        </is>
      </c>
      <c r="AL328" s="43" t="inlineStr">
        <is>
          <t>low-med</t>
        </is>
      </c>
      <c r="AM328" s="50" t="n">
        <v>0.9</v>
      </c>
      <c r="AN328" s="45">
        <f>IF(AJ328="","",AJ328*AM328)</f>
        <v/>
      </c>
      <c r="AO328" s="45">
        <f>IF(OR(AJ328="",U328=0),"",MIN(IF(AW328="",9.9E+99,AW328),FLOOR(AN328/U328,1)))</f>
        <v/>
      </c>
      <c r="AP328" s="49">
        <f>IF(AO328="","",AO328*W328)</f>
        <v/>
      </c>
      <c r="AQ328" s="47">
        <f>IF(OR(AJ328="",U328=0),"",MIN(IF(AW328="",9.9E+99,AW328),AN328/U328))</f>
        <v/>
      </c>
      <c r="AR328" s="49">
        <f>IF(AQ328="","",AQ328*W328)</f>
        <v/>
      </c>
      <c r="AS328" s="51" t="n"/>
      <c r="AT328" s="43" t="inlineStr">
        <is>
          <t>Grounded</t>
        </is>
      </c>
      <c r="AU328" s="52" t="n"/>
      <c r="AV328" s="52" t="n"/>
      <c r="AW328" s="53" t="n">
        <v>3</v>
      </c>
      <c r="AX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Y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Z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BA328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B328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329">
      <c r="A329" s="38" t="inlineStr">
        <is>
          <t>Maldives (JIH)</t>
        </is>
      </c>
      <c r="B329" s="38" t="inlineStr">
        <is>
          <t>Maldives</t>
        </is>
      </c>
      <c r="C329" s="39" t="inlineStr">
        <is>
          <t>Dharavandhoo Airport, Baa → Milaidhoo (Baa)</t>
        </is>
      </c>
      <c r="D329" s="38" t="inlineStr">
        <is>
          <t>jih-global</t>
        </is>
      </c>
      <c r="E329" s="40" t="inlineStr">
        <is>
          <t>maldives-jih</t>
        </is>
      </c>
      <c r="F329" s="41" t="n">
        <v>1</v>
      </c>
      <c r="G329" s="42" t="n">
        <v>8.4</v>
      </c>
      <c r="H329" s="35" t="n">
        <v>175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>
        <v>3734</v>
      </c>
      <c r="AK329" s="43" t="inlineStr">
        <is>
          <t>T5</t>
        </is>
      </c>
      <c r="AL329" s="43" t="inlineStr">
        <is>
          <t>med</t>
        </is>
      </c>
      <c r="AM329" s="50" t="n">
        <v>0.9</v>
      </c>
      <c r="AN329" s="45">
        <f>IF(AJ329="","",AJ329*AM329)</f>
        <v/>
      </c>
      <c r="AO329" s="45">
        <f>IF(OR(AJ329="",U329=0),"",MIN(IF(AW329="",9.9E+99,AW329),FLOOR(AN329/U329,1)))</f>
        <v/>
      </c>
      <c r="AP329" s="49">
        <f>IF(AO329="","",AO329*W329)</f>
        <v/>
      </c>
      <c r="AQ329" s="47">
        <f>IF(OR(AJ329="",U329=0),"",MIN(IF(AW329="",9.9E+99,AW329),AN329/U329))</f>
        <v/>
      </c>
      <c r="AR329" s="49">
        <f>IF(AQ329="","",AQ329*W329)</f>
        <v/>
      </c>
      <c r="AS329" s="51" t="n"/>
      <c r="AT329" s="43" t="inlineStr">
        <is>
          <t>Grounded</t>
        </is>
      </c>
      <c r="AU329" s="52" t="n"/>
      <c r="AV329" s="52" t="n"/>
      <c r="AW329" s="53" t="n">
        <v>2</v>
      </c>
      <c r="AX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Y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Z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BA32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0">
      <c r="A330" s="38" t="inlineStr">
        <is>
          <t>Maldives (JIH)</t>
        </is>
      </c>
      <c r="B330" s="38" t="inlineStr">
        <is>
          <t>Maldives</t>
        </is>
      </c>
      <c r="C330" s="39" t="inlineStr">
        <is>
          <t>Ifuru Airport, Raa → Joali Maldives (Muravandhoo, Raa)</t>
        </is>
      </c>
      <c r="D330" s="38" t="inlineStr">
        <is>
          <t>jih-global</t>
        </is>
      </c>
      <c r="E330" s="40" t="inlineStr">
        <is>
          <t>maldives-jih</t>
        </is>
      </c>
      <c r="F330" s="41" t="n">
        <v>1</v>
      </c>
      <c r="G330" s="42" t="n">
        <v>8.699999999999999</v>
      </c>
      <c r="H330" s="35" t="n">
        <v>200</v>
      </c>
      <c r="I330" s="43" t="inlineStr">
        <is>
          <t>T3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MIN(15,FLOOR(60*service_hr/M330,1))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5452</v>
      </c>
      <c r="AK330" s="43" t="inlineStr">
        <is>
          <t>T5</t>
        </is>
      </c>
      <c r="AL330" s="43" t="inlineStr">
        <is>
          <t>med</t>
        </is>
      </c>
      <c r="AM330" s="50" t="n">
        <v>0.9</v>
      </c>
      <c r="AN330" s="45">
        <f>IF(AJ330="","",AJ330*AM330)</f>
        <v/>
      </c>
      <c r="AO330" s="45">
        <f>IF(OR(AJ330="",U330=0),"",MIN(IF(AW330="",9.9E+99,AW330),FLOOR(AN330/U330,1)))</f>
        <v/>
      </c>
      <c r="AP330" s="49">
        <f>IF(AO330="","",AO330*W330)</f>
        <v/>
      </c>
      <c r="AQ330" s="47">
        <f>IF(OR(AJ330="",U330=0),"",MIN(IF(AW330="",9.9E+99,AW330),AN330/U330))</f>
        <v/>
      </c>
      <c r="AR330" s="49">
        <f>IF(AQ330="","",AQ330*W330)</f>
        <v/>
      </c>
      <c r="AS330" s="51" t="n"/>
      <c r="AT330" s="43" t="inlineStr">
        <is>
          <t>Grounded</t>
        </is>
      </c>
      <c r="AU330" s="52" t="n"/>
      <c r="AV330" s="52" t="n"/>
      <c r="AW330" s="53" t="n">
        <v>3</v>
      </c>
      <c r="AX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Y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Z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BA33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1">
      <c r="A331" s="38" t="inlineStr">
        <is>
          <t>Maldives (JIH)</t>
        </is>
      </c>
      <c r="B331" s="38" t="inlineStr">
        <is>
          <t>Maldives</t>
        </is>
      </c>
      <c r="C331" s="39" t="inlineStr">
        <is>
          <t>Dharavandhoo Airport, Baa → Four Seasons Landaa Giraavaru (Baa)</t>
        </is>
      </c>
      <c r="D331" s="38" t="inlineStr">
        <is>
          <t>jih-global</t>
        </is>
      </c>
      <c r="E331" s="40" t="inlineStr">
        <is>
          <t>maldives-jih</t>
        </is>
      </c>
      <c r="F331" s="41" t="n">
        <v>1</v>
      </c>
      <c r="G331" s="42" t="n">
        <v>9.5</v>
      </c>
      <c r="H331" s="35" t="n">
        <v>200</v>
      </c>
      <c r="I331" s="43" t="inlineStr">
        <is>
          <t>T3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MIN(15,FLOOR(60*service_hr/M331,1))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>
        <v>7693</v>
      </c>
      <c r="AK331" s="43" t="inlineStr">
        <is>
          <t>T5</t>
        </is>
      </c>
      <c r="AL331" s="43" t="inlineStr">
        <is>
          <t>med</t>
        </is>
      </c>
      <c r="AM331" s="50" t="n">
        <v>0.9</v>
      </c>
      <c r="AN331" s="45">
        <f>IF(AJ331="","",AJ331*AM331)</f>
        <v/>
      </c>
      <c r="AO331" s="45">
        <f>IF(OR(AJ331="",U331=0),"",MIN(IF(AW331="",9.9E+99,AW331),FLOOR(AN331/U331,1)))</f>
        <v/>
      </c>
      <c r="AP331" s="49">
        <f>IF(AO331="","",AO331*W331)</f>
        <v/>
      </c>
      <c r="AQ331" s="47">
        <f>IF(OR(AJ331="",U331=0),"",MIN(IF(AW331="",9.9E+99,AW331),AN331/U331))</f>
        <v/>
      </c>
      <c r="AR331" s="49">
        <f>IF(AQ331="","",AQ331*W331)</f>
        <v/>
      </c>
      <c r="AS331" s="51" t="n"/>
      <c r="AT331" s="43" t="inlineStr">
        <is>
          <t>Grounded</t>
        </is>
      </c>
      <c r="AU331" s="52" t="n"/>
      <c r="AV331" s="52" t="n"/>
      <c r="AW331" s="53" t="n">
        <v>5</v>
      </c>
      <c r="AX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Y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Z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BA33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Maafaru Airport, Noonu → Siyam World (Dhigurah, Noonu)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10</v>
      </c>
      <c r="H332" s="35" t="n">
        <v>150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MIN(15,FLOOR(60*service_hr/M332,1))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>
        <v>39882</v>
      </c>
      <c r="AK332" s="43" t="inlineStr">
        <is>
          <t>T5</t>
        </is>
      </c>
      <c r="AL332" s="43" t="inlineStr">
        <is>
          <t>med</t>
        </is>
      </c>
      <c r="AM332" s="50" t="n">
        <v>0.9</v>
      </c>
      <c r="AN332" s="45">
        <f>IF(AJ332="","",AJ332*AM332)</f>
        <v/>
      </c>
      <c r="AO332" s="45">
        <f>IF(OR(AJ332="",U332=0),"",MIN(IF(AW332="",9.9E+99,AW332),FLOOR(AN332/U332,1)))</f>
        <v/>
      </c>
      <c r="AP332" s="49">
        <f>IF(AO332="","",AO332*W332)</f>
        <v/>
      </c>
      <c r="AQ332" s="47">
        <f>IF(OR(AJ332="",U332=0),"",MIN(IF(AW332="",9.9E+99,AW332),AN332/U332))</f>
        <v/>
      </c>
      <c r="AR332" s="49">
        <f>IF(AQ332="","",AQ332*W332)</f>
        <v/>
      </c>
      <c r="AS332" s="51" t="n"/>
      <c r="AT332" s="43" t="inlineStr">
        <is>
          <t>Grounded</t>
        </is>
      </c>
      <c r="AU332" s="52" t="n"/>
      <c r="AV332" s="52" t="n"/>
      <c r="AW332" s="53" t="n">
        <v>20</v>
      </c>
      <c r="AX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Y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Z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BA33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Soneva Fushi (Kunfunadhoo, Baa) → Four Seasons Landaa Giraavaru (Baa)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11.7</v>
      </c>
      <c r="H333" s="35" t="n">
        <v>175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MIN(15,FLOOR(60*service_hr/M333,1))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inlineStr">
        <is>
          <t>null</t>
        </is>
      </c>
      <c r="AM333" s="50" t="n">
        <v>0.9</v>
      </c>
      <c r="AN333" s="45">
        <f>IF(AJ333="","",AJ333*AM333)</f>
        <v/>
      </c>
      <c r="AO333" s="45">
        <f>IF(OR(AJ333="",U333=0),"",MIN(IF(AW333="",9.9E+99,AW333),FLOOR(AN333/U333,1)))</f>
        <v/>
      </c>
      <c r="AP333" s="49">
        <f>IF(AO333="","",AO333*W333)</f>
        <v/>
      </c>
      <c r="AQ333" s="47">
        <f>IF(OR(AJ333="",U333=0),"",MIN(IF(AW333="",9.9E+99,AW333),AN333/U333))</f>
        <v/>
      </c>
      <c r="AR333" s="49">
        <f>IF(AQ333="","",AQ333*W333)</f>
        <v/>
      </c>
      <c r="AS333" s="51" t="n"/>
      <c r="AT333" s="43" t="inlineStr">
        <is>
          <t>Estimated</t>
        </is>
      </c>
      <c r="AU333" s="52" t="n"/>
      <c r="AV333" s="52" t="n"/>
      <c r="AW333" s="53" t="n"/>
      <c r="AX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Y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Z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BA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3" s="40" t="inlineStr">
        <is>
          <t>NULL — pure inter-resort island-hop; no grounded crossing pool (R2). Geometry only.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Dharavandhoo Airport, Baa → Anantara Kihavah (Baa)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11.8</v>
      </c>
      <c r="H334" s="35" t="n">
        <v>200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MIN(15,FLOOR(60*service_hr/M334,1))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5975</v>
      </c>
      <c r="AK334" s="43" t="inlineStr">
        <is>
          <t>T5</t>
        </is>
      </c>
      <c r="AL334" s="43" t="inlineStr">
        <is>
          <t>med</t>
        </is>
      </c>
      <c r="AM334" s="50" t="n">
        <v>0.9</v>
      </c>
      <c r="AN334" s="45">
        <f>IF(AJ334="","",AJ334*AM334)</f>
        <v/>
      </c>
      <c r="AO334" s="45">
        <f>IF(OR(AJ334="",U334=0),"",MIN(IF(AW334="",9.9E+99,AW334),FLOOR(AN334/U334,1)))</f>
        <v/>
      </c>
      <c r="AP334" s="49">
        <f>IF(AO334="","",AO334*W334)</f>
        <v/>
      </c>
      <c r="AQ334" s="47">
        <f>IF(OR(AJ334="",U334=0),"",MIN(IF(AW334="",9.9E+99,AW334),AN334/U334))</f>
        <v/>
      </c>
      <c r="AR334" s="49">
        <f>IF(AQ334="","",AQ334*W334)</f>
        <v/>
      </c>
      <c r="AS334" s="51" t="n"/>
      <c r="AT334" s="43" t="inlineStr">
        <is>
          <t>Grounded</t>
        </is>
      </c>
      <c r="AU334" s="52" t="n"/>
      <c r="AV334" s="52" t="n"/>
      <c r="AW334" s="53" t="n">
        <v>4</v>
      </c>
      <c r="AX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Y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Z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BA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Maamigili (Villa) Airport, South Ari → Lily Beach Resort (Huvahendhoo)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12.5</v>
      </c>
      <c r="H335" s="35" t="n">
        <v>150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MIN(15,FLOOR(60*service_hr/M335,1))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>
        <v>9336</v>
      </c>
      <c r="AK335" s="43" t="inlineStr">
        <is>
          <t>T5</t>
        </is>
      </c>
      <c r="AL335" s="43" t="inlineStr">
        <is>
          <t>med</t>
        </is>
      </c>
      <c r="AM335" s="50" t="n">
        <v>0.9</v>
      </c>
      <c r="AN335" s="45">
        <f>IF(AJ335="","",AJ335*AM335)</f>
        <v/>
      </c>
      <c r="AO335" s="45">
        <f>IF(OR(AJ335="",U335=0),"",MIN(IF(AW335="",9.9E+99,AW335),FLOOR(AN335/U335,1)))</f>
        <v/>
      </c>
      <c r="AP335" s="49">
        <f>IF(AO335="","",AO335*W335)</f>
        <v/>
      </c>
      <c r="AQ335" s="47">
        <f>IF(OR(AJ335="",U335=0),"",MIN(IF(AW335="",9.9E+99,AW335),AN335/U335))</f>
        <v/>
      </c>
      <c r="AR335" s="49">
        <f>IF(AQ335="","",AQ335*W335)</f>
        <v/>
      </c>
      <c r="AS335" s="51" t="n"/>
      <c r="AT335" s="43" t="inlineStr">
        <is>
          <t>Grounded</t>
        </is>
      </c>
      <c r="AU335" s="52" t="n"/>
      <c r="AV335" s="52" t="n"/>
      <c r="AW335" s="53" t="n">
        <v>5</v>
      </c>
      <c r="AX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Y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Z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BA33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Maamigili (Villa) Airport, South Ari → Mirihi Island Resort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12.9</v>
      </c>
      <c r="H336" s="35" t="n">
        <v>120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MIN(15,FLOOR(60*service_hr/M336,1))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>
        <v>2763</v>
      </c>
      <c r="AK336" s="43" t="inlineStr">
        <is>
          <t>T5</t>
        </is>
      </c>
      <c r="AL336" s="43" t="inlineStr">
        <is>
          <t>med</t>
        </is>
      </c>
      <c r="AM336" s="50" t="n">
        <v>0.9</v>
      </c>
      <c r="AN336" s="45">
        <f>IF(AJ336="","",AJ336*AM336)</f>
        <v/>
      </c>
      <c r="AO336" s="45">
        <f>IF(OR(AJ336="",U336=0),"",MIN(IF(AW336="",9.9E+99,AW336),FLOOR(AN336/U336,1)))</f>
        <v/>
      </c>
      <c r="AP336" s="49">
        <f>IF(AO336="","",AO336*W336)</f>
        <v/>
      </c>
      <c r="AQ336" s="47">
        <f>IF(OR(AJ336="",U336=0),"",MIN(IF(AW336="",9.9E+99,AW336),AN336/U336))</f>
        <v/>
      </c>
      <c r="AR336" s="49">
        <f>IF(AQ336="","",AQ336*W336)</f>
        <v/>
      </c>
      <c r="AS336" s="51" t="n"/>
      <c r="AT336" s="43" t="inlineStr">
        <is>
          <t>Grounded</t>
        </is>
      </c>
      <c r="AU336" s="52" t="n"/>
      <c r="AV336" s="52" t="n"/>
      <c r="AW336" s="53" t="n">
        <v>2</v>
      </c>
      <c r="AX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Y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Z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BA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Maamigili (Villa) Airport, South Ari → Conrad Maldives Rangali Island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13.1</v>
      </c>
      <c r="H337" s="35" t="n">
        <v>150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MIN(15,FLOOR(60*service_hr/M337,1))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>
        <v>11203</v>
      </c>
      <c r="AK337" s="43" t="inlineStr">
        <is>
          <t>T5</t>
        </is>
      </c>
      <c r="AL337" s="43" t="inlineStr">
        <is>
          <t>med</t>
        </is>
      </c>
      <c r="AM337" s="50" t="n">
        <v>0.9</v>
      </c>
      <c r="AN337" s="45">
        <f>IF(AJ337="","",AJ337*AM337)</f>
        <v/>
      </c>
      <c r="AO337" s="45">
        <f>IF(OR(AJ337="",U337=0),"",MIN(IF(AW337="",9.9E+99,AW337),FLOOR(AN337/U337,1)))</f>
        <v/>
      </c>
      <c r="AP337" s="49">
        <f>IF(AO337="","",AO337*W337)</f>
        <v/>
      </c>
      <c r="AQ337" s="47">
        <f>IF(OR(AJ337="",U337=0),"",MIN(IF(AW337="",9.9E+99,AW337),AN337/U337))</f>
        <v/>
      </c>
      <c r="AR337" s="49">
        <f>IF(AQ337="","",AQ337*W337)</f>
        <v/>
      </c>
      <c r="AS337" s="51" t="n"/>
      <c r="AT337" s="43" t="inlineStr">
        <is>
          <t>Grounded</t>
        </is>
      </c>
      <c r="AU337" s="52" t="n"/>
      <c r="AV337" s="52" t="n"/>
      <c r="AW337" s="53" t="n">
        <v>6</v>
      </c>
      <c r="AX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Y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Z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BA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Maafaru Airport, Noonu → Cheval Blanc Randheli (Noonu)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13.1</v>
      </c>
      <c r="H338" s="35" t="n">
        <v>200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MIN(15,FLOOR(60*service_hr/M338,1))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>
        <v>3361</v>
      </c>
      <c r="AK338" s="43" t="inlineStr">
        <is>
          <t>T5</t>
        </is>
      </c>
      <c r="AL338" s="43" t="inlineStr">
        <is>
          <t>med</t>
        </is>
      </c>
      <c r="AM338" s="50" t="n">
        <v>0.9</v>
      </c>
      <c r="AN338" s="45">
        <f>IF(AJ338="","",AJ338*AM338)</f>
        <v/>
      </c>
      <c r="AO338" s="45">
        <f>IF(OR(AJ338="",U338=0),"",MIN(IF(AW338="",9.9E+99,AW338),FLOOR(AN338/U338,1)))</f>
        <v/>
      </c>
      <c r="AP338" s="49">
        <f>IF(AO338="","",AO338*W338)</f>
        <v/>
      </c>
      <c r="AQ338" s="47">
        <f>IF(OR(AJ338="",U338=0),"",MIN(IF(AW338="",9.9E+99,AW338),AN338/U338))</f>
        <v/>
      </c>
      <c r="AR338" s="49">
        <f>IF(AQ338="","",AQ338*W338)</f>
        <v/>
      </c>
      <c r="AS338" s="51" t="n"/>
      <c r="AT338" s="43" t="inlineStr">
        <is>
          <t>Grounded</t>
        </is>
      </c>
      <c r="AU338" s="52" t="n"/>
      <c r="AV338" s="52" t="n"/>
      <c r="AW338" s="53" t="n">
        <v>2</v>
      </c>
      <c r="AX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Y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Z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BA33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Ifuru Airport, Raa → Joali Being (Bodufushi, Raa)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13.2</v>
      </c>
      <c r="H339" s="35" t="n">
        <v>200</v>
      </c>
      <c r="I339" s="43" t="inlineStr">
        <is>
          <t>T3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MIN(15,FLOOR(60*service_hr/M339,1))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5079</v>
      </c>
      <c r="AK339" s="43" t="inlineStr">
        <is>
          <t>T5</t>
        </is>
      </c>
      <c r="AL339" s="43" t="inlineStr">
        <is>
          <t>med</t>
        </is>
      </c>
      <c r="AM339" s="50" t="n">
        <v>0.9</v>
      </c>
      <c r="AN339" s="45">
        <f>IF(AJ339="","",AJ339*AM339)</f>
        <v/>
      </c>
      <c r="AO339" s="45">
        <f>IF(OR(AJ339="",U339=0),"",MIN(IF(AW339="",9.9E+99,AW339),FLOOR(AN339/U339,1)))</f>
        <v/>
      </c>
      <c r="AP339" s="49">
        <f>IF(AO339="","",AO339*W339)</f>
        <v/>
      </c>
      <c r="AQ339" s="47">
        <f>IF(OR(AJ339="",U339=0),"",MIN(IF(AW339="",9.9E+99,AW339),AN339/U339))</f>
        <v/>
      </c>
      <c r="AR339" s="49">
        <f>IF(AQ339="","",AQ339*W339)</f>
        <v/>
      </c>
      <c r="AS339" s="51" t="n"/>
      <c r="AT339" s="43" t="inlineStr">
        <is>
          <t>Grounded</t>
        </is>
      </c>
      <c r="AU339" s="52" t="n"/>
      <c r="AV339" s="52" t="n"/>
      <c r="AW339" s="53" t="n">
        <v>3</v>
      </c>
      <c r="AX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Y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Z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BA33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Soneva Fushi (Kunfunadhoo, Baa) → Anantara Kihavah (Baa)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13.3</v>
      </c>
      <c r="H340" s="35" t="n">
        <v>175</v>
      </c>
      <c r="I340" s="43" t="inlineStr">
        <is>
          <t>T3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MIN(15,FLOOR(60*service_hr/M340,1))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n"/>
      <c r="AL340" s="43" t="inlineStr">
        <is>
          <t>null</t>
        </is>
      </c>
      <c r="AM340" s="50" t="n">
        <v>0.9</v>
      </c>
      <c r="AN340" s="45">
        <f>IF(AJ340="","",AJ340*AM340)</f>
        <v/>
      </c>
      <c r="AO340" s="45">
        <f>IF(OR(AJ340="",U340=0),"",MIN(IF(AW340="",9.9E+99,AW340),FLOOR(AN340/U340,1)))</f>
        <v/>
      </c>
      <c r="AP340" s="49">
        <f>IF(AO340="","",AO340*W340)</f>
        <v/>
      </c>
      <c r="AQ340" s="47">
        <f>IF(OR(AJ340="",U340=0),"",MIN(IF(AW340="",9.9E+99,AW340),AN340/U340))</f>
        <v/>
      </c>
      <c r="AR340" s="49">
        <f>IF(AQ340="","",AQ340*W340)</f>
        <v/>
      </c>
      <c r="AS340" s="51" t="n"/>
      <c r="AT340" s="43" t="inlineStr">
        <is>
          <t>Estimated</t>
        </is>
      </c>
      <c r="AU340" s="52" t="n"/>
      <c r="AV340" s="52" t="n"/>
      <c r="AW340" s="53" t="n"/>
      <c r="AX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Y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Z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BA34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0" s="40" t="inlineStr">
        <is>
          <t>NULL — pure inter-resort island-hop; no grounded crossing pool (R2). Geometry only.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Dharavandhoo Airport, Baa → Vakkaru Maldives (Baa)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13.6</v>
      </c>
      <c r="H341" s="35" t="n">
        <v>175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MIN(15,FLOOR(60*service_hr/M341,1))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9336</v>
      </c>
      <c r="AK341" s="43" t="inlineStr">
        <is>
          <t>T5</t>
        </is>
      </c>
      <c r="AL341" s="43" t="inlineStr">
        <is>
          <t>med</t>
        </is>
      </c>
      <c r="AM341" s="50" t="n">
        <v>0.9</v>
      </c>
      <c r="AN341" s="45">
        <f>IF(AJ341="","",AJ341*AM341)</f>
        <v/>
      </c>
      <c r="AO341" s="45">
        <f>IF(OR(AJ341="",U341=0),"",MIN(IF(AW341="",9.9E+99,AW341),FLOOR(AN341/U341,1)))</f>
        <v/>
      </c>
      <c r="AP341" s="49">
        <f>IF(AO341="","",AO341*W341)</f>
        <v/>
      </c>
      <c r="AQ341" s="47">
        <f>IF(OR(AJ341="",U341=0),"",MIN(IF(AW341="",9.9E+99,AW341),AN341/U341))</f>
        <v/>
      </c>
      <c r="AR341" s="49">
        <f>IF(AQ341="","",AQ341*W341)</f>
        <v/>
      </c>
      <c r="AS341" s="51" t="n"/>
      <c r="AT341" s="43" t="inlineStr">
        <is>
          <t>Grounded</t>
        </is>
      </c>
      <c r="AU341" s="52" t="n"/>
      <c r="AV341" s="52" t="n"/>
      <c r="AW341" s="53" t="n">
        <v>5</v>
      </c>
      <c r="AX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Y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Z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BA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Dharavandhoo Airport, Baa → Finolhu (Baa)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13.9</v>
      </c>
      <c r="H342" s="35" t="n">
        <v>150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MIN(15,FLOOR(60*service_hr/M342,1))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>
        <v>9336</v>
      </c>
      <c r="AK342" s="43" t="inlineStr">
        <is>
          <t>T5</t>
        </is>
      </c>
      <c r="AL342" s="43" t="inlineStr">
        <is>
          <t>med</t>
        </is>
      </c>
      <c r="AM342" s="50" t="n">
        <v>0.9</v>
      </c>
      <c r="AN342" s="45">
        <f>IF(AJ342="","",AJ342*AM342)</f>
        <v/>
      </c>
      <c r="AO342" s="45">
        <f>IF(OR(AJ342="",U342=0),"",MIN(IF(AW342="",9.9E+99,AW342),FLOOR(AN342/U342,1)))</f>
        <v/>
      </c>
      <c r="AP342" s="49">
        <f>IF(AO342="","",AO342*W342)</f>
        <v/>
      </c>
      <c r="AQ342" s="47">
        <f>IF(OR(AJ342="",U342=0),"",MIN(IF(AW342="",9.9E+99,AW342),AN342/U342))</f>
        <v/>
      </c>
      <c r="AR342" s="49">
        <f>IF(AQ342="","",AQ342*W342)</f>
        <v/>
      </c>
      <c r="AS342" s="51" t="n"/>
      <c r="AT342" s="43" t="inlineStr">
        <is>
          <t>Grounded</t>
        </is>
      </c>
      <c r="AU342" s="52" t="n"/>
      <c r="AV342" s="52" t="n"/>
      <c r="AW342" s="53" t="n">
        <v>5</v>
      </c>
      <c r="AX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Y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Z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BA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Velana International Airport (MLE) Resort Speedboat Lounges → Waldorf Astoria Maldives Ithaafushi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14.6</v>
      </c>
      <c r="H343" s="35" t="n">
        <v>400</v>
      </c>
      <c r="I343" s="43" t="inlineStr">
        <is>
          <t>T1</t>
        </is>
      </c>
      <c r="J343" s="43" t="inlineStr">
        <is>
          <t>med-high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MIN(15,FLOOR(60*service_hr/M343,1))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>
        <v>18800</v>
      </c>
      <c r="AK343" s="43" t="inlineStr">
        <is>
          <t>T5</t>
        </is>
      </c>
      <c r="AL343" s="43" t="inlineStr">
        <is>
          <t>low-med</t>
        </is>
      </c>
      <c r="AM343" s="50" t="n">
        <v>0.9</v>
      </c>
      <c r="AN343" s="45">
        <f>IF(AJ343="","",AJ343*AM343)</f>
        <v/>
      </c>
      <c r="AO343" s="45">
        <f>IF(OR(AJ343="",U343=0),"",MIN(IF(AW343="",9.9E+99,AW343),FLOOR(AN343/U343,1)))</f>
        <v/>
      </c>
      <c r="AP343" s="49">
        <f>IF(AO343="","",AO343*W343)</f>
        <v/>
      </c>
      <c r="AQ343" s="47">
        <f>IF(OR(AJ343="",U343=0),"",MIN(IF(AW343="",9.9E+99,AW343),AN343/U343))</f>
        <v/>
      </c>
      <c r="AR343" s="49">
        <f>IF(AQ343="","",AQ343*W343)</f>
        <v/>
      </c>
      <c r="AS343" s="51" t="n"/>
      <c r="AT343" s="43" t="inlineStr">
        <is>
          <t>Grounded</t>
        </is>
      </c>
      <c r="AU343" s="52" t="n"/>
      <c r="AV343" s="52" t="n"/>
      <c r="AW343" s="53" t="n">
        <v>5</v>
      </c>
      <c r="AX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Y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Z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BA343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B343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Velana International Airport (MLE) Resort Speedboat Lounges → COMO Cocoa Island (Makunufushi, South Malé)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15.9</v>
      </c>
      <c r="H344" s="35" t="n">
        <v>130</v>
      </c>
      <c r="I344" s="43" t="inlineStr">
        <is>
          <t>T1</t>
        </is>
      </c>
      <c r="J344" s="43" t="inlineStr">
        <is>
          <t>med-high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>
        <v>5200</v>
      </c>
      <c r="AK344" s="43" t="inlineStr">
        <is>
          <t>T5</t>
        </is>
      </c>
      <c r="AL344" s="43" t="inlineStr">
        <is>
          <t>low-med</t>
        </is>
      </c>
      <c r="AM344" s="50" t="n">
        <v>0.9</v>
      </c>
      <c r="AN344" s="45">
        <f>IF(AJ344="","",AJ344*AM344)</f>
        <v/>
      </c>
      <c r="AO344" s="45">
        <f>IF(OR(AJ344="",U344=0),"",MIN(IF(AW344="",9.9E+99,AW344),FLOOR(AN344/U344,1)))</f>
        <v/>
      </c>
      <c r="AP344" s="49">
        <f>IF(AO344="","",AO344*W344)</f>
        <v/>
      </c>
      <c r="AQ344" s="47">
        <f>IF(OR(AJ344="",U344=0),"",MIN(IF(AW344="",9.9E+99,AW344),AN344/U344))</f>
        <v/>
      </c>
      <c r="AR344" s="49">
        <f>IF(AQ344="","",AQ344*W344)</f>
        <v/>
      </c>
      <c r="AS344" s="51" t="n"/>
      <c r="AT344" s="43" t="inlineStr">
        <is>
          <t>Grounded</t>
        </is>
      </c>
      <c r="AU344" s="52" t="n"/>
      <c r="AV344" s="52" t="n"/>
      <c r="AW344" s="53" t="n">
        <v>2</v>
      </c>
      <c r="AX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Y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Z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BA344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B344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Ifuru Airport, Raa → Emerald Maldives (Fasmendhoo, Raa)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16.8</v>
      </c>
      <c r="H345" s="35" t="n">
        <v>150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MIN(15,FLOOR(60*service_hr/M345,1))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8962</v>
      </c>
      <c r="AK345" s="43" t="inlineStr">
        <is>
          <t>T5</t>
        </is>
      </c>
      <c r="AL345" s="43" t="inlineStr">
        <is>
          <t>med</t>
        </is>
      </c>
      <c r="AM345" s="50" t="n">
        <v>0.9</v>
      </c>
      <c r="AN345" s="45">
        <f>IF(AJ345="","",AJ345*AM345)</f>
        <v/>
      </c>
      <c r="AO345" s="45">
        <f>IF(OR(AJ345="",U345=0),"",MIN(IF(AW345="",9.9E+99,AW345),FLOOR(AN345/U345,1)))</f>
        <v/>
      </c>
      <c r="AP345" s="49">
        <f>IF(AO345="","",AO345*W345)</f>
        <v/>
      </c>
      <c r="AQ345" s="47">
        <f>IF(OR(AJ345="",U345=0),"",MIN(IF(AW345="",9.9E+99,AW345),AN345/U345))</f>
        <v/>
      </c>
      <c r="AR345" s="49">
        <f>IF(AQ345="","",AQ345*W345)</f>
        <v/>
      </c>
      <c r="AS345" s="51" t="n"/>
      <c r="AT345" s="43" t="inlineStr">
        <is>
          <t>Grounded</t>
        </is>
      </c>
      <c r="AU345" s="52" t="n"/>
      <c r="AV345" s="52" t="n"/>
      <c r="AW345" s="53" t="n">
        <v>5</v>
      </c>
      <c r="AX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Y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Z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BA34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Kudahuvadhoo Airport, Dhaalu → St. Regis Vommuli (Dhaalu)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17</v>
      </c>
      <c r="H346" s="35" t="n">
        <v>175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MIN(15,FLOOR(60*service_hr/M346,1))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5751</v>
      </c>
      <c r="AK346" s="43" t="inlineStr">
        <is>
          <t>T5</t>
        </is>
      </c>
      <c r="AL346" s="43" t="inlineStr">
        <is>
          <t>med</t>
        </is>
      </c>
      <c r="AM346" s="50" t="n">
        <v>0.9</v>
      </c>
      <c r="AN346" s="45">
        <f>IF(AJ346="","",AJ346*AM346)</f>
        <v/>
      </c>
      <c r="AO346" s="45">
        <f>IF(OR(AJ346="",U346=0),"",MIN(IF(AW346="",9.9E+99,AW346),FLOOR(AN346/U346,1)))</f>
        <v/>
      </c>
      <c r="AP346" s="49">
        <f>IF(AO346="","",AO346*W346)</f>
        <v/>
      </c>
      <c r="AQ346" s="47">
        <f>IF(OR(AJ346="",U346=0),"",MIN(IF(AW346="",9.9E+99,AW346),AN346/U346))</f>
        <v/>
      </c>
      <c r="AR346" s="49">
        <f>IF(AQ346="","",AQ346*W346)</f>
        <v/>
      </c>
      <c r="AS346" s="51" t="n"/>
      <c r="AT346" s="43" t="inlineStr">
        <is>
          <t>Grounded</t>
        </is>
      </c>
      <c r="AU346" s="52" t="n"/>
      <c r="AV346" s="52" t="n"/>
      <c r="AW346" s="53" t="n">
        <v>4</v>
      </c>
      <c r="AX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Y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Z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BA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Maafaru Airport, Noonu → Velaa Private Island (Noonu)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17.1</v>
      </c>
      <c r="H347" s="35" t="n">
        <v>200</v>
      </c>
      <c r="I347" s="43" t="inlineStr">
        <is>
          <t>T3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MIN(15,FLOOR(60*service_hr/M347,1))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>
        <v>3510</v>
      </c>
      <c r="AK347" s="43" t="inlineStr">
        <is>
          <t>T5</t>
        </is>
      </c>
      <c r="AL347" s="43" t="inlineStr">
        <is>
          <t>med</t>
        </is>
      </c>
      <c r="AM347" s="50" t="n">
        <v>0.9</v>
      </c>
      <c r="AN347" s="45">
        <f>IF(AJ347="","",AJ347*AM347)</f>
        <v/>
      </c>
      <c r="AO347" s="45">
        <f>IF(OR(AJ347="",U347=0),"",MIN(IF(AW347="",9.9E+99,AW347),FLOOR(AN347/U347,1)))</f>
        <v/>
      </c>
      <c r="AP347" s="49">
        <f>IF(AO347="","",AO347*W347)</f>
        <v/>
      </c>
      <c r="AQ347" s="47">
        <f>IF(OR(AJ347="",U347=0),"",MIN(IF(AW347="",9.9E+99,AW347),AN347/U347))</f>
        <v/>
      </c>
      <c r="AR347" s="49">
        <f>IF(AQ347="","",AQ347*W347)</f>
        <v/>
      </c>
      <c r="AS347" s="51" t="n"/>
      <c r="AT347" s="43" t="inlineStr">
        <is>
          <t>Grounded</t>
        </is>
      </c>
      <c r="AU347" s="52" t="n"/>
      <c r="AV347" s="52" t="n"/>
      <c r="AW347" s="53" t="n">
        <v>2</v>
      </c>
      <c r="AX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Y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Z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BA34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Hurawalhi (Lhaviyani) → Le Meridien Maldives Thilamaafushi (Lhaviyani)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19.8</v>
      </c>
      <c r="H348" s="35" t="n">
        <v>150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MIN(15,FLOOR(60*service_hr/M348,1))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inlineStr">
        <is>
          <t>null</t>
        </is>
      </c>
      <c r="AM348" s="50" t="n">
        <v>0.9</v>
      </c>
      <c r="AN348" s="45">
        <f>IF(AJ348="","",AJ348*AM348)</f>
        <v/>
      </c>
      <c r="AO348" s="45">
        <f>IF(OR(AJ348="",U348=0),"",MIN(IF(AW348="",9.9E+99,AW348),FLOOR(AN348/U348,1)))</f>
        <v/>
      </c>
      <c r="AP348" s="49">
        <f>IF(AO348="","",AO348*W348)</f>
        <v/>
      </c>
      <c r="AQ348" s="47">
        <f>IF(OR(AJ348="",U348=0),"",MIN(IF(AW348="",9.9E+99,AW348),AN348/U348))</f>
        <v/>
      </c>
      <c r="AR348" s="49">
        <f>IF(AQ348="","",AQ348*W348)</f>
        <v/>
      </c>
      <c r="AS348" s="51" t="n"/>
      <c r="AT348" s="43" t="inlineStr">
        <is>
          <t>Estimated</t>
        </is>
      </c>
      <c r="AU348" s="52" t="n"/>
      <c r="AV348" s="52" t="n"/>
      <c r="AW348" s="53" t="n"/>
      <c r="AX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Y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Z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BA34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8" s="40" t="inlineStr">
        <is>
          <t>NULL — pure inter-resort island-hop; no grounded crossing pool (R2). Geometry only.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Velana International Airport (MLE) Resort Speedboat Lounges → One&amp;Only Reethi Rah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22</v>
      </c>
      <c r="H349" s="35" t="n">
        <v>500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20300</v>
      </c>
      <c r="AK349" s="43" t="inlineStr">
        <is>
          <t>T5</t>
        </is>
      </c>
      <c r="AL349" s="43" t="inlineStr">
        <is>
          <t>low-med</t>
        </is>
      </c>
      <c r="AM349" s="50" t="n">
        <v>0.9</v>
      </c>
      <c r="AN349" s="45">
        <f>IF(AJ349="","",AJ349*AM349)</f>
        <v/>
      </c>
      <c r="AO349" s="45">
        <f>IF(OR(AJ349="",U349=0),"",MIN(IF(AW349="",9.9E+99,AW349),FLOOR(AN349/U349,1)))</f>
        <v/>
      </c>
      <c r="AP349" s="49">
        <f>IF(AO349="","",AO349*W349)</f>
        <v/>
      </c>
      <c r="AQ349" s="47">
        <f>IF(OR(AJ349="",U349=0),"",MIN(IF(AW349="",9.9E+99,AW349),AN349/U349))</f>
        <v/>
      </c>
      <c r="AR349" s="49">
        <f>IF(AQ349="","",AQ349*W349)</f>
        <v/>
      </c>
      <c r="AS349" s="51" t="n"/>
      <c r="AT349" s="43" t="inlineStr">
        <is>
          <t>Grounded</t>
        </is>
      </c>
      <c r="AU349" s="52" t="n"/>
      <c r="AV349" s="52" t="n"/>
      <c r="AW349" s="53" t="n">
        <v>5</v>
      </c>
      <c r="AX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Y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Z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BA349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B349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Ifuru Airport, Raa → InterContinental Maamunagau (Raa)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23.1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6049</v>
      </c>
      <c r="AK350" s="43" t="inlineStr">
        <is>
          <t>T5</t>
        </is>
      </c>
      <c r="AL350" s="43" t="inlineStr">
        <is>
          <t>med</t>
        </is>
      </c>
      <c r="AM350" s="50" t="n">
        <v>0.9</v>
      </c>
      <c r="AN350" s="45">
        <f>IF(AJ350="","",AJ350*AM350)</f>
        <v/>
      </c>
      <c r="AO350" s="45">
        <f>IF(OR(AJ350="",U350=0),"",MIN(IF(AW350="",9.9E+99,AW350),FLOOR(AN350/U350,1)))</f>
        <v/>
      </c>
      <c r="AP350" s="49">
        <f>IF(AO350="","",AO350*W350)</f>
        <v/>
      </c>
      <c r="AQ350" s="47">
        <f>IF(OR(AJ350="",U350=0),"",MIN(IF(AW350="",9.9E+99,AW350),AN350/U350))</f>
        <v/>
      </c>
      <c r="AR350" s="49">
        <f>IF(AQ350="","",AQ350*W350)</f>
        <v/>
      </c>
      <c r="AS350" s="51" t="n"/>
      <c r="AT350" s="43" t="inlineStr">
        <is>
          <t>Grounded</t>
        </is>
      </c>
      <c r="AU350" s="52" t="n"/>
      <c r="AV350" s="52" t="n"/>
      <c r="AW350" s="53" t="n">
        <v>4</v>
      </c>
      <c r="AX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Y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Z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BA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Velana International Airport (MLE) Resort Speedboat Lounges → The Ritz-Carlton Maldives, Fari Islands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26.5</v>
      </c>
      <c r="H351" s="35" t="n">
        <v>510</v>
      </c>
      <c r="I351" s="43" t="inlineStr">
        <is>
          <t>T1</t>
        </is>
      </c>
      <c r="J351" s="43" t="inlineStr">
        <is>
          <t>med-high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15600</v>
      </c>
      <c r="AK351" s="43" t="inlineStr">
        <is>
          <t>T5</t>
        </is>
      </c>
      <c r="AL351" s="43" t="inlineStr">
        <is>
          <t>low-med</t>
        </is>
      </c>
      <c r="AM351" s="50" t="n">
        <v>0.9</v>
      </c>
      <c r="AN351" s="45">
        <f>IF(AJ351="","",AJ351*AM351)</f>
        <v/>
      </c>
      <c r="AO351" s="45">
        <f>IF(OR(AJ351="",U351=0),"",MIN(IF(AW351="",9.9E+99,AW351),FLOOR(AN351/U351,1)))</f>
        <v/>
      </c>
      <c r="AP351" s="49">
        <f>IF(AO351="","",AO351*W351)</f>
        <v/>
      </c>
      <c r="AQ351" s="47">
        <f>IF(OR(AJ351="",U351=0),"",MIN(IF(AW351="",9.9E+99,AW351),AN351/U351))</f>
        <v/>
      </c>
      <c r="AR351" s="49">
        <f>IF(AQ351="","",AQ351*W351)</f>
        <v/>
      </c>
      <c r="AS351" s="51" t="n"/>
      <c r="AT351" s="43" t="inlineStr">
        <is>
          <t>Grounded</t>
        </is>
      </c>
      <c r="AU351" s="52" t="n"/>
      <c r="AV351" s="52" t="n"/>
      <c r="AW351" s="53" t="n">
        <v>4</v>
      </c>
      <c r="AX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Y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Z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BA351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B351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Velana International Airport (MLE) Resort Speedboat Lounges → Patina Maldives, Fari Islands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27.4</v>
      </c>
      <c r="H352" s="35" t="n">
        <v>450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14100</v>
      </c>
      <c r="AK352" s="43" t="inlineStr">
        <is>
          <t>T5</t>
        </is>
      </c>
      <c r="AL352" s="43" t="inlineStr">
        <is>
          <t>low-med</t>
        </is>
      </c>
      <c r="AM352" s="50" t="n">
        <v>0.9</v>
      </c>
      <c r="AN352" s="45">
        <f>IF(AJ352="","",AJ352*AM352)</f>
        <v/>
      </c>
      <c r="AO352" s="45">
        <f>IF(OR(AJ352="",U352=0),"",MIN(IF(AW352="",9.9E+99,AW352),FLOOR(AN352/U352,1)))</f>
        <v/>
      </c>
      <c r="AP352" s="49">
        <f>IF(AO352="","",AO352*W352)</f>
        <v/>
      </c>
      <c r="AQ352" s="47">
        <f>IF(OR(AJ352="",U352=0),"",MIN(IF(AW352="",9.9E+99,AW352),AN352/U352))</f>
        <v/>
      </c>
      <c r="AR352" s="49">
        <f>IF(AQ352="","",AQ352*W352)</f>
        <v/>
      </c>
      <c r="AS352" s="51" t="n"/>
      <c r="AT352" s="43" t="inlineStr">
        <is>
          <t>Grounded</t>
        </is>
      </c>
      <c r="AU352" s="52" t="n"/>
      <c r="AV352" s="52" t="n"/>
      <c r="AW352" s="53" t="n">
        <v>4</v>
      </c>
      <c r="AX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Y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Z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BA352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B352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Maamigili (Villa) Airport, South Ari → Constance Moofushi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29</v>
      </c>
      <c r="H353" s="35" t="n">
        <v>150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8215</v>
      </c>
      <c r="AK353" s="43" t="inlineStr">
        <is>
          <t>T5</t>
        </is>
      </c>
      <c r="AL353" s="43" t="inlineStr">
        <is>
          <t>med</t>
        </is>
      </c>
      <c r="AM353" s="50" t="n">
        <v>0.9</v>
      </c>
      <c r="AN353" s="45">
        <f>IF(AJ353="","",AJ353*AM353)</f>
        <v/>
      </c>
      <c r="AO353" s="45">
        <f>IF(OR(AJ353="",U353=0),"",MIN(IF(AW353="",9.9E+99,AW353),FLOOR(AN353/U353,1)))</f>
        <v/>
      </c>
      <c r="AP353" s="49">
        <f>IF(AO353="","",AO353*W353)</f>
        <v/>
      </c>
      <c r="AQ353" s="47">
        <f>IF(OR(AJ353="",U353=0),"",MIN(IF(AW353="",9.9E+99,AW353),AN353/U353))</f>
        <v/>
      </c>
      <c r="AR353" s="49">
        <f>IF(AQ353="","",AQ353*W353)</f>
        <v/>
      </c>
      <c r="AS353" s="51" t="n"/>
      <c r="AT353" s="43" t="inlineStr">
        <is>
          <t>Grounded</t>
        </is>
      </c>
      <c r="AU353" s="52" t="n"/>
      <c r="AV353" s="52" t="n"/>
      <c r="AW353" s="53" t="n">
        <v>5</v>
      </c>
      <c r="AX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Y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Z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BA35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Kooddoo Airport, Gaafu Alif → Ayada Maldives (Gaafu)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29.6</v>
      </c>
      <c r="H354" s="35" t="n">
        <v>150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>
        <v>8365</v>
      </c>
      <c r="AK354" s="43" t="inlineStr">
        <is>
          <t>T5</t>
        </is>
      </c>
      <c r="AL354" s="43" t="inlineStr">
        <is>
          <t>med</t>
        </is>
      </c>
      <c r="AM354" s="50" t="n">
        <v>0.9</v>
      </c>
      <c r="AN354" s="45">
        <f>IF(AJ354="","",AJ354*AM354)</f>
        <v/>
      </c>
      <c r="AO354" s="45">
        <f>IF(OR(AJ354="",U354=0),"",MIN(IF(AW354="",9.9E+99,AW354),FLOOR(AN354/U354,1)))</f>
        <v/>
      </c>
      <c r="AP354" s="49">
        <f>IF(AO354="","",AO354*W354)</f>
        <v/>
      </c>
      <c r="AQ354" s="47">
        <f>IF(OR(AJ354="",U354=0),"",MIN(IF(AW354="",9.9E+99,AW354),AN354/U354))</f>
        <v/>
      </c>
      <c r="AR354" s="49">
        <f>IF(AQ354="","",AQ354*W354)</f>
        <v/>
      </c>
      <c r="AS354" s="51" t="n"/>
      <c r="AT354" s="43" t="inlineStr">
        <is>
          <t>Grounded</t>
        </is>
      </c>
      <c r="AU354" s="52" t="n"/>
      <c r="AV354" s="52" t="n"/>
      <c r="AW354" s="53" t="n">
        <v>5</v>
      </c>
      <c r="AX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Y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Z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BA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Velana International Airport (MLE) Resort Speedboat Lounges → Constance Halaveli (North Ari)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37.7</v>
      </c>
      <c r="H355" s="35" t="n">
        <v>300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>
        <v>13400</v>
      </c>
      <c r="AK355" s="43" t="inlineStr">
        <is>
          <t>T5</t>
        </is>
      </c>
      <c r="AL355" s="43" t="inlineStr">
        <is>
          <t>low-med</t>
        </is>
      </c>
      <c r="AM355" s="50" t="n">
        <v>0.9</v>
      </c>
      <c r="AN355" s="45">
        <f>IF(AJ355="","",AJ355*AM355)</f>
        <v/>
      </c>
      <c r="AO355" s="45">
        <f>IF(OR(AJ355="",U355=0),"",MIN(IF(AW355="",9.9E+99,AW355),FLOOR(AN355/U355,1)))</f>
        <v/>
      </c>
      <c r="AP355" s="49">
        <f>IF(AO355="","",AO355*W355)</f>
        <v/>
      </c>
      <c r="AQ355" s="47">
        <f>IF(OR(AJ355="",U355=0),"",MIN(IF(AW355="",9.9E+99,AW355),AN355/U355))</f>
        <v/>
      </c>
      <c r="AR355" s="49">
        <f>IF(AQ355="","",AQ355*W355)</f>
        <v/>
      </c>
      <c r="AS355" s="51" t="n"/>
      <c r="AT355" s="43" t="inlineStr">
        <is>
          <t>Grounded</t>
        </is>
      </c>
      <c r="AU355" s="52" t="n"/>
      <c r="AV355" s="52" t="n"/>
      <c r="AW355" s="53" t="n">
        <v>4</v>
      </c>
      <c r="AX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Y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Z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BA355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B355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Maafaru Airport, Noonu → The Standard Huruvalhi (Raa)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40.4</v>
      </c>
      <c r="H356" s="35" t="n">
        <v>150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MIN(15,FLOOR(60*service_hr/M356,1))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8589</v>
      </c>
      <c r="AK356" s="43" t="inlineStr">
        <is>
          <t>T5</t>
        </is>
      </c>
      <c r="AL356" s="43" t="inlineStr">
        <is>
          <t>med</t>
        </is>
      </c>
      <c r="AM356" s="50" t="n">
        <v>0.9</v>
      </c>
      <c r="AN356" s="45">
        <f>IF(AJ356="","",AJ356*AM356)</f>
        <v/>
      </c>
      <c r="AO356" s="45">
        <f>IF(OR(AJ356="",U356=0),"",MIN(IF(AW356="",9.9E+99,AW356),FLOOR(AN356/U356,1)))</f>
        <v/>
      </c>
      <c r="AP356" s="49">
        <f>IF(AO356="","",AO356*W356)</f>
        <v/>
      </c>
      <c r="AQ356" s="47">
        <f>IF(OR(AJ356="",U356=0),"",MIN(IF(AW356="",9.9E+99,AW356),AN356/U356))</f>
        <v/>
      </c>
      <c r="AR356" s="49">
        <f>IF(AQ356="","",AQ356*W356)</f>
        <v/>
      </c>
      <c r="AS356" s="51" t="n"/>
      <c r="AT356" s="43" t="inlineStr">
        <is>
          <t>Grounded</t>
        </is>
      </c>
      <c r="AU356" s="52" t="n"/>
      <c r="AV356" s="52" t="n"/>
      <c r="AW356" s="53" t="n">
        <v>5</v>
      </c>
      <c r="AX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Y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Z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BA35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Velana International Airport (MLE) Resort Speedboat Lounges → Conrad Maldives Rangali Island (South Ari)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59.3</v>
      </c>
      <c r="H357" s="35" t="n">
        <v>350</v>
      </c>
      <c r="I357" s="43" t="inlineStr">
        <is>
          <t>T1</t>
        </is>
      </c>
      <c r="J357" s="43" t="inlineStr">
        <is>
          <t>med-high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23500</v>
      </c>
      <c r="AK357" s="43" t="inlineStr">
        <is>
          <t>T5</t>
        </is>
      </c>
      <c r="AL357" s="43" t="inlineStr">
        <is>
          <t>low-med</t>
        </is>
      </c>
      <c r="AM357" s="50" t="n">
        <v>0.9</v>
      </c>
      <c r="AN357" s="45">
        <f>IF(AJ357="","",AJ357*AM357)</f>
        <v/>
      </c>
      <c r="AO357" s="45">
        <f>IF(OR(AJ357="",U357=0),"",MIN(IF(AW357="",9.9E+99,AW357),FLOOR(AN357/U357,1)))</f>
        <v/>
      </c>
      <c r="AP357" s="49">
        <f>IF(AO357="","",AO357*W357)</f>
        <v/>
      </c>
      <c r="AQ357" s="47">
        <f>IF(OR(AJ357="",U357=0),"",MIN(IF(AW357="",9.9E+99,AW357),AN357/U357))</f>
        <v/>
      </c>
      <c r="AR357" s="49">
        <f>IF(AQ357="","",AQ357*W357)</f>
        <v/>
      </c>
      <c r="AS357" s="51" t="n"/>
      <c r="AT357" s="43" t="inlineStr">
        <is>
          <t>Grounded</t>
        </is>
      </c>
      <c r="AU357" s="52" t="n"/>
      <c r="AV357" s="52" t="n"/>
      <c r="AW357" s="53" t="n">
        <v>6</v>
      </c>
      <c r="AX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Y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Z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BA357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B357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Velana International Airport (MLE) Resort Speedboat Lounges → The Westin Maldives Miriandhoo (Baa)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61.4</v>
      </c>
      <c r="H358" s="35" t="n">
        <v>310</v>
      </c>
      <c r="I358" s="43" t="inlineStr">
        <is>
          <t>T1</t>
        </is>
      </c>
      <c r="J358" s="43" t="inlineStr">
        <is>
          <t>med-high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>
        <v>10900</v>
      </c>
      <c r="AK358" s="43" t="inlineStr">
        <is>
          <t>T5</t>
        </is>
      </c>
      <c r="AL358" s="43" t="inlineStr">
        <is>
          <t>low-med</t>
        </is>
      </c>
      <c r="AM358" s="50" t="n">
        <v>0.9</v>
      </c>
      <c r="AN358" s="45">
        <f>IF(AJ358="","",AJ358*AM358)</f>
        <v/>
      </c>
      <c r="AO358" s="45">
        <f>IF(OR(AJ358="",U358=0),"",MIN(IF(AW358="",9.9E+99,AW358),FLOOR(AN358/U358,1)))</f>
        <v/>
      </c>
      <c r="AP358" s="49">
        <f>IF(AO358="","",AO358*W358)</f>
        <v/>
      </c>
      <c r="AQ358" s="47">
        <f>IF(OR(AJ358="",U358=0),"",MIN(IF(AW358="",9.9E+99,AW358),AN358/U358))</f>
        <v/>
      </c>
      <c r="AR358" s="49">
        <f>IF(AQ358="","",AQ358*W358)</f>
        <v/>
      </c>
      <c r="AS358" s="51" t="n"/>
      <c r="AT358" s="43" t="inlineStr">
        <is>
          <t>Grounded</t>
        </is>
      </c>
      <c r="AU358" s="52" t="n"/>
      <c r="AV358" s="52" t="n"/>
      <c r="AW358" s="53" t="n">
        <v>4</v>
      </c>
      <c r="AX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Y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Z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BA358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B358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Velana International Airport (MLE) Resort Speedboat Lounges → Soneva Fushi (Kunfunadhoo, Baa)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63.7</v>
      </c>
      <c r="H359" s="35" t="n">
        <v>650</v>
      </c>
      <c r="I359" s="43" t="inlineStr">
        <is>
          <t>T1</t>
        </is>
      </c>
      <c r="J359" s="43" t="inlineStr">
        <is>
          <t>med-high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MIN(15,FLOOR(60*service_hr/M359,1))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>
        <v>11100</v>
      </c>
      <c r="AK359" s="43" t="inlineStr">
        <is>
          <t>T5</t>
        </is>
      </c>
      <c r="AL359" s="43" t="inlineStr">
        <is>
          <t>low-med</t>
        </is>
      </c>
      <c r="AM359" s="50" t="n">
        <v>0.9</v>
      </c>
      <c r="AN359" s="45">
        <f>IF(AJ359="","",AJ359*AM359)</f>
        <v/>
      </c>
      <c r="AO359" s="45">
        <f>IF(OR(AJ359="",U359=0),"",MIN(IF(AW359="",9.9E+99,AW359),FLOOR(AN359/U359,1)))</f>
        <v/>
      </c>
      <c r="AP359" s="49">
        <f>IF(AO359="","",AO359*W359)</f>
        <v/>
      </c>
      <c r="AQ359" s="47">
        <f>IF(OR(AJ359="",U359=0),"",MIN(IF(AW359="",9.9E+99,AW359),AN359/U359))</f>
        <v/>
      </c>
      <c r="AR359" s="49">
        <f>IF(AQ359="","",AQ359*W359)</f>
        <v/>
      </c>
      <c r="AS359" s="51" t="n"/>
      <c r="AT359" s="43" t="inlineStr">
        <is>
          <t>Grounded</t>
        </is>
      </c>
      <c r="AU359" s="52" t="n"/>
      <c r="AV359" s="52" t="n"/>
      <c r="AW359" s="53" t="n">
        <v>3</v>
      </c>
      <c r="AX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Y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Z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BA359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B359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60">
      <c r="A360" s="38" t="inlineStr">
        <is>
          <t>Yango Morocco</t>
        </is>
      </c>
      <c r="B360" s="38" t="inlineStr">
        <is>
          <t>Morocco</t>
        </is>
      </c>
      <c r="C360" s="39" t="inlineStr">
        <is>
          <t>Rabat → Sale</t>
        </is>
      </c>
      <c r="D360" s="38" t="inlineStr">
        <is>
          <t>yango</t>
        </is>
      </c>
      <c r="E360" s="40" t="inlineStr">
        <is>
          <t>yango-morocco, yassir-morocco</t>
        </is>
      </c>
      <c r="F360" s="41" t="n">
        <v>4</v>
      </c>
      <c r="G360" s="42" t="n">
        <v>0.5</v>
      </c>
      <c r="H360" s="35" t="n"/>
      <c r="I360" s="43" t="n"/>
      <c r="J360" s="43" t="n"/>
      <c r="K360" s="29" t="n">
        <v>1</v>
      </c>
      <c r="L360" s="44">
        <f>60*G360/cruise_kt</f>
        <v/>
      </c>
      <c r="M360" s="44">
        <f>L360+turn_min+dwell_min</f>
        <v/>
      </c>
      <c r="N360" s="45">
        <f>MIN(24,FLOOR(60*service_hr/M360,1))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/>
      <c r="AK360" s="43" t="n"/>
      <c r="AL360" s="43" t="n"/>
      <c r="AM360" s="50" t="n">
        <v>0.1</v>
      </c>
      <c r="AN360" s="45">
        <f>IF(AJ360="","",AJ360*AM360)</f>
        <v/>
      </c>
      <c r="AO360" s="45">
        <f>IF(OR(AJ360="",U360=0),"",MIN(IF(AW360="",9.9E+99,AW360),FLOOR(AN360/U360,1)))</f>
        <v/>
      </c>
      <c r="AP360" s="49">
        <f>IF(AO360="","",AO360*W360)</f>
        <v/>
      </c>
      <c r="AQ360" s="47">
        <f>IF(OR(AJ360="",U360=0),"",MIN(IF(AW360="",9.9E+99,AW360),AN360/U360))</f>
        <v/>
      </c>
      <c r="AR360" s="49">
        <f>IF(AQ360="","",AQ360*W360)</f>
        <v/>
      </c>
      <c r="AS360" s="51" t="n"/>
      <c r="AT360" s="43" t="inlineStr">
        <is>
          <t>Estimated</t>
        </is>
      </c>
      <c r="AU360" s="52" t="n"/>
      <c r="AV360" s="52" t="n"/>
      <c r="AW360" s="53" t="n"/>
      <c r="AX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Y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Z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BA360" s="40" t="n"/>
      <c r="BB360" s="40" t="n"/>
    </row>
    <row r="361">
      <c r="A361" s="38" t="inlineStr">
        <is>
          <t>Yango Morocco</t>
        </is>
      </c>
      <c r="B361" s="38" t="inlineStr">
        <is>
          <t>Morocco</t>
        </is>
      </c>
      <c r="C361" s="39" t="inlineStr">
        <is>
          <t>Tangier Marina Bay → Tarifa (cross-strait excluded)</t>
        </is>
      </c>
      <c r="D361" s="38" t="inlineStr">
        <is>
          <t>yango</t>
        </is>
      </c>
      <c r="E361" s="40" t="inlineStr">
        <is>
          <t>yango-morocco, yassir-morocco</t>
        </is>
      </c>
      <c r="F361" s="41" t="n">
        <v>2</v>
      </c>
      <c r="G361" s="42" t="n">
        <v>8</v>
      </c>
      <c r="H361" s="35" t="n">
        <v>43.5</v>
      </c>
      <c r="I361" s="43" t="inlineStr">
        <is>
          <t>T2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MIN(15,FLOOR(60*service_hr/M361,1))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760778</v>
      </c>
      <c r="AK361" s="43" t="n"/>
      <c r="AL361" s="43" t="n"/>
      <c r="AM361" s="50" t="n">
        <v>0.1</v>
      </c>
      <c r="AN361" s="45">
        <f>IF(AJ361="","",AJ361*AM361)</f>
        <v/>
      </c>
      <c r="AO361" s="45">
        <f>IF(OR(AJ361="",U361=0),"",MIN(IF(AW361="",9.9E+99,AW361),FLOOR(AN361/U361,1)))</f>
        <v/>
      </c>
      <c r="AP361" s="49">
        <f>IF(AO361="","",AO361*W361)</f>
        <v/>
      </c>
      <c r="AQ361" s="47">
        <f>IF(OR(AJ361="",U361=0),"",MIN(IF(AW361="",9.9E+99,AW361),AN361/U361))</f>
        <v/>
      </c>
      <c r="AR361" s="49">
        <f>IF(AQ361="","",AQ361*W361)</f>
        <v/>
      </c>
      <c r="AS361" s="51" t="n"/>
      <c r="AT361" s="43" t="inlineStr">
        <is>
          <t>Grounded</t>
        </is>
      </c>
      <c r="AU361" s="52" t="n"/>
      <c r="AV361" s="52" t="n"/>
      <c r="AW361" s="53" t="n"/>
      <c r="AX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Y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Z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BA361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B361" s="40" t="n"/>
    </row>
    <row r="362">
      <c r="A362" s="38" t="inlineStr">
        <is>
          <t>Yango Morocco</t>
        </is>
      </c>
      <c r="B362" s="38" t="inlineStr">
        <is>
          <t>Morocco</t>
        </is>
      </c>
      <c r="C362" s="39" t="inlineStr">
        <is>
          <t>Agadir Marina → Taghazout</t>
        </is>
      </c>
      <c r="D362" s="38" t="inlineStr">
        <is>
          <t>yango</t>
        </is>
      </c>
      <c r="E362" s="40" t="inlineStr">
        <is>
          <t>yango-morocco, yassir-morocco</t>
        </is>
      </c>
      <c r="F362" s="41" t="n">
        <v>2</v>
      </c>
      <c r="G362" s="42" t="n">
        <v>9</v>
      </c>
      <c r="H362" s="35" t="n"/>
      <c r="I362" s="43" t="n"/>
      <c r="J362" s="43" t="n"/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>
        <v>77500</v>
      </c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IF(OR(AJ362="",U362=0),"",MIN(IF(AW362="",9.9E+99,AW362),FLOOR(AN362/U362,1)))</f>
        <v/>
      </c>
      <c r="AP362" s="49">
        <f>IF(AO362="","",AO362*W362)</f>
        <v/>
      </c>
      <c r="AQ362" s="47">
        <f>IF(OR(AJ362="",U362=0),"",MIN(IF(AW362="",9.9E+99,AW362),AN362/U362))</f>
        <v/>
      </c>
      <c r="AR362" s="49">
        <f>IF(AQ362="","",AQ362*W362)</f>
        <v/>
      </c>
      <c r="AS362" s="51" t="n"/>
      <c r="AT362" s="43" t="inlineStr">
        <is>
          <t>Estimated</t>
        </is>
      </c>
      <c r="AU362" s="52" t="n"/>
      <c r="AV362" s="52" t="n"/>
      <c r="AW362" s="53" t="n"/>
      <c r="AX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Y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Z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BA362" s="40" t="n"/>
      <c r="BB362" s="40" t="n"/>
    </row>
    <row r="363">
      <c r="A363" s="38" t="inlineStr">
        <is>
          <t>Yango Morocco</t>
        </is>
      </c>
      <c r="B363" s="38" t="inlineStr">
        <is>
          <t>Morocco</t>
        </is>
      </c>
      <c r="C363" s="39" t="inlineStr">
        <is>
          <t>Casablanca → Mohammedia</t>
        </is>
      </c>
      <c r="D363" s="38" t="inlineStr">
        <is>
          <t>yango</t>
        </is>
      </c>
      <c r="E363" s="40" t="inlineStr">
        <is>
          <t>yango-morocco, yassir-morocco</t>
        </is>
      </c>
      <c r="F363" s="41" t="n">
        <v>2</v>
      </c>
      <c r="G363" s="42" t="n">
        <v>13</v>
      </c>
      <c r="H363" s="35" t="n"/>
      <c r="I363" s="43" t="n"/>
      <c r="J363" s="43" t="n"/>
      <c r="K363" s="29" t="n">
        <v>1</v>
      </c>
      <c r="L363" s="44">
        <f>60*G363/cruise_kt</f>
        <v/>
      </c>
      <c r="M363" s="44">
        <f>L363+turn_min+dwell_min</f>
        <v/>
      </c>
      <c r="N363" s="45">
        <f>MIN(24,FLOOR(60*service_hr/M363,1))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/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IF(OR(AJ363="",U363=0),"",MIN(IF(AW363="",9.9E+99,AW363),FLOOR(AN363/U363,1)))</f>
        <v/>
      </c>
      <c r="AP363" s="49">
        <f>IF(AO363="","",AO363*W363)</f>
        <v/>
      </c>
      <c r="AQ363" s="47">
        <f>IF(OR(AJ363="",U363=0),"",MIN(IF(AW363="",9.9E+99,AW363),AN363/U363))</f>
        <v/>
      </c>
      <c r="AR363" s="49">
        <f>IF(AQ363="","",AQ363*W363)</f>
        <v/>
      </c>
      <c r="AS363" s="51" t="n"/>
      <c r="AT363" s="43" t="inlineStr">
        <is>
          <t>Estimated</t>
        </is>
      </c>
      <c r="AU363" s="52" t="n"/>
      <c r="AV363" s="52" t="n"/>
      <c r="AW363" s="53" t="n"/>
      <c r="AX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Y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Z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BA363" s="40" t="n"/>
      <c r="BB363" s="40" t="n"/>
    </row>
    <row r="364">
      <c r="A364" s="38" t="inlineStr">
        <is>
          <t>Yango Morocco</t>
        </is>
      </c>
      <c r="B364" s="38" t="inlineStr">
        <is>
          <t>Morocco</t>
        </is>
      </c>
      <c r="C364" s="39" t="inlineStr">
        <is>
          <t>Tanger Med (Ksar el Majaz) → Algeciras (Spain)</t>
        </is>
      </c>
      <c r="D364" s="38" t="inlineStr">
        <is>
          <t>yango</t>
        </is>
      </c>
      <c r="E364" s="40" t="inlineStr">
        <is>
          <t>yango-morocco, yassir-morocco</t>
        </is>
      </c>
      <c r="F364" s="41" t="n">
        <v>2</v>
      </c>
      <c r="G364" s="42" t="n">
        <v>13</v>
      </c>
      <c r="H364" s="35" t="n">
        <v>38</v>
      </c>
      <c r="I364" s="43" t="inlineStr">
        <is>
          <t>T2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MIN(15,FLOOR(60*service_hr/M364,1))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1610211</v>
      </c>
      <c r="AK364" s="43" t="n"/>
      <c r="AL364" s="43" t="n"/>
      <c r="AM364" s="50" t="n">
        <v>0.1</v>
      </c>
      <c r="AN364" s="45">
        <f>IF(AJ364="","",AJ364*AM364)</f>
        <v/>
      </c>
      <c r="AO364" s="45">
        <f>IF(OR(AJ364="",U364=0),"",MIN(IF(AW364="",9.9E+99,AW364),FLOOR(AN364/U364,1)))</f>
        <v/>
      </c>
      <c r="AP364" s="49">
        <f>IF(AO364="","",AO364*W364)</f>
        <v/>
      </c>
      <c r="AQ364" s="47">
        <f>IF(OR(AJ364="",U364=0),"",MIN(IF(AW364="",9.9E+99,AW364),AN364/U364))</f>
        <v/>
      </c>
      <c r="AR364" s="49">
        <f>IF(AQ364="","",AQ364*W364)</f>
        <v/>
      </c>
      <c r="AS364" s="51" t="n"/>
      <c r="AT364" s="43" t="inlineStr">
        <is>
          <t>Grounded</t>
        </is>
      </c>
      <c r="AU364" s="52" t="n"/>
      <c r="AV364" s="52" t="n"/>
      <c r="AW364" s="53" t="n"/>
      <c r="AX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Y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Z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BA364" s="40" t="inlineStr">
        <is>
          <t>PREMIUM tier: standard adult FOOT-PASSENGER one-way Tanger Med&lt;-&gt;Algeciras ~EUR 35 x 1.08 = ~$38 (Strait fast-ferry foot fares cluster EUR 30-40).</t>
        </is>
      </c>
      <c r="BB364" s="40" t="n"/>
    </row>
    <row r="365">
      <c r="A365" s="38" t="inlineStr">
        <is>
          <t>Yango Morocco</t>
        </is>
      </c>
      <c r="B365" s="38" t="inlineStr">
        <is>
          <t>Morocco</t>
        </is>
      </c>
      <c r="C365" s="39" t="inlineStr">
        <is>
          <t>Al Hoceima → Cala Iris</t>
        </is>
      </c>
      <c r="D365" s="38" t="inlineStr">
        <is>
          <t>yango</t>
        </is>
      </c>
      <c r="E365" s="40" t="inlineStr">
        <is>
          <t>yango-morocco, yassir-morocco</t>
        </is>
      </c>
      <c r="F365" s="41" t="n">
        <v>2</v>
      </c>
      <c r="G365" s="42" t="n">
        <v>16</v>
      </c>
      <c r="H365" s="35" t="n"/>
      <c r="I365" s="43" t="n"/>
      <c r="J365" s="43" t="n"/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/>
      <c r="AK365" s="43" t="n"/>
      <c r="AL365" s="43" t="n"/>
      <c r="AM365" s="50" t="n">
        <v>0.1</v>
      </c>
      <c r="AN365" s="45">
        <f>IF(AJ365="","",AJ365*AM365)</f>
        <v/>
      </c>
      <c r="AO365" s="45">
        <f>IF(OR(AJ365="",U365=0),"",MIN(IF(AW365="",9.9E+99,AW365),FLOOR(AN365/U365,1)))</f>
        <v/>
      </c>
      <c r="AP365" s="49">
        <f>IF(AO365="","",AO365*W365)</f>
        <v/>
      </c>
      <c r="AQ365" s="47">
        <f>IF(OR(AJ365="",U365=0),"",MIN(IF(AW365="",9.9E+99,AW365),AN365/U365))</f>
        <v/>
      </c>
      <c r="AR365" s="49">
        <f>IF(AQ365="","",AQ365*W365)</f>
        <v/>
      </c>
      <c r="AS365" s="51" t="n"/>
      <c r="AT365" s="43" t="inlineStr">
        <is>
          <t>Estimated</t>
        </is>
      </c>
      <c r="AU365" s="52" t="n"/>
      <c r="AV365" s="52" t="n"/>
      <c r="AW365" s="53" t="n"/>
      <c r="AX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Y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Z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BA365" s="40" t="n"/>
      <c r="BB365" s="40" t="n"/>
    </row>
    <row r="366">
      <c r="A366" s="38" t="inlineStr">
        <is>
          <t>Yango Morocco</t>
        </is>
      </c>
      <c r="B366" s="38" t="inlineStr">
        <is>
          <t>Morocco</t>
        </is>
      </c>
      <c r="C366" s="39" t="inlineStr">
        <is>
          <t>Tanger Med → Ceuta (Spanish enclave)</t>
        </is>
      </c>
      <c r="D366" s="38" t="inlineStr">
        <is>
          <t>yango</t>
        </is>
      </c>
      <c r="E366" s="40" t="inlineStr">
        <is>
          <t>yango-morocco, yassir-morocco</t>
        </is>
      </c>
      <c r="F366" s="41" t="n">
        <v>2</v>
      </c>
      <c r="G366" s="42" t="n">
        <v>22</v>
      </c>
      <c r="H366" s="35" t="n">
        <v>36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IF(OR(AJ366="",U366=0),"",MIN(IF(AW366="",9.9E+99,AW366),FLOOR(AN366/U366,1)))</f>
        <v/>
      </c>
      <c r="AP366" s="49">
        <f>IF(AO366="","",AO366*W366)</f>
        <v/>
      </c>
      <c r="AQ366" s="47">
        <f>IF(OR(AJ366="",U366=0),"",MIN(IF(AW366="",9.9E+99,AW366),AN366/U366))</f>
        <v/>
      </c>
      <c r="AR366" s="49">
        <f>IF(AQ366="","",AQ366*W366)</f>
        <v/>
      </c>
      <c r="AS366" s="51" t="n"/>
      <c r="AT366" s="43" t="inlineStr">
        <is>
          <t>Estimated</t>
        </is>
      </c>
      <c r="AU366" s="52" t="n"/>
      <c r="AV366" s="52" t="n"/>
      <c r="AW366" s="53" t="n"/>
      <c r="AX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Y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Z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BA366" s="40" t="inlineStr">
        <is>
          <t>PREMIUM tier (nearest comparable = Algeciras&lt;-&gt;Ceuta fast ferry): avg foot-passenger fare ~EUR 33 x 1.08 ~= $36 (one-way ~EUR 25-35), 60 min fast ferry.</t>
        </is>
      </c>
      <c r="BB366" s="40" t="n"/>
    </row>
    <row r="367">
      <c r="A367" s="38" t="inlineStr">
        <is>
          <t>Yango Morocco</t>
        </is>
      </c>
      <c r="B367" s="38" t="inlineStr">
        <is>
          <t>Morocco</t>
        </is>
      </c>
      <c r="C367" s="39" t="inlineStr">
        <is>
          <t>Casablanca → Rabat</t>
        </is>
      </c>
      <c r="D367" s="38" t="inlineStr">
        <is>
          <t>yango</t>
        </is>
      </c>
      <c r="E367" s="40" t="inlineStr">
        <is>
          <t>yango-morocco, yassir-morocco</t>
        </is>
      </c>
      <c r="F367" s="41" t="n">
        <v>2</v>
      </c>
      <c r="G367" s="42" t="n">
        <v>46</v>
      </c>
      <c r="H367" s="35" t="n"/>
      <c r="I367" s="43" t="n"/>
      <c r="J367" s="43" t="n"/>
      <c r="K367" s="29" t="n">
        <v>1</v>
      </c>
      <c r="L367" s="44">
        <f>60*G367/cruise_kt</f>
        <v/>
      </c>
      <c r="M367" s="44">
        <f>L367+turn_min+dwell_min</f>
        <v/>
      </c>
      <c r="N367" s="45">
        <f>MIN(24,FLOOR(60*service_hr/M367,1))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165000</v>
      </c>
      <c r="AK367" s="43" t="n"/>
      <c r="AL367" s="43" t="n"/>
      <c r="AM367" s="50" t="n">
        <v>0.1</v>
      </c>
      <c r="AN367" s="45">
        <f>IF(AJ367="","",AJ367*AM367)</f>
        <v/>
      </c>
      <c r="AO367" s="45">
        <f>IF(OR(AJ367="",U367=0),"",MIN(IF(AW367="",9.9E+99,AW367),FLOOR(AN367/U367,1)))</f>
        <v/>
      </c>
      <c r="AP367" s="49">
        <f>IF(AO367="","",AO367*W367)</f>
        <v/>
      </c>
      <c r="AQ367" s="47">
        <f>IF(OR(AJ367="",U367=0),"",MIN(IF(AW367="",9.9E+99,AW367),AN367/U367))</f>
        <v/>
      </c>
      <c r="AR367" s="49">
        <f>IF(AQ367="","",AQ367*W367)</f>
        <v/>
      </c>
      <c r="AS367" s="51" t="n"/>
      <c r="AT367" s="43" t="inlineStr">
        <is>
          <t>Estimated</t>
        </is>
      </c>
      <c r="AU367" s="52" t="n"/>
      <c r="AV367" s="52" t="n"/>
      <c r="AW367" s="53" t="n"/>
      <c r="AX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Y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Z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BA367" s="40" t="n"/>
      <c r="BB367" s="40" t="n"/>
    </row>
    <row r="368">
      <c r="A368" s="38" t="inlineStr">
        <is>
          <t>Yango Mozambique</t>
        </is>
      </c>
      <c r="B368" s="38" t="inlineStr">
        <is>
          <t>Mozambique</t>
        </is>
      </c>
      <c r="C368" s="39" t="inlineStr">
        <is>
          <t>Maputo → Catembe</t>
        </is>
      </c>
      <c r="D368" s="38" t="inlineStr">
        <is>
          <t>yango</t>
        </is>
      </c>
      <c r="E368" s="40" t="inlineStr">
        <is>
          <t>yango-mozambique</t>
        </is>
      </c>
      <c r="F368" s="41" t="n">
        <v>1</v>
      </c>
      <c r="G368" s="42" t="n">
        <v>1.5</v>
      </c>
      <c r="H368" s="35" t="n"/>
      <c r="I368" s="43" t="inlineStr">
        <is>
          <t>T5</t>
        </is>
      </c>
      <c r="J368" s="43" t="inlineStr">
        <is>
          <t>low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MIN(24,FLOOR(60*service_hr/M368,1))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60000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IF(OR(AJ368="",U368=0),"",MIN(IF(AW368="",9.9E+99,AW368),FLOOR(AN368/U368,1)))</f>
        <v/>
      </c>
      <c r="AP368" s="49">
        <f>IF(AO368="","",AO368*W368)</f>
        <v/>
      </c>
      <c r="AQ368" s="47">
        <f>IF(OR(AJ368="",U368=0),"",MIN(IF(AW368="",9.9E+99,AW368),AN368/U368))</f>
        <v/>
      </c>
      <c r="AR368" s="49">
        <f>IF(AQ368="","",AQ368*W368)</f>
        <v/>
      </c>
      <c r="AS368" s="51" t="n"/>
      <c r="AT368" s="43" t="inlineStr">
        <is>
          <t>Estimated</t>
        </is>
      </c>
      <c r="AU368" s="52" t="n"/>
      <c r="AV368" s="52" t="n"/>
      <c r="AW368" s="53" t="n"/>
      <c r="AX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Y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Z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BA368" s="40" t="inlineStr">
        <is>
          <t>TBD — Tier-B headline placeholder</t>
        </is>
      </c>
      <c r="BB368" s="40" t="n"/>
    </row>
    <row r="369">
      <c r="A369" s="38" t="inlineStr">
        <is>
          <t>Yango Mozambique</t>
        </is>
      </c>
      <c r="B369" s="38" t="inlineStr">
        <is>
          <t>Mozambique</t>
        </is>
      </c>
      <c r="C369" s="39" t="inlineStr">
        <is>
          <t>Inhambane (Inhambane city ferry pier) → Maxixe (Maxixe town jetty)</t>
        </is>
      </c>
      <c r="D369" s="38" t="inlineStr">
        <is>
          <t>yango</t>
        </is>
      </c>
      <c r="E369" s="40" t="inlineStr">
        <is>
          <t>yango-mozambique</t>
        </is>
      </c>
      <c r="F369" s="41" t="n">
        <v>1</v>
      </c>
      <c r="G369" s="42" t="n">
        <v>2.5</v>
      </c>
      <c r="H369" s="35" t="n">
        <v>18</v>
      </c>
      <c r="I369" s="43" t="inlineStr">
        <is>
          <t>T2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L369+turn_min+dwell_min</f>
        <v/>
      </c>
      <c r="N369" s="45">
        <f>MIN(24,FLOOR(60*service_hr/M369,1))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>
        <v>36500</v>
      </c>
      <c r="AK369" s="43" t="n"/>
      <c r="AL369" s="43" t="inlineStr">
        <is>
          <t>med</t>
        </is>
      </c>
      <c r="AM369" s="50" t="n">
        <v>0.25</v>
      </c>
      <c r="AN369" s="45">
        <f>IF(AJ369="","",AJ369*AM369)</f>
        <v/>
      </c>
      <c r="AO369" s="45">
        <f>IF(OR(AJ369="",U369=0),"",MIN(IF(AW369="",9.9E+99,AW369),FLOOR(AN369/U369,1)))</f>
        <v/>
      </c>
      <c r="AP369" s="49">
        <f>IF(AO369="","",AO369*W369)</f>
        <v/>
      </c>
      <c r="AQ369" s="47">
        <f>IF(OR(AJ369="",U369=0),"",MIN(IF(AW369="",9.9E+99,AW369),AN369/U369))</f>
        <v/>
      </c>
      <c r="AR369" s="49">
        <f>IF(AQ369="","",AQ369*W369)</f>
        <v/>
      </c>
      <c r="AS369" s="51" t="n"/>
      <c r="AT369" s="43" t="inlineStr">
        <is>
          <t>Estimated</t>
        </is>
      </c>
      <c r="AU369" s="52" t="n"/>
      <c r="AV369" s="52" t="n"/>
      <c r="AW369" s="53" t="n"/>
      <c r="AX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Y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Z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BA369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B369" s="40" t="n"/>
    </row>
    <row r="370">
      <c r="A370" s="38" t="inlineStr">
        <is>
          <t>Yango Mozambique</t>
        </is>
      </c>
      <c r="B370" s="38" t="inlineStr">
        <is>
          <t>Mozambique</t>
        </is>
      </c>
      <c r="C370" s="39" t="inlineStr">
        <is>
          <t>Vilankulo (Vilanculos beachfront / boat departure) → Bazaruto Archipelago National Park (Bazaruto / Benguerra / Magaruque islands)</t>
        </is>
      </c>
      <c r="D370" s="38" t="inlineStr">
        <is>
          <t>yango</t>
        </is>
      </c>
      <c r="E370" s="40" t="inlineStr">
        <is>
          <t>yango-mozambique</t>
        </is>
      </c>
      <c r="F370" s="41" t="n">
        <v>1</v>
      </c>
      <c r="G370" s="42" t="n">
        <v>16</v>
      </c>
      <c r="H370" s="35" t="n">
        <v>100</v>
      </c>
      <c r="I370" s="43" t="inlineStr">
        <is>
          <t>T2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L370+turn_min+dwell_min</f>
        <v/>
      </c>
      <c r="N370" s="45">
        <f>MIN(15,FLOOR(60*service_hr/M370,1))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>
        <v>30000</v>
      </c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IF(OR(AJ370="",U370=0),"",MIN(IF(AW370="",9.9E+99,AW370),FLOOR(AN370/U370,1)))</f>
        <v/>
      </c>
      <c r="AP370" s="49">
        <f>IF(AO370="","",AO370*W370)</f>
        <v/>
      </c>
      <c r="AQ370" s="47">
        <f>IF(OR(AJ370="",U370=0),"",MIN(IF(AW370="",9.9E+99,AW370),AN370/U370))</f>
        <v/>
      </c>
      <c r="AR370" s="49">
        <f>IF(AQ370="","",AQ370*W370)</f>
        <v/>
      </c>
      <c r="AS370" s="51" t="n"/>
      <c r="AT370" s="43" t="inlineStr">
        <is>
          <t>Estimated</t>
        </is>
      </c>
      <c r="AU370" s="52" t="n"/>
      <c r="AV370" s="52" t="n"/>
      <c r="AW370" s="53" t="n"/>
      <c r="AX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Y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Z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BA370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B370" s="40" t="n"/>
    </row>
    <row r="371">
      <c r="A371" s="38" t="inlineStr">
        <is>
          <t>Yango Mozambique</t>
        </is>
      </c>
      <c r="B371" s="38" t="inlineStr">
        <is>
          <t>Mozambique</t>
        </is>
      </c>
      <c r="C371" s="39" t="inlineStr">
        <is>
          <t>Maputo (Porto de Maputo / Catembe pier) → Ilha dos Portugueses (Portuguese Island) / Santa Maria</t>
        </is>
      </c>
      <c r="D371" s="38" t="inlineStr">
        <is>
          <t>yango</t>
        </is>
      </c>
      <c r="E371" s="40" t="inlineStr">
        <is>
          <t>yango-mozambique</t>
        </is>
      </c>
      <c r="F371" s="41" t="n">
        <v>1</v>
      </c>
      <c r="G371" s="42" t="n">
        <v>20</v>
      </c>
      <c r="H371" s="35" t="n">
        <v>110</v>
      </c>
      <c r="I371" s="43" t="inlineStr">
        <is>
          <t>T2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L371+turn_min+dwell_min</f>
        <v/>
      </c>
      <c r="N371" s="45">
        <f>MIN(15,FLOOR(60*service_hr/M371,1))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IF(OR(AJ371="",U371=0),"",MIN(IF(AW371="",9.9E+99,AW371),FLOOR(AN371/U371,1)))</f>
        <v/>
      </c>
      <c r="AP371" s="49">
        <f>IF(AO371="","",AO371*W371)</f>
        <v/>
      </c>
      <c r="AQ371" s="47">
        <f>IF(OR(AJ371="",U371=0),"",MIN(IF(AW371="",9.9E+99,AW371),AN371/U371))</f>
        <v/>
      </c>
      <c r="AR371" s="49">
        <f>IF(AQ371="","",AQ371*W371)</f>
        <v/>
      </c>
      <c r="AS371" s="51" t="n"/>
      <c r="AT371" s="43" t="inlineStr">
        <is>
          <t>Estimated</t>
        </is>
      </c>
      <c r="AU371" s="52" t="n"/>
      <c r="AV371" s="52" t="n"/>
      <c r="AW371" s="53" t="n"/>
      <c r="AX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Y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Z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BA371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B371" s="40" t="n"/>
    </row>
    <row r="372">
      <c r="A372" s="38" t="inlineStr">
        <is>
          <t>Yango Mozambique</t>
        </is>
      </c>
      <c r="B372" s="38" t="inlineStr">
        <is>
          <t>Mozambique</t>
        </is>
      </c>
      <c r="C372" s="39" t="inlineStr">
        <is>
          <t>Maputo (Porto de Maputo / Catembe pier) → Inhaca Island (KaNyaka)</t>
        </is>
      </c>
      <c r="D372" s="38" t="inlineStr">
        <is>
          <t>yango</t>
        </is>
      </c>
      <c r="E372" s="40" t="inlineStr">
        <is>
          <t>yango-mozambique</t>
        </is>
      </c>
      <c r="F372" s="41" t="n">
        <v>1</v>
      </c>
      <c r="G372" s="42" t="n">
        <v>22</v>
      </c>
      <c r="H372" s="35" t="n">
        <v>36</v>
      </c>
      <c r="I372" s="43" t="inlineStr">
        <is>
          <t>T2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MIN(15,FLOOR(60*service_hr/M372,1))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/>
      <c r="AK372" s="43" t="n"/>
      <c r="AL372" s="43" t="n"/>
      <c r="AM372" s="50" t="n">
        <v>0.1</v>
      </c>
      <c r="AN372" s="45">
        <f>IF(AJ372="","",AJ372*AM372)</f>
        <v/>
      </c>
      <c r="AO372" s="45">
        <f>IF(OR(AJ372="",U372=0),"",MIN(IF(AW372="",9.9E+99,AW372),FLOOR(AN372/U372,1)))</f>
        <v/>
      </c>
      <c r="AP372" s="49">
        <f>IF(AO372="","",AO372*W372)</f>
        <v/>
      </c>
      <c r="AQ372" s="47">
        <f>IF(OR(AJ372="",U372=0),"",MIN(IF(AW372="",9.9E+99,AW372),AN372/U372))</f>
        <v/>
      </c>
      <c r="AR372" s="49">
        <f>IF(AQ372="","",AQ372*W372)</f>
        <v/>
      </c>
      <c r="AS372" s="51" t="n"/>
      <c r="AT372" s="43" t="inlineStr">
        <is>
          <t>Estimated</t>
        </is>
      </c>
      <c r="AU372" s="52" t="n"/>
      <c r="AV372" s="52" t="n"/>
      <c r="AW372" s="53" t="n"/>
      <c r="AX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Y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Z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BA372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B372" s="40" t="n"/>
    </row>
    <row r="373">
      <c r="A373" s="38" t="inlineStr">
        <is>
          <t>Yango Mozambique</t>
        </is>
      </c>
      <c r="B373" s="38" t="inlineStr">
        <is>
          <t>Mozambique</t>
        </is>
      </c>
      <c r="C373" s="39" t="inlineStr">
        <is>
          <t>Beira (Porto da Beira) → Buzi (Buzi town, Buzi/Pungwe estuary)</t>
        </is>
      </c>
      <c r="D373" s="38" t="inlineStr">
        <is>
          <t>yango</t>
        </is>
      </c>
      <c r="E373" s="40" t="inlineStr">
        <is>
          <t>yango-mozambique</t>
        </is>
      </c>
      <c r="F373" s="41" t="n">
        <v>1</v>
      </c>
      <c r="G373" s="42" t="n">
        <v>25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MIN(24,FLOOR(60*service_hr/M373,1))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IF(OR(AJ373="",U373=0),"",MIN(IF(AW373="",9.9E+99,AW373),FLOOR(AN373/U373,1)))</f>
        <v/>
      </c>
      <c r="AP373" s="49">
        <f>IF(AO373="","",AO373*W373)</f>
        <v/>
      </c>
      <c r="AQ373" s="47">
        <f>IF(OR(AJ373="",U373=0),"",MIN(IF(AW373="",9.9E+99,AW373),AN373/U373))</f>
        <v/>
      </c>
      <c r="AR373" s="49">
        <f>IF(AQ373="","",AQ373*W373)</f>
        <v/>
      </c>
      <c r="AS373" s="51" t="n"/>
      <c r="AT373" s="43" t="inlineStr">
        <is>
          <t>Estimated</t>
        </is>
      </c>
      <c r="AU373" s="52" t="n"/>
      <c r="AV373" s="52" t="n"/>
      <c r="AW373" s="53" t="n"/>
      <c r="AX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Y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Z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BA373" s="40" t="n"/>
      <c r="BB373" s="40" t="n"/>
    </row>
    <row r="374">
      <c r="A374" s="38" t="inlineStr">
        <is>
          <t>Yango Mozambique</t>
        </is>
      </c>
      <c r="B374" s="38" t="inlineStr">
        <is>
          <t>Mozambique</t>
        </is>
      </c>
      <c r="C374" s="39" t="inlineStr">
        <is>
          <t>Pemba (Pemba Bay / Paquitequete) → Ibo Island (Quirimbas Archipelago)</t>
        </is>
      </c>
      <c r="D374" s="38" t="inlineStr">
        <is>
          <t>yango</t>
        </is>
      </c>
      <c r="E374" s="40" t="inlineStr">
        <is>
          <t>yango-mozambique</t>
        </is>
      </c>
      <c r="F374" s="41" t="n">
        <v>1</v>
      </c>
      <c r="G374" s="42" t="n">
        <v>27</v>
      </c>
      <c r="H374" s="35" t="n"/>
      <c r="I374" s="43" t="n"/>
      <c r="J374" s="43" t="n"/>
      <c r="K374" s="29" t="n">
        <v>1</v>
      </c>
      <c r="L374" s="44">
        <f>60*G374/cruise_kt</f>
        <v/>
      </c>
      <c r="M374" s="44">
        <f>L374+turn_min+dwell_min</f>
        <v/>
      </c>
      <c r="N374" s="45">
        <f>MIN(15,FLOOR(60*service_hr/M374,1))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/>
      <c r="AK374" s="43" t="n"/>
      <c r="AL374" s="43" t="n"/>
      <c r="AM374" s="50" t="n">
        <v>0.1</v>
      </c>
      <c r="AN374" s="45">
        <f>IF(AJ374="","",AJ374*AM374)</f>
        <v/>
      </c>
      <c r="AO374" s="45">
        <f>IF(OR(AJ374="",U374=0),"",MIN(IF(AW374="",9.9E+99,AW374),FLOOR(AN374/U374,1)))</f>
        <v/>
      </c>
      <c r="AP374" s="49">
        <f>IF(AO374="","",AO374*W374)</f>
        <v/>
      </c>
      <c r="AQ374" s="47">
        <f>IF(OR(AJ374="",U374=0),"",MIN(IF(AW374="",9.9E+99,AW374),AN374/U374))</f>
        <v/>
      </c>
      <c r="AR374" s="49">
        <f>IF(AQ374="","",AQ374*W374)</f>
        <v/>
      </c>
      <c r="AS374" s="51" t="n"/>
      <c r="AT374" s="43" t="inlineStr">
        <is>
          <t>Estimated</t>
        </is>
      </c>
      <c r="AU374" s="52" t="n"/>
      <c r="AV374" s="52" t="n"/>
      <c r="AW374" s="53" t="n"/>
      <c r="AX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Y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Z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BA374" s="40" t="n"/>
      <c r="BB374" s="40" t="n"/>
    </row>
    <row r="375">
      <c r="A375" s="38" t="inlineStr">
        <is>
          <t>Yango Pakistan</t>
        </is>
      </c>
      <c r="B375" s="38" t="inlineStr">
        <is>
          <t>Pakistan</t>
        </is>
      </c>
      <c r="C375" s="39" t="inlineStr">
        <is>
          <t>Karachi Harbour (Native Jetty / Keamari) → Port Grand creek / mangrove backwaters</t>
        </is>
      </c>
      <c r="D375" s="38" t="inlineStr">
        <is>
          <t>yango</t>
        </is>
      </c>
      <c r="E375" s="40" t="inlineStr">
        <is>
          <t>yango-pakistan</t>
        </is>
      </c>
      <c r="F375" s="41" t="n">
        <v>1</v>
      </c>
      <c r="G375" s="42" t="n">
        <v>1</v>
      </c>
      <c r="H375" s="35" t="n">
        <v>18</v>
      </c>
      <c r="I375" s="43" t="inlineStr">
        <is>
          <t>T2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MIN(15,FLOOR(60*service_hr/M375,1))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/>
      <c r="AK375" s="43" t="n"/>
      <c r="AL375" s="43" t="n"/>
      <c r="AM375" s="50" t="n">
        <v>0.1</v>
      </c>
      <c r="AN375" s="45">
        <f>IF(AJ375="","",AJ375*AM375)</f>
        <v/>
      </c>
      <c r="AO375" s="45">
        <f>IF(OR(AJ375="",U375=0),"",MIN(IF(AW375="",9.9E+99,AW375),FLOOR(AN375/U375,1)))</f>
        <v/>
      </c>
      <c r="AP375" s="49">
        <f>IF(AO375="","",AO375*W375)</f>
        <v/>
      </c>
      <c r="AQ375" s="47">
        <f>IF(OR(AJ375="",U375=0),"",MIN(IF(AW375="",9.9E+99,AW375),AN375/U375))</f>
        <v/>
      </c>
      <c r="AR375" s="49">
        <f>IF(AQ375="","",AQ375*W375)</f>
        <v/>
      </c>
      <c r="AS375" s="51" t="n"/>
      <c r="AT375" s="43" t="inlineStr">
        <is>
          <t>Estimated</t>
        </is>
      </c>
      <c r="AU375" s="52" t="n"/>
      <c r="AV375" s="52" t="n"/>
      <c r="AW375" s="53" t="n"/>
      <c r="AX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Y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Z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BA375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B375" s="40" t="n"/>
    </row>
    <row r="376">
      <c r="A376" s="38" t="inlineStr">
        <is>
          <t>Yango Pakistan</t>
        </is>
      </c>
      <c r="B376" s="38" t="inlineStr">
        <is>
          <t>Pakistan</t>
        </is>
      </c>
      <c r="C376" s="39" t="inlineStr">
        <is>
          <t>Karachi (Keamari) → Manora</t>
        </is>
      </c>
      <c r="D376" s="38" t="inlineStr">
        <is>
          <t>yango</t>
        </is>
      </c>
      <c r="E376" s="40" t="inlineStr">
        <is>
          <t>yango-pakistan</t>
        </is>
      </c>
      <c r="F376" s="41" t="n">
        <v>1</v>
      </c>
      <c r="G376" s="42" t="n">
        <v>1.5</v>
      </c>
      <c r="H376" s="35" t="n">
        <v>23.2</v>
      </c>
      <c r="I376" s="43" t="inlineStr">
        <is>
          <t>T2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L376+turn_min+dwell_min</f>
        <v/>
      </c>
      <c r="N376" s="45">
        <f>MIN(24,FLOOR(60*service_hr/M376,1))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>
        <v>320000</v>
      </c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IF(OR(AJ376="",U376=0),"",MIN(IF(AW376="",9.9E+99,AW376),FLOOR(AN376/U376,1)))</f>
        <v/>
      </c>
      <c r="AP376" s="49">
        <f>IF(AO376="","",AO376*W376)</f>
        <v/>
      </c>
      <c r="AQ376" s="47">
        <f>IF(OR(AJ376="",U376=0),"",MIN(IF(AW376="",9.9E+99,AW376),AN376/U376))</f>
        <v/>
      </c>
      <c r="AR376" s="49">
        <f>IF(AQ376="","",AQ376*W376)</f>
        <v/>
      </c>
      <c r="AS376" s="51" t="n"/>
      <c r="AT376" s="43" t="inlineStr">
        <is>
          <t>Grounded</t>
        </is>
      </c>
      <c r="AU376" s="52" t="n"/>
      <c r="AV376" s="52" t="n"/>
      <c r="AW376" s="53" t="n"/>
      <c r="AX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Y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Z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BA376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B376" s="40" t="n"/>
    </row>
    <row r="377">
      <c r="A377" s="38" t="inlineStr">
        <is>
          <t>Yango Pakistan</t>
        </is>
      </c>
      <c r="B377" s="38" t="inlineStr">
        <is>
          <t>Pakistan</t>
        </is>
      </c>
      <c r="C377" s="39" t="inlineStr">
        <is>
          <t>Keamari → Sandspit / Hawksbay</t>
        </is>
      </c>
      <c r="D377" s="38" t="inlineStr">
        <is>
          <t>yango</t>
        </is>
      </c>
      <c r="E377" s="40" t="inlineStr">
        <is>
          <t>yango-pakistan</t>
        </is>
      </c>
      <c r="F377" s="41" t="n">
        <v>1</v>
      </c>
      <c r="G377" s="42" t="n">
        <v>5</v>
      </c>
      <c r="H377" s="35" t="n"/>
      <c r="I377" s="43" t="n"/>
      <c r="J377" s="43" t="n"/>
      <c r="K377" s="29" t="n">
        <v>1</v>
      </c>
      <c r="L377" s="44">
        <f>60*G377/cruise_kt</f>
        <v/>
      </c>
      <c r="M377" s="44">
        <f>L377+turn_min+dwell_min</f>
        <v/>
      </c>
      <c r="N377" s="45">
        <f>MIN(24,FLOOR(60*service_hr/M377,1))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/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IF(OR(AJ377="",U377=0),"",MIN(IF(AW377="",9.9E+99,AW377),FLOOR(AN377/U377,1)))</f>
        <v/>
      </c>
      <c r="AP377" s="49">
        <f>IF(AO377="","",AO377*W377)</f>
        <v/>
      </c>
      <c r="AQ377" s="47">
        <f>IF(OR(AJ377="",U377=0),"",MIN(IF(AW377="",9.9E+99,AW377),AN377/U377))</f>
        <v/>
      </c>
      <c r="AR377" s="49">
        <f>IF(AQ377="","",AQ377*W377)</f>
        <v/>
      </c>
      <c r="AS377" s="51" t="n"/>
      <c r="AT377" s="43" t="inlineStr">
        <is>
          <t>Estimated</t>
        </is>
      </c>
      <c r="AU377" s="52" t="n"/>
      <c r="AV377" s="52" t="n"/>
      <c r="AW377" s="53" t="n"/>
      <c r="AX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Y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Z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BA377" s="40" t="n"/>
      <c r="BB377" s="40" t="n"/>
    </row>
    <row r="378">
      <c r="A378" s="38" t="inlineStr">
        <is>
          <t>Yango Pakistan</t>
        </is>
      </c>
      <c r="B378" s="38" t="inlineStr">
        <is>
          <t>Pakistan</t>
        </is>
      </c>
      <c r="C378" s="39" t="inlineStr">
        <is>
          <t>Clifton / Sea View → DHA Phase 8 Creek (Marina Club / HMR Waterfront)</t>
        </is>
      </c>
      <c r="D378" s="38" t="inlineStr">
        <is>
          <t>yango</t>
        </is>
      </c>
      <c r="E378" s="40" t="inlineStr">
        <is>
          <t>yango-pakistan</t>
        </is>
      </c>
      <c r="F378" s="41" t="n">
        <v>1</v>
      </c>
      <c r="G378" s="42" t="n">
        <v>6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L378+turn_min+dwell_min</f>
        <v/>
      </c>
      <c r="N378" s="45">
        <f>MIN(24,FLOOR(60*service_hr/M378,1))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n"/>
      <c r="AL378" s="43" t="n"/>
      <c r="AM378" s="50" t="n">
        <v>0.1</v>
      </c>
      <c r="AN378" s="45">
        <f>IF(AJ378="","",AJ378*AM378)</f>
        <v/>
      </c>
      <c r="AO378" s="45">
        <f>IF(OR(AJ378="",U378=0),"",MIN(IF(AW378="",9.9E+99,AW378),FLOOR(AN378/U378,1)))</f>
        <v/>
      </c>
      <c r="AP378" s="49">
        <f>IF(AO378="","",AO378*W378)</f>
        <v/>
      </c>
      <c r="AQ378" s="47">
        <f>IF(OR(AJ378="",U378=0),"",MIN(IF(AW378="",9.9E+99,AW378),AN378/U378))</f>
        <v/>
      </c>
      <c r="AR378" s="49">
        <f>IF(AQ378="","",AQ378*W378)</f>
        <v/>
      </c>
      <c r="AS378" s="51" t="n"/>
      <c r="AT378" s="43" t="inlineStr">
        <is>
          <t>Estimated</t>
        </is>
      </c>
      <c r="AU378" s="52" t="n"/>
      <c r="AV378" s="52" t="n"/>
      <c r="AW378" s="53" t="n"/>
      <c r="AX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Y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Z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BA378" s="40" t="n"/>
      <c r="BB378" s="40" t="n"/>
    </row>
    <row r="379">
      <c r="A379" s="38" t="inlineStr">
        <is>
          <t>Yango Pakistan</t>
        </is>
      </c>
      <c r="B379" s="38" t="inlineStr">
        <is>
          <t>Pakistan</t>
        </is>
      </c>
      <c r="C379" s="39" t="inlineStr">
        <is>
          <t>Karachi Port (KPT) → Port Qasim</t>
        </is>
      </c>
      <c r="D379" s="38" t="inlineStr">
        <is>
          <t>yango</t>
        </is>
      </c>
      <c r="E379" s="40" t="inlineStr">
        <is>
          <t>yango-pakistan</t>
        </is>
      </c>
      <c r="F379" s="41" t="n">
        <v>1</v>
      </c>
      <c r="G379" s="42" t="n">
        <v>22</v>
      </c>
      <c r="H379" s="35" t="n"/>
      <c r="I379" s="43" t="n"/>
      <c r="J379" s="43" t="n"/>
      <c r="K379" s="29" t="n">
        <v>1</v>
      </c>
      <c r="L379" s="44">
        <f>60*G379/cruise_kt</f>
        <v/>
      </c>
      <c r="M379" s="44">
        <f>L379+turn_min+dwell_min</f>
        <v/>
      </c>
      <c r="N379" s="45">
        <f>MIN(24,FLOOR(60*service_hr/M379,1))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/>
      <c r="AK379" s="43" t="n"/>
      <c r="AL379" s="43" t="n"/>
      <c r="AM379" s="50" t="n">
        <v>0.1</v>
      </c>
      <c r="AN379" s="45">
        <f>IF(AJ379="","",AJ379*AM379)</f>
        <v/>
      </c>
      <c r="AO379" s="45">
        <f>IF(OR(AJ379="",U379=0),"",MIN(IF(AW379="",9.9E+99,AW379),FLOOR(AN379/U379,1)))</f>
        <v/>
      </c>
      <c r="AP379" s="49">
        <f>IF(AO379="","",AO379*W379)</f>
        <v/>
      </c>
      <c r="AQ379" s="47">
        <f>IF(OR(AJ379="",U379=0),"",MIN(IF(AW379="",9.9E+99,AW379),AN379/U379))</f>
        <v/>
      </c>
      <c r="AR379" s="49">
        <f>IF(AQ379="","",AQ379*W379)</f>
        <v/>
      </c>
      <c r="AS379" s="51" t="n"/>
      <c r="AT379" s="43" t="inlineStr">
        <is>
          <t>Estimated</t>
        </is>
      </c>
      <c r="AU379" s="52" t="n"/>
      <c r="AV379" s="52" t="n"/>
      <c r="AW379" s="53" t="n"/>
      <c r="AX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Y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Z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BA379" s="40" t="n"/>
      <c r="BB379" s="40" t="n"/>
    </row>
    <row r="380">
      <c r="A380" s="38" t="inlineStr">
        <is>
          <t>Yango Pakistan</t>
        </is>
      </c>
      <c r="B380" s="38" t="inlineStr">
        <is>
          <t>Pakistan</t>
        </is>
      </c>
      <c r="C380" s="39" t="inlineStr">
        <is>
          <t>Karachi (Mubarak Village / Keamari) → Churna Island</t>
        </is>
      </c>
      <c r="D380" s="38" t="inlineStr">
        <is>
          <t>yango</t>
        </is>
      </c>
      <c r="E380" s="40" t="inlineStr">
        <is>
          <t>yango-pakistan</t>
        </is>
      </c>
      <c r="F380" s="41" t="n">
        <v>1</v>
      </c>
      <c r="G380" s="42" t="n">
        <v>26</v>
      </c>
      <c r="H380" s="35" t="n">
        <v>25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MIN(15,FLOOR(60*service_hr/M380,1))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/>
      <c r="AK380" s="43" t="n"/>
      <c r="AL380" s="43" t="n"/>
      <c r="AM380" s="50" t="n">
        <v>0.1</v>
      </c>
      <c r="AN380" s="45">
        <f>IF(AJ380="","",AJ380*AM380)</f>
        <v/>
      </c>
      <c r="AO380" s="45">
        <f>IF(OR(AJ380="",U380=0),"",MIN(IF(AW380="",9.9E+99,AW380),FLOOR(AN380/U380,1)))</f>
        <v/>
      </c>
      <c r="AP380" s="49">
        <f>IF(AO380="","",AO380*W380)</f>
        <v/>
      </c>
      <c r="AQ380" s="47">
        <f>IF(OR(AJ380="",U380=0),"",MIN(IF(AW380="",9.9E+99,AW380),AN380/U380))</f>
        <v/>
      </c>
      <c r="AR380" s="49">
        <f>IF(AQ380="","",AQ380*W380)</f>
        <v/>
      </c>
      <c r="AS380" s="51" t="n"/>
      <c r="AT380" s="43" t="inlineStr">
        <is>
          <t>Estimated</t>
        </is>
      </c>
      <c r="AU380" s="52" t="n"/>
      <c r="AV380" s="52" t="n"/>
      <c r="AW380" s="53" t="n"/>
      <c r="AX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Y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Z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BA380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B380" s="40" t="n"/>
    </row>
    <row r="381">
      <c r="A381" s="38" t="inlineStr">
        <is>
          <t>Yango Peru</t>
        </is>
      </c>
      <c r="B381" s="38" t="inlineStr">
        <is>
          <t>Peru</t>
        </is>
      </c>
      <c r="C381" s="39" t="inlineStr">
        <is>
          <t>La Punta → Isla San Lorenzo</t>
        </is>
      </c>
      <c r="D381" s="38" t="inlineStr">
        <is>
          <t>yango</t>
        </is>
      </c>
      <c r="E381" s="40" t="inlineStr">
        <is>
          <t>yango-peru</t>
        </is>
      </c>
      <c r="F381" s="41" t="n">
        <v>1</v>
      </c>
      <c r="G381" s="42" t="n">
        <v>4</v>
      </c>
      <c r="H381" s="35" t="n">
        <v>30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MIN(15,FLOOR(60*service_hr/M381,1))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>
        <v>2000</v>
      </c>
      <c r="AK381" s="43" t="n"/>
      <c r="AL381" s="43" t="inlineStr">
        <is>
          <t>low</t>
        </is>
      </c>
      <c r="AM381" s="50" t="n">
        <v>0.25</v>
      </c>
      <c r="AN381" s="45">
        <f>IF(AJ381="","",AJ381*AM381)</f>
        <v/>
      </c>
      <c r="AO381" s="45">
        <f>IF(OR(AJ381="",U381=0),"",MIN(IF(AW381="",9.9E+99,AW381),FLOOR(AN381/U381,1)))</f>
        <v/>
      </c>
      <c r="AP381" s="49">
        <f>IF(AO381="","",AO381*W381)</f>
        <v/>
      </c>
      <c r="AQ381" s="47">
        <f>IF(OR(AJ381="",U381=0),"",MIN(IF(AW381="",9.9E+99,AW381),AN381/U381))</f>
        <v/>
      </c>
      <c r="AR381" s="49">
        <f>IF(AQ381="","",AQ381*W381)</f>
        <v/>
      </c>
      <c r="AS381" s="51" t="n"/>
      <c r="AT381" s="43" t="inlineStr">
        <is>
          <t>Estimated</t>
        </is>
      </c>
      <c r="AU381" s="52" t="n"/>
      <c r="AV381" s="52" t="n"/>
      <c r="AW381" s="53" t="n"/>
      <c r="AX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Y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Z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BA381" s="40" t="inlineStr">
        <is>
          <t>PREMIUM tier: Callao islands boat tour segment (San Lorenzo / El Fronton) ~ S/90-120 ~ $30 comparable per-seat.</t>
        </is>
      </c>
      <c r="BB381" s="40" t="n"/>
    </row>
    <row r="382">
      <c r="A382" s="38" t="inlineStr">
        <is>
          <t>Yango Peru</t>
        </is>
      </c>
      <c r="B382" s="38" t="inlineStr">
        <is>
          <t>Peru</t>
        </is>
      </c>
      <c r="C382" s="39" t="inlineStr">
        <is>
          <t>Callao / La Punta → Palomino Islands</t>
        </is>
      </c>
      <c r="D382" s="38" t="inlineStr">
        <is>
          <t>yango</t>
        </is>
      </c>
      <c r="E382" s="40" t="inlineStr">
        <is>
          <t>yango-peru</t>
        </is>
      </c>
      <c r="F382" s="41" t="n">
        <v>1</v>
      </c>
      <c r="G382" s="42" t="n">
        <v>8</v>
      </c>
      <c r="H382" s="35" t="n">
        <v>40</v>
      </c>
      <c r="I382" s="43" t="inlineStr">
        <is>
          <t>T2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MIN(15,FLOOR(60*service_hr/M382,1))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5000</v>
      </c>
      <c r="AK382" s="43" t="n"/>
      <c r="AL382" s="43" t="inlineStr">
        <is>
          <t>med</t>
        </is>
      </c>
      <c r="AM382" s="50" t="n">
        <v>0.25</v>
      </c>
      <c r="AN382" s="45">
        <f>IF(AJ382="","",AJ382*AM382)</f>
        <v/>
      </c>
      <c r="AO382" s="45">
        <f>IF(OR(AJ382="",U382=0),"",MIN(IF(AW382="",9.9E+99,AW382),FLOOR(AN382/U382,1)))</f>
        <v/>
      </c>
      <c r="AP382" s="49">
        <f>IF(AO382="","",AO382*W382)</f>
        <v/>
      </c>
      <c r="AQ382" s="47">
        <f>IF(OR(AJ382="",U382=0),"",MIN(IF(AW382="",9.9E+99,AW382),AN382/U382))</f>
        <v/>
      </c>
      <c r="AR382" s="49">
        <f>IF(AQ382="","",AQ382*W382)</f>
        <v/>
      </c>
      <c r="AS382" s="51" t="n"/>
      <c r="AT382" s="43" t="inlineStr">
        <is>
          <t>Estimated</t>
        </is>
      </c>
      <c r="AU382" s="52" t="n"/>
      <c r="AV382" s="52" t="n"/>
      <c r="AW382" s="53" t="n"/>
      <c r="AX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Y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Z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BA382" s="40" t="inlineStr">
        <is>
          <t>PREMIUM tier: Palomino Islands sea-lion swim tour 120 soles ~ $40 (Machupicchu Terra / operators, 2026). Reserve entry S/11 ~ $4.</t>
        </is>
      </c>
      <c r="BB382" s="40" t="n"/>
    </row>
    <row r="383">
      <c r="A383" s="38" t="inlineStr">
        <is>
          <t>Yango Peru</t>
        </is>
      </c>
      <c r="B383" s="38" t="inlineStr">
        <is>
          <t>Peru</t>
        </is>
      </c>
      <c r="C383" s="39" t="inlineStr">
        <is>
          <t>Costa Verde (Chorrillos) → Callao / La Punta</t>
        </is>
      </c>
      <c r="D383" s="38" t="inlineStr">
        <is>
          <t>yango</t>
        </is>
      </c>
      <c r="E383" s="40" t="inlineStr">
        <is>
          <t>yango-peru</t>
        </is>
      </c>
      <c r="F383" s="41" t="n">
        <v>1</v>
      </c>
      <c r="G383" s="42" t="n">
        <v>9</v>
      </c>
      <c r="H383" s="35" t="n">
        <v>12</v>
      </c>
      <c r="I383" s="43" t="inlineStr">
        <is>
          <t>T2</t>
        </is>
      </c>
      <c r="J383" s="43" t="inlineStr">
        <is>
          <t>low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MIN(24,FLOOR(60*service_hr/M383,1))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6000</v>
      </c>
      <c r="AK383" s="43" t="n"/>
      <c r="AL383" s="43" t="inlineStr">
        <is>
          <t>low</t>
        </is>
      </c>
      <c r="AM383" s="50" t="n">
        <v>0.25</v>
      </c>
      <c r="AN383" s="45">
        <f>IF(AJ383="","",AJ383*AM383)</f>
        <v/>
      </c>
      <c r="AO383" s="45">
        <f>IF(OR(AJ383="",U383=0),"",MIN(IF(AW383="",9.9E+99,AW383),FLOOR(AN383/U383,1)))</f>
        <v/>
      </c>
      <c r="AP383" s="49">
        <f>IF(AO383="","",AO383*W383)</f>
        <v/>
      </c>
      <c r="AQ383" s="47">
        <f>IF(OR(AJ383="",U383=0),"",MIN(IF(AW383="",9.9E+99,AW383),AN383/U383))</f>
        <v/>
      </c>
      <c r="AR383" s="49">
        <f>IF(AQ383="","",AQ383*W383)</f>
        <v/>
      </c>
      <c r="AS383" s="51" t="n"/>
      <c r="AT383" s="43" t="inlineStr">
        <is>
          <t>Estimated</t>
        </is>
      </c>
      <c r="AU383" s="52" t="n"/>
      <c r="AV383" s="52" t="n"/>
      <c r="AW383" s="53" t="n"/>
      <c r="AX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Y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Z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BA383" s="40" t="inlineStr">
        <is>
          <t>No scheduled water-commute exists today (greenfield harbour run). Comparable = Lima premium leisure harbour transfer ~$12; commuter floor = Lima urban transit fare S/2.0 ~ $0.55.</t>
        </is>
      </c>
      <c r="BB383" s="40" t="n"/>
    </row>
    <row r="384">
      <c r="A384" s="38" t="inlineStr">
        <is>
          <t>Yango Peru</t>
        </is>
      </c>
      <c r="B384" s="38" t="inlineStr">
        <is>
          <t>Peru</t>
        </is>
      </c>
      <c r="C384" s="39" t="inlineStr">
        <is>
          <t>Paracas (El Chaco) → Ballestas Islands</t>
        </is>
      </c>
      <c r="D384" s="38" t="inlineStr">
        <is>
          <t>yango</t>
        </is>
      </c>
      <c r="E384" s="40" t="inlineStr">
        <is>
          <t>yango-peru</t>
        </is>
      </c>
      <c r="F384" s="41" t="n">
        <v>1</v>
      </c>
      <c r="G384" s="42" t="n">
        <v>9</v>
      </c>
      <c r="H384" s="35" t="n">
        <v>15</v>
      </c>
      <c r="I384" s="43" t="inlineStr">
        <is>
          <t>T2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>
        <v>15000</v>
      </c>
      <c r="AK384" s="43" t="n"/>
      <c r="AL384" s="43" t="inlineStr">
        <is>
          <t>med</t>
        </is>
      </c>
      <c r="AM384" s="50" t="n">
        <v>0.25</v>
      </c>
      <c r="AN384" s="45">
        <f>IF(AJ384="","",AJ384*AM384)</f>
        <v/>
      </c>
      <c r="AO384" s="45">
        <f>IF(OR(AJ384="",U384=0),"",MIN(IF(AW384="",9.9E+99,AW384),FLOOR(AN384/U384,1)))</f>
        <v/>
      </c>
      <c r="AP384" s="49">
        <f>IF(AO384="","",AO384*W384)</f>
        <v/>
      </c>
      <c r="AQ384" s="47">
        <f>IF(OR(AJ384="",U384=0),"",MIN(IF(AW384="",9.9E+99,AW384),AN384/U384))</f>
        <v/>
      </c>
      <c r="AR384" s="49">
        <f>IF(AQ384="","",AQ384*W384)</f>
        <v/>
      </c>
      <c r="AS384" s="51" t="n"/>
      <c r="AT384" s="43" t="inlineStr">
        <is>
          <t>Estimated</t>
        </is>
      </c>
      <c r="AU384" s="52" t="n"/>
      <c r="AV384" s="52" t="n"/>
      <c r="AW384" s="53" t="n"/>
      <c r="AX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Y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Z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BA384" s="40" t="inlineStr">
        <is>
          <t>PREMIUM tier: Islas Ballestas 2hr boat tour $13-15 (Paracas Explorer / operators, 2026); + Paracas National Reserve entry S/11 ~ $3.</t>
        </is>
      </c>
      <c r="BB384" s="40" t="n"/>
    </row>
    <row r="385">
      <c r="A385" s="38" t="inlineStr">
        <is>
          <t>Philippines</t>
        </is>
      </c>
      <c r="B385" s="38" t="inlineStr">
        <is>
          <t>Philippines</t>
        </is>
      </c>
      <c r="C385" s="39" t="inlineStr">
        <is>
          <t>Caticlan Jetty (Tabipan) → Boracay (Cagban Jetty)</t>
        </is>
      </c>
      <c r="D385" s="38" t="inlineStr">
        <is>
          <t>grab</t>
        </is>
      </c>
      <c r="E385" s="40" t="inlineStr">
        <is>
          <t>philippines</t>
        </is>
      </c>
      <c r="F385" s="41" t="n">
        <v>1</v>
      </c>
      <c r="G385" s="42" t="n">
        <v>0.9</v>
      </c>
      <c r="H385" s="35" t="n">
        <v>15</v>
      </c>
      <c r="I385" s="43" t="inlineStr">
        <is>
          <t>T3</t>
        </is>
      </c>
      <c r="J385" s="43" t="inlineStr">
        <is>
          <t>high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MIN(15,FLOOR(60*service_hr/M385,1))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4000000</v>
      </c>
      <c r="AK385" s="43" t="inlineStr">
        <is>
          <t>T2</t>
        </is>
      </c>
      <c r="AL385" s="43" t="inlineStr">
        <is>
          <t>high</t>
        </is>
      </c>
      <c r="AM385" s="50" t="n">
        <v>0.1</v>
      </c>
      <c r="AN385" s="45">
        <f>IF(AJ385="","",AJ385*AM385)</f>
        <v/>
      </c>
      <c r="AO385" s="45">
        <f>IF(OR(AJ385="",U385=0),"",MIN(IF(AW385="",9.9E+99,AW385),FLOOR(AN385/U385,1)))</f>
        <v/>
      </c>
      <c r="AP385" s="49">
        <f>IF(AO385="","",AO385*W385)</f>
        <v/>
      </c>
      <c r="AQ385" s="47">
        <f>IF(OR(AJ385="",U385=0),"",MIN(IF(AW385="",9.9E+99,AW385),AN385/U385))</f>
        <v/>
      </c>
      <c r="AR385" s="49">
        <f>IF(AQ385="","",AQ385*W385)</f>
        <v/>
      </c>
      <c r="AS385" s="51" t="n"/>
      <c r="AT385" s="43" t="inlineStr">
        <is>
          <t>Grounded</t>
        </is>
      </c>
      <c r="AU385" s="52" t="n"/>
      <c r="AV385" s="52" t="n"/>
      <c r="AW385" s="53" t="n"/>
      <c r="AX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Y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Z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BA385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B385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86">
      <c r="A386" s="38" t="inlineStr">
        <is>
          <t>Philippines</t>
        </is>
      </c>
      <c r="B386" s="38" t="inlineStr">
        <is>
          <t>Philippines</t>
        </is>
      </c>
      <c r="C386" s="39" t="inlineStr">
        <is>
          <t>Boracay (Cagban) → Carabao Island (Lanas Beach)</t>
        </is>
      </c>
      <c r="D386" s="38" t="inlineStr">
        <is>
          <t>grab</t>
        </is>
      </c>
      <c r="E386" s="40" t="inlineStr">
        <is>
          <t>philippines</t>
        </is>
      </c>
      <c r="F386" s="41" t="n">
        <v>1</v>
      </c>
      <c r="G386" s="42" t="n">
        <v>5.5</v>
      </c>
      <c r="H386" s="35" t="n">
        <v>11</v>
      </c>
      <c r="I386" s="43" t="inlineStr">
        <is>
          <t>T3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>
        <v>60000</v>
      </c>
      <c r="AK386" s="43" t="inlineStr">
        <is>
          <t>T5</t>
        </is>
      </c>
      <c r="AL386" s="43" t="inlineStr">
        <is>
          <t>low</t>
        </is>
      </c>
      <c r="AM386" s="50" t="n">
        <v>0.1</v>
      </c>
      <c r="AN386" s="45">
        <f>IF(AJ386="","",AJ386*AM386)</f>
        <v/>
      </c>
      <c r="AO386" s="45">
        <f>IF(OR(AJ386="",U386=0),"",MIN(IF(AW386="",9.9E+99,AW386),FLOOR(AN386/U386,1)))</f>
        <v/>
      </c>
      <c r="AP386" s="49">
        <f>IF(AO386="","",AO386*W386)</f>
        <v/>
      </c>
      <c r="AQ386" s="47">
        <f>IF(OR(AJ386="",U386=0),"",MIN(IF(AW386="",9.9E+99,AW386),AN386/U386))</f>
        <v/>
      </c>
      <c r="AR386" s="49">
        <f>IF(AQ386="","",AQ386*W386)</f>
        <v/>
      </c>
      <c r="AS386" s="51" t="n"/>
      <c r="AT386" s="43" t="inlineStr">
        <is>
          <t>Grounded</t>
        </is>
      </c>
      <c r="AU386" s="52" t="n"/>
      <c r="AV386" s="52" t="n"/>
      <c r="AW386" s="53" t="n"/>
      <c r="AX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Y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Z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BA386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B386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87">
      <c r="A387" s="38" t="inlineStr">
        <is>
          <t>Philippines</t>
        </is>
      </c>
      <c r="B387" s="38" t="inlineStr">
        <is>
          <t>Philippines</t>
        </is>
      </c>
      <c r="C387" s="39" t="inlineStr">
        <is>
          <t>Boracay (White Beach) → Boracay island-hop loop (Puka / Crocodile Is.)</t>
        </is>
      </c>
      <c r="D387" s="38" t="inlineStr">
        <is>
          <t>grab</t>
        </is>
      </c>
      <c r="E387" s="40" t="inlineStr">
        <is>
          <t>philippines</t>
        </is>
      </c>
      <c r="F387" s="41" t="n">
        <v>1</v>
      </c>
      <c r="G387" s="42" t="n">
        <v>6</v>
      </c>
      <c r="H387" s="35" t="n">
        <v>23</v>
      </c>
      <c r="I387" s="43" t="inlineStr">
        <is>
          <t>T3</t>
        </is>
      </c>
      <c r="J387" s="43" t="inlineStr">
        <is>
          <t>med-high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500000</v>
      </c>
      <c r="AK387" s="43" t="inlineStr">
        <is>
          <t>T5</t>
        </is>
      </c>
      <c r="AL387" s="43" t="inlineStr">
        <is>
          <t>low</t>
        </is>
      </c>
      <c r="AM387" s="50" t="n">
        <v>0.1</v>
      </c>
      <c r="AN387" s="45">
        <f>IF(AJ387="","",AJ387*AM387)</f>
        <v/>
      </c>
      <c r="AO387" s="45">
        <f>IF(OR(AJ387="",U387=0),"",MIN(IF(AW387="",9.9E+99,AW387),FLOOR(AN387/U387,1)))</f>
        <v/>
      </c>
      <c r="AP387" s="49">
        <f>IF(AO387="","",AO387*W387)</f>
        <v/>
      </c>
      <c r="AQ387" s="47">
        <f>IF(OR(AJ387="",U387=0),"",MIN(IF(AW387="",9.9E+99,AW387),AN387/U387))</f>
        <v/>
      </c>
      <c r="AR387" s="49">
        <f>IF(AQ387="","",AQ387*W387)</f>
        <v/>
      </c>
      <c r="AS387" s="51" t="n"/>
      <c r="AT387" s="43" t="inlineStr">
        <is>
          <t>Grounded</t>
        </is>
      </c>
      <c r="AU387" s="52" t="n"/>
      <c r="AV387" s="52" t="n"/>
      <c r="AW387" s="53" t="n"/>
      <c r="AX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Y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Z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BA387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B387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88">
      <c r="A388" s="38" t="inlineStr">
        <is>
          <t>Philippines</t>
        </is>
      </c>
      <c r="B388" s="38" t="inlineStr">
        <is>
          <t>Philippines</t>
        </is>
      </c>
      <c r="C388" s="39" t="inlineStr">
        <is>
          <t>Manila (Esplanade) → Sangley Point (Cavite)</t>
        </is>
      </c>
      <c r="D388" s="38" t="inlineStr">
        <is>
          <t>grab</t>
        </is>
      </c>
      <c r="E388" s="40" t="inlineStr">
        <is>
          <t>philippines</t>
        </is>
      </c>
      <c r="F388" s="41" t="n">
        <v>1</v>
      </c>
      <c r="G388" s="42" t="n">
        <v>8</v>
      </c>
      <c r="H388" s="35" t="n"/>
      <c r="I388" s="43" t="inlineStr">
        <is>
          <t>T2</t>
        </is>
      </c>
      <c r="J388" s="43" t="inlineStr">
        <is>
          <t>low</t>
        </is>
      </c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inlineStr">
        <is>
          <t>T2</t>
        </is>
      </c>
      <c r="AL388" s="43" t="inlineStr">
        <is>
          <t>low</t>
        </is>
      </c>
      <c r="AM388" s="50" t="n">
        <v>0.1</v>
      </c>
      <c r="AN388" s="45">
        <f>IF(AJ388="","",AJ388*AM388)</f>
        <v/>
      </c>
      <c r="AO388" s="45">
        <f>IF(OR(AJ388="",U388=0),"",MIN(IF(AW388="",9.9E+99,AW388),FLOOR(AN388/U388,1)))</f>
        <v/>
      </c>
      <c r="AP388" s="49">
        <f>IF(AO388="","",AO388*W388)</f>
        <v/>
      </c>
      <c r="AQ388" s="47">
        <f>IF(OR(AJ388="",U388=0),"",MIN(IF(AW388="",9.9E+99,AW388),AN388/U388))</f>
        <v/>
      </c>
      <c r="AR388" s="49">
        <f>IF(AQ388="","",AQ388*W388)</f>
        <v/>
      </c>
      <c r="AS388" s="51" t="n"/>
      <c r="AT388" s="43" t="inlineStr">
        <is>
          <t>Estimated</t>
        </is>
      </c>
      <c r="AU388" s="52" t="n"/>
      <c r="AV388" s="52" t="n"/>
      <c r="AW388" s="53" t="n"/>
      <c r="AX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Y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Z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BA388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B388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89">
      <c r="A389" s="38" t="inlineStr">
        <is>
          <t>Philippines</t>
        </is>
      </c>
      <c r="B389" s="38" t="inlineStr">
        <is>
          <t>Philippines</t>
        </is>
      </c>
      <c r="C389" s="39" t="inlineStr">
        <is>
          <t>Manila (SM MOA Esplanade) → Camaya Coast / Orion (Bataan)</t>
        </is>
      </c>
      <c r="D389" s="38" t="inlineStr">
        <is>
          <t>grab</t>
        </is>
      </c>
      <c r="E389" s="40" t="inlineStr">
        <is>
          <t>philippines</t>
        </is>
      </c>
      <c r="F389" s="41" t="n">
        <v>1</v>
      </c>
      <c r="G389" s="42" t="n">
        <v>22</v>
      </c>
      <c r="H389" s="35" t="n">
        <v>18</v>
      </c>
      <c r="I389" s="43" t="inlineStr">
        <is>
          <t>T3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/>
      <c r="AK389" s="43" t="inlineStr">
        <is>
          <t>T2</t>
        </is>
      </c>
      <c r="AL389" s="43" t="inlineStr">
        <is>
          <t>low</t>
        </is>
      </c>
      <c r="AM389" s="50" t="n">
        <v>0.1</v>
      </c>
      <c r="AN389" s="45">
        <f>IF(AJ389="","",AJ389*AM389)</f>
        <v/>
      </c>
      <c r="AO389" s="45">
        <f>IF(OR(AJ389="",U389=0),"",MIN(IF(AW389="",9.9E+99,AW389),FLOOR(AN389/U389,1)))</f>
        <v/>
      </c>
      <c r="AP389" s="49">
        <f>IF(AO389="","",AO389*W389)</f>
        <v/>
      </c>
      <c r="AQ389" s="47">
        <f>IF(OR(AJ389="",U389=0),"",MIN(IF(AW389="",9.9E+99,AW389),AN389/U389))</f>
        <v/>
      </c>
      <c r="AR389" s="49">
        <f>IF(AQ389="","",AQ389*W389)</f>
        <v/>
      </c>
      <c r="AS389" s="51" t="n"/>
      <c r="AT389" s="43" t="inlineStr">
        <is>
          <t>Estimated</t>
        </is>
      </c>
      <c r="AU389" s="52" t="n"/>
      <c r="AV389" s="52" t="n"/>
      <c r="AW389" s="53" t="n"/>
      <c r="AX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Y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Z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BA389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B389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90">
      <c r="A390" s="38" t="inlineStr">
        <is>
          <t>Philippines</t>
        </is>
      </c>
      <c r="B390" s="38" t="inlineStr">
        <is>
          <t>Philippines</t>
        </is>
      </c>
      <c r="C390" s="39" t="inlineStr">
        <is>
          <t>Manila (CCP / Esplanade Seaside) → Corregidor Island</t>
        </is>
      </c>
      <c r="D390" s="38" t="inlineStr">
        <is>
          <t>grab</t>
        </is>
      </c>
      <c r="E390" s="40" t="inlineStr">
        <is>
          <t>philippines</t>
        </is>
      </c>
      <c r="F390" s="41" t="n">
        <v>1</v>
      </c>
      <c r="G390" s="42" t="n">
        <v>26</v>
      </c>
      <c r="H390" s="35" t="n">
        <v>50</v>
      </c>
      <c r="I390" s="43" t="inlineStr">
        <is>
          <t>T3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MIN(15,FLOOR(60*service_hr/M390,1))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inlineStr">
        <is>
          <t>T2</t>
        </is>
      </c>
      <c r="AL390" s="43" t="inlineStr">
        <is>
          <t>low</t>
        </is>
      </c>
      <c r="AM390" s="50" t="n">
        <v>0.1</v>
      </c>
      <c r="AN390" s="45">
        <f>IF(AJ390="","",AJ390*AM390)</f>
        <v/>
      </c>
      <c r="AO390" s="45">
        <f>IF(OR(AJ390="",U390=0),"",MIN(IF(AW390="",9.9E+99,AW390),FLOOR(AN390/U390,1)))</f>
        <v/>
      </c>
      <c r="AP390" s="49">
        <f>IF(AO390="","",AO390*W390)</f>
        <v/>
      </c>
      <c r="AQ390" s="47">
        <f>IF(OR(AJ390="",U390=0),"",MIN(IF(AW390="",9.9E+99,AW390),AN390/U390))</f>
        <v/>
      </c>
      <c r="AR390" s="49">
        <f>IF(AQ390="","",AQ390*W390)</f>
        <v/>
      </c>
      <c r="AS390" s="51" t="n"/>
      <c r="AT390" s="43" t="inlineStr">
        <is>
          <t>Estimated</t>
        </is>
      </c>
      <c r="AU390" s="52" t="n"/>
      <c r="AV390" s="52" t="n"/>
      <c r="AW390" s="53" t="n"/>
      <c r="AX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Y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Z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BA390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B390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91">
      <c r="A391" s="38" t="inlineStr">
        <is>
          <t>Philippines</t>
        </is>
      </c>
      <c r="B391" s="38" t="inlineStr">
        <is>
          <t>Philippines</t>
        </is>
      </c>
      <c r="C391" s="39" t="inlineStr">
        <is>
          <t>Cebu (Mactan) → Bohol / Panglao</t>
        </is>
      </c>
      <c r="D391" s="38" t="inlineStr">
        <is>
          <t>grab</t>
        </is>
      </c>
      <c r="E391" s="40" t="inlineStr">
        <is>
          <t>philippines</t>
        </is>
      </c>
      <c r="F391" s="41" t="n">
        <v>1</v>
      </c>
      <c r="G391" s="42" t="n">
        <v>35</v>
      </c>
      <c r="H391" s="35" t="n">
        <v>21</v>
      </c>
      <c r="I391" s="43" t="inlineStr">
        <is>
          <t>T3</t>
        </is>
      </c>
      <c r="J391" s="43" t="inlineStr">
        <is>
          <t>med-high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2000000</v>
      </c>
      <c r="AK391" s="43" t="inlineStr">
        <is>
          <t>T3</t>
        </is>
      </c>
      <c r="AL391" s="43" t="inlineStr">
        <is>
          <t>med</t>
        </is>
      </c>
      <c r="AM391" s="50" t="n">
        <v>0.1</v>
      </c>
      <c r="AN391" s="45">
        <f>IF(AJ391="","",AJ391*AM391)</f>
        <v/>
      </c>
      <c r="AO391" s="45">
        <f>IF(OR(AJ391="",U391=0),"",MIN(IF(AW391="",9.9E+99,AW391),FLOOR(AN391/U391,1)))</f>
        <v/>
      </c>
      <c r="AP391" s="49">
        <f>IF(AO391="","",AO391*W391)</f>
        <v/>
      </c>
      <c r="AQ391" s="47">
        <f>IF(OR(AJ391="",U391=0),"",MIN(IF(AW391="",9.9E+99,AW391),AN391/U391))</f>
        <v/>
      </c>
      <c r="AR391" s="49">
        <f>IF(AQ391="","",AQ391*W391)</f>
        <v/>
      </c>
      <c r="AS391" s="51" t="n"/>
      <c r="AT391" s="43" t="inlineStr">
        <is>
          <t>Grounded</t>
        </is>
      </c>
      <c r="AU391" s="52" t="n"/>
      <c r="AV391" s="52" t="n"/>
      <c r="AW391" s="53" t="n"/>
      <c r="AX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Y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Z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BA391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B391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92">
      <c r="A392" s="38" t="inlineStr">
        <is>
          <t>Bolt Portugal</t>
        </is>
      </c>
      <c r="B392" s="38" t="inlineStr">
        <is>
          <t>Portugal</t>
        </is>
      </c>
      <c r="C392" s="39" t="inlineStr">
        <is>
          <t>Porto (Cais da Ribeira) → Vila Nova de Gaia (Cais de Gaia)</t>
        </is>
      </c>
      <c r="D392" s="38" t="inlineStr">
        <is>
          <t>bolt</t>
        </is>
      </c>
      <c r="E392" s="40" t="inlineStr">
        <is>
          <t>bolt-portugal</t>
        </is>
      </c>
      <c r="F392" s="41" t="n">
        <v>1</v>
      </c>
      <c r="G392" s="42" t="n">
        <v>0.2</v>
      </c>
      <c r="H392" s="35" t="n">
        <v>17.8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MIN(15,FLOOR(60*service_hr/M392,1))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1200000</v>
      </c>
      <c r="AK392" s="43" t="n"/>
      <c r="AL392" s="43" t="n"/>
      <c r="AM392" s="50" t="n">
        <v>0.1</v>
      </c>
      <c r="AN392" s="45">
        <f>IF(AJ392="","",AJ392*AM392)</f>
        <v/>
      </c>
      <c r="AO392" s="45">
        <f>IF(OR(AJ392="",U392=0),"",MIN(IF(AW392="",9.9E+99,AW392),FLOOR(AN392/U392,1)))</f>
        <v/>
      </c>
      <c r="AP392" s="49">
        <f>IF(AO392="","",AO392*W392)</f>
        <v/>
      </c>
      <c r="AQ392" s="47">
        <f>IF(OR(AJ392="",U392=0),"",MIN(IF(AW392="",9.9E+99,AW392),AN392/U392))</f>
        <v/>
      </c>
      <c r="AR392" s="49">
        <f>IF(AQ392="","",AQ392*W392)</f>
        <v/>
      </c>
      <c r="AS392" s="51" t="n"/>
      <c r="AT392" s="43" t="inlineStr">
        <is>
          <t>Grounded</t>
        </is>
      </c>
      <c r="AU392" s="52" t="n"/>
      <c r="AV392" s="52" t="n"/>
      <c r="AW392" s="53" t="n"/>
      <c r="AX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Y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Z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BA392" s="40" t="inlineStr">
        <is>
          <t>PREMIUM tourist tier: the standard Douro '6 Bridges' panoramic cruise per-seat is ~EUR 15-18 (Tomaz do Douro / Portugal by Wine / GetYourGuide), ~50 min -&gt; ~$17.8.</t>
        </is>
      </c>
      <c r="BB392" s="40" t="n"/>
    </row>
    <row r="393">
      <c r="A393" s="38" t="inlineStr">
        <is>
          <t>Bolt Portugal</t>
        </is>
      </c>
      <c r="B393" s="38" t="inlineStr">
        <is>
          <t>Portugal</t>
        </is>
      </c>
      <c r="C393" s="39" t="inlineStr">
        <is>
          <t>Vila Real de Santo Antonio (Portugal) → Ayamonte (Spain)</t>
        </is>
      </c>
      <c r="D393" s="38" t="inlineStr">
        <is>
          <t>bolt</t>
        </is>
      </c>
      <c r="E393" s="40" t="inlineStr">
        <is>
          <t>bolt-portugal</t>
        </is>
      </c>
      <c r="F393" s="41" t="n">
        <v>1</v>
      </c>
      <c r="G393" s="42" t="n">
        <v>0.8</v>
      </c>
      <c r="H393" s="35" t="n">
        <v>18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0.1</v>
      </c>
      <c r="AN393" s="45">
        <f>IF(AJ393="","",AJ393*AM393)</f>
        <v/>
      </c>
      <c r="AO393" s="45">
        <f>IF(OR(AJ393="",U393=0),"",MIN(IF(AW393="",9.9E+99,AW393),FLOOR(AN393/U393,1)))</f>
        <v/>
      </c>
      <c r="AP393" s="49">
        <f>IF(AO393="","",AO393*W393)</f>
        <v/>
      </c>
      <c r="AQ393" s="47">
        <f>IF(OR(AJ393="",U393=0),"",MIN(IF(AW393="",9.9E+99,AW393),AN393/U393))</f>
        <v/>
      </c>
      <c r="AR393" s="49">
        <f>IF(AQ393="","",AQ393*W393)</f>
        <v/>
      </c>
      <c r="AS393" s="51" t="n"/>
      <c r="AT393" s="43" t="inlineStr">
        <is>
          <t>Estimated</t>
        </is>
      </c>
      <c r="AU393" s="52" t="n"/>
      <c r="AV393" s="52" t="n"/>
      <c r="AW393" s="53" t="n"/>
      <c r="AX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Y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Z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BA393" s="40" t="inlineStr">
        <is>
          <t>[LB-255 PREMIUM RE-FARE: subsidized comparable $5.0 lifted to premium on-demand floor $18.0] Scheduled cross-border ferry fare EUR 2-7 one-way (Rome2Rio / TFG) -&gt; mid ~$5.</t>
        </is>
      </c>
      <c r="BB393" s="40" t="n"/>
    </row>
    <row r="394">
      <c r="A394" s="38" t="inlineStr">
        <is>
          <t>Bolt Portugal</t>
        </is>
      </c>
      <c r="B394" s="38" t="inlineStr">
        <is>
          <t>Portugal</t>
        </is>
      </c>
      <c r="C394" s="39" t="inlineStr">
        <is>
          <t>Lagos → Ponta da Piedade</t>
        </is>
      </c>
      <c r="D394" s="38" t="inlineStr">
        <is>
          <t>bolt</t>
        </is>
      </c>
      <c r="E394" s="40" t="inlineStr">
        <is>
          <t>bolt-portugal</t>
        </is>
      </c>
      <c r="F394" s="41" t="n">
        <v>1</v>
      </c>
      <c r="G394" s="42" t="n">
        <v>1.2</v>
      </c>
      <c r="H394" s="35" t="n">
        <v>24</v>
      </c>
      <c r="I394" s="43" t="inlineStr">
        <is>
          <t>T2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MIN(15,FLOOR(60*service_hr/M394,1))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/>
      <c r="AK394" s="43" t="n"/>
      <c r="AL394" s="43" t="n"/>
      <c r="AM394" s="50" t="n">
        <v>0.1</v>
      </c>
      <c r="AN394" s="45">
        <f>IF(AJ394="","",AJ394*AM394)</f>
        <v/>
      </c>
      <c r="AO394" s="45">
        <f>IF(OR(AJ394="",U394=0),"",MIN(IF(AW394="",9.9E+99,AW394),FLOOR(AN394/U394,1)))</f>
        <v/>
      </c>
      <c r="AP394" s="49">
        <f>IF(AO394="","",AO394*W394)</f>
        <v/>
      </c>
      <c r="AQ394" s="47">
        <f>IF(OR(AJ394="",U394=0),"",MIN(IF(AW394="",9.9E+99,AW394),AN394/U394))</f>
        <v/>
      </c>
      <c r="AR394" s="49">
        <f>IF(AQ394="","",AQ394*W394)</f>
        <v/>
      </c>
      <c r="AS394" s="51" t="n"/>
      <c r="AT394" s="43" t="inlineStr">
        <is>
          <t>Estimated</t>
        </is>
      </c>
      <c r="AU394" s="52" t="n"/>
      <c r="AV394" s="52" t="n"/>
      <c r="AW394" s="53" t="n"/>
      <c r="AX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Y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Z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BA394" s="40" t="inlineStr">
        <is>
          <t>PREMIUM tier: standard Ponta da Piedade grotto boat trip ~EUR 20-25 per seat (Tripadvisor/GetYourGuide; ~$20-25) -&gt; ~$24.</t>
        </is>
      </c>
      <c r="BB394" s="40" t="n"/>
    </row>
    <row r="395">
      <c r="A395" s="38" t="inlineStr">
        <is>
          <t>Bolt Portugal</t>
        </is>
      </c>
      <c r="B395" s="38" t="inlineStr">
        <is>
          <t>Portugal</t>
        </is>
      </c>
      <c r="C395" s="39" t="inlineStr">
        <is>
          <t>Cais do Sodré (Lisbon) → Cacilhas (Almada)</t>
        </is>
      </c>
      <c r="D395" s="38" t="inlineStr">
        <is>
          <t>bolt</t>
        </is>
      </c>
      <c r="E395" s="40" t="inlineStr">
        <is>
          <t>bolt-portugal</t>
        </is>
      </c>
      <c r="F395" s="41" t="n">
        <v>1</v>
      </c>
      <c r="G395" s="42" t="n">
        <v>1.5</v>
      </c>
      <c r="H395" s="35" t="n">
        <v>18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MIN(15,FLOOR(60*service_hr/M395,1))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750337</v>
      </c>
      <c r="AK395" s="43" t="n"/>
      <c r="AL395" s="43" t="inlineStr">
        <is>
          <t>med</t>
        </is>
      </c>
      <c r="AM395" s="50" t="n">
        <v>0.25</v>
      </c>
      <c r="AN395" s="45">
        <f>IF(AJ395="","",AJ395*AM395)</f>
        <v/>
      </c>
      <c r="AO395" s="45">
        <f>IF(OR(AJ395="",U395=0),"",MIN(IF(AW395="",9.9E+99,AW395),FLOOR(AN395/U395,1)))</f>
        <v/>
      </c>
      <c r="AP395" s="49">
        <f>IF(AO395="","",AO395*W395)</f>
        <v/>
      </c>
      <c r="AQ395" s="47">
        <f>IF(OR(AJ395="",U395=0),"",MIN(IF(AW395="",9.9E+99,AW395),AN395/U395))</f>
        <v/>
      </c>
      <c r="AR395" s="49">
        <f>IF(AQ395="","",AQ395*W395)</f>
        <v/>
      </c>
      <c r="AS395" s="51" t="n"/>
      <c r="AT395" s="43" t="inlineStr">
        <is>
          <t>Grounded</t>
        </is>
      </c>
      <c r="AU395" s="52" t="n"/>
      <c r="AV395" s="52" t="n"/>
      <c r="AW395" s="53" t="n"/>
      <c r="AX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Y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Z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BA395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B395" s="40" t="n"/>
    </row>
    <row r="396">
      <c r="A396" s="38" t="inlineStr">
        <is>
          <t>Bolt Portugal</t>
        </is>
      </c>
      <c r="B396" s="38" t="inlineStr">
        <is>
          <t>Portugal</t>
        </is>
      </c>
      <c r="C396" s="39" t="inlineStr">
        <is>
          <t>Belem (Lisbon) → Trafaria / Porto Brandao (Almada)</t>
        </is>
      </c>
      <c r="D396" s="38" t="inlineStr">
        <is>
          <t>bolt</t>
        </is>
      </c>
      <c r="E396" s="40" t="inlineStr">
        <is>
          <t>bolt-portugal</t>
        </is>
      </c>
      <c r="F396" s="41" t="n">
        <v>1</v>
      </c>
      <c r="G396" s="42" t="n">
        <v>2.4</v>
      </c>
      <c r="H396" s="35" t="n">
        <v>18</v>
      </c>
      <c r="I396" s="43" t="inlineStr">
        <is>
          <t>T2</t>
        </is>
      </c>
      <c r="J396" s="43" t="inlineStr">
        <is>
          <t>med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MIN(24,FLOOR(60*service_hr/M396,1))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38706</v>
      </c>
      <c r="AK396" s="43" t="n"/>
      <c r="AL396" s="43" t="inlineStr">
        <is>
          <t>med</t>
        </is>
      </c>
      <c r="AM396" s="50" t="n">
        <v>0.25</v>
      </c>
      <c r="AN396" s="45">
        <f>IF(AJ396="","",AJ396*AM396)</f>
        <v/>
      </c>
      <c r="AO396" s="45">
        <f>IF(OR(AJ396="",U396=0),"",MIN(IF(AW396="",9.9E+99,AW396),FLOOR(AN396/U396,1)))</f>
        <v/>
      </c>
      <c r="AP396" s="49">
        <f>IF(AO396="","",AO396*W396)</f>
        <v/>
      </c>
      <c r="AQ396" s="47">
        <f>IF(OR(AJ396="",U396=0),"",MIN(IF(AW396="",9.9E+99,AW396),AN396/U396))</f>
        <v/>
      </c>
      <c r="AR396" s="49">
        <f>IF(AQ396="","",AQ396*W396)</f>
        <v/>
      </c>
      <c r="AS396" s="51" t="n"/>
      <c r="AT396" s="43" t="inlineStr">
        <is>
          <t>Estimated</t>
        </is>
      </c>
      <c r="AU396" s="52" t="n"/>
      <c r="AV396" s="52" t="n"/>
      <c r="AW396" s="53" t="n"/>
      <c r="AX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Y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Z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BA396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B396" s="40" t="n"/>
    </row>
    <row r="397">
      <c r="A397" s="38" t="inlineStr">
        <is>
          <t>Bolt Portugal</t>
        </is>
      </c>
      <c r="B397" s="38" t="inlineStr">
        <is>
          <t>Portugal</t>
        </is>
      </c>
      <c r="C397" s="39" t="inlineStr">
        <is>
          <t>Olhao → Culatra / Farol</t>
        </is>
      </c>
      <c r="D397" s="38" t="inlineStr">
        <is>
          <t>bolt</t>
        </is>
      </c>
      <c r="E397" s="40" t="inlineStr">
        <is>
          <t>bolt-portugal</t>
        </is>
      </c>
      <c r="F397" s="41" t="n">
        <v>1</v>
      </c>
      <c r="G397" s="42" t="n">
        <v>2.7</v>
      </c>
      <c r="H397" s="35" t="n">
        <v>30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IF(OR(AJ397="",U397=0),"",MIN(IF(AW397="",9.9E+99,AW397),FLOOR(AN397/U397,1)))</f>
        <v/>
      </c>
      <c r="AP397" s="49">
        <f>IF(AO397="","",AO397*W397)</f>
        <v/>
      </c>
      <c r="AQ397" s="47">
        <f>IF(OR(AJ397="",U397=0),"",MIN(IF(AW397="",9.9E+99,AW397),AN397/U397))</f>
        <v/>
      </c>
      <c r="AR397" s="49">
        <f>IF(AQ397="","",AQ397*W397)</f>
        <v/>
      </c>
      <c r="AS397" s="51" t="n"/>
      <c r="AT397" s="43" t="inlineStr">
        <is>
          <t>Estimated</t>
        </is>
      </c>
      <c r="AU397" s="52" t="n"/>
      <c r="AV397" s="52" t="n"/>
      <c r="AW397" s="53" t="n"/>
      <c r="AX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Y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Z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BA397" s="40" t="inlineStr">
        <is>
          <t>PREMIUM tier: Ria Formosa island-hopping tour Olhao -&gt; Farol/Culatra/Armona ~EUR 25-30 per seat (GetYourGuide) -&gt; ~$30.</t>
        </is>
      </c>
      <c r="BB397" s="40" t="n"/>
    </row>
    <row r="398">
      <c r="A398" s="38" t="inlineStr">
        <is>
          <t>Bolt Portugal</t>
        </is>
      </c>
      <c r="B398" s="38" t="inlineStr">
        <is>
          <t>Portugal</t>
        </is>
      </c>
      <c r="C398" s="39" t="inlineStr">
        <is>
          <t>Faro → Ilha Deserta (Barreta)</t>
        </is>
      </c>
      <c r="D398" s="38" t="inlineStr">
        <is>
          <t>bolt</t>
        </is>
      </c>
      <c r="E398" s="40" t="inlineStr">
        <is>
          <t>bolt-portugal</t>
        </is>
      </c>
      <c r="F398" s="41" t="n">
        <v>1</v>
      </c>
      <c r="G398" s="42" t="n">
        <v>3</v>
      </c>
      <c r="H398" s="35" t="n">
        <v>30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MIN(15,FLOOR(60*service_hr/M398,1))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/>
      <c r="AK398" s="43" t="n"/>
      <c r="AL398" s="43" t="n"/>
      <c r="AM398" s="50" t="n">
        <v>0.1</v>
      </c>
      <c r="AN398" s="45">
        <f>IF(AJ398="","",AJ398*AM398)</f>
        <v/>
      </c>
      <c r="AO398" s="45">
        <f>IF(OR(AJ398="",U398=0),"",MIN(IF(AW398="",9.9E+99,AW398),FLOOR(AN398/U398,1)))</f>
        <v/>
      </c>
      <c r="AP398" s="49">
        <f>IF(AO398="","",AO398*W398)</f>
        <v/>
      </c>
      <c r="AQ398" s="47">
        <f>IF(OR(AJ398="",U398=0),"",MIN(IF(AW398="",9.9E+99,AW398),AN398/U398))</f>
        <v/>
      </c>
      <c r="AR398" s="49">
        <f>IF(AQ398="","",AQ398*W398)</f>
        <v/>
      </c>
      <c r="AS398" s="51" t="n"/>
      <c r="AT398" s="43" t="inlineStr">
        <is>
          <t>Estimated</t>
        </is>
      </c>
      <c r="AU398" s="52" t="n"/>
      <c r="AV398" s="52" t="n"/>
      <c r="AW398" s="53" t="n"/>
      <c r="AX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Y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Z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BA398" s="40" t="inlineStr">
        <is>
          <t>PREMIUM tier: solar/eco boat tour Faro -&gt; Ilha Deserta ~EUR 28-30 per seat (GetYourGuide / Animaris / Lands eco boat tours) -&gt; ~$30.</t>
        </is>
      </c>
      <c r="BB398" s="40" t="n"/>
    </row>
    <row r="399">
      <c r="A399" s="38" t="inlineStr">
        <is>
          <t>Bolt Portugal</t>
        </is>
      </c>
      <c r="B399" s="38" t="inlineStr">
        <is>
          <t>Portugal</t>
        </is>
      </c>
      <c r="C399" s="39" t="inlineStr">
        <is>
          <t>Cais do Sodre (Lisbon) → Seixal</t>
        </is>
      </c>
      <c r="D399" s="38" t="inlineStr">
        <is>
          <t>bolt</t>
        </is>
      </c>
      <c r="E399" s="40" t="inlineStr">
        <is>
          <t>bolt-portugal</t>
        </is>
      </c>
      <c r="F399" s="41" t="n">
        <v>1</v>
      </c>
      <c r="G399" s="42" t="n">
        <v>4.6</v>
      </c>
      <c r="H399" s="35" t="n">
        <v>18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MIN(24,FLOOR(60*service_hr/M399,1))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183931</v>
      </c>
      <c r="AK399" s="43" t="n"/>
      <c r="AL399" s="43" t="inlineStr">
        <is>
          <t>med</t>
        </is>
      </c>
      <c r="AM399" s="50" t="n">
        <v>0.25</v>
      </c>
      <c r="AN399" s="45">
        <f>IF(AJ399="","",AJ399*AM399)</f>
        <v/>
      </c>
      <c r="AO399" s="45">
        <f>IF(OR(AJ399="",U399=0),"",MIN(IF(AW399="",9.9E+99,AW399),FLOOR(AN399/U399,1)))</f>
        <v/>
      </c>
      <c r="AP399" s="49">
        <f>IF(AO399="","",AO399*W399)</f>
        <v/>
      </c>
      <c r="AQ399" s="47">
        <f>IF(OR(AJ399="",U399=0),"",MIN(IF(AW399="",9.9E+99,AW399),AN399/U399))</f>
        <v/>
      </c>
      <c r="AR399" s="49">
        <f>IF(AQ399="","",AQ399*W399)</f>
        <v/>
      </c>
      <c r="AS399" s="51" t="n"/>
      <c r="AT399" s="43" t="inlineStr">
        <is>
          <t>Grounded</t>
        </is>
      </c>
      <c r="AU399" s="52" t="n"/>
      <c r="AV399" s="52" t="n"/>
      <c r="AW399" s="53" t="n"/>
      <c r="AX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Y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Z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BA399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B399" s="40" t="n"/>
    </row>
    <row r="400">
      <c r="A400" s="38" t="inlineStr">
        <is>
          <t>Bolt Portugal</t>
        </is>
      </c>
      <c r="B400" s="38" t="inlineStr">
        <is>
          <t>Portugal</t>
        </is>
      </c>
      <c r="C400" s="39" t="inlineStr">
        <is>
          <t>Terreiro do Paco (Lisbon) → Barreiro</t>
        </is>
      </c>
      <c r="D400" s="38" t="inlineStr">
        <is>
          <t>bolt</t>
        </is>
      </c>
      <c r="E400" s="40" t="inlineStr">
        <is>
          <t>bolt-portugal</t>
        </is>
      </c>
      <c r="F400" s="41" t="n">
        <v>1</v>
      </c>
      <c r="G400" s="42" t="n">
        <v>5</v>
      </c>
      <c r="H400" s="35" t="n">
        <v>18</v>
      </c>
      <c r="I400" s="43" t="inlineStr">
        <is>
          <t>T2</t>
        </is>
      </c>
      <c r="J400" s="43" t="inlineStr">
        <is>
          <t>med</t>
        </is>
      </c>
      <c r="K400" s="29" t="n">
        <v>1</v>
      </c>
      <c r="L400" s="44">
        <f>60*G400/cruise_kt</f>
        <v/>
      </c>
      <c r="M400" s="44">
        <f>L400+turn_min+dwell_min</f>
        <v/>
      </c>
      <c r="N400" s="45">
        <f>MIN(24,FLOOR(60*service_hr/M400,1))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1777523</v>
      </c>
      <c r="AK400" s="43" t="n"/>
      <c r="AL400" s="43" t="inlineStr">
        <is>
          <t>med</t>
        </is>
      </c>
      <c r="AM400" s="50" t="n">
        <v>0.25</v>
      </c>
      <c r="AN400" s="45">
        <f>IF(AJ400="","",AJ400*AM400)</f>
        <v/>
      </c>
      <c r="AO400" s="45">
        <f>IF(OR(AJ400="",U400=0),"",MIN(IF(AW400="",9.9E+99,AW400),FLOOR(AN400/U400,1)))</f>
        <v/>
      </c>
      <c r="AP400" s="49">
        <f>IF(AO400="","",AO400*W400)</f>
        <v/>
      </c>
      <c r="AQ400" s="47">
        <f>IF(OR(AJ400="",U400=0),"",MIN(IF(AW400="",9.9E+99,AW400),AN400/U400))</f>
        <v/>
      </c>
      <c r="AR400" s="49">
        <f>IF(AQ400="","",AQ400*W400)</f>
        <v/>
      </c>
      <c r="AS400" s="51" t="n"/>
      <c r="AT400" s="43" t="inlineStr">
        <is>
          <t>Grounded</t>
        </is>
      </c>
      <c r="AU400" s="52" t="n"/>
      <c r="AV400" s="52" t="n"/>
      <c r="AW400" s="53" t="n"/>
      <c r="AX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Y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Z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BA400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B400" s="40" t="n"/>
    </row>
    <row r="401">
      <c r="A401" s="38" t="inlineStr">
        <is>
          <t>Bolt Portugal</t>
        </is>
      </c>
      <c r="B401" s="38" t="inlineStr">
        <is>
          <t>Portugal</t>
        </is>
      </c>
      <c r="C401" s="39" t="inlineStr">
        <is>
          <t>Portimao → Benagil</t>
        </is>
      </c>
      <c r="D401" s="38" t="inlineStr">
        <is>
          <t>bolt</t>
        </is>
      </c>
      <c r="E401" s="40" t="inlineStr">
        <is>
          <t>bolt-portugal</t>
        </is>
      </c>
      <c r="F401" s="41" t="n">
        <v>1</v>
      </c>
      <c r="G401" s="42" t="n">
        <v>6</v>
      </c>
      <c r="H401" s="35" t="n">
        <v>45</v>
      </c>
      <c r="I401" s="43" t="inlineStr">
        <is>
          <t>T2</t>
        </is>
      </c>
      <c r="J401" s="43" t="inlineStr">
        <is>
          <t>med</t>
        </is>
      </c>
      <c r="K401" s="29" t="n">
        <v>1</v>
      </c>
      <c r="L401" s="44">
        <f>60*G401/cruise_kt</f>
        <v/>
      </c>
      <c r="M401" s="44">
        <f>L401+turn_min+dwell_min</f>
        <v/>
      </c>
      <c r="N401" s="45">
        <f>MIN(15,FLOOR(60*service_hr/M401,1))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IF(OR(AJ401="",U401=0),"",MIN(IF(AW401="",9.9E+99,AW401),FLOOR(AN401/U401,1)))</f>
        <v/>
      </c>
      <c r="AP401" s="49">
        <f>IF(AO401="","",AO401*W401)</f>
        <v/>
      </c>
      <c r="AQ401" s="47">
        <f>IF(OR(AJ401="",U401=0),"",MIN(IF(AW401="",9.9E+99,AW401),AN401/U401))</f>
        <v/>
      </c>
      <c r="AR401" s="49">
        <f>IF(AQ401="","",AQ401*W401)</f>
        <v/>
      </c>
      <c r="AS401" s="51" t="n"/>
      <c r="AT401" s="43" t="inlineStr">
        <is>
          <t>Estimated</t>
        </is>
      </c>
      <c r="AU401" s="52" t="n"/>
      <c r="AV401" s="52" t="n"/>
      <c r="AW401" s="53" t="n"/>
      <c r="AX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Y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Z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BA401" s="40" t="inlineStr">
        <is>
          <t>PREMIUM tier: Benagil + Marinha boat tour from Portimao ~EUR 35-50 per seat (GetYourGuide ~$40-50; private/luxury much higher) -&gt; ~$45.</t>
        </is>
      </c>
      <c r="BB401" s="40" t="n"/>
    </row>
    <row r="402">
      <c r="A402" s="38" t="inlineStr">
        <is>
          <t>Bolt Portugal</t>
        </is>
      </c>
      <c r="B402" s="38" t="inlineStr">
        <is>
          <t>Portugal</t>
        </is>
      </c>
      <c r="C402" s="39" t="inlineStr">
        <is>
          <t>Cais do Sodre (Lisbon) → Montijo</t>
        </is>
      </c>
      <c r="D402" s="38" t="inlineStr">
        <is>
          <t>bolt</t>
        </is>
      </c>
      <c r="E402" s="40" t="inlineStr">
        <is>
          <t>bolt-portugal</t>
        </is>
      </c>
      <c r="F402" s="41" t="n">
        <v>1</v>
      </c>
      <c r="G402" s="42" t="n">
        <v>8.1</v>
      </c>
      <c r="H402" s="35" t="n">
        <v>18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MIN(24,FLOOR(60*service_hr/M402,1))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168383</v>
      </c>
      <c r="AK402" s="43" t="n"/>
      <c r="AL402" s="43" t="inlineStr">
        <is>
          <t>med</t>
        </is>
      </c>
      <c r="AM402" s="50" t="n">
        <v>0.25</v>
      </c>
      <c r="AN402" s="45">
        <f>IF(AJ402="","",AJ402*AM402)</f>
        <v/>
      </c>
      <c r="AO402" s="45">
        <f>IF(OR(AJ402="",U402=0),"",MIN(IF(AW402="",9.9E+99,AW402),FLOOR(AN402/U402,1)))</f>
        <v/>
      </c>
      <c r="AP402" s="49">
        <f>IF(AO402="","",AO402*W402)</f>
        <v/>
      </c>
      <c r="AQ402" s="47">
        <f>IF(OR(AJ402="",U402=0),"",MIN(IF(AW402="",9.9E+99,AW402),AN402/U402))</f>
        <v/>
      </c>
      <c r="AR402" s="49">
        <f>IF(AQ402="","",AQ402*W402)</f>
        <v/>
      </c>
      <c r="AS402" s="51" t="n"/>
      <c r="AT402" s="43" t="inlineStr">
        <is>
          <t>Grounded</t>
        </is>
      </c>
      <c r="AU402" s="52" t="n"/>
      <c r="AV402" s="52" t="n"/>
      <c r="AW402" s="53" t="n"/>
      <c r="AX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Y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Z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BA402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B402" s="40" t="n"/>
    </row>
    <row r="403">
      <c r="A403" s="38" t="inlineStr">
        <is>
          <t>Bolt Portugal</t>
        </is>
      </c>
      <c r="B403" s="38" t="inlineStr">
        <is>
          <t>Portugal</t>
        </is>
      </c>
      <c r="C403" s="39" t="inlineStr">
        <is>
          <t>Cais do Sodre (Lisbon) → Cascais</t>
        </is>
      </c>
      <c r="D403" s="38" t="inlineStr">
        <is>
          <t>bolt</t>
        </is>
      </c>
      <c r="E403" s="40" t="inlineStr">
        <is>
          <t>bolt-portugal</t>
        </is>
      </c>
      <c r="F403" s="41" t="n">
        <v>1</v>
      </c>
      <c r="G403" s="42" t="n">
        <v>13</v>
      </c>
      <c r="H403" s="35" t="n"/>
      <c r="I403" s="43" t="n"/>
      <c r="J403" s="43" t="n"/>
      <c r="K403" s="29" t="n">
        <v>1</v>
      </c>
      <c r="L403" s="44">
        <f>60*G403/cruise_kt</f>
        <v/>
      </c>
      <c r="M403" s="44">
        <f>L403+turn_min+dwell_min</f>
        <v/>
      </c>
      <c r="N403" s="45">
        <f>MIN(24,FLOOR(60*service_hr/M403,1))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1020000</v>
      </c>
      <c r="AK403" s="43" t="n"/>
      <c r="AL403" s="43" t="n"/>
      <c r="AM403" s="50" t="n">
        <v>0.1</v>
      </c>
      <c r="AN403" s="45">
        <f>IF(AJ403="","",AJ403*AM403)</f>
        <v/>
      </c>
      <c r="AO403" s="45">
        <f>IF(OR(AJ403="",U403=0),"",MIN(IF(AW403="",9.9E+99,AW403),FLOOR(AN403/U403,1)))</f>
        <v/>
      </c>
      <c r="AP403" s="49">
        <f>IF(AO403="","",AO403*W403)</f>
        <v/>
      </c>
      <c r="AQ403" s="47">
        <f>IF(OR(AJ403="",U403=0),"",MIN(IF(AW403="",9.9E+99,AW403),AN403/U403))</f>
        <v/>
      </c>
      <c r="AR403" s="49">
        <f>IF(AQ403="","",AQ403*W403)</f>
        <v/>
      </c>
      <c r="AS403" s="51" t="n"/>
      <c r="AT403" s="43" t="inlineStr">
        <is>
          <t>Estimated</t>
        </is>
      </c>
      <c r="AU403" s="52" t="n"/>
      <c r="AV403" s="52" t="n"/>
      <c r="AW403" s="53" t="n"/>
      <c r="AX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Y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Z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BA403" s="40" t="n"/>
      <c r="BB403" s="40" t="n"/>
    </row>
    <row r="404">
      <c r="A404" s="38" t="inlineStr">
        <is>
          <t>Caribbean Mobility</t>
        </is>
      </c>
      <c r="B404" s="38" t="inlineStr">
        <is>
          <t>Puerto Rico</t>
        </is>
      </c>
      <c r="C404" s="39" t="inlineStr">
        <is>
          <t>San Juan Terminal / Old San Juan waterfront → Cataño Terminal / Bacardi catchment</t>
        </is>
      </c>
      <c r="D404" s="38" t="inlineStr">
        <is>
          <t>caribbean-mobility</t>
        </is>
      </c>
      <c r="E404" s="40" t="inlineStr">
        <is>
          <t>caribbean-mobility</t>
        </is>
      </c>
      <c r="F404" s="41" t="n">
        <v>1</v>
      </c>
      <c r="G404" s="42" t="n">
        <v>1.6</v>
      </c>
      <c r="H404" s="35" t="n">
        <v>8</v>
      </c>
      <c r="I404" s="43" t="n"/>
      <c r="J404" s="43" t="n"/>
      <c r="K404" s="29" t="n">
        <v>1</v>
      </c>
      <c r="L404" s="44">
        <f>60*G404/cruise_kt</f>
        <v/>
      </c>
      <c r="M404" s="44">
        <f>L404+turn_min+dwell_min</f>
        <v/>
      </c>
      <c r="N404" s="45">
        <f>MIN(15,FLOOR(60*service_hr/M404,1))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34200</v>
      </c>
      <c r="AK404" s="43" t="n"/>
      <c r="AL404" s="43" t="n"/>
      <c r="AM404" s="50" t="n">
        <v>0.1</v>
      </c>
      <c r="AN404" s="45">
        <f>IF(AJ404="","",AJ404*AM404)</f>
        <v/>
      </c>
      <c r="AO404" s="45">
        <f>IF(OR(AJ404="",U404=0),"",MIN(IF(AW404="",9.9E+99,AW404),FLOOR(AN404/U404,1)))</f>
        <v/>
      </c>
      <c r="AP404" s="49">
        <f>IF(AO404="","",AO404*W404)</f>
        <v/>
      </c>
      <c r="AQ404" s="47">
        <f>IF(OR(AJ404="",U404=0),"",MIN(IF(AW404="",9.9E+99,AW404),AN404/U404))</f>
        <v/>
      </c>
      <c r="AR404" s="49">
        <f>IF(AQ404="","",AQ404*W404)</f>
        <v/>
      </c>
      <c r="AS404" s="51" t="n"/>
      <c r="AT404" s="43" t="inlineStr">
        <is>
          <t>Estimated</t>
        </is>
      </c>
      <c r="AU404" s="52" t="n"/>
      <c r="AV404" s="52" t="n"/>
      <c r="AW404" s="53" t="n"/>
      <c r="AX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Y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Z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BA404" s="40" t="n"/>
      <c r="BB404" s="40" t="n"/>
    </row>
    <row r="405">
      <c r="A405" s="38" t="inlineStr">
        <is>
          <t>Qatar</t>
        </is>
      </c>
      <c r="B405" s="38" t="inlineStr">
        <is>
          <t>Qatar</t>
        </is>
      </c>
      <c r="C405" s="39" t="inlineStr">
        <is>
          <t>Lusail Marina → The Pearl</t>
        </is>
      </c>
      <c r="D405" s="38" t="inlineStr">
        <is>
          <t>qatar</t>
        </is>
      </c>
      <c r="E405" s="40" t="inlineStr">
        <is>
          <t>bolt-qatar, qatar, yango-qatar</t>
        </is>
      </c>
      <c r="F405" s="41" t="n">
        <v>3</v>
      </c>
      <c r="G405" s="42" t="n">
        <v>3.5</v>
      </c>
      <c r="H405" s="35" t="n"/>
      <c r="I405" s="43" t="n"/>
      <c r="J405" s="43" t="n"/>
      <c r="K405" s="29" t="n">
        <v>1</v>
      </c>
      <c r="L405" s="44">
        <f>60*G405/cruise_kt</f>
        <v/>
      </c>
      <c r="M405" s="44">
        <f>L405+turn_min+dwell_min</f>
        <v/>
      </c>
      <c r="N405" s="45">
        <f>MIN(27,FLOOR(60*service_hr/M405,1))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/>
      <c r="AK405" s="43" t="n"/>
      <c r="AL405" s="43" t="n"/>
      <c r="AM405" s="50" t="n">
        <v>0.1</v>
      </c>
      <c r="AN405" s="45">
        <f>IF(AJ405="","",AJ405*AM405)</f>
        <v/>
      </c>
      <c r="AO405" s="45">
        <f>IF(OR(AJ405="",U405=0),"",MIN(IF(AW405="",9.9E+99,AW405),FLOOR(AN405/U405,1)))</f>
        <v/>
      </c>
      <c r="AP405" s="49">
        <f>IF(AO405="","",AO405*W405)</f>
        <v/>
      </c>
      <c r="AQ405" s="47">
        <f>IF(OR(AJ405="",U405=0),"",MIN(IF(AW405="",9.9E+99,AW405),AN405/U405))</f>
        <v/>
      </c>
      <c r="AR405" s="49">
        <f>IF(AQ405="","",AQ405*W405)</f>
        <v/>
      </c>
      <c r="AS405" s="51" t="n"/>
      <c r="AT405" s="43" t="inlineStr">
        <is>
          <t>Estimated</t>
        </is>
      </c>
      <c r="AU405" s="52" t="n"/>
      <c r="AV405" s="52" t="n"/>
      <c r="AW405" s="53" t="n"/>
      <c r="AX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Y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Z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BA405" s="40" t="n"/>
      <c r="BB405" s="40" t="n"/>
    </row>
    <row r="406">
      <c r="A406" s="38" t="inlineStr">
        <is>
          <t>Qatar</t>
        </is>
      </c>
      <c r="B406" s="38" t="inlineStr">
        <is>
          <t>Qatar</t>
        </is>
      </c>
      <c r="C406" s="39" t="inlineStr">
        <is>
          <t>Doha Corniche → The Pearl</t>
        </is>
      </c>
      <c r="D406" s="38" t="inlineStr">
        <is>
          <t>qatar</t>
        </is>
      </c>
      <c r="E406" s="40" t="inlineStr">
        <is>
          <t>bolt-qatar, qatar, yango-qatar</t>
        </is>
      </c>
      <c r="F406" s="41" t="n">
        <v>3</v>
      </c>
      <c r="G406" s="42" t="n">
        <v>4</v>
      </c>
      <c r="H406" s="35" t="n"/>
      <c r="I406" s="43" t="n"/>
      <c r="J406" s="43" t="n"/>
      <c r="K406" s="29" t="n">
        <v>1</v>
      </c>
      <c r="L406" s="44">
        <f>60*G406/cruise_kt</f>
        <v/>
      </c>
      <c r="M406" s="44">
        <f>L406+turn_min+dwell_min</f>
        <v/>
      </c>
      <c r="N406" s="45">
        <f>MIN(27,FLOOR(60*service_hr/M406,1))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/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IF(OR(AJ406="",U406=0),"",MIN(IF(AW406="",9.9E+99,AW406),FLOOR(AN406/U406,1)))</f>
        <v/>
      </c>
      <c r="AP406" s="49">
        <f>IF(AO406="","",AO406*W406)</f>
        <v/>
      </c>
      <c r="AQ406" s="47">
        <f>IF(OR(AJ406="",U406=0),"",MIN(IF(AW406="",9.9E+99,AW406),AN406/U406))</f>
        <v/>
      </c>
      <c r="AR406" s="49">
        <f>IF(AQ406="","",AQ406*W406)</f>
        <v/>
      </c>
      <c r="AS406" s="51" t="n"/>
      <c r="AT406" s="43" t="inlineStr">
        <is>
          <t>Estimated</t>
        </is>
      </c>
      <c r="AU406" s="52" t="n"/>
      <c r="AV406" s="52" t="n"/>
      <c r="AW406" s="53" t="n"/>
      <c r="AX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Y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Z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BA406" s="40" t="n"/>
      <c r="BB406" s="40" t="n"/>
    </row>
    <row r="407">
      <c r="A407" s="38" t="inlineStr">
        <is>
          <t>Qatar</t>
        </is>
      </c>
      <c r="B407" s="38" t="inlineStr">
        <is>
          <t>Qatar</t>
        </is>
      </c>
      <c r="C407" s="39" t="inlineStr">
        <is>
          <t>The Pearl-Qatar (Marsa Arabia) → Doha Corniche / Old Doha Port</t>
        </is>
      </c>
      <c r="D407" s="38" t="inlineStr">
        <is>
          <t>qatar</t>
        </is>
      </c>
      <c r="E407" s="40" t="inlineStr">
        <is>
          <t>bolt-qatar, qatar, yango-qatar</t>
        </is>
      </c>
      <c r="F407" s="41" t="n">
        <v>6</v>
      </c>
      <c r="G407" s="42" t="n">
        <v>4.4</v>
      </c>
      <c r="H407" s="35" t="n"/>
      <c r="I407" s="43" t="n"/>
      <c r="J407" s="43" t="n"/>
      <c r="K407" s="29" t="n">
        <v>1</v>
      </c>
      <c r="L407" s="44">
        <f>60*G407/cruise_kt</f>
        <v/>
      </c>
      <c r="M407" s="44">
        <f>L407+turn_min+dwell_min</f>
        <v/>
      </c>
      <c r="N407" s="45">
        <f>MIN(15,FLOOR(60*service_hr/M407,1))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/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IF(OR(AJ407="",U407=0),"",MIN(IF(AW407="",9.9E+99,AW407),FLOOR(AN407/U407,1)))</f>
        <v/>
      </c>
      <c r="AP407" s="49">
        <f>IF(AO407="","",AO407*W407)</f>
        <v/>
      </c>
      <c r="AQ407" s="47">
        <f>IF(OR(AJ407="",U407=0),"",MIN(IF(AW407="",9.9E+99,AW407),AN407/U407))</f>
        <v/>
      </c>
      <c r="AR407" s="49">
        <f>IF(AQ407="","",AQ407*W407)</f>
        <v/>
      </c>
      <c r="AS407" s="51" t="n"/>
      <c r="AT407" s="43" t="inlineStr">
        <is>
          <t>Estimated</t>
        </is>
      </c>
      <c r="AU407" s="52" t="n"/>
      <c r="AV407" s="52" t="n"/>
      <c r="AW407" s="53" t="n"/>
      <c r="AX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Y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Z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BA407" s="40" t="n"/>
      <c r="BB407" s="40" t="n"/>
    </row>
    <row r="408">
      <c r="A408" s="38" t="inlineStr">
        <is>
          <t>Qatar</t>
        </is>
      </c>
      <c r="B408" s="38" t="inlineStr">
        <is>
          <t>Qatar</t>
        </is>
      </c>
      <c r="C408" s="39" t="inlineStr">
        <is>
          <t>Doha → Banana Island</t>
        </is>
      </c>
      <c r="D408" s="38" t="inlineStr">
        <is>
          <t>qatar</t>
        </is>
      </c>
      <c r="E408" s="40" t="inlineStr">
        <is>
          <t>bolt-qatar, qatar, yango-qatar</t>
        </is>
      </c>
      <c r="F408" s="41" t="n">
        <v>3</v>
      </c>
      <c r="G408" s="42" t="n">
        <v>4.5</v>
      </c>
      <c r="H408" s="35" t="n"/>
      <c r="I408" s="43" t="n"/>
      <c r="J408" s="43" t="n"/>
      <c r="K408" s="29" t="n">
        <v>1</v>
      </c>
      <c r="L408" s="44">
        <f>60*G408/cruise_kt</f>
        <v/>
      </c>
      <c r="M408" s="44">
        <f>L408+turn_min+dwell_min</f>
        <v/>
      </c>
      <c r="N408" s="45">
        <f>MIN(27,FLOOR(60*service_hr/M408,1))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IF(OR(AJ408="",U408=0),"",MIN(IF(AW408="",9.9E+99,AW408),FLOOR(AN408/U408,1)))</f>
        <v/>
      </c>
      <c r="AP408" s="49">
        <f>IF(AO408="","",AO408*W408)</f>
        <v/>
      </c>
      <c r="AQ408" s="47">
        <f>IF(OR(AJ408="",U408=0),"",MIN(IF(AW408="",9.9E+99,AW408),AN408/U408))</f>
        <v/>
      </c>
      <c r="AR408" s="49">
        <f>IF(AQ408="","",AQ408*W408)</f>
        <v/>
      </c>
      <c r="AS408" s="51" t="n"/>
      <c r="AT408" s="43" t="inlineStr">
        <is>
          <t>Estimated</t>
        </is>
      </c>
      <c r="AU408" s="52" t="n"/>
      <c r="AV408" s="52" t="n"/>
      <c r="AW408" s="53" t="n"/>
      <c r="AX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Y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Z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BA408" s="40" t="n"/>
      <c r="BB408" s="40" t="n"/>
    </row>
    <row r="409">
      <c r="A409" s="38" t="inlineStr">
        <is>
          <t>Qatar</t>
        </is>
      </c>
      <c r="B409" s="38" t="inlineStr">
        <is>
          <t>Qatar</t>
        </is>
      </c>
      <c r="C409" s="39" t="inlineStr">
        <is>
          <t>Doha (Al Shyoukh Terminal) → Banana Island Resort (Anantara)</t>
        </is>
      </c>
      <c r="D409" s="38" t="inlineStr">
        <is>
          <t>qatar</t>
        </is>
      </c>
      <c r="E409" s="40" t="inlineStr">
        <is>
          <t>bolt-qatar, qatar, yango-qatar</t>
        </is>
      </c>
      <c r="F409" s="41" t="n">
        <v>6</v>
      </c>
      <c r="G409" s="42" t="n">
        <v>4.9</v>
      </c>
      <c r="H409" s="35" t="n"/>
      <c r="I409" s="43" t="n"/>
      <c r="J409" s="43" t="n"/>
      <c r="K409" s="29" t="n">
        <v>1</v>
      </c>
      <c r="L409" s="44">
        <f>60*G409/cruise_kt</f>
        <v/>
      </c>
      <c r="M409" s="44">
        <f>L409+turn_min+dwell_min</f>
        <v/>
      </c>
      <c r="N409" s="45">
        <f>MIN(15,FLOOR(60*service_hr/M409,1))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/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IF(OR(AJ409="",U409=0),"",MIN(IF(AW409="",9.9E+99,AW409),FLOOR(AN409/U409,1)))</f>
        <v/>
      </c>
      <c r="AP409" s="49">
        <f>IF(AO409="","",AO409*W409)</f>
        <v/>
      </c>
      <c r="AQ409" s="47">
        <f>IF(OR(AJ409="",U409=0),"",MIN(IF(AW409="",9.9E+99,AW409),AN409/U409))</f>
        <v/>
      </c>
      <c r="AR409" s="49">
        <f>IF(AQ409="","",AQ409*W409)</f>
        <v/>
      </c>
      <c r="AS409" s="51" t="n"/>
      <c r="AT409" s="43" t="inlineStr">
        <is>
          <t>Grounded</t>
        </is>
      </c>
      <c r="AU409" s="52" t="n"/>
      <c r="AV409" s="52" t="n"/>
      <c r="AW409" s="53" t="n"/>
      <c r="AX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Y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Z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BA409" s="40" t="n"/>
      <c r="BB409" s="40" t="n"/>
    </row>
    <row r="410">
      <c r="A410" s="38" t="inlineStr">
        <is>
          <t>Qatar</t>
        </is>
      </c>
      <c r="B410" s="38" t="inlineStr">
        <is>
          <t>Qatar</t>
        </is>
      </c>
      <c r="C410" s="39" t="inlineStr">
        <is>
          <t>West Bay / Corniche (Doha) → Lusail Marina &amp; Place Vendôme</t>
        </is>
      </c>
      <c r="D410" s="38" t="inlineStr">
        <is>
          <t>bolt</t>
        </is>
      </c>
      <c r="E410" s="40" t="inlineStr">
        <is>
          <t>bolt-qatar, qatar, yango-qatar</t>
        </is>
      </c>
      <c r="F410" s="41" t="n">
        <v>6</v>
      </c>
      <c r="G410" s="42" t="n">
        <v>6.3</v>
      </c>
      <c r="H410" s="35" t="n"/>
      <c r="I410" s="43" t="n"/>
      <c r="J410" s="43" t="n"/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/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IF(OR(AJ410="",U410=0),"",MIN(IF(AW410="",9.9E+99,AW410),FLOOR(AN410/U410,1)))</f>
        <v/>
      </c>
      <c r="AP410" s="49">
        <f>IF(AO410="","",AO410*W410)</f>
        <v/>
      </c>
      <c r="AQ410" s="47">
        <f>IF(OR(AJ410="",U410=0),"",MIN(IF(AW410="",9.9E+99,AW410),AN410/U410))</f>
        <v/>
      </c>
      <c r="AR410" s="49">
        <f>IF(AQ410="","",AQ410*W410)</f>
        <v/>
      </c>
      <c r="AS410" s="51" t="n"/>
      <c r="AT410" s="43" t="inlineStr">
        <is>
          <t>Estimated</t>
        </is>
      </c>
      <c r="AU410" s="52" t="n"/>
      <c r="AV410" s="52" t="n"/>
      <c r="AW410" s="53" t="n"/>
      <c r="AX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Y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Z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BA410" s="40" t="n"/>
      <c r="BB410" s="40" t="n"/>
    </row>
    <row r="411">
      <c r="A411" s="38" t="inlineStr">
        <is>
          <t>Qatar</t>
        </is>
      </c>
      <c r="B411" s="38" t="inlineStr">
        <is>
          <t>Qatar</t>
        </is>
      </c>
      <c r="C411" s="39" t="inlineStr">
        <is>
          <t>Doha → Lusail Marina</t>
        </is>
      </c>
      <c r="D411" s="38" t="inlineStr">
        <is>
          <t>qatar</t>
        </is>
      </c>
      <c r="E411" s="40" t="inlineStr">
        <is>
          <t>bolt-qatar, qatar, yango-qatar</t>
        </is>
      </c>
      <c r="F411" s="41" t="n">
        <v>3</v>
      </c>
      <c r="G411" s="42" t="n">
        <v>6.5</v>
      </c>
      <c r="H411" s="35" t="n"/>
      <c r="I411" s="43" t="n"/>
      <c r="J411" s="43" t="n"/>
      <c r="K411" s="29" t="n">
        <v>1</v>
      </c>
      <c r="L411" s="44">
        <f>60*G411/cruise_kt</f>
        <v/>
      </c>
      <c r="M411" s="44">
        <f>L411+turn_min+dwell_min</f>
        <v/>
      </c>
      <c r="N411" s="45">
        <f>MIN(27,FLOOR(60*service_hr/M411,1))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/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IF(OR(AJ411="",U411=0),"",MIN(IF(AW411="",9.9E+99,AW411),FLOOR(AN411/U411,1)))</f>
        <v/>
      </c>
      <c r="AP411" s="49">
        <f>IF(AO411="","",AO411*W411)</f>
        <v/>
      </c>
      <c r="AQ411" s="47">
        <f>IF(OR(AJ411="",U411=0),"",MIN(IF(AW411="",9.9E+99,AW411),AN411/U411))</f>
        <v/>
      </c>
      <c r="AR411" s="49">
        <f>IF(AQ411="","",AQ411*W411)</f>
        <v/>
      </c>
      <c r="AS411" s="51" t="n"/>
      <c r="AT411" s="43" t="inlineStr">
        <is>
          <t>Estimated</t>
        </is>
      </c>
      <c r="AU411" s="52" t="n"/>
      <c r="AV411" s="52" t="n"/>
      <c r="AW411" s="53" t="n"/>
      <c r="AX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Y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Z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BA411" s="40" t="n"/>
      <c r="BB411" s="40" t="n"/>
    </row>
    <row r="412">
      <c r="A412" s="38" t="inlineStr">
        <is>
          <t>Qatar</t>
        </is>
      </c>
      <c r="B412" s="38" t="inlineStr">
        <is>
          <t>Qatar</t>
        </is>
      </c>
      <c r="C412" s="39" t="inlineStr">
        <is>
          <t>Al Wakrah → Banana Island</t>
        </is>
      </c>
      <c r="D412" s="38" t="inlineStr">
        <is>
          <t>qatar</t>
        </is>
      </c>
      <c r="E412" s="40" t="inlineStr">
        <is>
          <t>bolt-qatar, qatar, yango-qatar</t>
        </is>
      </c>
      <c r="F412" s="41" t="n">
        <v>3</v>
      </c>
      <c r="G412" s="42" t="n">
        <v>9.5</v>
      </c>
      <c r="H412" s="35" t="n"/>
      <c r="I412" s="43" t="n"/>
      <c r="J412" s="43" t="n"/>
      <c r="K412" s="29" t="n">
        <v>1</v>
      </c>
      <c r="L412" s="44">
        <f>60*G412/cruise_kt</f>
        <v/>
      </c>
      <c r="M412" s="44">
        <f>L412+turn_min+dwell_min</f>
        <v/>
      </c>
      <c r="N412" s="45">
        <f>MIN(27,FLOOR(60*service_hr/M412,1))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/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IF(OR(AJ412="",U412=0),"",MIN(IF(AW412="",9.9E+99,AW412),FLOOR(AN412/U412,1)))</f>
        <v/>
      </c>
      <c r="AP412" s="49">
        <f>IF(AO412="","",AO412*W412)</f>
        <v/>
      </c>
      <c r="AQ412" s="47">
        <f>IF(OR(AJ412="",U412=0),"",MIN(IF(AW412="",9.9E+99,AW412),AN412/U412))</f>
        <v/>
      </c>
      <c r="AR412" s="49">
        <f>IF(AQ412="","",AQ412*W412)</f>
        <v/>
      </c>
      <c r="AS412" s="51" t="n"/>
      <c r="AT412" s="43" t="inlineStr">
        <is>
          <t>Estimated</t>
        </is>
      </c>
      <c r="AU412" s="52" t="n"/>
      <c r="AV412" s="52" t="n"/>
      <c r="AW412" s="53" t="n"/>
      <c r="AX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Y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Z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BA412" s="40" t="n"/>
      <c r="BB412" s="40" t="n"/>
    </row>
    <row r="413">
      <c r="A413" s="38" t="inlineStr">
        <is>
          <t>Qatar</t>
        </is>
      </c>
      <c r="B413" s="38" t="inlineStr">
        <is>
          <t>Qatar</t>
        </is>
      </c>
      <c r="C413" s="39" t="inlineStr">
        <is>
          <t>Doha → Al Wakrah Marina</t>
        </is>
      </c>
      <c r="D413" s="38" t="inlineStr">
        <is>
          <t>qatar</t>
        </is>
      </c>
      <c r="E413" s="40" t="inlineStr">
        <is>
          <t>bolt-qatar, qatar, yango-qatar</t>
        </is>
      </c>
      <c r="F413" s="41" t="n">
        <v>3</v>
      </c>
      <c r="G413" s="42" t="n">
        <v>11</v>
      </c>
      <c r="H413" s="35" t="n"/>
      <c r="I413" s="43" t="n"/>
      <c r="J413" s="43" t="n"/>
      <c r="K413" s="29" t="n">
        <v>1</v>
      </c>
      <c r="L413" s="44">
        <f>60*G413/cruise_kt</f>
        <v/>
      </c>
      <c r="M413" s="44">
        <f>L413+turn_min+dwell_min</f>
        <v/>
      </c>
      <c r="N413" s="45">
        <f>MIN(27,FLOOR(60*service_hr/M413,1))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/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IF(OR(AJ413="",U413=0),"",MIN(IF(AW413="",9.9E+99,AW413),FLOOR(AN413/U413,1)))</f>
        <v/>
      </c>
      <c r="AP413" s="49">
        <f>IF(AO413="","",AO413*W413)</f>
        <v/>
      </c>
      <c r="AQ413" s="47">
        <f>IF(OR(AJ413="",U413=0),"",MIN(IF(AW413="",9.9E+99,AW413),AN413/U413))</f>
        <v/>
      </c>
      <c r="AR413" s="49">
        <f>IF(AQ413="","",AQ413*W413)</f>
        <v/>
      </c>
      <c r="AS413" s="51" t="n"/>
      <c r="AT413" s="43" t="inlineStr">
        <is>
          <t>Estimated</t>
        </is>
      </c>
      <c r="AU413" s="52" t="n"/>
      <c r="AV413" s="52" t="n"/>
      <c r="AW413" s="53" t="n"/>
      <c r="AX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Y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Z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BA413" s="40" t="n"/>
      <c r="BB413" s="40" t="n"/>
    </row>
    <row r="414">
      <c r="A414" s="38" t="inlineStr">
        <is>
          <t>Bolt Romania</t>
        </is>
      </c>
      <c r="B414" s="38" t="inlineStr">
        <is>
          <t>Romania</t>
        </is>
      </c>
      <c r="C414" s="39" t="inlineStr">
        <is>
          <t>Constanța → Mamaia</t>
        </is>
      </c>
      <c r="D414" s="38" t="inlineStr">
        <is>
          <t>bolt</t>
        </is>
      </c>
      <c r="E414" s="40" t="inlineStr">
        <is>
          <t>bolt-romania</t>
        </is>
      </c>
      <c r="F414" s="41" t="n">
        <v>1</v>
      </c>
      <c r="G414" s="42" t="n">
        <v>5</v>
      </c>
      <c r="H414" s="35" t="n">
        <v>13</v>
      </c>
      <c r="I414" s="43" t="inlineStr">
        <is>
          <t>T2</t>
        </is>
      </c>
      <c r="J414" s="43" t="inlineStr">
        <is>
          <t>med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MIN(15,FLOOR(60*service_hr/M414,1))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17806</v>
      </c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IF(OR(AJ414="",U414=0),"",MIN(IF(AW414="",9.9E+99,AW414),FLOOR(AN414/U414,1)))</f>
        <v/>
      </c>
      <c r="AP414" s="49">
        <f>IF(AO414="","",AO414*W414)</f>
        <v/>
      </c>
      <c r="AQ414" s="47">
        <f>IF(OR(AJ414="",U414=0),"",MIN(IF(AW414="",9.9E+99,AW414),AN414/U414))</f>
        <v/>
      </c>
      <c r="AR414" s="49">
        <f>IF(AQ414="","",AQ414*W414)</f>
        <v/>
      </c>
      <c r="AS414" s="51" t="n"/>
      <c r="AT414" s="43" t="inlineStr">
        <is>
          <t>Estimated</t>
        </is>
      </c>
      <c r="AU414" s="52" t="n"/>
      <c r="AV414" s="52" t="n"/>
      <c r="AW414" s="53" t="n"/>
      <c r="AX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Y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Z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BA414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B414" s="40" t="n"/>
    </row>
    <row r="415">
      <c r="A415" s="38" t="inlineStr">
        <is>
          <t>Bolt Romania</t>
        </is>
      </c>
      <c r="B415" s="38" t="inlineStr">
        <is>
          <t>Romania</t>
        </is>
      </c>
      <c r="C415" s="39" t="inlineStr">
        <is>
          <t>Constanta → Eforie Nord</t>
        </is>
      </c>
      <c r="D415" s="38" t="inlineStr">
        <is>
          <t>bolt</t>
        </is>
      </c>
      <c r="E415" s="40" t="inlineStr">
        <is>
          <t>bolt-romania</t>
        </is>
      </c>
      <c r="F415" s="41" t="n">
        <v>1</v>
      </c>
      <c r="G415" s="42" t="n">
        <v>8</v>
      </c>
      <c r="H415" s="35" t="n">
        <v>13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L415+turn_min+dwell_min</f>
        <v/>
      </c>
      <c r="N415" s="45">
        <f>MIN(24,FLOOR(60*service_hr/M415,1))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>
        <v>14736</v>
      </c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IF(OR(AJ415="",U415=0),"",MIN(IF(AW415="",9.9E+99,AW415),FLOOR(AN415/U415,1)))</f>
        <v/>
      </c>
      <c r="AP415" s="49">
        <f>IF(AO415="","",AO415*W415)</f>
        <v/>
      </c>
      <c r="AQ415" s="47">
        <f>IF(OR(AJ415="",U415=0),"",MIN(IF(AW415="",9.9E+99,AW415),AN415/U415))</f>
        <v/>
      </c>
      <c r="AR415" s="49">
        <f>IF(AQ415="","",AQ415*W415)</f>
        <v/>
      </c>
      <c r="AS415" s="51" t="n"/>
      <c r="AT415" s="43" t="inlineStr">
        <is>
          <t>Estimated</t>
        </is>
      </c>
      <c r="AU415" s="52" t="n"/>
      <c r="AV415" s="52" t="n"/>
      <c r="AW415" s="53" t="n"/>
      <c r="AX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Y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Z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BA415" s="40" t="inlineStr">
        <is>
          <t>Coast premium per-seat ~60 RON (charter-divided). ~$13.0.</t>
        </is>
      </c>
      <c r="BB415" s="40" t="n"/>
    </row>
    <row r="416">
      <c r="A416" s="38" t="inlineStr">
        <is>
          <t>Bolt Romania</t>
        </is>
      </c>
      <c r="B416" s="38" t="inlineStr">
        <is>
          <t>Romania</t>
        </is>
      </c>
      <c r="C416" s="39" t="inlineStr">
        <is>
          <t>Constanta → Navodari (Mamaia Nord)</t>
        </is>
      </c>
      <c r="D416" s="38" t="inlineStr">
        <is>
          <t>bolt</t>
        </is>
      </c>
      <c r="E416" s="40" t="inlineStr">
        <is>
          <t>bolt-romania</t>
        </is>
      </c>
      <c r="F416" s="41" t="n">
        <v>1</v>
      </c>
      <c r="G416" s="42" t="n">
        <v>9</v>
      </c>
      <c r="H416" s="35" t="n">
        <v>13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/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IF(OR(AJ416="",U416=0),"",MIN(IF(AW416="",9.9E+99,AW416),FLOOR(AN416/U416,1)))</f>
        <v/>
      </c>
      <c r="AP416" s="49">
        <f>IF(AO416="","",AO416*W416)</f>
        <v/>
      </c>
      <c r="AQ416" s="47">
        <f>IF(OR(AJ416="",U416=0),"",MIN(IF(AW416="",9.9E+99,AW416),AN416/U416))</f>
        <v/>
      </c>
      <c r="AR416" s="49">
        <f>IF(AQ416="","",AQ416*W416)</f>
        <v/>
      </c>
      <c r="AS416" s="51" t="n"/>
      <c r="AT416" s="43" t="inlineStr">
        <is>
          <t>Estimated</t>
        </is>
      </c>
      <c r="AU416" s="52" t="n"/>
      <c r="AV416" s="52" t="n"/>
      <c r="AW416" s="53" t="n"/>
      <c r="AX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Y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Z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BA416" s="40" t="inlineStr">
        <is>
          <t>Same coast premium per-seat ~60 RON (charter-divided). ~$13.0.</t>
        </is>
      </c>
      <c r="BB416" s="40" t="n"/>
    </row>
    <row r="417">
      <c r="A417" s="38" t="inlineStr">
        <is>
          <t>Bolt Romania</t>
        </is>
      </c>
      <c r="B417" s="38" t="inlineStr">
        <is>
          <t>Romania</t>
        </is>
      </c>
      <c r="C417" s="39" t="inlineStr">
        <is>
          <t>Constanta → Costinesti</t>
        </is>
      </c>
      <c r="D417" s="38" t="inlineStr">
        <is>
          <t>bolt</t>
        </is>
      </c>
      <c r="E417" s="40" t="inlineStr">
        <is>
          <t>bolt-romania</t>
        </is>
      </c>
      <c r="F417" s="41" t="n">
        <v>1</v>
      </c>
      <c r="G417" s="42" t="n">
        <v>15</v>
      </c>
      <c r="H417" s="35" t="n">
        <v>13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MIN(24,FLOOR(60*service_hr/M417,1))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7894</v>
      </c>
      <c r="AK417" s="43" t="n"/>
      <c r="AL417" s="43" t="n"/>
      <c r="AM417" s="50" t="n">
        <v>0.1</v>
      </c>
      <c r="AN417" s="45">
        <f>IF(AJ417="","",AJ417*AM417)</f>
        <v/>
      </c>
      <c r="AO417" s="45">
        <f>IF(OR(AJ417="",U417=0),"",MIN(IF(AW417="",9.9E+99,AW417),FLOOR(AN417/U417,1)))</f>
        <v/>
      </c>
      <c r="AP417" s="49">
        <f>IF(AO417="","",AO417*W417)</f>
        <v/>
      </c>
      <c r="AQ417" s="47">
        <f>IF(OR(AJ417="",U417=0),"",MIN(IF(AW417="",9.9E+99,AW417),AN417/U417))</f>
        <v/>
      </c>
      <c r="AR417" s="49">
        <f>IF(AQ417="","",AQ417*W417)</f>
        <v/>
      </c>
      <c r="AS417" s="51" t="n"/>
      <c r="AT417" s="43" t="inlineStr">
        <is>
          <t>Estimated</t>
        </is>
      </c>
      <c r="AU417" s="52" t="n"/>
      <c r="AV417" s="52" t="n"/>
      <c r="AW417" s="53" t="n"/>
      <c r="AX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Y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Z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BA417" s="40" t="inlineStr">
        <is>
          <t>Coast premium per-seat ~60 RON (charter-divided). ~$13.0.</t>
        </is>
      </c>
      <c r="BB417" s="40" t="n"/>
    </row>
    <row r="418">
      <c r="A418" s="38" t="inlineStr">
        <is>
          <t>Bolt Romania</t>
        </is>
      </c>
      <c r="B418" s="38" t="inlineStr">
        <is>
          <t>Romania</t>
        </is>
      </c>
      <c r="C418" s="39" t="inlineStr">
        <is>
          <t>Bucharest → Snagov</t>
        </is>
      </c>
      <c r="D418" s="38" t="inlineStr">
        <is>
          <t>bolt</t>
        </is>
      </c>
      <c r="E418" s="40" t="inlineStr">
        <is>
          <t>bolt-romania</t>
        </is>
      </c>
      <c r="F418" s="41" t="n">
        <v>1</v>
      </c>
      <c r="G418" s="42" t="n">
        <v>19</v>
      </c>
      <c r="H418" s="35" t="n"/>
      <c r="I418" s="43" t="n"/>
      <c r="J418" s="43" t="n"/>
      <c r="K418" s="29" t="n">
        <v>1</v>
      </c>
      <c r="L418" s="44">
        <f>60*G418/cruise_kt</f>
        <v/>
      </c>
      <c r="M418" s="44">
        <f>L418+turn_min+dwell_min</f>
        <v/>
      </c>
      <c r="N418" s="45">
        <f>MIN(24,FLOOR(60*service_hr/M418,1))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/>
      <c r="AK418" s="43" t="n"/>
      <c r="AL418" s="43" t="n"/>
      <c r="AM418" s="50" t="n">
        <v>0.1</v>
      </c>
      <c r="AN418" s="45">
        <f>IF(AJ418="","",AJ418*AM418)</f>
        <v/>
      </c>
      <c r="AO418" s="45">
        <f>IF(OR(AJ418="",U418=0),"",MIN(IF(AW418="",9.9E+99,AW418),FLOOR(AN418/U418,1)))</f>
        <v/>
      </c>
      <c r="AP418" s="49">
        <f>IF(AO418="","",AO418*W418)</f>
        <v/>
      </c>
      <c r="AQ418" s="47">
        <f>IF(OR(AJ418="",U418=0),"",MIN(IF(AW418="",9.9E+99,AW418),AN418/U418))</f>
        <v/>
      </c>
      <c r="AR418" s="49">
        <f>IF(AQ418="","",AQ418*W418)</f>
        <v/>
      </c>
      <c r="AS418" s="51" t="n"/>
      <c r="AT418" s="43" t="inlineStr">
        <is>
          <t>Estimated</t>
        </is>
      </c>
      <c r="AU418" s="52" t="n"/>
      <c r="AV418" s="52" t="n"/>
      <c r="AW418" s="53" t="n"/>
      <c r="AX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Y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Z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BA418" s="40" t="n"/>
      <c r="BB418" s="40" t="n"/>
    </row>
    <row r="419">
      <c r="A419" s="38" t="inlineStr">
        <is>
          <t>Bolt Romania</t>
        </is>
      </c>
      <c r="B419" s="38" t="inlineStr">
        <is>
          <t>Romania</t>
        </is>
      </c>
      <c r="C419" s="39" t="inlineStr">
        <is>
          <t>Mangalia → Balchik (Bulgaria)</t>
        </is>
      </c>
      <c r="D419" s="38" t="inlineStr">
        <is>
          <t>bolt</t>
        </is>
      </c>
      <c r="E419" s="40" t="inlineStr">
        <is>
          <t>bolt-romania</t>
        </is>
      </c>
      <c r="F419" s="41" t="n">
        <v>1</v>
      </c>
      <c r="G419" s="42" t="n">
        <v>22</v>
      </c>
      <c r="H419" s="35" t="n"/>
      <c r="I419" s="43" t="n"/>
      <c r="J419" s="43" t="n"/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/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IF(OR(AJ419="",U419=0),"",MIN(IF(AW419="",9.9E+99,AW419),FLOOR(AN419/U419,1)))</f>
        <v/>
      </c>
      <c r="AP419" s="49">
        <f>IF(AO419="","",AO419*W419)</f>
        <v/>
      </c>
      <c r="AQ419" s="47">
        <f>IF(OR(AJ419="",U419=0),"",MIN(IF(AW419="",9.9E+99,AW419),AN419/U419))</f>
        <v/>
      </c>
      <c r="AR419" s="49">
        <f>IF(AQ419="","",AQ419*W419)</f>
        <v/>
      </c>
      <c r="AS419" s="51" t="n"/>
      <c r="AT419" s="43" t="inlineStr">
        <is>
          <t>Estimated</t>
        </is>
      </c>
      <c r="AU419" s="52" t="n"/>
      <c r="AV419" s="52" t="n"/>
      <c r="AW419" s="53" t="n"/>
      <c r="AX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Y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Z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BA419" s="40" t="n"/>
      <c r="BB419" s="40" t="n"/>
    </row>
    <row r="420">
      <c r="A420" s="38" t="inlineStr">
        <is>
          <t>Bolt Romania</t>
        </is>
      </c>
      <c r="B420" s="38" t="inlineStr">
        <is>
          <t>Romania</t>
        </is>
      </c>
      <c r="C420" s="39" t="inlineStr">
        <is>
          <t>Constanta → Mangalia</t>
        </is>
      </c>
      <c r="D420" s="38" t="inlineStr">
        <is>
          <t>bolt</t>
        </is>
      </c>
      <c r="E420" s="40" t="inlineStr">
        <is>
          <t>bolt-romania</t>
        </is>
      </c>
      <c r="F420" s="41" t="n">
        <v>1</v>
      </c>
      <c r="G420" s="42" t="n">
        <v>23</v>
      </c>
      <c r="H420" s="35" t="n">
        <v>13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MIN(24,FLOOR(60*service_hr/M420,1))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7017</v>
      </c>
      <c r="AK420" s="43" t="n"/>
      <c r="AL420" s="43" t="n"/>
      <c r="AM420" s="50" t="n">
        <v>0.1</v>
      </c>
      <c r="AN420" s="45">
        <f>IF(AJ420="","",AJ420*AM420)</f>
        <v/>
      </c>
      <c r="AO420" s="45">
        <f>IF(OR(AJ420="",U420=0),"",MIN(IF(AW420="",9.9E+99,AW420),FLOOR(AN420/U420,1)))</f>
        <v/>
      </c>
      <c r="AP420" s="49">
        <f>IF(AO420="","",AO420*W420)</f>
        <v/>
      </c>
      <c r="AQ420" s="47">
        <f>IF(OR(AJ420="",U420=0),"",MIN(IF(AW420="",9.9E+99,AW420),AN420/U420))</f>
        <v/>
      </c>
      <c r="AR420" s="49">
        <f>IF(AQ420="","",AQ420*W420)</f>
        <v/>
      </c>
      <c r="AS420" s="51" t="n"/>
      <c r="AT420" s="43" t="inlineStr">
        <is>
          <t>Estimated</t>
        </is>
      </c>
      <c r="AU420" s="52" t="n"/>
      <c r="AV420" s="52" t="n"/>
      <c r="AW420" s="53" t="n"/>
      <c r="AX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Y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Z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BA420" s="40" t="inlineStr">
        <is>
          <t>Coast premium per-seat ~60 RON (charter-divided). ~$13.0. (Longer leg could justify a higher seat; unsourced -&gt; hold at coast anchor.)</t>
        </is>
      </c>
      <c r="BB420" s="40" t="n"/>
    </row>
    <row r="421">
      <c r="A421" s="38" t="inlineStr">
        <is>
          <t>Bolt Romania</t>
        </is>
      </c>
      <c r="B421" s="38" t="inlineStr">
        <is>
          <t>Romania</t>
        </is>
      </c>
      <c r="C421" s="39" t="inlineStr">
        <is>
          <t>Tulcea → Crisan</t>
        </is>
      </c>
      <c r="D421" s="38" t="inlineStr">
        <is>
          <t>bolt</t>
        </is>
      </c>
      <c r="E421" s="40" t="inlineStr">
        <is>
          <t>bolt-romania</t>
        </is>
      </c>
      <c r="F421" s="41" t="n">
        <v>1</v>
      </c>
      <c r="G421" s="42" t="n">
        <v>23</v>
      </c>
      <c r="H421" s="35" t="n">
        <v>10.9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MIN(15,FLOOR(60*service_hr/M421,1))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IF(OR(AJ421="",U421=0),"",MIN(IF(AW421="",9.9E+99,AW421),FLOOR(AN421/U421,1)))</f>
        <v/>
      </c>
      <c r="AP421" s="49">
        <f>IF(AO421="","",AO421*W421)</f>
        <v/>
      </c>
      <c r="AQ421" s="47">
        <f>IF(OR(AJ421="",U421=0),"",MIN(IF(AW421="",9.9E+99,AW421),AN421/U421))</f>
        <v/>
      </c>
      <c r="AR421" s="49">
        <f>IF(AQ421="","",AQ421*W421)</f>
        <v/>
      </c>
      <c r="AS421" s="51" t="n"/>
      <c r="AT421" s="43" t="inlineStr">
        <is>
          <t>Estimated</t>
        </is>
      </c>
      <c r="AU421" s="52" t="n"/>
      <c r="AV421" s="52" t="n"/>
      <c r="AW421" s="53" t="n"/>
      <c r="AX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Y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Z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BA421" s="40" t="inlineStr">
        <is>
          <t>Navrom clasica Tulcea-Crisan 50 RON (official table). 50 / 4.6 = ~$10.9.</t>
        </is>
      </c>
      <c r="BB421" s="40" t="n"/>
    </row>
    <row r="422">
      <c r="A422" s="38" t="inlineStr">
        <is>
          <t>Bolt Romania</t>
        </is>
      </c>
      <c r="B422" s="38" t="inlineStr">
        <is>
          <t>Romania</t>
        </is>
      </c>
      <c r="C422" s="39" t="inlineStr">
        <is>
          <t>Tulcea → Sfantu Gheorghe</t>
        </is>
      </c>
      <c r="D422" s="38" t="inlineStr">
        <is>
          <t>bolt</t>
        </is>
      </c>
      <c r="E422" s="40" t="inlineStr">
        <is>
          <t>bolt-romania</t>
        </is>
      </c>
      <c r="F422" s="41" t="n">
        <v>1</v>
      </c>
      <c r="G422" s="42" t="n">
        <v>30</v>
      </c>
      <c r="H422" s="35" t="n">
        <v>13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MIN(15,FLOOR(60*service_hr/M422,1))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/>
      <c r="AK422" s="43" t="n"/>
      <c r="AL422" s="43" t="n"/>
      <c r="AM422" s="50" t="n">
        <v>0.1</v>
      </c>
      <c r="AN422" s="45">
        <f>IF(AJ422="","",AJ422*AM422)</f>
        <v/>
      </c>
      <c r="AO422" s="45">
        <f>IF(OR(AJ422="",U422=0),"",MIN(IF(AW422="",9.9E+99,AW422),FLOOR(AN422/U422,1)))</f>
        <v/>
      </c>
      <c r="AP422" s="49">
        <f>IF(AO422="","",AO422*W422)</f>
        <v/>
      </c>
      <c r="AQ422" s="47">
        <f>IF(OR(AJ422="",U422=0),"",MIN(IF(AW422="",9.9E+99,AW422),AN422/U422))</f>
        <v/>
      </c>
      <c r="AR422" s="49">
        <f>IF(AQ422="","",AQ422*W422)</f>
        <v/>
      </c>
      <c r="AS422" s="51" t="n"/>
      <c r="AT422" s="43" t="inlineStr">
        <is>
          <t>Estimated</t>
        </is>
      </c>
      <c r="AU422" s="52" t="n"/>
      <c r="AV422" s="52" t="n"/>
      <c r="AW422" s="53" t="n"/>
      <c r="AX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Y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Z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BA422" s="40" t="inlineStr">
        <is>
          <t>Estimated ~60 RON (comparable arm length to Sulina; Navrom Sfantu Gheorghe fare not in the scraped Sulina-arm table). ~$13.0 — UNCONFIRMED, flag.</t>
        </is>
      </c>
      <c r="BB422" s="40" t="n"/>
    </row>
    <row r="423">
      <c r="A423" s="38" t="inlineStr">
        <is>
          <t>Bolt Romania</t>
        </is>
      </c>
      <c r="B423" s="38" t="inlineStr">
        <is>
          <t>Romania</t>
        </is>
      </c>
      <c r="C423" s="39" t="inlineStr">
        <is>
          <t>Tulcea → Periprava</t>
        </is>
      </c>
      <c r="D423" s="38" t="inlineStr">
        <is>
          <t>bolt</t>
        </is>
      </c>
      <c r="E423" s="40" t="inlineStr">
        <is>
          <t>bolt-romania</t>
        </is>
      </c>
      <c r="F423" s="41" t="n">
        <v>1</v>
      </c>
      <c r="G423" s="42" t="n">
        <v>33</v>
      </c>
      <c r="H423" s="35" t="n"/>
      <c r="I423" s="43" t="n"/>
      <c r="J423" s="43" t="n"/>
      <c r="K423" s="29" t="n">
        <v>1</v>
      </c>
      <c r="L423" s="44">
        <f>60*G423/cruise_kt</f>
        <v/>
      </c>
      <c r="M423" s="44">
        <f>L423+turn_min+dwell_min</f>
        <v/>
      </c>
      <c r="N423" s="45">
        <f>MIN(15,FLOOR(60*service_hr/M423,1))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/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IF(OR(AJ423="",U423=0),"",MIN(IF(AW423="",9.9E+99,AW423),FLOOR(AN423/U423,1)))</f>
        <v/>
      </c>
      <c r="AP423" s="49">
        <f>IF(AO423="","",AO423*W423)</f>
        <v/>
      </c>
      <c r="AQ423" s="47">
        <f>IF(OR(AJ423="",U423=0),"",MIN(IF(AW423="",9.9E+99,AW423),AN423/U423))</f>
        <v/>
      </c>
      <c r="AR423" s="49">
        <f>IF(AQ423="","",AQ423*W423)</f>
        <v/>
      </c>
      <c r="AS423" s="51" t="n"/>
      <c r="AT423" s="43" t="inlineStr">
        <is>
          <t>Estimated</t>
        </is>
      </c>
      <c r="AU423" s="52" t="n"/>
      <c r="AV423" s="52" t="n"/>
      <c r="AW423" s="53" t="n"/>
      <c r="AX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Y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Z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BA423" s="40" t="n"/>
      <c r="BB423" s="40" t="n"/>
    </row>
    <row r="424">
      <c r="A424" s="38" t="inlineStr">
        <is>
          <t>Bolt Romania</t>
        </is>
      </c>
      <c r="B424" s="38" t="inlineStr">
        <is>
          <t>Romania</t>
        </is>
      </c>
      <c r="C424" s="39" t="inlineStr">
        <is>
          <t>Tulcea → Sulina</t>
        </is>
      </c>
      <c r="D424" s="38" t="inlineStr">
        <is>
          <t>bolt</t>
        </is>
      </c>
      <c r="E424" s="40" t="inlineStr">
        <is>
          <t>bolt-romania</t>
        </is>
      </c>
      <c r="F424" s="41" t="n">
        <v>1</v>
      </c>
      <c r="G424" s="42" t="n">
        <v>34</v>
      </c>
      <c r="H424" s="35" t="n">
        <v>15.2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>
        <v>165000</v>
      </c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IF(OR(AJ424="",U424=0),"",MIN(IF(AW424="",9.9E+99,AW424),FLOOR(AN424/U424,1)))</f>
        <v/>
      </c>
      <c r="AP424" s="49">
        <f>IF(AO424="","",AO424*W424)</f>
        <v/>
      </c>
      <c r="AQ424" s="47">
        <f>IF(OR(AJ424="",U424=0),"",MIN(IF(AW424="",9.9E+99,AW424),AN424/U424))</f>
        <v/>
      </c>
      <c r="AR424" s="49">
        <f>IF(AQ424="","",AQ424*W424)</f>
        <v/>
      </c>
      <c r="AS424" s="51" t="n"/>
      <c r="AT424" s="43" t="inlineStr">
        <is>
          <t>Grounded</t>
        </is>
      </c>
      <c r="AU424" s="52" t="n"/>
      <c r="AV424" s="52" t="n"/>
      <c r="AW424" s="53" t="n"/>
      <c r="AX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Y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Z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BA424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B424" s="40" t="n"/>
    </row>
    <row r="425">
      <c r="A425" s="38" t="inlineStr">
        <is>
          <t>Saudi – Red Sea</t>
        </is>
      </c>
      <c r="B425" s="38" t="inlineStr">
        <is>
          <t>Saudi Arabia</t>
        </is>
      </c>
      <c r="C425" s="39" t="inlineStr">
        <is>
          <t>Jeddah Corniche → Jeddah Central (PIF waterfront)</t>
        </is>
      </c>
      <c r="D425" s="38" t="inlineStr">
        <is>
          <t>red-sea-global</t>
        </is>
      </c>
      <c r="E425" s="40" t="inlineStr">
        <is>
          <t>bolt-ksa-commercial, saudi-redsea, saudi-redsea-resort</t>
        </is>
      </c>
      <c r="F425" s="41" t="n">
        <v>3</v>
      </c>
      <c r="G425" s="42" t="n">
        <v>2.4</v>
      </c>
      <c r="H425" s="35" t="n">
        <v>60</v>
      </c>
      <c r="I425" s="43" t="inlineStr">
        <is>
          <t>T5</t>
        </is>
      </c>
      <c r="J425" s="43" t="inlineStr">
        <is>
          <t>low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MIN(27,FLOOR(60*service_hr/M425,1))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/>
      <c r="AK425" s="43" t="inlineStr">
        <is>
          <t>T5</t>
        </is>
      </c>
      <c r="AL425" s="43" t="inlineStr">
        <is>
          <t>low</t>
        </is>
      </c>
      <c r="AM425" s="50" t="n">
        <v>0.1</v>
      </c>
      <c r="AN425" s="45">
        <f>IF(AJ425="","",AJ425*AM425)</f>
        <v/>
      </c>
      <c r="AO425" s="45">
        <f>IF(OR(AJ425="",U425=0),"",MIN(IF(AW425="",9.9E+99,AW425),FLOOR(AN425/U425,1)))</f>
        <v/>
      </c>
      <c r="AP425" s="49">
        <f>IF(AO425="","",AO425*W425)</f>
        <v/>
      </c>
      <c r="AQ425" s="47">
        <f>IF(OR(AJ425="",U425=0),"",MIN(IF(AW425="",9.9E+99,AW425),AN425/U425))</f>
        <v/>
      </c>
      <c r="AR425" s="49">
        <f>IF(AQ425="","",AQ425*W425)</f>
        <v/>
      </c>
      <c r="AS425" s="51" t="n"/>
      <c r="AT425" s="43" t="inlineStr">
        <is>
          <t>Forward SAM</t>
        </is>
      </c>
      <c r="AU425" s="52" t="inlineStr">
        <is>
          <t>FWD-SAM (2030)</t>
        </is>
      </c>
      <c r="AV425" s="52" t="n"/>
      <c r="AW425" s="53" t="n"/>
      <c r="AX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Y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Z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BA425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B425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426">
      <c r="A426" s="38" t="inlineStr">
        <is>
          <t>Saudi – Red Sea</t>
        </is>
      </c>
      <c r="B426" s="38" t="inlineStr">
        <is>
          <t>Saudi Arabia</t>
        </is>
      </c>
      <c r="C426" s="39" t="inlineStr">
        <is>
          <t>Outer-island resort → Outer-island resort cluster (Nujuma / Jumeirah / St Regis)</t>
        </is>
      </c>
      <c r="D426" s="38" t="inlineStr">
        <is>
          <t>bolt</t>
        </is>
      </c>
      <c r="E426" s="40" t="inlineStr">
        <is>
          <t>bolt-ksa-commercial, saudi-redsea, saudi-redsea-resort</t>
        </is>
      </c>
      <c r="F426" s="41" t="n">
        <v>3</v>
      </c>
      <c r="G426" s="42" t="n">
        <v>9.699999999999999</v>
      </c>
      <c r="H426" s="35" t="n">
        <v>125</v>
      </c>
      <c r="I426" s="43" t="inlineStr">
        <is>
          <t>T5</t>
        </is>
      </c>
      <c r="J426" s="43" t="inlineStr">
        <is>
          <t>low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MIN(15,FLOOR(60*service_hr/M426,1))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150000</v>
      </c>
      <c r="AK426" s="43" t="inlineStr">
        <is>
          <t>T5</t>
        </is>
      </c>
      <c r="AL426" s="43" t="inlineStr">
        <is>
          <t>low</t>
        </is>
      </c>
      <c r="AM426" s="50" t="n">
        <v>0.9</v>
      </c>
      <c r="AN426" s="45">
        <f>IF(AJ426="","",AJ426*AM426)</f>
        <v/>
      </c>
      <c r="AO426" s="45">
        <f>IF(OR(AJ426="",U426=0),"",MIN(IF(AW426="",9.9E+99,AW426),FLOOR(AN426/U426,1)))</f>
        <v/>
      </c>
      <c r="AP426" s="49">
        <f>IF(AO426="","",AO426*W426)</f>
        <v/>
      </c>
      <c r="AQ426" s="47">
        <f>IF(OR(AJ426="",U426=0),"",MIN(IF(AW426="",9.9E+99,AW426),AN426/U426))</f>
        <v/>
      </c>
      <c r="AR426" s="49">
        <f>IF(AQ426="","",AQ426*W426)</f>
        <v/>
      </c>
      <c r="AS426" s="51" t="n"/>
      <c r="AT426" s="43" t="inlineStr">
        <is>
          <t>Forward SAM</t>
        </is>
      </c>
      <c r="AU426" s="52" t="inlineStr">
        <is>
          <t>FWD-SAM (2030)</t>
        </is>
      </c>
      <c r="AV426" s="52" t="n"/>
      <c r="AW426" s="53" t="n"/>
      <c r="AX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Y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Z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BA426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B426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427">
      <c r="A427" s="38" t="inlineStr">
        <is>
          <t>Saudi – Red Sea</t>
        </is>
      </c>
      <c r="B427" s="38" t="inlineStr">
        <is>
          <t>Saudi Arabia</t>
        </is>
      </c>
      <c r="C427" s="39" t="inlineStr">
        <is>
          <t>Shura Island Marina → Outer-island resorts (St Regis / Nujuma / Shebara)</t>
        </is>
      </c>
      <c r="D427" s="38" t="inlineStr">
        <is>
          <t>bolt</t>
        </is>
      </c>
      <c r="E427" s="40" t="inlineStr">
        <is>
          <t>bolt-ksa-commercial, saudi-redsea, saudi-redsea-resort</t>
        </is>
      </c>
      <c r="F427" s="41" t="n">
        <v>3</v>
      </c>
      <c r="G427" s="42" t="n">
        <v>11.5</v>
      </c>
      <c r="H427" s="35" t="n">
        <v>175</v>
      </c>
      <c r="I427" s="43" t="inlineStr">
        <is>
          <t>T5</t>
        </is>
      </c>
      <c r="J427" s="43" t="inlineStr">
        <is>
          <t>low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MIN(15,FLOOR(60*service_hr/M427,1))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500000</v>
      </c>
      <c r="AK427" s="43" t="inlineStr">
        <is>
          <t>T2</t>
        </is>
      </c>
      <c r="AL427" s="43" t="inlineStr">
        <is>
          <t>low-med</t>
        </is>
      </c>
      <c r="AM427" s="50" t="n">
        <v>0.9</v>
      </c>
      <c r="AN427" s="45">
        <f>IF(AJ427="","",AJ427*AM427)</f>
        <v/>
      </c>
      <c r="AO427" s="45">
        <f>IF(OR(AJ427="",U427=0),"",MIN(IF(AW427="",9.9E+99,AW427),FLOOR(AN427/U427,1)))</f>
        <v/>
      </c>
      <c r="AP427" s="49">
        <f>IF(AO427="","",AO427*W427)</f>
        <v/>
      </c>
      <c r="AQ427" s="47">
        <f>IF(OR(AJ427="",U427=0),"",MIN(IF(AW427="",9.9E+99,AW427),AN427/U427))</f>
        <v/>
      </c>
      <c r="AR427" s="49">
        <f>IF(AQ427="","",AQ427*W427)</f>
        <v/>
      </c>
      <c r="AS427" s="51" t="n"/>
      <c r="AT427" s="43" t="inlineStr">
        <is>
          <t>Forward SAM</t>
        </is>
      </c>
      <c r="AU427" s="52" t="inlineStr">
        <is>
          <t>FWD-SAM (2030)</t>
        </is>
      </c>
      <c r="AV427" s="52" t="n"/>
      <c r="AW427" s="53" t="n"/>
      <c r="AX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Y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Z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BA427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B427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428">
      <c r="A428" s="38" t="inlineStr">
        <is>
          <t>Saudi – Red Sea</t>
        </is>
      </c>
      <c r="B428" s="38" t="inlineStr">
        <is>
          <t>Saudi Arabia</t>
        </is>
      </c>
      <c r="C428" s="39" t="inlineStr">
        <is>
          <t>Jeddah Corniche → Jeddah Yacht Club &amp; Marina</t>
        </is>
      </c>
      <c r="D428" s="38" t="inlineStr">
        <is>
          <t>saudi-redsea-pif</t>
        </is>
      </c>
      <c r="E428" s="40" t="inlineStr">
        <is>
          <t>bolt-ksa-commercial, saudi-redsea, saudi-redsea-resort</t>
        </is>
      </c>
      <c r="F428" s="41" t="n">
        <v>3</v>
      </c>
      <c r="G428" s="42" t="n">
        <v>12</v>
      </c>
      <c r="H428" s="35" t="n"/>
      <c r="I428" s="43" t="n"/>
      <c r="J428" s="43" t="n"/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/>
      <c r="AK428" s="43" t="n"/>
      <c r="AL428" s="43" t="n"/>
      <c r="AM428" s="50" t="n">
        <v>0.9</v>
      </c>
      <c r="AN428" s="45">
        <f>IF(AJ428="","",AJ428*AM428)</f>
        <v/>
      </c>
      <c r="AO428" s="45">
        <f>IF(OR(AJ428="",U428=0),"",MIN(IF(AW428="",9.9E+99,AW428),FLOOR(AN428/U428,1)))</f>
        <v/>
      </c>
      <c r="AP428" s="49">
        <f>IF(AO428="","",AO428*W428)</f>
        <v/>
      </c>
      <c r="AQ428" s="47">
        <f>IF(OR(AJ428="",U428=0),"",MIN(IF(AW428="",9.9E+99,AW428),AN428/U428))</f>
        <v/>
      </c>
      <c r="AR428" s="49">
        <f>IF(AQ428="","",AQ428*W428)</f>
        <v/>
      </c>
      <c r="AS428" s="51" t="n"/>
      <c r="AT428" s="43" t="inlineStr">
        <is>
          <t>Estimated</t>
        </is>
      </c>
      <c r="AU428" s="52" t="n"/>
      <c r="AV428" s="52" t="n"/>
      <c r="AW428" s="53" t="n"/>
      <c r="AX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Y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Z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BA428" s="40" t="n"/>
      <c r="BB428" s="40" t="n"/>
    </row>
    <row r="429">
      <c r="A429" s="38" t="inlineStr">
        <is>
          <t>Saudi – Red Sea</t>
        </is>
      </c>
      <c r="B429" s="38" t="inlineStr">
        <is>
          <t>Saudi Arabia</t>
        </is>
      </c>
      <c r="C429" s="39" t="inlineStr">
        <is>
          <t>Khobar / Dammam (Eastern Province) → Manama, Bahrain</t>
        </is>
      </c>
      <c r="D429" s="38" t="inlineStr">
        <is>
          <t>red-sea-global</t>
        </is>
      </c>
      <c r="E429" s="40" t="inlineStr">
        <is>
          <t>bolt-ksa-commercial, saudi-redsea, saudi-redsea-resort</t>
        </is>
      </c>
      <c r="F429" s="41" t="n">
        <v>3</v>
      </c>
      <c r="G429" s="42" t="n">
        <v>18.6</v>
      </c>
      <c r="H429" s="35" t="n">
        <v>80</v>
      </c>
      <c r="I429" s="43" t="inlineStr">
        <is>
          <t>T5</t>
        </is>
      </c>
      <c r="J429" s="43" t="inlineStr">
        <is>
          <t>low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MIN(27,FLOOR(60*service_hr/M429,1))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330000</v>
      </c>
      <c r="AK429" s="43" t="inlineStr">
        <is>
          <t>T3</t>
        </is>
      </c>
      <c r="AL429" s="43" t="inlineStr">
        <is>
          <t>low</t>
        </is>
      </c>
      <c r="AM429" s="50" t="n">
        <v>0.1</v>
      </c>
      <c r="AN429" s="45">
        <f>IF(AJ429="","",AJ429*AM429)</f>
        <v/>
      </c>
      <c r="AO429" s="45">
        <f>IF(OR(AJ429="",U429=0),"",MIN(IF(AW429="",9.9E+99,AW429),FLOOR(AN429/U429,1)))</f>
        <v/>
      </c>
      <c r="AP429" s="49">
        <f>IF(AO429="","",AO429*W429)</f>
        <v/>
      </c>
      <c r="AQ429" s="47">
        <f>IF(OR(AJ429="",U429=0),"",MIN(IF(AW429="",9.9E+99,AW429),AN429/U429))</f>
        <v/>
      </c>
      <c r="AR429" s="49">
        <f>IF(AQ429="","",AQ429*W429)</f>
        <v/>
      </c>
      <c r="AS429" s="51" t="n"/>
      <c r="AT429" s="43" t="inlineStr">
        <is>
          <t>Forward SAM</t>
        </is>
      </c>
      <c r="AU429" s="52" t="inlineStr">
        <is>
          <t>FWD-SAM (2030)</t>
        </is>
      </c>
      <c r="AV429" s="52" t="n"/>
      <c r="AW429" s="53" t="n"/>
      <c r="AX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Y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Z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BA429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B429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430">
      <c r="A430" s="38" t="inlineStr">
        <is>
          <t>Saudi – Red Sea</t>
        </is>
      </c>
      <c r="B430" s="38" t="inlineStr">
        <is>
          <t>Saudi Arabia</t>
        </is>
      </c>
      <c r="C430" s="39" t="inlineStr">
        <is>
          <t>The Red Sea → AMAALA (Triple Bay)</t>
        </is>
      </c>
      <c r="D430" s="38" t="inlineStr">
        <is>
          <t>red-sea-global</t>
        </is>
      </c>
      <c r="E430" s="40" t="inlineStr">
        <is>
          <t>bolt-ksa-commercial, saudi-redsea, saudi-redsea-resort</t>
        </is>
      </c>
      <c r="F430" s="41" t="n">
        <v>3</v>
      </c>
      <c r="G430" s="42" t="n">
        <v>29.4</v>
      </c>
      <c r="H430" s="35" t="n">
        <v>250</v>
      </c>
      <c r="I430" s="43" t="inlineStr">
        <is>
          <t>T5</t>
        </is>
      </c>
      <c r="J430" s="43" t="inlineStr">
        <is>
          <t>low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500000</v>
      </c>
      <c r="AK430" s="43" t="inlineStr">
        <is>
          <t>T4</t>
        </is>
      </c>
      <c r="AL430" s="43" t="inlineStr">
        <is>
          <t>low</t>
        </is>
      </c>
      <c r="AM430" s="50" t="n">
        <v>0.1</v>
      </c>
      <c r="AN430" s="45">
        <f>IF(AJ430="","",AJ430*AM430)</f>
        <v/>
      </c>
      <c r="AO430" s="45">
        <f>IF(OR(AJ430="",U430=0),"",MIN(IF(AW430="",9.9E+99,AW430),FLOOR(AN430/U430,1)))</f>
        <v/>
      </c>
      <c r="AP430" s="49">
        <f>IF(AO430="","",AO430*W430)</f>
        <v/>
      </c>
      <c r="AQ430" s="47">
        <f>IF(OR(AJ430="",U430=0),"",MIN(IF(AW430="",9.9E+99,AW430),AN430/U430))</f>
        <v/>
      </c>
      <c r="AR430" s="49">
        <f>IF(AQ430="","",AQ430*W430)</f>
        <v/>
      </c>
      <c r="AS430" s="51" t="n"/>
      <c r="AT430" s="43" t="inlineStr">
        <is>
          <t>Forward SAM</t>
        </is>
      </c>
      <c r="AU430" s="52" t="inlineStr">
        <is>
          <t>FWD-SAM (2030)</t>
        </is>
      </c>
      <c r="AV430" s="52" t="n"/>
      <c r="AW430" s="53" t="n"/>
      <c r="AX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Y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Z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BA430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B430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431">
      <c r="A431" s="38" t="inlineStr">
        <is>
          <t>Saudi – Red Sea</t>
        </is>
      </c>
      <c r="B431" s="38" t="inlineStr">
        <is>
          <t>Saudi Arabia</t>
        </is>
      </c>
      <c r="C431" s="39" t="inlineStr">
        <is>
          <t>NEOM — Sindalah → Magna / Oxagon coast</t>
        </is>
      </c>
      <c r="D431" s="38" t="inlineStr">
        <is>
          <t>red-sea-global</t>
        </is>
      </c>
      <c r="E431" s="40" t="inlineStr">
        <is>
          <t>bolt-ksa-commercial, saudi-redsea, saudi-redsea-resort</t>
        </is>
      </c>
      <c r="F431" s="41" t="n">
        <v>3</v>
      </c>
      <c r="G431" s="42" t="n">
        <v>30.8</v>
      </c>
      <c r="H431" s="35" t="n">
        <v>120</v>
      </c>
      <c r="I431" s="43" t="inlineStr">
        <is>
          <t>T5</t>
        </is>
      </c>
      <c r="J431" s="43" t="inlineStr">
        <is>
          <t>low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MIN(27,FLOOR(60*service_hr/M431,1))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250000</v>
      </c>
      <c r="AK431" s="43" t="inlineStr">
        <is>
          <t>T2</t>
        </is>
      </c>
      <c r="AL431" s="43" t="inlineStr">
        <is>
          <t>low</t>
        </is>
      </c>
      <c r="AM431" s="50" t="n">
        <v>0.1</v>
      </c>
      <c r="AN431" s="45">
        <f>IF(AJ431="","",AJ431*AM431)</f>
        <v/>
      </c>
      <c r="AO431" s="45">
        <f>IF(OR(AJ431="",U431=0),"",MIN(IF(AW431="",9.9E+99,AW431),FLOOR(AN431/U431,1)))</f>
        <v/>
      </c>
      <c r="AP431" s="49">
        <f>IF(AO431="","",AO431*W431)</f>
        <v/>
      </c>
      <c r="AQ431" s="47">
        <f>IF(OR(AJ431="",U431=0),"",MIN(IF(AW431="",9.9E+99,AW431),AN431/U431))</f>
        <v/>
      </c>
      <c r="AR431" s="49">
        <f>IF(AQ431="","",AQ431*W431)</f>
        <v/>
      </c>
      <c r="AS431" s="51" t="n"/>
      <c r="AT431" s="43" t="inlineStr">
        <is>
          <t>Forward SAM</t>
        </is>
      </c>
      <c r="AU431" s="52" t="inlineStr">
        <is>
          <t>FWD-SAM (2030)</t>
        </is>
      </c>
      <c r="AV431" s="52" t="n"/>
      <c r="AW431" s="53" t="n"/>
      <c r="AX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Y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Z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BA431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B431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432">
      <c r="A432" s="38" t="inlineStr">
        <is>
          <t>Yango Senegal</t>
        </is>
      </c>
      <c r="B432" s="38" t="inlineStr">
        <is>
          <t>Senegal</t>
        </is>
      </c>
      <c r="C432" s="39" t="inlineStr">
        <is>
          <t>Dakar (Plage de Ngor) → Ile de Ngor</t>
        </is>
      </c>
      <c r="D432" s="38" t="inlineStr">
        <is>
          <t>yango</t>
        </is>
      </c>
      <c r="E432" s="40" t="inlineStr">
        <is>
          <t>yango-senegal, yassir-senegal</t>
        </is>
      </c>
      <c r="F432" s="41" t="n">
        <v>2</v>
      </c>
      <c r="G432" s="42" t="n">
        <v>0.3</v>
      </c>
      <c r="H432" s="35" t="n">
        <v>18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/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IF(OR(AJ432="",U432=0),"",MIN(IF(AW432="",9.9E+99,AW432),FLOOR(AN432/U432,1)))</f>
        <v/>
      </c>
      <c r="AP432" s="49">
        <f>IF(AO432="","",AO432*W432)</f>
        <v/>
      </c>
      <c r="AQ432" s="47">
        <f>IF(OR(AJ432="",U432=0),"",MIN(IF(AW432="",9.9E+99,AW432),AN432/U432))</f>
        <v/>
      </c>
      <c r="AR432" s="49">
        <f>IF(AQ432="","",AQ432*W432)</f>
        <v/>
      </c>
      <c r="AS432" s="51" t="n"/>
      <c r="AT432" s="43" t="inlineStr">
        <is>
          <t>Estimated</t>
        </is>
      </c>
      <c r="AU432" s="52" t="n"/>
      <c r="AV432" s="52" t="n"/>
      <c r="AW432" s="53" t="n"/>
      <c r="AX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Y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Z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BA432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B432" s="40" t="n"/>
    </row>
    <row r="433">
      <c r="A433" s="38" t="inlineStr">
        <is>
          <t>Yango Senegal</t>
        </is>
      </c>
      <c r="B433" s="38" t="inlineStr">
        <is>
          <t>Senegal</t>
        </is>
      </c>
      <c r="C433" s="39" t="inlineStr">
        <is>
          <t>Dakar (Soumbedioune / Mole) → Parc National des Iles de la Madeleine (Ile aux Serpents/Sarpan)</t>
        </is>
      </c>
      <c r="D433" s="38" t="inlineStr">
        <is>
          <t>yango</t>
        </is>
      </c>
      <c r="E433" s="40" t="inlineStr">
        <is>
          <t>yango-senegal, yassir-senegal</t>
        </is>
      </c>
      <c r="F433" s="41" t="n">
        <v>2</v>
      </c>
      <c r="G433" s="42" t="n">
        <v>2.2</v>
      </c>
      <c r="H433" s="35" t="n">
        <v>18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MIN(15,FLOOR(60*service_hr/M433,1))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/>
      <c r="AK433" s="43" t="n"/>
      <c r="AL433" s="43" t="n"/>
      <c r="AM433" s="50" t="n">
        <v>0.1</v>
      </c>
      <c r="AN433" s="45">
        <f>IF(AJ433="","",AJ433*AM433)</f>
        <v/>
      </c>
      <c r="AO433" s="45">
        <f>IF(OR(AJ433="",U433=0),"",MIN(IF(AW433="",9.9E+99,AW433),FLOOR(AN433/U433,1)))</f>
        <v/>
      </c>
      <c r="AP433" s="49">
        <f>IF(AO433="","",AO433*W433)</f>
        <v/>
      </c>
      <c r="AQ433" s="47">
        <f>IF(OR(AJ433="",U433=0),"",MIN(IF(AW433="",9.9E+99,AW433),AN433/U433))</f>
        <v/>
      </c>
      <c r="AR433" s="49">
        <f>IF(AQ433="","",AQ433*W433)</f>
        <v/>
      </c>
      <c r="AS433" s="51" t="n"/>
      <c r="AT433" s="43" t="inlineStr">
        <is>
          <t>Estimated</t>
        </is>
      </c>
      <c r="AU433" s="52" t="n"/>
      <c r="AV433" s="52" t="n"/>
      <c r="AW433" s="53" t="n"/>
      <c r="AX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Y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Z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BA433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B433" s="40" t="n"/>
    </row>
    <row r="434">
      <c r="A434" s="38" t="inlineStr">
        <is>
          <t>Yango Senegal</t>
        </is>
      </c>
      <c r="B434" s="38" t="inlineStr">
        <is>
          <t>Senegal</t>
        </is>
      </c>
      <c r="C434" s="39" t="inlineStr">
        <is>
          <t>Dakar Port → Île de Gorée</t>
        </is>
      </c>
      <c r="D434" s="38" t="inlineStr">
        <is>
          <t>yango</t>
        </is>
      </c>
      <c r="E434" s="40" t="inlineStr">
        <is>
          <t>yango-senegal, yassir-senegal</t>
        </is>
      </c>
      <c r="F434" s="41" t="n">
        <v>2</v>
      </c>
      <c r="G434" s="42" t="n">
        <v>2.5</v>
      </c>
      <c r="H434" s="35" t="n">
        <v>18</v>
      </c>
      <c r="I434" s="43" t="inlineStr">
        <is>
          <t>T2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MIN(15,FLOOR(60*service_hr/M434,1))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80000</v>
      </c>
      <c r="AK434" s="43" t="n"/>
      <c r="AL434" s="43" t="inlineStr">
        <is>
          <t>med</t>
        </is>
      </c>
      <c r="AM434" s="50" t="n">
        <v>0.25</v>
      </c>
      <c r="AN434" s="45">
        <f>IF(AJ434="","",AJ434*AM434)</f>
        <v/>
      </c>
      <c r="AO434" s="45">
        <f>IF(OR(AJ434="",U434=0),"",MIN(IF(AW434="",9.9E+99,AW434),FLOOR(AN434/U434,1)))</f>
        <v/>
      </c>
      <c r="AP434" s="49">
        <f>IF(AO434="","",AO434*W434)</f>
        <v/>
      </c>
      <c r="AQ434" s="47">
        <f>IF(OR(AJ434="",U434=0),"",MIN(IF(AW434="",9.9E+99,AW434),AN434/U434))</f>
        <v/>
      </c>
      <c r="AR434" s="49">
        <f>IF(AQ434="","",AQ434*W434)</f>
        <v/>
      </c>
      <c r="AS434" s="51" t="n"/>
      <c r="AT434" s="43" t="inlineStr">
        <is>
          <t>Grounded</t>
        </is>
      </c>
      <c r="AU434" s="52" t="n"/>
      <c r="AV434" s="52" t="n"/>
      <c r="AW434" s="53" t="n"/>
      <c r="AX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Y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Z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BA434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B434" s="40" t="n"/>
    </row>
    <row r="435">
      <c r="A435" s="38" t="inlineStr">
        <is>
          <t>Yango Senegal</t>
        </is>
      </c>
      <c r="B435" s="38" t="inlineStr">
        <is>
          <t>Senegal</t>
        </is>
      </c>
      <c r="C435" s="39" t="inlineStr">
        <is>
          <t>Dakar (Yoff / Almadies) → Dakar (Soumbedioune / Plateau)</t>
        </is>
      </c>
      <c r="D435" s="38" t="inlineStr">
        <is>
          <t>yango</t>
        </is>
      </c>
      <c r="E435" s="40" t="inlineStr">
        <is>
          <t>yango-senegal, yassir-senegal</t>
        </is>
      </c>
      <c r="F435" s="41" t="n">
        <v>2</v>
      </c>
      <c r="G435" s="42" t="n">
        <v>8</v>
      </c>
      <c r="H435" s="35" t="n"/>
      <c r="I435" s="43" t="n"/>
      <c r="J435" s="43" t="n"/>
      <c r="K435" s="29" t="n">
        <v>1</v>
      </c>
      <c r="L435" s="44">
        <f>60*G435/cruise_kt</f>
        <v/>
      </c>
      <c r="M435" s="44">
        <f>L435+turn_min+dwell_min</f>
        <v/>
      </c>
      <c r="N435" s="45">
        <f>MIN(24,FLOOR(60*service_hr/M435,1))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/>
      <c r="AK435" s="43" t="n"/>
      <c r="AL435" s="43" t="n"/>
      <c r="AM435" s="50" t="n">
        <v>0.1</v>
      </c>
      <c r="AN435" s="45">
        <f>IF(AJ435="","",AJ435*AM435)</f>
        <v/>
      </c>
      <c r="AO435" s="45">
        <f>IF(OR(AJ435="",U435=0),"",MIN(IF(AW435="",9.9E+99,AW435),FLOOR(AN435/U435,1)))</f>
        <v/>
      </c>
      <c r="AP435" s="49">
        <f>IF(AO435="","",AO435*W435)</f>
        <v/>
      </c>
      <c r="AQ435" s="47">
        <f>IF(OR(AJ435="",U435=0),"",MIN(IF(AW435="",9.9E+99,AW435),AN435/U435))</f>
        <v/>
      </c>
      <c r="AR435" s="49">
        <f>IF(AQ435="","",AQ435*W435)</f>
        <v/>
      </c>
      <c r="AS435" s="51" t="n"/>
      <c r="AT435" s="43" t="inlineStr">
        <is>
          <t>Estimated</t>
        </is>
      </c>
      <c r="AU435" s="52" t="n"/>
      <c r="AV435" s="52" t="n"/>
      <c r="AW435" s="53" t="n"/>
      <c r="AX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Y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Z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BA435" s="40" t="n"/>
      <c r="BB435" s="40" t="n"/>
    </row>
    <row r="436">
      <c r="A436" s="38" t="inlineStr">
        <is>
          <t>Yango Senegal</t>
        </is>
      </c>
      <c r="B436" s="38" t="inlineStr">
        <is>
          <t>Senegal</t>
        </is>
      </c>
      <c r="C436" s="39" t="inlineStr">
        <is>
          <t>Dakar / Mbour-Petite Cote → Foundiougne (Sine-Saloum delta)</t>
        </is>
      </c>
      <c r="D436" s="38" t="inlineStr">
        <is>
          <t>yango</t>
        </is>
      </c>
      <c r="E436" s="40" t="inlineStr">
        <is>
          <t>yango-senegal, yassir-senegal</t>
        </is>
      </c>
      <c r="F436" s="41" t="n">
        <v>2</v>
      </c>
      <c r="G436" s="42" t="n">
        <v>60</v>
      </c>
      <c r="H436" s="35" t="n"/>
      <c r="I436" s="43" t="n"/>
      <c r="J436" s="43" t="n"/>
      <c r="K436" s="29" t="n">
        <v>1</v>
      </c>
      <c r="L436" s="44">
        <f>60*G436/cruise_kt</f>
        <v/>
      </c>
      <c r="M436" s="44">
        <f>L436+turn_min+dwell_min</f>
        <v/>
      </c>
      <c r="N436" s="45">
        <f>MIN(15,FLOOR(60*service_hr/M436,1))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/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IF(OR(AJ436="",U436=0),"",MIN(IF(AW436="",9.9E+99,AW436),FLOOR(AN436/U436,1)))</f>
        <v/>
      </c>
      <c r="AP436" s="49">
        <f>IF(AO436="","",AO436*W436)</f>
        <v/>
      </c>
      <c r="AQ436" s="47">
        <f>IF(OR(AJ436="",U436=0),"",MIN(IF(AW436="",9.9E+99,AW436),AN436/U436))</f>
        <v/>
      </c>
      <c r="AR436" s="49">
        <f>IF(AQ436="","",AQ436*W436)</f>
        <v/>
      </c>
      <c r="AS436" s="51" t="n"/>
      <c r="AT436" s="43" t="inlineStr">
        <is>
          <t>Estimated</t>
        </is>
      </c>
      <c r="AU436" s="52" t="n"/>
      <c r="AV436" s="52" t="n"/>
      <c r="AW436" s="53" t="n"/>
      <c r="AX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Y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Z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BA436" s="40" t="n"/>
      <c r="BB436" s="40" t="n"/>
    </row>
    <row r="437">
      <c r="A437" s="38" t="inlineStr">
        <is>
          <t>Singapore</t>
        </is>
      </c>
      <c r="B437" s="38" t="inlineStr">
        <is>
          <t>Singapore</t>
        </is>
      </c>
      <c r="C437" s="39" t="inlineStr">
        <is>
          <t>Changi Point → Pulau Ubin (Main Jetty)</t>
        </is>
      </c>
      <c r="D437" s="38" t="inlineStr">
        <is>
          <t>grab</t>
        </is>
      </c>
      <c r="E437" s="40" t="inlineStr">
        <is>
          <t>singapore</t>
        </is>
      </c>
      <c r="F437" s="41" t="n">
        <v>1</v>
      </c>
      <c r="G437" s="42" t="n">
        <v>1.2</v>
      </c>
      <c r="H437" s="35" t="n">
        <v>8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MIN(15,FLOOR(60*service_hr/M437,1))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60000</v>
      </c>
      <c r="AK437" s="43" t="n"/>
      <c r="AL437" s="43" t="n"/>
      <c r="AM437" s="50" t="n">
        <v>0.25</v>
      </c>
      <c r="AN437" s="45">
        <f>IF(AJ437="","",AJ437*AM437)</f>
        <v/>
      </c>
      <c r="AO437" s="45">
        <f>IF(OR(AJ437="",U437=0),"",MIN(IF(AW437="",9.9E+99,AW437),FLOOR(AN437/U437,1)))</f>
        <v/>
      </c>
      <c r="AP437" s="49">
        <f>IF(AO437="","",AO437*W437)</f>
        <v/>
      </c>
      <c r="AQ437" s="47">
        <f>IF(OR(AJ437="",U437=0),"",MIN(IF(AW437="",9.9E+99,AW437),AN437/U437))</f>
        <v/>
      </c>
      <c r="AR437" s="49">
        <f>IF(AQ437="","",AQ437*W437)</f>
        <v/>
      </c>
      <c r="AS437" s="51" t="n"/>
      <c r="AT437" s="43" t="inlineStr">
        <is>
          <t>Grounded</t>
        </is>
      </c>
      <c r="AU437" s="52" t="n"/>
      <c r="AV437" s="52" t="n"/>
      <c r="AW437" s="53" t="n"/>
      <c r="AX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Y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Z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BA437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B437" s="40" t="n"/>
    </row>
    <row r="438">
      <c r="A438" s="38" t="inlineStr">
        <is>
          <t>Singapore</t>
        </is>
      </c>
      <c r="B438" s="38" t="inlineStr">
        <is>
          <t>Singapore</t>
        </is>
      </c>
      <c r="C438" s="39" t="inlineStr">
        <is>
          <t>Marina Bay → Sentosa / southern islands</t>
        </is>
      </c>
      <c r="D438" s="38" t="inlineStr">
        <is>
          <t>grab</t>
        </is>
      </c>
      <c r="E438" s="40" t="inlineStr">
        <is>
          <t>singapore</t>
        </is>
      </c>
      <c r="F438" s="41" t="n">
        <v>1</v>
      </c>
      <c r="G438" s="42" t="n">
        <v>2.6</v>
      </c>
      <c r="H438" s="35" t="n">
        <v>18</v>
      </c>
      <c r="I438" s="43" t="inlineStr">
        <is>
          <t>T3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54000</v>
      </c>
      <c r="AK438" s="43" t="n"/>
      <c r="AL438" s="43" t="n"/>
      <c r="AM438" s="50" t="n">
        <v>0.25</v>
      </c>
      <c r="AN438" s="45">
        <f>IF(AJ438="","",AJ438*AM438)</f>
        <v/>
      </c>
      <c r="AO438" s="45">
        <f>IF(OR(AJ438="",U438=0),"",MIN(IF(AW438="",9.9E+99,AW438),FLOOR(AN438/U438,1)))</f>
        <v/>
      </c>
      <c r="AP438" s="49">
        <f>IF(AO438="","",AO438*W438)</f>
        <v/>
      </c>
      <c r="AQ438" s="47">
        <f>IF(OR(AJ438="",U438=0),"",MIN(IF(AW438="",9.9E+99,AW438),AN438/U438))</f>
        <v/>
      </c>
      <c r="AR438" s="49">
        <f>IF(AQ438="","",AQ438*W438)</f>
        <v/>
      </c>
      <c r="AS438" s="51" t="n"/>
      <c r="AT438" s="43" t="inlineStr">
        <is>
          <t>Grounded</t>
        </is>
      </c>
      <c r="AU438" s="52" t="n"/>
      <c r="AV438" s="52" t="n"/>
      <c r="AW438" s="53" t="n"/>
      <c r="AX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Y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Z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BA438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B438" s="40" t="n"/>
    </row>
    <row r="439">
      <c r="A439" s="38" t="inlineStr">
        <is>
          <t>Yango Congo Brazzaville</t>
        </is>
      </c>
      <c r="B439" s="38" t="inlineStr">
        <is>
          <t>Singapore</t>
        </is>
      </c>
      <c r="C439" s="39" t="inlineStr">
        <is>
          <t>Pointe-Noire Bay → Côte Sauvage</t>
        </is>
      </c>
      <c r="D439" s="38" t="inlineStr">
        <is>
          <t>yango</t>
        </is>
      </c>
      <c r="E439" s="40" t="inlineStr">
        <is>
          <t>yango-congo-brazzaville</t>
        </is>
      </c>
      <c r="F439" s="41" t="n">
        <v>1</v>
      </c>
      <c r="G439" s="42" t="n">
        <v>3</v>
      </c>
      <c r="H439" s="35" t="n">
        <v>18</v>
      </c>
      <c r="I439" s="43" t="inlineStr">
        <is>
          <t>T4</t>
        </is>
      </c>
      <c r="J439" s="43" t="inlineStr">
        <is>
          <t>low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22000</v>
      </c>
      <c r="AK439" s="43" t="n"/>
      <c r="AL439" s="43" t="inlineStr">
        <is>
          <t>low</t>
        </is>
      </c>
      <c r="AM439" s="50" t="n">
        <v>0.25</v>
      </c>
      <c r="AN439" s="45">
        <f>IF(AJ439="","",AJ439*AM439)</f>
        <v/>
      </c>
      <c r="AO439" s="45">
        <f>IF(OR(AJ439="",U439=0),"",MIN(IF(AW439="",9.9E+99,AW439),FLOOR(AN439/U439,1)))</f>
        <v/>
      </c>
      <c r="AP439" s="49">
        <f>IF(AO439="","",AO439*W439)</f>
        <v/>
      </c>
      <c r="AQ439" s="47">
        <f>IF(OR(AJ439="",U439=0),"",MIN(IF(AW439="",9.9E+99,AW439),AN439/U439))</f>
        <v/>
      </c>
      <c r="AR439" s="49">
        <f>IF(AQ439="","",AQ439*W439)</f>
        <v/>
      </c>
      <c r="AS439" s="51" t="n"/>
      <c r="AT439" s="43" t="inlineStr">
        <is>
          <t>Estimated</t>
        </is>
      </c>
      <c r="AU439" s="52" t="n"/>
      <c r="AV439" s="52" t="n"/>
      <c r="AW439" s="53" t="n"/>
      <c r="AX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Y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Z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BA439" s="40" t="inlineStr">
        <is>
          <t>[LB-255 PREMIUM RE-FARE: subsidized comparable $6.0 lifted to premium on-demand floor $18.0] Modeled leisure fare for a short bay beach hop.</t>
        </is>
      </c>
      <c r="BB439" s="40" t="n"/>
    </row>
    <row r="440">
      <c r="A440" s="38" t="inlineStr">
        <is>
          <t>Singapore</t>
        </is>
      </c>
      <c r="B440" s="38" t="inlineStr">
        <is>
          <t>Singapore</t>
        </is>
      </c>
      <c r="C440" s="39" t="inlineStr">
        <is>
          <t>Sentosa Cove (ONE15 Marina) → Marina Bay (CBD)</t>
        </is>
      </c>
      <c r="D440" s="38" t="inlineStr">
        <is>
          <t>grab</t>
        </is>
      </c>
      <c r="E440" s="40" t="inlineStr">
        <is>
          <t>singapore</t>
        </is>
      </c>
      <c r="F440" s="41" t="n">
        <v>1</v>
      </c>
      <c r="G440" s="42" t="n">
        <v>3.2</v>
      </c>
      <c r="H440" s="35" t="n">
        <v>11</v>
      </c>
      <c r="I440" s="43" t="inlineStr">
        <is>
          <t>T3</t>
        </is>
      </c>
      <c r="J440" s="43" t="inlineStr">
        <is>
          <t>low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MIN(24,FLOOR(60*service_hr/M440,1))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8087</v>
      </c>
      <c r="AK440" s="43" t="n"/>
      <c r="AL440" s="43" t="n"/>
      <c r="AM440" s="50" t="n">
        <v>1</v>
      </c>
      <c r="AN440" s="45">
        <f>IF(AJ440="","",AJ440*AM440)</f>
        <v/>
      </c>
      <c r="AO440" s="45">
        <f>IF(OR(AJ440="",U440=0),"",MIN(IF(AW440="",9.9E+99,AW440),FLOOR(AN440/U440,1)))</f>
        <v/>
      </c>
      <c r="AP440" s="49">
        <f>IF(AO440="","",AO440*W440)</f>
        <v/>
      </c>
      <c r="AQ440" s="47">
        <f>IF(OR(AJ440="",U440=0),"",MIN(IF(AW440="",9.9E+99,AW440),AN440/U440))</f>
        <v/>
      </c>
      <c r="AR440" s="49">
        <f>IF(AQ440="","",AQ440*W440)</f>
        <v/>
      </c>
      <c r="AS440" s="51" t="n"/>
      <c r="AT440" s="43" t="inlineStr">
        <is>
          <t>Upside tier</t>
        </is>
      </c>
      <c r="AU440" s="52" t="n"/>
      <c r="AV440" s="52" t="inlineStr">
        <is>
          <t>modal_shift_greenfield</t>
        </is>
      </c>
      <c r="AW440" s="53" t="n"/>
      <c r="AX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Y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Z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BA440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B440" s="40" t="n"/>
    </row>
    <row r="441">
      <c r="A441" s="38" t="inlineStr">
        <is>
          <t>Singapore</t>
        </is>
      </c>
      <c r="B441" s="38" t="inlineStr">
        <is>
          <t>Singapore</t>
        </is>
      </c>
      <c r="C441" s="39" t="inlineStr">
        <is>
          <t>Greater Southern Waterfront (Keppel Club site) → Marina Bay (CBD)</t>
        </is>
      </c>
      <c r="D441" s="38" t="inlineStr">
        <is>
          <t>grab</t>
        </is>
      </c>
      <c r="E441" s="40" t="inlineStr">
        <is>
          <t>singapore</t>
        </is>
      </c>
      <c r="F441" s="41" t="n">
        <v>1</v>
      </c>
      <c r="G441" s="42" t="n">
        <v>3.5</v>
      </c>
      <c r="H441" s="35" t="n">
        <v>18</v>
      </c>
      <c r="I441" s="43" t="inlineStr">
        <is>
          <t>T3</t>
        </is>
      </c>
      <c r="J441" s="43" t="inlineStr">
        <is>
          <t>low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MIN(24,FLOOR(60*service_hr/M441,1))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19656</v>
      </c>
      <c r="AK441" s="43" t="n"/>
      <c r="AL441" s="43" t="n"/>
      <c r="AM441" s="50" t="n">
        <v>1</v>
      </c>
      <c r="AN441" s="45">
        <f>IF(AJ441="","",AJ441*AM441)</f>
        <v/>
      </c>
      <c r="AO441" s="45">
        <f>IF(OR(AJ441="",U441=0),"",MIN(IF(AW441="",9.9E+99,AW441),FLOOR(AN441/U441,1)))</f>
        <v/>
      </c>
      <c r="AP441" s="49">
        <f>IF(AO441="","",AO441*W441)</f>
        <v/>
      </c>
      <c r="AQ441" s="47">
        <f>IF(OR(AJ441="",U441=0),"",MIN(IF(AW441="",9.9E+99,AW441),AN441/U441))</f>
        <v/>
      </c>
      <c r="AR441" s="49">
        <f>IF(AQ441="","",AQ441*W441)</f>
        <v/>
      </c>
      <c r="AS441" s="51" t="n"/>
      <c r="AT441" s="43" t="inlineStr">
        <is>
          <t>Forward SAM</t>
        </is>
      </c>
      <c r="AU441" s="52" t="inlineStr">
        <is>
          <t>FWD-SAM (2030)</t>
        </is>
      </c>
      <c r="AV441" s="52" t="inlineStr">
        <is>
          <t>modal_shift_greenfield</t>
        </is>
      </c>
      <c r="AW441" s="53" t="n"/>
      <c r="AX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Y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Z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BA441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B441" s="40" t="n"/>
    </row>
    <row r="442">
      <c r="A442" s="38" t="inlineStr">
        <is>
          <t>Singapore</t>
        </is>
      </c>
      <c r="B442" s="38" t="inlineStr">
        <is>
          <t>Singapore</t>
        </is>
      </c>
      <c r="C442" s="39" t="inlineStr">
        <is>
          <t>Marina Bay (Bayfront) → Marina Bay (Bayfront)</t>
        </is>
      </c>
      <c r="D442" s="38" t="inlineStr">
        <is>
          <t>grab</t>
        </is>
      </c>
      <c r="E442" s="40" t="inlineStr">
        <is>
          <t>singapore</t>
        </is>
      </c>
      <c r="F442" s="41" t="n">
        <v>1</v>
      </c>
      <c r="G442" s="42" t="n">
        <v>4.5</v>
      </c>
      <c r="H442" s="35" t="n">
        <v>21</v>
      </c>
      <c r="I442" s="43" t="inlineStr">
        <is>
          <t>T1</t>
        </is>
      </c>
      <c r="J442" s="43" t="inlineStr">
        <is>
          <t>high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MIN(15,FLOOR(60*service_hr/M442,1))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325000</v>
      </c>
      <c r="AK442" s="43" t="n"/>
      <c r="AL442" s="43" t="n"/>
      <c r="AM442" s="50" t="n">
        <v>0.1</v>
      </c>
      <c r="AN442" s="45">
        <f>IF(AJ442="","",AJ442*AM442)</f>
        <v/>
      </c>
      <c r="AO442" s="45">
        <f>IF(OR(AJ442="",U442=0),"",MIN(IF(AW442="",9.9E+99,AW442),FLOOR(AN442/U442,1)))</f>
        <v/>
      </c>
      <c r="AP442" s="49">
        <f>IF(AO442="","",AO442*W442)</f>
        <v/>
      </c>
      <c r="AQ442" s="47">
        <f>IF(OR(AJ442="",U442=0),"",MIN(IF(AW442="",9.9E+99,AW442),AN442/U442))</f>
        <v/>
      </c>
      <c r="AR442" s="49">
        <f>IF(AQ442="","",AQ442*W442)</f>
        <v/>
      </c>
      <c r="AS442" s="51" t="n"/>
      <c r="AT442" s="43" t="inlineStr">
        <is>
          <t>Upside tier</t>
        </is>
      </c>
      <c r="AU442" s="52" t="n"/>
      <c r="AV442" s="52" t="inlineStr">
        <is>
          <t>experience_upside</t>
        </is>
      </c>
      <c r="AW442" s="53" t="n"/>
      <c r="AX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Y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Z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BA442" s="40" t="inlineStr">
        <is>
          <t>Same revealed anchor as grounded row: WaterB/SRC S$28 adult loop (ST 17-Mar-2025; SG Culture Pass). Incremental riders assumed to pay the SAME revealed price - no premium invented.</t>
        </is>
      </c>
      <c r="BB442" s="40" t="n"/>
    </row>
    <row r="443">
      <c r="A443" s="38" t="inlineStr">
        <is>
          <t>Singapore</t>
        </is>
      </c>
      <c r="B443" s="38" t="inlineStr">
        <is>
          <t>Singapore</t>
        </is>
      </c>
      <c r="C443" s="39" t="inlineStr">
        <is>
          <t>Clarke Quay (Singapore River) → Clarke Quay (Singapore River)</t>
        </is>
      </c>
      <c r="D443" s="38" t="inlineStr">
        <is>
          <t>grab</t>
        </is>
      </c>
      <c r="E443" s="40" t="inlineStr">
        <is>
          <t>singapore</t>
        </is>
      </c>
      <c r="F443" s="41" t="n">
        <v>1</v>
      </c>
      <c r="G443" s="42" t="n">
        <v>5</v>
      </c>
      <c r="H443" s="35" t="n">
        <v>21</v>
      </c>
      <c r="I443" s="43" t="inlineStr">
        <is>
          <t>T1</t>
        </is>
      </c>
      <c r="J443" s="43" t="inlineStr">
        <is>
          <t>high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650000</v>
      </c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IF(OR(AJ443="",U443=0),"",MIN(IF(AW443="",9.9E+99,AW443),FLOOR(AN443/U443,1)))</f>
        <v/>
      </c>
      <c r="AP443" s="49">
        <f>IF(AO443="","",AO443*W443)</f>
        <v/>
      </c>
      <c r="AQ443" s="47">
        <f>IF(OR(AJ443="",U443=0),"",MIN(IF(AW443="",9.9E+99,AW443),AN443/U443))</f>
        <v/>
      </c>
      <c r="AR443" s="49">
        <f>IF(AQ443="","",AQ443*W443)</f>
        <v/>
      </c>
      <c r="AS443" s="51" t="n"/>
      <c r="AT443" s="43" t="inlineStr">
        <is>
          <t>Grounded</t>
        </is>
      </c>
      <c r="AU443" s="52" t="n"/>
      <c r="AV443" s="52" t="n"/>
      <c r="AW443" s="53" t="n"/>
      <c r="AX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Y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Z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BA443" s="40" t="inlineStr">
        <is>
          <t>Actual operator pricing: WaterB river cruise S$28 adult / S$18 child (Straits Times 17-Mar-2025 quoting WaterB; SG Culture Pass listing 'from $25'). SRC pricing comparable (~S$28 adult).</t>
        </is>
      </c>
      <c r="BB443" s="40" t="n"/>
    </row>
    <row r="444">
      <c r="A444" s="38" t="inlineStr">
        <is>
          <t>Yango Venezuela</t>
        </is>
      </c>
      <c r="B444" s="38" t="inlineStr">
        <is>
          <t>Singapore</t>
        </is>
      </c>
      <c r="C444" s="39" t="inlineStr">
        <is>
          <t>La Guaira Port → Caraballeda Marina</t>
        </is>
      </c>
      <c r="D444" s="38" t="inlineStr">
        <is>
          <t>yango</t>
        </is>
      </c>
      <c r="E444" s="40" t="inlineStr">
        <is>
          <t>yango-venezuela</t>
        </is>
      </c>
      <c r="F444" s="41" t="n">
        <v>1</v>
      </c>
      <c r="G444" s="42" t="n">
        <v>5</v>
      </c>
      <c r="H444" s="35" t="n">
        <v>12</v>
      </c>
      <c r="I444" s="43" t="inlineStr">
        <is>
          <t>T4</t>
        </is>
      </c>
      <c r="J444" s="43" t="inlineStr">
        <is>
          <t>low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MIN(15,FLOOR(60*service_hr/M444,1))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15000</v>
      </c>
      <c r="AK444" s="43" t="n"/>
      <c r="AL444" s="43" t="inlineStr">
        <is>
          <t>low</t>
        </is>
      </c>
      <c r="AM444" s="50" t="n">
        <v>0.25</v>
      </c>
      <c r="AN444" s="45">
        <f>IF(AJ444="","",AJ444*AM444)</f>
        <v/>
      </c>
      <c r="AO444" s="45">
        <f>IF(OR(AJ444="",U444=0),"",MIN(IF(AW444="",9.9E+99,AW444),FLOOR(AN444/U444,1)))</f>
        <v/>
      </c>
      <c r="AP444" s="49">
        <f>IF(AO444="","",AO444*W444)</f>
        <v/>
      </c>
      <c r="AQ444" s="47">
        <f>IF(OR(AJ444="",U444=0),"",MIN(IF(AW444="",9.9E+99,AW444),AN444/U444))</f>
        <v/>
      </c>
      <c r="AR444" s="49">
        <f>IF(AQ444="","",AQ444*W444)</f>
        <v/>
      </c>
      <c r="AS444" s="51" t="n"/>
      <c r="AT444" s="43" t="inlineStr">
        <is>
          <t>Estimated</t>
        </is>
      </c>
      <c r="AU444" s="52" t="n"/>
      <c r="AV444" s="52" t="n"/>
      <c r="AW444" s="53" t="n"/>
      <c r="AX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Y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Z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BA444" s="40" t="inlineStr">
        <is>
          <t>Modeled leisure/commuter fare for a short marina hop on the Caracas coast (Litoral).</t>
        </is>
      </c>
      <c r="BB444" s="40" t="n"/>
    </row>
    <row r="445">
      <c r="A445" s="38" t="inlineStr">
        <is>
          <t>Singapore</t>
        </is>
      </c>
      <c r="B445" s="38" t="inlineStr">
        <is>
          <t>Singapore</t>
        </is>
      </c>
      <c r="C445" s="39" t="inlineStr">
        <is>
          <t>East Coast → Marina Bay</t>
        </is>
      </c>
      <c r="D445" s="38" t="inlineStr">
        <is>
          <t>grab</t>
        </is>
      </c>
      <c r="E445" s="40" t="inlineStr">
        <is>
          <t>singapore</t>
        </is>
      </c>
      <c r="F445" s="41" t="n">
        <v>1</v>
      </c>
      <c r="G445" s="42" t="n">
        <v>5.8</v>
      </c>
      <c r="H445" s="35" t="n">
        <v>18</v>
      </c>
      <c r="I445" s="43" t="inlineStr">
        <is>
          <t>T5</t>
        </is>
      </c>
      <c r="J445" s="43" t="inlineStr">
        <is>
          <t>low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MIN(24,FLOOR(60*service_hr/M445,1))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111000</v>
      </c>
      <c r="AK445" s="43" t="n"/>
      <c r="AL445" s="43" t="n"/>
      <c r="AM445" s="50" t="n">
        <v>0.25</v>
      </c>
      <c r="AN445" s="45">
        <f>IF(AJ445="","",AJ445*AM445)</f>
        <v/>
      </c>
      <c r="AO445" s="45">
        <f>IF(OR(AJ445="",U445=0),"",MIN(IF(AW445="",9.9E+99,AW445),FLOOR(AN445/U445,1)))</f>
        <v/>
      </c>
      <c r="AP445" s="49">
        <f>IF(AO445="","",AO445*W445)</f>
        <v/>
      </c>
      <c r="AQ445" s="47">
        <f>IF(OR(AJ445="",U445=0),"",MIN(IF(AW445="",9.9E+99,AW445),AN445/U445))</f>
        <v/>
      </c>
      <c r="AR445" s="49">
        <f>IF(AQ445="","",AQ445*W445)</f>
        <v/>
      </c>
      <c r="AS445" s="51" t="n"/>
      <c r="AT445" s="43" t="inlineStr">
        <is>
          <t>Grounded</t>
        </is>
      </c>
      <c r="AU445" s="52" t="n"/>
      <c r="AV445" s="52" t="n"/>
      <c r="AW445" s="53" t="n"/>
      <c r="AX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Y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Z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BA445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B445" s="40" t="n"/>
    </row>
    <row r="446">
      <c r="A446" s="38" t="inlineStr">
        <is>
          <t>Singapore</t>
        </is>
      </c>
      <c r="B446" s="38" t="inlineStr">
        <is>
          <t>Singapore</t>
        </is>
      </c>
      <c r="C446" s="39" t="inlineStr">
        <is>
          <t>Marine Parade / East Coast (Central Region increment) → Raffles Place / Marina Bay</t>
        </is>
      </c>
      <c r="D446" s="38" t="inlineStr">
        <is>
          <t>grab</t>
        </is>
      </c>
      <c r="E446" s="40" t="inlineStr">
        <is>
          <t>singapore</t>
        </is>
      </c>
      <c r="F446" s="41" t="n">
        <v>1</v>
      </c>
      <c r="G446" s="42" t="n">
        <v>5.8</v>
      </c>
      <c r="H446" s="35" t="n">
        <v>9</v>
      </c>
      <c r="I446" s="43" t="inlineStr">
        <is>
          <t>T3</t>
        </is>
      </c>
      <c r="J446" s="43" t="inlineStr">
        <is>
          <t>low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MIN(24,FLOOR(60*service_hr/M446,1))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5003</v>
      </c>
      <c r="AK446" s="43" t="n"/>
      <c r="AL446" s="43" t="n"/>
      <c r="AM446" s="50" t="n">
        <v>1</v>
      </c>
      <c r="AN446" s="45">
        <f>IF(AJ446="","",AJ446*AM446)</f>
        <v/>
      </c>
      <c r="AO446" s="45">
        <f>IF(OR(AJ446="",U446=0),"",MIN(IF(AW446="",9.9E+99,AW446),FLOOR(AN446/U446,1)))</f>
        <v/>
      </c>
      <c r="AP446" s="49">
        <f>IF(AO446="","",AO446*W446)</f>
        <v/>
      </c>
      <c r="AQ446" s="47">
        <f>IF(OR(AJ446="",U446=0),"",MIN(IF(AW446="",9.9E+99,AW446),AN446/U446))</f>
        <v/>
      </c>
      <c r="AR446" s="49">
        <f>IF(AQ446="","",AQ446*W446)</f>
        <v/>
      </c>
      <c r="AS446" s="51" t="n"/>
      <c r="AT446" s="43" t="inlineStr">
        <is>
          <t>Upside tier</t>
        </is>
      </c>
      <c r="AU446" s="52" t="n"/>
      <c r="AV446" s="52" t="inlineStr">
        <is>
          <t>modal_shift_greenfield</t>
        </is>
      </c>
      <c r="AW446" s="53" t="n"/>
      <c r="AX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Y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Z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BA446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B446" s="40" t="n"/>
    </row>
    <row r="447">
      <c r="A447" s="38" t="inlineStr">
        <is>
          <t>Yango Namibia</t>
        </is>
      </c>
      <c r="B447" s="38" t="inlineStr">
        <is>
          <t>Singapore</t>
        </is>
      </c>
      <c r="C447" s="39" t="inlineStr">
        <is>
          <t>Walvis Bay Waterfront → Pelican Point</t>
        </is>
      </c>
      <c r="D447" s="38" t="inlineStr">
        <is>
          <t>yango</t>
        </is>
      </c>
      <c r="E447" s="40" t="inlineStr">
        <is>
          <t>yango-namibia</t>
        </is>
      </c>
      <c r="F447" s="41" t="n">
        <v>1</v>
      </c>
      <c r="G447" s="42" t="n">
        <v>6</v>
      </c>
      <c r="H447" s="35" t="n">
        <v>48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MIN(15,FLOOR(60*service_hr/M447,1))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60000</v>
      </c>
      <c r="AK447" s="43" t="n"/>
      <c r="AL447" s="43" t="inlineStr">
        <is>
          <t>med</t>
        </is>
      </c>
      <c r="AM447" s="50" t="n">
        <v>0.25</v>
      </c>
      <c r="AN447" s="45">
        <f>IF(AJ447="","",AJ447*AM447)</f>
        <v/>
      </c>
      <c r="AO447" s="45">
        <f>IF(OR(AJ447="",U447=0),"",MIN(IF(AW447="",9.9E+99,AW447),FLOOR(AN447/U447,1)))</f>
        <v/>
      </c>
      <c r="AP447" s="49">
        <f>IF(AO447="","",AO447*W447)</f>
        <v/>
      </c>
      <c r="AQ447" s="47">
        <f>IF(OR(AJ447="",U447=0),"",MIN(IF(AW447="",9.9E+99,AW447),AN447/U447))</f>
        <v/>
      </c>
      <c r="AR447" s="49">
        <f>IF(AQ447="","",AQ447*W447)</f>
        <v/>
      </c>
      <c r="AS447" s="51" t="n"/>
      <c r="AT447" s="43" t="inlineStr">
        <is>
          <t>Grounded</t>
        </is>
      </c>
      <c r="AU447" s="52" t="n"/>
      <c r="AV447" s="52" t="n"/>
      <c r="AW447" s="53" t="n"/>
      <c r="AX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Y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Z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BA447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B447" s="40" t="n"/>
    </row>
    <row r="448">
      <c r="A448" s="38" t="inlineStr">
        <is>
          <t>Yango Cameroon</t>
        </is>
      </c>
      <c r="B448" s="38" t="inlineStr">
        <is>
          <t>Singapore</t>
        </is>
      </c>
      <c r="C448" s="39" t="inlineStr">
        <is>
          <t>Douala Waterfront → Manoka Island</t>
        </is>
      </c>
      <c r="D448" s="38" t="inlineStr">
        <is>
          <t>yango</t>
        </is>
      </c>
      <c r="E448" s="40" t="inlineStr">
        <is>
          <t>yango-cameroon</t>
        </is>
      </c>
      <c r="F448" s="41" t="n">
        <v>1</v>
      </c>
      <c r="G448" s="42" t="n">
        <v>7</v>
      </c>
      <c r="H448" s="35" t="n">
        <v>18</v>
      </c>
      <c r="I448" s="43" t="inlineStr">
        <is>
          <t>T3</t>
        </is>
      </c>
      <c r="J448" s="43" t="inlineStr">
        <is>
          <t>med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MIN(24,FLOOR(60*service_hr/M448,1))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45000</v>
      </c>
      <c r="AK448" s="43" t="n"/>
      <c r="AL448" s="43" t="inlineStr">
        <is>
          <t>med</t>
        </is>
      </c>
      <c r="AM448" s="50" t="n">
        <v>0.25</v>
      </c>
      <c r="AN448" s="45">
        <f>IF(AJ448="","",AJ448*AM448)</f>
        <v/>
      </c>
      <c r="AO448" s="45">
        <f>IF(OR(AJ448="",U448=0),"",MIN(IF(AW448="",9.9E+99,AW448),FLOOR(AN448/U448,1)))</f>
        <v/>
      </c>
      <c r="AP448" s="49">
        <f>IF(AO448="","",AO448*W448)</f>
        <v/>
      </c>
      <c r="AQ448" s="47">
        <f>IF(OR(AJ448="",U448=0),"",MIN(IF(AW448="",9.9E+99,AW448),AN448/U448))</f>
        <v/>
      </c>
      <c r="AR448" s="49">
        <f>IF(AQ448="","",AQ448*W448)</f>
        <v/>
      </c>
      <c r="AS448" s="51" t="n"/>
      <c r="AT448" s="43" t="inlineStr">
        <is>
          <t>Grounded</t>
        </is>
      </c>
      <c r="AU448" s="52" t="n"/>
      <c r="AV448" s="52" t="n"/>
      <c r="AW448" s="53" t="n"/>
      <c r="AX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Y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Z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BA448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B448" s="40" t="n"/>
    </row>
    <row r="449">
      <c r="A449" s="38" t="inlineStr">
        <is>
          <t>Singapore</t>
        </is>
      </c>
      <c r="B449" s="38" t="inlineStr">
        <is>
          <t>Singapore</t>
        </is>
      </c>
      <c r="C449" s="39" t="inlineStr">
        <is>
          <t>Singapore Marina Network → On-demand water mobility</t>
        </is>
      </c>
      <c r="D449" s="38" t="inlineStr">
        <is>
          <t>grab</t>
        </is>
      </c>
      <c r="E449" s="40" t="inlineStr">
        <is>
          <t>singapore</t>
        </is>
      </c>
      <c r="F449" s="41" t="n">
        <v>1</v>
      </c>
      <c r="G449" s="42" t="n">
        <v>8</v>
      </c>
      <c r="H449" s="35" t="n">
        <v>35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9900</v>
      </c>
      <c r="AK449" s="43" t="n"/>
      <c r="AL449" s="43" t="n"/>
      <c r="AM449" s="50" t="n">
        <v>1</v>
      </c>
      <c r="AN449" s="45">
        <f>IF(AJ449="","",AJ449*AM449)</f>
        <v/>
      </c>
      <c r="AO449" s="45">
        <f>IF(OR(AJ449="",U449=0),"",MIN(IF(AW449="",9.9E+99,AW449),FLOOR(AN449/U449,1)))</f>
        <v/>
      </c>
      <c r="AP449" s="49">
        <f>IF(AO449="","",AO449*W449)</f>
        <v/>
      </c>
      <c r="AQ449" s="47">
        <f>IF(OR(AJ449="",U449=0),"",MIN(IF(AW449="",9.9E+99,AW449),AN449/U449))</f>
        <v/>
      </c>
      <c r="AR449" s="49">
        <f>IF(AQ449="","",AQ449*W449)</f>
        <v/>
      </c>
      <c r="AS449" s="51" t="n"/>
      <c r="AT449" s="43" t="inlineStr">
        <is>
          <t>Grounded</t>
        </is>
      </c>
      <c r="AU449" s="52" t="n"/>
      <c r="AV449" s="52" t="n"/>
      <c r="AW449" s="53" t="n"/>
      <c r="AX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Y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Z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BA449" s="40" t="n"/>
      <c r="BB449" s="40" t="n"/>
    </row>
    <row r="450">
      <c r="A450" s="38" t="inlineStr">
        <is>
          <t>Singapore</t>
        </is>
      </c>
      <c r="B450" s="38" t="inlineStr">
        <is>
          <t>Singapore</t>
        </is>
      </c>
      <c r="C450" s="39" t="inlineStr">
        <is>
          <t>Sentosa / Keppel waterfront → Sentosa / Keppel waterfront</t>
        </is>
      </c>
      <c r="D450" s="38" t="inlineStr">
        <is>
          <t>grab</t>
        </is>
      </c>
      <c r="E450" s="40" t="inlineStr">
        <is>
          <t>singapore</t>
        </is>
      </c>
      <c r="F450" s="41" t="n">
        <v>1</v>
      </c>
      <c r="G450" s="42" t="n">
        <v>8</v>
      </c>
      <c r="H450" s="35" t="n">
        <v>95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MIN(15,FLOOR(60*service_hr/M450,1))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23000</v>
      </c>
      <c r="AK450" s="43" t="n"/>
      <c r="AL450" s="43" t="n"/>
      <c r="AM450" s="50" t="n">
        <v>0.1</v>
      </c>
      <c r="AN450" s="45">
        <f>IF(AJ450="","",AJ450*AM450)</f>
        <v/>
      </c>
      <c r="AO450" s="45">
        <f>IF(OR(AJ450="",U450=0),"",MIN(IF(AW450="",9.9E+99,AW450),FLOOR(AN450/U450,1)))</f>
        <v/>
      </c>
      <c r="AP450" s="49">
        <f>IF(AO450="","",AO450*W450)</f>
        <v/>
      </c>
      <c r="AQ450" s="47">
        <f>IF(OR(AJ450="",U450=0),"",MIN(IF(AW450="",9.9E+99,AW450),AN450/U450))</f>
        <v/>
      </c>
      <c r="AR450" s="49">
        <f>IF(AQ450="","",AQ450*W450)</f>
        <v/>
      </c>
      <c r="AS450" s="51" t="n"/>
      <c r="AT450" s="43" t="inlineStr">
        <is>
          <t>Grounded</t>
        </is>
      </c>
      <c r="AU450" s="52" t="n"/>
      <c r="AV450" s="52" t="n"/>
      <c r="AW450" s="53" t="n"/>
      <c r="AX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Y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Z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BA450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B450" s="40" t="n"/>
    </row>
    <row r="451">
      <c r="A451" s="38" t="inlineStr">
        <is>
          <t>Singapore</t>
        </is>
      </c>
      <c r="B451" s="38" t="inlineStr">
        <is>
          <t>Singapore</t>
        </is>
      </c>
      <c r="C451" s="39" t="inlineStr">
        <is>
          <t>Jurong / West Coast (West Coast Pier catchment) → HarbourFront / Marina Bay</t>
        </is>
      </c>
      <c r="D451" s="38" t="inlineStr">
        <is>
          <t>grab</t>
        </is>
      </c>
      <c r="E451" s="40" t="inlineStr">
        <is>
          <t>singapore</t>
        </is>
      </c>
      <c r="F451" s="41" t="n">
        <v>1</v>
      </c>
      <c r="G451" s="42" t="n">
        <v>9.5</v>
      </c>
      <c r="H451" s="35" t="n">
        <v>10</v>
      </c>
      <c r="I451" s="43" t="inlineStr">
        <is>
          <t>T3</t>
        </is>
      </c>
      <c r="J451" s="43" t="inlineStr">
        <is>
          <t>low</t>
        </is>
      </c>
      <c r="K451" s="29" t="n">
        <v>1</v>
      </c>
      <c r="L451" s="44">
        <f>60*G451/cruise_kt</f>
        <v/>
      </c>
      <c r="M451" s="44">
        <f>L451+turn_min+dwell_min</f>
        <v/>
      </c>
      <c r="N451" s="45">
        <f>MIN(24,FLOOR(60*service_hr/M451,1))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20557</v>
      </c>
      <c r="AK451" s="43" t="n"/>
      <c r="AL451" s="43" t="n"/>
      <c r="AM451" s="50" t="n">
        <v>1</v>
      </c>
      <c r="AN451" s="45">
        <f>IF(AJ451="","",AJ451*AM451)</f>
        <v/>
      </c>
      <c r="AO451" s="45">
        <f>IF(OR(AJ451="",U451=0),"",MIN(IF(AW451="",9.9E+99,AW451),FLOOR(AN451/U451,1)))</f>
        <v/>
      </c>
      <c r="AP451" s="49">
        <f>IF(AO451="","",AO451*W451)</f>
        <v/>
      </c>
      <c r="AQ451" s="47">
        <f>IF(OR(AJ451="",U451=0),"",MIN(IF(AW451="",9.9E+99,AW451),AN451/U451))</f>
        <v/>
      </c>
      <c r="AR451" s="49">
        <f>IF(AQ451="","",AQ451*W451)</f>
        <v/>
      </c>
      <c r="AS451" s="51" t="n"/>
      <c r="AT451" s="43" t="inlineStr">
        <is>
          <t>Upside tier</t>
        </is>
      </c>
      <c r="AU451" s="52" t="n"/>
      <c r="AV451" s="52" t="inlineStr">
        <is>
          <t>modal_shift_greenfield</t>
        </is>
      </c>
      <c r="AW451" s="53" t="n"/>
      <c r="AX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Y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Z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BA451" s="40" t="inlineStr">
        <is>
          <t>Greenfield commute (9.5nm). Anchored upper-mid LB-97 commuter band S$8-15/seat; Grab Jurong-&gt;CBD ~S$22-32 peak; MRT EW-line S$2.10. Per-seat premium commute ~half solo ride-hail.</t>
        </is>
      </c>
      <c r="BB451" s="40" t="n"/>
    </row>
    <row r="452">
      <c r="A452" s="38" t="inlineStr">
        <is>
          <t>Yango Congo Brazzaville</t>
        </is>
      </c>
      <c r="B452" s="38" t="inlineStr">
        <is>
          <t>Singapore</t>
        </is>
      </c>
      <c r="C452" s="39" t="inlineStr">
        <is>
          <t>Pointe-Noire Bay → Pointe-Indienne</t>
        </is>
      </c>
      <c r="D452" s="38" t="inlineStr">
        <is>
          <t>yango</t>
        </is>
      </c>
      <c r="E452" s="40" t="inlineStr">
        <is>
          <t>yango-congo-brazzaville</t>
        </is>
      </c>
      <c r="F452" s="41" t="n">
        <v>1</v>
      </c>
      <c r="G452" s="42" t="n">
        <v>11</v>
      </c>
      <c r="H452" s="35" t="n">
        <v>10</v>
      </c>
      <c r="I452" s="43" t="inlineStr">
        <is>
          <t>T4</t>
        </is>
      </c>
      <c r="J452" s="43" t="inlineStr">
        <is>
          <t>low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MIN(15,FLOOR(60*service_hr/M452,1))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12000</v>
      </c>
      <c r="AK452" s="43" t="n"/>
      <c r="AL452" s="43" t="inlineStr">
        <is>
          <t>low</t>
        </is>
      </c>
      <c r="AM452" s="50" t="n">
        <v>0.25</v>
      </c>
      <c r="AN452" s="45">
        <f>IF(AJ452="","",AJ452*AM452)</f>
        <v/>
      </c>
      <c r="AO452" s="45">
        <f>IF(OR(AJ452="",U452=0),"",MIN(IF(AW452="",9.9E+99,AW452),FLOOR(AN452/U452,1)))</f>
        <v/>
      </c>
      <c r="AP452" s="49">
        <f>IF(AO452="","",AO452*W452)</f>
        <v/>
      </c>
      <c r="AQ452" s="47">
        <f>IF(OR(AJ452="",U452=0),"",MIN(IF(AW452="",9.9E+99,AW452),AN452/U452))</f>
        <v/>
      </c>
      <c r="AR452" s="49">
        <f>IF(AQ452="","",AQ452*W452)</f>
        <v/>
      </c>
      <c r="AS452" s="51" t="n"/>
      <c r="AT452" s="43" t="inlineStr">
        <is>
          <t>Estimated</t>
        </is>
      </c>
      <c r="AU452" s="52" t="n"/>
      <c r="AV452" s="52" t="n"/>
      <c r="AW452" s="53" t="n"/>
      <c r="AX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Y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Z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BA452" s="40" t="inlineStr">
        <is>
          <t>Modeled leisure fare for a coastal cape link.</t>
        </is>
      </c>
      <c r="BB452" s="40" t="n"/>
    </row>
    <row r="453">
      <c r="A453" s="38" t="inlineStr">
        <is>
          <t>Cross-Border</t>
        </is>
      </c>
      <c r="B453" s="38" t="inlineStr">
        <is>
          <t>Singapore</t>
        </is>
      </c>
      <c r="C453" s="39" t="inlineStr">
        <is>
          <t>Singapore → Batam (Harbour Bay / Nongsa)</t>
        </is>
      </c>
      <c r="D453" s="38" t="inlineStr">
        <is>
          <t>grab</t>
        </is>
      </c>
      <c r="E453" s="40" t="inlineStr">
        <is>
          <t>cross-border</t>
        </is>
      </c>
      <c r="F453" s="41" t="n">
        <v>1</v>
      </c>
      <c r="G453" s="42" t="n">
        <v>13</v>
      </c>
      <c r="H453" s="35" t="n">
        <v>57</v>
      </c>
      <c r="I453" s="43" t="inlineStr">
        <is>
          <t>T3</t>
        </is>
      </c>
      <c r="J453" s="43" t="inlineStr">
        <is>
          <t>med-high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MIN(15,FLOOR(60*service_hr/M453,1))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350000</v>
      </c>
      <c r="AK453" s="43" t="n"/>
      <c r="AL453" s="43" t="n"/>
      <c r="AM453" s="50" t="n">
        <v>0.25</v>
      </c>
      <c r="AN453" s="45">
        <f>IF(AJ453="","",AJ453*AM453)</f>
        <v/>
      </c>
      <c r="AO453" s="45">
        <f>IF(OR(AJ453="",U453=0),"",MIN(IF(AW453="",9.9E+99,AW453),FLOOR(AN453/U453,1)))</f>
        <v/>
      </c>
      <c r="AP453" s="49">
        <f>IF(AO453="","",AO453*W453)</f>
        <v/>
      </c>
      <c r="AQ453" s="47">
        <f>IF(OR(AJ453="",U453=0),"",MIN(IF(AW453="",9.9E+99,AW453),AN453/U453))</f>
        <v/>
      </c>
      <c r="AR453" s="49">
        <f>IF(AQ453="","",AQ453*W453)</f>
        <v/>
      </c>
      <c r="AS453" s="51" t="n"/>
      <c r="AT453" s="43" t="inlineStr">
        <is>
          <t>Grounded</t>
        </is>
      </c>
      <c r="AU453" s="52" t="n"/>
      <c r="AV453" s="52" t="n"/>
      <c r="AW453" s="53" t="n"/>
      <c r="AX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Y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Z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BA45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B453" s="40" t="n"/>
    </row>
    <row r="454">
      <c r="A454" s="38" t="inlineStr">
        <is>
          <t>Singapore</t>
        </is>
      </c>
      <c r="B454" s="38" t="inlineStr">
        <is>
          <t>Singapore</t>
        </is>
      </c>
      <c r="C454" s="39" t="inlineStr">
        <is>
          <t>Marina Bay → Changi Point / Pulau Ubin</t>
        </is>
      </c>
      <c r="D454" s="38" t="inlineStr">
        <is>
          <t>grab</t>
        </is>
      </c>
      <c r="E454" s="40" t="inlineStr">
        <is>
          <t>singapore</t>
        </is>
      </c>
      <c r="F454" s="41" t="n">
        <v>1</v>
      </c>
      <c r="G454" s="42" t="n">
        <v>14.2</v>
      </c>
      <c r="H454" s="35" t="n">
        <v>28</v>
      </c>
      <c r="I454" s="43" t="inlineStr">
        <is>
          <t>T5</t>
        </is>
      </c>
      <c r="J454" s="43" t="inlineStr">
        <is>
          <t>low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MIN(15,FLOOR(60*service_hr/M454,1))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30000</v>
      </c>
      <c r="AK454" s="43" t="n"/>
      <c r="AL454" s="43" t="n"/>
      <c r="AM454" s="50" t="n">
        <v>0.25</v>
      </c>
      <c r="AN454" s="45">
        <f>IF(AJ454="","",AJ454*AM454)</f>
        <v/>
      </c>
      <c r="AO454" s="45">
        <f>IF(OR(AJ454="",U454=0),"",MIN(IF(AW454="",9.9E+99,AW454),FLOOR(AN454/U454,1)))</f>
        <v/>
      </c>
      <c r="AP454" s="49">
        <f>IF(AO454="","",AO454*W454)</f>
        <v/>
      </c>
      <c r="AQ454" s="47">
        <f>IF(OR(AJ454="",U454=0),"",MIN(IF(AW454="",9.9E+99,AW454),AN454/U454))</f>
        <v/>
      </c>
      <c r="AR454" s="49">
        <f>IF(AQ454="","",AQ454*W454)</f>
        <v/>
      </c>
      <c r="AS454" s="51" t="n"/>
      <c r="AT454" s="43" t="inlineStr">
        <is>
          <t>Grounded</t>
        </is>
      </c>
      <c r="AU454" s="52" t="n"/>
      <c r="AV454" s="52" t="n"/>
      <c r="AW454" s="53" t="n"/>
      <c r="AX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Y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Z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BA45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B454" s="40" t="n"/>
    </row>
    <row r="455">
      <c r="A455" s="38" t="inlineStr">
        <is>
          <t>Caribbean Mobility</t>
        </is>
      </c>
      <c r="B455" s="38" t="inlineStr">
        <is>
          <t>Singapore</t>
        </is>
      </c>
      <c r="C455" s="39" t="inlineStr">
        <is>
          <t>St. Thomas ferry terminals (Charlotte Amalie / Red Hook) → Tortola ferry terminals (Road Town / West End)</t>
        </is>
      </c>
      <c r="D455" s="38" t="inlineStr">
        <is>
          <t>caribbean-mobility</t>
        </is>
      </c>
      <c r="E455" s="40" t="inlineStr">
        <is>
          <t>caribbean-mobility</t>
        </is>
      </c>
      <c r="F455" s="41" t="n">
        <v>1</v>
      </c>
      <c r="G455" s="42" t="n">
        <v>15.7</v>
      </c>
      <c r="H455" s="35" t="n">
        <v>55</v>
      </c>
      <c r="I455" s="43" t="n"/>
      <c r="J455" s="43" t="n"/>
      <c r="K455" s="29" t="n">
        <v>1</v>
      </c>
      <c r="L455" s="44">
        <f>60*G455/cruise_kt</f>
        <v/>
      </c>
      <c r="M455" s="44">
        <f>L455+turn_min+dwell_min</f>
        <v/>
      </c>
      <c r="N455" s="45">
        <f>MIN(15,FLOOR(60*service_hr/M455,1))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/>
      <c r="AK455" s="43" t="n"/>
      <c r="AL455" s="43" t="n"/>
      <c r="AM455" s="50" t="n">
        <v>0.1</v>
      </c>
      <c r="AN455" s="45">
        <f>IF(AJ455="","",AJ455*AM455)</f>
        <v/>
      </c>
      <c r="AO455" s="45">
        <f>IF(OR(AJ455="",U455=0),"",MIN(IF(AW455="",9.9E+99,AW455),FLOOR(AN455/U455,1)))</f>
        <v/>
      </c>
      <c r="AP455" s="49">
        <f>IF(AO455="","",AO455*W455)</f>
        <v/>
      </c>
      <c r="AQ455" s="47">
        <f>IF(OR(AJ455="",U455=0),"",MIN(IF(AW455="",9.9E+99,AW455),AN455/U455))</f>
        <v/>
      </c>
      <c r="AR455" s="49">
        <f>IF(AQ455="","",AQ455*W455)</f>
        <v/>
      </c>
      <c r="AS455" s="51" t="n"/>
      <c r="AT455" s="43" t="inlineStr">
        <is>
          <t>Estimated</t>
        </is>
      </c>
      <c r="AU455" s="52" t="n"/>
      <c r="AV455" s="52" t="n"/>
      <c r="AW455" s="53" t="n"/>
      <c r="AX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Y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Z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BA455" s="40" t="n"/>
      <c r="BB455" s="40" t="n"/>
    </row>
    <row r="456">
      <c r="A456" s="38" t="inlineStr">
        <is>
          <t>Singapore</t>
        </is>
      </c>
      <c r="B456" s="38" t="inlineStr">
        <is>
          <t>Singapore</t>
        </is>
      </c>
      <c r="C456" s="39" t="inlineStr">
        <is>
          <t>Changi Airport (via Changi Point pier access) → Marina Bay (CBD / hotel belt)</t>
        </is>
      </c>
      <c r="D456" s="38" t="inlineStr">
        <is>
          <t>grab</t>
        </is>
      </c>
      <c r="E456" s="40" t="inlineStr">
        <is>
          <t>singapore</t>
        </is>
      </c>
      <c r="F456" s="41" t="n">
        <v>1</v>
      </c>
      <c r="G456" s="42" t="n">
        <v>16</v>
      </c>
      <c r="H456" s="35" t="n">
        <v>30</v>
      </c>
      <c r="I456" s="43" t="inlineStr">
        <is>
          <t>T2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MIN(24,FLOOR(60*service_hr/M456,1))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18370</v>
      </c>
      <c r="AK456" s="43" t="n"/>
      <c r="AL456" s="43" t="n"/>
      <c r="AM456" s="50" t="n">
        <v>1</v>
      </c>
      <c r="AN456" s="45">
        <f>IF(AJ456="","",AJ456*AM456)</f>
        <v/>
      </c>
      <c r="AO456" s="45">
        <f>IF(OR(AJ456="",U456=0),"",MIN(IF(AW456="",9.9E+99,AW456),FLOOR(AN456/U456,1)))</f>
        <v/>
      </c>
      <c r="AP456" s="49">
        <f>IF(AO456="","",AO456*W456)</f>
        <v/>
      </c>
      <c r="AQ456" s="47">
        <f>IF(OR(AJ456="",U456=0),"",MIN(IF(AW456="",9.9E+99,AW456),AN456/U456))</f>
        <v/>
      </c>
      <c r="AR456" s="49">
        <f>IF(AQ456="","",AQ456*W456)</f>
        <v/>
      </c>
      <c r="AS456" s="51" t="n"/>
      <c r="AT456" s="43" t="inlineStr">
        <is>
          <t>Upside tier</t>
        </is>
      </c>
      <c r="AU456" s="52" t="n"/>
      <c r="AV456" s="52" t="inlineStr">
        <is>
          <t>modal_shift_greenfield</t>
        </is>
      </c>
      <c r="AW456" s="53" t="n"/>
      <c r="AX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Y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Z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BA45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B456" s="40" t="n"/>
    </row>
    <row r="457">
      <c r="A457" s="38" t="inlineStr">
        <is>
          <t>Singapore</t>
        </is>
      </c>
      <c r="B457" s="38" t="inlineStr">
        <is>
          <t>Singapore</t>
        </is>
      </c>
      <c r="C457" s="39" t="inlineStr">
        <is>
          <t>Punggol (Punggol Point / Marina Country Club) → Marina Bay (CBD)</t>
        </is>
      </c>
      <c r="D457" s="38" t="inlineStr">
        <is>
          <t>grab</t>
        </is>
      </c>
      <c r="E457" s="40" t="inlineStr">
        <is>
          <t>singapore</t>
        </is>
      </c>
      <c r="F457" s="41" t="n">
        <v>1</v>
      </c>
      <c r="G457" s="42" t="n">
        <v>17</v>
      </c>
      <c r="H457" s="35" t="n">
        <v>11</v>
      </c>
      <c r="I457" s="43" t="inlineStr">
        <is>
          <t>T3</t>
        </is>
      </c>
      <c r="J457" s="43" t="inlineStr">
        <is>
          <t>low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MIN(24,FLOOR(60*service_hr/M457,1))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>
        <v>15199</v>
      </c>
      <c r="AK457" s="43" t="n"/>
      <c r="AL457" s="43" t="n"/>
      <c r="AM457" s="50" t="n">
        <v>1</v>
      </c>
      <c r="AN457" s="45">
        <f>IF(AJ457="","",AJ457*AM457)</f>
        <v/>
      </c>
      <c r="AO457" s="45">
        <f>IF(OR(AJ457="",U457=0),"",MIN(IF(AW457="",9.9E+99,AW457),FLOOR(AN457/U457,1)))</f>
        <v/>
      </c>
      <c r="AP457" s="49">
        <f>IF(AO457="","",AO457*W457)</f>
        <v/>
      </c>
      <c r="AQ457" s="47">
        <f>IF(OR(AJ457="",U457=0),"",MIN(IF(AW457="",9.9E+99,AW457),AN457/U457))</f>
        <v/>
      </c>
      <c r="AR457" s="49">
        <f>IF(AQ457="","",AQ457*W457)</f>
        <v/>
      </c>
      <c r="AS457" s="51" t="n"/>
      <c r="AT457" s="43" t="inlineStr">
        <is>
          <t>Upside tier</t>
        </is>
      </c>
      <c r="AU457" s="52" t="n"/>
      <c r="AV457" s="52" t="inlineStr">
        <is>
          <t>modal_shift_greenfield</t>
        </is>
      </c>
      <c r="AW457" s="53" t="n"/>
      <c r="AX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Y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Z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BA45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B457" s="40" t="n"/>
    </row>
    <row r="458">
      <c r="A458" s="38" t="inlineStr">
        <is>
          <t>Yango Namibia</t>
        </is>
      </c>
      <c r="B458" s="38" t="inlineStr">
        <is>
          <t>Singapore</t>
        </is>
      </c>
      <c r="C458" s="39" t="inlineStr">
        <is>
          <t>Walvis Bay Waterfront → Swakopmund</t>
        </is>
      </c>
      <c r="D458" s="38" t="inlineStr">
        <is>
          <t>yango</t>
        </is>
      </c>
      <c r="E458" s="40" t="inlineStr">
        <is>
          <t>yango-namibia</t>
        </is>
      </c>
      <c r="F458" s="41" t="n">
        <v>1</v>
      </c>
      <c r="G458" s="42" t="n">
        <v>17</v>
      </c>
      <c r="H458" s="35" t="n">
        <v>15</v>
      </c>
      <c r="I458" s="43" t="inlineStr">
        <is>
          <t>T4</t>
        </is>
      </c>
      <c r="J458" s="43" t="inlineStr">
        <is>
          <t>low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MIN(24,FLOOR(60*service_hr/M458,1))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20000</v>
      </c>
      <c r="AK458" s="43" t="n"/>
      <c r="AL458" s="43" t="inlineStr">
        <is>
          <t>low</t>
        </is>
      </c>
      <c r="AM458" s="50" t="n">
        <v>0.25</v>
      </c>
      <c r="AN458" s="45">
        <f>IF(AJ458="","",AJ458*AM458)</f>
        <v/>
      </c>
      <c r="AO458" s="45">
        <f>IF(OR(AJ458="",U458=0),"",MIN(IF(AW458="",9.9E+99,AW458),FLOOR(AN458/U458,1)))</f>
        <v/>
      </c>
      <c r="AP458" s="49">
        <f>IF(AO458="","",AO458*W458)</f>
        <v/>
      </c>
      <c r="AQ458" s="47">
        <f>IF(OR(AJ458="",U458=0),"",MIN(IF(AW458="",9.9E+99,AW458),AN458/U458))</f>
        <v/>
      </c>
      <c r="AR458" s="49">
        <f>IF(AQ458="","",AQ458*W458)</f>
        <v/>
      </c>
      <c r="AS458" s="51" t="n"/>
      <c r="AT458" s="43" t="inlineStr">
        <is>
          <t>Estimated</t>
        </is>
      </c>
      <c r="AU458" s="52" t="n"/>
      <c r="AV458" s="52" t="n"/>
      <c r="AW458" s="53" t="n"/>
      <c r="AX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Y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Z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BA458" s="40" t="inlineStr">
        <is>
          <t>Modeled commuter/leisure fare for a ~30 km coastal resort link; no incumbent water service.</t>
        </is>
      </c>
      <c r="BB458" s="40" t="n"/>
    </row>
    <row r="459">
      <c r="A459" s="38" t="inlineStr">
        <is>
          <t>Yango Venezuela</t>
        </is>
      </c>
      <c r="B459" s="38" t="inlineStr">
        <is>
          <t>Singapore</t>
        </is>
      </c>
      <c r="C459" s="39" t="inlineStr">
        <is>
          <t>Maracaibo Waterfront → Cabimas</t>
        </is>
      </c>
      <c r="D459" s="38" t="inlineStr">
        <is>
          <t>yango</t>
        </is>
      </c>
      <c r="E459" s="40" t="inlineStr">
        <is>
          <t>yango-venezuela</t>
        </is>
      </c>
      <c r="F459" s="41" t="n">
        <v>1</v>
      </c>
      <c r="G459" s="42" t="n">
        <v>18</v>
      </c>
      <c r="H459" s="35" t="n">
        <v>18</v>
      </c>
      <c r="I459" s="43" t="inlineStr">
        <is>
          <t>T4</t>
        </is>
      </c>
      <c r="J459" s="43" t="inlineStr">
        <is>
          <t>low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MIN(24,FLOOR(60*service_hr/M459,1))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40000</v>
      </c>
      <c r="AK459" s="43" t="n"/>
      <c r="AL459" s="43" t="inlineStr">
        <is>
          <t>low</t>
        </is>
      </c>
      <c r="AM459" s="50" t="n">
        <v>0.25</v>
      </c>
      <c r="AN459" s="45">
        <f>IF(AJ459="","",AJ459*AM459)</f>
        <v/>
      </c>
      <c r="AO459" s="45">
        <f>IF(OR(AJ459="",U459=0),"",MIN(IF(AW459="",9.9E+99,AW459),FLOOR(AN459/U459,1)))</f>
        <v/>
      </c>
      <c r="AP459" s="49">
        <f>IF(AO459="","",AO459*W459)</f>
        <v/>
      </c>
      <c r="AQ459" s="47">
        <f>IF(OR(AJ459="",U459=0),"",MIN(IF(AW459="",9.9E+99,AW459),AN459/U459))</f>
        <v/>
      </c>
      <c r="AR459" s="49">
        <f>IF(AQ459="","",AQ459*W459)</f>
        <v/>
      </c>
      <c r="AS459" s="51" t="n"/>
      <c r="AT459" s="43" t="inlineStr">
        <is>
          <t>Grounded</t>
        </is>
      </c>
      <c r="AU459" s="52" t="n"/>
      <c r="AV459" s="52" t="n"/>
      <c r="AW459" s="53" t="n"/>
      <c r="AX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Y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Z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BA459" s="40" t="inlineStr">
        <is>
          <t>[LB-255 PREMIUM RE-FARE: subsidized comparable $3.0 lifted to premium on-demand floor $18.0] Modeled commuter floor fare for a cross-lake link (today served by the Rafael Urdaneta bridge).</t>
        </is>
      </c>
      <c r="BB459" s="40" t="n"/>
    </row>
    <row r="460">
      <c r="A460" s="38" t="inlineStr">
        <is>
          <t>Singapore</t>
        </is>
      </c>
      <c r="B460" s="38" t="inlineStr">
        <is>
          <t>Singapore</t>
        </is>
      </c>
      <c r="C460" s="39" t="inlineStr">
        <is>
          <t>Marina South Pier → Pulau Ubin Jetty</t>
        </is>
      </c>
      <c r="D460" s="38" t="inlineStr">
        <is>
          <t>grab</t>
        </is>
      </c>
      <c r="E460" s="40" t="inlineStr">
        <is>
          <t>singapore</t>
        </is>
      </c>
      <c r="F460" s="41" t="n">
        <v>1</v>
      </c>
      <c r="G460" s="42" t="n">
        <v>20.45</v>
      </c>
      <c r="H460" s="35" t="n">
        <v>18</v>
      </c>
      <c r="I460" s="43" t="inlineStr">
        <is>
          <t>T3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105000</v>
      </c>
      <c r="AK460" s="43" t="n"/>
      <c r="AL460" s="43" t="n"/>
      <c r="AM460" s="50" t="n">
        <v>0.25</v>
      </c>
      <c r="AN460" s="45">
        <f>IF(AJ460="","",AJ460*AM460)</f>
        <v/>
      </c>
      <c r="AO460" s="45">
        <f>IF(OR(AJ460="",U460=0),"",MIN(IF(AW460="",9.9E+99,AW460),FLOOR(AN460/U460,1)))</f>
        <v/>
      </c>
      <c r="AP460" s="49">
        <f>IF(AO460="","",AO460*W460)</f>
        <v/>
      </c>
      <c r="AQ460" s="47">
        <f>IF(OR(AJ460="",U460=0),"",MIN(IF(AW460="",9.9E+99,AW460),AN460/U460))</f>
        <v/>
      </c>
      <c r="AR460" s="49">
        <f>IF(AQ460="","",AQ460*W460)</f>
        <v/>
      </c>
      <c r="AS460" s="51" t="n"/>
      <c r="AT460" s="43" t="inlineStr">
        <is>
          <t>Grounded</t>
        </is>
      </c>
      <c r="AU460" s="52" t="n"/>
      <c r="AV460" s="52" t="n"/>
      <c r="AW460" s="53" t="n"/>
      <c r="AX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Y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Z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BA460" s="40" t="n"/>
      <c r="BB460" s="40" t="n"/>
    </row>
    <row r="461">
      <c r="A461" s="38" t="inlineStr">
        <is>
          <t>Cross-Border</t>
        </is>
      </c>
      <c r="B461" s="38" t="inlineStr">
        <is>
          <t>Singapore</t>
        </is>
      </c>
      <c r="C461" s="39" t="inlineStr">
        <is>
          <t>Singapore → Bintan (Lagoi resort zone)</t>
        </is>
      </c>
      <c r="D461" s="38" t="inlineStr">
        <is>
          <t>grab</t>
        </is>
      </c>
      <c r="E461" s="40" t="inlineStr">
        <is>
          <t>cross-border</t>
        </is>
      </c>
      <c r="F461" s="41" t="n">
        <v>1</v>
      </c>
      <c r="G461" s="42" t="n">
        <v>21.9</v>
      </c>
      <c r="H461" s="35" t="n">
        <v>69</v>
      </c>
      <c r="I461" s="43" t="inlineStr">
        <is>
          <t>T1</t>
        </is>
      </c>
      <c r="J461" s="43" t="inlineStr">
        <is>
          <t>high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MIN(15,FLOOR(60*service_hr/M461,1))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>
        <v>150000</v>
      </c>
      <c r="AK461" s="43" t="n"/>
      <c r="AL461" s="43" t="n"/>
      <c r="AM461" s="50" t="n">
        <v>0.25</v>
      </c>
      <c r="AN461" s="45">
        <f>IF(AJ461="","",AJ461*AM461)</f>
        <v/>
      </c>
      <c r="AO461" s="45">
        <f>IF(OR(AJ461="",U461=0),"",MIN(IF(AW461="",9.9E+99,AW461),FLOOR(AN461/U461,1)))</f>
        <v/>
      </c>
      <c r="AP461" s="49">
        <f>IF(AO461="","",AO461*W461)</f>
        <v/>
      </c>
      <c r="AQ461" s="47">
        <f>IF(OR(AJ461="",U461=0),"",MIN(IF(AW461="",9.9E+99,AW461),AN461/U461))</f>
        <v/>
      </c>
      <c r="AR461" s="49">
        <f>IF(AQ461="","",AQ461*W461)</f>
        <v/>
      </c>
      <c r="AS461" s="51" t="n"/>
      <c r="AT461" s="43" t="inlineStr">
        <is>
          <t>Grounded</t>
        </is>
      </c>
      <c r="AU461" s="52" t="n"/>
      <c r="AV461" s="52" t="n"/>
      <c r="AW461" s="53" t="n"/>
      <c r="AX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Y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Z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BA461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B461" s="40" t="n"/>
    </row>
    <row r="462">
      <c r="A462" s="38" t="inlineStr">
        <is>
          <t>Yango Namibia</t>
        </is>
      </c>
      <c r="B462" s="38" t="inlineStr">
        <is>
          <t>Singapore</t>
        </is>
      </c>
      <c r="C462" s="39" t="inlineStr">
        <is>
          <t>Walvis Bay Waterfront → Sandwich Harbour</t>
        </is>
      </c>
      <c r="D462" s="38" t="inlineStr">
        <is>
          <t>yango</t>
        </is>
      </c>
      <c r="E462" s="40" t="inlineStr">
        <is>
          <t>yango-namibia</t>
        </is>
      </c>
      <c r="F462" s="41" t="n">
        <v>1</v>
      </c>
      <c r="G462" s="42" t="n">
        <v>26</v>
      </c>
      <c r="H462" s="35" t="n">
        <v>140</v>
      </c>
      <c r="I462" s="43" t="inlineStr">
        <is>
          <t>T2</t>
        </is>
      </c>
      <c r="J462" s="43" t="inlineStr">
        <is>
          <t>med</t>
        </is>
      </c>
      <c r="K462" s="29" t="n">
        <v>1</v>
      </c>
      <c r="L462" s="44">
        <f>60*G462/cruise_kt</f>
        <v/>
      </c>
      <c r="M462" s="44">
        <f>L462+turn_min+dwell_min</f>
        <v/>
      </c>
      <c r="N462" s="45">
        <f>MIN(15,FLOOR(60*service_hr/M462,1))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15000</v>
      </c>
      <c r="AK462" s="43" t="n"/>
      <c r="AL462" s="43" t="inlineStr">
        <is>
          <t>low</t>
        </is>
      </c>
      <c r="AM462" s="50" t="n">
        <v>0.25</v>
      </c>
      <c r="AN462" s="45">
        <f>IF(AJ462="","",AJ462*AM462)</f>
        <v/>
      </c>
      <c r="AO462" s="45">
        <f>IF(OR(AJ462="",U462=0),"",MIN(IF(AW462="",9.9E+99,AW462),FLOOR(AN462/U462,1)))</f>
        <v/>
      </c>
      <c r="AP462" s="49">
        <f>IF(AO462="","",AO462*W462)</f>
        <v/>
      </c>
      <c r="AQ462" s="47">
        <f>IF(OR(AJ462="",U462=0),"",MIN(IF(AW462="",9.9E+99,AW462),AN462/U462))</f>
        <v/>
      </c>
      <c r="AR462" s="49">
        <f>IF(AQ462="","",AQ462*W462)</f>
        <v/>
      </c>
      <c r="AS462" s="51" t="n"/>
      <c r="AT462" s="43" t="inlineStr">
        <is>
          <t>Estimated</t>
        </is>
      </c>
      <c r="AU462" s="52" t="n"/>
      <c r="AV462" s="52" t="n"/>
      <c r="AW462" s="53" t="n"/>
      <c r="AX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Y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Z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BA462" s="40" t="inlineStr">
        <is>
          <t>Sandwich Harbour full-day tour ~N$2500-2600 (~$140) per person, 2026 operator pricing (currently predominantly 4x4 access).</t>
        </is>
      </c>
      <c r="BB462" s="40" t="n"/>
    </row>
    <row r="463">
      <c r="A463" s="38" t="inlineStr">
        <is>
          <t>Yango Cameroon</t>
        </is>
      </c>
      <c r="B463" s="38" t="inlineStr">
        <is>
          <t>Singapore</t>
        </is>
      </c>
      <c r="C463" s="39" t="inlineStr">
        <is>
          <t>Douala Waterfront → Limbe</t>
        </is>
      </c>
      <c r="D463" s="38" t="inlineStr">
        <is>
          <t>yango</t>
        </is>
      </c>
      <c r="E463" s="40" t="inlineStr">
        <is>
          <t>yango-cameroon</t>
        </is>
      </c>
      <c r="F463" s="41" t="n">
        <v>1</v>
      </c>
      <c r="G463" s="42" t="n">
        <v>29</v>
      </c>
      <c r="H463" s="35" t="n">
        <v>12</v>
      </c>
      <c r="I463" s="43" t="inlineStr">
        <is>
          <t>T4</t>
        </is>
      </c>
      <c r="J463" s="43" t="inlineStr">
        <is>
          <t>low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MIN(15,FLOOR(60*service_hr/M463,1))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>
        <v>25000</v>
      </c>
      <c r="AK463" s="43" t="n"/>
      <c r="AL463" s="43" t="inlineStr">
        <is>
          <t>low</t>
        </is>
      </c>
      <c r="AM463" s="50" t="n">
        <v>0.25</v>
      </c>
      <c r="AN463" s="45">
        <f>IF(AJ463="","",AJ463*AM463)</f>
        <v/>
      </c>
      <c r="AO463" s="45">
        <f>IF(OR(AJ463="",U463=0),"",MIN(IF(AW463="",9.9E+99,AW463),FLOOR(AN463/U463,1)))</f>
        <v/>
      </c>
      <c r="AP463" s="49">
        <f>IF(AO463="","",AO463*W463)</f>
        <v/>
      </c>
      <c r="AQ463" s="47">
        <f>IF(OR(AJ463="",U463=0),"",MIN(IF(AW463="",9.9E+99,AW463),AN463/U463))</f>
        <v/>
      </c>
      <c r="AR463" s="49">
        <f>IF(AQ463="","",AQ463*W463)</f>
        <v/>
      </c>
      <c r="AS463" s="51" t="n"/>
      <c r="AT463" s="43" t="inlineStr">
        <is>
          <t>Grounded</t>
        </is>
      </c>
      <c r="AU463" s="52" t="n"/>
      <c r="AV463" s="52" t="n"/>
      <c r="AW463" s="53" t="n"/>
      <c r="AX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Y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Z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BA463" s="40" t="inlineStr">
        <is>
          <t>Modeled tourism/commuter fare for the Douala-Limbe coastal link.</t>
        </is>
      </c>
      <c r="BB463" s="40" t="n"/>
    </row>
    <row r="464">
      <c r="A464" s="38" t="inlineStr">
        <is>
          <t>Cross-Border</t>
        </is>
      </c>
      <c r="B464" s="38" t="inlineStr">
        <is>
          <t>Singapore</t>
        </is>
      </c>
      <c r="C464" s="39" t="inlineStr">
        <is>
          <t>Singapore → Desaru Coast / Johor</t>
        </is>
      </c>
      <c r="D464" s="38" t="inlineStr">
        <is>
          <t>grab</t>
        </is>
      </c>
      <c r="E464" s="40" t="inlineStr">
        <is>
          <t>cross-border</t>
        </is>
      </c>
      <c r="F464" s="41" t="n">
        <v>1</v>
      </c>
      <c r="G464" s="42" t="n">
        <v>29.5</v>
      </c>
      <c r="H464" s="35" t="n">
        <v>47</v>
      </c>
      <c r="I464" s="43" t="inlineStr">
        <is>
          <t>T3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>
        <v>22500</v>
      </c>
      <c r="AK464" s="43" t="n"/>
      <c r="AL464" s="43" t="n"/>
      <c r="AM464" s="50" t="n">
        <v>0.25</v>
      </c>
      <c r="AN464" s="45">
        <f>IF(AJ464="","",AJ464*AM464)</f>
        <v/>
      </c>
      <c r="AO464" s="45">
        <f>IF(OR(AJ464="",U464=0),"",MIN(IF(AW464="",9.9E+99,AW464),FLOOR(AN464/U464,1)))</f>
        <v/>
      </c>
      <c r="AP464" s="49">
        <f>IF(AO464="","",AO464*W464)</f>
        <v/>
      </c>
      <c r="AQ464" s="47">
        <f>IF(OR(AJ464="",U464=0),"",MIN(IF(AW464="",9.9E+99,AW464),AN464/U464))</f>
        <v/>
      </c>
      <c r="AR464" s="49">
        <f>IF(AQ464="","",AQ464*W464)</f>
        <v/>
      </c>
      <c r="AS464" s="51" t="n"/>
      <c r="AT464" s="43" t="inlineStr">
        <is>
          <t>Grounded</t>
        </is>
      </c>
      <c r="AU464" s="52" t="n"/>
      <c r="AV464" s="52" t="n"/>
      <c r="AW464" s="53" t="n"/>
      <c r="AX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Y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Z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BA464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B464" s="40" t="n"/>
    </row>
    <row r="465">
      <c r="A465" s="38" t="inlineStr">
        <is>
          <t>Bolt Spain</t>
        </is>
      </c>
      <c r="B465" s="38" t="inlineStr">
        <is>
          <t>Spain</t>
        </is>
      </c>
      <c r="C465" s="39" t="inlineStr">
        <is>
          <t>L'Estartit → Illes Medes</t>
        </is>
      </c>
      <c r="D465" s="38" t="inlineStr">
        <is>
          <t>bolt</t>
        </is>
      </c>
      <c r="E465" s="40" t="inlineStr">
        <is>
          <t>bolt-spain</t>
        </is>
      </c>
      <c r="F465" s="41" t="n">
        <v>1</v>
      </c>
      <c r="G465" s="42" t="n">
        <v>0.8</v>
      </c>
      <c r="H465" s="35" t="n">
        <v>27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MIN(15,FLOOR(60*service_hr/M465,1))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/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IF(OR(AJ465="",U465=0),"",MIN(IF(AW465="",9.9E+99,AW465),FLOOR(AN465/U465,1)))</f>
        <v/>
      </c>
      <c r="AP465" s="49">
        <f>IF(AO465="","",AO465*W465)</f>
        <v/>
      </c>
      <c r="AQ465" s="47">
        <f>IF(OR(AJ465="",U465=0),"",MIN(IF(AW465="",9.9E+99,AW465),AN465/U465))</f>
        <v/>
      </c>
      <c r="AR465" s="49">
        <f>IF(AQ465="","",AQ465*W465)</f>
        <v/>
      </c>
      <c r="AS465" s="51" t="n"/>
      <c r="AT465" s="43" t="inlineStr">
        <is>
          <t>Estimated</t>
        </is>
      </c>
      <c r="AU465" s="52" t="n"/>
      <c r="AV465" s="52" t="n"/>
      <c r="AW465" s="53" t="n"/>
      <c r="AX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Y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Z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BA465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B465" s="40" t="n"/>
    </row>
    <row r="466">
      <c r="A466" s="38" t="inlineStr">
        <is>
          <t>Bolt Spain</t>
        </is>
      </c>
      <c r="B466" s="38" t="inlineStr">
        <is>
          <t>Spain</t>
        </is>
      </c>
      <c r="C466" s="39" t="inlineStr">
        <is>
          <t>Marbella → Puerto Banús</t>
        </is>
      </c>
      <c r="D466" s="38" t="inlineStr">
        <is>
          <t>bolt</t>
        </is>
      </c>
      <c r="E466" s="40" t="inlineStr">
        <is>
          <t>bolt-spain</t>
        </is>
      </c>
      <c r="F466" s="41" t="n">
        <v>1</v>
      </c>
      <c r="G466" s="42" t="n">
        <v>3.5</v>
      </c>
      <c r="H466" s="35" t="n">
        <v>11.9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>
        <v>36000</v>
      </c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IF(OR(AJ466="",U466=0),"",MIN(IF(AW466="",9.9E+99,AW466),FLOOR(AN466/U466,1)))</f>
        <v/>
      </c>
      <c r="AP466" s="49">
        <f>IF(AO466="","",AO466*W466)</f>
        <v/>
      </c>
      <c r="AQ466" s="47">
        <f>IF(OR(AJ466="",U466=0),"",MIN(IF(AW466="",9.9E+99,AW466),AN466/U466))</f>
        <v/>
      </c>
      <c r="AR466" s="49">
        <f>IF(AQ466="","",AQ466*W466)</f>
        <v/>
      </c>
      <c r="AS466" s="51" t="n"/>
      <c r="AT466" s="43" t="inlineStr">
        <is>
          <t>Estimated</t>
        </is>
      </c>
      <c r="AU466" s="52" t="n"/>
      <c r="AV466" s="52" t="n"/>
      <c r="AW466" s="53" t="n"/>
      <c r="AX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Y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Z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BA466" s="40" t="inlineStr">
        <is>
          <t>PREMIUM tier: Fly Blue catamaran Marbella&lt;-&gt;Puerto Banús ~EUR 11 one-way (traveller reports EUR 11 one-way; ~30 min) x 1.08 = ~$11.9. Short hop, inexpensive premium tier.</t>
        </is>
      </c>
      <c r="BB466" s="40" t="n"/>
    </row>
    <row r="467">
      <c r="A467" s="38" t="inlineStr">
        <is>
          <t>Bolt Spain</t>
        </is>
      </c>
      <c r="B467" s="38" t="inlineStr">
        <is>
          <t>Spain</t>
        </is>
      </c>
      <c r="C467" s="39" t="inlineStr">
        <is>
          <t>Lloret de Mar → Tossa de Mar</t>
        </is>
      </c>
      <c r="D467" s="38" t="inlineStr">
        <is>
          <t>bolt</t>
        </is>
      </c>
      <c r="E467" s="40" t="inlineStr">
        <is>
          <t>bolt-spain</t>
        </is>
      </c>
      <c r="F467" s="41" t="n">
        <v>1</v>
      </c>
      <c r="G467" s="42" t="n">
        <v>4</v>
      </c>
      <c r="H467" s="35" t="n">
        <v>20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MIN(24,FLOOR(60*service_hr/M467,1))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112000</v>
      </c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IF(OR(AJ467="",U467=0),"",MIN(IF(AW467="",9.9E+99,AW467),FLOOR(AN467/U467,1)))</f>
        <v/>
      </c>
      <c r="AP467" s="49">
        <f>IF(AO467="","",AO467*W467)</f>
        <v/>
      </c>
      <c r="AQ467" s="47">
        <f>IF(OR(AJ467="",U467=0),"",MIN(IF(AW467="",9.9E+99,AW467),AN467/U467))</f>
        <v/>
      </c>
      <c r="AR467" s="49">
        <f>IF(AQ467="","",AQ467*W467)</f>
        <v/>
      </c>
      <c r="AS467" s="51" t="n"/>
      <c r="AT467" s="43" t="inlineStr">
        <is>
          <t>Estimated</t>
        </is>
      </c>
      <c r="AU467" s="52" t="n"/>
      <c r="AV467" s="52" t="n"/>
      <c r="AW467" s="53" t="n"/>
      <c r="AX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Y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Z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BA467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B467" s="40" t="n"/>
    </row>
    <row r="468">
      <c r="A468" s="38" t="inlineStr">
        <is>
          <t>Bolt Spain</t>
        </is>
      </c>
      <c r="B468" s="38" t="inlineStr">
        <is>
          <t>Spain</t>
        </is>
      </c>
      <c r="C468" s="39" t="inlineStr">
        <is>
          <t>Port de Sóller (Mallorca) → Sa Calobra / Torrent de Pareis (Mallorca)</t>
        </is>
      </c>
      <c r="D468" s="38" t="inlineStr">
        <is>
          <t>bolt</t>
        </is>
      </c>
      <c r="E468" s="40" t="inlineStr">
        <is>
          <t>bolt-spain</t>
        </is>
      </c>
      <c r="F468" s="41" t="n">
        <v>1</v>
      </c>
      <c r="G468" s="42" t="n">
        <v>9</v>
      </c>
      <c r="H468" s="35" t="n">
        <v>24.8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L468+turn_min+dwell_min</f>
        <v/>
      </c>
      <c r="N468" s="45">
        <f>MIN(15,FLOOR(60*service_hr/M468,1))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/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IF(OR(AJ468="",U468=0),"",MIN(IF(AW468="",9.9E+99,AW468),FLOOR(AN468/U468,1)))</f>
        <v/>
      </c>
      <c r="AP468" s="49">
        <f>IF(AO468="","",AO468*W468)</f>
        <v/>
      </c>
      <c r="AQ468" s="47">
        <f>IF(OR(AJ468="",U468=0),"",MIN(IF(AW468="",9.9E+99,AW468),AN468/U468))</f>
        <v/>
      </c>
      <c r="AR468" s="49">
        <f>IF(AQ468="","",AQ468*W468)</f>
        <v/>
      </c>
      <c r="AS468" s="51" t="n"/>
      <c r="AT468" s="43" t="inlineStr">
        <is>
          <t>Estimated</t>
        </is>
      </c>
      <c r="AU468" s="52" t="n"/>
      <c r="AV468" s="52" t="n"/>
      <c r="AW468" s="53" t="n"/>
      <c r="AX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Y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Z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BA468" s="40" t="inlineStr">
        <is>
          <t>PREMIUM tier: Barcos Azules Port de Sóller-&gt;Sa Calobra adult one-way (un trayecto) EUR 23 (2025/2026 tariff) x 1.08 = ~$24.8.</t>
        </is>
      </c>
      <c r="BB468" s="40" t="n"/>
    </row>
    <row r="469">
      <c r="A469" s="38" t="inlineStr">
        <is>
          <t>Bolt Spain</t>
        </is>
      </c>
      <c r="B469" s="38" t="inlineStr">
        <is>
          <t>Spain</t>
        </is>
      </c>
      <c r="C469" s="39" t="inlineStr">
        <is>
          <t>Ibiza Town (Eivissa) → Formentera (La Savina)</t>
        </is>
      </c>
      <c r="D469" s="38" t="inlineStr">
        <is>
          <t>bolt</t>
        </is>
      </c>
      <c r="E469" s="40" t="inlineStr">
        <is>
          <t>bolt-spain</t>
        </is>
      </c>
      <c r="F469" s="41" t="n">
        <v>1</v>
      </c>
      <c r="G469" s="42" t="n">
        <v>12</v>
      </c>
      <c r="H469" s="35" t="n">
        <v>28.6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MIN(15,FLOOR(60*service_hr/M469,1))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1190000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IF(OR(AJ469="",U469=0),"",MIN(IF(AW469="",9.9E+99,AW469),FLOOR(AN469/U469,1)))</f>
        <v/>
      </c>
      <c r="AP469" s="49">
        <f>IF(AO469="","",AO469*W469)</f>
        <v/>
      </c>
      <c r="AQ469" s="47">
        <f>IF(OR(AJ469="",U469=0),"",MIN(IF(AW469="",9.9E+99,AW469),AN469/U469))</f>
        <v/>
      </c>
      <c r="AR469" s="49">
        <f>IF(AQ469="","",AQ469*W469)</f>
        <v/>
      </c>
      <c r="AS469" s="51" t="n"/>
      <c r="AT469" s="43" t="inlineStr">
        <is>
          <t>Grounded</t>
        </is>
      </c>
      <c r="AU469" s="52" t="n"/>
      <c r="AV469" s="52" t="n"/>
      <c r="AW469" s="53" t="n"/>
      <c r="AX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Y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Z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BA469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B469" s="40" t="n"/>
    </row>
    <row r="470">
      <c r="A470" s="38" t="inlineStr">
        <is>
          <t>Bolt Spain</t>
        </is>
      </c>
      <c r="B470" s="38" t="inlineStr">
        <is>
          <t>Spain</t>
        </is>
      </c>
      <c r="C470" s="39" t="inlineStr">
        <is>
          <t>Puerto Banús → Estepona</t>
        </is>
      </c>
      <c r="D470" s="38" t="inlineStr">
        <is>
          <t>bolt</t>
        </is>
      </c>
      <c r="E470" s="40" t="inlineStr">
        <is>
          <t>bolt-spain</t>
        </is>
      </c>
      <c r="F470" s="41" t="n">
        <v>1</v>
      </c>
      <c r="G470" s="42" t="n">
        <v>12</v>
      </c>
      <c r="H470" s="35" t="n">
        <v>16.2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MIN(24,FLOOR(60*service_hr/M470,1))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/>
      <c r="AK470" s="43" t="n"/>
      <c r="AL470" s="43" t="n"/>
      <c r="AM470" s="50" t="n">
        <v>0.1</v>
      </c>
      <c r="AN470" s="45">
        <f>IF(AJ470="","",AJ470*AM470)</f>
        <v/>
      </c>
      <c r="AO470" s="45">
        <f>IF(OR(AJ470="",U470=0),"",MIN(IF(AW470="",9.9E+99,AW470),FLOOR(AN470/U470,1)))</f>
        <v/>
      </c>
      <c r="AP470" s="49">
        <f>IF(AO470="","",AO470*W470)</f>
        <v/>
      </c>
      <c r="AQ470" s="47">
        <f>IF(OR(AJ470="",U470=0),"",MIN(IF(AW470="",9.9E+99,AW470),AN470/U470))</f>
        <v/>
      </c>
      <c r="AR470" s="49">
        <f>IF(AQ470="","",AQ470*W470)</f>
        <v/>
      </c>
      <c r="AS470" s="51" t="n"/>
      <c r="AT470" s="43" t="inlineStr">
        <is>
          <t>Estimated</t>
        </is>
      </c>
      <c r="AU470" s="52" t="n"/>
      <c r="AV470" s="52" t="n"/>
      <c r="AW470" s="53" t="n"/>
      <c r="AX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Y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Z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BA470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B470" s="40" t="n"/>
    </row>
    <row r="471">
      <c r="A471" s="38" t="inlineStr">
        <is>
          <t>Bolt Spain</t>
        </is>
      </c>
      <c r="B471" s="38" t="inlineStr">
        <is>
          <t>Spain</t>
        </is>
      </c>
      <c r="C471" s="39" t="inlineStr">
        <is>
          <t>Tarifa → Tangier (Morocco)</t>
        </is>
      </c>
      <c r="D471" s="38" t="inlineStr">
        <is>
          <t>bolt</t>
        </is>
      </c>
      <c r="E471" s="40" t="inlineStr">
        <is>
          <t>bolt-spain</t>
        </is>
      </c>
      <c r="F471" s="41" t="n">
        <v>1</v>
      </c>
      <c r="G471" s="42" t="n">
        <v>18</v>
      </c>
      <c r="H471" s="35" t="n">
        <v>45.4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MIN(15,FLOOR(60*service_hr/M471,1))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>
        <v>700000</v>
      </c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IF(OR(AJ471="",U471=0),"",MIN(IF(AW471="",9.9E+99,AW471),FLOOR(AN471/U471,1)))</f>
        <v/>
      </c>
      <c r="AP471" s="49">
        <f>IF(AO471="","",AO471*W471)</f>
        <v/>
      </c>
      <c r="AQ471" s="47">
        <f>IF(OR(AJ471="",U471=0),"",MIN(IF(AW471="",9.9E+99,AW471),AN471/U471))</f>
        <v/>
      </c>
      <c r="AR471" s="49">
        <f>IF(AQ471="","",AQ471*W471)</f>
        <v/>
      </c>
      <c r="AS471" s="51" t="n"/>
      <c r="AT471" s="43" t="inlineStr">
        <is>
          <t>Grounded</t>
        </is>
      </c>
      <c r="AU471" s="52" t="n"/>
      <c r="AV471" s="52" t="n"/>
      <c r="AW471" s="53" t="n"/>
      <c r="AX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Y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Z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BA471" s="40" t="inlineStr">
        <is>
          <t>PREMIUM tier: Tarifa-&gt;Tangier fast ferry one-way ~EUR 37.50-45 (Ferryhopper from ~EUR 37.50; FRS/DFDS) -&gt; ~EUR 42 x 1.08 = ~$45.4.</t>
        </is>
      </c>
      <c r="BB471" s="40" t="n"/>
    </row>
    <row r="472">
      <c r="A472" s="38" t="inlineStr">
        <is>
          <t>Bolt Spain</t>
        </is>
      </c>
      <c r="B472" s="38" t="inlineStr">
        <is>
          <t>Spain</t>
        </is>
      </c>
      <c r="C472" s="39" t="inlineStr">
        <is>
          <t>Alcúdia (Mallorca) → Ciutadella (Menorca)</t>
        </is>
      </c>
      <c r="D472" s="38" t="inlineStr">
        <is>
          <t>bolt</t>
        </is>
      </c>
      <c r="E472" s="40" t="inlineStr">
        <is>
          <t>bolt-spain</t>
        </is>
      </c>
      <c r="F472" s="41" t="n">
        <v>1</v>
      </c>
      <c r="G472" s="42" t="n">
        <v>22</v>
      </c>
      <c r="H472" s="35" t="n">
        <v>80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MIN(15,FLOOR(60*service_hr/M472,1))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>
        <v>62400</v>
      </c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IF(OR(AJ472="",U472=0),"",MIN(IF(AW472="",9.9E+99,AW472),FLOOR(AN472/U472,1)))</f>
        <v/>
      </c>
      <c r="AP472" s="49">
        <f>IF(AO472="","",AO472*W472)</f>
        <v/>
      </c>
      <c r="AQ472" s="47">
        <f>IF(OR(AJ472="",U472=0),"",MIN(IF(AW472="",9.9E+99,AW472),AN472/U472))</f>
        <v/>
      </c>
      <c r="AR472" s="49">
        <f>IF(AQ472="","",AQ472*W472)</f>
        <v/>
      </c>
      <c r="AS472" s="51" t="n"/>
      <c r="AT472" s="43" t="inlineStr">
        <is>
          <t>Grounded</t>
        </is>
      </c>
      <c r="AU472" s="52" t="n"/>
      <c r="AV472" s="52" t="n"/>
      <c r="AW472" s="53" t="n"/>
      <c r="AX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Y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Z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BA472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B472" s="40" t="n"/>
    </row>
    <row r="473">
      <c r="A473" s="38" t="inlineStr">
        <is>
          <t>Bolt Spain</t>
        </is>
      </c>
      <c r="B473" s="38" t="inlineStr">
        <is>
          <t>Spain</t>
        </is>
      </c>
      <c r="C473" s="39" t="inlineStr">
        <is>
          <t>Dénia → Ibiza Town (Eivissa)</t>
        </is>
      </c>
      <c r="D473" s="38" t="inlineStr">
        <is>
          <t>bolt</t>
        </is>
      </c>
      <c r="E473" s="40" t="inlineStr">
        <is>
          <t>bolt-spain</t>
        </is>
      </c>
      <c r="F473" s="41" t="n">
        <v>1</v>
      </c>
      <c r="G473" s="42" t="n">
        <v>56</v>
      </c>
      <c r="H473" s="35" t="n">
        <v>54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MIN(15,FLOOR(60*service_hr/M473,1))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>
        <v>49000</v>
      </c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IF(OR(AJ473="",U473=0),"",MIN(IF(AW473="",9.9E+99,AW473),FLOOR(AN473/U473,1)))</f>
        <v/>
      </c>
      <c r="AP473" s="49">
        <f>IF(AO473="","",AO473*W473)</f>
        <v/>
      </c>
      <c r="AQ473" s="47">
        <f>IF(OR(AJ473="",U473=0),"",MIN(IF(AW473="",9.9E+99,AW473),AN473/U473))</f>
        <v/>
      </c>
      <c r="AR473" s="49">
        <f>IF(AQ473="","",AQ473*W473)</f>
        <v/>
      </c>
      <c r="AS473" s="51" t="n"/>
      <c r="AT473" s="43" t="inlineStr">
        <is>
          <t>Grounded</t>
        </is>
      </c>
      <c r="AU473" s="52" t="n"/>
      <c r="AV473" s="52" t="n"/>
      <c r="AW473" s="53" t="n"/>
      <c r="AX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Y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Z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BA473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B473" s="40" t="n"/>
    </row>
    <row r="474">
      <c r="A474" s="38" t="inlineStr">
        <is>
          <t>Bolt Sweden</t>
        </is>
      </c>
      <c r="B474" s="38" t="inlineStr">
        <is>
          <t>Sweden</t>
        </is>
      </c>
      <c r="C474" s="39" t="inlineStr">
        <is>
          <t>Stockholm (Slussen) → Djurgarden</t>
        </is>
      </c>
      <c r="D474" s="38" t="inlineStr">
        <is>
          <t>bolt</t>
        </is>
      </c>
      <c r="E474" s="40" t="inlineStr">
        <is>
          <t>bolt-sweden</t>
        </is>
      </c>
      <c r="F474" s="41" t="n">
        <v>1</v>
      </c>
      <c r="G474" s="42" t="n">
        <v>0.5</v>
      </c>
      <c r="H474" s="35" t="n">
        <v>18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MIN(15,FLOOR(60*service_hr/M474,1))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>
        <v>271332</v>
      </c>
      <c r="AK474" s="43" t="n"/>
      <c r="AL474" s="43" t="inlineStr">
        <is>
          <t>med</t>
        </is>
      </c>
      <c r="AM474" s="50" t="n">
        <v>0.25</v>
      </c>
      <c r="AN474" s="45">
        <f>IF(AJ474="","",AJ474*AM474)</f>
        <v/>
      </c>
      <c r="AO474" s="45">
        <f>IF(OR(AJ474="",U474=0),"",MIN(IF(AW474="",9.9E+99,AW474),FLOOR(AN474/U474,1)))</f>
        <v/>
      </c>
      <c r="AP474" s="49">
        <f>IF(AO474="","",AO474*W474)</f>
        <v/>
      </c>
      <c r="AQ474" s="47">
        <f>IF(OR(AJ474="",U474=0),"",MIN(IF(AW474="",9.9E+99,AW474),AN474/U474))</f>
        <v/>
      </c>
      <c r="AR474" s="49">
        <f>IF(AQ474="","",AQ474*W474)</f>
        <v/>
      </c>
      <c r="AS474" s="51" t="n"/>
      <c r="AT474" s="43" t="inlineStr">
        <is>
          <t>Grounded</t>
        </is>
      </c>
      <c r="AU474" s="52" t="n"/>
      <c r="AV474" s="52" t="n"/>
      <c r="AW474" s="53" t="n"/>
      <c r="AX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Y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Z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BA474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B474" s="40" t="n"/>
    </row>
    <row r="475">
      <c r="A475" s="38" t="inlineStr">
        <is>
          <t>Bolt Sweden</t>
        </is>
      </c>
      <c r="B475" s="38" t="inlineStr">
        <is>
          <t>Sweden</t>
        </is>
      </c>
      <c r="C475" s="39" t="inlineStr">
        <is>
          <t>Stockholm (Nybroplan) → Nacka Strand / Ropsten</t>
        </is>
      </c>
      <c r="D475" s="38" t="inlineStr">
        <is>
          <t>bolt</t>
        </is>
      </c>
      <c r="E475" s="40" t="inlineStr">
        <is>
          <t>bolt-sweden</t>
        </is>
      </c>
      <c r="F475" s="41" t="n">
        <v>1</v>
      </c>
      <c r="G475" s="42" t="n">
        <v>3</v>
      </c>
      <c r="H475" s="35" t="n">
        <v>18</v>
      </c>
      <c r="I475" s="43" t="inlineStr">
        <is>
          <t>T2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MIN(24,FLOOR(60*service_hr/M475,1))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>
        <v>365638</v>
      </c>
      <c r="AK475" s="43" t="n"/>
      <c r="AL475" s="43" t="inlineStr">
        <is>
          <t>med</t>
        </is>
      </c>
      <c r="AM475" s="50" t="n">
        <v>0.25</v>
      </c>
      <c r="AN475" s="45">
        <f>IF(AJ475="","",AJ475*AM475)</f>
        <v/>
      </c>
      <c r="AO475" s="45">
        <f>IF(OR(AJ475="",U475=0),"",MIN(IF(AW475="",9.9E+99,AW475),FLOOR(AN475/U475,1)))</f>
        <v/>
      </c>
      <c r="AP475" s="49">
        <f>IF(AO475="","",AO475*W475)</f>
        <v/>
      </c>
      <c r="AQ475" s="47">
        <f>IF(OR(AJ475="",U475=0),"",MIN(IF(AW475="",9.9E+99,AW475),AN475/U475))</f>
        <v/>
      </c>
      <c r="AR475" s="49">
        <f>IF(AQ475="","",AQ475*W475)</f>
        <v/>
      </c>
      <c r="AS475" s="51" t="n"/>
      <c r="AT475" s="43" t="inlineStr">
        <is>
          <t>Grounded</t>
        </is>
      </c>
      <c r="AU475" s="52" t="n"/>
      <c r="AV475" s="52" t="n"/>
      <c r="AW475" s="53" t="n"/>
      <c r="AX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Y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Z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BA475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B475" s="40" t="n"/>
    </row>
    <row r="476">
      <c r="A476" s="38" t="inlineStr">
        <is>
          <t>Bolt Sweden</t>
        </is>
      </c>
      <c r="B476" s="38" t="inlineStr">
        <is>
          <t>Sweden</t>
        </is>
      </c>
      <c r="C476" s="39" t="inlineStr">
        <is>
          <t>Stockholm (Stadshuskajen / Klara Malarstrand) → Drottningholm</t>
        </is>
      </c>
      <c r="D476" s="38" t="inlineStr">
        <is>
          <t>bolt</t>
        </is>
      </c>
      <c r="E476" s="40" t="inlineStr">
        <is>
          <t>bolt-sweden</t>
        </is>
      </c>
      <c r="F476" s="41" t="n">
        <v>1</v>
      </c>
      <c r="G476" s="42" t="n">
        <v>6</v>
      </c>
      <c r="H476" s="35" t="n">
        <v>13.8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>
        <v>700000</v>
      </c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IF(OR(AJ476="",U476=0),"",MIN(IF(AW476="",9.9E+99,AW476),FLOOR(AN476/U476,1)))</f>
        <v/>
      </c>
      <c r="AP476" s="49">
        <f>IF(AO476="","",AO476*W476)</f>
        <v/>
      </c>
      <c r="AQ476" s="47">
        <f>IF(OR(AJ476="",U476=0),"",MIN(IF(AW476="",9.9E+99,AW476),AN476/U476))</f>
        <v/>
      </c>
      <c r="AR476" s="49">
        <f>IF(AQ476="","",AQ476*W476)</f>
        <v/>
      </c>
      <c r="AS476" s="51" t="n"/>
      <c r="AT476" s="43" t="inlineStr">
        <is>
          <t>Grounded</t>
        </is>
      </c>
      <c r="AU476" s="52" t="n"/>
      <c r="AV476" s="52" t="n"/>
      <c r="AW476" s="53" t="n"/>
      <c r="AX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Y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Z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BA476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B476" s="40" t="n"/>
    </row>
    <row r="477">
      <c r="A477" s="38" t="inlineStr">
        <is>
          <t>Bolt Sweden</t>
        </is>
      </c>
      <c r="B477" s="38" t="inlineStr">
        <is>
          <t>Sweden</t>
        </is>
      </c>
      <c r="C477" s="39" t="inlineStr">
        <is>
          <t>Stockholm (Klara Malarstrand) → Ekero (Tappstrom)</t>
        </is>
      </c>
      <c r="D477" s="38" t="inlineStr">
        <is>
          <t>bolt</t>
        </is>
      </c>
      <c r="E477" s="40" t="inlineStr">
        <is>
          <t>bolt-sweden</t>
        </is>
      </c>
      <c r="F477" s="41" t="n">
        <v>1</v>
      </c>
      <c r="G477" s="42" t="n">
        <v>8.6</v>
      </c>
      <c r="H477" s="35" t="n">
        <v>18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MIN(24,FLOOR(60*service_hr/M477,1))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>
        <v>23673</v>
      </c>
      <c r="AK477" s="43" t="n"/>
      <c r="AL477" s="43" t="inlineStr">
        <is>
          <t>med</t>
        </is>
      </c>
      <c r="AM477" s="50" t="n">
        <v>0.25</v>
      </c>
      <c r="AN477" s="45">
        <f>IF(AJ477="","",AJ477*AM477)</f>
        <v/>
      </c>
      <c r="AO477" s="45">
        <f>IF(OR(AJ477="",U477=0),"",MIN(IF(AW477="",9.9E+99,AW477),FLOOR(AN477/U477,1)))</f>
        <v/>
      </c>
      <c r="AP477" s="49">
        <f>IF(AO477="","",AO477*W477)</f>
        <v/>
      </c>
      <c r="AQ477" s="47">
        <f>IF(OR(AJ477="",U477=0),"",MIN(IF(AW477="",9.9E+99,AW477),AN477/U477))</f>
        <v/>
      </c>
      <c r="AR477" s="49">
        <f>IF(AQ477="","",AQ477*W477)</f>
        <v/>
      </c>
      <c r="AS477" s="51" t="n"/>
      <c r="AT477" s="43" t="inlineStr">
        <is>
          <t>Estimated</t>
        </is>
      </c>
      <c r="AU477" s="52" t="n"/>
      <c r="AV477" s="52" t="n"/>
      <c r="AW477" s="53" t="n"/>
      <c r="AX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Y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Z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BA477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7" s="40" t="n"/>
    </row>
    <row r="478">
      <c r="A478" s="38" t="inlineStr">
        <is>
          <t>Bolt Sweden</t>
        </is>
      </c>
      <c r="B478" s="38" t="inlineStr">
        <is>
          <t>Sweden</t>
        </is>
      </c>
      <c r="C478" s="39" t="inlineStr">
        <is>
          <t>Stockholm → Saltsjobaden (Nacka)</t>
        </is>
      </c>
      <c r="D478" s="38" t="inlineStr">
        <is>
          <t>bolt</t>
        </is>
      </c>
      <c r="E478" s="40" t="inlineStr">
        <is>
          <t>bolt-sweden</t>
        </is>
      </c>
      <c r="F478" s="41" t="n">
        <v>1</v>
      </c>
      <c r="G478" s="42" t="n">
        <v>9</v>
      </c>
      <c r="H478" s="35" t="n"/>
      <c r="I478" s="43" t="n"/>
      <c r="J478" s="43" t="n"/>
      <c r="K478" s="29" t="n">
        <v>1</v>
      </c>
      <c r="L478" s="44">
        <f>60*G478/cruise_kt</f>
        <v/>
      </c>
      <c r="M478" s="44">
        <f>L478+turn_min+dwell_min</f>
        <v/>
      </c>
      <c r="N478" s="45">
        <f>MIN(24,FLOOR(60*service_hr/M478,1))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IF(OR(AJ478="",U478=0),"",MIN(IF(AW478="",9.9E+99,AW478),FLOOR(AN478/U478,1)))</f>
        <v/>
      </c>
      <c r="AP478" s="49">
        <f>IF(AO478="","",AO478*W478)</f>
        <v/>
      </c>
      <c r="AQ478" s="47">
        <f>IF(OR(AJ478="",U478=0),"",MIN(IF(AW478="",9.9E+99,AW478),AN478/U478))</f>
        <v/>
      </c>
      <c r="AR478" s="49">
        <f>IF(AQ478="","",AQ478*W478)</f>
        <v/>
      </c>
      <c r="AS478" s="51" t="n"/>
      <c r="AT478" s="43" t="inlineStr">
        <is>
          <t>Estimated</t>
        </is>
      </c>
      <c r="AU478" s="52" t="n"/>
      <c r="AV478" s="52" t="n"/>
      <c r="AW478" s="53" t="n"/>
      <c r="AX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Y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Z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BA478" s="40" t="n"/>
      <c r="BB478" s="40" t="n"/>
    </row>
    <row r="479">
      <c r="A479" s="38" t="inlineStr">
        <is>
          <t>Bolt Sweden</t>
        </is>
      </c>
      <c r="B479" s="38" t="inlineStr">
        <is>
          <t>Sweden</t>
        </is>
      </c>
      <c r="C479" s="39" t="inlineStr">
        <is>
          <t>Stockholm (Stromkajen) → Alstaket (Varmdo)</t>
        </is>
      </c>
      <c r="D479" s="38" t="inlineStr">
        <is>
          <t>bolt</t>
        </is>
      </c>
      <c r="E479" s="40" t="inlineStr">
        <is>
          <t>bolt-sweden</t>
        </is>
      </c>
      <c r="F479" s="41" t="n">
        <v>1</v>
      </c>
      <c r="G479" s="42" t="n">
        <v>11</v>
      </c>
      <c r="H479" s="35" t="n">
        <v>18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MIN(24,FLOOR(60*service_hr/M479,1))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>
        <v>13761</v>
      </c>
      <c r="AK479" s="43" t="n"/>
      <c r="AL479" s="43" t="inlineStr">
        <is>
          <t>med</t>
        </is>
      </c>
      <c r="AM479" s="50" t="n">
        <v>0.25</v>
      </c>
      <c r="AN479" s="45">
        <f>IF(AJ479="","",AJ479*AM479)</f>
        <v/>
      </c>
      <c r="AO479" s="45">
        <f>IF(OR(AJ479="",U479=0),"",MIN(IF(AW479="",9.9E+99,AW479),FLOOR(AN479/U479,1)))</f>
        <v/>
      </c>
      <c r="AP479" s="49">
        <f>IF(AO479="","",AO479*W479)</f>
        <v/>
      </c>
      <c r="AQ479" s="47">
        <f>IF(OR(AJ479="",U479=0),"",MIN(IF(AW479="",9.9E+99,AW479),AN479/U479))</f>
        <v/>
      </c>
      <c r="AR479" s="49">
        <f>IF(AQ479="","",AQ479*W479)</f>
        <v/>
      </c>
      <c r="AS479" s="51" t="n"/>
      <c r="AT479" s="43" t="inlineStr">
        <is>
          <t>Estimated</t>
        </is>
      </c>
      <c r="AU479" s="52" t="n"/>
      <c r="AV479" s="52" t="n"/>
      <c r="AW479" s="53" t="n"/>
      <c r="AX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Y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Z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BA479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9" s="40" t="n"/>
    </row>
    <row r="480">
      <c r="A480" s="38" t="inlineStr">
        <is>
          <t>Bolt Sweden</t>
        </is>
      </c>
      <c r="B480" s="38" t="inlineStr">
        <is>
          <t>Sweden</t>
        </is>
      </c>
      <c r="C480" s="39" t="inlineStr">
        <is>
          <t>Stockholm City → Vaxholm</t>
        </is>
      </c>
      <c r="D480" s="38" t="inlineStr">
        <is>
          <t>bolt</t>
        </is>
      </c>
      <c r="E480" s="40" t="inlineStr">
        <is>
          <t>bolt-sweden</t>
        </is>
      </c>
      <c r="F480" s="41" t="n">
        <v>1</v>
      </c>
      <c r="G480" s="42" t="n">
        <v>12</v>
      </c>
      <c r="H480" s="35" t="n">
        <v>18.1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365855</v>
      </c>
      <c r="AK480" s="43" t="n"/>
      <c r="AL480" s="43" t="n"/>
      <c r="AM480" s="50" t="n">
        <v>0.1</v>
      </c>
      <c r="AN480" s="45">
        <f>IF(AJ480="","",AJ480*AM480)</f>
        <v/>
      </c>
      <c r="AO480" s="45">
        <f>IF(OR(AJ480="",U480=0),"",MIN(IF(AW480="",9.9E+99,AW480),FLOOR(AN480/U480,1)))</f>
        <v/>
      </c>
      <c r="AP480" s="49">
        <f>IF(AO480="","",AO480*W480)</f>
        <v/>
      </c>
      <c r="AQ480" s="47">
        <f>IF(OR(AJ480="",U480=0),"",MIN(IF(AW480="",9.9E+99,AW480),AN480/U480))</f>
        <v/>
      </c>
      <c r="AR480" s="49">
        <f>IF(AQ480="","",AQ480*W480)</f>
        <v/>
      </c>
      <c r="AS480" s="51" t="n"/>
      <c r="AT480" s="43" t="inlineStr">
        <is>
          <t>Grounded</t>
        </is>
      </c>
      <c r="AU480" s="52" t="n"/>
      <c r="AV480" s="52" t="n"/>
      <c r="AW480" s="53" t="n"/>
      <c r="AX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Y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Z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BA480" s="40" t="inlineStr">
        <is>
          <t>PREMIUM tier: Stromma Cinderellabatarna one-way adult seat Strandvagen-&gt;Vaxholm from SEK 190 (2026 tariff). SEK 190 x 0.0952 = $18.1.</t>
        </is>
      </c>
      <c r="BB480" s="40" t="n"/>
    </row>
    <row r="481">
      <c r="A481" s="38" t="inlineStr">
        <is>
          <t>Bolt Sweden</t>
        </is>
      </c>
      <c r="B481" s="38" t="inlineStr">
        <is>
          <t>Sweden</t>
        </is>
      </c>
      <c r="C481" s="39" t="inlineStr">
        <is>
          <t>Stockholm (Strandvagen) → Grinda</t>
        </is>
      </c>
      <c r="D481" s="38" t="inlineStr">
        <is>
          <t>bolt</t>
        </is>
      </c>
      <c r="E481" s="40" t="inlineStr">
        <is>
          <t>bolt-sweden</t>
        </is>
      </c>
      <c r="F481" s="41" t="n">
        <v>1</v>
      </c>
      <c r="G481" s="42" t="n">
        <v>19</v>
      </c>
      <c r="H481" s="35" t="n">
        <v>22.4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/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IF(OR(AJ481="",U481=0),"",MIN(IF(AW481="",9.9E+99,AW481),FLOOR(AN481/U481,1)))</f>
        <v/>
      </c>
      <c r="AP481" s="49">
        <f>IF(AO481="","",AO481*W481)</f>
        <v/>
      </c>
      <c r="AQ481" s="47">
        <f>IF(OR(AJ481="",U481=0),"",MIN(IF(AW481="",9.9E+99,AW481),AN481/U481))</f>
        <v/>
      </c>
      <c r="AR481" s="49">
        <f>IF(AQ481="","",AQ481*W481)</f>
        <v/>
      </c>
      <c r="AS481" s="51" t="n"/>
      <c r="AT481" s="43" t="inlineStr">
        <is>
          <t>Estimated</t>
        </is>
      </c>
      <c r="AU481" s="52" t="n"/>
      <c r="AV481" s="52" t="n"/>
      <c r="AW481" s="53" t="n"/>
      <c r="AX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Y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Z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BA481" s="40" t="inlineStr">
        <is>
          <t>PREMIUM tier: Stromma Cinderellabatarna one-way adult Strandvagen-&gt;Grinda from SEK 235 (2026 tariff). SEK 235 x 0.0952 = $22.4.</t>
        </is>
      </c>
      <c r="BB481" s="40" t="n"/>
    </row>
    <row r="482">
      <c r="A482" s="38" t="inlineStr">
        <is>
          <t>Bolt Sweden</t>
        </is>
      </c>
      <c r="B482" s="38" t="inlineStr">
        <is>
          <t>Sweden</t>
        </is>
      </c>
      <c r="C482" s="39" t="inlineStr">
        <is>
          <t>Stockholm (Strandvagen) → Gallno</t>
        </is>
      </c>
      <c r="D482" s="38" t="inlineStr">
        <is>
          <t>bolt</t>
        </is>
      </c>
      <c r="E482" s="40" t="inlineStr">
        <is>
          <t>bolt-sweden</t>
        </is>
      </c>
      <c r="F482" s="41" t="n">
        <v>1</v>
      </c>
      <c r="G482" s="42" t="n">
        <v>21</v>
      </c>
      <c r="H482" s="35" t="n">
        <v>22.4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/>
      <c r="AK482" s="43" t="n"/>
      <c r="AL482" s="43" t="n"/>
      <c r="AM482" s="50" t="n">
        <v>0.1</v>
      </c>
      <c r="AN482" s="45">
        <f>IF(AJ482="","",AJ482*AM482)</f>
        <v/>
      </c>
      <c r="AO482" s="45">
        <f>IF(OR(AJ482="",U482=0),"",MIN(IF(AW482="",9.9E+99,AW482),FLOOR(AN482/U482,1)))</f>
        <v/>
      </c>
      <c r="AP482" s="49">
        <f>IF(AO482="","",AO482*W482)</f>
        <v/>
      </c>
      <c r="AQ482" s="47">
        <f>IF(OR(AJ482="",U482=0),"",MIN(IF(AW482="",9.9E+99,AW482),AN482/U482))</f>
        <v/>
      </c>
      <c r="AR482" s="49">
        <f>IF(AQ482="","",AQ482*W482)</f>
        <v/>
      </c>
      <c r="AS482" s="51" t="n"/>
      <c r="AT482" s="43" t="inlineStr">
        <is>
          <t>Estimated</t>
        </is>
      </c>
      <c r="AU482" s="52" t="n"/>
      <c r="AV482" s="52" t="n"/>
      <c r="AW482" s="53" t="n"/>
      <c r="AX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Y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Z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BA482" s="40" t="inlineStr">
        <is>
          <t>PREMIUM tier: Stromma Cinderellabatarna one-way adult Strandvagen-&gt;Gallno from SEK 235 (2026 tariff). SEK 235 x 0.0952 = $22.4.</t>
        </is>
      </c>
      <c r="BB482" s="40" t="n"/>
    </row>
    <row r="483">
      <c r="A483" s="38" t="inlineStr">
        <is>
          <t>Bolt Sweden</t>
        </is>
      </c>
      <c r="B483" s="38" t="inlineStr">
        <is>
          <t>Sweden</t>
        </is>
      </c>
      <c r="C483" s="39" t="inlineStr">
        <is>
          <t>Stockholm (Strandvagen) → Sandhamn</t>
        </is>
      </c>
      <c r="D483" s="38" t="inlineStr">
        <is>
          <t>bolt</t>
        </is>
      </c>
      <c r="E483" s="40" t="inlineStr">
        <is>
          <t>bolt-sweden</t>
        </is>
      </c>
      <c r="F483" s="41" t="n">
        <v>1</v>
      </c>
      <c r="G483" s="42" t="n">
        <v>26</v>
      </c>
      <c r="H483" s="35" t="n">
        <v>24.3</v>
      </c>
      <c r="I483" s="43" t="inlineStr">
        <is>
          <t>T2</t>
        </is>
      </c>
      <c r="J483" s="43" t="inlineStr">
        <is>
          <t>med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100000</v>
      </c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IF(OR(AJ483="",U483=0),"",MIN(IF(AW483="",9.9E+99,AW483),FLOOR(AN483/U483,1)))</f>
        <v/>
      </c>
      <c r="AP483" s="49">
        <f>IF(AO483="","",AO483*W483)</f>
        <v/>
      </c>
      <c r="AQ483" s="47">
        <f>IF(OR(AJ483="",U483=0),"",MIN(IF(AW483="",9.9E+99,AW483),AN483/U483))</f>
        <v/>
      </c>
      <c r="AR483" s="49">
        <f>IF(AQ483="","",AQ483*W483)</f>
        <v/>
      </c>
      <c r="AS483" s="51" t="n"/>
      <c r="AT483" s="43" t="inlineStr">
        <is>
          <t>Grounded</t>
        </is>
      </c>
      <c r="AU483" s="52" t="n"/>
      <c r="AV483" s="52" t="n"/>
      <c r="AW483" s="53" t="n"/>
      <c r="AX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Y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Z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BA483" s="40" t="inlineStr">
        <is>
          <t>PREMIUM tier: Stromma Cinderellabatarna one-way adult Strandvagen-&gt;Sandhamn from SEK 255 (2026 tariff). SEK 255 x 0.0952 = $24.3.</t>
        </is>
      </c>
      <c r="BB483" s="40" t="n"/>
    </row>
    <row r="484">
      <c r="A484" s="38" t="inlineStr">
        <is>
          <t>Taiwan</t>
        </is>
      </c>
      <c r="B484" s="38" t="inlineStr">
        <is>
          <t>Taiwan</t>
        </is>
      </c>
      <c r="C484" s="39" t="inlineStr">
        <is>
          <t>Magong (Penghu) → Penghu inter-island (Xiyu / Baisha loop)</t>
        </is>
      </c>
      <c r="D484" s="38" t="inlineStr">
        <is>
          <t>grab</t>
        </is>
      </c>
      <c r="E484" s="40" t="inlineStr">
        <is>
          <t>taiwan</t>
        </is>
      </c>
      <c r="F484" s="41" t="n">
        <v>1</v>
      </c>
      <c r="G484" s="42" t="n">
        <v>12</v>
      </c>
      <c r="H484" s="35" t="n">
        <v>38.7</v>
      </c>
      <c r="I484" s="43" t="inlineStr">
        <is>
          <t>T3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19226</v>
      </c>
      <c r="AK484" s="43" t="inlineStr">
        <is>
          <t>T2</t>
        </is>
      </c>
      <c r="AL484" s="43" t="inlineStr">
        <is>
          <t>low</t>
        </is>
      </c>
      <c r="AM484" s="50" t="n">
        <v>0.1</v>
      </c>
      <c r="AN484" s="45">
        <f>IF(AJ484="","",AJ484*AM484)</f>
        <v/>
      </c>
      <c r="AO484" s="45">
        <f>IF(OR(AJ484="",U484=0),"",MIN(IF(AW484="",9.9E+99,AW484),FLOOR(AN484/U484,1)))</f>
        <v/>
      </c>
      <c r="AP484" s="49">
        <f>IF(AO484="","",AO484*W484)</f>
        <v/>
      </c>
      <c r="AQ484" s="47">
        <f>IF(OR(AJ484="",U484=0),"",MIN(IF(AW484="",9.9E+99,AW484),AN484/U484))</f>
        <v/>
      </c>
      <c r="AR484" s="49">
        <f>IF(AQ484="","",AQ484*W484)</f>
        <v/>
      </c>
      <c r="AS484" s="51" t="n"/>
      <c r="AT484" s="43" t="inlineStr">
        <is>
          <t>Grounded</t>
        </is>
      </c>
      <c r="AU484" s="52" t="n"/>
      <c r="AV484" s="52" t="n"/>
      <c r="AW484" s="53" t="n"/>
      <c r="AX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Y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Z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BA484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B484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85">
      <c r="A485" s="38" t="inlineStr">
        <is>
          <t>Taiwan</t>
        </is>
      </c>
      <c r="B485" s="38" t="inlineStr">
        <is>
          <t>Taiwan</t>
        </is>
      </c>
      <c r="C485" s="39" t="inlineStr">
        <is>
          <t>Magong (Penghu) → Penghu outer islands (Qimei / Wang'an)</t>
        </is>
      </c>
      <c r="D485" s="38" t="inlineStr">
        <is>
          <t>grab</t>
        </is>
      </c>
      <c r="E485" s="40" t="inlineStr">
        <is>
          <t>taiwan</t>
        </is>
      </c>
      <c r="F485" s="41" t="n">
        <v>1</v>
      </c>
      <c r="G485" s="42" t="n">
        <v>23.12</v>
      </c>
      <c r="H485" s="35" t="n">
        <v>15</v>
      </c>
      <c r="I485" s="43" t="inlineStr">
        <is>
          <t>T1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176528</v>
      </c>
      <c r="AK485" s="43" t="inlineStr">
        <is>
          <t>T2</t>
        </is>
      </c>
      <c r="AL485" s="43" t="inlineStr">
        <is>
          <t>med-low</t>
        </is>
      </c>
      <c r="AM485" s="50" t="n">
        <v>0.1</v>
      </c>
      <c r="AN485" s="45">
        <f>IF(AJ485="","",AJ485*AM485)</f>
        <v/>
      </c>
      <c r="AO485" s="45">
        <f>IF(OR(AJ485="",U485=0),"",MIN(IF(AW485="",9.9E+99,AW485),FLOOR(AN485/U485,1)))</f>
        <v/>
      </c>
      <c r="AP485" s="49">
        <f>IF(AO485="","",AO485*W485)</f>
        <v/>
      </c>
      <c r="AQ485" s="47">
        <f>IF(OR(AJ485="",U485=0),"",MIN(IF(AW485="",9.9E+99,AW485),AN485/U485))</f>
        <v/>
      </c>
      <c r="AR485" s="49">
        <f>IF(AQ485="","",AQ485*W485)</f>
        <v/>
      </c>
      <c r="AS485" s="51" t="n"/>
      <c r="AT485" s="43" t="inlineStr">
        <is>
          <t>Grounded</t>
        </is>
      </c>
      <c r="AU485" s="52" t="n"/>
      <c r="AV485" s="52" t="n"/>
      <c r="AW485" s="53" t="n"/>
      <c r="AX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Y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Z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BA485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B485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86">
      <c r="A486" s="38" t="inlineStr">
        <is>
          <t>Taiwan</t>
        </is>
      </c>
      <c r="B486" s="38" t="inlineStr">
        <is>
          <t>Taiwan</t>
        </is>
      </c>
      <c r="C486" s="39" t="inlineStr">
        <is>
          <t>Budai (Chiayi) → Magong (Penghu)</t>
        </is>
      </c>
      <c r="D486" s="38" t="inlineStr">
        <is>
          <t>grab</t>
        </is>
      </c>
      <c r="E486" s="40" t="inlineStr">
        <is>
          <t>taiwan</t>
        </is>
      </c>
      <c r="F486" s="41" t="n">
        <v>1</v>
      </c>
      <c r="G486" s="42" t="n">
        <v>33</v>
      </c>
      <c r="H486" s="35" t="n">
        <v>31.6</v>
      </c>
      <c r="I486" s="43" t="inlineStr">
        <is>
          <t>T1</t>
        </is>
      </c>
      <c r="J486" s="43" t="inlineStr">
        <is>
          <t>med-high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MIN(15,FLOOR(60*service_hr/M486,1))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>
        <v>500342</v>
      </c>
      <c r="AK486" s="43" t="inlineStr">
        <is>
          <t>T2</t>
        </is>
      </c>
      <c r="AL486" s="43" t="inlineStr">
        <is>
          <t>high</t>
        </is>
      </c>
      <c r="AM486" s="50" t="n">
        <v>0.1</v>
      </c>
      <c r="AN486" s="45">
        <f>IF(AJ486="","",AJ486*AM486)</f>
        <v/>
      </c>
      <c r="AO486" s="45">
        <f>IF(OR(AJ486="",U486=0),"",MIN(IF(AW486="",9.9E+99,AW486),FLOOR(AN486/U486,1)))</f>
        <v/>
      </c>
      <c r="AP486" s="49">
        <f>IF(AO486="","",AO486*W486)</f>
        <v/>
      </c>
      <c r="AQ486" s="47">
        <f>IF(OR(AJ486="",U486=0),"",MIN(IF(AW486="",9.9E+99,AW486),AN486/U486))</f>
        <v/>
      </c>
      <c r="AR486" s="49">
        <f>IF(AQ486="","",AQ486*W486)</f>
        <v/>
      </c>
      <c r="AS486" s="51" t="n"/>
      <c r="AT486" s="43" t="inlineStr">
        <is>
          <t>Grounded</t>
        </is>
      </c>
      <c r="AU486" s="52" t="n"/>
      <c r="AV486" s="52" t="n"/>
      <c r="AW486" s="53" t="n"/>
      <c r="AX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Y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Z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BA486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B486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87">
      <c r="A487" s="38" t="inlineStr">
        <is>
          <t>Bangkok</t>
        </is>
      </c>
      <c r="B487" s="38" t="inlineStr">
        <is>
          <t>Thailand</t>
        </is>
      </c>
      <c r="C487" s="39" t="inlineStr">
        <is>
          <t>Sathorn (Central) Pier → Phra Arthit Pier</t>
        </is>
      </c>
      <c r="D487" s="38" t="inlineStr">
        <is>
          <t>grab</t>
        </is>
      </c>
      <c r="E487" s="40" t="inlineStr">
        <is>
          <t>bangkok</t>
        </is>
      </c>
      <c r="F487" s="41" t="n">
        <v>1</v>
      </c>
      <c r="G487" s="42" t="n">
        <v>2.9</v>
      </c>
      <c r="H487" s="35" t="n">
        <v>18</v>
      </c>
      <c r="I487" s="43" t="inlineStr">
        <is>
          <t>T1</t>
        </is>
      </c>
      <c r="J487" s="43" t="inlineStr">
        <is>
          <t>high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MIN(15,FLOOR(60*service_hr/M487,1))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1100000</v>
      </c>
      <c r="AK487" s="43" t="n"/>
      <c r="AL487" s="43" t="n"/>
      <c r="AM487" s="50" t="n">
        <v>0.1</v>
      </c>
      <c r="AN487" s="45">
        <f>IF(AJ487="","",AJ487*AM487)</f>
        <v/>
      </c>
      <c r="AO487" s="45">
        <f>IF(OR(AJ487="",U487=0),"",MIN(IF(AW487="",9.9E+99,AW487),FLOOR(AN487/U487,1)))</f>
        <v/>
      </c>
      <c r="AP487" s="49">
        <f>IF(AO487="","",AO487*W487)</f>
        <v/>
      </c>
      <c r="AQ487" s="47">
        <f>IF(OR(AJ487="",U487=0),"",MIN(IF(AW487="",9.9E+99,AW487),AN487/U487))</f>
        <v/>
      </c>
      <c r="AR487" s="49">
        <f>IF(AQ487="","",AQ487*W487)</f>
        <v/>
      </c>
      <c r="AS487" s="51" t="n"/>
      <c r="AT487" s="43" t="inlineStr">
        <is>
          <t>Grounded</t>
        </is>
      </c>
      <c r="AU487" s="52" t="n"/>
      <c r="AV487" s="52" t="n"/>
      <c r="AW487" s="53" t="n"/>
      <c r="AX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Y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Z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BA487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B487" s="40" t="n"/>
    </row>
    <row r="488">
      <c r="A488" s="38" t="inlineStr">
        <is>
          <t>Bangkok</t>
        </is>
      </c>
      <c r="B488" s="38" t="inlineStr">
        <is>
          <t>Thailand</t>
        </is>
      </c>
      <c r="C488" s="39" t="inlineStr">
        <is>
          <t>ICONSIAM Pier (Chao Phraya) → ICONSIAM Pier (Chao Phraya)</t>
        </is>
      </c>
      <c r="D488" s="38" t="inlineStr">
        <is>
          <t>grab</t>
        </is>
      </c>
      <c r="E488" s="40" t="inlineStr">
        <is>
          <t>bangkok</t>
        </is>
      </c>
      <c r="F488" s="41" t="n">
        <v>1</v>
      </c>
      <c r="G488" s="42" t="n">
        <v>5.3</v>
      </c>
      <c r="H488" s="35" t="n">
        <v>35</v>
      </c>
      <c r="I488" s="43" t="inlineStr">
        <is>
          <t>T2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1200000</v>
      </c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IF(OR(AJ488="",U488=0),"",MIN(IF(AW488="",9.9E+99,AW488),FLOOR(AN488/U488,1)))</f>
        <v/>
      </c>
      <c r="AP488" s="49">
        <f>IF(AO488="","",AO488*W488)</f>
        <v/>
      </c>
      <c r="AQ488" s="47">
        <f>IF(OR(AJ488="",U488=0),"",MIN(IF(AW488="",9.9E+99,AW488),AN488/U488))</f>
        <v/>
      </c>
      <c r="AR488" s="49">
        <f>IF(AQ488="","",AQ488*W488)</f>
        <v/>
      </c>
      <c r="AS488" s="51" t="n"/>
      <c r="AT488" s="43" t="inlineStr">
        <is>
          <t>Grounded</t>
        </is>
      </c>
      <c r="AU488" s="52" t="n"/>
      <c r="AV488" s="52" t="n"/>
      <c r="AW488" s="53" t="n"/>
      <c r="AX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Y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Z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BA488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B488" s="40" t="n"/>
    </row>
    <row r="489">
      <c r="A489" s="38" t="inlineStr">
        <is>
          <t>Koh Samui</t>
        </is>
      </c>
      <c r="B489" s="38" t="inlineStr">
        <is>
          <t>Thailand</t>
        </is>
      </c>
      <c r="C489" s="39" t="inlineStr">
        <is>
          <t>Samui Pralarn Pier (Mae Nam) → Koh Phangan (Thong Sala) — pier-exact</t>
        </is>
      </c>
      <c r="D489" s="38" t="inlineStr">
        <is>
          <t>grab</t>
        </is>
      </c>
      <c r="E489" s="40" t="inlineStr">
        <is>
          <t>koh-samui</t>
        </is>
      </c>
      <c r="F489" s="41" t="n">
        <v>1</v>
      </c>
      <c r="G489" s="42" t="n">
        <v>7.5</v>
      </c>
      <c r="H489" s="35" t="n">
        <v>35</v>
      </c>
      <c r="I489" s="43" t="n"/>
      <c r="J489" s="43" t="inlineStr">
        <is>
          <t>T1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450000</v>
      </c>
      <c r="AK489" s="43" t="inlineStr">
        <is>
          <t>T5</t>
        </is>
      </c>
      <c r="AL489" s="43" t="inlineStr">
        <is>
          <t>low-med</t>
        </is>
      </c>
      <c r="AM489" s="50" t="n">
        <v>0.1</v>
      </c>
      <c r="AN489" s="45">
        <f>IF(AJ489="","",AJ489*AM489)</f>
        <v/>
      </c>
      <c r="AO489" s="45">
        <f>IF(OR(AJ489="",U489=0),"",MIN(IF(AW489="",9.9E+99,AW489),FLOOR(AN489/U489,1)))</f>
        <v/>
      </c>
      <c r="AP489" s="49">
        <f>IF(AO489="","",AO489*W489)</f>
        <v/>
      </c>
      <c r="AQ489" s="47">
        <f>IF(OR(AJ489="",U489=0),"",MIN(IF(AW489="",9.9E+99,AW489),AN489/U489))</f>
        <v/>
      </c>
      <c r="AR489" s="49">
        <f>IF(AQ489="","",AQ489*W489)</f>
        <v/>
      </c>
      <c r="AS489" s="51" t="inlineStr">
        <is>
          <t>rn-db5e83248f9d</t>
        </is>
      </c>
      <c r="AT489" s="43" t="inlineStr">
        <is>
          <t>Grounded</t>
        </is>
      </c>
      <c r="AU489" s="52" t="n"/>
      <c r="AV489" s="52" t="n"/>
      <c r="AW489" s="53" t="n"/>
      <c r="AX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Y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Z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BA489" s="40" t="n"/>
      <c r="BB489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90">
      <c r="A490" s="38" t="inlineStr">
        <is>
          <t>Penang</t>
        </is>
      </c>
      <c r="B490" s="38" t="inlineStr">
        <is>
          <t>Thailand</t>
        </is>
      </c>
      <c r="C490" s="39" t="inlineStr">
        <is>
          <t>George Town (Penang) → Batu Ferringhi / Penang Bridge corridor</t>
        </is>
      </c>
      <c r="D490" s="38" t="inlineStr">
        <is>
          <t>grab</t>
        </is>
      </c>
      <c r="E490" s="40" t="inlineStr">
        <is>
          <t>penang</t>
        </is>
      </c>
      <c r="F490" s="41" t="n">
        <v>1</v>
      </c>
      <c r="G490" s="42" t="n">
        <v>8</v>
      </c>
      <c r="H490" s="35" t="n">
        <v>30</v>
      </c>
      <c r="I490" s="43" t="inlineStr">
        <is>
          <t>T5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MIN(15,FLOOR(60*service_hr/M490,1))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/>
      <c r="AK490" s="43" t="inlineStr">
        <is>
          <t>T5</t>
        </is>
      </c>
      <c r="AL490" s="43" t="inlineStr">
        <is>
          <t>low</t>
        </is>
      </c>
      <c r="AM490" s="50" t="n">
        <v>0.1</v>
      </c>
      <c r="AN490" s="45">
        <f>IF(AJ490="","",AJ490*AM490)</f>
        <v/>
      </c>
      <c r="AO490" s="45">
        <f>IF(OR(AJ490="",U490=0),"",MIN(IF(AW490="",9.9E+99,AW490),FLOOR(AN490/U490,1)))</f>
        <v/>
      </c>
      <c r="AP490" s="49">
        <f>IF(AO490="","",AO490*W490)</f>
        <v/>
      </c>
      <c r="AQ490" s="47">
        <f>IF(OR(AJ490="",U490=0),"",MIN(IF(AW490="",9.9E+99,AW490),AN490/U490))</f>
        <v/>
      </c>
      <c r="AR490" s="49">
        <f>IF(AQ490="","",AQ490*W490)</f>
        <v/>
      </c>
      <c r="AS490" s="51" t="n"/>
      <c r="AT490" s="43" t="inlineStr">
        <is>
          <t>Estimated</t>
        </is>
      </c>
      <c r="AU490" s="52" t="n"/>
      <c r="AV490" s="52" t="n"/>
      <c r="AW490" s="53" t="n"/>
      <c r="AX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Y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Z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BA490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490" s="40" t="inlineStr">
        <is>
          <t>No boat crossing exists; Batu Ferringhi hotel-strip arrivals come by road. No credible on-water pax pool.</t>
        </is>
      </c>
    </row>
    <row r="491">
      <c r="A491" s="38" t="inlineStr">
        <is>
          <t>Phuket</t>
        </is>
      </c>
      <c r="B491" s="38" t="inlineStr">
        <is>
          <t>Thailand</t>
        </is>
      </c>
      <c r="C491" s="39" t="inlineStr">
        <is>
          <t>Ao Po Grand Marina → Anantara Layan Phuket Beach Jetty</t>
        </is>
      </c>
      <c r="D491" s="38" t="inlineStr">
        <is>
          <t>grab</t>
        </is>
      </c>
      <c r="E491" s="40" t="inlineStr">
        <is>
          <t>phuket</t>
        </is>
      </c>
      <c r="F491" s="41" t="n">
        <v>1</v>
      </c>
      <c r="G491" s="42" t="n">
        <v>9.6</v>
      </c>
      <c r="H491" s="35" t="n">
        <v>100</v>
      </c>
      <c r="I491" s="43" t="inlineStr">
        <is>
          <t>T2</t>
        </is>
      </c>
      <c r="J491" s="43" t="inlineStr">
        <is>
          <t>med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MIN(15,FLOOR(60*service_hr/M491,1))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8500</v>
      </c>
      <c r="AK491" s="43" t="inlineStr">
        <is>
          <t>T2</t>
        </is>
      </c>
      <c r="AL491" s="43" t="inlineStr">
        <is>
          <t>med</t>
        </is>
      </c>
      <c r="AM491" s="50" t="n">
        <v>0.9</v>
      </c>
      <c r="AN491" s="45">
        <f>IF(AJ491="","",AJ491*AM491)</f>
        <v/>
      </c>
      <c r="AO491" s="45">
        <f>IF(OR(AJ491="",U491=0),"",MIN(IF(AW491="",9.9E+99,AW491),FLOOR(AN491/U491,1)))</f>
        <v/>
      </c>
      <c r="AP491" s="49">
        <f>IF(AO491="","",AO491*W491)</f>
        <v/>
      </c>
      <c r="AQ491" s="47">
        <f>IF(OR(AJ491="",U491=0),"",MIN(IF(AW491="",9.9E+99,AW491),AN491/U491))</f>
        <v/>
      </c>
      <c r="AR491" s="49">
        <f>IF(AQ491="","",AQ491*W491)</f>
        <v/>
      </c>
      <c r="AS491" s="51" t="n"/>
      <c r="AT491" s="43" t="inlineStr">
        <is>
          <t>Grounded</t>
        </is>
      </c>
      <c r="AU491" s="52" t="n"/>
      <c r="AV491" s="52" t="n"/>
      <c r="AW491" s="53" t="n"/>
      <c r="AX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Y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Z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BA491" s="40" t="inlineStr">
        <is>
          <t>Minor Hotels captive gateway — Anantara Layan marina pickup.</t>
        </is>
      </c>
      <c r="BB491" s="40" t="inlineStr">
        <is>
          <t>minor-hotels-phuket-flagship-economics-DRAFT.json — Layan gateway pool</t>
        </is>
      </c>
    </row>
    <row r="492">
      <c r="A492" s="38" t="inlineStr">
        <is>
          <t>Phuket</t>
        </is>
      </c>
      <c r="B492" s="38" t="inlineStr">
        <is>
          <t>Thailand</t>
        </is>
      </c>
      <c r="C492" s="39" t="inlineStr">
        <is>
          <t>Chalong Pier (Ao Chalong) → Chalong Pier (Ao Chalong)</t>
        </is>
      </c>
      <c r="D492" s="38" t="inlineStr">
        <is>
          <t>grab</t>
        </is>
      </c>
      <c r="E492" s="40" t="inlineStr">
        <is>
          <t>phuket</t>
        </is>
      </c>
      <c r="F492" s="41" t="n">
        <v>1</v>
      </c>
      <c r="G492" s="42" t="n">
        <v>10</v>
      </c>
      <c r="H492" s="35" t="n">
        <v>35</v>
      </c>
      <c r="I492" s="43" t="inlineStr">
        <is>
          <t>T1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400000</v>
      </c>
      <c r="AK492" s="43" t="n"/>
      <c r="AL492" s="43" t="n"/>
      <c r="AM492" s="50" t="n">
        <v>0.1</v>
      </c>
      <c r="AN492" s="45">
        <f>IF(AJ492="","",AJ492*AM492)</f>
        <v/>
      </c>
      <c r="AO492" s="45">
        <f>IF(OR(AJ492="",U492=0),"",MIN(IF(AW492="",9.9E+99,AW492),FLOOR(AN492/U492,1)))</f>
        <v/>
      </c>
      <c r="AP492" s="49">
        <f>IF(AO492="","",AO492*W492)</f>
        <v/>
      </c>
      <c r="AQ492" s="47">
        <f>IF(OR(AJ492="",U492=0),"",MIN(IF(AW492="",9.9E+99,AW492),AN492/U492))</f>
        <v/>
      </c>
      <c r="AR492" s="49">
        <f>IF(AQ492="","",AQ492*W492)</f>
        <v/>
      </c>
      <c r="AS492" s="51" t="n"/>
      <c r="AT492" s="43" t="inlineStr">
        <is>
          <t>Grounded</t>
        </is>
      </c>
      <c r="AU492" s="52" t="n"/>
      <c r="AV492" s="52" t="n"/>
      <c r="AW492" s="53" t="n"/>
      <c r="AX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Y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Z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BA492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B492" s="40" t="n"/>
    </row>
    <row r="493">
      <c r="A493" s="38" t="inlineStr">
        <is>
          <t>Koh Samui</t>
        </is>
      </c>
      <c r="B493" s="38" t="inlineStr">
        <is>
          <t>Thailand</t>
        </is>
      </c>
      <c r="C493" s="39" t="inlineStr">
        <is>
          <t>Koh Samui (Bangrak) → Koh Phangan (Thong Sala)</t>
        </is>
      </c>
      <c r="D493" s="38" t="inlineStr">
        <is>
          <t>grab</t>
        </is>
      </c>
      <c r="E493" s="40" t="inlineStr">
        <is>
          <t>koh-samui</t>
        </is>
      </c>
      <c r="F493" s="41" t="n">
        <v>1</v>
      </c>
      <c r="G493" s="42" t="n">
        <v>10.2</v>
      </c>
      <c r="H493" s="35" t="n">
        <v>35</v>
      </c>
      <c r="I493" s="43" t="n"/>
      <c r="J493" s="43" t="inlineStr">
        <is>
          <t>T1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1000000</v>
      </c>
      <c r="AK493" s="43" t="inlineStr">
        <is>
          <t>T4</t>
        </is>
      </c>
      <c r="AL493" s="43" t="inlineStr">
        <is>
          <t>med-low</t>
        </is>
      </c>
      <c r="AM493" s="50" t="n">
        <v>0.1</v>
      </c>
      <c r="AN493" s="45">
        <f>IF(AJ493="","",AJ493*AM493)</f>
        <v/>
      </c>
      <c r="AO493" s="45">
        <f>IF(OR(AJ493="",U493=0),"",MIN(IF(AW493="",9.9E+99,AW493),FLOOR(AN493/U493,1)))</f>
        <v/>
      </c>
      <c r="AP493" s="49">
        <f>IF(AO493="","",AO493*W493)</f>
        <v/>
      </c>
      <c r="AQ493" s="47">
        <f>IF(OR(AJ493="",U493=0),"",MIN(IF(AW493="",9.9E+99,AW493),AN493/U493))</f>
        <v/>
      </c>
      <c r="AR493" s="49">
        <f>IF(AQ493="","",AQ493*W493)</f>
        <v/>
      </c>
      <c r="AS493" s="51" t="n"/>
      <c r="AT493" s="43" t="inlineStr">
        <is>
          <t>Grounded</t>
        </is>
      </c>
      <c r="AU493" s="52" t="n"/>
      <c r="AV493" s="52" t="n"/>
      <c r="AW493" s="53" t="n"/>
      <c r="AX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Y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Z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BA493" s="40" t="n"/>
      <c r="BB493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94">
      <c r="A494" s="38" t="inlineStr">
        <is>
          <t>Phuket</t>
        </is>
      </c>
      <c r="B494" s="38" t="inlineStr">
        <is>
          <t>Thailand</t>
        </is>
      </c>
      <c r="C494" s="39" t="inlineStr">
        <is>
          <t>Ao Po Pier (Ao Po / Ao Por, NE Phuket) → Khao Phing Kan (James Bond Island), Phang Nga Bay</t>
        </is>
      </c>
      <c r="D494" s="38" t="inlineStr">
        <is>
          <t>grab</t>
        </is>
      </c>
      <c r="E494" s="40" t="inlineStr">
        <is>
          <t>phuket</t>
        </is>
      </c>
      <c r="F494" s="41" t="n">
        <v>1</v>
      </c>
      <c r="G494" s="42" t="n">
        <v>13.5</v>
      </c>
      <c r="H494" s="35" t="n">
        <v>90</v>
      </c>
      <c r="I494" s="43" t="inlineStr">
        <is>
          <t>T2</t>
        </is>
      </c>
      <c r="J494" s="43" t="inlineStr">
        <is>
          <t>med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MIN(15,FLOOR(60*service_hr/M494,1))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20000</v>
      </c>
      <c r="AK494" s="43" t="n"/>
      <c r="AL494" s="43" t="n"/>
      <c r="AM494" s="50" t="n">
        <v>0.1</v>
      </c>
      <c r="AN494" s="45">
        <f>IF(AJ494="","",AJ494*AM494)</f>
        <v/>
      </c>
      <c r="AO494" s="45">
        <f>IF(OR(AJ494="",U494=0),"",MIN(IF(AW494="",9.9E+99,AW494),FLOOR(AN494/U494,1)))</f>
        <v/>
      </c>
      <c r="AP494" s="49">
        <f>IF(AO494="","",AO494*W494)</f>
        <v/>
      </c>
      <c r="AQ494" s="47">
        <f>IF(OR(AJ494="",U494=0),"",MIN(IF(AW494="",9.9E+99,AW494),AN494/U494))</f>
        <v/>
      </c>
      <c r="AR494" s="49">
        <f>IF(AQ494="","",AQ494*W494)</f>
        <v/>
      </c>
      <c r="AS494" s="51" t="n"/>
      <c r="AT494" s="43" t="inlineStr">
        <is>
          <t>Grounded</t>
        </is>
      </c>
      <c r="AU494" s="52" t="n"/>
      <c r="AV494" s="52" t="n"/>
      <c r="AW494" s="53" t="n"/>
      <c r="AX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Y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Z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BA494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B494" s="40" t="n"/>
    </row>
    <row r="495">
      <c r="A495" s="38" t="inlineStr">
        <is>
          <t>Koh Samui</t>
        </is>
      </c>
      <c r="B495" s="38" t="inlineStr">
        <is>
          <t>Thailand</t>
        </is>
      </c>
      <c r="C495" s="39" t="inlineStr">
        <is>
          <t>Koh Samui (Lipa Noi) → Donsak (Raja Ferry pier)</t>
        </is>
      </c>
      <c r="D495" s="38" t="inlineStr">
        <is>
          <t>grab</t>
        </is>
      </c>
      <c r="E495" s="40" t="inlineStr">
        <is>
          <t>koh-samui</t>
        </is>
      </c>
      <c r="F495" s="41" t="n">
        <v>1</v>
      </c>
      <c r="G495" s="42" t="n">
        <v>14.3</v>
      </c>
      <c r="H495" s="35" t="n">
        <v>15.2</v>
      </c>
      <c r="I495" s="43" t="n"/>
      <c r="J495" s="43" t="inlineStr">
        <is>
          <t>T3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MIN(24,FLOOR(60*service_hr/M495,1))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666667</v>
      </c>
      <c r="AK495" s="43" t="inlineStr">
        <is>
          <t>T2</t>
        </is>
      </c>
      <c r="AL495" s="43" t="inlineStr">
        <is>
          <t>med-low</t>
        </is>
      </c>
      <c r="AM495" s="50" t="n">
        <v>0.1</v>
      </c>
      <c r="AN495" s="45">
        <f>IF(AJ495="","",AJ495*AM495)</f>
        <v/>
      </c>
      <c r="AO495" s="45">
        <f>IF(OR(AJ495="",U495=0),"",MIN(IF(AW495="",9.9E+99,AW495),FLOOR(AN495/U495,1)))</f>
        <v/>
      </c>
      <c r="AP495" s="49">
        <f>IF(AO495="","",AO495*W495)</f>
        <v/>
      </c>
      <c r="AQ495" s="47">
        <f>IF(OR(AJ495="",U495=0),"",MIN(IF(AW495="",9.9E+99,AW495),AN495/U495))</f>
        <v/>
      </c>
      <c r="AR495" s="49">
        <f>IF(AQ495="","",AQ495*W495)</f>
        <v/>
      </c>
      <c r="AS495" s="51" t="n"/>
      <c r="AT495" s="43" t="inlineStr">
        <is>
          <t>Grounded</t>
        </is>
      </c>
      <c r="AU495" s="52" t="n"/>
      <c r="AV495" s="52" t="n"/>
      <c r="AW495" s="53" t="n"/>
      <c r="AX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Y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Z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BA495" s="40" t="n"/>
      <c r="BB495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96">
      <c r="A496" s="38" t="inlineStr">
        <is>
          <t>Koh Samui</t>
        </is>
      </c>
      <c r="B496" s="38" t="inlineStr">
        <is>
          <t>Thailand</t>
        </is>
      </c>
      <c r="C496" s="39" t="inlineStr">
        <is>
          <t>Four Seasons Koh Samui (Laem Yai) → Ang Thong Marine Park (Wua Talap)</t>
        </is>
      </c>
      <c r="D496" s="38" t="inlineStr">
        <is>
          <t>grab</t>
        </is>
      </c>
      <c r="E496" s="40" t="inlineStr">
        <is>
          <t>koh-samui</t>
        </is>
      </c>
      <c r="F496" s="41" t="n">
        <v>1</v>
      </c>
      <c r="G496" s="42" t="n">
        <v>15.3</v>
      </c>
      <c r="H496" s="35" t="n">
        <v>79</v>
      </c>
      <c r="I496" s="43" t="n"/>
      <c r="J496" s="43" t="inlineStr">
        <is>
          <t>T3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300000</v>
      </c>
      <c r="AK496" s="43" t="inlineStr">
        <is>
          <t>T2</t>
        </is>
      </c>
      <c r="AL496" s="43" t="inlineStr">
        <is>
          <t>med-low</t>
        </is>
      </c>
      <c r="AM496" s="50" t="n">
        <v>0.9</v>
      </c>
      <c r="AN496" s="45">
        <f>IF(AJ496="","",AJ496*AM496)</f>
        <v/>
      </c>
      <c r="AO496" s="45">
        <f>IF(OR(AJ496="",U496=0),"",MIN(IF(AW496="",9.9E+99,AW496),FLOOR(AN496/U496,1)))</f>
        <v/>
      </c>
      <c r="AP496" s="49">
        <f>IF(AO496="","",AO496*W496)</f>
        <v/>
      </c>
      <c r="AQ496" s="47">
        <f>IF(OR(AJ496="",U496=0),"",MIN(IF(AW496="",9.9E+99,AW496),AN496/U496))</f>
        <v/>
      </c>
      <c r="AR496" s="49">
        <f>IF(AQ496="","",AQ496*W496)</f>
        <v/>
      </c>
      <c r="AS496" s="51" t="n"/>
      <c r="AT496" s="43" t="inlineStr">
        <is>
          <t>Grounded</t>
        </is>
      </c>
      <c r="AU496" s="52" t="n"/>
      <c r="AV496" s="52" t="n"/>
      <c r="AW496" s="53" t="n">
        <v>3</v>
      </c>
      <c r="AX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Y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Z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BA496" s="40" t="n"/>
      <c r="BB496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97">
      <c r="A497" s="38" t="inlineStr">
        <is>
          <t>Phuket</t>
        </is>
      </c>
      <c r="B497" s="38" t="inlineStr">
        <is>
          <t>Thailand</t>
        </is>
      </c>
      <c r="C497" s="39" t="inlineStr">
        <is>
          <t>Rassada Pier (Phuket Deep Sea Port) → Manoh Pier (Koh Yao Yai)</t>
        </is>
      </c>
      <c r="D497" s="38" t="inlineStr">
        <is>
          <t>grab</t>
        </is>
      </c>
      <c r="E497" s="40" t="inlineStr">
        <is>
          <t>phuket</t>
        </is>
      </c>
      <c r="F497" s="41" t="n">
        <v>1</v>
      </c>
      <c r="G497" s="42" t="n">
        <v>16.9</v>
      </c>
      <c r="H497" s="35" t="n">
        <v>100</v>
      </c>
      <c r="I497" s="43" t="inlineStr">
        <is>
          <t>T2</t>
        </is>
      </c>
      <c r="J497" s="43" t="inlineStr">
        <is>
          <t>med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MIN(15,FLOOR(60*service_hr/M497,1))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8500</v>
      </c>
      <c r="AK497" s="43" t="inlineStr">
        <is>
          <t>T2</t>
        </is>
      </c>
      <c r="AL497" s="43" t="inlineStr">
        <is>
          <t>med</t>
        </is>
      </c>
      <c r="AM497" s="50" t="n">
        <v>0.9</v>
      </c>
      <c r="AN497" s="45">
        <f>IF(AJ497="","",AJ497*AM497)</f>
        <v/>
      </c>
      <c r="AO497" s="45">
        <f>IF(OR(AJ497="",U497=0),"",MIN(IF(AW497="",9.9E+99,AW497),FLOOR(AN497/U497,1)))</f>
        <v/>
      </c>
      <c r="AP497" s="49">
        <f>IF(AO497="","",AO497*W497)</f>
        <v/>
      </c>
      <c r="AQ497" s="47">
        <f>IF(OR(AJ497="",U497=0),"",MIN(IF(AW497="",9.9E+99,AW497),AN497/U497))</f>
        <v/>
      </c>
      <c r="AR497" s="49">
        <f>IF(AQ497="","",AQ497*W497)</f>
        <v/>
      </c>
      <c r="AS497" s="51" t="n"/>
      <c r="AT497" s="43" t="inlineStr">
        <is>
          <t>Grounded</t>
        </is>
      </c>
      <c r="AU497" s="52" t="n"/>
      <c r="AV497" s="52" t="n"/>
      <c r="AW497" s="53" t="n"/>
      <c r="AX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Y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Z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BA497" s="40" t="inlineStr">
        <is>
          <t>Minor Hotels captive gateway — Anantara Koh Yao Yai boat-only transfer from Phuket.</t>
        </is>
      </c>
      <c r="BB497" s="40" t="inlineStr">
        <is>
          <t>minor-hotels-phuket-flagship-economics-DRAFT.json — Koh Yao Yai captive transfer pool</t>
        </is>
      </c>
    </row>
    <row r="498">
      <c r="A498" s="38" t="inlineStr">
        <is>
          <t>Koh Samui</t>
        </is>
      </c>
      <c r="B498" s="38" t="inlineStr">
        <is>
          <t>Thailand</t>
        </is>
      </c>
      <c r="C498" s="39" t="inlineStr">
        <is>
          <t>Koh Samui (Nathon) → Donsak (Seatran harbour)</t>
        </is>
      </c>
      <c r="D498" s="38" t="inlineStr">
        <is>
          <t>grab</t>
        </is>
      </c>
      <c r="E498" s="40" t="inlineStr">
        <is>
          <t>koh-samui</t>
        </is>
      </c>
      <c r="F498" s="41" t="n">
        <v>1</v>
      </c>
      <c r="G498" s="42" t="n">
        <v>17.9</v>
      </c>
      <c r="H498" s="35" t="n">
        <v>15.2</v>
      </c>
      <c r="I498" s="43" t="n"/>
      <c r="J498" s="43" t="inlineStr">
        <is>
          <t>T3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MIN(24,FLOOR(60*service_hr/M498,1))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666667</v>
      </c>
      <c r="AK498" s="43" t="inlineStr">
        <is>
          <t>T5</t>
        </is>
      </c>
      <c r="AL498" s="43" t="inlineStr">
        <is>
          <t>low-med</t>
        </is>
      </c>
      <c r="AM498" s="50" t="n">
        <v>0.1</v>
      </c>
      <c r="AN498" s="45">
        <f>IF(AJ498="","",AJ498*AM498)</f>
        <v/>
      </c>
      <c r="AO498" s="45">
        <f>IF(OR(AJ498="",U498=0),"",MIN(IF(AW498="",9.9E+99,AW498),FLOOR(AN498/U498,1)))</f>
        <v/>
      </c>
      <c r="AP498" s="49">
        <f>IF(AO498="","",AO498*W498)</f>
        <v/>
      </c>
      <c r="AQ498" s="47">
        <f>IF(OR(AJ498="",U498=0),"",MIN(IF(AW498="",9.9E+99,AW498),AN498/U498))</f>
        <v/>
      </c>
      <c r="AR498" s="49">
        <f>IF(AQ498="","",AQ498*W498)</f>
        <v/>
      </c>
      <c r="AS498" s="51" t="n"/>
      <c r="AT498" s="43" t="inlineStr">
        <is>
          <t>Grounded</t>
        </is>
      </c>
      <c r="AU498" s="52" t="n"/>
      <c r="AV498" s="52" t="n"/>
      <c r="AW498" s="53" t="n"/>
      <c r="AX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Y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Z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BA498" s="40" t="n"/>
      <c r="BB498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99">
      <c r="A499" s="38" t="inlineStr">
        <is>
          <t>Phuket</t>
        </is>
      </c>
      <c r="B499" s="38" t="inlineStr">
        <is>
          <t>Thailand</t>
        </is>
      </c>
      <c r="C499" s="39" t="inlineStr">
        <is>
          <t>Phuket (Royal Phuket Marina) → Phang Nga Bay / James Bond Island</t>
        </is>
      </c>
      <c r="D499" s="38" t="inlineStr">
        <is>
          <t>grab</t>
        </is>
      </c>
      <c r="E499" s="40" t="inlineStr">
        <is>
          <t>phuket</t>
        </is>
      </c>
      <c r="F499" s="41" t="n">
        <v>1</v>
      </c>
      <c r="G499" s="42" t="n">
        <v>20</v>
      </c>
      <c r="H499" s="35" t="n">
        <v>72</v>
      </c>
      <c r="I499" s="43" t="inlineStr">
        <is>
          <t>T3</t>
        </is>
      </c>
      <c r="J499" s="43" t="inlineStr">
        <is>
          <t>med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580000</v>
      </c>
      <c r="AK499" s="43" t="inlineStr">
        <is>
          <t>T2</t>
        </is>
      </c>
      <c r="AL499" s="43" t="inlineStr">
        <is>
          <t>med</t>
        </is>
      </c>
      <c r="AM499" s="50" t="n">
        <v>0.1</v>
      </c>
      <c r="AN499" s="45">
        <f>IF(AJ499="","",AJ499*AM499)</f>
        <v/>
      </c>
      <c r="AO499" s="45">
        <f>IF(OR(AJ499="",U499=0),"",MIN(IF(AW499="",9.9E+99,AW499),FLOOR(AN499/U499,1)))</f>
        <v/>
      </c>
      <c r="AP499" s="49">
        <f>IF(AO499="","",AO499*W499)</f>
        <v/>
      </c>
      <c r="AQ499" s="47">
        <f>IF(OR(AJ499="",U499=0),"",MIN(IF(AW499="",9.9E+99,AW499),AN499/U499))</f>
        <v/>
      </c>
      <c r="AR499" s="49">
        <f>IF(AQ499="","",AQ499*W499)</f>
        <v/>
      </c>
      <c r="AS499" s="51" t="n"/>
      <c r="AT499" s="43" t="inlineStr">
        <is>
          <t>Grounded</t>
        </is>
      </c>
      <c r="AU499" s="52" t="n"/>
      <c r="AV499" s="52" t="n"/>
      <c r="AW499" s="53" t="n"/>
      <c r="AX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Y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Z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BA499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B499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500">
      <c r="A500" s="38" t="inlineStr">
        <is>
          <t>Phuket</t>
        </is>
      </c>
      <c r="B500" s="38" t="inlineStr">
        <is>
          <t>Thailand</t>
        </is>
      </c>
      <c r="C500" s="39" t="inlineStr">
        <is>
          <t>Phuket → Phi Phi (Tonsai)</t>
        </is>
      </c>
      <c r="D500" s="38" t="inlineStr">
        <is>
          <t>grab</t>
        </is>
      </c>
      <c r="E500" s="40" t="inlineStr">
        <is>
          <t>phuket</t>
        </is>
      </c>
      <c r="F500" s="41" t="n">
        <v>1</v>
      </c>
      <c r="G500" s="42" t="n">
        <v>25</v>
      </c>
      <c r="H500" s="35" t="n">
        <v>44</v>
      </c>
      <c r="I500" s="43" t="inlineStr">
        <is>
          <t>T3</t>
        </is>
      </c>
      <c r="J500" s="43" t="inlineStr">
        <is>
          <t>med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1080000</v>
      </c>
      <c r="AK500" s="43" t="inlineStr">
        <is>
          <t>T2</t>
        </is>
      </c>
      <c r="AL500" s="43" t="inlineStr">
        <is>
          <t>med</t>
        </is>
      </c>
      <c r="AM500" s="50" t="n">
        <v>0.1</v>
      </c>
      <c r="AN500" s="45">
        <f>IF(AJ500="","",AJ500*AM500)</f>
        <v/>
      </c>
      <c r="AO500" s="45">
        <f>IF(OR(AJ500="",U500=0),"",MIN(IF(AW500="",9.9E+99,AW500),FLOOR(AN500/U500,1)))</f>
        <v/>
      </c>
      <c r="AP500" s="49">
        <f>IF(AO500="","",AO500*W500)</f>
        <v/>
      </c>
      <c r="AQ500" s="47">
        <f>IF(OR(AJ500="",U500=0),"",MIN(IF(AW500="",9.9E+99,AW500),AN500/U500))</f>
        <v/>
      </c>
      <c r="AR500" s="49">
        <f>IF(AQ500="","",AQ500*W500)</f>
        <v/>
      </c>
      <c r="AS500" s="51" t="n"/>
      <c r="AT500" s="43" t="inlineStr">
        <is>
          <t>Grounded</t>
        </is>
      </c>
      <c r="AU500" s="52" t="n"/>
      <c r="AV500" s="52" t="n"/>
      <c r="AW500" s="53" t="n"/>
      <c r="AX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Y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Z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BA500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B500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501">
      <c r="A501" s="38" t="inlineStr">
        <is>
          <t>Koh Samui</t>
        </is>
      </c>
      <c r="B501" s="38" t="inlineStr">
        <is>
          <t>Thailand</t>
        </is>
      </c>
      <c r="C501" s="39" t="inlineStr">
        <is>
          <t>Koh Samui (Bangrak) → Don Sak Ferry Harbour</t>
        </is>
      </c>
      <c r="D501" s="38" t="inlineStr">
        <is>
          <t>grab</t>
        </is>
      </c>
      <c r="E501" s="40" t="inlineStr">
        <is>
          <t>koh-samui</t>
        </is>
      </c>
      <c r="F501" s="41" t="n">
        <v>1</v>
      </c>
      <c r="G501" s="42" t="n">
        <v>28.1</v>
      </c>
      <c r="H501" s="35" t="n">
        <v>15.2</v>
      </c>
      <c r="I501" s="43" t="n"/>
      <c r="J501" s="43" t="inlineStr">
        <is>
          <t>T3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MIN(24,FLOOR(60*service_hr/M501,1))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666667</v>
      </c>
      <c r="AK501" s="43" t="inlineStr">
        <is>
          <t>T4</t>
        </is>
      </c>
      <c r="AL501" s="43" t="inlineStr">
        <is>
          <t>med-low</t>
        </is>
      </c>
      <c r="AM501" s="50" t="n">
        <v>0.1</v>
      </c>
      <c r="AN501" s="45">
        <f>IF(AJ501="","",AJ501*AM501)</f>
        <v/>
      </c>
      <c r="AO501" s="45">
        <f>IF(OR(AJ501="",U501=0),"",MIN(IF(AW501="",9.9E+99,AW501),FLOOR(AN501/U501,1)))</f>
        <v/>
      </c>
      <c r="AP501" s="49">
        <f>IF(AO501="","",AO501*W501)</f>
        <v/>
      </c>
      <c r="AQ501" s="47">
        <f>IF(OR(AJ501="",U501=0),"",MIN(IF(AW501="",9.9E+99,AW501),AN501/U501))</f>
        <v/>
      </c>
      <c r="AR501" s="49">
        <f>IF(AQ501="","",AQ501*W501)</f>
        <v/>
      </c>
      <c r="AS501" s="51" t="n"/>
      <c r="AT501" s="43" t="inlineStr">
        <is>
          <t>Grounded</t>
        </is>
      </c>
      <c r="AU501" s="52" t="n"/>
      <c r="AV501" s="52" t="n"/>
      <c r="AW501" s="53" t="n"/>
      <c r="AX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Y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Z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BA501" s="40" t="n"/>
      <c r="BB501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502">
      <c r="A502" s="38" t="inlineStr">
        <is>
          <t>Koh Samui</t>
        </is>
      </c>
      <c r="B502" s="38" t="inlineStr">
        <is>
          <t>Thailand</t>
        </is>
      </c>
      <c r="C502" s="39" t="inlineStr">
        <is>
          <t>Koh Samui → Koh Tao (Mae Haad)</t>
        </is>
      </c>
      <c r="D502" s="38" t="inlineStr">
        <is>
          <t>grab</t>
        </is>
      </c>
      <c r="E502" s="40" t="inlineStr">
        <is>
          <t>koh-samui</t>
        </is>
      </c>
      <c r="F502" s="41" t="n">
        <v>1</v>
      </c>
      <c r="G502" s="42" t="n">
        <v>35.3</v>
      </c>
      <c r="H502" s="35" t="n">
        <v>24.4</v>
      </c>
      <c r="I502" s="43" t="n"/>
      <c r="J502" s="43" t="inlineStr">
        <is>
          <t>T3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400000</v>
      </c>
      <c r="AK502" s="43" t="inlineStr">
        <is>
          <t>T5</t>
        </is>
      </c>
      <c r="AL502" s="43" t="inlineStr">
        <is>
          <t>med-low</t>
        </is>
      </c>
      <c r="AM502" s="50" t="n">
        <v>0.1</v>
      </c>
      <c r="AN502" s="45">
        <f>IF(AJ502="","",AJ502*AM502)</f>
        <v/>
      </c>
      <c r="AO502" s="45">
        <f>IF(OR(AJ502="",U502=0),"",MIN(IF(AW502="",9.9E+99,AW502),FLOOR(AN502/U502,1)))</f>
        <v/>
      </c>
      <c r="AP502" s="49">
        <f>IF(AO502="","",AO502*W502)</f>
        <v/>
      </c>
      <c r="AQ502" s="47">
        <f>IF(OR(AJ502="",U502=0),"",MIN(IF(AW502="",9.9E+99,AW502),AN502/U502))</f>
        <v/>
      </c>
      <c r="AR502" s="49">
        <f>IF(AQ502="","",AQ502*W502)</f>
        <v/>
      </c>
      <c r="AS502" s="51" t="n"/>
      <c r="AT502" s="43" t="inlineStr">
        <is>
          <t>Grounded</t>
        </is>
      </c>
      <c r="AU502" s="52" t="n"/>
      <c r="AV502" s="52" t="n"/>
      <c r="AW502" s="53" t="n"/>
      <c r="AX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Y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Z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BA502" s="40" t="n"/>
      <c r="BB502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503">
      <c r="A503" s="38" t="inlineStr">
        <is>
          <t>Phuket</t>
        </is>
      </c>
      <c r="B503" s="38" t="inlineStr">
        <is>
          <t>Thailand</t>
        </is>
      </c>
      <c r="C503" s="39" t="inlineStr">
        <is>
          <t>Manoh Pier (Koh Yao Yai) → Thap Lamu Pier (Similan Gateway)</t>
        </is>
      </c>
      <c r="D503" s="38" t="inlineStr">
        <is>
          <t>grab</t>
        </is>
      </c>
      <c r="E503" s="40" t="inlineStr">
        <is>
          <t>phuket</t>
        </is>
      </c>
      <c r="F503" s="41" t="n">
        <v>1</v>
      </c>
      <c r="G503" s="42" t="n">
        <v>35.7</v>
      </c>
      <c r="H503" s="35" t="n">
        <v>100</v>
      </c>
      <c r="I503" s="43" t="inlineStr">
        <is>
          <t>T2</t>
        </is>
      </c>
      <c r="J503" s="43" t="inlineStr">
        <is>
          <t>med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8500</v>
      </c>
      <c r="AK503" s="43" t="inlineStr">
        <is>
          <t>T2</t>
        </is>
      </c>
      <c r="AL503" s="43" t="inlineStr">
        <is>
          <t>med</t>
        </is>
      </c>
      <c r="AM503" s="50" t="n">
        <v>0.9</v>
      </c>
      <c r="AN503" s="45">
        <f>IF(AJ503="","",AJ503*AM503)</f>
        <v/>
      </c>
      <c r="AO503" s="45">
        <f>IF(OR(AJ503="",U503=0),"",MIN(IF(AW503="",9.9E+99,AW503),FLOOR(AN503/U503,1)))</f>
        <v/>
      </c>
      <c r="AP503" s="49">
        <f>IF(AO503="","",AO503*W503)</f>
        <v/>
      </c>
      <c r="AQ503" s="47">
        <f>IF(OR(AJ503="",U503=0),"",MIN(IF(AW503="",9.9E+99,AW503),AN503/U503))</f>
        <v/>
      </c>
      <c r="AR503" s="49">
        <f>IF(AQ503="","",AQ503*W503)</f>
        <v/>
      </c>
      <c r="AS503" s="51" t="n"/>
      <c r="AT503" s="43" t="inlineStr">
        <is>
          <t>Grounded</t>
        </is>
      </c>
      <c r="AU503" s="52" t="n"/>
      <c r="AV503" s="52" t="n"/>
      <c r="AW503" s="53" t="n"/>
      <c r="AX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Y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Z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BA503" s="40" t="inlineStr">
        <is>
          <t>Minor Hotels inter-resort hop — Koh Yao Yai ↔ Khao Lak portfolio.</t>
        </is>
      </c>
      <c r="BB503" s="40" t="inlineStr">
        <is>
          <t>minor-hotels-phuket-flagship-economics-DRAFT.json — inter-brand Andaman hop</t>
        </is>
      </c>
    </row>
    <row r="504">
      <c r="A504" s="38" t="inlineStr">
        <is>
          <t>Phuket</t>
        </is>
      </c>
      <c r="B504" s="38" t="inlineStr">
        <is>
          <t>Thailand</t>
        </is>
      </c>
      <c r="C504" s="39" t="inlineStr">
        <is>
          <t>Phuket → Krabi (Ao Nang)</t>
        </is>
      </c>
      <c r="D504" s="38" t="inlineStr">
        <is>
          <t>grab</t>
        </is>
      </c>
      <c r="E504" s="40" t="inlineStr">
        <is>
          <t>phuket</t>
        </is>
      </c>
      <c r="F504" s="41" t="n">
        <v>1</v>
      </c>
      <c r="G504" s="42" t="n">
        <v>40</v>
      </c>
      <c r="H504" s="35" t="n">
        <v>44</v>
      </c>
      <c r="I504" s="43" t="inlineStr">
        <is>
          <t>T3</t>
        </is>
      </c>
      <c r="J504" s="43" t="inlineStr">
        <is>
          <t>med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MIN(15,FLOOR(60*service_hr/M504,1))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/>
      <c r="AK504" s="43" t="n"/>
      <c r="AL504" s="43" t="n"/>
      <c r="AM504" s="50" t="n">
        <v>0.1</v>
      </c>
      <c r="AN504" s="45">
        <f>IF(AJ504="","",AJ504*AM504)</f>
        <v/>
      </c>
      <c r="AO504" s="45">
        <f>IF(OR(AJ504="",U504=0),"",MIN(IF(AW504="",9.9E+99,AW504),FLOOR(AN504/U504,1)))</f>
        <v/>
      </c>
      <c r="AP504" s="49">
        <f>IF(AO504="","",AO504*W504)</f>
        <v/>
      </c>
      <c r="AQ504" s="47">
        <f>IF(OR(AJ504="",U504=0),"",MIN(IF(AW504="",9.9E+99,AW504),AN504/U504))</f>
        <v/>
      </c>
      <c r="AR504" s="49">
        <f>IF(AQ504="","",AQ504*W504)</f>
        <v/>
      </c>
      <c r="AS504" s="51" t="n"/>
      <c r="AT504" s="43" t="inlineStr">
        <is>
          <t>Estimated</t>
        </is>
      </c>
      <c r="AU504" s="52" t="n"/>
      <c r="AV504" s="52" t="n"/>
      <c r="AW504" s="53" t="n"/>
      <c r="AX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Y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Z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BA504" s="40" t="inlineStr">
        <is>
          <t>Phuket-&gt;Krabi (Ao Nang) speedboat premium tier ~comparable to Phi Phi route ($44). Krabi-specific demand re-source pending.</t>
        </is>
      </c>
      <c r="BB504" s="40" t="inlineStr">
        <is>
          <t>Phi Phi demand moved to new Phuket-&gt;Phi Phi corridor per Jaideep 2026-06-09. Krabi (Ao Nang) demand to be sourced separately. Until then: estimated via country cascade.</t>
        </is>
      </c>
    </row>
    <row r="505">
      <c r="A505" s="38" t="inlineStr">
        <is>
          <t>Phuket</t>
        </is>
      </c>
      <c r="B505" s="38" t="inlineStr">
        <is>
          <t>Thailand</t>
        </is>
      </c>
      <c r="C505" s="39" t="inlineStr">
        <is>
          <t>Phuket → Similan / Surin Islands</t>
        </is>
      </c>
      <c r="D505" s="38" t="inlineStr">
        <is>
          <t>grab</t>
        </is>
      </c>
      <c r="E505" s="40" t="inlineStr">
        <is>
          <t>phuket</t>
        </is>
      </c>
      <c r="F505" s="41" t="n">
        <v>1</v>
      </c>
      <c r="G505" s="42" t="n">
        <v>55</v>
      </c>
      <c r="H505" s="35" t="n">
        <v>80</v>
      </c>
      <c r="I505" s="43" t="inlineStr">
        <is>
          <t>T3</t>
        </is>
      </c>
      <c r="J505" s="43" t="inlineStr">
        <is>
          <t>med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MIN(15,FLOOR(60*service_hr/M505,1))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580000</v>
      </c>
      <c r="AK505" s="43" t="inlineStr">
        <is>
          <t>T2</t>
        </is>
      </c>
      <c r="AL505" s="43" t="inlineStr">
        <is>
          <t>low</t>
        </is>
      </c>
      <c r="AM505" s="50" t="n">
        <v>0.1</v>
      </c>
      <c r="AN505" s="45">
        <f>IF(AJ505="","",AJ505*AM505)</f>
        <v/>
      </c>
      <c r="AO505" s="45">
        <f>IF(OR(AJ505="",U505=0),"",MIN(IF(AW505="",9.9E+99,AW505),FLOOR(AN505/U505,1)))</f>
        <v/>
      </c>
      <c r="AP505" s="49">
        <f>IF(AO505="","",AO505*W505)</f>
        <v/>
      </c>
      <c r="AQ505" s="47">
        <f>IF(OR(AJ505="",U505=0),"",MIN(IF(AW505="",9.9E+99,AW505),AN505/U505))</f>
        <v/>
      </c>
      <c r="AR505" s="49">
        <f>IF(AQ505="","",AQ505*W505)</f>
        <v/>
      </c>
      <c r="AS505" s="51" t="n"/>
      <c r="AT505" s="43" t="inlineStr">
        <is>
          <t>Grounded</t>
        </is>
      </c>
      <c r="AU505" s="52" t="n"/>
      <c r="AV505" s="52" t="n"/>
      <c r="AW505" s="53" t="n"/>
      <c r="AX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Y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Z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BA505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B505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506">
      <c r="A506" s="38" t="inlineStr">
        <is>
          <t>Yango Tunisia</t>
        </is>
      </c>
      <c r="B506" s="38" t="inlineStr">
        <is>
          <t>Tunisia</t>
        </is>
      </c>
      <c r="C506" s="39" t="inlineStr">
        <is>
          <t>Jorf (mainland) → Ajim (Djerba Island)</t>
        </is>
      </c>
      <c r="D506" s="38" t="inlineStr">
        <is>
          <t>yango</t>
        </is>
      </c>
      <c r="E506" s="40" t="inlineStr">
        <is>
          <t>yango-tunisia, yassir-tunisia</t>
        </is>
      </c>
      <c r="F506" s="41" t="n">
        <v>2</v>
      </c>
      <c r="G506" s="42" t="n">
        <v>1.1</v>
      </c>
      <c r="H506" s="35" t="n"/>
      <c r="I506" s="43" t="n"/>
      <c r="J506" s="43" t="n"/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2463750</v>
      </c>
      <c r="AK506" s="43" t="n"/>
      <c r="AL506" s="43" t="n"/>
      <c r="AM506" s="50" t="n">
        <v>0.1</v>
      </c>
      <c r="AN506" s="45">
        <f>IF(AJ506="","",AJ506*AM506)</f>
        <v/>
      </c>
      <c r="AO506" s="45">
        <f>IF(OR(AJ506="",U506=0),"",MIN(IF(AW506="",9.9E+99,AW506),FLOOR(AN506/U506,1)))</f>
        <v/>
      </c>
      <c r="AP506" s="49">
        <f>IF(AO506="","",AO506*W506)</f>
        <v/>
      </c>
      <c r="AQ506" s="47">
        <f>IF(OR(AJ506="",U506=0),"",MIN(IF(AW506="",9.9E+99,AW506),AN506/U506))</f>
        <v/>
      </c>
      <c r="AR506" s="49">
        <f>IF(AQ506="","",AQ506*W506)</f>
        <v/>
      </c>
      <c r="AS506" s="51" t="n"/>
      <c r="AT506" s="43" t="inlineStr">
        <is>
          <t>Estimated</t>
        </is>
      </c>
      <c r="AU506" s="52" t="n"/>
      <c r="AV506" s="52" t="n"/>
      <c r="AW506" s="53" t="n"/>
      <c r="AX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Y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Z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BA506" s="40" t="n"/>
      <c r="BB506" s="40" t="n"/>
    </row>
    <row r="507">
      <c r="A507" s="38" t="inlineStr">
        <is>
          <t>Yango Tunisia</t>
        </is>
      </c>
      <c r="B507" s="38" t="inlineStr">
        <is>
          <t>Tunisia</t>
        </is>
      </c>
      <c r="C507" s="39" t="inlineStr">
        <is>
          <t>La Goulette → Sidi Bou Said</t>
        </is>
      </c>
      <c r="D507" s="38" t="inlineStr">
        <is>
          <t>yango</t>
        </is>
      </c>
      <c r="E507" s="40" t="inlineStr">
        <is>
          <t>yango-tunisia, yassir-tunisia</t>
        </is>
      </c>
      <c r="F507" s="41" t="n">
        <v>2</v>
      </c>
      <c r="G507" s="42" t="n">
        <v>4</v>
      </c>
      <c r="H507" s="35" t="n">
        <v>27</v>
      </c>
      <c r="I507" s="43" t="inlineStr">
        <is>
          <t>T2</t>
        </is>
      </c>
      <c r="J507" s="43" t="inlineStr">
        <is>
          <t>med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222000</v>
      </c>
      <c r="AK507" s="43" t="n"/>
      <c r="AL507" s="43" t="n"/>
      <c r="AM507" s="50" t="n">
        <v>0.1</v>
      </c>
      <c r="AN507" s="45">
        <f>IF(AJ507="","",AJ507*AM507)</f>
        <v/>
      </c>
      <c r="AO507" s="45">
        <f>IF(OR(AJ507="",U507=0),"",MIN(IF(AW507="",9.9E+99,AW507),FLOOR(AN507/U507,1)))</f>
        <v/>
      </c>
      <c r="AP507" s="49">
        <f>IF(AO507="","",AO507*W507)</f>
        <v/>
      </c>
      <c r="AQ507" s="47">
        <f>IF(OR(AJ507="",U507=0),"",MIN(IF(AW507="",9.9E+99,AW507),AN507/U507))</f>
        <v/>
      </c>
      <c r="AR507" s="49">
        <f>IF(AQ507="","",AQ507*W507)</f>
        <v/>
      </c>
      <c r="AS507" s="51" t="n"/>
      <c r="AT507" s="43" t="inlineStr">
        <is>
          <t>Grounded</t>
        </is>
      </c>
      <c r="AU507" s="52" t="n"/>
      <c r="AV507" s="52" t="n"/>
      <c r="AW507" s="53" t="n"/>
      <c r="AX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Y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Z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BA507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B507" s="40" t="n"/>
    </row>
    <row r="508">
      <c r="A508" s="38" t="inlineStr">
        <is>
          <t>Yango Tunisia</t>
        </is>
      </c>
      <c r="B508" s="38" t="inlineStr">
        <is>
          <t>Tunisia</t>
        </is>
      </c>
      <c r="C508" s="39" t="inlineStr">
        <is>
          <t>Tunis (Tunis Marine) → La Goulette</t>
        </is>
      </c>
      <c r="D508" s="38" t="inlineStr">
        <is>
          <t>yango</t>
        </is>
      </c>
      <c r="E508" s="40" t="inlineStr">
        <is>
          <t>yango-tunisia, yassir-tunisia</t>
        </is>
      </c>
      <c r="F508" s="41" t="n">
        <v>2</v>
      </c>
      <c r="G508" s="42" t="n">
        <v>5</v>
      </c>
      <c r="H508" s="35" t="n"/>
      <c r="I508" s="43" t="n"/>
      <c r="J508" s="43" t="n"/>
      <c r="K508" s="29" t="n">
        <v>1</v>
      </c>
      <c r="L508" s="44">
        <f>60*G508/cruise_kt</f>
        <v/>
      </c>
      <c r="M508" s="44">
        <f>L508+turn_min+dwell_min</f>
        <v/>
      </c>
      <c r="N508" s="45">
        <f>MIN(24,FLOOR(60*service_hr/M508,1))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296000</v>
      </c>
      <c r="AK508" s="43" t="n"/>
      <c r="AL508" s="43" t="n"/>
      <c r="AM508" s="50" t="n">
        <v>0.1</v>
      </c>
      <c r="AN508" s="45">
        <f>IF(AJ508="","",AJ508*AM508)</f>
        <v/>
      </c>
      <c r="AO508" s="45">
        <f>IF(OR(AJ508="",U508=0),"",MIN(IF(AW508="",9.9E+99,AW508),FLOOR(AN508/U508,1)))</f>
        <v/>
      </c>
      <c r="AP508" s="49">
        <f>IF(AO508="","",AO508*W508)</f>
        <v/>
      </c>
      <c r="AQ508" s="47">
        <f>IF(OR(AJ508="",U508=0),"",MIN(IF(AW508="",9.9E+99,AW508),AN508/U508))</f>
        <v/>
      </c>
      <c r="AR508" s="49">
        <f>IF(AQ508="","",AQ508*W508)</f>
        <v/>
      </c>
      <c r="AS508" s="51" t="n"/>
      <c r="AT508" s="43" t="inlineStr">
        <is>
          <t>Estimated</t>
        </is>
      </c>
      <c r="AU508" s="52" t="n"/>
      <c r="AV508" s="52" t="n"/>
      <c r="AW508" s="53" t="n"/>
      <c r="AX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Y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Z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BA508" s="40" t="n"/>
      <c r="BB508" s="40" t="n"/>
    </row>
    <row r="509">
      <c r="A509" s="38" t="inlineStr">
        <is>
          <t>Yango Tunisia</t>
        </is>
      </c>
      <c r="B509" s="38" t="inlineStr">
        <is>
          <t>Tunisia</t>
        </is>
      </c>
      <c r="C509" s="39" t="inlineStr">
        <is>
          <t>Tunis (La Goulette) → La Marsa / Gammarth</t>
        </is>
      </c>
      <c r="D509" s="38" t="inlineStr">
        <is>
          <t>yango</t>
        </is>
      </c>
      <c r="E509" s="40" t="inlineStr">
        <is>
          <t>yango-tunisia, yassir-tunisia</t>
        </is>
      </c>
      <c r="F509" s="41" t="n">
        <v>2</v>
      </c>
      <c r="G509" s="42" t="n">
        <v>7</v>
      </c>
      <c r="H509" s="35" t="n"/>
      <c r="I509" s="43" t="n"/>
      <c r="J509" s="43" t="n"/>
      <c r="K509" s="29" t="n">
        <v>1</v>
      </c>
      <c r="L509" s="44">
        <f>60*G509/cruise_kt</f>
        <v/>
      </c>
      <c r="M509" s="44">
        <f>L509+turn_min+dwell_min</f>
        <v/>
      </c>
      <c r="N509" s="45">
        <f>MIN(24,FLOOR(60*service_hr/M509,1))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222000</v>
      </c>
      <c r="AK509" s="43" t="n"/>
      <c r="AL509" s="43" t="n"/>
      <c r="AM509" s="50" t="n">
        <v>0.1</v>
      </c>
      <c r="AN509" s="45">
        <f>IF(AJ509="","",AJ509*AM509)</f>
        <v/>
      </c>
      <c r="AO509" s="45">
        <f>IF(OR(AJ509="",U509=0),"",MIN(IF(AW509="",9.9E+99,AW509),FLOOR(AN509/U509,1)))</f>
        <v/>
      </c>
      <c r="AP509" s="49">
        <f>IF(AO509="","",AO509*W509)</f>
        <v/>
      </c>
      <c r="AQ509" s="47">
        <f>IF(OR(AJ509="",U509=0),"",MIN(IF(AW509="",9.9E+99,AW509),AN509/U509))</f>
        <v/>
      </c>
      <c r="AR509" s="49">
        <f>IF(AQ509="","",AQ509*W509)</f>
        <v/>
      </c>
      <c r="AS509" s="51" t="n"/>
      <c r="AT509" s="43" t="inlineStr">
        <is>
          <t>Estimated</t>
        </is>
      </c>
      <c r="AU509" s="52" t="n"/>
      <c r="AV509" s="52" t="n"/>
      <c r="AW509" s="53" t="n"/>
      <c r="AX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Y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Z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BA509" s="40" t="n"/>
      <c r="BB509" s="40" t="n"/>
    </row>
    <row r="510">
      <c r="A510" s="38" t="inlineStr">
        <is>
          <t>Yango Tunisia</t>
        </is>
      </c>
      <c r="B510" s="38" t="inlineStr">
        <is>
          <t>Tunisia</t>
        </is>
      </c>
      <c r="C510" s="39" t="inlineStr">
        <is>
          <t>Yasmine Hammamet → Nabeul</t>
        </is>
      </c>
      <c r="D510" s="38" t="inlineStr">
        <is>
          <t>yango</t>
        </is>
      </c>
      <c r="E510" s="40" t="inlineStr">
        <is>
          <t>yango-tunisia, yassir-tunisia</t>
        </is>
      </c>
      <c r="F510" s="41" t="n">
        <v>2</v>
      </c>
      <c r="G510" s="42" t="n">
        <v>7</v>
      </c>
      <c r="H510" s="35" t="n">
        <v>22</v>
      </c>
      <c r="I510" s="43" t="inlineStr">
        <is>
          <t>T2</t>
        </is>
      </c>
      <c r="J510" s="43" t="inlineStr">
        <is>
          <t>med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/>
      <c r="AK510" s="43" t="n"/>
      <c r="AL510" s="43" t="n"/>
      <c r="AM510" s="50" t="n">
        <v>0.1</v>
      </c>
      <c r="AN510" s="45">
        <f>IF(AJ510="","",AJ510*AM510)</f>
        <v/>
      </c>
      <c r="AO510" s="45">
        <f>IF(OR(AJ510="",U510=0),"",MIN(IF(AW510="",9.9E+99,AW510),FLOOR(AN510/U510,1)))</f>
        <v/>
      </c>
      <c r="AP510" s="49">
        <f>IF(AO510="","",AO510*W510)</f>
        <v/>
      </c>
      <c r="AQ510" s="47">
        <f>IF(OR(AJ510="",U510=0),"",MIN(IF(AW510="",9.9E+99,AW510),AN510/U510))</f>
        <v/>
      </c>
      <c r="AR510" s="49">
        <f>IF(AQ510="","",AQ510*W510)</f>
        <v/>
      </c>
      <c r="AS510" s="51" t="n"/>
      <c r="AT510" s="43" t="inlineStr">
        <is>
          <t>Estimated</t>
        </is>
      </c>
      <c r="AU510" s="52" t="n"/>
      <c r="AV510" s="52" t="n"/>
      <c r="AW510" s="53" t="n"/>
      <c r="AX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Y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Z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BA510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B510" s="40" t="n"/>
    </row>
    <row r="511">
      <c r="A511" s="38" t="inlineStr">
        <is>
          <t>Yango Tunisia</t>
        </is>
      </c>
      <c r="B511" s="38" t="inlineStr">
        <is>
          <t>Tunisia</t>
        </is>
      </c>
      <c r="C511" s="39" t="inlineStr">
        <is>
          <t>Sfax → Sidi Youssef (Kerkennah Islands)</t>
        </is>
      </c>
      <c r="D511" s="38" t="inlineStr">
        <is>
          <t>yango</t>
        </is>
      </c>
      <c r="E511" s="40" t="inlineStr">
        <is>
          <t>yango-tunisia, yassir-tunisia</t>
        </is>
      </c>
      <c r="F511" s="41" t="n">
        <v>2</v>
      </c>
      <c r="G511" s="42" t="n">
        <v>11</v>
      </c>
      <c r="H511" s="35" t="n"/>
      <c r="I511" s="43" t="n"/>
      <c r="J511" s="43" t="n"/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1750000</v>
      </c>
      <c r="AK511" s="43" t="n"/>
      <c r="AL511" s="43" t="n"/>
      <c r="AM511" s="50" t="n">
        <v>0.1</v>
      </c>
      <c r="AN511" s="45">
        <f>IF(AJ511="","",AJ511*AM511)</f>
        <v/>
      </c>
      <c r="AO511" s="45">
        <f>IF(OR(AJ511="",U511=0),"",MIN(IF(AW511="",9.9E+99,AW511),FLOOR(AN511/U511,1)))</f>
        <v/>
      </c>
      <c r="AP511" s="49">
        <f>IF(AO511="","",AO511*W511)</f>
        <v/>
      </c>
      <c r="AQ511" s="47">
        <f>IF(OR(AJ511="",U511=0),"",MIN(IF(AW511="",9.9E+99,AW511),AN511/U511))</f>
        <v/>
      </c>
      <c r="AR511" s="49">
        <f>IF(AQ511="","",AQ511*W511)</f>
        <v/>
      </c>
      <c r="AS511" s="51" t="n"/>
      <c r="AT511" s="43" t="inlineStr">
        <is>
          <t>Estimated</t>
        </is>
      </c>
      <c r="AU511" s="52" t="n"/>
      <c r="AV511" s="52" t="n"/>
      <c r="AW511" s="53" t="n"/>
      <c r="AX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Y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Z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BA511" s="40" t="n"/>
      <c r="BB511" s="40" t="n"/>
    </row>
    <row r="512">
      <c r="A512" s="38" t="inlineStr">
        <is>
          <t>Yango Tunisia</t>
        </is>
      </c>
      <c r="B512" s="38" t="inlineStr">
        <is>
          <t>Tunisia</t>
        </is>
      </c>
      <c r="C512" s="39" t="inlineStr">
        <is>
          <t>Sousse (Port El Kantaoui) → Monastir (Marina)</t>
        </is>
      </c>
      <c r="D512" s="38" t="inlineStr">
        <is>
          <t>yango</t>
        </is>
      </c>
      <c r="E512" s="40" t="inlineStr">
        <is>
          <t>yango-tunisia, yassir-tunisia</t>
        </is>
      </c>
      <c r="F512" s="41" t="n">
        <v>2</v>
      </c>
      <c r="G512" s="42" t="n">
        <v>12</v>
      </c>
      <c r="H512" s="35" t="n">
        <v>32</v>
      </c>
      <c r="I512" s="43" t="inlineStr">
        <is>
          <t>T2</t>
        </is>
      </c>
      <c r="J512" s="43" t="inlineStr">
        <is>
          <t>med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MIN(24,FLOOR(60*service_hr/M512,1))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344000</v>
      </c>
      <c r="AK512" s="43" t="n"/>
      <c r="AL512" s="43" t="n"/>
      <c r="AM512" s="50" t="n">
        <v>0.1</v>
      </c>
      <c r="AN512" s="45">
        <f>IF(AJ512="","",AJ512*AM512)</f>
        <v/>
      </c>
      <c r="AO512" s="45">
        <f>IF(OR(AJ512="",U512=0),"",MIN(IF(AW512="",9.9E+99,AW512),FLOOR(AN512/U512,1)))</f>
        <v/>
      </c>
      <c r="AP512" s="49">
        <f>IF(AO512="","",AO512*W512)</f>
        <v/>
      </c>
      <c r="AQ512" s="47">
        <f>IF(OR(AJ512="",U512=0),"",MIN(IF(AW512="",9.9E+99,AW512),AN512/U512))</f>
        <v/>
      </c>
      <c r="AR512" s="49">
        <f>IF(AQ512="","",AQ512*W512)</f>
        <v/>
      </c>
      <c r="AS512" s="51" t="n"/>
      <c r="AT512" s="43" t="inlineStr">
        <is>
          <t>Grounded</t>
        </is>
      </c>
      <c r="AU512" s="52" t="n"/>
      <c r="AV512" s="52" t="n"/>
      <c r="AW512" s="53" t="n"/>
      <c r="AX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Y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Z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BA512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B512" s="40" t="n"/>
    </row>
    <row r="513">
      <c r="A513" s="38" t="inlineStr">
        <is>
          <t>Caribbean Mobility</t>
        </is>
      </c>
      <c r="B513" s="38" t="inlineStr">
        <is>
          <t>U.S. Virgin Islands</t>
        </is>
      </c>
      <c r="C513" s="39" t="inlineStr">
        <is>
          <t>Red Hook Ferry Terminal, St. Thomas → Cruz Bay Ferry Dock, St. John</t>
        </is>
      </c>
      <c r="D513" s="38" t="inlineStr">
        <is>
          <t>caribbean-mobility</t>
        </is>
      </c>
      <c r="E513" s="40" t="inlineStr">
        <is>
          <t>caribbean-mobility</t>
        </is>
      </c>
      <c r="F513" s="41" t="n">
        <v>1</v>
      </c>
      <c r="G513" s="42" t="n">
        <v>3.11</v>
      </c>
      <c r="H513" s="35" t="n">
        <v>16</v>
      </c>
      <c r="I513" s="43" t="n"/>
      <c r="J513" s="43" t="n"/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36000</v>
      </c>
      <c r="AK513" s="43" t="n"/>
      <c r="AL513" s="43" t="n"/>
      <c r="AM513" s="50" t="n">
        <v>0.1</v>
      </c>
      <c r="AN513" s="45">
        <f>IF(AJ513="","",AJ513*AM513)</f>
        <v/>
      </c>
      <c r="AO513" s="45">
        <f>IF(OR(AJ513="",U513=0),"",MIN(IF(AW513="",9.9E+99,AW513),FLOOR(AN513/U513,1)))</f>
        <v/>
      </c>
      <c r="AP513" s="49">
        <f>IF(AO513="","",AO513*W513)</f>
        <v/>
      </c>
      <c r="AQ513" s="47">
        <f>IF(OR(AJ513="",U513=0),"",MIN(IF(AW513="",9.9E+99,AW513),AN513/U513))</f>
        <v/>
      </c>
      <c r="AR513" s="49">
        <f>IF(AQ513="","",AQ513*W513)</f>
        <v/>
      </c>
      <c r="AS513" s="51" t="n"/>
      <c r="AT513" s="43" t="inlineStr">
        <is>
          <t>Estimated</t>
        </is>
      </c>
      <c r="AU513" s="52" t="n"/>
      <c r="AV513" s="52" t="n"/>
      <c r="AW513" s="53" t="n"/>
      <c r="AX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Y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Z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BA513" s="40" t="n"/>
      <c r="BB513" s="40" t="n"/>
    </row>
    <row r="514">
      <c r="A514" s="38" t="inlineStr">
        <is>
          <t>Gulf Authority Rakta</t>
        </is>
      </c>
      <c r="B514" s="38" t="inlineStr">
        <is>
          <t>United Arab Emirates</t>
        </is>
      </c>
      <c r="C514" s="39" t="inlineStr">
        <is>
          <t>Al Marjan Island public arrival marina → Rixos Bab Al Bahr beach jetty</t>
        </is>
      </c>
      <c r="D514" s="38" t="inlineStr">
        <is>
          <t>rakta</t>
        </is>
      </c>
      <c r="E514" s="40" t="inlineStr">
        <is>
          <t>gulf-authority-bahrain-motc, gulf-authority-rakta</t>
        </is>
      </c>
      <c r="F514" s="41" t="n">
        <v>2</v>
      </c>
      <c r="G514" s="42" t="n">
        <v>0.2</v>
      </c>
      <c r="H514" s="35" t="n">
        <v>35</v>
      </c>
      <c r="I514" s="43" t="inlineStr">
        <is>
          <t>T3</t>
        </is>
      </c>
      <c r="J514" s="43" t="inlineStr">
        <is>
          <t>med-low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5217</v>
      </c>
      <c r="AK514" s="43" t="inlineStr">
        <is>
          <t>T3</t>
        </is>
      </c>
      <c r="AL514" s="43" t="inlineStr">
        <is>
          <t>med-low</t>
        </is>
      </c>
      <c r="AM514" s="50" t="n">
        <v>0.1</v>
      </c>
      <c r="AN514" s="45">
        <f>IF(AJ514="","",AJ514*AM514)</f>
        <v/>
      </c>
      <c r="AO514" s="45">
        <f>IF(OR(AJ514="",U514=0),"",MIN(IF(AW514="",9.9E+99,AW514),FLOOR(AN514/U514,1)))</f>
        <v/>
      </c>
      <c r="AP514" s="49">
        <f>IF(AO514="","",AO514*W514)</f>
        <v/>
      </c>
      <c r="AQ514" s="47">
        <f>IF(OR(AJ514="",U514=0),"",MIN(IF(AW514="",9.9E+99,AW514),AN514/U514))</f>
        <v/>
      </c>
      <c r="AR514" s="49">
        <f>IF(AQ514="","",AQ514*W514)</f>
        <v/>
      </c>
      <c r="AS514" s="51" t="n"/>
      <c r="AT514" s="43" t="inlineStr">
        <is>
          <t>Grounded</t>
        </is>
      </c>
      <c r="AU514" s="52" t="n"/>
      <c r="AV514" s="52" t="n"/>
      <c r="AW514" s="53" t="n"/>
      <c r="AX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Y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Z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BA514" s="40" t="n"/>
      <c r="BB514" s="40" t="n"/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Marjan Island Resort &amp; Spa beach jetty → Hampton by Hilton Marjan Island beach landing</t>
        </is>
      </c>
      <c r="D515" s="38" t="inlineStr">
        <is>
          <t>rakta</t>
        </is>
      </c>
      <c r="E515" s="40" t="inlineStr">
        <is>
          <t>gulf-authority-bahrain-motc, gulf-authority-rakta</t>
        </is>
      </c>
      <c r="F515" s="41" t="n">
        <v>2</v>
      </c>
      <c r="G515" s="42" t="n">
        <v>0.4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IF(OR(AJ515="",U515=0),"",MIN(IF(AW515="",9.9E+99,AW515),FLOOR(AN515/U515,1)))</f>
        <v/>
      </c>
      <c r="AP515" s="49">
        <f>IF(AO515="","",AO515*W515)</f>
        <v/>
      </c>
      <c r="AQ515" s="47">
        <f>IF(OR(AJ515="",U515=0),"",MIN(IF(AW515="",9.9E+99,AW515),AN515/U515))</f>
        <v/>
      </c>
      <c r="AR515" s="49">
        <f>IF(AQ515="","",AQ515*W515)</f>
        <v/>
      </c>
      <c r="AS515" s="51" t="n"/>
      <c r="AT515" s="43" t="inlineStr">
        <is>
          <t>Grounded</t>
        </is>
      </c>
      <c r="AU515" s="52" t="n"/>
      <c r="AV515" s="52" t="n"/>
      <c r="AW515" s="53" t="n"/>
      <c r="AX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Y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Z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BA515" s="40" t="n"/>
      <c r="BB515" s="40" t="n"/>
    </row>
    <row r="516">
      <c r="A516" s="38" t="inlineStr">
        <is>
          <t>Gulf Authority Rakta</t>
        </is>
      </c>
      <c r="B516" s="38" t="inlineStr">
        <is>
          <t>United Arab Emirates</t>
        </is>
      </c>
      <c r="C516" s="39" t="inlineStr">
        <is>
          <t>Ras Al Khaimah Harbour → RAK Corniche public pier</t>
        </is>
      </c>
      <c r="D516" s="38" t="inlineStr">
        <is>
          <t>rakta</t>
        </is>
      </c>
      <c r="E516" s="40" t="inlineStr">
        <is>
          <t>gulf-authority-bahrain-motc, gulf-authority-rakta</t>
        </is>
      </c>
      <c r="F516" s="41" t="n">
        <v>2</v>
      </c>
      <c r="G516" s="42" t="n">
        <v>0.4</v>
      </c>
      <c r="H516" s="35" t="n">
        <v>35</v>
      </c>
      <c r="I516" s="43" t="inlineStr">
        <is>
          <t>T3</t>
        </is>
      </c>
      <c r="J516" s="43" t="inlineStr">
        <is>
          <t>med-low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5217</v>
      </c>
      <c r="AK516" s="43" t="inlineStr">
        <is>
          <t>T3</t>
        </is>
      </c>
      <c r="AL516" s="43" t="inlineStr">
        <is>
          <t>med-low</t>
        </is>
      </c>
      <c r="AM516" s="50" t="n">
        <v>0.1</v>
      </c>
      <c r="AN516" s="45">
        <f>IF(AJ516="","",AJ516*AM516)</f>
        <v/>
      </c>
      <c r="AO516" s="45">
        <f>IF(OR(AJ516="",U516=0),"",MIN(IF(AW516="",9.9E+99,AW516),FLOOR(AN516/U516,1)))</f>
        <v/>
      </c>
      <c r="AP516" s="49">
        <f>IF(AO516="","",AO516*W516)</f>
        <v/>
      </c>
      <c r="AQ516" s="47">
        <f>IF(OR(AJ516="",U516=0),"",MIN(IF(AW516="",9.9E+99,AW516),AN516/U516))</f>
        <v/>
      </c>
      <c r="AR516" s="49">
        <f>IF(AQ516="","",AQ516*W516)</f>
        <v/>
      </c>
      <c r="AS516" s="51" t="n"/>
      <c r="AT516" s="43" t="inlineStr">
        <is>
          <t>Grounded</t>
        </is>
      </c>
      <c r="AU516" s="52" t="n"/>
      <c r="AV516" s="52" t="n"/>
      <c r="AW516" s="53" t="n"/>
      <c r="AX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Y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Z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BA516" s="40" t="n"/>
      <c r="BB516" s="40" t="n"/>
    </row>
    <row r="517">
      <c r="A517" s="38" t="inlineStr">
        <is>
          <t>UAE (Careem)</t>
        </is>
      </c>
      <c r="B517" s="38" t="inlineStr">
        <is>
          <t>United Arab Emirates</t>
        </is>
      </c>
      <c r="C517" s="39" t="inlineStr">
        <is>
          <t>One&amp;Only The Palm Jetty → Jumeirah Zabeel Saray Jetty</t>
        </is>
      </c>
      <c r="D517" s="38" t="inlineStr">
        <is>
          <t>careem</t>
        </is>
      </c>
      <c r="E517" s="40" t="inlineStr">
        <is>
          <t>bolt-uae, uae-careem, uae-luxury, uae-noon, yango-uae</t>
        </is>
      </c>
      <c r="F517" s="41" t="n">
        <v>5</v>
      </c>
      <c r="G517" s="42" t="n">
        <v>0.5</v>
      </c>
      <c r="H517" s="35" t="n">
        <v>130</v>
      </c>
      <c r="I517" s="43" t="inlineStr">
        <is>
          <t>T5</t>
        </is>
      </c>
      <c r="J517" s="43" t="inlineStr">
        <is>
          <t>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25000</v>
      </c>
      <c r="AK517" s="43" t="inlineStr">
        <is>
          <t>T3</t>
        </is>
      </c>
      <c r="AL517" s="43" t="inlineStr">
        <is>
          <t>low</t>
        </is>
      </c>
      <c r="AM517" s="50" t="n">
        <v>0.1</v>
      </c>
      <c r="AN517" s="45">
        <f>IF(AJ517="","",AJ517*AM517)</f>
        <v/>
      </c>
      <c r="AO517" s="45">
        <f>IF(OR(AJ517="",U517=0),"",MIN(IF(AW517="",9.9E+99,AW517),FLOOR(AN517/U517,1)))</f>
        <v/>
      </c>
      <c r="AP517" s="49">
        <f>IF(AO517="","",AO517*W517)</f>
        <v/>
      </c>
      <c r="AQ517" s="47">
        <f>IF(OR(AJ517="",U517=0),"",MIN(IF(AW517="",9.9E+99,AW517),AN517/U517))</f>
        <v/>
      </c>
      <c r="AR517" s="49">
        <f>IF(AQ517="","",AQ517*W517)</f>
        <v/>
      </c>
      <c r="AS517" s="51" t="n"/>
      <c r="AT517" s="43" t="inlineStr">
        <is>
          <t>Grounded</t>
        </is>
      </c>
      <c r="AU517" s="52" t="n"/>
      <c r="AV517" s="52" t="n"/>
      <c r="AW517" s="53" t="n"/>
      <c r="AX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Y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Z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BA517" s="40" t="inlineStr">
        <is>
          <t>Palm ultra-lux cluster (One&amp;Only&lt;-&gt;Zabeel Saray). Road-served. T5/low.</t>
        </is>
      </c>
      <c r="BB51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8">
      <c r="A518" s="38" t="inlineStr">
        <is>
          <t>Gulf Authority Rakta</t>
        </is>
      </c>
      <c r="B518" s="38" t="inlineStr">
        <is>
          <t>United Arab Emirates</t>
        </is>
      </c>
      <c r="C518" s="39" t="inlineStr">
        <is>
          <t>Anantara Mina Al Arab Ras Al Khaimah Resort jetty → InterContinental Ras Al Khaimah Mina Al Arab Resort &amp; Spa jetty</t>
        </is>
      </c>
      <c r="D518" s="38" t="inlineStr">
        <is>
          <t>rakta</t>
        </is>
      </c>
      <c r="E518" s="40" t="inlineStr">
        <is>
          <t>gulf-authority-bahrain-motc, gulf-authority-rakta</t>
        </is>
      </c>
      <c r="F518" s="41" t="n">
        <v>2</v>
      </c>
      <c r="G518" s="42" t="n">
        <v>0.6</v>
      </c>
      <c r="H518" s="35" t="n">
        <v>35</v>
      </c>
      <c r="I518" s="43" t="inlineStr">
        <is>
          <t>T3</t>
        </is>
      </c>
      <c r="J518" s="43" t="inlineStr">
        <is>
          <t>med-low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5217</v>
      </c>
      <c r="AK518" s="43" t="inlineStr">
        <is>
          <t>T3</t>
        </is>
      </c>
      <c r="AL518" s="43" t="inlineStr">
        <is>
          <t>med-low</t>
        </is>
      </c>
      <c r="AM518" s="50" t="n">
        <v>0.1</v>
      </c>
      <c r="AN518" s="45">
        <f>IF(AJ518="","",AJ518*AM518)</f>
        <v/>
      </c>
      <c r="AO518" s="45">
        <f>IF(OR(AJ518="",U518=0),"",MIN(IF(AW518="",9.9E+99,AW518),FLOOR(AN518/U518,1)))</f>
        <v/>
      </c>
      <c r="AP518" s="49">
        <f>IF(AO518="","",AO518*W518)</f>
        <v/>
      </c>
      <c r="AQ518" s="47">
        <f>IF(OR(AJ518="",U518=0),"",MIN(IF(AW518="",9.9E+99,AW518),AN518/U518))</f>
        <v/>
      </c>
      <c r="AR518" s="49">
        <f>IF(AQ518="","",AQ518*W518)</f>
        <v/>
      </c>
      <c r="AS518" s="51" t="n"/>
      <c r="AT518" s="43" t="inlineStr">
        <is>
          <t>Grounded</t>
        </is>
      </c>
      <c r="AU518" s="52" t="n"/>
      <c r="AV518" s="52" t="n"/>
      <c r="AW518" s="53" t="n"/>
      <c r="AX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Y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Z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BA518" s="40" t="n"/>
      <c r="BB518" s="40" t="n"/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Wynn Al Marjan Island arrival lagoon → Marjan Island Resort &amp; Spa beach jetty</t>
        </is>
      </c>
      <c r="D519" s="38" t="inlineStr">
        <is>
          <t>rakta</t>
        </is>
      </c>
      <c r="E519" s="40" t="inlineStr">
        <is>
          <t>gulf-authority-bahrain-motc, gulf-authority-rakta</t>
        </is>
      </c>
      <c r="F519" s="41" t="n">
        <v>2</v>
      </c>
      <c r="G519" s="42" t="n">
        <v>0.6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IF(OR(AJ519="",U519=0),"",MIN(IF(AW519="",9.9E+99,AW519),FLOOR(AN519/U519,1)))</f>
        <v/>
      </c>
      <c r="AP519" s="49">
        <f>IF(AO519="","",AO519*W519)</f>
        <v/>
      </c>
      <c r="AQ519" s="47">
        <f>IF(OR(AJ519="",U519=0),"",MIN(IF(AW519="",9.9E+99,AW519),AN519/U519))</f>
        <v/>
      </c>
      <c r="AR519" s="49">
        <f>IF(AQ519="","",AQ519*W519)</f>
        <v/>
      </c>
      <c r="AS519" s="51" t="n"/>
      <c r="AT519" s="43" t="inlineStr">
        <is>
          <t>Grounded</t>
        </is>
      </c>
      <c r="AU519" s="52" t="n"/>
      <c r="AV519" s="52" t="n"/>
      <c r="AW519" s="53" t="n"/>
      <c r="AX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Y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Z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BA519" s="40" t="n"/>
      <c r="BB519" s="40" t="n"/>
    </row>
    <row r="520">
      <c r="A520" s="38" t="inlineStr">
        <is>
          <t>Gulf Authority Rakta</t>
        </is>
      </c>
      <c r="B520" s="38" t="inlineStr">
        <is>
          <t>United Arab Emirates</t>
        </is>
      </c>
      <c r="C520" s="39" t="inlineStr">
        <is>
          <t>Al Hamra Marina &amp; Royal Yacht Club RAK → Waldorf Astoria Ras Al Khaimah jetty</t>
        </is>
      </c>
      <c r="D520" s="38" t="inlineStr">
        <is>
          <t>rakta</t>
        </is>
      </c>
      <c r="E520" s="40" t="inlineStr">
        <is>
          <t>gulf-authority-bahrain-motc, gulf-authority-rakta</t>
        </is>
      </c>
      <c r="F520" s="41" t="n">
        <v>2</v>
      </c>
      <c r="G520" s="42" t="n">
        <v>0.7</v>
      </c>
      <c r="H520" s="35" t="n">
        <v>35</v>
      </c>
      <c r="I520" s="43" t="inlineStr">
        <is>
          <t>T3</t>
        </is>
      </c>
      <c r="J520" s="43" t="inlineStr">
        <is>
          <t>med-low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5217</v>
      </c>
      <c r="AK520" s="43" t="inlineStr">
        <is>
          <t>T3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IF(OR(AJ520="",U520=0),"",MIN(IF(AW520="",9.9E+99,AW520),FLOOR(AN520/U520,1)))</f>
        <v/>
      </c>
      <c r="AP520" s="49">
        <f>IF(AO520="","",AO520*W520)</f>
        <v/>
      </c>
      <c r="AQ520" s="47">
        <f>IF(OR(AJ520="",U520=0),"",MIN(IF(AW520="",9.9E+99,AW520),AN520/U520))</f>
        <v/>
      </c>
      <c r="AR520" s="49">
        <f>IF(AQ520="","",AQ520*W520)</f>
        <v/>
      </c>
      <c r="AS520" s="51" t="n"/>
      <c r="AT520" s="43" t="inlineStr">
        <is>
          <t>Grounded</t>
        </is>
      </c>
      <c r="AU520" s="52" t="n"/>
      <c r="AV520" s="52" t="n"/>
      <c r="AW520" s="53" t="n"/>
      <c r="AX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Y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Z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BA520" s="40" t="n"/>
      <c r="BB520" s="40" t="n"/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Al Marjan Island public arrival marina → Hampton by Hilton Marjan Island beach landing</t>
        </is>
      </c>
      <c r="D521" s="38" t="inlineStr">
        <is>
          <t>rakta</t>
        </is>
      </c>
      <c r="E521" s="40" t="inlineStr">
        <is>
          <t>gulf-authority-bahrain-motc, gulf-authority-rakta</t>
        </is>
      </c>
      <c r="F521" s="41" t="n">
        <v>2</v>
      </c>
      <c r="G521" s="42" t="n">
        <v>0.8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IF(OR(AJ521="",U521=0),"",MIN(IF(AW521="",9.9E+99,AW521),FLOOR(AN521/U521,1)))</f>
        <v/>
      </c>
      <c r="AP521" s="49">
        <f>IF(AO521="","",AO521*W521)</f>
        <v/>
      </c>
      <c r="AQ521" s="47">
        <f>IF(OR(AJ521="",U521=0),"",MIN(IF(AW521="",9.9E+99,AW521),AN521/U521))</f>
        <v/>
      </c>
      <c r="AR521" s="49">
        <f>IF(AQ521="","",AQ521*W521)</f>
        <v/>
      </c>
      <c r="AS521" s="51" t="n"/>
      <c r="AT521" s="43" t="inlineStr">
        <is>
          <t>Grounded</t>
        </is>
      </c>
      <c r="AU521" s="52" t="n"/>
      <c r="AV521" s="52" t="n"/>
      <c r="AW521" s="53" t="n"/>
      <c r="AX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Y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Z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BA521" s="40" t="n"/>
      <c r="BB521" s="40" t="n"/>
    </row>
    <row r="522">
      <c r="A522" s="38" t="inlineStr">
        <is>
          <t>Gulf Authority Rakta</t>
        </is>
      </c>
      <c r="B522" s="38" t="inlineStr">
        <is>
          <t>United Arab Emirates</t>
        </is>
      </c>
      <c r="C522" s="39" t="inlineStr">
        <is>
          <t>Anantara Mina Al Arab Ras Al Khaimah Resort jetty → Mina Al Arab marina / lagoon basin</t>
        </is>
      </c>
      <c r="D522" s="38" t="inlineStr">
        <is>
          <t>rakta</t>
        </is>
      </c>
      <c r="E522" s="40" t="inlineStr">
        <is>
          <t>gulf-authority-bahrain-motc, gulf-authority-rakta</t>
        </is>
      </c>
      <c r="F522" s="41" t="n">
        <v>2</v>
      </c>
      <c r="G522" s="42" t="n">
        <v>0.9</v>
      </c>
      <c r="H522" s="35" t="n">
        <v>35</v>
      </c>
      <c r="I522" s="43" t="inlineStr">
        <is>
          <t>T3</t>
        </is>
      </c>
      <c r="J522" s="43" t="inlineStr">
        <is>
          <t>med-low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5217</v>
      </c>
      <c r="AK522" s="43" t="inlineStr">
        <is>
          <t>T3</t>
        </is>
      </c>
      <c r="AL522" s="43" t="inlineStr">
        <is>
          <t>med-low</t>
        </is>
      </c>
      <c r="AM522" s="50" t="n">
        <v>0.1</v>
      </c>
      <c r="AN522" s="45">
        <f>IF(AJ522="","",AJ522*AM522)</f>
        <v/>
      </c>
      <c r="AO522" s="45">
        <f>IF(OR(AJ522="",U522=0),"",MIN(IF(AW522="",9.9E+99,AW522),FLOOR(AN522/U522,1)))</f>
        <v/>
      </c>
      <c r="AP522" s="49">
        <f>IF(AO522="","",AO522*W522)</f>
        <v/>
      </c>
      <c r="AQ522" s="47">
        <f>IF(OR(AJ522="",U522=0),"",MIN(IF(AW522="",9.9E+99,AW522),AN522/U522))</f>
        <v/>
      </c>
      <c r="AR522" s="49">
        <f>IF(AQ522="","",AQ522*W522)</f>
        <v/>
      </c>
      <c r="AS522" s="51" t="n"/>
      <c r="AT522" s="43" t="inlineStr">
        <is>
          <t>Grounded</t>
        </is>
      </c>
      <c r="AU522" s="52" t="n"/>
      <c r="AV522" s="52" t="n"/>
      <c r="AW522" s="53" t="n"/>
      <c r="AX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Y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Z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BA522" s="40" t="n"/>
      <c r="BB522" s="40" t="n"/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Mina Al Arab marina / lagoon basin → InterContinental Ras Al Khaimah Mina Al Arab Resort &amp; Spa jetty</t>
        </is>
      </c>
      <c r="D523" s="38" t="inlineStr">
        <is>
          <t>rakta</t>
        </is>
      </c>
      <c r="E523" s="40" t="inlineStr">
        <is>
          <t>gulf-authority-bahrain-motc, gulf-authority-rakta</t>
        </is>
      </c>
      <c r="F523" s="41" t="n">
        <v>2</v>
      </c>
      <c r="G523" s="42" t="n">
        <v>0.9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IF(OR(AJ523="",U523=0),"",MIN(IF(AW523="",9.9E+99,AW523),FLOOR(AN523/U523,1)))</f>
        <v/>
      </c>
      <c r="AP523" s="49">
        <f>IF(AO523="","",AO523*W523)</f>
        <v/>
      </c>
      <c r="AQ523" s="47">
        <f>IF(OR(AJ523="",U523=0),"",MIN(IF(AW523="",9.9E+99,AW523),AN523/U523))</f>
        <v/>
      </c>
      <c r="AR523" s="49">
        <f>IF(AQ523="","",AQ523*W523)</f>
        <v/>
      </c>
      <c r="AS523" s="51" t="n"/>
      <c r="AT523" s="43" t="inlineStr">
        <is>
          <t>Grounded</t>
        </is>
      </c>
      <c r="AU523" s="52" t="n"/>
      <c r="AV523" s="52" t="n"/>
      <c r="AW523" s="53" t="n"/>
      <c r="AX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Y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Z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BA523" s="40" t="n"/>
      <c r="BB523" s="40" t="n"/>
    </row>
    <row r="524">
      <c r="A524" s="38" t="inlineStr">
        <is>
          <t>Gulf Authority Rakta</t>
        </is>
      </c>
      <c r="B524" s="38" t="inlineStr">
        <is>
          <t>United Arab Emirates</t>
        </is>
      </c>
      <c r="C524" s="39" t="inlineStr">
        <is>
          <t>Rixos Bab Al Bahr beach jetty → Hampton by Hilton Marjan Island beach landing</t>
        </is>
      </c>
      <c r="D524" s="38" t="inlineStr">
        <is>
          <t>rakta</t>
        </is>
      </c>
      <c r="E524" s="40" t="inlineStr">
        <is>
          <t>gulf-authority-bahrain-motc, gulf-authority-rakta</t>
        </is>
      </c>
      <c r="F524" s="41" t="n">
        <v>2</v>
      </c>
      <c r="G524" s="42" t="n">
        <v>1</v>
      </c>
      <c r="H524" s="35" t="n">
        <v>35</v>
      </c>
      <c r="I524" s="43" t="inlineStr">
        <is>
          <t>T3</t>
        </is>
      </c>
      <c r="J524" s="43" t="inlineStr">
        <is>
          <t>med-low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5217</v>
      </c>
      <c r="AK524" s="43" t="inlineStr">
        <is>
          <t>T3</t>
        </is>
      </c>
      <c r="AL524" s="43" t="inlineStr">
        <is>
          <t>med-low</t>
        </is>
      </c>
      <c r="AM524" s="50" t="n">
        <v>0.1</v>
      </c>
      <c r="AN524" s="45">
        <f>IF(AJ524="","",AJ524*AM524)</f>
        <v/>
      </c>
      <c r="AO524" s="45">
        <f>IF(OR(AJ524="",U524=0),"",MIN(IF(AW524="",9.9E+99,AW524),FLOOR(AN524/U524,1)))</f>
        <v/>
      </c>
      <c r="AP524" s="49">
        <f>IF(AO524="","",AO524*W524)</f>
        <v/>
      </c>
      <c r="AQ524" s="47">
        <f>IF(OR(AJ524="",U524=0),"",MIN(IF(AW524="",9.9E+99,AW524),AN524/U524))</f>
        <v/>
      </c>
      <c r="AR524" s="49">
        <f>IF(AQ524="","",AQ524*W524)</f>
        <v/>
      </c>
      <c r="AS524" s="51" t="n"/>
      <c r="AT524" s="43" t="inlineStr">
        <is>
          <t>Grounded</t>
        </is>
      </c>
      <c r="AU524" s="52" t="n"/>
      <c r="AV524" s="52" t="n"/>
      <c r="AW524" s="53" t="n"/>
      <c r="AX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Y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Z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BA524" s="40" t="n"/>
      <c r="BB524" s="40" t="n"/>
    </row>
    <row r="525">
      <c r="A525" s="38" t="inlineStr">
        <is>
          <t>Gulf Authority Rakta</t>
        </is>
      </c>
      <c r="B525" s="38" t="inlineStr">
        <is>
          <t>United Arab Emirates</t>
        </is>
      </c>
      <c r="C525" s="39" t="inlineStr">
        <is>
          <t>Wynn Al Marjan Island arrival lagoon → Hampton by Hilton Marjan Island beach landing</t>
        </is>
      </c>
      <c r="D525" s="38" t="inlineStr">
        <is>
          <t>rakta</t>
        </is>
      </c>
      <c r="E525" s="40" t="inlineStr">
        <is>
          <t>gulf-authority-bahrain-motc, gulf-authority-rakta</t>
        </is>
      </c>
      <c r="F525" s="41" t="n">
        <v>2</v>
      </c>
      <c r="G525" s="42" t="n">
        <v>1</v>
      </c>
      <c r="H525" s="35" t="n">
        <v>35</v>
      </c>
      <c r="I525" s="43" t="inlineStr">
        <is>
          <t>T3</t>
        </is>
      </c>
      <c r="J525" s="43" t="inlineStr">
        <is>
          <t>med-low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5217</v>
      </c>
      <c r="AK525" s="43" t="inlineStr">
        <is>
          <t>T3</t>
        </is>
      </c>
      <c r="AL525" s="43" t="inlineStr">
        <is>
          <t>med-low</t>
        </is>
      </c>
      <c r="AM525" s="50" t="n">
        <v>0.1</v>
      </c>
      <c r="AN525" s="45">
        <f>IF(AJ525="","",AJ525*AM525)</f>
        <v/>
      </c>
      <c r="AO525" s="45">
        <f>IF(OR(AJ525="",U525=0),"",MIN(IF(AW525="",9.9E+99,AW525),FLOOR(AN525/U525,1)))</f>
        <v/>
      </c>
      <c r="AP525" s="49">
        <f>IF(AO525="","",AO525*W525)</f>
        <v/>
      </c>
      <c r="AQ525" s="47">
        <f>IF(OR(AJ525="",U525=0),"",MIN(IF(AW525="",9.9E+99,AW525),AN525/U525))</f>
        <v/>
      </c>
      <c r="AR525" s="49">
        <f>IF(AQ525="","",AQ525*W525)</f>
        <v/>
      </c>
      <c r="AS525" s="51" t="n"/>
      <c r="AT525" s="43" t="inlineStr">
        <is>
          <t>Grounded</t>
        </is>
      </c>
      <c r="AU525" s="52" t="n"/>
      <c r="AV525" s="52" t="n"/>
      <c r="AW525" s="53" t="n"/>
      <c r="AX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Y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Z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BA525" s="40" t="n"/>
      <c r="BB525" s="40" t="n"/>
    </row>
    <row r="526">
      <c r="A526" s="38" t="inlineStr">
        <is>
          <t>UAE (Careem)</t>
        </is>
      </c>
      <c r="B526" s="38" t="inlineStr">
        <is>
          <t>United Arab Emirates</t>
        </is>
      </c>
      <c r="C526" s="39" t="inlineStr">
        <is>
          <t>Dubai Harbour Marina → Bluewaters Marina</t>
        </is>
      </c>
      <c r="D526" s="38" t="inlineStr">
        <is>
          <t>careem</t>
        </is>
      </c>
      <c r="E526" s="40" t="inlineStr">
        <is>
          <t>bolt-uae, uae-careem, uae-luxury, uae-noon, yango-uae</t>
        </is>
      </c>
      <c r="F526" s="41" t="n">
        <v>5</v>
      </c>
      <c r="G526" s="42" t="n">
        <v>1.1</v>
      </c>
      <c r="H526" s="35" t="n">
        <v>45</v>
      </c>
      <c r="I526" s="43" t="inlineStr">
        <is>
          <t>T1</t>
        </is>
      </c>
      <c r="J526" s="43" t="inlineStr">
        <is>
          <t>high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200000</v>
      </c>
      <c r="AK526" s="43" t="inlineStr">
        <is>
          <t>T5</t>
        </is>
      </c>
      <c r="AL526" s="43" t="inlineStr">
        <is>
          <t>low</t>
        </is>
      </c>
      <c r="AM526" s="50" t="n">
        <v>0.1</v>
      </c>
      <c r="AN526" s="45">
        <f>IF(AJ526="","",AJ526*AM526)</f>
        <v/>
      </c>
      <c r="AO526" s="45">
        <f>IF(OR(AJ526="",U526=0),"",MIN(IF(AW526="",9.9E+99,AW526),FLOOR(AN526/U526,1)))</f>
        <v/>
      </c>
      <c r="AP526" s="49">
        <f>IF(AO526="","",AO526*W526)</f>
        <v/>
      </c>
      <c r="AQ526" s="47">
        <f>IF(OR(AJ526="",U526=0),"",MIN(IF(AW526="",9.9E+99,AW526),AN526/U526))</f>
        <v/>
      </c>
      <c r="AR526" s="49">
        <f>IF(AQ526="","",AQ526*W526)</f>
        <v/>
      </c>
      <c r="AS526" s="51" t="n"/>
      <c r="AT526" s="43" t="inlineStr">
        <is>
          <t>Grounded</t>
        </is>
      </c>
      <c r="AU526" s="52" t="n"/>
      <c r="AV526" s="52" t="n"/>
      <c r="AW526" s="53" t="n"/>
      <c r="AX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Y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Z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BA526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B526" s="40" t="inlineStr">
        <is>
          <t>RTA marine = 18.4M riders 2025 (WAM, T1); bulk are ~1km Creek abras (R3-ABRA, different micro-corridor). Premium non-abra modes a small fraction.</t>
        </is>
      </c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Ras Al Khaimah Harbour → Hilton Garden Inn Ras Al Khaimah (Corniche) jetty</t>
        </is>
      </c>
      <c r="D527" s="38" t="inlineStr">
        <is>
          <t>rakta</t>
        </is>
      </c>
      <c r="E527" s="40" t="inlineStr">
        <is>
          <t>gulf-authority-bahrain-motc, gulf-authority-rakta</t>
        </is>
      </c>
      <c r="F527" s="41" t="n">
        <v>2</v>
      </c>
      <c r="G527" s="42" t="n">
        <v>1.1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IF(OR(AJ527="",U527=0),"",MIN(IF(AW527="",9.9E+99,AW527),FLOOR(AN527/U527,1)))</f>
        <v/>
      </c>
      <c r="AP527" s="49">
        <f>IF(AO527="","",AO527*W527)</f>
        <v/>
      </c>
      <c r="AQ527" s="47">
        <f>IF(OR(AJ527="",U527=0),"",MIN(IF(AW527="",9.9E+99,AW527),AN527/U527))</f>
        <v/>
      </c>
      <c r="AR527" s="49">
        <f>IF(AQ527="","",AQ527*W527)</f>
        <v/>
      </c>
      <c r="AS527" s="51" t="n"/>
      <c r="AT527" s="43" t="inlineStr">
        <is>
          <t>Grounded</t>
        </is>
      </c>
      <c r="AU527" s="52" t="n"/>
      <c r="AV527" s="52" t="n"/>
      <c r="AW527" s="53" t="n"/>
      <c r="AX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Y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Z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BA527" s="40" t="n"/>
      <c r="BB527" s="40" t="n"/>
    </row>
    <row r="528">
      <c r="A528" s="38" t="inlineStr">
        <is>
          <t>UAE (Careem)</t>
        </is>
      </c>
      <c r="B528" s="38" t="inlineStr">
        <is>
          <t>United Arab Emirates</t>
        </is>
      </c>
      <c r="C528" s="39" t="inlineStr">
        <is>
          <t>Kempinski Hotel &amp; Residences Palm Jumeirah Jetty → Atlantis The Palm Jetty</t>
        </is>
      </c>
      <c r="D528" s="38" t="inlineStr">
        <is>
          <t>careem</t>
        </is>
      </c>
      <c r="E528" s="40" t="inlineStr">
        <is>
          <t>bolt-uae, uae-careem, uae-luxury, uae-noon, yango-uae</t>
        </is>
      </c>
      <c r="F528" s="41" t="n">
        <v>5</v>
      </c>
      <c r="G528" s="42" t="n">
        <v>1.2</v>
      </c>
      <c r="H528" s="35" t="n">
        <v>130</v>
      </c>
      <c r="I528" s="43" t="inlineStr">
        <is>
          <t>T5</t>
        </is>
      </c>
      <c r="J528" s="43" t="inlineStr">
        <is>
          <t>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30000</v>
      </c>
      <c r="AK528" s="43" t="inlineStr">
        <is>
          <t>T3</t>
        </is>
      </c>
      <c r="AL528" s="43" t="inlineStr">
        <is>
          <t>low</t>
        </is>
      </c>
      <c r="AM528" s="50" t="n">
        <v>0.1</v>
      </c>
      <c r="AN528" s="45">
        <f>IF(AJ528="","",AJ528*AM528)</f>
        <v/>
      </c>
      <c r="AO528" s="45">
        <f>IF(OR(AJ528="",U528=0),"",MIN(IF(AW528="",9.9E+99,AW528),FLOOR(AN528/U528,1)))</f>
        <v/>
      </c>
      <c r="AP528" s="49">
        <f>IF(AO528="","",AO528*W528)</f>
        <v/>
      </c>
      <c r="AQ528" s="47">
        <f>IF(OR(AJ528="",U528=0),"",MIN(IF(AW528="",9.9E+99,AW528),AN528/U528))</f>
        <v/>
      </c>
      <c r="AR528" s="49">
        <f>IF(AQ528="","",AQ528*W528)</f>
        <v/>
      </c>
      <c r="AS528" s="51" t="n"/>
      <c r="AT528" s="43" t="inlineStr">
        <is>
          <t>Grounded</t>
        </is>
      </c>
      <c r="AU528" s="52" t="n"/>
      <c r="AV528" s="52" t="n"/>
      <c r="AW528" s="53" t="n"/>
      <c r="AX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Y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Z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BA528" s="40" t="inlineStr">
        <is>
          <t>Palm resort cluster (Kempinski&lt;-&gt;Atlantis). Road-served. T5/low.</t>
        </is>
      </c>
      <c r="BB52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9">
      <c r="A529" s="38" t="inlineStr">
        <is>
          <t>UAE (Careem)</t>
        </is>
      </c>
      <c r="B529" s="38" t="inlineStr">
        <is>
          <t>United Arab Emirates</t>
        </is>
      </c>
      <c r="C529" s="39" t="inlineStr">
        <is>
          <t>La Mer / J1 Beach Jetty → Nikki Beach Resort Pearl Jumeirah Jetty</t>
        </is>
      </c>
      <c r="D529" s="38" t="inlineStr">
        <is>
          <t>careem</t>
        </is>
      </c>
      <c r="E529" s="40" t="inlineStr">
        <is>
          <t>bolt-uae, uae-careem, uae-luxury, uae-noon, yango-uae</t>
        </is>
      </c>
      <c r="F529" s="41" t="n">
        <v>5</v>
      </c>
      <c r="G529" s="42" t="n">
        <v>1.2</v>
      </c>
      <c r="H529" s="35" t="n">
        <v>110</v>
      </c>
      <c r="I529" s="43" t="inlineStr">
        <is>
          <t>T5</t>
        </is>
      </c>
      <c r="J529" s="43" t="inlineStr">
        <is>
          <t>low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25000</v>
      </c>
      <c r="AK529" s="43" t="inlineStr">
        <is>
          <t>T3</t>
        </is>
      </c>
      <c r="AL529" s="43" t="inlineStr">
        <is>
          <t>low</t>
        </is>
      </c>
      <c r="AM529" s="50" t="n">
        <v>0.1</v>
      </c>
      <c r="AN529" s="45">
        <f>IF(AJ529="","",AJ529*AM529)</f>
        <v/>
      </c>
      <c r="AO529" s="45">
        <f>IF(OR(AJ529="",U529=0),"",MIN(IF(AW529="",9.9E+99,AW529),FLOOR(AN529/U529,1)))</f>
        <v/>
      </c>
      <c r="AP529" s="49">
        <f>IF(AO529="","",AO529*W529)</f>
        <v/>
      </c>
      <c r="AQ529" s="47">
        <f>IF(OR(AJ529="",U529=0),"",MIN(IF(AW529="",9.9E+99,AW529),AN529/U529))</f>
        <v/>
      </c>
      <c r="AR529" s="49">
        <f>IF(AQ529="","",AQ529*W529)</f>
        <v/>
      </c>
      <c r="AS529" s="51" t="n"/>
      <c r="AT529" s="43" t="inlineStr">
        <is>
          <t>Grounded</t>
        </is>
      </c>
      <c r="AU529" s="52" t="n"/>
      <c r="AV529" s="52" t="n"/>
      <c r="AW529" s="53" t="n"/>
      <c r="AX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Y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Z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BA529" s="40" t="inlineStr">
        <is>
          <t>Urban Dubai beach-club leisure hop. Road-served. T5/low.</t>
        </is>
      </c>
      <c r="BB52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0">
      <c r="A530" s="38" t="inlineStr">
        <is>
          <t>Gulf Authority Rakta</t>
        </is>
      </c>
      <c r="B530" s="38" t="inlineStr">
        <is>
          <t>United Arab Emirates</t>
        </is>
      </c>
      <c r="C530" s="39" t="inlineStr">
        <is>
          <t>Bin Majid Beach Resort jetty → Acacia by Bin Majid jetty</t>
        </is>
      </c>
      <c r="D530" s="38" t="inlineStr">
        <is>
          <t>rakta</t>
        </is>
      </c>
      <c r="E530" s="40" t="inlineStr">
        <is>
          <t>gulf-authority-bahrain-motc, gulf-authority-rakta</t>
        </is>
      </c>
      <c r="F530" s="41" t="n">
        <v>2</v>
      </c>
      <c r="G530" s="42" t="n">
        <v>1.2</v>
      </c>
      <c r="H530" s="35" t="n">
        <v>35</v>
      </c>
      <c r="I530" s="43" t="inlineStr">
        <is>
          <t>T3</t>
        </is>
      </c>
      <c r="J530" s="43" t="inlineStr">
        <is>
          <t>med-low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5217</v>
      </c>
      <c r="AK530" s="43" t="inlineStr">
        <is>
          <t>T3</t>
        </is>
      </c>
      <c r="AL530" s="43" t="inlineStr">
        <is>
          <t>med-low</t>
        </is>
      </c>
      <c r="AM530" s="50" t="n">
        <v>0.1</v>
      </c>
      <c r="AN530" s="45">
        <f>IF(AJ530="","",AJ530*AM530)</f>
        <v/>
      </c>
      <c r="AO530" s="45">
        <f>IF(OR(AJ530="",U530=0),"",MIN(IF(AW530="",9.9E+99,AW530),FLOOR(AN530/U530,1)))</f>
        <v/>
      </c>
      <c r="AP530" s="49">
        <f>IF(AO530="","",AO530*W530)</f>
        <v/>
      </c>
      <c r="AQ530" s="47">
        <f>IF(OR(AJ530="",U530=0),"",MIN(IF(AW530="",9.9E+99,AW530),AN530/U530))</f>
        <v/>
      </c>
      <c r="AR530" s="49">
        <f>IF(AQ530="","",AQ530*W530)</f>
        <v/>
      </c>
      <c r="AS530" s="51" t="n"/>
      <c r="AT530" s="43" t="inlineStr">
        <is>
          <t>Grounded</t>
        </is>
      </c>
      <c r="AU530" s="52" t="n"/>
      <c r="AV530" s="52" t="n"/>
      <c r="AW530" s="53" t="n"/>
      <c r="AX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Y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Z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BA530" s="40" t="n"/>
      <c r="BB530" s="40" t="n"/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Hilton Garden Inn Ras Al Khaimah (Corniche) jetty → RAK Corniche public pier</t>
        </is>
      </c>
      <c r="D531" s="38" t="inlineStr">
        <is>
          <t>rakta</t>
        </is>
      </c>
      <c r="E531" s="40" t="inlineStr">
        <is>
          <t>gulf-authority-bahrain-motc, gulf-authority-rakta</t>
        </is>
      </c>
      <c r="F531" s="41" t="n">
        <v>2</v>
      </c>
      <c r="G531" s="42" t="n">
        <v>1.2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IF(OR(AJ531="",U531=0),"",MIN(IF(AW531="",9.9E+99,AW531),FLOOR(AN531/U531,1)))</f>
        <v/>
      </c>
      <c r="AP531" s="49">
        <f>IF(AO531="","",AO531*W531)</f>
        <v/>
      </c>
      <c r="AQ531" s="47">
        <f>IF(OR(AJ531="",U531=0),"",MIN(IF(AW531="",9.9E+99,AW531),AN531/U531))</f>
        <v/>
      </c>
      <c r="AR531" s="49">
        <f>IF(AQ531="","",AQ531*W531)</f>
        <v/>
      </c>
      <c r="AS531" s="51" t="n"/>
      <c r="AT531" s="43" t="inlineStr">
        <is>
          <t>Grounded</t>
        </is>
      </c>
      <c r="AU531" s="52" t="n"/>
      <c r="AV531" s="52" t="n"/>
      <c r="AW531" s="53" t="n"/>
      <c r="AX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Y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Z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BA531" s="40" t="n"/>
      <c r="BB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Palm Jumeirah Marina West → Atlantis The Palm Jetty</t>
        </is>
      </c>
      <c r="D532" s="38" t="inlineStr">
        <is>
          <t>careem</t>
        </is>
      </c>
      <c r="E532" s="40" t="inlineStr">
        <is>
          <t>bolt-uae, uae-careem, uae-luxury, uae-noon, yango-uae</t>
        </is>
      </c>
      <c r="F532" s="41" t="n">
        <v>5</v>
      </c>
      <c r="G532" s="42" t="n">
        <v>1.3</v>
      </c>
      <c r="H532" s="35" t="n">
        <v>150</v>
      </c>
      <c r="I532" s="43" t="inlineStr">
        <is>
          <t>T5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120000</v>
      </c>
      <c r="AK532" s="43" t="inlineStr">
        <is>
          <t>T2</t>
        </is>
      </c>
      <c r="AL532" s="43" t="inlineStr">
        <is>
          <t>medium</t>
        </is>
      </c>
      <c r="AM532" s="50" t="n">
        <v>0.1</v>
      </c>
      <c r="AN532" s="45">
        <f>IF(AJ532="","",AJ532*AM532)</f>
        <v/>
      </c>
      <c r="AO532" s="45">
        <f>IF(OR(AJ532="",U532=0),"",MIN(IF(AW532="",9.9E+99,AW532),FLOOR(AN532/U532,1)))</f>
        <v/>
      </c>
      <c r="AP532" s="49">
        <f>IF(AO532="","",AO532*W532)</f>
        <v/>
      </c>
      <c r="AQ532" s="47">
        <f>IF(OR(AJ532="",U532=0),"",MIN(IF(AW532="",9.9E+99,AW532),AN532/U532))</f>
        <v/>
      </c>
      <c r="AR532" s="49">
        <f>IF(AQ532="","",AQ532*W532)</f>
        <v/>
      </c>
      <c r="AS532" s="51" t="n"/>
      <c r="AT532" s="43" t="inlineStr">
        <is>
          <t>Grounded</t>
        </is>
      </c>
      <c r="AU532" s="52" t="n"/>
      <c r="AV532" s="52" t="n"/>
      <c r="AW532" s="53" t="n"/>
      <c r="AX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Y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Z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BA532" s="40" t="inlineStr">
        <is>
          <t>Atlantis The Palm (1,544 rooms) road-served; premium marine arrival opportunity-to-create. T5/low.</t>
        </is>
      </c>
      <c r="BB53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33">
      <c r="A533" s="38" t="inlineStr">
        <is>
          <t>UAE (Careem)</t>
        </is>
      </c>
      <c r="B533" s="38" t="inlineStr">
        <is>
          <t>United Arab Emirates</t>
        </is>
      </c>
      <c r="C533" s="39" t="inlineStr">
        <is>
          <t>Dubai Creek Marina → Al Seef Marine Transport Station</t>
        </is>
      </c>
      <c r="D533" s="38" t="inlineStr">
        <is>
          <t>careem</t>
        </is>
      </c>
      <c r="E533" s="40" t="inlineStr">
        <is>
          <t>bolt-uae, uae-careem, uae-luxury, uae-noon, yango-uae</t>
        </is>
      </c>
      <c r="F533" s="41" t="n">
        <v>5</v>
      </c>
      <c r="G533" s="42" t="n">
        <v>1.5</v>
      </c>
      <c r="H533" s="35" t="n">
        <v>41</v>
      </c>
      <c r="I533" s="43" t="inlineStr">
        <is>
          <t>T1</t>
        </is>
      </c>
      <c r="J533" s="43" t="inlineStr">
        <is>
          <t>high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120000</v>
      </c>
      <c r="AK533" s="43" t="inlineStr">
        <is>
          <t>T5</t>
        </is>
      </c>
      <c r="AL533" s="43" t="inlineStr">
        <is>
          <t>low</t>
        </is>
      </c>
      <c r="AM533" s="50" t="n">
        <v>0.1</v>
      </c>
      <c r="AN533" s="45">
        <f>IF(AJ533="","",AJ533*AM533)</f>
        <v/>
      </c>
      <c r="AO533" s="45">
        <f>IF(OR(AJ533="",U533=0),"",MIN(IF(AW533="",9.9E+99,AW533),FLOOR(AN533/U533,1)))</f>
        <v/>
      </c>
      <c r="AP533" s="49">
        <f>IF(AO533="","",AO533*W533)</f>
        <v/>
      </c>
      <c r="AQ533" s="47">
        <f>IF(OR(AJ533="",U533=0),"",MIN(IF(AW533="",9.9E+99,AW533),AN533/U533))</f>
        <v/>
      </c>
      <c r="AR533" s="49">
        <f>IF(AQ533="","",AQ533*W533)</f>
        <v/>
      </c>
      <c r="AS533" s="51" t="n"/>
      <c r="AT533" s="43" t="inlineStr">
        <is>
          <t>Grounded</t>
        </is>
      </c>
      <c r="AU533" s="52" t="n"/>
      <c r="AV533" s="52" t="n"/>
      <c r="AW533" s="53" t="n"/>
      <c r="AX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Y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Z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BA533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B533" s="40" t="inlineStr">
        <is>
          <t>18.4M RTA marine is ~all sub-1km abras (R3-ABRA); premium water-taxi/ferry tier is a small fraction.</t>
        </is>
      </c>
    </row>
    <row r="534">
      <c r="A534" s="38" t="inlineStr">
        <is>
          <t>UAE (Careem)</t>
        </is>
      </c>
      <c r="B534" s="38" t="inlineStr">
        <is>
          <t>United Arab Emirates</t>
        </is>
      </c>
      <c r="C534" s="39" t="inlineStr">
        <is>
          <t>Yacht Marina → The Westin Dubai Mina Seyahi Beach Resort &amp; Marina</t>
        </is>
      </c>
      <c r="D534" s="38" t="inlineStr">
        <is>
          <t>careem</t>
        </is>
      </c>
      <c r="E534" s="40" t="inlineStr">
        <is>
          <t>bolt-uae, uae-careem, uae-luxury, uae-noon, yango-uae</t>
        </is>
      </c>
      <c r="F534" s="41" t="n">
        <v>5</v>
      </c>
      <c r="G534" s="42" t="n">
        <v>1.5</v>
      </c>
      <c r="H534" s="35" t="n">
        <v>95</v>
      </c>
      <c r="I534" s="43" t="inlineStr">
        <is>
          <t>T4</t>
        </is>
      </c>
      <c r="J534" s="43" t="inlineStr">
        <is>
          <t>low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25000</v>
      </c>
      <c r="AK534" s="43" t="inlineStr">
        <is>
          <t>T3</t>
        </is>
      </c>
      <c r="AL534" s="43" t="inlineStr">
        <is>
          <t>low</t>
        </is>
      </c>
      <c r="AM534" s="50" t="n">
        <v>0.1</v>
      </c>
      <c r="AN534" s="45">
        <f>IF(AJ534="","",AJ534*AM534)</f>
        <v/>
      </c>
      <c r="AO534" s="45">
        <f>IF(OR(AJ534="",U534=0),"",MIN(IF(AW534="",9.9E+99,AW534),FLOOR(AN534/U534,1)))</f>
        <v/>
      </c>
      <c r="AP534" s="49">
        <f>IF(AO534="","",AO534*W534)</f>
        <v/>
      </c>
      <c r="AQ534" s="47">
        <f>IF(OR(AJ534="",U534=0),"",MIN(IF(AW534="",9.9E+99,AW534),AN534/U534))</f>
        <v/>
      </c>
      <c r="AR534" s="49">
        <f>IF(AQ534="","",AQ534*W534)</f>
        <v/>
      </c>
      <c r="AS534" s="51" t="n"/>
      <c r="AT534" s="43" t="inlineStr">
        <is>
          <t>Grounded</t>
        </is>
      </c>
      <c r="AU534" s="52" t="n"/>
      <c r="AV534" s="52" t="n"/>
      <c r="AW534" s="53" t="n"/>
      <c r="AX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Y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Z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BA534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B53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5">
      <c r="A535" s="38" t="inlineStr">
        <is>
          <t>Gulf Authority Rakta</t>
        </is>
      </c>
      <c r="B535" s="38" t="inlineStr">
        <is>
          <t>United Arab Emirates</t>
        </is>
      </c>
      <c r="C535" s="39" t="inlineStr">
        <is>
          <t>Al Zorah Marina 1 → Ajman Marina</t>
        </is>
      </c>
      <c r="D535" s="38" t="inlineStr">
        <is>
          <t>rakta</t>
        </is>
      </c>
      <c r="E535" s="40" t="inlineStr">
        <is>
          <t>gulf-authority-bahrain-motc, gulf-authority-rakta</t>
        </is>
      </c>
      <c r="F535" s="41" t="n">
        <v>2</v>
      </c>
      <c r="G535" s="42" t="n">
        <v>1.6</v>
      </c>
      <c r="H535" s="35" t="n">
        <v>35</v>
      </c>
      <c r="I535" s="43" t="inlineStr">
        <is>
          <t>T3</t>
        </is>
      </c>
      <c r="J535" s="43" t="inlineStr">
        <is>
          <t>med-low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5217</v>
      </c>
      <c r="AK535" s="43" t="inlineStr">
        <is>
          <t>T3</t>
        </is>
      </c>
      <c r="AL535" s="43" t="inlineStr">
        <is>
          <t>med-low</t>
        </is>
      </c>
      <c r="AM535" s="50" t="n">
        <v>0.1</v>
      </c>
      <c r="AN535" s="45">
        <f>IF(AJ535="","",AJ535*AM535)</f>
        <v/>
      </c>
      <c r="AO535" s="45">
        <f>IF(OR(AJ535="",U535=0),"",MIN(IF(AW535="",9.9E+99,AW535),FLOOR(AN535/U535,1)))</f>
        <v/>
      </c>
      <c r="AP535" s="49">
        <f>IF(AO535="","",AO535*W535)</f>
        <v/>
      </c>
      <c r="AQ535" s="47">
        <f>IF(OR(AJ535="",U535=0),"",MIN(IF(AW535="",9.9E+99,AW535),AN535/U535))</f>
        <v/>
      </c>
      <c r="AR535" s="49">
        <f>IF(AQ535="","",AQ535*W535)</f>
        <v/>
      </c>
      <c r="AS535" s="51" t="n"/>
      <c r="AT535" s="43" t="inlineStr">
        <is>
          <t>Grounded</t>
        </is>
      </c>
      <c r="AU535" s="52" t="n"/>
      <c r="AV535" s="52" t="n"/>
      <c r="AW535" s="53" t="n"/>
      <c r="AX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Y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Z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BA535" s="40" t="n"/>
      <c r="BB535" s="40" t="n"/>
    </row>
    <row r="536">
      <c r="A536" s="38" t="inlineStr">
        <is>
          <t>UAE (Careem)</t>
        </is>
      </c>
      <c r="B536" s="38" t="inlineStr">
        <is>
          <t>United Arab Emirates</t>
        </is>
      </c>
      <c r="C536" s="39" t="inlineStr">
        <is>
          <t>Marina Mall / Breakwater Marina → Lulu Island Jetty</t>
        </is>
      </c>
      <c r="D536" s="38" t="inlineStr">
        <is>
          <t>careem</t>
        </is>
      </c>
      <c r="E536" s="40" t="inlineStr">
        <is>
          <t>bolt-uae, uae-careem, uae-luxury, uae-noon, yango-uae</t>
        </is>
      </c>
      <c r="F536" s="41" t="n">
        <v>5</v>
      </c>
      <c r="G536" s="42" t="n">
        <v>1.7</v>
      </c>
      <c r="H536" s="35" t="n">
        <v>45</v>
      </c>
      <c r="I536" s="43" t="inlineStr">
        <is>
          <t>T4</t>
        </is>
      </c>
      <c r="J536" s="43" t="inlineStr">
        <is>
          <t>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20000</v>
      </c>
      <c r="AK536" s="43" t="inlineStr">
        <is>
          <t>T5</t>
        </is>
      </c>
      <c r="AL536" s="43" t="inlineStr">
        <is>
          <t>low</t>
        </is>
      </c>
      <c r="AM536" s="50" t="n">
        <v>0.1</v>
      </c>
      <c r="AN536" s="45">
        <f>IF(AJ536="","",AJ536*AM536)</f>
        <v/>
      </c>
      <c r="AO536" s="45">
        <f>IF(OR(AJ536="",U536=0),"",MIN(IF(AW536="",9.9E+99,AW536),FLOOR(AN536/U536,1)))</f>
        <v/>
      </c>
      <c r="AP536" s="49">
        <f>IF(AO536="","",AO536*W536)</f>
        <v/>
      </c>
      <c r="AQ536" s="47">
        <f>IF(OR(AJ536="",U536=0),"",MIN(IF(AW536="",9.9E+99,AW536),AN536/U536))</f>
        <v/>
      </c>
      <c r="AR536" s="49">
        <f>IF(AQ536="","",AQ536*W536)</f>
        <v/>
      </c>
      <c r="AS536" s="51" t="n"/>
      <c r="AT536" s="43" t="inlineStr">
        <is>
          <t>Grounded</t>
        </is>
      </c>
      <c r="AU536" s="52" t="n"/>
      <c r="AV536" s="52" t="n"/>
      <c r="AW536" s="53" t="n"/>
      <c r="AX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Y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Z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BA536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B536" s="40" t="inlineStr">
        <is>
          <t>Lulu boat-only (R3-EXCEPTION) but undeveloped/limited-access -&gt; small day-visit pool.</t>
        </is>
      </c>
    </row>
    <row r="537">
      <c r="A537" s="38" t="inlineStr">
        <is>
          <t>Gulf Authority Rakta</t>
        </is>
      </c>
      <c r="B537" s="38" t="inlineStr">
        <is>
          <t>United Arab Emirates</t>
        </is>
      </c>
      <c r="C537" s="39" t="inlineStr">
        <is>
          <t>Raksa → Ras Al Khaimah Harbour</t>
        </is>
      </c>
      <c r="D537" s="38" t="inlineStr">
        <is>
          <t>rakta</t>
        </is>
      </c>
      <c r="E537" s="40" t="inlineStr">
        <is>
          <t>gulf-authority-bahrain-motc, gulf-authority-rakta</t>
        </is>
      </c>
      <c r="F537" s="41" t="n">
        <v>2</v>
      </c>
      <c r="G537" s="42" t="n">
        <v>1.9</v>
      </c>
      <c r="H537" s="35" t="n">
        <v>35</v>
      </c>
      <c r="I537" s="43" t="inlineStr">
        <is>
          <t>T3</t>
        </is>
      </c>
      <c r="J537" s="43" t="inlineStr">
        <is>
          <t>med-low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5217</v>
      </c>
      <c r="AK537" s="43" t="inlineStr">
        <is>
          <t>T3</t>
        </is>
      </c>
      <c r="AL537" s="43" t="inlineStr">
        <is>
          <t>med-low</t>
        </is>
      </c>
      <c r="AM537" s="50" t="n">
        <v>0.1</v>
      </c>
      <c r="AN537" s="45">
        <f>IF(AJ537="","",AJ537*AM537)</f>
        <v/>
      </c>
      <c r="AO537" s="45">
        <f>IF(OR(AJ537="",U537=0),"",MIN(IF(AW537="",9.9E+99,AW537),FLOOR(AN537/U537,1)))</f>
        <v/>
      </c>
      <c r="AP537" s="49">
        <f>IF(AO537="","",AO537*W537)</f>
        <v/>
      </c>
      <c r="AQ537" s="47">
        <f>IF(OR(AJ537="",U537=0),"",MIN(IF(AW537="",9.9E+99,AW537),AN537/U537))</f>
        <v/>
      </c>
      <c r="AR537" s="49">
        <f>IF(AQ537="","",AQ537*W537)</f>
        <v/>
      </c>
      <c r="AS537" s="51" t="n"/>
      <c r="AT537" s="43" t="inlineStr">
        <is>
          <t>Grounded</t>
        </is>
      </c>
      <c r="AU537" s="52" t="n"/>
      <c r="AV537" s="52" t="n"/>
      <c r="AW537" s="53" t="n"/>
      <c r="AX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Y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Z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BA537" s="40" t="n"/>
      <c r="BB537" s="40" t="n"/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Dubai Harbour Marina → Palm Jumeirah Marina West</t>
        </is>
      </c>
      <c r="D538" s="38" t="inlineStr">
        <is>
          <t>careem</t>
        </is>
      </c>
      <c r="E538" s="40" t="inlineStr">
        <is>
          <t>bolt-uae, uae-careem, uae-luxury, uae-noon, yango-uae</t>
        </is>
      </c>
      <c r="F538" s="41" t="n">
        <v>5</v>
      </c>
      <c r="G538" s="42" t="n">
        <v>2.1</v>
      </c>
      <c r="H538" s="35" t="n">
        <v>48</v>
      </c>
      <c r="I538" s="43" t="inlineStr">
        <is>
          <t>T1</t>
        </is>
      </c>
      <c r="J538" s="43" t="inlineStr">
        <is>
          <t>high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35000</v>
      </c>
      <c r="AK538" s="43" t="inlineStr">
        <is>
          <t>T3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IF(OR(AJ538="",U538=0),"",MIN(IF(AW538="",9.9E+99,AW538),FLOOR(AN538/U538,1)))</f>
        <v/>
      </c>
      <c r="AP538" s="49">
        <f>IF(AO538="","",AO538*W538)</f>
        <v/>
      </c>
      <c r="AQ538" s="47">
        <f>IF(OR(AJ538="",U538=0),"",MIN(IF(AW538="",9.9E+99,AW538),AN538/U538))</f>
        <v/>
      </c>
      <c r="AR538" s="49">
        <f>IF(AQ538="","",AQ538*W538)</f>
        <v/>
      </c>
      <c r="AS538" s="51" t="n"/>
      <c r="AT538" s="43" t="inlineStr">
        <is>
          <t>Grounded</t>
        </is>
      </c>
      <c r="AU538" s="52" t="n"/>
      <c r="AV538" s="52" t="n"/>
      <c r="AW538" s="53" t="n"/>
      <c r="AX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Y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Z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BA53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B53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9">
      <c r="A539" s="38" t="inlineStr">
        <is>
          <t>Gulf Authority Rakta</t>
        </is>
      </c>
      <c r="B539" s="38" t="inlineStr">
        <is>
          <t>United Arab Emirates</t>
        </is>
      </c>
      <c r="C539" s="39" t="inlineStr">
        <is>
          <t>Sha'am Fishing Boat Harbour → Sha'am coastal staging point</t>
        </is>
      </c>
      <c r="D539" s="38" t="inlineStr">
        <is>
          <t>rakta</t>
        </is>
      </c>
      <c r="E539" s="40" t="inlineStr">
        <is>
          <t>gulf-authority-bahrain-motc, gulf-authority-rakta</t>
        </is>
      </c>
      <c r="F539" s="41" t="n">
        <v>2</v>
      </c>
      <c r="G539" s="42" t="n">
        <v>2.1</v>
      </c>
      <c r="H539" s="35" t="n">
        <v>35</v>
      </c>
      <c r="I539" s="43" t="inlineStr">
        <is>
          <t>T3</t>
        </is>
      </c>
      <c r="J539" s="43" t="inlineStr">
        <is>
          <t>med-low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5217</v>
      </c>
      <c r="AK539" s="43" t="inlineStr">
        <is>
          <t>T3</t>
        </is>
      </c>
      <c r="AL539" s="43" t="inlineStr">
        <is>
          <t>med-low</t>
        </is>
      </c>
      <c r="AM539" s="50" t="n">
        <v>0.1</v>
      </c>
      <c r="AN539" s="45">
        <f>IF(AJ539="","",AJ539*AM539)</f>
        <v/>
      </c>
      <c r="AO539" s="45">
        <f>IF(OR(AJ539="",U539=0),"",MIN(IF(AW539="",9.9E+99,AW539),FLOOR(AN539/U539,1)))</f>
        <v/>
      </c>
      <c r="AP539" s="49">
        <f>IF(AO539="","",AO539*W539)</f>
        <v/>
      </c>
      <c r="AQ539" s="47">
        <f>IF(OR(AJ539="",U539=0),"",MIN(IF(AW539="",9.9E+99,AW539),AN539/U539))</f>
        <v/>
      </c>
      <c r="AR539" s="49">
        <f>IF(AQ539="","",AQ539*W539)</f>
        <v/>
      </c>
      <c r="AS539" s="51" t="n"/>
      <c r="AT539" s="43" t="inlineStr">
        <is>
          <t>Grounded</t>
        </is>
      </c>
      <c r="AU539" s="52" t="n"/>
      <c r="AV539" s="52" t="n"/>
      <c r="AW539" s="53" t="n"/>
      <c r="AX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Y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Z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BA539" s="40" t="n"/>
      <c r="BB539" s="40" t="n"/>
    </row>
    <row r="540">
      <c r="A540" s="38" t="inlineStr">
        <is>
          <t>UAE (Careem)</t>
        </is>
      </c>
      <c r="B540" s="38" t="inlineStr">
        <is>
          <t>United Arab Emirates</t>
        </is>
      </c>
      <c r="C540" s="39" t="inlineStr">
        <is>
          <t>Al Bateen Marina → Emirates Palace Marina</t>
        </is>
      </c>
      <c r="D540" s="38" t="inlineStr">
        <is>
          <t>careem</t>
        </is>
      </c>
      <c r="E540" s="40" t="inlineStr">
        <is>
          <t>bolt-uae, uae-careem, uae-luxury, uae-noon, yango-uae</t>
        </is>
      </c>
      <c r="F540" s="41" t="n">
        <v>5</v>
      </c>
      <c r="G540" s="42" t="n">
        <v>2.2</v>
      </c>
      <c r="H540" s="35" t="n">
        <v>150</v>
      </c>
      <c r="I540" s="43" t="inlineStr">
        <is>
          <t>T5</t>
        </is>
      </c>
      <c r="J540" s="43" t="inlineStr">
        <is>
          <t>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20000</v>
      </c>
      <c r="AK540" s="43" t="inlineStr">
        <is>
          <t>T3</t>
        </is>
      </c>
      <c r="AL540" s="43" t="inlineStr">
        <is>
          <t>low</t>
        </is>
      </c>
      <c r="AM540" s="50" t="n">
        <v>0.1</v>
      </c>
      <c r="AN540" s="45">
        <f>IF(AJ540="","",AJ540*AM540)</f>
        <v/>
      </c>
      <c r="AO540" s="45">
        <f>IF(OR(AJ540="",U540=0),"",MIN(IF(AW540="",9.9E+99,AW540),FLOOR(AN540/U540,1)))</f>
        <v/>
      </c>
      <c r="AP540" s="49">
        <f>IF(AO540="","",AO540*W540)</f>
        <v/>
      </c>
      <c r="AQ540" s="47">
        <f>IF(OR(AJ540="",U540=0),"",MIN(IF(AW540="",9.9E+99,AW540),AN540/U540))</f>
        <v/>
      </c>
      <c r="AR540" s="49">
        <f>IF(AQ540="","",AQ540*W540)</f>
        <v/>
      </c>
      <c r="AS540" s="51" t="n"/>
      <c r="AT540" s="43" t="inlineStr">
        <is>
          <t>Grounded</t>
        </is>
      </c>
      <c r="AU540" s="52" t="n"/>
      <c r="AV540" s="52" t="n"/>
      <c r="AW540" s="53" t="n"/>
      <c r="AX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Y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Z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BA540" s="40" t="inlineStr">
        <is>
          <t>Emirates Palace (flagship AD luxury hotel) marina arrival; road-served; opportunity-to-create. T5/low.</t>
        </is>
      </c>
      <c r="BB54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1">
      <c r="A541" s="38" t="inlineStr">
        <is>
          <t>Gulf Authority Rakta</t>
        </is>
      </c>
      <c r="B541" s="38" t="inlineStr">
        <is>
          <t>United Arab Emirates</t>
        </is>
      </c>
      <c r="C541" s="39" t="inlineStr">
        <is>
          <t>The Cove Rotana Resort jetty → Anantara Mina Al Arab Ras Al Khaimah Resort jetty</t>
        </is>
      </c>
      <c r="D541" s="38" t="inlineStr">
        <is>
          <t>rakta</t>
        </is>
      </c>
      <c r="E541" s="40" t="inlineStr">
        <is>
          <t>gulf-authority-bahrain-motc, gulf-authority-rakta</t>
        </is>
      </c>
      <c r="F541" s="41" t="n">
        <v>2</v>
      </c>
      <c r="G541" s="42" t="n">
        <v>2.2</v>
      </c>
      <c r="H541" s="35" t="n">
        <v>35</v>
      </c>
      <c r="I541" s="43" t="inlineStr">
        <is>
          <t>T3</t>
        </is>
      </c>
      <c r="J541" s="43" t="inlineStr">
        <is>
          <t>med-low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5217</v>
      </c>
      <c r="AK541" s="43" t="inlineStr">
        <is>
          <t>T3</t>
        </is>
      </c>
      <c r="AL541" s="43" t="inlineStr">
        <is>
          <t>med-low</t>
        </is>
      </c>
      <c r="AM541" s="50" t="n">
        <v>0.1</v>
      </c>
      <c r="AN541" s="45">
        <f>IF(AJ541="","",AJ541*AM541)</f>
        <v/>
      </c>
      <c r="AO541" s="45">
        <f>IF(OR(AJ541="",U541=0),"",MIN(IF(AW541="",9.9E+99,AW541),FLOOR(AN541/U541,1)))</f>
        <v/>
      </c>
      <c r="AP541" s="49">
        <f>IF(AO541="","",AO541*W541)</f>
        <v/>
      </c>
      <c r="AQ541" s="47">
        <f>IF(OR(AJ541="",U541=0),"",MIN(IF(AW541="",9.9E+99,AW541),AN541/U541))</f>
        <v/>
      </c>
      <c r="AR541" s="49">
        <f>IF(AQ541="","",AQ541*W541)</f>
        <v/>
      </c>
      <c r="AS541" s="51" t="n"/>
      <c r="AT541" s="43" t="inlineStr">
        <is>
          <t>Grounded</t>
        </is>
      </c>
      <c r="AU541" s="52" t="n"/>
      <c r="AV541" s="52" t="n"/>
      <c r="AW541" s="53" t="n"/>
      <c r="AX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Y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Z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BA541" s="40" t="n"/>
      <c r="BB541" s="40" t="n"/>
    </row>
    <row r="542">
      <c r="A542" s="38" t="inlineStr">
        <is>
          <t>UAE (Careem)</t>
        </is>
      </c>
      <c r="B542" s="38" t="inlineStr">
        <is>
          <t>United Arab Emirates</t>
        </is>
      </c>
      <c r="C542" s="39" t="inlineStr">
        <is>
          <t>Côte d'Azur Resort Marina (Heart of Europe) → Anantara World Islands Resort Jetty (planned)</t>
        </is>
      </c>
      <c r="D542" s="38" t="inlineStr">
        <is>
          <t>careem</t>
        </is>
      </c>
      <c r="E542" s="40" t="inlineStr">
        <is>
          <t>bolt-uae, uae-careem, uae-luxury, uae-noon, yango-uae</t>
        </is>
      </c>
      <c r="F542" s="41" t="n">
        <v>5</v>
      </c>
      <c r="G542" s="42" t="n">
        <v>2.4</v>
      </c>
      <c r="H542" s="35" t="n">
        <v>150</v>
      </c>
      <c r="I542" s="43" t="inlineStr">
        <is>
          <t>T5</t>
        </is>
      </c>
      <c r="J542" s="43" t="inlineStr">
        <is>
          <t>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25000</v>
      </c>
      <c r="AK542" s="43" t="inlineStr">
        <is>
          <t>T3</t>
        </is>
      </c>
      <c r="AL542" s="43" t="inlineStr">
        <is>
          <t>low</t>
        </is>
      </c>
      <c r="AM542" s="50" t="n">
        <v>0.1</v>
      </c>
      <c r="AN542" s="45">
        <f>IF(AJ542="","",AJ542*AM542)</f>
        <v/>
      </c>
      <c r="AO542" s="45">
        <f>IF(OR(AJ542="",U542=0),"",MIN(IF(AW542="",9.9E+99,AW542),FLOOR(AN542/U542,1)))</f>
        <v/>
      </c>
      <c r="AP542" s="49">
        <f>IF(AO542="","",AO542*W542)</f>
        <v/>
      </c>
      <c r="AQ542" s="47">
        <f>IF(OR(AJ542="",U542=0),"",MIN(IF(AW542="",9.9E+99,AW542),AN542/U542))</f>
        <v/>
      </c>
      <c r="AR542" s="49">
        <f>IF(AQ542="","",AQ542*W542)</f>
        <v/>
      </c>
      <c r="AS542" s="51" t="n"/>
      <c r="AT542" s="43" t="inlineStr">
        <is>
          <t>Grounded</t>
        </is>
      </c>
      <c r="AU542" s="52" t="n"/>
      <c r="AV542" s="52" t="n"/>
      <c r="AW542" s="53" t="n"/>
      <c r="AX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Y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Z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BA542" s="40" t="inlineStr">
        <is>
          <t>Intra-The-World offshore hop; both boat-only. Greenfield premium per-seat. T5/low.</t>
        </is>
      </c>
      <c r="BB54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3">
      <c r="A543" s="38" t="inlineStr">
        <is>
          <t>Gulf Authority Rakta</t>
        </is>
      </c>
      <c r="B543" s="38" t="inlineStr">
        <is>
          <t>United Arab Emirates</t>
        </is>
      </c>
      <c r="C543" s="39" t="inlineStr">
        <is>
          <t>ميناء صيادين غليلة → Sha'am Fishing Boat Harbour</t>
        </is>
      </c>
      <c r="D543" s="38" t="inlineStr">
        <is>
          <t>rakta</t>
        </is>
      </c>
      <c r="E543" s="40" t="inlineStr">
        <is>
          <t>gulf-authority-bahrain-motc, gulf-authority-rakta</t>
        </is>
      </c>
      <c r="F543" s="41" t="n">
        <v>2</v>
      </c>
      <c r="G543" s="42" t="n">
        <v>2.5</v>
      </c>
      <c r="H543" s="35" t="n">
        <v>35</v>
      </c>
      <c r="I543" s="43" t="inlineStr">
        <is>
          <t>T3</t>
        </is>
      </c>
      <c r="J543" s="43" t="inlineStr">
        <is>
          <t>med-low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5217</v>
      </c>
      <c r="AK543" s="43" t="inlineStr">
        <is>
          <t>T3</t>
        </is>
      </c>
      <c r="AL543" s="43" t="inlineStr">
        <is>
          <t>med-low</t>
        </is>
      </c>
      <c r="AM543" s="50" t="n">
        <v>0.1</v>
      </c>
      <c r="AN543" s="45">
        <f>IF(AJ543="","",AJ543*AM543)</f>
        <v/>
      </c>
      <c r="AO543" s="45">
        <f>IF(OR(AJ543="",U543=0),"",MIN(IF(AW543="",9.9E+99,AW543),FLOOR(AN543/U543,1)))</f>
        <v/>
      </c>
      <c r="AP543" s="49">
        <f>IF(AO543="","",AO543*W543)</f>
        <v/>
      </c>
      <c r="AQ543" s="47">
        <f>IF(OR(AJ543="",U543=0),"",MIN(IF(AW543="",9.9E+99,AW543),AN543/U543))</f>
        <v/>
      </c>
      <c r="AR543" s="49">
        <f>IF(AQ543="","",AQ543*W543)</f>
        <v/>
      </c>
      <c r="AS543" s="51" t="n"/>
      <c r="AT543" s="43" t="inlineStr">
        <is>
          <t>Grounded</t>
        </is>
      </c>
      <c r="AU543" s="52" t="n"/>
      <c r="AV543" s="52" t="n"/>
      <c r="AW543" s="53" t="n"/>
      <c r="AX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Y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Z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BA543" s="40" t="n"/>
      <c r="BB543" s="40" t="n"/>
    </row>
    <row r="544">
      <c r="A544" s="38" t="inlineStr">
        <is>
          <t>UAE (Careem)</t>
        </is>
      </c>
      <c r="B544" s="38" t="inlineStr">
        <is>
          <t>United Arab Emirates</t>
        </is>
      </c>
      <c r="C544" s="39" t="inlineStr">
        <is>
          <t>Bulgari Yacht Club &amp; Marina → La Mer / J1 Beach Jetty</t>
        </is>
      </c>
      <c r="D544" s="38" t="inlineStr">
        <is>
          <t>careem</t>
        </is>
      </c>
      <c r="E544" s="40" t="inlineStr">
        <is>
          <t>bolt-uae, uae-careem, uae-luxury, uae-noon, yango-uae</t>
        </is>
      </c>
      <c r="F544" s="41" t="n">
        <v>5</v>
      </c>
      <c r="G544" s="42" t="n">
        <v>2.6</v>
      </c>
      <c r="H544" s="35" t="n">
        <v>120</v>
      </c>
      <c r="I544" s="43" t="inlineStr">
        <is>
          <t>T5</t>
        </is>
      </c>
      <c r="J544" s="43" t="inlineStr">
        <is>
          <t>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30000</v>
      </c>
      <c r="AK544" s="43" t="inlineStr">
        <is>
          <t>T3</t>
        </is>
      </c>
      <c r="AL544" s="43" t="inlineStr">
        <is>
          <t>low</t>
        </is>
      </c>
      <c r="AM544" s="50" t="n">
        <v>0.1</v>
      </c>
      <c r="AN544" s="45">
        <f>IF(AJ544="","",AJ544*AM544)</f>
        <v/>
      </c>
      <c r="AO544" s="45">
        <f>IF(OR(AJ544="",U544=0),"",MIN(IF(AW544="",9.9E+99,AW544),FLOOR(AN544/U544,1)))</f>
        <v/>
      </c>
      <c r="AP544" s="49">
        <f>IF(AO544="","",AO544*W544)</f>
        <v/>
      </c>
      <c r="AQ544" s="47">
        <f>IF(OR(AJ544="",U544=0),"",MIN(IF(AW544="",9.9E+99,AW544),AN544/U544))</f>
        <v/>
      </c>
      <c r="AR544" s="49">
        <f>IF(AQ544="","",AQ544*W544)</f>
        <v/>
      </c>
      <c r="AS544" s="51" t="n"/>
      <c r="AT544" s="43" t="inlineStr">
        <is>
          <t>Grounded</t>
        </is>
      </c>
      <c r="AU544" s="52" t="n"/>
      <c r="AV544" s="52" t="n"/>
      <c r="AW544" s="53" t="n"/>
      <c r="AX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Y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Z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BA544" s="40" t="inlineStr">
        <is>
          <t>Urban Dubai beach-club leisure hop (Bulgari Bay&lt;-&gt;La Mer/J1). Road-served. T5/low.</t>
        </is>
      </c>
      <c r="BB54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5">
      <c r="A545" s="38" t="inlineStr">
        <is>
          <t>UAE (Careem)</t>
        </is>
      </c>
      <c r="B545" s="38" t="inlineStr">
        <is>
          <t>United Arab Emirates</t>
        </is>
      </c>
      <c r="C545" s="39" t="inlineStr">
        <is>
          <t>Marina Mall / Breakwater Marina → Al Bateen Marina</t>
        </is>
      </c>
      <c r="D545" s="38" t="inlineStr">
        <is>
          <t>careem</t>
        </is>
      </c>
      <c r="E545" s="40" t="inlineStr">
        <is>
          <t>bolt-uae, uae-careem, uae-luxury, uae-noon, yango-uae</t>
        </is>
      </c>
      <c r="F545" s="41" t="n">
        <v>5</v>
      </c>
      <c r="G545" s="42" t="n">
        <v>2.6</v>
      </c>
      <c r="H545" s="35" t="n">
        <v>45</v>
      </c>
      <c r="I545" s="43" t="inlineStr">
        <is>
          <t>T4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50000</v>
      </c>
      <c r="AK545" s="43" t="inlineStr">
        <is>
          <t>T3</t>
        </is>
      </c>
      <c r="AL545" s="43" t="inlineStr">
        <is>
          <t>low</t>
        </is>
      </c>
      <c r="AM545" s="50" t="n">
        <v>0.1</v>
      </c>
      <c r="AN545" s="45">
        <f>IF(AJ545="","",AJ545*AM545)</f>
        <v/>
      </c>
      <c r="AO545" s="45">
        <f>IF(OR(AJ545="",U545=0),"",MIN(IF(AW545="",9.9E+99,AW545),FLOOR(AN545/U545,1)))</f>
        <v/>
      </c>
      <c r="AP545" s="49">
        <f>IF(AO545="","",AO545*W545)</f>
        <v/>
      </c>
      <c r="AQ545" s="47">
        <f>IF(OR(AJ545="",U545=0),"",MIN(IF(AW545="",9.9E+99,AW545),AN545/U545))</f>
        <v/>
      </c>
      <c r="AR545" s="49">
        <f>IF(AQ545="","",AQ545*W545)</f>
        <v/>
      </c>
      <c r="AS545" s="51" t="n"/>
      <c r="AT545" s="43" t="inlineStr">
        <is>
          <t>Grounded</t>
        </is>
      </c>
      <c r="AU545" s="52" t="n"/>
      <c r="AV545" s="52" t="n"/>
      <c r="AW545" s="53" t="n"/>
      <c r="AX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Y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Z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BA545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B54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6">
      <c r="A546" s="38" t="inlineStr">
        <is>
          <t>Gulf Authority Rakta</t>
        </is>
      </c>
      <c r="B546" s="38" t="inlineStr">
        <is>
          <t>United Arab Emirates</t>
        </is>
      </c>
      <c r="C546" s="39" t="inlineStr">
        <is>
          <t>Daba Port → Dibba Al-Hisn Marina - Sharjah</t>
        </is>
      </c>
      <c r="D546" s="38" t="inlineStr">
        <is>
          <t>rakta</t>
        </is>
      </c>
      <c r="E546" s="40" t="inlineStr">
        <is>
          <t>gulf-authority-bahrain-motc, gulf-authority-rakta</t>
        </is>
      </c>
      <c r="F546" s="41" t="n">
        <v>2</v>
      </c>
      <c r="G546" s="42" t="n">
        <v>2.7</v>
      </c>
      <c r="H546" s="35" t="n">
        <v>35</v>
      </c>
      <c r="I546" s="43" t="inlineStr">
        <is>
          <t>T3</t>
        </is>
      </c>
      <c r="J546" s="43" t="inlineStr">
        <is>
          <t>med-low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5217</v>
      </c>
      <c r="AK546" s="43" t="inlineStr">
        <is>
          <t>T3</t>
        </is>
      </c>
      <c r="AL546" s="43" t="inlineStr">
        <is>
          <t>med-low</t>
        </is>
      </c>
      <c r="AM546" s="50" t="n">
        <v>0.1</v>
      </c>
      <c r="AN546" s="45">
        <f>IF(AJ546="","",AJ546*AM546)</f>
        <v/>
      </c>
      <c r="AO546" s="45">
        <f>IF(OR(AJ546="",U546=0),"",MIN(IF(AW546="",9.9E+99,AW546),FLOOR(AN546/U546,1)))</f>
        <v/>
      </c>
      <c r="AP546" s="49">
        <f>IF(AO546="","",AO546*W546)</f>
        <v/>
      </c>
      <c r="AQ546" s="47">
        <f>IF(OR(AJ546="",U546=0),"",MIN(IF(AW546="",9.9E+99,AW546),AN546/U546))</f>
        <v/>
      </c>
      <c r="AR546" s="49">
        <f>IF(AQ546="","",AQ546*W546)</f>
        <v/>
      </c>
      <c r="AS546" s="51" t="n"/>
      <c r="AT546" s="43" t="inlineStr">
        <is>
          <t>Grounded</t>
        </is>
      </c>
      <c r="AU546" s="52" t="n"/>
      <c r="AV546" s="52" t="n"/>
      <c r="AW546" s="53" t="n"/>
      <c r="AX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Y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Z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BA546" s="40" t="n"/>
      <c r="BB546" s="40" t="n"/>
    </row>
    <row r="547">
      <c r="A547" s="38" t="inlineStr">
        <is>
          <t>Gulf Authority Rakta</t>
        </is>
      </c>
      <c r="B547" s="38" t="inlineStr">
        <is>
          <t>United Arab Emirates</t>
        </is>
      </c>
      <c r="C547" s="39" t="inlineStr">
        <is>
          <t>ميناء صيادين غليلة → ميناء صيادين خورخوير</t>
        </is>
      </c>
      <c r="D547" s="38" t="inlineStr">
        <is>
          <t>rakta</t>
        </is>
      </c>
      <c r="E547" s="40" t="inlineStr">
        <is>
          <t>gulf-authority-bahrain-motc, gulf-authority-rakta</t>
        </is>
      </c>
      <c r="F547" s="41" t="n">
        <v>2</v>
      </c>
      <c r="G547" s="42" t="n">
        <v>2.8</v>
      </c>
      <c r="H547" s="35" t="n">
        <v>35</v>
      </c>
      <c r="I547" s="43" t="inlineStr">
        <is>
          <t>T3</t>
        </is>
      </c>
      <c r="J547" s="43" t="inlineStr">
        <is>
          <t>med-low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5217</v>
      </c>
      <c r="AK547" s="43" t="inlineStr">
        <is>
          <t>T3</t>
        </is>
      </c>
      <c r="AL547" s="43" t="inlineStr">
        <is>
          <t>med-low</t>
        </is>
      </c>
      <c r="AM547" s="50" t="n">
        <v>0.1</v>
      </c>
      <c r="AN547" s="45">
        <f>IF(AJ547="","",AJ547*AM547)</f>
        <v/>
      </c>
      <c r="AO547" s="45">
        <f>IF(OR(AJ547="",U547=0),"",MIN(IF(AW547="",9.9E+99,AW547),FLOOR(AN547/U547,1)))</f>
        <v/>
      </c>
      <c r="AP547" s="49">
        <f>IF(AO547="","",AO547*W547)</f>
        <v/>
      </c>
      <c r="AQ547" s="47">
        <f>IF(OR(AJ547="",U547=0),"",MIN(IF(AW547="",9.9E+99,AW547),AN547/U547))</f>
        <v/>
      </c>
      <c r="AR547" s="49">
        <f>IF(AQ547="","",AQ547*W547)</f>
        <v/>
      </c>
      <c r="AS547" s="51" t="n"/>
      <c r="AT547" s="43" t="inlineStr">
        <is>
          <t>Grounded</t>
        </is>
      </c>
      <c r="AU547" s="52" t="n"/>
      <c r="AV547" s="52" t="n"/>
      <c r="AW547" s="53" t="n"/>
      <c r="AX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Y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Z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BA547" s="40" t="n"/>
      <c r="BB547" s="40" t="n"/>
    </row>
    <row r="548">
      <c r="A548" s="38" t="inlineStr">
        <is>
          <t>Gulf Authority Rakta</t>
        </is>
      </c>
      <c r="B548" s="38" t="inlineStr">
        <is>
          <t>United Arab Emirates</t>
        </is>
      </c>
      <c r="C548" s="39" t="inlineStr">
        <is>
          <t>Acacia by Bin Majid jetty → The Cove Rotana Resort jetty</t>
        </is>
      </c>
      <c r="D548" s="38" t="inlineStr">
        <is>
          <t>rakta</t>
        </is>
      </c>
      <c r="E548" s="40" t="inlineStr">
        <is>
          <t>gulf-authority-bahrain-motc, gulf-authority-rakta</t>
        </is>
      </c>
      <c r="F548" s="41" t="n">
        <v>2</v>
      </c>
      <c r="G548" s="42" t="n">
        <v>2.9</v>
      </c>
      <c r="H548" s="35" t="n">
        <v>35</v>
      </c>
      <c r="I548" s="43" t="inlineStr">
        <is>
          <t>T3</t>
        </is>
      </c>
      <c r="J548" s="43" t="inlineStr">
        <is>
          <t>med-low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5217</v>
      </c>
      <c r="AK548" s="43" t="inlineStr">
        <is>
          <t>T3</t>
        </is>
      </c>
      <c r="AL548" s="43" t="inlineStr">
        <is>
          <t>med-low</t>
        </is>
      </c>
      <c r="AM548" s="50" t="n">
        <v>0.1</v>
      </c>
      <c r="AN548" s="45">
        <f>IF(AJ548="","",AJ548*AM548)</f>
        <v/>
      </c>
      <c r="AO548" s="45">
        <f>IF(OR(AJ548="",U548=0),"",MIN(IF(AW548="",9.9E+99,AW548),FLOOR(AN548/U548,1)))</f>
        <v/>
      </c>
      <c r="AP548" s="49">
        <f>IF(AO548="","",AO548*W548)</f>
        <v/>
      </c>
      <c r="AQ548" s="47">
        <f>IF(OR(AJ548="",U548=0),"",MIN(IF(AW548="",9.9E+99,AW548),AN548/U548))</f>
        <v/>
      </c>
      <c r="AR548" s="49">
        <f>IF(AQ548="","",AQ548*W548)</f>
        <v/>
      </c>
      <c r="AS548" s="51" t="n"/>
      <c r="AT548" s="43" t="inlineStr">
        <is>
          <t>Grounded</t>
        </is>
      </c>
      <c r="AU548" s="52" t="n"/>
      <c r="AV548" s="52" t="n"/>
      <c r="AW548" s="53" t="n"/>
      <c r="AX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Y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Z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BA548" s="40" t="n"/>
      <c r="BB548" s="40" t="n"/>
    </row>
    <row r="549">
      <c r="A549" s="38" t="inlineStr">
        <is>
          <t>Gulf Authority Rakta</t>
        </is>
      </c>
      <c r="B549" s="38" t="inlineStr">
        <is>
          <t>United Arab Emirates</t>
        </is>
      </c>
      <c r="C549" s="39" t="inlineStr">
        <is>
          <t>Bin Majid Beach Resort jetty → The Cove Rotana Resort jetty</t>
        </is>
      </c>
      <c r="D549" s="38" t="inlineStr">
        <is>
          <t>rakta</t>
        </is>
      </c>
      <c r="E549" s="40" t="inlineStr">
        <is>
          <t>gulf-authority-bahrain-motc, gulf-authority-rakta</t>
        </is>
      </c>
      <c r="F549" s="41" t="n">
        <v>2</v>
      </c>
      <c r="G549" s="42" t="n">
        <v>3</v>
      </c>
      <c r="H549" s="35" t="n">
        <v>35</v>
      </c>
      <c r="I549" s="43" t="inlineStr">
        <is>
          <t>T3</t>
        </is>
      </c>
      <c r="J549" s="43" t="inlineStr">
        <is>
          <t>med-low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5217</v>
      </c>
      <c r="AK549" s="43" t="inlineStr">
        <is>
          <t>T3</t>
        </is>
      </c>
      <c r="AL549" s="43" t="inlineStr">
        <is>
          <t>med-low</t>
        </is>
      </c>
      <c r="AM549" s="50" t="n">
        <v>0.1</v>
      </c>
      <c r="AN549" s="45">
        <f>IF(AJ549="","",AJ549*AM549)</f>
        <v/>
      </c>
      <c r="AO549" s="45">
        <f>IF(OR(AJ549="",U549=0),"",MIN(IF(AW549="",9.9E+99,AW549),FLOOR(AN549/U549,1)))</f>
        <v/>
      </c>
      <c r="AP549" s="49">
        <f>IF(AO549="","",AO549*W549)</f>
        <v/>
      </c>
      <c r="AQ549" s="47">
        <f>IF(OR(AJ549="",U549=0),"",MIN(IF(AW549="",9.9E+99,AW549),AN549/U549))</f>
        <v/>
      </c>
      <c r="AR549" s="49">
        <f>IF(AQ549="","",AQ549*W549)</f>
        <v/>
      </c>
      <c r="AS549" s="51" t="n"/>
      <c r="AT549" s="43" t="inlineStr">
        <is>
          <t>Grounded</t>
        </is>
      </c>
      <c r="AU549" s="52" t="n"/>
      <c r="AV549" s="52" t="n"/>
      <c r="AW549" s="53" t="n"/>
      <c r="AX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Y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Z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BA549" s="40" t="n"/>
      <c r="BB549" s="40" t="n"/>
    </row>
    <row r="550">
      <c r="A550" s="38" t="inlineStr">
        <is>
          <t>Gulf Authority Rakta</t>
        </is>
      </c>
      <c r="B550" s="38" t="inlineStr">
        <is>
          <t>United Arab Emirates</t>
        </is>
      </c>
      <c r="C550" s="39" t="inlineStr">
        <is>
          <t>Raksa → Hilton Garden Inn Ras Al Khaimah (Corniche) jetty</t>
        </is>
      </c>
      <c r="D550" s="38" t="inlineStr">
        <is>
          <t>rakta</t>
        </is>
      </c>
      <c r="E550" s="40" t="inlineStr">
        <is>
          <t>gulf-authority-bahrain-motc, gulf-authority-rakta</t>
        </is>
      </c>
      <c r="F550" s="41" t="n">
        <v>2</v>
      </c>
      <c r="G550" s="42" t="n">
        <v>3</v>
      </c>
      <c r="H550" s="35" t="n">
        <v>35</v>
      </c>
      <c r="I550" s="43" t="inlineStr">
        <is>
          <t>T3</t>
        </is>
      </c>
      <c r="J550" s="43" t="inlineStr">
        <is>
          <t>med-low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5217</v>
      </c>
      <c r="AK550" s="43" t="inlineStr">
        <is>
          <t>T3</t>
        </is>
      </c>
      <c r="AL550" s="43" t="inlineStr">
        <is>
          <t>med-low</t>
        </is>
      </c>
      <c r="AM550" s="50" t="n">
        <v>0.1</v>
      </c>
      <c r="AN550" s="45">
        <f>IF(AJ550="","",AJ550*AM550)</f>
        <v/>
      </c>
      <c r="AO550" s="45">
        <f>IF(OR(AJ550="",U550=0),"",MIN(IF(AW550="",9.9E+99,AW550),FLOOR(AN550/U550,1)))</f>
        <v/>
      </c>
      <c r="AP550" s="49">
        <f>IF(AO550="","",AO550*W550)</f>
        <v/>
      </c>
      <c r="AQ550" s="47">
        <f>IF(OR(AJ550="",U550=0),"",MIN(IF(AW550="",9.9E+99,AW550),AN550/U550))</f>
        <v/>
      </c>
      <c r="AR550" s="49">
        <f>IF(AQ550="","",AQ550*W550)</f>
        <v/>
      </c>
      <c r="AS550" s="51" t="n"/>
      <c r="AT550" s="43" t="inlineStr">
        <is>
          <t>Grounded</t>
        </is>
      </c>
      <c r="AU550" s="52" t="n"/>
      <c r="AV550" s="52" t="n"/>
      <c r="AW550" s="53" t="n"/>
      <c r="AX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Y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Z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BA550" s="40" t="n"/>
      <c r="BB550" s="40" t="n"/>
    </row>
    <row r="551">
      <c r="A551" s="38" t="inlineStr">
        <is>
          <t>Gulf Authority Rakta</t>
        </is>
      </c>
      <c r="B551" s="38" t="inlineStr">
        <is>
          <t>United Arab Emirates</t>
        </is>
      </c>
      <c r="C551" s="39" t="inlineStr">
        <is>
          <t>Al Zorah Marina 1 → Hamriyah Port Main Harbour</t>
        </is>
      </c>
      <c r="D551" s="38" t="inlineStr">
        <is>
          <t>rakta</t>
        </is>
      </c>
      <c r="E551" s="40" t="inlineStr">
        <is>
          <t>gulf-authority-bahrain-motc, gulf-authority-rakta</t>
        </is>
      </c>
      <c r="F551" s="41" t="n">
        <v>2</v>
      </c>
      <c r="G551" s="42" t="n">
        <v>3.2</v>
      </c>
      <c r="H551" s="35" t="n">
        <v>35</v>
      </c>
      <c r="I551" s="43" t="inlineStr">
        <is>
          <t>T3</t>
        </is>
      </c>
      <c r="J551" s="43" t="inlineStr">
        <is>
          <t>med-low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5217</v>
      </c>
      <c r="AK551" s="43" t="inlineStr">
        <is>
          <t>T3</t>
        </is>
      </c>
      <c r="AL551" s="43" t="inlineStr">
        <is>
          <t>med-low</t>
        </is>
      </c>
      <c r="AM551" s="50" t="n">
        <v>0.1</v>
      </c>
      <c r="AN551" s="45">
        <f>IF(AJ551="","",AJ551*AM551)</f>
        <v/>
      </c>
      <c r="AO551" s="45">
        <f>IF(OR(AJ551="",U551=0),"",MIN(IF(AW551="",9.9E+99,AW551),FLOOR(AN551/U551,1)))</f>
        <v/>
      </c>
      <c r="AP551" s="49">
        <f>IF(AO551="","",AO551*W551)</f>
        <v/>
      </c>
      <c r="AQ551" s="47">
        <f>IF(OR(AJ551="",U551=0),"",MIN(IF(AW551="",9.9E+99,AW551),AN551/U551))</f>
        <v/>
      </c>
      <c r="AR551" s="49">
        <f>IF(AQ551="","",AQ551*W551)</f>
        <v/>
      </c>
      <c r="AS551" s="51" t="n"/>
      <c r="AT551" s="43" t="inlineStr">
        <is>
          <t>Grounded</t>
        </is>
      </c>
      <c r="AU551" s="52" t="n"/>
      <c r="AV551" s="52" t="n"/>
      <c r="AW551" s="53" t="n"/>
      <c r="AX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Y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Z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BA551" s="40" t="n"/>
      <c r="BB551" s="40" t="n"/>
    </row>
    <row r="552">
      <c r="A552" s="38" t="inlineStr">
        <is>
          <t>UAE (Careem)</t>
        </is>
      </c>
      <c r="B552" s="38" t="inlineStr">
        <is>
          <t>United Arab Emirates</t>
        </is>
      </c>
      <c r="C552" s="39" t="inlineStr">
        <is>
          <t>Dubai Harbour Marina → Anantara The Palm Dubai Jetty</t>
        </is>
      </c>
      <c r="D552" s="38" t="inlineStr">
        <is>
          <t>careem</t>
        </is>
      </c>
      <c r="E552" s="40" t="inlineStr">
        <is>
          <t>bolt-uae, uae-careem, uae-luxury, uae-noon, yango-uae</t>
        </is>
      </c>
      <c r="F552" s="41" t="n">
        <v>5</v>
      </c>
      <c r="G552" s="42" t="n">
        <v>3.4</v>
      </c>
      <c r="H552" s="35" t="n"/>
      <c r="I552" s="43" t="n"/>
      <c r="J552" s="43" t="n"/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/>
      <c r="AK552" s="43" t="n"/>
      <c r="AL552" s="43" t="n"/>
      <c r="AM552" s="50" t="n">
        <v>0.1</v>
      </c>
      <c r="AN552" s="45">
        <f>IF(AJ552="","",AJ552*AM552)</f>
        <v/>
      </c>
      <c r="AO552" s="45">
        <f>IF(OR(AJ552="",U552=0),"",MIN(IF(AW552="",9.9E+99,AW552),FLOOR(AN552/U552,1)))</f>
        <v/>
      </c>
      <c r="AP552" s="49">
        <f>IF(AO552="","",AO552*W552)</f>
        <v/>
      </c>
      <c r="AQ552" s="47">
        <f>IF(OR(AJ552="",U552=0),"",MIN(IF(AW552="",9.9E+99,AW552),AN552/U552))</f>
        <v/>
      </c>
      <c r="AR552" s="49">
        <f>IF(AQ552="","",AQ552*W552)</f>
        <v/>
      </c>
      <c r="AS552" s="51" t="n"/>
      <c r="AT552" s="43" t="inlineStr">
        <is>
          <t>Estimated</t>
        </is>
      </c>
      <c r="AU552" s="52" t="n"/>
      <c r="AV552" s="52" t="n"/>
      <c r="AW552" s="53" t="n"/>
      <c r="AX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Y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Z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BA552" s="40" t="n"/>
      <c r="BB552" s="40" t="n"/>
    </row>
    <row r="553">
      <c r="A553" s="38" t="inlineStr">
        <is>
          <t>UAE (Careem)</t>
        </is>
      </c>
      <c r="B553" s="38" t="inlineStr">
        <is>
          <t>United Arab Emirates</t>
        </is>
      </c>
      <c r="C553" s="39" t="inlineStr">
        <is>
          <t>Al Bateen Marina → Hudayriat Marina</t>
        </is>
      </c>
      <c r="D553" s="38" t="inlineStr">
        <is>
          <t>careem</t>
        </is>
      </c>
      <c r="E553" s="40" t="inlineStr">
        <is>
          <t>bolt-uae, uae-careem, uae-luxury, uae-noon, yango-uae</t>
        </is>
      </c>
      <c r="F553" s="41" t="n">
        <v>5</v>
      </c>
      <c r="G553" s="42" t="n">
        <v>3.6</v>
      </c>
      <c r="H553" s="35" t="n">
        <v>90</v>
      </c>
      <c r="I553" s="43" t="inlineStr">
        <is>
          <t>T4</t>
        </is>
      </c>
      <c r="J553" s="43" t="inlineStr">
        <is>
          <t>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35000</v>
      </c>
      <c r="AK553" s="43" t="inlineStr">
        <is>
          <t>T3</t>
        </is>
      </c>
      <c r="AL553" s="43" t="inlineStr">
        <is>
          <t>low</t>
        </is>
      </c>
      <c r="AM553" s="50" t="n">
        <v>0.1</v>
      </c>
      <c r="AN553" s="45">
        <f>IF(AJ553="","",AJ553*AM553)</f>
        <v/>
      </c>
      <c r="AO553" s="45">
        <f>IF(OR(AJ553="",U553=0),"",MIN(IF(AW553="",9.9E+99,AW553),FLOOR(AN553/U553,1)))</f>
        <v/>
      </c>
      <c r="AP553" s="49">
        <f>IF(AO553="","",AO553*W553)</f>
        <v/>
      </c>
      <c r="AQ553" s="47">
        <f>IF(OR(AJ553="",U553=0),"",MIN(IF(AW553="",9.9E+99,AW553),AN553/U553))</f>
        <v/>
      </c>
      <c r="AR553" s="49">
        <f>IF(AQ553="","",AQ553*W553)</f>
        <v/>
      </c>
      <c r="AS553" s="51" t="n"/>
      <c r="AT553" s="43" t="inlineStr">
        <is>
          <t>Grounded</t>
        </is>
      </c>
      <c r="AU553" s="52" t="n"/>
      <c r="AV553" s="52" t="n"/>
      <c r="AW553" s="53" t="n"/>
      <c r="AX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Y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Z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BA553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B55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4">
      <c r="A554" s="38" t="inlineStr">
        <is>
          <t>Gulf Authority Rakta</t>
        </is>
      </c>
      <c r="B554" s="38" t="inlineStr">
        <is>
          <t>United Arab Emirates</t>
        </is>
      </c>
      <c r="C554" s="39" t="inlineStr">
        <is>
          <t>Ajman Marina → Hamriyah Port Main Harbour</t>
        </is>
      </c>
      <c r="D554" s="38" t="inlineStr">
        <is>
          <t>rakta</t>
        </is>
      </c>
      <c r="E554" s="40" t="inlineStr">
        <is>
          <t>gulf-authority-bahrain-motc, gulf-authority-rakta</t>
        </is>
      </c>
      <c r="F554" s="41" t="n">
        <v>2</v>
      </c>
      <c r="G554" s="42" t="n">
        <v>3.9</v>
      </c>
      <c r="H554" s="35" t="n">
        <v>35</v>
      </c>
      <c r="I554" s="43" t="inlineStr">
        <is>
          <t>T3</t>
        </is>
      </c>
      <c r="J554" s="43" t="inlineStr">
        <is>
          <t>med-low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5217</v>
      </c>
      <c r="AK554" s="43" t="inlineStr">
        <is>
          <t>T3</t>
        </is>
      </c>
      <c r="AL554" s="43" t="inlineStr">
        <is>
          <t>med-low</t>
        </is>
      </c>
      <c r="AM554" s="50" t="n">
        <v>0.1</v>
      </c>
      <c r="AN554" s="45">
        <f>IF(AJ554="","",AJ554*AM554)</f>
        <v/>
      </c>
      <c r="AO554" s="45">
        <f>IF(OR(AJ554="",U554=0),"",MIN(IF(AW554="",9.9E+99,AW554),FLOOR(AN554/U554,1)))</f>
        <v/>
      </c>
      <c r="AP554" s="49">
        <f>IF(AO554="","",AO554*W554)</f>
        <v/>
      </c>
      <c r="AQ554" s="47">
        <f>IF(OR(AJ554="",U554=0),"",MIN(IF(AW554="",9.9E+99,AW554),AN554/U554))</f>
        <v/>
      </c>
      <c r="AR554" s="49">
        <f>IF(AQ554="","",AQ554*W554)</f>
        <v/>
      </c>
      <c r="AS554" s="51" t="n"/>
      <c r="AT554" s="43" t="inlineStr">
        <is>
          <t>Grounded</t>
        </is>
      </c>
      <c r="AU554" s="52" t="n"/>
      <c r="AV554" s="52" t="n"/>
      <c r="AW554" s="53" t="n"/>
      <c r="AX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Y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Z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BA554" s="40" t="n"/>
      <c r="BB554" s="40" t="n"/>
    </row>
    <row r="555">
      <c r="A555" s="38" t="inlineStr">
        <is>
          <t>Gulf Authority Rakta</t>
        </is>
      </c>
      <c r="B555" s="38" t="inlineStr">
        <is>
          <t>United Arab Emirates</t>
        </is>
      </c>
      <c r="C555" s="39" t="inlineStr">
        <is>
          <t>Sha'am coastal staging point → ميناء صيادين غليلة</t>
        </is>
      </c>
      <c r="D555" s="38" t="inlineStr">
        <is>
          <t>rakta</t>
        </is>
      </c>
      <c r="E555" s="40" t="inlineStr">
        <is>
          <t>gulf-authority-bahrain-motc, gulf-authority-rakta</t>
        </is>
      </c>
      <c r="F555" s="41" t="n">
        <v>2</v>
      </c>
      <c r="G555" s="42" t="n">
        <v>3.9</v>
      </c>
      <c r="H555" s="35" t="n">
        <v>35</v>
      </c>
      <c r="I555" s="43" t="inlineStr">
        <is>
          <t>T3</t>
        </is>
      </c>
      <c r="J555" s="43" t="inlineStr">
        <is>
          <t>med-low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5217</v>
      </c>
      <c r="AK555" s="43" t="inlineStr">
        <is>
          <t>T3</t>
        </is>
      </c>
      <c r="AL555" s="43" t="inlineStr">
        <is>
          <t>med-low</t>
        </is>
      </c>
      <c r="AM555" s="50" t="n">
        <v>0.1</v>
      </c>
      <c r="AN555" s="45">
        <f>IF(AJ555="","",AJ555*AM555)</f>
        <v/>
      </c>
      <c r="AO555" s="45">
        <f>IF(OR(AJ555="",U555=0),"",MIN(IF(AW555="",9.9E+99,AW555),FLOOR(AN555/U555,1)))</f>
        <v/>
      </c>
      <c r="AP555" s="49">
        <f>IF(AO555="","",AO555*W555)</f>
        <v/>
      </c>
      <c r="AQ555" s="47">
        <f>IF(OR(AJ555="",U555=0),"",MIN(IF(AW555="",9.9E+99,AW555),AN555/U555))</f>
        <v/>
      </c>
      <c r="AR555" s="49">
        <f>IF(AQ555="","",AQ555*W555)</f>
        <v/>
      </c>
      <c r="AS555" s="51" t="n"/>
      <c r="AT555" s="43" t="inlineStr">
        <is>
          <t>Grounded</t>
        </is>
      </c>
      <c r="AU555" s="52" t="n"/>
      <c r="AV555" s="52" t="n"/>
      <c r="AW555" s="53" t="n"/>
      <c r="AX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Y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Z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BA555" s="40" t="n"/>
      <c r="BB555" s="40" t="n"/>
    </row>
    <row r="556">
      <c r="A556" s="38" t="inlineStr">
        <is>
          <t>UAE (Careem)</t>
        </is>
      </c>
      <c r="B556" s="38" t="inlineStr">
        <is>
          <t>United Arab Emirates</t>
        </is>
      </c>
      <c r="C556" s="39" t="inlineStr">
        <is>
          <t>Côte d'Azur Resort Marina (Heart of Europe) → Bulgari Yacht Club &amp; Marina</t>
        </is>
      </c>
      <c r="D556" s="38" t="inlineStr">
        <is>
          <t>careem</t>
        </is>
      </c>
      <c r="E556" s="40" t="inlineStr">
        <is>
          <t>bolt-uae, uae-careem, uae-luxury, uae-noon, yango-uae</t>
        </is>
      </c>
      <c r="F556" s="41" t="n">
        <v>5</v>
      </c>
      <c r="G556" s="42" t="n">
        <v>4.2</v>
      </c>
      <c r="H556" s="35" t="n">
        <v>150</v>
      </c>
      <c r="I556" s="43" t="inlineStr">
        <is>
          <t>T5</t>
        </is>
      </c>
      <c r="J556" s="43" t="inlineStr">
        <is>
          <t>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20000</v>
      </c>
      <c r="AK556" s="43" t="inlineStr">
        <is>
          <t>T3</t>
        </is>
      </c>
      <c r="AL556" s="43" t="inlineStr">
        <is>
          <t>low</t>
        </is>
      </c>
      <c r="AM556" s="50" t="n">
        <v>0.1</v>
      </c>
      <c r="AN556" s="45">
        <f>IF(AJ556="","",AJ556*AM556)</f>
        <v/>
      </c>
      <c r="AO556" s="45">
        <f>IF(OR(AJ556="",U556=0),"",MIN(IF(AW556="",9.9E+99,AW556),FLOOR(AN556/U556,1)))</f>
        <v/>
      </c>
      <c r="AP556" s="49">
        <f>IF(AO556="","",AO556*W556)</f>
        <v/>
      </c>
      <c r="AQ556" s="47">
        <f>IF(OR(AJ556="",U556=0),"",MIN(IF(AW556="",9.9E+99,AW556),AN556/U556))</f>
        <v/>
      </c>
      <c r="AR556" s="49">
        <f>IF(AQ556="","",AQ556*W556)</f>
        <v/>
      </c>
      <c r="AS556" s="51" t="n"/>
      <c r="AT556" s="43" t="inlineStr">
        <is>
          <t>Grounded</t>
        </is>
      </c>
      <c r="AU556" s="52" t="n"/>
      <c r="AV556" s="52" t="n"/>
      <c r="AW556" s="53" t="n"/>
      <c r="AX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Y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Z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BA556" s="40" t="inlineStr">
        <is>
          <t>The World (boat-only)&lt;-&gt;Bulgari (Jumeirah Bay) luxury hop. Greenfield. T5/low.</t>
        </is>
      </c>
      <c r="BB55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7">
      <c r="A557" s="38" t="inlineStr">
        <is>
          <t>Gulf Authority Rakta</t>
        </is>
      </c>
      <c r="B557" s="38" t="inlineStr">
        <is>
          <t>United Arab Emirates</t>
        </is>
      </c>
      <c r="C557" s="39" t="inlineStr">
        <is>
          <t>ميناء صيادين خورخوير → Sha'am Fishing Boat Harbour</t>
        </is>
      </c>
      <c r="D557" s="38" t="inlineStr">
        <is>
          <t>rakta</t>
        </is>
      </c>
      <c r="E557" s="40" t="inlineStr">
        <is>
          <t>gulf-authority-bahrain-motc, gulf-authority-rakta</t>
        </is>
      </c>
      <c r="F557" s="41" t="n">
        <v>2</v>
      </c>
      <c r="G557" s="42" t="n">
        <v>4.3</v>
      </c>
      <c r="H557" s="35" t="n">
        <v>35</v>
      </c>
      <c r="I557" s="43" t="inlineStr">
        <is>
          <t>T3</t>
        </is>
      </c>
      <c r="J557" s="43" t="inlineStr">
        <is>
          <t>med-low</t>
        </is>
      </c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>
        <v>5217</v>
      </c>
      <c r="AK557" s="43" t="inlineStr">
        <is>
          <t>T3</t>
        </is>
      </c>
      <c r="AL557" s="43" t="inlineStr">
        <is>
          <t>med-low</t>
        </is>
      </c>
      <c r="AM557" s="50" t="n">
        <v>0.1</v>
      </c>
      <c r="AN557" s="45">
        <f>IF(AJ557="","",AJ557*AM557)</f>
        <v/>
      </c>
      <c r="AO557" s="45">
        <f>IF(OR(AJ557="",U557=0),"",MIN(IF(AW557="",9.9E+99,AW557),FLOOR(AN557/U557,1)))</f>
        <v/>
      </c>
      <c r="AP557" s="49">
        <f>IF(AO557="","",AO557*W557)</f>
        <v/>
      </c>
      <c r="AQ557" s="47">
        <f>IF(OR(AJ557="",U557=0),"",MIN(IF(AW557="",9.9E+99,AW557),AN557/U557))</f>
        <v/>
      </c>
      <c r="AR557" s="49">
        <f>IF(AQ557="","",AQ557*W557)</f>
        <v/>
      </c>
      <c r="AS557" s="51" t="n"/>
      <c r="AT557" s="43" t="inlineStr">
        <is>
          <t>Grounded</t>
        </is>
      </c>
      <c r="AU557" s="52" t="n"/>
      <c r="AV557" s="52" t="n"/>
      <c r="AW557" s="53" t="n"/>
      <c r="AX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Y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Z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BA557" s="40" t="n"/>
      <c r="BB557" s="40" t="n"/>
    </row>
    <row r="558">
      <c r="A558" s="38" t="inlineStr">
        <is>
          <t>UAE (Careem)</t>
        </is>
      </c>
      <c r="B558" s="38" t="inlineStr">
        <is>
          <t>United Arab Emirates</t>
        </is>
      </c>
      <c r="C558" s="39" t="inlineStr">
        <is>
          <t>Saadiyat Beach Club Jetty → Zaya Nurai Island Jetty</t>
        </is>
      </c>
      <c r="D558" s="38" t="inlineStr">
        <is>
          <t>careem</t>
        </is>
      </c>
      <c r="E558" s="40" t="inlineStr">
        <is>
          <t>bolt-uae, uae-careem, uae-luxury, uae-noon, yango-uae</t>
        </is>
      </c>
      <c r="F558" s="41" t="n">
        <v>5</v>
      </c>
      <c r="G558" s="42" t="n">
        <v>4.4</v>
      </c>
      <c r="H558" s="35" t="n">
        <v>150</v>
      </c>
      <c r="I558" s="43" t="inlineStr">
        <is>
          <t>T3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>
        <v>45000</v>
      </c>
      <c r="AK558" s="43" t="inlineStr">
        <is>
          <t>T5</t>
        </is>
      </c>
      <c r="AL558" s="43" t="inlineStr">
        <is>
          <t>low</t>
        </is>
      </c>
      <c r="AM558" s="50" t="n">
        <v>0.1</v>
      </c>
      <c r="AN558" s="45">
        <f>IF(AJ558="","",AJ558*AM558)</f>
        <v/>
      </c>
      <c r="AO558" s="45">
        <f>IF(OR(AJ558="",U558=0),"",MIN(IF(AW558="",9.9E+99,AW558),FLOOR(AN558/U558,1)))</f>
        <v/>
      </c>
      <c r="AP558" s="49">
        <f>IF(AO558="","",AO558*W558)</f>
        <v/>
      </c>
      <c r="AQ558" s="47">
        <f>IF(OR(AJ558="",U558=0),"",MIN(IF(AW558="",9.9E+99,AW558),AN558/U558))</f>
        <v/>
      </c>
      <c r="AR558" s="49">
        <f>IF(AQ558="","",AQ558*W558)</f>
        <v/>
      </c>
      <c r="AS558" s="51" t="n"/>
      <c r="AT558" s="43" t="inlineStr">
        <is>
          <t>Grounded</t>
        </is>
      </c>
      <c r="AU558" s="52" t="n"/>
      <c r="AV558" s="52" t="n"/>
      <c r="AW558" s="53" t="n"/>
      <c r="AX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Y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Z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BA558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B558" s="40" t="inlineStr">
        <is>
          <t>Boat-only -&gt; FULLY addressable (R3-EXCEPTION). 32 villas + 23 residences stay-pool + day-club guests (major Saadiyat day-trip).</t>
        </is>
      </c>
    </row>
    <row r="559">
      <c r="A559" s="38" t="inlineStr">
        <is>
          <t>UAE (Careem)</t>
        </is>
      </c>
      <c r="B559" s="38" t="inlineStr">
        <is>
          <t>United Arab Emirates</t>
        </is>
      </c>
      <c r="C559" s="39" t="inlineStr">
        <is>
          <t>Dubai Harbour Marina → Atlantis The Royal Jetty</t>
        </is>
      </c>
      <c r="D559" s="38" t="inlineStr">
        <is>
          <t>careem</t>
        </is>
      </c>
      <c r="E559" s="40" t="inlineStr">
        <is>
          <t>bolt-uae, uae-careem, uae-luxury, uae-noon, yango-uae</t>
        </is>
      </c>
      <c r="F559" s="41" t="n">
        <v>5</v>
      </c>
      <c r="G559" s="42" t="n">
        <v>4.9</v>
      </c>
      <c r="H559" s="35" t="n">
        <v>175</v>
      </c>
      <c r="I559" s="43" t="inlineStr">
        <is>
          <t>T5</t>
        </is>
      </c>
      <c r="J559" s="43" t="inlineStr">
        <is>
          <t>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10000</v>
      </c>
      <c r="AK559" s="43" t="inlineStr">
        <is>
          <t>T5</t>
        </is>
      </c>
      <c r="AL559" s="43" t="inlineStr">
        <is>
          <t>low</t>
        </is>
      </c>
      <c r="AM559" s="50" t="n">
        <v>0.1</v>
      </c>
      <c r="AN559" s="45">
        <f>IF(AJ559="","",AJ559*AM559)</f>
        <v/>
      </c>
      <c r="AO559" s="45">
        <f>IF(OR(AJ559="",U559=0),"",MIN(IF(AW559="",9.9E+99,AW559),FLOOR(AN559/U559,1)))</f>
        <v/>
      </c>
      <c r="AP559" s="49">
        <f>IF(AO559="","",AO559*W559)</f>
        <v/>
      </c>
      <c r="AQ559" s="47">
        <f>IF(OR(AJ559="",U559=0),"",MIN(IF(AW559="",9.9E+99,AW559),AN559/U559))</f>
        <v/>
      </c>
      <c r="AR559" s="49">
        <f>IF(AQ559="","",AQ559*W559)</f>
        <v/>
      </c>
      <c r="AS559" s="51" t="n"/>
      <c r="AT559" s="43" t="inlineStr">
        <is>
          <t>Grounded</t>
        </is>
      </c>
      <c r="AU559" s="52" t="n"/>
      <c r="AV559" s="52" t="n"/>
      <c r="AW559" s="53" t="n"/>
      <c r="AX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Y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Z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BA559" s="40" t="inlineStr">
        <is>
          <t>Atlantis The Royal (795 keys) road-served; signature marine arrival opportunity-to-create. T5/low.</t>
        </is>
      </c>
      <c r="BB559" s="40" t="inlineStr">
        <is>
          <t>OPT-IN luxury-arrival fraction only (R3-LAND road-served). 795 keys x occ -&gt; small opt-in marine pool.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Jebel Dhanna / Ruwais Ferry Terminal → Sir Bani Yas Cruise Port</t>
        </is>
      </c>
      <c r="D560" s="38" t="inlineStr">
        <is>
          <t>careem</t>
        </is>
      </c>
      <c r="E560" s="40" t="inlineStr">
        <is>
          <t>bolt-uae, uae-careem, uae-luxury, uae-noon, yango-uae</t>
        </is>
      </c>
      <c r="F560" s="41" t="n">
        <v>5</v>
      </c>
      <c r="G560" s="42" t="n">
        <v>5.3</v>
      </c>
      <c r="H560" s="35" t="n">
        <v>90</v>
      </c>
      <c r="I560" s="43" t="inlineStr">
        <is>
          <t>T5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60000</v>
      </c>
      <c r="AK560" s="43" t="inlineStr">
        <is>
          <t>T5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IF(OR(AJ560="",U560=0),"",MIN(IF(AW560="",9.9E+99,AW560),FLOOR(AN560/U560,1)))</f>
        <v/>
      </c>
      <c r="AP560" s="49">
        <f>IF(AO560="","",AO560*W560)</f>
        <v/>
      </c>
      <c r="AQ560" s="47">
        <f>IF(OR(AJ560="",U560=0),"",MIN(IF(AW560="",9.9E+99,AW560),AN560/U560))</f>
        <v/>
      </c>
      <c r="AR560" s="49">
        <f>IF(AQ560="","",AQ560*W560)</f>
        <v/>
      </c>
      <c r="AS560" s="51" t="n"/>
      <c r="AT560" s="43" t="inlineStr">
        <is>
          <t>Grounded</t>
        </is>
      </c>
      <c r="AU560" s="52" t="n"/>
      <c r="AV560" s="52" t="n"/>
      <c r="AW560" s="53" t="n"/>
      <c r="AX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Y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Z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BA560" s="40" t="inlineStr">
        <is>
          <t>Sir Bani Yas boat-only (~8km offshore). 3 Anantara resorts ~124 keys. Guest boat transfer FREE today (R-UAE-1) -&gt; $90 opportunity-to-create / day-guest analog. T5/low.</t>
        </is>
      </c>
      <c r="BB560" s="40" t="inlineStr">
        <is>
          <t>Sir Bani Yas boat-only (R3-EXCEPTION). 3 Anantara resorts ~124 keys + Arabian Wildlife Park day-visitors via Jebel Dhanna ferry.</t>
        </is>
      </c>
    </row>
    <row r="561">
      <c r="A561" s="38" t="inlineStr">
        <is>
          <t>Gulf Authority Rakta</t>
        </is>
      </c>
      <c r="B561" s="38" t="inlineStr">
        <is>
          <t>United Arab Emirates</t>
        </is>
      </c>
      <c r="C561" s="39" t="inlineStr">
        <is>
          <t>Gumda Fishing Harbour → Sha'am coastal staging point</t>
        </is>
      </c>
      <c r="D561" s="38" t="inlineStr">
        <is>
          <t>rakta</t>
        </is>
      </c>
      <c r="E561" s="40" t="inlineStr">
        <is>
          <t>gulf-authority-bahrain-motc, gulf-authority-rakta</t>
        </is>
      </c>
      <c r="F561" s="41" t="n">
        <v>2</v>
      </c>
      <c r="G561" s="42" t="n">
        <v>5.3</v>
      </c>
      <c r="H561" s="35" t="n">
        <v>35</v>
      </c>
      <c r="I561" s="43" t="inlineStr">
        <is>
          <t>T3</t>
        </is>
      </c>
      <c r="J561" s="43" t="inlineStr">
        <is>
          <t>med-low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5217</v>
      </c>
      <c r="AK561" s="43" t="inlineStr">
        <is>
          <t>T3</t>
        </is>
      </c>
      <c r="AL561" s="43" t="inlineStr">
        <is>
          <t>med-low</t>
        </is>
      </c>
      <c r="AM561" s="50" t="n">
        <v>0.1</v>
      </c>
      <c r="AN561" s="45">
        <f>IF(AJ561="","",AJ561*AM561)</f>
        <v/>
      </c>
      <c r="AO561" s="45">
        <f>IF(OR(AJ561="",U561=0),"",MIN(IF(AW561="",9.9E+99,AW561),FLOOR(AN561/U561,1)))</f>
        <v/>
      </c>
      <c r="AP561" s="49">
        <f>IF(AO561="","",AO561*W561)</f>
        <v/>
      </c>
      <c r="AQ561" s="47">
        <f>IF(OR(AJ561="",U561=0),"",MIN(IF(AW561="",9.9E+99,AW561),AN561/U561))</f>
        <v/>
      </c>
      <c r="AR561" s="49">
        <f>IF(AQ561="","",AQ561*W561)</f>
        <v/>
      </c>
      <c r="AS561" s="51" t="n"/>
      <c r="AT561" s="43" t="inlineStr">
        <is>
          <t>Grounded</t>
        </is>
      </c>
      <c r="AU561" s="52" t="n"/>
      <c r="AV561" s="52" t="n"/>
      <c r="AW561" s="53" t="n"/>
      <c r="AX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Y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Z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BA561" s="40" t="n"/>
      <c r="BB561" s="40" t="n"/>
    </row>
    <row r="562">
      <c r="A562" s="38" t="inlineStr">
        <is>
          <t>Gulf Authority Rakta</t>
        </is>
      </c>
      <c r="B562" s="38" t="inlineStr">
        <is>
          <t>United Arab Emirates</t>
        </is>
      </c>
      <c r="C562" s="39" t="inlineStr">
        <is>
          <t>Zighy Marina → Dibba Al-Hisn Marina - Sharjah</t>
        </is>
      </c>
      <c r="D562" s="38" t="inlineStr">
        <is>
          <t>rakta</t>
        </is>
      </c>
      <c r="E562" s="40" t="inlineStr">
        <is>
          <t>gulf-authority-bahrain-motc, gulf-authority-rakta</t>
        </is>
      </c>
      <c r="F562" s="41" t="n">
        <v>2</v>
      </c>
      <c r="G562" s="42" t="n">
        <v>5.3</v>
      </c>
      <c r="H562" s="35" t="n">
        <v>35</v>
      </c>
      <c r="I562" s="43" t="inlineStr">
        <is>
          <t>T3</t>
        </is>
      </c>
      <c r="J562" s="43" t="inlineStr">
        <is>
          <t>med-low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5217</v>
      </c>
      <c r="AK562" s="43" t="inlineStr">
        <is>
          <t>T3</t>
        </is>
      </c>
      <c r="AL562" s="43" t="inlineStr">
        <is>
          <t>med-low</t>
        </is>
      </c>
      <c r="AM562" s="50" t="n">
        <v>0.1</v>
      </c>
      <c r="AN562" s="45">
        <f>IF(AJ562="","",AJ562*AM562)</f>
        <v/>
      </c>
      <c r="AO562" s="45">
        <f>IF(OR(AJ562="",U562=0),"",MIN(IF(AW562="",9.9E+99,AW562),FLOOR(AN562/U562,1)))</f>
        <v/>
      </c>
      <c r="AP562" s="49">
        <f>IF(AO562="","",AO562*W562)</f>
        <v/>
      </c>
      <c r="AQ562" s="47">
        <f>IF(OR(AJ562="",U562=0),"",MIN(IF(AW562="",9.9E+99,AW562),AN562/U562))</f>
        <v/>
      </c>
      <c r="AR562" s="49">
        <f>IF(AQ562="","",AQ562*W562)</f>
        <v/>
      </c>
      <c r="AS562" s="51" t="n"/>
      <c r="AT562" s="43" t="inlineStr">
        <is>
          <t>Grounded</t>
        </is>
      </c>
      <c r="AU562" s="52" t="n"/>
      <c r="AV562" s="52" t="n"/>
      <c r="AW562" s="53" t="n"/>
      <c r="AX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Y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Z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BA562" s="40" t="n"/>
      <c r="BB562" s="40" t="n"/>
    </row>
    <row r="563">
      <c r="A563" s="38" t="inlineStr">
        <is>
          <t>UAE (Careem)</t>
        </is>
      </c>
      <c r="B563" s="38" t="inlineStr">
        <is>
          <t>United Arab Emirates</t>
        </is>
      </c>
      <c r="C563" s="39" t="inlineStr">
        <is>
          <t>Dubai Harbour Marina → Burj Al Arab Private Jetty</t>
        </is>
      </c>
      <c r="D563" s="38" t="inlineStr">
        <is>
          <t>careem</t>
        </is>
      </c>
      <c r="E563" s="40" t="inlineStr">
        <is>
          <t>bolt-uae, uae-careem, uae-luxury, uae-noon, yango-uae</t>
        </is>
      </c>
      <c r="F563" s="41" t="n">
        <v>5</v>
      </c>
      <c r="G563" s="42" t="n">
        <v>6.9</v>
      </c>
      <c r="H563" s="35" t="n">
        <v>250</v>
      </c>
      <c r="I563" s="43" t="inlineStr">
        <is>
          <t>T5</t>
        </is>
      </c>
      <c r="J563" s="43" t="inlineStr">
        <is>
          <t>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5000</v>
      </c>
      <c r="AK563" s="43" t="inlineStr">
        <is>
          <t>T5</t>
        </is>
      </c>
      <c r="AL563" s="43" t="inlineStr">
        <is>
          <t>low</t>
        </is>
      </c>
      <c r="AM563" s="50" t="n">
        <v>0.1</v>
      </c>
      <c r="AN563" s="45">
        <f>IF(AJ563="","",AJ563*AM563)</f>
        <v/>
      </c>
      <c r="AO563" s="45">
        <f>IF(OR(AJ563="",U563=0),"",MIN(IF(AW563="",9.9E+99,AW563),FLOOR(AN563/U563,1)))</f>
        <v/>
      </c>
      <c r="AP563" s="49">
        <f>IF(AO563="","",AO563*W563)</f>
        <v/>
      </c>
      <c r="AQ563" s="47">
        <f>IF(OR(AJ563="",U563=0),"",MIN(IF(AW563="",9.9E+99,AW563),AN563/U563))</f>
        <v/>
      </c>
      <c r="AR563" s="49">
        <f>IF(AQ563="","",AQ563*W563)</f>
        <v/>
      </c>
      <c r="AS563" s="51" t="n"/>
      <c r="AT563" s="43" t="inlineStr">
        <is>
          <t>Grounded</t>
        </is>
      </c>
      <c r="AU563" s="52" t="n"/>
      <c r="AV563" s="52" t="n"/>
      <c r="AW563" s="53" t="n"/>
      <c r="AX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Y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Z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BA563" s="40" t="inlineStr">
        <is>
          <t>Burj Al Arab (202 suites) road-served; iconic signature marine arrival. T5/low.</t>
        </is>
      </c>
      <c r="BB563" s="40" t="inlineStr">
        <is>
          <t>OPT-IN only (R3-LAND). 202 suites x occ -&gt; modest base + experiential day-guest yacht-arrivals.</t>
        </is>
      </c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Marina Mall / Breakwater Marina → Reem Island Marina (Najmat / Marina Square)</t>
        </is>
      </c>
      <c r="D564" s="38" t="inlineStr">
        <is>
          <t>careem</t>
        </is>
      </c>
      <c r="E564" s="40" t="inlineStr">
        <is>
          <t>bolt-uae, uae-careem, uae-luxury, uae-noon, yango-uae</t>
        </is>
      </c>
      <c r="F564" s="41" t="n">
        <v>5</v>
      </c>
      <c r="G564" s="42" t="n">
        <v>7.1</v>
      </c>
      <c r="H564" s="35" t="n">
        <v>60</v>
      </c>
      <c r="I564" s="43" t="inlineStr">
        <is>
          <t>T4</t>
        </is>
      </c>
      <c r="J564" s="43" t="inlineStr">
        <is>
          <t>low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35000</v>
      </c>
      <c r="AK564" s="43" t="inlineStr">
        <is>
          <t>T3</t>
        </is>
      </c>
      <c r="AL564" s="43" t="inlineStr">
        <is>
          <t>low</t>
        </is>
      </c>
      <c r="AM564" s="50" t="n">
        <v>0.1</v>
      </c>
      <c r="AN564" s="45">
        <f>IF(AJ564="","",AJ564*AM564)</f>
        <v/>
      </c>
      <c r="AO564" s="45">
        <f>IF(OR(AJ564="",U564=0),"",MIN(IF(AW564="",9.9E+99,AW564),FLOOR(AN564/U564,1)))</f>
        <v/>
      </c>
      <c r="AP564" s="49">
        <f>IF(AO564="","",AO564*W564)</f>
        <v/>
      </c>
      <c r="AQ564" s="47">
        <f>IF(OR(AJ564="",U564=0),"",MIN(IF(AW564="",9.9E+99,AW564),AN564/U564))</f>
        <v/>
      </c>
      <c r="AR564" s="49">
        <f>IF(AQ564="","",AQ564*W564)</f>
        <v/>
      </c>
      <c r="AS564" s="51" t="n"/>
      <c r="AT564" s="43" t="inlineStr">
        <is>
          <t>Grounded</t>
        </is>
      </c>
      <c r="AU564" s="52" t="n"/>
      <c r="AV564" s="52" t="n"/>
      <c r="AW564" s="53" t="n"/>
      <c r="AX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Y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Z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BA564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B56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5">
      <c r="A565" s="38" t="inlineStr">
        <is>
          <t>Gulf Authority Rakta</t>
        </is>
      </c>
      <c r="B565" s="38" t="inlineStr">
        <is>
          <t>United Arab Emirates</t>
        </is>
      </c>
      <c r="C565" s="39" t="inlineStr">
        <is>
          <t>Gumda Fishing Harbour → Sha'am Fishing Boat Harbour</t>
        </is>
      </c>
      <c r="D565" s="38" t="inlineStr">
        <is>
          <t>rakta</t>
        </is>
      </c>
      <c r="E565" s="40" t="inlineStr">
        <is>
          <t>gulf-authority-bahrain-motc, gulf-authority-rakta</t>
        </is>
      </c>
      <c r="F565" s="41" t="n">
        <v>2</v>
      </c>
      <c r="G565" s="42" t="n">
        <v>7.2</v>
      </c>
      <c r="H565" s="35" t="n">
        <v>35</v>
      </c>
      <c r="I565" s="43" t="inlineStr">
        <is>
          <t>T3</t>
        </is>
      </c>
      <c r="J565" s="43" t="inlineStr">
        <is>
          <t>med-low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5217</v>
      </c>
      <c r="AK565" s="43" t="inlineStr">
        <is>
          <t>T3</t>
        </is>
      </c>
      <c r="AL565" s="43" t="inlineStr">
        <is>
          <t>med-low</t>
        </is>
      </c>
      <c r="AM565" s="50" t="n">
        <v>0.1</v>
      </c>
      <c r="AN565" s="45">
        <f>IF(AJ565="","",AJ565*AM565)</f>
        <v/>
      </c>
      <c r="AO565" s="45">
        <f>IF(OR(AJ565="",U565=0),"",MIN(IF(AW565="",9.9E+99,AW565),FLOOR(AN565/U565,1)))</f>
        <v/>
      </c>
      <c r="AP565" s="49">
        <f>IF(AO565="","",AO565*W565)</f>
        <v/>
      </c>
      <c r="AQ565" s="47">
        <f>IF(OR(AJ565="",U565=0),"",MIN(IF(AW565="",9.9E+99,AW565),AN565/U565))</f>
        <v/>
      </c>
      <c r="AR565" s="49">
        <f>IF(AQ565="","",AQ565*W565)</f>
        <v/>
      </c>
      <c r="AS565" s="51" t="n"/>
      <c r="AT565" s="43" t="inlineStr">
        <is>
          <t>Grounded</t>
        </is>
      </c>
      <c r="AU565" s="52" t="n"/>
      <c r="AV565" s="52" t="n"/>
      <c r="AW565" s="53" t="n"/>
      <c r="AX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Y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Z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BA565" s="40" t="n"/>
      <c r="BB565" s="40" t="n"/>
    </row>
    <row r="566">
      <c r="A566" s="38" t="inlineStr">
        <is>
          <t>UAE (Careem)</t>
        </is>
      </c>
      <c r="B566" s="38" t="inlineStr">
        <is>
          <t>United Arab Emirates</t>
        </is>
      </c>
      <c r="C566" s="39" t="inlineStr">
        <is>
          <t>Dubai Harbour Marina → Anantara World Islands Resort Jetty (planned)</t>
        </is>
      </c>
      <c r="D566" s="38" t="inlineStr">
        <is>
          <t>careem</t>
        </is>
      </c>
      <c r="E566" s="40" t="inlineStr">
        <is>
          <t>bolt-uae, uae-careem, uae-luxury, uae-noon, yango-uae</t>
        </is>
      </c>
      <c r="F566" s="41" t="n">
        <v>5</v>
      </c>
      <c r="G566" s="42" t="n">
        <v>7.9</v>
      </c>
      <c r="H566" s="35" t="n">
        <v>80</v>
      </c>
      <c r="I566" s="43" t="inlineStr">
        <is>
          <t>T4</t>
        </is>
      </c>
      <c r="J566" s="43" t="inlineStr">
        <is>
          <t>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30000</v>
      </c>
      <c r="AK566" s="43" t="inlineStr">
        <is>
          <t>T5</t>
        </is>
      </c>
      <c r="AL566" s="43" t="inlineStr">
        <is>
          <t>low</t>
        </is>
      </c>
      <c r="AM566" s="50" t="n">
        <v>0.1</v>
      </c>
      <c r="AN566" s="45">
        <f>IF(AJ566="","",AJ566*AM566)</f>
        <v/>
      </c>
      <c r="AO566" s="45">
        <f>IF(OR(AJ566="",U566=0),"",MIN(IF(AW566="",9.9E+99,AW566),FLOOR(AN566/U566,1)))</f>
        <v/>
      </c>
      <c r="AP566" s="49">
        <f>IF(AO566="","",AO566*W566)</f>
        <v/>
      </c>
      <c r="AQ566" s="47">
        <f>IF(OR(AJ566="",U566=0),"",MIN(IF(AW566="",9.9E+99,AW566),AN566/U566))</f>
        <v/>
      </c>
      <c r="AR566" s="49">
        <f>IF(AQ566="","",AQ566*W566)</f>
        <v/>
      </c>
      <c r="AS566" s="51" t="n"/>
      <c r="AT566" s="43" t="inlineStr">
        <is>
          <t>Grounded</t>
        </is>
      </c>
      <c r="AU566" s="52" t="n"/>
      <c r="AV566" s="52" t="n"/>
      <c r="AW566" s="53" t="n"/>
      <c r="AX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Y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Z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BA566" s="40" t="inlineStr">
        <is>
          <t>Anantara World Islands Resort (boat-only; Forbes/Expedia 'accessible only by boat'). Resort shuttle ~AED 150/pax RETURN (~$20/way); premium per-seat modeled $80.</t>
        </is>
      </c>
      <c r="BB566" s="40" t="inlineStr">
        <is>
          <t>Boot-only -&gt; arrivals=crossing ridership FULLY addressable (R3-EXCEPTION). ~70 keys x ~65% occ + day-guests.</t>
        </is>
      </c>
    </row>
    <row r="567">
      <c r="A567" s="38" t="inlineStr">
        <is>
          <t>UAE (Careem)</t>
        </is>
      </c>
      <c r="B567" s="38" t="inlineStr">
        <is>
          <t>United Arab Emirates</t>
        </is>
      </c>
      <c r="C567" s="39" t="inlineStr">
        <is>
          <t>Saadiyat Beach Club Jetty → Marina Mall / Breakwater Marina</t>
        </is>
      </c>
      <c r="D567" s="38" t="inlineStr">
        <is>
          <t>careem</t>
        </is>
      </c>
      <c r="E567" s="40" t="inlineStr">
        <is>
          <t>bolt-uae, uae-careem, uae-luxury, uae-noon, yango-uae</t>
        </is>
      </c>
      <c r="F567" s="41" t="n">
        <v>5</v>
      </c>
      <c r="G567" s="42" t="n">
        <v>8.9</v>
      </c>
      <c r="H567" s="35" t="n">
        <v>70</v>
      </c>
      <c r="I567" s="43" t="inlineStr">
        <is>
          <t>T4</t>
        </is>
      </c>
      <c r="J567" s="43" t="inlineStr">
        <is>
          <t>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25000</v>
      </c>
      <c r="AK567" s="43" t="inlineStr">
        <is>
          <t>T3</t>
        </is>
      </c>
      <c r="AL567" s="43" t="inlineStr">
        <is>
          <t>low</t>
        </is>
      </c>
      <c r="AM567" s="50" t="n">
        <v>0.1</v>
      </c>
      <c r="AN567" s="45">
        <f>IF(AJ567="","",AJ567*AM567)</f>
        <v/>
      </c>
      <c r="AO567" s="45">
        <f>IF(OR(AJ567="",U567=0),"",MIN(IF(AW567="",9.9E+99,AW567),FLOOR(AN567/U567,1)))</f>
        <v/>
      </c>
      <c r="AP567" s="49">
        <f>IF(AO567="","",AO567*W567)</f>
        <v/>
      </c>
      <c r="AQ567" s="47">
        <f>IF(OR(AJ567="",U567=0),"",MIN(IF(AW567="",9.9E+99,AW567),AN567/U567))</f>
        <v/>
      </c>
      <c r="AR567" s="49">
        <f>IF(AQ567="","",AQ567*W567)</f>
        <v/>
      </c>
      <c r="AS567" s="51" t="n"/>
      <c r="AT567" s="43" t="inlineStr">
        <is>
          <t>Grounded</t>
        </is>
      </c>
      <c r="AU567" s="52" t="n"/>
      <c r="AV567" s="52" t="n"/>
      <c r="AW567" s="53" t="n"/>
      <c r="AX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Y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Z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BA567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B56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8">
      <c r="A568" s="38" t="inlineStr">
        <is>
          <t>UAE (Careem)</t>
        </is>
      </c>
      <c r="B568" s="38" t="inlineStr">
        <is>
          <t>United Arab Emirates</t>
        </is>
      </c>
      <c r="C568" s="39" t="inlineStr">
        <is>
          <t>Dubai Harbour Marina → Côte d'Azur Resort Marina (Heart of Europe)</t>
        </is>
      </c>
      <c r="D568" s="38" t="inlineStr">
        <is>
          <t>careem</t>
        </is>
      </c>
      <c r="E568" s="40" t="inlineStr">
        <is>
          <t>bolt-uae, uae-careem, uae-luxury, uae-noon, yango-uae</t>
        </is>
      </c>
      <c r="F568" s="41" t="n">
        <v>5</v>
      </c>
      <c r="G568" s="42" t="n">
        <v>9.199999999999999</v>
      </c>
      <c r="H568" s="35" t="n">
        <v>175</v>
      </c>
      <c r="I568" s="43" t="inlineStr">
        <is>
          <t>T5</t>
        </is>
      </c>
      <c r="J568" s="43" t="inlineStr">
        <is>
          <t>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70000</v>
      </c>
      <c r="AK568" s="43" t="inlineStr">
        <is>
          <t>T2</t>
        </is>
      </c>
      <c r="AL568" s="43" t="inlineStr">
        <is>
          <t>medium</t>
        </is>
      </c>
      <c r="AM568" s="50" t="n">
        <v>0.1</v>
      </c>
      <c r="AN568" s="45">
        <f>IF(AJ568="","",AJ568*AM568)</f>
        <v/>
      </c>
      <c r="AO568" s="45">
        <f>IF(OR(AJ568="",U568=0),"",MIN(IF(AW568="",9.9E+99,AW568),FLOOR(AN568/U568,1)))</f>
        <v/>
      </c>
      <c r="AP568" s="49">
        <f>IF(AO568="","",AO568*W568)</f>
        <v/>
      </c>
      <c r="AQ568" s="47">
        <f>IF(OR(AJ568="",U568=0),"",MIN(IF(AW568="",9.9E+99,AW568),AN568/U568))</f>
        <v/>
      </c>
      <c r="AR568" s="49">
        <f>IF(AQ568="","",AQ568*W568)</f>
        <v/>
      </c>
      <c r="AS568" s="51" t="n"/>
      <c r="AT568" s="43" t="inlineStr">
        <is>
          <t>Grounded</t>
        </is>
      </c>
      <c r="AU568" s="52" t="n"/>
      <c r="AV568" s="52" t="n"/>
      <c r="AW568" s="53" t="n"/>
      <c r="AX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Y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Z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BA568" s="40" t="inlineStr">
        <is>
          <t>The World (Heart of Europe/Cote d'Azur) boat-only offshore. Shared per-seat $56-120/pax; resort transfers bundled. T5/low - opportunity-to-create.</t>
        </is>
      </c>
      <c r="BB56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9">
      <c r="A569" s="38" t="inlineStr">
        <is>
          <t>UAE (Careem)</t>
        </is>
      </c>
      <c r="B569" s="38" t="inlineStr">
        <is>
          <t>United Arab Emirates</t>
        </is>
      </c>
      <c r="C569" s="39" t="inlineStr">
        <is>
          <t>Vida Beach Resort Umm Al Quwain → Sharjah Waterfront City marina</t>
        </is>
      </c>
      <c r="D569" s="38" t="inlineStr">
        <is>
          <t>noon</t>
        </is>
      </c>
      <c r="E569" s="40" t="inlineStr">
        <is>
          <t>bolt-uae, uae-careem, uae-luxury, uae-noon, yango-uae</t>
        </is>
      </c>
      <c r="F569" s="41" t="n">
        <v>5</v>
      </c>
      <c r="G569" s="42" t="n">
        <v>9.6</v>
      </c>
      <c r="H569" s="35" t="n"/>
      <c r="I569" s="43" t="n"/>
      <c r="J569" s="43" t="n"/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/>
      <c r="AK569" s="43" t="n"/>
      <c r="AL569" s="43" t="n"/>
      <c r="AM569" s="50" t="n">
        <v>0.1</v>
      </c>
      <c r="AN569" s="45">
        <f>IF(AJ569="","",AJ569*AM569)</f>
        <v/>
      </c>
      <c r="AO569" s="45">
        <f>IF(OR(AJ569="",U569=0),"",MIN(IF(AW569="",9.9E+99,AW569),FLOOR(AN569/U569,1)))</f>
        <v/>
      </c>
      <c r="AP569" s="49">
        <f>IF(AO569="","",AO569*W569)</f>
        <v/>
      </c>
      <c r="AQ569" s="47">
        <f>IF(OR(AJ569="",U569=0),"",MIN(IF(AW569="",9.9E+99,AW569),AN569/U569))</f>
        <v/>
      </c>
      <c r="AR569" s="49">
        <f>IF(AQ569="","",AQ569*W569)</f>
        <v/>
      </c>
      <c r="AS569" s="51" t="n"/>
      <c r="AT569" s="43" t="inlineStr">
        <is>
          <t>Estimated</t>
        </is>
      </c>
      <c r="AU569" s="52" t="n"/>
      <c r="AV569" s="52" t="n"/>
      <c r="AW569" s="53" t="n"/>
      <c r="AX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Y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Z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BA569" s="40" t="n"/>
      <c r="BB569" s="40" t="n"/>
    </row>
    <row r="570">
      <c r="A570" s="38" t="inlineStr">
        <is>
          <t>UAE (Careem)</t>
        </is>
      </c>
      <c r="B570" s="38" t="inlineStr">
        <is>
          <t>United Arab Emirates</t>
        </is>
      </c>
      <c r="C570" s="39" t="inlineStr">
        <is>
          <t>Bluewaters Marina → Heart of Europe — Main Marina (The World)</t>
        </is>
      </c>
      <c r="D570" s="38" t="inlineStr">
        <is>
          <t>careem</t>
        </is>
      </c>
      <c r="E570" s="40" t="inlineStr">
        <is>
          <t>bolt-uae, uae-careem, uae-luxury, uae-noon, yango-uae</t>
        </is>
      </c>
      <c r="F570" s="41" t="n">
        <v>5</v>
      </c>
      <c r="G570" s="42" t="n">
        <v>9.880000000000001</v>
      </c>
      <c r="H570" s="35" t="n">
        <v>175</v>
      </c>
      <c r="I570" s="43" t="inlineStr">
        <is>
          <t>T5</t>
        </is>
      </c>
      <c r="J570" s="43" t="inlineStr">
        <is>
          <t>low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>
        <v>20000</v>
      </c>
      <c r="AK570" s="43" t="inlineStr">
        <is>
          <t>T3</t>
        </is>
      </c>
      <c r="AL570" s="43" t="inlineStr">
        <is>
          <t>low</t>
        </is>
      </c>
      <c r="AM570" s="50" t="n">
        <v>0.1</v>
      </c>
      <c r="AN570" s="45">
        <f>IF(AJ570="","",AJ570*AM570)</f>
        <v/>
      </c>
      <c r="AO570" s="45">
        <f>IF(OR(AJ570="",U570=0),"",MIN(IF(AW570="",9.9E+99,AW570),FLOOR(AN570/U570,1)))</f>
        <v/>
      </c>
      <c r="AP570" s="49">
        <f>IF(AO570="","",AO570*W570)</f>
        <v/>
      </c>
      <c r="AQ570" s="47">
        <f>IF(OR(AJ570="",U570=0),"",MIN(IF(AW570="",9.9E+99,AW570),AN570/U570))</f>
        <v/>
      </c>
      <c r="AR570" s="49">
        <f>IF(AQ570="","",AQ570*W570)</f>
        <v/>
      </c>
      <c r="AS570" s="51" t="n"/>
      <c r="AT570" s="43" t="inlineStr">
        <is>
          <t>Grounded</t>
        </is>
      </c>
      <c r="AU570" s="52" t="n"/>
      <c r="AV570" s="52" t="n"/>
      <c r="AW570" s="53" t="n"/>
      <c r="AX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Y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Z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BA570" s="40" t="inlineStr">
        <is>
          <t>The World (Heart of Europe) boat-only offshore; greenfield. T5/low.</t>
        </is>
      </c>
      <c r="BB57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1">
      <c r="A571" s="38" t="inlineStr">
        <is>
          <t>UAE (Careem)</t>
        </is>
      </c>
      <c r="B571" s="38" t="inlineStr">
        <is>
          <t>United Arab Emirates</t>
        </is>
      </c>
      <c r="C571" s="39" t="inlineStr">
        <is>
          <t>Dubai Harbour Marina → Bulgari Yacht Club &amp; Marina</t>
        </is>
      </c>
      <c r="D571" s="38" t="inlineStr">
        <is>
          <t>careem</t>
        </is>
      </c>
      <c r="E571" s="40" t="inlineStr">
        <is>
          <t>bolt-uae, uae-careem, uae-luxury, uae-noon, yango-uae</t>
        </is>
      </c>
      <c r="F571" s="41" t="n">
        <v>5</v>
      </c>
      <c r="G571" s="42" t="n">
        <v>10.2</v>
      </c>
      <c r="H571" s="35" t="n">
        <v>200</v>
      </c>
      <c r="I571" s="43" t="inlineStr">
        <is>
          <t>T5</t>
        </is>
      </c>
      <c r="J571" s="43" t="inlineStr">
        <is>
          <t>low</t>
        </is>
      </c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>
        <v>4000</v>
      </c>
      <c r="AK571" s="43" t="inlineStr">
        <is>
          <t>T5</t>
        </is>
      </c>
      <c r="AL571" s="43" t="inlineStr">
        <is>
          <t>low</t>
        </is>
      </c>
      <c r="AM571" s="50" t="n">
        <v>0.1</v>
      </c>
      <c r="AN571" s="45">
        <f>IF(AJ571="","",AJ571*AM571)</f>
        <v/>
      </c>
      <c r="AO571" s="45">
        <f>IF(OR(AJ571="",U571=0),"",MIN(IF(AW571="",9.9E+99,AW571),FLOOR(AN571/U571,1)))</f>
        <v/>
      </c>
      <c r="AP571" s="49">
        <f>IF(AO571="","",AO571*W571)</f>
        <v/>
      </c>
      <c r="AQ571" s="47">
        <f>IF(OR(AJ571="",U571=0),"",MIN(IF(AW571="",9.9E+99,AW571),AN571/U571))</f>
        <v/>
      </c>
      <c r="AR571" s="49">
        <f>IF(AQ571="","",AQ571*W571)</f>
        <v/>
      </c>
      <c r="AS571" s="51" t="n"/>
      <c r="AT571" s="43" t="inlineStr">
        <is>
          <t>Grounded</t>
        </is>
      </c>
      <c r="AU571" s="52" t="n"/>
      <c r="AV571" s="52" t="n"/>
      <c r="AW571" s="53" t="n"/>
      <c r="AX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Y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Z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BA571" s="40" t="inlineStr">
        <is>
          <t>Bulgari Resort Dubai ~129 keys + Bulgari Yacht Club &amp; Marina; road-served. T5/low.</t>
        </is>
      </c>
      <c r="BB571" s="40" t="inlineStr">
        <is>
          <t>OPT-IN only (R3-LAND). ~129-key resort + yacht-club members.</t>
        </is>
      </c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Emirates Palace Marina → Saadiyat Beach Club Jetty</t>
        </is>
      </c>
      <c r="D572" s="38" t="inlineStr">
        <is>
          <t>careem</t>
        </is>
      </c>
      <c r="E572" s="40" t="inlineStr">
        <is>
          <t>bolt-uae, uae-careem, uae-luxury, uae-noon, yango-uae</t>
        </is>
      </c>
      <c r="F572" s="41" t="n">
        <v>5</v>
      </c>
      <c r="G572" s="42" t="n">
        <v>10.4</v>
      </c>
      <c r="H572" s="35" t="n">
        <v>175</v>
      </c>
      <c r="I572" s="43" t="inlineStr">
        <is>
          <t>T5</t>
        </is>
      </c>
      <c r="J572" s="43" t="inlineStr">
        <is>
          <t>low</t>
        </is>
      </c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>
        <v>3000</v>
      </c>
      <c r="AK572" s="43" t="inlineStr">
        <is>
          <t>T5</t>
        </is>
      </c>
      <c r="AL572" s="43" t="inlineStr">
        <is>
          <t>low</t>
        </is>
      </c>
      <c r="AM572" s="50" t="n">
        <v>0.1</v>
      </c>
      <c r="AN572" s="45">
        <f>IF(AJ572="","",AJ572*AM572)</f>
        <v/>
      </c>
      <c r="AO572" s="45">
        <f>IF(OR(AJ572="",U572=0),"",MIN(IF(AW572="",9.9E+99,AW572),FLOOR(AN572/U572,1)))</f>
        <v/>
      </c>
      <c r="AP572" s="49">
        <f>IF(AO572="","",AO572*W572)</f>
        <v/>
      </c>
      <c r="AQ572" s="47">
        <f>IF(OR(AJ572="",U572=0),"",MIN(IF(AW572="",9.9E+99,AW572),AN572/U572))</f>
        <v/>
      </c>
      <c r="AR572" s="49">
        <f>IF(AQ572="","",AQ572*W572)</f>
        <v/>
      </c>
      <c r="AS572" s="51" t="n"/>
      <c r="AT572" s="43" t="inlineStr">
        <is>
          <t>Grounded</t>
        </is>
      </c>
      <c r="AU572" s="52" t="n"/>
      <c r="AV572" s="52" t="n"/>
      <c r="AW572" s="53" t="n"/>
      <c r="AX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Y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Z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BA572" s="40" t="inlineStr">
        <is>
          <t>Emirates Palace&lt;-&gt;Saadiyat experiential luxury hop; both road-served. T5/low.</t>
        </is>
      </c>
      <c r="BB572" s="40" t="inlineStr">
        <is>
          <t>OPT-IN only (R3-LAND: both road-served). Experiential luxury hop.</t>
        </is>
      </c>
    </row>
    <row r="573">
      <c r="A573" s="38" t="inlineStr">
        <is>
          <t>Gulf Authority Rakta</t>
        </is>
      </c>
      <c r="B573" s="38" t="inlineStr">
        <is>
          <t>United Arab Emirates</t>
        </is>
      </c>
      <c r="C573" s="39" t="inlineStr">
        <is>
          <t>UAQ Marine Club → Hamriyah Port Main Harbour</t>
        </is>
      </c>
      <c r="D573" s="38" t="inlineStr">
        <is>
          <t>rakta</t>
        </is>
      </c>
      <c r="E573" s="40" t="inlineStr">
        <is>
          <t>gulf-authority-bahrain-motc, gulf-authority-rakta</t>
        </is>
      </c>
      <c r="F573" s="41" t="n">
        <v>2</v>
      </c>
      <c r="G573" s="42" t="n">
        <v>10.5</v>
      </c>
      <c r="H573" s="35" t="n">
        <v>35</v>
      </c>
      <c r="I573" s="43" t="inlineStr">
        <is>
          <t>T3</t>
        </is>
      </c>
      <c r="J573" s="43" t="inlineStr">
        <is>
          <t>med-low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5217</v>
      </c>
      <c r="AK573" s="43" t="inlineStr">
        <is>
          <t>T3</t>
        </is>
      </c>
      <c r="AL573" s="43" t="inlineStr">
        <is>
          <t>med-low</t>
        </is>
      </c>
      <c r="AM573" s="50" t="n">
        <v>0.1</v>
      </c>
      <c r="AN573" s="45">
        <f>IF(AJ573="","",AJ573*AM573)</f>
        <v/>
      </c>
      <c r="AO573" s="45">
        <f>IF(OR(AJ573="",U573=0),"",MIN(IF(AW573="",9.9E+99,AW573),FLOOR(AN573/U573,1)))</f>
        <v/>
      </c>
      <c r="AP573" s="49">
        <f>IF(AO573="","",AO573*W573)</f>
        <v/>
      </c>
      <c r="AQ573" s="47">
        <f>IF(OR(AJ573="",U573=0),"",MIN(IF(AW573="",9.9E+99,AW573),AN573/U573))</f>
        <v/>
      </c>
      <c r="AR573" s="49">
        <f>IF(AQ573="","",AQ573*W573)</f>
        <v/>
      </c>
      <c r="AS573" s="51" t="n"/>
      <c r="AT573" s="43" t="inlineStr">
        <is>
          <t>Grounded</t>
        </is>
      </c>
      <c r="AU573" s="52" t="n"/>
      <c r="AV573" s="52" t="n"/>
      <c r="AW573" s="53" t="n"/>
      <c r="AX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Y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Z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BA573" s="40" t="n"/>
      <c r="BB573" s="40" t="n"/>
    </row>
    <row r="574">
      <c r="A574" s="38" t="inlineStr">
        <is>
          <t>UAE (Careem)</t>
        </is>
      </c>
      <c r="B574" s="38" t="inlineStr">
        <is>
          <t>United Arab Emirates</t>
        </is>
      </c>
      <c r="C574" s="39" t="inlineStr">
        <is>
          <t>Fujairah → Khorfakkan Corniche / Port</t>
        </is>
      </c>
      <c r="D574" s="38" t="inlineStr">
        <is>
          <t>noon</t>
        </is>
      </c>
      <c r="E574" s="40" t="inlineStr">
        <is>
          <t>bolt-uae, uae-careem, uae-luxury, uae-noon, yango-uae</t>
        </is>
      </c>
      <c r="F574" s="41" t="n">
        <v>5</v>
      </c>
      <c r="G574" s="42" t="n">
        <v>11.4</v>
      </c>
      <c r="H574" s="35" t="n"/>
      <c r="I574" s="43" t="n"/>
      <c r="J574" s="43" t="n"/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/>
      <c r="AK574" s="43" t="n"/>
      <c r="AL574" s="43" t="n"/>
      <c r="AM574" s="50" t="n">
        <v>0.1</v>
      </c>
      <c r="AN574" s="45">
        <f>IF(AJ574="","",AJ574*AM574)</f>
        <v/>
      </c>
      <c r="AO574" s="45">
        <f>IF(OR(AJ574="",U574=0),"",MIN(IF(AW574="",9.9E+99,AW574),FLOOR(AN574/U574,1)))</f>
        <v/>
      </c>
      <c r="AP574" s="49">
        <f>IF(AO574="","",AO574*W574)</f>
        <v/>
      </c>
      <c r="AQ574" s="47">
        <f>IF(OR(AJ574="",U574=0),"",MIN(IF(AW574="",9.9E+99,AW574),AN574/U574))</f>
        <v/>
      </c>
      <c r="AR574" s="49">
        <f>IF(AQ574="","",AQ574*W574)</f>
        <v/>
      </c>
      <c r="AS574" s="51" t="n"/>
      <c r="AT574" s="43" t="inlineStr">
        <is>
          <t>Estimated</t>
        </is>
      </c>
      <c r="AU574" s="52" t="n"/>
      <c r="AV574" s="52" t="n"/>
      <c r="AW574" s="53" t="n"/>
      <c r="AX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Y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Z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BA574" s="40" t="n"/>
      <c r="BB574" s="40" t="n"/>
    </row>
    <row r="575">
      <c r="A575" s="38" t="inlineStr">
        <is>
          <t>Gulf Authority Rakta</t>
        </is>
      </c>
      <c r="B575" s="38" t="inlineStr">
        <is>
          <t>United Arab Emirates</t>
        </is>
      </c>
      <c r="C575" s="39" t="inlineStr">
        <is>
          <t>UAQ Marine Club → Rixos Bab Al Bahr beach jetty</t>
        </is>
      </c>
      <c r="D575" s="38" t="inlineStr">
        <is>
          <t>rakta</t>
        </is>
      </c>
      <c r="E575" s="40" t="inlineStr">
        <is>
          <t>gulf-authority-bahrain-motc, gulf-authority-rakta</t>
        </is>
      </c>
      <c r="F575" s="41" t="n">
        <v>2</v>
      </c>
      <c r="G575" s="42" t="n">
        <v>11.8</v>
      </c>
      <c r="H575" s="35" t="n">
        <v>35</v>
      </c>
      <c r="I575" s="43" t="inlineStr">
        <is>
          <t>T3</t>
        </is>
      </c>
      <c r="J575" s="43" t="inlineStr">
        <is>
          <t>med-low</t>
        </is>
      </c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>
        <v>5217</v>
      </c>
      <c r="AK575" s="43" t="inlineStr">
        <is>
          <t>T3</t>
        </is>
      </c>
      <c r="AL575" s="43" t="inlineStr">
        <is>
          <t>med-low</t>
        </is>
      </c>
      <c r="AM575" s="50" t="n">
        <v>0.1</v>
      </c>
      <c r="AN575" s="45">
        <f>IF(AJ575="","",AJ575*AM575)</f>
        <v/>
      </c>
      <c r="AO575" s="45">
        <f>IF(OR(AJ575="",U575=0),"",MIN(IF(AW575="",9.9E+99,AW575),FLOOR(AN575/U575,1)))</f>
        <v/>
      </c>
      <c r="AP575" s="49">
        <f>IF(AO575="","",AO575*W575)</f>
        <v/>
      </c>
      <c r="AQ575" s="47">
        <f>IF(OR(AJ575="",U575=0),"",MIN(IF(AW575="",9.9E+99,AW575),AN575/U575))</f>
        <v/>
      </c>
      <c r="AR575" s="49">
        <f>IF(AQ575="","",AQ575*W575)</f>
        <v/>
      </c>
      <c r="AS575" s="51" t="n"/>
      <c r="AT575" s="43" t="inlineStr">
        <is>
          <t>Grounded</t>
        </is>
      </c>
      <c r="AU575" s="52" t="n"/>
      <c r="AV575" s="52" t="n"/>
      <c r="AW575" s="53" t="n"/>
      <c r="AX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Y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Z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BA575" s="40" t="n"/>
      <c r="BB575" s="40" t="n"/>
    </row>
    <row r="576">
      <c r="A576" s="38" t="inlineStr">
        <is>
          <t>UAE (Careem)</t>
        </is>
      </c>
      <c r="B576" s="38" t="inlineStr">
        <is>
          <t>United Arab Emirates</t>
        </is>
      </c>
      <c r="C576" s="39" t="inlineStr">
        <is>
          <t>Dubai Harbour Marina → Nikki Beach Resort Pearl Jumeirah Jetty</t>
        </is>
      </c>
      <c r="D576" s="38" t="inlineStr">
        <is>
          <t>noon</t>
        </is>
      </c>
      <c r="E576" s="40" t="inlineStr">
        <is>
          <t>bolt-uae, uae-careem, uae-luxury, uae-noon, yango-uae</t>
        </is>
      </c>
      <c r="F576" s="41" t="n">
        <v>5</v>
      </c>
      <c r="G576" s="42" t="n">
        <v>11.9</v>
      </c>
      <c r="H576" s="35" t="n"/>
      <c r="I576" s="43" t="n"/>
      <c r="J576" s="43" t="n"/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/>
      <c r="AK576" s="43" t="n"/>
      <c r="AL576" s="43" t="n"/>
      <c r="AM576" s="50" t="n">
        <v>0.1</v>
      </c>
      <c r="AN576" s="45">
        <f>IF(AJ576="","",AJ576*AM576)</f>
        <v/>
      </c>
      <c r="AO576" s="45">
        <f>IF(OR(AJ576="",U576=0),"",MIN(IF(AW576="",9.9E+99,AW576),FLOOR(AN576/U576,1)))</f>
        <v/>
      </c>
      <c r="AP576" s="49">
        <f>IF(AO576="","",AO576*W576)</f>
        <v/>
      </c>
      <c r="AQ576" s="47">
        <f>IF(OR(AJ576="",U576=0),"",MIN(IF(AW576="",9.9E+99,AW576),AN576/U576))</f>
        <v/>
      </c>
      <c r="AR576" s="49">
        <f>IF(AQ576="","",AQ576*W576)</f>
        <v/>
      </c>
      <c r="AS576" s="51" t="n"/>
      <c r="AT576" s="43" t="inlineStr">
        <is>
          <t>Estimated</t>
        </is>
      </c>
      <c r="AU576" s="52" t="n"/>
      <c r="AV576" s="52" t="n"/>
      <c r="AW576" s="53" t="n"/>
      <c r="AX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Y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Z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BA576" s="40" t="n"/>
      <c r="BB576" s="40" t="n"/>
    </row>
    <row r="577">
      <c r="A577" s="38" t="inlineStr">
        <is>
          <t>UAE (Careem)</t>
        </is>
      </c>
      <c r="B577" s="38" t="inlineStr">
        <is>
          <t>United Arab Emirates</t>
        </is>
      </c>
      <c r="C577" s="39" t="inlineStr">
        <is>
          <t>Ras Al Khaimah → ميناء صيادين غليلة</t>
        </is>
      </c>
      <c r="D577" s="38" t="inlineStr">
        <is>
          <t>noon</t>
        </is>
      </c>
      <c r="E577" s="40" t="inlineStr">
        <is>
          <t>bolt-uae, gulf-authority-bahrain-motc, gulf-authority-rakta, uae-careem, uae-luxury, uae-noon, yango-uae</t>
        </is>
      </c>
      <c r="F577" s="41" t="n">
        <v>7</v>
      </c>
      <c r="G577" s="42" t="n">
        <v>11.9</v>
      </c>
      <c r="H577" s="35" t="n"/>
      <c r="I577" s="43" t="n"/>
      <c r="J577" s="43" t="n"/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/>
      <c r="AK577" s="43" t="n"/>
      <c r="AL577" s="43" t="n"/>
      <c r="AM577" s="50" t="n">
        <v>0.1</v>
      </c>
      <c r="AN577" s="45">
        <f>IF(AJ577="","",AJ577*AM577)</f>
        <v/>
      </c>
      <c r="AO577" s="45">
        <f>IF(OR(AJ577="",U577=0),"",MIN(IF(AW577="",9.9E+99,AW577),FLOOR(AN577/U577,1)))</f>
        <v/>
      </c>
      <c r="AP577" s="49">
        <f>IF(AO577="","",AO577*W577)</f>
        <v/>
      </c>
      <c r="AQ577" s="47">
        <f>IF(OR(AJ577="",U577=0),"",MIN(IF(AW577="",9.9E+99,AW577),AN577/U577))</f>
        <v/>
      </c>
      <c r="AR577" s="49">
        <f>IF(AQ577="","",AQ577*W577)</f>
        <v/>
      </c>
      <c r="AS577" s="51" t="n"/>
      <c r="AT577" s="43" t="inlineStr">
        <is>
          <t>Estimated</t>
        </is>
      </c>
      <c r="AU577" s="52" t="n"/>
      <c r="AV577" s="52" t="n"/>
      <c r="AW577" s="53" t="n"/>
      <c r="AX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Y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Z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BA577" s="40" t="n"/>
      <c r="BB577" s="40" t="n"/>
    </row>
    <row r="578">
      <c r="A578" s="38" t="inlineStr">
        <is>
          <t>UAE (Careem)</t>
        </is>
      </c>
      <c r="B578" s="38" t="inlineStr">
        <is>
          <t>United Arab Emirates</t>
        </is>
      </c>
      <c r="C578" s="39" t="inlineStr">
        <is>
          <t>Dubai Marina → Downtown / Dubai Creek</t>
        </is>
      </c>
      <c r="D578" s="38" t="inlineStr">
        <is>
          <t>careem</t>
        </is>
      </c>
      <c r="E578" s="40" t="inlineStr">
        <is>
          <t>bolt-uae, uae-careem, uae-luxury, uae-noon, yango-uae</t>
        </is>
      </c>
      <c r="F578" s="41" t="n">
        <v>5</v>
      </c>
      <c r="G578" s="42" t="n">
        <v>12</v>
      </c>
      <c r="H578" s="35" t="n"/>
      <c r="I578" s="43" t="n"/>
      <c r="J578" s="43" t="n"/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/>
      <c r="AK578" s="43" t="n"/>
      <c r="AL578" s="43" t="n"/>
      <c r="AM578" s="50" t="n">
        <v>0.1</v>
      </c>
      <c r="AN578" s="45">
        <f>IF(AJ578="","",AJ578*AM578)</f>
        <v/>
      </c>
      <c r="AO578" s="45">
        <f>IF(OR(AJ578="",U578=0),"",MIN(IF(AW578="",9.9E+99,AW578),FLOOR(AN578/U578,1)))</f>
        <v/>
      </c>
      <c r="AP578" s="49">
        <f>IF(AO578="","",AO578*W578)</f>
        <v/>
      </c>
      <c r="AQ578" s="47">
        <f>IF(OR(AJ578="",U578=0),"",MIN(IF(AW578="",9.9E+99,AW578),AN578/U578))</f>
        <v/>
      </c>
      <c r="AR578" s="49">
        <f>IF(AQ578="","",AQ578*W578)</f>
        <v/>
      </c>
      <c r="AS578" s="51" t="n"/>
      <c r="AT578" s="43" t="inlineStr">
        <is>
          <t>Estimated</t>
        </is>
      </c>
      <c r="AU578" s="52" t="n"/>
      <c r="AV578" s="52" t="n"/>
      <c r="AW578" s="53" t="n"/>
      <c r="AX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Y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Z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BA578" s="40" t="n"/>
      <c r="BB578" s="40" t="n"/>
    </row>
    <row r="579">
      <c r="A579" s="38" t="inlineStr">
        <is>
          <t>UAE (Careem)</t>
        </is>
      </c>
      <c r="B579" s="38" t="inlineStr">
        <is>
          <t>United Arab Emirates</t>
        </is>
      </c>
      <c r="C579" s="39" t="inlineStr">
        <is>
          <t>Dubai Marina → Downtown Creek</t>
        </is>
      </c>
      <c r="D579" s="38" t="inlineStr">
        <is>
          <t>careem</t>
        </is>
      </c>
      <c r="E579" s="40" t="inlineStr">
        <is>
          <t>bolt-uae, uae-careem, uae-luxury, uae-noon, yango-uae</t>
        </is>
      </c>
      <c r="F579" s="41" t="n">
        <v>5</v>
      </c>
      <c r="G579" s="42" t="n">
        <v>12</v>
      </c>
      <c r="H579" s="35" t="n"/>
      <c r="I579" s="43" t="n"/>
      <c r="J579" s="43" t="n"/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/>
      <c r="AK579" s="43" t="n"/>
      <c r="AL579" s="43" t="n"/>
      <c r="AM579" s="50" t="n">
        <v>0.1</v>
      </c>
      <c r="AN579" s="45">
        <f>IF(AJ579="","",AJ579*AM579)</f>
        <v/>
      </c>
      <c r="AO579" s="45">
        <f>IF(OR(AJ579="",U579=0),"",MIN(IF(AW579="",9.9E+99,AW579),FLOOR(AN579/U579,1)))</f>
        <v/>
      </c>
      <c r="AP579" s="49">
        <f>IF(AO579="","",AO579*W579)</f>
        <v/>
      </c>
      <c r="AQ579" s="47">
        <f>IF(OR(AJ579="",U579=0),"",MIN(IF(AW579="",9.9E+99,AW579),AN579/U579))</f>
        <v/>
      </c>
      <c r="AR579" s="49">
        <f>IF(AQ579="","",AQ579*W579)</f>
        <v/>
      </c>
      <c r="AS579" s="51" t="n"/>
      <c r="AT579" s="43" t="inlineStr">
        <is>
          <t>Estimated</t>
        </is>
      </c>
      <c r="AU579" s="52" t="n"/>
      <c r="AV579" s="52" t="n"/>
      <c r="AW579" s="53" t="n"/>
      <c r="AX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Y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Z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BA579" s="40" t="n"/>
      <c r="BB579" s="40" t="n"/>
    </row>
    <row r="580">
      <c r="A580" s="38" t="inlineStr">
        <is>
          <t>UAE (Careem)</t>
        </is>
      </c>
      <c r="B580" s="38" t="inlineStr">
        <is>
          <t>United Arab Emirates</t>
        </is>
      </c>
      <c r="C580" s="39" t="inlineStr">
        <is>
          <t>Yas Marina → Four Seasons Al Maryah Jetty</t>
        </is>
      </c>
      <c r="D580" s="38" t="inlineStr">
        <is>
          <t>noon</t>
        </is>
      </c>
      <c r="E580" s="40" t="inlineStr">
        <is>
          <t>bolt-uae, uae-careem, uae-luxury, uae-noon, yango-uae</t>
        </is>
      </c>
      <c r="F580" s="41" t="n">
        <v>5</v>
      </c>
      <c r="G580" s="42" t="n">
        <v>12.4</v>
      </c>
      <c r="H580" s="35" t="n"/>
      <c r="I580" s="43" t="n"/>
      <c r="J580" s="43" t="n"/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/>
      <c r="AK580" s="43" t="n"/>
      <c r="AL580" s="43" t="n"/>
      <c r="AM580" s="50" t="n">
        <v>0.1</v>
      </c>
      <c r="AN580" s="45">
        <f>IF(AJ580="","",AJ580*AM580)</f>
        <v/>
      </c>
      <c r="AO580" s="45">
        <f>IF(OR(AJ580="",U580=0),"",MIN(IF(AW580="",9.9E+99,AW580),FLOOR(AN580/U580,1)))</f>
        <v/>
      </c>
      <c r="AP580" s="49">
        <f>IF(AO580="","",AO580*W580)</f>
        <v/>
      </c>
      <c r="AQ580" s="47">
        <f>IF(OR(AJ580="",U580=0),"",MIN(IF(AW580="",9.9E+99,AW580),AN580/U580))</f>
        <v/>
      </c>
      <c r="AR580" s="49">
        <f>IF(AQ580="","",AQ580*W580)</f>
        <v/>
      </c>
      <c r="AS580" s="51" t="n"/>
      <c r="AT580" s="43" t="inlineStr">
        <is>
          <t>Estimated</t>
        </is>
      </c>
      <c r="AU580" s="52" t="n"/>
      <c r="AV580" s="52" t="n"/>
      <c r="AW580" s="53" t="n"/>
      <c r="AX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Y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Z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BA580" s="40" t="n"/>
      <c r="BB580" s="40" t="n"/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Yas Marina → Zaya Nurai Island Jetty</t>
        </is>
      </c>
      <c r="D581" s="38" t="inlineStr">
        <is>
          <t>careem</t>
        </is>
      </c>
      <c r="E581" s="40" t="inlineStr">
        <is>
          <t>bolt-uae, uae-careem, uae-luxury, uae-noon, yango-uae</t>
        </is>
      </c>
      <c r="F581" s="41" t="n">
        <v>5</v>
      </c>
      <c r="G581" s="42" t="n">
        <v>12.6</v>
      </c>
      <c r="H581" s="35" t="n">
        <v>175</v>
      </c>
      <c r="I581" s="43" t="inlineStr">
        <is>
          <t>T5</t>
        </is>
      </c>
      <c r="J581" s="43" t="inlineStr">
        <is>
          <t>low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15000</v>
      </c>
      <c r="AK581" s="43" t="inlineStr">
        <is>
          <t>T3</t>
        </is>
      </c>
      <c r="AL581" s="43" t="inlineStr">
        <is>
          <t>low</t>
        </is>
      </c>
      <c r="AM581" s="50" t="n">
        <v>0.1</v>
      </c>
      <c r="AN581" s="45">
        <f>IF(AJ581="","",AJ581*AM581)</f>
        <v/>
      </c>
      <c r="AO581" s="45">
        <f>IF(OR(AJ581="",U581=0),"",MIN(IF(AW581="",9.9E+99,AW581),FLOOR(AN581/U581,1)))</f>
        <v/>
      </c>
      <c r="AP581" s="49">
        <f>IF(AO581="","",AO581*W581)</f>
        <v/>
      </c>
      <c r="AQ581" s="47">
        <f>IF(OR(AJ581="",U581=0),"",MIN(IF(AW581="",9.9E+99,AW581),AN581/U581))</f>
        <v/>
      </c>
      <c r="AR581" s="49">
        <f>IF(AQ581="","",AQ581*W581)</f>
        <v/>
      </c>
      <c r="AS581" s="51" t="n"/>
      <c r="AT581" s="43" t="inlineStr">
        <is>
          <t>Grounded</t>
        </is>
      </c>
      <c r="AU581" s="52" t="n"/>
      <c r="AV581" s="52" t="n"/>
      <c r="AW581" s="53" t="n"/>
      <c r="AX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Y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Z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BA581" s="40" t="inlineStr">
        <is>
          <t>Zaya Nurai boat-only, but real transfers depart Saadiyat (4.4nm) not Yas Marina (12.6nm) -&gt; R3-PIER. $175 modeled; demand NULL. T5/low.</t>
        </is>
      </c>
      <c r="BB58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82">
      <c r="A582" s="38" t="inlineStr">
        <is>
          <t>UAE (Careem)</t>
        </is>
      </c>
      <c r="B582" s="38" t="inlineStr">
        <is>
          <t>United Arab Emirates</t>
        </is>
      </c>
      <c r="C582" s="39" t="inlineStr">
        <is>
          <t>Yas Marina → Saadiyat Beach Club Jetty</t>
        </is>
      </c>
      <c r="D582" s="38" t="inlineStr">
        <is>
          <t>careem</t>
        </is>
      </c>
      <c r="E582" s="40" t="inlineStr">
        <is>
          <t>bolt-uae, uae-careem, uae-luxury, uae-noon, yango-uae</t>
        </is>
      </c>
      <c r="F582" s="41" t="n">
        <v>5</v>
      </c>
      <c r="G582" s="42" t="n">
        <v>13</v>
      </c>
      <c r="H582" s="35" t="n">
        <v>75</v>
      </c>
      <c r="I582" s="43" t="inlineStr">
        <is>
          <t>T4</t>
        </is>
      </c>
      <c r="J582" s="43" t="inlineStr">
        <is>
          <t>low</t>
        </is>
      </c>
      <c r="K582" s="29" t="n">
        <v>1</v>
      </c>
      <c r="L582" s="44">
        <f>60*G582/cruise_kt</f>
        <v/>
      </c>
      <c r="M582" s="44">
        <f>L582+turn_min+dwell_min</f>
        <v/>
      </c>
      <c r="N582" s="45">
        <f>MIN(15,FLOOR(60*service_hr/M582,1))</f>
        <v/>
      </c>
      <c r="O582" s="45">
        <f>ROUND(365*mech_uptime*K582,0)</f>
        <v/>
      </c>
      <c r="P582" s="46">
        <f>mech_uptime</f>
        <v/>
      </c>
      <c r="Q582" s="46">
        <f>revleg_sel</f>
        <v/>
      </c>
      <c r="R582" s="45">
        <f>ROUND(N582*O582*revleg_sel,0)</f>
        <v/>
      </c>
      <c r="S582" s="47">
        <f>load_sel</f>
        <v/>
      </c>
      <c r="T582" s="47">
        <f>pax_cap*S582</f>
        <v/>
      </c>
      <c r="U582" s="45">
        <f>T582*R582</f>
        <v/>
      </c>
      <c r="V582" s="48">
        <f>H582*discount</f>
        <v/>
      </c>
      <c r="W582" s="49">
        <f>V582*U582</f>
        <v/>
      </c>
      <c r="X582" s="49">
        <f>(battery/range_nm)*G582*R582*VLOOKUP(B582,country_opex,3,FALSE)</f>
        <v/>
      </c>
      <c r="Y582" s="49">
        <f>VLOOKUP(B582,country_opex,2,FALSE)*crew_factor</f>
        <v/>
      </c>
      <c r="Z582" s="49">
        <f>VLOOKUP(B582,country_opex,5,FALSE)</f>
        <v/>
      </c>
      <c r="AA582" s="49">
        <f>maint</f>
        <v/>
      </c>
      <c r="AB582" s="49">
        <f>VLOOKUP(B582,country_opex,7,FALSE)*ins_pct</f>
        <v/>
      </c>
      <c r="AC582" s="49">
        <f>charge_berth</f>
        <v/>
      </c>
      <c r="AD582" s="49">
        <f>X582+Y582+Z582+AA582+AB582+AC582</f>
        <v/>
      </c>
      <c r="AE582" s="49">
        <f>VLOOKUP(B582,country_opex,7,FALSE)/dep_years</f>
        <v/>
      </c>
      <c r="AF582" s="49">
        <f>W582-AD582</f>
        <v/>
      </c>
      <c r="AG582" s="46">
        <f>IF(W582=0,"",AF582/W582)</f>
        <v/>
      </c>
      <c r="AH582" s="47">
        <f>IF(AF582&lt;=0,"",VLOOKUP(B582,country_opex,7,FALSE)/AF582)</f>
        <v/>
      </c>
      <c r="AI582" s="44">
        <f>((G582*R582/diesel_nmpg)*diesel_co2pg-(battery/range_nm)*G582*R582*VLOOKUP(B582,country_opex,4,FALSE))/1000</f>
        <v/>
      </c>
      <c r="AJ582" s="42" t="n">
        <v>30000</v>
      </c>
      <c r="AK582" s="43" t="inlineStr">
        <is>
          <t>T3</t>
        </is>
      </c>
      <c r="AL582" s="43" t="inlineStr">
        <is>
          <t>low</t>
        </is>
      </c>
      <c r="AM582" s="50" t="n">
        <v>0.1</v>
      </c>
      <c r="AN582" s="45">
        <f>IF(AJ582="","",AJ582*AM582)</f>
        <v/>
      </c>
      <c r="AO582" s="45">
        <f>IF(OR(AJ582="",U582=0),"",MIN(IF(AW582="",9.9E+99,AW582),FLOOR(AN582/U582,1)))</f>
        <v/>
      </c>
      <c r="AP582" s="49">
        <f>IF(AO582="","",AO582*W582)</f>
        <v/>
      </c>
      <c r="AQ582" s="47">
        <f>IF(OR(AJ582="",U582=0),"",MIN(IF(AW582="",9.9E+99,AW582),AN582/U582))</f>
        <v/>
      </c>
      <c r="AR582" s="49">
        <f>IF(AQ582="","",AQ582*W582)</f>
        <v/>
      </c>
      <c r="AS582" s="51" t="n"/>
      <c r="AT582" s="43" t="inlineStr">
        <is>
          <t>Grounded</t>
        </is>
      </c>
      <c r="AU582" s="52" t="n"/>
      <c r="AV582" s="52" t="n"/>
      <c r="AW582" s="53" t="n"/>
      <c r="AX582" s="54">
        <f>IF(((V582*pax_cap*load_thin*ROUND(N582*O582*revleg_thin,0))-(((battery/range_nm)*G582*ROUND(N582*O582*revleg_thin,0)*VLOOKUP(B582,country_opex,3,FALSE))+Y582+Z582+AA582+AB582+AC582))&lt;=0,"",VLOOKUP(B582,country_opex,7,FALSE)/((V582*pax_cap*load_thin*ROUND(N582*O582*revleg_thin,0))-(((battery/range_nm)*G582*ROUND(N582*O582*revleg_thin,0)*VLOOKUP(B582,country_opex,3,FALSE))+Y582+Z582+AA582+AB582+AC582)))</f>
        <v/>
      </c>
      <c r="AY582" s="54">
        <f>IF(((V582*pax_cap*load_mid*ROUND(N582*O582*revleg_mid,0))-(((battery/range_nm)*G582*ROUND(N582*O582*revleg_mid,0)*VLOOKUP(B582,country_opex,3,FALSE))+Y582+Z582+AA582+AB582+AC582))&lt;=0,"",VLOOKUP(B582,country_opex,7,FALSE)/((V582*pax_cap*load_mid*ROUND(N582*O582*revleg_mid,0))-(((battery/range_nm)*G582*ROUND(N582*O582*revleg_mid,0)*VLOOKUP(B582,country_opex,3,FALSE))+Y582+Z582+AA582+AB582+AC582)))</f>
        <v/>
      </c>
      <c r="AZ582" s="54">
        <f>IF(((V582*pax_cap*load_full*ROUND(N582*O582*revleg_full,0))-(((battery/range_nm)*G582*ROUND(N582*O582*revleg_full,0)*VLOOKUP(B582,country_opex,3,FALSE))+Y582+Z582+AA582+AB582+AC582))&lt;=0,"",VLOOKUP(B582,country_opex,7,FALSE)/((V582*pax_cap*load_full*ROUND(N582*O582*revleg_full,0))-(((battery/range_nm)*G582*ROUND(N582*O582*revleg_full,0)*VLOOKUP(B582,country_opex,3,FALSE))+Y582+Z582+AA582+AB582+AC582)))</f>
        <v/>
      </c>
      <c r="BA582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B58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Ras Al Khaimah → Al Hamra Marina &amp; Royal Yacht Club RAK</t>
        </is>
      </c>
      <c r="D583" s="38" t="inlineStr">
        <is>
          <t>rakta</t>
        </is>
      </c>
      <c r="E583" s="40" t="inlineStr">
        <is>
          <t>gulf-authority-bahrain-motc, gulf-authority-rakta</t>
        </is>
      </c>
      <c r="F583" s="41" t="n">
        <v>2</v>
      </c>
      <c r="G583" s="42" t="n">
        <v>13.6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L583+turn_min+dwell_min</f>
        <v/>
      </c>
      <c r="N583" s="45">
        <f>MIN(15,FLOOR(60*service_hr/M583,1))</f>
        <v/>
      </c>
      <c r="O583" s="45">
        <f>ROUND(365*mech_uptime*K583,0)</f>
        <v/>
      </c>
      <c r="P583" s="46">
        <f>mech_uptime</f>
        <v/>
      </c>
      <c r="Q583" s="46">
        <f>revleg_sel</f>
        <v/>
      </c>
      <c r="R583" s="45">
        <f>ROUND(N583*O583*revleg_sel,0)</f>
        <v/>
      </c>
      <c r="S583" s="47">
        <f>load_sel</f>
        <v/>
      </c>
      <c r="T583" s="47">
        <f>pax_cap*S583</f>
        <v/>
      </c>
      <c r="U583" s="45">
        <f>T583*R583</f>
        <v/>
      </c>
      <c r="V583" s="48">
        <f>H583*discount</f>
        <v/>
      </c>
      <c r="W583" s="49">
        <f>V583*U583</f>
        <v/>
      </c>
      <c r="X583" s="49">
        <f>(battery/range_nm)*G583*R583*VLOOKUP(B583,country_opex,3,FALSE)</f>
        <v/>
      </c>
      <c r="Y583" s="49">
        <f>VLOOKUP(B583,country_opex,2,FALSE)*crew_factor</f>
        <v/>
      </c>
      <c r="Z583" s="49">
        <f>VLOOKUP(B583,country_opex,5,FALSE)</f>
        <v/>
      </c>
      <c r="AA583" s="49">
        <f>maint</f>
        <v/>
      </c>
      <c r="AB583" s="49">
        <f>VLOOKUP(B583,country_opex,7,FALSE)*ins_pct</f>
        <v/>
      </c>
      <c r="AC583" s="49">
        <f>charge_berth</f>
        <v/>
      </c>
      <c r="AD583" s="49">
        <f>X583+Y583+Z583+AA583+AB583+AC583</f>
        <v/>
      </c>
      <c r="AE583" s="49">
        <f>VLOOKUP(B583,country_opex,7,FALSE)/dep_years</f>
        <v/>
      </c>
      <c r="AF583" s="49">
        <f>W583-AD583</f>
        <v/>
      </c>
      <c r="AG583" s="46">
        <f>IF(W583=0,"",AF583/W583)</f>
        <v/>
      </c>
      <c r="AH583" s="47">
        <f>IF(AF583&lt;=0,"",VLOOKUP(B583,country_opex,7,FALSE)/AF583)</f>
        <v/>
      </c>
      <c r="AI583" s="44">
        <f>((G583*R583/diesel_nmpg)*diesel_co2pg-(battery/range_nm)*G583*R583*VLOOKUP(B583,country_opex,4,FALSE))/1000</f>
        <v/>
      </c>
      <c r="AJ583" s="42" t="n">
        <v>5217</v>
      </c>
      <c r="AK583" s="43" t="inlineStr">
        <is>
          <t>T3</t>
        </is>
      </c>
      <c r="AL583" s="43" t="inlineStr">
        <is>
          <t>med-low</t>
        </is>
      </c>
      <c r="AM583" s="50" t="n">
        <v>0.1</v>
      </c>
      <c r="AN583" s="45">
        <f>IF(AJ583="","",AJ583*AM583)</f>
        <v/>
      </c>
      <c r="AO583" s="45">
        <f>IF(OR(AJ583="",U583=0),"",MIN(IF(AW583="",9.9E+99,AW583),FLOOR(AN583/U583,1)))</f>
        <v/>
      </c>
      <c r="AP583" s="49">
        <f>IF(AO583="","",AO583*W583)</f>
        <v/>
      </c>
      <c r="AQ583" s="47">
        <f>IF(OR(AJ583="",U583=0),"",MIN(IF(AW583="",9.9E+99,AW583),AN583/U583))</f>
        <v/>
      </c>
      <c r="AR583" s="49">
        <f>IF(AQ583="","",AQ583*W583)</f>
        <v/>
      </c>
      <c r="AS583" s="51" t="n"/>
      <c r="AT583" s="43" t="inlineStr">
        <is>
          <t>Grounded</t>
        </is>
      </c>
      <c r="AU583" s="52" t="n"/>
      <c r="AV583" s="52" t="n"/>
      <c r="AW583" s="53" t="n"/>
      <c r="AX583" s="54">
        <f>IF(((V583*pax_cap*load_thin*ROUND(N583*O583*revleg_thin,0))-(((battery/range_nm)*G583*ROUND(N583*O583*revleg_thin,0)*VLOOKUP(B583,country_opex,3,FALSE))+Y583+Z583+AA583+AB583+AC583))&lt;=0,"",VLOOKUP(B583,country_opex,7,FALSE)/((V583*pax_cap*load_thin*ROUND(N583*O583*revleg_thin,0))-(((battery/range_nm)*G583*ROUND(N583*O583*revleg_thin,0)*VLOOKUP(B583,country_opex,3,FALSE))+Y583+Z583+AA583+AB583+AC583)))</f>
        <v/>
      </c>
      <c r="AY583" s="54">
        <f>IF(((V583*pax_cap*load_mid*ROUND(N583*O583*revleg_mid,0))-(((battery/range_nm)*G583*ROUND(N583*O583*revleg_mid,0)*VLOOKUP(B583,country_opex,3,FALSE))+Y583+Z583+AA583+AB583+AC583))&lt;=0,"",VLOOKUP(B583,country_opex,7,FALSE)/((V583*pax_cap*load_mid*ROUND(N583*O583*revleg_mid,0))-(((battery/range_nm)*G583*ROUND(N583*O583*revleg_mid,0)*VLOOKUP(B583,country_opex,3,FALSE))+Y583+Z583+AA583+AB583+AC583)))</f>
        <v/>
      </c>
      <c r="AZ583" s="54">
        <f>IF(((V583*pax_cap*load_full*ROUND(N583*O583*revleg_full,0))-(((battery/range_nm)*G583*ROUND(N583*O583*revleg_full,0)*VLOOKUP(B583,country_opex,3,FALSE))+Y583+Z583+AA583+AB583+AC583))&lt;=0,"",VLOOKUP(B583,country_opex,7,FALSE)/((V583*pax_cap*load_full*ROUND(N583*O583*revleg_full,0))-(((battery/range_nm)*G583*ROUND(N583*O583*revleg_full,0)*VLOOKUP(B583,country_opex,3,FALSE))+Y583+Z583+AA583+AB583+AC583)))</f>
        <v/>
      </c>
      <c r="BA583" s="40" t="n"/>
      <c r="BB583" s="40" t="n"/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Ras Al Khaimah → Al Marjan Island public arrival marina</t>
        </is>
      </c>
      <c r="D584" s="38" t="inlineStr">
        <is>
          <t>rakta</t>
        </is>
      </c>
      <c r="E584" s="40" t="inlineStr">
        <is>
          <t>gulf-authority-bahrain-motc, gulf-authority-rakta</t>
        </is>
      </c>
      <c r="F584" s="41" t="n">
        <v>2</v>
      </c>
      <c r="G584" s="42" t="n">
        <v>16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L584+turn_min+dwell_min</f>
        <v/>
      </c>
      <c r="N584" s="45">
        <f>MIN(15,FLOOR(60*service_hr/M584,1))</f>
        <v/>
      </c>
      <c r="O584" s="45">
        <f>ROUND(365*mech_uptime*K584,0)</f>
        <v/>
      </c>
      <c r="P584" s="46">
        <f>mech_uptime</f>
        <v/>
      </c>
      <c r="Q584" s="46">
        <f>revleg_sel</f>
        <v/>
      </c>
      <c r="R584" s="45">
        <f>ROUND(N584*O584*revleg_sel,0)</f>
        <v/>
      </c>
      <c r="S584" s="47">
        <f>load_sel</f>
        <v/>
      </c>
      <c r="T584" s="47">
        <f>pax_cap*S584</f>
        <v/>
      </c>
      <c r="U584" s="45">
        <f>T584*R584</f>
        <v/>
      </c>
      <c r="V584" s="48">
        <f>H584*discount</f>
        <v/>
      </c>
      <c r="W584" s="49">
        <f>V584*U584</f>
        <v/>
      </c>
      <c r="X584" s="49">
        <f>(battery/range_nm)*G584*R584*VLOOKUP(B584,country_opex,3,FALSE)</f>
        <v/>
      </c>
      <c r="Y584" s="49">
        <f>VLOOKUP(B584,country_opex,2,FALSE)*crew_factor</f>
        <v/>
      </c>
      <c r="Z584" s="49">
        <f>VLOOKUP(B584,country_opex,5,FALSE)</f>
        <v/>
      </c>
      <c r="AA584" s="49">
        <f>maint</f>
        <v/>
      </c>
      <c r="AB584" s="49">
        <f>VLOOKUP(B584,country_opex,7,FALSE)*ins_pct</f>
        <v/>
      </c>
      <c r="AC584" s="49">
        <f>charge_berth</f>
        <v/>
      </c>
      <c r="AD584" s="49">
        <f>X584+Y584+Z584+AA584+AB584+AC584</f>
        <v/>
      </c>
      <c r="AE584" s="49">
        <f>VLOOKUP(B584,country_opex,7,FALSE)/dep_years</f>
        <v/>
      </c>
      <c r="AF584" s="49">
        <f>W584-AD584</f>
        <v/>
      </c>
      <c r="AG584" s="46">
        <f>IF(W584=0,"",AF584/W584)</f>
        <v/>
      </c>
      <c r="AH584" s="47">
        <f>IF(AF584&lt;=0,"",VLOOKUP(B584,country_opex,7,FALSE)/AF584)</f>
        <v/>
      </c>
      <c r="AI584" s="44">
        <f>((G584*R584/diesel_nmpg)*diesel_co2pg-(battery/range_nm)*G584*R584*VLOOKUP(B584,country_opex,4,FALSE))/1000</f>
        <v/>
      </c>
      <c r="AJ584" s="42" t="n">
        <v>5217</v>
      </c>
      <c r="AK584" s="43" t="inlineStr">
        <is>
          <t>T3</t>
        </is>
      </c>
      <c r="AL584" s="43" t="inlineStr">
        <is>
          <t>med-low</t>
        </is>
      </c>
      <c r="AM584" s="50" t="n">
        <v>0.1</v>
      </c>
      <c r="AN584" s="45">
        <f>IF(AJ584="","",AJ584*AM584)</f>
        <v/>
      </c>
      <c r="AO584" s="45">
        <f>IF(OR(AJ584="",U584=0),"",MIN(IF(AW584="",9.9E+99,AW584),FLOOR(AN584/U584,1)))</f>
        <v/>
      </c>
      <c r="AP584" s="49">
        <f>IF(AO584="","",AO584*W584)</f>
        <v/>
      </c>
      <c r="AQ584" s="47">
        <f>IF(OR(AJ584="",U584=0),"",MIN(IF(AW584="",9.9E+99,AW584),AN584/U584))</f>
        <v/>
      </c>
      <c r="AR584" s="49">
        <f>IF(AQ584="","",AQ584*W584)</f>
        <v/>
      </c>
      <c r="AS584" s="51" t="n"/>
      <c r="AT584" s="43" t="inlineStr">
        <is>
          <t>Grounded</t>
        </is>
      </c>
      <c r="AU584" s="52" t="n"/>
      <c r="AV584" s="52" t="n"/>
      <c r="AW584" s="53" t="n"/>
      <c r="AX584" s="54">
        <f>IF(((V584*pax_cap*load_thin*ROUND(N584*O584*revleg_thin,0))-(((battery/range_nm)*G584*ROUND(N584*O584*revleg_thin,0)*VLOOKUP(B584,country_opex,3,FALSE))+Y584+Z584+AA584+AB584+AC584))&lt;=0,"",VLOOKUP(B584,country_opex,7,FALSE)/((V584*pax_cap*load_thin*ROUND(N584*O584*revleg_thin,0))-(((battery/range_nm)*G584*ROUND(N584*O584*revleg_thin,0)*VLOOKUP(B584,country_opex,3,FALSE))+Y584+Z584+AA584+AB584+AC584)))</f>
        <v/>
      </c>
      <c r="AY584" s="54">
        <f>IF(((V584*pax_cap*load_mid*ROUND(N584*O584*revleg_mid,0))-(((battery/range_nm)*G584*ROUND(N584*O584*revleg_mid,0)*VLOOKUP(B584,country_opex,3,FALSE))+Y584+Z584+AA584+AB584+AC584))&lt;=0,"",VLOOKUP(B584,country_opex,7,FALSE)/((V584*pax_cap*load_mid*ROUND(N584*O584*revleg_mid,0))-(((battery/range_nm)*G584*ROUND(N584*O584*revleg_mid,0)*VLOOKUP(B584,country_opex,3,FALSE))+Y584+Z584+AA584+AB584+AC584)))</f>
        <v/>
      </c>
      <c r="AZ584" s="54">
        <f>IF(((V584*pax_cap*load_full*ROUND(N584*O584*revleg_full,0))-(((battery/range_nm)*G584*ROUND(N584*O584*revleg_full,0)*VLOOKUP(B584,country_opex,3,FALSE))+Y584+Z584+AA584+AB584+AC584))&lt;=0,"",VLOOKUP(B584,country_opex,7,FALSE)/((V584*pax_cap*load_full*ROUND(N584*O584*revleg_full,0))-(((battery/range_nm)*G584*ROUND(N584*O584*revleg_full,0)*VLOOKUP(B584,country_opex,3,FALSE))+Y584+Z584+AA584+AB584+AC584)))</f>
        <v/>
      </c>
      <c r="BA584" s="40" t="n"/>
      <c r="BB584" s="40" t="n"/>
    </row>
    <row r="585">
      <c r="A585" s="38" t="inlineStr">
        <is>
          <t>UAE (Careem)</t>
        </is>
      </c>
      <c r="B585" s="38" t="inlineStr">
        <is>
          <t>United Arab Emirates</t>
        </is>
      </c>
      <c r="C585" s="39" t="inlineStr">
        <is>
          <t>Dibba Marina (Fujairah) → Khorfakkan Corniche / Port (Sharjah enclave)</t>
        </is>
      </c>
      <c r="D585" s="38" t="inlineStr">
        <is>
          <t>careem</t>
        </is>
      </c>
      <c r="E585" s="40" t="inlineStr">
        <is>
          <t>bolt-uae, uae-careem, uae-luxury, uae-noon, yango-uae</t>
        </is>
      </c>
      <c r="F585" s="41" t="n">
        <v>5</v>
      </c>
      <c r="G585" s="42" t="n">
        <v>20.4</v>
      </c>
      <c r="H585" s="35" t="n">
        <v>65</v>
      </c>
      <c r="I585" s="43" t="inlineStr">
        <is>
          <t>T3</t>
        </is>
      </c>
      <c r="J585" s="43" t="inlineStr">
        <is>
          <t>med</t>
        </is>
      </c>
      <c r="K585" s="29" t="n">
        <v>1</v>
      </c>
      <c r="L585" s="44">
        <f>60*G585/cruise_kt</f>
        <v/>
      </c>
      <c r="M585" s="44">
        <f>L585+turn_min+dwell_min</f>
        <v/>
      </c>
      <c r="N585" s="45">
        <f>MIN(15,FLOOR(60*service_hr/M585,1))</f>
        <v/>
      </c>
      <c r="O585" s="45">
        <f>ROUND(365*mech_uptime*K585,0)</f>
        <v/>
      </c>
      <c r="P585" s="46">
        <f>mech_uptime</f>
        <v/>
      </c>
      <c r="Q585" s="46">
        <f>revleg_sel</f>
        <v/>
      </c>
      <c r="R585" s="45">
        <f>ROUND(N585*O585*revleg_sel,0)</f>
        <v/>
      </c>
      <c r="S585" s="47">
        <f>load_sel</f>
        <v/>
      </c>
      <c r="T585" s="47">
        <f>pax_cap*S585</f>
        <v/>
      </c>
      <c r="U585" s="45">
        <f>T585*R585</f>
        <v/>
      </c>
      <c r="V585" s="48">
        <f>H585*discount</f>
        <v/>
      </c>
      <c r="W585" s="49">
        <f>V585*U585</f>
        <v/>
      </c>
      <c r="X585" s="49">
        <f>(battery/range_nm)*G585*R585*VLOOKUP(B585,country_opex,3,FALSE)</f>
        <v/>
      </c>
      <c r="Y585" s="49">
        <f>VLOOKUP(B585,country_opex,2,FALSE)*crew_factor</f>
        <v/>
      </c>
      <c r="Z585" s="49">
        <f>VLOOKUP(B585,country_opex,5,FALSE)</f>
        <v/>
      </c>
      <c r="AA585" s="49">
        <f>maint</f>
        <v/>
      </c>
      <c r="AB585" s="49">
        <f>VLOOKUP(B585,country_opex,7,FALSE)*ins_pct</f>
        <v/>
      </c>
      <c r="AC585" s="49">
        <f>charge_berth</f>
        <v/>
      </c>
      <c r="AD585" s="49">
        <f>X585+Y585+Z585+AA585+AB585+AC585</f>
        <v/>
      </c>
      <c r="AE585" s="49">
        <f>VLOOKUP(B585,country_opex,7,FALSE)/dep_years</f>
        <v/>
      </c>
      <c r="AF585" s="49">
        <f>W585-AD585</f>
        <v/>
      </c>
      <c r="AG585" s="46">
        <f>IF(W585=0,"",AF585/W585)</f>
        <v/>
      </c>
      <c r="AH585" s="47">
        <f>IF(AF585&lt;=0,"",VLOOKUP(B585,country_opex,7,FALSE)/AF585)</f>
        <v/>
      </c>
      <c r="AI585" s="44">
        <f>((G585*R585/diesel_nmpg)*diesel_co2pg-(battery/range_nm)*G585*R585*VLOOKUP(B585,country_opex,4,FALSE))/1000</f>
        <v/>
      </c>
      <c r="AJ585" s="42" t="n">
        <v>60000</v>
      </c>
      <c r="AK585" s="43" t="inlineStr">
        <is>
          <t>T4</t>
        </is>
      </c>
      <c r="AL585" s="43" t="inlineStr">
        <is>
          <t>low</t>
        </is>
      </c>
      <c r="AM585" s="50" t="n">
        <v>0.1</v>
      </c>
      <c r="AN585" s="45">
        <f>IF(AJ585="","",AJ585*AM585)</f>
        <v/>
      </c>
      <c r="AO585" s="45">
        <f>IF(OR(AJ585="",U585=0),"",MIN(IF(AW585="",9.9E+99,AW585),FLOOR(AN585/U585,1)))</f>
        <v/>
      </c>
      <c r="AP585" s="49">
        <f>IF(AO585="","",AO585*W585)</f>
        <v/>
      </c>
      <c r="AQ585" s="47">
        <f>IF(OR(AJ585="",U585=0),"",MIN(IF(AW585="",9.9E+99,AW585),AN585/U585))</f>
        <v/>
      </c>
      <c r="AR585" s="49">
        <f>IF(AQ585="","",AQ585*W585)</f>
        <v/>
      </c>
      <c r="AS585" s="51" t="n"/>
      <c r="AT585" s="43" t="inlineStr">
        <is>
          <t>Grounded</t>
        </is>
      </c>
      <c r="AU585" s="52" t="n"/>
      <c r="AV585" s="52" t="n"/>
      <c r="AW585" s="53" t="n"/>
      <c r="AX585" s="54">
        <f>IF(((V585*pax_cap*load_thin*ROUND(N585*O585*revleg_thin,0))-(((battery/range_nm)*G585*ROUND(N585*O585*revleg_thin,0)*VLOOKUP(B585,country_opex,3,FALSE))+Y585+Z585+AA585+AB585+AC585))&lt;=0,"",VLOOKUP(B585,country_opex,7,FALSE)/((V585*pax_cap*load_thin*ROUND(N585*O585*revleg_thin,0))-(((battery/range_nm)*G585*ROUND(N585*O585*revleg_thin,0)*VLOOKUP(B585,country_opex,3,FALSE))+Y585+Z585+AA585+AB585+AC585)))</f>
        <v/>
      </c>
      <c r="AY585" s="54">
        <f>IF(((V585*pax_cap*load_mid*ROUND(N585*O585*revleg_mid,0))-(((battery/range_nm)*G585*ROUND(N585*O585*revleg_mid,0)*VLOOKUP(B585,country_opex,3,FALSE))+Y585+Z585+AA585+AB585+AC585))&lt;=0,"",VLOOKUP(B585,country_opex,7,FALSE)/((V585*pax_cap*load_mid*ROUND(N585*O585*revleg_mid,0))-(((battery/range_nm)*G585*ROUND(N585*O585*revleg_mid,0)*VLOOKUP(B585,country_opex,3,FALSE))+Y585+Z585+AA585+AB585+AC585)))</f>
        <v/>
      </c>
      <c r="AZ585" s="54">
        <f>IF(((V585*pax_cap*load_full*ROUND(N585*O585*revleg_full,0))-(((battery/range_nm)*G585*ROUND(N585*O585*revleg_full,0)*VLOOKUP(B585,country_opex,3,FALSE))+Y585+Z585+AA585+AB585+AC585))&lt;=0,"",VLOOKUP(B585,country_opex,7,FALSE)/((V585*pax_cap*load_full*ROUND(N585*O585*revleg_full,0))-(((battery/range_nm)*G585*ROUND(N585*O585*revleg_full,0)*VLOOKUP(B585,country_opex,3,FALSE))+Y585+Z585+AA585+AB585+AC585)))</f>
        <v/>
      </c>
      <c r="BA585" s="40" t="inlineStr">
        <is>
          <t>Fujairah east-coast day-trip boats: Dibba/Khor Fakkan dhow &amp; speedboat tours AED 140-210/pax (Instagram/Tripadvisor/Viator 2025); Musandam dhow cruises similar.</t>
        </is>
      </c>
      <c r="BB585" s="40" t="inlineStr">
        <is>
          <t>Fujairah arrivals crossed 340,000 (+22% YoY), 209 hotels, 70-100% occ (UAE Ministry/Fujairah Tourism); east-coast diving/Musandam day-trips genuinely water-based.</t>
        </is>
      </c>
    </row>
    <row r="586">
      <c r="A586" s="38" t="inlineStr">
        <is>
          <t>UAE (Careem)</t>
        </is>
      </c>
      <c r="B586" s="38" t="inlineStr">
        <is>
          <t>United Arab Emirates</t>
        </is>
      </c>
      <c r="C586" s="39" t="inlineStr">
        <is>
          <t>Dubai Harbour Marina → Al Khan Lagoon mouth</t>
        </is>
      </c>
      <c r="D586" s="38" t="inlineStr">
        <is>
          <t>careem</t>
        </is>
      </c>
      <c r="E586" s="40" t="inlineStr">
        <is>
          <t>bolt-uae, uae-careem, uae-luxury, uae-noon, yango-uae</t>
        </is>
      </c>
      <c r="F586" s="41" t="n">
        <v>10</v>
      </c>
      <c r="G586" s="42" t="n">
        <v>25.1</v>
      </c>
      <c r="H586" s="35" t="n">
        <v>85</v>
      </c>
      <c r="I586" s="43" t="inlineStr">
        <is>
          <t>T5</t>
        </is>
      </c>
      <c r="J586" s="43" t="inlineStr">
        <is>
          <t>low</t>
        </is>
      </c>
      <c r="K586" s="29" t="n">
        <v>1</v>
      </c>
      <c r="L586" s="44">
        <f>60*G586/cruise_kt</f>
        <v/>
      </c>
      <c r="M586" s="44">
        <f>L586+turn_min+dwell_min</f>
        <v/>
      </c>
      <c r="N586" s="45">
        <f>MIN(15,FLOOR(60*service_hr/M586,1))</f>
        <v/>
      </c>
      <c r="O586" s="45">
        <f>ROUND(365*mech_uptime*K586,0)</f>
        <v/>
      </c>
      <c r="P586" s="46">
        <f>mech_uptime</f>
        <v/>
      </c>
      <c r="Q586" s="46">
        <f>revleg_sel</f>
        <v/>
      </c>
      <c r="R586" s="45">
        <f>ROUND(N586*O586*revleg_sel,0)</f>
        <v/>
      </c>
      <c r="S586" s="47">
        <f>load_sel</f>
        <v/>
      </c>
      <c r="T586" s="47">
        <f>pax_cap*S586</f>
        <v/>
      </c>
      <c r="U586" s="45">
        <f>T586*R586</f>
        <v/>
      </c>
      <c r="V586" s="48">
        <f>H586*discount</f>
        <v/>
      </c>
      <c r="W586" s="49">
        <f>V586*U586</f>
        <v/>
      </c>
      <c r="X586" s="49">
        <f>(battery/range_nm)*G586*R586*VLOOKUP(B586,country_opex,3,FALSE)</f>
        <v/>
      </c>
      <c r="Y586" s="49">
        <f>VLOOKUP(B586,country_opex,2,FALSE)*crew_factor</f>
        <v/>
      </c>
      <c r="Z586" s="49">
        <f>VLOOKUP(B586,country_opex,5,FALSE)</f>
        <v/>
      </c>
      <c r="AA586" s="49">
        <f>maint</f>
        <v/>
      </c>
      <c r="AB586" s="49">
        <f>VLOOKUP(B586,country_opex,7,FALSE)*ins_pct</f>
        <v/>
      </c>
      <c r="AC586" s="49">
        <f>charge_berth</f>
        <v/>
      </c>
      <c r="AD586" s="49">
        <f>X586+Y586+Z586+AA586+AB586+AC586</f>
        <v/>
      </c>
      <c r="AE586" s="49">
        <f>VLOOKUP(B586,country_opex,7,FALSE)/dep_years</f>
        <v/>
      </c>
      <c r="AF586" s="49">
        <f>W586-AD586</f>
        <v/>
      </c>
      <c r="AG586" s="46">
        <f>IF(W586=0,"",AF586/W586)</f>
        <v/>
      </c>
      <c r="AH586" s="47">
        <f>IF(AF586&lt;=0,"",VLOOKUP(B586,country_opex,7,FALSE)/AF586)</f>
        <v/>
      </c>
      <c r="AI586" s="44">
        <f>((G586*R586/diesel_nmpg)*diesel_co2pg-(battery/range_nm)*G586*R586*VLOOKUP(B586,country_opex,4,FALSE))/1000</f>
        <v/>
      </c>
      <c r="AJ586" s="42" t="n">
        <v>40000</v>
      </c>
      <c r="AK586" s="43" t="inlineStr">
        <is>
          <t>T2</t>
        </is>
      </c>
      <c r="AL586" s="43" t="inlineStr">
        <is>
          <t>low</t>
        </is>
      </c>
      <c r="AM586" s="50" t="n">
        <v>0.1</v>
      </c>
      <c r="AN586" s="45">
        <f>IF(AJ586="","",AJ586*AM586)</f>
        <v/>
      </c>
      <c r="AO586" s="45">
        <f>IF(OR(AJ586="",U586=0),"",MIN(IF(AW586="",9.9E+99,AW586),FLOOR(AN586/U586,1)))</f>
        <v/>
      </c>
      <c r="AP586" s="49">
        <f>IF(AO586="","",AO586*W586)</f>
        <v/>
      </c>
      <c r="AQ586" s="47">
        <f>IF(OR(AJ586="",U586=0),"",MIN(IF(AW586="",9.9E+99,AW586),AN586/U586))</f>
        <v/>
      </c>
      <c r="AR586" s="49">
        <f>IF(AQ586="","",AQ586*W586)</f>
        <v/>
      </c>
      <c r="AS586" s="51" t="n"/>
      <c r="AT586" s="43" t="inlineStr">
        <is>
          <t>Grounded</t>
        </is>
      </c>
      <c r="AU586" s="52" t="n"/>
      <c r="AV586" s="52" t="n"/>
      <c r="AW586" s="53" t="n"/>
      <c r="AX586" s="54">
        <f>IF(((V586*pax_cap*load_thin*ROUND(N586*O586*revleg_thin,0))-(((battery/range_nm)*G586*ROUND(N586*O586*revleg_thin,0)*VLOOKUP(B586,country_opex,3,FALSE))+Y586+Z586+AA586+AB586+AC586))&lt;=0,"",VLOOKUP(B586,country_opex,7,FALSE)/((V586*pax_cap*load_thin*ROUND(N586*O586*revleg_thin,0))-(((battery/range_nm)*G586*ROUND(N586*O586*revleg_thin,0)*VLOOKUP(B586,country_opex,3,FALSE))+Y586+Z586+AA586+AB586+AC586)))</f>
        <v/>
      </c>
      <c r="AY586" s="54">
        <f>IF(((V586*pax_cap*load_mid*ROUND(N586*O586*revleg_mid,0))-(((battery/range_nm)*G586*ROUND(N586*O586*revleg_mid,0)*VLOOKUP(B586,country_opex,3,FALSE))+Y586+Z586+AA586+AB586+AC586))&lt;=0,"",VLOOKUP(B586,country_opex,7,FALSE)/((V586*pax_cap*load_mid*ROUND(N586*O586*revleg_mid,0))-(((battery/range_nm)*G586*ROUND(N586*O586*revleg_mid,0)*VLOOKUP(B586,country_opex,3,FALSE))+Y586+Z586+AA586+AB586+AC586)))</f>
        <v/>
      </c>
      <c r="AZ586" s="54">
        <f>IF(((V586*pax_cap*load_full*ROUND(N586*O586*revleg_full,0))-(((battery/range_nm)*G586*ROUND(N586*O586*revleg_full,0)*VLOOKUP(B586,country_opex,3,FALSE))+Y586+Z586+AA586+AB586+AC586))&lt;=0,"",VLOOKUP(B586,country_opex,7,FALSE)/((V586*pax_cap*load_full*ROUND(N586*O586*revleg_full,0))-(((battery/range_nm)*G586*ROUND(N586*O586*revleg_full,0)*VLOOKUP(B586,country_opex,3,FALSE))+Y586+Z586+AA586+AB586+AC586)))</f>
        <v/>
      </c>
      <c r="BA586" s="40" t="inlineStr">
        <is>
          <t>Dubai-Sharjah Ferry Gold AED 25 subsidized-commuter (R5-EXT). Premium per-seat $85 modeled (between subsidized ferry and charter). T5/low.</t>
        </is>
      </c>
      <c r="BB58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Ras Al Khaimah → UAQ Marine Club</t>
        </is>
      </c>
      <c r="D587" s="38" t="inlineStr">
        <is>
          <t>rakta</t>
        </is>
      </c>
      <c r="E587" s="40" t="inlineStr">
        <is>
          <t>gulf-authority-bahrain-motc, gulf-authority-rakta</t>
        </is>
      </c>
      <c r="F587" s="41" t="n">
        <v>2</v>
      </c>
      <c r="G587" s="42" t="n">
        <v>26.6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L587+turn_min+dwell_min</f>
        <v/>
      </c>
      <c r="N587" s="45">
        <f>MIN(15,FLOOR(60*service_hr/M587,1))</f>
        <v/>
      </c>
      <c r="O587" s="45">
        <f>ROUND(365*mech_uptime*K587,0)</f>
        <v/>
      </c>
      <c r="P587" s="46">
        <f>mech_uptime</f>
        <v/>
      </c>
      <c r="Q587" s="46">
        <f>revleg_sel</f>
        <v/>
      </c>
      <c r="R587" s="45">
        <f>ROUND(N587*O587*revleg_sel,0)</f>
        <v/>
      </c>
      <c r="S587" s="47">
        <f>load_sel</f>
        <v/>
      </c>
      <c r="T587" s="47">
        <f>pax_cap*S587</f>
        <v/>
      </c>
      <c r="U587" s="45">
        <f>T587*R587</f>
        <v/>
      </c>
      <c r="V587" s="48">
        <f>H587*discount</f>
        <v/>
      </c>
      <c r="W587" s="49">
        <f>V587*U587</f>
        <v/>
      </c>
      <c r="X587" s="49">
        <f>(battery/range_nm)*G587*R587*VLOOKUP(B587,country_opex,3,FALSE)</f>
        <v/>
      </c>
      <c r="Y587" s="49">
        <f>VLOOKUP(B587,country_opex,2,FALSE)*crew_factor</f>
        <v/>
      </c>
      <c r="Z587" s="49">
        <f>VLOOKUP(B587,country_opex,5,FALSE)</f>
        <v/>
      </c>
      <c r="AA587" s="49">
        <f>maint</f>
        <v/>
      </c>
      <c r="AB587" s="49">
        <f>VLOOKUP(B587,country_opex,7,FALSE)*ins_pct</f>
        <v/>
      </c>
      <c r="AC587" s="49">
        <f>charge_berth</f>
        <v/>
      </c>
      <c r="AD587" s="49">
        <f>X587+Y587+Z587+AA587+AB587+AC587</f>
        <v/>
      </c>
      <c r="AE587" s="49">
        <f>VLOOKUP(B587,country_opex,7,FALSE)/dep_years</f>
        <v/>
      </c>
      <c r="AF587" s="49">
        <f>W587-AD587</f>
        <v/>
      </c>
      <c r="AG587" s="46">
        <f>IF(W587=0,"",AF587/W587)</f>
        <v/>
      </c>
      <c r="AH587" s="47">
        <f>IF(AF587&lt;=0,"",VLOOKUP(B587,country_opex,7,FALSE)/AF587)</f>
        <v/>
      </c>
      <c r="AI587" s="44">
        <f>((G587*R587/diesel_nmpg)*diesel_co2pg-(battery/range_nm)*G587*R587*VLOOKUP(B587,country_opex,4,FALSE))/1000</f>
        <v/>
      </c>
      <c r="AJ587" s="42" t="n">
        <v>5217</v>
      </c>
      <c r="AK587" s="43" t="inlineStr">
        <is>
          <t>T3</t>
        </is>
      </c>
      <c r="AL587" s="43" t="inlineStr">
        <is>
          <t>med-low</t>
        </is>
      </c>
      <c r="AM587" s="50" t="n">
        <v>0.1</v>
      </c>
      <c r="AN587" s="45">
        <f>IF(AJ587="","",AJ587*AM587)</f>
        <v/>
      </c>
      <c r="AO587" s="45">
        <f>IF(OR(AJ587="",U587=0),"",MIN(IF(AW587="",9.9E+99,AW587),FLOOR(AN587/U587,1)))</f>
        <v/>
      </c>
      <c r="AP587" s="49">
        <f>IF(AO587="","",AO587*W587)</f>
        <v/>
      </c>
      <c r="AQ587" s="47">
        <f>IF(OR(AJ587="",U587=0),"",MIN(IF(AW587="",9.9E+99,AW587),AN587/U587))</f>
        <v/>
      </c>
      <c r="AR587" s="49">
        <f>IF(AQ587="","",AQ587*W587)</f>
        <v/>
      </c>
      <c r="AS587" s="51" t="n"/>
      <c r="AT587" s="43" t="inlineStr">
        <is>
          <t>Grounded</t>
        </is>
      </c>
      <c r="AU587" s="52" t="n"/>
      <c r="AV587" s="52" t="n"/>
      <c r="AW587" s="53" t="n"/>
      <c r="AX587" s="54">
        <f>IF(((V587*pax_cap*load_thin*ROUND(N587*O587*revleg_thin,0))-(((battery/range_nm)*G587*ROUND(N587*O587*revleg_thin,0)*VLOOKUP(B587,country_opex,3,FALSE))+Y587+Z587+AA587+AB587+AC587))&lt;=0,"",VLOOKUP(B587,country_opex,7,FALSE)/((V587*pax_cap*load_thin*ROUND(N587*O587*revleg_thin,0))-(((battery/range_nm)*G587*ROUND(N587*O587*revleg_thin,0)*VLOOKUP(B587,country_opex,3,FALSE))+Y587+Z587+AA587+AB587+AC587)))</f>
        <v/>
      </c>
      <c r="AY587" s="54">
        <f>IF(((V587*pax_cap*load_mid*ROUND(N587*O587*revleg_mid,0))-(((battery/range_nm)*G587*ROUND(N587*O587*revleg_mid,0)*VLOOKUP(B587,country_opex,3,FALSE))+Y587+Z587+AA587+AB587+AC587))&lt;=0,"",VLOOKUP(B587,country_opex,7,FALSE)/((V587*pax_cap*load_mid*ROUND(N587*O587*revleg_mid,0))-(((battery/range_nm)*G587*ROUND(N587*O587*revleg_mid,0)*VLOOKUP(B587,country_opex,3,FALSE))+Y587+Z587+AA587+AB587+AC587)))</f>
        <v/>
      </c>
      <c r="AZ587" s="54">
        <f>IF(((V587*pax_cap*load_full*ROUND(N587*O587*revleg_full,0))-(((battery/range_nm)*G587*ROUND(N587*O587*revleg_full,0)*VLOOKUP(B587,country_opex,3,FALSE))+Y587+Z587+AA587+AB587+AC587))&lt;=0,"",VLOOKUP(B587,country_opex,7,FALSE)/((V587*pax_cap*load_full*ROUND(N587*O587*revleg_full,0))-(((battery/range_nm)*G587*ROUND(N587*O587*revleg_full,0)*VLOOKUP(B587,country_opex,3,FALSE))+Y587+Z587+AA587+AB587+AC587)))</f>
        <v/>
      </c>
      <c r="BA587" s="40" t="n"/>
      <c r="BB587" s="40" t="n"/>
    </row>
    <row r="588">
      <c r="A588" s="38" t="inlineStr">
        <is>
          <t>Gulf Authority Rakta</t>
        </is>
      </c>
      <c r="B588" s="38" t="inlineStr">
        <is>
          <t>United Arab Emirates</t>
        </is>
      </c>
      <c r="C588" s="39" t="inlineStr">
        <is>
          <t>Ras Al Khaimah → Ajman Marina</t>
        </is>
      </c>
      <c r="D588" s="38" t="inlineStr">
        <is>
          <t>rakta</t>
        </is>
      </c>
      <c r="E588" s="40" t="inlineStr">
        <is>
          <t>gulf-authority-bahrain-motc, gulf-authority-rakta</t>
        </is>
      </c>
      <c r="F588" s="41" t="n">
        <v>2</v>
      </c>
      <c r="G588" s="42" t="n">
        <v>39</v>
      </c>
      <c r="H588" s="35" t="n">
        <v>35</v>
      </c>
      <c r="I588" s="43" t="inlineStr">
        <is>
          <t>T3</t>
        </is>
      </c>
      <c r="J588" s="43" t="inlineStr">
        <is>
          <t>med-low</t>
        </is>
      </c>
      <c r="K588" s="29" t="n">
        <v>1</v>
      </c>
      <c r="L588" s="44">
        <f>60*G588/cruise_kt</f>
        <v/>
      </c>
      <c r="M588" s="44">
        <f>L588+turn_min+dwell_min</f>
        <v/>
      </c>
      <c r="N588" s="45">
        <f>MIN(15,FLOOR(60*service_hr/M588,1))</f>
        <v/>
      </c>
      <c r="O588" s="45">
        <f>ROUND(365*mech_uptime*K588,0)</f>
        <v/>
      </c>
      <c r="P588" s="46">
        <f>mech_uptime</f>
        <v/>
      </c>
      <c r="Q588" s="46">
        <f>revleg_sel</f>
        <v/>
      </c>
      <c r="R588" s="45">
        <f>ROUND(N588*O588*revleg_sel,0)</f>
        <v/>
      </c>
      <c r="S588" s="47">
        <f>load_sel</f>
        <v/>
      </c>
      <c r="T588" s="47">
        <f>pax_cap*S588</f>
        <v/>
      </c>
      <c r="U588" s="45">
        <f>T588*R588</f>
        <v/>
      </c>
      <c r="V588" s="48">
        <f>H588*discount</f>
        <v/>
      </c>
      <c r="W588" s="49">
        <f>V588*U588</f>
        <v/>
      </c>
      <c r="X588" s="49">
        <f>(battery/range_nm)*G588*R588*VLOOKUP(B588,country_opex,3,FALSE)</f>
        <v/>
      </c>
      <c r="Y588" s="49">
        <f>VLOOKUP(B588,country_opex,2,FALSE)*crew_factor</f>
        <v/>
      </c>
      <c r="Z588" s="49">
        <f>VLOOKUP(B588,country_opex,5,FALSE)</f>
        <v/>
      </c>
      <c r="AA588" s="49">
        <f>maint</f>
        <v/>
      </c>
      <c r="AB588" s="49">
        <f>VLOOKUP(B588,country_opex,7,FALSE)*ins_pct</f>
        <v/>
      </c>
      <c r="AC588" s="49">
        <f>charge_berth</f>
        <v/>
      </c>
      <c r="AD588" s="49">
        <f>X588+Y588+Z588+AA588+AB588+AC588</f>
        <v/>
      </c>
      <c r="AE588" s="49">
        <f>VLOOKUP(B588,country_opex,7,FALSE)/dep_years</f>
        <v/>
      </c>
      <c r="AF588" s="49">
        <f>W588-AD588</f>
        <v/>
      </c>
      <c r="AG588" s="46">
        <f>IF(W588=0,"",AF588/W588)</f>
        <v/>
      </c>
      <c r="AH588" s="47">
        <f>IF(AF588&lt;=0,"",VLOOKUP(B588,country_opex,7,FALSE)/AF588)</f>
        <v/>
      </c>
      <c r="AI588" s="44">
        <f>((G588*R588/diesel_nmpg)*diesel_co2pg-(battery/range_nm)*G588*R588*VLOOKUP(B588,country_opex,4,FALSE))/1000</f>
        <v/>
      </c>
      <c r="AJ588" s="42" t="n">
        <v>5217</v>
      </c>
      <c r="AK588" s="43" t="inlineStr">
        <is>
          <t>T3</t>
        </is>
      </c>
      <c r="AL588" s="43" t="inlineStr">
        <is>
          <t>med-low</t>
        </is>
      </c>
      <c r="AM588" s="50" t="n">
        <v>0.1</v>
      </c>
      <c r="AN588" s="45">
        <f>IF(AJ588="","",AJ588*AM588)</f>
        <v/>
      </c>
      <c r="AO588" s="45">
        <f>IF(OR(AJ588="",U588=0),"",MIN(IF(AW588="",9.9E+99,AW588),FLOOR(AN588/U588,1)))</f>
        <v/>
      </c>
      <c r="AP588" s="49">
        <f>IF(AO588="","",AO588*W588)</f>
        <v/>
      </c>
      <c r="AQ588" s="47">
        <f>IF(OR(AJ588="",U588=0),"",MIN(IF(AW588="",9.9E+99,AW588),AN588/U588))</f>
        <v/>
      </c>
      <c r="AR588" s="49">
        <f>IF(AQ588="","",AQ588*W588)</f>
        <v/>
      </c>
      <c r="AS588" s="51" t="n"/>
      <c r="AT588" s="43" t="inlineStr">
        <is>
          <t>Grounded</t>
        </is>
      </c>
      <c r="AU588" s="52" t="n"/>
      <c r="AV588" s="52" t="n"/>
      <c r="AW588" s="53" t="n"/>
      <c r="AX588" s="54">
        <f>IF(((V588*pax_cap*load_thin*ROUND(N588*O588*revleg_thin,0))-(((battery/range_nm)*G588*ROUND(N588*O588*revleg_thin,0)*VLOOKUP(B588,country_opex,3,FALSE))+Y588+Z588+AA588+AB588+AC588))&lt;=0,"",VLOOKUP(B588,country_opex,7,FALSE)/((V588*pax_cap*load_thin*ROUND(N588*O588*revleg_thin,0))-(((battery/range_nm)*G588*ROUND(N588*O588*revleg_thin,0)*VLOOKUP(B588,country_opex,3,FALSE))+Y588+Z588+AA588+AB588+AC588)))</f>
        <v/>
      </c>
      <c r="AY588" s="54">
        <f>IF(((V588*pax_cap*load_mid*ROUND(N588*O588*revleg_mid,0))-(((battery/range_nm)*G588*ROUND(N588*O588*revleg_mid,0)*VLOOKUP(B588,country_opex,3,FALSE))+Y588+Z588+AA588+AB588+AC588))&lt;=0,"",VLOOKUP(B588,country_opex,7,FALSE)/((V588*pax_cap*load_mid*ROUND(N588*O588*revleg_mid,0))-(((battery/range_nm)*G588*ROUND(N588*O588*revleg_mid,0)*VLOOKUP(B588,country_opex,3,FALSE))+Y588+Z588+AA588+AB588+AC588)))</f>
        <v/>
      </c>
      <c r="AZ588" s="54">
        <f>IF(((V588*pax_cap*load_full*ROUND(N588*O588*revleg_full,0))-(((battery/range_nm)*G588*ROUND(N588*O588*revleg_full,0)*VLOOKUP(B588,country_opex,3,FALSE))+Y588+Z588+AA588+AB588+AC588))&lt;=0,"",VLOOKUP(B588,country_opex,7,FALSE)/((V588*pax_cap*load_full*ROUND(N588*O588*revleg_full,0))-(((battery/range_nm)*G588*ROUND(N588*O588*revleg_full,0)*VLOOKUP(B588,country_opex,3,FALSE))+Y588+Z588+AA588+AB588+AC588)))</f>
        <v/>
      </c>
      <c r="BA588" s="40" t="n"/>
      <c r="BB588" s="40" t="n"/>
    </row>
    <row r="589">
      <c r="A589" s="38" t="inlineStr">
        <is>
          <t>Gulf Authority Rakta</t>
        </is>
      </c>
      <c r="B589" s="38" t="inlineStr">
        <is>
          <t>United Arab Emirates</t>
        </is>
      </c>
      <c r="C589" s="39" t="inlineStr">
        <is>
          <t>Ras Al Khaimah → Sharjah</t>
        </is>
      </c>
      <c r="D589" s="38" t="inlineStr">
        <is>
          <t>rakta</t>
        </is>
      </c>
      <c r="E589" s="40" t="inlineStr">
        <is>
          <t>gulf-authority-bahrain-motc, gulf-authority-rakta</t>
        </is>
      </c>
      <c r="F589" s="41" t="n">
        <v>2</v>
      </c>
      <c r="G589" s="42" t="n">
        <v>42</v>
      </c>
      <c r="H589" s="35" t="n">
        <v>35</v>
      </c>
      <c r="I589" s="43" t="inlineStr">
        <is>
          <t>T3</t>
        </is>
      </c>
      <c r="J589" s="43" t="inlineStr">
        <is>
          <t>med-low</t>
        </is>
      </c>
      <c r="K589" s="29" t="n">
        <v>1</v>
      </c>
      <c r="L589" s="44">
        <f>60*G589/cruise_kt</f>
        <v/>
      </c>
      <c r="M589" s="44">
        <f>L589+turn_min+dwell_min</f>
        <v/>
      </c>
      <c r="N589" s="45">
        <f>MIN(15,FLOOR(60*service_hr/M589,1))</f>
        <v/>
      </c>
      <c r="O589" s="45">
        <f>ROUND(365*mech_uptime*K589,0)</f>
        <v/>
      </c>
      <c r="P589" s="46">
        <f>mech_uptime</f>
        <v/>
      </c>
      <c r="Q589" s="46">
        <f>revleg_sel</f>
        <v/>
      </c>
      <c r="R589" s="45">
        <f>ROUND(N589*O589*revleg_sel,0)</f>
        <v/>
      </c>
      <c r="S589" s="47">
        <f>load_sel</f>
        <v/>
      </c>
      <c r="T589" s="47">
        <f>pax_cap*S589</f>
        <v/>
      </c>
      <c r="U589" s="45">
        <f>T589*R589</f>
        <v/>
      </c>
      <c r="V589" s="48">
        <f>H589*discount</f>
        <v/>
      </c>
      <c r="W589" s="49">
        <f>V589*U589</f>
        <v/>
      </c>
      <c r="X589" s="49">
        <f>(battery/range_nm)*G589*R589*VLOOKUP(B589,country_opex,3,FALSE)</f>
        <v/>
      </c>
      <c r="Y589" s="49">
        <f>VLOOKUP(B589,country_opex,2,FALSE)*crew_factor</f>
        <v/>
      </c>
      <c r="Z589" s="49">
        <f>VLOOKUP(B589,country_opex,5,FALSE)</f>
        <v/>
      </c>
      <c r="AA589" s="49">
        <f>maint</f>
        <v/>
      </c>
      <c r="AB589" s="49">
        <f>VLOOKUP(B589,country_opex,7,FALSE)*ins_pct</f>
        <v/>
      </c>
      <c r="AC589" s="49">
        <f>charge_berth</f>
        <v/>
      </c>
      <c r="AD589" s="49">
        <f>X589+Y589+Z589+AA589+AB589+AC589</f>
        <v/>
      </c>
      <c r="AE589" s="49">
        <f>VLOOKUP(B589,country_opex,7,FALSE)/dep_years</f>
        <v/>
      </c>
      <c r="AF589" s="49">
        <f>W589-AD589</f>
        <v/>
      </c>
      <c r="AG589" s="46">
        <f>IF(W589=0,"",AF589/W589)</f>
        <v/>
      </c>
      <c r="AH589" s="47">
        <f>IF(AF589&lt;=0,"",VLOOKUP(B589,country_opex,7,FALSE)/AF589)</f>
        <v/>
      </c>
      <c r="AI589" s="44">
        <f>((G589*R589/diesel_nmpg)*diesel_co2pg-(battery/range_nm)*G589*R589*VLOOKUP(B589,country_opex,4,FALSE))/1000</f>
        <v/>
      </c>
      <c r="AJ589" s="42" t="n">
        <v>5217</v>
      </c>
      <c r="AK589" s="43" t="inlineStr">
        <is>
          <t>T3</t>
        </is>
      </c>
      <c r="AL589" s="43" t="inlineStr">
        <is>
          <t>med-low</t>
        </is>
      </c>
      <c r="AM589" s="50" t="n">
        <v>0.1</v>
      </c>
      <c r="AN589" s="45">
        <f>IF(AJ589="","",AJ589*AM589)</f>
        <v/>
      </c>
      <c r="AO589" s="45">
        <f>IF(OR(AJ589="",U589=0),"",MIN(IF(AW589="",9.9E+99,AW589),FLOOR(AN589/U589,1)))</f>
        <v/>
      </c>
      <c r="AP589" s="49">
        <f>IF(AO589="","",AO589*W589)</f>
        <v/>
      </c>
      <c r="AQ589" s="47">
        <f>IF(OR(AJ589="",U589=0),"",MIN(IF(AW589="",9.9E+99,AW589),AN589/U589))</f>
        <v/>
      </c>
      <c r="AR589" s="49">
        <f>IF(AQ589="","",AQ589*W589)</f>
        <v/>
      </c>
      <c r="AS589" s="51" t="n"/>
      <c r="AT589" s="43" t="inlineStr">
        <is>
          <t>Grounded</t>
        </is>
      </c>
      <c r="AU589" s="52" t="n"/>
      <c r="AV589" s="52" t="n"/>
      <c r="AW589" s="53" t="n"/>
      <c r="AX589" s="54">
        <f>IF(((V589*pax_cap*load_thin*ROUND(N589*O589*revleg_thin,0))-(((battery/range_nm)*G589*ROUND(N589*O589*revleg_thin,0)*VLOOKUP(B589,country_opex,3,FALSE))+Y589+Z589+AA589+AB589+AC589))&lt;=0,"",VLOOKUP(B589,country_opex,7,FALSE)/((V589*pax_cap*load_thin*ROUND(N589*O589*revleg_thin,0))-(((battery/range_nm)*G589*ROUND(N589*O589*revleg_thin,0)*VLOOKUP(B589,country_opex,3,FALSE))+Y589+Z589+AA589+AB589+AC589)))</f>
        <v/>
      </c>
      <c r="AY589" s="54">
        <f>IF(((V589*pax_cap*load_mid*ROUND(N589*O589*revleg_mid,0))-(((battery/range_nm)*G589*ROUND(N589*O589*revleg_mid,0)*VLOOKUP(B589,country_opex,3,FALSE))+Y589+Z589+AA589+AB589+AC589))&lt;=0,"",VLOOKUP(B589,country_opex,7,FALSE)/((V589*pax_cap*load_mid*ROUND(N589*O589*revleg_mid,0))-(((battery/range_nm)*G589*ROUND(N589*O589*revleg_mid,0)*VLOOKUP(B589,country_opex,3,FALSE))+Y589+Z589+AA589+AB589+AC589)))</f>
        <v/>
      </c>
      <c r="AZ589" s="54">
        <f>IF(((V589*pax_cap*load_full*ROUND(N589*O589*revleg_full,0))-(((battery/range_nm)*G589*ROUND(N589*O589*revleg_full,0)*VLOOKUP(B589,country_opex,3,FALSE))+Y589+Z589+AA589+AB589+AC589))&lt;=0,"",VLOOKUP(B589,country_opex,7,FALSE)/((V589*pax_cap*load_full*ROUND(N589*O589*revleg_full,0))-(((battery/range_nm)*G589*ROUND(N589*O589*revleg_full,0)*VLOOKUP(B589,country_opex,3,FALSE))+Y589+Z589+AA589+AB589+AC589)))</f>
        <v/>
      </c>
      <c r="BA589" s="40" t="n"/>
      <c r="BB589" s="40" t="n"/>
    </row>
    <row r="590">
      <c r="A590" s="38" t="inlineStr">
        <is>
          <t>Gulf Authority Rakta</t>
        </is>
      </c>
      <c r="B590" s="38" t="inlineStr">
        <is>
          <t>United Arab Emirates</t>
        </is>
      </c>
      <c r="C590" s="39" t="inlineStr">
        <is>
          <t>Ras Al Khaimah → Dubai Islands Marina</t>
        </is>
      </c>
      <c r="D590" s="38" t="inlineStr">
        <is>
          <t>rakta</t>
        </is>
      </c>
      <c r="E590" s="40" t="inlineStr">
        <is>
          <t>gulf-authority-bahrain-motc, gulf-authority-rakta</t>
        </is>
      </c>
      <c r="F590" s="41" t="n">
        <v>2</v>
      </c>
      <c r="G590" s="42" t="n">
        <v>50</v>
      </c>
      <c r="H590" s="35" t="n">
        <v>35</v>
      </c>
      <c r="I590" s="43" t="inlineStr">
        <is>
          <t>T3</t>
        </is>
      </c>
      <c r="J590" s="43" t="inlineStr">
        <is>
          <t>med-low</t>
        </is>
      </c>
      <c r="K590" s="29" t="n">
        <v>1</v>
      </c>
      <c r="L590" s="44">
        <f>60*G590/cruise_kt</f>
        <v/>
      </c>
      <c r="M590" s="44">
        <f>L590+turn_min+dwell_min</f>
        <v/>
      </c>
      <c r="N590" s="45">
        <f>MIN(15,FLOOR(60*service_hr/M590,1))</f>
        <v/>
      </c>
      <c r="O590" s="45">
        <f>ROUND(365*mech_uptime*K590,0)</f>
        <v/>
      </c>
      <c r="P590" s="46">
        <f>mech_uptime</f>
        <v/>
      </c>
      <c r="Q590" s="46">
        <f>revleg_sel</f>
        <v/>
      </c>
      <c r="R590" s="45">
        <f>ROUND(N590*O590*revleg_sel,0)</f>
        <v/>
      </c>
      <c r="S590" s="47">
        <f>load_sel</f>
        <v/>
      </c>
      <c r="T590" s="47">
        <f>pax_cap*S590</f>
        <v/>
      </c>
      <c r="U590" s="45">
        <f>T590*R590</f>
        <v/>
      </c>
      <c r="V590" s="48">
        <f>H590*discount</f>
        <v/>
      </c>
      <c r="W590" s="49">
        <f>V590*U590</f>
        <v/>
      </c>
      <c r="X590" s="49">
        <f>(battery/range_nm)*G590*R590*VLOOKUP(B590,country_opex,3,FALSE)</f>
        <v/>
      </c>
      <c r="Y590" s="49">
        <f>VLOOKUP(B590,country_opex,2,FALSE)*crew_factor</f>
        <v/>
      </c>
      <c r="Z590" s="49">
        <f>VLOOKUP(B590,country_opex,5,FALSE)</f>
        <v/>
      </c>
      <c r="AA590" s="49">
        <f>maint</f>
        <v/>
      </c>
      <c r="AB590" s="49">
        <f>VLOOKUP(B590,country_opex,7,FALSE)*ins_pct</f>
        <v/>
      </c>
      <c r="AC590" s="49">
        <f>charge_berth</f>
        <v/>
      </c>
      <c r="AD590" s="49">
        <f>X590+Y590+Z590+AA590+AB590+AC590</f>
        <v/>
      </c>
      <c r="AE590" s="49">
        <f>VLOOKUP(B590,country_opex,7,FALSE)/dep_years</f>
        <v/>
      </c>
      <c r="AF590" s="49">
        <f>W590-AD590</f>
        <v/>
      </c>
      <c r="AG590" s="46">
        <f>IF(W590=0,"",AF590/W590)</f>
        <v/>
      </c>
      <c r="AH590" s="47">
        <f>IF(AF590&lt;=0,"",VLOOKUP(B590,country_opex,7,FALSE)/AF590)</f>
        <v/>
      </c>
      <c r="AI590" s="44">
        <f>((G590*R590/diesel_nmpg)*diesel_co2pg-(battery/range_nm)*G590*R590*VLOOKUP(B590,country_opex,4,FALSE))/1000</f>
        <v/>
      </c>
      <c r="AJ590" s="42" t="n">
        <v>5217</v>
      </c>
      <c r="AK590" s="43" t="inlineStr">
        <is>
          <t>T3</t>
        </is>
      </c>
      <c r="AL590" s="43" t="inlineStr">
        <is>
          <t>med-low</t>
        </is>
      </c>
      <c r="AM590" s="50" t="n">
        <v>0.1</v>
      </c>
      <c r="AN590" s="45">
        <f>IF(AJ590="","",AJ590*AM590)</f>
        <v/>
      </c>
      <c r="AO590" s="45">
        <f>IF(OR(AJ590="",U590=0),"",MIN(IF(AW590="",9.9E+99,AW590),FLOOR(AN590/U590,1)))</f>
        <v/>
      </c>
      <c r="AP590" s="49">
        <f>IF(AO590="","",AO590*W590)</f>
        <v/>
      </c>
      <c r="AQ590" s="47">
        <f>IF(OR(AJ590="",U590=0),"",MIN(IF(AW590="",9.9E+99,AW590),AN590/U590))</f>
        <v/>
      </c>
      <c r="AR590" s="49">
        <f>IF(AQ590="","",AQ590*W590)</f>
        <v/>
      </c>
      <c r="AS590" s="51" t="n"/>
      <c r="AT590" s="43" t="inlineStr">
        <is>
          <t>Grounded</t>
        </is>
      </c>
      <c r="AU590" s="52" t="n"/>
      <c r="AV590" s="52" t="n"/>
      <c r="AW590" s="53" t="n"/>
      <c r="AX590" s="54">
        <f>IF(((V590*pax_cap*load_thin*ROUND(N590*O590*revleg_thin,0))-(((battery/range_nm)*G590*ROUND(N590*O590*revleg_thin,0)*VLOOKUP(B590,country_opex,3,FALSE))+Y590+Z590+AA590+AB590+AC590))&lt;=0,"",VLOOKUP(B590,country_opex,7,FALSE)/((V590*pax_cap*load_thin*ROUND(N590*O590*revleg_thin,0))-(((battery/range_nm)*G590*ROUND(N590*O590*revleg_thin,0)*VLOOKUP(B590,country_opex,3,FALSE))+Y590+Z590+AA590+AB590+AC590)))</f>
        <v/>
      </c>
      <c r="AY590" s="54">
        <f>IF(((V590*pax_cap*load_mid*ROUND(N590*O590*revleg_mid,0))-(((battery/range_nm)*G590*ROUND(N590*O590*revleg_mid,0)*VLOOKUP(B590,country_opex,3,FALSE))+Y590+Z590+AA590+AB590+AC590))&lt;=0,"",VLOOKUP(B590,country_opex,7,FALSE)/((V590*pax_cap*load_mid*ROUND(N590*O590*revleg_mid,0))-(((battery/range_nm)*G590*ROUND(N590*O590*revleg_mid,0)*VLOOKUP(B590,country_opex,3,FALSE))+Y590+Z590+AA590+AB590+AC590)))</f>
        <v/>
      </c>
      <c r="AZ590" s="54">
        <f>IF(((V590*pax_cap*load_full*ROUND(N590*O590*revleg_full,0))-(((battery/range_nm)*G590*ROUND(N590*O590*revleg_full,0)*VLOOKUP(B590,country_opex,3,FALSE))+Y590+Z590+AA590+AB590+AC590))&lt;=0,"",VLOOKUP(B590,country_opex,7,FALSE)/((V590*pax_cap*load_full*ROUND(N590*O590*revleg_full,0))-(((battery/range_nm)*G590*ROUND(N590*O590*revleg_full,0)*VLOOKUP(B590,country_opex,3,FALSE))+Y590+Z590+AA590+AB590+AC590)))</f>
        <v/>
      </c>
      <c r="BA590" s="40" t="n"/>
      <c r="BB590" s="40" t="n"/>
    </row>
    <row r="591">
      <c r="A591" s="38" t="inlineStr">
        <is>
          <t>Gulf Authority Rakta</t>
        </is>
      </c>
      <c r="B591" s="38" t="inlineStr">
        <is>
          <t>United Arab Emirates</t>
        </is>
      </c>
      <c r="C591" s="39" t="inlineStr">
        <is>
          <t>Ras Al Khaimah → Fujairah</t>
        </is>
      </c>
      <c r="D591" s="38" t="inlineStr">
        <is>
          <t>rakta</t>
        </is>
      </c>
      <c r="E591" s="40" t="inlineStr">
        <is>
          <t>gulf-authority-bahrain-motc, gulf-authority-rakta</t>
        </is>
      </c>
      <c r="F591" s="41" t="n">
        <v>2</v>
      </c>
      <c r="G591" s="42" t="n">
        <v>54.7</v>
      </c>
      <c r="H591" s="35" t="n">
        <v>35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L591+turn_min+dwell_min</f>
        <v/>
      </c>
      <c r="N591" s="45">
        <f>MIN(15,FLOOR(60*service_hr/M591,1))</f>
        <v/>
      </c>
      <c r="O591" s="45">
        <f>ROUND(365*mech_uptime*K591,0)</f>
        <v/>
      </c>
      <c r="P591" s="46">
        <f>mech_uptime</f>
        <v/>
      </c>
      <c r="Q591" s="46">
        <f>revleg_sel</f>
        <v/>
      </c>
      <c r="R591" s="45">
        <f>ROUND(N591*O591*revleg_sel,0)</f>
        <v/>
      </c>
      <c r="S591" s="47">
        <f>load_sel</f>
        <v/>
      </c>
      <c r="T591" s="47">
        <f>pax_cap*S591</f>
        <v/>
      </c>
      <c r="U591" s="45">
        <f>T591*R591</f>
        <v/>
      </c>
      <c r="V591" s="48">
        <f>H591*discount</f>
        <v/>
      </c>
      <c r="W591" s="49">
        <f>V591*U591</f>
        <v/>
      </c>
      <c r="X591" s="49">
        <f>(battery/range_nm)*G591*R591*VLOOKUP(B591,country_opex,3,FALSE)</f>
        <v/>
      </c>
      <c r="Y591" s="49">
        <f>VLOOKUP(B591,country_opex,2,FALSE)*crew_factor</f>
        <v/>
      </c>
      <c r="Z591" s="49">
        <f>VLOOKUP(B591,country_opex,5,FALSE)</f>
        <v/>
      </c>
      <c r="AA591" s="49">
        <f>maint</f>
        <v/>
      </c>
      <c r="AB591" s="49">
        <f>VLOOKUP(B591,country_opex,7,FALSE)*ins_pct</f>
        <v/>
      </c>
      <c r="AC591" s="49">
        <f>charge_berth</f>
        <v/>
      </c>
      <c r="AD591" s="49">
        <f>X591+Y591+Z591+AA591+AB591+AC591</f>
        <v/>
      </c>
      <c r="AE591" s="49">
        <f>VLOOKUP(B591,country_opex,7,FALSE)/dep_years</f>
        <v/>
      </c>
      <c r="AF591" s="49">
        <f>W591-AD591</f>
        <v/>
      </c>
      <c r="AG591" s="46">
        <f>IF(W591=0,"",AF591/W591)</f>
        <v/>
      </c>
      <c r="AH591" s="47">
        <f>IF(AF591&lt;=0,"",VLOOKUP(B591,country_opex,7,FALSE)/AF591)</f>
        <v/>
      </c>
      <c r="AI591" s="44">
        <f>((G591*R591/diesel_nmpg)*diesel_co2pg-(battery/range_nm)*G591*R591*VLOOKUP(B591,country_opex,4,FALSE))/1000</f>
        <v/>
      </c>
      <c r="AJ591" s="42" t="n">
        <v>5217</v>
      </c>
      <c r="AK591" s="43" t="inlineStr">
        <is>
          <t>T3</t>
        </is>
      </c>
      <c r="AL591" s="43" t="inlineStr">
        <is>
          <t>med-low</t>
        </is>
      </c>
      <c r="AM591" s="50" t="n">
        <v>0.1</v>
      </c>
      <c r="AN591" s="45">
        <f>IF(AJ591="","",AJ591*AM591)</f>
        <v/>
      </c>
      <c r="AO591" s="45">
        <f>IF(OR(AJ591="",U591=0),"",MIN(IF(AW591="",9.9E+99,AW591),FLOOR(AN591/U591,1)))</f>
        <v/>
      </c>
      <c r="AP591" s="49">
        <f>IF(AO591="","",AO591*W591)</f>
        <v/>
      </c>
      <c r="AQ591" s="47">
        <f>IF(OR(AJ591="",U591=0),"",MIN(IF(AW591="",9.9E+99,AW591),AN591/U591))</f>
        <v/>
      </c>
      <c r="AR591" s="49">
        <f>IF(AQ591="","",AQ591*W591)</f>
        <v/>
      </c>
      <c r="AS591" s="51" t="n"/>
      <c r="AT591" s="43" t="inlineStr">
        <is>
          <t>Grounded</t>
        </is>
      </c>
      <c r="AU591" s="52" t="n"/>
      <c r="AV591" s="52" t="n"/>
      <c r="AW591" s="53" t="n"/>
      <c r="AX591" s="54">
        <f>IF(((V591*pax_cap*load_thin*ROUND(N591*O591*revleg_thin,0))-(((battery/range_nm)*G591*ROUND(N591*O591*revleg_thin,0)*VLOOKUP(B591,country_opex,3,FALSE))+Y591+Z591+AA591+AB591+AC591))&lt;=0,"",VLOOKUP(B591,country_opex,7,FALSE)/((V591*pax_cap*load_thin*ROUND(N591*O591*revleg_thin,0))-(((battery/range_nm)*G591*ROUND(N591*O591*revleg_thin,0)*VLOOKUP(B591,country_opex,3,FALSE))+Y591+Z591+AA591+AB591+AC591)))</f>
        <v/>
      </c>
      <c r="AY591" s="54">
        <f>IF(((V591*pax_cap*load_mid*ROUND(N591*O591*revleg_mid,0))-(((battery/range_nm)*G591*ROUND(N591*O591*revleg_mid,0)*VLOOKUP(B591,country_opex,3,FALSE))+Y591+Z591+AA591+AB591+AC591))&lt;=0,"",VLOOKUP(B591,country_opex,7,FALSE)/((V591*pax_cap*load_mid*ROUND(N591*O591*revleg_mid,0))-(((battery/range_nm)*G591*ROUND(N591*O591*revleg_mid,0)*VLOOKUP(B591,country_opex,3,FALSE))+Y591+Z591+AA591+AB591+AC591)))</f>
        <v/>
      </c>
      <c r="AZ591" s="54">
        <f>IF(((V591*pax_cap*load_full*ROUND(N591*O591*revleg_full,0))-(((battery/range_nm)*G591*ROUND(N591*O591*revleg_full,0)*VLOOKUP(B591,country_opex,3,FALSE))+Y591+Z591+AA591+AB591+AC591))&lt;=0,"",VLOOKUP(B591,country_opex,7,FALSE)/((V591*pax_cap*load_full*ROUND(N591*O591*revleg_full,0))-(((battery/range_nm)*G591*ROUND(N591*O591*revleg_full,0)*VLOOKUP(B591,country_opex,3,FALSE))+Y591+Z591+AA591+AB591+AC591)))</f>
        <v/>
      </c>
      <c r="BA591" s="40" t="n"/>
      <c r="BB591" s="40" t="n"/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Dubai → Abu Dhabi (Corniche)</t>
        </is>
      </c>
      <c r="D592" s="38" t="inlineStr">
        <is>
          <t>careem</t>
        </is>
      </c>
      <c r="E592" s="40" t="inlineStr">
        <is>
          <t>bolt-uae, uae-careem, uae-luxury, uae-noon, yango-uae</t>
        </is>
      </c>
      <c r="F592" s="41" t="n">
        <v>10</v>
      </c>
      <c r="G592" s="42" t="n">
        <v>55.8</v>
      </c>
      <c r="H592" s="35" t="n"/>
      <c r="I592" s="43" t="n"/>
      <c r="J592" s="43" t="n"/>
      <c r="K592" s="29" t="n">
        <v>1</v>
      </c>
      <c r="L592" s="44">
        <f>60*G592/cruise_kt</f>
        <v/>
      </c>
      <c r="M592" s="44">
        <f>L592+turn_min+dwell_min</f>
        <v/>
      </c>
      <c r="N592" s="45">
        <f>MIN(15,FLOOR(60*service_hr/M592,1))</f>
        <v/>
      </c>
      <c r="O592" s="45">
        <f>ROUND(365*mech_uptime*K592,0)</f>
        <v/>
      </c>
      <c r="P592" s="46">
        <f>mech_uptime</f>
        <v/>
      </c>
      <c r="Q592" s="46">
        <f>revleg_sel</f>
        <v/>
      </c>
      <c r="R592" s="45">
        <f>ROUND(N592*O592*revleg_sel,0)</f>
        <v/>
      </c>
      <c r="S592" s="47">
        <f>load_sel</f>
        <v/>
      </c>
      <c r="T592" s="47">
        <f>pax_cap*S592</f>
        <v/>
      </c>
      <c r="U592" s="45">
        <f>T592*R592</f>
        <v/>
      </c>
      <c r="V592" s="48">
        <f>H592*discount</f>
        <v/>
      </c>
      <c r="W592" s="49">
        <f>V592*U592</f>
        <v/>
      </c>
      <c r="X592" s="49">
        <f>(battery/range_nm)*G592*R592*VLOOKUP(B592,country_opex,3,FALSE)</f>
        <v/>
      </c>
      <c r="Y592" s="49">
        <f>VLOOKUP(B592,country_opex,2,FALSE)*crew_factor</f>
        <v/>
      </c>
      <c r="Z592" s="49">
        <f>VLOOKUP(B592,country_opex,5,FALSE)</f>
        <v/>
      </c>
      <c r="AA592" s="49">
        <f>maint</f>
        <v/>
      </c>
      <c r="AB592" s="49">
        <f>VLOOKUP(B592,country_opex,7,FALSE)*ins_pct</f>
        <v/>
      </c>
      <c r="AC592" s="49">
        <f>charge_berth</f>
        <v/>
      </c>
      <c r="AD592" s="49">
        <f>X592+Y592+Z592+AA592+AB592+AC592</f>
        <v/>
      </c>
      <c r="AE592" s="49">
        <f>VLOOKUP(B592,country_opex,7,FALSE)/dep_years</f>
        <v/>
      </c>
      <c r="AF592" s="49">
        <f>W592-AD592</f>
        <v/>
      </c>
      <c r="AG592" s="46">
        <f>IF(W592=0,"",AF592/W592)</f>
        <v/>
      </c>
      <c r="AH592" s="47">
        <f>IF(AF592&lt;=0,"",VLOOKUP(B592,country_opex,7,FALSE)/AF592)</f>
        <v/>
      </c>
      <c r="AI592" s="44">
        <f>((G592*R592/diesel_nmpg)*diesel_co2pg-(battery/range_nm)*G592*R592*VLOOKUP(B592,country_opex,4,FALSE))/1000</f>
        <v/>
      </c>
      <c r="AJ592" s="42" t="n"/>
      <c r="AK592" s="43" t="n"/>
      <c r="AL592" s="43" t="n"/>
      <c r="AM592" s="50" t="n">
        <v>0.1</v>
      </c>
      <c r="AN592" s="45">
        <f>IF(AJ592="","",AJ592*AM592)</f>
        <v/>
      </c>
      <c r="AO592" s="45">
        <f>IF(OR(AJ592="",U592=0),"",MIN(IF(AW592="",9.9E+99,AW592),FLOOR(AN592/U592,1)))</f>
        <v/>
      </c>
      <c r="AP592" s="49">
        <f>IF(AO592="","",AO592*W592)</f>
        <v/>
      </c>
      <c r="AQ592" s="47">
        <f>IF(OR(AJ592="",U592=0),"",MIN(IF(AW592="",9.9E+99,AW592),AN592/U592))</f>
        <v/>
      </c>
      <c r="AR592" s="49">
        <f>IF(AQ592="","",AQ592*W592)</f>
        <v/>
      </c>
      <c r="AS592" s="51" t="n"/>
      <c r="AT592" s="43" t="inlineStr">
        <is>
          <t>Estimated</t>
        </is>
      </c>
      <c r="AU592" s="52" t="n"/>
      <c r="AV592" s="52" t="n"/>
      <c r="AW592" s="53" t="n"/>
      <c r="AX592" s="54">
        <f>IF(((V592*pax_cap*load_thin*ROUND(N592*O592*revleg_thin,0))-(((battery/range_nm)*G592*ROUND(N592*O592*revleg_thin,0)*VLOOKUP(B592,country_opex,3,FALSE))+Y592+Z592+AA592+AB592+AC592))&lt;=0,"",VLOOKUP(B592,country_opex,7,FALSE)/((V592*pax_cap*load_thin*ROUND(N592*O592*revleg_thin,0))-(((battery/range_nm)*G592*ROUND(N592*O592*revleg_thin,0)*VLOOKUP(B592,country_opex,3,FALSE))+Y592+Z592+AA592+AB592+AC592)))</f>
        <v/>
      </c>
      <c r="AY592" s="54">
        <f>IF(((V592*pax_cap*load_mid*ROUND(N592*O592*revleg_mid,0))-(((battery/range_nm)*G592*ROUND(N592*O592*revleg_mid,0)*VLOOKUP(B592,country_opex,3,FALSE))+Y592+Z592+AA592+AB592+AC592))&lt;=0,"",VLOOKUP(B592,country_opex,7,FALSE)/((V592*pax_cap*load_mid*ROUND(N592*O592*revleg_mid,0))-(((battery/range_nm)*G592*ROUND(N592*O592*revleg_mid,0)*VLOOKUP(B592,country_opex,3,FALSE))+Y592+Z592+AA592+AB592+AC592)))</f>
        <v/>
      </c>
      <c r="AZ592" s="54">
        <f>IF(((V592*pax_cap*load_full*ROUND(N592*O592*revleg_full,0))-(((battery/range_nm)*G592*ROUND(N592*O592*revleg_full,0)*VLOOKUP(B592,country_opex,3,FALSE))+Y592+Z592+AA592+AB592+AC592))&lt;=0,"",VLOOKUP(B592,country_opex,7,FALSE)/((V592*pax_cap*load_full*ROUND(N592*O592*revleg_full,0))-(((battery/range_nm)*G592*ROUND(N592*O592*revleg_full,0)*VLOOKUP(B592,country_opex,3,FALSE))+Y592+Z592+AA592+AB592+AC592)))</f>
        <v/>
      </c>
      <c r="BA592" s="40" t="n"/>
      <c r="BB592" s="40" t="n"/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Dubai Marina → Abu Dhabi Corniche</t>
        </is>
      </c>
      <c r="D593" s="38" t="inlineStr">
        <is>
          <t>careem</t>
        </is>
      </c>
      <c r="E593" s="40" t="inlineStr">
        <is>
          <t>bolt-uae, uae-careem, uae-luxury, uae-noon, yango-uae</t>
        </is>
      </c>
      <c r="F593" s="41" t="n">
        <v>10</v>
      </c>
      <c r="G593" s="42" t="n">
        <v>55.8</v>
      </c>
      <c r="H593" s="35" t="n"/>
      <c r="I593" s="43" t="n"/>
      <c r="J593" s="43" t="n"/>
      <c r="K593" s="29" t="n">
        <v>1</v>
      </c>
      <c r="L593" s="44">
        <f>60*G593/cruise_kt</f>
        <v/>
      </c>
      <c r="M593" s="44">
        <f>L593+turn_min+dwell_min</f>
        <v/>
      </c>
      <c r="N593" s="45">
        <f>MIN(15,FLOOR(60*service_hr/M593,1))</f>
        <v/>
      </c>
      <c r="O593" s="45">
        <f>ROUND(365*mech_uptime*K593,0)</f>
        <v/>
      </c>
      <c r="P593" s="46">
        <f>mech_uptime</f>
        <v/>
      </c>
      <c r="Q593" s="46">
        <f>revleg_sel</f>
        <v/>
      </c>
      <c r="R593" s="45">
        <f>ROUND(N593*O593*revleg_sel,0)</f>
        <v/>
      </c>
      <c r="S593" s="47">
        <f>load_sel</f>
        <v/>
      </c>
      <c r="T593" s="47">
        <f>pax_cap*S593</f>
        <v/>
      </c>
      <c r="U593" s="45">
        <f>T593*R593</f>
        <v/>
      </c>
      <c r="V593" s="48">
        <f>H593*discount</f>
        <v/>
      </c>
      <c r="W593" s="49">
        <f>V593*U593</f>
        <v/>
      </c>
      <c r="X593" s="49">
        <f>(battery/range_nm)*G593*R593*VLOOKUP(B593,country_opex,3,FALSE)</f>
        <v/>
      </c>
      <c r="Y593" s="49">
        <f>VLOOKUP(B593,country_opex,2,FALSE)*crew_factor</f>
        <v/>
      </c>
      <c r="Z593" s="49">
        <f>VLOOKUP(B593,country_opex,5,FALSE)</f>
        <v/>
      </c>
      <c r="AA593" s="49">
        <f>maint</f>
        <v/>
      </c>
      <c r="AB593" s="49">
        <f>VLOOKUP(B593,country_opex,7,FALSE)*ins_pct</f>
        <v/>
      </c>
      <c r="AC593" s="49">
        <f>charge_berth</f>
        <v/>
      </c>
      <c r="AD593" s="49">
        <f>X593+Y593+Z593+AA593+AB593+AC593</f>
        <v/>
      </c>
      <c r="AE593" s="49">
        <f>VLOOKUP(B593,country_opex,7,FALSE)/dep_years</f>
        <v/>
      </c>
      <c r="AF593" s="49">
        <f>W593-AD593</f>
        <v/>
      </c>
      <c r="AG593" s="46">
        <f>IF(W593=0,"",AF593/W593)</f>
        <v/>
      </c>
      <c r="AH593" s="47">
        <f>IF(AF593&lt;=0,"",VLOOKUP(B593,country_opex,7,FALSE)/AF593)</f>
        <v/>
      </c>
      <c r="AI593" s="44">
        <f>((G593*R593/diesel_nmpg)*diesel_co2pg-(battery/range_nm)*G593*R593*VLOOKUP(B593,country_opex,4,FALSE))/1000</f>
        <v/>
      </c>
      <c r="AJ593" s="42" t="n"/>
      <c r="AK593" s="43" t="n"/>
      <c r="AL593" s="43" t="n"/>
      <c r="AM593" s="50" t="n">
        <v>0.1</v>
      </c>
      <c r="AN593" s="45">
        <f>IF(AJ593="","",AJ593*AM593)</f>
        <v/>
      </c>
      <c r="AO593" s="45">
        <f>IF(OR(AJ593="",U593=0),"",MIN(IF(AW593="",9.9E+99,AW593),FLOOR(AN593/U593,1)))</f>
        <v/>
      </c>
      <c r="AP593" s="49">
        <f>IF(AO593="","",AO593*W593)</f>
        <v/>
      </c>
      <c r="AQ593" s="47">
        <f>IF(OR(AJ593="",U593=0),"",MIN(IF(AW593="",9.9E+99,AW593),AN593/U593))</f>
        <v/>
      </c>
      <c r="AR593" s="49">
        <f>IF(AQ593="","",AQ593*W593)</f>
        <v/>
      </c>
      <c r="AS593" s="51" t="n"/>
      <c r="AT593" s="43" t="inlineStr">
        <is>
          <t>Estimated</t>
        </is>
      </c>
      <c r="AU593" s="52" t="n"/>
      <c r="AV593" s="52" t="n"/>
      <c r="AW593" s="53" t="n"/>
      <c r="AX593" s="54">
        <f>IF(((V593*pax_cap*load_thin*ROUND(N593*O593*revleg_thin,0))-(((battery/range_nm)*G593*ROUND(N593*O593*revleg_thin,0)*VLOOKUP(B593,country_opex,3,FALSE))+Y593+Z593+AA593+AB593+AC593))&lt;=0,"",VLOOKUP(B593,country_opex,7,FALSE)/((V593*pax_cap*load_thin*ROUND(N593*O593*revleg_thin,0))-(((battery/range_nm)*G593*ROUND(N593*O593*revleg_thin,0)*VLOOKUP(B593,country_opex,3,FALSE))+Y593+Z593+AA593+AB593+AC593)))</f>
        <v/>
      </c>
      <c r="AY593" s="54">
        <f>IF(((V593*pax_cap*load_mid*ROUND(N593*O593*revleg_mid,0))-(((battery/range_nm)*G593*ROUND(N593*O593*revleg_mid,0)*VLOOKUP(B593,country_opex,3,FALSE))+Y593+Z593+AA593+AB593+AC593))&lt;=0,"",VLOOKUP(B593,country_opex,7,FALSE)/((V593*pax_cap*load_mid*ROUND(N593*O593*revleg_mid,0))-(((battery/range_nm)*G593*ROUND(N593*O593*revleg_mid,0)*VLOOKUP(B593,country_opex,3,FALSE))+Y593+Z593+AA593+AB593+AC593)))</f>
        <v/>
      </c>
      <c r="AZ593" s="54">
        <f>IF(((V593*pax_cap*load_full*ROUND(N593*O593*revleg_full,0))-(((battery/range_nm)*G593*ROUND(N593*O593*revleg_full,0)*VLOOKUP(B593,country_opex,3,FALSE))+Y593+Z593+AA593+AB593+AC593))&lt;=0,"",VLOOKUP(B593,country_opex,7,FALSE)/((V593*pax_cap*load_full*ROUND(N593*O593*revleg_full,0))-(((battery/range_nm)*G593*ROUND(N593*O593*revleg_full,0)*VLOOKUP(B593,country_opex,3,FALSE))+Y593+Z593+AA593+AB593+AC593)))</f>
        <v/>
      </c>
      <c r="BA593" s="40" t="n"/>
      <c r="BB593" s="40" t="n"/>
    </row>
    <row r="594">
      <c r="A594" s="38" t="inlineStr">
        <is>
          <t>UAE (Careem)</t>
        </is>
      </c>
      <c r="B594" s="38" t="inlineStr">
        <is>
          <t>United Arab Emirates</t>
        </is>
      </c>
      <c r="C594" s="39" t="inlineStr">
        <is>
          <t>Dubai Harbour Marina → Wynn Al Marjan Island arrival lagoon</t>
        </is>
      </c>
      <c r="D594" s="38" t="inlineStr">
        <is>
          <t>careem</t>
        </is>
      </c>
      <c r="E594" s="40" t="inlineStr">
        <is>
          <t>bolt-uae, gulf-authority-bahrain-motc, gulf-authority-rakta, uae-careem, uae-luxury, uae-noon, yango-uae</t>
        </is>
      </c>
      <c r="F594" s="41" t="n">
        <v>12</v>
      </c>
      <c r="G594" s="42" t="n">
        <v>56</v>
      </c>
      <c r="H594" s="35" t="n">
        <v>200</v>
      </c>
      <c r="I594" s="43" t="inlineStr">
        <is>
          <t>T5</t>
        </is>
      </c>
      <c r="J594" s="43" t="inlineStr">
        <is>
          <t>low</t>
        </is>
      </c>
      <c r="K594" s="29" t="n">
        <v>1</v>
      </c>
      <c r="L594" s="44">
        <f>60*G594/cruise_kt</f>
        <v/>
      </c>
      <c r="M594" s="44">
        <f>L594+turn_min+dwell_min</f>
        <v/>
      </c>
      <c r="N594" s="45">
        <f>MIN(15,FLOOR(60*service_hr/M594,1))</f>
        <v/>
      </c>
      <c r="O594" s="45">
        <f>ROUND(365*mech_uptime*K594,0)</f>
        <v/>
      </c>
      <c r="P594" s="46">
        <f>mech_uptime</f>
        <v/>
      </c>
      <c r="Q594" s="46">
        <f>revleg_sel</f>
        <v/>
      </c>
      <c r="R594" s="45">
        <f>ROUND(N594*O594*revleg_sel,0)</f>
        <v/>
      </c>
      <c r="S594" s="47">
        <f>load_sel</f>
        <v/>
      </c>
      <c r="T594" s="47">
        <f>pax_cap*S594</f>
        <v/>
      </c>
      <c r="U594" s="45">
        <f>T594*R594</f>
        <v/>
      </c>
      <c r="V594" s="48">
        <f>H594*discount</f>
        <v/>
      </c>
      <c r="W594" s="49">
        <f>V594*U594</f>
        <v/>
      </c>
      <c r="X594" s="49">
        <f>(battery/range_nm)*G594*R594*VLOOKUP(B594,country_opex,3,FALSE)</f>
        <v/>
      </c>
      <c r="Y594" s="49">
        <f>VLOOKUP(B594,country_opex,2,FALSE)*crew_factor</f>
        <v/>
      </c>
      <c r="Z594" s="49">
        <f>VLOOKUP(B594,country_opex,5,FALSE)</f>
        <v/>
      </c>
      <c r="AA594" s="49">
        <f>maint</f>
        <v/>
      </c>
      <c r="AB594" s="49">
        <f>VLOOKUP(B594,country_opex,7,FALSE)*ins_pct</f>
        <v/>
      </c>
      <c r="AC594" s="49">
        <f>charge_berth</f>
        <v/>
      </c>
      <c r="AD594" s="49">
        <f>X594+Y594+Z594+AA594+AB594+AC594</f>
        <v/>
      </c>
      <c r="AE594" s="49">
        <f>VLOOKUP(B594,country_opex,7,FALSE)/dep_years</f>
        <v/>
      </c>
      <c r="AF594" s="49">
        <f>W594-AD594</f>
        <v/>
      </c>
      <c r="AG594" s="46">
        <f>IF(W594=0,"",AF594/W594)</f>
        <v/>
      </c>
      <c r="AH594" s="47">
        <f>IF(AF594&lt;=0,"",VLOOKUP(B594,country_opex,7,FALSE)/AF594)</f>
        <v/>
      </c>
      <c r="AI594" s="44">
        <f>((G594*R594/diesel_nmpg)*diesel_co2pg-(battery/range_nm)*G594*R594*VLOOKUP(B594,country_opex,4,FALSE))/1000</f>
        <v/>
      </c>
      <c r="AJ594" s="42" t="n">
        <v>60000</v>
      </c>
      <c r="AK594" s="43" t="inlineStr">
        <is>
          <t>T2</t>
        </is>
      </c>
      <c r="AL594" s="43" t="inlineStr">
        <is>
          <t>medium</t>
        </is>
      </c>
      <c r="AM594" s="50" t="n">
        <v>0.1</v>
      </c>
      <c r="AN594" s="45">
        <f>IF(AJ594="","",AJ594*AM594)</f>
        <v/>
      </c>
      <c r="AO594" s="45">
        <f>IF(OR(AJ594="",U594=0),"",MIN(IF(AW594="",9.9E+99,AW594),FLOOR(AN594/U594,1)))</f>
        <v/>
      </c>
      <c r="AP594" s="49">
        <f>IF(AO594="","",AO594*W594)</f>
        <v/>
      </c>
      <c r="AQ594" s="47">
        <f>IF(OR(AJ594="",U594=0),"",MIN(IF(AW594="",9.9E+99,AW594),AN594/U594))</f>
        <v/>
      </c>
      <c r="AR594" s="49">
        <f>IF(AQ594="","",AQ594*W594)</f>
        <v/>
      </c>
      <c r="AS594" s="51" t="n"/>
      <c r="AT594" s="43" t="inlineStr">
        <is>
          <t>Grounded</t>
        </is>
      </c>
      <c r="AU594" s="52" t="n"/>
      <c r="AV594" s="52" t="n"/>
      <c r="AW594" s="53" t="n"/>
      <c r="AX594" s="54">
        <f>IF(((V594*pax_cap*load_thin*ROUND(N594*O594*revleg_thin,0))-(((battery/range_nm)*G594*ROUND(N594*O594*revleg_thin,0)*VLOOKUP(B594,country_opex,3,FALSE))+Y594+Z594+AA594+AB594+AC594))&lt;=0,"",VLOOKUP(B594,country_opex,7,FALSE)/((V594*pax_cap*load_thin*ROUND(N594*O594*revleg_thin,0))-(((battery/range_nm)*G594*ROUND(N594*O594*revleg_thin,0)*VLOOKUP(B594,country_opex,3,FALSE))+Y594+Z594+AA594+AB594+AC594)))</f>
        <v/>
      </c>
      <c r="AY594" s="54">
        <f>IF(((V594*pax_cap*load_mid*ROUND(N594*O594*revleg_mid,0))-(((battery/range_nm)*G594*ROUND(N594*O594*revleg_mid,0)*VLOOKUP(B594,country_opex,3,FALSE))+Y594+Z594+AA594+AB594+AC594))&lt;=0,"",VLOOKUP(B594,country_opex,7,FALSE)/((V594*pax_cap*load_mid*ROUND(N594*O594*revleg_mid,0))-(((battery/range_nm)*G594*ROUND(N594*O594*revleg_mid,0)*VLOOKUP(B594,country_opex,3,FALSE))+Y594+Z594+AA594+AB594+AC594)))</f>
        <v/>
      </c>
      <c r="AZ594" s="54">
        <f>IF(((V594*pax_cap*load_full*ROUND(N594*O594*revleg_full,0))-(((battery/range_nm)*G594*ROUND(N594*O594*revleg_full,0)*VLOOKUP(B594,country_opex,3,FALSE))+Y594+Z594+AA594+AB594+AC594))&lt;=0,"",VLOOKUP(B594,country_opex,7,FALSE)/((V594*pax_cap*load_full*ROUND(N594*O594*revleg_full,0))-(((battery/range_nm)*G594*ROUND(N594*O594*revleg_full,0)*VLOOKUP(B594,country_opex,3,FALSE))+Y594+Z594+AA594+AB594+AC594)))</f>
        <v/>
      </c>
      <c r="BA594" s="40" t="inlineStr">
        <is>
          <t>Wynn Al Marjan (first UAE gaming resort) opens early 2027: 1,217 rooms + 297 residences. No marine transfer today. T5/low - greenfield.</t>
        </is>
      </c>
      <c r="BB59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5">
      <c r="A595" s="38" t="inlineStr">
        <is>
          <t>UAE (Careem)</t>
        </is>
      </c>
      <c r="B595" s="38" t="inlineStr">
        <is>
          <t>United Arab Emirates</t>
        </is>
      </c>
      <c r="C595" s="39" t="inlineStr">
        <is>
          <t>Ushuaïa Dubai Harbour Experience → Marina Mall / Breakwater Marina</t>
        </is>
      </c>
      <c r="D595" s="38" t="inlineStr">
        <is>
          <t>noon</t>
        </is>
      </c>
      <c r="E595" s="40" t="inlineStr">
        <is>
          <t>bolt-uae, uae-careem, uae-luxury, uae-noon, yango-uae</t>
        </is>
      </c>
      <c r="F595" s="41" t="n">
        <v>5</v>
      </c>
      <c r="G595" s="42" t="n">
        <v>57.4</v>
      </c>
      <c r="H595" s="35" t="n"/>
      <c r="I595" s="43" t="n"/>
      <c r="J595" s="43" t="n"/>
      <c r="K595" s="29" t="n">
        <v>1</v>
      </c>
      <c r="L595" s="44">
        <f>60*G595/cruise_kt</f>
        <v/>
      </c>
      <c r="M595" s="44">
        <f>L595+turn_min+dwell_min</f>
        <v/>
      </c>
      <c r="N595" s="45">
        <f>MIN(15,FLOOR(60*service_hr/M595,1))</f>
        <v/>
      </c>
      <c r="O595" s="45">
        <f>ROUND(365*mech_uptime*K595,0)</f>
        <v/>
      </c>
      <c r="P595" s="46">
        <f>mech_uptime</f>
        <v/>
      </c>
      <c r="Q595" s="46">
        <f>revleg_sel</f>
        <v/>
      </c>
      <c r="R595" s="45">
        <f>ROUND(N595*O595*revleg_sel,0)</f>
        <v/>
      </c>
      <c r="S595" s="47">
        <f>load_sel</f>
        <v/>
      </c>
      <c r="T595" s="47">
        <f>pax_cap*S595</f>
        <v/>
      </c>
      <c r="U595" s="45">
        <f>T595*R595</f>
        <v/>
      </c>
      <c r="V595" s="48">
        <f>H595*discount</f>
        <v/>
      </c>
      <c r="W595" s="49">
        <f>V595*U595</f>
        <v/>
      </c>
      <c r="X595" s="49">
        <f>(battery/range_nm)*G595*R595*VLOOKUP(B595,country_opex,3,FALSE)</f>
        <v/>
      </c>
      <c r="Y595" s="49">
        <f>VLOOKUP(B595,country_opex,2,FALSE)*crew_factor</f>
        <v/>
      </c>
      <c r="Z595" s="49">
        <f>VLOOKUP(B595,country_opex,5,FALSE)</f>
        <v/>
      </c>
      <c r="AA595" s="49">
        <f>maint</f>
        <v/>
      </c>
      <c r="AB595" s="49">
        <f>VLOOKUP(B595,country_opex,7,FALSE)*ins_pct</f>
        <v/>
      </c>
      <c r="AC595" s="49">
        <f>charge_berth</f>
        <v/>
      </c>
      <c r="AD595" s="49">
        <f>X595+Y595+Z595+AA595+AB595+AC595</f>
        <v/>
      </c>
      <c r="AE595" s="49">
        <f>VLOOKUP(B595,country_opex,7,FALSE)/dep_years</f>
        <v/>
      </c>
      <c r="AF595" s="49">
        <f>W595-AD595</f>
        <v/>
      </c>
      <c r="AG595" s="46">
        <f>IF(W595=0,"",AF595/W595)</f>
        <v/>
      </c>
      <c r="AH595" s="47">
        <f>IF(AF595&lt;=0,"",VLOOKUP(B595,country_opex,7,FALSE)/AF595)</f>
        <v/>
      </c>
      <c r="AI595" s="44">
        <f>((G595*R595/diesel_nmpg)*diesel_co2pg-(battery/range_nm)*G595*R595*VLOOKUP(B595,country_opex,4,FALSE))/1000</f>
        <v/>
      </c>
      <c r="AJ595" s="42" t="n"/>
      <c r="AK595" s="43" t="n"/>
      <c r="AL595" s="43" t="n"/>
      <c r="AM595" s="50" t="n">
        <v>0.1</v>
      </c>
      <c r="AN595" s="45">
        <f>IF(AJ595="","",AJ595*AM595)</f>
        <v/>
      </c>
      <c r="AO595" s="45">
        <f>IF(OR(AJ595="",U595=0),"",MIN(IF(AW595="",9.9E+99,AW595),FLOOR(AN595/U595,1)))</f>
        <v/>
      </c>
      <c r="AP595" s="49">
        <f>IF(AO595="","",AO595*W595)</f>
        <v/>
      </c>
      <c r="AQ595" s="47">
        <f>IF(OR(AJ595="",U595=0),"",MIN(IF(AW595="",9.9E+99,AW595),AN595/U595))</f>
        <v/>
      </c>
      <c r="AR595" s="49">
        <f>IF(AQ595="","",AQ595*W595)</f>
        <v/>
      </c>
      <c r="AS595" s="51" t="n"/>
      <c r="AT595" s="43" t="inlineStr">
        <is>
          <t>Estimated</t>
        </is>
      </c>
      <c r="AU595" s="52" t="n"/>
      <c r="AV595" s="52" t="n"/>
      <c r="AW595" s="53" t="n"/>
      <c r="AX595" s="54">
        <f>IF(((V595*pax_cap*load_thin*ROUND(N595*O595*revleg_thin,0))-(((battery/range_nm)*G595*ROUND(N595*O595*revleg_thin,0)*VLOOKUP(B595,country_opex,3,FALSE))+Y595+Z595+AA595+AB595+AC595))&lt;=0,"",VLOOKUP(B595,country_opex,7,FALSE)/((V595*pax_cap*load_thin*ROUND(N595*O595*revleg_thin,0))-(((battery/range_nm)*G595*ROUND(N595*O595*revleg_thin,0)*VLOOKUP(B595,country_opex,3,FALSE))+Y595+Z595+AA595+AB595+AC595)))</f>
        <v/>
      </c>
      <c r="AY595" s="54">
        <f>IF(((V595*pax_cap*load_mid*ROUND(N595*O595*revleg_mid,0))-(((battery/range_nm)*G595*ROUND(N595*O595*revleg_mid,0)*VLOOKUP(B595,country_opex,3,FALSE))+Y595+Z595+AA595+AB595+AC595))&lt;=0,"",VLOOKUP(B595,country_opex,7,FALSE)/((V595*pax_cap*load_mid*ROUND(N595*O595*revleg_mid,0))-(((battery/range_nm)*G595*ROUND(N595*O595*revleg_mid,0)*VLOOKUP(B595,country_opex,3,FALSE))+Y595+Z595+AA595+AB595+AC595)))</f>
        <v/>
      </c>
      <c r="AZ595" s="54">
        <f>IF(((V595*pax_cap*load_full*ROUND(N595*O595*revleg_full,0))-(((battery/range_nm)*G595*ROUND(N595*O595*revleg_full,0)*VLOOKUP(B595,country_opex,3,FALSE))+Y595+Z595+AA595+AB595+AC595))&lt;=0,"",VLOOKUP(B595,country_opex,7,FALSE)/((V595*pax_cap*load_full*ROUND(N595*O595*revleg_full,0))-(((battery/range_nm)*G595*ROUND(N595*O595*revleg_full,0)*VLOOKUP(B595,country_opex,3,FALSE))+Y595+Z595+AA595+AB595+AC595)))</f>
        <v/>
      </c>
      <c r="BA595" s="40" t="n"/>
      <c r="BB595" s="40" t="n"/>
    </row>
    <row r="596">
      <c r="A596" s="38" t="inlineStr">
        <is>
          <t>UAE (Careem)</t>
        </is>
      </c>
      <c r="B596" s="38" t="inlineStr">
        <is>
          <t>United Arab Emirates</t>
        </is>
      </c>
      <c r="C596" s="39" t="inlineStr">
        <is>
          <t>Dubai Harbour Marina → Marina Mall / Breakwater Marina</t>
        </is>
      </c>
      <c r="D596" s="38" t="inlineStr">
        <is>
          <t>careem</t>
        </is>
      </c>
      <c r="E596" s="40" t="inlineStr">
        <is>
          <t>bolt-uae, uae-careem, uae-luxury, uae-noon, yango-uae</t>
        </is>
      </c>
      <c r="F596" s="41" t="n">
        <v>10</v>
      </c>
      <c r="G596" s="42" t="n">
        <v>59.8</v>
      </c>
      <c r="H596" s="35" t="n">
        <v>110</v>
      </c>
      <c r="I596" s="43" t="inlineStr">
        <is>
          <t>T5</t>
        </is>
      </c>
      <c r="J596" s="43" t="inlineStr">
        <is>
          <t>low</t>
        </is>
      </c>
      <c r="K596" s="29" t="n">
        <v>1</v>
      </c>
      <c r="L596" s="44">
        <f>60*G596/cruise_kt</f>
        <v/>
      </c>
      <c r="M596" s="44">
        <f>L596+turn_min+dwell_min</f>
        <v/>
      </c>
      <c r="N596" s="45">
        <f>MIN(15,FLOOR(60*service_hr/M596,1))</f>
        <v/>
      </c>
      <c r="O596" s="45">
        <f>ROUND(365*mech_uptime*K596,0)</f>
        <v/>
      </c>
      <c r="P596" s="46">
        <f>mech_uptime</f>
        <v/>
      </c>
      <c r="Q596" s="46">
        <f>revleg_sel</f>
        <v/>
      </c>
      <c r="R596" s="45">
        <f>ROUND(N596*O596*revleg_sel,0)</f>
        <v/>
      </c>
      <c r="S596" s="47">
        <f>load_sel</f>
        <v/>
      </c>
      <c r="T596" s="47">
        <f>pax_cap*S596</f>
        <v/>
      </c>
      <c r="U596" s="45">
        <f>T596*R596</f>
        <v/>
      </c>
      <c r="V596" s="48">
        <f>H596*discount</f>
        <v/>
      </c>
      <c r="W596" s="49">
        <f>V596*U596</f>
        <v/>
      </c>
      <c r="X596" s="49">
        <f>(battery/range_nm)*G596*R596*VLOOKUP(B596,country_opex,3,FALSE)</f>
        <v/>
      </c>
      <c r="Y596" s="49">
        <f>VLOOKUP(B596,country_opex,2,FALSE)*crew_factor</f>
        <v/>
      </c>
      <c r="Z596" s="49">
        <f>VLOOKUP(B596,country_opex,5,FALSE)</f>
        <v/>
      </c>
      <c r="AA596" s="49">
        <f>maint</f>
        <v/>
      </c>
      <c r="AB596" s="49">
        <f>VLOOKUP(B596,country_opex,7,FALSE)*ins_pct</f>
        <v/>
      </c>
      <c r="AC596" s="49">
        <f>charge_berth</f>
        <v/>
      </c>
      <c r="AD596" s="49">
        <f>X596+Y596+Z596+AA596+AB596+AC596</f>
        <v/>
      </c>
      <c r="AE596" s="49">
        <f>VLOOKUP(B596,country_opex,7,FALSE)/dep_years</f>
        <v/>
      </c>
      <c r="AF596" s="49">
        <f>W596-AD596</f>
        <v/>
      </c>
      <c r="AG596" s="46">
        <f>IF(W596=0,"",AF596/W596)</f>
        <v/>
      </c>
      <c r="AH596" s="47">
        <f>IF(AF596&lt;=0,"",VLOOKUP(B596,country_opex,7,FALSE)/AF596)</f>
        <v/>
      </c>
      <c r="AI596" s="44">
        <f>((G596*R596/diesel_nmpg)*diesel_co2pg-(battery/range_nm)*G596*R596*VLOOKUP(B596,country_opex,4,FALSE))/1000</f>
        <v/>
      </c>
      <c r="AJ596" s="42" t="n">
        <v>25000</v>
      </c>
      <c r="AK596" s="43" t="inlineStr">
        <is>
          <t>T2</t>
        </is>
      </c>
      <c r="AL596" s="43" t="inlineStr">
        <is>
          <t>low</t>
        </is>
      </c>
      <c r="AM596" s="50" t="n">
        <v>0.1</v>
      </c>
      <c r="AN596" s="45">
        <f>IF(AJ596="","",AJ596*AM596)</f>
        <v/>
      </c>
      <c r="AO596" s="45">
        <f>IF(OR(AJ596="",U596=0),"",MIN(IF(AW596="",9.9E+99,AW596),FLOOR(AN596/U596,1)))</f>
        <v/>
      </c>
      <c r="AP596" s="49">
        <f>IF(AO596="","",AO596*W596)</f>
        <v/>
      </c>
      <c r="AQ596" s="47">
        <f>IF(OR(AJ596="",U596=0),"",MIN(IF(AW596="",9.9E+99,AW596),AN596/U596))</f>
        <v/>
      </c>
      <c r="AR596" s="49">
        <f>IF(AQ596="","",AQ596*W596)</f>
        <v/>
      </c>
      <c r="AS596" s="51" t="n"/>
      <c r="AT596" s="43" t="inlineStr">
        <is>
          <t>Grounded</t>
        </is>
      </c>
      <c r="AU596" s="52" t="n"/>
      <c r="AV596" s="52" t="n"/>
      <c r="AW596" s="53" t="n"/>
      <c r="AX596" s="54">
        <f>IF(((V596*pax_cap*load_thin*ROUND(N596*O596*revleg_thin,0))-(((battery/range_nm)*G596*ROUND(N596*O596*revleg_thin,0)*VLOOKUP(B596,country_opex,3,FALSE))+Y596+Z596+AA596+AB596+AC596))&lt;=0,"",VLOOKUP(B596,country_opex,7,FALSE)/((V596*pax_cap*load_thin*ROUND(N596*O596*revleg_thin,0))-(((battery/range_nm)*G596*ROUND(N596*O596*revleg_thin,0)*VLOOKUP(B596,country_opex,3,FALSE))+Y596+Z596+AA596+AB596+AC596)))</f>
        <v/>
      </c>
      <c r="AY596" s="54">
        <f>IF(((V596*pax_cap*load_mid*ROUND(N596*O596*revleg_mid,0))-(((battery/range_nm)*G596*ROUND(N596*O596*revleg_mid,0)*VLOOKUP(B596,country_opex,3,FALSE))+Y596+Z596+AA596+AB596+AC596))&lt;=0,"",VLOOKUP(B596,country_opex,7,FALSE)/((V596*pax_cap*load_mid*ROUND(N596*O596*revleg_mid,0))-(((battery/range_nm)*G596*ROUND(N596*O596*revleg_mid,0)*VLOOKUP(B596,country_opex,3,FALSE))+Y596+Z596+AA596+AB596+AC596)))</f>
        <v/>
      </c>
      <c r="AZ596" s="54">
        <f>IF(((V596*pax_cap*load_full*ROUND(N596*O596*revleg_full,0))-(((battery/range_nm)*G596*ROUND(N596*O596*revleg_full,0)*VLOOKUP(B596,country_opex,3,FALSE))+Y596+Z596+AA596+AB596+AC596))&lt;=0,"",VLOOKUP(B596,country_opex,7,FALSE)/((V596*pax_cap*load_full*ROUND(N596*O596*revleg_full,0))-(((battery/range_nm)*G596*ROUND(N596*O596*revleg_full,0)*VLOOKUP(B596,country_opex,3,FALSE))+Y596+Z596+AA596+AB596+AC596)))</f>
        <v/>
      </c>
      <c r="BA596" s="40" t="inlineStr">
        <is>
          <t>No Dubai&lt;-&gt;AD ferry. Whole-yacht charter AED 4,500/hr (8-pax ~$95-150/seat); limo AED 250-350. T5/low - opportunity-to-create.</t>
        </is>
      </c>
      <c r="BB59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7">
      <c r="A597" s="38" t="inlineStr">
        <is>
          <t>Vietnam</t>
        </is>
      </c>
      <c r="B597" s="38" t="inlineStr">
        <is>
          <t>Vietnam</t>
        </is>
      </c>
      <c r="C597" s="39" t="inlineStr">
        <is>
          <t>Da Nang (Han River) → Hoi An / Cham Islands</t>
        </is>
      </c>
      <c r="D597" s="38" t="inlineStr">
        <is>
          <t>grab</t>
        </is>
      </c>
      <c r="E597" s="40" t="inlineStr">
        <is>
          <t>vietnam</t>
        </is>
      </c>
      <c r="F597" s="41" t="n">
        <v>1</v>
      </c>
      <c r="G597" s="42" t="n">
        <v>12</v>
      </c>
      <c r="H597" s="35" t="n">
        <v>35</v>
      </c>
      <c r="I597" s="43" t="inlineStr">
        <is>
          <t>T3</t>
        </is>
      </c>
      <c r="J597" s="43" t="inlineStr">
        <is>
          <t>med</t>
        </is>
      </c>
      <c r="K597" s="29" t="n">
        <v>1</v>
      </c>
      <c r="L597" s="44">
        <f>60*G597/cruise_kt</f>
        <v/>
      </c>
      <c r="M597" s="44">
        <f>L597+turn_min+dwell_min</f>
        <v/>
      </c>
      <c r="N597" s="45">
        <f>MIN(15,FLOOR(60*service_hr/M597,1))</f>
        <v/>
      </c>
      <c r="O597" s="45">
        <f>ROUND(365*mech_uptime*K597,0)</f>
        <v/>
      </c>
      <c r="P597" s="46">
        <f>mech_uptime</f>
        <v/>
      </c>
      <c r="Q597" s="46">
        <f>revleg_sel</f>
        <v/>
      </c>
      <c r="R597" s="45">
        <f>ROUND(N597*O597*revleg_sel,0)</f>
        <v/>
      </c>
      <c r="S597" s="47">
        <f>load_sel</f>
        <v/>
      </c>
      <c r="T597" s="47">
        <f>pax_cap*S597</f>
        <v/>
      </c>
      <c r="U597" s="45">
        <f>T597*R597</f>
        <v/>
      </c>
      <c r="V597" s="48">
        <f>H597*discount</f>
        <v/>
      </c>
      <c r="W597" s="49">
        <f>V597*U597</f>
        <v/>
      </c>
      <c r="X597" s="49">
        <f>(battery/range_nm)*G597*R597*VLOOKUP(B597,country_opex,3,FALSE)</f>
        <v/>
      </c>
      <c r="Y597" s="49">
        <f>VLOOKUP(B597,country_opex,2,FALSE)*crew_factor</f>
        <v/>
      </c>
      <c r="Z597" s="49">
        <f>VLOOKUP(B597,country_opex,5,FALSE)</f>
        <v/>
      </c>
      <c r="AA597" s="49">
        <f>maint</f>
        <v/>
      </c>
      <c r="AB597" s="49">
        <f>VLOOKUP(B597,country_opex,7,FALSE)*ins_pct</f>
        <v/>
      </c>
      <c r="AC597" s="49">
        <f>charge_berth</f>
        <v/>
      </c>
      <c r="AD597" s="49">
        <f>X597+Y597+Z597+AA597+AB597+AC597</f>
        <v/>
      </c>
      <c r="AE597" s="49">
        <f>VLOOKUP(B597,country_opex,7,FALSE)/dep_years</f>
        <v/>
      </c>
      <c r="AF597" s="49">
        <f>W597-AD597</f>
        <v/>
      </c>
      <c r="AG597" s="46">
        <f>IF(W597=0,"",AF597/W597)</f>
        <v/>
      </c>
      <c r="AH597" s="47">
        <f>IF(AF597&lt;=0,"",VLOOKUP(B597,country_opex,7,FALSE)/AF597)</f>
        <v/>
      </c>
      <c r="AI597" s="44">
        <f>((G597*R597/diesel_nmpg)*diesel_co2pg-(battery/range_nm)*G597*R597*VLOOKUP(B597,country_opex,4,FALSE))/1000</f>
        <v/>
      </c>
      <c r="AJ597" s="42" t="n">
        <v>434000</v>
      </c>
      <c r="AK597" s="43" t="inlineStr">
        <is>
          <t>T2</t>
        </is>
      </c>
      <c r="AL597" s="43" t="inlineStr">
        <is>
          <t>med</t>
        </is>
      </c>
      <c r="AM597" s="50" t="n">
        <v>0.1</v>
      </c>
      <c r="AN597" s="45">
        <f>IF(AJ597="","",AJ597*AM597)</f>
        <v/>
      </c>
      <c r="AO597" s="45">
        <f>IF(OR(AJ597="",U597=0),"",MIN(IF(AW597="",9.9E+99,AW597),FLOOR(AN597/U597,1)))</f>
        <v/>
      </c>
      <c r="AP597" s="49">
        <f>IF(AO597="","",AO597*W597)</f>
        <v/>
      </c>
      <c r="AQ597" s="47">
        <f>IF(OR(AJ597="",U597=0),"",MIN(IF(AW597="",9.9E+99,AW597),AN597/U597))</f>
        <v/>
      </c>
      <c r="AR597" s="49">
        <f>IF(AQ597="","",AQ597*W597)</f>
        <v/>
      </c>
      <c r="AS597" s="51" t="n"/>
      <c r="AT597" s="43" t="inlineStr">
        <is>
          <t>Grounded</t>
        </is>
      </c>
      <c r="AU597" s="52" t="n"/>
      <c r="AV597" s="52" t="n"/>
      <c r="AW597" s="53" t="n"/>
      <c r="AX597" s="54">
        <f>IF(((V597*pax_cap*load_thin*ROUND(N597*O597*revleg_thin,0))-(((battery/range_nm)*G597*ROUND(N597*O597*revleg_thin,0)*VLOOKUP(B597,country_opex,3,FALSE))+Y597+Z597+AA597+AB597+AC597))&lt;=0,"",VLOOKUP(B597,country_opex,7,FALSE)/((V597*pax_cap*load_thin*ROUND(N597*O597*revleg_thin,0))-(((battery/range_nm)*G597*ROUND(N597*O597*revleg_thin,0)*VLOOKUP(B597,country_opex,3,FALSE))+Y597+Z597+AA597+AB597+AC597)))</f>
        <v/>
      </c>
      <c r="AY597" s="54">
        <f>IF(((V597*pax_cap*load_mid*ROUND(N597*O597*revleg_mid,0))-(((battery/range_nm)*G597*ROUND(N597*O597*revleg_mid,0)*VLOOKUP(B597,country_opex,3,FALSE))+Y597+Z597+AA597+AB597+AC597))&lt;=0,"",VLOOKUP(B597,country_opex,7,FALSE)/((V597*pax_cap*load_mid*ROUND(N597*O597*revleg_mid,0))-(((battery/range_nm)*G597*ROUND(N597*O597*revleg_mid,0)*VLOOKUP(B597,country_opex,3,FALSE))+Y597+Z597+AA597+AB597+AC597)))</f>
        <v/>
      </c>
      <c r="AZ597" s="54">
        <f>IF(((V597*pax_cap*load_full*ROUND(N597*O597*revleg_full,0))-(((battery/range_nm)*G597*ROUND(N597*O597*revleg_full,0)*VLOOKUP(B597,country_opex,3,FALSE))+Y597+Z597+AA597+AB597+AC597))&lt;=0,"",VLOOKUP(B597,country_opex,7,FALSE)/((V597*pax_cap*load_full*ROUND(N597*O597*revleg_full,0))-(((battery/range_nm)*G597*ROUND(N597*O597*revleg_full,0)*VLOOKUP(B597,country_opex,3,FALSE))+Y597+Z597+AA597+AB597+AC597)))</f>
        <v/>
      </c>
      <c r="BA597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B597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98">
      <c r="A598" s="38" t="inlineStr">
        <is>
          <t>Vietnam</t>
        </is>
      </c>
      <c r="B598" s="38" t="inlineStr">
        <is>
          <t>Vietnam</t>
        </is>
      </c>
      <c r="C598" s="39" t="inlineStr">
        <is>
          <t>Ha Long / Tuan Chau → Lan Ha Bay / Cat Ba</t>
        </is>
      </c>
      <c r="D598" s="38" t="inlineStr">
        <is>
          <t>grab</t>
        </is>
      </c>
      <c r="E598" s="40" t="inlineStr">
        <is>
          <t>vietnam</t>
        </is>
      </c>
      <c r="F598" s="41" t="n">
        <v>1</v>
      </c>
      <c r="G598" s="42" t="n">
        <v>12</v>
      </c>
      <c r="H598" s="35" t="n">
        <v>16</v>
      </c>
      <c r="I598" s="43" t="inlineStr">
        <is>
          <t>T3</t>
        </is>
      </c>
      <c r="J598" s="43" t="inlineStr">
        <is>
          <t>med</t>
        </is>
      </c>
      <c r="K598" s="29" t="n">
        <v>1</v>
      </c>
      <c r="L598" s="44">
        <f>60*G598/cruise_kt</f>
        <v/>
      </c>
      <c r="M598" s="44">
        <f>L598+turn_min+dwell_min</f>
        <v/>
      </c>
      <c r="N598" s="45">
        <f>MIN(15,FLOOR(60*service_hr/M598,1))</f>
        <v/>
      </c>
      <c r="O598" s="45">
        <f>ROUND(365*mech_uptime*K598,0)</f>
        <v/>
      </c>
      <c r="P598" s="46">
        <f>mech_uptime</f>
        <v/>
      </c>
      <c r="Q598" s="46">
        <f>revleg_sel</f>
        <v/>
      </c>
      <c r="R598" s="45">
        <f>ROUND(N598*O598*revleg_sel,0)</f>
        <v/>
      </c>
      <c r="S598" s="47">
        <f>load_sel</f>
        <v/>
      </c>
      <c r="T598" s="47">
        <f>pax_cap*S598</f>
        <v/>
      </c>
      <c r="U598" s="45">
        <f>T598*R598</f>
        <v/>
      </c>
      <c r="V598" s="48">
        <f>H598*discount</f>
        <v/>
      </c>
      <c r="W598" s="49">
        <f>V598*U598</f>
        <v/>
      </c>
      <c r="X598" s="49">
        <f>(battery/range_nm)*G598*R598*VLOOKUP(B598,country_opex,3,FALSE)</f>
        <v/>
      </c>
      <c r="Y598" s="49">
        <f>VLOOKUP(B598,country_opex,2,FALSE)*crew_factor</f>
        <v/>
      </c>
      <c r="Z598" s="49">
        <f>VLOOKUP(B598,country_opex,5,FALSE)</f>
        <v/>
      </c>
      <c r="AA598" s="49">
        <f>maint</f>
        <v/>
      </c>
      <c r="AB598" s="49">
        <f>VLOOKUP(B598,country_opex,7,FALSE)*ins_pct</f>
        <v/>
      </c>
      <c r="AC598" s="49">
        <f>charge_berth</f>
        <v/>
      </c>
      <c r="AD598" s="49">
        <f>X598+Y598+Z598+AA598+AB598+AC598</f>
        <v/>
      </c>
      <c r="AE598" s="49">
        <f>VLOOKUP(B598,country_opex,7,FALSE)/dep_years</f>
        <v/>
      </c>
      <c r="AF598" s="49">
        <f>W598-AD598</f>
        <v/>
      </c>
      <c r="AG598" s="46">
        <f>IF(W598=0,"",AF598/W598)</f>
        <v/>
      </c>
      <c r="AH598" s="47">
        <f>IF(AF598&lt;=0,"",VLOOKUP(B598,country_opex,7,FALSE)/AF598)</f>
        <v/>
      </c>
      <c r="AI598" s="44">
        <f>((G598*R598/diesel_nmpg)*diesel_co2pg-(battery/range_nm)*G598*R598*VLOOKUP(B598,country_opex,4,FALSE))/1000</f>
        <v/>
      </c>
      <c r="AJ598" s="42" t="n">
        <v>350000</v>
      </c>
      <c r="AK598" s="43" t="inlineStr">
        <is>
          <t>T5</t>
        </is>
      </c>
      <c r="AL598" s="43" t="inlineStr">
        <is>
          <t>low-med</t>
        </is>
      </c>
      <c r="AM598" s="50" t="n">
        <v>0.1</v>
      </c>
      <c r="AN598" s="45">
        <f>IF(AJ598="","",AJ598*AM598)</f>
        <v/>
      </c>
      <c r="AO598" s="45">
        <f>IF(OR(AJ598="",U598=0),"",MIN(IF(AW598="",9.9E+99,AW598),FLOOR(AN598/U598,1)))</f>
        <v/>
      </c>
      <c r="AP598" s="49">
        <f>IF(AO598="","",AO598*W598)</f>
        <v/>
      </c>
      <c r="AQ598" s="47">
        <f>IF(OR(AJ598="",U598=0),"",MIN(IF(AW598="",9.9E+99,AW598),AN598/U598))</f>
        <v/>
      </c>
      <c r="AR598" s="49">
        <f>IF(AQ598="","",AQ598*W598)</f>
        <v/>
      </c>
      <c r="AS598" s="51" t="n"/>
      <c r="AT598" s="43" t="inlineStr">
        <is>
          <t>Grounded</t>
        </is>
      </c>
      <c r="AU598" s="52" t="n"/>
      <c r="AV598" s="52" t="n"/>
      <c r="AW598" s="53" t="n"/>
      <c r="AX598" s="54">
        <f>IF(((V598*pax_cap*load_thin*ROUND(N598*O598*revleg_thin,0))-(((battery/range_nm)*G598*ROUND(N598*O598*revleg_thin,0)*VLOOKUP(B598,country_opex,3,FALSE))+Y598+Z598+AA598+AB598+AC598))&lt;=0,"",VLOOKUP(B598,country_opex,7,FALSE)/((V598*pax_cap*load_thin*ROUND(N598*O598*revleg_thin,0))-(((battery/range_nm)*G598*ROUND(N598*O598*revleg_thin,0)*VLOOKUP(B598,country_opex,3,FALSE))+Y598+Z598+AA598+AB598+AC598)))</f>
        <v/>
      </c>
      <c r="AY598" s="54">
        <f>IF(((V598*pax_cap*load_mid*ROUND(N598*O598*revleg_mid,0))-(((battery/range_nm)*G598*ROUND(N598*O598*revleg_mid,0)*VLOOKUP(B598,country_opex,3,FALSE))+Y598+Z598+AA598+AB598+AC598))&lt;=0,"",VLOOKUP(B598,country_opex,7,FALSE)/((V598*pax_cap*load_mid*ROUND(N598*O598*revleg_mid,0))-(((battery/range_nm)*G598*ROUND(N598*O598*revleg_mid,0)*VLOOKUP(B598,country_opex,3,FALSE))+Y598+Z598+AA598+AB598+AC598)))</f>
        <v/>
      </c>
      <c r="AZ598" s="54">
        <f>IF(((V598*pax_cap*load_full*ROUND(N598*O598*revleg_full,0))-(((battery/range_nm)*G598*ROUND(N598*O598*revleg_full,0)*VLOOKUP(B598,country_opex,3,FALSE))+Y598+Z598+AA598+AB598+AC598))&lt;=0,"",VLOOKUP(B598,country_opex,7,FALSE)/((V598*pax_cap*load_full*ROUND(N598*O598*revleg_full,0))-(((battery/range_nm)*G598*ROUND(N598*O598*revleg_full,0)*VLOOKUP(B598,country_opex,3,FALSE))+Y598+Z598+AA598+AB598+AC598)))</f>
        <v/>
      </c>
      <c r="BA598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B598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99">
      <c r="A599" s="38" t="inlineStr">
        <is>
          <t>Vietnam</t>
        </is>
      </c>
      <c r="B599" s="38" t="inlineStr">
        <is>
          <t>Vietnam</t>
        </is>
      </c>
      <c r="C599" s="39" t="inlineStr">
        <is>
          <t>Phu Quoc (Duong Dong) → An Thoi Archipelago</t>
        </is>
      </c>
      <c r="D599" s="38" t="inlineStr">
        <is>
          <t>grab</t>
        </is>
      </c>
      <c r="E599" s="40" t="inlineStr">
        <is>
          <t>vietnam</t>
        </is>
      </c>
      <c r="F599" s="41" t="n">
        <v>1</v>
      </c>
      <c r="G599" s="42" t="n">
        <v>12</v>
      </c>
      <c r="H599" s="35" t="n">
        <v>45</v>
      </c>
      <c r="I599" s="43" t="inlineStr">
        <is>
          <t>T3</t>
        </is>
      </c>
      <c r="J599" s="43" t="inlineStr">
        <is>
          <t>med-low</t>
        </is>
      </c>
      <c r="K599" s="29" t="n">
        <v>1</v>
      </c>
      <c r="L599" s="44">
        <f>60*G599/cruise_kt</f>
        <v/>
      </c>
      <c r="M599" s="44">
        <f>L599+turn_min+dwell_min</f>
        <v/>
      </c>
      <c r="N599" s="45">
        <f>MIN(15,FLOOR(60*service_hr/M599,1))</f>
        <v/>
      </c>
      <c r="O599" s="45">
        <f>ROUND(365*mech_uptime*K599,0)</f>
        <v/>
      </c>
      <c r="P599" s="46">
        <f>mech_uptime</f>
        <v/>
      </c>
      <c r="Q599" s="46">
        <f>revleg_sel</f>
        <v/>
      </c>
      <c r="R599" s="45">
        <f>ROUND(N599*O599*revleg_sel,0)</f>
        <v/>
      </c>
      <c r="S599" s="47">
        <f>load_sel</f>
        <v/>
      </c>
      <c r="T599" s="47">
        <f>pax_cap*S599</f>
        <v/>
      </c>
      <c r="U599" s="45">
        <f>T599*R599</f>
        <v/>
      </c>
      <c r="V599" s="48">
        <f>H599*discount</f>
        <v/>
      </c>
      <c r="W599" s="49">
        <f>V599*U599</f>
        <v/>
      </c>
      <c r="X599" s="49">
        <f>(battery/range_nm)*G599*R599*VLOOKUP(B599,country_opex,3,FALSE)</f>
        <v/>
      </c>
      <c r="Y599" s="49">
        <f>VLOOKUP(B599,country_opex,2,FALSE)*crew_factor</f>
        <v/>
      </c>
      <c r="Z599" s="49">
        <f>VLOOKUP(B599,country_opex,5,FALSE)</f>
        <v/>
      </c>
      <c r="AA599" s="49">
        <f>maint</f>
        <v/>
      </c>
      <c r="AB599" s="49">
        <f>VLOOKUP(B599,country_opex,7,FALSE)*ins_pct</f>
        <v/>
      </c>
      <c r="AC599" s="49">
        <f>charge_berth</f>
        <v/>
      </c>
      <c r="AD599" s="49">
        <f>X599+Y599+Z599+AA599+AB599+AC599</f>
        <v/>
      </c>
      <c r="AE599" s="49">
        <f>VLOOKUP(B599,country_opex,7,FALSE)/dep_years</f>
        <v/>
      </c>
      <c r="AF599" s="49">
        <f>W599-AD599</f>
        <v/>
      </c>
      <c r="AG599" s="46">
        <f>IF(W599=0,"",AF599/W599)</f>
        <v/>
      </c>
      <c r="AH599" s="47">
        <f>IF(AF599&lt;=0,"",VLOOKUP(B599,country_opex,7,FALSE)/AF599)</f>
        <v/>
      </c>
      <c r="AI599" s="44">
        <f>((G599*R599/diesel_nmpg)*diesel_co2pg-(battery/range_nm)*G599*R599*VLOOKUP(B599,country_opex,4,FALSE))/1000</f>
        <v/>
      </c>
      <c r="AJ599" s="42" t="n">
        <v>1000000</v>
      </c>
      <c r="AK599" s="43" t="inlineStr">
        <is>
          <t>T5</t>
        </is>
      </c>
      <c r="AL599" s="43" t="inlineStr">
        <is>
          <t>low-med</t>
        </is>
      </c>
      <c r="AM599" s="50" t="n">
        <v>0.1</v>
      </c>
      <c r="AN599" s="45">
        <f>IF(AJ599="","",AJ599*AM599)</f>
        <v/>
      </c>
      <c r="AO599" s="45">
        <f>IF(OR(AJ599="",U599=0),"",MIN(IF(AW599="",9.9E+99,AW599),FLOOR(AN599/U599,1)))</f>
        <v/>
      </c>
      <c r="AP599" s="49">
        <f>IF(AO599="","",AO599*W599)</f>
        <v/>
      </c>
      <c r="AQ599" s="47">
        <f>IF(OR(AJ599="",U599=0),"",MIN(IF(AW599="",9.9E+99,AW599),AN599/U599))</f>
        <v/>
      </c>
      <c r="AR599" s="49">
        <f>IF(AQ599="","",AQ599*W599)</f>
        <v/>
      </c>
      <c r="AS599" s="51" t="n"/>
      <c r="AT599" s="43" t="inlineStr">
        <is>
          <t>Grounded</t>
        </is>
      </c>
      <c r="AU599" s="52" t="n"/>
      <c r="AV599" s="52" t="n"/>
      <c r="AW599" s="53" t="n"/>
      <c r="AX599" s="54">
        <f>IF(((V599*pax_cap*load_thin*ROUND(N599*O599*revleg_thin,0))-(((battery/range_nm)*G599*ROUND(N599*O599*revleg_thin,0)*VLOOKUP(B599,country_opex,3,FALSE))+Y599+Z599+AA599+AB599+AC599))&lt;=0,"",VLOOKUP(B599,country_opex,7,FALSE)/((V599*pax_cap*load_thin*ROUND(N599*O599*revleg_thin,0))-(((battery/range_nm)*G599*ROUND(N599*O599*revleg_thin,0)*VLOOKUP(B599,country_opex,3,FALSE))+Y599+Z599+AA599+AB599+AC599)))</f>
        <v/>
      </c>
      <c r="AY599" s="54">
        <f>IF(((V599*pax_cap*load_mid*ROUND(N599*O599*revleg_mid,0))-(((battery/range_nm)*G599*ROUND(N599*O599*revleg_mid,0)*VLOOKUP(B599,country_opex,3,FALSE))+Y599+Z599+AA599+AB599+AC599))&lt;=0,"",VLOOKUP(B599,country_opex,7,FALSE)/((V599*pax_cap*load_mid*ROUND(N599*O599*revleg_mid,0))-(((battery/range_nm)*G599*ROUND(N599*O599*revleg_mid,0)*VLOOKUP(B599,country_opex,3,FALSE))+Y599+Z599+AA599+AB599+AC599)))</f>
        <v/>
      </c>
      <c r="AZ599" s="54">
        <f>IF(((V599*pax_cap*load_full*ROUND(N599*O599*revleg_full,0))-(((battery/range_nm)*G599*ROUND(N599*O599*revleg_full,0)*VLOOKUP(B599,country_opex,3,FALSE))+Y599+Z599+AA599+AB599+AC599))&lt;=0,"",VLOOKUP(B599,country_opex,7,FALSE)/((V599*pax_cap*load_full*ROUND(N599*O599*revleg_full,0))-(((battery/range_nm)*G599*ROUND(N599*O599*revleg_full,0)*VLOOKUP(B599,country_opex,3,FALSE))+Y599+Z599+AA599+AB599+AC599)))</f>
        <v/>
      </c>
      <c r="BA599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B599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600">
      <c r="A600" s="38" t="inlineStr">
        <is>
          <t>Vietnam</t>
        </is>
      </c>
      <c r="B600" s="38" t="inlineStr">
        <is>
          <t>Vietnam</t>
        </is>
      </c>
      <c r="C600" s="39" t="inlineStr">
        <is>
          <t>Bach Dang Wharf (Saigon) → Can Gio Mangrove Biosphere</t>
        </is>
      </c>
      <c r="D600" s="38" t="inlineStr">
        <is>
          <t>grab</t>
        </is>
      </c>
      <c r="E600" s="40" t="inlineStr">
        <is>
          <t>vietnam</t>
        </is>
      </c>
      <c r="F600" s="41" t="n">
        <v>1</v>
      </c>
      <c r="G600" s="42" t="n">
        <v>30</v>
      </c>
      <c r="H600" s="35" t="n">
        <v>65</v>
      </c>
      <c r="I600" s="43" t="inlineStr">
        <is>
          <t>T3</t>
        </is>
      </c>
      <c r="J600" s="43" t="inlineStr">
        <is>
          <t>med-low</t>
        </is>
      </c>
      <c r="K600" s="29" t="n">
        <v>1</v>
      </c>
      <c r="L600" s="44">
        <f>60*G600/cruise_kt</f>
        <v/>
      </c>
      <c r="M600" s="44">
        <f>L600+turn_min+dwell_min</f>
        <v/>
      </c>
      <c r="N600" s="45">
        <f>MIN(15,FLOOR(60*service_hr/M600,1))</f>
        <v/>
      </c>
      <c r="O600" s="45">
        <f>ROUND(365*mech_uptime*K600,0)</f>
        <v/>
      </c>
      <c r="P600" s="46">
        <f>mech_uptime</f>
        <v/>
      </c>
      <c r="Q600" s="46">
        <f>revleg_sel</f>
        <v/>
      </c>
      <c r="R600" s="45">
        <f>ROUND(N600*O600*revleg_sel,0)</f>
        <v/>
      </c>
      <c r="S600" s="47">
        <f>load_sel</f>
        <v/>
      </c>
      <c r="T600" s="47">
        <f>pax_cap*S600</f>
        <v/>
      </c>
      <c r="U600" s="45">
        <f>T600*R600</f>
        <v/>
      </c>
      <c r="V600" s="48">
        <f>H600*discount</f>
        <v/>
      </c>
      <c r="W600" s="49">
        <f>V600*U600</f>
        <v/>
      </c>
      <c r="X600" s="49">
        <f>(battery/range_nm)*G600*R600*VLOOKUP(B600,country_opex,3,FALSE)</f>
        <v/>
      </c>
      <c r="Y600" s="49">
        <f>VLOOKUP(B600,country_opex,2,FALSE)*crew_factor</f>
        <v/>
      </c>
      <c r="Z600" s="49">
        <f>VLOOKUP(B600,country_opex,5,FALSE)</f>
        <v/>
      </c>
      <c r="AA600" s="49">
        <f>maint</f>
        <v/>
      </c>
      <c r="AB600" s="49">
        <f>VLOOKUP(B600,country_opex,7,FALSE)*ins_pct</f>
        <v/>
      </c>
      <c r="AC600" s="49">
        <f>charge_berth</f>
        <v/>
      </c>
      <c r="AD600" s="49">
        <f>X600+Y600+Z600+AA600+AB600+AC600</f>
        <v/>
      </c>
      <c r="AE600" s="49">
        <f>VLOOKUP(B600,country_opex,7,FALSE)/dep_years</f>
        <v/>
      </c>
      <c r="AF600" s="49">
        <f>W600-AD600</f>
        <v/>
      </c>
      <c r="AG600" s="46">
        <f>IF(W600=0,"",AF600/W600)</f>
        <v/>
      </c>
      <c r="AH600" s="47">
        <f>IF(AF600&lt;=0,"",VLOOKUP(B600,country_opex,7,FALSE)/AF600)</f>
        <v/>
      </c>
      <c r="AI600" s="44">
        <f>((G600*R600/diesel_nmpg)*diesel_co2pg-(battery/range_nm)*G600*R600*VLOOKUP(B600,country_opex,4,FALSE))/1000</f>
        <v/>
      </c>
      <c r="AJ600" s="42" t="n"/>
      <c r="AK600" s="43" t="inlineStr">
        <is>
          <t>null</t>
        </is>
      </c>
      <c r="AL600" s="43" t="inlineStr">
        <is>
          <t>null</t>
        </is>
      </c>
      <c r="AM600" s="50" t="n">
        <v>0.1</v>
      </c>
      <c r="AN600" s="45">
        <f>IF(AJ600="","",AJ600*AM600)</f>
        <v/>
      </c>
      <c r="AO600" s="45">
        <f>IF(OR(AJ600="",U600=0),"",MIN(IF(AW600="",9.9E+99,AW600),FLOOR(AN600/U600,1)))</f>
        <v/>
      </c>
      <c r="AP600" s="49">
        <f>IF(AO600="","",AO600*W600)</f>
        <v/>
      </c>
      <c r="AQ600" s="47">
        <f>IF(OR(AJ600="",U600=0),"",MIN(IF(AW600="",9.9E+99,AW600),AN600/U600))</f>
        <v/>
      </c>
      <c r="AR600" s="49">
        <f>IF(AQ600="","",AQ600*W600)</f>
        <v/>
      </c>
      <c r="AS600" s="51" t="n"/>
      <c r="AT600" s="43" t="inlineStr">
        <is>
          <t>Estimated</t>
        </is>
      </c>
      <c r="AU600" s="52" t="n"/>
      <c r="AV600" s="52" t="n"/>
      <c r="AW600" s="53" t="n"/>
      <c r="AX600" s="54">
        <f>IF(((V600*pax_cap*load_thin*ROUND(N600*O600*revleg_thin,0))-(((battery/range_nm)*G600*ROUND(N600*O600*revleg_thin,0)*VLOOKUP(B600,country_opex,3,FALSE))+Y600+Z600+AA600+AB600+AC600))&lt;=0,"",VLOOKUP(B600,country_opex,7,FALSE)/((V600*pax_cap*load_thin*ROUND(N600*O600*revleg_thin,0))-(((battery/range_nm)*G600*ROUND(N600*O600*revleg_thin,0)*VLOOKUP(B600,country_opex,3,FALSE))+Y600+Z600+AA600+AB600+AC600)))</f>
        <v/>
      </c>
      <c r="AY600" s="54">
        <f>IF(((V600*pax_cap*load_mid*ROUND(N600*O600*revleg_mid,0))-(((battery/range_nm)*G600*ROUND(N600*O600*revleg_mid,0)*VLOOKUP(B600,country_opex,3,FALSE))+Y600+Z600+AA600+AB600+AC600))&lt;=0,"",VLOOKUP(B600,country_opex,7,FALSE)/((V600*pax_cap*load_mid*ROUND(N600*O600*revleg_mid,0))-(((battery/range_nm)*G600*ROUND(N600*O600*revleg_mid,0)*VLOOKUP(B600,country_opex,3,FALSE))+Y600+Z600+AA600+AB600+AC600)))</f>
        <v/>
      </c>
      <c r="AZ600" s="54">
        <f>IF(((V600*pax_cap*load_full*ROUND(N600*O600*revleg_full,0))-(((battery/range_nm)*G600*ROUND(N600*O600*revleg_full,0)*VLOOKUP(B600,country_opex,3,FALSE))+Y600+Z600+AA600+AB600+AC600))&lt;=0,"",VLOOKUP(B600,country_opex,7,FALSE)/((V600*pax_cap*load_full*ROUND(N600*O600*revleg_full,0))-(((battery/range_nm)*G600*ROUND(N600*O600*revleg_full,0)*VLOOKUP(B600,country_opex,3,FALSE))+Y600+Z600+AA600+AB600+AC600)))</f>
        <v/>
      </c>
      <c r="BA600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B600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601">
      <c r="A601" s="38" t="inlineStr">
        <is>
          <t>Vietnam</t>
        </is>
      </c>
      <c r="B601" s="38" t="inlineStr">
        <is>
          <t>Vietnam</t>
        </is>
      </c>
      <c r="C601" s="39" t="inlineStr">
        <is>
          <t>Saigon (Bach Dang) → Vung Tau</t>
        </is>
      </c>
      <c r="D601" s="38" t="inlineStr">
        <is>
          <t>grab</t>
        </is>
      </c>
      <c r="E601" s="40" t="inlineStr">
        <is>
          <t>vietnam</t>
        </is>
      </c>
      <c r="F601" s="41" t="n">
        <v>1</v>
      </c>
      <c r="G601" s="42" t="n">
        <v>44.7</v>
      </c>
      <c r="H601" s="35" t="n">
        <v>14</v>
      </c>
      <c r="I601" s="43" t="inlineStr">
        <is>
          <t>T3</t>
        </is>
      </c>
      <c r="J601" s="43" t="inlineStr">
        <is>
          <t>med-high</t>
        </is>
      </c>
      <c r="K601" s="29" t="n">
        <v>1</v>
      </c>
      <c r="L601" s="44">
        <f>60*G601/cruise_kt</f>
        <v/>
      </c>
      <c r="M601" s="44">
        <f>L601+turn_min+dwell_min</f>
        <v/>
      </c>
      <c r="N601" s="45">
        <f>MIN(15,FLOOR(60*service_hr/M601,1))</f>
        <v/>
      </c>
      <c r="O601" s="45">
        <f>ROUND(365*mech_uptime*K601,0)</f>
        <v/>
      </c>
      <c r="P601" s="46">
        <f>mech_uptime</f>
        <v/>
      </c>
      <c r="Q601" s="46">
        <f>revleg_sel</f>
        <v/>
      </c>
      <c r="R601" s="45">
        <f>ROUND(N601*O601*revleg_sel,0)</f>
        <v/>
      </c>
      <c r="S601" s="47">
        <f>load_sel</f>
        <v/>
      </c>
      <c r="T601" s="47">
        <f>pax_cap*S601</f>
        <v/>
      </c>
      <c r="U601" s="45">
        <f>T601*R601</f>
        <v/>
      </c>
      <c r="V601" s="48">
        <f>H601*discount</f>
        <v/>
      </c>
      <c r="W601" s="49">
        <f>V601*U601</f>
        <v/>
      </c>
      <c r="X601" s="49">
        <f>(battery/range_nm)*G601*R601*VLOOKUP(B601,country_opex,3,FALSE)</f>
        <v/>
      </c>
      <c r="Y601" s="49">
        <f>VLOOKUP(B601,country_opex,2,FALSE)*crew_factor</f>
        <v/>
      </c>
      <c r="Z601" s="49">
        <f>VLOOKUP(B601,country_opex,5,FALSE)</f>
        <v/>
      </c>
      <c r="AA601" s="49">
        <f>maint</f>
        <v/>
      </c>
      <c r="AB601" s="49">
        <f>VLOOKUP(B601,country_opex,7,FALSE)*ins_pct</f>
        <v/>
      </c>
      <c r="AC601" s="49">
        <f>charge_berth</f>
        <v/>
      </c>
      <c r="AD601" s="49">
        <f>X601+Y601+Z601+AA601+AB601+AC601</f>
        <v/>
      </c>
      <c r="AE601" s="49">
        <f>VLOOKUP(B601,country_opex,7,FALSE)/dep_years</f>
        <v/>
      </c>
      <c r="AF601" s="49">
        <f>W601-AD601</f>
        <v/>
      </c>
      <c r="AG601" s="46">
        <f>IF(W601=0,"",AF601/W601)</f>
        <v/>
      </c>
      <c r="AH601" s="47">
        <f>IF(AF601&lt;=0,"",VLOOKUP(B601,country_opex,7,FALSE)/AF601)</f>
        <v/>
      </c>
      <c r="AI601" s="44">
        <f>((G601*R601/diesel_nmpg)*diesel_co2pg-(battery/range_nm)*G601*R601*VLOOKUP(B601,country_opex,4,FALSE))/1000</f>
        <v/>
      </c>
      <c r="AJ601" s="42" t="n">
        <v>100000</v>
      </c>
      <c r="AK601" s="43" t="inlineStr">
        <is>
          <t>T5</t>
        </is>
      </c>
      <c r="AL601" s="43" t="inlineStr">
        <is>
          <t>low-med</t>
        </is>
      </c>
      <c r="AM601" s="50" t="n">
        <v>0.1</v>
      </c>
      <c r="AN601" s="45">
        <f>IF(AJ601="","",AJ601*AM601)</f>
        <v/>
      </c>
      <c r="AO601" s="45">
        <f>IF(OR(AJ601="",U601=0),"",MIN(IF(AW601="",9.9E+99,AW601),FLOOR(AN601/U601,1)))</f>
        <v/>
      </c>
      <c r="AP601" s="49">
        <f>IF(AO601="","",AO601*W601)</f>
        <v/>
      </c>
      <c r="AQ601" s="47">
        <f>IF(OR(AJ601="",U601=0),"",MIN(IF(AW601="",9.9E+99,AW601),AN601/U601))</f>
        <v/>
      </c>
      <c r="AR601" s="49">
        <f>IF(AQ601="","",AQ601*W601)</f>
        <v/>
      </c>
      <c r="AS601" s="51" t="n"/>
      <c r="AT601" s="43" t="inlineStr">
        <is>
          <t>Grounded</t>
        </is>
      </c>
      <c r="AU601" s="52" t="n"/>
      <c r="AV601" s="52" t="n"/>
      <c r="AW601" s="53" t="n"/>
      <c r="AX601" s="54">
        <f>IF(((V601*pax_cap*load_thin*ROUND(N601*O601*revleg_thin,0))-(((battery/range_nm)*G601*ROUND(N601*O601*revleg_thin,0)*VLOOKUP(B601,country_opex,3,FALSE))+Y601+Z601+AA601+AB601+AC601))&lt;=0,"",VLOOKUP(B601,country_opex,7,FALSE)/((V601*pax_cap*load_thin*ROUND(N601*O601*revleg_thin,0))-(((battery/range_nm)*G601*ROUND(N601*O601*revleg_thin,0)*VLOOKUP(B601,country_opex,3,FALSE))+Y601+Z601+AA601+AB601+AC601)))</f>
        <v/>
      </c>
      <c r="AY601" s="54">
        <f>IF(((V601*pax_cap*load_mid*ROUND(N601*O601*revleg_mid,0))-(((battery/range_nm)*G601*ROUND(N601*O601*revleg_mid,0)*VLOOKUP(B601,country_opex,3,FALSE))+Y601+Z601+AA601+AB601+AC601))&lt;=0,"",VLOOKUP(B601,country_opex,7,FALSE)/((V601*pax_cap*load_mid*ROUND(N601*O601*revleg_mid,0))-(((battery/range_nm)*G601*ROUND(N601*O601*revleg_mid,0)*VLOOKUP(B601,country_opex,3,FALSE))+Y601+Z601+AA601+AB601+AC601)))</f>
        <v/>
      </c>
      <c r="AZ601" s="54">
        <f>IF(((V601*pax_cap*load_full*ROUND(N601*O601*revleg_full,0))-(((battery/range_nm)*G601*ROUND(N601*O601*revleg_full,0)*VLOOKUP(B601,country_opex,3,FALSE))+Y601+Z601+AA601+AB601+AC601))&lt;=0,"",VLOOKUP(B601,country_opex,7,FALSE)/((V601*pax_cap*load_full*ROUND(N601*O601*revleg_full,0))-(((battery/range_nm)*G601*ROUND(N601*O601*revleg_full,0)*VLOOKUP(B601,country_opex,3,FALSE))+Y601+Z601+AA601+AB601+AC601)))</f>
        <v/>
      </c>
      <c r="BA601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B601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602">
      <c r="A602" s="38" t="inlineStr">
        <is>
          <t>Vietnam</t>
        </is>
      </c>
      <c r="B602" s="38" t="inlineStr">
        <is>
          <t>Vietnam</t>
        </is>
      </c>
      <c r="C602" s="39" t="inlineStr">
        <is>
          <t>Phu Quoc (Bai Vong Port) → Rach Gia (mainland)</t>
        </is>
      </c>
      <c r="D602" s="38" t="inlineStr">
        <is>
          <t>grab</t>
        </is>
      </c>
      <c r="E602" s="40" t="inlineStr">
        <is>
          <t>vietnam</t>
        </is>
      </c>
      <c r="F602" s="41" t="n">
        <v>1</v>
      </c>
      <c r="G602" s="42" t="n">
        <v>62</v>
      </c>
      <c r="H602" s="35" t="n">
        <v>19</v>
      </c>
      <c r="I602" s="43" t="inlineStr">
        <is>
          <t>T3</t>
        </is>
      </c>
      <c r="J602" s="43" t="inlineStr">
        <is>
          <t>med-high</t>
        </is>
      </c>
      <c r="K602" s="29" t="n">
        <v>1</v>
      </c>
      <c r="L602" s="44">
        <f>60*G602/cruise_kt</f>
        <v/>
      </c>
      <c r="M602" s="44">
        <f>L602+turn_min+dwell_min</f>
        <v/>
      </c>
      <c r="N602" s="45">
        <f>MIN(15,FLOOR(60*service_hr/M602,1))</f>
        <v/>
      </c>
      <c r="O602" s="45">
        <f>ROUND(365*mech_uptime*K602,0)</f>
        <v/>
      </c>
      <c r="P602" s="46">
        <f>mech_uptime</f>
        <v/>
      </c>
      <c r="Q602" s="46">
        <f>revleg_sel</f>
        <v/>
      </c>
      <c r="R602" s="45">
        <f>ROUND(N602*O602*revleg_sel,0)</f>
        <v/>
      </c>
      <c r="S602" s="47">
        <f>load_sel</f>
        <v/>
      </c>
      <c r="T602" s="47">
        <f>pax_cap*S602</f>
        <v/>
      </c>
      <c r="U602" s="45">
        <f>T602*R602</f>
        <v/>
      </c>
      <c r="V602" s="48">
        <f>H602*discount</f>
        <v/>
      </c>
      <c r="W602" s="49">
        <f>V602*U602</f>
        <v/>
      </c>
      <c r="X602" s="49">
        <f>(battery/range_nm)*G602*R602*VLOOKUP(B602,country_opex,3,FALSE)</f>
        <v/>
      </c>
      <c r="Y602" s="49">
        <f>VLOOKUP(B602,country_opex,2,FALSE)*crew_factor</f>
        <v/>
      </c>
      <c r="Z602" s="49">
        <f>VLOOKUP(B602,country_opex,5,FALSE)</f>
        <v/>
      </c>
      <c r="AA602" s="49">
        <f>maint</f>
        <v/>
      </c>
      <c r="AB602" s="49">
        <f>VLOOKUP(B602,country_opex,7,FALSE)*ins_pct</f>
        <v/>
      </c>
      <c r="AC602" s="49">
        <f>charge_berth</f>
        <v/>
      </c>
      <c r="AD602" s="49">
        <f>X602+Y602+Z602+AA602+AB602+AC602</f>
        <v/>
      </c>
      <c r="AE602" s="49">
        <f>VLOOKUP(B602,country_opex,7,FALSE)/dep_years</f>
        <v/>
      </c>
      <c r="AF602" s="49">
        <f>W602-AD602</f>
        <v/>
      </c>
      <c r="AG602" s="46">
        <f>IF(W602=0,"",AF602/W602)</f>
        <v/>
      </c>
      <c r="AH602" s="47">
        <f>IF(AF602&lt;=0,"",VLOOKUP(B602,country_opex,7,FALSE)/AF602)</f>
        <v/>
      </c>
      <c r="AI602" s="44">
        <f>((G602*R602/diesel_nmpg)*diesel_co2pg-(battery/range_nm)*G602*R602*VLOOKUP(B602,country_opex,4,FALSE))/1000</f>
        <v/>
      </c>
      <c r="AJ602" s="42" t="n">
        <v>650000</v>
      </c>
      <c r="AK602" s="43" t="inlineStr">
        <is>
          <t>T2</t>
        </is>
      </c>
      <c r="AL602" s="43" t="inlineStr">
        <is>
          <t>med</t>
        </is>
      </c>
      <c r="AM602" s="50" t="n">
        <v>0.1</v>
      </c>
      <c r="AN602" s="45">
        <f>IF(AJ602="","",AJ602*AM602)</f>
        <v/>
      </c>
      <c r="AO602" s="45">
        <f>IF(OR(AJ602="",U602=0),"",MIN(IF(AW602="",9.9E+99,AW602),FLOOR(AN602/U602,1)))</f>
        <v/>
      </c>
      <c r="AP602" s="49">
        <f>IF(AO602="","",AO602*W602)</f>
        <v/>
      </c>
      <c r="AQ602" s="47">
        <f>IF(OR(AJ602="",U602=0),"",MIN(IF(AW602="",9.9E+99,AW602),AN602/U602))</f>
        <v/>
      </c>
      <c r="AR602" s="49">
        <f>IF(AQ602="","",AQ602*W602)</f>
        <v/>
      </c>
      <c r="AS602" s="51" t="n"/>
      <c r="AT602" s="43" t="inlineStr">
        <is>
          <t>Grounded</t>
        </is>
      </c>
      <c r="AU602" s="52" t="n"/>
      <c r="AV602" s="52" t="n"/>
      <c r="AW602" s="53" t="n"/>
      <c r="AX602" s="54">
        <f>IF(((V602*pax_cap*load_thin*ROUND(N602*O602*revleg_thin,0))-(((battery/range_nm)*G602*ROUND(N602*O602*revleg_thin,0)*VLOOKUP(B602,country_opex,3,FALSE))+Y602+Z602+AA602+AB602+AC602))&lt;=0,"",VLOOKUP(B602,country_opex,7,FALSE)/((V602*pax_cap*load_thin*ROUND(N602*O602*revleg_thin,0))-(((battery/range_nm)*G602*ROUND(N602*O602*revleg_thin,0)*VLOOKUP(B602,country_opex,3,FALSE))+Y602+Z602+AA602+AB602+AC602)))</f>
        <v/>
      </c>
      <c r="AY602" s="54">
        <f>IF(((V602*pax_cap*load_mid*ROUND(N602*O602*revleg_mid,0))-(((battery/range_nm)*G602*ROUND(N602*O602*revleg_mid,0)*VLOOKUP(B602,country_opex,3,FALSE))+Y602+Z602+AA602+AB602+AC602))&lt;=0,"",VLOOKUP(B602,country_opex,7,FALSE)/((V602*pax_cap*load_mid*ROUND(N602*O602*revleg_mid,0))-(((battery/range_nm)*G602*ROUND(N602*O602*revleg_mid,0)*VLOOKUP(B602,country_opex,3,FALSE))+Y602+Z602+AA602+AB602+AC602)))</f>
        <v/>
      </c>
      <c r="AZ602" s="54">
        <f>IF(((V602*pax_cap*load_full*ROUND(N602*O602*revleg_full,0))-(((battery/range_nm)*G602*ROUND(N602*O602*revleg_full,0)*VLOOKUP(B602,country_opex,3,FALSE))+Y602+Z602+AA602+AB602+AC602))&lt;=0,"",VLOOKUP(B602,country_opex,7,FALSE)/((V602*pax_cap*load_full*ROUND(N602*O602*revleg_full,0))-(((battery/range_nm)*G602*ROUND(N602*O602*revleg_full,0)*VLOOKUP(B602,country_opex,3,FALSE))+Y602+Z602+AA602+AB602+AC602)))</f>
        <v/>
      </c>
      <c r="BA602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B602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603">
      <c r="A603" s="14" t="inlineStr">
        <is>
          <t>TOTAL / median</t>
        </is>
      </c>
      <c r="W603" s="55">
        <f>SUM(W4:W602)</f>
        <v/>
      </c>
      <c r="AF603" s="55">
        <f>SUM(AF4:AF602)</f>
        <v/>
      </c>
      <c r="AG603" s="56">
        <f>IF(W603=0,"",AF603/W603)</f>
        <v/>
      </c>
      <c r="AO603" s="57">
        <f>SUM(AO4:AO602)</f>
        <v/>
      </c>
      <c r="AP603" s="55">
        <f>SUM(AP4:AP602)</f>
        <v/>
      </c>
    </row>
    <row r="604"/>
    <row r="605">
      <c r="A605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06">
      <c r="A606" s="34" t="inlineStr">
        <is>
          <t>Market</t>
        </is>
      </c>
      <c r="B606" s="34" t="inlineStr">
        <is>
          <t>Fleet basis</t>
        </is>
      </c>
      <c r="C606" s="34" t="inlineStr">
        <is>
          <t>Raw vessels (sum)</t>
        </is>
      </c>
      <c r="D606" s="34" t="inlineStr">
        <is>
          <t>Fleet (rounded once)</t>
        </is>
      </c>
      <c r="E606" s="34" t="inlineStr">
        <is>
          <t>Market rev/yr (raw sum)</t>
        </is>
      </c>
    </row>
    <row r="607">
      <c r="A607" s="9" t="inlineStr">
        <is>
          <t>Yassir Algeria</t>
        </is>
      </c>
      <c r="B607" s="24" t="inlineStr">
        <is>
          <t>aspirational</t>
        </is>
      </c>
      <c r="C607" s="24" t="inlineStr">
        <is>
          <t>—</t>
        </is>
      </c>
      <c r="D607" s="58">
        <f>SUMIFS(AO4:AO602,A4:A602,"Yassir Algeria",AS4:AS602,"=",AT4:AT602,"Grounded")</f>
        <v/>
      </c>
      <c r="E607" s="59">
        <f>SUMIFS(AP4:AP602,A4:A602,"Yassir Algeria",AS4:AS602,"=",AT4:AT602,"Grounded")</f>
        <v/>
      </c>
    </row>
    <row r="608">
      <c r="A608" s="9" t="inlineStr">
        <is>
          <t>Caribbean</t>
        </is>
      </c>
      <c r="B608" s="24" t="inlineStr">
        <is>
          <t>island-hopping-network / phase-cap</t>
        </is>
      </c>
      <c r="C608" s="24" t="inlineStr">
        <is>
          <t>—</t>
        </is>
      </c>
      <c r="D608" s="58">
        <f>SUMIFS(AO4:AO602,A4:A602,"Caribbean",AS4:AS602,"=",AT4:AT602,"Grounded")</f>
        <v/>
      </c>
      <c r="E608" s="59">
        <f>SUMIFS(AP4:AP602,A4:A602,"Caribbean",AS4:AS602,"=",AT4:AT602,"Grounded")</f>
        <v/>
      </c>
    </row>
    <row r="609">
      <c r="A609" s="9" t="inlineStr">
        <is>
          <t>Yango Caspian Az</t>
        </is>
      </c>
      <c r="B609" s="24" t="inlineStr">
        <is>
          <t>aspirational</t>
        </is>
      </c>
      <c r="C609" s="24" t="inlineStr">
        <is>
          <t>—</t>
        </is>
      </c>
      <c r="D609" s="58">
        <f>SUMIFS(AO4:AO602,A4:A602,"Yango Caspian Az",AS4:AS602,"=",AT4:AT602,"Grounded")</f>
        <v/>
      </c>
      <c r="E609" s="59">
        <f>SUMIFS(AP4:AP602,A4:A602,"Yango Caspian Az",AS4:AS602,"=",AT4:AT602,"Grounded")</f>
        <v/>
      </c>
    </row>
    <row r="610">
      <c r="A610" s="9" t="inlineStr">
        <is>
          <t>Caribbean Mobility</t>
        </is>
      </c>
      <c r="B610" s="24" t="inlineStr">
        <is>
          <t>aspirational</t>
        </is>
      </c>
      <c r="C610" s="24" t="inlineStr">
        <is>
          <t>—</t>
        </is>
      </c>
      <c r="D610" s="58">
        <f>SUMIFS(AO4:AO602,A4:A602,"Caribbean Mobility",AS4:AS602,"=",AT4:AT602,"Grounded")</f>
        <v/>
      </c>
      <c r="E610" s="59">
        <f>SUMIFS(AP4:AP602,A4:A602,"Caribbean Mobility",AS4:AS602,"=",AT4:AT602,"Grounded")</f>
        <v/>
      </c>
    </row>
    <row r="611">
      <c r="A611" s="9" t="inlineStr">
        <is>
          <t>Gulf Authority Rakta</t>
        </is>
      </c>
      <c r="B611" s="24" t="inlineStr">
        <is>
          <t>network_sum / ceil</t>
        </is>
      </c>
      <c r="C611" s="33">
        <f>SUMIFS(AQ4:AQ602,A4:A602,"Gulf Authority Rakta",AS4:AS602,"=",AT4:AT602,"Grounded")</f>
        <v/>
      </c>
      <c r="D611" s="58">
        <f>IF(C611=0,0,CEILING(C611,1))</f>
        <v/>
      </c>
      <c r="E611" s="59">
        <f>SUMIFS(AR4:AR602,A4:A602,"Gulf Authority Rakta",AS4:AS602,"=",AT4:AT602,"Grounded")</f>
        <v/>
      </c>
    </row>
    <row r="612">
      <c r="A612" s="9" t="inlineStr">
        <is>
          <t>Cambodia</t>
        </is>
      </c>
      <c r="B612" s="24" t="inlineStr">
        <is>
          <t>network_sum / ceil</t>
        </is>
      </c>
      <c r="C612" s="33">
        <f>SUMIFS(AQ4:AQ602,A4:A602,"Cambodia",AS4:AS602,"=",AT4:AT602,"Grounded")</f>
        <v/>
      </c>
      <c r="D612" s="58">
        <f>IF(C612=0,0,CEILING(C612,1))</f>
        <v/>
      </c>
      <c r="E612" s="59">
        <f>SUMIFS(AR4:AR602,A4:A602,"Cambodia",AS4:AS602,"=",AT4:AT602,"Grounded")</f>
        <v/>
      </c>
    </row>
    <row r="613">
      <c r="A613" s="9" t="inlineStr">
        <is>
          <t>Yango Colombia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SUMIFS(AO4:AO602,A4:A602,"Yango Colombia",AS4:AS602,"=",AT4:AT602,"Grounded")</f>
        <v/>
      </c>
      <c r="E613" s="59">
        <f>SUMIFS(AP4:AP602,A4:A602,"Yango Colombia",AS4:AS602,"=",AT4:AT602,"Grounded")</f>
        <v/>
      </c>
    </row>
    <row r="614">
      <c r="A614" s="9" t="inlineStr">
        <is>
          <t>Bolt Croatia</t>
        </is>
      </c>
      <c r="B614" s="24" t="inlineStr">
        <is>
          <t>grounded</t>
        </is>
      </c>
      <c r="C614" s="24" t="inlineStr">
        <is>
          <t>—</t>
        </is>
      </c>
      <c r="D614" s="58">
        <f>SUMIFS(AO4:AO602,A4:A602,"Bolt Croatia",AS4:AS602,"=",AT4:AT602,"Grounded")</f>
        <v/>
      </c>
      <c r="E614" s="59">
        <f>SUMIFS(AP4:AP602,A4:A602,"Bolt Croatia",AS4:AS602,"=",AT4:AT602,"Grounded")</f>
        <v/>
      </c>
    </row>
    <row r="615">
      <c r="A615" s="9" t="inlineStr">
        <is>
          <t>Ocean Whisperer</t>
        </is>
      </c>
      <c r="B615" s="24" t="inlineStr">
        <is>
          <t>captive-luxury-resort-mesh / phase-cap</t>
        </is>
      </c>
      <c r="C615" s="24" t="inlineStr">
        <is>
          <t>—</t>
        </is>
      </c>
      <c r="D615" s="58">
        <f>SUMIFS(AO4:AO602,A4:A602,"Ocean Whisperer",AS4:AS602,"=",AT4:AT602,"Grounded")</f>
        <v/>
      </c>
      <c r="E615" s="59">
        <f>SUMIFS(AP4:AP602,A4:A602,"Ocean Whisperer",AS4:AS602,"=",AT4:AT602,"Grounded")</f>
        <v/>
      </c>
    </row>
    <row r="616">
      <c r="A616" s="9" t="inlineStr">
        <is>
          <t>Bolt Cyprus</t>
        </is>
      </c>
      <c r="B616" s="24" t="inlineStr">
        <is>
          <t>aspirational</t>
        </is>
      </c>
      <c r="C616" s="24" t="inlineStr">
        <is>
          <t>—</t>
        </is>
      </c>
      <c r="D616" s="58">
        <f>SUMIFS(AO4:AO602,A4:A602,"Bolt Cyprus",AS4:AS602,"=",AT4:AT602,"Grounded")</f>
        <v/>
      </c>
      <c r="E616" s="59">
        <f>SUMIFS(AP4:AP602,A4:A602,"Bolt Cyprus",AS4:AS602,"=",AT4:AT602,"Grounded")</f>
        <v/>
      </c>
    </row>
    <row r="617">
      <c r="A617" s="9" t="inlineStr">
        <is>
          <t>Yango Cote Divoire</t>
        </is>
      </c>
      <c r="B617" s="24" t="inlineStr">
        <is>
          <t>aspirational</t>
        </is>
      </c>
      <c r="C617" s="24" t="inlineStr">
        <is>
          <t>—</t>
        </is>
      </c>
      <c r="D617" s="58">
        <f>SUMIFS(AO4:AO602,A4:A602,"Yango Cote Divoire",AS4:AS602,"=",AT4:AT602,"Grounded")</f>
        <v/>
      </c>
      <c r="E617" s="59">
        <f>SUMIFS(AP4:AP602,A4:A602,"Yango Cote Divoire",AS4:AS602,"=",AT4:AT602,"Grounded")</f>
        <v/>
      </c>
    </row>
    <row r="618">
      <c r="A618" s="9" t="inlineStr">
        <is>
          <t>Bolt Egypt</t>
        </is>
      </c>
      <c r="B618" s="24" t="inlineStr">
        <is>
          <t>aspirational</t>
        </is>
      </c>
      <c r="C618" s="24" t="inlineStr">
        <is>
          <t>—</t>
        </is>
      </c>
      <c r="D618" s="58">
        <f>SUMIFS(AO4:AO602,A4:A602,"Bolt Egypt",AS4:AS602,"=",AT4:AT602,"Grounded")</f>
        <v/>
      </c>
      <c r="E618" s="59">
        <f>SUMIFS(AP4:AP602,A4:A602,"Bolt Egypt",AS4:AS602,"=",AT4:AT602,"Grounded")</f>
        <v/>
      </c>
    </row>
    <row r="619">
      <c r="A619" s="9" t="inlineStr">
        <is>
          <t>Bolt Estonia</t>
        </is>
      </c>
      <c r="B619" s="24" t="inlineStr">
        <is>
          <t>aspirational</t>
        </is>
      </c>
      <c r="C619" s="24" t="inlineStr">
        <is>
          <t>—</t>
        </is>
      </c>
      <c r="D619" s="58">
        <f>SUMIFS(AO4:AO602,A4:A602,"Bolt Estonia",AS4:AS602,"=",AT4:AT602,"Grounded")</f>
        <v/>
      </c>
      <c r="E619" s="59">
        <f>SUMIFS(AP4:AP602,A4:A602,"Bolt Estonia",AS4:AS602,"=",AT4:AT602,"Grounded")</f>
        <v/>
      </c>
    </row>
    <row r="620">
      <c r="A620" s="9" t="inlineStr">
        <is>
          <t>Bolt Finland</t>
        </is>
      </c>
      <c r="B620" s="24" t="inlineStr">
        <is>
          <t>aspirational</t>
        </is>
      </c>
      <c r="C620" s="24" t="inlineStr">
        <is>
          <t>—</t>
        </is>
      </c>
      <c r="D620" s="58">
        <f>SUMIFS(AO4:AO602,A4:A602,"Bolt Finland",AS4:AS602,"=",AT4:AT602,"Grounded")</f>
        <v/>
      </c>
      <c r="E620" s="59">
        <f>SUMIFS(AP4:AP602,A4:A602,"Bolt Finland",AS4:AS602,"=",AT4:AT602,"Grounded")</f>
        <v/>
      </c>
    </row>
    <row r="621">
      <c r="A621" s="9" t="inlineStr">
        <is>
          <t>Bolt France Riviera</t>
        </is>
      </c>
      <c r="B621" s="24" t="inlineStr">
        <is>
          <t>grounded</t>
        </is>
      </c>
      <c r="C621" s="24" t="inlineStr">
        <is>
          <t>—</t>
        </is>
      </c>
      <c r="D621" s="58">
        <f>SUMIFS(AO4:AO602,A4:A602,"Bolt France Riviera",AS4:AS602,"=",AT4:AT602,"Grounded")</f>
        <v/>
      </c>
      <c r="E621" s="59">
        <f>SUMIFS(AP4:AP602,A4:A602,"Bolt France Riviera",AS4:AS602,"=",AT4:AT602,"Grounded")</f>
        <v/>
      </c>
    </row>
    <row r="622">
      <c r="A622" s="9" t="inlineStr">
        <is>
          <t>French Polynesia</t>
        </is>
      </c>
      <c r="B622" s="24" t="inlineStr">
        <is>
          <t>captive-luxury-with-public-transit-trunk / phase-cap</t>
        </is>
      </c>
      <c r="C622" s="24" t="inlineStr">
        <is>
          <t>—</t>
        </is>
      </c>
      <c r="D622" s="58">
        <f>SUMIFS(AO4:AO602,A4:A602,"French Polynesia",AS4:AS602,"=",AT4:AT602,"Grounded")</f>
        <v/>
      </c>
      <c r="E622" s="59">
        <f>SUMIFS(AP4:AP602,A4:A602,"French Polynesia",AS4:AS602,"=",AT4:AT602,"Grounded")</f>
        <v/>
      </c>
    </row>
    <row r="623">
      <c r="A623" s="9" t="inlineStr">
        <is>
          <t>Bolt Greece</t>
        </is>
      </c>
      <c r="B623" s="24" t="inlineStr">
        <is>
          <t>grounded</t>
        </is>
      </c>
      <c r="C623" s="24" t="inlineStr">
        <is>
          <t>—</t>
        </is>
      </c>
      <c r="D623" s="58">
        <f>SUMIFS(AO4:AO602,A4:A602,"Bolt Greece",AS4:AS602,"=",AT4:AT602,"Grounded")</f>
        <v/>
      </c>
      <c r="E623" s="59">
        <f>SUMIFS(AP4:AP602,A4:A602,"Bolt Greece",AS4:AS602,"=",AT4:AT602,"Grounded")</f>
        <v/>
      </c>
    </row>
    <row r="624">
      <c r="A624" s="9" t="inlineStr">
        <is>
          <t>India Andaman Rapido</t>
        </is>
      </c>
      <c r="B624" s="24" t="inlineStr">
        <is>
          <t>network_sum / ceil</t>
        </is>
      </c>
      <c r="C624" s="33">
        <f>SUMIFS(AQ4:AQ602,A4:A602,"India Andaman Rapido",AS4:AS602,"=",AT4:AT602,"Grounded")</f>
        <v/>
      </c>
      <c r="D624" s="58">
        <f>IF(C624=0,0,CEILING(C624,1))</f>
        <v/>
      </c>
      <c r="E624" s="59">
        <f>SUMIFS(AR4:AR602,A4:A602,"India Andaman Rapido",AS4:AS602,"=",AT4:AT602,"Grounded")</f>
        <v/>
      </c>
    </row>
    <row r="625">
      <c r="A625" s="9" t="inlineStr">
        <is>
          <t>India Kolkata Rapido</t>
        </is>
      </c>
      <c r="B625" s="24" t="inlineStr">
        <is>
          <t>network_sum</t>
        </is>
      </c>
      <c r="C625" s="33">
        <f>SUMIFS(AQ4:AQ602,A4:A602,"India Kolkata Rapido",AS4:AS602,"=",AT4:AT602,"Grounded")</f>
        <v/>
      </c>
      <c r="D625" s="58">
        <f>ROUND(C625,0)</f>
        <v/>
      </c>
      <c r="E625" s="59">
        <f>SUMIFS(AR4:AR602,A4:A602,"India Kolkata Rapido",AS4:AS602,"=",AT4:AT602,"Grounded")</f>
        <v/>
      </c>
    </row>
    <row r="626">
      <c r="A626" s="9" t="inlineStr">
        <is>
          <t>India Goa Rapido</t>
        </is>
      </c>
      <c r="B626" s="24" t="inlineStr">
        <is>
          <t>network_sum / ceil</t>
        </is>
      </c>
      <c r="C626" s="33">
        <f>SUMIFS(AQ4:AQ602,A4:A602,"India Goa Rapido",AS4:AS602,"=",AT4:AT602,"Grounded")</f>
        <v/>
      </c>
      <c r="D626" s="58">
        <f>IF(C626=0,0,CEILING(C626,1))</f>
        <v/>
      </c>
      <c r="E626" s="59">
        <f>SUMIFS(AR4:AR602,A4:A602,"India Goa Rapido",AS4:AS602,"=",AT4:AT602,"Grounded")</f>
        <v/>
      </c>
    </row>
    <row r="627">
      <c r="A627" s="9" t="inlineStr">
        <is>
          <t>India Kerala Rapido</t>
        </is>
      </c>
      <c r="B627" s="24" t="inlineStr">
        <is>
          <t>network_sum / ceil</t>
        </is>
      </c>
      <c r="C627" s="33">
        <f>SUMIFS(AQ4:AQ602,A4:A602,"India Kerala Rapido",AS4:AS602,"=",AT4:AT602,"Grounded")</f>
        <v/>
      </c>
      <c r="D627" s="58">
        <f>IF(C627=0,0,CEILING(C627,1))</f>
        <v/>
      </c>
      <c r="E627" s="59">
        <f>SUMIFS(AR4:AR602,A4:A602,"India Kerala Rapido",AS4:AS602,"=",AT4:AT602,"Grounded")</f>
        <v/>
      </c>
    </row>
    <row r="628">
      <c r="A628" s="9" t="inlineStr">
        <is>
          <t>India Mumbai Rapido</t>
        </is>
      </c>
      <c r="B628" s="24" t="inlineStr">
        <is>
          <t>network_sum / ceil</t>
        </is>
      </c>
      <c r="C628" s="33">
        <f>SUMIFS(AQ4:AQ602,A4:A602,"India Mumbai Rapido",AS4:AS602,"=",AT4:AT602,"Grounded")</f>
        <v/>
      </c>
      <c r="D628" s="58">
        <f>IF(C628=0,0,CEILING(C628,1))</f>
        <v/>
      </c>
      <c r="E628" s="59">
        <f>SUMIFS(AR4:AR602,A4:A602,"India Mumbai Rapido",AS4:AS602,"=",AT4:AT602,"Grounded")</f>
        <v/>
      </c>
    </row>
    <row r="629">
      <c r="A629" s="9" t="inlineStr">
        <is>
          <t>Ola Mumbai</t>
        </is>
      </c>
      <c r="B629" s="24" t="inlineStr">
        <is>
          <t>per_corridor_floor</t>
        </is>
      </c>
      <c r="C629" s="24" t="inlineStr">
        <is>
          <t>—</t>
        </is>
      </c>
      <c r="D629" s="58">
        <f>SUMIFS(AO4:AO602,A4:A602,"Ola Mumbai",AS4:AS602,"=",AT4:AT602,"Grounded")</f>
        <v/>
      </c>
      <c r="E629" s="59">
        <f>SUMIFS(AP4:AP602,A4:A602,"Ola Mumbai",AS4:AS602,"=",AT4:AT602,"Grounded")</f>
        <v/>
      </c>
    </row>
    <row r="630">
      <c r="A630" s="9" t="inlineStr">
        <is>
          <t>India Chennai Rapido</t>
        </is>
      </c>
      <c r="B630" s="24" t="inlineStr">
        <is>
          <t>network_sum</t>
        </is>
      </c>
      <c r="C630" s="33">
        <f>SUMIFS(AQ4:AQ602,A4:A602,"India Chennai Rapido",AS4:AS602,"=",AT4:AT602,"Grounded")</f>
        <v/>
      </c>
      <c r="D630" s="58">
        <f>ROUND(C630,0)</f>
        <v/>
      </c>
      <c r="E630" s="59">
        <f>SUMIFS(AR4:AR602,A4:A602,"India Chennai Rapido",AS4:AS602,"=",AT4:AT602,"Grounded")</f>
        <v/>
      </c>
    </row>
    <row r="631">
      <c r="A631" s="9" t="inlineStr">
        <is>
          <t>Komodo Flores</t>
        </is>
      </c>
      <c r="B631" s="24" t="inlineStr">
        <is>
          <t>network_sum / ceil</t>
        </is>
      </c>
      <c r="C631" s="33">
        <f>SUMIFS(AQ4:AQ602,A4:A602,"Komodo Flores",AS4:AS602,"=",AT4:AT602,"Grounded")</f>
        <v/>
      </c>
      <c r="D631" s="58">
        <f>IF(C631=0,0,CEILING(C631,1))</f>
        <v/>
      </c>
      <c r="E631" s="59">
        <f>SUMIFS(AR4:AR602,A4:A602,"Komodo Flores",AS4:AS602,"=",AT4:AT602,"Grounded")</f>
        <v/>
      </c>
    </row>
    <row r="632">
      <c r="A632" s="9" t="inlineStr">
        <is>
          <t>Bali</t>
        </is>
      </c>
      <c r="B632" s="24" t="inlineStr">
        <is>
          <t>network_sum / ceil</t>
        </is>
      </c>
      <c r="C632" s="33">
        <f>SUMIFS(AQ4:AQ602,A4:A602,"Bali",AS4:AS602,"=",AT4:AT602,"Grounded")</f>
        <v/>
      </c>
      <c r="D632" s="58">
        <f>IF(C632=0,0,CEILING(C632,1))</f>
        <v/>
      </c>
      <c r="E632" s="59">
        <f>SUMIFS(AR4:AR602,A4:A602,"Bali",AS4:AS602,"=",AT4:AT602,"Grounded")</f>
        <v/>
      </c>
    </row>
    <row r="633">
      <c r="A633" s="9" t="inlineStr">
        <is>
          <t>Jakarta</t>
        </is>
      </c>
      <c r="B633" s="24" t="inlineStr">
        <is>
          <t>network_sum / ceil</t>
        </is>
      </c>
      <c r="C633" s="33">
        <f>SUMIFS(AQ4:AQ602,A4:A602,"Jakarta",AS4:AS602,"=",AT4:AT602,"Grounded")</f>
        <v/>
      </c>
      <c r="D633" s="58">
        <f>IF(C633=0,0,CEILING(C633,1))</f>
        <v/>
      </c>
      <c r="E633" s="59">
        <f>SUMIFS(AR4:AR602,A4:A602,"Jakarta",AS4:AS602,"=",AT4:AT602,"Grounded")</f>
        <v/>
      </c>
    </row>
    <row r="634">
      <c r="A634" s="9" t="inlineStr">
        <is>
          <t>Eastern Indonesia</t>
        </is>
      </c>
      <c r="B634" s="24" t="inlineStr">
        <is>
          <t>network_sum / ceil</t>
        </is>
      </c>
      <c r="C634" s="33">
        <f>SUMIFS(AQ4:AQ602,A4:A602,"Eastern Indonesia",AS4:AS602,"=",AT4:AT602,"Grounded")</f>
        <v/>
      </c>
      <c r="D634" s="58">
        <f>IF(C634=0,0,CEILING(C634,1))</f>
        <v/>
      </c>
      <c r="E634" s="59">
        <f>SUMIFS(AR4:AR602,A4:A602,"Eastern Indonesia",AS4:AS602,"=",AT4:AT602,"Grounded")</f>
        <v/>
      </c>
    </row>
    <row r="635">
      <c r="A635" s="9" t="inlineStr">
        <is>
          <t>Singapore</t>
        </is>
      </c>
      <c r="B635" s="24" t="inlineStr">
        <is>
          <t>network_sum / ceil</t>
        </is>
      </c>
      <c r="C635" s="33">
        <f>SUMIFS(AQ4:AQ602,A4:A602,"Singapore",AS4:AS602,"=",AT4:AT602,"Grounded")</f>
        <v/>
      </c>
      <c r="D635" s="58">
        <f>IF(C635=0,0,CEILING(C635,1))</f>
        <v/>
      </c>
      <c r="E635" s="59">
        <f>SUMIFS(AR4:AR602,A4:A602,"Singapore",AS4:AS602,"=",AT4:AT602,"Grounded")</f>
        <v/>
      </c>
    </row>
    <row r="636">
      <c r="A636" s="9" t="inlineStr">
        <is>
          <t>Bolt Ireland</t>
        </is>
      </c>
      <c r="B636" s="24" t="inlineStr">
        <is>
          <t>aspirational</t>
        </is>
      </c>
      <c r="C636" s="24" t="inlineStr">
        <is>
          <t>—</t>
        </is>
      </c>
      <c r="D636" s="58">
        <f>SUMIFS(AO4:AO602,A4:A602,"Bolt Ireland",AS4:AS602,"=",AT4:AT602,"Grounded")</f>
        <v/>
      </c>
      <c r="E636" s="59">
        <f>SUMIFS(AP4:AP602,A4:A602,"Bolt Ireland",AS4:AS602,"=",AT4:AT602,"Grounded")</f>
        <v/>
      </c>
    </row>
    <row r="637">
      <c r="A637" s="9" t="inlineStr">
        <is>
          <t>Bolt Israel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SUMIFS(AO4:AO602,A4:A602,"Bolt Israel",AS4:AS602,"=",AT4:AT602,"Grounded")</f>
        <v/>
      </c>
      <c r="E637" s="59">
        <f>SUMIFS(AP4:AP602,A4:A602,"Bolt Israel",AS4:AS602,"=",AT4:AT602,"Grounded")</f>
        <v/>
      </c>
    </row>
    <row r="638">
      <c r="A638" s="9" t="inlineStr">
        <is>
          <t>Bolt Italy</t>
        </is>
      </c>
      <c r="B638" s="24" t="inlineStr">
        <is>
          <t>grounded</t>
        </is>
      </c>
      <c r="C638" s="24" t="inlineStr">
        <is>
          <t>—</t>
        </is>
      </c>
      <c r="D638" s="58">
        <f>SUMIFS(AO4:AO602,A4:A602,"Bolt Italy",AS4:AS602,"=",AT4:AT602,"Grounded")</f>
        <v/>
      </c>
      <c r="E638" s="59">
        <f>SUMIFS(AP4:AP602,A4:A602,"Bolt Italy",AS4:AS602,"=",AT4:AT602,"Grounded")</f>
        <v/>
      </c>
    </row>
    <row r="639">
      <c r="A639" s="9" t="inlineStr">
        <is>
          <t>Yango Caspian Kz</t>
        </is>
      </c>
      <c r="B639" s="24" t="inlineStr">
        <is>
          <t>aspirational</t>
        </is>
      </c>
      <c r="C639" s="24" t="inlineStr">
        <is>
          <t>—</t>
        </is>
      </c>
      <c r="D639" s="58">
        <f>SUMIFS(AO4:AO602,A4:A602,"Yango Caspian Kz",AS4:AS602,"=",AT4:AT602,"Grounded")</f>
        <v/>
      </c>
      <c r="E639" s="59">
        <f>SUMIFS(AP4:AP602,A4:A602,"Yango Caspian Kz",AS4:AS602,"=",AT4:AT602,"Grounded")</f>
        <v/>
      </c>
    </row>
    <row r="640">
      <c r="A640" s="9" t="inlineStr">
        <is>
          <t>Bolt Lebanon</t>
        </is>
      </c>
      <c r="B640" s="24" t="inlineStr">
        <is>
          <t>aspirational</t>
        </is>
      </c>
      <c r="C640" s="24" t="inlineStr">
        <is>
          <t>—</t>
        </is>
      </c>
      <c r="D640" s="58">
        <f>SUMIFS(AO4:AO602,A4:A602,"Bolt Lebanon",AS4:AS602,"=",AT4:AT602,"Grounded")</f>
        <v/>
      </c>
      <c r="E640" s="59">
        <f>SUMIFS(AP4:AP602,A4:A602,"Bolt Lebanon",AS4:AS602,"=",AT4:AT602,"Grounded")</f>
        <v/>
      </c>
    </row>
    <row r="641">
      <c r="A641" s="9" t="inlineStr">
        <is>
          <t>Langkawi</t>
        </is>
      </c>
      <c r="B641" s="24" t="inlineStr">
        <is>
          <t>network_sum / ceil</t>
        </is>
      </c>
      <c r="C641" s="33">
        <f>SUMIFS(AQ4:AQ602,A4:A602,"Langkawi",AS4:AS602,"=",AT4:AT602,"Grounded")</f>
        <v/>
      </c>
      <c r="D641" s="58">
        <f>IF(C641=0,0,CEILING(C641,1))</f>
        <v/>
      </c>
      <c r="E641" s="59">
        <f>SUMIFS(AR4:AR602,A4:A602,"Langkawi",AS4:AS602,"=",AT4:AT602,"Grounded")</f>
        <v/>
      </c>
    </row>
    <row r="642">
      <c r="A642" s="9" t="inlineStr">
        <is>
          <t>Borneo</t>
        </is>
      </c>
      <c r="B642" s="24" t="inlineStr">
        <is>
          <t>network_sum / ceil</t>
        </is>
      </c>
      <c r="C642" s="33">
        <f>SUMIFS(AQ4:AQ602,A4:A602,"Borneo",AS4:AS602,"=",AT4:AT602,"Grounded")</f>
        <v/>
      </c>
      <c r="D642" s="58">
        <f>IF(C642=0,0,CEILING(C642,1))</f>
        <v/>
      </c>
      <c r="E642" s="59">
        <f>SUMIFS(AR4:AR602,A4:A602,"Borneo",AS4:AS602,"=",AT4:AT602,"Grounded")</f>
        <v/>
      </c>
    </row>
    <row r="643">
      <c r="A643" s="9" t="inlineStr">
        <is>
          <t>Penang</t>
        </is>
      </c>
      <c r="B643" s="24" t="inlineStr">
        <is>
          <t>network_sum / ceil</t>
        </is>
      </c>
      <c r="C643" s="33">
        <f>SUMIFS(AQ4:AQ602,A4:A602,"Penang",AS4:AS602,"=",AT4:AT602,"Grounded")</f>
        <v/>
      </c>
      <c r="D643" s="58">
        <f>IF(C643=0,0,CEILING(C643,1))</f>
        <v/>
      </c>
      <c r="E643" s="59">
        <f>SUMIFS(AR4:AR602,A4:A602,"Penang",AS4:AS602,"=",AT4:AT602,"Grounded")</f>
        <v/>
      </c>
    </row>
    <row r="644">
      <c r="A644" s="9" t="inlineStr">
        <is>
          <t>Maldives (JIH)</t>
        </is>
      </c>
      <c r="B644" s="24" t="inlineStr">
        <is>
          <t>network_sum</t>
        </is>
      </c>
      <c r="C644" s="33">
        <f>SUMIFS(AQ4:AQ602,A4:A602,"Maldives (JIH)",AS4:AS602,"=",AT4:AT602,"Grounded")</f>
        <v/>
      </c>
      <c r="D644" s="58">
        <f>ROUND(C644,0)</f>
        <v/>
      </c>
      <c r="E644" s="59">
        <f>SUMIFS(AR4:AR602,A4:A602,"Maldives (JIH)",AS4:AS602,"=",AT4:AT602,"Grounded")</f>
        <v/>
      </c>
    </row>
    <row r="645">
      <c r="A645" s="9" t="inlineStr">
        <is>
          <t>Yango Morocco</t>
        </is>
      </c>
      <c r="B645" s="24" t="inlineStr">
        <is>
          <t>aspirational</t>
        </is>
      </c>
      <c r="C645" s="24" t="inlineStr">
        <is>
          <t>—</t>
        </is>
      </c>
      <c r="D645" s="58">
        <f>SUMIFS(AO4:AO602,A4:A602,"Yango Morocco",AS4:AS602,"=",AT4:AT602,"Grounded")</f>
        <v/>
      </c>
      <c r="E645" s="59">
        <f>SUMIFS(AP4:AP602,A4:A602,"Yango Morocco",AS4:AS602,"=",AT4:AT602,"Grounded")</f>
        <v/>
      </c>
    </row>
    <row r="646">
      <c r="A646" s="9" t="inlineStr">
        <is>
          <t>Yango Mozambique</t>
        </is>
      </c>
      <c r="B646" s="24" t="inlineStr">
        <is>
          <t>aspirational</t>
        </is>
      </c>
      <c r="C646" s="24" t="inlineStr">
        <is>
          <t>—</t>
        </is>
      </c>
      <c r="D646" s="58">
        <f>SUMIFS(AO4:AO602,A4:A602,"Yango Mozambique",AS4:AS602,"=",AT4:AT602,"Grounded")</f>
        <v/>
      </c>
      <c r="E646" s="59">
        <f>SUMIFS(AP4:AP602,A4:A602,"Yango Mozambique",AS4:AS602,"=",AT4:AT602,"Grounded")</f>
        <v/>
      </c>
    </row>
    <row r="647">
      <c r="A647" s="9" t="inlineStr">
        <is>
          <t>Yango Pakistan</t>
        </is>
      </c>
      <c r="B647" s="24" t="inlineStr">
        <is>
          <t>aspirational</t>
        </is>
      </c>
      <c r="C647" s="24" t="inlineStr">
        <is>
          <t>—</t>
        </is>
      </c>
      <c r="D647" s="58">
        <f>SUMIFS(AO4:AO602,A4:A602,"Yango Pakistan",AS4:AS602,"=",AT4:AT602,"Grounded")</f>
        <v/>
      </c>
      <c r="E647" s="59">
        <f>SUMIFS(AP4:AP602,A4:A602,"Yango Pakistan",AS4:AS602,"=",AT4:AT602,"Grounded")</f>
        <v/>
      </c>
    </row>
    <row r="648">
      <c r="A648" s="9" t="inlineStr">
        <is>
          <t>Yango Peru</t>
        </is>
      </c>
      <c r="B648" s="24" t="inlineStr">
        <is>
          <t>aspirational</t>
        </is>
      </c>
      <c r="C648" s="24" t="inlineStr">
        <is>
          <t>—</t>
        </is>
      </c>
      <c r="D648" s="58">
        <f>SUMIFS(AO4:AO602,A4:A602,"Yango Peru",AS4:AS602,"=",AT4:AT602,"Grounded")</f>
        <v/>
      </c>
      <c r="E648" s="59">
        <f>SUMIFS(AP4:AP602,A4:A602,"Yango Peru",AS4:AS602,"=",AT4:AT602,"Grounded")</f>
        <v/>
      </c>
    </row>
    <row r="649">
      <c r="A649" s="9" t="inlineStr">
        <is>
          <t>Philippines</t>
        </is>
      </c>
      <c r="B649" s="24" t="inlineStr">
        <is>
          <t>network_sum / ceil</t>
        </is>
      </c>
      <c r="C649" s="33">
        <f>SUMIFS(AQ4:AQ602,A4:A602,"Philippines",AS4:AS602,"=",AT4:AT602,"Grounded")</f>
        <v/>
      </c>
      <c r="D649" s="58">
        <f>IF(C649=0,0,CEILING(C649,1))</f>
        <v/>
      </c>
      <c r="E649" s="59">
        <f>SUMIFS(AR4:AR602,A4:A602,"Philippines",AS4:AS602,"=",AT4:AT602,"Grounded")</f>
        <v/>
      </c>
    </row>
    <row r="650">
      <c r="A650" s="9" t="inlineStr">
        <is>
          <t>Bolt Portugal</t>
        </is>
      </c>
      <c r="B650" s="24" t="inlineStr">
        <is>
          <t>grounded</t>
        </is>
      </c>
      <c r="C650" s="24" t="inlineStr">
        <is>
          <t>—</t>
        </is>
      </c>
      <c r="D650" s="58">
        <f>SUMIFS(AO4:AO602,A4:A602,"Bolt Portugal",AS4:AS602,"=",AT4:AT602,"Grounded")</f>
        <v/>
      </c>
      <c r="E650" s="59">
        <f>SUMIFS(AP4:AP602,A4:A602,"Bolt Portugal",AS4:AS602,"=",AT4:AT602,"Grounded")</f>
        <v/>
      </c>
    </row>
    <row r="651">
      <c r="A651" s="9" t="inlineStr">
        <is>
          <t>Qatar</t>
        </is>
      </c>
      <c r="B651" s="24" t="inlineStr">
        <is>
          <t>per_corridor_floor</t>
        </is>
      </c>
      <c r="C651" s="24" t="inlineStr">
        <is>
          <t>—</t>
        </is>
      </c>
      <c r="D651" s="58">
        <f>SUMIFS(AO4:AO602,A4:A602,"Qatar",AS4:AS602,"=",AT4:AT602,"Grounded")</f>
        <v/>
      </c>
      <c r="E651" s="59">
        <f>SUMIFS(AP4:AP602,A4:A602,"Qatar",AS4:AS602,"=",AT4:AT602,"Grounded")</f>
        <v/>
      </c>
    </row>
    <row r="652">
      <c r="A652" s="9" t="inlineStr">
        <is>
          <t>Bolt Romania</t>
        </is>
      </c>
      <c r="B652" s="24" t="inlineStr">
        <is>
          <t>aspirational</t>
        </is>
      </c>
      <c r="C652" s="24" t="inlineStr">
        <is>
          <t>—</t>
        </is>
      </c>
      <c r="D652" s="58">
        <f>SUMIFS(AO4:AO602,A4:A602,"Bolt Romania",AS4:AS602,"=",AT4:AT602,"Grounded")</f>
        <v/>
      </c>
      <c r="E652" s="59">
        <f>SUMIFS(AP4:AP602,A4:A602,"Bolt Romania",AS4:AS602,"=",AT4:AT602,"Grounded")</f>
        <v/>
      </c>
    </row>
    <row r="653">
      <c r="A653" s="9" t="inlineStr">
        <is>
          <t>Saudi – Red Sea</t>
        </is>
      </c>
      <c r="B653" s="24" t="inlineStr">
        <is>
          <t>per_corridor_floor</t>
        </is>
      </c>
      <c r="C653" s="24" t="inlineStr">
        <is>
          <t>—</t>
        </is>
      </c>
      <c r="D653" s="58">
        <f>SUMIFS(AO4:AO602,A4:A602,"Saudi – Red Sea",AS4:AS602,"=",AT4:AT602,"Grounded")</f>
        <v/>
      </c>
      <c r="E653" s="59">
        <f>SUMIFS(AP4:AP602,A4:A602,"Saudi – Red Sea",AS4:AS602,"=",AT4:AT602,"Grounded")</f>
        <v/>
      </c>
    </row>
    <row r="654">
      <c r="A654" s="9" t="inlineStr">
        <is>
          <t>Yango Senegal</t>
        </is>
      </c>
      <c r="B654" s="24" t="inlineStr">
        <is>
          <t>aspirational</t>
        </is>
      </c>
      <c r="C654" s="24" t="inlineStr">
        <is>
          <t>—</t>
        </is>
      </c>
      <c r="D654" s="58">
        <f>SUMIFS(AO4:AO602,A4:A602,"Yango Senegal",AS4:AS602,"=",AT4:AT602,"Grounded")</f>
        <v/>
      </c>
      <c r="E654" s="59">
        <f>SUMIFS(AP4:AP602,A4:A602,"Yango Senegal",AS4:AS602,"=",AT4:AT602,"Grounded")</f>
        <v/>
      </c>
    </row>
    <row r="655">
      <c r="A655" s="9" t="inlineStr">
        <is>
          <t>Yango Congo Brazzaville</t>
        </is>
      </c>
      <c r="B655" s="24" t="inlineStr">
        <is>
          <t>aspirational</t>
        </is>
      </c>
      <c r="C655" s="24" t="inlineStr">
        <is>
          <t>—</t>
        </is>
      </c>
      <c r="D655" s="58">
        <f>SUMIFS(AO4:AO602,A4:A602,"Yango Congo Brazzaville",AS4:AS602,"=",AT4:AT602,"Grounded")</f>
        <v/>
      </c>
      <c r="E655" s="59">
        <f>SUMIFS(AP4:AP602,A4:A602,"Yango Congo Brazzaville",AS4:AS602,"=",AT4:AT602,"Grounded")</f>
        <v/>
      </c>
    </row>
    <row r="656">
      <c r="A656" s="9" t="inlineStr">
        <is>
          <t>Yango Venezuela</t>
        </is>
      </c>
      <c r="B656" s="24" t="inlineStr">
        <is>
          <t>aspirational</t>
        </is>
      </c>
      <c r="C656" s="24" t="inlineStr">
        <is>
          <t>—</t>
        </is>
      </c>
      <c r="D656" s="58">
        <f>SUMIFS(AO4:AO602,A4:A602,"Yango Venezuela",AS4:AS602,"=",AT4:AT602,"Grounded")</f>
        <v/>
      </c>
      <c r="E656" s="59">
        <f>SUMIFS(AP4:AP602,A4:A602,"Yango Venezuela",AS4:AS602,"=",AT4:AT602,"Grounded")</f>
        <v/>
      </c>
    </row>
    <row r="657">
      <c r="A657" s="9" t="inlineStr">
        <is>
          <t>Yango Namibia</t>
        </is>
      </c>
      <c r="B657" s="24" t="inlineStr">
        <is>
          <t>aspirational</t>
        </is>
      </c>
      <c r="C657" s="24" t="inlineStr">
        <is>
          <t>—</t>
        </is>
      </c>
      <c r="D657" s="58">
        <f>SUMIFS(AO4:AO602,A4:A602,"Yango Namibia",AS4:AS602,"=",AT4:AT602,"Grounded")</f>
        <v/>
      </c>
      <c r="E657" s="59">
        <f>SUMIFS(AP4:AP602,A4:A602,"Yango Namibia",AS4:AS602,"=",AT4:AT602,"Grounded")</f>
        <v/>
      </c>
    </row>
    <row r="658">
      <c r="A658" s="9" t="inlineStr">
        <is>
          <t>Yango Cameroon</t>
        </is>
      </c>
      <c r="B658" s="24" t="inlineStr">
        <is>
          <t>aspirational</t>
        </is>
      </c>
      <c r="C658" s="24" t="inlineStr">
        <is>
          <t>—</t>
        </is>
      </c>
      <c r="D658" s="58">
        <f>SUMIFS(AO4:AO602,A4:A602,"Yango Cameroon",AS4:AS602,"=",AT4:AT602,"Grounded")</f>
        <v/>
      </c>
      <c r="E658" s="59">
        <f>SUMIFS(AP4:AP602,A4:A602,"Yango Cameroon",AS4:AS602,"=",AT4:AT602,"Grounded")</f>
        <v/>
      </c>
    </row>
    <row r="659">
      <c r="A659" s="9" t="inlineStr">
        <is>
          <t>Cross-Border</t>
        </is>
      </c>
      <c r="B659" s="24" t="inlineStr">
        <is>
          <t>network_sum / ceil</t>
        </is>
      </c>
      <c r="C659" s="33">
        <f>SUMIFS(AQ4:AQ602,A4:A602,"Cross-Border",AS4:AS602,"=",AT4:AT602,"Grounded")</f>
        <v/>
      </c>
      <c r="D659" s="58">
        <f>IF(C659=0,0,CEILING(C659,1))</f>
        <v/>
      </c>
      <c r="E659" s="59">
        <f>SUMIFS(AR4:AR602,A4:A602,"Cross-Border",AS4:AS602,"=",AT4:AT602,"Grounded")</f>
        <v/>
      </c>
    </row>
    <row r="660">
      <c r="A660" s="9" t="inlineStr">
        <is>
          <t>Bolt Spain</t>
        </is>
      </c>
      <c r="B660" s="24" t="inlineStr">
        <is>
          <t>aspirational</t>
        </is>
      </c>
      <c r="C660" s="24" t="inlineStr">
        <is>
          <t>—</t>
        </is>
      </c>
      <c r="D660" s="58">
        <f>SUMIFS(AO4:AO602,A4:A602,"Bolt Spain",AS4:AS602,"=",AT4:AT602,"Grounded")</f>
        <v/>
      </c>
      <c r="E660" s="59">
        <f>SUMIFS(AP4:AP602,A4:A602,"Bolt Spain",AS4:AS602,"=",AT4:AT602,"Grounded")</f>
        <v/>
      </c>
    </row>
    <row r="661">
      <c r="A661" s="9" t="inlineStr">
        <is>
          <t>Bolt Sweden</t>
        </is>
      </c>
      <c r="B661" s="24" t="inlineStr">
        <is>
          <t>aspirational</t>
        </is>
      </c>
      <c r="C661" s="24" t="inlineStr">
        <is>
          <t>—</t>
        </is>
      </c>
      <c r="D661" s="58">
        <f>SUMIFS(AO4:AO602,A4:A602,"Bolt Sweden",AS4:AS602,"=",AT4:AT602,"Grounded")</f>
        <v/>
      </c>
      <c r="E661" s="59">
        <f>SUMIFS(AP4:AP602,A4:A602,"Bolt Sweden",AS4:AS602,"=",AT4:AT602,"Grounded")</f>
        <v/>
      </c>
    </row>
    <row r="662">
      <c r="A662" s="9" t="inlineStr">
        <is>
          <t>Taiwan</t>
        </is>
      </c>
      <c r="B662" s="24" t="inlineStr">
        <is>
          <t>network_sum / ceil</t>
        </is>
      </c>
      <c r="C662" s="33">
        <f>SUMIFS(AQ4:AQ602,A4:A602,"Taiwan",AS4:AS602,"=",AT4:AT602,"Grounded")</f>
        <v/>
      </c>
      <c r="D662" s="58">
        <f>IF(C662=0,0,CEILING(C662,1))</f>
        <v/>
      </c>
      <c r="E662" s="59">
        <f>SUMIFS(AR4:AR602,A4:A602,"Taiwan",AS4:AS602,"=",AT4:AT602,"Grounded")</f>
        <v/>
      </c>
    </row>
    <row r="663">
      <c r="A663" s="9" t="inlineStr">
        <is>
          <t>Bangkok</t>
        </is>
      </c>
      <c r="B663" s="24" t="inlineStr">
        <is>
          <t>network_sum / ceil</t>
        </is>
      </c>
      <c r="C663" s="33">
        <f>SUMIFS(AQ4:AQ602,A4:A602,"Bangkok",AS4:AS602,"=",AT4:AT602,"Grounded")</f>
        <v/>
      </c>
      <c r="D663" s="58">
        <f>IF(C663=0,0,CEILING(C663,1))</f>
        <v/>
      </c>
      <c r="E663" s="59">
        <f>SUMIFS(AR4:AR602,A4:A602,"Bangkok",AS4:AS602,"=",AT4:AT602,"Grounded")</f>
        <v/>
      </c>
    </row>
    <row r="664">
      <c r="A664" s="9" t="inlineStr">
        <is>
          <t>Koh Samui</t>
        </is>
      </c>
      <c r="B664" s="24" t="inlineStr">
        <is>
          <t>network_sum / ceil</t>
        </is>
      </c>
      <c r="C664" s="33">
        <f>SUMIFS(AQ4:AQ602,A4:A602,"Koh Samui",AS4:AS602,"=",AT4:AT602,"Grounded")</f>
        <v/>
      </c>
      <c r="D664" s="58">
        <f>IF(C664=0,0,CEILING(C664,1))</f>
        <v/>
      </c>
      <c r="E664" s="59">
        <f>SUMIFS(AR4:AR602,A4:A602,"Koh Samui",AS4:AS602,"=",AT4:AT602,"Grounded")</f>
        <v/>
      </c>
    </row>
    <row r="665">
      <c r="A665" s="9" t="inlineStr">
        <is>
          <t>Phuket</t>
        </is>
      </c>
      <c r="B665" s="24" t="inlineStr">
        <is>
          <t>network_sum / ceil</t>
        </is>
      </c>
      <c r="C665" s="33">
        <f>SUMIFS(AQ4:AQ602,A4:A602,"Phuket",AS4:AS602,"=",AT4:AT602,"Grounded")</f>
        <v/>
      </c>
      <c r="D665" s="58">
        <f>IF(C665=0,0,CEILING(C665,1))</f>
        <v/>
      </c>
      <c r="E665" s="59">
        <f>SUMIFS(AR4:AR602,A4:A602,"Phuket",AS4:AS602,"=",AT4:AT602,"Grounded")</f>
        <v/>
      </c>
    </row>
    <row r="666">
      <c r="A666" s="9" t="inlineStr">
        <is>
          <t>Yango Tunisia</t>
        </is>
      </c>
      <c r="B666" s="24" t="inlineStr">
        <is>
          <t>aspirational</t>
        </is>
      </c>
      <c r="C666" s="24" t="inlineStr">
        <is>
          <t>—</t>
        </is>
      </c>
      <c r="D666" s="58">
        <f>SUMIFS(AO4:AO602,A4:A602,"Yango Tunisia",AS4:AS602,"=",AT4:AT602,"Grounded")</f>
        <v/>
      </c>
      <c r="E666" s="59">
        <f>SUMIFS(AP4:AP602,A4:A602,"Yango Tunisia",AS4:AS602,"=",AT4:AT602,"Grounded")</f>
        <v/>
      </c>
    </row>
    <row r="667">
      <c r="A667" s="9" t="inlineStr">
        <is>
          <t>UAE (Careem)</t>
        </is>
      </c>
      <c r="B667" s="24" t="inlineStr">
        <is>
          <t>network_sum / ceil</t>
        </is>
      </c>
      <c r="C667" s="33">
        <f>SUMIFS(AQ4:AQ602,A4:A602,"UAE (Careem)",AS4:AS602,"=",AT4:AT602,"Grounded")</f>
        <v/>
      </c>
      <c r="D667" s="58">
        <f>IF(C667=0,0,CEILING(C667,1))</f>
        <v/>
      </c>
      <c r="E667" s="59">
        <f>SUMIFS(AR4:AR602,A4:A602,"UAE (Careem)",AS4:AS602,"=",AT4:AT602,"Grounded")</f>
        <v/>
      </c>
    </row>
    <row r="668">
      <c r="A668" s="9" t="inlineStr">
        <is>
          <t>Vietnam</t>
        </is>
      </c>
      <c r="B668" s="24" t="inlineStr">
        <is>
          <t>network_sum / ceil</t>
        </is>
      </c>
      <c r="C668" s="33">
        <f>SUMIFS(AQ4:AQ602,A4:A602,"Vietnam",AS4:AS602,"=",AT4:AT602,"Grounded")</f>
        <v/>
      </c>
      <c r="D668" s="58">
        <f>IF(C668=0,0,CEILING(C668,1))</f>
        <v/>
      </c>
      <c r="E668" s="59">
        <f>SUMIFS(AR4:AR602,A4:A602,"Vietnam",AS4:AS602,"=",AT4:AT602,"Grounded")</f>
        <v/>
      </c>
    </row>
    <row r="669">
      <c r="A669" s="14" t="inlineStr">
        <is>
          <t>GROUNDED FLOOR (PUBLISHED)</t>
        </is>
      </c>
      <c r="D669" s="57">
        <f>SUM(D607:D668)</f>
        <v/>
      </c>
      <c r="E669" s="55">
        <f>SUM(E607:E668)</f>
        <v/>
      </c>
    </row>
    <row r="670">
      <c r="A670" s="30" t="inlineStr">
        <is>
          <t>ESTIMATED DEMAND (country-median cascade; held OUT of grounded floor)</t>
        </is>
      </c>
      <c r="D670" s="60">
        <f>SUMIF(AT4:AT602,"Estimated",AO4:AO602)</f>
        <v/>
      </c>
      <c r="E670" s="61">
        <f>SUMIF(AT4:AT602,"Estimated",AP4:AP602)</f>
        <v/>
      </c>
    </row>
    <row r="671">
      <c r="A671" s="30" t="inlineStr">
        <is>
          <t>ESTIMATED UPSIDE (LB-99 modal-shift / experience-upside tiers; held OUT of grounded floor)</t>
        </is>
      </c>
      <c r="D671" s="60">
        <f>SUMIF(AT4:AT602,"Upside tier",AO4:AO602)</f>
        <v/>
      </c>
      <c r="E671" s="61">
        <f>SUMIF(AT4:AT602,"Upside tier",AP4:AP602)</f>
        <v/>
      </c>
    </row>
    <row r="672">
      <c r="A672" s="30" t="inlineStr">
        <is>
          <t>FORWARD SAM (2030-dated; held OUT of grounded floor)</t>
        </is>
      </c>
      <c r="D672" s="60">
        <f>SUMIF(AT4:AT602,"Forward SAM",AO4:AO602)</f>
        <v/>
      </c>
      <c r="E672" s="61">
        <f>SUMIF(AT4:AT602,"Forward SAM",AP4:AP602)</f>
        <v/>
      </c>
    </row>
    <row r="673"/>
    <row r="674">
      <c r="A674" s="62" t="inlineStr">
        <is>
          <t>Held for Quanta-LR (&gt;70nm, roadmap H2 2026+):</t>
        </is>
      </c>
      <c r="C674" s="63" t="inlineStr">
        <is>
          <t>Singapore (Tanah Merah) → Tioman Island (east-coast Malaysia) (108.6nm)</t>
        </is>
      </c>
    </row>
    <row r="675">
      <c r="C675" s="63" t="inlineStr">
        <is>
          <t>Lombok → Komodo / Labuan Bajo (237nm)</t>
        </is>
      </c>
    </row>
    <row r="676">
      <c r="C676" s="63" t="inlineStr">
        <is>
          <t>Komodo / Labuan Bajo → Sumba (Nihi) (90nm)</t>
        </is>
      </c>
    </row>
    <row r="677">
      <c r="C677" s="63" t="inlineStr">
        <is>
          <t>Phuket → Langkawi (cross-border, regional reach) (107nm)</t>
        </is>
      </c>
    </row>
    <row r="678">
      <c r="C678" s="63" t="inlineStr">
        <is>
          <t>Manila → Coron (Palawan) (150nm)</t>
        </is>
      </c>
    </row>
    <row r="679">
      <c r="C679" s="63" t="inlineStr">
        <is>
          <t>Cebu → Boracay (90nm)</t>
        </is>
      </c>
    </row>
    <row r="680">
      <c r="C680" s="63" t="inlineStr">
        <is>
          <t>Karimunjawa Archipelago → Jakarta (223.5nm)</t>
        </is>
      </c>
    </row>
    <row r="681">
      <c r="C681" s="63" t="inlineStr">
        <is>
          <t>Kaohsiung → Magong (Penghu) (73.0nm)</t>
        </is>
      </c>
    </row>
    <row r="682">
      <c r="C682" s="63" t="inlineStr">
        <is>
          <t>Shura Island hub → AMAALA (Triple Bay) (82.9nm)</t>
        </is>
      </c>
    </row>
    <row r="683">
      <c r="C683" s="63" t="inlineStr">
        <is>
          <t>The Red Sea → NEOM (Sindalah) / Jeddah gateway (196.9nm)</t>
        </is>
      </c>
    </row>
    <row r="684">
      <c r="C684" s="63" t="inlineStr">
        <is>
          <t>Jeddah gateway → The Red Sea archipelago (275.5nm)</t>
        </is>
      </c>
    </row>
    <row r="685">
      <c r="C685" s="63" t="inlineStr">
        <is>
          <t>Jeddah → NEOM (Sindalah) (463.9nm)</t>
        </is>
      </c>
    </row>
    <row r="686">
      <c r="C686" s="63" t="inlineStr">
        <is>
          <t>Abu Dhabi → Muscat (360.9nm)</t>
        </is>
      </c>
    </row>
    <row r="687">
      <c r="C687" s="63" t="inlineStr">
        <is>
          <t>Fujairah → Muscat (149.1nm)</t>
        </is>
      </c>
    </row>
    <row r="688">
      <c r="C688" s="63" t="inlineStr">
        <is>
          <t>Marina Mall / Breakwater Marina → Sir Bani Yas Cruise Port (93.1nm)</t>
        </is>
      </c>
    </row>
    <row r="689">
      <c r="C689" s="63" t="inlineStr">
        <is>
          <t>Doha (Lusail Marina) → Manama (Bahrain Financial Harbour) (94.5nm)</t>
        </is>
      </c>
    </row>
    <row r="690">
      <c r="C690" s="63" t="inlineStr">
        <is>
          <t>Papeete (Tahiti) → Bora Bora (Vaitape) (140nm)</t>
        </is>
      </c>
    </row>
    <row r="691">
      <c r="C691" s="63" t="inlineStr">
        <is>
          <t>Moorea (Vaiare) → Huahine (Fare) (80nm)</t>
        </is>
      </c>
    </row>
    <row r="692">
      <c r="C692" s="63" t="inlineStr">
        <is>
          <t>Papeete (Tahiti) → Raiatea (Uturoa) (115nm)</t>
        </is>
      </c>
    </row>
    <row r="693">
      <c r="C693" s="63" t="inlineStr">
        <is>
          <t>Papeete (Tahiti) → Maupiti (Vai'ea) (150nm)</t>
        </is>
      </c>
    </row>
    <row r="694">
      <c r="C694" s="63" t="inlineStr">
        <is>
          <t>Rangiroa → Fakarava (150nm)</t>
        </is>
      </c>
    </row>
    <row r="695">
      <c r="C695" s="63" t="inlineStr">
        <is>
          <t>Papeete (Tahiti) → Rangiroa (Avatoru) (190nm)</t>
        </is>
      </c>
    </row>
    <row r="696">
      <c r="C696" s="63" t="inlineStr">
        <is>
          <t>Mykonos → Santorini (Thira) (75nm)</t>
        </is>
      </c>
    </row>
    <row r="697">
      <c r="C697" s="63" t="inlineStr">
        <is>
          <t>Monaco → Portofino (85.0nm)</t>
        </is>
      </c>
    </row>
    <row r="698">
      <c r="C698" s="63" t="inlineStr">
        <is>
          <t>Tallinn → Stockholm (210nm)</t>
        </is>
      </c>
    </row>
    <row r="699">
      <c r="C699" s="63" t="inlineStr">
        <is>
          <t>Larnaca → Jounieh / Beirut (Lebanon) (115nm)</t>
        </is>
      </c>
    </row>
    <row r="700">
      <c r="C700" s="63" t="inlineStr">
        <is>
          <t>Stockholm (Vartahamnen / Stadsgarden) → Mariehamn (Aland) (75nm)</t>
        </is>
      </c>
    </row>
    <row r="701">
      <c r="C701" s="63" t="inlineStr">
        <is>
          <t>Palma de Mallorca → Ibiza Town (75.0nm)</t>
        </is>
      </c>
    </row>
    <row r="702">
      <c r="C702" s="63" t="inlineStr">
        <is>
          <t>Palma de Mallorca → Maó (Menorca) (100nm)</t>
        </is>
      </c>
    </row>
    <row r="703">
      <c r="C703" s="63" t="inlineStr">
        <is>
          <t>Dénia → Palma de Mallorca (130nm)</t>
        </is>
      </c>
    </row>
    <row r="704">
      <c r="C704" s="63" t="inlineStr">
        <is>
          <t>Barcelona → Palma de Mallorca (115nm)</t>
        </is>
      </c>
    </row>
    <row r="705">
      <c r="C705" s="63" t="inlineStr">
        <is>
          <t>Barcelona → Ibiza Town (Eivissa) (140nm)</t>
        </is>
      </c>
    </row>
    <row r="706">
      <c r="C706" s="63" t="inlineStr">
        <is>
          <t>Helsinki → Stockholm (210nm)</t>
        </is>
      </c>
    </row>
    <row r="707">
      <c r="C707" s="63" t="inlineStr">
        <is>
          <t>Haifa → Limassol (Cyprus) (147.1nm)</t>
        </is>
      </c>
    </row>
    <row r="708">
      <c r="C708" s="63" t="inlineStr">
        <is>
          <t>Beirut / Jounieh → Larnaca (Cyprus) (110.5nm)</t>
        </is>
      </c>
    </row>
    <row r="709">
      <c r="C709" s="63" t="inlineStr">
        <is>
          <t>Kuryk (Port of Kuryk) → Baku (Alat — Baku International Sea Port, Azerbaijan) (215nm)</t>
        </is>
      </c>
    </row>
    <row r="710">
      <c r="C710" s="63" t="inlineStr">
        <is>
          <t>Aktau (Aktau Sea Port) → Baku (Alat, Azerbaijan) (230nm)</t>
        </is>
      </c>
    </row>
    <row r="711">
      <c r="C711" s="63" t="inlineStr">
        <is>
          <t>Baku (Alat — Baku International Sea Port) → Turkmenbashi (150nm)</t>
        </is>
      </c>
    </row>
    <row r="712">
      <c r="C712" s="63" t="inlineStr">
        <is>
          <t>Baku (Alat — Baku International Sea Port) → Aktau / Kuryk (Kazakhstan) (250nm)</t>
        </is>
      </c>
    </row>
    <row r="713">
      <c r="C713" s="63" t="inlineStr">
        <is>
          <t>Karachi (Keamari) → Gwadar (255nm)</t>
        </is>
      </c>
    </row>
    <row r="714">
      <c r="C714" s="63" t="inlineStr">
        <is>
          <t>Dakar → Saint-Louis (du Senegal) (90nm)</t>
        </is>
      </c>
    </row>
    <row r="715">
      <c r="C715" s="63" t="inlineStr">
        <is>
          <t>Dakar (Gare maritime / Port) → Ziguinchor (Port de Ziguinchor, Casamance) (200nm)</t>
        </is>
      </c>
    </row>
    <row r="716">
      <c r="C716" s="63" t="inlineStr">
        <is>
          <t>Nador (Beni Ensar) → Almeria (Spain) (92nm)</t>
        </is>
      </c>
    </row>
    <row r="717">
      <c r="C717" s="63" t="inlineStr">
        <is>
          <t>Tunis (La Goulette) → Palermo (Sicily, Italy) (170nm)</t>
        </is>
      </c>
    </row>
    <row r="718">
      <c r="C718" s="63" t="inlineStr">
        <is>
          <t>Goa → Mumbai (213.3nm)</t>
        </is>
      </c>
    </row>
    <row r="719">
      <c r="C719" s="63" t="inlineStr">
        <is>
          <t>Abu Dhabi → Manama (264.1nm)</t>
        </is>
      </c>
    </row>
    <row r="720">
      <c r="C720" s="63" t="inlineStr">
        <is>
          <t>Manama → Doha (98.8nm)</t>
        </is>
      </c>
    </row>
    <row r="721">
      <c r="C721" s="63" t="inlineStr">
        <is>
          <t>Manama → Dubai (290.6nm)</t>
        </is>
      </c>
    </row>
    <row r="722">
      <c r="C722" s="63" t="inlineStr">
        <is>
          <t>Ras Al Khaimah → Abu Dhabi (112.0nm)</t>
        </is>
      </c>
    </row>
    <row r="723">
      <c r="C723" s="63" t="inlineStr">
        <is>
          <t>Ras Al Khaimah → Doha (240.7nm)</t>
        </is>
      </c>
    </row>
    <row r="724">
      <c r="C724" s="63" t="inlineStr">
        <is>
          <t>Ras Al Khaimah → Manama (289.7nm)</t>
        </is>
      </c>
    </row>
    <row r="725">
      <c r="C725" s="63" t="inlineStr">
        <is>
          <t>Ras Al Khaimah → Muscat (263.5nm)</t>
        </is>
      </c>
    </row>
    <row r="726">
      <c r="C726" s="63" t="inlineStr">
        <is>
          <t>Chennai Port WQIV Cruise Terminal → Cuddalore Port (90.0nm)</t>
        </is>
      </c>
    </row>
    <row r="727">
      <c r="C727" s="63" t="inlineStr">
        <is>
          <t>Chennai Port WQIV Cruise Terminal → Puducherry Port (76.6nm)</t>
        </is>
      </c>
    </row>
    <row r="728">
      <c r="C728" s="63" t="inlineStr">
        <is>
          <t>Port d'Oran → Mostaganem port (81.7nm)</t>
        </is>
      </c>
    </row>
    <row r="729">
      <c r="C729" s="63" t="inlineStr">
        <is>
          <t>Port de Béjaïa → Port d'Alger (113.8nm)</t>
        </is>
      </c>
    </row>
    <row r="730">
      <c r="C730" s="63" t="inlineStr">
        <is>
          <t>Padang Bai (Bali east — Pioneer II Bali↔Lombok pointer, NOT LBJ) → Meruorah Komodo Labuan Bajo (261.6nm)</t>
        </is>
      </c>
    </row>
    <row r="731">
      <c r="C731" s="63" t="inlineStr">
        <is>
          <t>Komodo / Labuan Bajo / Flores / Sumba → Sumba (82.9nm)</t>
        </is>
      </c>
    </row>
    <row r="732">
      <c r="C732" s="63" t="inlineStr">
        <is>
          <t>Marina Labuan Bajo → Maumere Port (Lorenz Say) — Kelimutu access (153.3nm)</t>
        </is>
      </c>
    </row>
    <row r="733">
      <c r="C733" s="63" t="inlineStr">
        <is>
          <t>Raja Ampat → Misool (114.6nm)</t>
        </is>
      </c>
    </row>
    <row r="734">
      <c r="C734" s="63" t="inlineStr">
        <is>
          <t>Lima (Costa Verde) → Paracas (El Chaco) (112.0nm)</t>
        </is>
      </c>
    </row>
    <row r="735">
      <c r="C735" s="63" t="inlineStr">
        <is>
          <t>La Guaira Port → Los Roques (80.0nm)</t>
        </is>
      </c>
    </row>
    <row r="736">
      <c r="C736" s="63" t="inlineStr">
        <is>
          <t>Kribi → Douala (78.0nm)</t>
        </is>
      </c>
    </row>
  </sheetData>
  <mergeCells count="2">
    <mergeCell ref="A605:L6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0.2129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0.2129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2378277232</v>
      </c>
    </row>
    <row r="31">
      <c r="A31" s="13" t="inlineStr">
        <is>
          <t>SOM floor (published)</t>
        </is>
      </c>
      <c r="C31" s="68" t="n">
        <v>506291137</v>
      </c>
    </row>
    <row r="32">
      <c r="A32" s="13" t="inlineStr">
        <is>
          <t>SAM @ full network (MID)</t>
        </is>
      </c>
      <c r="C32" s="68" t="n">
        <v>5244101297</v>
      </c>
    </row>
    <row r="33">
      <c r="A33" s="13" t="inlineStr">
        <is>
          <t>TAM journey GMV (MID)</t>
        </is>
      </c>
      <c r="C33" s="68" t="n">
        <v>62929215559</v>
      </c>
    </row>
    <row r="34">
      <c r="A34" s="13" t="inlineStr">
        <is>
          <t>Platform rev on Navier (MID)</t>
        </is>
      </c>
      <c r="C34" s="68" t="n">
        <v>2831814700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2026-07-07T03:03:32Z</dcterms:created>
  <dcterms:modified xsi:type="dcterms:W3CDTF">2026-07-07T03:03:47Z</dcterms:modified>
</cp:coreProperties>
</file>