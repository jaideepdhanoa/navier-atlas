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opex'!$A$4:$G$58</definedName>
    <definedName name="som_floor_fleet">'Corridor economics'!$D$737</definedName>
    <definedName name="som_floor_rev">'Corridor economics'!$E$737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166" fontId="0" fillId="9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81 / 26</t>
        </is>
      </c>
      <c r="D4" s="6" t="n">
        <v>455</v>
      </c>
      <c r="E4" s="7" t="n">
        <v>86933836</v>
      </c>
      <c r="F4" s="6" t="n">
        <v>167</v>
      </c>
      <c r="G4" s="7" t="n">
        <v>20972566</v>
      </c>
      <c r="H4" s="6" t="n">
        <v>622</v>
      </c>
      <c r="I4" s="7" t="n">
        <v>107906402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158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21 / 113</t>
        </is>
      </c>
      <c r="D7" s="11" t="n">
        <v>82</v>
      </c>
      <c r="E7" s="12" t="n">
        <v>25000568</v>
      </c>
      <c r="F7" s="11" t="n">
        <v>56</v>
      </c>
      <c r="G7" s="12" t="n">
        <v>0</v>
      </c>
      <c r="H7" s="11" t="n">
        <v>138</v>
      </c>
      <c r="I7" s="12" t="n">
        <v>25000568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DiDi (Mexico + Brazil calibration)</t>
        </is>
      </c>
      <c r="B8" s="5">
        <f>HYPERLINK("https://docs.google.com/spreadsheets/d/1LY0Vp7FskgDDnEixkrEUCH0m-A_pYd2YCNuq3LF8ESM/edit","open ↗")</f>
        <v/>
      </c>
      <c r="C8" s="6" t="inlineStr">
        <is>
          <t>15 / 9</t>
        </is>
      </c>
      <c r="D8" s="6" t="n">
        <v>421</v>
      </c>
      <c r="E8" s="7" t="n">
        <v>106141738</v>
      </c>
      <c r="F8" s="6" t="n">
        <v>0</v>
      </c>
      <c r="G8" s="7" t="n">
        <v>0</v>
      </c>
      <c r="H8" s="6" t="n">
        <v>421</v>
      </c>
      <c r="I8" s="7" t="n">
        <v>106141738</v>
      </c>
      <c r="J8" s="8" t="inlineStr">
        <is>
          <t>Mexico + Brazil calibration — three exact Caribbean anchors and four exact Rio lines; unsupported Pacific and Colombia demand held null.</t>
        </is>
      </c>
    </row>
    <row r="9" ht="42" customHeight="1">
      <c r="A9" s="9" t="inlineStr">
        <is>
          <t>Uber</t>
        </is>
      </c>
      <c r="B9" s="10">
        <f>HYPERLINK("https://docs.google.com/spreadsheets/d/19VtRN0U6Gggq_RQlRuSxmiIxnp2KgGEIvXOW72RQHIQ/edit","open ↗")</f>
        <v/>
      </c>
      <c r="C9" s="11" t="inlineStr">
        <is>
          <t>0 / 0</t>
        </is>
      </c>
      <c r="D9" s="11" t="n">
        <v>0</v>
      </c>
      <c r="E9" s="12" t="n">
        <v>0</v>
      </c>
      <c r="F9" s="11" t="n">
        <v>0</v>
      </c>
      <c r="G9" s="12" t="n">
        <v>0</v>
      </c>
      <c r="H9" s="11" t="n">
        <v>0</v>
      </c>
      <c r="I9" s="12" t="n">
        <v>0</v>
      </c>
      <c r="J9" s="13" t="inlineStr">
        <is>
          <t>Global mobility rollup; MENA + Med + Hawaii + LatAm scoped markets.</t>
        </is>
      </c>
    </row>
    <row r="10" ht="42" customHeight="1">
      <c r="A10" s="4" t="inlineStr">
        <is>
          <t>Rapido (India)</t>
        </is>
      </c>
      <c r="B10" s="5">
        <f>HYPERLINK("https://docs.google.com/spreadsheets/d/1ujRCwCKNFcfUbVL5B312fjcYmtvsDVhBtK2hsTHo-qA/edit","open ↗")</f>
        <v/>
      </c>
      <c r="C10" s="6" t="inlineStr">
        <is>
          <t>79 / 10</t>
        </is>
      </c>
      <c r="D10" s="6" t="n">
        <v>91</v>
      </c>
      <c r="E10" s="7" t="n">
        <v>16047967</v>
      </c>
      <c r="F10" s="6" t="n">
        <v>0</v>
      </c>
      <c r="G10" s="7" t="n">
        <v>0</v>
      </c>
      <c r="H10" s="6" t="n">
        <v>91</v>
      </c>
      <c r="I10" s="7" t="n">
        <v>16047967</v>
      </c>
      <c r="J10" s="8" t="inlineStr">
        <is>
          <t>PR #58 India — Mumbai/Goa/Kerala/Andaman sealed spine; ridehail archetype.</t>
        </is>
      </c>
    </row>
    <row r="11" ht="42" customHeight="1">
      <c r="A11" s="9" t="inlineStr">
        <is>
          <t>Ola (India)</t>
        </is>
      </c>
      <c r="B11" s="10">
        <f>HYPERLINK("https://docs.google.com/spreadsheets/d/1pNwq_GQd2Fdem8O4o2GNNoKxBPxXOPDh1qfbhGFGkaQ/edit","open ↗")</f>
        <v/>
      </c>
      <c r="C11" s="11" t="inlineStr">
        <is>
          <t>79 / 10</t>
        </is>
      </c>
      <c r="D11" s="11" t="n">
        <v>91</v>
      </c>
      <c r="E11" s="12" t="n">
        <v>16047967</v>
      </c>
      <c r="F11" s="11" t="n">
        <v>0</v>
      </c>
      <c r="G11" s="12" t="n">
        <v>0</v>
      </c>
      <c r="H11" s="11" t="n">
        <v>91</v>
      </c>
      <c r="I11" s="12" t="n">
        <v>16047967</v>
      </c>
      <c r="J11" s="13" t="inlineStr">
        <is>
          <t>PR #58 India — same sealed spine as Rapido; ridehail archetype.</t>
        </is>
      </c>
    </row>
    <row r="12" ht="42" customHeight="1">
      <c r="A12" s="4" t="inlineStr">
        <is>
          <t>Noon (UAE)</t>
        </is>
      </c>
      <c r="B12" s="5">
        <f>HYPERLINK("https://docs.google.com/spreadsheets/d/1v0ywhNFk_fA1JRVhizWlz89RKgQWlID9RD3LfBhVB2Y/edit","open ↗")</f>
        <v/>
      </c>
      <c r="C12" s="6" t="inlineStr">
        <is>
          <t>41 / 7</t>
        </is>
      </c>
      <c r="D12" s="6" t="n">
        <v>23</v>
      </c>
      <c r="E12" s="7" t="n">
        <v>15915500</v>
      </c>
      <c r="F12" s="6" t="n">
        <v>4</v>
      </c>
      <c r="G12" s="7" t="n">
        <v>0</v>
      </c>
      <c r="H12" s="6" t="n">
        <v>27</v>
      </c>
      <c r="I12" s="7" t="n">
        <v>15915500</v>
      </c>
      <c r="J12" s="8" t="inlineStr">
        <is>
          <t>PR #58 UAE — 12 sealed super_app corridors; Careem-style demand ladder.</t>
        </is>
      </c>
    </row>
    <row r="13" ht="42" customHeight="1">
      <c r="A13" s="9" t="inlineStr">
        <is>
          <t>JIH Global (Maldives)</t>
        </is>
      </c>
      <c r="B13" s="10">
        <f>HYPERLINK("https://docs.google.com/spreadsheets/d/136mve2Z-c2FRZm2cZZ3of9jk85kpEkpzf-ZIC9dzXJU/edit","open ↗")</f>
        <v/>
      </c>
      <c r="C13" s="11" t="inlineStr">
        <is>
          <t>38 / 5</t>
        </is>
      </c>
      <c r="D13" s="11" t="n">
        <v>59</v>
      </c>
      <c r="E13" s="12" t="n">
        <v>83009512</v>
      </c>
      <c r="F13" s="11" t="n">
        <v>0</v>
      </c>
      <c r="G13" s="12" t="n">
        <v>0</v>
      </c>
      <c r="H13" s="11" t="n">
        <v>59</v>
      </c>
      <c r="I13" s="12" t="n">
        <v>83009512</v>
      </c>
      <c r="J13" s="13" t="inlineStr">
        <is>
          <t>Maldives 43 corridors geometry-bound; network-sum captive fleet.</t>
        </is>
      </c>
    </row>
    <row r="14" ht="42" customHeight="1">
      <c r="A14" s="4" t="inlineStr">
        <is>
          <t>Qatar</t>
        </is>
      </c>
      <c r="B14" s="5">
        <f>HYPERLINK("https://docs.google.com/spreadsheets/d/1v0Fo-QDKVIEiMzzYUbrugCUH1cBJdLKD9URG1R16S0Q/edit","open ↗")</f>
        <v/>
      </c>
      <c r="C14" s="6" t="inlineStr">
        <is>
          <t>1 / 7</t>
        </is>
      </c>
      <c r="D14" s="6" t="n">
        <v>6</v>
      </c>
      <c r="E14" s="7" t="n">
        <v>1939872</v>
      </c>
      <c r="F14" s="6" t="n">
        <v>0</v>
      </c>
      <c r="G14" s="7" t="n">
        <v>0</v>
      </c>
      <c r="H14" s="6" t="n">
        <v>6</v>
      </c>
      <c r="I14" s="7" t="n">
        <v>1939872</v>
      </c>
      <c r="J14" s="8" t="inlineStr">
        <is>
          <t>Doha 4/4 in-range corridors bound. Banana Island captive carries floor.</t>
        </is>
      </c>
    </row>
    <row r="15" ht="42" customHeight="1">
      <c r="A15" s="9" t="inlineStr">
        <is>
          <t>Saudi / Red Sea (PIF)</t>
        </is>
      </c>
      <c r="B15" s="10">
        <f>HYPERLINK("https://docs.google.com/spreadsheets/d/1K75Ln5YKgKkOBKnprAoVGu4KeuO83Dx2TGzQ-1o45Ig/edit","open ↗")</f>
        <v/>
      </c>
      <c r="C15" s="11" t="inlineStr">
        <is>
          <t>0 / 1</t>
        </is>
      </c>
      <c r="D15" s="11" t="n">
        <v>0</v>
      </c>
      <c r="E15" s="12" t="n">
        <v>0</v>
      </c>
      <c r="F15" s="11" t="n">
        <v>5</v>
      </c>
      <c r="G15" s="12" t="n">
        <v>0</v>
      </c>
      <c r="H15" s="11" t="n">
        <v>5</v>
      </c>
      <c r="I15" s="12" t="n">
        <v>0</v>
      </c>
      <c r="J15" s="13" t="inlineStr">
        <is>
          <t>Low-confidence / largely 2030-dated. Greenfield OFF. Treat as forward.</t>
        </is>
      </c>
    </row>
    <row r="16" ht="42" customHeight="1">
      <c r="A16" s="4" t="inlineStr">
        <is>
          <t>Red Sea Global</t>
        </is>
      </c>
      <c r="B16" s="5">
        <f>HYPERLINK("https://docs.google.com/spreadsheets/d/1QbF7zSl-5CllYXXLRJvvKJXXBpOu8Cnl97X1rO5J77c/edit","open ↗")</f>
        <v/>
      </c>
      <c r="C16" s="6" t="inlineStr">
        <is>
          <t>3 / 2</t>
        </is>
      </c>
      <c r="D16" s="6" t="n">
        <v>199</v>
      </c>
      <c r="E16" s="7" t="n">
        <v>162071140</v>
      </c>
      <c r="F16" s="6" t="n">
        <v>8</v>
      </c>
      <c r="G16" s="7" t="n">
        <v>2116224</v>
      </c>
      <c r="H16" s="6" t="n">
        <v>207</v>
      </c>
      <c r="I16" s="7" t="n">
        <v>164187364</v>
      </c>
      <c r="J16" s="8" t="inlineStr">
        <is>
          <t>Resort-operator corridors. Small, grounded subset.</t>
        </is>
      </c>
    </row>
    <row r="17" ht="42" customHeight="1">
      <c r="A17" s="9" t="inlineStr">
        <is>
          <t>Constance (Maldives)</t>
        </is>
      </c>
      <c r="B17" s="10">
        <f>HYPERLINK("https://docs.google.com/spreadsheets/d/1Lhz_6nh3HnCK8L7tzr4HhmNEtfnXx2smecYPNQSORl0/edit","open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Four Seasons (Maldives)</t>
        </is>
      </c>
      <c r="B18" s="5">
        <f>HYPERLINK("https://docs.google.com/spreadsheets/d/1Flk6PfRgCNdSGlP49lf1KxXaoR4qdlLcs1O8YA72gcc/edit","open ↗")</f>
        <v/>
      </c>
      <c r="C18" s="6" t="inlineStr">
        <is>
          <t>1 / 1</t>
        </is>
      </c>
      <c r="D18" s="6" t="n">
        <v>1</v>
      </c>
      <c r="E18" s="7" t="n">
        <v>1384740</v>
      </c>
      <c r="F18" s="6" t="n">
        <v>0</v>
      </c>
      <c r="G18" s="7" t="n">
        <v>0</v>
      </c>
      <c r="H18" s="6" t="n">
        <v>1</v>
      </c>
      <c r="I18" s="7" t="n">
        <v>1384740</v>
      </c>
      <c r="J18" s="8" t="inlineStr">
        <is>
          <t>Captive resort-transfer; network-sum captive fleet. Greenfield OFF.</t>
        </is>
      </c>
    </row>
    <row r="19" ht="42" customHeight="1">
      <c r="A19" s="9" t="inlineStr">
        <is>
          <t>Adani Ports</t>
        </is>
      </c>
      <c r="B19" s="10">
        <f>HYPERLINK("https://docs.google.com/spreadsheets/d/1nHiCS0crF7zdFvpZ5GhRjApknsvFDerAjIlRfB4kW5w/edit","open ↗")</f>
        <v/>
      </c>
      <c r="C19" s="11" t="inlineStr">
        <is>
          <t>99 / 0</t>
        </is>
      </c>
      <c r="D19" s="11" t="n">
        <v>103</v>
      </c>
      <c r="E19" s="12" t="n">
        <v>18179287</v>
      </c>
      <c r="F19" s="11" t="n">
        <v>0</v>
      </c>
      <c r="G19" s="12" t="n">
        <v>0</v>
      </c>
      <c r="H19" s="11" t="n">
        <v>103</v>
      </c>
      <c r="I19" s="12" t="n">
        <v>18179285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Airasia Move</t>
        </is>
      </c>
      <c r="B20" s="5">
        <f>HYPERLINK("https://docs.google.com/spreadsheets/d/1FhINXFACrLo0ebRSUL9m0cvSEmVo3sFoKYnttlGgxEw/edit","open ↗")</f>
        <v/>
      </c>
      <c r="C20" s="6" t="inlineStr">
        <is>
          <t>0 / 0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Bahrain Motc</t>
        </is>
      </c>
      <c r="B21" s="10">
        <f>HYPERLINK("https://docs.google.com/spreadsheets/d/1OdzEYePq4dBcRZrW3UbjYHuy4cMrmKR6buYZTccMNuY/edit","open ↗")</f>
        <v/>
      </c>
      <c r="C21" s="11" t="inlineStr">
        <is>
          <t>2 / 0</t>
        </is>
      </c>
      <c r="D21" s="11" t="n">
        <v>1</v>
      </c>
      <c r="E21" s="12" t="n">
        <v>126000</v>
      </c>
      <c r="F21" s="11" t="n">
        <v>0</v>
      </c>
      <c r="G21" s="12" t="n">
        <v>0</v>
      </c>
      <c r="H21" s="11" t="n">
        <v>1</v>
      </c>
      <c r="I21" s="12" t="n">
        <v>126000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</t>
        </is>
      </c>
      <c r="B22" s="5">
        <f>HYPERLINK("https://docs.google.com/spreadsheets/d/1J9rb-rAXkLnJPrKO8WhG7bLkofG-IB5En6hrjnwDyt0/edit","open ↗")</f>
        <v/>
      </c>
      <c r="C22" s="6" t="inlineStr">
        <is>
          <t>7 / 1</t>
        </is>
      </c>
      <c r="D22" s="6" t="n">
        <v>37</v>
      </c>
      <c r="E22" s="7" t="n">
        <v>14198258</v>
      </c>
      <c r="F22" s="6" t="n">
        <v>1</v>
      </c>
      <c r="G22" s="7" t="n">
        <v>464156</v>
      </c>
      <c r="H22" s="6" t="n">
        <v>38</v>
      </c>
      <c r="I22" s="7" t="n">
        <v>14662414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Caribbean Mobility</t>
        </is>
      </c>
      <c r="B23" s="10">
        <f>HYPERLINK("https://docs.google.com/spreadsheets/d/1J9rb-rAXkLnJPrKO8WhG7bLkofG-IB5En6hrjnwDyt0/edit","open ↗")</f>
        <v/>
      </c>
      <c r="C23" s="11" t="inlineStr">
        <is>
          <t>0 / 4</t>
        </is>
      </c>
      <c r="D23" s="11" t="n">
        <v>0</v>
      </c>
      <c r="E23" s="12" t="n">
        <v>0</v>
      </c>
      <c r="F23" s="11" t="n">
        <v>0</v>
      </c>
      <c r="G23" s="12" t="n">
        <v>0</v>
      </c>
      <c r="H23" s="11" t="n">
        <v>0</v>
      </c>
      <c r="I23" s="12" t="n">
        <v>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Centara Thailand</t>
        </is>
      </c>
      <c r="B24" s="5">
        <f>HYPERLINK("https://docs.google.com/spreadsheets/d/1881eaYOCQrNFgIf08ibNemTdDAow7uvYimFC4bKqUy0/edit","open ↗")</f>
        <v/>
      </c>
      <c r="C24" s="6" t="inlineStr">
        <is>
          <t>2 / 5</t>
        </is>
      </c>
      <c r="D24" s="6" t="n">
        <v>2</v>
      </c>
      <c r="E24" s="7" t="n">
        <v>877734</v>
      </c>
      <c r="F24" s="6" t="n">
        <v>0</v>
      </c>
      <c r="G24" s="7" t="n">
        <v>0</v>
      </c>
      <c r="H24" s="6" t="n">
        <v>2</v>
      </c>
      <c r="I24" s="7" t="n">
        <v>877734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Dott</t>
        </is>
      </c>
      <c r="B25" s="10">
        <f>HYPERLINK("https://docs.google.com/spreadsheets/d/1gftAei5KtVQXAEOm-j0Z2nm7pjm_74vDb3eynmkIm84/edit","open ↗")</f>
        <v/>
      </c>
      <c r="C25" s="11" t="inlineStr">
        <is>
          <t>38 / 92</t>
        </is>
      </c>
      <c r="D25" s="11" t="n">
        <v>197</v>
      </c>
      <c r="E25" s="12" t="n">
        <v>72260665</v>
      </c>
      <c r="F25" s="11" t="n">
        <v>94</v>
      </c>
      <c r="G25" s="12" t="n">
        <v>8652270</v>
      </c>
      <c r="H25" s="11" t="n">
        <v>291</v>
      </c>
      <c r="I25" s="12" t="n">
        <v>80912935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Gojek</t>
        </is>
      </c>
      <c r="B26" s="5">
        <f>HYPERLINK("https://docs.google.com/spreadsheets/d/1OghNZhtCqeHinxnYK9U_Bev_ZkD6eklWPk8yfk4_UF4/edit","open ↗")</f>
        <v/>
      </c>
      <c r="C26" s="6" t="inlineStr">
        <is>
          <t>0 / 0</t>
        </is>
      </c>
      <c r="D26" s="6" t="n">
        <v>0</v>
      </c>
      <c r="E26" s="7" t="n">
        <v>0</v>
      </c>
      <c r="F26" s="6" t="n">
        <v>0</v>
      </c>
      <c r="G26" s="7" t="n">
        <v>0</v>
      </c>
      <c r="H26" s="6" t="n">
        <v>0</v>
      </c>
      <c r="I26" s="7" t="n">
        <v>0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Grab Thailand</t>
        </is>
      </c>
      <c r="B27" s="10">
        <f>HYPERLINK("https://docs.google.com/spreadsheets/d/1ACYTZar0odZCASzKUwo1A4rXGsCsz6Luec6Cu3vQ20w/edit","open ↗")</f>
        <v/>
      </c>
      <c r="C27" s="11" t="inlineStr">
        <is>
          <t>0 / 0</t>
        </is>
      </c>
      <c r="D27" s="11" t="n">
        <v>0</v>
      </c>
      <c r="E27" s="12" t="n">
        <v>0</v>
      </c>
      <c r="F27" s="11" t="n">
        <v>0</v>
      </c>
      <c r="G27" s="12" t="n">
        <v>0</v>
      </c>
      <c r="H27" s="11" t="n">
        <v>0</v>
      </c>
      <c r="I27" s="12" t="n">
        <v>0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Indrive</t>
        </is>
      </c>
      <c r="B28" s="5">
        <f>HYPERLINK("https://docs.google.com/spreadsheets/d/1xo2a-XalddB6kRiLKzB7RIrV-u29LJmt3N2zc7ik3_k/edit","open ↗")</f>
        <v/>
      </c>
      <c r="C28" s="6" t="inlineStr">
        <is>
          <t>14 / 4</t>
        </is>
      </c>
      <c r="D28" s="6" t="n">
        <v>353</v>
      </c>
      <c r="E28" s="7" t="n">
        <v>85348696</v>
      </c>
      <c r="F28" s="6" t="n">
        <v>0</v>
      </c>
      <c r="G28" s="7" t="n">
        <v>0</v>
      </c>
      <c r="H28" s="6" t="n">
        <v>353</v>
      </c>
      <c r="I28" s="7" t="n">
        <v>85348696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Kakao Mobility</t>
        </is>
      </c>
      <c r="B29" s="10">
        <f>HYPERLINK("https://docs.google.com/spreadsheets/d/1C_jH6AtKlNvO3VmwxjVYW5kh2Y7WdvSKtvRwiMMHBWM/edit","open ↗")</f>
        <v/>
      </c>
      <c r="C29" s="11" t="inlineStr">
        <is>
          <t>39 / 0</t>
        </is>
      </c>
      <c r="D29" s="11" t="n">
        <v>74</v>
      </c>
      <c r="E29" s="12" t="n">
        <v>10453765</v>
      </c>
      <c r="F29" s="11" t="n">
        <v>0</v>
      </c>
      <c r="G29" s="12" t="n">
        <v>0</v>
      </c>
      <c r="H29" s="11" t="n">
        <v>74</v>
      </c>
      <c r="I29" s="12" t="n">
        <v>10453765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Line Man Wongnai</t>
        </is>
      </c>
      <c r="B30" s="5">
        <f>HYPERLINK("https://docs.google.com/spreadsheets/d/1LU9Silplz2FxeHIhhQKs-h0RHBCVqKobI95VotiBCUk/edit","open ↗")</f>
        <v/>
      </c>
      <c r="C30" s="6" t="inlineStr">
        <is>
          <t>0 / 0</t>
        </is>
      </c>
      <c r="D30" s="6" t="n">
        <v>0</v>
      </c>
      <c r="E30" s="7" t="n">
        <v>0</v>
      </c>
      <c r="F30" s="6" t="n">
        <v>0</v>
      </c>
      <c r="G30" s="7" t="n">
        <v>0</v>
      </c>
      <c r="H30" s="6" t="n">
        <v>0</v>
      </c>
      <c r="I30" s="7" t="n">
        <v>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Marti</t>
        </is>
      </c>
      <c r="B31" s="10">
        <f>HYPERLINK("https://docs.google.com/spreadsheets/d/1oFp0Qz_g7xwEGHamv9IqUfWiaF-h42SSK0dL7UNToAc/edit","open ↗")</f>
        <v/>
      </c>
      <c r="C31" s="11" t="inlineStr">
        <is>
          <t>6 / 21</t>
        </is>
      </c>
      <c r="D31" s="11" t="n">
        <v>83</v>
      </c>
      <c r="E31" s="12" t="n">
        <v>16322638</v>
      </c>
      <c r="F31" s="11" t="n">
        <v>124</v>
      </c>
      <c r="G31" s="12" t="n">
        <v>0</v>
      </c>
      <c r="H31" s="11" t="n">
        <v>207</v>
      </c>
      <c r="I31" s="12" t="n">
        <v>16322638</v>
      </c>
      <c r="J31" s="13" t="inlineStr">
        <is>
          <t>Unit-economics transparent sheet — see agg rollup when present.</t>
        </is>
      </c>
    </row>
    <row r="32" ht="42" customHeight="1">
      <c r="A32" s="4" t="inlineStr">
        <is>
          <t>Naver</t>
        </is>
      </c>
      <c r="B32" s="5">
        <f>HYPERLINK("https://docs.google.com/spreadsheets/d/1Xv-qS4fMtB2QQPWqi0XAUTg_oas591c12jwhULeEndI/edit","open ↗")</f>
        <v/>
      </c>
      <c r="C32" s="6" t="inlineStr">
        <is>
          <t>39 / 0</t>
        </is>
      </c>
      <c r="D32" s="6" t="n">
        <v>74</v>
      </c>
      <c r="E32" s="7" t="n">
        <v>10453765</v>
      </c>
      <c r="F32" s="6" t="n">
        <v>0</v>
      </c>
      <c r="G32" s="7" t="n">
        <v>0</v>
      </c>
      <c r="H32" s="6" t="n">
        <v>74</v>
      </c>
      <c r="I32" s="7" t="n">
        <v>10453765</v>
      </c>
      <c r="J32" s="8" t="inlineStr">
        <is>
          <t>Unit-economics transparent sheet — see agg rollup when present.</t>
        </is>
      </c>
    </row>
    <row r="33" ht="42" customHeight="1">
      <c r="A33" s="9" t="inlineStr">
        <is>
          <t>Ocean Whisperer</t>
        </is>
      </c>
      <c r="B33" s="10">
        <f>HYPERLINK("https://docs.google.com/spreadsheets/d/109GGDSUoU_xofFU5Losb8-3OCW5ykZMBD41m4XTvOeU/edit","open ↗")</f>
        <v/>
      </c>
      <c r="C33" s="11" t="inlineStr">
        <is>
          <t>6 / 0</t>
        </is>
      </c>
      <c r="D33" s="11" t="n">
        <v>11</v>
      </c>
      <c r="E33" s="12" t="n">
        <v>7726488</v>
      </c>
      <c r="F33" s="11" t="n">
        <v>0</v>
      </c>
      <c r="G33" s="12" t="n">
        <v>0</v>
      </c>
      <c r="H33" s="11" t="n">
        <v>11</v>
      </c>
      <c r="I33" s="12" t="n">
        <v>7726488</v>
      </c>
      <c r="J33" s="13" t="inlineStr">
        <is>
          <t>Unit-economics transparent sheet — see agg rollup when present.</t>
        </is>
      </c>
    </row>
    <row r="34" ht="42" customHeight="1">
      <c r="A34" s="4" t="inlineStr">
        <is>
          <t>Rakta</t>
        </is>
      </c>
      <c r="B34" s="5">
        <f>HYPERLINK("https://docs.google.com/spreadsheets/d/1k7npSsgsawIemvn-B6KxI6uZuu6F_GzqZjdgZPARiQs/edit","open ↗")</f>
        <v/>
      </c>
      <c r="C34" s="6" t="inlineStr">
        <is>
          <t>42 / 0</t>
        </is>
      </c>
      <c r="D34" s="6" t="n">
        <v>3</v>
      </c>
      <c r="E34" s="7" t="n">
        <v>766899</v>
      </c>
      <c r="F34" s="6" t="n">
        <v>0</v>
      </c>
      <c r="G34" s="7" t="n">
        <v>0</v>
      </c>
      <c r="H34" s="6" t="n">
        <v>3</v>
      </c>
      <c r="I34" s="7" t="n">
        <v>766899</v>
      </c>
      <c r="J34" s="8" t="inlineStr">
        <is>
          <t>Unit-economics transparent sheet — see agg rollup when present.</t>
        </is>
      </c>
    </row>
    <row r="35" ht="42" customHeight="1">
      <c r="A35" s="9" t="inlineStr">
        <is>
          <t>Reliance Industries</t>
        </is>
      </c>
      <c r="B35" s="10">
        <f>HYPERLINK("https://docs.google.com/spreadsheets/d/12A3sSM5HMOF1qoDm4lq8zOKQ5YU17VzlIQ9favraS8Y/edit","open ↗")</f>
        <v/>
      </c>
      <c r="C35" s="11" t="inlineStr">
        <is>
          <t>99 / 0</t>
        </is>
      </c>
      <c r="D35" s="11" t="n">
        <v>73</v>
      </c>
      <c r="E35" s="12" t="n">
        <v>12675814</v>
      </c>
      <c r="F35" s="11" t="n">
        <v>0</v>
      </c>
      <c r="G35" s="12" t="n">
        <v>0</v>
      </c>
      <c r="H35" s="11" t="n">
        <v>73</v>
      </c>
      <c r="I35" s="12" t="n">
        <v>12675813</v>
      </c>
      <c r="J35" s="13" t="inlineStr">
        <is>
          <t>Unit-economics transparent sheet — see agg rollup when present.</t>
        </is>
      </c>
    </row>
    <row r="36" ht="42" customHeight="1">
      <c r="A36" s="4" t="inlineStr">
        <is>
          <t>Swing</t>
        </is>
      </c>
      <c r="B36" s="5">
        <f>HYPERLINK("https://docs.google.com/spreadsheets/d/1PxUtIzZqbpIAZ752UR1DhBBhn0PynoftYfrtu7EbY98/edit","open ↗")</f>
        <v/>
      </c>
      <c r="C36" s="6" t="inlineStr">
        <is>
          <t>39 / 0</t>
        </is>
      </c>
      <c r="D36" s="6" t="n">
        <v>74</v>
      </c>
      <c r="E36" s="7" t="n">
        <v>10453765</v>
      </c>
      <c r="F36" s="6" t="n">
        <v>0</v>
      </c>
      <c r="G36" s="7" t="n">
        <v>0</v>
      </c>
      <c r="H36" s="6" t="n">
        <v>74</v>
      </c>
      <c r="I36" s="7" t="n">
        <v>10453765</v>
      </c>
      <c r="J36" s="8" t="inlineStr">
        <is>
          <t>Unit-economics transparent sheet — see agg rollup when present.</t>
        </is>
      </c>
    </row>
    <row r="37" ht="42" customHeight="1">
      <c r="A37" s="9" t="inlineStr">
        <is>
          <t>Uber India</t>
        </is>
      </c>
      <c r="B37" s="10">
        <f>HYPERLINK("https://docs.google.com/spreadsheets/d/1L6StDXDjdR26l_bIqRRH150B1rTeT9pHk76JKkG3rqw/edit","open ↗")</f>
        <v/>
      </c>
      <c r="C37" s="11" t="inlineStr">
        <is>
          <t>6 / 10</t>
        </is>
      </c>
      <c r="D37" s="11" t="n">
        <v>83</v>
      </c>
      <c r="E37" s="12" t="n">
        <v>14879980</v>
      </c>
      <c r="F37" s="11" t="n">
        <v>0</v>
      </c>
      <c r="G37" s="12" t="n">
        <v>0</v>
      </c>
      <c r="H37" s="11" t="n">
        <v>83</v>
      </c>
      <c r="I37" s="12" t="n">
        <v>14879980</v>
      </c>
      <c r="J37" s="13" t="inlineStr">
        <is>
          <t>Unit-economics transparent sheet — see agg rollup when present.</t>
        </is>
      </c>
    </row>
    <row r="38" ht="42" customHeight="1">
      <c r="A38" s="4" t="inlineStr">
        <is>
          <t>Voi</t>
        </is>
      </c>
      <c r="B38" s="5">
        <f>HYPERLINK("https://docs.google.com/spreadsheets/d/1zr2LdkJyUYCX-0mbwbkreaVIj0DPRlZokxhJBK6cNlk/edit","open ↗")</f>
        <v/>
      </c>
      <c r="C38" s="6" t="inlineStr">
        <is>
          <t>66 / 34</t>
        </is>
      </c>
      <c r="D38" s="6" t="n">
        <v>168</v>
      </c>
      <c r="E38" s="7" t="n">
        <v>49909468</v>
      </c>
      <c r="F38" s="6" t="n">
        <v>79</v>
      </c>
      <c r="G38" s="7" t="n">
        <v>7340005</v>
      </c>
      <c r="H38" s="6" t="n">
        <v>247</v>
      </c>
      <c r="I38" s="7" t="n">
        <v>57249473</v>
      </c>
      <c r="J38" s="8" t="inlineStr">
        <is>
          <t>Unit-economics transparent sheet — see agg rollup when present.</t>
        </is>
      </c>
    </row>
    <row r="39" ht="42" customHeight="1">
      <c r="A39" s="9" t="inlineStr">
        <is>
          <t>Yassir</t>
        </is>
      </c>
      <c r="B39" s="10">
        <f>HYPERLINK("https://docs.google.com/spreadsheets/d/1ba9Zpap5hPAehDKFHgk2PwRq4xStr2rx_z1LGSY52Q4/edit","open ↗")</f>
        <v/>
      </c>
      <c r="C39" s="11" t="inlineStr">
        <is>
          <t>6 / 20</t>
        </is>
      </c>
      <c r="D39" s="11" t="n">
        <v>34</v>
      </c>
      <c r="E39" s="12" t="n">
        <v>10758663</v>
      </c>
      <c r="F39" s="11" t="n">
        <v>51</v>
      </c>
      <c r="G39" s="12" t="n">
        <v>0</v>
      </c>
      <c r="H39" s="11" t="n">
        <v>85</v>
      </c>
      <c r="I39" s="12" t="n">
        <v>10758663</v>
      </c>
      <c r="J39" s="13" t="inlineStr">
        <is>
          <t>Unit-economics transparent sheet — see agg rollup when present.</t>
        </is>
      </c>
    </row>
    <row r="40" ht="30" customHeight="1">
      <c r="A40" s="14" t="inlineStr">
        <is>
          <t>PORTFOLIO (gross)</t>
        </is>
      </c>
      <c r="B40" s="15" t="inlineStr"/>
      <c r="C40" s="15" t="inlineStr"/>
      <c r="D40" s="16">
        <f>SUM(D4:D39)</f>
        <v/>
      </c>
      <c r="E40" s="17">
        <f>SUM(E4:E39)</f>
        <v/>
      </c>
      <c r="F40" s="16">
        <f>SUM(F4:F39)</f>
        <v/>
      </c>
      <c r="G40" s="17">
        <f>SUM(G4:G39)</f>
        <v/>
      </c>
      <c r="H40" s="16">
        <f>SUM(H4:H39)</f>
        <v/>
      </c>
      <c r="I40" s="17">
        <f>SUM(I4:I39)</f>
        <v/>
      </c>
      <c r="J40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vessel assumptions — country costs use exact-key rows only)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South Korea schedule / capacity override  (country == 'South Korea' only)</t>
        </is>
      </c>
    </row>
    <row r="33">
      <c r="A33" s="21" t="inlineStr">
        <is>
          <t>Parameter</t>
        </is>
      </c>
      <c r="B33" s="21" t="inlineStr">
        <is>
          <t>Value</t>
        </is>
      </c>
      <c r="C33" s="21" t="inlineStr">
        <is>
          <t>Unit</t>
        </is>
      </c>
      <c r="D33" s="21" t="inlineStr">
        <is>
          <t>Tier</t>
        </is>
      </c>
      <c r="E33" s="21" t="inlineStr">
        <is>
          <t>Conf.</t>
        </is>
      </c>
      <c r="F33" s="21" t="inlineStr">
        <is>
          <t>Source / note</t>
        </is>
      </c>
    </row>
    <row r="34">
      <c r="A34" s="22" t="inlineStr">
        <is>
          <t>South Korea MID seat occupancy</t>
        </is>
      </c>
      <c r="B34" s="27" t="n">
        <v>0.65</v>
      </c>
      <c r="C34" s="24" t="inlineStr">
        <is>
          <t>share of seats</t>
        </is>
      </c>
      <c r="D34" s="24" t="inlineStr">
        <is>
          <t>T5</t>
        </is>
      </c>
      <c r="E34" s="24" t="inlineStr">
        <is>
          <t>med</t>
        </is>
      </c>
      <c r="F34" s="13" t="inlineStr">
        <is>
          <t>South Korea economics revision approved 2026-07-11; retained audit scenario.</t>
        </is>
      </c>
    </row>
    <row r="35">
      <c r="A35" s="22" t="inlineStr">
        <is>
          <t>South Korea MID revenue-leg utilization</t>
        </is>
      </c>
      <c r="B35" s="27" t="n">
        <v>0.65</v>
      </c>
      <c r="C35" s="24" t="inlineStr">
        <is>
          <t>share of gross legs</t>
        </is>
      </c>
      <c r="D35" s="24" t="inlineStr">
        <is>
          <t>T5</t>
        </is>
      </c>
      <c r="E35" s="24" t="inlineStr">
        <is>
          <t>med</t>
        </is>
      </c>
      <c r="F35" s="13" t="inlineStr">
        <is>
          <t>South Korea economics revision approved 2026-07-11; retained audit scenario.</t>
        </is>
      </c>
    </row>
    <row r="36">
      <c r="A36" s="22" t="inlineStr">
        <is>
          <t>South Korea service window</t>
        </is>
      </c>
      <c r="B36" s="23" t="n">
        <v>12</v>
      </c>
      <c r="C36" s="24" t="inlineStr">
        <is>
          <t>hr/day</t>
        </is>
      </c>
      <c r="D36" s="24" t="inlineStr">
        <is>
          <t>T5</t>
        </is>
      </c>
      <c r="E36" s="24" t="inlineStr">
        <is>
          <t>med</t>
        </is>
      </c>
      <c r="F36" s="13" t="inlineStr">
        <is>
          <t>Retained South Korea schedule audit, 2026-07-11.</t>
        </is>
      </c>
    </row>
    <row r="37">
      <c r="A37" s="22" t="inlineStr">
        <is>
          <t>South Korea turnaround</t>
        </is>
      </c>
      <c r="B37" s="23" t="n">
        <v>20</v>
      </c>
      <c r="C37" s="24" t="inlineStr">
        <is>
          <t>min/gross leg</t>
        </is>
      </c>
      <c r="D37" s="24" t="inlineStr">
        <is>
          <t>T5</t>
        </is>
      </c>
      <c r="E37" s="24" t="inlineStr">
        <is>
          <t>med</t>
        </is>
      </c>
      <c r="F37" s="13" t="inlineStr">
        <is>
          <t>Retained South Korea schedule audit, 2026-07-11.</t>
        </is>
      </c>
    </row>
    <row r="38">
      <c r="A38" s="22" t="inlineStr">
        <is>
          <t>South Korea boarding dwell</t>
        </is>
      </c>
      <c r="B38" s="23" t="n">
        <v>10</v>
      </c>
      <c r="C38" s="24" t="inlineStr">
        <is>
          <t>min/gross leg</t>
        </is>
      </c>
      <c r="D38" s="24" t="inlineStr">
        <is>
          <t>T3</t>
        </is>
      </c>
      <c r="E38" s="24" t="inlineStr">
        <is>
          <t>med</t>
        </is>
      </c>
      <c r="F38" s="13" t="inlineStr">
        <is>
          <t>Retained existing boarding/scheduling dwell; South Korea schedule audit, 2026-07-11.</t>
        </is>
      </c>
    </row>
    <row r="39">
      <c r="A39" s="22" t="inlineStr">
        <is>
          <t>South Korea charge-planning range basis</t>
        </is>
      </c>
      <c r="B39" s="23" t="n">
        <v>70</v>
      </c>
      <c r="C39" s="24" t="inlineStr">
        <is>
          <t>nm</t>
        </is>
      </c>
      <c r="D39" s="24" t="inlineStr">
        <is>
          <t>T5</t>
        </is>
      </c>
      <c r="E39" s="24" t="inlineStr">
        <is>
          <t>low-med</t>
        </is>
      </c>
      <c r="F39" s="13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22" t="inlineStr">
        <is>
          <t>South Korea full-range charge-planning time</t>
        </is>
      </c>
      <c r="B40" s="23" t="n">
        <v>45</v>
      </c>
      <c r="C40" s="24" t="inlineStr">
        <is>
          <t>min</t>
        </is>
      </c>
      <c r="D40" s="24" t="inlineStr">
        <is>
          <t>T5</t>
        </is>
      </c>
      <c r="E40" s="24" t="inlineStr">
        <is>
          <t>low-med</t>
        </is>
      </c>
      <c r="F40" s="13" t="inlineStr">
        <is>
          <t>PLANNING PROXY: charge recovery = distance_nm / 70 × 45. Requires engineering validation; not a certified charge curve.</t>
        </is>
      </c>
    </row>
    <row r="41"/>
    <row r="42">
      <c r="A42" s="20" t="inlineStr">
        <is>
          <t>Utilization scenarios  (seat occupancy + revenue-leg utilization)</t>
        </is>
      </c>
    </row>
    <row r="43">
      <c r="A43" s="21" t="inlineStr">
        <is>
          <t>Scenario</t>
        </is>
      </c>
      <c r="B43" s="21" t="inlineStr">
        <is>
          <t>Seat occupancy</t>
        </is>
      </c>
      <c r="C43" s="21" t="inlineStr">
        <is>
          <t>Revenue-leg utilization</t>
        </is>
      </c>
      <c r="D43" s="21" t="n"/>
      <c r="E43" s="21" t="n"/>
      <c r="F43" s="21" t="inlineStr">
        <is>
          <t>Note</t>
        </is>
      </c>
    </row>
    <row r="44">
      <c r="A44" s="28" t="inlineStr">
        <is>
          <t>THIN</t>
        </is>
      </c>
      <c r="B44" s="29" t="n">
        <v>0.45</v>
      </c>
      <c r="C44" s="29" t="n">
        <v>0.55</v>
      </c>
      <c r="F44" s="13" t="inlineStr">
        <is>
          <t>thin/one-way/seasonal corridor — conservative floor</t>
        </is>
      </c>
    </row>
    <row r="45">
      <c r="A45" s="28" t="inlineStr">
        <is>
          <t>MID</t>
        </is>
      </c>
      <c r="B45" s="29" t="n">
        <v>0.55</v>
      </c>
      <c r="C45" s="29" t="n">
        <v>0.65</v>
      </c>
      <c r="F45" s="13" t="inlineStr">
        <is>
          <t>HEADLINE — realistic busy two-way corridor</t>
        </is>
      </c>
    </row>
    <row r="46">
      <c r="A46" s="28" t="inlineStr">
        <is>
          <t>FULL</t>
        </is>
      </c>
      <c r="B46" s="29" t="n">
        <v>0.7</v>
      </c>
      <c r="C46" s="29" t="n">
        <v>0.75</v>
      </c>
      <c r="F46" s="13" t="inlineStr">
        <is>
          <t>mature/dense corridor — optimistic ceiling</t>
        </is>
      </c>
    </row>
    <row r="47"/>
    <row r="48">
      <c r="A48" s="30" t="inlineStr">
        <is>
          <t>SCENARIO (toggle me)</t>
        </is>
      </c>
      <c r="B48" s="31" t="inlineStr">
        <is>
          <t>MID</t>
        </is>
      </c>
      <c r="C48" s="32" t="inlineStr">
        <is>
          <t>← set THIN / MID / FULL</t>
        </is>
      </c>
    </row>
    <row r="49">
      <c r="A49" s="22" t="inlineStr">
        <is>
          <t>Selected global seat occupancy</t>
        </is>
      </c>
      <c r="B49" s="33">
        <f>VLOOKUP(scenario,'Assumptions'!$A$44:$C$46,2,FALSE)</f>
        <v/>
      </c>
    </row>
    <row r="50">
      <c r="A50" s="22" t="inlineStr">
        <is>
          <t>Selected global revenue-leg utilization</t>
        </is>
      </c>
      <c r="B50" s="33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Brazil</t>
        </is>
      </c>
      <c r="B11" s="35" t="n">
        <v>14000</v>
      </c>
      <c r="C11" s="36" t="n">
        <v>0.09</v>
      </c>
      <c r="D11" s="29" t="n">
        <v>0.5</v>
      </c>
      <c r="E11" s="35" t="n">
        <v>10000</v>
      </c>
      <c r="F11" s="29" t="n">
        <v>0.38</v>
      </c>
      <c r="G11" s="35" t="n">
        <v>600000</v>
      </c>
      <c r="H11" s="13" t="inlineStr">
        <is>
          <t>Minor Hotels seal preflight — modeled vs SG anchor | Minor Hotels seal preflight — national tariff avg | Modeled | CAPEX LB-243 US/EU=$900K else $600K</t>
        </is>
      </c>
    </row>
    <row r="12">
      <c r="A12" s="9" t="inlineStr">
        <is>
          <t>Cambodia</t>
        </is>
      </c>
      <c r="B12" s="35" t="n">
        <v>11000</v>
      </c>
      <c r="C12" s="36" t="n">
        <v>0.15</v>
      </c>
      <c r="D12" s="29" t="n">
        <v>0.6</v>
      </c>
      <c r="E12" s="35" t="n">
        <v>9000</v>
      </c>
      <c r="F12" s="29" t="n">
        <v>0.42</v>
      </c>
      <c r="G12" s="35" t="n">
        <v>600000</v>
      </c>
      <c r="H12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3">
      <c r="A13" s="9" t="inlineStr">
        <is>
          <t>Cameroon</t>
        </is>
      </c>
      <c r="B13" s="35" t="n">
        <v>10000</v>
      </c>
      <c r="C13" s="36" t="n">
        <v>0.185</v>
      </c>
      <c r="D13" s="29" t="n">
        <v>0.45</v>
      </c>
      <c r="E13" s="35" t="n">
        <v>8000</v>
      </c>
      <c r="F13" s="29" t="n">
        <v>0.5629999999999999</v>
      </c>
      <c r="G13" s="35" t="n">
        <v>600000</v>
      </c>
      <c r="H13" s="13" t="inlineStr">
        <is>
          <t>PLANNING ALLOWANCE (T4) for licensed coastal crew Douala/Kribi class; not a Cameroonian wage fact. | GlobalPetrolPrices Cameroon business electricity ~USD 0.185/kWh (page scrape 2026-07-11; residential ~USD 0.087). Use business class for vessel charging comparator. | PLANNING ALLOWANCE Douala/Kribi terminal-port overhead; not a published PAD tariff. | CAPEX LB-243 US/EU=$900K else $600K</t>
        </is>
      </c>
    </row>
    <row r="14">
      <c r="A14" s="9" t="inlineStr">
        <is>
          <t>Colombia</t>
        </is>
      </c>
      <c r="B14" s="35" t="n">
        <v>14000</v>
      </c>
      <c r="C14" s="36" t="n">
        <v>0.15</v>
      </c>
      <c r="D14" s="29" t="n">
        <v>0.2</v>
      </c>
      <c r="E14" s="35" t="n">
        <v>10000</v>
      </c>
      <c r="F14" s="29" t="n">
        <v>0.42</v>
      </c>
      <c r="G14" s="35" t="n">
        <v>600000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Congo (Brazzaville)</t>
        </is>
      </c>
      <c r="B15" s="35" t="n">
        <v>10000</v>
      </c>
      <c r="C15" s="36" t="n">
        <v>0.08400000000000001</v>
      </c>
      <c r="D15" s="29" t="n">
        <v>0.4</v>
      </c>
      <c r="E15" s="35" t="n">
        <v>8000</v>
      </c>
      <c r="F15" s="29" t="n">
        <v>0.574</v>
      </c>
      <c r="G15" s="35" t="n">
        <v>600000</v>
      </c>
      <c r="H15" s="13" t="inlineStr">
        <is>
          <t>PLANNING ALLOWANCE (T4) Pointe-Noire coastal crew; not a Congolese wage fact. | Climatescope Republic of the Congo average electricity price 2024 ≈ $83.73/MWh = USD 0.084/kWh. | PLANNING ALLOWANCE Pointe-Noire port/berth overhead; not a published PAPN tariff. | CAPEX LB-243 US/EU=$900K else $600K</t>
        </is>
      </c>
    </row>
    <row r="16">
      <c r="A16" s="9" t="inlineStr">
        <is>
          <t>Costa Rica</t>
        </is>
      </c>
      <c r="B16" s="35" t="n">
        <v>16000</v>
      </c>
      <c r="C16" s="36" t="n">
        <v>0.254</v>
      </c>
      <c r="D16" s="29" t="n">
        <v>0.056</v>
      </c>
      <c r="E16" s="35" t="n">
        <v>12000</v>
      </c>
      <c r="F16" s="29" t="n">
        <v>0.976</v>
      </c>
      <c r="G16" s="35" t="n">
        <v>600000</v>
      </c>
      <c r="H16" s="13" t="inlineStr">
        <is>
          <t>PLANNING ALLOWANCE (T4 peer-anchored), not an operator quote. LatAm commercial captain band aligned to Colombia/Brazil $14k with Costa Rica upper-middle uplift. Replace with INEC/INS or ferry-operator loaded wage before contracting. | GlobalPetrolPrices Costa Rica business electricity, December 2025: CRC 115.840/kWh = USD 0.254/kWh (all-in retail incl. taxes/fees). | PLANNING ALLOWANCE for Gulf of Nicoya ferry terminal/berth overhead (Puntarenas side), peer-scaled vs LatAm marina band ($10–12k). Not a published INCOP/port tariff; replace with exact berth schedule before cascade-to-contract. | CAPEX LB-243 US/EU=$900K else $600K</t>
        </is>
      </c>
    </row>
    <row r="17">
      <c r="A17" s="9" t="inlineStr">
        <is>
          <t>Croatia</t>
        </is>
      </c>
      <c r="B17" s="35" t="n">
        <v>28000</v>
      </c>
      <c r="C17" s="36" t="n">
        <v>0.15</v>
      </c>
      <c r="D17" s="29" t="n">
        <v>0.2</v>
      </c>
      <c r="E17" s="35" t="n">
        <v>16000</v>
      </c>
      <c r="F17" s="29" t="n">
        <v>0.6</v>
      </c>
      <c r="G17" s="35" t="n">
        <v>900000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Curaçao</t>
        </is>
      </c>
      <c r="B18" s="35" t="n">
        <v>40000</v>
      </c>
      <c r="C18" s="36" t="n">
        <v>0.35</v>
      </c>
      <c r="D18" s="29" t="n">
        <v>0.6</v>
      </c>
      <c r="E18" s="35" t="n">
        <v>18000</v>
      </c>
      <c r="F18" s="29" t="n">
        <v>0.78</v>
      </c>
      <c r="G18" s="35" t="n">
        <v>600000</v>
      </c>
      <c r="H18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9">
      <c r="A19" s="9" t="inlineStr">
        <is>
          <t>Cyprus</t>
        </is>
      </c>
      <c r="B19" s="35" t="n">
        <v>34000</v>
      </c>
      <c r="C19" s="36" t="n">
        <v>0.26</v>
      </c>
      <c r="D19" s="29" t="n">
        <v>0.6</v>
      </c>
      <c r="E19" s="35" t="n">
        <v>22000</v>
      </c>
      <c r="F19" s="29" t="n">
        <v>0.72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Côte d'Ivoire</t>
        </is>
      </c>
      <c r="B20" s="35" t="n">
        <v>12000</v>
      </c>
      <c r="C20" s="36" t="n">
        <v>0.13</v>
      </c>
      <c r="D20" s="29" t="n">
        <v>0.4</v>
      </c>
      <c r="E20" s="35" t="n">
        <v>8000</v>
      </c>
      <c r="F20" s="29" t="n">
        <v>0.3</v>
      </c>
      <c r="G20" s="35" t="n">
        <v>600000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Egypt</t>
        </is>
      </c>
      <c r="B21" s="35" t="n">
        <v>12000</v>
      </c>
      <c r="C21" s="36" t="n">
        <v>0.06</v>
      </c>
      <c r="D21" s="29" t="n">
        <v>0.45</v>
      </c>
      <c r="E21" s="35" t="n">
        <v>8000</v>
      </c>
      <c r="F21" s="29" t="n">
        <v>0.3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Estonia</t>
        </is>
      </c>
      <c r="B22" s="35" t="n">
        <v>30000</v>
      </c>
      <c r="C22" s="36" t="n">
        <v>0.16</v>
      </c>
      <c r="D22" s="29" t="n">
        <v>0.45</v>
      </c>
      <c r="E22" s="35" t="n">
        <v>14000</v>
      </c>
      <c r="F22" s="29" t="n">
        <v>0.65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Finland</t>
        </is>
      </c>
      <c r="B23" s="35" t="n">
        <v>55000</v>
      </c>
      <c r="C23" s="36" t="n">
        <v>0.14</v>
      </c>
      <c r="D23" s="29" t="n">
        <v>0.08</v>
      </c>
      <c r="E23" s="35" t="n">
        <v>18000</v>
      </c>
      <c r="F23" s="29" t="n">
        <v>1.15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France</t>
        </is>
      </c>
      <c r="B24" s="35" t="n">
        <v>55000</v>
      </c>
      <c r="C24" s="36" t="n">
        <v>0.2</v>
      </c>
      <c r="D24" s="29" t="n">
        <v>0.06</v>
      </c>
      <c r="E24" s="35" t="n">
        <v>30000</v>
      </c>
      <c r="F24" s="29" t="n">
        <v>1.15</v>
      </c>
      <c r="G24" s="35" t="n">
        <v>900000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French Polynesia</t>
        </is>
      </c>
      <c r="B25" s="35" t="n">
        <v>55000</v>
      </c>
      <c r="C25" s="36" t="n">
        <v>0.32</v>
      </c>
      <c r="D25" s="29" t="n">
        <v>0.58</v>
      </c>
      <c r="E25" s="35" t="n">
        <v>18000</v>
      </c>
      <c r="F25" s="29" t="n">
        <v>0.9</v>
      </c>
      <c r="G25" s="35" t="n">
        <v>600000</v>
      </c>
      <c r="H25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6">
      <c r="A26" s="9" t="inlineStr">
        <is>
          <t>Greece</t>
        </is>
      </c>
      <c r="B26" s="35" t="n">
        <v>32000</v>
      </c>
      <c r="C26" s="36" t="n">
        <v>0.19</v>
      </c>
      <c r="D26" s="29" t="n">
        <v>0.4</v>
      </c>
      <c r="E26" s="35" t="n">
        <v>18000</v>
      </c>
      <c r="F26" s="29" t="n">
        <v>0.7</v>
      </c>
      <c r="G26" s="35" t="n">
        <v>900000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India</t>
        </is>
      </c>
      <c r="B27" s="35" t="n">
        <v>19000</v>
      </c>
      <c r="C27" s="36" t="n">
        <v>0.08500000000000001</v>
      </c>
      <c r="D27" s="29" t="n">
        <v>0.727</v>
      </c>
      <c r="E27" s="35" t="n">
        <v>10000</v>
      </c>
      <c r="F27" s="29" t="n">
        <v>0.5</v>
      </c>
      <c r="G27" s="35" t="n">
        <v>600000</v>
      </c>
      <c r="H27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8">
      <c r="A28" s="9" t="inlineStr">
        <is>
          <t>Indonesia</t>
        </is>
      </c>
      <c r="B28" s="35" t="n">
        <v>12000</v>
      </c>
      <c r="C28" s="36" t="n">
        <v>0.07000000000000001</v>
      </c>
      <c r="D28" s="29" t="n">
        <v>0.75</v>
      </c>
      <c r="E28" s="35" t="n">
        <v>10000</v>
      </c>
      <c r="F28" s="29" t="n">
        <v>0.45</v>
      </c>
      <c r="G28" s="35" t="n">
        <v>600000</v>
      </c>
      <c r="H28" s="13" t="inlineStr">
        <is>
          <t>Blended local crew; ERI pro $23k vs informal local | PLN business IDR 1,114/kWh = $0.07 | Modeled | CAPEX LB-243 US/EU=$900K else $600K</t>
        </is>
      </c>
    </row>
    <row r="29">
      <c r="A29" s="9" t="inlineStr">
        <is>
          <t>Ireland</t>
        </is>
      </c>
      <c r="B29" s="35" t="n">
        <v>55000</v>
      </c>
      <c r="C29" s="36" t="n">
        <v>0.27</v>
      </c>
      <c r="D29" s="29" t="n">
        <v>0.33</v>
      </c>
      <c r="E29" s="35" t="n">
        <v>22000</v>
      </c>
      <c r="F29" s="29" t="n">
        <v>1.15</v>
      </c>
      <c r="G29" s="35" t="n">
        <v>900000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Israel</t>
        </is>
      </c>
      <c r="B30" s="35" t="n">
        <v>50000</v>
      </c>
      <c r="C30" s="36" t="n">
        <v>0.16</v>
      </c>
      <c r="D30" s="29" t="n">
        <v>0.55</v>
      </c>
      <c r="E30" s="35" t="n">
        <v>20000</v>
      </c>
      <c r="F30" s="29" t="n">
        <v>1.05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Italy</t>
        </is>
      </c>
      <c r="B31" s="35" t="n">
        <v>48000</v>
      </c>
      <c r="C31" s="36" t="n">
        <v>0.28</v>
      </c>
      <c r="D31" s="29" t="n">
        <v>0.33</v>
      </c>
      <c r="E31" s="35" t="n">
        <v>26000</v>
      </c>
      <c r="F31" s="29" t="n">
        <v>1</v>
      </c>
      <c r="G31" s="35" t="n">
        <v>900000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Kazakhstan</t>
        </is>
      </c>
      <c r="B32" s="35" t="n">
        <v>14000</v>
      </c>
      <c r="C32" s="36" t="n">
        <v>0.06</v>
      </c>
      <c r="D32" s="29" t="n">
        <v>0.55</v>
      </c>
      <c r="E32" s="35" t="n">
        <v>8000</v>
      </c>
      <c r="F32" s="29" t="n">
        <v>0.35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Lebanon</t>
        </is>
      </c>
      <c r="B33" s="35" t="n">
        <v>20000</v>
      </c>
      <c r="C33" s="36" t="n">
        <v>0.2</v>
      </c>
      <c r="D33" s="29" t="n">
        <v>0.6</v>
      </c>
      <c r="E33" s="35" t="n">
        <v>12000</v>
      </c>
      <c r="F33" s="29" t="n">
        <v>0.45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Malaysia</t>
        </is>
      </c>
      <c r="B34" s="35" t="n">
        <v>17000</v>
      </c>
      <c r="C34" s="36" t="n">
        <v>0.1</v>
      </c>
      <c r="D34" s="29" t="n">
        <v>0.7</v>
      </c>
      <c r="E34" s="35" t="n">
        <v>11000</v>
      </c>
      <c r="F34" s="29" t="n">
        <v>0.55</v>
      </c>
      <c r="G34" s="35" t="n">
        <v>600000</v>
      </c>
      <c r="H34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5">
      <c r="A35" s="9" t="inlineStr">
        <is>
          <t>Maldives</t>
        </is>
      </c>
      <c r="B35" s="35" t="n">
        <v>27000</v>
      </c>
      <c r="C35" s="36" t="n">
        <v>0.3</v>
      </c>
      <c r="D35" s="29" t="n">
        <v>0.72</v>
      </c>
      <c r="E35" s="35" t="n">
        <v>16000</v>
      </c>
      <c r="F35" s="29" t="n">
        <v>0.63</v>
      </c>
      <c r="G35" s="35" t="n">
        <v>600000</v>
      </c>
      <c r="H35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6">
      <c r="A36" s="9" t="inlineStr">
        <is>
          <t>Mexico</t>
        </is>
      </c>
      <c r="B36" s="35" t="n">
        <v>14000</v>
      </c>
      <c r="C36" s="36" t="n">
        <v>0.23</v>
      </c>
      <c r="D36" s="29" t="n">
        <v>0.444</v>
      </c>
      <c r="E36" s="35" t="n">
        <v>11000</v>
      </c>
      <c r="F36" s="29" t="n">
        <v>0.54</v>
      </c>
      <c r="G36" s="35" t="n">
        <v>600000</v>
      </c>
      <c r="H36" s="13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  <row r="37">
      <c r="A37" s="9" t="inlineStr">
        <is>
          <t>Morocco</t>
        </is>
      </c>
      <c r="B37" s="35" t="n">
        <v>14000</v>
      </c>
      <c r="C37" s="36" t="n">
        <v>0.12</v>
      </c>
      <c r="D37" s="29" t="n">
        <v>0.6</v>
      </c>
      <c r="E37" s="35" t="n">
        <v>10000</v>
      </c>
      <c r="F37" s="29" t="n">
        <v>0.38</v>
      </c>
      <c r="G37" s="35" t="n">
        <v>600000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Mozambique</t>
        </is>
      </c>
      <c r="B38" s="35" t="n">
        <v>10000</v>
      </c>
      <c r="C38" s="36" t="n">
        <v>0.1</v>
      </c>
      <c r="D38" s="29" t="n">
        <v>0.1</v>
      </c>
      <c r="E38" s="35" t="n">
        <v>7000</v>
      </c>
      <c r="F38" s="29" t="n">
        <v>0.28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Namibia</t>
        </is>
      </c>
      <c r="B39" s="35" t="n">
        <v>15000</v>
      </c>
      <c r="C39" s="36" t="n">
        <v>0.168</v>
      </c>
      <c r="D39" s="29" t="n">
        <v>0.55</v>
      </c>
      <c r="E39" s="35" t="n">
        <v>9000</v>
      </c>
      <c r="F39" s="29" t="n">
        <v>0.673</v>
      </c>
      <c r="G39" s="35" t="n">
        <v>600000</v>
      </c>
      <c r="H39" s="13" t="inlineStr">
        <is>
          <t>PLANNING ALLOWANCE (T4). Upper-middle-income marine labor band for Walvis Bay ops; not a Namibian Maritime Authority wage fact. Needs local quote. | GlobalPetrolPrices Namibia residential electricity, December 2025: NAD 2.734/kWh = USD 0.168/kWh. Business tariff not cleanly extracted from NamPower PDF in this pass; residential used as conservative retail comparator. ECB/NamPower commercial schedule should replace before contract. | PLANNING ALLOWANCE Walvis Bay waterfront berth/admin overhead; not a published Namport tariff. | CAPEX LB-243 US/EU=$900K else $600K</t>
        </is>
      </c>
    </row>
    <row r="40">
      <c r="A40" s="9" t="inlineStr">
        <is>
          <t>Pakistan</t>
        </is>
      </c>
      <c r="B40" s="35" t="n">
        <v>10000</v>
      </c>
      <c r="C40" s="36" t="n">
        <v>0.12</v>
      </c>
      <c r="D40" s="29" t="n">
        <v>0.4</v>
      </c>
      <c r="E40" s="35" t="n">
        <v>7000</v>
      </c>
      <c r="F40" s="29" t="n">
        <v>0.25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Peru</t>
        </is>
      </c>
      <c r="B41" s="35" t="n">
        <v>14000</v>
      </c>
      <c r="C41" s="36" t="n">
        <v>0.13</v>
      </c>
      <c r="D41" s="29" t="n">
        <v>0.25</v>
      </c>
      <c r="E41" s="35" t="n">
        <v>10000</v>
      </c>
      <c r="F41" s="29" t="n">
        <v>0.45</v>
      </c>
      <c r="G41" s="35" t="n">
        <v>600000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Philippines</t>
        </is>
      </c>
      <c r="B42" s="35" t="n">
        <v>15000</v>
      </c>
      <c r="C42" s="36" t="n">
        <v>0.2</v>
      </c>
      <c r="D42" s="29" t="n">
        <v>0.68</v>
      </c>
      <c r="E42" s="35" t="n">
        <v>10000</v>
      </c>
      <c r="F42" s="29" t="n">
        <v>0.5</v>
      </c>
      <c r="G42" s="35" t="n">
        <v>600000</v>
      </c>
      <c r="H4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43">
      <c r="A43" s="9" t="inlineStr">
        <is>
          <t>Portugal</t>
        </is>
      </c>
      <c r="B43" s="35" t="n">
        <v>30000</v>
      </c>
      <c r="C43" s="36" t="n">
        <v>0.18</v>
      </c>
      <c r="D43" s="29" t="n">
        <v>0.2</v>
      </c>
      <c r="E43" s="35" t="n">
        <v>16000</v>
      </c>
      <c r="F43" s="29" t="n">
        <v>0.65</v>
      </c>
      <c r="G43" s="35" t="n">
        <v>900000</v>
      </c>
      <c r="H4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4">
      <c r="A44" s="9" t="inlineStr">
        <is>
          <t>Puerto Rico</t>
        </is>
      </c>
      <c r="B44" s="35" t="n">
        <v>52000</v>
      </c>
      <c r="C44" s="36" t="n">
        <v>0.26</v>
      </c>
      <c r="D44" s="29" t="n">
        <v>0.62</v>
      </c>
      <c r="E44" s="35" t="n">
        <v>24000</v>
      </c>
      <c r="F44" s="29" t="n">
        <v>0.92</v>
      </c>
      <c r="G44" s="35" t="n">
        <v>600000</v>
      </c>
      <c r="H4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45">
      <c r="A45" s="9" t="inlineStr">
        <is>
          <t>Qatar</t>
        </is>
      </c>
      <c r="B45" s="35" t="n">
        <v>43000</v>
      </c>
      <c r="C45" s="36" t="n">
        <v>0.036</v>
      </c>
      <c r="D45" s="29" t="n">
        <v>0.49</v>
      </c>
      <c r="E45" s="35" t="n">
        <v>20000</v>
      </c>
      <c r="F45" s="29" t="n">
        <v>0.7</v>
      </c>
      <c r="G45" s="35" t="n">
        <v>600000</v>
      </c>
      <c r="H4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6">
      <c r="A46" s="9" t="inlineStr">
        <is>
          <t>Romania</t>
        </is>
      </c>
      <c r="B46" s="35" t="n">
        <v>22000</v>
      </c>
      <c r="C46" s="36" t="n">
        <v>0.16</v>
      </c>
      <c r="D46" s="29" t="n">
        <v>0.26</v>
      </c>
      <c r="E46" s="35" t="n">
        <v>12000</v>
      </c>
      <c r="F46" s="29" t="n">
        <v>0.5</v>
      </c>
      <c r="G46" s="35" t="n">
        <v>900000</v>
      </c>
      <c r="H4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7">
      <c r="A47" s="9" t="inlineStr">
        <is>
          <t>Saudi Arabia</t>
        </is>
      </c>
      <c r="B47" s="35" t="n">
        <v>42000</v>
      </c>
      <c r="C47" s="36" t="n">
        <v>0.074</v>
      </c>
      <c r="D47" s="29" t="n">
        <v>0.57</v>
      </c>
      <c r="E47" s="35" t="n">
        <v>18000</v>
      </c>
      <c r="F47" s="29" t="n">
        <v>0.68</v>
      </c>
      <c r="G47" s="35" t="n">
        <v>600000</v>
      </c>
      <c r="H4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8">
      <c r="A48" s="9" t="inlineStr">
        <is>
          <t>Senegal</t>
        </is>
      </c>
      <c r="B48" s="35" t="n">
        <v>12000</v>
      </c>
      <c r="C48" s="36" t="n">
        <v>0.18</v>
      </c>
      <c r="D48" s="29" t="n">
        <v>0.55</v>
      </c>
      <c r="E48" s="35" t="n">
        <v>8000</v>
      </c>
      <c r="F48" s="29" t="n">
        <v>0.32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Singapore</t>
        </is>
      </c>
      <c r="B49" s="35" t="n">
        <v>48000</v>
      </c>
      <c r="C49" s="36" t="n">
        <v>0.21</v>
      </c>
      <c r="D49" s="29" t="n">
        <v>0.4</v>
      </c>
      <c r="E49" s="35" t="n">
        <v>20000</v>
      </c>
      <c r="F49" s="29" t="n">
        <v>1</v>
      </c>
      <c r="G49" s="35" t="n">
        <v>600000</v>
      </c>
      <c r="H49" s="13" t="inlineStr">
        <is>
          <t>Modeled SG marine crew ~SGD 4-5k/mo blended | SG regulated tariff 28.1c SGD = $0.21 | SG high-cost berth modeled | CAPEX LB-243 US/EU=$900K else $600K</t>
        </is>
      </c>
    </row>
    <row r="50">
      <c r="A50" s="9" t="inlineStr">
        <is>
          <t>South Korea</t>
        </is>
      </c>
      <c r="B50" s="35" t="n">
        <v>74973</v>
      </c>
      <c r="C50" s="36" t="n">
        <v>0.1214</v>
      </c>
      <c r="D50" s="29" t="n">
        <v>0.4173</v>
      </c>
      <c r="E50" s="35" t="n">
        <v>51000</v>
      </c>
      <c r="F50" s="29" t="n">
        <v>0.949</v>
      </c>
      <c r="G50" s="35" t="n">
        <v>600000</v>
      </c>
      <c r="H50" s="13" t="inlineStr">
        <is>
          <t>KOSWEC 2026 Korea Seafarer's Statistical Year Book coastal Leisure &amp; Ferry Boat: Master KRW3.890m/mo + OS deck rating KRW3.506m/mo; 12 months; 20.160716% itemized employer on-cost; World Bank 2025 FX KRW1,422.440833/USD. Formula and citations: handoff/finance/country-reference-audit-2026-07-10/COUNTRY-REFERENCE-EVIDENCE-LEDGER.json. | KEPCO Dec-2025 Electricity Statistics: 2025 general-service realized revenue / electricity sold = KRW172.6879/kWh; World Bank 2025 FX = USD0.1214025/kWh. National commercial class; site demand/tax treatment remains a deployment sensitivity. | Conservative planning ceiling from the official Korean designated-port tariff: KRW 135/GT per entry or departure × 49 GT × 15 one-way revenue sailings/day × 2 movements/sailing × 365 days, plus KRW 3,913/month coastal-vessel berth fee; World Bank 2025 FX KRW 1,422.440833/USD. Formula yields USD 50,956, rounded to USD 51,000. Replace with site tariffs, actual GT and actual calls before contracting. | CAPEX LB-243 US/EU=$900K else $600K</t>
        </is>
      </c>
    </row>
    <row r="51">
      <c r="A51" s="9" t="inlineStr">
        <is>
          <t>Spain</t>
        </is>
      </c>
      <c r="B51" s="35" t="n">
        <v>38000</v>
      </c>
      <c r="C51" s="36" t="n">
        <v>0.18</v>
      </c>
      <c r="D51" s="29" t="n">
        <v>0.19</v>
      </c>
      <c r="E51" s="35" t="n">
        <v>20000</v>
      </c>
      <c r="F51" s="29" t="n">
        <v>0.8</v>
      </c>
      <c r="G51" s="35" t="n">
        <v>900000</v>
      </c>
      <c r="H5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2">
      <c r="A52" s="9" t="inlineStr">
        <is>
          <t>Sweden</t>
        </is>
      </c>
      <c r="B52" s="35" t="n">
        <v>58000</v>
      </c>
      <c r="C52" s="36" t="n">
        <v>0.13</v>
      </c>
      <c r="D52" s="29" t="n">
        <v>0.04</v>
      </c>
      <c r="E52" s="35" t="n">
        <v>22000</v>
      </c>
      <c r="F52" s="29" t="n">
        <v>1.2</v>
      </c>
      <c r="G52" s="35" t="n">
        <v>900000</v>
      </c>
      <c r="H5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3">
      <c r="A53" s="9" t="inlineStr">
        <is>
          <t>Taiwan</t>
        </is>
      </c>
      <c r="B53" s="35" t="n">
        <v>38000</v>
      </c>
      <c r="C53" s="36" t="n">
        <v>0.18</v>
      </c>
      <c r="D53" s="29" t="n">
        <v>0.46</v>
      </c>
      <c r="E53" s="35" t="n">
        <v>14000</v>
      </c>
      <c r="F53" s="29" t="n">
        <v>0.72</v>
      </c>
      <c r="G53" s="35" t="n">
        <v>600000</v>
      </c>
      <c r="H53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54">
      <c r="A54" s="9" t="inlineStr">
        <is>
          <t>Thailand</t>
        </is>
      </c>
      <c r="B54" s="35" t="n">
        <v>24000</v>
      </c>
      <c r="C54" s="36" t="n">
        <v>0.116</v>
      </c>
      <c r="D54" s="29" t="n">
        <v>0.5</v>
      </c>
      <c r="E54" s="35" t="n">
        <v>12000</v>
      </c>
      <c r="F54" s="29" t="n">
        <v>0.55</v>
      </c>
      <c r="G54" s="35" t="n">
        <v>600000</v>
      </c>
      <c r="H54" s="13" t="inlineStr">
        <is>
          <t>ERI Thailand boat captain ~876k THB/yr | MEA/PEA business tariff ~4.18 THB/kWh | Modeled Phuket marine ops | CAPEX LB-243 US/EU=$900K else $600K</t>
        </is>
      </c>
    </row>
    <row r="55">
      <c r="A55" s="9" t="inlineStr">
        <is>
          <t>Tunisia</t>
        </is>
      </c>
      <c r="B55" s="35" t="n">
        <v>14000</v>
      </c>
      <c r="C55" s="36" t="n">
        <v>0.1</v>
      </c>
      <c r="D55" s="29" t="n">
        <v>0.45</v>
      </c>
      <c r="E55" s="35" t="n">
        <v>9000</v>
      </c>
      <c r="F55" s="29" t="n">
        <v>0.35</v>
      </c>
      <c r="G55" s="35" t="n">
        <v>600000</v>
      </c>
      <c r="H5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6">
      <c r="A56" s="9" t="inlineStr">
        <is>
          <t>U.S. Virgin Islands</t>
        </is>
      </c>
      <c r="B56" s="35" t="n">
        <v>56000</v>
      </c>
      <c r="C56" s="36" t="n">
        <v>0.36</v>
      </c>
      <c r="D56" s="29" t="n">
        <v>0.72</v>
      </c>
      <c r="E56" s="35" t="n">
        <v>30000</v>
      </c>
      <c r="F56" s="29" t="n">
        <v>1.02</v>
      </c>
      <c r="G56" s="35" t="n">
        <v>600000</v>
      </c>
      <c r="H5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7">
      <c r="A57" s="9" t="inlineStr">
        <is>
          <t>United Arab Emirates</t>
        </is>
      </c>
      <c r="B57" s="35" t="n">
        <v>40000</v>
      </c>
      <c r="C57" s="36" t="n">
        <v>0.08500000000000001</v>
      </c>
      <c r="D57" s="29" t="n">
        <v>0.4</v>
      </c>
      <c r="E57" s="35" t="n">
        <v>22000</v>
      </c>
      <c r="F57" s="29" t="n">
        <v>0.74</v>
      </c>
      <c r="G57" s="35" t="n">
        <v>600000</v>
      </c>
      <c r="H5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8">
      <c r="A58" s="9" t="inlineStr">
        <is>
          <t>Vietnam</t>
        </is>
      </c>
      <c r="B58" s="35" t="n">
        <v>14000</v>
      </c>
      <c r="C58" s="36" t="n">
        <v>0.12</v>
      </c>
      <c r="D58" s="29" t="n">
        <v>0.66</v>
      </c>
      <c r="E58" s="35" t="n">
        <v>9000</v>
      </c>
      <c r="F58" s="29" t="n">
        <v>0.45</v>
      </c>
      <c r="G58" s="35" t="n">
        <v>600000</v>
      </c>
      <c r="H5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80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10" customWidth="1" min="13" max="13"/>
    <col width="8" customWidth="1" min="14" max="14"/>
    <col width="10" customWidth="1" min="15" max="15"/>
    <col width="8" customWidth="1" min="16" max="16"/>
    <col width="8" customWidth="1" min="17" max="17"/>
    <col width="11" customWidth="1" min="18" max="18"/>
    <col width="10" customWidth="1" min="19" max="19"/>
    <col width="9" customWidth="1" min="20" max="20"/>
    <col width="8" customWidth="1" min="21" max="21"/>
    <col width="9" customWidth="1" min="22" max="22"/>
    <col width="9" customWidth="1" min="23" max="23"/>
    <col width="11" customWidth="1" min="24" max="24"/>
    <col width="10" customWidth="1" min="25" max="25"/>
    <col width="10" customWidth="1" min="26" max="26"/>
    <col width="12" customWidth="1" min="27" max="27"/>
    <col width="9" customWidth="1" min="28" max="28"/>
    <col width="12" customWidth="1" min="29" max="29"/>
    <col width="12" customWidth="1" min="30" max="30"/>
    <col width="11" customWidth="1" min="31" max="31"/>
    <col width="10" customWidth="1" min="32" max="32"/>
    <col width="11" customWidth="1" min="33" max="33"/>
    <col width="8" customWidth="1" min="34" max="34"/>
    <col width="9" customWidth="1" min="35" max="35"/>
    <col width="9" customWidth="1" min="36" max="36"/>
    <col width="12" customWidth="1" min="37" max="37"/>
    <col width="7" customWidth="1" min="38" max="38"/>
    <col width="8" customWidth="1" min="39" max="39"/>
    <col width="8" customWidth="1" min="40" max="40"/>
    <col width="10" customWidth="1" min="41" max="41"/>
    <col width="9" customWidth="1" min="42" max="42"/>
    <col width="13" customWidth="1" min="43" max="43"/>
    <col width="9" customWidth="1" min="44" max="44"/>
    <col width="13" customWidth="1" min="45" max="45"/>
    <col width="26" customWidth="1" min="46" max="46"/>
    <col width="14" customWidth="1" min="47" max="47"/>
    <col width="16" customWidth="1" min="48" max="48"/>
    <col width="16" customWidth="1" min="49" max="49"/>
    <col width="9" customWidth="1" min="50" max="50"/>
    <col width="9" customWidth="1" min="51" max="51"/>
    <col width="9" customWidth="1" min="52" max="52"/>
    <col width="9" customWidth="1" min="53" max="53"/>
    <col width="50" customWidth="1" min="54" max="54"/>
    <col width="50" customWidth="1" min="55" max="55"/>
    <col width="16" customWidth="1" min="56" max="56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Charge recovery min</t>
        </is>
      </c>
      <c r="N3" s="34" t="inlineStr">
        <is>
          <t>Cycle min</t>
        </is>
      </c>
      <c r="O3" s="34" t="inlineStr">
        <is>
          <t>Gross legs/day</t>
        </is>
      </c>
      <c r="P3" s="34" t="inlineStr">
        <is>
          <t>Op days/yr</t>
        </is>
      </c>
      <c r="Q3" s="34" t="inlineStr">
        <is>
          <t>Mech uptime</t>
        </is>
      </c>
      <c r="R3" s="34" t="inlineStr">
        <is>
          <t>Revenue-leg utilization</t>
        </is>
      </c>
      <c r="S3" s="34" t="inlineStr">
        <is>
          <t>Revenue legs/yr</t>
        </is>
      </c>
      <c r="T3" s="34" t="inlineStr">
        <is>
          <t>Seat occupancy</t>
        </is>
      </c>
      <c r="U3" s="34" t="inlineStr">
        <is>
          <t>Pax/trip</t>
        </is>
      </c>
      <c r="V3" s="34" t="inlineStr">
        <is>
          <t>Pax/yr</t>
        </is>
      </c>
      <c r="W3" s="34" t="inlineStr">
        <is>
          <t>Navier fare $</t>
        </is>
      </c>
      <c r="X3" s="34" t="inlineStr">
        <is>
          <t>Revenue/yr</t>
        </is>
      </c>
      <c r="Y3" s="34" t="inlineStr">
        <is>
          <t>Energy/yr</t>
        </is>
      </c>
      <c r="Z3" s="34" t="inlineStr">
        <is>
          <t>Crew/yr</t>
        </is>
      </c>
      <c r="AA3" s="34" t="inlineStr">
        <is>
          <t>Berth &amp; port admin/yr</t>
        </is>
      </c>
      <c r="AB3" s="34" t="inlineStr">
        <is>
          <t>Maint/yr</t>
        </is>
      </c>
      <c r="AC3" s="34" t="inlineStr">
        <is>
          <t>Vessel insurance/yr</t>
        </is>
      </c>
      <c r="AD3" s="34" t="inlineStr">
        <is>
          <t>Fast-charge berth/yr</t>
        </is>
      </c>
      <c r="AE3" s="34" t="inlineStr">
        <is>
          <t>OPEX/yr</t>
        </is>
      </c>
      <c r="AF3" s="34" t="inlineStr">
        <is>
          <t>Deprec/yr</t>
        </is>
      </c>
      <c r="AG3" s="34" t="inlineStr">
        <is>
          <t>EBITDA/yr</t>
        </is>
      </c>
      <c r="AH3" s="34" t="inlineStr">
        <is>
          <t>Margin</t>
        </is>
      </c>
      <c r="AI3" s="34" t="inlineStr">
        <is>
          <t>Payback yr (sel)</t>
        </is>
      </c>
      <c r="AJ3" s="34" t="inlineStr">
        <is>
          <t>CO₂ saved t/yr</t>
        </is>
      </c>
      <c r="AK3" s="34" t="inlineStr">
        <is>
          <t>Demand pool 1-way/yr</t>
        </is>
      </c>
      <c r="AL3" s="34" t="inlineStr">
        <is>
          <t>Demand tier</t>
        </is>
      </c>
      <c r="AM3" s="34" t="inlineStr">
        <is>
          <t>Demand conf.</t>
        </is>
      </c>
      <c r="AN3" s="34" t="inlineStr">
        <is>
          <t>Capture %</t>
        </is>
      </c>
      <c r="AO3" s="34" t="inlineStr">
        <is>
          <t>Navier rides/yr</t>
        </is>
      </c>
      <c r="AP3" s="34" t="inlineStr">
        <is>
          <t>Vessels @capture</t>
        </is>
      </c>
      <c r="AQ3" s="34" t="inlineStr">
        <is>
          <t>Market rev/yr</t>
        </is>
      </c>
      <c r="AR3" s="34" t="inlineStr">
        <is>
          <t>Vessels raw (unfloored)</t>
        </is>
      </c>
      <c r="AS3" s="34" t="inlineStr">
        <is>
          <t>Market rev/yr raw</t>
        </is>
      </c>
      <c r="AT3" s="34" t="inlineStr">
        <is>
          <t>Subset of (excl. from market fleet)</t>
        </is>
      </c>
      <c r="AU3" s="34" t="inlineStr">
        <is>
          <t>Floor bucket (aggregate status)</t>
        </is>
      </c>
      <c r="AV3" s="34" t="inlineStr">
        <is>
          <t>Forward SAM (2030-dated; held OUT of grounded floor)</t>
        </is>
      </c>
      <c r="AW3" s="34" t="inlineStr">
        <is>
          <t>Upside tier (LB-99; held OUT of grounded floor)</t>
        </is>
      </c>
      <c r="AX3" s="34" t="inlineStr">
        <is>
          <t>Fleet ceiling (captive villas/25)</t>
        </is>
      </c>
      <c r="AY3" s="34" t="inlineStr">
        <is>
          <t>Payback THIN</t>
        </is>
      </c>
      <c r="AZ3" s="34" t="inlineStr">
        <is>
          <t>Payback MID</t>
        </is>
      </c>
      <c r="BA3" s="34" t="inlineStr">
        <is>
          <t>Payback FULL</t>
        </is>
      </c>
      <c r="BB3" s="34" t="inlineStr">
        <is>
          <t>Fare source (provenance)</t>
        </is>
      </c>
      <c r="BC3" s="34" t="inlineStr">
        <is>
          <t>Demand source (provenance)</t>
        </is>
      </c>
      <c r="BD3" s="34" t="inlineStr">
        <is>
          <t>Route ID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Port of Annaba (Môle Cigogne / Quai Nord) → Annaba Corniche — Plage Rizi Amor / Saint-Cloud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2.1</v>
      </c>
      <c r="H4" s="35" t="n"/>
      <c r="I4" s="43" t="n"/>
      <c r="J4" s="43" t="n"/>
      <c r="K4" s="29" t="n">
        <v>1</v>
      </c>
      <c r="L4" s="44">
        <f>60*G4/cruise_kt</f>
        <v/>
      </c>
      <c r="M4" s="44">
        <f>IF(B4="South Korea",G4/korea_charge_range_nm*korea_full_range_charge_min,0)</f>
        <v/>
      </c>
      <c r="N4" s="44">
        <f>IF(B4="South Korea",L4+korea_turn_min+korea_dwell_min+M4,L4+turn_min+dwell_min)</f>
        <v/>
      </c>
      <c r="O4" s="45">
        <f>IF(B4="South Korea",FLOOR(60*korea_service_hr/N4,1),MIN(15,FLOOR(60*service_hr/N4,1)))</f>
        <v/>
      </c>
      <c r="P4" s="45">
        <f>IF(ABS(MOD(ABS((365*mech_uptime*K4)),1)-0.5)&lt;1E-9,2*ROUND((365*mech_uptime*K4)/2,0),ROUND((365*mech_uptime*K4),0))</f>
        <v/>
      </c>
      <c r="Q4" s="46">
        <f>mech_uptime</f>
        <v/>
      </c>
      <c r="R4" s="46">
        <f>IF(AND(B4="South Korea",scenario="MID"),korea_mid_revleg,revleg_sel)</f>
        <v/>
      </c>
      <c r="S4" s="45">
        <f>IF(ABS(MOD(ABS((O4*P4*R4)),1)-0.5)&lt;1E-9,2*ROUND((O4*P4*R4)/2,0),ROUND((O4*P4*R4),0))</f>
        <v/>
      </c>
      <c r="T4" s="46">
        <f>IF(AND(B4="South Korea",scenario="MID"),korea_mid_load,load_sel)</f>
        <v/>
      </c>
      <c r="U4" s="47">
        <f>pax_cap*T4</f>
        <v/>
      </c>
      <c r="V4" s="45">
        <f>U4*S4</f>
        <v/>
      </c>
      <c r="W4" s="48">
        <f>H4*discount</f>
        <v/>
      </c>
      <c r="X4" s="49">
        <f>W4*V4</f>
        <v/>
      </c>
      <c r="Y4" s="49">
        <f>(battery/range_nm)*G4*S4*VLOOKUP(B4,country_opex,3,FALSE)</f>
        <v/>
      </c>
      <c r="Z4" s="49">
        <f>VLOOKUP(B4,country_opex,2,FALSE)*crew_factor</f>
        <v/>
      </c>
      <c r="AA4" s="49">
        <f>VLOOKUP(B4,country_opex,5,FALSE)</f>
        <v/>
      </c>
      <c r="AB4" s="49">
        <f>maint</f>
        <v/>
      </c>
      <c r="AC4" s="49">
        <f>VLOOKUP(B4,country_opex,7,FALSE)*ins_pct</f>
        <v/>
      </c>
      <c r="AD4" s="49">
        <f>charge_berth</f>
        <v/>
      </c>
      <c r="AE4" s="49">
        <f>Y4+Z4+AA4+AB4+AC4+AD4</f>
        <v/>
      </c>
      <c r="AF4" s="49">
        <f>VLOOKUP(B4,country_opex,7,FALSE)/dep_years</f>
        <v/>
      </c>
      <c r="AG4" s="49">
        <f>X4-AE4</f>
        <v/>
      </c>
      <c r="AH4" s="46">
        <f>IF(X4=0,"",AG4/X4)</f>
        <v/>
      </c>
      <c r="AI4" s="47">
        <f>IF(AG4&lt;=0,"",VLOOKUP(B4,country_opex,7,FALSE)/AG4)</f>
        <v/>
      </c>
      <c r="AJ4" s="44">
        <f>((G4*S4/diesel_nmpg)*diesel_co2pg-(battery/range_nm)*G4*S4*VLOOKUP(B4,country_opex,4,FALSE))/1000</f>
        <v/>
      </c>
      <c r="AK4" s="42" t="n"/>
      <c r="AL4" s="43" t="n"/>
      <c r="AM4" s="43" t="n"/>
      <c r="AN4" s="50" t="n">
        <v>0.1</v>
      </c>
      <c r="AO4" s="45">
        <f>IF(AK4="","",AK4*AN4)</f>
        <v/>
      </c>
      <c r="AP4" s="45">
        <f>IF(OR(AK4="",V4=0),"",MIN(IF(AX4="",9.9E+99,AX4),FLOOR(AO4/V4,1)))</f>
        <v/>
      </c>
      <c r="AQ4" s="49">
        <f>IF(AP4="","",AP4*IF(ABS(MOD(ABS((X4)),1)-0.5)&lt;1E-9,2*ROUND((X4)/2,0),ROUND((X4),0)))</f>
        <v/>
      </c>
      <c r="AR4" s="47">
        <f>IF(OR(AK4="",V4=0),"",MIN(IF(AX4="",9.9E+99,AX4),AO4/V4))</f>
        <v/>
      </c>
      <c r="AS4" s="49">
        <f>IF(AR4="","",AR4*IF(B4="South Korea",IF(ABS(MOD(ABS((X4)),1)-0.5)&lt;1E-9,2*ROUND((X4)/2,0),ROUND((X4),0)),X4))</f>
        <v/>
      </c>
      <c r="AT4" s="51" t="n"/>
      <c r="AU4" s="43" t="inlineStr">
        <is>
          <t>Estimated</t>
        </is>
      </c>
      <c r="AV4" s="52" t="n"/>
      <c r="AW4" s="52" t="n"/>
      <c r="AX4" s="53" t="n"/>
      <c r="AY4" s="54">
        <f>IF(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&lt;=0,"",VLOOKUP(B4,country_opex,7,FALSE)/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)</f>
        <v/>
      </c>
      <c r="AZ4" s="54">
        <f>IF(((W4*pax_cap*IF(B4="South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Korea",korea_mid_revleg,revleg_mid)),0))*VLOOKUP(B4,country_opex,3,FALSE))+Z4+AA4+AB4+AC4+AD4))&lt;=0,"",VLOOKUP(B4,country_opex,7,FALSE)/((W4*pax_cap*IF(B4="South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Korea",korea_mid_revleg,revleg_mid)),0))*VLOOKUP(B4,country_opex,3,FALSE))+Z4+AA4+AB4+AC4+AD4)))</f>
        <v/>
      </c>
      <c r="BA4" s="54">
        <f>IF(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&lt;=0,"",VLOOKUP(B4,country_opex,7,FALSE)/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)</f>
        <v/>
      </c>
      <c r="BB4" s="40" t="n"/>
      <c r="BC4" s="40" t="n"/>
      <c r="BD4" s="43" t="inlineStr">
        <is>
          <t>rn-68329d377c1b</t>
        </is>
      </c>
    </row>
    <row r="5">
      <c r="A5" s="38" t="inlineStr">
        <is>
          <t>Yassir Algeria</t>
        </is>
      </c>
      <c r="B5" s="38" t="inlineStr">
        <is>
          <t>Algeria</t>
        </is>
      </c>
      <c r="C5" s="39" t="inlineStr">
        <is>
          <t>Gare Maritime / Port d'Oran → Ain El Turck / Kristel waterfront</t>
        </is>
      </c>
      <c r="D5" s="38" t="inlineStr">
        <is>
          <t>yassir</t>
        </is>
      </c>
      <c r="E5" s="40" t="inlineStr">
        <is>
          <t>yassir-algeria</t>
        </is>
      </c>
      <c r="F5" s="41" t="n">
        <v>1</v>
      </c>
      <c r="G5" s="42" t="n">
        <v>2.3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IF(B5="South Korea",G5/korea_charge_range_nm*korea_full_range_charge_min,0)</f>
        <v/>
      </c>
      <c r="N5" s="44">
        <f>IF(B5="South Korea",L5+korea_turn_min+korea_dwell_min+M5,L5+turn_min+dwell_min)</f>
        <v/>
      </c>
      <c r="O5" s="45">
        <f>IF(B5="South Korea",FLOOR(60*korea_service_hr/N5,1),MIN(15,FLOOR(60*service_hr/N5,1)))</f>
        <v/>
      </c>
      <c r="P5" s="45">
        <f>IF(ABS(MOD(ABS((365*mech_uptime*K5)),1)-0.5)&lt;1E-9,2*ROUND((365*mech_uptime*K5)/2,0),ROUND((365*mech_uptime*K5),0))</f>
        <v/>
      </c>
      <c r="Q5" s="46">
        <f>mech_uptime</f>
        <v/>
      </c>
      <c r="R5" s="46">
        <f>IF(AND(B5="South Korea",scenario="MID"),korea_mid_revleg,revleg_sel)</f>
        <v/>
      </c>
      <c r="S5" s="45">
        <f>IF(ABS(MOD(ABS((O5*P5*R5)),1)-0.5)&lt;1E-9,2*ROUND((O5*P5*R5)/2,0),ROUND((O5*P5*R5),0))</f>
        <v/>
      </c>
      <c r="T5" s="46">
        <f>IF(AND(B5="South Korea",scenario="MID"),korea_mid_load,load_sel)</f>
        <v/>
      </c>
      <c r="U5" s="47">
        <f>pax_cap*T5</f>
        <v/>
      </c>
      <c r="V5" s="45">
        <f>U5*S5</f>
        <v/>
      </c>
      <c r="W5" s="48">
        <f>H5*discount</f>
        <v/>
      </c>
      <c r="X5" s="49">
        <f>W5*V5</f>
        <v/>
      </c>
      <c r="Y5" s="49">
        <f>(battery/range_nm)*G5*S5*VLOOKUP(B5,country_opex,3,FALSE)</f>
        <v/>
      </c>
      <c r="Z5" s="49">
        <f>VLOOKUP(B5,country_opex,2,FALSE)*crew_factor</f>
        <v/>
      </c>
      <c r="AA5" s="49">
        <f>VLOOKUP(B5,country_opex,5,FALSE)</f>
        <v/>
      </c>
      <c r="AB5" s="49">
        <f>maint</f>
        <v/>
      </c>
      <c r="AC5" s="49">
        <f>VLOOKUP(B5,country_opex,7,FALSE)*ins_pct</f>
        <v/>
      </c>
      <c r="AD5" s="49">
        <f>charge_berth</f>
        <v/>
      </c>
      <c r="AE5" s="49">
        <f>Y5+Z5+AA5+AB5+AC5+AD5</f>
        <v/>
      </c>
      <c r="AF5" s="49">
        <f>VLOOKUP(B5,country_opex,7,FALSE)/dep_years</f>
        <v/>
      </c>
      <c r="AG5" s="49">
        <f>X5-AE5</f>
        <v/>
      </c>
      <c r="AH5" s="46">
        <f>IF(X5=0,"",AG5/X5)</f>
        <v/>
      </c>
      <c r="AI5" s="47">
        <f>IF(AG5&lt;=0,"",VLOOKUP(B5,country_opex,7,FALSE)/AG5)</f>
        <v/>
      </c>
      <c r="AJ5" s="44">
        <f>((G5*S5/diesel_nmpg)*diesel_co2pg-(battery/range_nm)*G5*S5*VLOOKUP(B5,country_opex,4,FALSE))/1000</f>
        <v/>
      </c>
      <c r="AK5" s="42" t="n"/>
      <c r="AL5" s="43" t="n"/>
      <c r="AM5" s="43" t="n"/>
      <c r="AN5" s="50" t="n">
        <v>0.1</v>
      </c>
      <c r="AO5" s="45">
        <f>IF(AK5="","",AK5*AN5)</f>
        <v/>
      </c>
      <c r="AP5" s="45">
        <f>IF(OR(AK5="",V5=0),"",MIN(IF(AX5="",9.9E+99,AX5),FLOOR(AO5/V5,1)))</f>
        <v/>
      </c>
      <c r="AQ5" s="49">
        <f>IF(AP5="","",AP5*IF(ABS(MOD(ABS((X5)),1)-0.5)&lt;1E-9,2*ROUND((X5)/2,0),ROUND((X5),0)))</f>
        <v/>
      </c>
      <c r="AR5" s="47">
        <f>IF(OR(AK5="",V5=0),"",MIN(IF(AX5="",9.9E+99,AX5),AO5/V5))</f>
        <v/>
      </c>
      <c r="AS5" s="49">
        <f>IF(AR5="","",AR5*IF(B5="South Korea",IF(ABS(MOD(ABS((X5)),1)-0.5)&lt;1E-9,2*ROUND((X5)/2,0),ROUND((X5),0)),X5))</f>
        <v/>
      </c>
      <c r="AT5" s="51" t="n"/>
      <c r="AU5" s="43" t="inlineStr">
        <is>
          <t>Estimated</t>
        </is>
      </c>
      <c r="AV5" s="52" t="n"/>
      <c r="AW5" s="52" t="n"/>
      <c r="AX5" s="53" t="n"/>
      <c r="AY5" s="54">
        <f>IF(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&lt;=0,"",VLOOKUP(B5,country_opex,7,FALSE)/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)</f>
        <v/>
      </c>
      <c r="AZ5" s="54">
        <f>IF(((W5*pax_cap*IF(B5="South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Korea",korea_mid_revleg,revleg_mid)),0))*VLOOKUP(B5,country_opex,3,FALSE))+Z5+AA5+AB5+AC5+AD5))&lt;=0,"",VLOOKUP(B5,country_opex,7,FALSE)/((W5*pax_cap*IF(B5="South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Korea",korea_mid_revleg,revleg_mid)),0))*VLOOKUP(B5,country_opex,3,FALSE))+Z5+AA5+AB5+AC5+AD5)))</f>
        <v/>
      </c>
      <c r="BA5" s="54">
        <f>IF(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&lt;=0,"",VLOOKUP(B5,country_opex,7,FALSE)/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)</f>
        <v/>
      </c>
      <c r="BB5" s="40" t="n"/>
      <c r="BC5" s="40" t="n"/>
      <c r="BD5" s="43" t="inlineStr">
        <is>
          <t>rn-10e3075622ec</t>
        </is>
      </c>
    </row>
    <row r="6">
      <c r="A6" s="38" t="inlineStr">
        <is>
          <t>Yassir Algeria</t>
        </is>
      </c>
      <c r="B6" s="38" t="inlineStr">
        <is>
          <t>Algeria</t>
        </is>
      </c>
      <c r="C6" s="39" t="inlineStr">
        <is>
          <t>La Pêcherie / Port d'Alger / Gare Maritime → Aïn Taya / Bordj El Kiffan eastern bay</t>
        </is>
      </c>
      <c r="D6" s="38" t="inlineStr">
        <is>
          <t>yassir</t>
        </is>
      </c>
      <c r="E6" s="40" t="inlineStr">
        <is>
          <t>yassir-algeria</t>
        </is>
      </c>
      <c r="F6" s="41" t="n">
        <v>1</v>
      </c>
      <c r="G6" s="42" t="n">
        <v>6.45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IF(B6="South Korea",G6/korea_charge_range_nm*korea_full_range_charge_min,0)</f>
        <v/>
      </c>
      <c r="N6" s="44">
        <f>IF(B6="South Korea",L6+korea_turn_min+korea_dwell_min+M6,L6+turn_min+dwell_min)</f>
        <v/>
      </c>
      <c r="O6" s="45">
        <f>IF(B6="South Korea",FLOOR(60*korea_service_hr/N6,1),MIN(15,FLOOR(60*service_hr/N6,1)))</f>
        <v/>
      </c>
      <c r="P6" s="45">
        <f>IF(ABS(MOD(ABS((365*mech_uptime*K6)),1)-0.5)&lt;1E-9,2*ROUND((365*mech_uptime*K6)/2,0),ROUND((365*mech_uptime*K6),0))</f>
        <v/>
      </c>
      <c r="Q6" s="46">
        <f>mech_uptime</f>
        <v/>
      </c>
      <c r="R6" s="46">
        <f>IF(AND(B6="South Korea",scenario="MID"),korea_mid_revleg,revleg_sel)</f>
        <v/>
      </c>
      <c r="S6" s="45">
        <f>IF(ABS(MOD(ABS((O6*P6*R6)),1)-0.5)&lt;1E-9,2*ROUND((O6*P6*R6)/2,0),ROUND((O6*P6*R6),0))</f>
        <v/>
      </c>
      <c r="T6" s="46">
        <f>IF(AND(B6="South Korea",scenario="MID"),korea_mid_load,load_sel)</f>
        <v/>
      </c>
      <c r="U6" s="47">
        <f>pax_cap*T6</f>
        <v/>
      </c>
      <c r="V6" s="45">
        <f>U6*S6</f>
        <v/>
      </c>
      <c r="W6" s="48">
        <f>H6*discount</f>
        <v/>
      </c>
      <c r="X6" s="49">
        <f>W6*V6</f>
        <v/>
      </c>
      <c r="Y6" s="49">
        <f>(battery/range_nm)*G6*S6*VLOOKUP(B6,country_opex,3,FALSE)</f>
        <v/>
      </c>
      <c r="Z6" s="49">
        <f>VLOOKUP(B6,country_opex,2,FALSE)*crew_factor</f>
        <v/>
      </c>
      <c r="AA6" s="49">
        <f>VLOOKUP(B6,country_opex,5,FALSE)</f>
        <v/>
      </c>
      <c r="AB6" s="49">
        <f>maint</f>
        <v/>
      </c>
      <c r="AC6" s="49">
        <f>VLOOKUP(B6,country_opex,7,FALSE)*ins_pct</f>
        <v/>
      </c>
      <c r="AD6" s="49">
        <f>charge_berth</f>
        <v/>
      </c>
      <c r="AE6" s="49">
        <f>Y6+Z6+AA6+AB6+AC6+AD6</f>
        <v/>
      </c>
      <c r="AF6" s="49">
        <f>VLOOKUP(B6,country_opex,7,FALSE)/dep_years</f>
        <v/>
      </c>
      <c r="AG6" s="49">
        <f>X6-AE6</f>
        <v/>
      </c>
      <c r="AH6" s="46">
        <f>IF(X6=0,"",AG6/X6)</f>
        <v/>
      </c>
      <c r="AI6" s="47">
        <f>IF(AG6&lt;=0,"",VLOOKUP(B6,country_opex,7,FALSE)/AG6)</f>
        <v/>
      </c>
      <c r="AJ6" s="44">
        <f>((G6*S6/diesel_nmpg)*diesel_co2pg-(battery/range_nm)*G6*S6*VLOOKUP(B6,country_opex,4,FALSE))/1000</f>
        <v/>
      </c>
      <c r="AK6" s="42" t="n"/>
      <c r="AL6" s="43" t="n"/>
      <c r="AM6" s="43" t="n"/>
      <c r="AN6" s="50" t="n">
        <v>0.1</v>
      </c>
      <c r="AO6" s="45">
        <f>IF(AK6="","",AK6*AN6)</f>
        <v/>
      </c>
      <c r="AP6" s="45">
        <f>IF(OR(AK6="",V6=0),"",MIN(IF(AX6="",9.9E+99,AX6),FLOOR(AO6/V6,1)))</f>
        <v/>
      </c>
      <c r="AQ6" s="49">
        <f>IF(AP6="","",AP6*IF(ABS(MOD(ABS((X6)),1)-0.5)&lt;1E-9,2*ROUND((X6)/2,0),ROUND((X6),0)))</f>
        <v/>
      </c>
      <c r="AR6" s="47">
        <f>IF(OR(AK6="",V6=0),"",MIN(IF(AX6="",9.9E+99,AX6),AO6/V6))</f>
        <v/>
      </c>
      <c r="AS6" s="49">
        <f>IF(AR6="","",AR6*IF(B6="South Korea",IF(ABS(MOD(ABS((X6)),1)-0.5)&lt;1E-9,2*ROUND((X6)/2,0),ROUND((X6),0)),X6))</f>
        <v/>
      </c>
      <c r="AT6" s="51" t="n"/>
      <c r="AU6" s="43" t="inlineStr">
        <is>
          <t>Estimated</t>
        </is>
      </c>
      <c r="AV6" s="52" t="n"/>
      <c r="AW6" s="52" t="n"/>
      <c r="AX6" s="53" t="n"/>
      <c r="AY6" s="54">
        <f>IF(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&lt;=0,"",VLOOKUP(B6,country_opex,7,FALSE)/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)</f>
        <v/>
      </c>
      <c r="AZ6" s="54">
        <f>IF(((W6*pax_cap*IF(B6="South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Korea",korea_mid_revleg,revleg_mid)),0))*VLOOKUP(B6,country_opex,3,FALSE))+Z6+AA6+AB6+AC6+AD6))&lt;=0,"",VLOOKUP(B6,country_opex,7,FALSE)/((W6*pax_cap*IF(B6="South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Korea",korea_mid_revleg,revleg_mid)),0))*VLOOKUP(B6,country_opex,3,FALSE))+Z6+AA6+AB6+AC6+AD6)))</f>
        <v/>
      </c>
      <c r="BA6" s="54">
        <f>IF(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&lt;=0,"",VLOOKUP(B6,country_opex,7,FALSE)/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)</f>
        <v/>
      </c>
      <c r="BB6" s="40" t="n"/>
      <c r="BC6" s="40" t="n"/>
      <c r="BD6" s="43" t="inlineStr">
        <is>
          <t>rn-34e5a96bbb0f</t>
        </is>
      </c>
    </row>
    <row r="7">
      <c r="A7" s="38" t="inlineStr">
        <is>
          <t>Yassir Algeria</t>
        </is>
      </c>
      <c r="B7" s="38" t="inlineStr">
        <is>
          <t>Algeria</t>
        </is>
      </c>
      <c r="C7" s="39" t="inlineStr">
        <is>
          <t>La Pêcherie / Port d'Alger → El Djamila / Aïn Bénian</t>
        </is>
      </c>
      <c r="D7" s="38" t="inlineStr">
        <is>
          <t>yassir</t>
        </is>
      </c>
      <c r="E7" s="40" t="inlineStr">
        <is>
          <t>yassir-algeria</t>
        </is>
      </c>
      <c r="F7" s="41" t="n">
        <v>1</v>
      </c>
      <c r="G7" s="42" t="n">
        <v>8.5</v>
      </c>
      <c r="H7" s="35" t="n">
        <v>18</v>
      </c>
      <c r="I7" s="43" t="n"/>
      <c r="J7" s="43" t="n"/>
      <c r="K7" s="29" t="n">
        <v>1</v>
      </c>
      <c r="L7" s="44">
        <f>60*G7/cruise_kt</f>
        <v/>
      </c>
      <c r="M7" s="44">
        <f>IF(B7="South Korea",G7/korea_charge_range_nm*korea_full_range_charge_min,0)</f>
        <v/>
      </c>
      <c r="N7" s="44">
        <f>IF(B7="South Korea",L7+korea_turn_min+korea_dwell_min+M7,L7+turn_min+dwell_min)</f>
        <v/>
      </c>
      <c r="O7" s="45">
        <f>IF(B7="South Korea",FLOOR(60*korea_service_hr/N7,1),MIN(15,FLOOR(60*service_hr/N7,1)))</f>
        <v/>
      </c>
      <c r="P7" s="45">
        <f>IF(ABS(MOD(ABS((365*mech_uptime*K7)),1)-0.5)&lt;1E-9,2*ROUND((365*mech_uptime*K7)/2,0),ROUND((365*mech_uptime*K7),0))</f>
        <v/>
      </c>
      <c r="Q7" s="46">
        <f>mech_uptime</f>
        <v/>
      </c>
      <c r="R7" s="46">
        <f>IF(AND(B7="South Korea",scenario="MID"),korea_mid_revleg,revleg_sel)</f>
        <v/>
      </c>
      <c r="S7" s="45">
        <f>IF(ABS(MOD(ABS((O7*P7*R7)),1)-0.5)&lt;1E-9,2*ROUND((O7*P7*R7)/2,0),ROUND((O7*P7*R7),0))</f>
        <v/>
      </c>
      <c r="T7" s="46">
        <f>IF(AND(B7="South Korea",scenario="MID"),korea_mid_load,load_sel)</f>
        <v/>
      </c>
      <c r="U7" s="47">
        <f>pax_cap*T7</f>
        <v/>
      </c>
      <c r="V7" s="45">
        <f>U7*S7</f>
        <v/>
      </c>
      <c r="W7" s="48">
        <f>H7*discount</f>
        <v/>
      </c>
      <c r="X7" s="49">
        <f>W7*V7</f>
        <v/>
      </c>
      <c r="Y7" s="49">
        <f>(battery/range_nm)*G7*S7*VLOOKUP(B7,country_opex,3,FALSE)</f>
        <v/>
      </c>
      <c r="Z7" s="49">
        <f>VLOOKUP(B7,country_opex,2,FALSE)*crew_factor</f>
        <v/>
      </c>
      <c r="AA7" s="49">
        <f>VLOOKUP(B7,country_opex,5,FALSE)</f>
        <v/>
      </c>
      <c r="AB7" s="49">
        <f>maint</f>
        <v/>
      </c>
      <c r="AC7" s="49">
        <f>VLOOKUP(B7,country_opex,7,FALSE)*ins_pct</f>
        <v/>
      </c>
      <c r="AD7" s="49">
        <f>charge_berth</f>
        <v/>
      </c>
      <c r="AE7" s="49">
        <f>Y7+Z7+AA7+AB7+AC7+AD7</f>
        <v/>
      </c>
      <c r="AF7" s="49">
        <f>VLOOKUP(B7,country_opex,7,FALSE)/dep_years</f>
        <v/>
      </c>
      <c r="AG7" s="49">
        <f>X7-AE7</f>
        <v/>
      </c>
      <c r="AH7" s="46">
        <f>IF(X7=0,"",AG7/X7)</f>
        <v/>
      </c>
      <c r="AI7" s="47">
        <f>IF(AG7&lt;=0,"",VLOOKUP(B7,country_opex,7,FALSE)/AG7)</f>
        <v/>
      </c>
      <c r="AJ7" s="44">
        <f>((G7*S7/diesel_nmpg)*diesel_co2pg-(battery/range_nm)*G7*S7*VLOOKUP(B7,country_opex,4,FALSE))/1000</f>
        <v/>
      </c>
      <c r="AK7" s="42" t="n">
        <v>170280</v>
      </c>
      <c r="AL7" s="43" t="n"/>
      <c r="AM7" s="43" t="n"/>
      <c r="AN7" s="50" t="n">
        <v>0.1</v>
      </c>
      <c r="AO7" s="45">
        <f>IF(AK7="","",AK7*AN7)</f>
        <v/>
      </c>
      <c r="AP7" s="45">
        <f>IF(OR(AK7="",V7=0),"",MIN(IF(AX7="",9.9E+99,AX7),FLOOR(AO7/V7,1)))</f>
        <v/>
      </c>
      <c r="AQ7" s="49">
        <f>IF(AP7="","",AP7*IF(ABS(MOD(ABS((X7)),1)-0.5)&lt;1E-9,2*ROUND((X7)/2,0),ROUND((X7),0)))</f>
        <v/>
      </c>
      <c r="AR7" s="47">
        <f>IF(OR(AK7="",V7=0),"",MIN(IF(AX7="",9.9E+99,AX7),AO7/V7))</f>
        <v/>
      </c>
      <c r="AS7" s="49">
        <f>IF(AR7="","",AR7*IF(B7="South Korea",IF(ABS(MOD(ABS((X7)),1)-0.5)&lt;1E-9,2*ROUND((X7)/2,0),ROUND((X7),0)),X7))</f>
        <v/>
      </c>
      <c r="AT7" s="51" t="n"/>
      <c r="AU7" s="43" t="inlineStr">
        <is>
          <t>Grounded</t>
        </is>
      </c>
      <c r="AV7" s="52" t="n"/>
      <c r="AW7" s="52" t="n"/>
      <c r="AX7" s="53" t="n"/>
      <c r="AY7" s="54">
        <f>IF(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&lt;=0,"",VLOOKUP(B7,country_opex,7,FALSE)/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)</f>
        <v/>
      </c>
      <c r="AZ7" s="54">
        <f>IF(((W7*pax_cap*IF(B7="South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Korea",korea_mid_revleg,revleg_mid)),0))*VLOOKUP(B7,country_opex,3,FALSE))+Z7+AA7+AB7+AC7+AD7))&lt;=0,"",VLOOKUP(B7,country_opex,7,FALSE)/((W7*pax_cap*IF(B7="South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Korea",korea_mid_revleg,revleg_mid)),0))*VLOOKUP(B7,country_opex,3,FALSE))+Z7+AA7+AB7+AC7+AD7)))</f>
        <v/>
      </c>
      <c r="BA7" s="54">
        <f>IF(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&lt;=0,"",VLOOKUP(B7,country_opex,7,FALSE)/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)</f>
        <v/>
      </c>
      <c r="BB7" s="40" t="inlineStr">
        <is>
          <t xml:space="preserve">[LB-255 PREMIUM RE-FARE: subsidized comparable $3.7 lifted to premium on-demand floor $18.0] </t>
        </is>
      </c>
      <c r="BC7" s="40" t="n"/>
      <c r="BD7" s="43" t="inlineStr">
        <is>
          <t>rn-725099096c9e</t>
        </is>
      </c>
    </row>
    <row r="8">
      <c r="A8" s="38" t="inlineStr">
        <is>
          <t>Yassir Algeria</t>
        </is>
      </c>
      <c r="B8" s="38" t="inlineStr">
        <is>
          <t>Algeria</t>
        </is>
      </c>
      <c r="C8" s="39" t="inlineStr">
        <is>
          <t>La Pêcherie / Port d'Alger / Gare Maritime → Tamentfoust (east bay harbour)</t>
        </is>
      </c>
      <c r="D8" s="38" t="inlineStr">
        <is>
          <t>yassir</t>
        </is>
      </c>
      <c r="E8" s="40" t="inlineStr">
        <is>
          <t>yassir-algeria</t>
        </is>
      </c>
      <c r="F8" s="41" t="n">
        <v>1</v>
      </c>
      <c r="G8" s="42" t="n">
        <v>10.3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IF(B8="South Korea",G8/korea_charge_range_nm*korea_full_range_charge_min,0)</f>
        <v/>
      </c>
      <c r="N8" s="44">
        <f>IF(B8="South Korea",L8+korea_turn_min+korea_dwell_min+M8,L8+turn_min+dwell_min)</f>
        <v/>
      </c>
      <c r="O8" s="45">
        <f>IF(B8="South Korea",FLOOR(60*korea_service_hr/N8,1),MIN(15,FLOOR(60*service_hr/N8,1)))</f>
        <v/>
      </c>
      <c r="P8" s="45">
        <f>IF(ABS(MOD(ABS((365*mech_uptime*K8)),1)-0.5)&lt;1E-9,2*ROUND((365*mech_uptime*K8)/2,0),ROUND((365*mech_uptime*K8),0))</f>
        <v/>
      </c>
      <c r="Q8" s="46">
        <f>mech_uptime</f>
        <v/>
      </c>
      <c r="R8" s="46">
        <f>IF(AND(B8="South Korea",scenario="MID"),korea_mid_revleg,revleg_sel)</f>
        <v/>
      </c>
      <c r="S8" s="45">
        <f>IF(ABS(MOD(ABS((O8*P8*R8)),1)-0.5)&lt;1E-9,2*ROUND((O8*P8*R8)/2,0),ROUND((O8*P8*R8),0))</f>
        <v/>
      </c>
      <c r="T8" s="46">
        <f>IF(AND(B8="South Korea",scenario="MID"),korea_mid_load,load_sel)</f>
        <v/>
      </c>
      <c r="U8" s="47">
        <f>pax_cap*T8</f>
        <v/>
      </c>
      <c r="V8" s="45">
        <f>U8*S8</f>
        <v/>
      </c>
      <c r="W8" s="48">
        <f>H8*discount</f>
        <v/>
      </c>
      <c r="X8" s="49">
        <f>W8*V8</f>
        <v/>
      </c>
      <c r="Y8" s="49">
        <f>(battery/range_nm)*G8*S8*VLOOKUP(B8,country_opex,3,FALSE)</f>
        <v/>
      </c>
      <c r="Z8" s="49">
        <f>VLOOKUP(B8,country_opex,2,FALSE)*crew_factor</f>
        <v/>
      </c>
      <c r="AA8" s="49">
        <f>VLOOKUP(B8,country_opex,5,FALSE)</f>
        <v/>
      </c>
      <c r="AB8" s="49">
        <f>maint</f>
        <v/>
      </c>
      <c r="AC8" s="49">
        <f>VLOOKUP(B8,country_opex,7,FALSE)*ins_pct</f>
        <v/>
      </c>
      <c r="AD8" s="49">
        <f>charge_berth</f>
        <v/>
      </c>
      <c r="AE8" s="49">
        <f>Y8+Z8+AA8+AB8+AC8+AD8</f>
        <v/>
      </c>
      <c r="AF8" s="49">
        <f>VLOOKUP(B8,country_opex,7,FALSE)/dep_years</f>
        <v/>
      </c>
      <c r="AG8" s="49">
        <f>X8-AE8</f>
        <v/>
      </c>
      <c r="AH8" s="46">
        <f>IF(X8=0,"",AG8/X8)</f>
        <v/>
      </c>
      <c r="AI8" s="47">
        <f>IF(AG8&lt;=0,"",VLOOKUP(B8,country_opex,7,FALSE)/AG8)</f>
        <v/>
      </c>
      <c r="AJ8" s="44">
        <f>((G8*S8/diesel_nmpg)*diesel_co2pg-(battery/range_nm)*G8*S8*VLOOKUP(B8,country_opex,4,FALSE))/1000</f>
        <v/>
      </c>
      <c r="AK8" s="42" t="n"/>
      <c r="AL8" s="43" t="n"/>
      <c r="AM8" s="43" t="n"/>
      <c r="AN8" s="50" t="n">
        <v>0.1</v>
      </c>
      <c r="AO8" s="45">
        <f>IF(AK8="","",AK8*AN8)</f>
        <v/>
      </c>
      <c r="AP8" s="45">
        <f>IF(OR(AK8="",V8=0),"",MIN(IF(AX8="",9.9E+99,AX8),FLOOR(AO8/V8,1)))</f>
        <v/>
      </c>
      <c r="AQ8" s="49">
        <f>IF(AP8="","",AP8*IF(ABS(MOD(ABS((X8)),1)-0.5)&lt;1E-9,2*ROUND((X8)/2,0),ROUND((X8),0)))</f>
        <v/>
      </c>
      <c r="AR8" s="47">
        <f>IF(OR(AK8="",V8=0),"",MIN(IF(AX8="",9.9E+99,AX8),AO8/V8))</f>
        <v/>
      </c>
      <c r="AS8" s="49">
        <f>IF(AR8="","",AR8*IF(B8="South Korea",IF(ABS(MOD(ABS((X8)),1)-0.5)&lt;1E-9,2*ROUND((X8)/2,0),ROUND((X8),0)),X8))</f>
        <v/>
      </c>
      <c r="AT8" s="51" t="n"/>
      <c r="AU8" s="43" t="inlineStr">
        <is>
          <t>Estimated</t>
        </is>
      </c>
      <c r="AV8" s="52" t="n"/>
      <c r="AW8" s="52" t="n"/>
      <c r="AX8" s="53" t="n"/>
      <c r="AY8" s="54">
        <f>IF(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&lt;=0,"",VLOOKUP(B8,country_opex,7,FALSE)/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)</f>
        <v/>
      </c>
      <c r="AZ8" s="54">
        <f>IF(((W8*pax_cap*IF(B8="South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Korea",korea_mid_revleg,revleg_mid)),0))*VLOOKUP(B8,country_opex,3,FALSE))+Z8+AA8+AB8+AC8+AD8))&lt;=0,"",VLOOKUP(B8,country_opex,7,FALSE)/((W8*pax_cap*IF(B8="South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Korea",korea_mid_revleg,revleg_mid)),0))*VLOOKUP(B8,country_opex,3,FALSE))+Z8+AA8+AB8+AC8+AD8)))</f>
        <v/>
      </c>
      <c r="BA8" s="54">
        <f>IF(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&lt;=0,"",VLOOKUP(B8,country_opex,7,FALSE)/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)</f>
        <v/>
      </c>
      <c r="BB8" s="40" t="n"/>
      <c r="BC8" s="40" t="n"/>
      <c r="BD8" s="43" t="inlineStr">
        <is>
          <t>rn-cfbf3e236a28</t>
        </is>
      </c>
    </row>
    <row r="9">
      <c r="A9" s="38" t="inlineStr">
        <is>
          <t>Yassir Algeria</t>
        </is>
      </c>
      <c r="B9" s="38" t="inlineStr">
        <is>
          <t>Algeria</t>
        </is>
      </c>
      <c r="C9" s="39" t="inlineStr">
        <is>
          <t>Sidi Fredj marina → La Pêcherie / Port d'Alger / Gare Maritime</t>
        </is>
      </c>
      <c r="D9" s="38" t="inlineStr">
        <is>
          <t>yassir</t>
        </is>
      </c>
      <c r="E9" s="40" t="inlineStr">
        <is>
          <t>yassir-algeria</t>
        </is>
      </c>
      <c r="F9" s="41" t="n">
        <v>1</v>
      </c>
      <c r="G9" s="42" t="n">
        <v>11.54</v>
      </c>
      <c r="H9" s="35" t="n"/>
      <c r="I9" s="43" t="n"/>
      <c r="J9" s="43" t="n"/>
      <c r="K9" s="29" t="n">
        <v>1</v>
      </c>
      <c r="L9" s="44">
        <f>60*G9/cruise_kt</f>
        <v/>
      </c>
      <c r="M9" s="44">
        <f>IF(B9="South Korea",G9/korea_charge_range_nm*korea_full_range_charge_min,0)</f>
        <v/>
      </c>
      <c r="N9" s="44">
        <f>IF(B9="South Korea",L9+korea_turn_min+korea_dwell_min+M9,L9+turn_min+dwell_min)</f>
        <v/>
      </c>
      <c r="O9" s="45">
        <f>IF(B9="South Korea",FLOOR(60*korea_service_hr/N9,1),MIN(15,FLOOR(60*service_hr/N9,1)))</f>
        <v/>
      </c>
      <c r="P9" s="45">
        <f>IF(ABS(MOD(ABS((365*mech_uptime*K9)),1)-0.5)&lt;1E-9,2*ROUND((365*mech_uptime*K9)/2,0),ROUND((365*mech_uptime*K9),0))</f>
        <v/>
      </c>
      <c r="Q9" s="46">
        <f>mech_uptime</f>
        <v/>
      </c>
      <c r="R9" s="46">
        <f>IF(AND(B9="South Korea",scenario="MID"),korea_mid_revleg,revleg_sel)</f>
        <v/>
      </c>
      <c r="S9" s="45">
        <f>IF(ABS(MOD(ABS((O9*P9*R9)),1)-0.5)&lt;1E-9,2*ROUND((O9*P9*R9)/2,0),ROUND((O9*P9*R9),0))</f>
        <v/>
      </c>
      <c r="T9" s="46">
        <f>IF(AND(B9="South Korea",scenario="MID"),korea_mid_load,load_sel)</f>
        <v/>
      </c>
      <c r="U9" s="47">
        <f>pax_cap*T9</f>
        <v/>
      </c>
      <c r="V9" s="45">
        <f>U9*S9</f>
        <v/>
      </c>
      <c r="W9" s="48">
        <f>H9*discount</f>
        <v/>
      </c>
      <c r="X9" s="49">
        <f>W9*V9</f>
        <v/>
      </c>
      <c r="Y9" s="49">
        <f>(battery/range_nm)*G9*S9*VLOOKUP(B9,country_opex,3,FALSE)</f>
        <v/>
      </c>
      <c r="Z9" s="49">
        <f>VLOOKUP(B9,country_opex,2,FALSE)*crew_factor</f>
        <v/>
      </c>
      <c r="AA9" s="49">
        <f>VLOOKUP(B9,country_opex,5,FALSE)</f>
        <v/>
      </c>
      <c r="AB9" s="49">
        <f>maint</f>
        <v/>
      </c>
      <c r="AC9" s="49">
        <f>VLOOKUP(B9,country_opex,7,FALSE)*ins_pct</f>
        <v/>
      </c>
      <c r="AD9" s="49">
        <f>charge_berth</f>
        <v/>
      </c>
      <c r="AE9" s="49">
        <f>Y9+Z9+AA9+AB9+AC9+AD9</f>
        <v/>
      </c>
      <c r="AF9" s="49">
        <f>VLOOKUP(B9,country_opex,7,FALSE)/dep_years</f>
        <v/>
      </c>
      <c r="AG9" s="49">
        <f>X9-AE9</f>
        <v/>
      </c>
      <c r="AH9" s="46">
        <f>IF(X9=0,"",AG9/X9)</f>
        <v/>
      </c>
      <c r="AI9" s="47">
        <f>IF(AG9&lt;=0,"",VLOOKUP(B9,country_opex,7,FALSE)/AG9)</f>
        <v/>
      </c>
      <c r="AJ9" s="44">
        <f>((G9*S9/diesel_nmpg)*diesel_co2pg-(battery/range_nm)*G9*S9*VLOOKUP(B9,country_opex,4,FALSE))/1000</f>
        <v/>
      </c>
      <c r="AK9" s="42" t="n"/>
      <c r="AL9" s="43" t="n"/>
      <c r="AM9" s="43" t="n"/>
      <c r="AN9" s="50" t="n">
        <v>0.1</v>
      </c>
      <c r="AO9" s="45">
        <f>IF(AK9="","",AK9*AN9)</f>
        <v/>
      </c>
      <c r="AP9" s="45">
        <f>IF(OR(AK9="",V9=0),"",MIN(IF(AX9="",9.9E+99,AX9),FLOOR(AO9/V9,1)))</f>
        <v/>
      </c>
      <c r="AQ9" s="49">
        <f>IF(AP9="","",AP9*IF(ABS(MOD(ABS((X9)),1)-0.5)&lt;1E-9,2*ROUND((X9)/2,0),ROUND((X9),0)))</f>
        <v/>
      </c>
      <c r="AR9" s="47">
        <f>IF(OR(AK9="",V9=0),"",MIN(IF(AX9="",9.9E+99,AX9),AO9/V9))</f>
        <v/>
      </c>
      <c r="AS9" s="49">
        <f>IF(AR9="","",AR9*IF(B9="South Korea",IF(ABS(MOD(ABS((X9)),1)-0.5)&lt;1E-9,2*ROUND((X9)/2,0),ROUND((X9),0)),X9))</f>
        <v/>
      </c>
      <c r="AT9" s="51" t="n"/>
      <c r="AU9" s="43" t="inlineStr">
        <is>
          <t>Estimated</t>
        </is>
      </c>
      <c r="AV9" s="52" t="n"/>
      <c r="AW9" s="52" t="n"/>
      <c r="AX9" s="53" t="n"/>
      <c r="AY9" s="54">
        <f>IF(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&lt;=0,"",VLOOKUP(B9,country_opex,7,FALSE)/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)</f>
        <v/>
      </c>
      <c r="AZ9" s="54">
        <f>IF(((W9*pax_cap*IF(B9="South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Korea",korea_mid_revleg,revleg_mid)),0))*VLOOKUP(B9,country_opex,3,FALSE))+Z9+AA9+AB9+AC9+AD9))&lt;=0,"",VLOOKUP(B9,country_opex,7,FALSE)/((W9*pax_cap*IF(B9="South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Korea",korea_mid_revleg,revleg_mid)),0))*VLOOKUP(B9,country_opex,3,FALSE))+Z9+AA9+AB9+AC9+AD9)))</f>
        <v/>
      </c>
      <c r="BA9" s="54">
        <f>IF(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&lt;=0,"",VLOOKUP(B9,country_opex,7,FALSE)/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)</f>
        <v/>
      </c>
      <c r="BB9" s="40" t="n"/>
      <c r="BC9" s="40" t="n"/>
      <c r="BD9" s="43" t="inlineStr">
        <is>
          <t>rn-b79f7d974359</t>
        </is>
      </c>
    </row>
    <row r="10">
      <c r="A10" s="38" t="inlineStr">
        <is>
          <t>Yassir Algeria</t>
        </is>
      </c>
      <c r="B10" s="38" t="inlineStr">
        <is>
          <t>Algeria</t>
        </is>
      </c>
      <c r="C10" s="39" t="inlineStr">
        <is>
          <t>Port de Sidi Fredj (marina) → El Djamila / Aïn Bénian</t>
        </is>
      </c>
      <c r="D10" s="38" t="inlineStr">
        <is>
          <t>yassir</t>
        </is>
      </c>
      <c r="E10" s="40" t="inlineStr">
        <is>
          <t>yassir-algeria</t>
        </is>
      </c>
      <c r="F10" s="41" t="n">
        <v>1</v>
      </c>
      <c r="G10" s="42" t="n">
        <v>13.8</v>
      </c>
      <c r="H10" s="35" t="n"/>
      <c r="I10" s="43" t="n"/>
      <c r="J10" s="43" t="n"/>
      <c r="K10" s="29" t="n">
        <v>1</v>
      </c>
      <c r="L10" s="44">
        <f>60*G10/cruise_kt</f>
        <v/>
      </c>
      <c r="M10" s="44">
        <f>IF(B10="South Korea",G10/korea_charge_range_nm*korea_full_range_charge_min,0)</f>
        <v/>
      </c>
      <c r="N10" s="44">
        <f>IF(B10="South Korea",L10+korea_turn_min+korea_dwell_min+M10,L10+turn_min+dwell_min)</f>
        <v/>
      </c>
      <c r="O10" s="45">
        <f>IF(B10="South Korea",FLOOR(60*korea_service_hr/N10,1),MIN(15,FLOOR(60*service_hr/N10,1)))</f>
        <v/>
      </c>
      <c r="P10" s="45">
        <f>IF(ABS(MOD(ABS((365*mech_uptime*K10)),1)-0.5)&lt;1E-9,2*ROUND((365*mech_uptime*K10)/2,0),ROUND((365*mech_uptime*K10),0))</f>
        <v/>
      </c>
      <c r="Q10" s="46">
        <f>mech_uptime</f>
        <v/>
      </c>
      <c r="R10" s="46">
        <f>IF(AND(B10="South Korea",scenario="MID"),korea_mid_revleg,revleg_sel)</f>
        <v/>
      </c>
      <c r="S10" s="45">
        <f>IF(ABS(MOD(ABS((O10*P10*R10)),1)-0.5)&lt;1E-9,2*ROUND((O10*P10*R10)/2,0),ROUND((O10*P10*R10),0))</f>
        <v/>
      </c>
      <c r="T10" s="46">
        <f>IF(AND(B10="South Korea",scenario="MID"),korea_mid_load,load_sel)</f>
        <v/>
      </c>
      <c r="U10" s="47">
        <f>pax_cap*T10</f>
        <v/>
      </c>
      <c r="V10" s="45">
        <f>U10*S10</f>
        <v/>
      </c>
      <c r="W10" s="48">
        <f>H10*discount</f>
        <v/>
      </c>
      <c r="X10" s="49">
        <f>W10*V10</f>
        <v/>
      </c>
      <c r="Y10" s="49">
        <f>(battery/range_nm)*G10*S10*VLOOKUP(B10,country_opex,3,FALSE)</f>
        <v/>
      </c>
      <c r="Z10" s="49">
        <f>VLOOKUP(B10,country_opex,2,FALSE)*crew_factor</f>
        <v/>
      </c>
      <c r="AA10" s="49">
        <f>VLOOKUP(B10,country_opex,5,FALSE)</f>
        <v/>
      </c>
      <c r="AB10" s="49">
        <f>maint</f>
        <v/>
      </c>
      <c r="AC10" s="49">
        <f>VLOOKUP(B10,country_opex,7,FALSE)*ins_pct</f>
        <v/>
      </c>
      <c r="AD10" s="49">
        <f>charge_berth</f>
        <v/>
      </c>
      <c r="AE10" s="49">
        <f>Y10+Z10+AA10+AB10+AC10+AD10</f>
        <v/>
      </c>
      <c r="AF10" s="49">
        <f>VLOOKUP(B10,country_opex,7,FALSE)/dep_years</f>
        <v/>
      </c>
      <c r="AG10" s="49">
        <f>X10-AE10</f>
        <v/>
      </c>
      <c r="AH10" s="46">
        <f>IF(X10=0,"",AG10/X10)</f>
        <v/>
      </c>
      <c r="AI10" s="47">
        <f>IF(AG10&lt;=0,"",VLOOKUP(B10,country_opex,7,FALSE)/AG10)</f>
        <v/>
      </c>
      <c r="AJ10" s="44">
        <f>((G10*S10/diesel_nmpg)*diesel_co2pg-(battery/range_nm)*G10*S10*VLOOKUP(B10,country_opex,4,FALSE))/1000</f>
        <v/>
      </c>
      <c r="AK10" s="42" t="n"/>
      <c r="AL10" s="43" t="n"/>
      <c r="AM10" s="43" t="n"/>
      <c r="AN10" s="50" t="n">
        <v>0.1</v>
      </c>
      <c r="AO10" s="45">
        <f>IF(AK10="","",AK10*AN10)</f>
        <v/>
      </c>
      <c r="AP10" s="45">
        <f>IF(OR(AK10="",V10=0),"",MIN(IF(AX10="",9.9E+99,AX10),FLOOR(AO10/V10,1)))</f>
        <v/>
      </c>
      <c r="AQ10" s="49">
        <f>IF(AP10="","",AP10*IF(ABS(MOD(ABS((X10)),1)-0.5)&lt;1E-9,2*ROUND((X10)/2,0),ROUND((X10),0)))</f>
        <v/>
      </c>
      <c r="AR10" s="47">
        <f>IF(OR(AK10="",V10=0),"",MIN(IF(AX10="",9.9E+99,AX10),AO10/V10))</f>
        <v/>
      </c>
      <c r="AS10" s="49">
        <f>IF(AR10="","",AR10*IF(B10="South Korea",IF(ABS(MOD(ABS((X10)),1)-0.5)&lt;1E-9,2*ROUND((X10)/2,0),ROUND((X10),0)),X10))</f>
        <v/>
      </c>
      <c r="AT10" s="51" t="n"/>
      <c r="AU10" s="43" t="inlineStr">
        <is>
          <t>Estimated</t>
        </is>
      </c>
      <c r="AV10" s="52" t="n"/>
      <c r="AW10" s="52" t="n"/>
      <c r="AX10" s="53" t="n"/>
      <c r="AY10" s="54">
        <f>IF(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&lt;=0,"",VLOOKUP(B10,country_opex,7,FALSE)/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)</f>
        <v/>
      </c>
      <c r="AZ10" s="54">
        <f>IF(((W10*pax_cap*IF(B10="South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Korea",korea_mid_revleg,revleg_mid)),0))*VLOOKUP(B10,country_opex,3,FALSE))+Z10+AA10+AB10+AC10+AD10))&lt;=0,"",VLOOKUP(B10,country_opex,7,FALSE)/((W10*pax_cap*IF(B10="South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Korea",korea_mid_revleg,revleg_mid)),0))*VLOOKUP(B10,country_opex,3,FALSE))+Z10+AA10+AB10+AC10+AD10)))</f>
        <v/>
      </c>
      <c r="BA10" s="54">
        <f>IF(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&lt;=0,"",VLOOKUP(B10,country_opex,7,FALSE)/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)</f>
        <v/>
      </c>
      <c r="BB10" s="40" t="n"/>
      <c r="BC10" s="40" t="n"/>
      <c r="BD10" s="43" t="inlineStr">
        <is>
          <t>rn-13faccfd5399</t>
        </is>
      </c>
    </row>
    <row r="11">
      <c r="A11" s="38" t="inlineStr">
        <is>
          <t>Caribbean</t>
        </is>
      </c>
      <c r="B11" s="38" t="inlineStr">
        <is>
          <t>Aruba</t>
        </is>
      </c>
      <c r="C11" s="39" t="inlineStr">
        <is>
          <t>Queen Beatrix Airport waterfront (Aruba) → Palm Beach resort strip (Aruba)</t>
        </is>
      </c>
      <c r="D11" s="38" t="inlineStr">
        <is>
          <t>caribbean</t>
        </is>
      </c>
      <c r="E11" s="40" t="inlineStr">
        <is>
          <t>caribbean</t>
        </is>
      </c>
      <c r="F11" s="41" t="n">
        <v>1</v>
      </c>
      <c r="G11" s="42" t="n">
        <v>5</v>
      </c>
      <c r="H11" s="35" t="n">
        <v>45</v>
      </c>
      <c r="I11" s="43" t="inlineStr">
        <is>
          <t>T5</t>
        </is>
      </c>
      <c r="J11" s="43" t="inlineStr">
        <is>
          <t>low</t>
        </is>
      </c>
      <c r="K11" s="29" t="n">
        <v>0.9</v>
      </c>
      <c r="L11" s="44">
        <f>60*G11/cruise_kt</f>
        <v/>
      </c>
      <c r="M11" s="44">
        <f>IF(B11="South Korea",G11/korea_charge_range_nm*korea_full_range_charge_min,0)</f>
        <v/>
      </c>
      <c r="N11" s="44">
        <f>IF(B11="South Korea",L11+korea_turn_min+korea_dwell_min+M11,L11+turn_min+dwell_min)</f>
        <v/>
      </c>
      <c r="O11" s="45">
        <f>IF(B11="South Korea",FLOOR(60*korea_service_hr/N11,1),MIN(15,FLOOR(60*service_hr/N11,1)))</f>
        <v/>
      </c>
      <c r="P11" s="45">
        <f>IF(ABS(MOD(ABS((365*mech_uptime*K11)),1)-0.5)&lt;1E-9,2*ROUND((365*mech_uptime*K11)/2,0),ROUND((365*mech_uptime*K11),0))</f>
        <v/>
      </c>
      <c r="Q11" s="46">
        <f>mech_uptime</f>
        <v/>
      </c>
      <c r="R11" s="46">
        <f>IF(AND(B11="South Korea",scenario="MID"),korea_mid_revleg,revleg_sel)</f>
        <v/>
      </c>
      <c r="S11" s="45">
        <f>IF(ABS(MOD(ABS((O11*P11*R11)),1)-0.5)&lt;1E-9,2*ROUND((O11*P11*R11)/2,0),ROUND((O11*P11*R11),0))</f>
        <v/>
      </c>
      <c r="T11" s="46">
        <f>IF(AND(B11="South Korea",scenario="MID"),korea_mid_load,load_sel)</f>
        <v/>
      </c>
      <c r="U11" s="47">
        <f>pax_cap*T11</f>
        <v/>
      </c>
      <c r="V11" s="45">
        <f>U11*S11</f>
        <v/>
      </c>
      <c r="W11" s="48">
        <f>H11*discount</f>
        <v/>
      </c>
      <c r="X11" s="49">
        <f>W11*V11</f>
        <v/>
      </c>
      <c r="Y11" s="49">
        <f>(battery/range_nm)*G11*S11*VLOOKUP(B11,country_opex,3,FALSE)</f>
        <v/>
      </c>
      <c r="Z11" s="49">
        <f>VLOOKUP(B11,country_opex,2,FALSE)*crew_factor</f>
        <v/>
      </c>
      <c r="AA11" s="49">
        <f>VLOOKUP(B11,country_opex,5,FALSE)</f>
        <v/>
      </c>
      <c r="AB11" s="49">
        <f>maint</f>
        <v/>
      </c>
      <c r="AC11" s="49">
        <f>VLOOKUP(B11,country_opex,7,FALSE)*ins_pct</f>
        <v/>
      </c>
      <c r="AD11" s="49">
        <f>charge_berth</f>
        <v/>
      </c>
      <c r="AE11" s="49">
        <f>Y11+Z11+AA11+AB11+AC11+AD11</f>
        <v/>
      </c>
      <c r="AF11" s="49">
        <f>VLOOKUP(B11,country_opex,7,FALSE)/dep_years</f>
        <v/>
      </c>
      <c r="AG11" s="49">
        <f>X11-AE11</f>
        <v/>
      </c>
      <c r="AH11" s="46">
        <f>IF(X11=0,"",AG11/X11)</f>
        <v/>
      </c>
      <c r="AI11" s="47">
        <f>IF(AG11&lt;=0,"",VLOOKUP(B11,country_opex,7,FALSE)/AG11)</f>
        <v/>
      </c>
      <c r="AJ11" s="44">
        <f>((G11*S11/diesel_nmpg)*diesel_co2pg-(battery/range_nm)*G11*S11*VLOOKUP(B11,country_opex,4,FALSE))/1000</f>
        <v/>
      </c>
      <c r="AK11" s="42" t="n"/>
      <c r="AL11" s="43" t="n"/>
      <c r="AM11" s="43" t="n"/>
      <c r="AN11" s="50" t="n">
        <v>0.1</v>
      </c>
      <c r="AO11" s="45">
        <f>IF(AK11="","",AK11*AN11)</f>
        <v/>
      </c>
      <c r="AP11" s="45">
        <f>IF(OR(AK11="",V11=0),"",MIN(IF(AX11="",9.9E+99,AX11),FLOOR(AO11/V11,1)))</f>
        <v/>
      </c>
      <c r="AQ11" s="49">
        <f>IF(AP11="","",AP11*IF(ABS(MOD(ABS((X11)),1)-0.5)&lt;1E-9,2*ROUND((X11)/2,0),ROUND((X11),0)))</f>
        <v/>
      </c>
      <c r="AR11" s="47">
        <f>IF(OR(AK11="",V11=0),"",MIN(IF(AX11="",9.9E+99,AX11),AO11/V11))</f>
        <v/>
      </c>
      <c r="AS11" s="49">
        <f>IF(AR11="","",AR11*IF(B11="South Korea",IF(ABS(MOD(ABS((X11)),1)-0.5)&lt;1E-9,2*ROUND((X11)/2,0),ROUND((X11),0)),X11))</f>
        <v/>
      </c>
      <c r="AT11" s="51" t="n"/>
      <c r="AU11" s="43" t="inlineStr">
        <is>
          <t>Estimated</t>
        </is>
      </c>
      <c r="AV11" s="52" t="n"/>
      <c r="AW11" s="52" t="n"/>
      <c r="AX11" s="53" t="n"/>
      <c r="AY11" s="54">
        <f>IF(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&lt;=0,"",VLOOKUP(B11,country_opex,7,FALSE)/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)</f>
        <v/>
      </c>
      <c r="AZ11" s="54">
        <f>IF(((W11*pax_cap*IF(B11="South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Korea",korea_mid_revleg,revleg_mid)),0))*VLOOKUP(B11,country_opex,3,FALSE))+Z11+AA11+AB11+AC11+AD11))&lt;=0,"",VLOOKUP(B11,country_opex,7,FALSE)/((W11*pax_cap*IF(B11="South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Korea",korea_mid_revleg,revleg_mid)),0))*VLOOKUP(B11,country_opex,3,FALSE))+Z11+AA11+AB11+AC11+AD11)))</f>
        <v/>
      </c>
      <c r="BA11" s="54">
        <f>IF(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&lt;=0,"",VLOOKUP(B11,country_opex,7,FALSE)/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)</f>
        <v/>
      </c>
      <c r="BB11" s="40" t="inlineStr">
        <is>
          <t>MODELED premium air→resort transfer band. To be finalized in cascade.</t>
        </is>
      </c>
      <c r="BC11" s="40" t="n"/>
      <c r="BD11" s="43" t="inlineStr">
        <is>
          <t>rn-b3209572e89e</t>
        </is>
      </c>
    </row>
    <row r="12">
      <c r="A12" s="38" t="inlineStr">
        <is>
          <t>Caribbean</t>
        </is>
      </c>
      <c r="B12" s="38" t="inlineStr">
        <is>
          <t>Aruba</t>
        </is>
      </c>
      <c r="C12" s="39" t="inlineStr">
        <is>
          <t>Oranjestad Cruise Terminal (Aruba) → Palm Beach resort strip (Aruba)</t>
        </is>
      </c>
      <c r="D12" s="38" t="inlineStr">
        <is>
          <t>caribbean</t>
        </is>
      </c>
      <c r="E12" s="40" t="inlineStr">
        <is>
          <t>caribbean</t>
        </is>
      </c>
      <c r="F12" s="41" t="n">
        <v>1</v>
      </c>
      <c r="G12" s="42" t="n">
        <v>6</v>
      </c>
      <c r="H12" s="35" t="n">
        <v>40</v>
      </c>
      <c r="I12" s="43" t="inlineStr">
        <is>
          <t>T5</t>
        </is>
      </c>
      <c r="J12" s="43" t="inlineStr">
        <is>
          <t>low</t>
        </is>
      </c>
      <c r="K12" s="29" t="n">
        <v>0.9</v>
      </c>
      <c r="L12" s="44">
        <f>60*G12/cruise_kt</f>
        <v/>
      </c>
      <c r="M12" s="44">
        <f>IF(B12="South Korea",G12/korea_charge_range_nm*korea_full_range_charge_min,0)</f>
        <v/>
      </c>
      <c r="N12" s="44">
        <f>IF(B12="South Korea",L12+korea_turn_min+korea_dwell_min+M12,L12+turn_min+dwell_min)</f>
        <v/>
      </c>
      <c r="O12" s="45">
        <f>IF(B12="South Korea",FLOOR(60*korea_service_hr/N12,1),MIN(15,FLOOR(60*service_hr/N12,1)))</f>
        <v/>
      </c>
      <c r="P12" s="45">
        <f>IF(ABS(MOD(ABS((365*mech_uptime*K12)),1)-0.5)&lt;1E-9,2*ROUND((365*mech_uptime*K12)/2,0),ROUND((365*mech_uptime*K12),0))</f>
        <v/>
      </c>
      <c r="Q12" s="46">
        <f>mech_uptime</f>
        <v/>
      </c>
      <c r="R12" s="46">
        <f>IF(AND(B12="South Korea",scenario="MID"),korea_mid_revleg,revleg_sel)</f>
        <v/>
      </c>
      <c r="S12" s="45">
        <f>IF(ABS(MOD(ABS((O12*P12*R12)),1)-0.5)&lt;1E-9,2*ROUND((O12*P12*R12)/2,0),ROUND((O12*P12*R12),0))</f>
        <v/>
      </c>
      <c r="T12" s="46">
        <f>IF(AND(B12="South Korea",scenario="MID"),korea_mid_load,load_sel)</f>
        <v/>
      </c>
      <c r="U12" s="47">
        <f>pax_cap*T12</f>
        <v/>
      </c>
      <c r="V12" s="45">
        <f>U12*S12</f>
        <v/>
      </c>
      <c r="W12" s="48">
        <f>H12*discount</f>
        <v/>
      </c>
      <c r="X12" s="49">
        <f>W12*V12</f>
        <v/>
      </c>
      <c r="Y12" s="49">
        <f>(battery/range_nm)*G12*S12*VLOOKUP(B12,country_opex,3,FALSE)</f>
        <v/>
      </c>
      <c r="Z12" s="49">
        <f>VLOOKUP(B12,country_opex,2,FALSE)*crew_factor</f>
        <v/>
      </c>
      <c r="AA12" s="49">
        <f>VLOOKUP(B12,country_opex,5,FALSE)</f>
        <v/>
      </c>
      <c r="AB12" s="49">
        <f>maint</f>
        <v/>
      </c>
      <c r="AC12" s="49">
        <f>VLOOKUP(B12,country_opex,7,FALSE)*ins_pct</f>
        <v/>
      </c>
      <c r="AD12" s="49">
        <f>charge_berth</f>
        <v/>
      </c>
      <c r="AE12" s="49">
        <f>Y12+Z12+AA12+AB12+AC12+AD12</f>
        <v/>
      </c>
      <c r="AF12" s="49">
        <f>VLOOKUP(B12,country_opex,7,FALSE)/dep_years</f>
        <v/>
      </c>
      <c r="AG12" s="49">
        <f>X12-AE12</f>
        <v/>
      </c>
      <c r="AH12" s="46">
        <f>IF(X12=0,"",AG12/X12)</f>
        <v/>
      </c>
      <c r="AI12" s="47">
        <f>IF(AG12&lt;=0,"",VLOOKUP(B12,country_opex,7,FALSE)/AG12)</f>
        <v/>
      </c>
      <c r="AJ12" s="44">
        <f>((G12*S12/diesel_nmpg)*diesel_co2pg-(battery/range_nm)*G12*S12*VLOOKUP(B12,country_opex,4,FALSE))/1000</f>
        <v/>
      </c>
      <c r="AK12" s="42" t="n"/>
      <c r="AL12" s="43" t="n"/>
      <c r="AM12" s="43" t="n"/>
      <c r="AN12" s="50" t="n">
        <v>0.1</v>
      </c>
      <c r="AO12" s="45">
        <f>IF(AK12="","",AK12*AN12)</f>
        <v/>
      </c>
      <c r="AP12" s="45">
        <f>IF(OR(AK12="",V12=0),"",MIN(IF(AX12="",9.9E+99,AX12),FLOOR(AO12/V12,1)))</f>
        <v/>
      </c>
      <c r="AQ12" s="49">
        <f>IF(AP12="","",AP12*IF(ABS(MOD(ABS((X12)),1)-0.5)&lt;1E-9,2*ROUND((X12)/2,0),ROUND((X12),0)))</f>
        <v/>
      </c>
      <c r="AR12" s="47">
        <f>IF(OR(AK12="",V12=0),"",MIN(IF(AX12="",9.9E+99,AX12),AO12/V12))</f>
        <v/>
      </c>
      <c r="AS12" s="49">
        <f>IF(AR12="","",AR12*IF(B12="South Korea",IF(ABS(MOD(ABS((X12)),1)-0.5)&lt;1E-9,2*ROUND((X12)/2,0),ROUND((X12),0)),X12))</f>
        <v/>
      </c>
      <c r="AT12" s="51" t="n"/>
      <c r="AU12" s="43" t="inlineStr">
        <is>
          <t>Estimated</t>
        </is>
      </c>
      <c r="AV12" s="52" t="n"/>
      <c r="AW12" s="52" t="n"/>
      <c r="AX12" s="53" t="n"/>
      <c r="AY12" s="54">
        <f>IF(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&lt;=0,"",VLOOKUP(B12,country_opex,7,FALSE)/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)</f>
        <v/>
      </c>
      <c r="AZ12" s="54">
        <f>IF(((W12*pax_cap*IF(B12="South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Korea",korea_mid_revleg,revleg_mid)),0))*VLOOKUP(B12,country_opex,3,FALSE))+Z12+AA12+AB12+AC12+AD12))&lt;=0,"",VLOOKUP(B12,country_opex,7,FALSE)/((W12*pax_cap*IF(B12="South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Korea",korea_mid_revleg,revleg_mid)),0))*VLOOKUP(B12,country_opex,3,FALSE))+Z12+AA12+AB12+AC12+AD12)))</f>
        <v/>
      </c>
      <c r="BA12" s="54">
        <f>IF(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&lt;=0,"",VLOOKUP(B12,country_opex,7,FALSE)/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)</f>
        <v/>
      </c>
      <c r="BB12" s="40" t="inlineStr">
        <is>
          <t>MODELED premium cruise-shore / resort transfer band. To be finalized in cascade.</t>
        </is>
      </c>
      <c r="BC12" s="40" t="n"/>
      <c r="BD12" s="43" t="inlineStr">
        <is>
          <t>rn-7839c5ad6d42</t>
        </is>
      </c>
    </row>
    <row r="13">
      <c r="A13" s="38" t="inlineStr">
        <is>
          <t>Yango Caspian Az</t>
        </is>
      </c>
      <c r="B13" s="38" t="inlineStr">
        <is>
          <t>Azerbaijan</t>
        </is>
      </c>
      <c r="C13" s="39" t="inlineStr">
        <is>
          <t>Baku Bay leisure loop (Boulevard) → Baku Bay leisure loop (Boulevard)</t>
        </is>
      </c>
      <c r="D13" s="38" t="inlineStr">
        <is>
          <t>yango</t>
        </is>
      </c>
      <c r="E13" s="40" t="inlineStr">
        <is>
          <t>yango-caspian-az</t>
        </is>
      </c>
      <c r="F13" s="41" t="n">
        <v>1</v>
      </c>
      <c r="G13" s="42" t="n">
        <v>6</v>
      </c>
      <c r="H13" s="35" t="n">
        <v>30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IF(B13="South Korea",G13/korea_charge_range_nm*korea_full_range_charge_min,0)</f>
        <v/>
      </c>
      <c r="N13" s="44">
        <f>IF(B13="South Korea",L13+korea_turn_min+korea_dwell_min+M13,L13+turn_min+dwell_min)</f>
        <v/>
      </c>
      <c r="O13" s="45">
        <f>IF(B13="South Korea",FLOOR(60*korea_service_hr/N13,1),MIN(15,FLOOR(60*service_hr/N13,1)))</f>
        <v/>
      </c>
      <c r="P13" s="45">
        <f>IF(ABS(MOD(ABS((365*mech_uptime*K13)),1)-0.5)&lt;1E-9,2*ROUND((365*mech_uptime*K13)/2,0),ROUND((365*mech_uptime*K13),0))</f>
        <v/>
      </c>
      <c r="Q13" s="46">
        <f>mech_uptime</f>
        <v/>
      </c>
      <c r="R13" s="46">
        <f>IF(AND(B13="South Korea",scenario="MID"),korea_mid_revleg,revleg_sel)</f>
        <v/>
      </c>
      <c r="S13" s="45">
        <f>IF(ABS(MOD(ABS((O13*P13*R13)),1)-0.5)&lt;1E-9,2*ROUND((O13*P13*R13)/2,0),ROUND((O13*P13*R13),0))</f>
        <v/>
      </c>
      <c r="T13" s="46">
        <f>IF(AND(B13="South Korea",scenario="MID"),korea_mid_load,load_sel)</f>
        <v/>
      </c>
      <c r="U13" s="47">
        <f>pax_cap*T13</f>
        <v/>
      </c>
      <c r="V13" s="45">
        <f>U13*S13</f>
        <v/>
      </c>
      <c r="W13" s="48">
        <f>H13*discount</f>
        <v/>
      </c>
      <c r="X13" s="49">
        <f>W13*V13</f>
        <v/>
      </c>
      <c r="Y13" s="49">
        <f>(battery/range_nm)*G13*S13*VLOOKUP(B13,country_opex,3,FALSE)</f>
        <v/>
      </c>
      <c r="Z13" s="49">
        <f>VLOOKUP(B13,country_opex,2,FALSE)*crew_factor</f>
        <v/>
      </c>
      <c r="AA13" s="49">
        <f>VLOOKUP(B13,country_opex,5,FALSE)</f>
        <v/>
      </c>
      <c r="AB13" s="49">
        <f>maint</f>
        <v/>
      </c>
      <c r="AC13" s="49">
        <f>VLOOKUP(B13,country_opex,7,FALSE)*ins_pct</f>
        <v/>
      </c>
      <c r="AD13" s="49">
        <f>charge_berth</f>
        <v/>
      </c>
      <c r="AE13" s="49">
        <f>Y13+Z13+AA13+AB13+AC13+AD13</f>
        <v/>
      </c>
      <c r="AF13" s="49">
        <f>VLOOKUP(B13,country_opex,7,FALSE)/dep_years</f>
        <v/>
      </c>
      <c r="AG13" s="49">
        <f>X13-AE13</f>
        <v/>
      </c>
      <c r="AH13" s="46">
        <f>IF(X13=0,"",AG13/X13)</f>
        <v/>
      </c>
      <c r="AI13" s="47">
        <f>IF(AG13&lt;=0,"",VLOOKUP(B13,country_opex,7,FALSE)/AG13)</f>
        <v/>
      </c>
      <c r="AJ13" s="44">
        <f>((G13*S13/diesel_nmpg)*diesel_co2pg-(battery/range_nm)*G13*S13*VLOOKUP(B13,country_opex,4,FALSE))/1000</f>
        <v/>
      </c>
      <c r="AK13" s="42" t="n"/>
      <c r="AL13" s="43" t="n"/>
      <c r="AM13" s="43" t="n"/>
      <c r="AN13" s="50" t="n">
        <v>0.1</v>
      </c>
      <c r="AO13" s="45">
        <f>IF(AK13="","",AK13*AN13)</f>
        <v/>
      </c>
      <c r="AP13" s="45">
        <f>IF(OR(AK13="",V13=0),"",MIN(IF(AX13="",9.9E+99,AX13),FLOOR(AO13/V13,1)))</f>
        <v/>
      </c>
      <c r="AQ13" s="49">
        <f>IF(AP13="","",AP13*IF(ABS(MOD(ABS((X13)),1)-0.5)&lt;1E-9,2*ROUND((X13)/2,0),ROUND((X13),0)))</f>
        <v/>
      </c>
      <c r="AR13" s="47">
        <f>IF(OR(AK13="",V13=0),"",MIN(IF(AX13="",9.9E+99,AX13),AO13/V13))</f>
        <v/>
      </c>
      <c r="AS13" s="49">
        <f>IF(AR13="","",AR13*IF(B13="South Korea",IF(ABS(MOD(ABS((X13)),1)-0.5)&lt;1E-9,2*ROUND((X13)/2,0),ROUND((X13),0)),X13))</f>
        <v/>
      </c>
      <c r="AT13" s="51" t="n"/>
      <c r="AU13" s="43" t="inlineStr">
        <is>
          <t>Estimated</t>
        </is>
      </c>
      <c r="AV13" s="52" t="n"/>
      <c r="AW13" s="52" t="n"/>
      <c r="AX13" s="53" t="n"/>
      <c r="AY13" s="54">
        <f>IF(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&lt;=0,"",VLOOKUP(B13,country_opex,7,FALSE)/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)</f>
        <v/>
      </c>
      <c r="AZ13" s="54">
        <f>IF(((W13*pax_cap*IF(B13="South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Korea",korea_mid_revleg,revleg_mid)),0))*VLOOKUP(B13,country_opex,3,FALSE))+Z13+AA13+AB13+AC13+AD13))&lt;=0,"",VLOOKUP(B13,country_opex,7,FALSE)/((W13*pax_cap*IF(B13="South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Korea",korea_mid_revleg,revleg_mid)),0))*VLOOKUP(B13,country_opex,3,FALSE))+Z13+AA13+AB13+AC13+AD13)))</f>
        <v/>
      </c>
      <c r="BA13" s="54">
        <f>IF(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&lt;=0,"",VLOOKUP(B13,country_opex,7,FALSE)/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)</f>
        <v/>
      </c>
      <c r="BB13" s="40" t="inlineStr">
        <is>
          <t>PREMIUM tier: private Boulevard boat tour ~$30/seat (range $30-44; privatetoursbaku, Tripadvisor, GetYourGuide).</t>
        </is>
      </c>
      <c r="BC13" s="40" t="n"/>
      <c r="BD13" s="43" t="n"/>
    </row>
    <row r="14">
      <c r="A14" s="38" t="inlineStr">
        <is>
          <t>Yango Caspian Az</t>
        </is>
      </c>
      <c r="B14" s="38" t="inlineStr">
        <is>
          <t>Azerbaijan</t>
        </is>
      </c>
      <c r="C14" s="39" t="inlineStr">
        <is>
          <t>Baku (Boulevard / Port Baku) → Sumqayit</t>
        </is>
      </c>
      <c r="D14" s="38" t="inlineStr">
        <is>
          <t>yango</t>
        </is>
      </c>
      <c r="E14" s="40" t="inlineStr">
        <is>
          <t>yango-caspian-az</t>
        </is>
      </c>
      <c r="F14" s="41" t="n">
        <v>1</v>
      </c>
      <c r="G14" s="42" t="n">
        <v>16</v>
      </c>
      <c r="H14" s="35" t="n"/>
      <c r="I14" s="43" t="n"/>
      <c r="J14" s="43" t="n"/>
      <c r="K14" s="29" t="n">
        <v>1</v>
      </c>
      <c r="L14" s="44">
        <f>60*G14/cruise_kt</f>
        <v/>
      </c>
      <c r="M14" s="44">
        <f>IF(B14="South Korea",G14/korea_charge_range_nm*korea_full_range_charge_min,0)</f>
        <v/>
      </c>
      <c r="N14" s="44">
        <f>IF(B14="South Korea",L14+korea_turn_min+korea_dwell_min+M14,L14+turn_min+dwell_min)</f>
        <v/>
      </c>
      <c r="O14" s="45">
        <f>IF(B14="South Korea",FLOOR(60*korea_service_hr/N14,1),MIN(24,FLOOR(60*service_hr/N14,1)))</f>
        <v/>
      </c>
      <c r="P14" s="45">
        <f>IF(ABS(MOD(ABS((365*mech_uptime*K14)),1)-0.5)&lt;1E-9,2*ROUND((365*mech_uptime*K14)/2,0),ROUND((365*mech_uptime*K14),0))</f>
        <v/>
      </c>
      <c r="Q14" s="46">
        <f>mech_uptime</f>
        <v/>
      </c>
      <c r="R14" s="46">
        <f>IF(AND(B14="South Korea",scenario="MID"),korea_mid_revleg,revleg_sel)</f>
        <v/>
      </c>
      <c r="S14" s="45">
        <f>IF(ABS(MOD(ABS((O14*P14*R14)),1)-0.5)&lt;1E-9,2*ROUND((O14*P14*R14)/2,0),ROUND((O14*P14*R14),0))</f>
        <v/>
      </c>
      <c r="T14" s="46">
        <f>IF(AND(B14="South Korea",scenario="MID"),korea_mid_load,load_sel)</f>
        <v/>
      </c>
      <c r="U14" s="47">
        <f>pax_cap*T14</f>
        <v/>
      </c>
      <c r="V14" s="45">
        <f>U14*S14</f>
        <v/>
      </c>
      <c r="W14" s="48">
        <f>H14*discount</f>
        <v/>
      </c>
      <c r="X14" s="49">
        <f>W14*V14</f>
        <v/>
      </c>
      <c r="Y14" s="49">
        <f>(battery/range_nm)*G14*S14*VLOOKUP(B14,country_opex,3,FALSE)</f>
        <v/>
      </c>
      <c r="Z14" s="49">
        <f>VLOOKUP(B14,country_opex,2,FALSE)*crew_factor</f>
        <v/>
      </c>
      <c r="AA14" s="49">
        <f>VLOOKUP(B14,country_opex,5,FALSE)</f>
        <v/>
      </c>
      <c r="AB14" s="49">
        <f>maint</f>
        <v/>
      </c>
      <c r="AC14" s="49">
        <f>VLOOKUP(B14,country_opex,7,FALSE)*ins_pct</f>
        <v/>
      </c>
      <c r="AD14" s="49">
        <f>charge_berth</f>
        <v/>
      </c>
      <c r="AE14" s="49">
        <f>Y14+Z14+AA14+AB14+AC14+AD14</f>
        <v/>
      </c>
      <c r="AF14" s="49">
        <f>VLOOKUP(B14,country_opex,7,FALSE)/dep_years</f>
        <v/>
      </c>
      <c r="AG14" s="49">
        <f>X14-AE14</f>
        <v/>
      </c>
      <c r="AH14" s="46">
        <f>IF(X14=0,"",AG14/X14)</f>
        <v/>
      </c>
      <c r="AI14" s="47">
        <f>IF(AG14&lt;=0,"",VLOOKUP(B14,country_opex,7,FALSE)/AG14)</f>
        <v/>
      </c>
      <c r="AJ14" s="44">
        <f>((G14*S14/diesel_nmpg)*diesel_co2pg-(battery/range_nm)*G14*S14*VLOOKUP(B14,country_opex,4,FALSE))/1000</f>
        <v/>
      </c>
      <c r="AK14" s="42" t="n">
        <v>74000</v>
      </c>
      <c r="AL14" s="43" t="n"/>
      <c r="AM14" s="43" t="n"/>
      <c r="AN14" s="50" t="n">
        <v>0.1</v>
      </c>
      <c r="AO14" s="45">
        <f>IF(AK14="","",AK14*AN14)</f>
        <v/>
      </c>
      <c r="AP14" s="45">
        <f>IF(OR(AK14="",V14=0),"",MIN(IF(AX14="",9.9E+99,AX14),FLOOR(AO14/V14,1)))</f>
        <v/>
      </c>
      <c r="AQ14" s="49">
        <f>IF(AP14="","",AP14*IF(ABS(MOD(ABS((X14)),1)-0.5)&lt;1E-9,2*ROUND((X14)/2,0),ROUND((X14),0)))</f>
        <v/>
      </c>
      <c r="AR14" s="47">
        <f>IF(OR(AK14="",V14=0),"",MIN(IF(AX14="",9.9E+99,AX14),AO14/V14))</f>
        <v/>
      </c>
      <c r="AS14" s="49">
        <f>IF(AR14="","",AR14*IF(B14="South Korea",IF(ABS(MOD(ABS((X14)),1)-0.5)&lt;1E-9,2*ROUND((X14)/2,0),ROUND((X14),0)),X14))</f>
        <v/>
      </c>
      <c r="AT14" s="51" t="n"/>
      <c r="AU14" s="43" t="inlineStr">
        <is>
          <t>Estimated</t>
        </is>
      </c>
      <c r="AV14" s="52" t="n"/>
      <c r="AW14" s="52" t="n"/>
      <c r="AX14" s="53" t="n"/>
      <c r="AY14" s="54">
        <f>IF(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&lt;=0,"",VLOOKUP(B14,country_opex,7,FALSE)/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)</f>
        <v/>
      </c>
      <c r="AZ14" s="54">
        <f>IF(((W14*pax_cap*IF(B14="South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Korea",korea_mid_revleg,revleg_mid)),0))*VLOOKUP(B14,country_opex,3,FALSE))+Z14+AA14+AB14+AC14+AD14))&lt;=0,"",VLOOKUP(B14,country_opex,7,FALSE)/((W14*pax_cap*IF(B14="South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Korea",korea_mid_revleg,revleg_mid)),0))*VLOOKUP(B14,country_opex,3,FALSE))+Z14+AA14+AB14+AC14+AD14)))</f>
        <v/>
      </c>
      <c r="BA14" s="54">
        <f>IF(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&lt;=0,"",VLOOKUP(B14,country_opex,7,FALSE)/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)</f>
        <v/>
      </c>
      <c r="BB14" s="40" t="n"/>
      <c r="BC14" s="40" t="n"/>
      <c r="BD14" s="43" t="n"/>
    </row>
    <row r="15">
      <c r="A15" s="38" t="inlineStr">
        <is>
          <t>Yango Caspian Az</t>
        </is>
      </c>
      <c r="B15" s="38" t="inlineStr">
        <is>
          <t>Azerbaijan</t>
        </is>
      </c>
      <c r="C15" s="39" t="inlineStr">
        <is>
          <t>Baku Bay (Bulvar) → Bilgah</t>
        </is>
      </c>
      <c r="D15" s="38" t="inlineStr">
        <is>
          <t>yango</t>
        </is>
      </c>
      <c r="E15" s="40" t="inlineStr">
        <is>
          <t>yango-caspian-az</t>
        </is>
      </c>
      <c r="F15" s="41" t="n">
        <v>1</v>
      </c>
      <c r="G15" s="42" t="n">
        <v>18</v>
      </c>
      <c r="H15" s="35" t="n">
        <v>30</v>
      </c>
      <c r="I15" s="43" t="inlineStr">
        <is>
          <t>T2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IF(B15="South Korea",G15/korea_charge_range_nm*korea_full_range_charge_min,0)</f>
        <v/>
      </c>
      <c r="N15" s="44">
        <f>IF(B15="South Korea",L15+korea_turn_min+korea_dwell_min+M15,L15+turn_min+dwell_min)</f>
        <v/>
      </c>
      <c r="O15" s="45">
        <f>IF(B15="South Korea",FLOOR(60*korea_service_hr/N15,1),MIN(15,FLOOR(60*service_hr/N15,1)))</f>
        <v/>
      </c>
      <c r="P15" s="45">
        <f>IF(ABS(MOD(ABS((365*mech_uptime*K15)),1)-0.5)&lt;1E-9,2*ROUND((365*mech_uptime*K15)/2,0),ROUND((365*mech_uptime*K15),0))</f>
        <v/>
      </c>
      <c r="Q15" s="46">
        <f>mech_uptime</f>
        <v/>
      </c>
      <c r="R15" s="46">
        <f>IF(AND(B15="South Korea",scenario="MID"),korea_mid_revleg,revleg_sel)</f>
        <v/>
      </c>
      <c r="S15" s="45">
        <f>IF(ABS(MOD(ABS((O15*P15*R15)),1)-0.5)&lt;1E-9,2*ROUND((O15*P15*R15)/2,0),ROUND((O15*P15*R15),0))</f>
        <v/>
      </c>
      <c r="T15" s="46">
        <f>IF(AND(B15="South Korea",scenario="MID"),korea_mid_load,load_sel)</f>
        <v/>
      </c>
      <c r="U15" s="47">
        <f>pax_cap*T15</f>
        <v/>
      </c>
      <c r="V15" s="45">
        <f>U15*S15</f>
        <v/>
      </c>
      <c r="W15" s="48">
        <f>H15*discount</f>
        <v/>
      </c>
      <c r="X15" s="49">
        <f>W15*V15</f>
        <v/>
      </c>
      <c r="Y15" s="49">
        <f>(battery/range_nm)*G15*S15*VLOOKUP(B15,country_opex,3,FALSE)</f>
        <v/>
      </c>
      <c r="Z15" s="49">
        <f>VLOOKUP(B15,country_opex,2,FALSE)*crew_factor</f>
        <v/>
      </c>
      <c r="AA15" s="49">
        <f>VLOOKUP(B15,country_opex,5,FALSE)</f>
        <v/>
      </c>
      <c r="AB15" s="49">
        <f>maint</f>
        <v/>
      </c>
      <c r="AC15" s="49">
        <f>VLOOKUP(B15,country_opex,7,FALSE)*ins_pct</f>
        <v/>
      </c>
      <c r="AD15" s="49">
        <f>charge_berth</f>
        <v/>
      </c>
      <c r="AE15" s="49">
        <f>Y15+Z15+AA15+AB15+AC15+AD15</f>
        <v/>
      </c>
      <c r="AF15" s="49">
        <f>VLOOKUP(B15,country_opex,7,FALSE)/dep_years</f>
        <v/>
      </c>
      <c r="AG15" s="49">
        <f>X15-AE15</f>
        <v/>
      </c>
      <c r="AH15" s="46">
        <f>IF(X15=0,"",AG15/X15)</f>
        <v/>
      </c>
      <c r="AI15" s="47">
        <f>IF(AG15&lt;=0,"",VLOOKUP(B15,country_opex,7,FALSE)/AG15)</f>
        <v/>
      </c>
      <c r="AJ15" s="44">
        <f>((G15*S15/diesel_nmpg)*diesel_co2pg-(battery/range_nm)*G15*S15*VLOOKUP(B15,country_opex,4,FALSE))/1000</f>
        <v/>
      </c>
      <c r="AK15" s="42" t="n">
        <v>30000</v>
      </c>
      <c r="AL15" s="43" t="n"/>
      <c r="AM15" s="43" t="n"/>
      <c r="AN15" s="50" t="n">
        <v>0.1</v>
      </c>
      <c r="AO15" s="45">
        <f>IF(AK15="","",AK15*AN15)</f>
        <v/>
      </c>
      <c r="AP15" s="45">
        <f>IF(OR(AK15="",V15=0),"",MIN(IF(AX15="",9.9E+99,AX15),FLOOR(AO15/V15,1)))</f>
        <v/>
      </c>
      <c r="AQ15" s="49">
        <f>IF(AP15="","",AP15*IF(ABS(MOD(ABS((X15)),1)-0.5)&lt;1E-9,2*ROUND((X15)/2,0),ROUND((X15),0)))</f>
        <v/>
      </c>
      <c r="AR15" s="47">
        <f>IF(OR(AK15="",V15=0),"",MIN(IF(AX15="",9.9E+99,AX15),AO15/V15))</f>
        <v/>
      </c>
      <c r="AS15" s="49">
        <f>IF(AR15="","",AR15*IF(B15="South Korea",IF(ABS(MOD(ABS((X15)),1)-0.5)&lt;1E-9,2*ROUND((X15)/2,0),ROUND((X15),0)),X15))</f>
        <v/>
      </c>
      <c r="AT15" s="51" t="n"/>
      <c r="AU15" s="43" t="inlineStr">
        <is>
          <t>Estimated</t>
        </is>
      </c>
      <c r="AV15" s="52" t="n"/>
      <c r="AW15" s="52" t="n"/>
      <c r="AX15" s="53" t="n"/>
      <c r="AY15" s="54">
        <f>IF(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&lt;=0,"",VLOOKUP(B15,country_opex,7,FALSE)/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)</f>
        <v/>
      </c>
      <c r="AZ15" s="54">
        <f>IF(((W15*pax_cap*IF(B15="South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Korea",korea_mid_revleg,revleg_mid)),0))*VLOOKUP(B15,country_opex,3,FALSE))+Z15+AA15+AB15+AC15+AD15))&lt;=0,"",VLOOKUP(B15,country_opex,7,FALSE)/((W15*pax_cap*IF(B15="South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Korea",korea_mid_revleg,revleg_mid)),0))*VLOOKUP(B15,country_opex,3,FALSE))+Z15+AA15+AB15+AC15+AD15)))</f>
        <v/>
      </c>
      <c r="BA15" s="54">
        <f>IF(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&lt;=0,"",VLOOKUP(B15,country_opex,7,FALSE)/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)</f>
        <v/>
      </c>
      <c r="BB15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C15" s="40" t="n"/>
      <c r="BD15" s="43" t="inlineStr">
        <is>
          <t>rn-061143acb448</t>
        </is>
      </c>
    </row>
    <row r="16">
      <c r="A16" s="38" t="inlineStr">
        <is>
          <t>Yango Caspian Az</t>
        </is>
      </c>
      <c r="B16" s="38" t="inlineStr">
        <is>
          <t>Azerbaijan</t>
        </is>
      </c>
      <c r="C16" s="39" t="inlineStr">
        <is>
          <t>Baku (Boulevard / Port Baku) → Mardakan / Nardaran (Sea Breeze resort cluster)</t>
        </is>
      </c>
      <c r="D16" s="38" t="inlineStr">
        <is>
          <t>yango</t>
        </is>
      </c>
      <c r="E16" s="40" t="inlineStr">
        <is>
          <t>yango-caspian-az</t>
        </is>
      </c>
      <c r="F16" s="41" t="n">
        <v>1</v>
      </c>
      <c r="G16" s="42" t="n">
        <v>20</v>
      </c>
      <c r="H16" s="35" t="n">
        <v>30</v>
      </c>
      <c r="I16" s="43" t="inlineStr">
        <is>
          <t>T2</t>
        </is>
      </c>
      <c r="J16" s="43" t="inlineStr">
        <is>
          <t>med</t>
        </is>
      </c>
      <c r="K16" s="29" t="n">
        <v>1</v>
      </c>
      <c r="L16" s="44">
        <f>60*G16/cruise_kt</f>
        <v/>
      </c>
      <c r="M16" s="44">
        <f>IF(B16="South Korea",G16/korea_charge_range_nm*korea_full_range_charge_min,0)</f>
        <v/>
      </c>
      <c r="N16" s="44">
        <f>IF(B16="South Korea",L16+korea_turn_min+korea_dwell_min+M16,L16+turn_min+dwell_min)</f>
        <v/>
      </c>
      <c r="O16" s="45">
        <f>IF(B16="South Korea",FLOOR(60*korea_service_hr/N16,1),MIN(24,FLOOR(60*service_hr/N16,1)))</f>
        <v/>
      </c>
      <c r="P16" s="45">
        <f>IF(ABS(MOD(ABS((365*mech_uptime*K16)),1)-0.5)&lt;1E-9,2*ROUND((365*mech_uptime*K16)/2,0),ROUND((365*mech_uptime*K16),0))</f>
        <v/>
      </c>
      <c r="Q16" s="46">
        <f>mech_uptime</f>
        <v/>
      </c>
      <c r="R16" s="46">
        <f>IF(AND(B16="South Korea",scenario="MID"),korea_mid_revleg,revleg_sel)</f>
        <v/>
      </c>
      <c r="S16" s="45">
        <f>IF(ABS(MOD(ABS((O16*P16*R16)),1)-0.5)&lt;1E-9,2*ROUND((O16*P16*R16)/2,0),ROUND((O16*P16*R16),0))</f>
        <v/>
      </c>
      <c r="T16" s="46">
        <f>IF(AND(B16="South Korea",scenario="MID"),korea_mid_load,load_sel)</f>
        <v/>
      </c>
      <c r="U16" s="47">
        <f>pax_cap*T16</f>
        <v/>
      </c>
      <c r="V16" s="45">
        <f>U16*S16</f>
        <v/>
      </c>
      <c r="W16" s="48">
        <f>H16*discount</f>
        <v/>
      </c>
      <c r="X16" s="49">
        <f>W16*V16</f>
        <v/>
      </c>
      <c r="Y16" s="49">
        <f>(battery/range_nm)*G16*S16*VLOOKUP(B16,country_opex,3,FALSE)</f>
        <v/>
      </c>
      <c r="Z16" s="49">
        <f>VLOOKUP(B16,country_opex,2,FALSE)*crew_factor</f>
        <v/>
      </c>
      <c r="AA16" s="49">
        <f>VLOOKUP(B16,country_opex,5,FALSE)</f>
        <v/>
      </c>
      <c r="AB16" s="49">
        <f>maint</f>
        <v/>
      </c>
      <c r="AC16" s="49">
        <f>VLOOKUP(B16,country_opex,7,FALSE)*ins_pct</f>
        <v/>
      </c>
      <c r="AD16" s="49">
        <f>charge_berth</f>
        <v/>
      </c>
      <c r="AE16" s="49">
        <f>Y16+Z16+AA16+AB16+AC16+AD16</f>
        <v/>
      </c>
      <c r="AF16" s="49">
        <f>VLOOKUP(B16,country_opex,7,FALSE)/dep_years</f>
        <v/>
      </c>
      <c r="AG16" s="49">
        <f>X16-AE16</f>
        <v/>
      </c>
      <c r="AH16" s="46">
        <f>IF(X16=0,"",AG16/X16)</f>
        <v/>
      </c>
      <c r="AI16" s="47">
        <f>IF(AG16&lt;=0,"",VLOOKUP(B16,country_opex,7,FALSE)/AG16)</f>
        <v/>
      </c>
      <c r="AJ16" s="44">
        <f>((G16*S16/diesel_nmpg)*diesel_co2pg-(battery/range_nm)*G16*S16*VLOOKUP(B16,country_opex,4,FALSE))/1000</f>
        <v/>
      </c>
      <c r="AK16" s="42" t="n"/>
      <c r="AL16" s="43" t="n"/>
      <c r="AM16" s="43" t="n"/>
      <c r="AN16" s="50" t="n">
        <v>0.1</v>
      </c>
      <c r="AO16" s="45">
        <f>IF(AK16="","",AK16*AN16)</f>
        <v/>
      </c>
      <c r="AP16" s="45">
        <f>IF(OR(AK16="",V16=0),"",MIN(IF(AX16="",9.9E+99,AX16),FLOOR(AO16/V16,1)))</f>
        <v/>
      </c>
      <c r="AQ16" s="49">
        <f>IF(AP16="","",AP16*IF(ABS(MOD(ABS((X16)),1)-0.5)&lt;1E-9,2*ROUND((X16)/2,0),ROUND((X16),0)))</f>
        <v/>
      </c>
      <c r="AR16" s="47">
        <f>IF(OR(AK16="",V16=0),"",MIN(IF(AX16="",9.9E+99,AX16),AO16/V16))</f>
        <v/>
      </c>
      <c r="AS16" s="49">
        <f>IF(AR16="","",AR16*IF(B16="South Korea",IF(ABS(MOD(ABS((X16)),1)-0.5)&lt;1E-9,2*ROUND((X16)/2,0),ROUND((X16),0)),X16))</f>
        <v/>
      </c>
      <c r="AT16" s="51" t="n"/>
      <c r="AU16" s="43" t="inlineStr">
        <is>
          <t>Estimated</t>
        </is>
      </c>
      <c r="AV16" s="52" t="n"/>
      <c r="AW16" s="52" t="n"/>
      <c r="AX16" s="53" t="n"/>
      <c r="AY16" s="54">
        <f>IF(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&lt;=0,"",VLOOKUP(B16,country_opex,7,FALSE)/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)</f>
        <v/>
      </c>
      <c r="AZ16" s="54">
        <f>IF(((W16*pax_cap*IF(B16="South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Korea",korea_mid_revleg,revleg_mid)),0))*VLOOKUP(B16,country_opex,3,FALSE))+Z16+AA16+AB16+AC16+AD16))&lt;=0,"",VLOOKUP(B16,country_opex,7,FALSE)/((W16*pax_cap*IF(B16="South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Korea",korea_mid_revleg,revleg_mid)),0))*VLOOKUP(B16,country_opex,3,FALSE))+Z16+AA16+AB16+AC16+AD16)))</f>
        <v/>
      </c>
      <c r="BA16" s="54">
        <f>IF(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&lt;=0,"",VLOOKUP(B16,country_opex,7,FALSE)/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)</f>
        <v/>
      </c>
      <c r="BB16" s="40" t="inlineStr">
        <is>
          <t>PREMIUM tier proxy: private Boulevard boat-tour per-seat ~$30 (range $30-44) — same in-market premium marine comparable as Bilgah; no scheduled fast craft to Nardaran exists today.</t>
        </is>
      </c>
      <c r="BC16" s="40" t="n"/>
      <c r="BD16" s="43" t="inlineStr">
        <is>
          <t>rn-2182422afeab</t>
        </is>
      </c>
    </row>
    <row r="17">
      <c r="A17" s="38" t="inlineStr">
        <is>
          <t>Caribbean Mobility</t>
        </is>
      </c>
      <c r="B17" s="38" t="inlineStr">
        <is>
          <t>Bahamas</t>
        </is>
      </c>
      <c r="C17" s="39" t="inlineStr">
        <is>
          <t>Downtown Nassau / cruise-port waterfront → Paradise Island / Atlantis-marina catchment</t>
        </is>
      </c>
      <c r="D17" s="38" t="inlineStr">
        <is>
          <t>caribbean-mobility</t>
        </is>
      </c>
      <c r="E17" s="40" t="inlineStr">
        <is>
          <t>caribbean-mobility</t>
        </is>
      </c>
      <c r="F17" s="41" t="n">
        <v>1</v>
      </c>
      <c r="G17" s="42" t="n">
        <v>1.01</v>
      </c>
      <c r="H17" s="35" t="n">
        <v>18</v>
      </c>
      <c r="I17" s="43" t="n"/>
      <c r="J17" s="43" t="n"/>
      <c r="K17" s="29" t="n">
        <v>1</v>
      </c>
      <c r="L17" s="44">
        <f>60*G17/cruise_kt</f>
        <v/>
      </c>
      <c r="M17" s="44">
        <f>IF(B17="South Korea",G17/korea_charge_range_nm*korea_full_range_charge_min,0)</f>
        <v/>
      </c>
      <c r="N17" s="44">
        <f>IF(B17="South Korea",L17+korea_turn_min+korea_dwell_min+M17,L17+turn_min+dwell_min)</f>
        <v/>
      </c>
      <c r="O17" s="45">
        <f>IF(B17="South Korea",FLOOR(60*korea_service_hr/N17,1),MIN(15,FLOOR(60*service_hr/N17,1)))</f>
        <v/>
      </c>
      <c r="P17" s="45">
        <f>IF(ABS(MOD(ABS((365*mech_uptime*K17)),1)-0.5)&lt;1E-9,2*ROUND((365*mech_uptime*K17)/2,0),ROUND((365*mech_uptime*K17),0))</f>
        <v/>
      </c>
      <c r="Q17" s="46">
        <f>mech_uptime</f>
        <v/>
      </c>
      <c r="R17" s="46">
        <f>IF(AND(B17="South Korea",scenario="MID"),korea_mid_revleg,revleg_sel)</f>
        <v/>
      </c>
      <c r="S17" s="45">
        <f>IF(ABS(MOD(ABS((O17*P17*R17)),1)-0.5)&lt;1E-9,2*ROUND((O17*P17*R17)/2,0),ROUND((O17*P17*R17),0))</f>
        <v/>
      </c>
      <c r="T17" s="46">
        <f>IF(AND(B17="South Korea",scenario="MID"),korea_mid_load,load_sel)</f>
        <v/>
      </c>
      <c r="U17" s="47">
        <f>pax_cap*T17</f>
        <v/>
      </c>
      <c r="V17" s="45">
        <f>U17*S17</f>
        <v/>
      </c>
      <c r="W17" s="48">
        <f>H17*discount</f>
        <v/>
      </c>
      <c r="X17" s="49">
        <f>W17*V17</f>
        <v/>
      </c>
      <c r="Y17" s="49">
        <f>(battery/range_nm)*G17*S17*VLOOKUP(B17,country_opex,3,FALSE)</f>
        <v/>
      </c>
      <c r="Z17" s="49">
        <f>VLOOKUP(B17,country_opex,2,FALSE)*crew_factor</f>
        <v/>
      </c>
      <c r="AA17" s="49">
        <f>VLOOKUP(B17,country_opex,5,FALSE)</f>
        <v/>
      </c>
      <c r="AB17" s="49">
        <f>maint</f>
        <v/>
      </c>
      <c r="AC17" s="49">
        <f>VLOOKUP(B17,country_opex,7,FALSE)*ins_pct</f>
        <v/>
      </c>
      <c r="AD17" s="49">
        <f>charge_berth</f>
        <v/>
      </c>
      <c r="AE17" s="49">
        <f>Y17+Z17+AA17+AB17+AC17+AD17</f>
        <v/>
      </c>
      <c r="AF17" s="49">
        <f>VLOOKUP(B17,country_opex,7,FALSE)/dep_years</f>
        <v/>
      </c>
      <c r="AG17" s="49">
        <f>X17-AE17</f>
        <v/>
      </c>
      <c r="AH17" s="46">
        <f>IF(X17=0,"",AG17/X17)</f>
        <v/>
      </c>
      <c r="AI17" s="47">
        <f>IF(AG17&lt;=0,"",VLOOKUP(B17,country_opex,7,FALSE)/AG17)</f>
        <v/>
      </c>
      <c r="AJ17" s="44">
        <f>((G17*S17/diesel_nmpg)*diesel_co2pg-(battery/range_nm)*G17*S17*VLOOKUP(B17,country_opex,4,FALSE))/1000</f>
        <v/>
      </c>
      <c r="AK17" s="42" t="n">
        <v>67200</v>
      </c>
      <c r="AL17" s="43" t="n"/>
      <c r="AM17" s="43" t="n"/>
      <c r="AN17" s="50" t="n">
        <v>0.1</v>
      </c>
      <c r="AO17" s="45">
        <f>IF(AK17="","",AK17*AN17)</f>
        <v/>
      </c>
      <c r="AP17" s="45">
        <f>IF(OR(AK17="",V17=0),"",MIN(IF(AX17="",9.9E+99,AX17),FLOOR(AO17/V17,1)))</f>
        <v/>
      </c>
      <c r="AQ17" s="49">
        <f>IF(AP17="","",AP17*IF(ABS(MOD(ABS((X17)),1)-0.5)&lt;1E-9,2*ROUND((X17)/2,0),ROUND((X17),0)))</f>
        <v/>
      </c>
      <c r="AR17" s="47">
        <f>IF(OR(AK17="",V17=0),"",MIN(IF(AX17="",9.9E+99,AX17),AO17/V17))</f>
        <v/>
      </c>
      <c r="AS17" s="49">
        <f>IF(AR17="","",AR17*IF(B17="South Korea",IF(ABS(MOD(ABS((X17)),1)-0.5)&lt;1E-9,2*ROUND((X17)/2,0),ROUND((X17),0)),X17))</f>
        <v/>
      </c>
      <c r="AT17" s="51" t="n"/>
      <c r="AU17" s="43" t="inlineStr">
        <is>
          <t>Estimated</t>
        </is>
      </c>
      <c r="AV17" s="52" t="n"/>
      <c r="AW17" s="52" t="n"/>
      <c r="AX17" s="53" t="n"/>
      <c r="AY17" s="54">
        <f>IF(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&lt;=0,"",VLOOKUP(B17,country_opex,7,FALSE)/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)</f>
        <v/>
      </c>
      <c r="AZ17" s="54">
        <f>IF(((W17*pax_cap*IF(B17="South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Korea",korea_mid_revleg,revleg_mid)),0))*VLOOKUP(B17,country_opex,3,FALSE))+Z17+AA17+AB17+AC17+AD17))&lt;=0,"",VLOOKUP(B17,country_opex,7,FALSE)/((W17*pax_cap*IF(B17="South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Korea",korea_mid_revleg,revleg_mid)),0))*VLOOKUP(B17,country_opex,3,FALSE))+Z17+AA17+AB17+AC17+AD17)))</f>
        <v/>
      </c>
      <c r="BA17" s="54">
        <f>IF(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&lt;=0,"",VLOOKUP(B17,country_opex,7,FALSE)/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)</f>
        <v/>
      </c>
      <c r="BB17" s="40" t="n"/>
      <c r="BC17" s="40" t="n"/>
      <c r="BD17" s="43" t="inlineStr">
        <is>
          <t>ics-05ae8c432d</t>
        </is>
      </c>
    </row>
    <row r="18">
      <c r="A18" s="38" t="inlineStr">
        <is>
          <t>Gulf Authority Rakta</t>
        </is>
      </c>
      <c r="B18" s="38" t="inlineStr">
        <is>
          <t>Bahrain</t>
        </is>
      </c>
      <c r="C18" s="39" t="inlineStr">
        <is>
          <t>Sitra (Ad-Dur) Hawar Ferry Terminal → Bahrain Yacht Club</t>
        </is>
      </c>
      <c r="D18" s="38" t="inlineStr">
        <is>
          <t>bahrain-motc</t>
        </is>
      </c>
      <c r="E18" s="40" t="inlineStr">
        <is>
          <t>gulf-authority-bahrain-motc, gulf-authority-rakta</t>
        </is>
      </c>
      <c r="F18" s="41" t="n">
        <v>2</v>
      </c>
      <c r="G18" s="42" t="n">
        <v>1.2</v>
      </c>
      <c r="H18" s="35" t="n"/>
      <c r="I18" s="43" t="n"/>
      <c r="J18" s="43" t="n"/>
      <c r="K18" s="29" t="n">
        <v>1</v>
      </c>
      <c r="L18" s="44">
        <f>60*G18/cruise_kt</f>
        <v/>
      </c>
      <c r="M18" s="44">
        <f>IF(B18="South Korea",G18/korea_charge_range_nm*korea_full_range_charge_min,0)</f>
        <v/>
      </c>
      <c r="N18" s="44">
        <f>IF(B18="South Korea",L18+korea_turn_min+korea_dwell_min+M18,L18+turn_min+dwell_min)</f>
        <v/>
      </c>
      <c r="O18" s="45">
        <f>IF(B18="South Korea",FLOOR(60*korea_service_hr/N18,1),MIN(15,FLOOR(60*service_hr/N18,1)))</f>
        <v/>
      </c>
      <c r="P18" s="45">
        <f>IF(ABS(MOD(ABS((365*mech_uptime*K18)),1)-0.5)&lt;1E-9,2*ROUND((365*mech_uptime*K18)/2,0),ROUND((365*mech_uptime*K18),0))</f>
        <v/>
      </c>
      <c r="Q18" s="46">
        <f>mech_uptime</f>
        <v/>
      </c>
      <c r="R18" s="46">
        <f>IF(AND(B18="South Korea",scenario="MID"),korea_mid_revleg,revleg_sel)</f>
        <v/>
      </c>
      <c r="S18" s="45">
        <f>IF(ABS(MOD(ABS((O18*P18*R18)),1)-0.5)&lt;1E-9,2*ROUND((O18*P18*R18)/2,0),ROUND((O18*P18*R18),0))</f>
        <v/>
      </c>
      <c r="T18" s="46">
        <f>IF(AND(B18="South Korea",scenario="MID"),korea_mid_load,load_sel)</f>
        <v/>
      </c>
      <c r="U18" s="47">
        <f>pax_cap*T18</f>
        <v/>
      </c>
      <c r="V18" s="45">
        <f>U18*S18</f>
        <v/>
      </c>
      <c r="W18" s="48">
        <f>H18*discount</f>
        <v/>
      </c>
      <c r="X18" s="49">
        <f>W18*V18</f>
        <v/>
      </c>
      <c r="Y18" s="49">
        <f>(battery/range_nm)*G18*S18*VLOOKUP(B18,country_opex,3,FALSE)</f>
        <v/>
      </c>
      <c r="Z18" s="49">
        <f>VLOOKUP(B18,country_opex,2,FALSE)*crew_factor</f>
        <v/>
      </c>
      <c r="AA18" s="49">
        <f>VLOOKUP(B18,country_opex,5,FALSE)</f>
        <v/>
      </c>
      <c r="AB18" s="49">
        <f>maint</f>
        <v/>
      </c>
      <c r="AC18" s="49">
        <f>VLOOKUP(B18,country_opex,7,FALSE)*ins_pct</f>
        <v/>
      </c>
      <c r="AD18" s="49">
        <f>charge_berth</f>
        <v/>
      </c>
      <c r="AE18" s="49">
        <f>Y18+Z18+AA18+AB18+AC18+AD18</f>
        <v/>
      </c>
      <c r="AF18" s="49">
        <f>VLOOKUP(B18,country_opex,7,FALSE)/dep_years</f>
        <v/>
      </c>
      <c r="AG18" s="49">
        <f>X18-AE18</f>
        <v/>
      </c>
      <c r="AH18" s="46">
        <f>IF(X18=0,"",AG18/X18)</f>
        <v/>
      </c>
      <c r="AI18" s="47">
        <f>IF(AG18&lt;=0,"",VLOOKUP(B18,country_opex,7,FALSE)/AG18)</f>
        <v/>
      </c>
      <c r="AJ18" s="44">
        <f>((G18*S18/diesel_nmpg)*diesel_co2pg-(battery/range_nm)*G18*S18*VLOOKUP(B18,country_opex,4,FALSE))/1000</f>
        <v/>
      </c>
      <c r="AK18" s="42" t="n"/>
      <c r="AL18" s="43" t="n"/>
      <c r="AM18" s="43" t="n"/>
      <c r="AN18" s="50" t="n">
        <v>0.1</v>
      </c>
      <c r="AO18" s="45">
        <f>IF(AK18="","",AK18*AN18)</f>
        <v/>
      </c>
      <c r="AP18" s="45">
        <f>IF(OR(AK18="",V18=0),"",MIN(IF(AX18="",9.9E+99,AX18),FLOOR(AO18/V18,1)))</f>
        <v/>
      </c>
      <c r="AQ18" s="49">
        <f>IF(AP18="","",AP18*IF(ABS(MOD(ABS((X18)),1)-0.5)&lt;1E-9,2*ROUND((X18)/2,0),ROUND((X18),0)))</f>
        <v/>
      </c>
      <c r="AR18" s="47">
        <f>IF(OR(AK18="",V18=0),"",MIN(IF(AX18="",9.9E+99,AX18),AO18/V18))</f>
        <v/>
      </c>
      <c r="AS18" s="49">
        <f>IF(AR18="","",AR18*IF(B18="South Korea",IF(ABS(MOD(ABS((X18)),1)-0.5)&lt;1E-9,2*ROUND((X18)/2,0),ROUND((X18),0)),X18))</f>
        <v/>
      </c>
      <c r="AT18" s="51" t="n"/>
      <c r="AU18" s="43" t="inlineStr">
        <is>
          <t>Estimated</t>
        </is>
      </c>
      <c r="AV18" s="52" t="n"/>
      <c r="AW18" s="52" t="n"/>
      <c r="AX18" s="53" t="n"/>
      <c r="AY18" s="54">
        <f>IF(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&lt;=0,"",VLOOKUP(B18,country_opex,7,FALSE)/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)</f>
        <v/>
      </c>
      <c r="AZ18" s="54">
        <f>IF(((W18*pax_cap*IF(B18="South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Korea",korea_mid_revleg,revleg_mid)),0))*VLOOKUP(B18,country_opex,3,FALSE))+Z18+AA18+AB18+AC18+AD18))&lt;=0,"",VLOOKUP(B18,country_opex,7,FALSE)/((W18*pax_cap*IF(B18="South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Korea",korea_mid_revleg,revleg_mid)),0))*VLOOKUP(B18,country_opex,3,FALSE))+Z18+AA18+AB18+AC18+AD18)))</f>
        <v/>
      </c>
      <c r="BA18" s="54">
        <f>IF(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&lt;=0,"",VLOOKUP(B18,country_opex,7,FALSE)/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)</f>
        <v/>
      </c>
      <c r="BB18" s="40" t="n"/>
      <c r="BC18" s="40" t="n"/>
      <c r="BD18" s="43" t="inlineStr">
        <is>
          <t>rn-063a88bc18d1</t>
        </is>
      </c>
    </row>
    <row r="19">
      <c r="A19" s="38" t="inlineStr">
        <is>
          <t>Gulf Authority Rakta</t>
        </is>
      </c>
      <c r="B19" s="38" t="inlineStr">
        <is>
          <t>Bahrain</t>
        </is>
      </c>
      <c r="C19" s="39" t="inlineStr">
        <is>
          <t>Manama → Eastern Province</t>
        </is>
      </c>
      <c r="D19" s="38" t="inlineStr">
        <is>
          <t>bahrain-motc</t>
        </is>
      </c>
      <c r="E19" s="40" t="inlineStr">
        <is>
          <t>gulf-authority-bahrain-motc, gulf-authority-rakta</t>
        </is>
      </c>
      <c r="F19" s="41" t="n">
        <v>2</v>
      </c>
      <c r="G19" s="42" t="n">
        <v>21.2</v>
      </c>
      <c r="H19" s="35" t="n"/>
      <c r="I19" s="43" t="n"/>
      <c r="J19" s="43" t="n"/>
      <c r="K19" s="29" t="n">
        <v>1</v>
      </c>
      <c r="L19" s="44">
        <f>60*G19/cruise_kt</f>
        <v/>
      </c>
      <c r="M19" s="44">
        <f>IF(B19="South Korea",G19/korea_charge_range_nm*korea_full_range_charge_min,0)</f>
        <v/>
      </c>
      <c r="N19" s="44">
        <f>IF(B19="South Korea",L19+korea_turn_min+korea_dwell_min+M19,L19+turn_min+dwell_min)</f>
        <v/>
      </c>
      <c r="O19" s="45">
        <f>IF(B19="South Korea",FLOOR(60*korea_service_hr/N19,1),MIN(15,FLOOR(60*service_hr/N19,1)))</f>
        <v/>
      </c>
      <c r="P19" s="45">
        <f>IF(ABS(MOD(ABS((365*mech_uptime*K19)),1)-0.5)&lt;1E-9,2*ROUND((365*mech_uptime*K19)/2,0),ROUND((365*mech_uptime*K19),0))</f>
        <v/>
      </c>
      <c r="Q19" s="46">
        <f>mech_uptime</f>
        <v/>
      </c>
      <c r="R19" s="46">
        <f>IF(AND(B19="South Korea",scenario="MID"),korea_mid_revleg,revleg_sel)</f>
        <v/>
      </c>
      <c r="S19" s="45">
        <f>IF(ABS(MOD(ABS((O19*P19*R19)),1)-0.5)&lt;1E-9,2*ROUND((O19*P19*R19)/2,0),ROUND((O19*P19*R19),0))</f>
        <v/>
      </c>
      <c r="T19" s="46">
        <f>IF(AND(B19="South Korea",scenario="MID"),korea_mid_load,load_sel)</f>
        <v/>
      </c>
      <c r="U19" s="47">
        <f>pax_cap*T19</f>
        <v/>
      </c>
      <c r="V19" s="45">
        <f>U19*S19</f>
        <v/>
      </c>
      <c r="W19" s="48">
        <f>H19*discount</f>
        <v/>
      </c>
      <c r="X19" s="49">
        <f>W19*V19</f>
        <v/>
      </c>
      <c r="Y19" s="49">
        <f>(battery/range_nm)*G19*S19*VLOOKUP(B19,country_opex,3,FALSE)</f>
        <v/>
      </c>
      <c r="Z19" s="49">
        <f>VLOOKUP(B19,country_opex,2,FALSE)*crew_factor</f>
        <v/>
      </c>
      <c r="AA19" s="49">
        <f>VLOOKUP(B19,country_opex,5,FALSE)</f>
        <v/>
      </c>
      <c r="AB19" s="49">
        <f>maint</f>
        <v/>
      </c>
      <c r="AC19" s="49">
        <f>VLOOKUP(B19,country_opex,7,FALSE)*ins_pct</f>
        <v/>
      </c>
      <c r="AD19" s="49">
        <f>charge_berth</f>
        <v/>
      </c>
      <c r="AE19" s="49">
        <f>Y19+Z19+AA19+AB19+AC19+AD19</f>
        <v/>
      </c>
      <c r="AF19" s="49">
        <f>VLOOKUP(B19,country_opex,7,FALSE)/dep_years</f>
        <v/>
      </c>
      <c r="AG19" s="49">
        <f>X19-AE19</f>
        <v/>
      </c>
      <c r="AH19" s="46">
        <f>IF(X19=0,"",AG19/X19)</f>
        <v/>
      </c>
      <c r="AI19" s="47">
        <f>IF(AG19&lt;=0,"",VLOOKUP(B19,country_opex,7,FALSE)/AG19)</f>
        <v/>
      </c>
      <c r="AJ19" s="44">
        <f>((G19*S19/diesel_nmpg)*diesel_co2pg-(battery/range_nm)*G19*S19*VLOOKUP(B19,country_opex,4,FALSE))/1000</f>
        <v/>
      </c>
      <c r="AK19" s="42" t="n"/>
      <c r="AL19" s="43" t="n"/>
      <c r="AM19" s="43" t="n"/>
      <c r="AN19" s="50" t="n">
        <v>0.1</v>
      </c>
      <c r="AO19" s="45">
        <f>IF(AK19="","",AK19*AN19)</f>
        <v/>
      </c>
      <c r="AP19" s="45">
        <f>IF(OR(AK19="",V19=0),"",MIN(IF(AX19="",9.9E+99,AX19),FLOOR(AO19/V19,1)))</f>
        <v/>
      </c>
      <c r="AQ19" s="49">
        <f>IF(AP19="","",AP19*IF(ABS(MOD(ABS((X19)),1)-0.5)&lt;1E-9,2*ROUND((X19)/2,0),ROUND((X19),0)))</f>
        <v/>
      </c>
      <c r="AR19" s="47">
        <f>IF(OR(AK19="",V19=0),"",MIN(IF(AX19="",9.9E+99,AX19),AO19/V19))</f>
        <v/>
      </c>
      <c r="AS19" s="49">
        <f>IF(AR19="","",AR19*IF(B19="South Korea",IF(ABS(MOD(ABS((X19)),1)-0.5)&lt;1E-9,2*ROUND((X19)/2,0),ROUND((X19),0)),X19))</f>
        <v/>
      </c>
      <c r="AT19" s="51" t="n"/>
      <c r="AU19" s="43" t="inlineStr">
        <is>
          <t>Estimated</t>
        </is>
      </c>
      <c r="AV19" s="52" t="n"/>
      <c r="AW19" s="52" t="n"/>
      <c r="AX19" s="53" t="n"/>
      <c r="AY19" s="54">
        <f>IF(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&lt;=0,"",VLOOKUP(B19,country_opex,7,FALSE)/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)</f>
        <v/>
      </c>
      <c r="AZ19" s="54">
        <f>IF(((W19*pax_cap*IF(B19="South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Korea",korea_mid_revleg,revleg_mid)),0))*VLOOKUP(B19,country_opex,3,FALSE))+Z19+AA19+AB19+AC19+AD19))&lt;=0,"",VLOOKUP(B19,country_opex,7,FALSE)/((W19*pax_cap*IF(B19="South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Korea",korea_mid_revleg,revleg_mid)),0))*VLOOKUP(B19,country_opex,3,FALSE))+Z19+AA19+AB19+AC19+AD19)))</f>
        <v/>
      </c>
      <c r="BA19" s="54">
        <f>IF(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&lt;=0,"",VLOOKUP(B19,country_opex,7,FALSE)/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)</f>
        <v/>
      </c>
      <c r="BB19" s="40" t="n"/>
      <c r="BC19" s="40" t="n"/>
      <c r="BD19" s="43" t="inlineStr">
        <is>
          <t>rn-fffd9a53d482</t>
        </is>
      </c>
    </row>
    <row r="20">
      <c r="A20" s="38" t="inlineStr">
        <is>
          <t>Caribbean Mobility</t>
        </is>
      </c>
      <c r="B20" s="38" t="inlineStr">
        <is>
          <t>Barbados</t>
        </is>
      </c>
      <c r="C20" s="39" t="inlineStr">
        <is>
          <t>Bridgetown Cruise Terminal / Port of Bridgetown → Bridgetown / Carlisle Bay / west-coast visitor catchment</t>
        </is>
      </c>
      <c r="D20" s="38" t="inlineStr">
        <is>
          <t>caribbean-mobility</t>
        </is>
      </c>
      <c r="E20" s="40" t="inlineStr">
        <is>
          <t>caribbean-mobility</t>
        </is>
      </c>
      <c r="F20" s="41" t="n">
        <v>1</v>
      </c>
      <c r="G20" s="42" t="n">
        <v>0.9</v>
      </c>
      <c r="H20" s="35" t="n">
        <v>18</v>
      </c>
      <c r="I20" s="43" t="n"/>
      <c r="J20" s="43" t="n"/>
      <c r="K20" s="29" t="n">
        <v>1</v>
      </c>
      <c r="L20" s="44">
        <f>60*G20/cruise_kt</f>
        <v/>
      </c>
      <c r="M20" s="44">
        <f>IF(B20="South Korea",G20/korea_charge_range_nm*korea_full_range_charge_min,0)</f>
        <v/>
      </c>
      <c r="N20" s="44">
        <f>IF(B20="South Korea",L20+korea_turn_min+korea_dwell_min+M20,L20+turn_min+dwell_min)</f>
        <v/>
      </c>
      <c r="O20" s="45">
        <f>IF(B20="South Korea",FLOOR(60*korea_service_hr/N20,1),MIN(15,FLOOR(60*service_hr/N20,1)))</f>
        <v/>
      </c>
      <c r="P20" s="45">
        <f>IF(ABS(MOD(ABS((365*mech_uptime*K20)),1)-0.5)&lt;1E-9,2*ROUND((365*mech_uptime*K20)/2,0),ROUND((365*mech_uptime*K20),0))</f>
        <v/>
      </c>
      <c r="Q20" s="46">
        <f>mech_uptime</f>
        <v/>
      </c>
      <c r="R20" s="46">
        <f>IF(AND(B20="South Korea",scenario="MID"),korea_mid_revleg,revleg_sel)</f>
        <v/>
      </c>
      <c r="S20" s="45">
        <f>IF(ABS(MOD(ABS((O20*P20*R20)),1)-0.5)&lt;1E-9,2*ROUND((O20*P20*R20)/2,0),ROUND((O20*P20*R20),0))</f>
        <v/>
      </c>
      <c r="T20" s="46">
        <f>IF(AND(B20="South Korea",scenario="MID"),korea_mid_load,load_sel)</f>
        <v/>
      </c>
      <c r="U20" s="47">
        <f>pax_cap*T20</f>
        <v/>
      </c>
      <c r="V20" s="45">
        <f>U20*S20</f>
        <v/>
      </c>
      <c r="W20" s="48">
        <f>H20*discount</f>
        <v/>
      </c>
      <c r="X20" s="49">
        <f>W20*V20</f>
        <v/>
      </c>
      <c r="Y20" s="49">
        <f>(battery/range_nm)*G20*S20*VLOOKUP(B20,country_opex,3,FALSE)</f>
        <v/>
      </c>
      <c r="Z20" s="49">
        <f>VLOOKUP(B20,country_opex,2,FALSE)*crew_factor</f>
        <v/>
      </c>
      <c r="AA20" s="49">
        <f>VLOOKUP(B20,country_opex,5,FALSE)</f>
        <v/>
      </c>
      <c r="AB20" s="49">
        <f>maint</f>
        <v/>
      </c>
      <c r="AC20" s="49">
        <f>VLOOKUP(B20,country_opex,7,FALSE)*ins_pct</f>
        <v/>
      </c>
      <c r="AD20" s="49">
        <f>charge_berth</f>
        <v/>
      </c>
      <c r="AE20" s="49">
        <f>Y20+Z20+AA20+AB20+AC20+AD20</f>
        <v/>
      </c>
      <c r="AF20" s="49">
        <f>VLOOKUP(B20,country_opex,7,FALSE)/dep_years</f>
        <v/>
      </c>
      <c r="AG20" s="49">
        <f>X20-AE20</f>
        <v/>
      </c>
      <c r="AH20" s="46">
        <f>IF(X20=0,"",AG20/X20)</f>
        <v/>
      </c>
      <c r="AI20" s="47">
        <f>IF(AG20&lt;=0,"",VLOOKUP(B20,country_opex,7,FALSE)/AG20)</f>
        <v/>
      </c>
      <c r="AJ20" s="44">
        <f>((G20*S20/diesel_nmpg)*diesel_co2pg-(battery/range_nm)*G20*S20*VLOOKUP(B20,country_opex,4,FALSE))/1000</f>
        <v/>
      </c>
      <c r="AK20" s="42" t="n">
        <v>18000</v>
      </c>
      <c r="AL20" s="43" t="n"/>
      <c r="AM20" s="43" t="n"/>
      <c r="AN20" s="50" t="n">
        <v>0.1</v>
      </c>
      <c r="AO20" s="45">
        <f>IF(AK20="","",AK20*AN20)</f>
        <v/>
      </c>
      <c r="AP20" s="45">
        <f>IF(OR(AK20="",V20=0),"",MIN(IF(AX20="",9.9E+99,AX20),FLOOR(AO20/V20,1)))</f>
        <v/>
      </c>
      <c r="AQ20" s="49">
        <f>IF(AP20="","",AP20*IF(ABS(MOD(ABS((X20)),1)-0.5)&lt;1E-9,2*ROUND((X20)/2,0),ROUND((X20),0)))</f>
        <v/>
      </c>
      <c r="AR20" s="47">
        <f>IF(OR(AK20="",V20=0),"",MIN(IF(AX20="",9.9E+99,AX20),AO20/V20))</f>
        <v/>
      </c>
      <c r="AS20" s="49">
        <f>IF(AR20="","",AR20*IF(B20="South Korea",IF(ABS(MOD(ABS((X20)),1)-0.5)&lt;1E-9,2*ROUND((X20)/2,0),ROUND((X20),0)),X20))</f>
        <v/>
      </c>
      <c r="AT20" s="51" t="n"/>
      <c r="AU20" s="43" t="inlineStr">
        <is>
          <t>Estimated</t>
        </is>
      </c>
      <c r="AV20" s="52" t="n"/>
      <c r="AW20" s="52" t="n"/>
      <c r="AX20" s="53" t="n"/>
      <c r="AY20" s="54">
        <f>IF(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&lt;=0,"",VLOOKUP(B20,country_opex,7,FALSE)/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)</f>
        <v/>
      </c>
      <c r="AZ20" s="54">
        <f>IF(((W20*pax_cap*IF(B20="South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Korea",korea_mid_revleg,revleg_mid)),0))*VLOOKUP(B20,country_opex,3,FALSE))+Z20+AA20+AB20+AC20+AD20))&lt;=0,"",VLOOKUP(B20,country_opex,7,FALSE)/((W20*pax_cap*IF(B20="South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Korea",korea_mid_revleg,revleg_mid)),0))*VLOOKUP(B20,country_opex,3,FALSE))+Z20+AA20+AB20+AC20+AD20)))</f>
        <v/>
      </c>
      <c r="BA20" s="54">
        <f>IF(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&lt;=0,"",VLOOKUP(B20,country_opex,7,FALSE)/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)</f>
        <v/>
      </c>
      <c r="BB20" s="40" t="n"/>
      <c r="BC20" s="40" t="n"/>
      <c r="BD20" s="43" t="inlineStr">
        <is>
          <t>rn-3a37afb0fb5c</t>
        </is>
      </c>
    </row>
    <row r="21">
      <c r="A21" s="38" t="inlineStr">
        <is>
          <t>Caribbean</t>
        </is>
      </c>
      <c r="B21" s="38" t="inlineStr">
        <is>
          <t>Bonaire</t>
        </is>
      </c>
      <c r="C21" s="39" t="inlineStr">
        <is>
          <t>Kralendijk Town Pier (Bonaire) → Klein Bonaire dive transfer (Bonaire National Marine Park)</t>
        </is>
      </c>
      <c r="D21" s="38" t="inlineStr">
        <is>
          <t>caribbean</t>
        </is>
      </c>
      <c r="E21" s="40" t="inlineStr">
        <is>
          <t>caribbean</t>
        </is>
      </c>
      <c r="F21" s="41" t="n">
        <v>1</v>
      </c>
      <c r="G21" s="42" t="n">
        <v>2</v>
      </c>
      <c r="H21" s="35" t="n">
        <v>30</v>
      </c>
      <c r="I21" s="43" t="inlineStr">
        <is>
          <t>T5</t>
        </is>
      </c>
      <c r="J21" s="43" t="inlineStr">
        <is>
          <t>low</t>
        </is>
      </c>
      <c r="K21" s="29" t="n">
        <v>0.92</v>
      </c>
      <c r="L21" s="44">
        <f>60*G21/cruise_kt</f>
        <v/>
      </c>
      <c r="M21" s="44">
        <f>IF(B21="South Korea",G21/korea_charge_range_nm*korea_full_range_charge_min,0)</f>
        <v/>
      </c>
      <c r="N21" s="44">
        <f>IF(B21="South Korea",L21+korea_turn_min+korea_dwell_min+M21,L21+turn_min+dwell_min)</f>
        <v/>
      </c>
      <c r="O21" s="45">
        <f>IF(B21="South Korea",FLOOR(60*korea_service_hr/N21,1),MIN(15,FLOOR(60*service_hr/N21,1)))</f>
        <v/>
      </c>
      <c r="P21" s="45">
        <f>IF(ABS(MOD(ABS((365*mech_uptime*K21)),1)-0.5)&lt;1E-9,2*ROUND((365*mech_uptime*K21)/2,0),ROUND((365*mech_uptime*K21),0))</f>
        <v/>
      </c>
      <c r="Q21" s="46">
        <f>mech_uptime</f>
        <v/>
      </c>
      <c r="R21" s="46">
        <f>IF(AND(B21="South Korea",scenario="MID"),korea_mid_revleg,revleg_sel)</f>
        <v/>
      </c>
      <c r="S21" s="45">
        <f>IF(ABS(MOD(ABS((O21*P21*R21)),1)-0.5)&lt;1E-9,2*ROUND((O21*P21*R21)/2,0),ROUND((O21*P21*R21),0))</f>
        <v/>
      </c>
      <c r="T21" s="46">
        <f>IF(AND(B21="South Korea",scenario="MID"),korea_mid_load,load_sel)</f>
        <v/>
      </c>
      <c r="U21" s="47">
        <f>pax_cap*T21</f>
        <v/>
      </c>
      <c r="V21" s="45">
        <f>U21*S21</f>
        <v/>
      </c>
      <c r="W21" s="48">
        <f>H21*discount</f>
        <v/>
      </c>
      <c r="X21" s="49">
        <f>W21*V21</f>
        <v/>
      </c>
      <c r="Y21" s="49">
        <f>(battery/range_nm)*G21*S21*VLOOKUP(B21,country_opex,3,FALSE)</f>
        <v/>
      </c>
      <c r="Z21" s="49">
        <f>VLOOKUP(B21,country_opex,2,FALSE)*crew_factor</f>
        <v/>
      </c>
      <c r="AA21" s="49">
        <f>VLOOKUP(B21,country_opex,5,FALSE)</f>
        <v/>
      </c>
      <c r="AB21" s="49">
        <f>maint</f>
        <v/>
      </c>
      <c r="AC21" s="49">
        <f>VLOOKUP(B21,country_opex,7,FALSE)*ins_pct</f>
        <v/>
      </c>
      <c r="AD21" s="49">
        <f>charge_berth</f>
        <v/>
      </c>
      <c r="AE21" s="49">
        <f>Y21+Z21+AA21+AB21+AC21+AD21</f>
        <v/>
      </c>
      <c r="AF21" s="49">
        <f>VLOOKUP(B21,country_opex,7,FALSE)/dep_years</f>
        <v/>
      </c>
      <c r="AG21" s="49">
        <f>X21-AE21</f>
        <v/>
      </c>
      <c r="AH21" s="46">
        <f>IF(X21=0,"",AG21/X21)</f>
        <v/>
      </c>
      <c r="AI21" s="47">
        <f>IF(AG21&lt;=0,"",VLOOKUP(B21,country_opex,7,FALSE)/AG21)</f>
        <v/>
      </c>
      <c r="AJ21" s="44">
        <f>((G21*S21/diesel_nmpg)*diesel_co2pg-(battery/range_nm)*G21*S21*VLOOKUP(B21,country_opex,4,FALSE))/1000</f>
        <v/>
      </c>
      <c r="AK21" s="42" t="n"/>
      <c r="AL21" s="43" t="n"/>
      <c r="AM21" s="43" t="n"/>
      <c r="AN21" s="50" t="n">
        <v>0.1</v>
      </c>
      <c r="AO21" s="45">
        <f>IF(AK21="","",AK21*AN21)</f>
        <v/>
      </c>
      <c r="AP21" s="45">
        <f>IF(OR(AK21="",V21=0),"",MIN(IF(AX21="",9.9E+99,AX21),FLOOR(AO21/V21,1)))</f>
        <v/>
      </c>
      <c r="AQ21" s="49">
        <f>IF(AP21="","",AP21*IF(ABS(MOD(ABS((X21)),1)-0.5)&lt;1E-9,2*ROUND((X21)/2,0),ROUND((X21),0)))</f>
        <v/>
      </c>
      <c r="AR21" s="47">
        <f>IF(OR(AK21="",V21=0),"",MIN(IF(AX21="",9.9E+99,AX21),AO21/V21))</f>
        <v/>
      </c>
      <c r="AS21" s="49">
        <f>IF(AR21="","",AR21*IF(B21="South Korea",IF(ABS(MOD(ABS((X21)),1)-0.5)&lt;1E-9,2*ROUND((X21)/2,0),ROUND((X21),0)),X21))</f>
        <v/>
      </c>
      <c r="AT21" s="51" t="n"/>
      <c r="AU21" s="43" t="inlineStr">
        <is>
          <t>Estimated</t>
        </is>
      </c>
      <c r="AV21" s="52" t="n"/>
      <c r="AW21" s="52" t="n"/>
      <c r="AX21" s="53" t="n"/>
      <c r="AY21" s="54">
        <f>IF(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&lt;=0,"",VLOOKUP(B21,country_opex,7,FALSE)/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)</f>
        <v/>
      </c>
      <c r="AZ21" s="54">
        <f>IF(((W21*pax_cap*IF(B21="South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Korea",korea_mid_revleg,revleg_mid)),0))*VLOOKUP(B21,country_opex,3,FALSE))+Z21+AA21+AB21+AC21+AD21))&lt;=0,"",VLOOKUP(B21,country_opex,7,FALSE)/((W21*pax_cap*IF(B21="South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Korea",korea_mid_revleg,revleg_mid)),0))*VLOOKUP(B21,country_opex,3,FALSE))+Z21+AA21+AB21+AC21+AD21)))</f>
        <v/>
      </c>
      <c r="BA21" s="54">
        <f>IF(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&lt;=0,"",VLOOKUP(B21,country_opex,7,FALSE)/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)</f>
        <v/>
      </c>
      <c r="BB21" s="40" t="inlineStr">
        <is>
          <t>MODELED dive-transfer band (Klein Bonaire). To be finalized in cascade.</t>
        </is>
      </c>
      <c r="BC21" s="40" t="n"/>
      <c r="BD21" s="43" t="inlineStr">
        <is>
          <t>rn-f23a5af76773</t>
        </is>
      </c>
    </row>
    <row r="22">
      <c r="A22" s="38" t="inlineStr">
        <is>
          <t>Caribbean</t>
        </is>
      </c>
      <c r="B22" s="38" t="inlineStr">
        <is>
          <t>Bonaire</t>
        </is>
      </c>
      <c r="C22" s="39" t="inlineStr">
        <is>
          <t>Kralendijk Town Pier (Bonaire) → Harbour Village Marina / dive-resort jetty cluster (Bonaire)</t>
        </is>
      </c>
      <c r="D22" s="38" t="inlineStr">
        <is>
          <t>caribbean</t>
        </is>
      </c>
      <c r="E22" s="40" t="inlineStr">
        <is>
          <t>caribbean</t>
        </is>
      </c>
      <c r="F22" s="41" t="n">
        <v>1</v>
      </c>
      <c r="G22" s="42" t="n">
        <v>2</v>
      </c>
      <c r="H22" s="35" t="n">
        <v>28</v>
      </c>
      <c r="I22" s="43" t="inlineStr">
        <is>
          <t>T5</t>
        </is>
      </c>
      <c r="J22" s="43" t="inlineStr">
        <is>
          <t>low</t>
        </is>
      </c>
      <c r="K22" s="29" t="n">
        <v>0.92</v>
      </c>
      <c r="L22" s="44">
        <f>60*G22/cruise_kt</f>
        <v/>
      </c>
      <c r="M22" s="44">
        <f>IF(B22="South Korea",G22/korea_charge_range_nm*korea_full_range_charge_min,0)</f>
        <v/>
      </c>
      <c r="N22" s="44">
        <f>IF(B22="South Korea",L22+korea_turn_min+korea_dwell_min+M22,L22+turn_min+dwell_min)</f>
        <v/>
      </c>
      <c r="O22" s="45">
        <f>IF(B22="South Korea",FLOOR(60*korea_service_hr/N22,1),MIN(15,FLOOR(60*service_hr/N22,1)))</f>
        <v/>
      </c>
      <c r="P22" s="45">
        <f>IF(ABS(MOD(ABS((365*mech_uptime*K22)),1)-0.5)&lt;1E-9,2*ROUND((365*mech_uptime*K22)/2,0),ROUND((365*mech_uptime*K22),0))</f>
        <v/>
      </c>
      <c r="Q22" s="46">
        <f>mech_uptime</f>
        <v/>
      </c>
      <c r="R22" s="46">
        <f>IF(AND(B22="South Korea",scenario="MID"),korea_mid_revleg,revleg_sel)</f>
        <v/>
      </c>
      <c r="S22" s="45">
        <f>IF(ABS(MOD(ABS((O22*P22*R22)),1)-0.5)&lt;1E-9,2*ROUND((O22*P22*R22)/2,0),ROUND((O22*P22*R22),0))</f>
        <v/>
      </c>
      <c r="T22" s="46">
        <f>IF(AND(B22="South Korea",scenario="MID"),korea_mid_load,load_sel)</f>
        <v/>
      </c>
      <c r="U22" s="47">
        <f>pax_cap*T22</f>
        <v/>
      </c>
      <c r="V22" s="45">
        <f>U22*S22</f>
        <v/>
      </c>
      <c r="W22" s="48">
        <f>H22*discount</f>
        <v/>
      </c>
      <c r="X22" s="49">
        <f>W22*V22</f>
        <v/>
      </c>
      <c r="Y22" s="49">
        <f>(battery/range_nm)*G22*S22*VLOOKUP(B22,country_opex,3,FALSE)</f>
        <v/>
      </c>
      <c r="Z22" s="49">
        <f>VLOOKUP(B22,country_opex,2,FALSE)*crew_factor</f>
        <v/>
      </c>
      <c r="AA22" s="49">
        <f>VLOOKUP(B22,country_opex,5,FALSE)</f>
        <v/>
      </c>
      <c r="AB22" s="49">
        <f>maint</f>
        <v/>
      </c>
      <c r="AC22" s="49">
        <f>VLOOKUP(B22,country_opex,7,FALSE)*ins_pct</f>
        <v/>
      </c>
      <c r="AD22" s="49">
        <f>charge_berth</f>
        <v/>
      </c>
      <c r="AE22" s="49">
        <f>Y22+Z22+AA22+AB22+AC22+AD22</f>
        <v/>
      </c>
      <c r="AF22" s="49">
        <f>VLOOKUP(B22,country_opex,7,FALSE)/dep_years</f>
        <v/>
      </c>
      <c r="AG22" s="49">
        <f>X22-AE22</f>
        <v/>
      </c>
      <c r="AH22" s="46">
        <f>IF(X22=0,"",AG22/X22)</f>
        <v/>
      </c>
      <c r="AI22" s="47">
        <f>IF(AG22&lt;=0,"",VLOOKUP(B22,country_opex,7,FALSE)/AG22)</f>
        <v/>
      </c>
      <c r="AJ22" s="44">
        <f>((G22*S22/diesel_nmpg)*diesel_co2pg-(battery/range_nm)*G22*S22*VLOOKUP(B22,country_opex,4,FALSE))/1000</f>
        <v/>
      </c>
      <c r="AK22" s="42" t="n"/>
      <c r="AL22" s="43" t="n"/>
      <c r="AM22" s="43" t="n"/>
      <c r="AN22" s="50" t="n">
        <v>0.1</v>
      </c>
      <c r="AO22" s="45">
        <f>IF(AK22="","",AK22*AN22)</f>
        <v/>
      </c>
      <c r="AP22" s="45">
        <f>IF(OR(AK22="",V22=0),"",MIN(IF(AX22="",9.9E+99,AX22),FLOOR(AO22/V22,1)))</f>
        <v/>
      </c>
      <c r="AQ22" s="49">
        <f>IF(AP22="","",AP22*IF(ABS(MOD(ABS((X22)),1)-0.5)&lt;1E-9,2*ROUND((X22)/2,0),ROUND((X22),0)))</f>
        <v/>
      </c>
      <c r="AR22" s="47">
        <f>IF(OR(AK22="",V22=0),"",MIN(IF(AX22="",9.9E+99,AX22),AO22/V22))</f>
        <v/>
      </c>
      <c r="AS22" s="49">
        <f>IF(AR22="","",AR22*IF(B22="South Korea",IF(ABS(MOD(ABS((X22)),1)-0.5)&lt;1E-9,2*ROUND((X22)/2,0),ROUND((X22),0)),X22))</f>
        <v/>
      </c>
      <c r="AT22" s="51" t="n"/>
      <c r="AU22" s="43" t="inlineStr">
        <is>
          <t>Estimated</t>
        </is>
      </c>
      <c r="AV22" s="52" t="n"/>
      <c r="AW22" s="52" t="n"/>
      <c r="AX22" s="53" t="n"/>
      <c r="AY22" s="54">
        <f>IF(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&lt;=0,"",VLOOKUP(B22,country_opex,7,FALSE)/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)</f>
        <v/>
      </c>
      <c r="AZ22" s="54">
        <f>IF(((W22*pax_cap*IF(B22="South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Korea",korea_mid_revleg,revleg_mid)),0))*VLOOKUP(B22,country_opex,3,FALSE))+Z22+AA22+AB22+AC22+AD22))&lt;=0,"",VLOOKUP(B22,country_opex,7,FALSE)/((W22*pax_cap*IF(B22="South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Korea",korea_mid_revleg,revleg_mid)),0))*VLOOKUP(B22,country_opex,3,FALSE))+Z22+AA22+AB22+AC22+AD22)))</f>
        <v/>
      </c>
      <c r="BA22" s="54">
        <f>IF(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&lt;=0,"",VLOOKUP(B22,country_opex,7,FALSE)/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)</f>
        <v/>
      </c>
      <c r="BB22" s="40" t="inlineStr">
        <is>
          <t>MODELED short town/cruise→dive-resort transfer. To be finalized in cascade.</t>
        </is>
      </c>
      <c r="BC22" s="40" t="n"/>
      <c r="BD22" s="43" t="inlineStr">
        <is>
          <t>rn-99a4997572f3</t>
        </is>
      </c>
    </row>
    <row r="23">
      <c r="A23" s="38" t="inlineStr">
        <is>
          <t>Brazil</t>
        </is>
      </c>
      <c r="B23" s="38" t="inlineStr">
        <is>
          <t>Brazil</t>
        </is>
      </c>
      <c r="C23" s="39" t="inlineStr">
        <is>
          <t>Terminal da Balsa Ponta da Praia (Santos) → Terminal da Balsa Guarujá (Av. Adhemar de Barros)</t>
        </is>
      </c>
      <c r="D23" s="38" t="inlineStr">
        <is>
          <t>didi</t>
        </is>
      </c>
      <c r="E23" s="40" t="inlineStr">
        <is>
          <t>brazil</t>
        </is>
      </c>
      <c r="F23" s="41" t="n">
        <v>1</v>
      </c>
      <c r="G23" s="42" t="n">
        <v>0.25</v>
      </c>
      <c r="H23" s="35" t="n">
        <v>12</v>
      </c>
      <c r="I23" s="43" t="inlineStr">
        <is>
          <t>T1</t>
        </is>
      </c>
      <c r="J23" s="43" t="inlineStr">
        <is>
          <t>high</t>
        </is>
      </c>
      <c r="K23" s="29" t="n">
        <v>1</v>
      </c>
      <c r="L23" s="44">
        <f>60*G23/cruise_kt</f>
        <v/>
      </c>
      <c r="M23" s="44">
        <f>IF(B23="South Korea",G23/korea_charge_range_nm*korea_full_range_charge_min,0)</f>
        <v/>
      </c>
      <c r="N23" s="44">
        <f>IF(B23="South Korea",L23+korea_turn_min+korea_dwell_min+M23,L23+turn_min+dwell_min)</f>
        <v/>
      </c>
      <c r="O23" s="45">
        <f>IF(B23="South Korea",FLOOR(60*korea_service_hr/N23,1),MIN(15,FLOOR(60*service_hr/N23,1)))</f>
        <v/>
      </c>
      <c r="P23" s="45">
        <f>IF(ABS(MOD(ABS((365*mech_uptime*K23)),1)-0.5)&lt;1E-9,2*ROUND((365*mech_uptime*K23)/2,0),ROUND((365*mech_uptime*K23),0))</f>
        <v/>
      </c>
      <c r="Q23" s="46">
        <f>mech_uptime</f>
        <v/>
      </c>
      <c r="R23" s="46">
        <f>IF(AND(B23="South Korea",scenario="MID"),korea_mid_revleg,revleg_sel)</f>
        <v/>
      </c>
      <c r="S23" s="45">
        <f>IF(ABS(MOD(ABS((O23*P23*R23)),1)-0.5)&lt;1E-9,2*ROUND((O23*P23*R23)/2,0),ROUND((O23*P23*R23),0))</f>
        <v/>
      </c>
      <c r="T23" s="46">
        <f>IF(AND(B23="South Korea",scenario="MID"),korea_mid_load,load_sel)</f>
        <v/>
      </c>
      <c r="U23" s="47">
        <f>pax_cap*T23</f>
        <v/>
      </c>
      <c r="V23" s="45">
        <f>U23*S23</f>
        <v/>
      </c>
      <c r="W23" s="48">
        <f>H23*discount</f>
        <v/>
      </c>
      <c r="X23" s="49">
        <f>W23*V23</f>
        <v/>
      </c>
      <c r="Y23" s="49">
        <f>(battery/range_nm)*G23*S23*VLOOKUP(B23,country_opex,3,FALSE)</f>
        <v/>
      </c>
      <c r="Z23" s="49">
        <f>VLOOKUP(B23,country_opex,2,FALSE)*crew_factor</f>
        <v/>
      </c>
      <c r="AA23" s="49">
        <f>VLOOKUP(B23,country_opex,5,FALSE)</f>
        <v/>
      </c>
      <c r="AB23" s="49">
        <f>maint</f>
        <v/>
      </c>
      <c r="AC23" s="49">
        <f>VLOOKUP(B23,country_opex,7,FALSE)*ins_pct</f>
        <v/>
      </c>
      <c r="AD23" s="49">
        <f>charge_berth</f>
        <v/>
      </c>
      <c r="AE23" s="49">
        <f>Y23+Z23+AA23+AB23+AC23+AD23</f>
        <v/>
      </c>
      <c r="AF23" s="49">
        <f>VLOOKUP(B23,country_opex,7,FALSE)/dep_years</f>
        <v/>
      </c>
      <c r="AG23" s="49">
        <f>X23-AE23</f>
        <v/>
      </c>
      <c r="AH23" s="46">
        <f>IF(X23=0,"",AG23/X23)</f>
        <v/>
      </c>
      <c r="AI23" s="47">
        <f>IF(AG23&lt;=0,"",VLOOKUP(B23,country_opex,7,FALSE)/AG23)</f>
        <v/>
      </c>
      <c r="AJ23" s="44">
        <f>((G23*S23/diesel_nmpg)*diesel_co2pg-(battery/range_nm)*G23*S23*VLOOKUP(B23,country_opex,4,FALSE))/1000</f>
        <v/>
      </c>
      <c r="AK23" s="42" t="n">
        <v>5584500</v>
      </c>
      <c r="AL23" s="43" t="inlineStr">
        <is>
          <t>T2/T3 (annualized from crossing-specific dailies)</t>
        </is>
      </c>
      <c r="AM23" s="43" t="inlineStr">
        <is>
          <t>med</t>
        </is>
      </c>
      <c r="AN23" s="50" t="n">
        <v>0.1</v>
      </c>
      <c r="AO23" s="45">
        <f>IF(AK23="","",AK23*AN23)</f>
        <v/>
      </c>
      <c r="AP23" s="45">
        <f>IF(OR(AK23="",V23=0),"",MIN(IF(AX23="",9.9E+99,AX23),FLOOR(AO23/V23,1)))</f>
        <v/>
      </c>
      <c r="AQ23" s="49">
        <f>IF(AP23="","",AP23*IF(ABS(MOD(ABS((X23)),1)-0.5)&lt;1E-9,2*ROUND((X23)/2,0),ROUND((X23),0)))</f>
        <v/>
      </c>
      <c r="AR23" s="47">
        <f>IF(OR(AK23="",V23=0),"",MIN(IF(AX23="",9.9E+99,AX23),AO23/V23))</f>
        <v/>
      </c>
      <c r="AS23" s="49">
        <f>IF(AR23="","",AR23*IF(B23="South Korea",IF(ABS(MOD(ABS((X23)),1)-0.5)&lt;1E-9,2*ROUND((X23)/2,0),ROUND((X23),0)),X23))</f>
        <v/>
      </c>
      <c r="AT23" s="51" t="n"/>
      <c r="AU23" s="43" t="inlineStr">
        <is>
          <t>Grounded</t>
        </is>
      </c>
      <c r="AV23" s="52" t="n"/>
      <c r="AW23" s="52" t="n"/>
      <c r="AX23" s="53" t="n"/>
      <c r="AY23" s="54">
        <f>IF(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&lt;=0,"",VLOOKUP(B23,country_opex,7,FALSE)/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)</f>
        <v/>
      </c>
      <c r="AZ23" s="54">
        <f>IF(((W23*pax_cap*IF(B23="South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Korea",korea_mid_revleg,revleg_mid)),0))*VLOOKUP(B23,country_opex,3,FALSE))+Z23+AA23+AB23+AC23+AD23))&lt;=0,"",VLOOKUP(B23,country_opex,7,FALSE)/((W23*pax_cap*IF(B23="South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Korea",korea_mid_revleg,revleg_mid)),0))*VLOOKUP(B23,country_opex,3,FALSE))+Z23+AA23+AB23+AC23+AD23)))</f>
        <v/>
      </c>
      <c r="BA23" s="54">
        <f>IF(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&lt;=0,"",VLOOKUP(B23,country_opex,7,FALSE)/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)</f>
        <v/>
      </c>
      <c r="BB23" s="40" t="inlineStr">
        <is>
          <t>Acqua Vias PPP terms / state announcement</t>
        </is>
      </c>
      <c r="BC23" s="40" t="inlineStr">
        <is>
          <t>Crossing-specific daily counts: ~7.6k pedestrians + ~7.7k cyclists = 15,300/day (Travessia Santos–Guarujá, A Tribuna basis, corroborated by DH system datasheets: system-wide 57k users/day across 8 crossings, Santos–Guarujá the busiest).</t>
        </is>
      </c>
      <c r="BD23" s="43" t="inlineStr">
        <is>
          <t>rn-07cdabeba7a9</t>
        </is>
      </c>
    </row>
    <row r="24">
      <c r="A24" s="38" t="inlineStr">
        <is>
          <t>Brazil</t>
        </is>
      </c>
      <c r="B24" s="38" t="inlineStr">
        <is>
          <t>Brazil</t>
        </is>
      </c>
      <c r="C24" s="39" t="inlineStr">
        <is>
          <t>Terminal de Passageiros Santos Centro / Praça da República → Terminal de Passageiros Vicente de Carvalho (Guarujá)</t>
        </is>
      </c>
      <c r="D24" s="38" t="inlineStr">
        <is>
          <t>didi</t>
        </is>
      </c>
      <c r="E24" s="40" t="inlineStr">
        <is>
          <t>brazil</t>
        </is>
      </c>
      <c r="F24" s="41" t="n">
        <v>1</v>
      </c>
      <c r="G24" s="42" t="n">
        <v>0.66</v>
      </c>
      <c r="H24" s="35" t="n">
        <v>12</v>
      </c>
      <c r="I24" s="43" t="n"/>
      <c r="J24" s="43" t="n"/>
      <c r="K24" s="29" t="n">
        <v>1</v>
      </c>
      <c r="L24" s="44">
        <f>60*G24/cruise_kt</f>
        <v/>
      </c>
      <c r="M24" s="44">
        <f>IF(B24="South Korea",G24/korea_charge_range_nm*korea_full_range_charge_min,0)</f>
        <v/>
      </c>
      <c r="N24" s="44">
        <f>IF(B24="South Korea",L24+korea_turn_min+korea_dwell_min+M24,L24+turn_min+dwell_min)</f>
        <v/>
      </c>
      <c r="O24" s="45">
        <f>IF(B24="South Korea",FLOOR(60*korea_service_hr/N24,1),MIN(15,FLOOR(60*service_hr/N24,1)))</f>
        <v/>
      </c>
      <c r="P24" s="45">
        <f>IF(ABS(MOD(ABS((365*mech_uptime*K24)),1)-0.5)&lt;1E-9,2*ROUND((365*mech_uptime*K24)/2,0),ROUND((365*mech_uptime*K24),0))</f>
        <v/>
      </c>
      <c r="Q24" s="46">
        <f>mech_uptime</f>
        <v/>
      </c>
      <c r="R24" s="46">
        <f>IF(AND(B24="South Korea",scenario="MID"),korea_mid_revleg,revleg_sel)</f>
        <v/>
      </c>
      <c r="S24" s="45">
        <f>IF(ABS(MOD(ABS((O24*P24*R24)),1)-0.5)&lt;1E-9,2*ROUND((O24*P24*R24)/2,0),ROUND((O24*P24*R24),0))</f>
        <v/>
      </c>
      <c r="T24" s="46">
        <f>IF(AND(B24="South Korea",scenario="MID"),korea_mid_load,load_sel)</f>
        <v/>
      </c>
      <c r="U24" s="47">
        <f>pax_cap*T24</f>
        <v/>
      </c>
      <c r="V24" s="45">
        <f>U24*S24</f>
        <v/>
      </c>
      <c r="W24" s="48">
        <f>H24*discount</f>
        <v/>
      </c>
      <c r="X24" s="49">
        <f>W24*V24</f>
        <v/>
      </c>
      <c r="Y24" s="49">
        <f>(battery/range_nm)*G24*S24*VLOOKUP(B24,country_opex,3,FALSE)</f>
        <v/>
      </c>
      <c r="Z24" s="49">
        <f>VLOOKUP(B24,country_opex,2,FALSE)*crew_factor</f>
        <v/>
      </c>
      <c r="AA24" s="49">
        <f>VLOOKUP(B24,country_opex,5,FALSE)</f>
        <v/>
      </c>
      <c r="AB24" s="49">
        <f>maint</f>
        <v/>
      </c>
      <c r="AC24" s="49">
        <f>VLOOKUP(B24,country_opex,7,FALSE)*ins_pct</f>
        <v/>
      </c>
      <c r="AD24" s="49">
        <f>charge_berth</f>
        <v/>
      </c>
      <c r="AE24" s="49">
        <f>Y24+Z24+AA24+AB24+AC24+AD24</f>
        <v/>
      </c>
      <c r="AF24" s="49">
        <f>VLOOKUP(B24,country_opex,7,FALSE)/dep_years</f>
        <v/>
      </c>
      <c r="AG24" s="49">
        <f>X24-AE24</f>
        <v/>
      </c>
      <c r="AH24" s="46">
        <f>IF(X24=0,"",AG24/X24)</f>
        <v/>
      </c>
      <c r="AI24" s="47">
        <f>IF(AG24&lt;=0,"",VLOOKUP(B24,country_opex,7,FALSE)/AG24)</f>
        <v/>
      </c>
      <c r="AJ24" s="44">
        <f>((G24*S24/diesel_nmpg)*diesel_co2pg-(battery/range_nm)*G24*S24*VLOOKUP(B24,country_opex,4,FALSE))/1000</f>
        <v/>
      </c>
      <c r="AK24" s="42" t="n"/>
      <c r="AL24" s="43" t="n"/>
      <c r="AM24" s="43" t="n"/>
      <c r="AN24" s="50" t="n">
        <v>0.1</v>
      </c>
      <c r="AO24" s="45">
        <f>IF(AK24="","",AK24*AN24)</f>
        <v/>
      </c>
      <c r="AP24" s="45">
        <f>IF(OR(AK24="",V24=0),"",MIN(IF(AX24="",9.9E+99,AX24),FLOOR(AO24/V24,1)))</f>
        <v/>
      </c>
      <c r="AQ24" s="49">
        <f>IF(AP24="","",AP24*IF(ABS(MOD(ABS((X24)),1)-0.5)&lt;1E-9,2*ROUND((X24)/2,0),ROUND((X24),0)))</f>
        <v/>
      </c>
      <c r="AR24" s="47">
        <f>IF(OR(AK24="",V24=0),"",MIN(IF(AX24="",9.9E+99,AX24),AO24/V24))</f>
        <v/>
      </c>
      <c r="AS24" s="49">
        <f>IF(AR24="","",AR24*IF(B24="South Korea",IF(ABS(MOD(ABS((X24)),1)-0.5)&lt;1E-9,2*ROUND((X24)/2,0),ROUND((X24),0)),X24))</f>
        <v/>
      </c>
      <c r="AT24" s="51" t="n"/>
      <c r="AU24" s="43" t="inlineStr">
        <is>
          <t>Estimated</t>
        </is>
      </c>
      <c r="AV24" s="52" t="n"/>
      <c r="AW24" s="52" t="n"/>
      <c r="AX24" s="53" t="n"/>
      <c r="AY24" s="54">
        <f>IF(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&lt;=0,"",VLOOKUP(B24,country_opex,7,FALSE)/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)</f>
        <v/>
      </c>
      <c r="AZ24" s="54">
        <f>IF(((W24*pax_cap*IF(B24="South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Korea",korea_mid_revleg,revleg_mid)),0))*VLOOKUP(B24,country_opex,3,FALSE))+Z24+AA24+AB24+AC24+AD24))&lt;=0,"",VLOOKUP(B24,country_opex,7,FALSE)/((W24*pax_cap*IF(B24="South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Korea",korea_mid_revleg,revleg_mid)),0))*VLOOKUP(B24,country_opex,3,FALSE))+Z24+AA24+AB24+AC24+AD24)))</f>
        <v/>
      </c>
      <c r="BA24" s="54">
        <f>IF(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&lt;=0,"",VLOOKUP(B24,country_opex,7,FALSE)/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)</f>
        <v/>
      </c>
      <c r="BB24" s="40" t="n"/>
      <c r="BC24" s="40" t="n"/>
      <c r="BD24" s="43" t="inlineStr">
        <is>
          <t>rn-3a67668a48a5</t>
        </is>
      </c>
    </row>
    <row r="25">
      <c r="A25" s="38" t="inlineStr">
        <is>
          <t>Brazil</t>
        </is>
      </c>
      <c r="B25" s="38" t="inlineStr">
        <is>
          <t>Brazil</t>
        </is>
      </c>
      <c r="C25" s="39" t="inlineStr">
        <is>
          <t>São Sebastião Ferry Terminal (Balsa) → Ilhabela Ferry Terminal (Barra Velha)</t>
        </is>
      </c>
      <c r="D25" s="38" t="inlineStr">
        <is>
          <t>didi</t>
        </is>
      </c>
      <c r="E25" s="40" t="inlineStr">
        <is>
          <t>brazil</t>
        </is>
      </c>
      <c r="F25" s="41" t="n">
        <v>1</v>
      </c>
      <c r="G25" s="42" t="n">
        <v>1.18</v>
      </c>
      <c r="H25" s="35" t="n">
        <v>15</v>
      </c>
      <c r="I25" s="43" t="inlineStr">
        <is>
          <t>T1</t>
        </is>
      </c>
      <c r="J25" s="43" t="inlineStr">
        <is>
          <t>high</t>
        </is>
      </c>
      <c r="K25" s="29" t="n">
        <v>1</v>
      </c>
      <c r="L25" s="44">
        <f>60*G25/cruise_kt</f>
        <v/>
      </c>
      <c r="M25" s="44">
        <f>IF(B25="South Korea",G25/korea_charge_range_nm*korea_full_range_charge_min,0)</f>
        <v/>
      </c>
      <c r="N25" s="44">
        <f>IF(B25="South Korea",L25+korea_turn_min+korea_dwell_min+M25,L25+turn_min+dwell_min)</f>
        <v/>
      </c>
      <c r="O25" s="45">
        <f>IF(B25="South Korea",FLOOR(60*korea_service_hr/N25,1),MIN(15,FLOOR(60*service_hr/N25,1)))</f>
        <v/>
      </c>
      <c r="P25" s="45">
        <f>IF(ABS(MOD(ABS((365*mech_uptime*K25)),1)-0.5)&lt;1E-9,2*ROUND((365*mech_uptime*K25)/2,0),ROUND((365*mech_uptime*K25),0))</f>
        <v/>
      </c>
      <c r="Q25" s="46">
        <f>mech_uptime</f>
        <v/>
      </c>
      <c r="R25" s="46">
        <f>IF(AND(B25="South Korea",scenario="MID"),korea_mid_revleg,revleg_sel)</f>
        <v/>
      </c>
      <c r="S25" s="45">
        <f>IF(ABS(MOD(ABS((O25*P25*R25)),1)-0.5)&lt;1E-9,2*ROUND((O25*P25*R25)/2,0),ROUND((O25*P25*R25),0))</f>
        <v/>
      </c>
      <c r="T25" s="46">
        <f>IF(AND(B25="South Korea",scenario="MID"),korea_mid_load,load_sel)</f>
        <v/>
      </c>
      <c r="U25" s="47">
        <f>pax_cap*T25</f>
        <v/>
      </c>
      <c r="V25" s="45">
        <f>U25*S25</f>
        <v/>
      </c>
      <c r="W25" s="48">
        <f>H25*discount</f>
        <v/>
      </c>
      <c r="X25" s="49">
        <f>W25*V25</f>
        <v/>
      </c>
      <c r="Y25" s="49">
        <f>(battery/range_nm)*G25*S25*VLOOKUP(B25,country_opex,3,FALSE)</f>
        <v/>
      </c>
      <c r="Z25" s="49">
        <f>VLOOKUP(B25,country_opex,2,FALSE)*crew_factor</f>
        <v/>
      </c>
      <c r="AA25" s="49">
        <f>VLOOKUP(B25,country_opex,5,FALSE)</f>
        <v/>
      </c>
      <c r="AB25" s="49">
        <f>maint</f>
        <v/>
      </c>
      <c r="AC25" s="49">
        <f>VLOOKUP(B25,country_opex,7,FALSE)*ins_pct</f>
        <v/>
      </c>
      <c r="AD25" s="49">
        <f>charge_berth</f>
        <v/>
      </c>
      <c r="AE25" s="49">
        <f>Y25+Z25+AA25+AB25+AC25+AD25</f>
        <v/>
      </c>
      <c r="AF25" s="49">
        <f>VLOOKUP(B25,country_opex,7,FALSE)/dep_years</f>
        <v/>
      </c>
      <c r="AG25" s="49">
        <f>X25-AE25</f>
        <v/>
      </c>
      <c r="AH25" s="46">
        <f>IF(X25=0,"",AG25/X25)</f>
        <v/>
      </c>
      <c r="AI25" s="47">
        <f>IF(AG25&lt;=0,"",VLOOKUP(B25,country_opex,7,FALSE)/AG25)</f>
        <v/>
      </c>
      <c r="AJ25" s="44">
        <f>((G25*S25/diesel_nmpg)*diesel_co2pg-(battery/range_nm)*G25*S25*VLOOKUP(B25,country_opex,4,FALSE))/1000</f>
        <v/>
      </c>
      <c r="AK25" s="42" t="n">
        <v>1493447</v>
      </c>
      <c r="AL25" s="43" t="inlineStr">
        <is>
          <t>T3 (modeled from T1 official inputs)</t>
        </is>
      </c>
      <c r="AM25" s="43" t="inlineStr">
        <is>
          <t>med</t>
        </is>
      </c>
      <c r="AN25" s="50" t="n">
        <v>0.1</v>
      </c>
      <c r="AO25" s="45">
        <f>IF(AK25="","",AK25*AN25)</f>
        <v/>
      </c>
      <c r="AP25" s="45">
        <f>IF(OR(AK25="",V25=0),"",MIN(IF(AX25="",9.9E+99,AX25),FLOOR(AO25/V25,1)))</f>
        <v/>
      </c>
      <c r="AQ25" s="49">
        <f>IF(AP25="","",AP25*IF(ABS(MOD(ABS((X25)),1)-0.5)&lt;1E-9,2*ROUND((X25)/2,0),ROUND((X25),0)))</f>
        <v/>
      </c>
      <c r="AR25" s="47">
        <f>IF(OR(AK25="",V25=0),"",MIN(IF(AX25="",9.9E+99,AX25),AO25/V25))</f>
        <v/>
      </c>
      <c r="AS25" s="49">
        <f>IF(AR25="","",AR25*IF(B25="South Korea",IF(ABS(MOD(ABS((X25)),1)-0.5)&lt;1E-9,2*ROUND((X25)/2,0),ROUND((X25),0)),X25))</f>
        <v/>
      </c>
      <c r="AT25" s="51" t="n"/>
      <c r="AU25" s="43" t="inlineStr">
        <is>
          <t>Grounded</t>
        </is>
      </c>
      <c r="AV25" s="52" t="n"/>
      <c r="AW25" s="52" t="n"/>
      <c r="AX25" s="53" t="n"/>
      <c r="AY25" s="54">
        <f>IF(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&lt;=0,"",VLOOKUP(B25,country_opex,7,FALSE)/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)</f>
        <v/>
      </c>
      <c r="AZ25" s="54">
        <f>IF(((W25*pax_cap*IF(B25="South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Korea",korea_mid_revleg,revleg_mid)),0))*VLOOKUP(B25,country_opex,3,FALSE))+Z25+AA25+AB25+AC25+AD25))&lt;=0,"",VLOOKUP(B25,country_opex,7,FALSE)/((W25*pax_cap*IF(B25="South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Korea",korea_mid_revleg,revleg_mid)),0))*VLOOKUP(B25,country_opex,3,FALSE))+Z25+AA25+AB25+AC25+AD25)))</f>
        <v/>
      </c>
      <c r="BA25" s="54">
        <f>IF(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&lt;=0,"",VLOOKUP(B25,country_opex,7,FALSE)/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)</f>
        <v/>
      </c>
      <c r="BB25" s="40" t="inlineStr">
        <is>
          <t>Prefeitura de Ilhabela Aquabus tariff + Jan-2025 decree</t>
        </is>
      </c>
      <c r="BC25" s="40" t="inlineStr">
        <is>
          <t>Semil-SP official figures: H1-2024 system users 9,647,595 (8 litoral crossings); crossing share 15% of trips (Semil, Jul 2024); summer-operation mode split 593,073 ped+cyc of 1.15M users (15 Dec 2024–10 Mar 2025).</t>
        </is>
      </c>
      <c r="BD25" s="43" t="inlineStr">
        <is>
          <t>rn-1d1a798e7d82</t>
        </is>
      </c>
    </row>
    <row r="26">
      <c r="A26" s="38" t="inlineStr">
        <is>
          <t>Brazil</t>
        </is>
      </c>
      <c r="B26" s="38" t="inlineStr">
        <is>
          <t>Brazil</t>
        </is>
      </c>
      <c r="C26" s="39" t="inlineStr">
        <is>
          <t>Terminal Aquaviário Público de Pontal do Sul → Ilha do Mel — Trapiche de Encantadas</t>
        </is>
      </c>
      <c r="D26" s="38" t="inlineStr">
        <is>
          <t>didi</t>
        </is>
      </c>
      <c r="E26" s="40" t="inlineStr">
        <is>
          <t>brazil</t>
        </is>
      </c>
      <c r="F26" s="41" t="n">
        <v>1</v>
      </c>
      <c r="G26" s="42" t="n">
        <v>2.25</v>
      </c>
      <c r="H26" s="35" t="n">
        <v>12</v>
      </c>
      <c r="I26" s="43" t="n"/>
      <c r="J26" s="43" t="n"/>
      <c r="K26" s="29" t="n">
        <v>1</v>
      </c>
      <c r="L26" s="44">
        <f>60*G26/cruise_kt</f>
        <v/>
      </c>
      <c r="M26" s="44">
        <f>IF(B26="South Korea",G26/korea_charge_range_nm*korea_full_range_charge_min,0)</f>
        <v/>
      </c>
      <c r="N26" s="44">
        <f>IF(B26="South Korea",L26+korea_turn_min+korea_dwell_min+M26,L26+turn_min+dwell_min)</f>
        <v/>
      </c>
      <c r="O26" s="45">
        <f>IF(B26="South Korea",FLOOR(60*korea_service_hr/N26,1),MIN(15,FLOOR(60*service_hr/N26,1)))</f>
        <v/>
      </c>
      <c r="P26" s="45">
        <f>IF(ABS(MOD(ABS((365*mech_uptime*K26)),1)-0.5)&lt;1E-9,2*ROUND((365*mech_uptime*K26)/2,0),ROUND((365*mech_uptime*K26),0))</f>
        <v/>
      </c>
      <c r="Q26" s="46">
        <f>mech_uptime</f>
        <v/>
      </c>
      <c r="R26" s="46">
        <f>IF(AND(B26="South Korea",scenario="MID"),korea_mid_revleg,revleg_sel)</f>
        <v/>
      </c>
      <c r="S26" s="45">
        <f>IF(ABS(MOD(ABS((O26*P26*R26)),1)-0.5)&lt;1E-9,2*ROUND((O26*P26*R26)/2,0),ROUND((O26*P26*R26),0))</f>
        <v/>
      </c>
      <c r="T26" s="46">
        <f>IF(AND(B26="South Korea",scenario="MID"),korea_mid_load,load_sel)</f>
        <v/>
      </c>
      <c r="U26" s="47">
        <f>pax_cap*T26</f>
        <v/>
      </c>
      <c r="V26" s="45">
        <f>U26*S26</f>
        <v/>
      </c>
      <c r="W26" s="48">
        <f>H26*discount</f>
        <v/>
      </c>
      <c r="X26" s="49">
        <f>W26*V26</f>
        <v/>
      </c>
      <c r="Y26" s="49">
        <f>(battery/range_nm)*G26*S26*VLOOKUP(B26,country_opex,3,FALSE)</f>
        <v/>
      </c>
      <c r="Z26" s="49">
        <f>VLOOKUP(B26,country_opex,2,FALSE)*crew_factor</f>
        <v/>
      </c>
      <c r="AA26" s="49">
        <f>VLOOKUP(B26,country_opex,5,FALSE)</f>
        <v/>
      </c>
      <c r="AB26" s="49">
        <f>maint</f>
        <v/>
      </c>
      <c r="AC26" s="49">
        <f>VLOOKUP(B26,country_opex,7,FALSE)*ins_pct</f>
        <v/>
      </c>
      <c r="AD26" s="49">
        <f>charge_berth</f>
        <v/>
      </c>
      <c r="AE26" s="49">
        <f>Y26+Z26+AA26+AB26+AC26+AD26</f>
        <v/>
      </c>
      <c r="AF26" s="49">
        <f>VLOOKUP(B26,country_opex,7,FALSE)/dep_years</f>
        <v/>
      </c>
      <c r="AG26" s="49">
        <f>X26-AE26</f>
        <v/>
      </c>
      <c r="AH26" s="46">
        <f>IF(X26=0,"",AG26/X26)</f>
        <v/>
      </c>
      <c r="AI26" s="47">
        <f>IF(AG26&lt;=0,"",VLOOKUP(B26,country_opex,7,FALSE)/AG26)</f>
        <v/>
      </c>
      <c r="AJ26" s="44">
        <f>((G26*S26/diesel_nmpg)*diesel_co2pg-(battery/range_nm)*G26*S26*VLOOKUP(B26,country_opex,4,FALSE))/1000</f>
        <v/>
      </c>
      <c r="AK26" s="42" t="n"/>
      <c r="AL26" s="43" t="n"/>
      <c r="AM26" s="43" t="n"/>
      <c r="AN26" s="50" t="n">
        <v>0.1</v>
      </c>
      <c r="AO26" s="45">
        <f>IF(AK26="","",AK26*AN26)</f>
        <v/>
      </c>
      <c r="AP26" s="45">
        <f>IF(OR(AK26="",V26=0),"",MIN(IF(AX26="",9.9E+99,AX26),FLOOR(AO26/V26,1)))</f>
        <v/>
      </c>
      <c r="AQ26" s="49">
        <f>IF(AP26="","",AP26*IF(ABS(MOD(ABS((X26)),1)-0.5)&lt;1E-9,2*ROUND((X26)/2,0),ROUND((X26),0)))</f>
        <v/>
      </c>
      <c r="AR26" s="47">
        <f>IF(OR(AK26="",V26=0),"",MIN(IF(AX26="",9.9E+99,AX26),AO26/V26))</f>
        <v/>
      </c>
      <c r="AS26" s="49">
        <f>IF(AR26="","",AR26*IF(B26="South Korea",IF(ABS(MOD(ABS((X26)),1)-0.5)&lt;1E-9,2*ROUND((X26)/2,0),ROUND((X26),0)),X26))</f>
        <v/>
      </c>
      <c r="AT26" s="51" t="n"/>
      <c r="AU26" s="43" t="inlineStr">
        <is>
          <t>Estimated</t>
        </is>
      </c>
      <c r="AV26" s="52" t="n"/>
      <c r="AW26" s="52" t="n"/>
      <c r="AX26" s="53" t="n"/>
      <c r="AY26" s="54">
        <f>IF(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&lt;=0,"",VLOOKUP(B26,country_opex,7,FALSE)/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)</f>
        <v/>
      </c>
      <c r="AZ26" s="54">
        <f>IF(((W26*pax_cap*IF(B26="South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Korea",korea_mid_revleg,revleg_mid)),0))*VLOOKUP(B26,country_opex,3,FALSE))+Z26+AA26+AB26+AC26+AD26))&lt;=0,"",VLOOKUP(B26,country_opex,7,FALSE)/((W26*pax_cap*IF(B26="South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Korea",korea_mid_revleg,revleg_mid)),0))*VLOOKUP(B26,country_opex,3,FALSE))+Z26+AA26+AB26+AC26+AD26)))</f>
        <v/>
      </c>
      <c r="BA26" s="54">
        <f>IF(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&lt;=0,"",VLOOKUP(B26,country_opex,7,FALSE)/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)</f>
        <v/>
      </c>
      <c r="BB26" s="40" t="n"/>
      <c r="BC26" s="40" t="n"/>
      <c r="BD26" s="43" t="inlineStr">
        <is>
          <t>rn-f405c4df3ed2</t>
        </is>
      </c>
    </row>
    <row r="27">
      <c r="A27" s="38" t="inlineStr">
        <is>
          <t>Brazil</t>
        </is>
      </c>
      <c r="B27" s="38" t="inlineStr">
        <is>
          <t>Brazil</t>
        </is>
      </c>
      <c r="C27" s="39" t="inlineStr">
        <is>
          <t>Praça XV Terminal (central Rio) → Arariboia Terminal (Niterói)</t>
        </is>
      </c>
      <c r="D27" s="38" t="inlineStr">
        <is>
          <t>didi</t>
        </is>
      </c>
      <c r="E27" s="40" t="inlineStr">
        <is>
          <t>brazil</t>
        </is>
      </c>
      <c r="F27" s="41" t="n">
        <v>1</v>
      </c>
      <c r="G27" s="42" t="n">
        <v>2.7</v>
      </c>
      <c r="H27" s="35" t="n">
        <v>28</v>
      </c>
      <c r="I27" s="43" t="inlineStr">
        <is>
          <t>T1/T2</t>
        </is>
      </c>
      <c r="J27" s="43" t="inlineStr">
        <is>
          <t>med-low</t>
        </is>
      </c>
      <c r="K27" s="29" t="n">
        <v>1</v>
      </c>
      <c r="L27" s="44">
        <f>60*G27/cruise_kt</f>
        <v/>
      </c>
      <c r="M27" s="44">
        <f>IF(B27="South Korea",G27/korea_charge_range_nm*korea_full_range_charge_min,0)</f>
        <v/>
      </c>
      <c r="N27" s="44">
        <f>IF(B27="South Korea",L27+korea_turn_min+korea_dwell_min+M27,L27+turn_min+dwell_min)</f>
        <v/>
      </c>
      <c r="O27" s="45">
        <f>IF(B27="South Korea",FLOOR(60*korea_service_hr/N27,1),MIN(15,FLOOR(60*service_hr/N27,1)))</f>
        <v/>
      </c>
      <c r="P27" s="45">
        <f>IF(ABS(MOD(ABS((365*mech_uptime*K27)),1)-0.5)&lt;1E-9,2*ROUND((365*mech_uptime*K27)/2,0),ROUND((365*mech_uptime*K27),0))</f>
        <v/>
      </c>
      <c r="Q27" s="46">
        <f>mech_uptime</f>
        <v/>
      </c>
      <c r="R27" s="46">
        <f>IF(AND(B27="South Korea",scenario="MID"),korea_mid_revleg,revleg_sel)</f>
        <v/>
      </c>
      <c r="S27" s="45">
        <f>IF(ABS(MOD(ABS((O27*P27*R27)),1)-0.5)&lt;1E-9,2*ROUND((O27*P27*R27)/2,0),ROUND((O27*P27*R27),0))</f>
        <v/>
      </c>
      <c r="T27" s="46">
        <f>IF(AND(B27="South Korea",scenario="MID"),korea_mid_load,load_sel)</f>
        <v/>
      </c>
      <c r="U27" s="47">
        <f>pax_cap*T27</f>
        <v/>
      </c>
      <c r="V27" s="45">
        <f>U27*S27</f>
        <v/>
      </c>
      <c r="W27" s="48">
        <f>H27*discount</f>
        <v/>
      </c>
      <c r="X27" s="49">
        <f>W27*V27</f>
        <v/>
      </c>
      <c r="Y27" s="49">
        <f>(battery/range_nm)*G27*S27*VLOOKUP(B27,country_opex,3,FALSE)</f>
        <v/>
      </c>
      <c r="Z27" s="49">
        <f>VLOOKUP(B27,country_opex,2,FALSE)*crew_factor</f>
        <v/>
      </c>
      <c r="AA27" s="49">
        <f>VLOOKUP(B27,country_opex,5,FALSE)</f>
        <v/>
      </c>
      <c r="AB27" s="49">
        <f>maint</f>
        <v/>
      </c>
      <c r="AC27" s="49">
        <f>VLOOKUP(B27,country_opex,7,FALSE)*ins_pct</f>
        <v/>
      </c>
      <c r="AD27" s="49">
        <f>charge_berth</f>
        <v/>
      </c>
      <c r="AE27" s="49">
        <f>Y27+Z27+AA27+AB27+AC27+AD27</f>
        <v/>
      </c>
      <c r="AF27" s="49">
        <f>VLOOKUP(B27,country_opex,7,FALSE)/dep_years</f>
        <v/>
      </c>
      <c r="AG27" s="49">
        <f>X27-AE27</f>
        <v/>
      </c>
      <c r="AH27" s="46">
        <f>IF(X27=0,"",AG27/X27)</f>
        <v/>
      </c>
      <c r="AI27" s="47">
        <f>IF(AG27&lt;=0,"",VLOOKUP(B27,country_opex,7,FALSE)/AG27)</f>
        <v/>
      </c>
      <c r="AJ27" s="44">
        <f>((G27*S27/diesel_nmpg)*diesel_co2pg-(battery/range_nm)*G27*S27*VLOOKUP(B27,country_opex,4,FALSE))/1000</f>
        <v/>
      </c>
      <c r="AK27" s="42" t="n">
        <v>10848719</v>
      </c>
      <c r="AL27" s="43" t="inlineStr">
        <is>
          <t>T1</t>
        </is>
      </c>
      <c r="AM27" s="43" t="inlineStr">
        <is>
          <t>high</t>
        </is>
      </c>
      <c r="AN27" s="50" t="n">
        <v>0.1</v>
      </c>
      <c r="AO27" s="45">
        <f>IF(AK27="","",AK27*AN27)</f>
        <v/>
      </c>
      <c r="AP27" s="45">
        <f>IF(OR(AK27="",V27=0),"",MIN(IF(AX27="",9.9E+99,AX27),FLOOR(AO27/V27,1)))</f>
        <v/>
      </c>
      <c r="AQ27" s="49">
        <f>IF(AP27="","",AP27*IF(ABS(MOD(ABS((X27)),1)-0.5)&lt;1E-9,2*ROUND((X27)/2,0),ROUND((X27),0)))</f>
        <v/>
      </c>
      <c r="AR27" s="47">
        <f>IF(OR(AK27="",V27=0),"",MIN(IF(AX27="",9.9E+99,AX27),AO27/V27))</f>
        <v/>
      </c>
      <c r="AS27" s="49">
        <f>IF(AR27="","",AR27*IF(B27="South Korea",IF(ABS(MOD(ABS((X27)),1)-0.5)&lt;1E-9,2*ROUND((X27)/2,0),ROUND((X27),0)),X27))</f>
        <v/>
      </c>
      <c r="AT27" s="51" t="n"/>
      <c r="AU27" s="43" t="inlineStr">
        <is>
          <t>Grounded</t>
        </is>
      </c>
      <c r="AV27" s="52" t="n"/>
      <c r="AW27" s="52" t="n"/>
      <c r="AX27" s="53" t="n"/>
      <c r="AY27" s="54">
        <f>IF(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&lt;=0,"",VLOOKUP(B27,country_opex,7,FALSE)/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)</f>
        <v/>
      </c>
      <c r="AZ27" s="54">
        <f>IF(((W27*pax_cap*IF(B27="South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Korea",korea_mid_revleg,revleg_mid)),0))*VLOOKUP(B27,country_opex,3,FALSE))+Z27+AA27+AB27+AC27+AD27))&lt;=0,"",VLOOKUP(B27,country_opex,7,FALSE)/((W27*pax_cap*IF(B27="South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Korea",korea_mid_revleg,revleg_mid)),0))*VLOOKUP(B27,country_opex,3,FALSE))+Z27+AA27+AB27+AC27+AD27)))</f>
        <v/>
      </c>
      <c r="BA27" s="54">
        <f>IF(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&lt;=0,"",VLOOKUP(B27,country_opex,7,FALSE)/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)</f>
        <v/>
      </c>
      <c r="BB27" s="40" t="inlineStr">
        <is>
          <t>https://barcasrio.com.br/linhas-horarios-e-tarifas/</t>
        </is>
      </c>
      <c r="BC27" s="40" t="inlineStr">
        <is>
          <t>https://www2.agetransp.rj.gov.br/arquivos/operacao-servicos/relatorio-de-atividades/Relat%C3%B3rio%20Mensal%20de%20Atividades%20Janeiro%202024.pdf</t>
        </is>
      </c>
      <c r="BD27" s="43" t="inlineStr">
        <is>
          <t>rn-1886629dbf0c</t>
        </is>
      </c>
    </row>
    <row r="28">
      <c r="A28" s="38" t="inlineStr">
        <is>
          <t>Brazil</t>
        </is>
      </c>
      <c r="B28" s="38" t="inlineStr">
        <is>
          <t>Brazil</t>
        </is>
      </c>
      <c r="C28" s="39" t="inlineStr">
        <is>
          <t>Estação Governador Albuíno Azeredo (Aquaviário da Prainha, Vila Velha) → Estação Prefeito Setembrino Pelissari (Aquaviário da Praça do Papa, Vitória)</t>
        </is>
      </c>
      <c r="D28" s="38" t="inlineStr">
        <is>
          <t>didi</t>
        </is>
      </c>
      <c r="E28" s="40" t="inlineStr">
        <is>
          <t>brazil</t>
        </is>
      </c>
      <c r="F28" s="41" t="n">
        <v>1</v>
      </c>
      <c r="G28" s="42" t="n">
        <v>3.49</v>
      </c>
      <c r="H28" s="35" t="n">
        <v>20</v>
      </c>
      <c r="I28" s="43" t="inlineStr">
        <is>
          <t>T1</t>
        </is>
      </c>
      <c r="J28" s="43" t="inlineStr">
        <is>
          <t>high</t>
        </is>
      </c>
      <c r="K28" s="29" t="n">
        <v>1</v>
      </c>
      <c r="L28" s="44">
        <f>60*G28/cruise_kt</f>
        <v/>
      </c>
      <c r="M28" s="44">
        <f>IF(B28="South Korea",G28/korea_charge_range_nm*korea_full_range_charge_min,0)</f>
        <v/>
      </c>
      <c r="N28" s="44">
        <f>IF(B28="South Korea",L28+korea_turn_min+korea_dwell_min+M28,L28+turn_min+dwell_min)</f>
        <v/>
      </c>
      <c r="O28" s="45">
        <f>IF(B28="South Korea",FLOOR(60*korea_service_hr/N28,1),MIN(15,FLOOR(60*service_hr/N28,1)))</f>
        <v/>
      </c>
      <c r="P28" s="45">
        <f>IF(ABS(MOD(ABS((365*mech_uptime*K28)),1)-0.5)&lt;1E-9,2*ROUND((365*mech_uptime*K28)/2,0),ROUND((365*mech_uptime*K28),0))</f>
        <v/>
      </c>
      <c r="Q28" s="46">
        <f>mech_uptime</f>
        <v/>
      </c>
      <c r="R28" s="46">
        <f>IF(AND(B28="South Korea",scenario="MID"),korea_mid_revleg,revleg_sel)</f>
        <v/>
      </c>
      <c r="S28" s="45">
        <f>IF(ABS(MOD(ABS((O28*P28*R28)),1)-0.5)&lt;1E-9,2*ROUND((O28*P28*R28)/2,0),ROUND((O28*P28*R28),0))</f>
        <v/>
      </c>
      <c r="T28" s="46">
        <f>IF(AND(B28="South Korea",scenario="MID"),korea_mid_load,load_sel)</f>
        <v/>
      </c>
      <c r="U28" s="47">
        <f>pax_cap*T28</f>
        <v/>
      </c>
      <c r="V28" s="45">
        <f>U28*S28</f>
        <v/>
      </c>
      <c r="W28" s="48">
        <f>H28*discount</f>
        <v/>
      </c>
      <c r="X28" s="49">
        <f>W28*V28</f>
        <v/>
      </c>
      <c r="Y28" s="49">
        <f>(battery/range_nm)*G28*S28*VLOOKUP(B28,country_opex,3,FALSE)</f>
        <v/>
      </c>
      <c r="Z28" s="49">
        <f>VLOOKUP(B28,country_opex,2,FALSE)*crew_factor</f>
        <v/>
      </c>
      <c r="AA28" s="49">
        <f>VLOOKUP(B28,country_opex,5,FALSE)</f>
        <v/>
      </c>
      <c r="AB28" s="49">
        <f>maint</f>
        <v/>
      </c>
      <c r="AC28" s="49">
        <f>VLOOKUP(B28,country_opex,7,FALSE)*ins_pct</f>
        <v/>
      </c>
      <c r="AD28" s="49">
        <f>charge_berth</f>
        <v/>
      </c>
      <c r="AE28" s="49">
        <f>Y28+Z28+AA28+AB28+AC28+AD28</f>
        <v/>
      </c>
      <c r="AF28" s="49">
        <f>VLOOKUP(B28,country_opex,7,FALSE)/dep_years</f>
        <v/>
      </c>
      <c r="AG28" s="49">
        <f>X28-AE28</f>
        <v/>
      </c>
      <c r="AH28" s="46">
        <f>IF(X28=0,"",AG28/X28)</f>
        <v/>
      </c>
      <c r="AI28" s="47">
        <f>IF(AG28&lt;=0,"",VLOOKUP(B28,country_opex,7,FALSE)/AG28)</f>
        <v/>
      </c>
      <c r="AJ28" s="44">
        <f>((G28*S28/diesel_nmpg)*diesel_co2pg-(battery/range_nm)*G28*S28*VLOOKUP(B28,country_opex,4,FALSE))/1000</f>
        <v/>
      </c>
      <c r="AK28" s="42" t="n">
        <v>500000</v>
      </c>
      <c r="AL28" s="43" t="inlineStr">
        <is>
          <t>T1</t>
        </is>
      </c>
      <c r="AM28" s="43" t="inlineStr">
        <is>
          <t>high</t>
        </is>
      </c>
      <c r="AN28" s="50" t="n">
        <v>0.1</v>
      </c>
      <c r="AO28" s="45">
        <f>IF(AK28="","",AK28*AN28)</f>
        <v/>
      </c>
      <c r="AP28" s="45">
        <f>IF(OR(AK28="",V28=0),"",MIN(IF(AX28="",9.9E+99,AX28),FLOOR(AO28/V28,1)))</f>
        <v/>
      </c>
      <c r="AQ28" s="49">
        <f>IF(AP28="","",AP28*IF(ABS(MOD(ABS((X28)),1)-0.5)&lt;1E-9,2*ROUND((X28)/2,0),ROUND((X28),0)))</f>
        <v/>
      </c>
      <c r="AR28" s="47">
        <f>IF(OR(AK28="",V28=0),"",MIN(IF(AX28="",9.9E+99,AX28),AO28/V28))</f>
        <v/>
      </c>
      <c r="AS28" s="49">
        <f>IF(AR28="","",AR28*IF(B28="South Korea",IF(ABS(MOD(ABS((X28)),1)-0.5)&lt;1E-9,2*ROUND((X28)/2,0),ROUND((X28),0)),X28))</f>
        <v/>
      </c>
      <c r="AT28" s="51" t="n"/>
      <c r="AU28" s="43" t="inlineStr">
        <is>
          <t>Grounded</t>
        </is>
      </c>
      <c r="AV28" s="52" t="n"/>
      <c r="AW28" s="52" t="n"/>
      <c r="AX28" s="53" t="n"/>
      <c r="AY28" s="54">
        <f>IF(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&lt;=0,"",VLOOKUP(B28,country_opex,7,FALSE)/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)</f>
        <v/>
      </c>
      <c r="AZ28" s="54">
        <f>IF(((W28*pax_cap*IF(B28="South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Korea",korea_mid_revleg,revleg_mid)),0))*VLOOKUP(B28,country_opex,3,FALSE))+Z28+AA28+AB28+AC28+AD28))&lt;=0,"",VLOOKUP(B28,country_opex,7,FALSE)/((W28*pax_cap*IF(B28="South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Korea",korea_mid_revleg,revleg_mid)),0))*VLOOKUP(B28,country_opex,3,FALSE))+Z28+AA28+AB28+AC28+AD28)))</f>
        <v/>
      </c>
      <c r="BA28" s="54">
        <f>IF(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&lt;=0,"",VLOOKUP(B28,country_opex,7,FALSE)/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)</f>
        <v/>
      </c>
      <c r="BB28" s="40" t="inlineStr">
        <is>
          <t>CETURB-ES published tariff (R$5.10 ≈ US$1.01)</t>
        </is>
      </c>
      <c r="BC28" s="40" t="inlineStr">
        <is>
          <t>SEMOBI official: 'Aquaviário comemora um ano de atividade com marca de 500 mil passageiros'; corroborated by SEP Mar-2026 (&gt;1.2M cumulative through Dec 2025 ⇒ ~500–550k/yr run-rate).</t>
        </is>
      </c>
      <c r="BD28" s="43" t="inlineStr">
        <is>
          <t>rn-1ff034e787c5</t>
        </is>
      </c>
    </row>
    <row r="29">
      <c r="A29" s="38" t="inlineStr">
        <is>
          <t>Brazil</t>
        </is>
      </c>
      <c r="B29" s="38" t="inlineStr">
        <is>
          <t>Brazil</t>
        </is>
      </c>
      <c r="C29" s="39" t="inlineStr">
        <is>
          <t>Terminal Aquaviário Público de Pontal do Sul → Ilha do Mel — Trapiche de Nova Brasília</t>
        </is>
      </c>
      <c r="D29" s="38" t="inlineStr">
        <is>
          <t>didi</t>
        </is>
      </c>
      <c r="E29" s="40" t="inlineStr">
        <is>
          <t>brazil</t>
        </is>
      </c>
      <c r="F29" s="41" t="n">
        <v>1</v>
      </c>
      <c r="G29" s="42" t="n">
        <v>3.82</v>
      </c>
      <c r="H29" s="35" t="n">
        <v>12</v>
      </c>
      <c r="I29" s="43" t="inlineStr">
        <is>
          <t>T1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IF(B29="South Korea",G29/korea_charge_range_nm*korea_full_range_charge_min,0)</f>
        <v/>
      </c>
      <c r="N29" s="44">
        <f>IF(B29="South Korea",L29+korea_turn_min+korea_dwell_min+M29,L29+turn_min+dwell_min)</f>
        <v/>
      </c>
      <c r="O29" s="45">
        <f>IF(B29="South Korea",FLOOR(60*korea_service_hr/N29,1),MIN(15,FLOOR(60*service_hr/N29,1)))</f>
        <v/>
      </c>
      <c r="P29" s="45">
        <f>IF(ABS(MOD(ABS((365*mech_uptime*K29)),1)-0.5)&lt;1E-9,2*ROUND((365*mech_uptime*K29)/2,0),ROUND((365*mech_uptime*K29),0))</f>
        <v/>
      </c>
      <c r="Q29" s="46">
        <f>mech_uptime</f>
        <v/>
      </c>
      <c r="R29" s="46">
        <f>IF(AND(B29="South Korea",scenario="MID"),korea_mid_revleg,revleg_sel)</f>
        <v/>
      </c>
      <c r="S29" s="45">
        <f>IF(ABS(MOD(ABS((O29*P29*R29)),1)-0.5)&lt;1E-9,2*ROUND((O29*P29*R29)/2,0),ROUND((O29*P29*R29),0))</f>
        <v/>
      </c>
      <c r="T29" s="46">
        <f>IF(AND(B29="South Korea",scenario="MID"),korea_mid_load,load_sel)</f>
        <v/>
      </c>
      <c r="U29" s="47">
        <f>pax_cap*T29</f>
        <v/>
      </c>
      <c r="V29" s="45">
        <f>U29*S29</f>
        <v/>
      </c>
      <c r="W29" s="48">
        <f>H29*discount</f>
        <v/>
      </c>
      <c r="X29" s="49">
        <f>W29*V29</f>
        <v/>
      </c>
      <c r="Y29" s="49">
        <f>(battery/range_nm)*G29*S29*VLOOKUP(B29,country_opex,3,FALSE)</f>
        <v/>
      </c>
      <c r="Z29" s="49">
        <f>VLOOKUP(B29,country_opex,2,FALSE)*crew_factor</f>
        <v/>
      </c>
      <c r="AA29" s="49">
        <f>VLOOKUP(B29,country_opex,5,FALSE)</f>
        <v/>
      </c>
      <c r="AB29" s="49">
        <f>maint</f>
        <v/>
      </c>
      <c r="AC29" s="49">
        <f>VLOOKUP(B29,country_opex,7,FALSE)*ins_pct</f>
        <v/>
      </c>
      <c r="AD29" s="49">
        <f>charge_berth</f>
        <v/>
      </c>
      <c r="AE29" s="49">
        <f>Y29+Z29+AA29+AB29+AC29+AD29</f>
        <v/>
      </c>
      <c r="AF29" s="49">
        <f>VLOOKUP(B29,country_opex,7,FALSE)/dep_years</f>
        <v/>
      </c>
      <c r="AG29" s="49">
        <f>X29-AE29</f>
        <v/>
      </c>
      <c r="AH29" s="46">
        <f>IF(X29=0,"",AG29/X29)</f>
        <v/>
      </c>
      <c r="AI29" s="47">
        <f>IF(AG29&lt;=0,"",VLOOKUP(B29,country_opex,7,FALSE)/AG29)</f>
        <v/>
      </c>
      <c r="AJ29" s="44">
        <f>((G29*S29/diesel_nmpg)*diesel_co2pg-(battery/range_nm)*G29*S29*VLOOKUP(B29,country_opex,4,FALSE))/1000</f>
        <v/>
      </c>
      <c r="AK29" s="42" t="n">
        <v>383162</v>
      </c>
      <c r="AL29" s="43" t="inlineStr">
        <is>
          <t>T1/T2</t>
        </is>
      </c>
      <c r="AM29" s="43" t="inlineStr">
        <is>
          <t>med-high</t>
        </is>
      </c>
      <c r="AN29" s="50" t="n">
        <v>0.1</v>
      </c>
      <c r="AO29" s="45">
        <f>IF(AK29="","",AK29*AN29)</f>
        <v/>
      </c>
      <c r="AP29" s="45">
        <f>IF(OR(AK29="",V29=0),"",MIN(IF(AX29="",9.9E+99,AX29),FLOOR(AO29/V29,1)))</f>
        <v/>
      </c>
      <c r="AQ29" s="49">
        <f>IF(AP29="","",AP29*IF(ABS(MOD(ABS((X29)),1)-0.5)&lt;1E-9,2*ROUND((X29)/2,0),ROUND((X29),0)))</f>
        <v/>
      </c>
      <c r="AR29" s="47">
        <f>IF(OR(AK29="",V29=0),"",MIN(IF(AX29="",9.9E+99,AX29),AO29/V29))</f>
        <v/>
      </c>
      <c r="AS29" s="49">
        <f>IF(AR29="","",AR29*IF(B29="South Korea",IF(ABS(MOD(ABS((X29)),1)-0.5)&lt;1E-9,2*ROUND((X29)/2,0),ROUND((X29),0)),X29))</f>
        <v/>
      </c>
      <c r="AT29" s="51" t="n"/>
      <c r="AU29" s="43" t="inlineStr">
        <is>
          <t>Grounded</t>
        </is>
      </c>
      <c r="AV29" s="52" t="n"/>
      <c r="AW29" s="52" t="n"/>
      <c r="AX29" s="53" t="n"/>
      <c r="AY29" s="54">
        <f>IF(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&lt;=0,"",VLOOKUP(B29,country_opex,7,FALSE)/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)</f>
        <v/>
      </c>
      <c r="AZ29" s="54">
        <f>IF(((W29*pax_cap*IF(B29="South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Korea",korea_mid_revleg,revleg_mid)),0))*VLOOKUP(B29,country_opex,3,FALSE))+Z29+AA29+AB29+AC29+AD29))&lt;=0,"",VLOOKUP(B29,country_opex,7,FALSE)/((W29*pax_cap*IF(B29="South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Korea",korea_mid_revleg,revleg_mid)),0))*VLOOKUP(B29,country_opex,3,FALSE))+Z29+AA29+AB29+AC29+AD29)))</f>
        <v/>
      </c>
      <c r="BA29" s="54">
        <f>IF(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&lt;=0,"",VLOOKUP(B29,country_opex,7,FALSE)/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)</f>
        <v/>
      </c>
      <c r="BB29" s="40" t="inlineStr">
        <is>
          <t>AGEPAR homologated tariff table (Mar 2023); 2025/26 season market pricing</t>
        </is>
      </c>
      <c r="BC29" s="40" t="inlineStr">
        <is>
          <t>Abaline (official crossing operators' association) via Gazeta do Povo; corroborated by IAT park visitation 247,020 (2025, most-visited state park in Paraná; +21% vs 2024).</t>
        </is>
      </c>
      <c r="BD29" s="43" t="inlineStr">
        <is>
          <t>rn-d0bee9173524</t>
        </is>
      </c>
    </row>
    <row r="30">
      <c r="A30" s="38" t="inlineStr">
        <is>
          <t>Brazil</t>
        </is>
      </c>
      <c r="B30" s="38" t="inlineStr">
        <is>
          <t>Brazil</t>
        </is>
      </c>
      <c r="C30" s="39" t="inlineStr">
        <is>
          <t>Terminal Turístico Náutico da Bahia (Comércio) → Terminal Marítimo de Mar Grande (Vera Cruz)</t>
        </is>
      </c>
      <c r="D30" s="38" t="inlineStr">
        <is>
          <t>didi</t>
        </is>
      </c>
      <c r="E30" s="40" t="inlineStr">
        <is>
          <t>brazil</t>
        </is>
      </c>
      <c r="F30" s="41" t="n">
        <v>1</v>
      </c>
      <c r="G30" s="42" t="n">
        <v>4.14</v>
      </c>
      <c r="H30" s="35" t="n">
        <v>15</v>
      </c>
      <c r="I30" s="43" t="n"/>
      <c r="J30" s="43" t="n"/>
      <c r="K30" s="29" t="n">
        <v>1</v>
      </c>
      <c r="L30" s="44">
        <f>60*G30/cruise_kt</f>
        <v/>
      </c>
      <c r="M30" s="44">
        <f>IF(B30="South Korea",G30/korea_charge_range_nm*korea_full_range_charge_min,0)</f>
        <v/>
      </c>
      <c r="N30" s="44">
        <f>IF(B30="South Korea",L30+korea_turn_min+korea_dwell_min+M30,L30+turn_min+dwell_min)</f>
        <v/>
      </c>
      <c r="O30" s="45">
        <f>IF(B30="South Korea",FLOOR(60*korea_service_hr/N30,1),MIN(15,FLOOR(60*service_hr/N30,1)))</f>
        <v/>
      </c>
      <c r="P30" s="45">
        <f>IF(ABS(MOD(ABS((365*mech_uptime*K30)),1)-0.5)&lt;1E-9,2*ROUND((365*mech_uptime*K30)/2,0),ROUND((365*mech_uptime*K30),0))</f>
        <v/>
      </c>
      <c r="Q30" s="46">
        <f>mech_uptime</f>
        <v/>
      </c>
      <c r="R30" s="46">
        <f>IF(AND(B30="South Korea",scenario="MID"),korea_mid_revleg,revleg_sel)</f>
        <v/>
      </c>
      <c r="S30" s="45">
        <f>IF(ABS(MOD(ABS((O30*P30*R30)),1)-0.5)&lt;1E-9,2*ROUND((O30*P30*R30)/2,0),ROUND((O30*P30*R30),0))</f>
        <v/>
      </c>
      <c r="T30" s="46">
        <f>IF(AND(B30="South Korea",scenario="MID"),korea_mid_load,load_sel)</f>
        <v/>
      </c>
      <c r="U30" s="47">
        <f>pax_cap*T30</f>
        <v/>
      </c>
      <c r="V30" s="45">
        <f>U30*S30</f>
        <v/>
      </c>
      <c r="W30" s="48">
        <f>H30*discount</f>
        <v/>
      </c>
      <c r="X30" s="49">
        <f>W30*V30</f>
        <v/>
      </c>
      <c r="Y30" s="49">
        <f>(battery/range_nm)*G30*S30*VLOOKUP(B30,country_opex,3,FALSE)</f>
        <v/>
      </c>
      <c r="Z30" s="49">
        <f>VLOOKUP(B30,country_opex,2,FALSE)*crew_factor</f>
        <v/>
      </c>
      <c r="AA30" s="49">
        <f>VLOOKUP(B30,country_opex,5,FALSE)</f>
        <v/>
      </c>
      <c r="AB30" s="49">
        <f>maint</f>
        <v/>
      </c>
      <c r="AC30" s="49">
        <f>VLOOKUP(B30,country_opex,7,FALSE)*ins_pct</f>
        <v/>
      </c>
      <c r="AD30" s="49">
        <f>charge_berth</f>
        <v/>
      </c>
      <c r="AE30" s="49">
        <f>Y30+Z30+AA30+AB30+AC30+AD30</f>
        <v/>
      </c>
      <c r="AF30" s="49">
        <f>VLOOKUP(B30,country_opex,7,FALSE)/dep_years</f>
        <v/>
      </c>
      <c r="AG30" s="49">
        <f>X30-AE30</f>
        <v/>
      </c>
      <c r="AH30" s="46">
        <f>IF(X30=0,"",AG30/X30)</f>
        <v/>
      </c>
      <c r="AI30" s="47">
        <f>IF(AG30&lt;=0,"",VLOOKUP(B30,country_opex,7,FALSE)/AG30)</f>
        <v/>
      </c>
      <c r="AJ30" s="44">
        <f>((G30*S30/diesel_nmpg)*diesel_co2pg-(battery/range_nm)*G30*S30*VLOOKUP(B30,country_opex,4,FALSE))/1000</f>
        <v/>
      </c>
      <c r="AK30" s="42" t="n"/>
      <c r="AL30" s="43" t="n"/>
      <c r="AM30" s="43" t="n"/>
      <c r="AN30" s="50" t="n">
        <v>0.1</v>
      </c>
      <c r="AO30" s="45">
        <f>IF(AK30="","",AK30*AN30)</f>
        <v/>
      </c>
      <c r="AP30" s="45">
        <f>IF(OR(AK30="",V30=0),"",MIN(IF(AX30="",9.9E+99,AX30),FLOOR(AO30/V30,1)))</f>
        <v/>
      </c>
      <c r="AQ30" s="49">
        <f>IF(AP30="","",AP30*IF(ABS(MOD(ABS((X30)),1)-0.5)&lt;1E-9,2*ROUND((X30)/2,0),ROUND((X30),0)))</f>
        <v/>
      </c>
      <c r="AR30" s="47">
        <f>IF(OR(AK30="",V30=0),"",MIN(IF(AX30="",9.9E+99,AX30),AO30/V30))</f>
        <v/>
      </c>
      <c r="AS30" s="49">
        <f>IF(AR30="","",AR30*IF(B30="South Korea",IF(ABS(MOD(ABS((X30)),1)-0.5)&lt;1E-9,2*ROUND((X30)/2,0),ROUND((X30),0)),X30))</f>
        <v/>
      </c>
      <c r="AT30" s="51" t="n"/>
      <c r="AU30" s="43" t="inlineStr">
        <is>
          <t>Estimated</t>
        </is>
      </c>
      <c r="AV30" s="52" t="n"/>
      <c r="AW30" s="52" t="n"/>
      <c r="AX30" s="53" t="n"/>
      <c r="AY30" s="54">
        <f>IF(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&lt;=0,"",VLOOKUP(B30,country_opex,7,FALSE)/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)</f>
        <v/>
      </c>
      <c r="AZ30" s="54">
        <f>IF(((W30*pax_cap*IF(B30="South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Korea",korea_mid_revleg,revleg_mid)),0))*VLOOKUP(B30,country_opex,3,FALSE))+Z30+AA30+AB30+AC30+AD30))&lt;=0,"",VLOOKUP(B30,country_opex,7,FALSE)/((W30*pax_cap*IF(B30="South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Korea",korea_mid_revleg,revleg_mid)),0))*VLOOKUP(B30,country_opex,3,FALSE))+Z30+AA30+AB30+AC30+AD30)))</f>
        <v/>
      </c>
      <c r="BA30" s="54">
        <f>IF(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&lt;=0,"",VLOOKUP(B30,country_opex,7,FALSE)/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)</f>
        <v/>
      </c>
      <c r="BB30" s="40" t="n"/>
      <c r="BC30" s="40" t="n"/>
      <c r="BD30" s="43" t="inlineStr">
        <is>
          <t>rn-c6d5aa38e4dc</t>
        </is>
      </c>
    </row>
    <row r="31">
      <c r="A31" s="38" t="inlineStr">
        <is>
          <t>Brazil</t>
        </is>
      </c>
      <c r="B31" s="38" t="inlineStr">
        <is>
          <t>Brazil</t>
        </is>
      </c>
      <c r="C31" s="39" t="inlineStr">
        <is>
          <t>Praça XV Terminal (central Rio) → Charitas Terminal (Niterói, fast catamaran)</t>
        </is>
      </c>
      <c r="D31" s="38" t="inlineStr">
        <is>
          <t>didi</t>
        </is>
      </c>
      <c r="E31" s="40" t="inlineStr">
        <is>
          <t>brazil</t>
        </is>
      </c>
      <c r="F31" s="41" t="n">
        <v>1</v>
      </c>
      <c r="G31" s="42" t="n">
        <v>4.4</v>
      </c>
      <c r="H31" s="35" t="n">
        <v>28</v>
      </c>
      <c r="I31" s="43" t="inlineStr">
        <is>
          <t>T1/T2</t>
        </is>
      </c>
      <c r="J31" s="43" t="inlineStr">
        <is>
          <t>med-low</t>
        </is>
      </c>
      <c r="K31" s="29" t="n">
        <v>1</v>
      </c>
      <c r="L31" s="44">
        <f>60*G31/cruise_kt</f>
        <v/>
      </c>
      <c r="M31" s="44">
        <f>IF(B31="South Korea",G31/korea_charge_range_nm*korea_full_range_charge_min,0)</f>
        <v/>
      </c>
      <c r="N31" s="44">
        <f>IF(B31="South Korea",L31+korea_turn_min+korea_dwell_min+M31,L31+turn_min+dwell_min)</f>
        <v/>
      </c>
      <c r="O31" s="45">
        <f>IF(B31="South Korea",FLOOR(60*korea_service_hr/N31,1),MIN(15,FLOOR(60*service_hr/N31,1)))</f>
        <v/>
      </c>
      <c r="P31" s="45">
        <f>IF(ABS(MOD(ABS((365*mech_uptime*K31)),1)-0.5)&lt;1E-9,2*ROUND((365*mech_uptime*K31)/2,0),ROUND((365*mech_uptime*K31),0))</f>
        <v/>
      </c>
      <c r="Q31" s="46">
        <f>mech_uptime</f>
        <v/>
      </c>
      <c r="R31" s="46">
        <f>IF(AND(B31="South Korea",scenario="MID"),korea_mid_revleg,revleg_sel)</f>
        <v/>
      </c>
      <c r="S31" s="45">
        <f>IF(ABS(MOD(ABS((O31*P31*R31)),1)-0.5)&lt;1E-9,2*ROUND((O31*P31*R31)/2,0),ROUND((O31*P31*R31),0))</f>
        <v/>
      </c>
      <c r="T31" s="46">
        <f>IF(AND(B31="South Korea",scenario="MID"),korea_mid_load,load_sel)</f>
        <v/>
      </c>
      <c r="U31" s="47">
        <f>pax_cap*T31</f>
        <v/>
      </c>
      <c r="V31" s="45">
        <f>U31*S31</f>
        <v/>
      </c>
      <c r="W31" s="48">
        <f>H31*discount</f>
        <v/>
      </c>
      <c r="X31" s="49">
        <f>W31*V31</f>
        <v/>
      </c>
      <c r="Y31" s="49">
        <f>(battery/range_nm)*G31*S31*VLOOKUP(B31,country_opex,3,FALSE)</f>
        <v/>
      </c>
      <c r="Z31" s="49">
        <f>VLOOKUP(B31,country_opex,2,FALSE)*crew_factor</f>
        <v/>
      </c>
      <c r="AA31" s="49">
        <f>VLOOKUP(B31,country_opex,5,FALSE)</f>
        <v/>
      </c>
      <c r="AB31" s="49">
        <f>maint</f>
        <v/>
      </c>
      <c r="AC31" s="49">
        <f>VLOOKUP(B31,country_opex,7,FALSE)*ins_pct</f>
        <v/>
      </c>
      <c r="AD31" s="49">
        <f>charge_berth</f>
        <v/>
      </c>
      <c r="AE31" s="49">
        <f>Y31+Z31+AA31+AB31+AC31+AD31</f>
        <v/>
      </c>
      <c r="AF31" s="49">
        <f>VLOOKUP(B31,country_opex,7,FALSE)/dep_years</f>
        <v/>
      </c>
      <c r="AG31" s="49">
        <f>X31-AE31</f>
        <v/>
      </c>
      <c r="AH31" s="46">
        <f>IF(X31=0,"",AG31/X31)</f>
        <v/>
      </c>
      <c r="AI31" s="47">
        <f>IF(AG31&lt;=0,"",VLOOKUP(B31,country_opex,7,FALSE)/AG31)</f>
        <v/>
      </c>
      <c r="AJ31" s="44">
        <f>((G31*S31/diesel_nmpg)*diesel_co2pg-(battery/range_nm)*G31*S31*VLOOKUP(B31,country_opex,4,FALSE))/1000</f>
        <v/>
      </c>
      <c r="AK31" s="42" t="n">
        <v>825637</v>
      </c>
      <c r="AL31" s="43" t="inlineStr">
        <is>
          <t>T1</t>
        </is>
      </c>
      <c r="AM31" s="43" t="inlineStr">
        <is>
          <t>high</t>
        </is>
      </c>
      <c r="AN31" s="50" t="n">
        <v>0.1</v>
      </c>
      <c r="AO31" s="45">
        <f>IF(AK31="","",AK31*AN31)</f>
        <v/>
      </c>
      <c r="AP31" s="45">
        <f>IF(OR(AK31="",V31=0),"",MIN(IF(AX31="",9.9E+99,AX31),FLOOR(AO31/V31,1)))</f>
        <v/>
      </c>
      <c r="AQ31" s="49">
        <f>IF(AP31="","",AP31*IF(ABS(MOD(ABS((X31)),1)-0.5)&lt;1E-9,2*ROUND((X31)/2,0),ROUND((X31),0)))</f>
        <v/>
      </c>
      <c r="AR31" s="47">
        <f>IF(OR(AK31="",V31=0),"",MIN(IF(AX31="",9.9E+99,AX31),AO31/V31))</f>
        <v/>
      </c>
      <c r="AS31" s="49">
        <f>IF(AR31="","",AR31*IF(B31="South Korea",IF(ABS(MOD(ABS((X31)),1)-0.5)&lt;1E-9,2*ROUND((X31)/2,0),ROUND((X31),0)),X31))</f>
        <v/>
      </c>
      <c r="AT31" s="51" t="n"/>
      <c r="AU31" s="43" t="inlineStr">
        <is>
          <t>Grounded</t>
        </is>
      </c>
      <c r="AV31" s="52" t="n"/>
      <c r="AW31" s="52" t="n"/>
      <c r="AX31" s="53" t="n"/>
      <c r="AY31" s="54">
        <f>IF(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&lt;=0,"",VLOOKUP(B31,country_opex,7,FALSE)/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)</f>
        <v/>
      </c>
      <c r="AZ31" s="54">
        <f>IF(((W31*pax_cap*IF(B31="South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Korea",korea_mid_revleg,revleg_mid)),0))*VLOOKUP(B31,country_opex,3,FALSE))+Z31+AA31+AB31+AC31+AD31))&lt;=0,"",VLOOKUP(B31,country_opex,7,FALSE)/((W31*pax_cap*IF(B31="South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Korea",korea_mid_revleg,revleg_mid)),0))*VLOOKUP(B31,country_opex,3,FALSE))+Z31+AA31+AB31+AC31+AD31)))</f>
        <v/>
      </c>
      <c r="BA31" s="54">
        <f>IF(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&lt;=0,"",VLOOKUP(B31,country_opex,7,FALSE)/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)</f>
        <v/>
      </c>
      <c r="BB31" s="40" t="inlineStr">
        <is>
          <t>https://barcasrio.com.br/linhas-horarios-e-tarifas/</t>
        </is>
      </c>
      <c r="BC31" s="40" t="inlineStr">
        <is>
          <t>https://www2.agetransp.rj.gov.br/arquivos/operacao-servicos/relatorio-de-atividades/Relat%C3%B3rio%20Mensal%20de%20Atividades%20Janeiro%202024.pdf</t>
        </is>
      </c>
      <c r="BD31" s="43" t="inlineStr">
        <is>
          <t>rn-80f0d0ebe0bd</t>
        </is>
      </c>
    </row>
    <row r="32">
      <c r="A32" s="38" t="inlineStr">
        <is>
          <t>Brazil</t>
        </is>
      </c>
      <c r="B32" s="38" t="inlineStr">
        <is>
          <t>Brazil</t>
        </is>
      </c>
      <c r="C32" s="39" t="inlineStr">
        <is>
          <t>Barreiros Terminal (Sao Jose / continent) → Miramar Terminal (Florianopolis island)</t>
        </is>
      </c>
      <c r="D32" s="38" t="inlineStr">
        <is>
          <t>didi</t>
        </is>
      </c>
      <c r="E32" s="40" t="inlineStr">
        <is>
          <t>brazil</t>
        </is>
      </c>
      <c r="F32" s="41" t="n">
        <v>1</v>
      </c>
      <c r="G32" s="42" t="n">
        <v>4.77</v>
      </c>
      <c r="H32" s="35" t="n">
        <v>20</v>
      </c>
      <c r="I32" s="43" t="n"/>
      <c r="J32" s="43" t="n"/>
      <c r="K32" s="29" t="n">
        <v>1</v>
      </c>
      <c r="L32" s="44">
        <f>60*G32/cruise_kt</f>
        <v/>
      </c>
      <c r="M32" s="44">
        <f>IF(B32="South Korea",G32/korea_charge_range_nm*korea_full_range_charge_min,0)</f>
        <v/>
      </c>
      <c r="N32" s="44">
        <f>IF(B32="South Korea",L32+korea_turn_min+korea_dwell_min+M32,L32+turn_min+dwell_min)</f>
        <v/>
      </c>
      <c r="O32" s="45">
        <f>IF(B32="South Korea",FLOOR(60*korea_service_hr/N32,1),MIN(15,FLOOR(60*service_hr/N32,1)))</f>
        <v/>
      </c>
      <c r="P32" s="45">
        <f>IF(ABS(MOD(ABS((365*mech_uptime*K32)),1)-0.5)&lt;1E-9,2*ROUND((365*mech_uptime*K32)/2,0),ROUND((365*mech_uptime*K32),0))</f>
        <v/>
      </c>
      <c r="Q32" s="46">
        <f>mech_uptime</f>
        <v/>
      </c>
      <c r="R32" s="46">
        <f>IF(AND(B32="South Korea",scenario="MID"),korea_mid_revleg,revleg_sel)</f>
        <v/>
      </c>
      <c r="S32" s="45">
        <f>IF(ABS(MOD(ABS((O32*P32*R32)),1)-0.5)&lt;1E-9,2*ROUND((O32*P32*R32)/2,0),ROUND((O32*P32*R32),0))</f>
        <v/>
      </c>
      <c r="T32" s="46">
        <f>IF(AND(B32="South Korea",scenario="MID"),korea_mid_load,load_sel)</f>
        <v/>
      </c>
      <c r="U32" s="47">
        <f>pax_cap*T32</f>
        <v/>
      </c>
      <c r="V32" s="45">
        <f>U32*S32</f>
        <v/>
      </c>
      <c r="W32" s="48">
        <f>H32*discount</f>
        <v/>
      </c>
      <c r="X32" s="49">
        <f>W32*V32</f>
        <v/>
      </c>
      <c r="Y32" s="49">
        <f>(battery/range_nm)*G32*S32*VLOOKUP(B32,country_opex,3,FALSE)</f>
        <v/>
      </c>
      <c r="Z32" s="49">
        <f>VLOOKUP(B32,country_opex,2,FALSE)*crew_factor</f>
        <v/>
      </c>
      <c r="AA32" s="49">
        <f>VLOOKUP(B32,country_opex,5,FALSE)</f>
        <v/>
      </c>
      <c r="AB32" s="49">
        <f>maint</f>
        <v/>
      </c>
      <c r="AC32" s="49">
        <f>VLOOKUP(B32,country_opex,7,FALSE)*ins_pct</f>
        <v/>
      </c>
      <c r="AD32" s="49">
        <f>charge_berth</f>
        <v/>
      </c>
      <c r="AE32" s="49">
        <f>Y32+Z32+AA32+AB32+AC32+AD32</f>
        <v/>
      </c>
      <c r="AF32" s="49">
        <f>VLOOKUP(B32,country_opex,7,FALSE)/dep_years</f>
        <v/>
      </c>
      <c r="AG32" s="49">
        <f>X32-AE32</f>
        <v/>
      </c>
      <c r="AH32" s="46">
        <f>IF(X32=0,"",AG32/X32)</f>
        <v/>
      </c>
      <c r="AI32" s="47">
        <f>IF(AG32&lt;=0,"",VLOOKUP(B32,country_opex,7,FALSE)/AG32)</f>
        <v/>
      </c>
      <c r="AJ32" s="44">
        <f>((G32*S32/diesel_nmpg)*diesel_co2pg-(battery/range_nm)*G32*S32*VLOOKUP(B32,country_opex,4,FALSE))/1000</f>
        <v/>
      </c>
      <c r="AK32" s="42" t="n">
        <v>3890964</v>
      </c>
      <c r="AL32" s="43" t="inlineStr">
        <is>
          <t>T3</t>
        </is>
      </c>
      <c r="AM32" s="43" t="inlineStr">
        <is>
          <t>med-low</t>
        </is>
      </c>
      <c r="AN32" s="50" t="n">
        <v>0.1</v>
      </c>
      <c r="AO32" s="45">
        <f>IF(AK32="","",AK32*AN32)</f>
        <v/>
      </c>
      <c r="AP32" s="45">
        <f>IF(OR(AK32="",V32=0),"",MIN(IF(AX32="",9.9E+99,AX32),FLOOR(AO32/V32,1)))</f>
        <v/>
      </c>
      <c r="AQ32" s="49">
        <f>IF(AP32="","",AP32*IF(ABS(MOD(ABS((X32)),1)-0.5)&lt;1E-9,2*ROUND((X32)/2,0),ROUND((X32),0)))</f>
        <v/>
      </c>
      <c r="AR32" s="47">
        <f>IF(OR(AK32="",V32=0),"",MIN(IF(AX32="",9.9E+99,AX32),AO32/V32))</f>
        <v/>
      </c>
      <c r="AS32" s="49">
        <f>IF(AR32="","",AR32*IF(B32="South Korea",IF(ABS(MOD(ABS((X32)),1)-0.5)&lt;1E-9,2*ROUND((X32)/2,0),ROUND((X32),0)),X32))</f>
        <v/>
      </c>
      <c r="AT32" s="51" t="n"/>
      <c r="AU32" s="43" t="inlineStr">
        <is>
          <t>Grounded</t>
        </is>
      </c>
      <c r="AV32" s="52" t="n"/>
      <c r="AW32" s="52" t="n"/>
      <c r="AX32" s="53" t="n"/>
      <c r="AY32" s="54">
        <f>IF(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&lt;=0,"",VLOOKUP(B32,country_opex,7,FALSE)/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)</f>
        <v/>
      </c>
      <c r="AZ32" s="54">
        <f>IF(((W32*pax_cap*IF(B32="South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Korea",korea_mid_revleg,revleg_mid)),0))*VLOOKUP(B32,country_opex,3,FALSE))+Z32+AA32+AB32+AC32+AD32))&lt;=0,"",VLOOKUP(B32,country_opex,7,FALSE)/((W32*pax_cap*IF(B32="South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Korea",korea_mid_revleg,revleg_mid)),0))*VLOOKUP(B32,country_opex,3,FALSE))+Z32+AA32+AB32+AC32+AD32)))</f>
        <v/>
      </c>
      <c r="BA32" s="54">
        <f>IF(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&lt;=0,"",VLOOKUP(B32,country_opex,7,FALSE)/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)</f>
        <v/>
      </c>
      <c r="BB32" s="40" t="n"/>
      <c r="BC32" s="40" t="inlineStr">
        <is>
          <t>https://www.sie.sc.gov.br/webdocs/sie/doc-tecnicos/aquaviario/ (EVTE Aquaviario RMF, Relatorio 3 - Componente Demanda; SIE-SC + BID)</t>
        </is>
      </c>
      <c r="BD32" s="43" t="inlineStr">
        <is>
          <t>rn-36dcca92d821</t>
        </is>
      </c>
    </row>
    <row r="33">
      <c r="A33" s="38" t="inlineStr">
        <is>
          <t>Brazil</t>
        </is>
      </c>
      <c r="B33" s="38" t="inlineStr">
        <is>
          <t>Brazil</t>
        </is>
      </c>
      <c r="C33" s="39" t="inlineStr">
        <is>
          <t>Beira Mar Terminal (continent) → Miramar Terminal (Florianopolis island)</t>
        </is>
      </c>
      <c r="D33" s="38" t="inlineStr">
        <is>
          <t>didi</t>
        </is>
      </c>
      <c r="E33" s="40" t="inlineStr">
        <is>
          <t>brazil</t>
        </is>
      </c>
      <c r="F33" s="41" t="n">
        <v>1</v>
      </c>
      <c r="G33" s="42" t="n">
        <v>5.15</v>
      </c>
      <c r="H33" s="35" t="n">
        <v>20</v>
      </c>
      <c r="I33" s="43" t="n"/>
      <c r="J33" s="43" t="n"/>
      <c r="K33" s="29" t="n">
        <v>1</v>
      </c>
      <c r="L33" s="44">
        <f>60*G33/cruise_kt</f>
        <v/>
      </c>
      <c r="M33" s="44">
        <f>IF(B33="South Korea",G33/korea_charge_range_nm*korea_full_range_charge_min,0)</f>
        <v/>
      </c>
      <c r="N33" s="44">
        <f>IF(B33="South Korea",L33+korea_turn_min+korea_dwell_min+M33,L33+turn_min+dwell_min)</f>
        <v/>
      </c>
      <c r="O33" s="45">
        <f>IF(B33="South Korea",FLOOR(60*korea_service_hr/N33,1),MIN(15,FLOOR(60*service_hr/N33,1)))</f>
        <v/>
      </c>
      <c r="P33" s="45">
        <f>IF(ABS(MOD(ABS((365*mech_uptime*K33)),1)-0.5)&lt;1E-9,2*ROUND((365*mech_uptime*K33)/2,0),ROUND((365*mech_uptime*K33),0))</f>
        <v/>
      </c>
      <c r="Q33" s="46">
        <f>mech_uptime</f>
        <v/>
      </c>
      <c r="R33" s="46">
        <f>IF(AND(B33="South Korea",scenario="MID"),korea_mid_revleg,revleg_sel)</f>
        <v/>
      </c>
      <c r="S33" s="45">
        <f>IF(ABS(MOD(ABS((O33*P33*R33)),1)-0.5)&lt;1E-9,2*ROUND((O33*P33*R33)/2,0),ROUND((O33*P33*R33),0))</f>
        <v/>
      </c>
      <c r="T33" s="46">
        <f>IF(AND(B33="South Korea",scenario="MID"),korea_mid_load,load_sel)</f>
        <v/>
      </c>
      <c r="U33" s="47">
        <f>pax_cap*T33</f>
        <v/>
      </c>
      <c r="V33" s="45">
        <f>U33*S33</f>
        <v/>
      </c>
      <c r="W33" s="48">
        <f>H33*discount</f>
        <v/>
      </c>
      <c r="X33" s="49">
        <f>W33*V33</f>
        <v/>
      </c>
      <c r="Y33" s="49">
        <f>(battery/range_nm)*G33*S33*VLOOKUP(B33,country_opex,3,FALSE)</f>
        <v/>
      </c>
      <c r="Z33" s="49">
        <f>VLOOKUP(B33,country_opex,2,FALSE)*crew_factor</f>
        <v/>
      </c>
      <c r="AA33" s="49">
        <f>VLOOKUP(B33,country_opex,5,FALSE)</f>
        <v/>
      </c>
      <c r="AB33" s="49">
        <f>maint</f>
        <v/>
      </c>
      <c r="AC33" s="49">
        <f>VLOOKUP(B33,country_opex,7,FALSE)*ins_pct</f>
        <v/>
      </c>
      <c r="AD33" s="49">
        <f>charge_berth</f>
        <v/>
      </c>
      <c r="AE33" s="49">
        <f>Y33+Z33+AA33+AB33+AC33+AD33</f>
        <v/>
      </c>
      <c r="AF33" s="49">
        <f>VLOOKUP(B33,country_opex,7,FALSE)/dep_years</f>
        <v/>
      </c>
      <c r="AG33" s="49">
        <f>X33-AE33</f>
        <v/>
      </c>
      <c r="AH33" s="46">
        <f>IF(X33=0,"",AG33/X33)</f>
        <v/>
      </c>
      <c r="AI33" s="47">
        <f>IF(AG33&lt;=0,"",VLOOKUP(B33,country_opex,7,FALSE)/AG33)</f>
        <v/>
      </c>
      <c r="AJ33" s="44">
        <f>((G33*S33/diesel_nmpg)*diesel_co2pg-(battery/range_nm)*G33*S33*VLOOKUP(B33,country_opex,4,FALSE))/1000</f>
        <v/>
      </c>
      <c r="AK33" s="42" t="n">
        <v>6100556</v>
      </c>
      <c r="AL33" s="43" t="inlineStr">
        <is>
          <t>T3</t>
        </is>
      </c>
      <c r="AM33" s="43" t="inlineStr">
        <is>
          <t>med-low</t>
        </is>
      </c>
      <c r="AN33" s="50" t="n">
        <v>0.1</v>
      </c>
      <c r="AO33" s="45">
        <f>IF(AK33="","",AK33*AN33)</f>
        <v/>
      </c>
      <c r="AP33" s="45">
        <f>IF(OR(AK33="",V33=0),"",MIN(IF(AX33="",9.9E+99,AX33),FLOOR(AO33/V33,1)))</f>
        <v/>
      </c>
      <c r="AQ33" s="49">
        <f>IF(AP33="","",AP33*IF(ABS(MOD(ABS((X33)),1)-0.5)&lt;1E-9,2*ROUND((X33)/2,0),ROUND((X33),0)))</f>
        <v/>
      </c>
      <c r="AR33" s="47">
        <f>IF(OR(AK33="",V33=0),"",MIN(IF(AX33="",9.9E+99,AX33),AO33/V33))</f>
        <v/>
      </c>
      <c r="AS33" s="49">
        <f>IF(AR33="","",AR33*IF(B33="South Korea",IF(ABS(MOD(ABS((X33)),1)-0.5)&lt;1E-9,2*ROUND((X33)/2,0),ROUND((X33),0)),X33))</f>
        <v/>
      </c>
      <c r="AT33" s="51" t="n"/>
      <c r="AU33" s="43" t="inlineStr">
        <is>
          <t>Grounded</t>
        </is>
      </c>
      <c r="AV33" s="52" t="n"/>
      <c r="AW33" s="52" t="n"/>
      <c r="AX33" s="53" t="n"/>
      <c r="AY33" s="54">
        <f>IF(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&lt;=0,"",VLOOKUP(B33,country_opex,7,FALSE)/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)</f>
        <v/>
      </c>
      <c r="AZ33" s="54">
        <f>IF(((W33*pax_cap*IF(B33="South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Korea",korea_mid_revleg,revleg_mid)),0))*VLOOKUP(B33,country_opex,3,FALSE))+Z33+AA33+AB33+AC33+AD33))&lt;=0,"",VLOOKUP(B33,country_opex,7,FALSE)/((W33*pax_cap*IF(B33="South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Korea",korea_mid_revleg,revleg_mid)),0))*VLOOKUP(B33,country_opex,3,FALSE))+Z33+AA33+AB33+AC33+AD33)))</f>
        <v/>
      </c>
      <c r="BA33" s="54">
        <f>IF(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&lt;=0,"",VLOOKUP(B33,country_opex,7,FALSE)/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)</f>
        <v/>
      </c>
      <c r="BB33" s="40" t="n"/>
      <c r="BC33" s="40" t="inlineStr">
        <is>
          <t>https://www.sie.sc.gov.br/webdocs/sie/doc-tecnicos/aquaviario/ (EVTE Aquaviario RMF, Relatorio 3 - Componente Demanda; SIE-SC + BID)</t>
        </is>
      </c>
      <c r="BD33" s="43" t="inlineStr">
        <is>
          <t>rn-7d157e1300da</t>
        </is>
      </c>
    </row>
    <row r="34">
      <c r="A34" s="38" t="inlineStr">
        <is>
          <t>Brazil</t>
        </is>
      </c>
      <c r="B34" s="38" t="inlineStr">
        <is>
          <t>Brazil</t>
        </is>
      </c>
      <c r="C34" s="39" t="inlineStr">
        <is>
          <t>Praça XV Terminal (central Rio) → Cocotá Terminal (Ilha do Governador)</t>
        </is>
      </c>
      <c r="D34" s="38" t="inlineStr">
        <is>
          <t>didi</t>
        </is>
      </c>
      <c r="E34" s="40" t="inlineStr">
        <is>
          <t>brazil</t>
        </is>
      </c>
      <c r="F34" s="41" t="n">
        <v>1</v>
      </c>
      <c r="G34" s="42" t="n">
        <v>6</v>
      </c>
      <c r="H34" s="35" t="n">
        <v>28</v>
      </c>
      <c r="I34" s="43" t="inlineStr">
        <is>
          <t>T1/T2</t>
        </is>
      </c>
      <c r="J34" s="43" t="inlineStr">
        <is>
          <t>med-low</t>
        </is>
      </c>
      <c r="K34" s="29" t="n">
        <v>1</v>
      </c>
      <c r="L34" s="44">
        <f>60*G34/cruise_kt</f>
        <v/>
      </c>
      <c r="M34" s="44">
        <f>IF(B34="South Korea",G34/korea_charge_range_nm*korea_full_range_charge_min,0)</f>
        <v/>
      </c>
      <c r="N34" s="44">
        <f>IF(B34="South Korea",L34+korea_turn_min+korea_dwell_min+M34,L34+turn_min+dwell_min)</f>
        <v/>
      </c>
      <c r="O34" s="45">
        <f>IF(B34="South Korea",FLOOR(60*korea_service_hr/N34,1),MIN(15,FLOOR(60*service_hr/N34,1)))</f>
        <v/>
      </c>
      <c r="P34" s="45">
        <f>IF(ABS(MOD(ABS((365*mech_uptime*K34)),1)-0.5)&lt;1E-9,2*ROUND((365*mech_uptime*K34)/2,0),ROUND((365*mech_uptime*K34),0))</f>
        <v/>
      </c>
      <c r="Q34" s="46">
        <f>mech_uptime</f>
        <v/>
      </c>
      <c r="R34" s="46">
        <f>IF(AND(B34="South Korea",scenario="MID"),korea_mid_revleg,revleg_sel)</f>
        <v/>
      </c>
      <c r="S34" s="45">
        <f>IF(ABS(MOD(ABS((O34*P34*R34)),1)-0.5)&lt;1E-9,2*ROUND((O34*P34*R34)/2,0),ROUND((O34*P34*R34),0))</f>
        <v/>
      </c>
      <c r="T34" s="46">
        <f>IF(AND(B34="South Korea",scenario="MID"),korea_mid_load,load_sel)</f>
        <v/>
      </c>
      <c r="U34" s="47">
        <f>pax_cap*T34</f>
        <v/>
      </c>
      <c r="V34" s="45">
        <f>U34*S34</f>
        <v/>
      </c>
      <c r="W34" s="48">
        <f>H34*discount</f>
        <v/>
      </c>
      <c r="X34" s="49">
        <f>W34*V34</f>
        <v/>
      </c>
      <c r="Y34" s="49">
        <f>(battery/range_nm)*G34*S34*VLOOKUP(B34,country_opex,3,FALSE)</f>
        <v/>
      </c>
      <c r="Z34" s="49">
        <f>VLOOKUP(B34,country_opex,2,FALSE)*crew_factor</f>
        <v/>
      </c>
      <c r="AA34" s="49">
        <f>VLOOKUP(B34,country_opex,5,FALSE)</f>
        <v/>
      </c>
      <c r="AB34" s="49">
        <f>maint</f>
        <v/>
      </c>
      <c r="AC34" s="49">
        <f>VLOOKUP(B34,country_opex,7,FALSE)*ins_pct</f>
        <v/>
      </c>
      <c r="AD34" s="49">
        <f>charge_berth</f>
        <v/>
      </c>
      <c r="AE34" s="49">
        <f>Y34+Z34+AA34+AB34+AC34+AD34</f>
        <v/>
      </c>
      <c r="AF34" s="49">
        <f>VLOOKUP(B34,country_opex,7,FALSE)/dep_years</f>
        <v/>
      </c>
      <c r="AG34" s="49">
        <f>X34-AE34</f>
        <v/>
      </c>
      <c r="AH34" s="46">
        <f>IF(X34=0,"",AG34/X34)</f>
        <v/>
      </c>
      <c r="AI34" s="47">
        <f>IF(AG34&lt;=0,"",VLOOKUP(B34,country_opex,7,FALSE)/AG34)</f>
        <v/>
      </c>
      <c r="AJ34" s="44">
        <f>((G34*S34/diesel_nmpg)*diesel_co2pg-(battery/range_nm)*G34*S34*VLOOKUP(B34,country_opex,4,FALSE))/1000</f>
        <v/>
      </c>
      <c r="AK34" s="42" t="n">
        <v>278607</v>
      </c>
      <c r="AL34" s="43" t="inlineStr">
        <is>
          <t>T1</t>
        </is>
      </c>
      <c r="AM34" s="43" t="inlineStr">
        <is>
          <t>high</t>
        </is>
      </c>
      <c r="AN34" s="50" t="n">
        <v>0.1</v>
      </c>
      <c r="AO34" s="45">
        <f>IF(AK34="","",AK34*AN34)</f>
        <v/>
      </c>
      <c r="AP34" s="45">
        <f>IF(OR(AK34="",V34=0),"",MIN(IF(AX34="",9.9E+99,AX34),FLOOR(AO34/V34,1)))</f>
        <v/>
      </c>
      <c r="AQ34" s="49">
        <f>IF(AP34="","",AP34*IF(ABS(MOD(ABS((X34)),1)-0.5)&lt;1E-9,2*ROUND((X34)/2,0),ROUND((X34),0)))</f>
        <v/>
      </c>
      <c r="AR34" s="47">
        <f>IF(OR(AK34="",V34=0),"",MIN(IF(AX34="",9.9E+99,AX34),AO34/V34))</f>
        <v/>
      </c>
      <c r="AS34" s="49">
        <f>IF(AR34="","",AR34*IF(B34="South Korea",IF(ABS(MOD(ABS((X34)),1)-0.5)&lt;1E-9,2*ROUND((X34)/2,0),ROUND((X34),0)),X34))</f>
        <v/>
      </c>
      <c r="AT34" s="51" t="n"/>
      <c r="AU34" s="43" t="inlineStr">
        <is>
          <t>Grounded</t>
        </is>
      </c>
      <c r="AV34" s="52" t="n"/>
      <c r="AW34" s="52" t="n"/>
      <c r="AX34" s="53" t="n"/>
      <c r="AY34" s="54">
        <f>IF(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&lt;=0,"",VLOOKUP(B34,country_opex,7,FALSE)/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)</f>
        <v/>
      </c>
      <c r="AZ34" s="54">
        <f>IF(((W34*pax_cap*IF(B34="South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Korea",korea_mid_revleg,revleg_mid)),0))*VLOOKUP(B34,country_opex,3,FALSE))+Z34+AA34+AB34+AC34+AD34))&lt;=0,"",VLOOKUP(B34,country_opex,7,FALSE)/((W34*pax_cap*IF(B34="South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Korea",korea_mid_revleg,revleg_mid)),0))*VLOOKUP(B34,country_opex,3,FALSE))+Z34+AA34+AB34+AC34+AD34)))</f>
        <v/>
      </c>
      <c r="BA34" s="54">
        <f>IF(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&lt;=0,"",VLOOKUP(B34,country_opex,7,FALSE)/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)</f>
        <v/>
      </c>
      <c r="BB34" s="40" t="inlineStr">
        <is>
          <t>https://barcasrio.com.br/linhas-horarios-e-tarifas/</t>
        </is>
      </c>
      <c r="BC34" s="40" t="inlineStr">
        <is>
          <t>https://www2.agetransp.rj.gov.br/arquivos/operacao-servicos/relatorio-de-atividades/Relat%C3%B3rio%20Mensal%20de%20Atividades%20Janeiro%202024.pdf</t>
        </is>
      </c>
      <c r="BD34" s="43" t="inlineStr">
        <is>
          <t>rn-369ef0eb69d9</t>
        </is>
      </c>
    </row>
    <row r="35">
      <c r="A35" s="38" t="inlineStr">
        <is>
          <t>Brazil</t>
        </is>
      </c>
      <c r="B35" s="38" t="inlineStr">
        <is>
          <t>Brazil</t>
        </is>
      </c>
      <c r="C35" s="39" t="inlineStr">
        <is>
          <t>Terminal São Joaquim (Salvador ferry-boat) → Terminal Marítimo de Bom Despacho (Itaparica)</t>
        </is>
      </c>
      <c r="D35" s="38" t="inlineStr">
        <is>
          <t>didi</t>
        </is>
      </c>
      <c r="E35" s="40" t="inlineStr">
        <is>
          <t>brazil</t>
        </is>
      </c>
      <c r="F35" s="41" t="n">
        <v>1</v>
      </c>
      <c r="G35" s="42" t="n">
        <v>6.31</v>
      </c>
      <c r="H35" s="35" t="n">
        <v>15</v>
      </c>
      <c r="I35" s="43" t="inlineStr">
        <is>
          <t>T1</t>
        </is>
      </c>
      <c r="J35" s="43" t="inlineStr">
        <is>
          <t>high</t>
        </is>
      </c>
      <c r="K35" s="29" t="n">
        <v>1</v>
      </c>
      <c r="L35" s="44">
        <f>60*G35/cruise_kt</f>
        <v/>
      </c>
      <c r="M35" s="44">
        <f>IF(B35="South Korea",G35/korea_charge_range_nm*korea_full_range_charge_min,0)</f>
        <v/>
      </c>
      <c r="N35" s="44">
        <f>IF(B35="South Korea",L35+korea_turn_min+korea_dwell_min+M35,L35+turn_min+dwell_min)</f>
        <v/>
      </c>
      <c r="O35" s="45">
        <f>IF(B35="South Korea",FLOOR(60*korea_service_hr/N35,1),MIN(15,FLOOR(60*service_hr/N35,1)))</f>
        <v/>
      </c>
      <c r="P35" s="45">
        <f>IF(ABS(MOD(ABS((365*mech_uptime*K35)),1)-0.5)&lt;1E-9,2*ROUND((365*mech_uptime*K35)/2,0),ROUND((365*mech_uptime*K35),0))</f>
        <v/>
      </c>
      <c r="Q35" s="46">
        <f>mech_uptime</f>
        <v/>
      </c>
      <c r="R35" s="46">
        <f>IF(AND(B35="South Korea",scenario="MID"),korea_mid_revleg,revleg_sel)</f>
        <v/>
      </c>
      <c r="S35" s="45">
        <f>IF(ABS(MOD(ABS((O35*P35*R35)),1)-0.5)&lt;1E-9,2*ROUND((O35*P35*R35)/2,0),ROUND((O35*P35*R35),0))</f>
        <v/>
      </c>
      <c r="T35" s="46">
        <f>IF(AND(B35="South Korea",scenario="MID"),korea_mid_load,load_sel)</f>
        <v/>
      </c>
      <c r="U35" s="47">
        <f>pax_cap*T35</f>
        <v/>
      </c>
      <c r="V35" s="45">
        <f>U35*S35</f>
        <v/>
      </c>
      <c r="W35" s="48">
        <f>H35*discount</f>
        <v/>
      </c>
      <c r="X35" s="49">
        <f>W35*V35</f>
        <v/>
      </c>
      <c r="Y35" s="49">
        <f>(battery/range_nm)*G35*S35*VLOOKUP(B35,country_opex,3,FALSE)</f>
        <v/>
      </c>
      <c r="Z35" s="49">
        <f>VLOOKUP(B35,country_opex,2,FALSE)*crew_factor</f>
        <v/>
      </c>
      <c r="AA35" s="49">
        <f>VLOOKUP(B35,country_opex,5,FALSE)</f>
        <v/>
      </c>
      <c r="AB35" s="49">
        <f>maint</f>
        <v/>
      </c>
      <c r="AC35" s="49">
        <f>VLOOKUP(B35,country_opex,7,FALSE)*ins_pct</f>
        <v/>
      </c>
      <c r="AD35" s="49">
        <f>charge_berth</f>
        <v/>
      </c>
      <c r="AE35" s="49">
        <f>Y35+Z35+AA35+AB35+AC35+AD35</f>
        <v/>
      </c>
      <c r="AF35" s="49">
        <f>VLOOKUP(B35,country_opex,7,FALSE)/dep_years</f>
        <v/>
      </c>
      <c r="AG35" s="49">
        <f>X35-AE35</f>
        <v/>
      </c>
      <c r="AH35" s="46">
        <f>IF(X35=0,"",AG35/X35)</f>
        <v/>
      </c>
      <c r="AI35" s="47">
        <f>IF(AG35&lt;=0,"",VLOOKUP(B35,country_opex,7,FALSE)/AG35)</f>
        <v/>
      </c>
      <c r="AJ35" s="44">
        <f>((G35*S35/diesel_nmpg)*diesel_co2pg-(battery/range_nm)*G35*S35*VLOOKUP(B35,country_opex,4,FALSE))/1000</f>
        <v/>
      </c>
      <c r="AK35" s="42" t="n">
        <v>7490000</v>
      </c>
      <c r="AL35" s="43" t="inlineStr">
        <is>
          <t>T1/T2</t>
        </is>
      </c>
      <c r="AM35" s="43" t="inlineStr">
        <is>
          <t>high</t>
        </is>
      </c>
      <c r="AN35" s="50" t="n">
        <v>0.1</v>
      </c>
      <c r="AO35" s="45">
        <f>IF(AK35="","",AK35*AN35)</f>
        <v/>
      </c>
      <c r="AP35" s="45">
        <f>IF(OR(AK35="",V35=0),"",MIN(IF(AX35="",9.9E+99,AX35),FLOOR(AO35/V35,1)))</f>
        <v/>
      </c>
      <c r="AQ35" s="49">
        <f>IF(AP35="","",AP35*IF(ABS(MOD(ABS((X35)),1)-0.5)&lt;1E-9,2*ROUND((X35)/2,0),ROUND((X35),0)))</f>
        <v/>
      </c>
      <c r="AR35" s="47">
        <f>IF(OR(AK35="",V35=0),"",MIN(IF(AX35="",9.9E+99,AX35),AO35/V35))</f>
        <v/>
      </c>
      <c r="AS35" s="49">
        <f>IF(AR35="","",AR35*IF(B35="South Korea",IF(ABS(MOD(ABS((X35)),1)-0.5)&lt;1E-9,2*ROUND((X35)/2,0),ROUND((X35),0)),X35))</f>
        <v/>
      </c>
      <c r="AT35" s="51" t="n"/>
      <c r="AU35" s="43" t="inlineStr">
        <is>
          <t>Grounded</t>
        </is>
      </c>
      <c r="AV35" s="52" t="n"/>
      <c r="AW35" s="52" t="n"/>
      <c r="AX35" s="53" t="n"/>
      <c r="AY35" s="54">
        <f>IF(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&lt;=0,"",VLOOKUP(B35,country_opex,7,FALSE)/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)</f>
        <v/>
      </c>
      <c r="AZ35" s="54">
        <f>IF(((W35*pax_cap*IF(B35="South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Korea",korea_mid_revleg,revleg_mid)),0))*VLOOKUP(B35,country_opex,3,FALSE))+Z35+AA35+AB35+AC35+AD35))&lt;=0,"",VLOOKUP(B35,country_opex,7,FALSE)/((W35*pax_cap*IF(B35="South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Korea",korea_mid_revleg,revleg_mid)),0))*VLOOKUP(B35,country_opex,3,FALSE))+Z35+AA35+AB35+AC35+AD35)))</f>
        <v/>
      </c>
      <c r="BA35" s="54">
        <f>IF(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&lt;=0,"",VLOOKUP(B35,country_opex,7,FALSE)/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)</f>
        <v/>
      </c>
      <c r="BB35" s="40" t="inlineStr">
        <is>
          <t>AGERBA Resolução Nº 11 (2026-03-03) tariff table, in force 2026-03-06</t>
        </is>
      </c>
      <c r="BC35" s="40" t="inlineStr">
        <is>
          <t>Ministério do Turismo figures released at the Salvador–Itaparica bridge groundbreaking (2026-07-01), via Diário do Turismo 2026-07-03; Jan–May 2026 = 3.42M (~8.2M annualized run-rate) corroborates.</t>
        </is>
      </c>
      <c r="BD35" s="43" t="inlineStr">
        <is>
          <t>rn-4aa1660ff921</t>
        </is>
      </c>
    </row>
    <row r="36">
      <c r="A36" s="38" t="inlineStr">
        <is>
          <t>Brazil</t>
        </is>
      </c>
      <c r="B36" s="38" t="inlineStr">
        <is>
          <t>Brazil</t>
        </is>
      </c>
      <c r="C36" s="39" t="inlineStr">
        <is>
          <t>Praça XV Terminal (central Rio) → Paquetá Island Terminal</t>
        </is>
      </c>
      <c r="D36" s="38" t="inlineStr">
        <is>
          <t>didi</t>
        </is>
      </c>
      <c r="E36" s="40" t="inlineStr">
        <is>
          <t>brazil</t>
        </is>
      </c>
      <c r="F36" s="41" t="n">
        <v>1</v>
      </c>
      <c r="G36" s="42" t="n">
        <v>9.199999999999999</v>
      </c>
      <c r="H36" s="35" t="n">
        <v>28</v>
      </c>
      <c r="I36" s="43" t="inlineStr">
        <is>
          <t>T1/T2</t>
        </is>
      </c>
      <c r="J36" s="43" t="inlineStr">
        <is>
          <t>med-low</t>
        </is>
      </c>
      <c r="K36" s="29" t="n">
        <v>1</v>
      </c>
      <c r="L36" s="44">
        <f>60*G36/cruise_kt</f>
        <v/>
      </c>
      <c r="M36" s="44">
        <f>IF(B36="South Korea",G36/korea_charge_range_nm*korea_full_range_charge_min,0)</f>
        <v/>
      </c>
      <c r="N36" s="44">
        <f>IF(B36="South Korea",L36+korea_turn_min+korea_dwell_min+M36,L36+turn_min+dwell_min)</f>
        <v/>
      </c>
      <c r="O36" s="45">
        <f>IF(B36="South Korea",FLOOR(60*korea_service_hr/N36,1),MIN(15,FLOOR(60*service_hr/N36,1)))</f>
        <v/>
      </c>
      <c r="P36" s="45">
        <f>IF(ABS(MOD(ABS((365*mech_uptime*K36)),1)-0.5)&lt;1E-9,2*ROUND((365*mech_uptime*K36)/2,0),ROUND((365*mech_uptime*K36),0))</f>
        <v/>
      </c>
      <c r="Q36" s="46">
        <f>mech_uptime</f>
        <v/>
      </c>
      <c r="R36" s="46">
        <f>IF(AND(B36="South Korea",scenario="MID"),korea_mid_revleg,revleg_sel)</f>
        <v/>
      </c>
      <c r="S36" s="45">
        <f>IF(ABS(MOD(ABS((O36*P36*R36)),1)-0.5)&lt;1E-9,2*ROUND((O36*P36*R36)/2,0),ROUND((O36*P36*R36),0))</f>
        <v/>
      </c>
      <c r="T36" s="46">
        <f>IF(AND(B36="South Korea",scenario="MID"),korea_mid_load,load_sel)</f>
        <v/>
      </c>
      <c r="U36" s="47">
        <f>pax_cap*T36</f>
        <v/>
      </c>
      <c r="V36" s="45">
        <f>U36*S36</f>
        <v/>
      </c>
      <c r="W36" s="48">
        <f>H36*discount</f>
        <v/>
      </c>
      <c r="X36" s="49">
        <f>W36*V36</f>
        <v/>
      </c>
      <c r="Y36" s="49">
        <f>(battery/range_nm)*G36*S36*VLOOKUP(B36,country_opex,3,FALSE)</f>
        <v/>
      </c>
      <c r="Z36" s="49">
        <f>VLOOKUP(B36,country_opex,2,FALSE)*crew_factor</f>
        <v/>
      </c>
      <c r="AA36" s="49">
        <f>VLOOKUP(B36,country_opex,5,FALSE)</f>
        <v/>
      </c>
      <c r="AB36" s="49">
        <f>maint</f>
        <v/>
      </c>
      <c r="AC36" s="49">
        <f>VLOOKUP(B36,country_opex,7,FALSE)*ins_pct</f>
        <v/>
      </c>
      <c r="AD36" s="49">
        <f>charge_berth</f>
        <v/>
      </c>
      <c r="AE36" s="49">
        <f>Y36+Z36+AA36+AB36+AC36+AD36</f>
        <v/>
      </c>
      <c r="AF36" s="49">
        <f>VLOOKUP(B36,country_opex,7,FALSE)/dep_years</f>
        <v/>
      </c>
      <c r="AG36" s="49">
        <f>X36-AE36</f>
        <v/>
      </c>
      <c r="AH36" s="46">
        <f>IF(X36=0,"",AG36/X36)</f>
        <v/>
      </c>
      <c r="AI36" s="47">
        <f>IF(AG36&lt;=0,"",VLOOKUP(B36,country_opex,7,FALSE)/AG36)</f>
        <v/>
      </c>
      <c r="AJ36" s="44">
        <f>((G36*S36/diesel_nmpg)*diesel_co2pg-(battery/range_nm)*G36*S36*VLOOKUP(B36,country_opex,4,FALSE))/1000</f>
        <v/>
      </c>
      <c r="AK36" s="42" t="n">
        <v>1170652</v>
      </c>
      <c r="AL36" s="43" t="inlineStr">
        <is>
          <t>T1</t>
        </is>
      </c>
      <c r="AM36" s="43" t="inlineStr">
        <is>
          <t>high</t>
        </is>
      </c>
      <c r="AN36" s="50" t="n">
        <v>0.1</v>
      </c>
      <c r="AO36" s="45">
        <f>IF(AK36="","",AK36*AN36)</f>
        <v/>
      </c>
      <c r="AP36" s="45">
        <f>IF(OR(AK36="",V36=0),"",MIN(IF(AX36="",9.9E+99,AX36),FLOOR(AO36/V36,1)))</f>
        <v/>
      </c>
      <c r="AQ36" s="49">
        <f>IF(AP36="","",AP36*IF(ABS(MOD(ABS((X36)),1)-0.5)&lt;1E-9,2*ROUND((X36)/2,0),ROUND((X36),0)))</f>
        <v/>
      </c>
      <c r="AR36" s="47">
        <f>IF(OR(AK36="",V36=0),"",MIN(IF(AX36="",9.9E+99,AX36),AO36/V36))</f>
        <v/>
      </c>
      <c r="AS36" s="49">
        <f>IF(AR36="","",AR36*IF(B36="South Korea",IF(ABS(MOD(ABS((X36)),1)-0.5)&lt;1E-9,2*ROUND((X36)/2,0),ROUND((X36),0)),X36))</f>
        <v/>
      </c>
      <c r="AT36" s="51" t="n"/>
      <c r="AU36" s="43" t="inlineStr">
        <is>
          <t>Grounded</t>
        </is>
      </c>
      <c r="AV36" s="52" t="n"/>
      <c r="AW36" s="52" t="n"/>
      <c r="AX36" s="53" t="n"/>
      <c r="AY36" s="54">
        <f>IF(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&lt;=0,"",VLOOKUP(B36,country_opex,7,FALSE)/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)</f>
        <v/>
      </c>
      <c r="AZ36" s="54">
        <f>IF(((W36*pax_cap*IF(B36="South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Korea",korea_mid_revleg,revleg_mid)),0))*VLOOKUP(B36,country_opex,3,FALSE))+Z36+AA36+AB36+AC36+AD36))&lt;=0,"",VLOOKUP(B36,country_opex,7,FALSE)/((W36*pax_cap*IF(B36="South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Korea",korea_mid_revleg,revleg_mid)),0))*VLOOKUP(B36,country_opex,3,FALSE))+Z36+AA36+AB36+AC36+AD36)))</f>
        <v/>
      </c>
      <c r="BA36" s="54">
        <f>IF(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&lt;=0,"",VLOOKUP(B36,country_opex,7,FALSE)/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)</f>
        <v/>
      </c>
      <c r="BB36" s="40" t="inlineStr">
        <is>
          <t>https://barcasrio.com.br/linhas-horarios-e-tarifas/</t>
        </is>
      </c>
      <c r="BC36" s="40" t="inlineStr">
        <is>
          <t>https://www2.agetransp.rj.gov.br/arquivos/operacao-servicos/relatorio-de-atividades/Relat%C3%B3rio%20Mensal%20de%20Atividades%20Janeiro%202024.pdf</t>
        </is>
      </c>
      <c r="BD36" s="43" t="inlineStr">
        <is>
          <t>rn-00bb6ded4be5</t>
        </is>
      </c>
    </row>
    <row r="37">
      <c r="A37" s="38" t="inlineStr">
        <is>
          <t>Brazil</t>
        </is>
      </c>
      <c r="B37" s="38" t="inlineStr">
        <is>
          <t>Brazil</t>
        </is>
      </c>
      <c r="C37" s="39" t="inlineStr">
        <is>
          <t>Angra dos Reis Terminal (Costa Verde) → Abraão Terminal (Ilha Grande)</t>
        </is>
      </c>
      <c r="D37" s="38" t="inlineStr">
        <is>
          <t>didi</t>
        </is>
      </c>
      <c r="E37" s="40" t="inlineStr">
        <is>
          <t>brazil</t>
        </is>
      </c>
      <c r="F37" s="41" t="n">
        <v>1</v>
      </c>
      <c r="G37" s="42" t="n">
        <v>13</v>
      </c>
      <c r="H37" s="35" t="n">
        <v>30</v>
      </c>
      <c r="I37" s="43" t="inlineStr">
        <is>
          <t>T1</t>
        </is>
      </c>
      <c r="J37" s="43" t="inlineStr">
        <is>
          <t>high</t>
        </is>
      </c>
      <c r="K37" s="29" t="n">
        <v>1</v>
      </c>
      <c r="L37" s="44">
        <f>60*G37/cruise_kt</f>
        <v/>
      </c>
      <c r="M37" s="44">
        <f>IF(B37="South Korea",G37/korea_charge_range_nm*korea_full_range_charge_min,0)</f>
        <v/>
      </c>
      <c r="N37" s="44">
        <f>IF(B37="South Korea",L37+korea_turn_min+korea_dwell_min+M37,L37+turn_min+dwell_min)</f>
        <v/>
      </c>
      <c r="O37" s="45">
        <f>IF(B37="South Korea",FLOOR(60*korea_service_hr/N37,1),MIN(15,FLOOR(60*service_hr/N37,1)))</f>
        <v/>
      </c>
      <c r="P37" s="45">
        <f>IF(ABS(MOD(ABS((365*mech_uptime*K37)),1)-0.5)&lt;1E-9,2*ROUND((365*mech_uptime*K37)/2,0),ROUND((365*mech_uptime*K37),0))</f>
        <v/>
      </c>
      <c r="Q37" s="46">
        <f>mech_uptime</f>
        <v/>
      </c>
      <c r="R37" s="46">
        <f>IF(AND(B37="South Korea",scenario="MID"),korea_mid_revleg,revleg_sel)</f>
        <v/>
      </c>
      <c r="S37" s="45">
        <f>IF(ABS(MOD(ABS((O37*P37*R37)),1)-0.5)&lt;1E-9,2*ROUND((O37*P37*R37)/2,0),ROUND((O37*P37*R37),0))</f>
        <v/>
      </c>
      <c r="T37" s="46">
        <f>IF(AND(B37="South Korea",scenario="MID"),korea_mid_load,load_sel)</f>
        <v/>
      </c>
      <c r="U37" s="47">
        <f>pax_cap*T37</f>
        <v/>
      </c>
      <c r="V37" s="45">
        <f>U37*S37</f>
        <v/>
      </c>
      <c r="W37" s="48">
        <f>H37*discount</f>
        <v/>
      </c>
      <c r="X37" s="49">
        <f>W37*V37</f>
        <v/>
      </c>
      <c r="Y37" s="49">
        <f>(battery/range_nm)*G37*S37*VLOOKUP(B37,country_opex,3,FALSE)</f>
        <v/>
      </c>
      <c r="Z37" s="49">
        <f>VLOOKUP(B37,country_opex,2,FALSE)*crew_factor</f>
        <v/>
      </c>
      <c r="AA37" s="49">
        <f>VLOOKUP(B37,country_opex,5,FALSE)</f>
        <v/>
      </c>
      <c r="AB37" s="49">
        <f>maint</f>
        <v/>
      </c>
      <c r="AC37" s="49">
        <f>VLOOKUP(B37,country_opex,7,FALSE)*ins_pct</f>
        <v/>
      </c>
      <c r="AD37" s="49">
        <f>charge_berth</f>
        <v/>
      </c>
      <c r="AE37" s="49">
        <f>Y37+Z37+AA37+AB37+AC37+AD37</f>
        <v/>
      </c>
      <c r="AF37" s="49">
        <f>VLOOKUP(B37,country_opex,7,FALSE)/dep_years</f>
        <v/>
      </c>
      <c r="AG37" s="49">
        <f>X37-AE37</f>
        <v/>
      </c>
      <c r="AH37" s="46">
        <f>IF(X37=0,"",AG37/X37)</f>
        <v/>
      </c>
      <c r="AI37" s="47">
        <f>IF(AG37&lt;=0,"",VLOOKUP(B37,country_opex,7,FALSE)/AG37)</f>
        <v/>
      </c>
      <c r="AJ37" s="44">
        <f>((G37*S37/diesel_nmpg)*diesel_co2pg-(battery/range_nm)*G37*S37*VLOOKUP(B37,country_opex,4,FALSE))/1000</f>
        <v/>
      </c>
      <c r="AK37" s="42" t="n">
        <v>207993</v>
      </c>
      <c r="AL37" s="43" t="inlineStr">
        <is>
          <t>T1</t>
        </is>
      </c>
      <c r="AM37" s="43" t="inlineStr">
        <is>
          <t>high</t>
        </is>
      </c>
      <c r="AN37" s="50" t="n">
        <v>0.1</v>
      </c>
      <c r="AO37" s="45">
        <f>IF(AK37="","",AK37*AN37)</f>
        <v/>
      </c>
      <c r="AP37" s="45">
        <f>IF(OR(AK37="",V37=0),"",MIN(IF(AX37="",9.9E+99,AX37),FLOOR(AO37/V37,1)))</f>
        <v/>
      </c>
      <c r="AQ37" s="49">
        <f>IF(AP37="","",AP37*IF(ABS(MOD(ABS((X37)),1)-0.5)&lt;1E-9,2*ROUND((X37)/2,0),ROUND((X37),0)))</f>
        <v/>
      </c>
      <c r="AR37" s="47">
        <f>IF(OR(AK37="",V37=0),"",MIN(IF(AX37="",9.9E+99,AX37),AO37/V37))</f>
        <v/>
      </c>
      <c r="AS37" s="49">
        <f>IF(AR37="","",AR37*IF(B37="South Korea",IF(ABS(MOD(ABS((X37)),1)-0.5)&lt;1E-9,2*ROUND((X37)/2,0),ROUND((X37),0)),X37))</f>
        <v/>
      </c>
      <c r="AT37" s="51" t="n"/>
      <c r="AU37" s="43" t="inlineStr">
        <is>
          <t>Grounded</t>
        </is>
      </c>
      <c r="AV37" s="52" t="n"/>
      <c r="AW37" s="52" t="n"/>
      <c r="AX37" s="53" t="n"/>
      <c r="AY37" s="54">
        <f>IF(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&lt;=0,"",VLOOKUP(B37,country_opex,7,FALSE)/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)</f>
        <v/>
      </c>
      <c r="AZ37" s="54">
        <f>IF(((W37*pax_cap*IF(B37="South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Korea",korea_mid_revleg,revleg_mid)),0))*VLOOKUP(B37,country_opex,3,FALSE))+Z37+AA37+AB37+AC37+AD37))&lt;=0,"",VLOOKUP(B37,country_opex,7,FALSE)/((W37*pax_cap*IF(B37="South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Korea",korea_mid_revleg,revleg_mid)),0))*VLOOKUP(B37,country_opex,3,FALSE))+Z37+AA37+AB37+AC37+AD37)))</f>
        <v/>
      </c>
      <c r="BA37" s="54">
        <f>IF(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&lt;=0,"",VLOOKUP(B37,country_opex,7,FALSE)/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)</f>
        <v/>
      </c>
      <c r="BB37" s="40" t="inlineStr">
        <is>
          <t>AGETRANSP / CCR Barcas Costa Verde published tariff</t>
        </is>
      </c>
      <c r="BC37" s="40" t="inlineStr">
        <is>
          <t>https://www2.agetransp.rj.gov.br/arquivos/operacao-servicos/relatorio-de-atividades/Relat%C3%B3rio%20Mensal%20de%20Atividades%20Janeiro%202024.pdf</t>
        </is>
      </c>
      <c r="BD37" s="43" t="inlineStr">
        <is>
          <t>rn-7ec802385553</t>
        </is>
      </c>
    </row>
    <row r="38">
      <c r="A38" s="38" t="inlineStr">
        <is>
          <t>Brazil</t>
        </is>
      </c>
      <c r="B38" s="38" t="inlineStr">
        <is>
          <t>Brazil</t>
        </is>
      </c>
      <c r="C38" s="39" t="inlineStr">
        <is>
          <t>Terminal Turístico Náutico da Bahia (Comércio) → Terminal Hidroviário de Morro de São Paulo (Cairu)</t>
        </is>
      </c>
      <c r="D38" s="38" t="inlineStr">
        <is>
          <t>didi</t>
        </is>
      </c>
      <c r="E38" s="40" t="inlineStr">
        <is>
          <t>brazil</t>
        </is>
      </c>
      <c r="F38" s="41" t="n">
        <v>1</v>
      </c>
      <c r="G38" s="42" t="n">
        <v>33.89</v>
      </c>
      <c r="H38" s="35" t="n">
        <v>30</v>
      </c>
      <c r="I38" s="43" t="n"/>
      <c r="J38" s="43" t="n"/>
      <c r="K38" s="29" t="n">
        <v>1</v>
      </c>
      <c r="L38" s="44">
        <f>60*G38/cruise_kt</f>
        <v/>
      </c>
      <c r="M38" s="44">
        <f>IF(B38="South Korea",G38/korea_charge_range_nm*korea_full_range_charge_min,0)</f>
        <v/>
      </c>
      <c r="N38" s="44">
        <f>IF(B38="South Korea",L38+korea_turn_min+korea_dwell_min+M38,L38+turn_min+dwell_min)</f>
        <v/>
      </c>
      <c r="O38" s="45">
        <f>IF(B38="South Korea",FLOOR(60*korea_service_hr/N38,1),MIN(15,FLOOR(60*service_hr/N38,1)))</f>
        <v/>
      </c>
      <c r="P38" s="45">
        <f>IF(ABS(MOD(ABS((365*mech_uptime*K38)),1)-0.5)&lt;1E-9,2*ROUND((365*mech_uptime*K38)/2,0),ROUND((365*mech_uptime*K38),0))</f>
        <v/>
      </c>
      <c r="Q38" s="46">
        <f>mech_uptime</f>
        <v/>
      </c>
      <c r="R38" s="46">
        <f>IF(AND(B38="South Korea",scenario="MID"),korea_mid_revleg,revleg_sel)</f>
        <v/>
      </c>
      <c r="S38" s="45">
        <f>IF(ABS(MOD(ABS((O38*P38*R38)),1)-0.5)&lt;1E-9,2*ROUND((O38*P38*R38)/2,0),ROUND((O38*P38*R38),0))</f>
        <v/>
      </c>
      <c r="T38" s="46">
        <f>IF(AND(B38="South Korea",scenario="MID"),korea_mid_load,load_sel)</f>
        <v/>
      </c>
      <c r="U38" s="47">
        <f>pax_cap*T38</f>
        <v/>
      </c>
      <c r="V38" s="45">
        <f>U38*S38</f>
        <v/>
      </c>
      <c r="W38" s="48">
        <f>H38*discount</f>
        <v/>
      </c>
      <c r="X38" s="49">
        <f>W38*V38</f>
        <v/>
      </c>
      <c r="Y38" s="49">
        <f>(battery/range_nm)*G38*S38*VLOOKUP(B38,country_opex,3,FALSE)</f>
        <v/>
      </c>
      <c r="Z38" s="49">
        <f>VLOOKUP(B38,country_opex,2,FALSE)*crew_factor</f>
        <v/>
      </c>
      <c r="AA38" s="49">
        <f>VLOOKUP(B38,country_opex,5,FALSE)</f>
        <v/>
      </c>
      <c r="AB38" s="49">
        <f>maint</f>
        <v/>
      </c>
      <c r="AC38" s="49">
        <f>VLOOKUP(B38,country_opex,7,FALSE)*ins_pct</f>
        <v/>
      </c>
      <c r="AD38" s="49">
        <f>charge_berth</f>
        <v/>
      </c>
      <c r="AE38" s="49">
        <f>Y38+Z38+AA38+AB38+AC38+AD38</f>
        <v/>
      </c>
      <c r="AF38" s="49">
        <f>VLOOKUP(B38,country_opex,7,FALSE)/dep_years</f>
        <v/>
      </c>
      <c r="AG38" s="49">
        <f>X38-AE38</f>
        <v/>
      </c>
      <c r="AH38" s="46">
        <f>IF(X38=0,"",AG38/X38)</f>
        <v/>
      </c>
      <c r="AI38" s="47">
        <f>IF(AG38&lt;=0,"",VLOOKUP(B38,country_opex,7,FALSE)/AG38)</f>
        <v/>
      </c>
      <c r="AJ38" s="44">
        <f>((G38*S38/diesel_nmpg)*diesel_co2pg-(battery/range_nm)*G38*S38*VLOOKUP(B38,country_opex,4,FALSE))/1000</f>
        <v/>
      </c>
      <c r="AK38" s="42" t="n"/>
      <c r="AL38" s="43" t="n"/>
      <c r="AM38" s="43" t="n"/>
      <c r="AN38" s="50" t="n">
        <v>0.1</v>
      </c>
      <c r="AO38" s="45">
        <f>IF(AK38="","",AK38*AN38)</f>
        <v/>
      </c>
      <c r="AP38" s="45">
        <f>IF(OR(AK38="",V38=0),"",MIN(IF(AX38="",9.9E+99,AX38),FLOOR(AO38/V38,1)))</f>
        <v/>
      </c>
      <c r="AQ38" s="49">
        <f>IF(AP38="","",AP38*IF(ABS(MOD(ABS((X38)),1)-0.5)&lt;1E-9,2*ROUND((X38)/2,0),ROUND((X38),0)))</f>
        <v/>
      </c>
      <c r="AR38" s="47">
        <f>IF(OR(AK38="",V38=0),"",MIN(IF(AX38="",9.9E+99,AX38),AO38/V38))</f>
        <v/>
      </c>
      <c r="AS38" s="49">
        <f>IF(AR38="","",AR38*IF(B38="South Korea",IF(ABS(MOD(ABS((X38)),1)-0.5)&lt;1E-9,2*ROUND((X38)/2,0),ROUND((X38),0)),X38))</f>
        <v/>
      </c>
      <c r="AT38" s="51" t="n"/>
      <c r="AU38" s="43" t="inlineStr">
        <is>
          <t>Estimated</t>
        </is>
      </c>
      <c r="AV38" s="52" t="n"/>
      <c r="AW38" s="52" t="n"/>
      <c r="AX38" s="53" t="n"/>
      <c r="AY38" s="54">
        <f>IF(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&lt;=0,"",VLOOKUP(B38,country_opex,7,FALSE)/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)</f>
        <v/>
      </c>
      <c r="AZ38" s="54">
        <f>IF(((W38*pax_cap*IF(B38="South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Korea",korea_mid_revleg,revleg_mid)),0))*VLOOKUP(B38,country_opex,3,FALSE))+Z38+AA38+AB38+AC38+AD38))&lt;=0,"",VLOOKUP(B38,country_opex,7,FALSE)/((W38*pax_cap*IF(B38="South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Korea",korea_mid_revleg,revleg_mid)),0))*VLOOKUP(B38,country_opex,3,FALSE))+Z38+AA38+AB38+AC38+AD38)))</f>
        <v/>
      </c>
      <c r="BA38" s="54">
        <f>IF(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&lt;=0,"",VLOOKUP(B38,country_opex,7,FALSE)/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)</f>
        <v/>
      </c>
      <c r="BB38" s="40" t="n"/>
      <c r="BC38" s="40" t="n"/>
      <c r="BD38" s="43" t="inlineStr">
        <is>
          <t>rn-8dbc3663c115</t>
        </is>
      </c>
    </row>
    <row r="39">
      <c r="A39" s="38" t="inlineStr">
        <is>
          <t>Cambodia</t>
        </is>
      </c>
      <c r="B39" s="38" t="inlineStr">
        <is>
          <t>Cambodia</t>
        </is>
      </c>
      <c r="C39" s="39" t="inlineStr">
        <is>
          <t>Sihanoukville Port → Lila Resort / Ream private islands</t>
        </is>
      </c>
      <c r="D39" s="38" t="inlineStr">
        <is>
          <t>grab</t>
        </is>
      </c>
      <c r="E39" s="40" t="inlineStr">
        <is>
          <t>cambodia</t>
        </is>
      </c>
      <c r="F39" s="41" t="n">
        <v>1</v>
      </c>
      <c r="G39" s="42" t="n">
        <v>7.6</v>
      </c>
      <c r="H39" s="35" t="n">
        <v>30</v>
      </c>
      <c r="I39" s="43" t="inlineStr">
        <is>
          <t>T4</t>
        </is>
      </c>
      <c r="J39" s="43" t="inlineStr">
        <is>
          <t>med-low</t>
        </is>
      </c>
      <c r="K39" s="29" t="n">
        <v>1</v>
      </c>
      <c r="L39" s="44">
        <f>60*G39/cruise_kt</f>
        <v/>
      </c>
      <c r="M39" s="44">
        <f>IF(B39="South Korea",G39/korea_charge_range_nm*korea_full_range_charge_min,0)</f>
        <v/>
      </c>
      <c r="N39" s="44">
        <f>IF(B39="South Korea",L39+korea_turn_min+korea_dwell_min+M39,L39+turn_min+dwell_min)</f>
        <v/>
      </c>
      <c r="O39" s="45">
        <f>IF(B39="South Korea",FLOOR(60*korea_service_hr/N39,1),MIN(15,FLOOR(60*service_hr/N39,1)))</f>
        <v/>
      </c>
      <c r="P39" s="45">
        <f>IF(ABS(MOD(ABS((365*mech_uptime*K39)),1)-0.5)&lt;1E-9,2*ROUND((365*mech_uptime*K39)/2,0),ROUND((365*mech_uptime*K39),0))</f>
        <v/>
      </c>
      <c r="Q39" s="46">
        <f>mech_uptime</f>
        <v/>
      </c>
      <c r="R39" s="46">
        <f>IF(AND(B39="South Korea",scenario="MID"),korea_mid_revleg,revleg_sel)</f>
        <v/>
      </c>
      <c r="S39" s="45">
        <f>IF(ABS(MOD(ABS((O39*P39*R39)),1)-0.5)&lt;1E-9,2*ROUND((O39*P39*R39)/2,0),ROUND((O39*P39*R39),0))</f>
        <v/>
      </c>
      <c r="T39" s="46">
        <f>IF(AND(B39="South Korea",scenario="MID"),korea_mid_load,load_sel)</f>
        <v/>
      </c>
      <c r="U39" s="47">
        <f>pax_cap*T39</f>
        <v/>
      </c>
      <c r="V39" s="45">
        <f>U39*S39</f>
        <v/>
      </c>
      <c r="W39" s="48">
        <f>H39*discount</f>
        <v/>
      </c>
      <c r="X39" s="49">
        <f>W39*V39</f>
        <v/>
      </c>
      <c r="Y39" s="49">
        <f>(battery/range_nm)*G39*S39*VLOOKUP(B39,country_opex,3,FALSE)</f>
        <v/>
      </c>
      <c r="Z39" s="49">
        <f>VLOOKUP(B39,country_opex,2,FALSE)*crew_factor</f>
        <v/>
      </c>
      <c r="AA39" s="49">
        <f>VLOOKUP(B39,country_opex,5,FALSE)</f>
        <v/>
      </c>
      <c r="AB39" s="49">
        <f>maint</f>
        <v/>
      </c>
      <c r="AC39" s="49">
        <f>VLOOKUP(B39,country_opex,7,FALSE)*ins_pct</f>
        <v/>
      </c>
      <c r="AD39" s="49">
        <f>charge_berth</f>
        <v/>
      </c>
      <c r="AE39" s="49">
        <f>Y39+Z39+AA39+AB39+AC39+AD39</f>
        <v/>
      </c>
      <c r="AF39" s="49">
        <f>VLOOKUP(B39,country_opex,7,FALSE)/dep_years</f>
        <v/>
      </c>
      <c r="AG39" s="49">
        <f>X39-AE39</f>
        <v/>
      </c>
      <c r="AH39" s="46">
        <f>IF(X39=0,"",AG39/X39)</f>
        <v/>
      </c>
      <c r="AI39" s="47">
        <f>IF(AG39&lt;=0,"",VLOOKUP(B39,country_opex,7,FALSE)/AG39)</f>
        <v/>
      </c>
      <c r="AJ39" s="44">
        <f>((G39*S39/diesel_nmpg)*diesel_co2pg-(battery/range_nm)*G39*S39*VLOOKUP(B39,country_opex,4,FALSE))/1000</f>
        <v/>
      </c>
      <c r="AK39" s="42" t="n"/>
      <c r="AL39" s="43" t="inlineStr">
        <is>
          <t>null</t>
        </is>
      </c>
      <c r="AM39" s="43" t="inlineStr">
        <is>
          <t>null</t>
        </is>
      </c>
      <c r="AN39" s="50" t="n">
        <v>0.1</v>
      </c>
      <c r="AO39" s="45">
        <f>IF(AK39="","",AK39*AN39)</f>
        <v/>
      </c>
      <c r="AP39" s="45">
        <f>IF(OR(AK39="",V39=0),"",MIN(IF(AX39="",9.9E+99,AX39),FLOOR(AO39/V39,1)))</f>
        <v/>
      </c>
      <c r="AQ39" s="49">
        <f>IF(AP39="","",AP39*IF(ABS(MOD(ABS((X39)),1)-0.5)&lt;1E-9,2*ROUND((X39)/2,0),ROUND((X39),0)))</f>
        <v/>
      </c>
      <c r="AR39" s="47">
        <f>IF(OR(AK39="",V39=0),"",MIN(IF(AX39="",9.9E+99,AX39),AO39/V39))</f>
        <v/>
      </c>
      <c r="AS39" s="49">
        <f>IF(AR39="","",AR39*IF(B39="South Korea",IF(ABS(MOD(ABS((X39)),1)-0.5)&lt;1E-9,2*ROUND((X39)/2,0),ROUND((X39),0)),X39))</f>
        <v/>
      </c>
      <c r="AT39" s="51" t="n"/>
      <c r="AU39" s="43" t="inlineStr">
        <is>
          <t>Estimated</t>
        </is>
      </c>
      <c r="AV39" s="52" t="n"/>
      <c r="AW39" s="52" t="n"/>
      <c r="AX39" s="53" t="n"/>
      <c r="AY39" s="54">
        <f>IF(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&lt;=0,"",VLOOKUP(B39,country_opex,7,FALSE)/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)</f>
        <v/>
      </c>
      <c r="AZ39" s="54">
        <f>IF(((W39*pax_cap*IF(B39="South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Korea",korea_mid_revleg,revleg_mid)),0))*VLOOKUP(B39,country_opex,3,FALSE))+Z39+AA39+AB39+AC39+AD39))&lt;=0,"",VLOOKUP(B39,country_opex,7,FALSE)/((W39*pax_cap*IF(B39="South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Korea",korea_mid_revleg,revleg_mid)),0))*VLOOKUP(B39,country_opex,3,FALSE))+Z39+AA39+AB39+AC39+AD39)))</f>
        <v/>
      </c>
      <c r="BA39" s="54">
        <f>IF(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&lt;=0,"",VLOOKUP(B39,country_opex,7,FALSE)/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)</f>
        <v/>
      </c>
      <c r="BB39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C39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  <c r="BD39" s="43" t="n"/>
    </row>
    <row r="40">
      <c r="A40" s="38" t="inlineStr">
        <is>
          <t>Cambodia</t>
        </is>
      </c>
      <c r="B40" s="38" t="inlineStr">
        <is>
          <t>Cambodia</t>
        </is>
      </c>
      <c r="C40" s="39" t="inlineStr">
        <is>
          <t>Sihanoukville → Koh Ta Kiev / Ream National Park</t>
        </is>
      </c>
      <c r="D40" s="38" t="inlineStr">
        <is>
          <t>grab</t>
        </is>
      </c>
      <c r="E40" s="40" t="inlineStr">
        <is>
          <t>cambodia</t>
        </is>
      </c>
      <c r="F40" s="41" t="n">
        <v>1</v>
      </c>
      <c r="G40" s="42" t="n">
        <v>8.949999999999999</v>
      </c>
      <c r="H40" s="35" t="n">
        <v>20</v>
      </c>
      <c r="I40" s="43" t="inlineStr">
        <is>
          <t>T3</t>
        </is>
      </c>
      <c r="J40" s="43" t="inlineStr">
        <is>
          <t>med-low</t>
        </is>
      </c>
      <c r="K40" s="29" t="n">
        <v>1</v>
      </c>
      <c r="L40" s="44">
        <f>60*G40/cruise_kt</f>
        <v/>
      </c>
      <c r="M40" s="44">
        <f>IF(B40="South Korea",G40/korea_charge_range_nm*korea_full_range_charge_min,0)</f>
        <v/>
      </c>
      <c r="N40" s="44">
        <f>IF(B40="South Korea",L40+korea_turn_min+korea_dwell_min+M40,L40+turn_min+dwell_min)</f>
        <v/>
      </c>
      <c r="O40" s="45">
        <f>IF(B40="South Korea",FLOOR(60*korea_service_hr/N40,1),MIN(15,FLOOR(60*service_hr/N40,1)))</f>
        <v/>
      </c>
      <c r="P40" s="45">
        <f>IF(ABS(MOD(ABS((365*mech_uptime*K40)),1)-0.5)&lt;1E-9,2*ROUND((365*mech_uptime*K40)/2,0),ROUND((365*mech_uptime*K40),0))</f>
        <v/>
      </c>
      <c r="Q40" s="46">
        <f>mech_uptime</f>
        <v/>
      </c>
      <c r="R40" s="46">
        <f>IF(AND(B40="South Korea",scenario="MID"),korea_mid_revleg,revleg_sel)</f>
        <v/>
      </c>
      <c r="S40" s="45">
        <f>IF(ABS(MOD(ABS((O40*P40*R40)),1)-0.5)&lt;1E-9,2*ROUND((O40*P40*R40)/2,0),ROUND((O40*P40*R40),0))</f>
        <v/>
      </c>
      <c r="T40" s="46">
        <f>IF(AND(B40="South Korea",scenario="MID"),korea_mid_load,load_sel)</f>
        <v/>
      </c>
      <c r="U40" s="47">
        <f>pax_cap*T40</f>
        <v/>
      </c>
      <c r="V40" s="45">
        <f>U40*S40</f>
        <v/>
      </c>
      <c r="W40" s="48">
        <f>H40*discount</f>
        <v/>
      </c>
      <c r="X40" s="49">
        <f>W40*V40</f>
        <v/>
      </c>
      <c r="Y40" s="49">
        <f>(battery/range_nm)*G40*S40*VLOOKUP(B40,country_opex,3,FALSE)</f>
        <v/>
      </c>
      <c r="Z40" s="49">
        <f>VLOOKUP(B40,country_opex,2,FALSE)*crew_factor</f>
        <v/>
      </c>
      <c r="AA40" s="49">
        <f>VLOOKUP(B40,country_opex,5,FALSE)</f>
        <v/>
      </c>
      <c r="AB40" s="49">
        <f>maint</f>
        <v/>
      </c>
      <c r="AC40" s="49">
        <f>VLOOKUP(B40,country_opex,7,FALSE)*ins_pct</f>
        <v/>
      </c>
      <c r="AD40" s="49">
        <f>charge_berth</f>
        <v/>
      </c>
      <c r="AE40" s="49">
        <f>Y40+Z40+AA40+AB40+AC40+AD40</f>
        <v/>
      </c>
      <c r="AF40" s="49">
        <f>VLOOKUP(B40,country_opex,7,FALSE)/dep_years</f>
        <v/>
      </c>
      <c r="AG40" s="49">
        <f>X40-AE40</f>
        <v/>
      </c>
      <c r="AH40" s="46">
        <f>IF(X40=0,"",AG40/X40)</f>
        <v/>
      </c>
      <c r="AI40" s="47">
        <f>IF(AG40&lt;=0,"",VLOOKUP(B40,country_opex,7,FALSE)/AG40)</f>
        <v/>
      </c>
      <c r="AJ40" s="44">
        <f>((G40*S40/diesel_nmpg)*diesel_co2pg-(battery/range_nm)*G40*S40*VLOOKUP(B40,country_opex,4,FALSE))/1000</f>
        <v/>
      </c>
      <c r="AK40" s="42" t="n"/>
      <c r="AL40" s="43" t="inlineStr">
        <is>
          <t>null</t>
        </is>
      </c>
      <c r="AM40" s="43" t="inlineStr">
        <is>
          <t>null</t>
        </is>
      </c>
      <c r="AN40" s="50" t="n">
        <v>0.1</v>
      </c>
      <c r="AO40" s="45">
        <f>IF(AK40="","",AK40*AN40)</f>
        <v/>
      </c>
      <c r="AP40" s="45">
        <f>IF(OR(AK40="",V40=0),"",MIN(IF(AX40="",9.9E+99,AX40),FLOOR(AO40/V40,1)))</f>
        <v/>
      </c>
      <c r="AQ40" s="49">
        <f>IF(AP40="","",AP40*IF(ABS(MOD(ABS((X40)),1)-0.5)&lt;1E-9,2*ROUND((X40)/2,0),ROUND((X40),0)))</f>
        <v/>
      </c>
      <c r="AR40" s="47">
        <f>IF(OR(AK40="",V40=0),"",MIN(IF(AX40="",9.9E+99,AX40),AO40/V40))</f>
        <v/>
      </c>
      <c r="AS40" s="49">
        <f>IF(AR40="","",AR40*IF(B40="South Korea",IF(ABS(MOD(ABS((X40)),1)-0.5)&lt;1E-9,2*ROUND((X40)/2,0),ROUND((X40),0)),X40))</f>
        <v/>
      </c>
      <c r="AT40" s="51" t="n"/>
      <c r="AU40" s="43" t="inlineStr">
        <is>
          <t>Estimated</t>
        </is>
      </c>
      <c r="AV40" s="52" t="n"/>
      <c r="AW40" s="52" t="n"/>
      <c r="AX40" s="53" t="n"/>
      <c r="AY40" s="54">
        <f>IF(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&lt;=0,"",VLOOKUP(B40,country_opex,7,FALSE)/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)</f>
        <v/>
      </c>
      <c r="AZ40" s="54">
        <f>IF(((W40*pax_cap*IF(B40="South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Korea",korea_mid_revleg,revleg_mid)),0))*VLOOKUP(B40,country_opex,3,FALSE))+Z40+AA40+AB40+AC40+AD40))&lt;=0,"",VLOOKUP(B40,country_opex,7,FALSE)/((W40*pax_cap*IF(B40="South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Korea",korea_mid_revleg,revleg_mid)),0))*VLOOKUP(B40,country_opex,3,FALSE))+Z40+AA40+AB40+AC40+AD40)))</f>
        <v/>
      </c>
      <c r="BA40" s="54">
        <f>IF(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&lt;=0,"",VLOOKUP(B40,country_opex,7,FALSE)/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)</f>
        <v/>
      </c>
      <c r="BB40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C40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  <c r="BD40" s="43" t="n"/>
    </row>
    <row r="41">
      <c r="A41" s="38" t="inlineStr">
        <is>
          <t>Cambodia</t>
        </is>
      </c>
      <c r="B41" s="38" t="inlineStr">
        <is>
          <t>Cambodia</t>
        </is>
      </c>
      <c r="C41" s="39" t="inlineStr">
        <is>
          <t>Sihanoukville → Koh Rong Sanloem (Saracen Bay)</t>
        </is>
      </c>
      <c r="D41" s="38" t="inlineStr">
        <is>
          <t>grab</t>
        </is>
      </c>
      <c r="E41" s="40" t="inlineStr">
        <is>
          <t>cambodia</t>
        </is>
      </c>
      <c r="F41" s="41" t="n">
        <v>1</v>
      </c>
      <c r="G41" s="42" t="n">
        <v>12.87</v>
      </c>
      <c r="H41" s="35" t="n">
        <v>30</v>
      </c>
      <c r="I41" s="43" t="inlineStr">
        <is>
          <t>T3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IF(B41="South Korea",G41/korea_charge_range_nm*korea_full_range_charge_min,0)</f>
        <v/>
      </c>
      <c r="N41" s="44">
        <f>IF(B41="South Korea",L41+korea_turn_min+korea_dwell_min+M41,L41+turn_min+dwell_min)</f>
        <v/>
      </c>
      <c r="O41" s="45">
        <f>IF(B41="South Korea",FLOOR(60*korea_service_hr/N41,1),MIN(15,FLOOR(60*service_hr/N41,1)))</f>
        <v/>
      </c>
      <c r="P41" s="45">
        <f>IF(ABS(MOD(ABS((365*mech_uptime*K41)),1)-0.5)&lt;1E-9,2*ROUND((365*mech_uptime*K41)/2,0),ROUND((365*mech_uptime*K41),0))</f>
        <v/>
      </c>
      <c r="Q41" s="46">
        <f>mech_uptime</f>
        <v/>
      </c>
      <c r="R41" s="46">
        <f>IF(AND(B41="South Korea",scenario="MID"),korea_mid_revleg,revleg_sel)</f>
        <v/>
      </c>
      <c r="S41" s="45">
        <f>IF(ABS(MOD(ABS((O41*P41*R41)),1)-0.5)&lt;1E-9,2*ROUND((O41*P41*R41)/2,0),ROUND((O41*P41*R41),0))</f>
        <v/>
      </c>
      <c r="T41" s="46">
        <f>IF(AND(B41="South Korea",scenario="MID"),korea_mid_load,load_sel)</f>
        <v/>
      </c>
      <c r="U41" s="47">
        <f>pax_cap*T41</f>
        <v/>
      </c>
      <c r="V41" s="45">
        <f>U41*S41</f>
        <v/>
      </c>
      <c r="W41" s="48">
        <f>H41*discount</f>
        <v/>
      </c>
      <c r="X41" s="49">
        <f>W41*V41</f>
        <v/>
      </c>
      <c r="Y41" s="49">
        <f>(battery/range_nm)*G41*S41*VLOOKUP(B41,country_opex,3,FALSE)</f>
        <v/>
      </c>
      <c r="Z41" s="49">
        <f>VLOOKUP(B41,country_opex,2,FALSE)*crew_factor</f>
        <v/>
      </c>
      <c r="AA41" s="49">
        <f>VLOOKUP(B41,country_opex,5,FALSE)</f>
        <v/>
      </c>
      <c r="AB41" s="49">
        <f>maint</f>
        <v/>
      </c>
      <c r="AC41" s="49">
        <f>VLOOKUP(B41,country_opex,7,FALSE)*ins_pct</f>
        <v/>
      </c>
      <c r="AD41" s="49">
        <f>charge_berth</f>
        <v/>
      </c>
      <c r="AE41" s="49">
        <f>Y41+Z41+AA41+AB41+AC41+AD41</f>
        <v/>
      </c>
      <c r="AF41" s="49">
        <f>VLOOKUP(B41,country_opex,7,FALSE)/dep_years</f>
        <v/>
      </c>
      <c r="AG41" s="49">
        <f>X41-AE41</f>
        <v/>
      </c>
      <c r="AH41" s="46">
        <f>IF(X41=0,"",AG41/X41)</f>
        <v/>
      </c>
      <c r="AI41" s="47">
        <f>IF(AG41&lt;=0,"",VLOOKUP(B41,country_opex,7,FALSE)/AG41)</f>
        <v/>
      </c>
      <c r="AJ41" s="44">
        <f>((G41*S41/diesel_nmpg)*diesel_co2pg-(battery/range_nm)*G41*S41*VLOOKUP(B41,country_opex,4,FALSE))/1000</f>
        <v/>
      </c>
      <c r="AK41" s="42" t="n">
        <v>100000</v>
      </c>
      <c r="AL41" s="43" t="inlineStr">
        <is>
          <t>T2</t>
        </is>
      </c>
      <c r="AM41" s="43" t="inlineStr">
        <is>
          <t>med</t>
        </is>
      </c>
      <c r="AN41" s="50" t="n">
        <v>0.1</v>
      </c>
      <c r="AO41" s="45">
        <f>IF(AK41="","",AK41*AN41)</f>
        <v/>
      </c>
      <c r="AP41" s="45">
        <f>IF(OR(AK41="",V41=0),"",MIN(IF(AX41="",9.9E+99,AX41),FLOOR(AO41/V41,1)))</f>
        <v/>
      </c>
      <c r="AQ41" s="49">
        <f>IF(AP41="","",AP41*IF(ABS(MOD(ABS((X41)),1)-0.5)&lt;1E-9,2*ROUND((X41)/2,0),ROUND((X41),0)))</f>
        <v/>
      </c>
      <c r="AR41" s="47">
        <f>IF(OR(AK41="",V41=0),"",MIN(IF(AX41="",9.9E+99,AX41),AO41/V41))</f>
        <v/>
      </c>
      <c r="AS41" s="49">
        <f>IF(AR41="","",AR41*IF(B41="South Korea",IF(ABS(MOD(ABS((X41)),1)-0.5)&lt;1E-9,2*ROUND((X41)/2,0),ROUND((X41),0)),X41))</f>
        <v/>
      </c>
      <c r="AT41" s="51" t="n"/>
      <c r="AU41" s="43" t="inlineStr">
        <is>
          <t>Grounded</t>
        </is>
      </c>
      <c r="AV41" s="52" t="n"/>
      <c r="AW41" s="52" t="n"/>
      <c r="AX41" s="53" t="n"/>
      <c r="AY41" s="54">
        <f>IF(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&lt;=0,"",VLOOKUP(B41,country_opex,7,FALSE)/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)</f>
        <v/>
      </c>
      <c r="AZ41" s="54">
        <f>IF(((W41*pax_cap*IF(B41="South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Korea",korea_mid_revleg,revleg_mid)),0))*VLOOKUP(B41,country_opex,3,FALSE))+Z41+AA41+AB41+AC41+AD41))&lt;=0,"",VLOOKUP(B41,country_opex,7,FALSE)/((W41*pax_cap*IF(B41="South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Korea",korea_mid_revleg,revleg_mid)),0))*VLOOKUP(B41,country_opex,3,FALSE))+Z41+AA41+AB41+AC41+AD41)))</f>
        <v/>
      </c>
      <c r="BA41" s="54">
        <f>IF(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&lt;=0,"",VLOOKUP(B41,country_opex,7,FALSE)/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)</f>
        <v/>
      </c>
      <c r="BB41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C41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  <c r="BD41" s="43" t="n"/>
    </row>
    <row r="42">
      <c r="A42" s="38" t="inlineStr">
        <is>
          <t>Cambodia</t>
        </is>
      </c>
      <c r="B42" s="38" t="inlineStr">
        <is>
          <t>Cambodia</t>
        </is>
      </c>
      <c r="C42" s="39" t="inlineStr">
        <is>
          <t>Koh Rong → Song Saa / Koh Russey</t>
        </is>
      </c>
      <c r="D42" s="38" t="inlineStr">
        <is>
          <t>grab</t>
        </is>
      </c>
      <c r="E42" s="40" t="inlineStr">
        <is>
          <t>cambodia</t>
        </is>
      </c>
      <c r="F42" s="41" t="n">
        <v>1</v>
      </c>
      <c r="G42" s="42" t="n">
        <v>18.56</v>
      </c>
      <c r="H42" s="35" t="n">
        <v>65</v>
      </c>
      <c r="I42" s="43" t="inlineStr">
        <is>
          <t>T3</t>
        </is>
      </c>
      <c r="J42" s="43" t="inlineStr">
        <is>
          <t>med-low</t>
        </is>
      </c>
      <c r="K42" s="29" t="n">
        <v>1</v>
      </c>
      <c r="L42" s="44">
        <f>60*G42/cruise_kt</f>
        <v/>
      </c>
      <c r="M42" s="44">
        <f>IF(B42="South Korea",G42/korea_charge_range_nm*korea_full_range_charge_min,0)</f>
        <v/>
      </c>
      <c r="N42" s="44">
        <f>IF(B42="South Korea",L42+korea_turn_min+korea_dwell_min+M42,L42+turn_min+dwell_min)</f>
        <v/>
      </c>
      <c r="O42" s="45">
        <f>IF(B42="South Korea",FLOOR(60*korea_service_hr/N42,1),MIN(15,FLOOR(60*service_hr/N42,1)))</f>
        <v/>
      </c>
      <c r="P42" s="45">
        <f>IF(ABS(MOD(ABS((365*mech_uptime*K42)),1)-0.5)&lt;1E-9,2*ROUND((365*mech_uptime*K42)/2,0),ROUND((365*mech_uptime*K42),0))</f>
        <v/>
      </c>
      <c r="Q42" s="46">
        <f>mech_uptime</f>
        <v/>
      </c>
      <c r="R42" s="46">
        <f>IF(AND(B42="South Korea",scenario="MID"),korea_mid_revleg,revleg_sel)</f>
        <v/>
      </c>
      <c r="S42" s="45">
        <f>IF(ABS(MOD(ABS((O42*P42*R42)),1)-0.5)&lt;1E-9,2*ROUND((O42*P42*R42)/2,0),ROUND((O42*P42*R42),0))</f>
        <v/>
      </c>
      <c r="T42" s="46">
        <f>IF(AND(B42="South Korea",scenario="MID"),korea_mid_load,load_sel)</f>
        <v/>
      </c>
      <c r="U42" s="47">
        <f>pax_cap*T42</f>
        <v/>
      </c>
      <c r="V42" s="45">
        <f>U42*S42</f>
        <v/>
      </c>
      <c r="W42" s="48">
        <f>H42*discount</f>
        <v/>
      </c>
      <c r="X42" s="49">
        <f>W42*V42</f>
        <v/>
      </c>
      <c r="Y42" s="49">
        <f>(battery/range_nm)*G42*S42*VLOOKUP(B42,country_opex,3,FALSE)</f>
        <v/>
      </c>
      <c r="Z42" s="49">
        <f>VLOOKUP(B42,country_opex,2,FALSE)*crew_factor</f>
        <v/>
      </c>
      <c r="AA42" s="49">
        <f>VLOOKUP(B42,country_opex,5,FALSE)</f>
        <v/>
      </c>
      <c r="AB42" s="49">
        <f>maint</f>
        <v/>
      </c>
      <c r="AC42" s="49">
        <f>VLOOKUP(B42,country_opex,7,FALSE)*ins_pct</f>
        <v/>
      </c>
      <c r="AD42" s="49">
        <f>charge_berth</f>
        <v/>
      </c>
      <c r="AE42" s="49">
        <f>Y42+Z42+AA42+AB42+AC42+AD42</f>
        <v/>
      </c>
      <c r="AF42" s="49">
        <f>VLOOKUP(B42,country_opex,7,FALSE)/dep_years</f>
        <v/>
      </c>
      <c r="AG42" s="49">
        <f>X42-AE42</f>
        <v/>
      </c>
      <c r="AH42" s="46">
        <f>IF(X42=0,"",AG42/X42)</f>
        <v/>
      </c>
      <c r="AI42" s="47">
        <f>IF(AG42&lt;=0,"",VLOOKUP(B42,country_opex,7,FALSE)/AG42)</f>
        <v/>
      </c>
      <c r="AJ42" s="44">
        <f>((G42*S42/diesel_nmpg)*diesel_co2pg-(battery/range_nm)*G42*S42*VLOOKUP(B42,country_opex,4,FALSE))/1000</f>
        <v/>
      </c>
      <c r="AK42" s="42" t="n"/>
      <c r="AL42" s="43" t="inlineStr">
        <is>
          <t>null</t>
        </is>
      </c>
      <c r="AM42" s="43" t="inlineStr">
        <is>
          <t>null</t>
        </is>
      </c>
      <c r="AN42" s="50" t="n">
        <v>0.1</v>
      </c>
      <c r="AO42" s="45">
        <f>IF(AK42="","",AK42*AN42)</f>
        <v/>
      </c>
      <c r="AP42" s="45">
        <f>IF(OR(AK42="",V42=0),"",MIN(IF(AX42="",9.9E+99,AX42),FLOOR(AO42/V42,1)))</f>
        <v/>
      </c>
      <c r="AQ42" s="49">
        <f>IF(AP42="","",AP42*IF(ABS(MOD(ABS((X42)),1)-0.5)&lt;1E-9,2*ROUND((X42)/2,0),ROUND((X42),0)))</f>
        <v/>
      </c>
      <c r="AR42" s="47">
        <f>IF(OR(AK42="",V42=0),"",MIN(IF(AX42="",9.9E+99,AX42),AO42/V42))</f>
        <v/>
      </c>
      <c r="AS42" s="49">
        <f>IF(AR42="","",AR42*IF(B42="South Korea",IF(ABS(MOD(ABS((X42)),1)-0.5)&lt;1E-9,2*ROUND((X42)/2,0),ROUND((X42),0)),X42))</f>
        <v/>
      </c>
      <c r="AT42" s="51" t="n"/>
      <c r="AU42" s="43" t="inlineStr">
        <is>
          <t>Estimated</t>
        </is>
      </c>
      <c r="AV42" s="52" t="n"/>
      <c r="AW42" s="52" t="n"/>
      <c r="AX42" s="53" t="n"/>
      <c r="AY42" s="54">
        <f>IF(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&lt;=0,"",VLOOKUP(B42,country_opex,7,FALSE)/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)</f>
        <v/>
      </c>
      <c r="AZ42" s="54">
        <f>IF(((W42*pax_cap*IF(B42="South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Korea",korea_mid_revleg,revleg_mid)),0))*VLOOKUP(B42,country_opex,3,FALSE))+Z42+AA42+AB42+AC42+AD42))&lt;=0,"",VLOOKUP(B42,country_opex,7,FALSE)/((W42*pax_cap*IF(B42="South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Korea",korea_mid_revleg,revleg_mid)),0))*VLOOKUP(B42,country_opex,3,FALSE))+Z42+AA42+AB42+AC42+AD42)))</f>
        <v/>
      </c>
      <c r="BA42" s="54">
        <f>IF(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&lt;=0,"",VLOOKUP(B42,country_opex,7,FALSE)/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)</f>
        <v/>
      </c>
      <c r="BB42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C42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  <c r="BD42" s="43" t="n"/>
    </row>
    <row r="43">
      <c r="A43" s="38" t="inlineStr">
        <is>
          <t>Cambodia</t>
        </is>
      </c>
      <c r="B43" s="38" t="inlineStr">
        <is>
          <t>Cambodia</t>
        </is>
      </c>
      <c r="C43" s="39" t="inlineStr">
        <is>
          <t>Sihanoukville → Koh Kong / Cardamom coast</t>
        </is>
      </c>
      <c r="D43" s="38" t="inlineStr">
        <is>
          <t>grab</t>
        </is>
      </c>
      <c r="E43" s="40" t="inlineStr">
        <is>
          <t>cambodia</t>
        </is>
      </c>
      <c r="F43" s="41" t="n">
        <v>1</v>
      </c>
      <c r="G43" s="42" t="n">
        <v>68.22</v>
      </c>
      <c r="H43" s="35" t="n">
        <v>50</v>
      </c>
      <c r="I43" s="43" t="inlineStr">
        <is>
          <t>T5</t>
        </is>
      </c>
      <c r="J43" s="43" t="inlineStr">
        <is>
          <t>low</t>
        </is>
      </c>
      <c r="K43" s="29" t="n">
        <v>1</v>
      </c>
      <c r="L43" s="44">
        <f>60*G43/cruise_kt</f>
        <v/>
      </c>
      <c r="M43" s="44">
        <f>IF(B43="South Korea",G43/korea_charge_range_nm*korea_full_range_charge_min,0)</f>
        <v/>
      </c>
      <c r="N43" s="44">
        <f>IF(B43="South Korea",L43+korea_turn_min+korea_dwell_min+M43,L43+turn_min+dwell_min)</f>
        <v/>
      </c>
      <c r="O43" s="45">
        <f>IF(B43="South Korea",FLOOR(60*korea_service_hr/N43,1),MIN(15,FLOOR(60*service_hr/N43,1)))</f>
        <v/>
      </c>
      <c r="P43" s="45">
        <f>IF(ABS(MOD(ABS((365*mech_uptime*K43)),1)-0.5)&lt;1E-9,2*ROUND((365*mech_uptime*K43)/2,0),ROUND((365*mech_uptime*K43),0))</f>
        <v/>
      </c>
      <c r="Q43" s="46">
        <f>mech_uptime</f>
        <v/>
      </c>
      <c r="R43" s="46">
        <f>IF(AND(B43="South Korea",scenario="MID"),korea_mid_revleg,revleg_sel)</f>
        <v/>
      </c>
      <c r="S43" s="45">
        <f>IF(ABS(MOD(ABS((O43*P43*R43)),1)-0.5)&lt;1E-9,2*ROUND((O43*P43*R43)/2,0),ROUND((O43*P43*R43),0))</f>
        <v/>
      </c>
      <c r="T43" s="46">
        <f>IF(AND(B43="South Korea",scenario="MID"),korea_mid_load,load_sel)</f>
        <v/>
      </c>
      <c r="U43" s="47">
        <f>pax_cap*T43</f>
        <v/>
      </c>
      <c r="V43" s="45">
        <f>U43*S43</f>
        <v/>
      </c>
      <c r="W43" s="48">
        <f>H43*discount</f>
        <v/>
      </c>
      <c r="X43" s="49">
        <f>W43*V43</f>
        <v/>
      </c>
      <c r="Y43" s="49">
        <f>(battery/range_nm)*G43*S43*VLOOKUP(B43,country_opex,3,FALSE)</f>
        <v/>
      </c>
      <c r="Z43" s="49">
        <f>VLOOKUP(B43,country_opex,2,FALSE)*crew_factor</f>
        <v/>
      </c>
      <c r="AA43" s="49">
        <f>VLOOKUP(B43,country_opex,5,FALSE)</f>
        <v/>
      </c>
      <c r="AB43" s="49">
        <f>maint</f>
        <v/>
      </c>
      <c r="AC43" s="49">
        <f>VLOOKUP(B43,country_opex,7,FALSE)*ins_pct</f>
        <v/>
      </c>
      <c r="AD43" s="49">
        <f>charge_berth</f>
        <v/>
      </c>
      <c r="AE43" s="49">
        <f>Y43+Z43+AA43+AB43+AC43+AD43</f>
        <v/>
      </c>
      <c r="AF43" s="49">
        <f>VLOOKUP(B43,country_opex,7,FALSE)/dep_years</f>
        <v/>
      </c>
      <c r="AG43" s="49">
        <f>X43-AE43</f>
        <v/>
      </c>
      <c r="AH43" s="46">
        <f>IF(X43=0,"",AG43/X43)</f>
        <v/>
      </c>
      <c r="AI43" s="47">
        <f>IF(AG43&lt;=0,"",VLOOKUP(B43,country_opex,7,FALSE)/AG43)</f>
        <v/>
      </c>
      <c r="AJ43" s="44">
        <f>((G43*S43/diesel_nmpg)*diesel_co2pg-(battery/range_nm)*G43*S43*VLOOKUP(B43,country_opex,4,FALSE))/1000</f>
        <v/>
      </c>
      <c r="AK43" s="42" t="n"/>
      <c r="AL43" s="43" t="inlineStr">
        <is>
          <t>null</t>
        </is>
      </c>
      <c r="AM43" s="43" t="inlineStr">
        <is>
          <t>null</t>
        </is>
      </c>
      <c r="AN43" s="50" t="n">
        <v>0.1</v>
      </c>
      <c r="AO43" s="45">
        <f>IF(AK43="","",AK43*AN43)</f>
        <v/>
      </c>
      <c r="AP43" s="45">
        <f>IF(OR(AK43="",V43=0),"",MIN(IF(AX43="",9.9E+99,AX43),FLOOR(AO43/V43,1)))</f>
        <v/>
      </c>
      <c r="AQ43" s="49">
        <f>IF(AP43="","",AP43*IF(ABS(MOD(ABS((X43)),1)-0.5)&lt;1E-9,2*ROUND((X43)/2,0),ROUND((X43),0)))</f>
        <v/>
      </c>
      <c r="AR43" s="47">
        <f>IF(OR(AK43="",V43=0),"",MIN(IF(AX43="",9.9E+99,AX43),AO43/V43))</f>
        <v/>
      </c>
      <c r="AS43" s="49">
        <f>IF(AR43="","",AR43*IF(B43="South Korea",IF(ABS(MOD(ABS((X43)),1)-0.5)&lt;1E-9,2*ROUND((X43)/2,0),ROUND((X43),0)),X43))</f>
        <v/>
      </c>
      <c r="AT43" s="51" t="n"/>
      <c r="AU43" s="43" t="inlineStr">
        <is>
          <t>Estimated</t>
        </is>
      </c>
      <c r="AV43" s="52" t="n"/>
      <c r="AW43" s="52" t="n"/>
      <c r="AX43" s="53" t="n"/>
      <c r="AY43" s="54">
        <f>IF(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&lt;=0,"",VLOOKUP(B43,country_opex,7,FALSE)/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)</f>
        <v/>
      </c>
      <c r="AZ43" s="54">
        <f>IF(((W43*pax_cap*IF(B43="South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Korea",korea_mid_revleg,revleg_mid)),0))*VLOOKUP(B43,country_opex,3,FALSE))+Z43+AA43+AB43+AC43+AD43))&lt;=0,"",VLOOKUP(B43,country_opex,7,FALSE)/((W43*pax_cap*IF(B43="South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Korea",korea_mid_revleg,revleg_mid)),0))*VLOOKUP(B43,country_opex,3,FALSE))+Z43+AA43+AB43+AC43+AD43)))</f>
        <v/>
      </c>
      <c r="BA43" s="54">
        <f>IF(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&lt;=0,"",VLOOKUP(B43,country_opex,7,FALSE)/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)</f>
        <v/>
      </c>
      <c r="BB43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C43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  <c r="BD43" s="43" t="n"/>
    </row>
    <row r="44">
      <c r="A44" s="38" t="inlineStr">
        <is>
          <t>Yango Cameroon</t>
        </is>
      </c>
      <c r="B44" s="38" t="inlineStr">
        <is>
          <t>Cameroon</t>
        </is>
      </c>
      <c r="C44" s="39" t="inlineStr">
        <is>
          <t>Douala Waterfront → Manoka Island</t>
        </is>
      </c>
      <c r="D44" s="38" t="inlineStr">
        <is>
          <t>yango</t>
        </is>
      </c>
      <c r="E44" s="40" t="inlineStr">
        <is>
          <t>yango-cameroon</t>
        </is>
      </c>
      <c r="F44" s="41" t="n">
        <v>1</v>
      </c>
      <c r="G44" s="42" t="n">
        <v>7</v>
      </c>
      <c r="H44" s="35" t="n">
        <v>18</v>
      </c>
      <c r="I44" s="43" t="inlineStr">
        <is>
          <t>T3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IF(B44="South Korea",G44/korea_charge_range_nm*korea_full_range_charge_min,0)</f>
        <v/>
      </c>
      <c r="N44" s="44">
        <f>IF(B44="South Korea",L44+korea_turn_min+korea_dwell_min+M44,L44+turn_min+dwell_min)</f>
        <v/>
      </c>
      <c r="O44" s="45">
        <f>IF(B44="South Korea",FLOOR(60*korea_service_hr/N44,1),MIN(24,FLOOR(60*service_hr/N44,1)))</f>
        <v/>
      </c>
      <c r="P44" s="45">
        <f>IF(ABS(MOD(ABS((365*mech_uptime*K44)),1)-0.5)&lt;1E-9,2*ROUND((365*mech_uptime*K44)/2,0),ROUND((365*mech_uptime*K44),0))</f>
        <v/>
      </c>
      <c r="Q44" s="46">
        <f>mech_uptime</f>
        <v/>
      </c>
      <c r="R44" s="46">
        <f>IF(AND(B44="South Korea",scenario="MID"),korea_mid_revleg,revleg_sel)</f>
        <v/>
      </c>
      <c r="S44" s="45">
        <f>IF(ABS(MOD(ABS((O44*P44*R44)),1)-0.5)&lt;1E-9,2*ROUND((O44*P44*R44)/2,0),ROUND((O44*P44*R44),0))</f>
        <v/>
      </c>
      <c r="T44" s="46">
        <f>IF(AND(B44="South Korea",scenario="MID"),korea_mid_load,load_sel)</f>
        <v/>
      </c>
      <c r="U44" s="47">
        <f>pax_cap*T44</f>
        <v/>
      </c>
      <c r="V44" s="45">
        <f>U44*S44</f>
        <v/>
      </c>
      <c r="W44" s="48">
        <f>H44*discount</f>
        <v/>
      </c>
      <c r="X44" s="49">
        <f>W44*V44</f>
        <v/>
      </c>
      <c r="Y44" s="49">
        <f>(battery/range_nm)*G44*S44*VLOOKUP(B44,country_opex,3,FALSE)</f>
        <v/>
      </c>
      <c r="Z44" s="49">
        <f>VLOOKUP(B44,country_opex,2,FALSE)*crew_factor</f>
        <v/>
      </c>
      <c r="AA44" s="49">
        <f>VLOOKUP(B44,country_opex,5,FALSE)</f>
        <v/>
      </c>
      <c r="AB44" s="49">
        <f>maint</f>
        <v/>
      </c>
      <c r="AC44" s="49">
        <f>VLOOKUP(B44,country_opex,7,FALSE)*ins_pct</f>
        <v/>
      </c>
      <c r="AD44" s="49">
        <f>charge_berth</f>
        <v/>
      </c>
      <c r="AE44" s="49">
        <f>Y44+Z44+AA44+AB44+AC44+AD44</f>
        <v/>
      </c>
      <c r="AF44" s="49">
        <f>VLOOKUP(B44,country_opex,7,FALSE)/dep_years</f>
        <v/>
      </c>
      <c r="AG44" s="49">
        <f>X44-AE44</f>
        <v/>
      </c>
      <c r="AH44" s="46">
        <f>IF(X44=0,"",AG44/X44)</f>
        <v/>
      </c>
      <c r="AI44" s="47">
        <f>IF(AG44&lt;=0,"",VLOOKUP(B44,country_opex,7,FALSE)/AG44)</f>
        <v/>
      </c>
      <c r="AJ44" s="44">
        <f>((G44*S44/diesel_nmpg)*diesel_co2pg-(battery/range_nm)*G44*S44*VLOOKUP(B44,country_opex,4,FALSE))/1000</f>
        <v/>
      </c>
      <c r="AK44" s="42" t="n">
        <v>45000</v>
      </c>
      <c r="AL44" s="43" t="n"/>
      <c r="AM44" s="43" t="inlineStr">
        <is>
          <t>med</t>
        </is>
      </c>
      <c r="AN44" s="50" t="n">
        <v>0.25</v>
      </c>
      <c r="AO44" s="45">
        <f>IF(AK44="","",AK44*AN44)</f>
        <v/>
      </c>
      <c r="AP44" s="45">
        <f>IF(OR(AK44="",V44=0),"",MIN(IF(AX44="",9.9E+99,AX44),FLOOR(AO44/V44,1)))</f>
        <v/>
      </c>
      <c r="AQ44" s="49">
        <f>IF(AP44="","",AP44*IF(ABS(MOD(ABS((X44)),1)-0.5)&lt;1E-9,2*ROUND((X44)/2,0),ROUND((X44),0)))</f>
        <v/>
      </c>
      <c r="AR44" s="47">
        <f>IF(OR(AK44="",V44=0),"",MIN(IF(AX44="",9.9E+99,AX44),AO44/V44))</f>
        <v/>
      </c>
      <c r="AS44" s="49">
        <f>IF(AR44="","",AR44*IF(B44="South Korea",IF(ABS(MOD(ABS((X44)),1)-0.5)&lt;1E-9,2*ROUND((X44)/2,0),ROUND((X44),0)),X44))</f>
        <v/>
      </c>
      <c r="AT44" s="51" t="n"/>
      <c r="AU44" s="43" t="inlineStr">
        <is>
          <t>Grounded</t>
        </is>
      </c>
      <c r="AV44" s="52" t="n"/>
      <c r="AW44" s="52" t="n"/>
      <c r="AX44" s="53" t="n"/>
      <c r="AY44" s="54">
        <f>IF(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&lt;=0,"",VLOOKUP(B44,country_opex,7,FALSE)/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)</f>
        <v/>
      </c>
      <c r="AZ44" s="54">
        <f>IF(((W44*pax_cap*IF(B44="South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Korea",korea_mid_revleg,revleg_mid)),0))*VLOOKUP(B44,country_opex,3,FALSE))+Z44+AA44+AB44+AC44+AD44))&lt;=0,"",VLOOKUP(B44,country_opex,7,FALSE)/((W44*pax_cap*IF(B44="South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Korea",korea_mid_revleg,revleg_mid)),0))*VLOOKUP(B44,country_opex,3,FALSE))+Z44+AA44+AB44+AC44+AD44)))</f>
        <v/>
      </c>
      <c r="BA44" s="54">
        <f>IF(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&lt;=0,"",VLOOKUP(B44,country_opex,7,FALSE)/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)</f>
        <v/>
      </c>
      <c r="BB44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C44" s="40" t="n"/>
      <c r="BD44" s="43" t="n"/>
    </row>
    <row r="45">
      <c r="A45" s="38" t="inlineStr">
        <is>
          <t>Yango Cameroon</t>
        </is>
      </c>
      <c r="B45" s="38" t="inlineStr">
        <is>
          <t>Cameroon</t>
        </is>
      </c>
      <c r="C45" s="39" t="inlineStr">
        <is>
          <t>Douala Waterfront → Limbe</t>
        </is>
      </c>
      <c r="D45" s="38" t="inlineStr">
        <is>
          <t>yango</t>
        </is>
      </c>
      <c r="E45" s="40" t="inlineStr">
        <is>
          <t>yango-cameroon</t>
        </is>
      </c>
      <c r="F45" s="41" t="n">
        <v>1</v>
      </c>
      <c r="G45" s="42" t="n">
        <v>29</v>
      </c>
      <c r="H45" s="35" t="n">
        <v>12</v>
      </c>
      <c r="I45" s="43" t="inlineStr">
        <is>
          <t>T4</t>
        </is>
      </c>
      <c r="J45" s="43" t="inlineStr">
        <is>
          <t>low</t>
        </is>
      </c>
      <c r="K45" s="29" t="n">
        <v>1</v>
      </c>
      <c r="L45" s="44">
        <f>60*G45/cruise_kt</f>
        <v/>
      </c>
      <c r="M45" s="44">
        <f>IF(B45="South Korea",G45/korea_charge_range_nm*korea_full_range_charge_min,0)</f>
        <v/>
      </c>
      <c r="N45" s="44">
        <f>IF(B45="South Korea",L45+korea_turn_min+korea_dwell_min+M45,L45+turn_min+dwell_min)</f>
        <v/>
      </c>
      <c r="O45" s="45">
        <f>IF(B45="South Korea",FLOOR(60*korea_service_hr/N45,1),MIN(15,FLOOR(60*service_hr/N45,1)))</f>
        <v/>
      </c>
      <c r="P45" s="45">
        <f>IF(ABS(MOD(ABS((365*mech_uptime*K45)),1)-0.5)&lt;1E-9,2*ROUND((365*mech_uptime*K45)/2,0),ROUND((365*mech_uptime*K45),0))</f>
        <v/>
      </c>
      <c r="Q45" s="46">
        <f>mech_uptime</f>
        <v/>
      </c>
      <c r="R45" s="46">
        <f>IF(AND(B45="South Korea",scenario="MID"),korea_mid_revleg,revleg_sel)</f>
        <v/>
      </c>
      <c r="S45" s="45">
        <f>IF(ABS(MOD(ABS((O45*P45*R45)),1)-0.5)&lt;1E-9,2*ROUND((O45*P45*R45)/2,0),ROUND((O45*P45*R45),0))</f>
        <v/>
      </c>
      <c r="T45" s="46">
        <f>IF(AND(B45="South Korea",scenario="MID"),korea_mid_load,load_sel)</f>
        <v/>
      </c>
      <c r="U45" s="47">
        <f>pax_cap*T45</f>
        <v/>
      </c>
      <c r="V45" s="45">
        <f>U45*S45</f>
        <v/>
      </c>
      <c r="W45" s="48">
        <f>H45*discount</f>
        <v/>
      </c>
      <c r="X45" s="49">
        <f>W45*V45</f>
        <v/>
      </c>
      <c r="Y45" s="49">
        <f>(battery/range_nm)*G45*S45*VLOOKUP(B45,country_opex,3,FALSE)</f>
        <v/>
      </c>
      <c r="Z45" s="49">
        <f>VLOOKUP(B45,country_opex,2,FALSE)*crew_factor</f>
        <v/>
      </c>
      <c r="AA45" s="49">
        <f>VLOOKUP(B45,country_opex,5,FALSE)</f>
        <v/>
      </c>
      <c r="AB45" s="49">
        <f>maint</f>
        <v/>
      </c>
      <c r="AC45" s="49">
        <f>VLOOKUP(B45,country_opex,7,FALSE)*ins_pct</f>
        <v/>
      </c>
      <c r="AD45" s="49">
        <f>charge_berth</f>
        <v/>
      </c>
      <c r="AE45" s="49">
        <f>Y45+Z45+AA45+AB45+AC45+AD45</f>
        <v/>
      </c>
      <c r="AF45" s="49">
        <f>VLOOKUP(B45,country_opex,7,FALSE)/dep_years</f>
        <v/>
      </c>
      <c r="AG45" s="49">
        <f>X45-AE45</f>
        <v/>
      </c>
      <c r="AH45" s="46">
        <f>IF(X45=0,"",AG45/X45)</f>
        <v/>
      </c>
      <c r="AI45" s="47">
        <f>IF(AG45&lt;=0,"",VLOOKUP(B45,country_opex,7,FALSE)/AG45)</f>
        <v/>
      </c>
      <c r="AJ45" s="44">
        <f>((G45*S45/diesel_nmpg)*diesel_co2pg-(battery/range_nm)*G45*S45*VLOOKUP(B45,country_opex,4,FALSE))/1000</f>
        <v/>
      </c>
      <c r="AK45" s="42" t="n">
        <v>25000</v>
      </c>
      <c r="AL45" s="43" t="n"/>
      <c r="AM45" s="43" t="inlineStr">
        <is>
          <t>low</t>
        </is>
      </c>
      <c r="AN45" s="50" t="n">
        <v>0.25</v>
      </c>
      <c r="AO45" s="45">
        <f>IF(AK45="","",AK45*AN45)</f>
        <v/>
      </c>
      <c r="AP45" s="45">
        <f>IF(OR(AK45="",V45=0),"",MIN(IF(AX45="",9.9E+99,AX45),FLOOR(AO45/V45,1)))</f>
        <v/>
      </c>
      <c r="AQ45" s="49">
        <f>IF(AP45="","",AP45*IF(ABS(MOD(ABS((X45)),1)-0.5)&lt;1E-9,2*ROUND((X45)/2,0),ROUND((X45),0)))</f>
        <v/>
      </c>
      <c r="AR45" s="47">
        <f>IF(OR(AK45="",V45=0),"",MIN(IF(AX45="",9.9E+99,AX45),AO45/V45))</f>
        <v/>
      </c>
      <c r="AS45" s="49">
        <f>IF(AR45="","",AR45*IF(B45="South Korea",IF(ABS(MOD(ABS((X45)),1)-0.5)&lt;1E-9,2*ROUND((X45)/2,0),ROUND((X45),0)),X45))</f>
        <v/>
      </c>
      <c r="AT45" s="51" t="n"/>
      <c r="AU45" s="43" t="inlineStr">
        <is>
          <t>Grounded</t>
        </is>
      </c>
      <c r="AV45" s="52" t="n"/>
      <c r="AW45" s="52" t="n"/>
      <c r="AX45" s="53" t="n"/>
      <c r="AY45" s="54">
        <f>IF(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&lt;=0,"",VLOOKUP(B45,country_opex,7,FALSE)/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)</f>
        <v/>
      </c>
      <c r="AZ45" s="54">
        <f>IF(((W45*pax_cap*IF(B45="South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Korea",korea_mid_revleg,revleg_mid)),0))*VLOOKUP(B45,country_opex,3,FALSE))+Z45+AA45+AB45+AC45+AD45))&lt;=0,"",VLOOKUP(B45,country_opex,7,FALSE)/((W45*pax_cap*IF(B45="South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Korea",korea_mid_revleg,revleg_mid)),0))*VLOOKUP(B45,country_opex,3,FALSE))+Z45+AA45+AB45+AC45+AD45)))</f>
        <v/>
      </c>
      <c r="BA45" s="54">
        <f>IF(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&lt;=0,"",VLOOKUP(B45,country_opex,7,FALSE)/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)</f>
        <v/>
      </c>
      <c r="BB45" s="40" t="inlineStr">
        <is>
          <t>Modeled tourism/commuter fare for the Douala-Limbe coastal link.</t>
        </is>
      </c>
      <c r="BC45" s="40" t="n"/>
      <c r="BD45" s="43" t="n"/>
    </row>
    <row r="46">
      <c r="A46" s="38" t="inlineStr">
        <is>
          <t>Yango Colombia</t>
        </is>
      </c>
      <c r="B46" s="38" t="inlineStr">
        <is>
          <t>Colombia</t>
        </is>
      </c>
      <c r="C46" s="39" t="inlineStr">
        <is>
          <t>Cartagena Old City → Bocagrande</t>
        </is>
      </c>
      <c r="D46" s="38" t="inlineStr">
        <is>
          <t>yango</t>
        </is>
      </c>
      <c r="E46" s="40" t="inlineStr">
        <is>
          <t>yango-colombia</t>
        </is>
      </c>
      <c r="F46" s="41" t="n">
        <v>1</v>
      </c>
      <c r="G46" s="42" t="n">
        <v>1.5</v>
      </c>
      <c r="H46" s="35" t="n">
        <v>18</v>
      </c>
      <c r="I46" s="43" t="inlineStr">
        <is>
          <t>T2</t>
        </is>
      </c>
      <c r="J46" s="43" t="inlineStr">
        <is>
          <t>low</t>
        </is>
      </c>
      <c r="K46" s="29" t="n">
        <v>1</v>
      </c>
      <c r="L46" s="44">
        <f>60*G46/cruise_kt</f>
        <v/>
      </c>
      <c r="M46" s="44">
        <f>IF(B46="South Korea",G46/korea_charge_range_nm*korea_full_range_charge_min,0)</f>
        <v/>
      </c>
      <c r="N46" s="44">
        <f>IF(B46="South Korea",L46+korea_turn_min+korea_dwell_min+M46,L46+turn_min+dwell_min)</f>
        <v/>
      </c>
      <c r="O46" s="45">
        <f>IF(B46="South Korea",FLOOR(60*korea_service_hr/N46,1),MIN(24,FLOOR(60*service_hr/N46,1)))</f>
        <v/>
      </c>
      <c r="P46" s="45">
        <f>IF(ABS(MOD(ABS((365*mech_uptime*K46)),1)-0.5)&lt;1E-9,2*ROUND((365*mech_uptime*K46)/2,0),ROUND((365*mech_uptime*K46),0))</f>
        <v/>
      </c>
      <c r="Q46" s="46">
        <f>mech_uptime</f>
        <v/>
      </c>
      <c r="R46" s="46">
        <f>IF(AND(B46="South Korea",scenario="MID"),korea_mid_revleg,revleg_sel)</f>
        <v/>
      </c>
      <c r="S46" s="45">
        <f>IF(ABS(MOD(ABS((O46*P46*R46)),1)-0.5)&lt;1E-9,2*ROUND((O46*P46*R46)/2,0),ROUND((O46*P46*R46),0))</f>
        <v/>
      </c>
      <c r="T46" s="46">
        <f>IF(AND(B46="South Korea",scenario="MID"),korea_mid_load,load_sel)</f>
        <v/>
      </c>
      <c r="U46" s="47">
        <f>pax_cap*T46</f>
        <v/>
      </c>
      <c r="V46" s="45">
        <f>U46*S46</f>
        <v/>
      </c>
      <c r="W46" s="48">
        <f>H46*discount</f>
        <v/>
      </c>
      <c r="X46" s="49">
        <f>W46*V46</f>
        <v/>
      </c>
      <c r="Y46" s="49">
        <f>(battery/range_nm)*G46*S46*VLOOKUP(B46,country_opex,3,FALSE)</f>
        <v/>
      </c>
      <c r="Z46" s="49">
        <f>VLOOKUP(B46,country_opex,2,FALSE)*crew_factor</f>
        <v/>
      </c>
      <c r="AA46" s="49">
        <f>VLOOKUP(B46,country_opex,5,FALSE)</f>
        <v/>
      </c>
      <c r="AB46" s="49">
        <f>maint</f>
        <v/>
      </c>
      <c r="AC46" s="49">
        <f>VLOOKUP(B46,country_opex,7,FALSE)*ins_pct</f>
        <v/>
      </c>
      <c r="AD46" s="49">
        <f>charge_berth</f>
        <v/>
      </c>
      <c r="AE46" s="49">
        <f>Y46+Z46+AA46+AB46+AC46+AD46</f>
        <v/>
      </c>
      <c r="AF46" s="49">
        <f>VLOOKUP(B46,country_opex,7,FALSE)/dep_years</f>
        <v/>
      </c>
      <c r="AG46" s="49">
        <f>X46-AE46</f>
        <v/>
      </c>
      <c r="AH46" s="46">
        <f>IF(X46=0,"",AG46/X46)</f>
        <v/>
      </c>
      <c r="AI46" s="47">
        <f>IF(AG46&lt;=0,"",VLOOKUP(B46,country_opex,7,FALSE)/AG46)</f>
        <v/>
      </c>
      <c r="AJ46" s="44">
        <f>((G46*S46/diesel_nmpg)*diesel_co2pg-(battery/range_nm)*G46*S46*VLOOKUP(B46,country_opex,4,FALSE))/1000</f>
        <v/>
      </c>
      <c r="AK46" s="42" t="n">
        <v>10000</v>
      </c>
      <c r="AL46" s="43" t="n"/>
      <c r="AM46" s="43" t="inlineStr">
        <is>
          <t>low</t>
        </is>
      </c>
      <c r="AN46" s="50" t="n">
        <v>0.25</v>
      </c>
      <c r="AO46" s="45">
        <f>IF(AK46="","",AK46*AN46)</f>
        <v/>
      </c>
      <c r="AP46" s="45">
        <f>IF(OR(AK46="",V46=0),"",MIN(IF(AX46="",9.9E+99,AX46),FLOOR(AO46/V46,1)))</f>
        <v/>
      </c>
      <c r="AQ46" s="49">
        <f>IF(AP46="","",AP46*IF(ABS(MOD(ABS((X46)),1)-0.5)&lt;1E-9,2*ROUND((X46)/2,0),ROUND((X46),0)))</f>
        <v/>
      </c>
      <c r="AR46" s="47">
        <f>IF(OR(AK46="",V46=0),"",MIN(IF(AX46="",9.9E+99,AX46),AO46/V46))</f>
        <v/>
      </c>
      <c r="AS46" s="49">
        <f>IF(AR46="","",AR46*IF(B46="South Korea",IF(ABS(MOD(ABS((X46)),1)-0.5)&lt;1E-9,2*ROUND((X46)/2,0),ROUND((X46),0)),X46))</f>
        <v/>
      </c>
      <c r="AT46" s="51" t="n"/>
      <c r="AU46" s="43" t="inlineStr">
        <is>
          <t>Estimated</t>
        </is>
      </c>
      <c r="AV46" s="52" t="n"/>
      <c r="AW46" s="52" t="n"/>
      <c r="AX46" s="53" t="n"/>
      <c r="AY46" s="54">
        <f>IF(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&lt;=0,"",VLOOKUP(B46,country_opex,7,FALSE)/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)</f>
        <v/>
      </c>
      <c r="AZ46" s="54">
        <f>IF(((W46*pax_cap*IF(B46="South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Korea",korea_mid_revleg,revleg_mid)),0))*VLOOKUP(B46,country_opex,3,FALSE))+Z46+AA46+AB46+AC46+AD46))&lt;=0,"",VLOOKUP(B46,country_opex,7,FALSE)/((W46*pax_cap*IF(B46="South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Korea",korea_mid_revleg,revleg_mid)),0))*VLOOKUP(B46,country_opex,3,FALSE))+Z46+AA46+AB46+AC46+AD46)))</f>
        <v/>
      </c>
      <c r="BA46" s="54">
        <f>IF(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&lt;=0,"",VLOOKUP(B46,country_opex,7,FALSE)/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)</f>
        <v/>
      </c>
      <c r="BB46" s="40" t="inlineStr">
        <is>
          <t>[LB-255 PREMIUM RE-FARE: subsidized comparable $6.0 lifted to premium on-demand floor $18.0] Intra-bay water taxi comparable ~ COP 20-25k ~ $6; commuter floor Cartagena bus ~$0.60.</t>
        </is>
      </c>
      <c r="BC46" s="40" t="n"/>
      <c r="BD46" s="43" t="inlineStr">
        <is>
          <t>rn-20762e2b40f5</t>
        </is>
      </c>
    </row>
    <row r="47">
      <c r="A47" s="38" t="inlineStr">
        <is>
          <t>Yango Colombia</t>
        </is>
      </c>
      <c r="B47" s="38" t="inlineStr">
        <is>
          <t>Colombia</t>
        </is>
      </c>
      <c r="C47" s="39" t="inlineStr">
        <is>
          <t>Cartagena Old City → Tierrabomba</t>
        </is>
      </c>
      <c r="D47" s="38" t="inlineStr">
        <is>
          <t>yango</t>
        </is>
      </c>
      <c r="E47" s="40" t="inlineStr">
        <is>
          <t>yango-colombia</t>
        </is>
      </c>
      <c r="F47" s="41" t="n">
        <v>1</v>
      </c>
      <c r="G47" s="42" t="n">
        <v>2.9</v>
      </c>
      <c r="H47" s="35" t="n">
        <v>8</v>
      </c>
      <c r="I47" s="43" t="inlineStr">
        <is>
          <t>T2</t>
        </is>
      </c>
      <c r="J47" s="43" t="inlineStr">
        <is>
          <t>low</t>
        </is>
      </c>
      <c r="K47" s="29" t="n">
        <v>1</v>
      </c>
      <c r="L47" s="44">
        <f>60*G47/cruise_kt</f>
        <v/>
      </c>
      <c r="M47" s="44">
        <f>IF(B47="South Korea",G47/korea_charge_range_nm*korea_full_range_charge_min,0)</f>
        <v/>
      </c>
      <c r="N47" s="44">
        <f>IF(B47="South Korea",L47+korea_turn_min+korea_dwell_min+M47,L47+turn_min+dwell_min)</f>
        <v/>
      </c>
      <c r="O47" s="45">
        <f>IF(B47="South Korea",FLOOR(60*korea_service_hr/N47,1),MIN(15,FLOOR(60*service_hr/N47,1)))</f>
        <v/>
      </c>
      <c r="P47" s="45">
        <f>IF(ABS(MOD(ABS((365*mech_uptime*K47)),1)-0.5)&lt;1E-9,2*ROUND((365*mech_uptime*K47)/2,0),ROUND((365*mech_uptime*K47),0))</f>
        <v/>
      </c>
      <c r="Q47" s="46">
        <f>mech_uptime</f>
        <v/>
      </c>
      <c r="R47" s="46">
        <f>IF(AND(B47="South Korea",scenario="MID"),korea_mid_revleg,revleg_sel)</f>
        <v/>
      </c>
      <c r="S47" s="45">
        <f>IF(ABS(MOD(ABS((O47*P47*R47)),1)-0.5)&lt;1E-9,2*ROUND((O47*P47*R47)/2,0),ROUND((O47*P47*R47),0))</f>
        <v/>
      </c>
      <c r="T47" s="46">
        <f>IF(AND(B47="South Korea",scenario="MID"),korea_mid_load,load_sel)</f>
        <v/>
      </c>
      <c r="U47" s="47">
        <f>pax_cap*T47</f>
        <v/>
      </c>
      <c r="V47" s="45">
        <f>U47*S47</f>
        <v/>
      </c>
      <c r="W47" s="48">
        <f>H47*discount</f>
        <v/>
      </c>
      <c r="X47" s="49">
        <f>W47*V47</f>
        <v/>
      </c>
      <c r="Y47" s="49">
        <f>(battery/range_nm)*G47*S47*VLOOKUP(B47,country_opex,3,FALSE)</f>
        <v/>
      </c>
      <c r="Z47" s="49">
        <f>VLOOKUP(B47,country_opex,2,FALSE)*crew_factor</f>
        <v/>
      </c>
      <c r="AA47" s="49">
        <f>VLOOKUP(B47,country_opex,5,FALSE)</f>
        <v/>
      </c>
      <c r="AB47" s="49">
        <f>maint</f>
        <v/>
      </c>
      <c r="AC47" s="49">
        <f>VLOOKUP(B47,country_opex,7,FALSE)*ins_pct</f>
        <v/>
      </c>
      <c r="AD47" s="49">
        <f>charge_berth</f>
        <v/>
      </c>
      <c r="AE47" s="49">
        <f>Y47+Z47+AA47+AB47+AC47+AD47</f>
        <v/>
      </c>
      <c r="AF47" s="49">
        <f>VLOOKUP(B47,country_opex,7,FALSE)/dep_years</f>
        <v/>
      </c>
      <c r="AG47" s="49">
        <f>X47-AE47</f>
        <v/>
      </c>
      <c r="AH47" s="46">
        <f>IF(X47=0,"",AG47/X47)</f>
        <v/>
      </c>
      <c r="AI47" s="47">
        <f>IF(AG47&lt;=0,"",VLOOKUP(B47,country_opex,7,FALSE)/AG47)</f>
        <v/>
      </c>
      <c r="AJ47" s="44">
        <f>((G47*S47/diesel_nmpg)*diesel_co2pg-(battery/range_nm)*G47*S47*VLOOKUP(B47,country_opex,4,FALSE))/1000</f>
        <v/>
      </c>
      <c r="AK47" s="42" t="n">
        <v>12000</v>
      </c>
      <c r="AL47" s="43" t="n"/>
      <c r="AM47" s="43" t="inlineStr">
        <is>
          <t>low</t>
        </is>
      </c>
      <c r="AN47" s="50" t="n">
        <v>0.25</v>
      </c>
      <c r="AO47" s="45">
        <f>IF(AK47="","",AK47*AN47)</f>
        <v/>
      </c>
      <c r="AP47" s="45">
        <f>IF(OR(AK47="",V47=0),"",MIN(IF(AX47="",9.9E+99,AX47),FLOOR(AO47/V47,1)))</f>
        <v/>
      </c>
      <c r="AQ47" s="49">
        <f>IF(AP47="","",AP47*IF(ABS(MOD(ABS((X47)),1)-0.5)&lt;1E-9,2*ROUND((X47)/2,0),ROUND((X47),0)))</f>
        <v/>
      </c>
      <c r="AR47" s="47">
        <f>IF(OR(AK47="",V47=0),"",MIN(IF(AX47="",9.9E+99,AX47),AO47/V47))</f>
        <v/>
      </c>
      <c r="AS47" s="49">
        <f>IF(AR47="","",AR47*IF(B47="South Korea",IF(ABS(MOD(ABS((X47)),1)-0.5)&lt;1E-9,2*ROUND((X47)/2,0),ROUND((X47),0)),X47))</f>
        <v/>
      </c>
      <c r="AT47" s="51" t="n"/>
      <c r="AU47" s="43" t="inlineStr">
        <is>
          <t>Estimated</t>
        </is>
      </c>
      <c r="AV47" s="52" t="n"/>
      <c r="AW47" s="52" t="n"/>
      <c r="AX47" s="53" t="n"/>
      <c r="AY47" s="54">
        <f>IF(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&lt;=0,"",VLOOKUP(B47,country_opex,7,FALSE)/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)</f>
        <v/>
      </c>
      <c r="AZ47" s="54">
        <f>IF(((W47*pax_cap*IF(B47="South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Korea",korea_mid_revleg,revleg_mid)),0))*VLOOKUP(B47,country_opex,3,FALSE))+Z47+AA47+AB47+AC47+AD47))&lt;=0,"",VLOOKUP(B47,country_opex,7,FALSE)/((W47*pax_cap*IF(B47="South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Korea",korea_mid_revleg,revleg_mid)),0))*VLOOKUP(B47,country_opex,3,FALSE))+Z47+AA47+AB47+AC47+AD47)))</f>
        <v/>
      </c>
      <c r="BA47" s="54">
        <f>IF(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&lt;=0,"",VLOOKUP(B47,country_opex,7,FALSE)/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)</f>
        <v/>
      </c>
      <c r="BB47" s="40" t="inlineStr">
        <is>
          <t>Comparable Tierrabomba beach shuttle ~ COP 25-35k ~ $8 per-seat.</t>
        </is>
      </c>
      <c r="BC47" s="40" t="n"/>
      <c r="BD47" s="43" t="inlineStr">
        <is>
          <t>rn-84ffd58e7f82</t>
        </is>
      </c>
    </row>
    <row r="48">
      <c r="A48" s="38" t="inlineStr">
        <is>
          <t>Yango Colombia</t>
        </is>
      </c>
      <c r="B48" s="38" t="inlineStr">
        <is>
          <t>Colombia</t>
        </is>
      </c>
      <c r="C48" s="39" t="inlineStr">
        <is>
          <t>Barranquilla → Puerto Colombia</t>
        </is>
      </c>
      <c r="D48" s="38" t="inlineStr">
        <is>
          <t>yango</t>
        </is>
      </c>
      <c r="E48" s="40" t="inlineStr">
        <is>
          <t>yango-colombia</t>
        </is>
      </c>
      <c r="F48" s="41" t="n">
        <v>1</v>
      </c>
      <c r="G48" s="42" t="n">
        <v>11.6</v>
      </c>
      <c r="H48" s="35" t="n">
        <v>18</v>
      </c>
      <c r="I48" s="43" t="inlineStr">
        <is>
          <t>T2</t>
        </is>
      </c>
      <c r="J48" s="43" t="inlineStr">
        <is>
          <t>low</t>
        </is>
      </c>
      <c r="K48" s="29" t="n">
        <v>1</v>
      </c>
      <c r="L48" s="44">
        <f>60*G48/cruise_kt</f>
        <v/>
      </c>
      <c r="M48" s="44">
        <f>IF(B48="South Korea",G48/korea_charge_range_nm*korea_full_range_charge_min,0)</f>
        <v/>
      </c>
      <c r="N48" s="44">
        <f>IF(B48="South Korea",L48+korea_turn_min+korea_dwell_min+M48,L48+turn_min+dwell_min)</f>
        <v/>
      </c>
      <c r="O48" s="45">
        <f>IF(B48="South Korea",FLOOR(60*korea_service_hr/N48,1),MIN(24,FLOOR(60*service_hr/N48,1)))</f>
        <v/>
      </c>
      <c r="P48" s="45">
        <f>IF(ABS(MOD(ABS((365*mech_uptime*K48)),1)-0.5)&lt;1E-9,2*ROUND((365*mech_uptime*K48)/2,0),ROUND((365*mech_uptime*K48),0))</f>
        <v/>
      </c>
      <c r="Q48" s="46">
        <f>mech_uptime</f>
        <v/>
      </c>
      <c r="R48" s="46">
        <f>IF(AND(B48="South Korea",scenario="MID"),korea_mid_revleg,revleg_sel)</f>
        <v/>
      </c>
      <c r="S48" s="45">
        <f>IF(ABS(MOD(ABS((O48*P48*R48)),1)-0.5)&lt;1E-9,2*ROUND((O48*P48*R48)/2,0),ROUND((O48*P48*R48),0))</f>
        <v/>
      </c>
      <c r="T48" s="46">
        <f>IF(AND(B48="South Korea",scenario="MID"),korea_mid_load,load_sel)</f>
        <v/>
      </c>
      <c r="U48" s="47">
        <f>pax_cap*T48</f>
        <v/>
      </c>
      <c r="V48" s="45">
        <f>U48*S48</f>
        <v/>
      </c>
      <c r="W48" s="48">
        <f>H48*discount</f>
        <v/>
      </c>
      <c r="X48" s="49">
        <f>W48*V48</f>
        <v/>
      </c>
      <c r="Y48" s="49">
        <f>(battery/range_nm)*G48*S48*VLOOKUP(B48,country_opex,3,FALSE)</f>
        <v/>
      </c>
      <c r="Z48" s="49">
        <f>VLOOKUP(B48,country_opex,2,FALSE)*crew_factor</f>
        <v/>
      </c>
      <c r="AA48" s="49">
        <f>VLOOKUP(B48,country_opex,5,FALSE)</f>
        <v/>
      </c>
      <c r="AB48" s="49">
        <f>maint</f>
        <v/>
      </c>
      <c r="AC48" s="49">
        <f>VLOOKUP(B48,country_opex,7,FALSE)*ins_pct</f>
        <v/>
      </c>
      <c r="AD48" s="49">
        <f>charge_berth</f>
        <v/>
      </c>
      <c r="AE48" s="49">
        <f>Y48+Z48+AA48+AB48+AC48+AD48</f>
        <v/>
      </c>
      <c r="AF48" s="49">
        <f>VLOOKUP(B48,country_opex,7,FALSE)/dep_years</f>
        <v/>
      </c>
      <c r="AG48" s="49">
        <f>X48-AE48</f>
        <v/>
      </c>
      <c r="AH48" s="46">
        <f>IF(X48=0,"",AG48/X48)</f>
        <v/>
      </c>
      <c r="AI48" s="47">
        <f>IF(AG48&lt;=0,"",VLOOKUP(B48,country_opex,7,FALSE)/AG48)</f>
        <v/>
      </c>
      <c r="AJ48" s="44">
        <f>((G48*S48/diesel_nmpg)*diesel_co2pg-(battery/range_nm)*G48*S48*VLOOKUP(B48,country_opex,4,FALSE))/1000</f>
        <v/>
      </c>
      <c r="AK48" s="42" t="n">
        <v>8000</v>
      </c>
      <c r="AL48" s="43" t="n"/>
      <c r="AM48" s="43" t="inlineStr">
        <is>
          <t>low</t>
        </is>
      </c>
      <c r="AN48" s="50" t="n">
        <v>0.25</v>
      </c>
      <c r="AO48" s="45">
        <f>IF(AK48="","",AK48*AN48)</f>
        <v/>
      </c>
      <c r="AP48" s="45">
        <f>IF(OR(AK48="",V48=0),"",MIN(IF(AX48="",9.9E+99,AX48),FLOOR(AO48/V48,1)))</f>
        <v/>
      </c>
      <c r="AQ48" s="49">
        <f>IF(AP48="","",AP48*IF(ABS(MOD(ABS((X48)),1)-0.5)&lt;1E-9,2*ROUND((X48)/2,0),ROUND((X48),0)))</f>
        <v/>
      </c>
      <c r="AR48" s="47">
        <f>IF(OR(AK48="",V48=0),"",MIN(IF(AX48="",9.9E+99,AX48),AO48/V48))</f>
        <v/>
      </c>
      <c r="AS48" s="49">
        <f>IF(AR48="","",AR48*IF(B48="South Korea",IF(ABS(MOD(ABS((X48)),1)-0.5)&lt;1E-9,2*ROUND((X48)/2,0),ROUND((X48),0)),X48))</f>
        <v/>
      </c>
      <c r="AT48" s="51" t="n"/>
      <c r="AU48" s="43" t="inlineStr">
        <is>
          <t>Estimated</t>
        </is>
      </c>
      <c r="AV48" s="52" t="n"/>
      <c r="AW48" s="52" t="n"/>
      <c r="AX48" s="53" t="n"/>
      <c r="AY48" s="54">
        <f>IF(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&lt;=0,"",VLOOKUP(B48,country_opex,7,FALSE)/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)</f>
        <v/>
      </c>
      <c r="AZ48" s="54">
        <f>IF(((W48*pax_cap*IF(B48="South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Korea",korea_mid_revleg,revleg_mid)),0))*VLOOKUP(B48,country_opex,3,FALSE))+Z48+AA48+AB48+AC48+AD48))&lt;=0,"",VLOOKUP(B48,country_opex,7,FALSE)/((W48*pax_cap*IF(B48="South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Korea",korea_mid_revleg,revleg_mid)),0))*VLOOKUP(B48,country_opex,3,FALSE))+Z48+AA48+AB48+AC48+AD48)))</f>
        <v/>
      </c>
      <c r="BA48" s="54">
        <f>IF(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&lt;=0,"",VLOOKUP(B48,country_opex,7,FALSE)/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)</f>
        <v/>
      </c>
      <c r="BB48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C48" s="40" t="n"/>
      <c r="BD48" s="43" t="inlineStr">
        <is>
          <t>rn-3ebf0c9aece2</t>
        </is>
      </c>
    </row>
    <row r="49">
      <c r="A49" s="38" t="inlineStr">
        <is>
          <t>Yango Colombia</t>
        </is>
      </c>
      <c r="B49" s="38" t="inlineStr">
        <is>
          <t>Colombia</t>
        </is>
      </c>
      <c r="C49" s="39" t="inlineStr">
        <is>
          <t>Cartagena Old City → Baru (Playa Blanca)</t>
        </is>
      </c>
      <c r="D49" s="38" t="inlineStr">
        <is>
          <t>yango</t>
        </is>
      </c>
      <c r="E49" s="40" t="inlineStr">
        <is>
          <t>yango-colombia</t>
        </is>
      </c>
      <c r="F49" s="41" t="n">
        <v>1</v>
      </c>
      <c r="G49" s="42" t="n">
        <v>13.3</v>
      </c>
      <c r="H49" s="35" t="n">
        <v>25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IF(B49="South Korea",G49/korea_charge_range_nm*korea_full_range_charge_min,0)</f>
        <v/>
      </c>
      <c r="N49" s="44">
        <f>IF(B49="South Korea",L49+korea_turn_min+korea_dwell_min+M49,L49+turn_min+dwell_min)</f>
        <v/>
      </c>
      <c r="O49" s="45">
        <f>IF(B49="South Korea",FLOOR(60*korea_service_hr/N49,1),MIN(15,FLOOR(60*service_hr/N49,1)))</f>
        <v/>
      </c>
      <c r="P49" s="45">
        <f>IF(ABS(MOD(ABS((365*mech_uptime*K49)),1)-0.5)&lt;1E-9,2*ROUND((365*mech_uptime*K49)/2,0),ROUND((365*mech_uptime*K49),0))</f>
        <v/>
      </c>
      <c r="Q49" s="46">
        <f>mech_uptime</f>
        <v/>
      </c>
      <c r="R49" s="46">
        <f>IF(AND(B49="South Korea",scenario="MID"),korea_mid_revleg,revleg_sel)</f>
        <v/>
      </c>
      <c r="S49" s="45">
        <f>IF(ABS(MOD(ABS((O49*P49*R49)),1)-0.5)&lt;1E-9,2*ROUND((O49*P49*R49)/2,0),ROUND((O49*P49*R49),0))</f>
        <v/>
      </c>
      <c r="T49" s="46">
        <f>IF(AND(B49="South Korea",scenario="MID"),korea_mid_load,load_sel)</f>
        <v/>
      </c>
      <c r="U49" s="47">
        <f>pax_cap*T49</f>
        <v/>
      </c>
      <c r="V49" s="45">
        <f>U49*S49</f>
        <v/>
      </c>
      <c r="W49" s="48">
        <f>H49*discount</f>
        <v/>
      </c>
      <c r="X49" s="49">
        <f>W49*V49</f>
        <v/>
      </c>
      <c r="Y49" s="49">
        <f>(battery/range_nm)*G49*S49*VLOOKUP(B49,country_opex,3,FALSE)</f>
        <v/>
      </c>
      <c r="Z49" s="49">
        <f>VLOOKUP(B49,country_opex,2,FALSE)*crew_factor</f>
        <v/>
      </c>
      <c r="AA49" s="49">
        <f>VLOOKUP(B49,country_opex,5,FALSE)</f>
        <v/>
      </c>
      <c r="AB49" s="49">
        <f>maint</f>
        <v/>
      </c>
      <c r="AC49" s="49">
        <f>VLOOKUP(B49,country_opex,7,FALSE)*ins_pct</f>
        <v/>
      </c>
      <c r="AD49" s="49">
        <f>charge_berth</f>
        <v/>
      </c>
      <c r="AE49" s="49">
        <f>Y49+Z49+AA49+AB49+AC49+AD49</f>
        <v/>
      </c>
      <c r="AF49" s="49">
        <f>VLOOKUP(B49,country_opex,7,FALSE)/dep_years</f>
        <v/>
      </c>
      <c r="AG49" s="49">
        <f>X49-AE49</f>
        <v/>
      </c>
      <c r="AH49" s="46">
        <f>IF(X49=0,"",AG49/X49)</f>
        <v/>
      </c>
      <c r="AI49" s="47">
        <f>IF(AG49&lt;=0,"",VLOOKUP(B49,country_opex,7,FALSE)/AG49)</f>
        <v/>
      </c>
      <c r="AJ49" s="44">
        <f>((G49*S49/diesel_nmpg)*diesel_co2pg-(battery/range_nm)*G49*S49*VLOOKUP(B49,country_opex,4,FALSE))/1000</f>
        <v/>
      </c>
      <c r="AK49" s="42" t="n">
        <v>30000</v>
      </c>
      <c r="AL49" s="43" t="n"/>
      <c r="AM49" s="43" t="inlineStr">
        <is>
          <t>med</t>
        </is>
      </c>
      <c r="AN49" s="50" t="n">
        <v>0.25</v>
      </c>
      <c r="AO49" s="45">
        <f>IF(AK49="","",AK49*AN49)</f>
        <v/>
      </c>
      <c r="AP49" s="45">
        <f>IF(OR(AK49="",V49=0),"",MIN(IF(AX49="",9.9E+99,AX49),FLOOR(AO49/V49,1)))</f>
        <v/>
      </c>
      <c r="AQ49" s="49">
        <f>IF(AP49="","",AP49*IF(ABS(MOD(ABS((X49)),1)-0.5)&lt;1E-9,2*ROUND((X49)/2,0),ROUND((X49),0)))</f>
        <v/>
      </c>
      <c r="AR49" s="47">
        <f>IF(OR(AK49="",V49=0),"",MIN(IF(AX49="",9.9E+99,AX49),AO49/V49))</f>
        <v/>
      </c>
      <c r="AS49" s="49">
        <f>IF(AR49="","",AR49*IF(B49="South Korea",IF(ABS(MOD(ABS((X49)),1)-0.5)&lt;1E-9,2*ROUND((X49)/2,0),ROUND((X49),0)),X49))</f>
        <v/>
      </c>
      <c r="AT49" s="51" t="n"/>
      <c r="AU49" s="43" t="inlineStr">
        <is>
          <t>Estimated</t>
        </is>
      </c>
      <c r="AV49" s="52" t="n"/>
      <c r="AW49" s="52" t="n"/>
      <c r="AX49" s="53" t="n"/>
      <c r="AY49" s="54">
        <f>IF(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&lt;=0,"",VLOOKUP(B49,country_opex,7,FALSE)/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)</f>
        <v/>
      </c>
      <c r="AZ49" s="54">
        <f>IF(((W49*pax_cap*IF(B49="South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Korea",korea_mid_revleg,revleg_mid)),0))*VLOOKUP(B49,country_opex,3,FALSE))+Z49+AA49+AB49+AC49+AD49))&lt;=0,"",VLOOKUP(B49,country_opex,7,FALSE)/((W49*pax_cap*IF(B49="South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Korea",korea_mid_revleg,revleg_mid)),0))*VLOOKUP(B49,country_opex,3,FALSE))+Z49+AA49+AB49+AC49+AD49)))</f>
        <v/>
      </c>
      <c r="BA49" s="54">
        <f>IF(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&lt;=0,"",VLOOKUP(B49,country_opex,7,FALSE)/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)</f>
        <v/>
      </c>
      <c r="BB49" s="40" t="inlineStr">
        <is>
          <t>PREMIUM tier: Cartagena -&gt; Baru/Playa Blanca boat day-trip ~ COP 90-120k ~ $25 comparable per-seat (2026 operators, Muelle de la Bodeguita).</t>
        </is>
      </c>
      <c r="BC49" s="40" t="n"/>
      <c r="BD49" s="43" t="inlineStr">
        <is>
          <t>rn-59374c41f8ab</t>
        </is>
      </c>
    </row>
    <row r="50">
      <c r="A50" s="38" t="inlineStr">
        <is>
          <t>Yango Colombia</t>
        </is>
      </c>
      <c r="B50" s="38" t="inlineStr">
        <is>
          <t>Colombia</t>
        </is>
      </c>
      <c r="C50" s="39" t="inlineStr">
        <is>
          <t>Cartagena Old City → Islas del Rosario (A)</t>
        </is>
      </c>
      <c r="D50" s="38" t="inlineStr">
        <is>
          <t>yango</t>
        </is>
      </c>
      <c r="E50" s="40" t="inlineStr">
        <is>
          <t>yango-colombia</t>
        </is>
      </c>
      <c r="F50" s="41" t="n">
        <v>1</v>
      </c>
      <c r="G50" s="42" t="n">
        <v>19.6</v>
      </c>
      <c r="H50" s="35" t="n">
        <v>22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IF(B50="South Korea",G50/korea_charge_range_nm*korea_full_range_charge_min,0)</f>
        <v/>
      </c>
      <c r="N50" s="44">
        <f>IF(B50="South Korea",L50+korea_turn_min+korea_dwell_min+M50,L50+turn_min+dwell_min)</f>
        <v/>
      </c>
      <c r="O50" s="45">
        <f>IF(B50="South Korea",FLOOR(60*korea_service_hr/N50,1),MIN(15,FLOOR(60*service_hr/N50,1)))</f>
        <v/>
      </c>
      <c r="P50" s="45">
        <f>IF(ABS(MOD(ABS((365*mech_uptime*K50)),1)-0.5)&lt;1E-9,2*ROUND((365*mech_uptime*K50)/2,0),ROUND((365*mech_uptime*K50),0))</f>
        <v/>
      </c>
      <c r="Q50" s="46">
        <f>mech_uptime</f>
        <v/>
      </c>
      <c r="R50" s="46">
        <f>IF(AND(B50="South Korea",scenario="MID"),korea_mid_revleg,revleg_sel)</f>
        <v/>
      </c>
      <c r="S50" s="45">
        <f>IF(ABS(MOD(ABS((O50*P50*R50)),1)-0.5)&lt;1E-9,2*ROUND((O50*P50*R50)/2,0),ROUND((O50*P50*R50),0))</f>
        <v/>
      </c>
      <c r="T50" s="46">
        <f>IF(AND(B50="South Korea",scenario="MID"),korea_mid_load,load_sel)</f>
        <v/>
      </c>
      <c r="U50" s="47">
        <f>pax_cap*T50</f>
        <v/>
      </c>
      <c r="V50" s="45">
        <f>U50*S50</f>
        <v/>
      </c>
      <c r="W50" s="48">
        <f>H50*discount</f>
        <v/>
      </c>
      <c r="X50" s="49">
        <f>W50*V50</f>
        <v/>
      </c>
      <c r="Y50" s="49">
        <f>(battery/range_nm)*G50*S50*VLOOKUP(B50,country_opex,3,FALSE)</f>
        <v/>
      </c>
      <c r="Z50" s="49">
        <f>VLOOKUP(B50,country_opex,2,FALSE)*crew_factor</f>
        <v/>
      </c>
      <c r="AA50" s="49">
        <f>VLOOKUP(B50,country_opex,5,FALSE)</f>
        <v/>
      </c>
      <c r="AB50" s="49">
        <f>maint</f>
        <v/>
      </c>
      <c r="AC50" s="49">
        <f>VLOOKUP(B50,country_opex,7,FALSE)*ins_pct</f>
        <v/>
      </c>
      <c r="AD50" s="49">
        <f>charge_berth</f>
        <v/>
      </c>
      <c r="AE50" s="49">
        <f>Y50+Z50+AA50+AB50+AC50+AD50</f>
        <v/>
      </c>
      <c r="AF50" s="49">
        <f>VLOOKUP(B50,country_opex,7,FALSE)/dep_years</f>
        <v/>
      </c>
      <c r="AG50" s="49">
        <f>X50-AE50</f>
        <v/>
      </c>
      <c r="AH50" s="46">
        <f>IF(X50=0,"",AG50/X50)</f>
        <v/>
      </c>
      <c r="AI50" s="47">
        <f>IF(AG50&lt;=0,"",VLOOKUP(B50,country_opex,7,FALSE)/AG50)</f>
        <v/>
      </c>
      <c r="AJ50" s="44">
        <f>((G50*S50/diesel_nmpg)*diesel_co2pg-(battery/range_nm)*G50*S50*VLOOKUP(B50,country_opex,4,FALSE))/1000</f>
        <v/>
      </c>
      <c r="AK50" s="42" t="n">
        <v>25000</v>
      </c>
      <c r="AL50" s="43" t="n"/>
      <c r="AM50" s="43" t="inlineStr">
        <is>
          <t>med</t>
        </is>
      </c>
      <c r="AN50" s="50" t="n">
        <v>0.25</v>
      </c>
      <c r="AO50" s="45">
        <f>IF(AK50="","",AK50*AN50)</f>
        <v/>
      </c>
      <c r="AP50" s="45">
        <f>IF(OR(AK50="",V50=0),"",MIN(IF(AX50="",9.9E+99,AX50),FLOOR(AO50/V50,1)))</f>
        <v/>
      </c>
      <c r="AQ50" s="49">
        <f>IF(AP50="","",AP50*IF(ABS(MOD(ABS((X50)),1)-0.5)&lt;1E-9,2*ROUND((X50)/2,0),ROUND((X50),0)))</f>
        <v/>
      </c>
      <c r="AR50" s="47">
        <f>IF(OR(AK50="",V50=0),"",MIN(IF(AX50="",9.9E+99,AX50),AO50/V50))</f>
        <v/>
      </c>
      <c r="AS50" s="49">
        <f>IF(AR50="","",AR50*IF(B50="South Korea",IF(ABS(MOD(ABS((X50)),1)-0.5)&lt;1E-9,2*ROUND((X50)/2,0),ROUND((X50),0)),X50))</f>
        <v/>
      </c>
      <c r="AT50" s="51" t="n"/>
      <c r="AU50" s="43" t="inlineStr">
        <is>
          <t>Estimated</t>
        </is>
      </c>
      <c r="AV50" s="52" t="n"/>
      <c r="AW50" s="52" t="n"/>
      <c r="AX50" s="53" t="n"/>
      <c r="AY50" s="54">
        <f>IF(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&lt;=0,"",VLOOKUP(B50,country_opex,7,FALSE)/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)</f>
        <v/>
      </c>
      <c r="AZ50" s="54">
        <f>IF(((W50*pax_cap*IF(B50="South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Korea",korea_mid_revleg,revleg_mid)),0))*VLOOKUP(B50,country_opex,3,FALSE))+Z50+AA50+AB50+AC50+AD50))&lt;=0,"",VLOOKUP(B50,country_opex,7,FALSE)/((W50*pax_cap*IF(B50="South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Korea",korea_mid_revleg,revleg_mid)),0))*VLOOKUP(B50,country_opex,3,FALSE))+Z50+AA50+AB50+AC50+AD50)))</f>
        <v/>
      </c>
      <c r="BA50" s="54">
        <f>IF(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&lt;=0,"",VLOOKUP(B50,country_opex,7,FALSE)/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)</f>
        <v/>
      </c>
      <c r="BB50" s="40" t="inlineStr">
        <is>
          <t>PREMIUM tier: Cartagena -&gt; Islas del Rosario transport COP 90,000 (~$22) each way (GetYourGuide 2026); tours $25-90.</t>
        </is>
      </c>
      <c r="BC50" s="40" t="n"/>
      <c r="BD50" s="43" t="inlineStr">
        <is>
          <t>rn-74aa778f6655</t>
        </is>
      </c>
    </row>
    <row r="51">
      <c r="A51" s="38" t="inlineStr">
        <is>
          <t>Yango Colombia</t>
        </is>
      </c>
      <c r="B51" s="38" t="inlineStr">
        <is>
          <t>Colombia</t>
        </is>
      </c>
      <c r="C51" s="39" t="inlineStr">
        <is>
          <t>Cartagena Old City → Islas del Rosario (B)</t>
        </is>
      </c>
      <c r="D51" s="38" t="inlineStr">
        <is>
          <t>yango</t>
        </is>
      </c>
      <c r="E51" s="40" t="inlineStr">
        <is>
          <t>yango-colombia</t>
        </is>
      </c>
      <c r="F51" s="41" t="n">
        <v>1</v>
      </c>
      <c r="G51" s="42" t="n">
        <v>19.6</v>
      </c>
      <c r="H51" s="35" t="n">
        <v>22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IF(B51="South Korea",G51/korea_charge_range_nm*korea_full_range_charge_min,0)</f>
        <v/>
      </c>
      <c r="N51" s="44">
        <f>IF(B51="South Korea",L51+korea_turn_min+korea_dwell_min+M51,L51+turn_min+dwell_min)</f>
        <v/>
      </c>
      <c r="O51" s="45">
        <f>IF(B51="South Korea",FLOOR(60*korea_service_hr/N51,1),MIN(15,FLOOR(60*service_hr/N51,1)))</f>
        <v/>
      </c>
      <c r="P51" s="45">
        <f>IF(ABS(MOD(ABS((365*mech_uptime*K51)),1)-0.5)&lt;1E-9,2*ROUND((365*mech_uptime*K51)/2,0),ROUND((365*mech_uptime*K51),0))</f>
        <v/>
      </c>
      <c r="Q51" s="46">
        <f>mech_uptime</f>
        <v/>
      </c>
      <c r="R51" s="46">
        <f>IF(AND(B51="South Korea",scenario="MID"),korea_mid_revleg,revleg_sel)</f>
        <v/>
      </c>
      <c r="S51" s="45">
        <f>IF(ABS(MOD(ABS((O51*P51*R51)),1)-0.5)&lt;1E-9,2*ROUND((O51*P51*R51)/2,0),ROUND((O51*P51*R51),0))</f>
        <v/>
      </c>
      <c r="T51" s="46">
        <f>IF(AND(B51="South Korea",scenario="MID"),korea_mid_load,load_sel)</f>
        <v/>
      </c>
      <c r="U51" s="47">
        <f>pax_cap*T51</f>
        <v/>
      </c>
      <c r="V51" s="45">
        <f>U51*S51</f>
        <v/>
      </c>
      <c r="W51" s="48">
        <f>H51*discount</f>
        <v/>
      </c>
      <c r="X51" s="49">
        <f>W51*V51</f>
        <v/>
      </c>
      <c r="Y51" s="49">
        <f>(battery/range_nm)*G51*S51*VLOOKUP(B51,country_opex,3,FALSE)</f>
        <v/>
      </c>
      <c r="Z51" s="49">
        <f>VLOOKUP(B51,country_opex,2,FALSE)*crew_factor</f>
        <v/>
      </c>
      <c r="AA51" s="49">
        <f>VLOOKUP(B51,country_opex,5,FALSE)</f>
        <v/>
      </c>
      <c r="AB51" s="49">
        <f>maint</f>
        <v/>
      </c>
      <c r="AC51" s="49">
        <f>VLOOKUP(B51,country_opex,7,FALSE)*ins_pct</f>
        <v/>
      </c>
      <c r="AD51" s="49">
        <f>charge_berth</f>
        <v/>
      </c>
      <c r="AE51" s="49">
        <f>Y51+Z51+AA51+AB51+AC51+AD51</f>
        <v/>
      </c>
      <c r="AF51" s="49">
        <f>VLOOKUP(B51,country_opex,7,FALSE)/dep_years</f>
        <v/>
      </c>
      <c r="AG51" s="49">
        <f>X51-AE51</f>
        <v/>
      </c>
      <c r="AH51" s="46">
        <f>IF(X51=0,"",AG51/X51)</f>
        <v/>
      </c>
      <c r="AI51" s="47">
        <f>IF(AG51&lt;=0,"",VLOOKUP(B51,country_opex,7,FALSE)/AG51)</f>
        <v/>
      </c>
      <c r="AJ51" s="44">
        <f>((G51*S51/diesel_nmpg)*diesel_co2pg-(battery/range_nm)*G51*S51*VLOOKUP(B51,country_opex,4,FALSE))/1000</f>
        <v/>
      </c>
      <c r="AK51" s="42" t="n">
        <v>25000</v>
      </c>
      <c r="AL51" s="43" t="n"/>
      <c r="AM51" s="43" t="inlineStr">
        <is>
          <t>med</t>
        </is>
      </c>
      <c r="AN51" s="50" t="n">
        <v>0.25</v>
      </c>
      <c r="AO51" s="45">
        <f>IF(AK51="","",AK51*AN51)</f>
        <v/>
      </c>
      <c r="AP51" s="45">
        <f>IF(OR(AK51="",V51=0),"",MIN(IF(AX51="",9.9E+99,AX51),FLOOR(AO51/V51,1)))</f>
        <v/>
      </c>
      <c r="AQ51" s="49">
        <f>IF(AP51="","",AP51*IF(ABS(MOD(ABS((X51)),1)-0.5)&lt;1E-9,2*ROUND((X51)/2,0),ROUND((X51),0)))</f>
        <v/>
      </c>
      <c r="AR51" s="47">
        <f>IF(OR(AK51="",V51=0),"",MIN(IF(AX51="",9.9E+99,AX51),AO51/V51))</f>
        <v/>
      </c>
      <c r="AS51" s="49">
        <f>IF(AR51="","",AR51*IF(B51="South Korea",IF(ABS(MOD(ABS((X51)),1)-0.5)&lt;1E-9,2*ROUND((X51)/2,0),ROUND((X51),0)),X51))</f>
        <v/>
      </c>
      <c r="AT51" s="51" t="n"/>
      <c r="AU51" s="43" t="inlineStr">
        <is>
          <t>Estimated</t>
        </is>
      </c>
      <c r="AV51" s="52" t="n"/>
      <c r="AW51" s="52" t="n"/>
      <c r="AX51" s="53" t="n"/>
      <c r="AY51" s="54">
        <f>IF(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&lt;=0,"",VLOOKUP(B51,country_opex,7,FALSE)/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)</f>
        <v/>
      </c>
      <c r="AZ51" s="54">
        <f>IF(((W51*pax_cap*IF(B51="South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Korea",korea_mid_revleg,revleg_mid)),0))*VLOOKUP(B51,country_opex,3,FALSE))+Z51+AA51+AB51+AC51+AD51))&lt;=0,"",VLOOKUP(B51,country_opex,7,FALSE)/((W51*pax_cap*IF(B51="South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Korea",korea_mid_revleg,revleg_mid)),0))*VLOOKUP(B51,country_opex,3,FALSE))+Z51+AA51+AB51+AC51+AD51)))</f>
        <v/>
      </c>
      <c r="BA51" s="54">
        <f>IF(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&lt;=0,"",VLOOKUP(B51,country_opex,7,FALSE)/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)</f>
        <v/>
      </c>
      <c r="BB51" s="40" t="inlineStr">
        <is>
          <t>PREMIUM tier: Cartagena -&gt; Islas del Rosario transport COP 90,000 (~$22) each way (GetYourGuide 2026).</t>
        </is>
      </c>
      <c r="BC51" s="40" t="n"/>
      <c r="BD51" s="43" t="n"/>
    </row>
    <row r="52">
      <c r="A52" s="38" t="inlineStr">
        <is>
          <t>Yango Congo Brazzaville</t>
        </is>
      </c>
      <c r="B52" s="38" t="inlineStr">
        <is>
          <t>Congo (Brazzaville)</t>
        </is>
      </c>
      <c r="C52" s="39" t="inlineStr">
        <is>
          <t>Pointe-Noire Bay → Côte Sauvage</t>
        </is>
      </c>
      <c r="D52" s="38" t="inlineStr">
        <is>
          <t>yango</t>
        </is>
      </c>
      <c r="E52" s="40" t="inlineStr">
        <is>
          <t>yango-congo-brazzaville</t>
        </is>
      </c>
      <c r="F52" s="41" t="n">
        <v>1</v>
      </c>
      <c r="G52" s="42" t="n">
        <v>3</v>
      </c>
      <c r="H52" s="35" t="n">
        <v>18</v>
      </c>
      <c r="I52" s="43" t="inlineStr">
        <is>
          <t>T4</t>
        </is>
      </c>
      <c r="J52" s="43" t="inlineStr">
        <is>
          <t>low</t>
        </is>
      </c>
      <c r="K52" s="29" t="n">
        <v>1</v>
      </c>
      <c r="L52" s="44">
        <f>60*G52/cruise_kt</f>
        <v/>
      </c>
      <c r="M52" s="44">
        <f>IF(B52="South Korea",G52/korea_charge_range_nm*korea_full_range_charge_min,0)</f>
        <v/>
      </c>
      <c r="N52" s="44">
        <f>IF(B52="South Korea",L52+korea_turn_min+korea_dwell_min+M52,L52+turn_min+dwell_min)</f>
        <v/>
      </c>
      <c r="O52" s="45">
        <f>IF(B52="South Korea",FLOOR(60*korea_service_hr/N52,1),MIN(15,FLOOR(60*service_hr/N52,1)))</f>
        <v/>
      </c>
      <c r="P52" s="45">
        <f>IF(ABS(MOD(ABS((365*mech_uptime*K52)),1)-0.5)&lt;1E-9,2*ROUND((365*mech_uptime*K52)/2,0),ROUND((365*mech_uptime*K52),0))</f>
        <v/>
      </c>
      <c r="Q52" s="46">
        <f>mech_uptime</f>
        <v/>
      </c>
      <c r="R52" s="46">
        <f>IF(AND(B52="South Korea",scenario="MID"),korea_mid_revleg,revleg_sel)</f>
        <v/>
      </c>
      <c r="S52" s="45">
        <f>IF(ABS(MOD(ABS((O52*P52*R52)),1)-0.5)&lt;1E-9,2*ROUND((O52*P52*R52)/2,0),ROUND((O52*P52*R52),0))</f>
        <v/>
      </c>
      <c r="T52" s="46">
        <f>IF(AND(B52="South Korea",scenario="MID"),korea_mid_load,load_sel)</f>
        <v/>
      </c>
      <c r="U52" s="47">
        <f>pax_cap*T52</f>
        <v/>
      </c>
      <c r="V52" s="45">
        <f>U52*S52</f>
        <v/>
      </c>
      <c r="W52" s="48">
        <f>H52*discount</f>
        <v/>
      </c>
      <c r="X52" s="49">
        <f>W52*V52</f>
        <v/>
      </c>
      <c r="Y52" s="49">
        <f>(battery/range_nm)*G52*S52*VLOOKUP(B52,country_opex,3,FALSE)</f>
        <v/>
      </c>
      <c r="Z52" s="49">
        <f>VLOOKUP(B52,country_opex,2,FALSE)*crew_factor</f>
        <v/>
      </c>
      <c r="AA52" s="49">
        <f>VLOOKUP(B52,country_opex,5,FALSE)</f>
        <v/>
      </c>
      <c r="AB52" s="49">
        <f>maint</f>
        <v/>
      </c>
      <c r="AC52" s="49">
        <f>VLOOKUP(B52,country_opex,7,FALSE)*ins_pct</f>
        <v/>
      </c>
      <c r="AD52" s="49">
        <f>charge_berth</f>
        <v/>
      </c>
      <c r="AE52" s="49">
        <f>Y52+Z52+AA52+AB52+AC52+AD52</f>
        <v/>
      </c>
      <c r="AF52" s="49">
        <f>VLOOKUP(B52,country_opex,7,FALSE)/dep_years</f>
        <v/>
      </c>
      <c r="AG52" s="49">
        <f>X52-AE52</f>
        <v/>
      </c>
      <c r="AH52" s="46">
        <f>IF(X52=0,"",AG52/X52)</f>
        <v/>
      </c>
      <c r="AI52" s="47">
        <f>IF(AG52&lt;=0,"",VLOOKUP(B52,country_opex,7,FALSE)/AG52)</f>
        <v/>
      </c>
      <c r="AJ52" s="44">
        <f>((G52*S52/diesel_nmpg)*diesel_co2pg-(battery/range_nm)*G52*S52*VLOOKUP(B52,country_opex,4,FALSE))/1000</f>
        <v/>
      </c>
      <c r="AK52" s="42" t="n">
        <v>22000</v>
      </c>
      <c r="AL52" s="43" t="n"/>
      <c r="AM52" s="43" t="inlineStr">
        <is>
          <t>low</t>
        </is>
      </c>
      <c r="AN52" s="50" t="n">
        <v>0.25</v>
      </c>
      <c r="AO52" s="45">
        <f>IF(AK52="","",AK52*AN52)</f>
        <v/>
      </c>
      <c r="AP52" s="45">
        <f>IF(OR(AK52="",V52=0),"",MIN(IF(AX52="",9.9E+99,AX52),FLOOR(AO52/V52,1)))</f>
        <v/>
      </c>
      <c r="AQ52" s="49">
        <f>IF(AP52="","",AP52*IF(ABS(MOD(ABS((X52)),1)-0.5)&lt;1E-9,2*ROUND((X52)/2,0),ROUND((X52),0)))</f>
        <v/>
      </c>
      <c r="AR52" s="47">
        <f>IF(OR(AK52="",V52=0),"",MIN(IF(AX52="",9.9E+99,AX52),AO52/V52))</f>
        <v/>
      </c>
      <c r="AS52" s="49">
        <f>IF(AR52="","",AR52*IF(B52="South Korea",IF(ABS(MOD(ABS((X52)),1)-0.5)&lt;1E-9,2*ROUND((X52)/2,0),ROUND((X52),0)),X52))</f>
        <v/>
      </c>
      <c r="AT52" s="51" t="n"/>
      <c r="AU52" s="43" t="inlineStr">
        <is>
          <t>Estimated</t>
        </is>
      </c>
      <c r="AV52" s="52" t="n"/>
      <c r="AW52" s="52" t="n"/>
      <c r="AX52" s="53" t="n"/>
      <c r="AY52" s="54">
        <f>IF(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&lt;=0,"",VLOOKUP(B52,country_opex,7,FALSE)/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)</f>
        <v/>
      </c>
      <c r="AZ52" s="54">
        <f>IF(((W52*pax_cap*IF(B52="South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Korea",korea_mid_revleg,revleg_mid)),0))*VLOOKUP(B52,country_opex,3,FALSE))+Z52+AA52+AB52+AC52+AD52))&lt;=0,"",VLOOKUP(B52,country_opex,7,FALSE)/((W52*pax_cap*IF(B52="South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Korea",korea_mid_revleg,revleg_mid)),0))*VLOOKUP(B52,country_opex,3,FALSE))+Z52+AA52+AB52+AC52+AD52)))</f>
        <v/>
      </c>
      <c r="BA52" s="54">
        <f>IF(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&lt;=0,"",VLOOKUP(B52,country_opex,7,FALSE)/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)</f>
        <v/>
      </c>
      <c r="BB52" s="40" t="inlineStr">
        <is>
          <t>[LB-255 PREMIUM RE-FARE: subsidized comparable $6.0 lifted to premium on-demand floor $18.0] Modeled leisure fare for a short bay beach hop.</t>
        </is>
      </c>
      <c r="BC52" s="40" t="n"/>
      <c r="BD52" s="43" t="n"/>
    </row>
    <row r="53">
      <c r="A53" s="38" t="inlineStr">
        <is>
          <t>Yango Congo Brazzaville</t>
        </is>
      </c>
      <c r="B53" s="38" t="inlineStr">
        <is>
          <t>Congo (Brazzaville)</t>
        </is>
      </c>
      <c r="C53" s="39" t="inlineStr">
        <is>
          <t>Pointe-Noire Bay → Pointe-Indienne</t>
        </is>
      </c>
      <c r="D53" s="38" t="inlineStr">
        <is>
          <t>yango</t>
        </is>
      </c>
      <c r="E53" s="40" t="inlineStr">
        <is>
          <t>yango-congo-brazzaville</t>
        </is>
      </c>
      <c r="F53" s="41" t="n">
        <v>1</v>
      </c>
      <c r="G53" s="42" t="n">
        <v>11</v>
      </c>
      <c r="H53" s="35" t="n">
        <v>10</v>
      </c>
      <c r="I53" s="43" t="inlineStr">
        <is>
          <t>T4</t>
        </is>
      </c>
      <c r="J53" s="43" t="inlineStr">
        <is>
          <t>low</t>
        </is>
      </c>
      <c r="K53" s="29" t="n">
        <v>1</v>
      </c>
      <c r="L53" s="44">
        <f>60*G53/cruise_kt</f>
        <v/>
      </c>
      <c r="M53" s="44">
        <f>IF(B53="South Korea",G53/korea_charge_range_nm*korea_full_range_charge_min,0)</f>
        <v/>
      </c>
      <c r="N53" s="44">
        <f>IF(B53="South Korea",L53+korea_turn_min+korea_dwell_min+M53,L53+turn_min+dwell_min)</f>
        <v/>
      </c>
      <c r="O53" s="45">
        <f>IF(B53="South Korea",FLOOR(60*korea_service_hr/N53,1),MIN(15,FLOOR(60*service_hr/N53,1)))</f>
        <v/>
      </c>
      <c r="P53" s="45">
        <f>IF(ABS(MOD(ABS((365*mech_uptime*K53)),1)-0.5)&lt;1E-9,2*ROUND((365*mech_uptime*K53)/2,0),ROUND((365*mech_uptime*K53),0))</f>
        <v/>
      </c>
      <c r="Q53" s="46">
        <f>mech_uptime</f>
        <v/>
      </c>
      <c r="R53" s="46">
        <f>IF(AND(B53="South Korea",scenario="MID"),korea_mid_revleg,revleg_sel)</f>
        <v/>
      </c>
      <c r="S53" s="45">
        <f>IF(ABS(MOD(ABS((O53*P53*R53)),1)-0.5)&lt;1E-9,2*ROUND((O53*P53*R53)/2,0),ROUND((O53*P53*R53),0))</f>
        <v/>
      </c>
      <c r="T53" s="46">
        <f>IF(AND(B53="South Korea",scenario="MID"),korea_mid_load,load_sel)</f>
        <v/>
      </c>
      <c r="U53" s="47">
        <f>pax_cap*T53</f>
        <v/>
      </c>
      <c r="V53" s="45">
        <f>U53*S53</f>
        <v/>
      </c>
      <c r="W53" s="48">
        <f>H53*discount</f>
        <v/>
      </c>
      <c r="X53" s="49">
        <f>W53*V53</f>
        <v/>
      </c>
      <c r="Y53" s="49">
        <f>(battery/range_nm)*G53*S53*VLOOKUP(B53,country_opex,3,FALSE)</f>
        <v/>
      </c>
      <c r="Z53" s="49">
        <f>VLOOKUP(B53,country_opex,2,FALSE)*crew_factor</f>
        <v/>
      </c>
      <c r="AA53" s="49">
        <f>VLOOKUP(B53,country_opex,5,FALSE)</f>
        <v/>
      </c>
      <c r="AB53" s="49">
        <f>maint</f>
        <v/>
      </c>
      <c r="AC53" s="49">
        <f>VLOOKUP(B53,country_opex,7,FALSE)*ins_pct</f>
        <v/>
      </c>
      <c r="AD53" s="49">
        <f>charge_berth</f>
        <v/>
      </c>
      <c r="AE53" s="49">
        <f>Y53+Z53+AA53+AB53+AC53+AD53</f>
        <v/>
      </c>
      <c r="AF53" s="49">
        <f>VLOOKUP(B53,country_opex,7,FALSE)/dep_years</f>
        <v/>
      </c>
      <c r="AG53" s="49">
        <f>X53-AE53</f>
        <v/>
      </c>
      <c r="AH53" s="46">
        <f>IF(X53=0,"",AG53/X53)</f>
        <v/>
      </c>
      <c r="AI53" s="47">
        <f>IF(AG53&lt;=0,"",VLOOKUP(B53,country_opex,7,FALSE)/AG53)</f>
        <v/>
      </c>
      <c r="AJ53" s="44">
        <f>((G53*S53/diesel_nmpg)*diesel_co2pg-(battery/range_nm)*G53*S53*VLOOKUP(B53,country_opex,4,FALSE))/1000</f>
        <v/>
      </c>
      <c r="AK53" s="42" t="n">
        <v>12000</v>
      </c>
      <c r="AL53" s="43" t="n"/>
      <c r="AM53" s="43" t="inlineStr">
        <is>
          <t>low</t>
        </is>
      </c>
      <c r="AN53" s="50" t="n">
        <v>0.25</v>
      </c>
      <c r="AO53" s="45">
        <f>IF(AK53="","",AK53*AN53)</f>
        <v/>
      </c>
      <c r="AP53" s="45">
        <f>IF(OR(AK53="",V53=0),"",MIN(IF(AX53="",9.9E+99,AX53),FLOOR(AO53/V53,1)))</f>
        <v/>
      </c>
      <c r="AQ53" s="49">
        <f>IF(AP53="","",AP53*IF(ABS(MOD(ABS((X53)),1)-0.5)&lt;1E-9,2*ROUND((X53)/2,0),ROUND((X53),0)))</f>
        <v/>
      </c>
      <c r="AR53" s="47">
        <f>IF(OR(AK53="",V53=0),"",MIN(IF(AX53="",9.9E+99,AX53),AO53/V53))</f>
        <v/>
      </c>
      <c r="AS53" s="49">
        <f>IF(AR53="","",AR53*IF(B53="South Korea",IF(ABS(MOD(ABS((X53)),1)-0.5)&lt;1E-9,2*ROUND((X53)/2,0),ROUND((X53),0)),X53))</f>
        <v/>
      </c>
      <c r="AT53" s="51" t="n"/>
      <c r="AU53" s="43" t="inlineStr">
        <is>
          <t>Estimated</t>
        </is>
      </c>
      <c r="AV53" s="52" t="n"/>
      <c r="AW53" s="52" t="n"/>
      <c r="AX53" s="53" t="n"/>
      <c r="AY53" s="54">
        <f>IF(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&lt;=0,"",VLOOKUP(B53,country_opex,7,FALSE)/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)</f>
        <v/>
      </c>
      <c r="AZ53" s="54">
        <f>IF(((W53*pax_cap*IF(B53="South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Korea",korea_mid_revleg,revleg_mid)),0))*VLOOKUP(B53,country_opex,3,FALSE))+Z53+AA53+AB53+AC53+AD53))&lt;=0,"",VLOOKUP(B53,country_opex,7,FALSE)/((W53*pax_cap*IF(B53="South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Korea",korea_mid_revleg,revleg_mid)),0))*VLOOKUP(B53,country_opex,3,FALSE))+Z53+AA53+AB53+AC53+AD53)))</f>
        <v/>
      </c>
      <c r="BA53" s="54">
        <f>IF(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&lt;=0,"",VLOOKUP(B53,country_opex,7,FALSE)/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)</f>
        <v/>
      </c>
      <c r="BB53" s="40" t="inlineStr">
        <is>
          <t>Modeled leisure fare for a coastal cape link.</t>
        </is>
      </c>
      <c r="BC53" s="40" t="n"/>
      <c r="BD53" s="43" t="n"/>
    </row>
    <row r="54">
      <c r="A54" s="38" t="inlineStr">
        <is>
          <t>Costa Rica</t>
        </is>
      </c>
      <c r="B54" s="38" t="inlineStr">
        <is>
          <t>Costa Rica</t>
        </is>
      </c>
      <c r="C54" s="39" t="inlineStr">
        <is>
          <t>Playa Naranjo Ferry Terminal → Puntarenas Ferry Terminal (Gulf of Nicoya car/passenger ferries)</t>
        </is>
      </c>
      <c r="D54" s="38" t="inlineStr">
        <is>
          <t>didi</t>
        </is>
      </c>
      <c r="E54" s="40" t="inlineStr">
        <is>
          <t>costa-rica</t>
        </is>
      </c>
      <c r="F54" s="41" t="n">
        <v>1</v>
      </c>
      <c r="G54" s="42" t="n">
        <v>7.5</v>
      </c>
      <c r="H54" s="35" t="n">
        <v>18</v>
      </c>
      <c r="I54" s="43" t="inlineStr">
        <is>
          <t>T1/T2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IF(B54="South Korea",G54/korea_charge_range_nm*korea_full_range_charge_min,0)</f>
        <v/>
      </c>
      <c r="N54" s="44">
        <f>IF(B54="South Korea",L54+korea_turn_min+korea_dwell_min+M54,L54+turn_min+dwell_min)</f>
        <v/>
      </c>
      <c r="O54" s="45">
        <f>IF(B54="South Korea",FLOOR(60*korea_service_hr/N54,1),MIN(15,FLOOR(60*service_hr/N54,1)))</f>
        <v/>
      </c>
      <c r="P54" s="45">
        <f>IF(ABS(MOD(ABS((365*mech_uptime*K54)),1)-0.5)&lt;1E-9,2*ROUND((365*mech_uptime*K54)/2,0),ROUND((365*mech_uptime*K54),0))</f>
        <v/>
      </c>
      <c r="Q54" s="46">
        <f>mech_uptime</f>
        <v/>
      </c>
      <c r="R54" s="46">
        <f>IF(AND(B54="South Korea",scenario="MID"),korea_mid_revleg,revleg_sel)</f>
        <v/>
      </c>
      <c r="S54" s="45">
        <f>IF(ABS(MOD(ABS((O54*P54*R54)),1)-0.5)&lt;1E-9,2*ROUND((O54*P54*R54)/2,0),ROUND((O54*P54*R54),0))</f>
        <v/>
      </c>
      <c r="T54" s="46">
        <f>IF(AND(B54="South Korea",scenario="MID"),korea_mid_load,load_sel)</f>
        <v/>
      </c>
      <c r="U54" s="47">
        <f>pax_cap*T54</f>
        <v/>
      </c>
      <c r="V54" s="45">
        <f>U54*S54</f>
        <v/>
      </c>
      <c r="W54" s="48">
        <f>H54*discount</f>
        <v/>
      </c>
      <c r="X54" s="49">
        <f>W54*V54</f>
        <v/>
      </c>
      <c r="Y54" s="49">
        <f>(battery/range_nm)*G54*S54*VLOOKUP(B54,country_opex,3,FALSE)</f>
        <v/>
      </c>
      <c r="Z54" s="49">
        <f>VLOOKUP(B54,country_opex,2,FALSE)*crew_factor</f>
        <v/>
      </c>
      <c r="AA54" s="49">
        <f>VLOOKUP(B54,country_opex,5,FALSE)</f>
        <v/>
      </c>
      <c r="AB54" s="49">
        <f>maint</f>
        <v/>
      </c>
      <c r="AC54" s="49">
        <f>VLOOKUP(B54,country_opex,7,FALSE)*ins_pct</f>
        <v/>
      </c>
      <c r="AD54" s="49">
        <f>charge_berth</f>
        <v/>
      </c>
      <c r="AE54" s="49">
        <f>Y54+Z54+AA54+AB54+AC54+AD54</f>
        <v/>
      </c>
      <c r="AF54" s="49">
        <f>VLOOKUP(B54,country_opex,7,FALSE)/dep_years</f>
        <v/>
      </c>
      <c r="AG54" s="49">
        <f>X54-AE54</f>
        <v/>
      </c>
      <c r="AH54" s="46">
        <f>IF(X54=0,"",AG54/X54)</f>
        <v/>
      </c>
      <c r="AI54" s="47">
        <f>IF(AG54&lt;=0,"",VLOOKUP(B54,country_opex,7,FALSE)/AG54)</f>
        <v/>
      </c>
      <c r="AJ54" s="44">
        <f>((G54*S54/diesel_nmpg)*diesel_co2pg-(battery/range_nm)*G54*S54*VLOOKUP(B54,country_opex,4,FALSE))/1000</f>
        <v/>
      </c>
      <c r="AK54" s="42" t="n">
        <v>317859</v>
      </c>
      <c r="AL54" s="43" t="inlineStr">
        <is>
          <t>T1</t>
        </is>
      </c>
      <c r="AM54" s="43" t="inlineStr">
        <is>
          <t>high</t>
        </is>
      </c>
      <c r="AN54" s="50" t="n">
        <v>0.1</v>
      </c>
      <c r="AO54" s="45">
        <f>IF(AK54="","",AK54*AN54)</f>
        <v/>
      </c>
      <c r="AP54" s="45">
        <f>IF(OR(AK54="",V54=0),"",MIN(IF(AX54="",9.9E+99,AX54),FLOOR(AO54/V54,1)))</f>
        <v/>
      </c>
      <c r="AQ54" s="49">
        <f>IF(AP54="","",AP54*IF(ABS(MOD(ABS((X54)),1)-0.5)&lt;1E-9,2*ROUND((X54)/2,0),ROUND((X54),0)))</f>
        <v/>
      </c>
      <c r="AR54" s="47">
        <f>IF(OR(AK54="",V54=0),"",MIN(IF(AX54="",9.9E+99,AX54),AO54/V54))</f>
        <v/>
      </c>
      <c r="AS54" s="49">
        <f>IF(AR54="","",AR54*IF(B54="South Korea",IF(ABS(MOD(ABS((X54)),1)-0.5)&lt;1E-9,2*ROUND((X54)/2,0),ROUND((X54),0)),X54))</f>
        <v/>
      </c>
      <c r="AT54" s="51" t="n"/>
      <c r="AU54" s="43" t="inlineStr">
        <is>
          <t>Grounded</t>
        </is>
      </c>
      <c r="AV54" s="52" t="n"/>
      <c r="AW54" s="52" t="n"/>
      <c r="AX54" s="53" t="n"/>
      <c r="AY54" s="54">
        <f>IF(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&lt;=0,"",VLOOKUP(B54,country_opex,7,FALSE)/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)</f>
        <v/>
      </c>
      <c r="AZ54" s="54">
        <f>IF(((W54*pax_cap*IF(B54="South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Korea",korea_mid_revleg,revleg_mid)),0))*VLOOKUP(B54,country_opex,3,FALSE))+Z54+AA54+AB54+AC54+AD54))&lt;=0,"",VLOOKUP(B54,country_opex,7,FALSE)/((W54*pax_cap*IF(B54="South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Korea",korea_mid_revleg,revleg_mid)),0))*VLOOKUP(B54,country_opex,3,FALSE))+Z54+AA54+AB54+AC54+AD54)))</f>
        <v/>
      </c>
      <c r="BA54" s="54">
        <f>IF(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&lt;=0,"",VLOOKUP(B54,country_opex,7,FALSE)/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)</f>
        <v/>
      </c>
      <c r="BB54" s="40" t="inlineStr">
        <is>
          <t xml:space="preserve">[LB-255 PREMIUM RE-FARE: subsidized comparable $2.2038 lifted to premium on-demand floor $18.0] </t>
        </is>
      </c>
      <c r="BC54" s="40" t="inlineStr">
        <is>
          <t>MOPT 2024 statistical yearbook Cuadro 6.2</t>
        </is>
      </c>
      <c r="BD54" s="43" t="inlineStr">
        <is>
          <t>rn-eb4ca32edbef</t>
        </is>
      </c>
    </row>
    <row r="55">
      <c r="A55" s="38" t="inlineStr">
        <is>
          <t>Costa Rica</t>
        </is>
      </c>
      <c r="B55" s="38" t="inlineStr">
        <is>
          <t>Costa Rica</t>
        </is>
      </c>
      <c r="C55" s="39" t="inlineStr">
        <is>
          <t>Paquera Ferry Terminal → Puntarenas Ferry Terminal (Gulf of Nicoya car/passenger ferries)</t>
        </is>
      </c>
      <c r="D55" s="38" t="inlineStr">
        <is>
          <t>didi</t>
        </is>
      </c>
      <c r="E55" s="40" t="inlineStr">
        <is>
          <t>costa-rica</t>
        </is>
      </c>
      <c r="F55" s="41" t="n">
        <v>1</v>
      </c>
      <c r="G55" s="42" t="n">
        <v>9.300000000000001</v>
      </c>
      <c r="H55" s="35" t="n">
        <v>18</v>
      </c>
      <c r="I55" s="43" t="inlineStr">
        <is>
          <t>T1/T2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IF(B55="South Korea",G55/korea_charge_range_nm*korea_full_range_charge_min,0)</f>
        <v/>
      </c>
      <c r="N55" s="44">
        <f>IF(B55="South Korea",L55+korea_turn_min+korea_dwell_min+M55,L55+turn_min+dwell_min)</f>
        <v/>
      </c>
      <c r="O55" s="45">
        <f>IF(B55="South Korea",FLOOR(60*korea_service_hr/N55,1),MIN(15,FLOOR(60*service_hr/N55,1)))</f>
        <v/>
      </c>
      <c r="P55" s="45">
        <f>IF(ABS(MOD(ABS((365*mech_uptime*K55)),1)-0.5)&lt;1E-9,2*ROUND((365*mech_uptime*K55)/2,0),ROUND((365*mech_uptime*K55),0))</f>
        <v/>
      </c>
      <c r="Q55" s="46">
        <f>mech_uptime</f>
        <v/>
      </c>
      <c r="R55" s="46">
        <f>IF(AND(B55="South Korea",scenario="MID"),korea_mid_revleg,revleg_sel)</f>
        <v/>
      </c>
      <c r="S55" s="45">
        <f>IF(ABS(MOD(ABS((O55*P55*R55)),1)-0.5)&lt;1E-9,2*ROUND((O55*P55*R55)/2,0),ROUND((O55*P55*R55),0))</f>
        <v/>
      </c>
      <c r="T55" s="46">
        <f>IF(AND(B55="South Korea",scenario="MID"),korea_mid_load,load_sel)</f>
        <v/>
      </c>
      <c r="U55" s="47">
        <f>pax_cap*T55</f>
        <v/>
      </c>
      <c r="V55" s="45">
        <f>U55*S55</f>
        <v/>
      </c>
      <c r="W55" s="48">
        <f>H55*discount</f>
        <v/>
      </c>
      <c r="X55" s="49">
        <f>W55*V55</f>
        <v/>
      </c>
      <c r="Y55" s="49">
        <f>(battery/range_nm)*G55*S55*VLOOKUP(B55,country_opex,3,FALSE)</f>
        <v/>
      </c>
      <c r="Z55" s="49">
        <f>VLOOKUP(B55,country_opex,2,FALSE)*crew_factor</f>
        <v/>
      </c>
      <c r="AA55" s="49">
        <f>VLOOKUP(B55,country_opex,5,FALSE)</f>
        <v/>
      </c>
      <c r="AB55" s="49">
        <f>maint</f>
        <v/>
      </c>
      <c r="AC55" s="49">
        <f>VLOOKUP(B55,country_opex,7,FALSE)*ins_pct</f>
        <v/>
      </c>
      <c r="AD55" s="49">
        <f>charge_berth</f>
        <v/>
      </c>
      <c r="AE55" s="49">
        <f>Y55+Z55+AA55+AB55+AC55+AD55</f>
        <v/>
      </c>
      <c r="AF55" s="49">
        <f>VLOOKUP(B55,country_opex,7,FALSE)/dep_years</f>
        <v/>
      </c>
      <c r="AG55" s="49">
        <f>X55-AE55</f>
        <v/>
      </c>
      <c r="AH55" s="46">
        <f>IF(X55=0,"",AG55/X55)</f>
        <v/>
      </c>
      <c r="AI55" s="47">
        <f>IF(AG55&lt;=0,"",VLOOKUP(B55,country_opex,7,FALSE)/AG55)</f>
        <v/>
      </c>
      <c r="AJ55" s="44">
        <f>((G55*S55/diesel_nmpg)*diesel_co2pg-(battery/range_nm)*G55*S55*VLOOKUP(B55,country_opex,4,FALSE))/1000</f>
        <v/>
      </c>
      <c r="AK55" s="42" t="n">
        <v>642133</v>
      </c>
      <c r="AL55" s="43" t="inlineStr">
        <is>
          <t>T1</t>
        </is>
      </c>
      <c r="AM55" s="43" t="inlineStr">
        <is>
          <t>high</t>
        </is>
      </c>
      <c r="AN55" s="50" t="n">
        <v>0.1</v>
      </c>
      <c r="AO55" s="45">
        <f>IF(AK55="","",AK55*AN55)</f>
        <v/>
      </c>
      <c r="AP55" s="45">
        <f>IF(OR(AK55="",V55=0),"",MIN(IF(AX55="",9.9E+99,AX55),FLOOR(AO55/V55,1)))</f>
        <v/>
      </c>
      <c r="AQ55" s="49">
        <f>IF(AP55="","",AP55*IF(ABS(MOD(ABS((X55)),1)-0.5)&lt;1E-9,2*ROUND((X55)/2,0),ROUND((X55),0)))</f>
        <v/>
      </c>
      <c r="AR55" s="47">
        <f>IF(OR(AK55="",V55=0),"",MIN(IF(AX55="",9.9E+99,AX55),AO55/V55))</f>
        <v/>
      </c>
      <c r="AS55" s="49">
        <f>IF(AR55="","",AR55*IF(B55="South Korea",IF(ABS(MOD(ABS((X55)),1)-0.5)&lt;1E-9,2*ROUND((X55)/2,0),ROUND((X55),0)),X55))</f>
        <v/>
      </c>
      <c r="AT55" s="51" t="n"/>
      <c r="AU55" s="43" t="inlineStr">
        <is>
          <t>Grounded</t>
        </is>
      </c>
      <c r="AV55" s="52" t="n"/>
      <c r="AW55" s="52" t="n"/>
      <c r="AX55" s="53" t="n"/>
      <c r="AY55" s="54">
        <f>IF(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&lt;=0,"",VLOOKUP(B55,country_opex,7,FALSE)/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)</f>
        <v/>
      </c>
      <c r="AZ55" s="54">
        <f>IF(((W55*pax_cap*IF(B55="South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Korea",korea_mid_revleg,revleg_mid)),0))*VLOOKUP(B55,country_opex,3,FALSE))+Z55+AA55+AB55+AC55+AD55))&lt;=0,"",VLOOKUP(B55,country_opex,7,FALSE)/((W55*pax_cap*IF(B55="South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Korea",korea_mid_revleg,revleg_mid)),0))*VLOOKUP(B55,country_opex,3,FALSE))+Z55+AA55+AB55+AC55+AD55)))</f>
        <v/>
      </c>
      <c r="BA55" s="54">
        <f>IF(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&lt;=0,"",VLOOKUP(B55,country_opex,7,FALSE)/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)</f>
        <v/>
      </c>
      <c r="BB55" s="40" t="inlineStr">
        <is>
          <t xml:space="preserve">[LB-255 PREMIUM RE-FARE: subsidized comparable $1.785 lifted to premium on-demand floor $18.0] </t>
        </is>
      </c>
      <c r="BC55" s="40" t="inlineStr">
        <is>
          <t>MOPT 2024 statistical yearbook Cuadro 6.2</t>
        </is>
      </c>
      <c r="BD55" s="43" t="inlineStr">
        <is>
          <t>rn-7e59f984abec</t>
        </is>
      </c>
    </row>
    <row r="56">
      <c r="A56" s="38" t="inlineStr">
        <is>
          <t>Bolt Croatia</t>
        </is>
      </c>
      <c r="B56" s="38" t="inlineStr">
        <is>
          <t>Croatia</t>
        </is>
      </c>
      <c r="C56" s="39" t="inlineStr">
        <is>
          <t>Split → Trogir (via Čiovo)</t>
        </is>
      </c>
      <c r="D56" s="38" t="inlineStr">
        <is>
          <t>bolt</t>
        </is>
      </c>
      <c r="E56" s="40" t="inlineStr">
        <is>
          <t>bolt-croatia</t>
        </is>
      </c>
      <c r="F56" s="41" t="n">
        <v>1</v>
      </c>
      <c r="G56" s="42" t="n">
        <v>8</v>
      </c>
      <c r="H56" s="35" t="n">
        <v>10.8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IF(B56="South Korea",G56/korea_charge_range_nm*korea_full_range_charge_min,0)</f>
        <v/>
      </c>
      <c r="N56" s="44">
        <f>IF(B56="South Korea",L56+korea_turn_min+korea_dwell_min+M56,L56+turn_min+dwell_min)</f>
        <v/>
      </c>
      <c r="O56" s="45">
        <f>IF(B56="South Korea",FLOOR(60*korea_service_hr/N56,1),MIN(24,FLOOR(60*service_hr/N56,1)))</f>
        <v/>
      </c>
      <c r="P56" s="45">
        <f>IF(ABS(MOD(ABS((365*mech_uptime*K56)),1)-0.5)&lt;1E-9,2*ROUND((365*mech_uptime*K56)/2,0),ROUND((365*mech_uptime*K56),0))</f>
        <v/>
      </c>
      <c r="Q56" s="46">
        <f>mech_uptime</f>
        <v/>
      </c>
      <c r="R56" s="46">
        <f>IF(AND(B56="South Korea",scenario="MID"),korea_mid_revleg,revleg_sel)</f>
        <v/>
      </c>
      <c r="S56" s="45">
        <f>IF(ABS(MOD(ABS((O56*P56*R56)),1)-0.5)&lt;1E-9,2*ROUND((O56*P56*R56)/2,0),ROUND((O56*P56*R56),0))</f>
        <v/>
      </c>
      <c r="T56" s="46">
        <f>IF(AND(B56="South Korea",scenario="MID"),korea_mid_load,load_sel)</f>
        <v/>
      </c>
      <c r="U56" s="47">
        <f>pax_cap*T56</f>
        <v/>
      </c>
      <c r="V56" s="45">
        <f>U56*S56</f>
        <v/>
      </c>
      <c r="W56" s="48">
        <f>H56*discount</f>
        <v/>
      </c>
      <c r="X56" s="49">
        <f>W56*V56</f>
        <v/>
      </c>
      <c r="Y56" s="49">
        <f>(battery/range_nm)*G56*S56*VLOOKUP(B56,country_opex,3,FALSE)</f>
        <v/>
      </c>
      <c r="Z56" s="49">
        <f>VLOOKUP(B56,country_opex,2,FALSE)*crew_factor</f>
        <v/>
      </c>
      <c r="AA56" s="49">
        <f>VLOOKUP(B56,country_opex,5,FALSE)</f>
        <v/>
      </c>
      <c r="AB56" s="49">
        <f>maint</f>
        <v/>
      </c>
      <c r="AC56" s="49">
        <f>VLOOKUP(B56,country_opex,7,FALSE)*ins_pct</f>
        <v/>
      </c>
      <c r="AD56" s="49">
        <f>charge_berth</f>
        <v/>
      </c>
      <c r="AE56" s="49">
        <f>Y56+Z56+AA56+AB56+AC56+AD56</f>
        <v/>
      </c>
      <c r="AF56" s="49">
        <f>VLOOKUP(B56,country_opex,7,FALSE)/dep_years</f>
        <v/>
      </c>
      <c r="AG56" s="49">
        <f>X56-AE56</f>
        <v/>
      </c>
      <c r="AH56" s="46">
        <f>IF(X56=0,"",AG56/X56)</f>
        <v/>
      </c>
      <c r="AI56" s="47">
        <f>IF(AG56&lt;=0,"",VLOOKUP(B56,country_opex,7,FALSE)/AG56)</f>
        <v/>
      </c>
      <c r="AJ56" s="44">
        <f>((G56*S56/diesel_nmpg)*diesel_co2pg-(battery/range_nm)*G56*S56*VLOOKUP(B56,country_opex,4,FALSE))/1000</f>
        <v/>
      </c>
      <c r="AK56" s="42" t="n"/>
      <c r="AL56" s="43" t="n"/>
      <c r="AM56" s="43" t="n"/>
      <c r="AN56" s="50" t="n">
        <v>0.1</v>
      </c>
      <c r="AO56" s="45">
        <f>IF(AK56="","",AK56*AN56)</f>
        <v/>
      </c>
      <c r="AP56" s="45">
        <f>IF(OR(AK56="",V56=0),"",MIN(IF(AX56="",9.9E+99,AX56),FLOOR(AO56/V56,1)))</f>
        <v/>
      </c>
      <c r="AQ56" s="49">
        <f>IF(AP56="","",AP56*IF(ABS(MOD(ABS((X56)),1)-0.5)&lt;1E-9,2*ROUND((X56)/2,0),ROUND((X56),0)))</f>
        <v/>
      </c>
      <c r="AR56" s="47">
        <f>IF(OR(AK56="",V56=0),"",MIN(IF(AX56="",9.9E+99,AX56),AO56/V56))</f>
        <v/>
      </c>
      <c r="AS56" s="49">
        <f>IF(AR56="","",AR56*IF(B56="South Korea",IF(ABS(MOD(ABS((X56)),1)-0.5)&lt;1E-9,2*ROUND((X56)/2,0),ROUND((X56),0)),X56))</f>
        <v/>
      </c>
      <c r="AT56" s="51" t="n"/>
      <c r="AU56" s="43" t="inlineStr">
        <is>
          <t>Estimated</t>
        </is>
      </c>
      <c r="AV56" s="52" t="n"/>
      <c r="AW56" s="52" t="n"/>
      <c r="AX56" s="53" t="n"/>
      <c r="AY56" s="54">
        <f>IF(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&lt;=0,"",VLOOKUP(B56,country_opex,7,FALSE)/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)</f>
        <v/>
      </c>
      <c r="AZ56" s="54">
        <f>IF(((W56*pax_cap*IF(B56="South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Korea",korea_mid_revleg,revleg_mid)),0))*VLOOKUP(B56,country_opex,3,FALSE))+Z56+AA56+AB56+AC56+AD56))&lt;=0,"",VLOOKUP(B56,country_opex,7,FALSE)/((W56*pax_cap*IF(B56="South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Korea",korea_mid_revleg,revleg_mid)),0))*VLOOKUP(B56,country_opex,3,FALSE))+Z56+AA56+AB56+AC56+AD56)))</f>
        <v/>
      </c>
      <c r="BA56" s="54">
        <f>IF(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&lt;=0,"",VLOOKUP(B56,country_opex,7,FALSE)/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)</f>
        <v/>
      </c>
      <c r="BB56" s="40" t="inlineStr">
        <is>
          <t>PREMIUM/scheduled per-seat: Bura Line Split-&gt;Trogir EUR 10 adult (60 min). EUR 10 x 1.08 = $10.8.</t>
        </is>
      </c>
      <c r="BC56" s="40" t="n"/>
      <c r="BD56" s="43" t="n"/>
    </row>
    <row r="57">
      <c r="A57" s="38" t="inlineStr">
        <is>
          <t>Bolt Croatia</t>
        </is>
      </c>
      <c r="B57" s="38" t="inlineStr">
        <is>
          <t>Croatia</t>
        </is>
      </c>
      <c r="C57" s="39" t="inlineStr">
        <is>
          <t>Dubrovnik → Elaphiti Islands (Lopud / Šipan / Koločep)</t>
        </is>
      </c>
      <c r="D57" s="38" t="inlineStr">
        <is>
          <t>bolt</t>
        </is>
      </c>
      <c r="E57" s="40" t="inlineStr">
        <is>
          <t>bolt-croatia</t>
        </is>
      </c>
      <c r="F57" s="41" t="n">
        <v>1</v>
      </c>
      <c r="G57" s="42" t="n">
        <v>8</v>
      </c>
      <c r="H57" s="35" t="n">
        <v>45.4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IF(B57="South Korea",G57/korea_charge_range_nm*korea_full_range_charge_min,0)</f>
        <v/>
      </c>
      <c r="N57" s="44">
        <f>IF(B57="South Korea",L57+korea_turn_min+korea_dwell_min+M57,L57+turn_min+dwell_min)</f>
        <v/>
      </c>
      <c r="O57" s="45">
        <f>IF(B57="South Korea",FLOOR(60*korea_service_hr/N57,1),MIN(15,FLOOR(60*service_hr/N57,1)))</f>
        <v/>
      </c>
      <c r="P57" s="45">
        <f>IF(ABS(MOD(ABS((365*mech_uptime*K57)),1)-0.5)&lt;1E-9,2*ROUND((365*mech_uptime*K57)/2,0),ROUND((365*mech_uptime*K57),0))</f>
        <v/>
      </c>
      <c r="Q57" s="46">
        <f>mech_uptime</f>
        <v/>
      </c>
      <c r="R57" s="46">
        <f>IF(AND(B57="South Korea",scenario="MID"),korea_mid_revleg,revleg_sel)</f>
        <v/>
      </c>
      <c r="S57" s="45">
        <f>IF(ABS(MOD(ABS((O57*P57*R57)),1)-0.5)&lt;1E-9,2*ROUND((O57*P57*R57)/2,0),ROUND((O57*P57*R57),0))</f>
        <v/>
      </c>
      <c r="T57" s="46">
        <f>IF(AND(B57="South Korea",scenario="MID"),korea_mid_load,load_sel)</f>
        <v/>
      </c>
      <c r="U57" s="47">
        <f>pax_cap*T57</f>
        <v/>
      </c>
      <c r="V57" s="45">
        <f>U57*S57</f>
        <v/>
      </c>
      <c r="W57" s="48">
        <f>H57*discount</f>
        <v/>
      </c>
      <c r="X57" s="49">
        <f>W57*V57</f>
        <v/>
      </c>
      <c r="Y57" s="49">
        <f>(battery/range_nm)*G57*S57*VLOOKUP(B57,country_opex,3,FALSE)</f>
        <v/>
      </c>
      <c r="Z57" s="49">
        <f>VLOOKUP(B57,country_opex,2,FALSE)*crew_factor</f>
        <v/>
      </c>
      <c r="AA57" s="49">
        <f>VLOOKUP(B57,country_opex,5,FALSE)</f>
        <v/>
      </c>
      <c r="AB57" s="49">
        <f>maint</f>
        <v/>
      </c>
      <c r="AC57" s="49">
        <f>VLOOKUP(B57,country_opex,7,FALSE)*ins_pct</f>
        <v/>
      </c>
      <c r="AD57" s="49">
        <f>charge_berth</f>
        <v/>
      </c>
      <c r="AE57" s="49">
        <f>Y57+Z57+AA57+AB57+AC57+AD57</f>
        <v/>
      </c>
      <c r="AF57" s="49">
        <f>VLOOKUP(B57,country_opex,7,FALSE)/dep_years</f>
        <v/>
      </c>
      <c r="AG57" s="49">
        <f>X57-AE57</f>
        <v/>
      </c>
      <c r="AH57" s="46">
        <f>IF(X57=0,"",AG57/X57)</f>
        <v/>
      </c>
      <c r="AI57" s="47">
        <f>IF(AG57&lt;=0,"",VLOOKUP(B57,country_opex,7,FALSE)/AG57)</f>
        <v/>
      </c>
      <c r="AJ57" s="44">
        <f>((G57*S57/diesel_nmpg)*diesel_co2pg-(battery/range_nm)*G57*S57*VLOOKUP(B57,country_opex,4,FALSE))/1000</f>
        <v/>
      </c>
      <c r="AK57" s="42" t="n"/>
      <c r="AL57" s="43" t="n"/>
      <c r="AM57" s="43" t="n"/>
      <c r="AN57" s="50" t="n">
        <v>0.1</v>
      </c>
      <c r="AO57" s="45">
        <f>IF(AK57="","",AK57*AN57)</f>
        <v/>
      </c>
      <c r="AP57" s="45">
        <f>IF(OR(AK57="",V57=0),"",MIN(IF(AX57="",9.9E+99,AX57),FLOOR(AO57/V57,1)))</f>
        <v/>
      </c>
      <c r="AQ57" s="49">
        <f>IF(AP57="","",AP57*IF(ABS(MOD(ABS((X57)),1)-0.5)&lt;1E-9,2*ROUND((X57)/2,0),ROUND((X57),0)))</f>
        <v/>
      </c>
      <c r="AR57" s="47">
        <f>IF(OR(AK57="",V57=0),"",MIN(IF(AX57="",9.9E+99,AX57),AO57/V57))</f>
        <v/>
      </c>
      <c r="AS57" s="49">
        <f>IF(AR57="","",AR57*IF(B57="South Korea",IF(ABS(MOD(ABS((X57)),1)-0.5)&lt;1E-9,2*ROUND((X57)/2,0),ROUND((X57),0)),X57))</f>
        <v/>
      </c>
      <c r="AT57" s="51" t="n"/>
      <c r="AU57" s="43" t="inlineStr">
        <is>
          <t>Estimated</t>
        </is>
      </c>
      <c r="AV57" s="52" t="n"/>
      <c r="AW57" s="52" t="n"/>
      <c r="AX57" s="53" t="n"/>
      <c r="AY57" s="54">
        <f>IF(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&lt;=0,"",VLOOKUP(B57,country_opex,7,FALSE)/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)</f>
        <v/>
      </c>
      <c r="AZ57" s="54">
        <f>IF(((W57*pax_cap*IF(B57="South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Korea",korea_mid_revleg,revleg_mid)),0))*VLOOKUP(B57,country_opex,3,FALSE))+Z57+AA57+AB57+AC57+AD57))&lt;=0,"",VLOOKUP(B57,country_opex,7,FALSE)/((W57*pax_cap*IF(B57="South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Korea",korea_mid_revleg,revleg_mid)),0))*VLOOKUP(B57,country_opex,3,FALSE))+Z57+AA57+AB57+AC57+AD57)))</f>
        <v/>
      </c>
      <c r="BA57" s="54">
        <f>IF(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&lt;=0,"",VLOOKUP(B57,country_opex,7,FALSE)/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)</f>
        <v/>
      </c>
      <c r="BB57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C57" s="40" t="n"/>
      <c r="BD57" s="43" t="n"/>
    </row>
    <row r="58">
      <c r="A58" s="38" t="inlineStr">
        <is>
          <t>Bolt Croatia</t>
        </is>
      </c>
      <c r="B58" s="38" t="inlineStr">
        <is>
          <t>Croatia</t>
        </is>
      </c>
      <c r="C58" s="39" t="inlineStr">
        <is>
          <t>Split → Šolta (Rogač)</t>
        </is>
      </c>
      <c r="D58" s="38" t="inlineStr">
        <is>
          <t>bolt</t>
        </is>
      </c>
      <c r="E58" s="40" t="inlineStr">
        <is>
          <t>bolt-croatia</t>
        </is>
      </c>
      <c r="F58" s="41" t="n">
        <v>1</v>
      </c>
      <c r="G58" s="42" t="n">
        <v>9</v>
      </c>
      <c r="H58" s="35" t="n">
        <v>7.6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IF(B58="South Korea",G58/korea_charge_range_nm*korea_full_range_charge_min,0)</f>
        <v/>
      </c>
      <c r="N58" s="44">
        <f>IF(B58="South Korea",L58+korea_turn_min+korea_dwell_min+M58,L58+turn_min+dwell_min)</f>
        <v/>
      </c>
      <c r="O58" s="45">
        <f>IF(B58="South Korea",FLOOR(60*korea_service_hr/N58,1),MIN(15,FLOOR(60*service_hr/N58,1)))</f>
        <v/>
      </c>
      <c r="P58" s="45">
        <f>IF(ABS(MOD(ABS((365*mech_uptime*K58)),1)-0.5)&lt;1E-9,2*ROUND((365*mech_uptime*K58)/2,0),ROUND((365*mech_uptime*K58),0))</f>
        <v/>
      </c>
      <c r="Q58" s="46">
        <f>mech_uptime</f>
        <v/>
      </c>
      <c r="R58" s="46">
        <f>IF(AND(B58="South Korea",scenario="MID"),korea_mid_revleg,revleg_sel)</f>
        <v/>
      </c>
      <c r="S58" s="45">
        <f>IF(ABS(MOD(ABS((O58*P58*R58)),1)-0.5)&lt;1E-9,2*ROUND((O58*P58*R58)/2,0),ROUND((O58*P58*R58),0))</f>
        <v/>
      </c>
      <c r="T58" s="46">
        <f>IF(AND(B58="South Korea",scenario="MID"),korea_mid_load,load_sel)</f>
        <v/>
      </c>
      <c r="U58" s="47">
        <f>pax_cap*T58</f>
        <v/>
      </c>
      <c r="V58" s="45">
        <f>U58*S58</f>
        <v/>
      </c>
      <c r="W58" s="48">
        <f>H58*discount</f>
        <v/>
      </c>
      <c r="X58" s="49">
        <f>W58*V58</f>
        <v/>
      </c>
      <c r="Y58" s="49">
        <f>(battery/range_nm)*G58*S58*VLOOKUP(B58,country_opex,3,FALSE)</f>
        <v/>
      </c>
      <c r="Z58" s="49">
        <f>VLOOKUP(B58,country_opex,2,FALSE)*crew_factor</f>
        <v/>
      </c>
      <c r="AA58" s="49">
        <f>VLOOKUP(B58,country_opex,5,FALSE)</f>
        <v/>
      </c>
      <c r="AB58" s="49">
        <f>maint</f>
        <v/>
      </c>
      <c r="AC58" s="49">
        <f>VLOOKUP(B58,country_opex,7,FALSE)*ins_pct</f>
        <v/>
      </c>
      <c r="AD58" s="49">
        <f>charge_berth</f>
        <v/>
      </c>
      <c r="AE58" s="49">
        <f>Y58+Z58+AA58+AB58+AC58+AD58</f>
        <v/>
      </c>
      <c r="AF58" s="49">
        <f>VLOOKUP(B58,country_opex,7,FALSE)/dep_years</f>
        <v/>
      </c>
      <c r="AG58" s="49">
        <f>X58-AE58</f>
        <v/>
      </c>
      <c r="AH58" s="46">
        <f>IF(X58=0,"",AG58/X58)</f>
        <v/>
      </c>
      <c r="AI58" s="47">
        <f>IF(AG58&lt;=0,"",VLOOKUP(B58,country_opex,7,FALSE)/AG58)</f>
        <v/>
      </c>
      <c r="AJ58" s="44">
        <f>((G58*S58/diesel_nmpg)*diesel_co2pg-(battery/range_nm)*G58*S58*VLOOKUP(B58,country_opex,4,FALSE))/1000</f>
        <v/>
      </c>
      <c r="AK58" s="42" t="n"/>
      <c r="AL58" s="43" t="n"/>
      <c r="AM58" s="43" t="n"/>
      <c r="AN58" s="50" t="n">
        <v>0.1</v>
      </c>
      <c r="AO58" s="45">
        <f>IF(AK58="","",AK58*AN58)</f>
        <v/>
      </c>
      <c r="AP58" s="45">
        <f>IF(OR(AK58="",V58=0),"",MIN(IF(AX58="",9.9E+99,AX58),FLOOR(AO58/V58,1)))</f>
        <v/>
      </c>
      <c r="AQ58" s="49">
        <f>IF(AP58="","",AP58*IF(ABS(MOD(ABS((X58)),1)-0.5)&lt;1E-9,2*ROUND((X58)/2,0),ROUND((X58),0)))</f>
        <v/>
      </c>
      <c r="AR58" s="47">
        <f>IF(OR(AK58="",V58=0),"",MIN(IF(AX58="",9.9E+99,AX58),AO58/V58))</f>
        <v/>
      </c>
      <c r="AS58" s="49">
        <f>IF(AR58="","",AR58*IF(B58="South Korea",IF(ABS(MOD(ABS((X58)),1)-0.5)&lt;1E-9,2*ROUND((X58)/2,0),ROUND((X58),0)),X58))</f>
        <v/>
      </c>
      <c r="AT58" s="51" t="n"/>
      <c r="AU58" s="43" t="inlineStr">
        <is>
          <t>Estimated</t>
        </is>
      </c>
      <c r="AV58" s="52" t="n"/>
      <c r="AW58" s="52" t="n"/>
      <c r="AX58" s="53" t="n"/>
      <c r="AY58" s="54">
        <f>IF(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&lt;=0,"",VLOOKUP(B58,country_opex,7,FALSE)/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)</f>
        <v/>
      </c>
      <c r="AZ58" s="54">
        <f>IF(((W58*pax_cap*IF(B58="South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Korea",korea_mid_revleg,revleg_mid)),0))*VLOOKUP(B58,country_opex,3,FALSE))+Z58+AA58+AB58+AC58+AD58))&lt;=0,"",VLOOKUP(B58,country_opex,7,FALSE)/((W58*pax_cap*IF(B58="South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Korea",korea_mid_revleg,revleg_mid)),0))*VLOOKUP(B58,country_opex,3,FALSE))+Z58+AA58+AB58+AC58+AD58)))</f>
        <v/>
      </c>
      <c r="BA58" s="54">
        <f>IF(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&lt;=0,"",VLOOKUP(B58,country_opex,7,FALSE)/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)</f>
        <v/>
      </c>
      <c r="BB58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C58" s="40" t="n"/>
      <c r="BD58" s="43" t="n"/>
    </row>
    <row r="59">
      <c r="A59" s="38" t="inlineStr">
        <is>
          <t>Bolt Croatia</t>
        </is>
      </c>
      <c r="B59" s="38" t="inlineStr">
        <is>
          <t>Croatia</t>
        </is>
      </c>
      <c r="C59" s="39" t="inlineStr">
        <is>
          <t>Dubrovnik → Cavtat</t>
        </is>
      </c>
      <c r="D59" s="38" t="inlineStr">
        <is>
          <t>bolt</t>
        </is>
      </c>
      <c r="E59" s="40" t="inlineStr">
        <is>
          <t>bolt-croatia</t>
        </is>
      </c>
      <c r="F59" s="41" t="n">
        <v>1</v>
      </c>
      <c r="G59" s="42" t="n">
        <v>9</v>
      </c>
      <c r="H59" s="35" t="n">
        <v>10.8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IF(B59="South Korea",G59/korea_charge_range_nm*korea_full_range_charge_min,0)</f>
        <v/>
      </c>
      <c r="N59" s="44">
        <f>IF(B59="South Korea",L59+korea_turn_min+korea_dwell_min+M59,L59+turn_min+dwell_min)</f>
        <v/>
      </c>
      <c r="O59" s="45">
        <f>IF(B59="South Korea",FLOOR(60*korea_service_hr/N59,1),MIN(24,FLOOR(60*service_hr/N59,1)))</f>
        <v/>
      </c>
      <c r="P59" s="45">
        <f>IF(ABS(MOD(ABS((365*mech_uptime*K59)),1)-0.5)&lt;1E-9,2*ROUND((365*mech_uptime*K59)/2,0),ROUND((365*mech_uptime*K59),0))</f>
        <v/>
      </c>
      <c r="Q59" s="46">
        <f>mech_uptime</f>
        <v/>
      </c>
      <c r="R59" s="46">
        <f>IF(AND(B59="South Korea",scenario="MID"),korea_mid_revleg,revleg_sel)</f>
        <v/>
      </c>
      <c r="S59" s="45">
        <f>IF(ABS(MOD(ABS((O59*P59*R59)),1)-0.5)&lt;1E-9,2*ROUND((O59*P59*R59)/2,0),ROUND((O59*P59*R59),0))</f>
        <v/>
      </c>
      <c r="T59" s="46">
        <f>IF(AND(B59="South Korea",scenario="MID"),korea_mid_load,load_sel)</f>
        <v/>
      </c>
      <c r="U59" s="47">
        <f>pax_cap*T59</f>
        <v/>
      </c>
      <c r="V59" s="45">
        <f>U59*S59</f>
        <v/>
      </c>
      <c r="W59" s="48">
        <f>H59*discount</f>
        <v/>
      </c>
      <c r="X59" s="49">
        <f>W59*V59</f>
        <v/>
      </c>
      <c r="Y59" s="49">
        <f>(battery/range_nm)*G59*S59*VLOOKUP(B59,country_opex,3,FALSE)</f>
        <v/>
      </c>
      <c r="Z59" s="49">
        <f>VLOOKUP(B59,country_opex,2,FALSE)*crew_factor</f>
        <v/>
      </c>
      <c r="AA59" s="49">
        <f>VLOOKUP(B59,country_opex,5,FALSE)</f>
        <v/>
      </c>
      <c r="AB59" s="49">
        <f>maint</f>
        <v/>
      </c>
      <c r="AC59" s="49">
        <f>VLOOKUP(B59,country_opex,7,FALSE)*ins_pct</f>
        <v/>
      </c>
      <c r="AD59" s="49">
        <f>charge_berth</f>
        <v/>
      </c>
      <c r="AE59" s="49">
        <f>Y59+Z59+AA59+AB59+AC59+AD59</f>
        <v/>
      </c>
      <c r="AF59" s="49">
        <f>VLOOKUP(B59,country_opex,7,FALSE)/dep_years</f>
        <v/>
      </c>
      <c r="AG59" s="49">
        <f>X59-AE59</f>
        <v/>
      </c>
      <c r="AH59" s="46">
        <f>IF(X59=0,"",AG59/X59)</f>
        <v/>
      </c>
      <c r="AI59" s="47">
        <f>IF(AG59&lt;=0,"",VLOOKUP(B59,country_opex,7,FALSE)/AG59)</f>
        <v/>
      </c>
      <c r="AJ59" s="44">
        <f>((G59*S59/diesel_nmpg)*diesel_co2pg-(battery/range_nm)*G59*S59*VLOOKUP(B59,country_opex,4,FALSE))/1000</f>
        <v/>
      </c>
      <c r="AK59" s="42" t="n">
        <v>179000</v>
      </c>
      <c r="AL59" s="43" t="n"/>
      <c r="AM59" s="43" t="n"/>
      <c r="AN59" s="50" t="n">
        <v>0.1</v>
      </c>
      <c r="AO59" s="45">
        <f>IF(AK59="","",AK59*AN59)</f>
        <v/>
      </c>
      <c r="AP59" s="45">
        <f>IF(OR(AK59="",V59=0),"",MIN(IF(AX59="",9.9E+99,AX59),FLOOR(AO59/V59,1)))</f>
        <v/>
      </c>
      <c r="AQ59" s="49">
        <f>IF(AP59="","",AP59*IF(ABS(MOD(ABS((X59)),1)-0.5)&lt;1E-9,2*ROUND((X59)/2,0),ROUND((X59),0)))</f>
        <v/>
      </c>
      <c r="AR59" s="47">
        <f>IF(OR(AK59="",V59=0),"",MIN(IF(AX59="",9.9E+99,AX59),AO59/V59))</f>
        <v/>
      </c>
      <c r="AS59" s="49">
        <f>IF(AR59="","",AR59*IF(B59="South Korea",IF(ABS(MOD(ABS((X59)),1)-0.5)&lt;1E-9,2*ROUND((X59)/2,0),ROUND((X59),0)),X59))</f>
        <v/>
      </c>
      <c r="AT59" s="51" t="n"/>
      <c r="AU59" s="43" t="inlineStr">
        <is>
          <t>Grounded</t>
        </is>
      </c>
      <c r="AV59" s="52" t="n"/>
      <c r="AW59" s="52" t="n"/>
      <c r="AX59" s="53" t="n"/>
      <c r="AY59" s="54">
        <f>IF(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&lt;=0,"",VLOOKUP(B59,country_opex,7,FALSE)/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)</f>
        <v/>
      </c>
      <c r="AZ59" s="54">
        <f>IF(((W59*pax_cap*IF(B59="South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Korea",korea_mid_revleg,revleg_mid)),0))*VLOOKUP(B59,country_opex,3,FALSE))+Z59+AA59+AB59+AC59+AD59))&lt;=0,"",VLOOKUP(B59,country_opex,7,FALSE)/((W59*pax_cap*IF(B59="South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Korea",korea_mid_revleg,revleg_mid)),0))*VLOOKUP(B59,country_opex,3,FALSE))+Z59+AA59+AB59+AC59+AD59)))</f>
        <v/>
      </c>
      <c r="BA59" s="54">
        <f>IF(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&lt;=0,"",VLOOKUP(B59,country_opex,7,FALSE)/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)</f>
        <v/>
      </c>
      <c r="BB59" s="40" t="inlineStr">
        <is>
          <t>Scheduled water-taxi/boat Dubrovnik&lt;-&gt;Cavtat ~EUR 9-10 one-way (regular service via Mlini/Srebreno). EUR 10 x 1.08 = $10.8.</t>
        </is>
      </c>
      <c r="BC59" s="40" t="n"/>
      <c r="BD59" s="43" t="n"/>
    </row>
    <row r="60">
      <c r="A60" s="38" t="inlineStr">
        <is>
          <t>Bolt Croatia</t>
        </is>
      </c>
      <c r="B60" s="38" t="inlineStr">
        <is>
          <t>Croatia</t>
        </is>
      </c>
      <c r="C60" s="39" t="inlineStr">
        <is>
          <t>Dubrovnik Airport (Čilipi) → Dubrovnik / Cavtat (resort transfer)</t>
        </is>
      </c>
      <c r="D60" s="38" t="inlineStr">
        <is>
          <t>bolt</t>
        </is>
      </c>
      <c r="E60" s="40" t="inlineStr">
        <is>
          <t>bolt-croatia</t>
        </is>
      </c>
      <c r="F60" s="41" t="n">
        <v>1</v>
      </c>
      <c r="G60" s="42" t="n">
        <v>10</v>
      </c>
      <c r="H60" s="35" t="n"/>
      <c r="I60" s="43" t="n"/>
      <c r="J60" s="43" t="n"/>
      <c r="K60" s="29" t="n">
        <v>1</v>
      </c>
      <c r="L60" s="44">
        <f>60*G60/cruise_kt</f>
        <v/>
      </c>
      <c r="M60" s="44">
        <f>IF(B60="South Korea",G60/korea_charge_range_nm*korea_full_range_charge_min,0)</f>
        <v/>
      </c>
      <c r="N60" s="44">
        <f>IF(B60="South Korea",L60+korea_turn_min+korea_dwell_min+M60,L60+turn_min+dwell_min)</f>
        <v/>
      </c>
      <c r="O60" s="45">
        <f>IF(B60="South Korea",FLOOR(60*korea_service_hr/N60,1),MIN(15,FLOOR(60*service_hr/N60,1)))</f>
        <v/>
      </c>
      <c r="P60" s="45">
        <f>IF(ABS(MOD(ABS((365*mech_uptime*K60)),1)-0.5)&lt;1E-9,2*ROUND((365*mech_uptime*K60)/2,0),ROUND((365*mech_uptime*K60),0))</f>
        <v/>
      </c>
      <c r="Q60" s="46">
        <f>mech_uptime</f>
        <v/>
      </c>
      <c r="R60" s="46">
        <f>IF(AND(B60="South Korea",scenario="MID"),korea_mid_revleg,revleg_sel)</f>
        <v/>
      </c>
      <c r="S60" s="45">
        <f>IF(ABS(MOD(ABS((O60*P60*R60)),1)-0.5)&lt;1E-9,2*ROUND((O60*P60*R60)/2,0),ROUND((O60*P60*R60),0))</f>
        <v/>
      </c>
      <c r="T60" s="46">
        <f>IF(AND(B60="South Korea",scenario="MID"),korea_mid_load,load_sel)</f>
        <v/>
      </c>
      <c r="U60" s="47">
        <f>pax_cap*T60</f>
        <v/>
      </c>
      <c r="V60" s="45">
        <f>U60*S60</f>
        <v/>
      </c>
      <c r="W60" s="48">
        <f>H60*discount</f>
        <v/>
      </c>
      <c r="X60" s="49">
        <f>W60*V60</f>
        <v/>
      </c>
      <c r="Y60" s="49">
        <f>(battery/range_nm)*G60*S60*VLOOKUP(B60,country_opex,3,FALSE)</f>
        <v/>
      </c>
      <c r="Z60" s="49">
        <f>VLOOKUP(B60,country_opex,2,FALSE)*crew_factor</f>
        <v/>
      </c>
      <c r="AA60" s="49">
        <f>VLOOKUP(B60,country_opex,5,FALSE)</f>
        <v/>
      </c>
      <c r="AB60" s="49">
        <f>maint</f>
        <v/>
      </c>
      <c r="AC60" s="49">
        <f>VLOOKUP(B60,country_opex,7,FALSE)*ins_pct</f>
        <v/>
      </c>
      <c r="AD60" s="49">
        <f>charge_berth</f>
        <v/>
      </c>
      <c r="AE60" s="49">
        <f>Y60+Z60+AA60+AB60+AC60+AD60</f>
        <v/>
      </c>
      <c r="AF60" s="49">
        <f>VLOOKUP(B60,country_opex,7,FALSE)/dep_years</f>
        <v/>
      </c>
      <c r="AG60" s="49">
        <f>X60-AE60</f>
        <v/>
      </c>
      <c r="AH60" s="46">
        <f>IF(X60=0,"",AG60/X60)</f>
        <v/>
      </c>
      <c r="AI60" s="47">
        <f>IF(AG60&lt;=0,"",VLOOKUP(B60,country_opex,7,FALSE)/AG60)</f>
        <v/>
      </c>
      <c r="AJ60" s="44">
        <f>((G60*S60/diesel_nmpg)*diesel_co2pg-(battery/range_nm)*G60*S60*VLOOKUP(B60,country_opex,4,FALSE))/1000</f>
        <v/>
      </c>
      <c r="AK60" s="42" t="n"/>
      <c r="AL60" s="43" t="n"/>
      <c r="AM60" s="43" t="n"/>
      <c r="AN60" s="50" t="n">
        <v>0.1</v>
      </c>
      <c r="AO60" s="45">
        <f>IF(AK60="","",AK60*AN60)</f>
        <v/>
      </c>
      <c r="AP60" s="45">
        <f>IF(OR(AK60="",V60=0),"",MIN(IF(AX60="",9.9E+99,AX60),FLOOR(AO60/V60,1)))</f>
        <v/>
      </c>
      <c r="AQ60" s="49">
        <f>IF(AP60="","",AP60*IF(ABS(MOD(ABS((X60)),1)-0.5)&lt;1E-9,2*ROUND((X60)/2,0),ROUND((X60),0)))</f>
        <v/>
      </c>
      <c r="AR60" s="47">
        <f>IF(OR(AK60="",V60=0),"",MIN(IF(AX60="",9.9E+99,AX60),AO60/V60))</f>
        <v/>
      </c>
      <c r="AS60" s="49">
        <f>IF(AR60="","",AR60*IF(B60="South Korea",IF(ABS(MOD(ABS((X60)),1)-0.5)&lt;1E-9,2*ROUND((X60)/2,0),ROUND((X60),0)),X60))</f>
        <v/>
      </c>
      <c r="AT60" s="51" t="n"/>
      <c r="AU60" s="43" t="inlineStr">
        <is>
          <t>Estimated</t>
        </is>
      </c>
      <c r="AV60" s="52" t="n"/>
      <c r="AW60" s="52" t="n"/>
      <c r="AX60" s="53" t="n"/>
      <c r="AY60" s="54">
        <f>IF(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&lt;=0,"",VLOOKUP(B60,country_opex,7,FALSE)/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)</f>
        <v/>
      </c>
      <c r="AZ60" s="54">
        <f>IF(((W60*pax_cap*IF(B60="South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Korea",korea_mid_revleg,revleg_mid)),0))*VLOOKUP(B60,country_opex,3,FALSE))+Z60+AA60+AB60+AC60+AD60))&lt;=0,"",VLOOKUP(B60,country_opex,7,FALSE)/((W60*pax_cap*IF(B60="South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Korea",korea_mid_revleg,revleg_mid)),0))*VLOOKUP(B60,country_opex,3,FALSE))+Z60+AA60+AB60+AC60+AD60)))</f>
        <v/>
      </c>
      <c r="BA60" s="54">
        <f>IF(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&lt;=0,"",VLOOKUP(B60,country_opex,7,FALSE)/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)</f>
        <v/>
      </c>
      <c r="BB60" s="40" t="n"/>
      <c r="BC60" s="40" t="n"/>
      <c r="BD60" s="43" t="n"/>
    </row>
    <row r="61">
      <c r="A61" s="38" t="inlineStr">
        <is>
          <t>Bolt Croatia</t>
        </is>
      </c>
      <c r="B61" s="38" t="inlineStr">
        <is>
          <t>Croatia</t>
        </is>
      </c>
      <c r="C61" s="39" t="inlineStr">
        <is>
          <t>Split → Brač (Bol)</t>
        </is>
      </c>
      <c r="D61" s="38" t="inlineStr">
        <is>
          <t>bolt</t>
        </is>
      </c>
      <c r="E61" s="40" t="inlineStr">
        <is>
          <t>bolt-croatia</t>
        </is>
      </c>
      <c r="F61" s="41" t="n">
        <v>1</v>
      </c>
      <c r="G61" s="42" t="n">
        <v>12</v>
      </c>
      <c r="H61" s="35" t="n">
        <v>23.5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IF(B61="South Korea",G61/korea_charge_range_nm*korea_full_range_charge_min,0)</f>
        <v/>
      </c>
      <c r="N61" s="44">
        <f>IF(B61="South Korea",L61+korea_turn_min+korea_dwell_min+M61,L61+turn_min+dwell_min)</f>
        <v/>
      </c>
      <c r="O61" s="45">
        <f>IF(B61="South Korea",FLOOR(60*korea_service_hr/N61,1),MIN(15,FLOOR(60*service_hr/N61,1)))</f>
        <v/>
      </c>
      <c r="P61" s="45">
        <f>IF(ABS(MOD(ABS((365*mech_uptime*K61)),1)-0.5)&lt;1E-9,2*ROUND((365*mech_uptime*K61)/2,0),ROUND((365*mech_uptime*K61),0))</f>
        <v/>
      </c>
      <c r="Q61" s="46">
        <f>mech_uptime</f>
        <v/>
      </c>
      <c r="R61" s="46">
        <f>IF(AND(B61="South Korea",scenario="MID"),korea_mid_revleg,revleg_sel)</f>
        <v/>
      </c>
      <c r="S61" s="45">
        <f>IF(ABS(MOD(ABS((O61*P61*R61)),1)-0.5)&lt;1E-9,2*ROUND((O61*P61*R61)/2,0),ROUND((O61*P61*R61),0))</f>
        <v/>
      </c>
      <c r="T61" s="46">
        <f>IF(AND(B61="South Korea",scenario="MID"),korea_mid_load,load_sel)</f>
        <v/>
      </c>
      <c r="U61" s="47">
        <f>pax_cap*T61</f>
        <v/>
      </c>
      <c r="V61" s="45">
        <f>U61*S61</f>
        <v/>
      </c>
      <c r="W61" s="48">
        <f>H61*discount</f>
        <v/>
      </c>
      <c r="X61" s="49">
        <f>W61*V61</f>
        <v/>
      </c>
      <c r="Y61" s="49">
        <f>(battery/range_nm)*G61*S61*VLOOKUP(B61,country_opex,3,FALSE)</f>
        <v/>
      </c>
      <c r="Z61" s="49">
        <f>VLOOKUP(B61,country_opex,2,FALSE)*crew_factor</f>
        <v/>
      </c>
      <c r="AA61" s="49">
        <f>VLOOKUP(B61,country_opex,5,FALSE)</f>
        <v/>
      </c>
      <c r="AB61" s="49">
        <f>maint</f>
        <v/>
      </c>
      <c r="AC61" s="49">
        <f>VLOOKUP(B61,country_opex,7,FALSE)*ins_pct</f>
        <v/>
      </c>
      <c r="AD61" s="49">
        <f>charge_berth</f>
        <v/>
      </c>
      <c r="AE61" s="49">
        <f>Y61+Z61+AA61+AB61+AC61+AD61</f>
        <v/>
      </c>
      <c r="AF61" s="49">
        <f>VLOOKUP(B61,country_opex,7,FALSE)/dep_years</f>
        <v/>
      </c>
      <c r="AG61" s="49">
        <f>X61-AE61</f>
        <v/>
      </c>
      <c r="AH61" s="46">
        <f>IF(X61=0,"",AG61/X61)</f>
        <v/>
      </c>
      <c r="AI61" s="47">
        <f>IF(AG61&lt;=0,"",VLOOKUP(B61,country_opex,7,FALSE)/AG61)</f>
        <v/>
      </c>
      <c r="AJ61" s="44">
        <f>((G61*S61/diesel_nmpg)*diesel_co2pg-(battery/range_nm)*G61*S61*VLOOKUP(B61,country_opex,4,FALSE))/1000</f>
        <v/>
      </c>
      <c r="AK61" s="42" t="n">
        <v>400000</v>
      </c>
      <c r="AL61" s="43" t="n"/>
      <c r="AM61" s="43" t="n"/>
      <c r="AN61" s="50" t="n">
        <v>0.1</v>
      </c>
      <c r="AO61" s="45">
        <f>IF(AK61="","",AK61*AN61)</f>
        <v/>
      </c>
      <c r="AP61" s="45">
        <f>IF(OR(AK61="",V61=0),"",MIN(IF(AX61="",9.9E+99,AX61),FLOOR(AO61/V61,1)))</f>
        <v/>
      </c>
      <c r="AQ61" s="49">
        <f>IF(AP61="","",AP61*IF(ABS(MOD(ABS((X61)),1)-0.5)&lt;1E-9,2*ROUND((X61)/2,0),ROUND((X61),0)))</f>
        <v/>
      </c>
      <c r="AR61" s="47">
        <f>IF(OR(AK61="",V61=0),"",MIN(IF(AX61="",9.9E+99,AX61),AO61/V61))</f>
        <v/>
      </c>
      <c r="AS61" s="49">
        <f>IF(AR61="","",AR61*IF(B61="South Korea",IF(ABS(MOD(ABS((X61)),1)-0.5)&lt;1E-9,2*ROUND((X61)/2,0),ROUND((X61),0)),X61))</f>
        <v/>
      </c>
      <c r="AT61" s="51" t="n"/>
      <c r="AU61" s="43" t="inlineStr">
        <is>
          <t>Grounded</t>
        </is>
      </c>
      <c r="AV61" s="52" t="n"/>
      <c r="AW61" s="52" t="n"/>
      <c r="AX61" s="53" t="n"/>
      <c r="AY61" s="54">
        <f>IF(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&lt;=0,"",VLOOKUP(B61,country_opex,7,FALSE)/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)</f>
        <v/>
      </c>
      <c r="AZ61" s="54">
        <f>IF(((W61*pax_cap*IF(B61="South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Korea",korea_mid_revleg,revleg_mid)),0))*VLOOKUP(B61,country_opex,3,FALSE))+Z61+AA61+AB61+AC61+AD61))&lt;=0,"",VLOOKUP(B61,country_opex,7,FALSE)/((W61*pax_cap*IF(B61="South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Korea",korea_mid_revleg,revleg_mid)),0))*VLOOKUP(B61,country_opex,3,FALSE))+Z61+AA61+AB61+AC61+AD61)))</f>
        <v/>
      </c>
      <c r="BA61" s="54">
        <f>IF(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&lt;=0,"",VLOOKUP(B61,country_opex,7,FALSE)/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)</f>
        <v/>
      </c>
      <c r="BB61" s="40" t="inlineStr">
        <is>
          <t>PREMIUM tier: seasonal fast catamaran Split-&gt;Bol adult EUR 20-23 (Jadrolinija Split-Bol-Jelsa EUR 20; Krilo/Jadrolinija from EUR 23). Midpoint ~EUR 21.7 x 1.08 = $23.5.</t>
        </is>
      </c>
      <c r="BC61" s="40" t="n"/>
      <c r="BD61" s="43" t="n"/>
    </row>
    <row r="62">
      <c r="A62" s="38" t="inlineStr">
        <is>
          <t>Bolt Croatia</t>
        </is>
      </c>
      <c r="B62" s="38" t="inlineStr">
        <is>
          <t>Croatia</t>
        </is>
      </c>
      <c r="C62" s="39" t="inlineStr">
        <is>
          <t>Split Airport (Resnik / Trogir) → Split / Brač / Hvar (resort &amp; island transfer)</t>
        </is>
      </c>
      <c r="D62" s="38" t="inlineStr">
        <is>
          <t>bolt</t>
        </is>
      </c>
      <c r="E62" s="40" t="inlineStr">
        <is>
          <t>bolt-croatia</t>
        </is>
      </c>
      <c r="F62" s="41" t="n">
        <v>1</v>
      </c>
      <c r="G62" s="42" t="n">
        <v>12</v>
      </c>
      <c r="H62" s="35" t="n">
        <v>27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IF(B62="South Korea",G62/korea_charge_range_nm*korea_full_range_charge_min,0)</f>
        <v/>
      </c>
      <c r="N62" s="44">
        <f>IF(B62="South Korea",L62+korea_turn_min+korea_dwell_min+M62,L62+turn_min+dwell_min)</f>
        <v/>
      </c>
      <c r="O62" s="45">
        <f>IF(B62="South Korea",FLOOR(60*korea_service_hr/N62,1),MIN(15,FLOOR(60*service_hr/N62,1)))</f>
        <v/>
      </c>
      <c r="P62" s="45">
        <f>IF(ABS(MOD(ABS((365*mech_uptime*K62)),1)-0.5)&lt;1E-9,2*ROUND((365*mech_uptime*K62)/2,0),ROUND((365*mech_uptime*K62),0))</f>
        <v/>
      </c>
      <c r="Q62" s="46">
        <f>mech_uptime</f>
        <v/>
      </c>
      <c r="R62" s="46">
        <f>IF(AND(B62="South Korea",scenario="MID"),korea_mid_revleg,revleg_sel)</f>
        <v/>
      </c>
      <c r="S62" s="45">
        <f>IF(ABS(MOD(ABS((O62*P62*R62)),1)-0.5)&lt;1E-9,2*ROUND((O62*P62*R62)/2,0),ROUND((O62*P62*R62),0))</f>
        <v/>
      </c>
      <c r="T62" s="46">
        <f>IF(AND(B62="South Korea",scenario="MID"),korea_mid_load,load_sel)</f>
        <v/>
      </c>
      <c r="U62" s="47">
        <f>pax_cap*T62</f>
        <v/>
      </c>
      <c r="V62" s="45">
        <f>U62*S62</f>
        <v/>
      </c>
      <c r="W62" s="48">
        <f>H62*discount</f>
        <v/>
      </c>
      <c r="X62" s="49">
        <f>W62*V62</f>
        <v/>
      </c>
      <c r="Y62" s="49">
        <f>(battery/range_nm)*G62*S62*VLOOKUP(B62,country_opex,3,FALSE)</f>
        <v/>
      </c>
      <c r="Z62" s="49">
        <f>VLOOKUP(B62,country_opex,2,FALSE)*crew_factor</f>
        <v/>
      </c>
      <c r="AA62" s="49">
        <f>VLOOKUP(B62,country_opex,5,FALSE)</f>
        <v/>
      </c>
      <c r="AB62" s="49">
        <f>maint</f>
        <v/>
      </c>
      <c r="AC62" s="49">
        <f>VLOOKUP(B62,country_opex,7,FALSE)*ins_pct</f>
        <v/>
      </c>
      <c r="AD62" s="49">
        <f>charge_berth</f>
        <v/>
      </c>
      <c r="AE62" s="49">
        <f>Y62+Z62+AA62+AB62+AC62+AD62</f>
        <v/>
      </c>
      <c r="AF62" s="49">
        <f>VLOOKUP(B62,country_opex,7,FALSE)/dep_years</f>
        <v/>
      </c>
      <c r="AG62" s="49">
        <f>X62-AE62</f>
        <v/>
      </c>
      <c r="AH62" s="46">
        <f>IF(X62=0,"",AG62/X62)</f>
        <v/>
      </c>
      <c r="AI62" s="47">
        <f>IF(AG62&lt;=0,"",VLOOKUP(B62,country_opex,7,FALSE)/AG62)</f>
        <v/>
      </c>
      <c r="AJ62" s="44">
        <f>((G62*S62/diesel_nmpg)*diesel_co2pg-(battery/range_nm)*G62*S62*VLOOKUP(B62,country_opex,4,FALSE))/1000</f>
        <v/>
      </c>
      <c r="AK62" s="42" t="n"/>
      <c r="AL62" s="43" t="n"/>
      <c r="AM62" s="43" t="n"/>
      <c r="AN62" s="50" t="n">
        <v>0.1</v>
      </c>
      <c r="AO62" s="45">
        <f>IF(AK62="","",AK62*AN62)</f>
        <v/>
      </c>
      <c r="AP62" s="45">
        <f>IF(OR(AK62="",V62=0),"",MIN(IF(AX62="",9.9E+99,AX62),FLOOR(AO62/V62,1)))</f>
        <v/>
      </c>
      <c r="AQ62" s="49">
        <f>IF(AP62="","",AP62*IF(ABS(MOD(ABS((X62)),1)-0.5)&lt;1E-9,2*ROUND((X62)/2,0),ROUND((X62),0)))</f>
        <v/>
      </c>
      <c r="AR62" s="47">
        <f>IF(OR(AK62="",V62=0),"",MIN(IF(AX62="",9.9E+99,AX62),AO62/V62))</f>
        <v/>
      </c>
      <c r="AS62" s="49">
        <f>IF(AR62="","",AR62*IF(B62="South Korea",IF(ABS(MOD(ABS((X62)),1)-0.5)&lt;1E-9,2*ROUND((X62)/2,0),ROUND((X62),0)),X62))</f>
        <v/>
      </c>
      <c r="AT62" s="51" t="n"/>
      <c r="AU62" s="43" t="inlineStr">
        <is>
          <t>Estimated</t>
        </is>
      </c>
      <c r="AV62" s="52" t="n"/>
      <c r="AW62" s="52" t="n"/>
      <c r="AX62" s="53" t="n"/>
      <c r="AY62" s="54">
        <f>IF(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&lt;=0,"",VLOOKUP(B62,country_opex,7,FALSE)/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)</f>
        <v/>
      </c>
      <c r="AZ62" s="54">
        <f>IF(((W62*pax_cap*IF(B62="South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Korea",korea_mid_revleg,revleg_mid)),0))*VLOOKUP(B62,country_opex,3,FALSE))+Z62+AA62+AB62+AC62+AD62))&lt;=0,"",VLOOKUP(B62,country_opex,7,FALSE)/((W62*pax_cap*IF(B62="South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Korea",korea_mid_revleg,revleg_mid)),0))*VLOOKUP(B62,country_opex,3,FALSE))+Z62+AA62+AB62+AC62+AD62)))</f>
        <v/>
      </c>
      <c r="BA62" s="54">
        <f>IF(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&lt;=0,"",VLOOKUP(B62,country_opex,7,FALSE)/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)</f>
        <v/>
      </c>
      <c r="BB62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C62" s="40" t="n"/>
      <c r="BD62" s="43" t="n"/>
    </row>
    <row r="63">
      <c r="A63" s="38" t="inlineStr">
        <is>
          <t>Bolt Croatia</t>
        </is>
      </c>
      <c r="B63" s="38" t="inlineStr">
        <is>
          <t>Croatia</t>
        </is>
      </c>
      <c r="C63" s="39" t="inlineStr">
        <is>
          <t>Zadar (Murter / Biograd gateway) → Kornati National Park</t>
        </is>
      </c>
      <c r="D63" s="38" t="inlineStr">
        <is>
          <t>bolt</t>
        </is>
      </c>
      <c r="E63" s="40" t="inlineStr">
        <is>
          <t>bolt-croatia</t>
        </is>
      </c>
      <c r="F63" s="41" t="n">
        <v>1</v>
      </c>
      <c r="G63" s="42" t="n">
        <v>20</v>
      </c>
      <c r="H63" s="35" t="n">
        <v>75.59999999999999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IF(B63="South Korea",G63/korea_charge_range_nm*korea_full_range_charge_min,0)</f>
        <v/>
      </c>
      <c r="N63" s="44">
        <f>IF(B63="South Korea",L63+korea_turn_min+korea_dwell_min+M63,L63+turn_min+dwell_min)</f>
        <v/>
      </c>
      <c r="O63" s="45">
        <f>IF(B63="South Korea",FLOOR(60*korea_service_hr/N63,1),MIN(15,FLOOR(60*service_hr/N63,1)))</f>
        <v/>
      </c>
      <c r="P63" s="45">
        <f>IF(ABS(MOD(ABS((365*mech_uptime*K63)),1)-0.5)&lt;1E-9,2*ROUND((365*mech_uptime*K63)/2,0),ROUND((365*mech_uptime*K63),0))</f>
        <v/>
      </c>
      <c r="Q63" s="46">
        <f>mech_uptime</f>
        <v/>
      </c>
      <c r="R63" s="46">
        <f>IF(AND(B63="South Korea",scenario="MID"),korea_mid_revleg,revleg_sel)</f>
        <v/>
      </c>
      <c r="S63" s="45">
        <f>IF(ABS(MOD(ABS((O63*P63*R63)),1)-0.5)&lt;1E-9,2*ROUND((O63*P63*R63)/2,0),ROUND((O63*P63*R63),0))</f>
        <v/>
      </c>
      <c r="T63" s="46">
        <f>IF(AND(B63="South Korea",scenario="MID"),korea_mid_load,load_sel)</f>
        <v/>
      </c>
      <c r="U63" s="47">
        <f>pax_cap*T63</f>
        <v/>
      </c>
      <c r="V63" s="45">
        <f>U63*S63</f>
        <v/>
      </c>
      <c r="W63" s="48">
        <f>H63*discount</f>
        <v/>
      </c>
      <c r="X63" s="49">
        <f>W63*V63</f>
        <v/>
      </c>
      <c r="Y63" s="49">
        <f>(battery/range_nm)*G63*S63*VLOOKUP(B63,country_opex,3,FALSE)</f>
        <v/>
      </c>
      <c r="Z63" s="49">
        <f>VLOOKUP(B63,country_opex,2,FALSE)*crew_factor</f>
        <v/>
      </c>
      <c r="AA63" s="49">
        <f>VLOOKUP(B63,country_opex,5,FALSE)</f>
        <v/>
      </c>
      <c r="AB63" s="49">
        <f>maint</f>
        <v/>
      </c>
      <c r="AC63" s="49">
        <f>VLOOKUP(B63,country_opex,7,FALSE)*ins_pct</f>
        <v/>
      </c>
      <c r="AD63" s="49">
        <f>charge_berth</f>
        <v/>
      </c>
      <c r="AE63" s="49">
        <f>Y63+Z63+AA63+AB63+AC63+AD63</f>
        <v/>
      </c>
      <c r="AF63" s="49">
        <f>VLOOKUP(B63,country_opex,7,FALSE)/dep_years</f>
        <v/>
      </c>
      <c r="AG63" s="49">
        <f>X63-AE63</f>
        <v/>
      </c>
      <c r="AH63" s="46">
        <f>IF(X63=0,"",AG63/X63)</f>
        <v/>
      </c>
      <c r="AI63" s="47">
        <f>IF(AG63&lt;=0,"",VLOOKUP(B63,country_opex,7,FALSE)/AG63)</f>
        <v/>
      </c>
      <c r="AJ63" s="44">
        <f>((G63*S63/diesel_nmpg)*diesel_co2pg-(battery/range_nm)*G63*S63*VLOOKUP(B63,country_opex,4,FALSE))/1000</f>
        <v/>
      </c>
      <c r="AK63" s="42" t="n">
        <v>110000</v>
      </c>
      <c r="AL63" s="43" t="n"/>
      <c r="AM63" s="43" t="n"/>
      <c r="AN63" s="50" t="n">
        <v>0.1</v>
      </c>
      <c r="AO63" s="45">
        <f>IF(AK63="","",AK63*AN63)</f>
        <v/>
      </c>
      <c r="AP63" s="45">
        <f>IF(OR(AK63="",V63=0),"",MIN(IF(AX63="",9.9E+99,AX63),FLOOR(AO63/V63,1)))</f>
        <v/>
      </c>
      <c r="AQ63" s="49">
        <f>IF(AP63="","",AP63*IF(ABS(MOD(ABS((X63)),1)-0.5)&lt;1E-9,2*ROUND((X63)/2,0),ROUND((X63),0)))</f>
        <v/>
      </c>
      <c r="AR63" s="47">
        <f>IF(OR(AK63="",V63=0),"",MIN(IF(AX63="",9.9E+99,AX63),AO63/V63))</f>
        <v/>
      </c>
      <c r="AS63" s="49">
        <f>IF(AR63="","",AR63*IF(B63="South Korea",IF(ABS(MOD(ABS((X63)),1)-0.5)&lt;1E-9,2*ROUND((X63)/2,0),ROUND((X63),0)),X63))</f>
        <v/>
      </c>
      <c r="AT63" s="51" t="n"/>
      <c r="AU63" s="43" t="inlineStr">
        <is>
          <t>Grounded</t>
        </is>
      </c>
      <c r="AV63" s="52" t="n"/>
      <c r="AW63" s="52" t="n"/>
      <c r="AX63" s="53" t="n"/>
      <c r="AY63" s="54">
        <f>IF(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&lt;=0,"",VLOOKUP(B63,country_opex,7,FALSE)/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)</f>
        <v/>
      </c>
      <c r="AZ63" s="54">
        <f>IF(((W63*pax_cap*IF(B63="South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Korea",korea_mid_revleg,revleg_mid)),0))*VLOOKUP(B63,country_opex,3,FALSE))+Z63+AA63+AB63+AC63+AD63))&lt;=0,"",VLOOKUP(B63,country_opex,7,FALSE)/((W63*pax_cap*IF(B63="South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Korea",korea_mid_revleg,revleg_mid)),0))*VLOOKUP(B63,country_opex,3,FALSE))+Z63+AA63+AB63+AC63+AD63)))</f>
        <v/>
      </c>
      <c r="BA63" s="54">
        <f>IF(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&lt;=0,"",VLOOKUP(B63,country_opex,7,FALSE)/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)</f>
        <v/>
      </c>
      <c r="BB63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C63" s="40" t="n"/>
      <c r="BD63" s="43" t="n"/>
    </row>
    <row r="64">
      <c r="A64" s="38" t="inlineStr">
        <is>
          <t>Bolt Croatia</t>
        </is>
      </c>
      <c r="B64" s="38" t="inlineStr">
        <is>
          <t>Croatia</t>
        </is>
      </c>
      <c r="C64" s="39" t="inlineStr">
        <is>
          <t>Split → Hvar</t>
        </is>
      </c>
      <c r="D64" s="38" t="inlineStr">
        <is>
          <t>bolt</t>
        </is>
      </c>
      <c r="E64" s="40" t="inlineStr">
        <is>
          <t>bolt-croatia</t>
        </is>
      </c>
      <c r="F64" s="41" t="n">
        <v>1</v>
      </c>
      <c r="G64" s="42" t="n">
        <v>22</v>
      </c>
      <c r="H64" s="35" t="n">
        <v>27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IF(B64="South Korea",G64/korea_charge_range_nm*korea_full_range_charge_min,0)</f>
        <v/>
      </c>
      <c r="N64" s="44">
        <f>IF(B64="South Korea",L64+korea_turn_min+korea_dwell_min+M64,L64+turn_min+dwell_min)</f>
        <v/>
      </c>
      <c r="O64" s="45">
        <f>IF(B64="South Korea",FLOOR(60*korea_service_hr/N64,1),MIN(15,FLOOR(60*service_hr/N64,1)))</f>
        <v/>
      </c>
      <c r="P64" s="45">
        <f>IF(ABS(MOD(ABS((365*mech_uptime*K64)),1)-0.5)&lt;1E-9,2*ROUND((365*mech_uptime*K64)/2,0),ROUND((365*mech_uptime*K64),0))</f>
        <v/>
      </c>
      <c r="Q64" s="46">
        <f>mech_uptime</f>
        <v/>
      </c>
      <c r="R64" s="46">
        <f>IF(AND(B64="South Korea",scenario="MID"),korea_mid_revleg,revleg_sel)</f>
        <v/>
      </c>
      <c r="S64" s="45">
        <f>IF(ABS(MOD(ABS((O64*P64*R64)),1)-0.5)&lt;1E-9,2*ROUND((O64*P64*R64)/2,0),ROUND((O64*P64*R64),0))</f>
        <v/>
      </c>
      <c r="T64" s="46">
        <f>IF(AND(B64="South Korea",scenario="MID"),korea_mid_load,load_sel)</f>
        <v/>
      </c>
      <c r="U64" s="47">
        <f>pax_cap*T64</f>
        <v/>
      </c>
      <c r="V64" s="45">
        <f>U64*S64</f>
        <v/>
      </c>
      <c r="W64" s="48">
        <f>H64*discount</f>
        <v/>
      </c>
      <c r="X64" s="49">
        <f>W64*V64</f>
        <v/>
      </c>
      <c r="Y64" s="49">
        <f>(battery/range_nm)*G64*S64*VLOOKUP(B64,country_opex,3,FALSE)</f>
        <v/>
      </c>
      <c r="Z64" s="49">
        <f>VLOOKUP(B64,country_opex,2,FALSE)*crew_factor</f>
        <v/>
      </c>
      <c r="AA64" s="49">
        <f>VLOOKUP(B64,country_opex,5,FALSE)</f>
        <v/>
      </c>
      <c r="AB64" s="49">
        <f>maint</f>
        <v/>
      </c>
      <c r="AC64" s="49">
        <f>VLOOKUP(B64,country_opex,7,FALSE)*ins_pct</f>
        <v/>
      </c>
      <c r="AD64" s="49">
        <f>charge_berth</f>
        <v/>
      </c>
      <c r="AE64" s="49">
        <f>Y64+Z64+AA64+AB64+AC64+AD64</f>
        <v/>
      </c>
      <c r="AF64" s="49">
        <f>VLOOKUP(B64,country_opex,7,FALSE)/dep_years</f>
        <v/>
      </c>
      <c r="AG64" s="49">
        <f>X64-AE64</f>
        <v/>
      </c>
      <c r="AH64" s="46">
        <f>IF(X64=0,"",AG64/X64)</f>
        <v/>
      </c>
      <c r="AI64" s="47">
        <f>IF(AG64&lt;=0,"",VLOOKUP(B64,country_opex,7,FALSE)/AG64)</f>
        <v/>
      </c>
      <c r="AJ64" s="44">
        <f>((G64*S64/diesel_nmpg)*diesel_co2pg-(battery/range_nm)*G64*S64*VLOOKUP(B64,country_opex,4,FALSE))/1000</f>
        <v/>
      </c>
      <c r="AK64" s="42" t="n">
        <v>550000</v>
      </c>
      <c r="AL64" s="43" t="n"/>
      <c r="AM64" s="43" t="n"/>
      <c r="AN64" s="50" t="n">
        <v>0.1</v>
      </c>
      <c r="AO64" s="45">
        <f>IF(AK64="","",AK64*AN64)</f>
        <v/>
      </c>
      <c r="AP64" s="45">
        <f>IF(OR(AK64="",V64=0),"",MIN(IF(AX64="",9.9E+99,AX64),FLOOR(AO64/V64,1)))</f>
        <v/>
      </c>
      <c r="AQ64" s="49">
        <f>IF(AP64="","",AP64*IF(ABS(MOD(ABS((X64)),1)-0.5)&lt;1E-9,2*ROUND((X64)/2,0),ROUND((X64),0)))</f>
        <v/>
      </c>
      <c r="AR64" s="47">
        <f>IF(OR(AK64="",V64=0),"",MIN(IF(AX64="",9.9E+99,AX64),AO64/V64))</f>
        <v/>
      </c>
      <c r="AS64" s="49">
        <f>IF(AR64="","",AR64*IF(B64="South Korea",IF(ABS(MOD(ABS((X64)),1)-0.5)&lt;1E-9,2*ROUND((X64)/2,0),ROUND((X64),0)),X64))</f>
        <v/>
      </c>
      <c r="AT64" s="51" t="n"/>
      <c r="AU64" s="43" t="inlineStr">
        <is>
          <t>Grounded</t>
        </is>
      </c>
      <c r="AV64" s="52" t="n"/>
      <c r="AW64" s="52" t="n"/>
      <c r="AX64" s="53" t="n"/>
      <c r="AY64" s="54">
        <f>IF(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&lt;=0,"",VLOOKUP(B64,country_opex,7,FALSE)/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)</f>
        <v/>
      </c>
      <c r="AZ64" s="54">
        <f>IF(((W64*pax_cap*IF(B64="South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Korea",korea_mid_revleg,revleg_mid)),0))*VLOOKUP(B64,country_opex,3,FALSE))+Z64+AA64+AB64+AC64+AD64))&lt;=0,"",VLOOKUP(B64,country_opex,7,FALSE)/((W64*pax_cap*IF(B64="South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Korea",korea_mid_revleg,revleg_mid)),0))*VLOOKUP(B64,country_opex,3,FALSE))+Z64+AA64+AB64+AC64+AD64)))</f>
        <v/>
      </c>
      <c r="BA64" s="54">
        <f>IF(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&lt;=0,"",VLOOKUP(B64,country_opex,7,FALSE)/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)</f>
        <v/>
      </c>
      <c r="BB64" s="40" t="inlineStr">
        <is>
          <t>PREMIUM tier: scheduled fast tourist catamaran Split-&gt;Hvar Town adult ~EUR 25 (Kapetan Luka 'Krilo', TP Line, Adriatic Fast Ferries, Jadrolinija fast cat). EUR 25 x 1.08 = $27.0.</t>
        </is>
      </c>
      <c r="BC64" s="40" t="n"/>
      <c r="BD64" s="43" t="n"/>
    </row>
    <row r="65">
      <c r="A65" s="38" t="inlineStr">
        <is>
          <t>Bolt Croatia</t>
        </is>
      </c>
      <c r="B65" s="38" t="inlineStr">
        <is>
          <t>Croatia</t>
        </is>
      </c>
      <c r="C65" s="39" t="inlineStr">
        <is>
          <t>Dubrovnik → Mljet (Polače / Sobra)</t>
        </is>
      </c>
      <c r="D65" s="38" t="inlineStr">
        <is>
          <t>bolt</t>
        </is>
      </c>
      <c r="E65" s="40" t="inlineStr">
        <is>
          <t>bolt-croatia</t>
        </is>
      </c>
      <c r="F65" s="41" t="n">
        <v>1</v>
      </c>
      <c r="G65" s="42" t="n">
        <v>22</v>
      </c>
      <c r="H65" s="35" t="n">
        <v>21.6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IF(B65="South Korea",G65/korea_charge_range_nm*korea_full_range_charge_min,0)</f>
        <v/>
      </c>
      <c r="N65" s="44">
        <f>IF(B65="South Korea",L65+korea_turn_min+korea_dwell_min+M65,L65+turn_min+dwell_min)</f>
        <v/>
      </c>
      <c r="O65" s="45">
        <f>IF(B65="South Korea",FLOOR(60*korea_service_hr/N65,1),MIN(15,FLOOR(60*service_hr/N65,1)))</f>
        <v/>
      </c>
      <c r="P65" s="45">
        <f>IF(ABS(MOD(ABS((365*mech_uptime*K65)),1)-0.5)&lt;1E-9,2*ROUND((365*mech_uptime*K65)/2,0),ROUND((365*mech_uptime*K65),0))</f>
        <v/>
      </c>
      <c r="Q65" s="46">
        <f>mech_uptime</f>
        <v/>
      </c>
      <c r="R65" s="46">
        <f>IF(AND(B65="South Korea",scenario="MID"),korea_mid_revleg,revleg_sel)</f>
        <v/>
      </c>
      <c r="S65" s="45">
        <f>IF(ABS(MOD(ABS((O65*P65*R65)),1)-0.5)&lt;1E-9,2*ROUND((O65*P65*R65)/2,0),ROUND((O65*P65*R65),0))</f>
        <v/>
      </c>
      <c r="T65" s="46">
        <f>IF(AND(B65="South Korea",scenario="MID"),korea_mid_load,load_sel)</f>
        <v/>
      </c>
      <c r="U65" s="47">
        <f>pax_cap*T65</f>
        <v/>
      </c>
      <c r="V65" s="45">
        <f>U65*S65</f>
        <v/>
      </c>
      <c r="W65" s="48">
        <f>H65*discount</f>
        <v/>
      </c>
      <c r="X65" s="49">
        <f>W65*V65</f>
        <v/>
      </c>
      <c r="Y65" s="49">
        <f>(battery/range_nm)*G65*S65*VLOOKUP(B65,country_opex,3,FALSE)</f>
        <v/>
      </c>
      <c r="Z65" s="49">
        <f>VLOOKUP(B65,country_opex,2,FALSE)*crew_factor</f>
        <v/>
      </c>
      <c r="AA65" s="49">
        <f>VLOOKUP(B65,country_opex,5,FALSE)</f>
        <v/>
      </c>
      <c r="AB65" s="49">
        <f>maint</f>
        <v/>
      </c>
      <c r="AC65" s="49">
        <f>VLOOKUP(B65,country_opex,7,FALSE)*ins_pct</f>
        <v/>
      </c>
      <c r="AD65" s="49">
        <f>charge_berth</f>
        <v/>
      </c>
      <c r="AE65" s="49">
        <f>Y65+Z65+AA65+AB65+AC65+AD65</f>
        <v/>
      </c>
      <c r="AF65" s="49">
        <f>VLOOKUP(B65,country_opex,7,FALSE)/dep_years</f>
        <v/>
      </c>
      <c r="AG65" s="49">
        <f>X65-AE65</f>
        <v/>
      </c>
      <c r="AH65" s="46">
        <f>IF(X65=0,"",AG65/X65)</f>
        <v/>
      </c>
      <c r="AI65" s="47">
        <f>IF(AG65&lt;=0,"",VLOOKUP(B65,country_opex,7,FALSE)/AG65)</f>
        <v/>
      </c>
      <c r="AJ65" s="44">
        <f>((G65*S65/diesel_nmpg)*diesel_co2pg-(battery/range_nm)*G65*S65*VLOOKUP(B65,country_opex,4,FALSE))/1000</f>
        <v/>
      </c>
      <c r="AK65" s="42" t="n">
        <v>125000</v>
      </c>
      <c r="AL65" s="43" t="n"/>
      <c r="AM65" s="43" t="n"/>
      <c r="AN65" s="50" t="n">
        <v>0.1</v>
      </c>
      <c r="AO65" s="45">
        <f>IF(AK65="","",AK65*AN65)</f>
        <v/>
      </c>
      <c r="AP65" s="45">
        <f>IF(OR(AK65="",V65=0),"",MIN(IF(AX65="",9.9E+99,AX65),FLOOR(AO65/V65,1)))</f>
        <v/>
      </c>
      <c r="AQ65" s="49">
        <f>IF(AP65="","",AP65*IF(ABS(MOD(ABS((X65)),1)-0.5)&lt;1E-9,2*ROUND((X65)/2,0),ROUND((X65),0)))</f>
        <v/>
      </c>
      <c r="AR65" s="47">
        <f>IF(OR(AK65="",V65=0),"",MIN(IF(AX65="",9.9E+99,AX65),AO65/V65))</f>
        <v/>
      </c>
      <c r="AS65" s="49">
        <f>IF(AR65="","",AR65*IF(B65="South Korea",IF(ABS(MOD(ABS((X65)),1)-0.5)&lt;1E-9,2*ROUND((X65)/2,0),ROUND((X65),0)),X65))</f>
        <v/>
      </c>
      <c r="AT65" s="51" t="n"/>
      <c r="AU65" s="43" t="inlineStr">
        <is>
          <t>Grounded</t>
        </is>
      </c>
      <c r="AV65" s="52" t="n"/>
      <c r="AW65" s="52" t="n"/>
      <c r="AX65" s="53" t="n"/>
      <c r="AY65" s="54">
        <f>IF(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&lt;=0,"",VLOOKUP(B65,country_opex,7,FALSE)/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)</f>
        <v/>
      </c>
      <c r="AZ65" s="54">
        <f>IF(((W65*pax_cap*IF(B65="South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Korea",korea_mid_revleg,revleg_mid)),0))*VLOOKUP(B65,country_opex,3,FALSE))+Z65+AA65+AB65+AC65+AD65))&lt;=0,"",VLOOKUP(B65,country_opex,7,FALSE)/((W65*pax_cap*IF(B65="South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Korea",korea_mid_revleg,revleg_mid)),0))*VLOOKUP(B65,country_opex,3,FALSE))+Z65+AA65+AB65+AC65+AD65)))</f>
        <v/>
      </c>
      <c r="BA65" s="54">
        <f>IF(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&lt;=0,"",VLOOKUP(B65,country_opex,7,FALSE)/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)</f>
        <v/>
      </c>
      <c r="BB65" s="40" t="inlineStr">
        <is>
          <t>PREMIUM tier: TP Line/Krilo catamaran Dubrovnik-&gt;Polače peak adult ~EUR 20 (summer range to EUR 20). EUR 20 x 1.08 = $21.6.</t>
        </is>
      </c>
      <c r="BC65" s="40" t="n"/>
      <c r="BD65" s="43" t="n"/>
    </row>
    <row r="66">
      <c r="A66" s="38" t="inlineStr">
        <is>
          <t>Bolt Croatia</t>
        </is>
      </c>
      <c r="B66" s="38" t="inlineStr">
        <is>
          <t>Croatia</t>
        </is>
      </c>
      <c r="C66" s="39" t="inlineStr">
        <is>
          <t>Hvar (Hvar Town) → Korčula (Korčula Town)</t>
        </is>
      </c>
      <c r="D66" s="38" t="inlineStr">
        <is>
          <t>bolt</t>
        </is>
      </c>
      <c r="E66" s="40" t="inlineStr">
        <is>
          <t>bolt-croatia</t>
        </is>
      </c>
      <c r="F66" s="41" t="n">
        <v>1</v>
      </c>
      <c r="G66" s="42" t="n">
        <v>30</v>
      </c>
      <c r="H66" s="35" t="n">
        <v>27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IF(B66="South Korea",G66/korea_charge_range_nm*korea_full_range_charge_min,0)</f>
        <v/>
      </c>
      <c r="N66" s="44">
        <f>IF(B66="South Korea",L66+korea_turn_min+korea_dwell_min+M66,L66+turn_min+dwell_min)</f>
        <v/>
      </c>
      <c r="O66" s="45">
        <f>IF(B66="South Korea",FLOOR(60*korea_service_hr/N66,1),MIN(15,FLOOR(60*service_hr/N66,1)))</f>
        <v/>
      </c>
      <c r="P66" s="45">
        <f>IF(ABS(MOD(ABS((365*mech_uptime*K66)),1)-0.5)&lt;1E-9,2*ROUND((365*mech_uptime*K66)/2,0),ROUND((365*mech_uptime*K66),0))</f>
        <v/>
      </c>
      <c r="Q66" s="46">
        <f>mech_uptime</f>
        <v/>
      </c>
      <c r="R66" s="46">
        <f>IF(AND(B66="South Korea",scenario="MID"),korea_mid_revleg,revleg_sel)</f>
        <v/>
      </c>
      <c r="S66" s="45">
        <f>IF(ABS(MOD(ABS((O66*P66*R66)),1)-0.5)&lt;1E-9,2*ROUND((O66*P66*R66)/2,0),ROUND((O66*P66*R66),0))</f>
        <v/>
      </c>
      <c r="T66" s="46">
        <f>IF(AND(B66="South Korea",scenario="MID"),korea_mid_load,load_sel)</f>
        <v/>
      </c>
      <c r="U66" s="47">
        <f>pax_cap*T66</f>
        <v/>
      </c>
      <c r="V66" s="45">
        <f>U66*S66</f>
        <v/>
      </c>
      <c r="W66" s="48">
        <f>H66*discount</f>
        <v/>
      </c>
      <c r="X66" s="49">
        <f>W66*V66</f>
        <v/>
      </c>
      <c r="Y66" s="49">
        <f>(battery/range_nm)*G66*S66*VLOOKUP(B66,country_opex,3,FALSE)</f>
        <v/>
      </c>
      <c r="Z66" s="49">
        <f>VLOOKUP(B66,country_opex,2,FALSE)*crew_factor</f>
        <v/>
      </c>
      <c r="AA66" s="49">
        <f>VLOOKUP(B66,country_opex,5,FALSE)</f>
        <v/>
      </c>
      <c r="AB66" s="49">
        <f>maint</f>
        <v/>
      </c>
      <c r="AC66" s="49">
        <f>VLOOKUP(B66,country_opex,7,FALSE)*ins_pct</f>
        <v/>
      </c>
      <c r="AD66" s="49">
        <f>charge_berth</f>
        <v/>
      </c>
      <c r="AE66" s="49">
        <f>Y66+Z66+AA66+AB66+AC66+AD66</f>
        <v/>
      </c>
      <c r="AF66" s="49">
        <f>VLOOKUP(B66,country_opex,7,FALSE)/dep_years</f>
        <v/>
      </c>
      <c r="AG66" s="49">
        <f>X66-AE66</f>
        <v/>
      </c>
      <c r="AH66" s="46">
        <f>IF(X66=0,"",AG66/X66)</f>
        <v/>
      </c>
      <c r="AI66" s="47">
        <f>IF(AG66&lt;=0,"",VLOOKUP(B66,country_opex,7,FALSE)/AG66)</f>
        <v/>
      </c>
      <c r="AJ66" s="44">
        <f>((G66*S66/diesel_nmpg)*diesel_co2pg-(battery/range_nm)*G66*S66*VLOOKUP(B66,country_opex,4,FALSE))/1000</f>
        <v/>
      </c>
      <c r="AK66" s="42" t="n"/>
      <c r="AL66" s="43" t="n"/>
      <c r="AM66" s="43" t="n"/>
      <c r="AN66" s="50" t="n">
        <v>0.1</v>
      </c>
      <c r="AO66" s="45">
        <f>IF(AK66="","",AK66*AN66)</f>
        <v/>
      </c>
      <c r="AP66" s="45">
        <f>IF(OR(AK66="",V66=0),"",MIN(IF(AX66="",9.9E+99,AX66),FLOOR(AO66/V66,1)))</f>
        <v/>
      </c>
      <c r="AQ66" s="49">
        <f>IF(AP66="","",AP66*IF(ABS(MOD(ABS((X66)),1)-0.5)&lt;1E-9,2*ROUND((X66)/2,0),ROUND((X66),0)))</f>
        <v/>
      </c>
      <c r="AR66" s="47">
        <f>IF(OR(AK66="",V66=0),"",MIN(IF(AX66="",9.9E+99,AX66),AO66/V66))</f>
        <v/>
      </c>
      <c r="AS66" s="49">
        <f>IF(AR66="","",AR66*IF(B66="South Korea",IF(ABS(MOD(ABS((X66)),1)-0.5)&lt;1E-9,2*ROUND((X66)/2,0),ROUND((X66),0)),X66))</f>
        <v/>
      </c>
      <c r="AT66" s="51" t="n"/>
      <c r="AU66" s="43" t="inlineStr">
        <is>
          <t>Estimated</t>
        </is>
      </c>
      <c r="AV66" s="52" t="n"/>
      <c r="AW66" s="52" t="n"/>
      <c r="AX66" s="53" t="n"/>
      <c r="AY66" s="54">
        <f>IF(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&lt;=0,"",VLOOKUP(B66,country_opex,7,FALSE)/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)</f>
        <v/>
      </c>
      <c r="AZ66" s="54">
        <f>IF(((W66*pax_cap*IF(B66="South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Korea",korea_mid_revleg,revleg_mid)),0))*VLOOKUP(B66,country_opex,3,FALSE))+Z66+AA66+AB66+AC66+AD66))&lt;=0,"",VLOOKUP(B66,country_opex,7,FALSE)/((W66*pax_cap*IF(B66="South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Korea",korea_mid_revleg,revleg_mid)),0))*VLOOKUP(B66,country_opex,3,FALSE))+Z66+AA66+AB66+AC66+AD66)))</f>
        <v/>
      </c>
      <c r="BA66" s="54">
        <f>IF(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&lt;=0,"",VLOOKUP(B66,country_opex,7,FALSE)/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)</f>
        <v/>
      </c>
      <c r="BB66" s="40" t="inlineStr">
        <is>
          <t>PREMIUM tier: Krilo/Kapetan Luka &amp; TP Line catamaran Hvar-&gt;Korčula top foot fare ~EUR 25 (range EUR 5.84-25). EUR 25 x 1.08 = $27.0.</t>
        </is>
      </c>
      <c r="BC66" s="40" t="n"/>
      <c r="BD66" s="43" t="n"/>
    </row>
    <row r="67">
      <c r="A67" s="38" t="inlineStr">
        <is>
          <t>Bolt Croatia</t>
        </is>
      </c>
      <c r="B67" s="38" t="inlineStr">
        <is>
          <t>Croatia</t>
        </is>
      </c>
      <c r="C67" s="39" t="inlineStr">
        <is>
          <t>Split → Vis</t>
        </is>
      </c>
      <c r="D67" s="38" t="inlineStr">
        <is>
          <t>bolt</t>
        </is>
      </c>
      <c r="E67" s="40" t="inlineStr">
        <is>
          <t>bolt-croatia</t>
        </is>
      </c>
      <c r="F67" s="41" t="n">
        <v>1</v>
      </c>
      <c r="G67" s="42" t="n">
        <v>31</v>
      </c>
      <c r="H67" s="35" t="n">
        <v>30.2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IF(B67="South Korea",G67/korea_charge_range_nm*korea_full_range_charge_min,0)</f>
        <v/>
      </c>
      <c r="N67" s="44">
        <f>IF(B67="South Korea",L67+korea_turn_min+korea_dwell_min+M67,L67+turn_min+dwell_min)</f>
        <v/>
      </c>
      <c r="O67" s="45">
        <f>IF(B67="South Korea",FLOOR(60*korea_service_hr/N67,1),MIN(15,FLOOR(60*service_hr/N67,1)))</f>
        <v/>
      </c>
      <c r="P67" s="45">
        <f>IF(ABS(MOD(ABS((365*mech_uptime*K67)),1)-0.5)&lt;1E-9,2*ROUND((365*mech_uptime*K67)/2,0),ROUND((365*mech_uptime*K67),0))</f>
        <v/>
      </c>
      <c r="Q67" s="46">
        <f>mech_uptime</f>
        <v/>
      </c>
      <c r="R67" s="46">
        <f>IF(AND(B67="South Korea",scenario="MID"),korea_mid_revleg,revleg_sel)</f>
        <v/>
      </c>
      <c r="S67" s="45">
        <f>IF(ABS(MOD(ABS((O67*P67*R67)),1)-0.5)&lt;1E-9,2*ROUND((O67*P67*R67)/2,0),ROUND((O67*P67*R67),0))</f>
        <v/>
      </c>
      <c r="T67" s="46">
        <f>IF(AND(B67="South Korea",scenario="MID"),korea_mid_load,load_sel)</f>
        <v/>
      </c>
      <c r="U67" s="47">
        <f>pax_cap*T67</f>
        <v/>
      </c>
      <c r="V67" s="45">
        <f>U67*S67</f>
        <v/>
      </c>
      <c r="W67" s="48">
        <f>H67*discount</f>
        <v/>
      </c>
      <c r="X67" s="49">
        <f>W67*V67</f>
        <v/>
      </c>
      <c r="Y67" s="49">
        <f>(battery/range_nm)*G67*S67*VLOOKUP(B67,country_opex,3,FALSE)</f>
        <v/>
      </c>
      <c r="Z67" s="49">
        <f>VLOOKUP(B67,country_opex,2,FALSE)*crew_factor</f>
        <v/>
      </c>
      <c r="AA67" s="49">
        <f>VLOOKUP(B67,country_opex,5,FALSE)</f>
        <v/>
      </c>
      <c r="AB67" s="49">
        <f>maint</f>
        <v/>
      </c>
      <c r="AC67" s="49">
        <f>VLOOKUP(B67,country_opex,7,FALSE)*ins_pct</f>
        <v/>
      </c>
      <c r="AD67" s="49">
        <f>charge_berth</f>
        <v/>
      </c>
      <c r="AE67" s="49">
        <f>Y67+Z67+AA67+AB67+AC67+AD67</f>
        <v/>
      </c>
      <c r="AF67" s="49">
        <f>VLOOKUP(B67,country_opex,7,FALSE)/dep_years</f>
        <v/>
      </c>
      <c r="AG67" s="49">
        <f>X67-AE67</f>
        <v/>
      </c>
      <c r="AH67" s="46">
        <f>IF(X67=0,"",AG67/X67)</f>
        <v/>
      </c>
      <c r="AI67" s="47">
        <f>IF(AG67&lt;=0,"",VLOOKUP(B67,country_opex,7,FALSE)/AG67)</f>
        <v/>
      </c>
      <c r="AJ67" s="44">
        <f>((G67*S67/diesel_nmpg)*diesel_co2pg-(battery/range_nm)*G67*S67*VLOOKUP(B67,country_opex,4,FALSE))/1000</f>
        <v/>
      </c>
      <c r="AK67" s="42" t="n">
        <v>46000</v>
      </c>
      <c r="AL67" s="43" t="n"/>
      <c r="AM67" s="43" t="n"/>
      <c r="AN67" s="50" t="n">
        <v>0.1</v>
      </c>
      <c r="AO67" s="45">
        <f>IF(AK67="","",AK67*AN67)</f>
        <v/>
      </c>
      <c r="AP67" s="45">
        <f>IF(OR(AK67="",V67=0),"",MIN(IF(AX67="",9.9E+99,AX67),FLOOR(AO67/V67,1)))</f>
        <v/>
      </c>
      <c r="AQ67" s="49">
        <f>IF(AP67="","",AP67*IF(ABS(MOD(ABS((X67)),1)-0.5)&lt;1E-9,2*ROUND((X67)/2,0),ROUND((X67),0)))</f>
        <v/>
      </c>
      <c r="AR67" s="47">
        <f>IF(OR(AK67="",V67=0),"",MIN(IF(AX67="",9.9E+99,AX67),AO67/V67))</f>
        <v/>
      </c>
      <c r="AS67" s="49">
        <f>IF(AR67="","",AR67*IF(B67="South Korea",IF(ABS(MOD(ABS((X67)),1)-0.5)&lt;1E-9,2*ROUND((X67)/2,0),ROUND((X67),0)),X67))</f>
        <v/>
      </c>
      <c r="AT67" s="51" t="n"/>
      <c r="AU67" s="43" t="inlineStr">
        <is>
          <t>Grounded</t>
        </is>
      </c>
      <c r="AV67" s="52" t="n"/>
      <c r="AW67" s="52" t="n"/>
      <c r="AX67" s="53" t="n"/>
      <c r="AY67" s="54">
        <f>IF(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&lt;=0,"",VLOOKUP(B67,country_opex,7,FALSE)/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)</f>
        <v/>
      </c>
      <c r="AZ67" s="54">
        <f>IF(((W67*pax_cap*IF(B67="South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Korea",korea_mid_revleg,revleg_mid)),0))*VLOOKUP(B67,country_opex,3,FALSE))+Z67+AA67+AB67+AC67+AD67))&lt;=0,"",VLOOKUP(B67,country_opex,7,FALSE)/((W67*pax_cap*IF(B67="South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Korea",korea_mid_revleg,revleg_mid)),0))*VLOOKUP(B67,country_opex,3,FALSE))+Z67+AA67+AB67+AC67+AD67)))</f>
        <v/>
      </c>
      <c r="BA67" s="54">
        <f>IF(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&lt;=0,"",VLOOKUP(B67,country_opex,7,FALSE)/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)</f>
        <v/>
      </c>
      <c r="BB67" s="40" t="inlineStr">
        <is>
          <t>PREMIUM tier: Kapetan Luka 'Krilo'/Jadrolinija fast catamaran Split-&gt;Vis, top foot fare ~EUR 28 (range EUR 6.50-28). EUR 28 x 1.08 = $30.2.</t>
        </is>
      </c>
      <c r="BC67" s="40" t="n"/>
      <c r="BD67" s="43" t="n"/>
    </row>
    <row r="68">
      <c r="A68" s="38" t="inlineStr">
        <is>
          <t>Bolt Croatia</t>
        </is>
      </c>
      <c r="B68" s="38" t="inlineStr">
        <is>
          <t>Croatia</t>
        </is>
      </c>
      <c r="C68" s="39" t="inlineStr">
        <is>
          <t>Split → Korčula (Korčula Town)</t>
        </is>
      </c>
      <c r="D68" s="38" t="inlineStr">
        <is>
          <t>bolt</t>
        </is>
      </c>
      <c r="E68" s="40" t="inlineStr">
        <is>
          <t>bolt-croatia</t>
        </is>
      </c>
      <c r="F68" s="41" t="n">
        <v>1</v>
      </c>
      <c r="G68" s="42" t="n">
        <v>40</v>
      </c>
      <c r="H68" s="35" t="n">
        <v>32.4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IF(B68="South Korea",G68/korea_charge_range_nm*korea_full_range_charge_min,0)</f>
        <v/>
      </c>
      <c r="N68" s="44">
        <f>IF(B68="South Korea",L68+korea_turn_min+korea_dwell_min+M68,L68+turn_min+dwell_min)</f>
        <v/>
      </c>
      <c r="O68" s="45">
        <f>IF(B68="South Korea",FLOOR(60*korea_service_hr/N68,1),MIN(15,FLOOR(60*service_hr/N68,1)))</f>
        <v/>
      </c>
      <c r="P68" s="45">
        <f>IF(ABS(MOD(ABS((365*mech_uptime*K68)),1)-0.5)&lt;1E-9,2*ROUND((365*mech_uptime*K68)/2,0),ROUND((365*mech_uptime*K68),0))</f>
        <v/>
      </c>
      <c r="Q68" s="46">
        <f>mech_uptime</f>
        <v/>
      </c>
      <c r="R68" s="46">
        <f>IF(AND(B68="South Korea",scenario="MID"),korea_mid_revleg,revleg_sel)</f>
        <v/>
      </c>
      <c r="S68" s="45">
        <f>IF(ABS(MOD(ABS((O68*P68*R68)),1)-0.5)&lt;1E-9,2*ROUND((O68*P68*R68)/2,0),ROUND((O68*P68*R68),0))</f>
        <v/>
      </c>
      <c r="T68" s="46">
        <f>IF(AND(B68="South Korea",scenario="MID"),korea_mid_load,load_sel)</f>
        <v/>
      </c>
      <c r="U68" s="47">
        <f>pax_cap*T68</f>
        <v/>
      </c>
      <c r="V68" s="45">
        <f>U68*S68</f>
        <v/>
      </c>
      <c r="W68" s="48">
        <f>H68*discount</f>
        <v/>
      </c>
      <c r="X68" s="49">
        <f>W68*V68</f>
        <v/>
      </c>
      <c r="Y68" s="49">
        <f>(battery/range_nm)*G68*S68*VLOOKUP(B68,country_opex,3,FALSE)</f>
        <v/>
      </c>
      <c r="Z68" s="49">
        <f>VLOOKUP(B68,country_opex,2,FALSE)*crew_factor</f>
        <v/>
      </c>
      <c r="AA68" s="49">
        <f>VLOOKUP(B68,country_opex,5,FALSE)</f>
        <v/>
      </c>
      <c r="AB68" s="49">
        <f>maint</f>
        <v/>
      </c>
      <c r="AC68" s="49">
        <f>VLOOKUP(B68,country_opex,7,FALSE)*ins_pct</f>
        <v/>
      </c>
      <c r="AD68" s="49">
        <f>charge_berth</f>
        <v/>
      </c>
      <c r="AE68" s="49">
        <f>Y68+Z68+AA68+AB68+AC68+AD68</f>
        <v/>
      </c>
      <c r="AF68" s="49">
        <f>VLOOKUP(B68,country_opex,7,FALSE)/dep_years</f>
        <v/>
      </c>
      <c r="AG68" s="49">
        <f>X68-AE68</f>
        <v/>
      </c>
      <c r="AH68" s="46">
        <f>IF(X68=0,"",AG68/X68)</f>
        <v/>
      </c>
      <c r="AI68" s="47">
        <f>IF(AG68&lt;=0,"",VLOOKUP(B68,country_opex,7,FALSE)/AG68)</f>
        <v/>
      </c>
      <c r="AJ68" s="44">
        <f>((G68*S68/diesel_nmpg)*diesel_co2pg-(battery/range_nm)*G68*S68*VLOOKUP(B68,country_opex,4,FALSE))/1000</f>
        <v/>
      </c>
      <c r="AK68" s="42" t="n">
        <v>183000</v>
      </c>
      <c r="AL68" s="43" t="n"/>
      <c r="AM68" s="43" t="n"/>
      <c r="AN68" s="50" t="n">
        <v>0.1</v>
      </c>
      <c r="AO68" s="45">
        <f>IF(AK68="","",AK68*AN68)</f>
        <v/>
      </c>
      <c r="AP68" s="45">
        <f>IF(OR(AK68="",V68=0),"",MIN(IF(AX68="",9.9E+99,AX68),FLOOR(AO68/V68,1)))</f>
        <v/>
      </c>
      <c r="AQ68" s="49">
        <f>IF(AP68="","",AP68*IF(ABS(MOD(ABS((X68)),1)-0.5)&lt;1E-9,2*ROUND((X68)/2,0),ROUND((X68),0)))</f>
        <v/>
      </c>
      <c r="AR68" s="47">
        <f>IF(OR(AK68="",V68=0),"",MIN(IF(AX68="",9.9E+99,AX68),AO68/V68))</f>
        <v/>
      </c>
      <c r="AS68" s="49">
        <f>IF(AR68="","",AR68*IF(B68="South Korea",IF(ABS(MOD(ABS((X68)),1)-0.5)&lt;1E-9,2*ROUND((X68)/2,0),ROUND((X68),0)),X68))</f>
        <v/>
      </c>
      <c r="AT68" s="51" t="n"/>
      <c r="AU68" s="43" t="inlineStr">
        <is>
          <t>Grounded</t>
        </is>
      </c>
      <c r="AV68" s="52" t="n"/>
      <c r="AW68" s="52" t="n"/>
      <c r="AX68" s="53" t="n"/>
      <c r="AY68" s="54">
        <f>IF(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&lt;=0,"",VLOOKUP(B68,country_opex,7,FALSE)/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)</f>
        <v/>
      </c>
      <c r="AZ68" s="54">
        <f>IF(((W68*pax_cap*IF(B68="South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Korea",korea_mid_revleg,revleg_mid)),0))*VLOOKUP(B68,country_opex,3,FALSE))+Z68+AA68+AB68+AC68+AD68))&lt;=0,"",VLOOKUP(B68,country_opex,7,FALSE)/((W68*pax_cap*IF(B68="South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Korea",korea_mid_revleg,revleg_mid)),0))*VLOOKUP(B68,country_opex,3,FALSE))+Z68+AA68+AB68+AC68+AD68)))</f>
        <v/>
      </c>
      <c r="BA68" s="54">
        <f>IF(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&lt;=0,"",VLOOKUP(B68,country_opex,7,FALSE)/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)</f>
        <v/>
      </c>
      <c r="BB68" s="40" t="inlineStr">
        <is>
          <t>PREMIUM tier: high-season fast catamaran Split-&gt;Korčula adult up to EUR 30 (Krilo/TP Line). EUR 30 x 1.08 = $32.4.</t>
        </is>
      </c>
      <c r="BC68" s="40" t="n"/>
      <c r="BD68" s="43" t="n"/>
    </row>
    <row r="69">
      <c r="A69" s="38" t="inlineStr">
        <is>
          <t>Bolt Croatia</t>
        </is>
      </c>
      <c r="B69" s="38" t="inlineStr">
        <is>
          <t>Croatia</t>
        </is>
      </c>
      <c r="C69" s="39" t="inlineStr">
        <is>
          <t>Dubrovnik → Kotor (Montenegro)</t>
        </is>
      </c>
      <c r="D69" s="38" t="inlineStr">
        <is>
          <t>bolt</t>
        </is>
      </c>
      <c r="E69" s="40" t="inlineStr">
        <is>
          <t>bolt-croatia</t>
        </is>
      </c>
      <c r="F69" s="41" t="n">
        <v>1</v>
      </c>
      <c r="G69" s="42" t="n">
        <v>40</v>
      </c>
      <c r="H69" s="35" t="n"/>
      <c r="I69" s="43" t="n"/>
      <c r="J69" s="43" t="n"/>
      <c r="K69" s="29" t="n">
        <v>1</v>
      </c>
      <c r="L69" s="44">
        <f>60*G69/cruise_kt</f>
        <v/>
      </c>
      <c r="M69" s="44">
        <f>IF(B69="South Korea",G69/korea_charge_range_nm*korea_full_range_charge_min,0)</f>
        <v/>
      </c>
      <c r="N69" s="44">
        <f>IF(B69="South Korea",L69+korea_turn_min+korea_dwell_min+M69,L69+turn_min+dwell_min)</f>
        <v/>
      </c>
      <c r="O69" s="45">
        <f>IF(B69="South Korea",FLOOR(60*korea_service_hr/N69,1),MIN(15,FLOOR(60*service_hr/N69,1)))</f>
        <v/>
      </c>
      <c r="P69" s="45">
        <f>IF(ABS(MOD(ABS((365*mech_uptime*K69)),1)-0.5)&lt;1E-9,2*ROUND((365*mech_uptime*K69)/2,0),ROUND((365*mech_uptime*K69),0))</f>
        <v/>
      </c>
      <c r="Q69" s="46">
        <f>mech_uptime</f>
        <v/>
      </c>
      <c r="R69" s="46">
        <f>IF(AND(B69="South Korea",scenario="MID"),korea_mid_revleg,revleg_sel)</f>
        <v/>
      </c>
      <c r="S69" s="45">
        <f>IF(ABS(MOD(ABS((O69*P69*R69)),1)-0.5)&lt;1E-9,2*ROUND((O69*P69*R69)/2,0),ROUND((O69*P69*R69),0))</f>
        <v/>
      </c>
      <c r="T69" s="46">
        <f>IF(AND(B69="South Korea",scenario="MID"),korea_mid_load,load_sel)</f>
        <v/>
      </c>
      <c r="U69" s="47">
        <f>pax_cap*T69</f>
        <v/>
      </c>
      <c r="V69" s="45">
        <f>U69*S69</f>
        <v/>
      </c>
      <c r="W69" s="48">
        <f>H69*discount</f>
        <v/>
      </c>
      <c r="X69" s="49">
        <f>W69*V69</f>
        <v/>
      </c>
      <c r="Y69" s="49">
        <f>(battery/range_nm)*G69*S69*VLOOKUP(B69,country_opex,3,FALSE)</f>
        <v/>
      </c>
      <c r="Z69" s="49">
        <f>VLOOKUP(B69,country_opex,2,FALSE)*crew_factor</f>
        <v/>
      </c>
      <c r="AA69" s="49">
        <f>VLOOKUP(B69,country_opex,5,FALSE)</f>
        <v/>
      </c>
      <c r="AB69" s="49">
        <f>maint</f>
        <v/>
      </c>
      <c r="AC69" s="49">
        <f>VLOOKUP(B69,country_opex,7,FALSE)*ins_pct</f>
        <v/>
      </c>
      <c r="AD69" s="49">
        <f>charge_berth</f>
        <v/>
      </c>
      <c r="AE69" s="49">
        <f>Y69+Z69+AA69+AB69+AC69+AD69</f>
        <v/>
      </c>
      <c r="AF69" s="49">
        <f>VLOOKUP(B69,country_opex,7,FALSE)/dep_years</f>
        <v/>
      </c>
      <c r="AG69" s="49">
        <f>X69-AE69</f>
        <v/>
      </c>
      <c r="AH69" s="46">
        <f>IF(X69=0,"",AG69/X69)</f>
        <v/>
      </c>
      <c r="AI69" s="47">
        <f>IF(AG69&lt;=0,"",VLOOKUP(B69,country_opex,7,FALSE)/AG69)</f>
        <v/>
      </c>
      <c r="AJ69" s="44">
        <f>((G69*S69/diesel_nmpg)*diesel_co2pg-(battery/range_nm)*G69*S69*VLOOKUP(B69,country_opex,4,FALSE))/1000</f>
        <v/>
      </c>
      <c r="AK69" s="42" t="n"/>
      <c r="AL69" s="43" t="n"/>
      <c r="AM69" s="43" t="n"/>
      <c r="AN69" s="50" t="n">
        <v>0.1</v>
      </c>
      <c r="AO69" s="45">
        <f>IF(AK69="","",AK69*AN69)</f>
        <v/>
      </c>
      <c r="AP69" s="45">
        <f>IF(OR(AK69="",V69=0),"",MIN(IF(AX69="",9.9E+99,AX69),FLOOR(AO69/V69,1)))</f>
        <v/>
      </c>
      <c r="AQ69" s="49">
        <f>IF(AP69="","",AP69*IF(ABS(MOD(ABS((X69)),1)-0.5)&lt;1E-9,2*ROUND((X69)/2,0),ROUND((X69),0)))</f>
        <v/>
      </c>
      <c r="AR69" s="47">
        <f>IF(OR(AK69="",V69=0),"",MIN(IF(AX69="",9.9E+99,AX69),AO69/V69))</f>
        <v/>
      </c>
      <c r="AS69" s="49">
        <f>IF(AR69="","",AR69*IF(B69="South Korea",IF(ABS(MOD(ABS((X69)),1)-0.5)&lt;1E-9,2*ROUND((X69)/2,0),ROUND((X69),0)),X69))</f>
        <v/>
      </c>
      <c r="AT69" s="51" t="n"/>
      <c r="AU69" s="43" t="inlineStr">
        <is>
          <t>Estimated</t>
        </is>
      </c>
      <c r="AV69" s="52" t="n"/>
      <c r="AW69" s="52" t="n"/>
      <c r="AX69" s="53" t="n"/>
      <c r="AY69" s="54">
        <f>IF(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&lt;=0,"",VLOOKUP(B69,country_opex,7,FALSE)/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)</f>
        <v/>
      </c>
      <c r="AZ69" s="54">
        <f>IF(((W69*pax_cap*IF(B69="South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Korea",korea_mid_revleg,revleg_mid)),0))*VLOOKUP(B69,country_opex,3,FALSE))+Z69+AA69+AB69+AC69+AD69))&lt;=0,"",VLOOKUP(B69,country_opex,7,FALSE)/((W69*pax_cap*IF(B69="South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Korea",korea_mid_revleg,revleg_mid)),0))*VLOOKUP(B69,country_opex,3,FALSE))+Z69+AA69+AB69+AC69+AD69)))</f>
        <v/>
      </c>
      <c r="BA69" s="54">
        <f>IF(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&lt;=0,"",VLOOKUP(B69,country_opex,7,FALSE)/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)</f>
        <v/>
      </c>
      <c r="BB69" s="40" t="n"/>
      <c r="BC69" s="40" t="n"/>
      <c r="BD69" s="43" t="n"/>
    </row>
    <row r="70">
      <c r="A70" s="38" t="inlineStr">
        <is>
          <t>Bolt Croatia</t>
        </is>
      </c>
      <c r="B70" s="38" t="inlineStr">
        <is>
          <t>Croatia</t>
        </is>
      </c>
      <c r="C70" s="39" t="inlineStr">
        <is>
          <t>Dubrovnik → Korčula (Korčula Town)</t>
        </is>
      </c>
      <c r="D70" s="38" t="inlineStr">
        <is>
          <t>bolt</t>
        </is>
      </c>
      <c r="E70" s="40" t="inlineStr">
        <is>
          <t>bolt-croatia</t>
        </is>
      </c>
      <c r="F70" s="41" t="n">
        <v>1</v>
      </c>
      <c r="G70" s="42" t="n">
        <v>47</v>
      </c>
      <c r="H70" s="35" t="n">
        <v>32.4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IF(B70="South Korea",G70/korea_charge_range_nm*korea_full_range_charge_min,0)</f>
        <v/>
      </c>
      <c r="N70" s="44">
        <f>IF(B70="South Korea",L70+korea_turn_min+korea_dwell_min+M70,L70+turn_min+dwell_min)</f>
        <v/>
      </c>
      <c r="O70" s="45">
        <f>IF(B70="South Korea",FLOOR(60*korea_service_hr/N70,1),MIN(15,FLOOR(60*service_hr/N70,1)))</f>
        <v/>
      </c>
      <c r="P70" s="45">
        <f>IF(ABS(MOD(ABS((365*mech_uptime*K70)),1)-0.5)&lt;1E-9,2*ROUND((365*mech_uptime*K70)/2,0),ROUND((365*mech_uptime*K70),0))</f>
        <v/>
      </c>
      <c r="Q70" s="46">
        <f>mech_uptime</f>
        <v/>
      </c>
      <c r="R70" s="46">
        <f>IF(AND(B70="South Korea",scenario="MID"),korea_mid_revleg,revleg_sel)</f>
        <v/>
      </c>
      <c r="S70" s="45">
        <f>IF(ABS(MOD(ABS((O70*P70*R70)),1)-0.5)&lt;1E-9,2*ROUND((O70*P70*R70)/2,0),ROUND((O70*P70*R70),0))</f>
        <v/>
      </c>
      <c r="T70" s="46">
        <f>IF(AND(B70="South Korea",scenario="MID"),korea_mid_load,load_sel)</f>
        <v/>
      </c>
      <c r="U70" s="47">
        <f>pax_cap*T70</f>
        <v/>
      </c>
      <c r="V70" s="45">
        <f>U70*S70</f>
        <v/>
      </c>
      <c r="W70" s="48">
        <f>H70*discount</f>
        <v/>
      </c>
      <c r="X70" s="49">
        <f>W70*V70</f>
        <v/>
      </c>
      <c r="Y70" s="49">
        <f>(battery/range_nm)*G70*S70*VLOOKUP(B70,country_opex,3,FALSE)</f>
        <v/>
      </c>
      <c r="Z70" s="49">
        <f>VLOOKUP(B70,country_opex,2,FALSE)*crew_factor</f>
        <v/>
      </c>
      <c r="AA70" s="49">
        <f>VLOOKUP(B70,country_opex,5,FALSE)</f>
        <v/>
      </c>
      <c r="AB70" s="49">
        <f>maint</f>
        <v/>
      </c>
      <c r="AC70" s="49">
        <f>VLOOKUP(B70,country_opex,7,FALSE)*ins_pct</f>
        <v/>
      </c>
      <c r="AD70" s="49">
        <f>charge_berth</f>
        <v/>
      </c>
      <c r="AE70" s="49">
        <f>Y70+Z70+AA70+AB70+AC70+AD70</f>
        <v/>
      </c>
      <c r="AF70" s="49">
        <f>VLOOKUP(B70,country_opex,7,FALSE)/dep_years</f>
        <v/>
      </c>
      <c r="AG70" s="49">
        <f>X70-AE70</f>
        <v/>
      </c>
      <c r="AH70" s="46">
        <f>IF(X70=0,"",AG70/X70)</f>
        <v/>
      </c>
      <c r="AI70" s="47">
        <f>IF(AG70&lt;=0,"",VLOOKUP(B70,country_opex,7,FALSE)/AG70)</f>
        <v/>
      </c>
      <c r="AJ70" s="44">
        <f>((G70*S70/diesel_nmpg)*diesel_co2pg-(battery/range_nm)*G70*S70*VLOOKUP(B70,country_opex,4,FALSE))/1000</f>
        <v/>
      </c>
      <c r="AK70" s="42" t="n"/>
      <c r="AL70" s="43" t="n"/>
      <c r="AM70" s="43" t="n"/>
      <c r="AN70" s="50" t="n">
        <v>0.1</v>
      </c>
      <c r="AO70" s="45">
        <f>IF(AK70="","",AK70*AN70)</f>
        <v/>
      </c>
      <c r="AP70" s="45">
        <f>IF(OR(AK70="",V70=0),"",MIN(IF(AX70="",9.9E+99,AX70),FLOOR(AO70/V70,1)))</f>
        <v/>
      </c>
      <c r="AQ70" s="49">
        <f>IF(AP70="","",AP70*IF(ABS(MOD(ABS((X70)),1)-0.5)&lt;1E-9,2*ROUND((X70)/2,0),ROUND((X70),0)))</f>
        <v/>
      </c>
      <c r="AR70" s="47">
        <f>IF(OR(AK70="",V70=0),"",MIN(IF(AX70="",9.9E+99,AX70),AO70/V70))</f>
        <v/>
      </c>
      <c r="AS70" s="49">
        <f>IF(AR70="","",AR70*IF(B70="South Korea",IF(ABS(MOD(ABS((X70)),1)-0.5)&lt;1E-9,2*ROUND((X70)/2,0),ROUND((X70),0)),X70))</f>
        <v/>
      </c>
      <c r="AT70" s="51" t="n"/>
      <c r="AU70" s="43" t="inlineStr">
        <is>
          <t>Estimated</t>
        </is>
      </c>
      <c r="AV70" s="52" t="n"/>
      <c r="AW70" s="52" t="n"/>
      <c r="AX70" s="53" t="n"/>
      <c r="AY70" s="54">
        <f>IF(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&lt;=0,"",VLOOKUP(B70,country_opex,7,FALSE)/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)</f>
        <v/>
      </c>
      <c r="AZ70" s="54">
        <f>IF(((W70*pax_cap*IF(B70="South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Korea",korea_mid_revleg,revleg_mid)),0))*VLOOKUP(B70,country_opex,3,FALSE))+Z70+AA70+AB70+AC70+AD70))&lt;=0,"",VLOOKUP(B70,country_opex,7,FALSE)/((W70*pax_cap*IF(B70="South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Korea",korea_mid_revleg,revleg_mid)),0))*VLOOKUP(B70,country_opex,3,FALSE))+Z70+AA70+AB70+AC70+AD70)))</f>
        <v/>
      </c>
      <c r="BA70" s="54">
        <f>IF(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&lt;=0,"",VLOOKUP(B70,country_opex,7,FALSE)/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)</f>
        <v/>
      </c>
      <c r="BB70" s="40" t="inlineStr">
        <is>
          <t>PREMIUM tier: high-season catamaran Dubrovnik-&gt;Korčula adult up to EUR 30 (TP Line/Krilo). EUR 30 x 1.08 = $32.4.</t>
        </is>
      </c>
      <c r="BC70" s="40" t="n"/>
      <c r="BD70" s="43" t="n"/>
    </row>
    <row r="71">
      <c r="A71" s="38" t="inlineStr">
        <is>
          <t>Ocean Whisperer</t>
        </is>
      </c>
      <c r="B71" s="38" t="inlineStr">
        <is>
          <t>Curaçao</t>
        </is>
      </c>
      <c r="C71" s="39" t="inlineStr">
        <is>
          <t>Willemstad / Sint Anna Bay → Piscadera Bay (Marriott / JW-style resort cluster)</t>
        </is>
      </c>
      <c r="D71" s="38" t="inlineStr">
        <is>
          <t>ocean-whisperer</t>
        </is>
      </c>
      <c r="E71" s="40" t="inlineStr">
        <is>
          <t>ocean-whisperer</t>
        </is>
      </c>
      <c r="F71" s="41" t="n">
        <v>1</v>
      </c>
      <c r="G71" s="42" t="n">
        <v>3</v>
      </c>
      <c r="H71" s="35" t="n">
        <v>45</v>
      </c>
      <c r="I71" s="43" t="inlineStr">
        <is>
          <t>T5</t>
        </is>
      </c>
      <c r="J71" s="43" t="inlineStr">
        <is>
          <t>low</t>
        </is>
      </c>
      <c r="K71" s="29" t="n">
        <v>0.9</v>
      </c>
      <c r="L71" s="44">
        <f>60*G71/cruise_kt</f>
        <v/>
      </c>
      <c r="M71" s="44">
        <f>IF(B71="South Korea",G71/korea_charge_range_nm*korea_full_range_charge_min,0)</f>
        <v/>
      </c>
      <c r="N71" s="44">
        <f>IF(B71="South Korea",L71+korea_turn_min+korea_dwell_min+M71,L71+turn_min+dwell_min)</f>
        <v/>
      </c>
      <c r="O71" s="45">
        <f>IF(B71="South Korea",FLOOR(60*korea_service_hr/N71,1),MIN(15,FLOOR(60*service_hr/N71,1)))</f>
        <v/>
      </c>
      <c r="P71" s="45">
        <f>IF(ABS(MOD(ABS((365*mech_uptime*K71)),1)-0.5)&lt;1E-9,2*ROUND((365*mech_uptime*K71)/2,0),ROUND((365*mech_uptime*K71),0))</f>
        <v/>
      </c>
      <c r="Q71" s="46">
        <f>mech_uptime</f>
        <v/>
      </c>
      <c r="R71" s="46">
        <f>IF(AND(B71="South Korea",scenario="MID"),korea_mid_revleg,revleg_sel)</f>
        <v/>
      </c>
      <c r="S71" s="45">
        <f>IF(ABS(MOD(ABS((O71*P71*R71)),1)-0.5)&lt;1E-9,2*ROUND((O71*P71*R71)/2,0),ROUND((O71*P71*R71),0))</f>
        <v/>
      </c>
      <c r="T71" s="46">
        <f>IF(AND(B71="South Korea",scenario="MID"),korea_mid_load,load_sel)</f>
        <v/>
      </c>
      <c r="U71" s="47">
        <f>pax_cap*T71</f>
        <v/>
      </c>
      <c r="V71" s="45">
        <f>U71*S71</f>
        <v/>
      </c>
      <c r="W71" s="48">
        <f>H71*discount</f>
        <v/>
      </c>
      <c r="X71" s="49">
        <f>W71*V71</f>
        <v/>
      </c>
      <c r="Y71" s="49">
        <f>(battery/range_nm)*G71*S71*VLOOKUP(B71,country_opex,3,FALSE)</f>
        <v/>
      </c>
      <c r="Z71" s="49">
        <f>VLOOKUP(B71,country_opex,2,FALSE)*crew_factor</f>
        <v/>
      </c>
      <c r="AA71" s="49">
        <f>VLOOKUP(B71,country_opex,5,FALSE)</f>
        <v/>
      </c>
      <c r="AB71" s="49">
        <f>maint</f>
        <v/>
      </c>
      <c r="AC71" s="49">
        <f>VLOOKUP(B71,country_opex,7,FALSE)*ins_pct</f>
        <v/>
      </c>
      <c r="AD71" s="49">
        <f>charge_berth</f>
        <v/>
      </c>
      <c r="AE71" s="49">
        <f>Y71+Z71+AA71+AB71+AC71+AD71</f>
        <v/>
      </c>
      <c r="AF71" s="49">
        <f>VLOOKUP(B71,country_opex,7,FALSE)/dep_years</f>
        <v/>
      </c>
      <c r="AG71" s="49">
        <f>X71-AE71</f>
        <v/>
      </c>
      <c r="AH71" s="46">
        <f>IF(X71=0,"",AG71/X71)</f>
        <v/>
      </c>
      <c r="AI71" s="47">
        <f>IF(AG71&lt;=0,"",VLOOKUP(B71,country_opex,7,FALSE)/AG71)</f>
        <v/>
      </c>
      <c r="AJ71" s="44">
        <f>((G71*S71/diesel_nmpg)*diesel_co2pg-(battery/range_nm)*G71*S71*VLOOKUP(B71,country_opex,4,FALSE))/1000</f>
        <v/>
      </c>
      <c r="AK71" s="42" t="n"/>
      <c r="AL71" s="43" t="n"/>
      <c r="AM71" s="43" t="n"/>
      <c r="AN71" s="50" t="n">
        <v>0.9</v>
      </c>
      <c r="AO71" s="45">
        <f>IF(AK71="","",AK71*AN71)</f>
        <v/>
      </c>
      <c r="AP71" s="45">
        <f>IF(OR(AK71="",V71=0),"",MIN(IF(AX71="",9.9E+99,AX71),FLOOR(AO71/V71,1)))</f>
        <v/>
      </c>
      <c r="AQ71" s="49">
        <f>IF(AP71="","",AP71*IF(ABS(MOD(ABS((X71)),1)-0.5)&lt;1E-9,2*ROUND((X71)/2,0),ROUND((X71),0)))</f>
        <v/>
      </c>
      <c r="AR71" s="47">
        <f>IF(OR(AK71="",V71=0),"",MIN(IF(AX71="",9.9E+99,AX71),AO71/V71))</f>
        <v/>
      </c>
      <c r="AS71" s="49">
        <f>IF(AR71="","",AR71*IF(B71="South Korea",IF(ABS(MOD(ABS((X71)),1)-0.5)&lt;1E-9,2*ROUND((X71)/2,0),ROUND((X71),0)),X71))</f>
        <v/>
      </c>
      <c r="AT71" s="51" t="n"/>
      <c r="AU71" s="43" t="inlineStr">
        <is>
          <t>Estimated</t>
        </is>
      </c>
      <c r="AV71" s="52" t="n"/>
      <c r="AW71" s="52" t="n"/>
      <c r="AX71" s="53" t="n"/>
      <c r="AY71" s="54">
        <f>IF(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&lt;=0,"",VLOOKUP(B71,country_opex,7,FALSE)/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)</f>
        <v/>
      </c>
      <c r="AZ71" s="54">
        <f>IF(((W71*pax_cap*IF(B71="South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Korea",korea_mid_revleg,revleg_mid)),0))*VLOOKUP(B71,country_opex,3,FALSE))+Z71+AA71+AB71+AC71+AD71))&lt;=0,"",VLOOKUP(B71,country_opex,7,FALSE)/((W71*pax_cap*IF(B71="South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Korea",korea_mid_revleg,revleg_mid)),0))*VLOOKUP(B71,country_opex,3,FALSE))+Z71+AA71+AB71+AC71+AD71)))</f>
        <v/>
      </c>
      <c r="BA71" s="54">
        <f>IF(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&lt;=0,"",VLOOKUP(B71,country_opex,7,FALSE)/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)</f>
        <v/>
      </c>
      <c r="BB71" s="40" t="inlineStr">
        <is>
          <t>MODELED short premium transfer. To be finalized in cascade.</t>
        </is>
      </c>
      <c r="BC71" s="40" t="n"/>
      <c r="BD71" s="43" t="inlineStr">
        <is>
          <t>rn-c7ee2a1d3722</t>
        </is>
      </c>
    </row>
    <row r="72">
      <c r="A72" s="38" t="inlineStr">
        <is>
          <t>Ocean Whisperer</t>
        </is>
      </c>
      <c r="B72" s="38" t="inlineStr">
        <is>
          <t>Curaçao</t>
        </is>
      </c>
      <c r="C72" s="39" t="inlineStr">
        <is>
          <t>Hato air arrival → leeward embarkation (Piscadera Bay) → Baoase Luxury Resort (south coast, near Willemstad)</t>
        </is>
      </c>
      <c r="D72" s="38" t="inlineStr">
        <is>
          <t>ocean-whisperer</t>
        </is>
      </c>
      <c r="E72" s="40" t="n"/>
      <c r="F72" s="41" t="n">
        <v>1</v>
      </c>
      <c r="G72" s="42" t="n">
        <v>4.4</v>
      </c>
      <c r="H72" s="35" t="n">
        <v>85</v>
      </c>
      <c r="I72" s="43" t="inlineStr">
        <is>
          <t>T5</t>
        </is>
      </c>
      <c r="J72" s="43" t="inlineStr">
        <is>
          <t>low</t>
        </is>
      </c>
      <c r="K72" s="29" t="n">
        <v>0.9</v>
      </c>
      <c r="L72" s="44">
        <f>60*G72/cruise_kt</f>
        <v/>
      </c>
      <c r="M72" s="44">
        <f>IF(B72="South Korea",G72/korea_charge_range_nm*korea_full_range_charge_min,0)</f>
        <v/>
      </c>
      <c r="N72" s="44">
        <f>IF(B72="South Korea",L72+korea_turn_min+korea_dwell_min+M72,L72+turn_min+dwell_min)</f>
        <v/>
      </c>
      <c r="O72" s="45">
        <f>IF(B72="South Korea",FLOOR(60*korea_service_hr/N72,1),MIN(15,FLOOR(60*service_hr/N72,1)))</f>
        <v/>
      </c>
      <c r="P72" s="45">
        <f>IF(ABS(MOD(ABS((365*mech_uptime*K72)),1)-0.5)&lt;1E-9,2*ROUND((365*mech_uptime*K72)/2,0),ROUND((365*mech_uptime*K72),0))</f>
        <v/>
      </c>
      <c r="Q72" s="46">
        <f>mech_uptime</f>
        <v/>
      </c>
      <c r="R72" s="46">
        <f>IF(AND(B72="South Korea",scenario="MID"),korea_mid_revleg,revleg_sel)</f>
        <v/>
      </c>
      <c r="S72" s="45">
        <f>IF(ABS(MOD(ABS((O72*P72*R72)),1)-0.5)&lt;1E-9,2*ROUND((O72*P72*R72)/2,0),ROUND((O72*P72*R72),0))</f>
        <v/>
      </c>
      <c r="T72" s="46">
        <f>IF(AND(B72="South Korea",scenario="MID"),korea_mid_load,load_sel)</f>
        <v/>
      </c>
      <c r="U72" s="47">
        <f>pax_cap*T72</f>
        <v/>
      </c>
      <c r="V72" s="45">
        <f>U72*S72</f>
        <v/>
      </c>
      <c r="W72" s="48">
        <f>H72*discount</f>
        <v/>
      </c>
      <c r="X72" s="49">
        <f>W72*V72</f>
        <v/>
      </c>
      <c r="Y72" s="49">
        <f>(battery/range_nm)*G72*S72*VLOOKUP(B72,country_opex,3,FALSE)</f>
        <v/>
      </c>
      <c r="Z72" s="49">
        <f>VLOOKUP(B72,country_opex,2,FALSE)*crew_factor</f>
        <v/>
      </c>
      <c r="AA72" s="49">
        <f>VLOOKUP(B72,country_opex,5,FALSE)</f>
        <v/>
      </c>
      <c r="AB72" s="49">
        <f>maint</f>
        <v/>
      </c>
      <c r="AC72" s="49">
        <f>VLOOKUP(B72,country_opex,7,FALSE)*ins_pct</f>
        <v/>
      </c>
      <c r="AD72" s="49">
        <f>charge_berth</f>
        <v/>
      </c>
      <c r="AE72" s="49">
        <f>Y72+Z72+AA72+AB72+AC72+AD72</f>
        <v/>
      </c>
      <c r="AF72" s="49">
        <f>VLOOKUP(B72,country_opex,7,FALSE)/dep_years</f>
        <v/>
      </c>
      <c r="AG72" s="49">
        <f>X72-AE72</f>
        <v/>
      </c>
      <c r="AH72" s="46">
        <f>IF(X72=0,"",AG72/X72)</f>
        <v/>
      </c>
      <c r="AI72" s="47">
        <f>IF(AG72&lt;=0,"",VLOOKUP(B72,country_opex,7,FALSE)/AG72)</f>
        <v/>
      </c>
      <c r="AJ72" s="44">
        <f>((G72*S72/diesel_nmpg)*diesel_co2pg-(battery/range_nm)*G72*S72*VLOOKUP(B72,country_opex,4,FALSE))/1000</f>
        <v/>
      </c>
      <c r="AK72" s="42" t="n"/>
      <c r="AL72" s="43" t="n"/>
      <c r="AM72" s="43" t="n"/>
      <c r="AN72" s="50" t="n">
        <v>0.9</v>
      </c>
      <c r="AO72" s="45">
        <f>IF(AK72="","",AK72*AN72)</f>
        <v/>
      </c>
      <c r="AP72" s="45">
        <f>IF(OR(AK72="",V72=0),"",MIN(IF(AX72="",9.9E+99,AX72),FLOOR(AO72/V72,1)))</f>
        <v/>
      </c>
      <c r="AQ72" s="49">
        <f>IF(AP72="","",AP72*IF(ABS(MOD(ABS((X72)),1)-0.5)&lt;1E-9,2*ROUND((X72)/2,0),ROUND((X72),0)))</f>
        <v/>
      </c>
      <c r="AR72" s="47">
        <f>IF(OR(AK72="",V72=0),"",MIN(IF(AX72="",9.9E+99,AX72),AO72/V72))</f>
        <v/>
      </c>
      <c r="AS72" s="49">
        <f>IF(AR72="","",AR72*IF(B72="South Korea",IF(ABS(MOD(ABS((X72)),1)-0.5)&lt;1E-9,2*ROUND((X72)/2,0),ROUND((X72),0)),X72))</f>
        <v/>
      </c>
      <c r="AT72" s="51" t="n"/>
      <c r="AU72" s="43" t="inlineStr">
        <is>
          <t>Estimated</t>
        </is>
      </c>
      <c r="AV72" s="52" t="n"/>
      <c r="AW72" s="52" t="n"/>
      <c r="AX72" s="53" t="n"/>
      <c r="AY72" s="54">
        <f>IF(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&lt;=0,"",VLOOKUP(B72,country_opex,7,FALSE)/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)</f>
        <v/>
      </c>
      <c r="AZ72" s="54">
        <f>IF(((W72*pax_cap*IF(B72="South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Korea",korea_mid_revleg,revleg_mid)),0))*VLOOKUP(B72,country_opex,3,FALSE))+Z72+AA72+AB72+AC72+AD72))&lt;=0,"",VLOOKUP(B72,country_opex,7,FALSE)/((W72*pax_cap*IF(B72="South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Korea",korea_mid_revleg,revleg_mid)),0))*VLOOKUP(B72,country_opex,3,FALSE))+Z72+AA72+AB72+AC72+AD72)))</f>
        <v/>
      </c>
      <c r="BA72" s="54">
        <f>IF(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&lt;=0,"",VLOOKUP(B72,country_opex,7,FALSE)/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)</f>
        <v/>
      </c>
      <c r="BB72" s="40" t="inlineStr">
        <is>
          <t>MODELED captive-luxury air→resort transfer (shorter leg than Sandals). To be finalized in cascade.</t>
        </is>
      </c>
      <c r="BC72" s="40" t="n"/>
      <c r="BD72" s="43" t="inlineStr">
        <is>
          <t>rn-aefa1c104456</t>
        </is>
      </c>
    </row>
    <row r="73">
      <c r="A73" s="38" t="inlineStr">
        <is>
          <t>Ocean Whisperer</t>
        </is>
      </c>
      <c r="B73" s="38" t="inlineStr">
        <is>
          <t>Curaçao</t>
        </is>
      </c>
      <c r="C73" s="39" t="inlineStr">
        <is>
          <t>Spanish Water / Jan Thiel (resort &amp; leisure cluster) → Baoase Luxury Resort</t>
        </is>
      </c>
      <c r="D73" s="38" t="inlineStr">
        <is>
          <t>ocean-whisperer</t>
        </is>
      </c>
      <c r="E73" s="40" t="inlineStr">
        <is>
          <t>ocean-whisperer</t>
        </is>
      </c>
      <c r="F73" s="41" t="n">
        <v>1</v>
      </c>
      <c r="G73" s="42" t="n">
        <v>5</v>
      </c>
      <c r="H73" s="35" t="n">
        <v>50</v>
      </c>
      <c r="I73" s="43" t="inlineStr">
        <is>
          <t>T5</t>
        </is>
      </c>
      <c r="J73" s="43" t="inlineStr">
        <is>
          <t>low</t>
        </is>
      </c>
      <c r="K73" s="29" t="n">
        <v>0.9</v>
      </c>
      <c r="L73" s="44">
        <f>60*G73/cruise_kt</f>
        <v/>
      </c>
      <c r="M73" s="44">
        <f>IF(B73="South Korea",G73/korea_charge_range_nm*korea_full_range_charge_min,0)</f>
        <v/>
      </c>
      <c r="N73" s="44">
        <f>IF(B73="South Korea",L73+korea_turn_min+korea_dwell_min+M73,L73+turn_min+dwell_min)</f>
        <v/>
      </c>
      <c r="O73" s="45">
        <f>IF(B73="South Korea",FLOOR(60*korea_service_hr/N73,1),MIN(15,FLOOR(60*service_hr/N73,1)))</f>
        <v/>
      </c>
      <c r="P73" s="45">
        <f>IF(ABS(MOD(ABS((365*mech_uptime*K73)),1)-0.5)&lt;1E-9,2*ROUND((365*mech_uptime*K73)/2,0),ROUND((365*mech_uptime*K73),0))</f>
        <v/>
      </c>
      <c r="Q73" s="46">
        <f>mech_uptime</f>
        <v/>
      </c>
      <c r="R73" s="46">
        <f>IF(AND(B73="South Korea",scenario="MID"),korea_mid_revleg,revleg_sel)</f>
        <v/>
      </c>
      <c r="S73" s="45">
        <f>IF(ABS(MOD(ABS((O73*P73*R73)),1)-0.5)&lt;1E-9,2*ROUND((O73*P73*R73)/2,0),ROUND((O73*P73*R73),0))</f>
        <v/>
      </c>
      <c r="T73" s="46">
        <f>IF(AND(B73="South Korea",scenario="MID"),korea_mid_load,load_sel)</f>
        <v/>
      </c>
      <c r="U73" s="47">
        <f>pax_cap*T73</f>
        <v/>
      </c>
      <c r="V73" s="45">
        <f>U73*S73</f>
        <v/>
      </c>
      <c r="W73" s="48">
        <f>H73*discount</f>
        <v/>
      </c>
      <c r="X73" s="49">
        <f>W73*V73</f>
        <v/>
      </c>
      <c r="Y73" s="49">
        <f>(battery/range_nm)*G73*S73*VLOOKUP(B73,country_opex,3,FALSE)</f>
        <v/>
      </c>
      <c r="Z73" s="49">
        <f>VLOOKUP(B73,country_opex,2,FALSE)*crew_factor</f>
        <v/>
      </c>
      <c r="AA73" s="49">
        <f>VLOOKUP(B73,country_opex,5,FALSE)</f>
        <v/>
      </c>
      <c r="AB73" s="49">
        <f>maint</f>
        <v/>
      </c>
      <c r="AC73" s="49">
        <f>VLOOKUP(B73,country_opex,7,FALSE)*ins_pct</f>
        <v/>
      </c>
      <c r="AD73" s="49">
        <f>charge_berth</f>
        <v/>
      </c>
      <c r="AE73" s="49">
        <f>Y73+Z73+AA73+AB73+AC73+AD73</f>
        <v/>
      </c>
      <c r="AF73" s="49">
        <f>VLOOKUP(B73,country_opex,7,FALSE)/dep_years</f>
        <v/>
      </c>
      <c r="AG73" s="49">
        <f>X73-AE73</f>
        <v/>
      </c>
      <c r="AH73" s="46">
        <f>IF(X73=0,"",AG73/X73)</f>
        <v/>
      </c>
      <c r="AI73" s="47">
        <f>IF(AG73&lt;=0,"",VLOOKUP(B73,country_opex,7,FALSE)/AG73)</f>
        <v/>
      </c>
      <c r="AJ73" s="44">
        <f>((G73*S73/diesel_nmpg)*diesel_co2pg-(battery/range_nm)*G73*S73*VLOOKUP(B73,country_opex,4,FALSE))/1000</f>
        <v/>
      </c>
      <c r="AK73" s="42" t="n"/>
      <c r="AL73" s="43" t="n"/>
      <c r="AM73" s="43" t="n"/>
      <c r="AN73" s="50" t="n">
        <v>0.9</v>
      </c>
      <c r="AO73" s="45">
        <f>IF(AK73="","",AK73*AN73)</f>
        <v/>
      </c>
      <c r="AP73" s="45">
        <f>IF(OR(AK73="",V73=0),"",MIN(IF(AX73="",9.9E+99,AX73),FLOOR(AO73/V73,1)))</f>
        <v/>
      </c>
      <c r="AQ73" s="49">
        <f>IF(AP73="","",AP73*IF(ABS(MOD(ABS((X73)),1)-0.5)&lt;1E-9,2*ROUND((X73)/2,0),ROUND((X73),0)))</f>
        <v/>
      </c>
      <c r="AR73" s="47">
        <f>IF(OR(AK73="",V73=0),"",MIN(IF(AX73="",9.9E+99,AX73),AO73/V73))</f>
        <v/>
      </c>
      <c r="AS73" s="49">
        <f>IF(AR73="","",AR73*IF(B73="South Korea",IF(ABS(MOD(ABS((X73)),1)-0.5)&lt;1E-9,2*ROUND((X73)/2,0),ROUND((X73),0)),X73))</f>
        <v/>
      </c>
      <c r="AT73" s="51" t="n"/>
      <c r="AU73" s="43" t="inlineStr">
        <is>
          <t>Estimated</t>
        </is>
      </c>
      <c r="AV73" s="52" t="n"/>
      <c r="AW73" s="52" t="n"/>
      <c r="AX73" s="53" t="n"/>
      <c r="AY73" s="54">
        <f>IF(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&lt;=0,"",VLOOKUP(B73,country_opex,7,FALSE)/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)</f>
        <v/>
      </c>
      <c r="AZ73" s="54">
        <f>IF(((W73*pax_cap*IF(B73="South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Korea",korea_mid_revleg,revleg_mid)),0))*VLOOKUP(B73,country_opex,3,FALSE))+Z73+AA73+AB73+AC73+AD73))&lt;=0,"",VLOOKUP(B73,country_opex,7,FALSE)/((W73*pax_cap*IF(B73="South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Korea",korea_mid_revleg,revleg_mid)),0))*VLOOKUP(B73,country_opex,3,FALSE))+Z73+AA73+AB73+AC73+AD73)))</f>
        <v/>
      </c>
      <c r="BA73" s="54">
        <f>IF(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&lt;=0,"",VLOOKUP(B73,country_opex,7,FALSE)/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)</f>
        <v/>
      </c>
      <c r="BB73" s="40" t="inlineStr">
        <is>
          <t>MODELED inter-resort premium hop. To be finalized in cascade.</t>
        </is>
      </c>
      <c r="BC73" s="40" t="n"/>
      <c r="BD73" s="43" t="inlineStr">
        <is>
          <t>rn-c393337bbd61</t>
        </is>
      </c>
    </row>
    <row r="74">
      <c r="A74" s="38" t="inlineStr">
        <is>
          <t>Ocean Whisperer</t>
        </is>
      </c>
      <c r="B74" s="38" t="inlineStr">
        <is>
          <t>Curaçao</t>
        </is>
      </c>
      <c r="C74" s="39" t="inlineStr">
        <is>
          <t>Willemstad / Sint Anna Bay (cruise mega-pier + Queen Emma waterfront) → Sandals Royal Curaçao (Spanish Water / Santa Barbara)</t>
        </is>
      </c>
      <c r="D74" s="38" t="inlineStr">
        <is>
          <t>ocean-whisperer</t>
        </is>
      </c>
      <c r="E74" s="40" t="inlineStr">
        <is>
          <t>ocean-whisperer</t>
        </is>
      </c>
      <c r="F74" s="41" t="n">
        <v>1</v>
      </c>
      <c r="G74" s="42" t="n">
        <v>7</v>
      </c>
      <c r="H74" s="35" t="n">
        <v>55</v>
      </c>
      <c r="I74" s="43" t="inlineStr">
        <is>
          <t>T5</t>
        </is>
      </c>
      <c r="J74" s="43" t="inlineStr">
        <is>
          <t>low</t>
        </is>
      </c>
      <c r="K74" s="29" t="n">
        <v>0.9</v>
      </c>
      <c r="L74" s="44">
        <f>60*G74/cruise_kt</f>
        <v/>
      </c>
      <c r="M74" s="44">
        <f>IF(B74="South Korea",G74/korea_charge_range_nm*korea_full_range_charge_min,0)</f>
        <v/>
      </c>
      <c r="N74" s="44">
        <f>IF(B74="South Korea",L74+korea_turn_min+korea_dwell_min+M74,L74+turn_min+dwell_min)</f>
        <v/>
      </c>
      <c r="O74" s="45">
        <f>IF(B74="South Korea",FLOOR(60*korea_service_hr/N74,1),MIN(15,FLOOR(60*service_hr/N74,1)))</f>
        <v/>
      </c>
      <c r="P74" s="45">
        <f>IF(ABS(MOD(ABS((365*mech_uptime*K74)),1)-0.5)&lt;1E-9,2*ROUND((365*mech_uptime*K74)/2,0),ROUND((365*mech_uptime*K74),0))</f>
        <v/>
      </c>
      <c r="Q74" s="46">
        <f>mech_uptime</f>
        <v/>
      </c>
      <c r="R74" s="46">
        <f>IF(AND(B74="South Korea",scenario="MID"),korea_mid_revleg,revleg_sel)</f>
        <v/>
      </c>
      <c r="S74" s="45">
        <f>IF(ABS(MOD(ABS((O74*P74*R74)),1)-0.5)&lt;1E-9,2*ROUND((O74*P74*R74)/2,0),ROUND((O74*P74*R74),0))</f>
        <v/>
      </c>
      <c r="T74" s="46">
        <f>IF(AND(B74="South Korea",scenario="MID"),korea_mid_load,load_sel)</f>
        <v/>
      </c>
      <c r="U74" s="47">
        <f>pax_cap*T74</f>
        <v/>
      </c>
      <c r="V74" s="45">
        <f>U74*S74</f>
        <v/>
      </c>
      <c r="W74" s="48">
        <f>H74*discount</f>
        <v/>
      </c>
      <c r="X74" s="49">
        <f>W74*V74</f>
        <v/>
      </c>
      <c r="Y74" s="49">
        <f>(battery/range_nm)*G74*S74*VLOOKUP(B74,country_opex,3,FALSE)</f>
        <v/>
      </c>
      <c r="Z74" s="49">
        <f>VLOOKUP(B74,country_opex,2,FALSE)*crew_factor</f>
        <v/>
      </c>
      <c r="AA74" s="49">
        <f>VLOOKUP(B74,country_opex,5,FALSE)</f>
        <v/>
      </c>
      <c r="AB74" s="49">
        <f>maint</f>
        <v/>
      </c>
      <c r="AC74" s="49">
        <f>VLOOKUP(B74,country_opex,7,FALSE)*ins_pct</f>
        <v/>
      </c>
      <c r="AD74" s="49">
        <f>charge_berth</f>
        <v/>
      </c>
      <c r="AE74" s="49">
        <f>Y74+Z74+AA74+AB74+AC74+AD74</f>
        <v/>
      </c>
      <c r="AF74" s="49">
        <f>VLOOKUP(B74,country_opex,7,FALSE)/dep_years</f>
        <v/>
      </c>
      <c r="AG74" s="49">
        <f>X74-AE74</f>
        <v/>
      </c>
      <c r="AH74" s="46">
        <f>IF(X74=0,"",AG74/X74)</f>
        <v/>
      </c>
      <c r="AI74" s="47">
        <f>IF(AG74&lt;=0,"",VLOOKUP(B74,country_opex,7,FALSE)/AG74)</f>
        <v/>
      </c>
      <c r="AJ74" s="44">
        <f>((G74*S74/diesel_nmpg)*diesel_co2pg-(battery/range_nm)*G74*S74*VLOOKUP(B74,country_opex,4,FALSE))/1000</f>
        <v/>
      </c>
      <c r="AK74" s="42" t="n"/>
      <c r="AL74" s="43" t="n"/>
      <c r="AM74" s="43" t="n"/>
      <c r="AN74" s="50" t="n">
        <v>0.9</v>
      </c>
      <c r="AO74" s="45">
        <f>IF(AK74="","",AK74*AN74)</f>
        <v/>
      </c>
      <c r="AP74" s="45">
        <f>IF(OR(AK74="",V74=0),"",MIN(IF(AX74="",9.9E+99,AX74),FLOOR(AO74/V74,1)))</f>
        <v/>
      </c>
      <c r="AQ74" s="49">
        <f>IF(AP74="","",AP74*IF(ABS(MOD(ABS((X74)),1)-0.5)&lt;1E-9,2*ROUND((X74)/2,0),ROUND((X74),0)))</f>
        <v/>
      </c>
      <c r="AR74" s="47">
        <f>IF(OR(AK74="",V74=0),"",MIN(IF(AX74="",9.9E+99,AX74),AO74/V74))</f>
        <v/>
      </c>
      <c r="AS74" s="49">
        <f>IF(AR74="","",AR74*IF(B74="South Korea",IF(ABS(MOD(ABS((X74)),1)-0.5)&lt;1E-9,2*ROUND((X74)/2,0),ROUND((X74),0)),X74))</f>
        <v/>
      </c>
      <c r="AT74" s="51" t="n"/>
      <c r="AU74" s="43" t="inlineStr">
        <is>
          <t>Estimated</t>
        </is>
      </c>
      <c r="AV74" s="52" t="n"/>
      <c r="AW74" s="52" t="n"/>
      <c r="AX74" s="53" t="n"/>
      <c r="AY74" s="54">
        <f>IF(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&lt;=0,"",VLOOKUP(B74,country_opex,7,FALSE)/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)</f>
        <v/>
      </c>
      <c r="AZ74" s="54">
        <f>IF(((W74*pax_cap*IF(B74="South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Korea",korea_mid_revleg,revleg_mid)),0))*VLOOKUP(B74,country_opex,3,FALSE))+Z74+AA74+AB74+AC74+AD74))&lt;=0,"",VLOOKUP(B74,country_opex,7,FALSE)/((W74*pax_cap*IF(B74="South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Korea",korea_mid_revleg,revleg_mid)),0))*VLOOKUP(B74,country_opex,3,FALSE))+Z74+AA74+AB74+AC74+AD74)))</f>
        <v/>
      </c>
      <c r="BA74" s="54">
        <f>IF(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&lt;=0,"",VLOOKUP(B74,country_opex,7,FALSE)/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)</f>
        <v/>
      </c>
      <c r="BB74" s="40" t="inlineStr">
        <is>
          <t>MODELED premium cruise-shore-excursion / resort transfer band. To be finalized in cascade.</t>
        </is>
      </c>
      <c r="BC74" s="40" t="n"/>
      <c r="BD74" s="43" t="inlineStr">
        <is>
          <t>rn-2d9e29672e25</t>
        </is>
      </c>
    </row>
    <row r="75">
      <c r="A75" s="38" t="inlineStr">
        <is>
          <t>Caribbean</t>
        </is>
      </c>
      <c r="B75" s="38" t="inlineStr">
        <is>
          <t>Curaçao</t>
        </is>
      </c>
      <c r="C75" s="39" t="inlineStr">
        <is>
          <t>Willemstad / Sint Anna Bay (Curaçao) → Spanish Water / Jan Thiel resort &amp; leisure cluster (Curaçao)</t>
        </is>
      </c>
      <c r="D75" s="38" t="inlineStr">
        <is>
          <t>caribbean</t>
        </is>
      </c>
      <c r="E75" s="40" t="inlineStr">
        <is>
          <t>caribbean</t>
        </is>
      </c>
      <c r="F75" s="41" t="n">
        <v>1</v>
      </c>
      <c r="G75" s="42" t="n">
        <v>7</v>
      </c>
      <c r="H75" s="35" t="n">
        <v>40</v>
      </c>
      <c r="I75" s="43" t="inlineStr">
        <is>
          <t>T5</t>
        </is>
      </c>
      <c r="J75" s="43" t="inlineStr">
        <is>
          <t>low</t>
        </is>
      </c>
      <c r="K75" s="29" t="n">
        <v>0.9</v>
      </c>
      <c r="L75" s="44">
        <f>60*G75/cruise_kt</f>
        <v/>
      </c>
      <c r="M75" s="44">
        <f>IF(B75="South Korea",G75/korea_charge_range_nm*korea_full_range_charge_min,0)</f>
        <v/>
      </c>
      <c r="N75" s="44">
        <f>IF(B75="South Korea",L75+korea_turn_min+korea_dwell_min+M75,L75+turn_min+dwell_min)</f>
        <v/>
      </c>
      <c r="O75" s="45">
        <f>IF(B75="South Korea",FLOOR(60*korea_service_hr/N75,1),MIN(15,FLOOR(60*service_hr/N75,1)))</f>
        <v/>
      </c>
      <c r="P75" s="45">
        <f>IF(ABS(MOD(ABS((365*mech_uptime*K75)),1)-0.5)&lt;1E-9,2*ROUND((365*mech_uptime*K75)/2,0),ROUND((365*mech_uptime*K75),0))</f>
        <v/>
      </c>
      <c r="Q75" s="46">
        <f>mech_uptime</f>
        <v/>
      </c>
      <c r="R75" s="46">
        <f>IF(AND(B75="South Korea",scenario="MID"),korea_mid_revleg,revleg_sel)</f>
        <v/>
      </c>
      <c r="S75" s="45">
        <f>IF(ABS(MOD(ABS((O75*P75*R75)),1)-0.5)&lt;1E-9,2*ROUND((O75*P75*R75)/2,0),ROUND((O75*P75*R75),0))</f>
        <v/>
      </c>
      <c r="T75" s="46">
        <f>IF(AND(B75="South Korea",scenario="MID"),korea_mid_load,load_sel)</f>
        <v/>
      </c>
      <c r="U75" s="47">
        <f>pax_cap*T75</f>
        <v/>
      </c>
      <c r="V75" s="45">
        <f>U75*S75</f>
        <v/>
      </c>
      <c r="W75" s="48">
        <f>H75*discount</f>
        <v/>
      </c>
      <c r="X75" s="49">
        <f>W75*V75</f>
        <v/>
      </c>
      <c r="Y75" s="49">
        <f>(battery/range_nm)*G75*S75*VLOOKUP(B75,country_opex,3,FALSE)</f>
        <v/>
      </c>
      <c r="Z75" s="49">
        <f>VLOOKUP(B75,country_opex,2,FALSE)*crew_factor</f>
        <v/>
      </c>
      <c r="AA75" s="49">
        <f>VLOOKUP(B75,country_opex,5,FALSE)</f>
        <v/>
      </c>
      <c r="AB75" s="49">
        <f>maint</f>
        <v/>
      </c>
      <c r="AC75" s="49">
        <f>VLOOKUP(B75,country_opex,7,FALSE)*ins_pct</f>
        <v/>
      </c>
      <c r="AD75" s="49">
        <f>charge_berth</f>
        <v/>
      </c>
      <c r="AE75" s="49">
        <f>Y75+Z75+AA75+AB75+AC75+AD75</f>
        <v/>
      </c>
      <c r="AF75" s="49">
        <f>VLOOKUP(B75,country_opex,7,FALSE)/dep_years</f>
        <v/>
      </c>
      <c r="AG75" s="49">
        <f>X75-AE75</f>
        <v/>
      </c>
      <c r="AH75" s="46">
        <f>IF(X75=0,"",AG75/X75)</f>
        <v/>
      </c>
      <c r="AI75" s="47">
        <f>IF(AG75&lt;=0,"",VLOOKUP(B75,country_opex,7,FALSE)/AG75)</f>
        <v/>
      </c>
      <c r="AJ75" s="44">
        <f>((G75*S75/diesel_nmpg)*diesel_co2pg-(battery/range_nm)*G75*S75*VLOOKUP(B75,country_opex,4,FALSE))/1000</f>
        <v/>
      </c>
      <c r="AK75" s="42" t="n"/>
      <c r="AL75" s="43" t="n"/>
      <c r="AM75" s="43" t="n"/>
      <c r="AN75" s="50" t="n">
        <v>0.1</v>
      </c>
      <c r="AO75" s="45">
        <f>IF(AK75="","",AK75*AN75)</f>
        <v/>
      </c>
      <c r="AP75" s="45">
        <f>IF(OR(AK75="",V75=0),"",MIN(IF(AX75="",9.9E+99,AX75),FLOOR(AO75/V75,1)))</f>
        <v/>
      </c>
      <c r="AQ75" s="49">
        <f>IF(AP75="","",AP75*IF(ABS(MOD(ABS((X75)),1)-0.5)&lt;1E-9,2*ROUND((X75)/2,0),ROUND((X75),0)))</f>
        <v/>
      </c>
      <c r="AR75" s="47">
        <f>IF(OR(AK75="",V75=0),"",MIN(IF(AX75="",9.9E+99,AX75),AO75/V75))</f>
        <v/>
      </c>
      <c r="AS75" s="49">
        <f>IF(AR75="","",AR75*IF(B75="South Korea",IF(ABS(MOD(ABS((X75)),1)-0.5)&lt;1E-9,2*ROUND((X75)/2,0),ROUND((X75),0)),X75))</f>
        <v/>
      </c>
      <c r="AT75" s="51" t="n"/>
      <c r="AU75" s="43" t="inlineStr">
        <is>
          <t>Estimated</t>
        </is>
      </c>
      <c r="AV75" s="52" t="n"/>
      <c r="AW75" s="52" t="n"/>
      <c r="AX75" s="53" t="n"/>
      <c r="AY75" s="54">
        <f>IF(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&lt;=0,"",VLOOKUP(B75,country_opex,7,FALSE)/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)</f>
        <v/>
      </c>
      <c r="AZ75" s="54">
        <f>IF(((W75*pax_cap*IF(B75="South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Korea",korea_mid_revleg,revleg_mid)),0))*VLOOKUP(B75,country_opex,3,FALSE))+Z75+AA75+AB75+AC75+AD75))&lt;=0,"",VLOOKUP(B75,country_opex,7,FALSE)/((W75*pax_cap*IF(B75="South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Korea",korea_mid_revleg,revleg_mid)),0))*VLOOKUP(B75,country_opex,3,FALSE))+Z75+AA75+AB75+AC75+AD75)))</f>
        <v/>
      </c>
      <c r="BA75" s="54">
        <f>IF(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&lt;=0,"",VLOOKUP(B75,country_opex,7,FALSE)/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)</f>
        <v/>
      </c>
      <c r="BB75" s="40" t="inlineStr">
        <is>
          <t>MODELED premium cruise/town→resort transfer band. To be finalized in cascade.</t>
        </is>
      </c>
      <c r="BC75" s="40" t="n"/>
      <c r="BD75" s="43" t="inlineStr">
        <is>
          <t>rn-b07d96b330cd</t>
        </is>
      </c>
    </row>
    <row r="76">
      <c r="A76" s="38" t="inlineStr">
        <is>
          <t>Ocean Whisperer</t>
        </is>
      </c>
      <c r="B76" s="38" t="inlineStr">
        <is>
          <t>Curaçao</t>
        </is>
      </c>
      <c r="C76" s="39" t="inlineStr">
        <is>
          <t>Hato air arrival → leeward embarkation (Piscadera Bay) → Sandals Royal Curaçao (Spanish Water / Santa Barbara)</t>
        </is>
      </c>
      <c r="D76" s="38" t="inlineStr">
        <is>
          <t>ocean-whisperer</t>
        </is>
      </c>
      <c r="E76" s="40" t="n"/>
      <c r="F76" s="41" t="n">
        <v>1</v>
      </c>
      <c r="G76" s="42" t="n">
        <v>7.7</v>
      </c>
      <c r="H76" s="35" t="n">
        <v>95</v>
      </c>
      <c r="I76" s="43" t="inlineStr">
        <is>
          <t>T5</t>
        </is>
      </c>
      <c r="J76" s="43" t="inlineStr">
        <is>
          <t>low</t>
        </is>
      </c>
      <c r="K76" s="29" t="n">
        <v>0.9</v>
      </c>
      <c r="L76" s="44">
        <f>60*G76/cruise_kt</f>
        <v/>
      </c>
      <c r="M76" s="44">
        <f>IF(B76="South Korea",G76/korea_charge_range_nm*korea_full_range_charge_min,0)</f>
        <v/>
      </c>
      <c r="N76" s="44">
        <f>IF(B76="South Korea",L76+korea_turn_min+korea_dwell_min+M76,L76+turn_min+dwell_min)</f>
        <v/>
      </c>
      <c r="O76" s="45">
        <f>IF(B76="South Korea",FLOOR(60*korea_service_hr/N76,1),MIN(15,FLOOR(60*service_hr/N76,1)))</f>
        <v/>
      </c>
      <c r="P76" s="45">
        <f>IF(ABS(MOD(ABS((365*mech_uptime*K76)),1)-0.5)&lt;1E-9,2*ROUND((365*mech_uptime*K76)/2,0),ROUND((365*mech_uptime*K76),0))</f>
        <v/>
      </c>
      <c r="Q76" s="46">
        <f>mech_uptime</f>
        <v/>
      </c>
      <c r="R76" s="46">
        <f>IF(AND(B76="South Korea",scenario="MID"),korea_mid_revleg,revleg_sel)</f>
        <v/>
      </c>
      <c r="S76" s="45">
        <f>IF(ABS(MOD(ABS((O76*P76*R76)),1)-0.5)&lt;1E-9,2*ROUND((O76*P76*R76)/2,0),ROUND((O76*P76*R76),0))</f>
        <v/>
      </c>
      <c r="T76" s="46">
        <f>IF(AND(B76="South Korea",scenario="MID"),korea_mid_load,load_sel)</f>
        <v/>
      </c>
      <c r="U76" s="47">
        <f>pax_cap*T76</f>
        <v/>
      </c>
      <c r="V76" s="45">
        <f>U76*S76</f>
        <v/>
      </c>
      <c r="W76" s="48">
        <f>H76*discount</f>
        <v/>
      </c>
      <c r="X76" s="49">
        <f>W76*V76</f>
        <v/>
      </c>
      <c r="Y76" s="49">
        <f>(battery/range_nm)*G76*S76*VLOOKUP(B76,country_opex,3,FALSE)</f>
        <v/>
      </c>
      <c r="Z76" s="49">
        <f>VLOOKUP(B76,country_opex,2,FALSE)*crew_factor</f>
        <v/>
      </c>
      <c r="AA76" s="49">
        <f>VLOOKUP(B76,country_opex,5,FALSE)</f>
        <v/>
      </c>
      <c r="AB76" s="49">
        <f>maint</f>
        <v/>
      </c>
      <c r="AC76" s="49">
        <f>VLOOKUP(B76,country_opex,7,FALSE)*ins_pct</f>
        <v/>
      </c>
      <c r="AD76" s="49">
        <f>charge_berth</f>
        <v/>
      </c>
      <c r="AE76" s="49">
        <f>Y76+Z76+AA76+AB76+AC76+AD76</f>
        <v/>
      </c>
      <c r="AF76" s="49">
        <f>VLOOKUP(B76,country_opex,7,FALSE)/dep_years</f>
        <v/>
      </c>
      <c r="AG76" s="49">
        <f>X76-AE76</f>
        <v/>
      </c>
      <c r="AH76" s="46">
        <f>IF(X76=0,"",AG76/X76)</f>
        <v/>
      </c>
      <c r="AI76" s="47">
        <f>IF(AG76&lt;=0,"",VLOOKUP(B76,country_opex,7,FALSE)/AG76)</f>
        <v/>
      </c>
      <c r="AJ76" s="44">
        <f>((G76*S76/diesel_nmpg)*diesel_co2pg-(battery/range_nm)*G76*S76*VLOOKUP(B76,country_opex,4,FALSE))/1000</f>
        <v/>
      </c>
      <c r="AK76" s="42" t="n"/>
      <c r="AL76" s="43" t="n"/>
      <c r="AM76" s="43" t="n"/>
      <c r="AN76" s="50" t="n">
        <v>0.9</v>
      </c>
      <c r="AO76" s="45">
        <f>IF(AK76="","",AK76*AN76)</f>
        <v/>
      </c>
      <c r="AP76" s="45">
        <f>IF(OR(AK76="",V76=0),"",MIN(IF(AX76="",9.9E+99,AX76),FLOOR(AO76/V76,1)))</f>
        <v/>
      </c>
      <c r="AQ76" s="49">
        <f>IF(AP76="","",AP76*IF(ABS(MOD(ABS((X76)),1)-0.5)&lt;1E-9,2*ROUND((X76)/2,0),ROUND((X76),0)))</f>
        <v/>
      </c>
      <c r="AR76" s="47">
        <f>IF(OR(AK76="",V76=0),"",MIN(IF(AX76="",9.9E+99,AX76),AO76/V76))</f>
        <v/>
      </c>
      <c r="AS76" s="49">
        <f>IF(AR76="","",AR76*IF(B76="South Korea",IF(ABS(MOD(ABS((X76)),1)-0.5)&lt;1E-9,2*ROUND((X76)/2,0),ROUND((X76),0)),X76))</f>
        <v/>
      </c>
      <c r="AT76" s="51" t="n"/>
      <c r="AU76" s="43" t="inlineStr">
        <is>
          <t>Estimated</t>
        </is>
      </c>
      <c r="AV76" s="52" t="n"/>
      <c r="AW76" s="52" t="n"/>
      <c r="AX76" s="53" t="n"/>
      <c r="AY76" s="54">
        <f>IF(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&lt;=0,"",VLOOKUP(B76,country_opex,7,FALSE)/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)</f>
        <v/>
      </c>
      <c r="AZ76" s="54">
        <f>IF(((W76*pax_cap*IF(B76="South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Korea",korea_mid_revleg,revleg_mid)),0))*VLOOKUP(B76,country_opex,3,FALSE))+Z76+AA76+AB76+AC76+AD76))&lt;=0,"",VLOOKUP(B76,country_opex,7,FALSE)/((W76*pax_cap*IF(B76="South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Korea",korea_mid_revleg,revleg_mid)),0))*VLOOKUP(B76,country_opex,3,FALSE))+Z76+AA76+AB76+AC76+AD76)))</f>
        <v/>
      </c>
      <c r="BA76" s="54">
        <f>IF(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&lt;=0,"",VLOOKUP(B76,country_opex,7,FALSE)/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)</f>
        <v/>
      </c>
      <c r="BB76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C76" s="40" t="n"/>
      <c r="BD76" s="43" t="inlineStr">
        <is>
          <t>rn-8ae6f0293d75</t>
        </is>
      </c>
    </row>
    <row r="77">
      <c r="A77" s="38" t="inlineStr">
        <is>
          <t>Caribbean</t>
        </is>
      </c>
      <c r="B77" s="38" t="inlineStr">
        <is>
          <t>Curaçao</t>
        </is>
      </c>
      <c r="C77" s="39" t="inlineStr">
        <is>
          <t>Hato (Curaçao Int'l) airport waterfront → Spanish Water / Jan Thiel resort cluster (Curaçao)</t>
        </is>
      </c>
      <c r="D77" s="38" t="inlineStr">
        <is>
          <t>caribbean</t>
        </is>
      </c>
      <c r="E77" s="40" t="inlineStr">
        <is>
          <t>caribbean</t>
        </is>
      </c>
      <c r="F77" s="41" t="n">
        <v>1</v>
      </c>
      <c r="G77" s="42" t="n">
        <v>10</v>
      </c>
      <c r="H77" s="35" t="n">
        <v>50</v>
      </c>
      <c r="I77" s="43" t="inlineStr">
        <is>
          <t>T5</t>
        </is>
      </c>
      <c r="J77" s="43" t="inlineStr">
        <is>
          <t>low</t>
        </is>
      </c>
      <c r="K77" s="29" t="n">
        <v>0.9</v>
      </c>
      <c r="L77" s="44">
        <f>60*G77/cruise_kt</f>
        <v/>
      </c>
      <c r="M77" s="44">
        <f>IF(B77="South Korea",G77/korea_charge_range_nm*korea_full_range_charge_min,0)</f>
        <v/>
      </c>
      <c r="N77" s="44">
        <f>IF(B77="South Korea",L77+korea_turn_min+korea_dwell_min+M77,L77+turn_min+dwell_min)</f>
        <v/>
      </c>
      <c r="O77" s="45">
        <f>IF(B77="South Korea",FLOOR(60*korea_service_hr/N77,1),MIN(15,FLOOR(60*service_hr/N77,1)))</f>
        <v/>
      </c>
      <c r="P77" s="45">
        <f>IF(ABS(MOD(ABS((365*mech_uptime*K77)),1)-0.5)&lt;1E-9,2*ROUND((365*mech_uptime*K77)/2,0),ROUND((365*mech_uptime*K77),0))</f>
        <v/>
      </c>
      <c r="Q77" s="46">
        <f>mech_uptime</f>
        <v/>
      </c>
      <c r="R77" s="46">
        <f>IF(AND(B77="South Korea",scenario="MID"),korea_mid_revleg,revleg_sel)</f>
        <v/>
      </c>
      <c r="S77" s="45">
        <f>IF(ABS(MOD(ABS((O77*P77*R77)),1)-0.5)&lt;1E-9,2*ROUND((O77*P77*R77)/2,0),ROUND((O77*P77*R77),0))</f>
        <v/>
      </c>
      <c r="T77" s="46">
        <f>IF(AND(B77="South Korea",scenario="MID"),korea_mid_load,load_sel)</f>
        <v/>
      </c>
      <c r="U77" s="47">
        <f>pax_cap*T77</f>
        <v/>
      </c>
      <c r="V77" s="45">
        <f>U77*S77</f>
        <v/>
      </c>
      <c r="W77" s="48">
        <f>H77*discount</f>
        <v/>
      </c>
      <c r="X77" s="49">
        <f>W77*V77</f>
        <v/>
      </c>
      <c r="Y77" s="49">
        <f>(battery/range_nm)*G77*S77*VLOOKUP(B77,country_opex,3,FALSE)</f>
        <v/>
      </c>
      <c r="Z77" s="49">
        <f>VLOOKUP(B77,country_opex,2,FALSE)*crew_factor</f>
        <v/>
      </c>
      <c r="AA77" s="49">
        <f>VLOOKUP(B77,country_opex,5,FALSE)</f>
        <v/>
      </c>
      <c r="AB77" s="49">
        <f>maint</f>
        <v/>
      </c>
      <c r="AC77" s="49">
        <f>VLOOKUP(B77,country_opex,7,FALSE)*ins_pct</f>
        <v/>
      </c>
      <c r="AD77" s="49">
        <f>charge_berth</f>
        <v/>
      </c>
      <c r="AE77" s="49">
        <f>Y77+Z77+AA77+AB77+AC77+AD77</f>
        <v/>
      </c>
      <c r="AF77" s="49">
        <f>VLOOKUP(B77,country_opex,7,FALSE)/dep_years</f>
        <v/>
      </c>
      <c r="AG77" s="49">
        <f>X77-AE77</f>
        <v/>
      </c>
      <c r="AH77" s="46">
        <f>IF(X77=0,"",AG77/X77)</f>
        <v/>
      </c>
      <c r="AI77" s="47">
        <f>IF(AG77&lt;=0,"",VLOOKUP(B77,country_opex,7,FALSE)/AG77)</f>
        <v/>
      </c>
      <c r="AJ77" s="44">
        <f>((G77*S77/diesel_nmpg)*diesel_co2pg-(battery/range_nm)*G77*S77*VLOOKUP(B77,country_opex,4,FALSE))/1000</f>
        <v/>
      </c>
      <c r="AK77" s="42" t="n"/>
      <c r="AL77" s="43" t="n"/>
      <c r="AM77" s="43" t="n"/>
      <c r="AN77" s="50" t="n">
        <v>0.1</v>
      </c>
      <c r="AO77" s="45">
        <f>IF(AK77="","",AK77*AN77)</f>
        <v/>
      </c>
      <c r="AP77" s="45">
        <f>IF(OR(AK77="",V77=0),"",MIN(IF(AX77="",9.9E+99,AX77),FLOOR(AO77/V77,1)))</f>
        <v/>
      </c>
      <c r="AQ77" s="49">
        <f>IF(AP77="","",AP77*IF(ABS(MOD(ABS((X77)),1)-0.5)&lt;1E-9,2*ROUND((X77)/2,0),ROUND((X77),0)))</f>
        <v/>
      </c>
      <c r="AR77" s="47">
        <f>IF(OR(AK77="",V77=0),"",MIN(IF(AX77="",9.9E+99,AX77),AO77/V77))</f>
        <v/>
      </c>
      <c r="AS77" s="49">
        <f>IF(AR77="","",AR77*IF(B77="South Korea",IF(ABS(MOD(ABS((X77)),1)-0.5)&lt;1E-9,2*ROUND((X77)/2,0),ROUND((X77),0)),X77))</f>
        <v/>
      </c>
      <c r="AT77" s="51" t="n"/>
      <c r="AU77" s="43" t="inlineStr">
        <is>
          <t>Estimated</t>
        </is>
      </c>
      <c r="AV77" s="52" t="n"/>
      <c r="AW77" s="52" t="n"/>
      <c r="AX77" s="53" t="n"/>
      <c r="AY77" s="54">
        <f>IF(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&lt;=0,"",VLOOKUP(B77,country_opex,7,FALSE)/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)</f>
        <v/>
      </c>
      <c r="AZ77" s="54">
        <f>IF(((W77*pax_cap*IF(B77="South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Korea",korea_mid_revleg,revleg_mid)),0))*VLOOKUP(B77,country_opex,3,FALSE))+Z77+AA77+AB77+AC77+AD77))&lt;=0,"",VLOOKUP(B77,country_opex,7,FALSE)/((W77*pax_cap*IF(B77="South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Korea",korea_mid_revleg,revleg_mid)),0))*VLOOKUP(B77,country_opex,3,FALSE))+Z77+AA77+AB77+AC77+AD77)))</f>
        <v/>
      </c>
      <c r="BA77" s="54">
        <f>IF(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&lt;=0,"",VLOOKUP(B77,country_opex,7,FALSE)/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)</f>
        <v/>
      </c>
      <c r="BB77" s="40" t="inlineStr">
        <is>
          <t>MODELED premium air→resort transfer band. To be finalized in cascade.</t>
        </is>
      </c>
      <c r="BC77" s="40" t="n"/>
      <c r="BD77" s="43" t="inlineStr">
        <is>
          <t>rn-a88f7e7cffc2</t>
        </is>
      </c>
    </row>
    <row r="78">
      <c r="A78" s="38" t="inlineStr">
        <is>
          <t>Ocean Whisperer</t>
        </is>
      </c>
      <c r="B78" s="38" t="inlineStr">
        <is>
          <t>Curaçao</t>
        </is>
      </c>
      <c r="C78" s="39" t="inlineStr">
        <is>
          <t>Spanish Water / Caracasbaai (Curaçao) → Klein Curaçao day-trip jetty</t>
        </is>
      </c>
      <c r="D78" s="38" t="inlineStr">
        <is>
          <t>ocean-whisperer</t>
        </is>
      </c>
      <c r="E78" s="40" t="inlineStr">
        <is>
          <t>ocean-whisperer</t>
        </is>
      </c>
      <c r="F78" s="41" t="n">
        <v>1</v>
      </c>
      <c r="G78" s="42" t="n">
        <v>15</v>
      </c>
      <c r="H78" s="35" t="n">
        <v>120</v>
      </c>
      <c r="I78" s="43" t="inlineStr">
        <is>
          <t>T5</t>
        </is>
      </c>
      <c r="J78" s="43" t="inlineStr">
        <is>
          <t>low</t>
        </is>
      </c>
      <c r="K78" s="29" t="n">
        <v>0.6</v>
      </c>
      <c r="L78" s="44">
        <f>60*G78/cruise_kt</f>
        <v/>
      </c>
      <c r="M78" s="44">
        <f>IF(B78="South Korea",G78/korea_charge_range_nm*korea_full_range_charge_min,0)</f>
        <v/>
      </c>
      <c r="N78" s="44">
        <f>IF(B78="South Korea",L78+korea_turn_min+korea_dwell_min+M78,L78+turn_min+dwell_min)</f>
        <v/>
      </c>
      <c r="O78" s="45">
        <f>IF(B78="South Korea",FLOOR(60*korea_service_hr/N78,1),MIN(15,FLOOR(60*service_hr/N78,1)))</f>
        <v/>
      </c>
      <c r="P78" s="42" t="n">
        <v>90</v>
      </c>
      <c r="Q78" s="46">
        <f>mech_uptime</f>
        <v/>
      </c>
      <c r="R78" s="46">
        <f>IF(AND(B78="South Korea",scenario="MID"),korea_mid_revleg,revleg_sel)</f>
        <v/>
      </c>
      <c r="S78" s="45">
        <f>IF(ABS(MOD(ABS((O78*P78*R78)),1)-0.5)&lt;1E-9,2*ROUND((O78*P78*R78)/2,0),ROUND((O78*P78*R78),0))</f>
        <v/>
      </c>
      <c r="T78" s="46">
        <f>IF(AND(B78="South Korea",scenario="MID"),korea_mid_load,load_sel)</f>
        <v/>
      </c>
      <c r="U78" s="47">
        <f>pax_cap*T78</f>
        <v/>
      </c>
      <c r="V78" s="45">
        <f>U78*S78</f>
        <v/>
      </c>
      <c r="W78" s="48">
        <f>H78*discount</f>
        <v/>
      </c>
      <c r="X78" s="49">
        <f>W78*V78</f>
        <v/>
      </c>
      <c r="Y78" s="49">
        <f>(battery/range_nm)*G78*S78*VLOOKUP(B78,country_opex,3,FALSE)</f>
        <v/>
      </c>
      <c r="Z78" s="49">
        <f>VLOOKUP(B78,country_opex,2,FALSE)*crew_factor</f>
        <v/>
      </c>
      <c r="AA78" s="49">
        <f>VLOOKUP(B78,country_opex,5,FALSE)</f>
        <v/>
      </c>
      <c r="AB78" s="49">
        <f>maint</f>
        <v/>
      </c>
      <c r="AC78" s="49">
        <f>VLOOKUP(B78,country_opex,7,FALSE)*ins_pct</f>
        <v/>
      </c>
      <c r="AD78" s="49">
        <f>charge_berth</f>
        <v/>
      </c>
      <c r="AE78" s="49">
        <f>Y78+Z78+AA78+AB78+AC78+AD78</f>
        <v/>
      </c>
      <c r="AF78" s="49">
        <f>VLOOKUP(B78,country_opex,7,FALSE)/dep_years</f>
        <v/>
      </c>
      <c r="AG78" s="49">
        <f>X78-AE78</f>
        <v/>
      </c>
      <c r="AH78" s="46">
        <f>IF(X78=0,"",AG78/X78)</f>
        <v/>
      </c>
      <c r="AI78" s="47">
        <f>IF(AG78&lt;=0,"",VLOOKUP(B78,country_opex,7,FALSE)/AG78)</f>
        <v/>
      </c>
      <c r="AJ78" s="44">
        <f>((G78*S78/diesel_nmpg)*diesel_co2pg-(battery/range_nm)*G78*S78*VLOOKUP(B78,country_opex,4,FALSE))/1000</f>
        <v/>
      </c>
      <c r="AK78" s="42" t="n"/>
      <c r="AL78" s="43" t="n"/>
      <c r="AM78" s="43" t="n"/>
      <c r="AN78" s="50" t="n">
        <v>0.9</v>
      </c>
      <c r="AO78" s="45">
        <f>IF(AK78="","",AK78*AN78)</f>
        <v/>
      </c>
      <c r="AP78" s="45">
        <f>IF(OR(AK78="",V78=0),"",MIN(IF(AX78="",9.9E+99,AX78),FLOOR(AO78/V78,1)))</f>
        <v/>
      </c>
      <c r="AQ78" s="49">
        <f>IF(AP78="","",AP78*IF(ABS(MOD(ABS((X78)),1)-0.5)&lt;1E-9,2*ROUND((X78)/2,0),ROUND((X78),0)))</f>
        <v/>
      </c>
      <c r="AR78" s="47">
        <f>IF(OR(AK78="",V78=0),"",MIN(IF(AX78="",9.9E+99,AX78),AO78/V78))</f>
        <v/>
      </c>
      <c r="AS78" s="49">
        <f>IF(AR78="","",AR78*IF(B78="South Korea",IF(ABS(MOD(ABS((X78)),1)-0.5)&lt;1E-9,2*ROUND((X78)/2,0),ROUND((X78),0)),X78))</f>
        <v/>
      </c>
      <c r="AT78" s="51" t="n"/>
      <c r="AU78" s="43" t="inlineStr">
        <is>
          <t>Estimated</t>
        </is>
      </c>
      <c r="AV78" s="52" t="n"/>
      <c r="AW78" s="52" t="n"/>
      <c r="AX78" s="53" t="n"/>
      <c r="AY78" s="54">
        <f>IF(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&lt;=0,"",VLOOKUP(B78,country_opex,7,FALSE)/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)</f>
        <v/>
      </c>
      <c r="AZ78" s="54">
        <f>IF(((W78*pax_cap*IF(B78="South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Korea",korea_mid_revleg,revleg_mid)),0))*VLOOKUP(B78,country_opex,3,FALSE))+Z78+AA78+AB78+AC78+AD78))&lt;=0,"",VLOOKUP(B78,country_opex,7,FALSE)/((W78*pax_cap*IF(B78="South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Korea",korea_mid_revleg,revleg_mid)),0))*VLOOKUP(B78,country_opex,3,FALSE))+Z78+AA78+AB78+AC78+AD78)))</f>
        <v/>
      </c>
      <c r="BA78" s="54">
        <f>IF(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&lt;=0,"",VLOOKUP(B78,country_opex,7,FALSE)/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)</f>
        <v/>
      </c>
      <c r="BB78" s="40" t="inlineStr">
        <is>
          <t>MODELED premium seasonal excursion. To be finalized in cascade with season_days.</t>
        </is>
      </c>
      <c r="BC78" s="40" t="n"/>
      <c r="BD78" s="43" t="inlineStr">
        <is>
          <t>rn-aeda75f91a7b</t>
        </is>
      </c>
    </row>
    <row r="79">
      <c r="A79" s="38" t="inlineStr">
        <is>
          <t>Caribbean</t>
        </is>
      </c>
      <c r="B79" s="38" t="inlineStr">
        <is>
          <t>Curaçao</t>
        </is>
      </c>
      <c r="C79" s="39" t="inlineStr">
        <is>
          <t>Curaçao (Spanish Water / Caracasbaai) → Klein Curaçao day-trip jetty</t>
        </is>
      </c>
      <c r="D79" s="38" t="inlineStr">
        <is>
          <t>caribbean</t>
        </is>
      </c>
      <c r="E79" s="40" t="inlineStr">
        <is>
          <t>caribbean</t>
        </is>
      </c>
      <c r="F79" s="41" t="n">
        <v>1</v>
      </c>
      <c r="G79" s="42" t="n">
        <v>15</v>
      </c>
      <c r="H79" s="35" t="n">
        <v>110</v>
      </c>
      <c r="I79" s="43" t="inlineStr">
        <is>
          <t>T5</t>
        </is>
      </c>
      <c r="J79" s="43" t="inlineStr">
        <is>
          <t>low</t>
        </is>
      </c>
      <c r="K79" s="29" t="n">
        <v>0.6</v>
      </c>
      <c r="L79" s="44">
        <f>60*G79/cruise_kt</f>
        <v/>
      </c>
      <c r="M79" s="44">
        <f>IF(B79="South Korea",G79/korea_charge_range_nm*korea_full_range_charge_min,0)</f>
        <v/>
      </c>
      <c r="N79" s="44">
        <f>IF(B79="South Korea",L79+korea_turn_min+korea_dwell_min+M79,L79+turn_min+dwell_min)</f>
        <v/>
      </c>
      <c r="O79" s="45">
        <f>IF(B79="South Korea",FLOOR(60*korea_service_hr/N79,1),MIN(15,FLOOR(60*service_hr/N79,1)))</f>
        <v/>
      </c>
      <c r="P79" s="45">
        <f>IF(ABS(MOD(ABS((365*mech_uptime*K79)),1)-0.5)&lt;1E-9,2*ROUND((365*mech_uptime*K79)/2,0),ROUND((365*mech_uptime*K79),0))</f>
        <v/>
      </c>
      <c r="Q79" s="46">
        <f>mech_uptime</f>
        <v/>
      </c>
      <c r="R79" s="46">
        <f>IF(AND(B79="South Korea",scenario="MID"),korea_mid_revleg,revleg_sel)</f>
        <v/>
      </c>
      <c r="S79" s="45">
        <f>IF(ABS(MOD(ABS((O79*P79*R79)),1)-0.5)&lt;1E-9,2*ROUND((O79*P79*R79)/2,0),ROUND((O79*P79*R79),0))</f>
        <v/>
      </c>
      <c r="T79" s="46">
        <f>IF(AND(B79="South Korea",scenario="MID"),korea_mid_load,load_sel)</f>
        <v/>
      </c>
      <c r="U79" s="47">
        <f>pax_cap*T79</f>
        <v/>
      </c>
      <c r="V79" s="45">
        <f>U79*S79</f>
        <v/>
      </c>
      <c r="W79" s="48">
        <f>H79*discount</f>
        <v/>
      </c>
      <c r="X79" s="49">
        <f>W79*V79</f>
        <v/>
      </c>
      <c r="Y79" s="49">
        <f>(battery/range_nm)*G79*S79*VLOOKUP(B79,country_opex,3,FALSE)</f>
        <v/>
      </c>
      <c r="Z79" s="49">
        <f>VLOOKUP(B79,country_opex,2,FALSE)*crew_factor</f>
        <v/>
      </c>
      <c r="AA79" s="49">
        <f>VLOOKUP(B79,country_opex,5,FALSE)</f>
        <v/>
      </c>
      <c r="AB79" s="49">
        <f>maint</f>
        <v/>
      </c>
      <c r="AC79" s="49">
        <f>VLOOKUP(B79,country_opex,7,FALSE)*ins_pct</f>
        <v/>
      </c>
      <c r="AD79" s="49">
        <f>charge_berth</f>
        <v/>
      </c>
      <c r="AE79" s="49">
        <f>Y79+Z79+AA79+AB79+AC79+AD79</f>
        <v/>
      </c>
      <c r="AF79" s="49">
        <f>VLOOKUP(B79,country_opex,7,FALSE)/dep_years</f>
        <v/>
      </c>
      <c r="AG79" s="49">
        <f>X79-AE79</f>
        <v/>
      </c>
      <c r="AH79" s="46">
        <f>IF(X79=0,"",AG79/X79)</f>
        <v/>
      </c>
      <c r="AI79" s="47">
        <f>IF(AG79&lt;=0,"",VLOOKUP(B79,country_opex,7,FALSE)/AG79)</f>
        <v/>
      </c>
      <c r="AJ79" s="44">
        <f>((G79*S79/diesel_nmpg)*diesel_co2pg-(battery/range_nm)*G79*S79*VLOOKUP(B79,country_opex,4,FALSE))/1000</f>
        <v/>
      </c>
      <c r="AK79" s="42" t="n"/>
      <c r="AL79" s="43" t="n"/>
      <c r="AM79" s="43" t="n"/>
      <c r="AN79" s="50" t="n">
        <v>0.1</v>
      </c>
      <c r="AO79" s="45">
        <f>IF(AK79="","",AK79*AN79)</f>
        <v/>
      </c>
      <c r="AP79" s="45">
        <f>IF(OR(AK79="",V79=0),"",MIN(IF(AX79="",9.9E+99,AX79),FLOOR(AO79/V79,1)))</f>
        <v/>
      </c>
      <c r="AQ79" s="49">
        <f>IF(AP79="","",AP79*IF(ABS(MOD(ABS((X79)),1)-0.5)&lt;1E-9,2*ROUND((X79)/2,0),ROUND((X79),0)))</f>
        <v/>
      </c>
      <c r="AR79" s="47">
        <f>IF(OR(AK79="",V79=0),"",MIN(IF(AX79="",9.9E+99,AX79),AO79/V79))</f>
        <v/>
      </c>
      <c r="AS79" s="49">
        <f>IF(AR79="","",AR79*IF(B79="South Korea",IF(ABS(MOD(ABS((X79)),1)-0.5)&lt;1E-9,2*ROUND((X79)/2,0),ROUND((X79),0)),X79))</f>
        <v/>
      </c>
      <c r="AT79" s="51" t="n"/>
      <c r="AU79" s="43" t="inlineStr">
        <is>
          <t>Estimated</t>
        </is>
      </c>
      <c r="AV79" s="52" t="n"/>
      <c r="AW79" s="52" t="n"/>
      <c r="AX79" s="53" t="n"/>
      <c r="AY79" s="54">
        <f>IF(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&lt;=0,"",VLOOKUP(B79,country_opex,7,FALSE)/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)</f>
        <v/>
      </c>
      <c r="AZ79" s="54">
        <f>IF(((W79*pax_cap*IF(B79="South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Korea",korea_mid_revleg,revleg_mid)),0))*VLOOKUP(B79,country_opex,3,FALSE))+Z79+AA79+AB79+AC79+AD79))&lt;=0,"",VLOOKUP(B79,country_opex,7,FALSE)/((W79*pax_cap*IF(B79="South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Korea",korea_mid_revleg,revleg_mid)),0))*VLOOKUP(B79,country_opex,3,FALSE))+Z79+AA79+AB79+AC79+AD79)))</f>
        <v/>
      </c>
      <c r="BA79" s="54">
        <f>IF(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&lt;=0,"",VLOOKUP(B79,country_opex,7,FALSE)/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)</f>
        <v/>
      </c>
      <c r="BB79" s="40" t="inlineStr">
        <is>
          <t>MODELED premium seasonal excursion. To be finalized in cascade with season_days.</t>
        </is>
      </c>
      <c r="BC79" s="40" t="n"/>
      <c r="BD79" s="43" t="inlineStr">
        <is>
          <t>rn-09a43a616a1a</t>
        </is>
      </c>
    </row>
    <row r="80">
      <c r="A80" s="38" t="inlineStr">
        <is>
          <t>Caribbean</t>
        </is>
      </c>
      <c r="B80" s="38" t="inlineStr">
        <is>
          <t>Curaçao</t>
        </is>
      </c>
      <c r="C80" s="39" t="inlineStr">
        <is>
          <t>Curaçao (Spanish Water / Caracasbaai) → Bonaire (Kralendijk town pier)</t>
        </is>
      </c>
      <c r="D80" s="38" t="inlineStr">
        <is>
          <t>caribbean</t>
        </is>
      </c>
      <c r="E80" s="40" t="inlineStr">
        <is>
          <t>caribbean</t>
        </is>
      </c>
      <c r="F80" s="41" t="n">
        <v>1</v>
      </c>
      <c r="G80" s="42" t="n">
        <v>38</v>
      </c>
      <c r="H80" s="35" t="n">
        <v>75</v>
      </c>
      <c r="I80" s="43" t="inlineStr">
        <is>
          <t>T4</t>
        </is>
      </c>
      <c r="J80" s="43" t="inlineStr">
        <is>
          <t>low-med</t>
        </is>
      </c>
      <c r="K80" s="29" t="n">
        <v>0.85</v>
      </c>
      <c r="L80" s="44">
        <f>60*G80/cruise_kt</f>
        <v/>
      </c>
      <c r="M80" s="44">
        <f>IF(B80="South Korea",G80/korea_charge_range_nm*korea_full_range_charge_min,0)</f>
        <v/>
      </c>
      <c r="N80" s="44">
        <f>IF(B80="South Korea",L80+korea_turn_min+korea_dwell_min+M80,L80+turn_min+dwell_min)</f>
        <v/>
      </c>
      <c r="O80" s="45">
        <f>IF(B80="South Korea",FLOOR(60*korea_service_hr/N80,1),MIN(15,FLOOR(60*service_hr/N80,1)))</f>
        <v/>
      </c>
      <c r="P80" s="45">
        <f>IF(ABS(MOD(ABS((365*mech_uptime*K80)),1)-0.5)&lt;1E-9,2*ROUND((365*mech_uptime*K80)/2,0),ROUND((365*mech_uptime*K80),0))</f>
        <v/>
      </c>
      <c r="Q80" s="46">
        <f>mech_uptime</f>
        <v/>
      </c>
      <c r="R80" s="46">
        <f>IF(AND(B80="South Korea",scenario="MID"),korea_mid_revleg,revleg_sel)</f>
        <v/>
      </c>
      <c r="S80" s="45">
        <f>IF(ABS(MOD(ABS((O80*P80*R80)),1)-0.5)&lt;1E-9,2*ROUND((O80*P80*R80)/2,0),ROUND((O80*P80*R80),0))</f>
        <v/>
      </c>
      <c r="T80" s="46">
        <f>IF(AND(B80="South Korea",scenario="MID"),korea_mid_load,load_sel)</f>
        <v/>
      </c>
      <c r="U80" s="47">
        <f>pax_cap*T80</f>
        <v/>
      </c>
      <c r="V80" s="45">
        <f>U80*S80</f>
        <v/>
      </c>
      <c r="W80" s="48">
        <f>H80*discount</f>
        <v/>
      </c>
      <c r="X80" s="49">
        <f>W80*V80</f>
        <v/>
      </c>
      <c r="Y80" s="49">
        <f>(battery/range_nm)*G80*S80*VLOOKUP(B80,country_opex,3,FALSE)</f>
        <v/>
      </c>
      <c r="Z80" s="49">
        <f>VLOOKUP(B80,country_opex,2,FALSE)*crew_factor</f>
        <v/>
      </c>
      <c r="AA80" s="49">
        <f>VLOOKUP(B80,country_opex,5,FALSE)</f>
        <v/>
      </c>
      <c r="AB80" s="49">
        <f>maint</f>
        <v/>
      </c>
      <c r="AC80" s="49">
        <f>VLOOKUP(B80,country_opex,7,FALSE)*ins_pct</f>
        <v/>
      </c>
      <c r="AD80" s="49">
        <f>charge_berth</f>
        <v/>
      </c>
      <c r="AE80" s="49">
        <f>Y80+Z80+AA80+AB80+AC80+AD80</f>
        <v/>
      </c>
      <c r="AF80" s="49">
        <f>VLOOKUP(B80,country_opex,7,FALSE)/dep_years</f>
        <v/>
      </c>
      <c r="AG80" s="49">
        <f>X80-AE80</f>
        <v/>
      </c>
      <c r="AH80" s="46">
        <f>IF(X80=0,"",AG80/X80)</f>
        <v/>
      </c>
      <c r="AI80" s="47">
        <f>IF(AG80&lt;=0,"",VLOOKUP(B80,country_opex,7,FALSE)/AG80)</f>
        <v/>
      </c>
      <c r="AJ80" s="44">
        <f>((G80*S80/diesel_nmpg)*diesel_co2pg-(battery/range_nm)*G80*S80*VLOOKUP(B80,country_opex,4,FALSE))/1000</f>
        <v/>
      </c>
      <c r="AK80" s="42" t="n"/>
      <c r="AL80" s="43" t="n"/>
      <c r="AM80" s="43" t="n"/>
      <c r="AN80" s="50" t="n">
        <v>0.1</v>
      </c>
      <c r="AO80" s="45">
        <f>IF(AK80="","",AK80*AN80)</f>
        <v/>
      </c>
      <c r="AP80" s="45">
        <f>IF(OR(AK80="",V80=0),"",MIN(IF(AX80="",9.9E+99,AX80),FLOOR(AO80/V80,1)))</f>
        <v/>
      </c>
      <c r="AQ80" s="49">
        <f>IF(AP80="","",AP80*IF(ABS(MOD(ABS((X80)),1)-0.5)&lt;1E-9,2*ROUND((X80)/2,0),ROUND((X80),0)))</f>
        <v/>
      </c>
      <c r="AR80" s="47">
        <f>IF(OR(AK80="",V80=0),"",MIN(IF(AX80="",9.9E+99,AX80),AO80/V80))</f>
        <v/>
      </c>
      <c r="AS80" s="49">
        <f>IF(AR80="","",AR80*IF(B80="South Korea",IF(ABS(MOD(ABS((X80)),1)-0.5)&lt;1E-9,2*ROUND((X80)/2,0),ROUND((X80),0)),X80))</f>
        <v/>
      </c>
      <c r="AT80" s="51" t="n"/>
      <c r="AU80" s="43" t="inlineStr">
        <is>
          <t>Estimated</t>
        </is>
      </c>
      <c r="AV80" s="52" t="n"/>
      <c r="AW80" s="52" t="n"/>
      <c r="AX80" s="53" t="n"/>
      <c r="AY80" s="54">
        <f>IF(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&lt;=0,"",VLOOKUP(B80,country_opex,7,FALSE)/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)</f>
        <v/>
      </c>
      <c r="AZ80" s="54">
        <f>IF(((W80*pax_cap*IF(B80="South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Korea",korea_mid_revleg,revleg_mid)),0))*VLOOKUP(B80,country_opex,3,FALSE))+Z80+AA80+AB80+AC80+AD80))&lt;=0,"",VLOOKUP(B80,country_opex,7,FALSE)/((W80*pax_cap*IF(B80="South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Korea",korea_mid_revleg,revleg_mid)),0))*VLOOKUP(B80,country_opex,3,FALSE))+Z80+AA80+AB80+AC80+AD80)))</f>
        <v/>
      </c>
      <c r="BA80" s="54">
        <f>IF(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&lt;=0,"",VLOOKUP(B80,country_opex,7,FALSE)/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)</f>
        <v/>
      </c>
      <c r="BB80" s="40" t="inlineStr">
        <is>
          <t>MODELED against the live Divi Divi/EZ Air Curaçao↔Bonaire one-way fare band (~$90-130); sea transfer priced below air. To be finalized in cascade.</t>
        </is>
      </c>
      <c r="BC80" s="40" t="n"/>
      <c r="BD80" s="43" t="inlineStr">
        <is>
          <t>rn-0f8e77cfef46</t>
        </is>
      </c>
    </row>
    <row r="81">
      <c r="A81" s="38" t="inlineStr">
        <is>
          <t>Bolt Cyprus</t>
        </is>
      </c>
      <c r="B81" s="38" t="inlineStr">
        <is>
          <t>Cyprus</t>
        </is>
      </c>
      <c r="C81" s="39" t="inlineStr">
        <is>
          <t>Ayia Napa → Protaras</t>
        </is>
      </c>
      <c r="D81" s="38" t="inlineStr">
        <is>
          <t>bolt</t>
        </is>
      </c>
      <c r="E81" s="40" t="inlineStr">
        <is>
          <t>bolt-cyprus</t>
        </is>
      </c>
      <c r="F81" s="41" t="n">
        <v>1</v>
      </c>
      <c r="G81" s="42" t="n">
        <v>7</v>
      </c>
      <c r="H81" s="35" t="n">
        <v>32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IF(B81="South Korea",G81/korea_charge_range_nm*korea_full_range_charge_min,0)</f>
        <v/>
      </c>
      <c r="N81" s="44">
        <f>IF(B81="South Korea",L81+korea_turn_min+korea_dwell_min+M81,L81+turn_min+dwell_min)</f>
        <v/>
      </c>
      <c r="O81" s="45">
        <f>IF(B81="South Korea",FLOOR(60*korea_service_hr/N81,1),MIN(24,FLOOR(60*service_hr/N81,1)))</f>
        <v/>
      </c>
      <c r="P81" s="45">
        <f>IF(ABS(MOD(ABS((365*mech_uptime*K81)),1)-0.5)&lt;1E-9,2*ROUND((365*mech_uptime*K81)/2,0),ROUND((365*mech_uptime*K81),0))</f>
        <v/>
      </c>
      <c r="Q81" s="46">
        <f>mech_uptime</f>
        <v/>
      </c>
      <c r="R81" s="46">
        <f>IF(AND(B81="South Korea",scenario="MID"),korea_mid_revleg,revleg_sel)</f>
        <v/>
      </c>
      <c r="S81" s="45">
        <f>IF(ABS(MOD(ABS((O81*P81*R81)),1)-0.5)&lt;1E-9,2*ROUND((O81*P81*R81)/2,0),ROUND((O81*P81*R81),0))</f>
        <v/>
      </c>
      <c r="T81" s="46">
        <f>IF(AND(B81="South Korea",scenario="MID"),korea_mid_load,load_sel)</f>
        <v/>
      </c>
      <c r="U81" s="47">
        <f>pax_cap*T81</f>
        <v/>
      </c>
      <c r="V81" s="45">
        <f>U81*S81</f>
        <v/>
      </c>
      <c r="W81" s="48">
        <f>H81*discount</f>
        <v/>
      </c>
      <c r="X81" s="49">
        <f>W81*V81</f>
        <v/>
      </c>
      <c r="Y81" s="49">
        <f>(battery/range_nm)*G81*S81*VLOOKUP(B81,country_opex,3,FALSE)</f>
        <v/>
      </c>
      <c r="Z81" s="49">
        <f>VLOOKUP(B81,country_opex,2,FALSE)*crew_factor</f>
        <v/>
      </c>
      <c r="AA81" s="49">
        <f>VLOOKUP(B81,country_opex,5,FALSE)</f>
        <v/>
      </c>
      <c r="AB81" s="49">
        <f>maint</f>
        <v/>
      </c>
      <c r="AC81" s="49">
        <f>VLOOKUP(B81,country_opex,7,FALSE)*ins_pct</f>
        <v/>
      </c>
      <c r="AD81" s="49">
        <f>charge_berth</f>
        <v/>
      </c>
      <c r="AE81" s="49">
        <f>Y81+Z81+AA81+AB81+AC81+AD81</f>
        <v/>
      </c>
      <c r="AF81" s="49">
        <f>VLOOKUP(B81,country_opex,7,FALSE)/dep_years</f>
        <v/>
      </c>
      <c r="AG81" s="49">
        <f>X81-AE81</f>
        <v/>
      </c>
      <c r="AH81" s="46">
        <f>IF(X81=0,"",AG81/X81)</f>
        <v/>
      </c>
      <c r="AI81" s="47">
        <f>IF(AG81&lt;=0,"",VLOOKUP(B81,country_opex,7,FALSE)/AG81)</f>
        <v/>
      </c>
      <c r="AJ81" s="44">
        <f>((G81*S81/diesel_nmpg)*diesel_co2pg-(battery/range_nm)*G81*S81*VLOOKUP(B81,country_opex,4,FALSE))/1000</f>
        <v/>
      </c>
      <c r="AK81" s="42" t="n"/>
      <c r="AL81" s="43" t="n"/>
      <c r="AM81" s="43" t="n"/>
      <c r="AN81" s="50" t="n">
        <v>0.1</v>
      </c>
      <c r="AO81" s="45">
        <f>IF(AK81="","",AK81*AN81)</f>
        <v/>
      </c>
      <c r="AP81" s="45">
        <f>IF(OR(AK81="",V81=0),"",MIN(IF(AX81="",9.9E+99,AX81),FLOOR(AO81/V81,1)))</f>
        <v/>
      </c>
      <c r="AQ81" s="49">
        <f>IF(AP81="","",AP81*IF(ABS(MOD(ABS((X81)),1)-0.5)&lt;1E-9,2*ROUND((X81)/2,0),ROUND((X81),0)))</f>
        <v/>
      </c>
      <c r="AR81" s="47">
        <f>IF(OR(AK81="",V81=0),"",MIN(IF(AX81="",9.9E+99,AX81),AO81/V81))</f>
        <v/>
      </c>
      <c r="AS81" s="49">
        <f>IF(AR81="","",AR81*IF(B81="South Korea",IF(ABS(MOD(ABS((X81)),1)-0.5)&lt;1E-9,2*ROUND((X81)/2,0),ROUND((X81),0)),X81))</f>
        <v/>
      </c>
      <c r="AT81" s="51" t="n"/>
      <c r="AU81" s="43" t="inlineStr">
        <is>
          <t>Estimated</t>
        </is>
      </c>
      <c r="AV81" s="52" t="n"/>
      <c r="AW81" s="52" t="n"/>
      <c r="AX81" s="53" t="n"/>
      <c r="AY81" s="54">
        <f>IF(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&lt;=0,"",VLOOKUP(B81,country_opex,7,FALSE)/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)</f>
        <v/>
      </c>
      <c r="AZ81" s="54">
        <f>IF(((W81*pax_cap*IF(B81="South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Korea",korea_mid_revleg,revleg_mid)),0))*VLOOKUP(B81,country_opex,3,FALSE))+Z81+AA81+AB81+AC81+AD81))&lt;=0,"",VLOOKUP(B81,country_opex,7,FALSE)/((W81*pax_cap*IF(B81="South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Korea",korea_mid_revleg,revleg_mid)),0))*VLOOKUP(B81,country_opex,3,FALSE))+Z81+AA81+AB81+AC81+AD81)))</f>
        <v/>
      </c>
      <c r="BA81" s="54">
        <f>IF(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&lt;=0,"",VLOOKUP(B81,country_opex,7,FALSE)/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)</f>
        <v/>
      </c>
      <c r="BB81" s="40" t="inlineStr">
        <is>
          <t>PREMIUM tier (sea analogue) = scheduled Ayia Napa/Protaras Cape Greco cruise per-seat ~EUR 30/pax (~$32); semi-private EUR 99/pax (MedCruises) as charter context.</t>
        </is>
      </c>
      <c r="BC81" s="40" t="n"/>
      <c r="BD81" s="43" t="n"/>
    </row>
    <row r="82">
      <c r="A82" s="38" t="inlineStr">
        <is>
          <t>Bolt Cyprus</t>
        </is>
      </c>
      <c r="B82" s="38" t="inlineStr">
        <is>
          <t>Cyprus</t>
        </is>
      </c>
      <c r="C82" s="39" t="inlineStr">
        <is>
          <t>Paphos Airport (PFO) → Paphos resorts (Coral Bay)</t>
        </is>
      </c>
      <c r="D82" s="38" t="inlineStr">
        <is>
          <t>bolt</t>
        </is>
      </c>
      <c r="E82" s="40" t="inlineStr">
        <is>
          <t>bolt-cyprus</t>
        </is>
      </c>
      <c r="F82" s="41" t="n">
        <v>1</v>
      </c>
      <c r="G82" s="42" t="n">
        <v>12</v>
      </c>
      <c r="H82" s="35" t="n">
        <v>32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IF(B82="South Korea",G82/korea_charge_range_nm*korea_full_range_charge_min,0)</f>
        <v/>
      </c>
      <c r="N82" s="44">
        <f>IF(B82="South Korea",L82+korea_turn_min+korea_dwell_min+M82,L82+turn_min+dwell_min)</f>
        <v/>
      </c>
      <c r="O82" s="45">
        <f>IF(B82="South Korea",FLOOR(60*korea_service_hr/N82,1),MIN(15,FLOOR(60*service_hr/N82,1)))</f>
        <v/>
      </c>
      <c r="P82" s="45">
        <f>IF(ABS(MOD(ABS((365*mech_uptime*K82)),1)-0.5)&lt;1E-9,2*ROUND((365*mech_uptime*K82)/2,0),ROUND((365*mech_uptime*K82),0))</f>
        <v/>
      </c>
      <c r="Q82" s="46">
        <f>mech_uptime</f>
        <v/>
      </c>
      <c r="R82" s="46">
        <f>IF(AND(B82="South Korea",scenario="MID"),korea_mid_revleg,revleg_sel)</f>
        <v/>
      </c>
      <c r="S82" s="45">
        <f>IF(ABS(MOD(ABS((O82*P82*R82)),1)-0.5)&lt;1E-9,2*ROUND((O82*P82*R82)/2,0),ROUND((O82*P82*R82),0))</f>
        <v/>
      </c>
      <c r="T82" s="46">
        <f>IF(AND(B82="South Korea",scenario="MID"),korea_mid_load,load_sel)</f>
        <v/>
      </c>
      <c r="U82" s="47">
        <f>pax_cap*T82</f>
        <v/>
      </c>
      <c r="V82" s="45">
        <f>U82*S82</f>
        <v/>
      </c>
      <c r="W82" s="48">
        <f>H82*discount</f>
        <v/>
      </c>
      <c r="X82" s="49">
        <f>W82*V82</f>
        <v/>
      </c>
      <c r="Y82" s="49">
        <f>(battery/range_nm)*G82*S82*VLOOKUP(B82,country_opex,3,FALSE)</f>
        <v/>
      </c>
      <c r="Z82" s="49">
        <f>VLOOKUP(B82,country_opex,2,FALSE)*crew_factor</f>
        <v/>
      </c>
      <c r="AA82" s="49">
        <f>VLOOKUP(B82,country_opex,5,FALSE)</f>
        <v/>
      </c>
      <c r="AB82" s="49">
        <f>maint</f>
        <v/>
      </c>
      <c r="AC82" s="49">
        <f>VLOOKUP(B82,country_opex,7,FALSE)*ins_pct</f>
        <v/>
      </c>
      <c r="AD82" s="49">
        <f>charge_berth</f>
        <v/>
      </c>
      <c r="AE82" s="49">
        <f>Y82+Z82+AA82+AB82+AC82+AD82</f>
        <v/>
      </c>
      <c r="AF82" s="49">
        <f>VLOOKUP(B82,country_opex,7,FALSE)/dep_years</f>
        <v/>
      </c>
      <c r="AG82" s="49">
        <f>X82-AE82</f>
        <v/>
      </c>
      <c r="AH82" s="46">
        <f>IF(X82=0,"",AG82/X82)</f>
        <v/>
      </c>
      <c r="AI82" s="47">
        <f>IF(AG82&lt;=0,"",VLOOKUP(B82,country_opex,7,FALSE)/AG82)</f>
        <v/>
      </c>
      <c r="AJ82" s="44">
        <f>((G82*S82/diesel_nmpg)*diesel_co2pg-(battery/range_nm)*G82*S82*VLOOKUP(B82,country_opex,4,FALSE))/1000</f>
        <v/>
      </c>
      <c r="AK82" s="42" t="n">
        <v>40000</v>
      </c>
      <c r="AL82" s="43" t="n"/>
      <c r="AM82" s="43" t="n"/>
      <c r="AN82" s="50" t="n">
        <v>0.1</v>
      </c>
      <c r="AO82" s="45">
        <f>IF(AK82="","",AK82*AN82)</f>
        <v/>
      </c>
      <c r="AP82" s="45">
        <f>IF(OR(AK82="",V82=0),"",MIN(IF(AX82="",9.9E+99,AX82),FLOOR(AO82/V82,1)))</f>
        <v/>
      </c>
      <c r="AQ82" s="49">
        <f>IF(AP82="","",AP82*IF(ABS(MOD(ABS((X82)),1)-0.5)&lt;1E-9,2*ROUND((X82)/2,0),ROUND((X82),0)))</f>
        <v/>
      </c>
      <c r="AR82" s="47">
        <f>IF(OR(AK82="",V82=0),"",MIN(IF(AX82="",9.9E+99,AX82),AO82/V82))</f>
        <v/>
      </c>
      <c r="AS82" s="49">
        <f>IF(AR82="","",AR82*IF(B82="South Korea",IF(ABS(MOD(ABS((X82)),1)-0.5)&lt;1E-9,2*ROUND((X82)/2,0),ROUND((X82),0)),X82))</f>
        <v/>
      </c>
      <c r="AT82" s="51" t="n"/>
      <c r="AU82" s="43" t="inlineStr">
        <is>
          <t>Estimated</t>
        </is>
      </c>
      <c r="AV82" s="52" t="n"/>
      <c r="AW82" s="52" t="n"/>
      <c r="AX82" s="53" t="n"/>
      <c r="AY82" s="54">
        <f>IF(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&lt;=0,"",VLOOKUP(B82,country_opex,7,FALSE)/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)</f>
        <v/>
      </c>
      <c r="AZ82" s="54">
        <f>IF(((W82*pax_cap*IF(B82="South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Korea",korea_mid_revleg,revleg_mid)),0))*VLOOKUP(B82,country_opex,3,FALSE))+Z82+AA82+AB82+AC82+AD82))&lt;=0,"",VLOOKUP(B82,country_opex,7,FALSE)/((W82*pax_cap*IF(B82="South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Korea",korea_mid_revleg,revleg_mid)),0))*VLOOKUP(B82,country_opex,3,FALSE))+Z82+AA82+AB82+AC82+AD82)))</f>
        <v/>
      </c>
      <c r="BA82" s="54">
        <f>IF(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&lt;=0,"",VLOOKUP(B82,country_opex,7,FALSE)/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)</f>
        <v/>
      </c>
      <c r="BB82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C82" s="40" t="n"/>
      <c r="BD82" s="43" t="n"/>
    </row>
    <row r="83">
      <c r="A83" s="38" t="inlineStr">
        <is>
          <t>Bolt Cyprus</t>
        </is>
      </c>
      <c r="B83" s="38" t="inlineStr">
        <is>
          <t>Cyprus</t>
        </is>
      </c>
      <c r="C83" s="39" t="inlineStr">
        <is>
          <t>Larnaca → Ayia Napa</t>
        </is>
      </c>
      <c r="D83" s="38" t="inlineStr">
        <is>
          <t>bolt</t>
        </is>
      </c>
      <c r="E83" s="40" t="inlineStr">
        <is>
          <t>bolt-cyprus</t>
        </is>
      </c>
      <c r="F83" s="41" t="n">
        <v>1</v>
      </c>
      <c r="G83" s="42" t="n">
        <v>19</v>
      </c>
      <c r="H83" s="35" t="n">
        <v>32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IF(B83="South Korea",G83/korea_charge_range_nm*korea_full_range_charge_min,0)</f>
        <v/>
      </c>
      <c r="N83" s="44">
        <f>IF(B83="South Korea",L83+korea_turn_min+korea_dwell_min+M83,L83+turn_min+dwell_min)</f>
        <v/>
      </c>
      <c r="O83" s="45">
        <f>IF(B83="South Korea",FLOOR(60*korea_service_hr/N83,1),MIN(24,FLOOR(60*service_hr/N83,1)))</f>
        <v/>
      </c>
      <c r="P83" s="45">
        <f>IF(ABS(MOD(ABS((365*mech_uptime*K83)),1)-0.5)&lt;1E-9,2*ROUND((365*mech_uptime*K83)/2,0),ROUND((365*mech_uptime*K83),0))</f>
        <v/>
      </c>
      <c r="Q83" s="46">
        <f>mech_uptime</f>
        <v/>
      </c>
      <c r="R83" s="46">
        <f>IF(AND(B83="South Korea",scenario="MID"),korea_mid_revleg,revleg_sel)</f>
        <v/>
      </c>
      <c r="S83" s="45">
        <f>IF(ABS(MOD(ABS((O83*P83*R83)),1)-0.5)&lt;1E-9,2*ROUND((O83*P83*R83)/2,0),ROUND((O83*P83*R83),0))</f>
        <v/>
      </c>
      <c r="T83" s="46">
        <f>IF(AND(B83="South Korea",scenario="MID"),korea_mid_load,load_sel)</f>
        <v/>
      </c>
      <c r="U83" s="47">
        <f>pax_cap*T83</f>
        <v/>
      </c>
      <c r="V83" s="45">
        <f>U83*S83</f>
        <v/>
      </c>
      <c r="W83" s="48">
        <f>H83*discount</f>
        <v/>
      </c>
      <c r="X83" s="49">
        <f>W83*V83</f>
        <v/>
      </c>
      <c r="Y83" s="49">
        <f>(battery/range_nm)*G83*S83*VLOOKUP(B83,country_opex,3,FALSE)</f>
        <v/>
      </c>
      <c r="Z83" s="49">
        <f>VLOOKUP(B83,country_opex,2,FALSE)*crew_factor</f>
        <v/>
      </c>
      <c r="AA83" s="49">
        <f>VLOOKUP(B83,country_opex,5,FALSE)</f>
        <v/>
      </c>
      <c r="AB83" s="49">
        <f>maint</f>
        <v/>
      </c>
      <c r="AC83" s="49">
        <f>VLOOKUP(B83,country_opex,7,FALSE)*ins_pct</f>
        <v/>
      </c>
      <c r="AD83" s="49">
        <f>charge_berth</f>
        <v/>
      </c>
      <c r="AE83" s="49">
        <f>Y83+Z83+AA83+AB83+AC83+AD83</f>
        <v/>
      </c>
      <c r="AF83" s="49">
        <f>VLOOKUP(B83,country_opex,7,FALSE)/dep_years</f>
        <v/>
      </c>
      <c r="AG83" s="49">
        <f>X83-AE83</f>
        <v/>
      </c>
      <c r="AH83" s="46">
        <f>IF(X83=0,"",AG83/X83)</f>
        <v/>
      </c>
      <c r="AI83" s="47">
        <f>IF(AG83&lt;=0,"",VLOOKUP(B83,country_opex,7,FALSE)/AG83)</f>
        <v/>
      </c>
      <c r="AJ83" s="44">
        <f>((G83*S83/diesel_nmpg)*diesel_co2pg-(battery/range_nm)*G83*S83*VLOOKUP(B83,country_opex,4,FALSE))/1000</f>
        <v/>
      </c>
      <c r="AK83" s="42" t="n"/>
      <c r="AL83" s="43" t="n"/>
      <c r="AM83" s="43" t="n"/>
      <c r="AN83" s="50" t="n">
        <v>0.1</v>
      </c>
      <c r="AO83" s="45">
        <f>IF(AK83="","",AK83*AN83)</f>
        <v/>
      </c>
      <c r="AP83" s="45">
        <f>IF(OR(AK83="",V83=0),"",MIN(IF(AX83="",9.9E+99,AX83),FLOOR(AO83/V83,1)))</f>
        <v/>
      </c>
      <c r="AQ83" s="49">
        <f>IF(AP83="","",AP83*IF(ABS(MOD(ABS((X83)),1)-0.5)&lt;1E-9,2*ROUND((X83)/2,0),ROUND((X83),0)))</f>
        <v/>
      </c>
      <c r="AR83" s="47">
        <f>IF(OR(AK83="",V83=0),"",MIN(IF(AX83="",9.9E+99,AX83),AO83/V83))</f>
        <v/>
      </c>
      <c r="AS83" s="49">
        <f>IF(AR83="","",AR83*IF(B83="South Korea",IF(ABS(MOD(ABS((X83)),1)-0.5)&lt;1E-9,2*ROUND((X83)/2,0),ROUND((X83),0)),X83))</f>
        <v/>
      </c>
      <c r="AT83" s="51" t="n"/>
      <c r="AU83" s="43" t="inlineStr">
        <is>
          <t>Estimated</t>
        </is>
      </c>
      <c r="AV83" s="52" t="n"/>
      <c r="AW83" s="52" t="n"/>
      <c r="AX83" s="53" t="n"/>
      <c r="AY83" s="54">
        <f>IF(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&lt;=0,"",VLOOKUP(B83,country_opex,7,FALSE)/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)</f>
        <v/>
      </c>
      <c r="AZ83" s="54">
        <f>IF(((W83*pax_cap*IF(B83="South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Korea",korea_mid_revleg,revleg_mid)),0))*VLOOKUP(B83,country_opex,3,FALSE))+Z83+AA83+AB83+AC83+AD83))&lt;=0,"",VLOOKUP(B83,country_opex,7,FALSE)/((W83*pax_cap*IF(B83="South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Korea",korea_mid_revleg,revleg_mid)),0))*VLOOKUP(B83,country_opex,3,FALSE))+Z83+AA83+AB83+AC83+AD83)))</f>
        <v/>
      </c>
      <c r="BA83" s="54">
        <f>IF(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&lt;=0,"",VLOOKUP(B83,country_opex,7,FALSE)/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)</f>
        <v/>
      </c>
      <c r="BB83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C83" s="40" t="n"/>
      <c r="BD83" s="43" t="n"/>
    </row>
    <row r="84">
      <c r="A84" s="38" t="inlineStr">
        <is>
          <t>Bolt Cyprus</t>
        </is>
      </c>
      <c r="B84" s="38" t="inlineStr">
        <is>
          <t>Cyprus</t>
        </is>
      </c>
      <c r="C84" s="39" t="inlineStr">
        <is>
          <t>Larnaca Airport (LCA) → Ayia Napa</t>
        </is>
      </c>
      <c r="D84" s="38" t="inlineStr">
        <is>
          <t>bolt</t>
        </is>
      </c>
      <c r="E84" s="40" t="inlineStr">
        <is>
          <t>bolt-cyprus</t>
        </is>
      </c>
      <c r="F84" s="41" t="n">
        <v>1</v>
      </c>
      <c r="G84" s="42" t="n">
        <v>20</v>
      </c>
      <c r="H84" s="35" t="n">
        <v>38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IF(B84="South Korea",G84/korea_charge_range_nm*korea_full_range_charge_min,0)</f>
        <v/>
      </c>
      <c r="N84" s="44">
        <f>IF(B84="South Korea",L84+korea_turn_min+korea_dwell_min+M84,L84+turn_min+dwell_min)</f>
        <v/>
      </c>
      <c r="O84" s="45">
        <f>IF(B84="South Korea",FLOOR(60*korea_service_hr/N84,1),MIN(15,FLOOR(60*service_hr/N84,1)))</f>
        <v/>
      </c>
      <c r="P84" s="45">
        <f>IF(ABS(MOD(ABS((365*mech_uptime*K84)),1)-0.5)&lt;1E-9,2*ROUND((365*mech_uptime*K84)/2,0),ROUND((365*mech_uptime*K84),0))</f>
        <v/>
      </c>
      <c r="Q84" s="46">
        <f>mech_uptime</f>
        <v/>
      </c>
      <c r="R84" s="46">
        <f>IF(AND(B84="South Korea",scenario="MID"),korea_mid_revleg,revleg_sel)</f>
        <v/>
      </c>
      <c r="S84" s="45">
        <f>IF(ABS(MOD(ABS((O84*P84*R84)),1)-0.5)&lt;1E-9,2*ROUND((O84*P84*R84)/2,0),ROUND((O84*P84*R84),0))</f>
        <v/>
      </c>
      <c r="T84" s="46">
        <f>IF(AND(B84="South Korea",scenario="MID"),korea_mid_load,load_sel)</f>
        <v/>
      </c>
      <c r="U84" s="47">
        <f>pax_cap*T84</f>
        <v/>
      </c>
      <c r="V84" s="45">
        <f>U84*S84</f>
        <v/>
      </c>
      <c r="W84" s="48">
        <f>H84*discount</f>
        <v/>
      </c>
      <c r="X84" s="49">
        <f>W84*V84</f>
        <v/>
      </c>
      <c r="Y84" s="49">
        <f>(battery/range_nm)*G84*S84*VLOOKUP(B84,country_opex,3,FALSE)</f>
        <v/>
      </c>
      <c r="Z84" s="49">
        <f>VLOOKUP(B84,country_opex,2,FALSE)*crew_factor</f>
        <v/>
      </c>
      <c r="AA84" s="49">
        <f>VLOOKUP(B84,country_opex,5,FALSE)</f>
        <v/>
      </c>
      <c r="AB84" s="49">
        <f>maint</f>
        <v/>
      </c>
      <c r="AC84" s="49">
        <f>VLOOKUP(B84,country_opex,7,FALSE)*ins_pct</f>
        <v/>
      </c>
      <c r="AD84" s="49">
        <f>charge_berth</f>
        <v/>
      </c>
      <c r="AE84" s="49">
        <f>Y84+Z84+AA84+AB84+AC84+AD84</f>
        <v/>
      </c>
      <c r="AF84" s="49">
        <f>VLOOKUP(B84,country_opex,7,FALSE)/dep_years</f>
        <v/>
      </c>
      <c r="AG84" s="49">
        <f>X84-AE84</f>
        <v/>
      </c>
      <c r="AH84" s="46">
        <f>IF(X84=0,"",AG84/X84)</f>
        <v/>
      </c>
      <c r="AI84" s="47">
        <f>IF(AG84&lt;=0,"",VLOOKUP(B84,country_opex,7,FALSE)/AG84)</f>
        <v/>
      </c>
      <c r="AJ84" s="44">
        <f>((G84*S84/diesel_nmpg)*diesel_co2pg-(battery/range_nm)*G84*S84*VLOOKUP(B84,country_opex,4,FALSE))/1000</f>
        <v/>
      </c>
      <c r="AK84" s="42" t="n">
        <v>28000</v>
      </c>
      <c r="AL84" s="43" t="n"/>
      <c r="AM84" s="43" t="n"/>
      <c r="AN84" s="50" t="n">
        <v>0.1</v>
      </c>
      <c r="AO84" s="45">
        <f>IF(AK84="","",AK84*AN84)</f>
        <v/>
      </c>
      <c r="AP84" s="45">
        <f>IF(OR(AK84="",V84=0),"",MIN(IF(AX84="",9.9E+99,AX84),FLOOR(AO84/V84,1)))</f>
        <v/>
      </c>
      <c r="AQ84" s="49">
        <f>IF(AP84="","",AP84*IF(ABS(MOD(ABS((X84)),1)-0.5)&lt;1E-9,2*ROUND((X84)/2,0),ROUND((X84),0)))</f>
        <v/>
      </c>
      <c r="AR84" s="47">
        <f>IF(OR(AK84="",V84=0),"",MIN(IF(AX84="",9.9E+99,AX84),AO84/V84))</f>
        <v/>
      </c>
      <c r="AS84" s="49">
        <f>IF(AR84="","",AR84*IF(B84="South Korea",IF(ABS(MOD(ABS((X84)),1)-0.5)&lt;1E-9,2*ROUND((X84)/2,0),ROUND((X84),0)),X84))</f>
        <v/>
      </c>
      <c r="AT84" s="51" t="n"/>
      <c r="AU84" s="43" t="inlineStr">
        <is>
          <t>Estimated</t>
        </is>
      </c>
      <c r="AV84" s="52" t="n"/>
      <c r="AW84" s="52" t="n"/>
      <c r="AX84" s="53" t="n"/>
      <c r="AY84" s="54">
        <f>IF(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&lt;=0,"",VLOOKUP(B84,country_opex,7,FALSE)/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)</f>
        <v/>
      </c>
      <c r="AZ84" s="54">
        <f>IF(((W84*pax_cap*IF(B84="South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Korea",korea_mid_revleg,revleg_mid)),0))*VLOOKUP(B84,country_opex,3,FALSE))+Z84+AA84+AB84+AC84+AD84))&lt;=0,"",VLOOKUP(B84,country_opex,7,FALSE)/((W84*pax_cap*IF(B84="South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Korea",korea_mid_revleg,revleg_mid)),0))*VLOOKUP(B84,country_opex,3,FALSE))+Z84+AA84+AB84+AC84+AD84)))</f>
        <v/>
      </c>
      <c r="BA84" s="54">
        <f>IF(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&lt;=0,"",VLOOKUP(B84,country_opex,7,FALSE)/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)</f>
        <v/>
      </c>
      <c r="BB84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C84" s="40" t="n"/>
      <c r="BD84" s="43" t="n"/>
    </row>
    <row r="85">
      <c r="A85" s="38" t="inlineStr">
        <is>
          <t>Bolt Cyprus</t>
        </is>
      </c>
      <c r="B85" s="38" t="inlineStr">
        <is>
          <t>Cyprus</t>
        </is>
      </c>
      <c r="C85" s="39" t="inlineStr">
        <is>
          <t>Larnaca → Protaras</t>
        </is>
      </c>
      <c r="D85" s="38" t="inlineStr">
        <is>
          <t>bolt</t>
        </is>
      </c>
      <c r="E85" s="40" t="inlineStr">
        <is>
          <t>bolt-cyprus</t>
        </is>
      </c>
      <c r="F85" s="41" t="n">
        <v>1</v>
      </c>
      <c r="G85" s="42" t="n">
        <v>23</v>
      </c>
      <c r="H85" s="35" t="n">
        <v>32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IF(B85="South Korea",G85/korea_charge_range_nm*korea_full_range_charge_min,0)</f>
        <v/>
      </c>
      <c r="N85" s="44">
        <f>IF(B85="South Korea",L85+korea_turn_min+korea_dwell_min+M85,L85+turn_min+dwell_min)</f>
        <v/>
      </c>
      <c r="O85" s="45">
        <f>IF(B85="South Korea",FLOOR(60*korea_service_hr/N85,1),MIN(24,FLOOR(60*service_hr/N85,1)))</f>
        <v/>
      </c>
      <c r="P85" s="45">
        <f>IF(ABS(MOD(ABS((365*mech_uptime*K85)),1)-0.5)&lt;1E-9,2*ROUND((365*mech_uptime*K85)/2,0),ROUND((365*mech_uptime*K85),0))</f>
        <v/>
      </c>
      <c r="Q85" s="46">
        <f>mech_uptime</f>
        <v/>
      </c>
      <c r="R85" s="46">
        <f>IF(AND(B85="South Korea",scenario="MID"),korea_mid_revleg,revleg_sel)</f>
        <v/>
      </c>
      <c r="S85" s="45">
        <f>IF(ABS(MOD(ABS((O85*P85*R85)),1)-0.5)&lt;1E-9,2*ROUND((O85*P85*R85)/2,0),ROUND((O85*P85*R85),0))</f>
        <v/>
      </c>
      <c r="T85" s="46">
        <f>IF(AND(B85="South Korea",scenario="MID"),korea_mid_load,load_sel)</f>
        <v/>
      </c>
      <c r="U85" s="47">
        <f>pax_cap*T85</f>
        <v/>
      </c>
      <c r="V85" s="45">
        <f>U85*S85</f>
        <v/>
      </c>
      <c r="W85" s="48">
        <f>H85*discount</f>
        <v/>
      </c>
      <c r="X85" s="49">
        <f>W85*V85</f>
        <v/>
      </c>
      <c r="Y85" s="49">
        <f>(battery/range_nm)*G85*S85*VLOOKUP(B85,country_opex,3,FALSE)</f>
        <v/>
      </c>
      <c r="Z85" s="49">
        <f>VLOOKUP(B85,country_opex,2,FALSE)*crew_factor</f>
        <v/>
      </c>
      <c r="AA85" s="49">
        <f>VLOOKUP(B85,country_opex,5,FALSE)</f>
        <v/>
      </c>
      <c r="AB85" s="49">
        <f>maint</f>
        <v/>
      </c>
      <c r="AC85" s="49">
        <f>VLOOKUP(B85,country_opex,7,FALSE)*ins_pct</f>
        <v/>
      </c>
      <c r="AD85" s="49">
        <f>charge_berth</f>
        <v/>
      </c>
      <c r="AE85" s="49">
        <f>Y85+Z85+AA85+AB85+AC85+AD85</f>
        <v/>
      </c>
      <c r="AF85" s="49">
        <f>VLOOKUP(B85,country_opex,7,FALSE)/dep_years</f>
        <v/>
      </c>
      <c r="AG85" s="49">
        <f>X85-AE85</f>
        <v/>
      </c>
      <c r="AH85" s="46">
        <f>IF(X85=0,"",AG85/X85)</f>
        <v/>
      </c>
      <c r="AI85" s="47">
        <f>IF(AG85&lt;=0,"",VLOOKUP(B85,country_opex,7,FALSE)/AG85)</f>
        <v/>
      </c>
      <c r="AJ85" s="44">
        <f>((G85*S85/diesel_nmpg)*diesel_co2pg-(battery/range_nm)*G85*S85*VLOOKUP(B85,country_opex,4,FALSE))/1000</f>
        <v/>
      </c>
      <c r="AK85" s="42" t="n"/>
      <c r="AL85" s="43" t="n"/>
      <c r="AM85" s="43" t="n"/>
      <c r="AN85" s="50" t="n">
        <v>0.1</v>
      </c>
      <c r="AO85" s="45">
        <f>IF(AK85="","",AK85*AN85)</f>
        <v/>
      </c>
      <c r="AP85" s="45">
        <f>IF(OR(AK85="",V85=0),"",MIN(IF(AX85="",9.9E+99,AX85),FLOOR(AO85/V85,1)))</f>
        <v/>
      </c>
      <c r="AQ85" s="49">
        <f>IF(AP85="","",AP85*IF(ABS(MOD(ABS((X85)),1)-0.5)&lt;1E-9,2*ROUND((X85)/2,0),ROUND((X85),0)))</f>
        <v/>
      </c>
      <c r="AR85" s="47">
        <f>IF(OR(AK85="",V85=0),"",MIN(IF(AX85="",9.9E+99,AX85),AO85/V85))</f>
        <v/>
      </c>
      <c r="AS85" s="49">
        <f>IF(AR85="","",AR85*IF(B85="South Korea",IF(ABS(MOD(ABS((X85)),1)-0.5)&lt;1E-9,2*ROUND((X85)/2,0),ROUND((X85),0)),X85))</f>
        <v/>
      </c>
      <c r="AT85" s="51" t="n"/>
      <c r="AU85" s="43" t="inlineStr">
        <is>
          <t>Estimated</t>
        </is>
      </c>
      <c r="AV85" s="52" t="n"/>
      <c r="AW85" s="52" t="n"/>
      <c r="AX85" s="53" t="n"/>
      <c r="AY85" s="54">
        <f>IF(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&lt;=0,"",VLOOKUP(B85,country_opex,7,FALSE)/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)</f>
        <v/>
      </c>
      <c r="AZ85" s="54">
        <f>IF(((W85*pax_cap*IF(B85="South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Korea",korea_mid_revleg,revleg_mid)),0))*VLOOKUP(B85,country_opex,3,FALSE))+Z85+AA85+AB85+AC85+AD85))&lt;=0,"",VLOOKUP(B85,country_opex,7,FALSE)/((W85*pax_cap*IF(B85="South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Korea",korea_mid_revleg,revleg_mid)),0))*VLOOKUP(B85,country_opex,3,FALSE))+Z85+AA85+AB85+AC85+AD85)))</f>
        <v/>
      </c>
      <c r="BA85" s="54">
        <f>IF(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&lt;=0,"",VLOOKUP(B85,country_opex,7,FALSE)/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)</f>
        <v/>
      </c>
      <c r="BB85" s="40" t="inlineStr">
        <is>
          <t>PREMIUM tier (sea analogue) = Protaras/Ayia Napa scheduled sea-cruise per-seat ~EUR 30/pax (~$32). Yellow Boat Cruises / semi-private EUR 99 as charter context.</t>
        </is>
      </c>
      <c r="BC85" s="40" t="n"/>
      <c r="BD85" s="43" t="n"/>
    </row>
    <row r="86">
      <c r="A86" s="38" t="inlineStr">
        <is>
          <t>Bolt Cyprus</t>
        </is>
      </c>
      <c r="B86" s="38" t="inlineStr">
        <is>
          <t>Cyprus</t>
        </is>
      </c>
      <c r="C86" s="39" t="inlineStr">
        <is>
          <t>Limassol Marina → Larnaca Marina</t>
        </is>
      </c>
      <c r="D86" s="38" t="inlineStr">
        <is>
          <t>bolt</t>
        </is>
      </c>
      <c r="E86" s="40" t="inlineStr">
        <is>
          <t>bolt-cyprus</t>
        </is>
      </c>
      <c r="F86" s="41" t="n">
        <v>1</v>
      </c>
      <c r="G86" s="42" t="n">
        <v>35</v>
      </c>
      <c r="H86" s="35" t="n">
        <v>38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IF(B86="South Korea",G86/korea_charge_range_nm*korea_full_range_charge_min,0)</f>
        <v/>
      </c>
      <c r="N86" s="44">
        <f>IF(B86="South Korea",L86+korea_turn_min+korea_dwell_min+M86,L86+turn_min+dwell_min)</f>
        <v/>
      </c>
      <c r="O86" s="45">
        <f>IF(B86="South Korea",FLOOR(60*korea_service_hr/N86,1),MIN(15,FLOOR(60*service_hr/N86,1)))</f>
        <v/>
      </c>
      <c r="P86" s="45">
        <f>IF(ABS(MOD(ABS((365*mech_uptime*K86)),1)-0.5)&lt;1E-9,2*ROUND((365*mech_uptime*K86)/2,0),ROUND((365*mech_uptime*K86),0))</f>
        <v/>
      </c>
      <c r="Q86" s="46">
        <f>mech_uptime</f>
        <v/>
      </c>
      <c r="R86" s="46">
        <f>IF(AND(B86="South Korea",scenario="MID"),korea_mid_revleg,revleg_sel)</f>
        <v/>
      </c>
      <c r="S86" s="45">
        <f>IF(ABS(MOD(ABS((O86*P86*R86)),1)-0.5)&lt;1E-9,2*ROUND((O86*P86*R86)/2,0),ROUND((O86*P86*R86),0))</f>
        <v/>
      </c>
      <c r="T86" s="46">
        <f>IF(AND(B86="South Korea",scenario="MID"),korea_mid_load,load_sel)</f>
        <v/>
      </c>
      <c r="U86" s="47">
        <f>pax_cap*T86</f>
        <v/>
      </c>
      <c r="V86" s="45">
        <f>U86*S86</f>
        <v/>
      </c>
      <c r="W86" s="48">
        <f>H86*discount</f>
        <v/>
      </c>
      <c r="X86" s="49">
        <f>W86*V86</f>
        <v/>
      </c>
      <c r="Y86" s="49">
        <f>(battery/range_nm)*G86*S86*VLOOKUP(B86,country_opex,3,FALSE)</f>
        <v/>
      </c>
      <c r="Z86" s="49">
        <f>VLOOKUP(B86,country_opex,2,FALSE)*crew_factor</f>
        <v/>
      </c>
      <c r="AA86" s="49">
        <f>VLOOKUP(B86,country_opex,5,FALSE)</f>
        <v/>
      </c>
      <c r="AB86" s="49">
        <f>maint</f>
        <v/>
      </c>
      <c r="AC86" s="49">
        <f>VLOOKUP(B86,country_opex,7,FALSE)*ins_pct</f>
        <v/>
      </c>
      <c r="AD86" s="49">
        <f>charge_berth</f>
        <v/>
      </c>
      <c r="AE86" s="49">
        <f>Y86+Z86+AA86+AB86+AC86+AD86</f>
        <v/>
      </c>
      <c r="AF86" s="49">
        <f>VLOOKUP(B86,country_opex,7,FALSE)/dep_years</f>
        <v/>
      </c>
      <c r="AG86" s="49">
        <f>X86-AE86</f>
        <v/>
      </c>
      <c r="AH86" s="46">
        <f>IF(X86=0,"",AG86/X86)</f>
        <v/>
      </c>
      <c r="AI86" s="47">
        <f>IF(AG86&lt;=0,"",VLOOKUP(B86,country_opex,7,FALSE)/AG86)</f>
        <v/>
      </c>
      <c r="AJ86" s="44">
        <f>((G86*S86/diesel_nmpg)*diesel_co2pg-(battery/range_nm)*G86*S86*VLOOKUP(B86,country_opex,4,FALSE))/1000</f>
        <v/>
      </c>
      <c r="AK86" s="42" t="n">
        <v>99000</v>
      </c>
      <c r="AL86" s="43" t="n"/>
      <c r="AM86" s="43" t="n"/>
      <c r="AN86" s="50" t="n">
        <v>0.1</v>
      </c>
      <c r="AO86" s="45">
        <f>IF(AK86="","",AK86*AN86)</f>
        <v/>
      </c>
      <c r="AP86" s="45">
        <f>IF(OR(AK86="",V86=0),"",MIN(IF(AX86="",9.9E+99,AX86),FLOOR(AO86/V86,1)))</f>
        <v/>
      </c>
      <c r="AQ86" s="49">
        <f>IF(AP86="","",AP86*IF(ABS(MOD(ABS((X86)),1)-0.5)&lt;1E-9,2*ROUND((X86)/2,0),ROUND((X86),0)))</f>
        <v/>
      </c>
      <c r="AR86" s="47">
        <f>IF(OR(AK86="",V86=0),"",MIN(IF(AX86="",9.9E+99,AX86),AO86/V86))</f>
        <v/>
      </c>
      <c r="AS86" s="49">
        <f>IF(AR86="","",AR86*IF(B86="South Korea",IF(ABS(MOD(ABS((X86)),1)-0.5)&lt;1E-9,2*ROUND((X86)/2,0),ROUND((X86),0)),X86))</f>
        <v/>
      </c>
      <c r="AT86" s="51" t="n"/>
      <c r="AU86" s="43" t="inlineStr">
        <is>
          <t>Upside tier</t>
        </is>
      </c>
      <c r="AV86" s="52" t="n"/>
      <c r="AW86" s="52" t="inlineStr">
        <is>
          <t>modal_shift_greenfield</t>
        </is>
      </c>
      <c r="AX86" s="53" t="n"/>
      <c r="AY86" s="54">
        <f>IF(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&lt;=0,"",VLOOKUP(B86,country_opex,7,FALSE)/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)</f>
        <v/>
      </c>
      <c r="AZ86" s="54">
        <f>IF(((W86*pax_cap*IF(B86="South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Korea",korea_mid_revleg,revleg_mid)),0))*VLOOKUP(B86,country_opex,3,FALSE))+Z86+AA86+AB86+AC86+AD86))&lt;=0,"",VLOOKUP(B86,country_opex,7,FALSE)/((W86*pax_cap*IF(B86="South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Korea",korea_mid_revleg,revleg_mid)),0))*VLOOKUP(B86,country_opex,3,FALSE))+Z86+AA86+AB86+AC86+AD86)))</f>
        <v/>
      </c>
      <c r="BA86" s="54">
        <f>IF(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&lt;=0,"",VLOOKUP(B86,country_opex,7,FALSE)/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)</f>
        <v/>
      </c>
      <c r="BB86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C86" s="40" t="n"/>
      <c r="BD86" s="43" t="n"/>
    </row>
    <row r="87">
      <c r="A87" s="38" t="inlineStr">
        <is>
          <t>Bolt Cyprus</t>
        </is>
      </c>
      <c r="B87" s="38" t="inlineStr">
        <is>
          <t>Cyprus</t>
        </is>
      </c>
      <c r="C87" s="39" t="inlineStr">
        <is>
          <t>Larnaca Airport (LCA) → Limassol</t>
        </is>
      </c>
      <c r="D87" s="38" t="inlineStr">
        <is>
          <t>bolt</t>
        </is>
      </c>
      <c r="E87" s="40" t="inlineStr">
        <is>
          <t>bolt-cyprus</t>
        </is>
      </c>
      <c r="F87" s="41" t="n">
        <v>1</v>
      </c>
      <c r="G87" s="42" t="n">
        <v>35</v>
      </c>
      <c r="H87" s="35" t="n">
        <v>38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IF(B87="South Korea",G87/korea_charge_range_nm*korea_full_range_charge_min,0)</f>
        <v/>
      </c>
      <c r="N87" s="44">
        <f>IF(B87="South Korea",L87+korea_turn_min+korea_dwell_min+M87,L87+turn_min+dwell_min)</f>
        <v/>
      </c>
      <c r="O87" s="45">
        <f>IF(B87="South Korea",FLOOR(60*korea_service_hr/N87,1),MIN(15,FLOOR(60*service_hr/N87,1)))</f>
        <v/>
      </c>
      <c r="P87" s="45">
        <f>IF(ABS(MOD(ABS((365*mech_uptime*K87)),1)-0.5)&lt;1E-9,2*ROUND((365*mech_uptime*K87)/2,0),ROUND((365*mech_uptime*K87),0))</f>
        <v/>
      </c>
      <c r="Q87" s="46">
        <f>mech_uptime</f>
        <v/>
      </c>
      <c r="R87" s="46">
        <f>IF(AND(B87="South Korea",scenario="MID"),korea_mid_revleg,revleg_sel)</f>
        <v/>
      </c>
      <c r="S87" s="45">
        <f>IF(ABS(MOD(ABS((O87*P87*R87)),1)-0.5)&lt;1E-9,2*ROUND((O87*P87*R87)/2,0),ROUND((O87*P87*R87),0))</f>
        <v/>
      </c>
      <c r="T87" s="46">
        <f>IF(AND(B87="South Korea",scenario="MID"),korea_mid_load,load_sel)</f>
        <v/>
      </c>
      <c r="U87" s="47">
        <f>pax_cap*T87</f>
        <v/>
      </c>
      <c r="V87" s="45">
        <f>U87*S87</f>
        <v/>
      </c>
      <c r="W87" s="48">
        <f>H87*discount</f>
        <v/>
      </c>
      <c r="X87" s="49">
        <f>W87*V87</f>
        <v/>
      </c>
      <c r="Y87" s="49">
        <f>(battery/range_nm)*G87*S87*VLOOKUP(B87,country_opex,3,FALSE)</f>
        <v/>
      </c>
      <c r="Z87" s="49">
        <f>VLOOKUP(B87,country_opex,2,FALSE)*crew_factor</f>
        <v/>
      </c>
      <c r="AA87" s="49">
        <f>VLOOKUP(B87,country_opex,5,FALSE)</f>
        <v/>
      </c>
      <c r="AB87" s="49">
        <f>maint</f>
        <v/>
      </c>
      <c r="AC87" s="49">
        <f>VLOOKUP(B87,country_opex,7,FALSE)*ins_pct</f>
        <v/>
      </c>
      <c r="AD87" s="49">
        <f>charge_berth</f>
        <v/>
      </c>
      <c r="AE87" s="49">
        <f>Y87+Z87+AA87+AB87+AC87+AD87</f>
        <v/>
      </c>
      <c r="AF87" s="49">
        <f>VLOOKUP(B87,country_opex,7,FALSE)/dep_years</f>
        <v/>
      </c>
      <c r="AG87" s="49">
        <f>X87-AE87</f>
        <v/>
      </c>
      <c r="AH87" s="46">
        <f>IF(X87=0,"",AG87/X87)</f>
        <v/>
      </c>
      <c r="AI87" s="47">
        <f>IF(AG87&lt;=0,"",VLOOKUP(B87,country_opex,7,FALSE)/AG87)</f>
        <v/>
      </c>
      <c r="AJ87" s="44">
        <f>((G87*S87/diesel_nmpg)*diesel_co2pg-(battery/range_nm)*G87*S87*VLOOKUP(B87,country_opex,4,FALSE))/1000</f>
        <v/>
      </c>
      <c r="AK87" s="42" t="n"/>
      <c r="AL87" s="43" t="n"/>
      <c r="AM87" s="43" t="n"/>
      <c r="AN87" s="50" t="n">
        <v>0.1</v>
      </c>
      <c r="AO87" s="45">
        <f>IF(AK87="","",AK87*AN87)</f>
        <v/>
      </c>
      <c r="AP87" s="45">
        <f>IF(OR(AK87="",V87=0),"",MIN(IF(AX87="",9.9E+99,AX87),FLOOR(AO87/V87,1)))</f>
        <v/>
      </c>
      <c r="AQ87" s="49">
        <f>IF(AP87="","",AP87*IF(ABS(MOD(ABS((X87)),1)-0.5)&lt;1E-9,2*ROUND((X87)/2,0),ROUND((X87),0)))</f>
        <v/>
      </c>
      <c r="AR87" s="47">
        <f>IF(OR(AK87="",V87=0),"",MIN(IF(AX87="",9.9E+99,AX87),AO87/V87))</f>
        <v/>
      </c>
      <c r="AS87" s="49">
        <f>IF(AR87="","",AR87*IF(B87="South Korea",IF(ABS(MOD(ABS((X87)),1)-0.5)&lt;1E-9,2*ROUND((X87)/2,0),ROUND((X87),0)),X87))</f>
        <v/>
      </c>
      <c r="AT87" s="51" t="n"/>
      <c r="AU87" s="43" t="inlineStr">
        <is>
          <t>Estimated</t>
        </is>
      </c>
      <c r="AV87" s="52" t="n"/>
      <c r="AW87" s="52" t="n"/>
      <c r="AX87" s="53" t="n"/>
      <c r="AY87" s="54">
        <f>IF(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&lt;=0,"",VLOOKUP(B87,country_opex,7,FALSE)/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)</f>
        <v/>
      </c>
      <c r="AZ87" s="54">
        <f>IF(((W87*pax_cap*IF(B87="South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Korea",korea_mid_revleg,revleg_mid)),0))*VLOOKUP(B87,country_opex,3,FALSE))+Z87+AA87+AB87+AC87+AD87))&lt;=0,"",VLOOKUP(B87,country_opex,7,FALSE)/((W87*pax_cap*IF(B87="South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Korea",korea_mid_revleg,revleg_mid)),0))*VLOOKUP(B87,country_opex,3,FALSE))+Z87+AA87+AB87+AC87+AD87)))</f>
        <v/>
      </c>
      <c r="BA87" s="54">
        <f>IF(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&lt;=0,"",VLOOKUP(B87,country_opex,7,FALSE)/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)</f>
        <v/>
      </c>
      <c r="BB87" s="40" t="inlineStr">
        <is>
          <t>PREMIUM tier = premium shared airport transfer LCA&lt;-&gt;Limassol EUR 30-40 each way (Rome2Rio), ~$38/seat. Same anchor as the Limassol-&gt;Larnaca corridor.</t>
        </is>
      </c>
      <c r="BC87" s="40" t="n"/>
      <c r="BD87" s="43" t="n"/>
    </row>
    <row r="88">
      <c r="A88" s="38" t="inlineStr">
        <is>
          <t>Bolt Cyprus</t>
        </is>
      </c>
      <c r="B88" s="38" t="inlineStr">
        <is>
          <t>Cyprus</t>
        </is>
      </c>
      <c r="C88" s="39" t="inlineStr">
        <is>
          <t>Limassol → Paphos</t>
        </is>
      </c>
      <c r="D88" s="38" t="inlineStr">
        <is>
          <t>bolt</t>
        </is>
      </c>
      <c r="E88" s="40" t="inlineStr">
        <is>
          <t>bolt-cyprus</t>
        </is>
      </c>
      <c r="F88" s="41" t="n">
        <v>1</v>
      </c>
      <c r="G88" s="42" t="n">
        <v>40</v>
      </c>
      <c r="H88" s="35" t="n">
        <v>20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IF(B88="South Korea",G88/korea_charge_range_nm*korea_full_range_charge_min,0)</f>
        <v/>
      </c>
      <c r="N88" s="44">
        <f>IF(B88="South Korea",L88+korea_turn_min+korea_dwell_min+M88,L88+turn_min+dwell_min)</f>
        <v/>
      </c>
      <c r="O88" s="45">
        <f>IF(B88="South Korea",FLOOR(60*korea_service_hr/N88,1),MIN(24,FLOOR(60*service_hr/N88,1)))</f>
        <v/>
      </c>
      <c r="P88" s="45">
        <f>IF(ABS(MOD(ABS((365*mech_uptime*K88)),1)-0.5)&lt;1E-9,2*ROUND((365*mech_uptime*K88)/2,0),ROUND((365*mech_uptime*K88),0))</f>
        <v/>
      </c>
      <c r="Q88" s="46">
        <f>mech_uptime</f>
        <v/>
      </c>
      <c r="R88" s="46">
        <f>IF(AND(B88="South Korea",scenario="MID"),korea_mid_revleg,revleg_sel)</f>
        <v/>
      </c>
      <c r="S88" s="45">
        <f>IF(ABS(MOD(ABS((O88*P88*R88)),1)-0.5)&lt;1E-9,2*ROUND((O88*P88*R88)/2,0),ROUND((O88*P88*R88),0))</f>
        <v/>
      </c>
      <c r="T88" s="46">
        <f>IF(AND(B88="South Korea",scenario="MID"),korea_mid_load,load_sel)</f>
        <v/>
      </c>
      <c r="U88" s="47">
        <f>pax_cap*T88</f>
        <v/>
      </c>
      <c r="V88" s="45">
        <f>U88*S88</f>
        <v/>
      </c>
      <c r="W88" s="48">
        <f>H88*discount</f>
        <v/>
      </c>
      <c r="X88" s="49">
        <f>W88*V88</f>
        <v/>
      </c>
      <c r="Y88" s="49">
        <f>(battery/range_nm)*G88*S88*VLOOKUP(B88,country_opex,3,FALSE)</f>
        <v/>
      </c>
      <c r="Z88" s="49">
        <f>VLOOKUP(B88,country_opex,2,FALSE)*crew_factor</f>
        <v/>
      </c>
      <c r="AA88" s="49">
        <f>VLOOKUP(B88,country_opex,5,FALSE)</f>
        <v/>
      </c>
      <c r="AB88" s="49">
        <f>maint</f>
        <v/>
      </c>
      <c r="AC88" s="49">
        <f>VLOOKUP(B88,country_opex,7,FALSE)*ins_pct</f>
        <v/>
      </c>
      <c r="AD88" s="49">
        <f>charge_berth</f>
        <v/>
      </c>
      <c r="AE88" s="49">
        <f>Y88+Z88+AA88+AB88+AC88+AD88</f>
        <v/>
      </c>
      <c r="AF88" s="49">
        <f>VLOOKUP(B88,country_opex,7,FALSE)/dep_years</f>
        <v/>
      </c>
      <c r="AG88" s="49">
        <f>X88-AE88</f>
        <v/>
      </c>
      <c r="AH88" s="46">
        <f>IF(X88=0,"",AG88/X88)</f>
        <v/>
      </c>
      <c r="AI88" s="47">
        <f>IF(AG88&lt;=0,"",VLOOKUP(B88,country_opex,7,FALSE)/AG88)</f>
        <v/>
      </c>
      <c r="AJ88" s="44">
        <f>((G88*S88/diesel_nmpg)*diesel_co2pg-(battery/range_nm)*G88*S88*VLOOKUP(B88,country_opex,4,FALSE))/1000</f>
        <v/>
      </c>
      <c r="AK88" s="42" t="n"/>
      <c r="AL88" s="43" t="n"/>
      <c r="AM88" s="43" t="n"/>
      <c r="AN88" s="50" t="n">
        <v>0.1</v>
      </c>
      <c r="AO88" s="45">
        <f>IF(AK88="","",AK88*AN88)</f>
        <v/>
      </c>
      <c r="AP88" s="45">
        <f>IF(OR(AK88="",V88=0),"",MIN(IF(AX88="",9.9E+99,AX88),FLOOR(AO88/V88,1)))</f>
        <v/>
      </c>
      <c r="AQ88" s="49">
        <f>IF(AP88="","",AP88*IF(ABS(MOD(ABS((X88)),1)-0.5)&lt;1E-9,2*ROUND((X88)/2,0),ROUND((X88),0)))</f>
        <v/>
      </c>
      <c r="AR88" s="47">
        <f>IF(OR(AK88="",V88=0),"",MIN(IF(AX88="",9.9E+99,AX88),AO88/V88))</f>
        <v/>
      </c>
      <c r="AS88" s="49">
        <f>IF(AR88="","",AR88*IF(B88="South Korea",IF(ABS(MOD(ABS((X88)),1)-0.5)&lt;1E-9,2*ROUND((X88)/2,0),ROUND((X88),0)),X88))</f>
        <v/>
      </c>
      <c r="AT88" s="51" t="n"/>
      <c r="AU88" s="43" t="inlineStr">
        <is>
          <t>Estimated</t>
        </is>
      </c>
      <c r="AV88" s="52" t="n"/>
      <c r="AW88" s="52" t="n"/>
      <c r="AX88" s="53" t="n"/>
      <c r="AY88" s="54">
        <f>IF(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&lt;=0,"",VLOOKUP(B88,country_opex,7,FALSE)/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)</f>
        <v/>
      </c>
      <c r="AZ88" s="54">
        <f>IF(((W88*pax_cap*IF(B88="South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Korea",korea_mid_revleg,revleg_mid)),0))*VLOOKUP(B88,country_opex,3,FALSE))+Z88+AA88+AB88+AC88+AD88))&lt;=0,"",VLOOKUP(B88,country_opex,7,FALSE)/((W88*pax_cap*IF(B88="South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Korea",korea_mid_revleg,revleg_mid)),0))*VLOOKUP(B88,country_opex,3,FALSE))+Z88+AA88+AB88+AC88+AD88)))</f>
        <v/>
      </c>
      <c r="BA88" s="54">
        <f>IF(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&lt;=0,"",VLOOKUP(B88,country_opex,7,FALSE)/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)</f>
        <v/>
      </c>
      <c r="BB88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C88" s="40" t="n"/>
      <c r="BD88" s="43" t="n"/>
    </row>
    <row r="89">
      <c r="A89" s="38" t="inlineStr">
        <is>
          <t>Bolt Cyprus</t>
        </is>
      </c>
      <c r="B89" s="38" t="inlineStr">
        <is>
          <t>Cyprus</t>
        </is>
      </c>
      <c r="C89" s="39" t="inlineStr">
        <is>
          <t>Limassol → Ayia Napa</t>
        </is>
      </c>
      <c r="D89" s="38" t="inlineStr">
        <is>
          <t>bolt</t>
        </is>
      </c>
      <c r="E89" s="40" t="inlineStr">
        <is>
          <t>bolt-cyprus</t>
        </is>
      </c>
      <c r="F89" s="41" t="n">
        <v>1</v>
      </c>
      <c r="G89" s="42" t="n">
        <v>52</v>
      </c>
      <c r="H89" s="35" t="n">
        <v>38</v>
      </c>
      <c r="I89" s="43" t="inlineStr">
        <is>
          <t>T2</t>
        </is>
      </c>
      <c r="J89" s="43" t="inlineStr">
        <is>
          <t>med</t>
        </is>
      </c>
      <c r="K89" s="29" t="n">
        <v>1</v>
      </c>
      <c r="L89" s="44">
        <f>60*G89/cruise_kt</f>
        <v/>
      </c>
      <c r="M89" s="44">
        <f>IF(B89="South Korea",G89/korea_charge_range_nm*korea_full_range_charge_min,0)</f>
        <v/>
      </c>
      <c r="N89" s="44">
        <f>IF(B89="South Korea",L89+korea_turn_min+korea_dwell_min+M89,L89+turn_min+dwell_min)</f>
        <v/>
      </c>
      <c r="O89" s="45">
        <f>IF(B89="South Korea",FLOOR(60*korea_service_hr/N89,1),MIN(24,FLOOR(60*service_hr/N89,1)))</f>
        <v/>
      </c>
      <c r="P89" s="45">
        <f>IF(ABS(MOD(ABS((365*mech_uptime*K89)),1)-0.5)&lt;1E-9,2*ROUND((365*mech_uptime*K89)/2,0),ROUND((365*mech_uptime*K89),0))</f>
        <v/>
      </c>
      <c r="Q89" s="46">
        <f>mech_uptime</f>
        <v/>
      </c>
      <c r="R89" s="46">
        <f>IF(AND(B89="South Korea",scenario="MID"),korea_mid_revleg,revleg_sel)</f>
        <v/>
      </c>
      <c r="S89" s="45">
        <f>IF(ABS(MOD(ABS((O89*P89*R89)),1)-0.5)&lt;1E-9,2*ROUND((O89*P89*R89)/2,0),ROUND((O89*P89*R89),0))</f>
        <v/>
      </c>
      <c r="T89" s="46">
        <f>IF(AND(B89="South Korea",scenario="MID"),korea_mid_load,load_sel)</f>
        <v/>
      </c>
      <c r="U89" s="47">
        <f>pax_cap*T89</f>
        <v/>
      </c>
      <c r="V89" s="45">
        <f>U89*S89</f>
        <v/>
      </c>
      <c r="W89" s="48">
        <f>H89*discount</f>
        <v/>
      </c>
      <c r="X89" s="49">
        <f>W89*V89</f>
        <v/>
      </c>
      <c r="Y89" s="49">
        <f>(battery/range_nm)*G89*S89*VLOOKUP(B89,country_opex,3,FALSE)</f>
        <v/>
      </c>
      <c r="Z89" s="49">
        <f>VLOOKUP(B89,country_opex,2,FALSE)*crew_factor</f>
        <v/>
      </c>
      <c r="AA89" s="49">
        <f>VLOOKUP(B89,country_opex,5,FALSE)</f>
        <v/>
      </c>
      <c r="AB89" s="49">
        <f>maint</f>
        <v/>
      </c>
      <c r="AC89" s="49">
        <f>VLOOKUP(B89,country_opex,7,FALSE)*ins_pct</f>
        <v/>
      </c>
      <c r="AD89" s="49">
        <f>charge_berth</f>
        <v/>
      </c>
      <c r="AE89" s="49">
        <f>Y89+Z89+AA89+AB89+AC89+AD89</f>
        <v/>
      </c>
      <c r="AF89" s="49">
        <f>VLOOKUP(B89,country_opex,7,FALSE)/dep_years</f>
        <v/>
      </c>
      <c r="AG89" s="49">
        <f>X89-AE89</f>
        <v/>
      </c>
      <c r="AH89" s="46">
        <f>IF(X89=0,"",AG89/X89)</f>
        <v/>
      </c>
      <c r="AI89" s="47">
        <f>IF(AG89&lt;=0,"",VLOOKUP(B89,country_opex,7,FALSE)/AG89)</f>
        <v/>
      </c>
      <c r="AJ89" s="44">
        <f>((G89*S89/diesel_nmpg)*diesel_co2pg-(battery/range_nm)*G89*S89*VLOOKUP(B89,country_opex,4,FALSE))/1000</f>
        <v/>
      </c>
      <c r="AK89" s="42" t="n"/>
      <c r="AL89" s="43" t="n"/>
      <c r="AM89" s="43" t="n"/>
      <c r="AN89" s="50" t="n">
        <v>0.1</v>
      </c>
      <c r="AO89" s="45">
        <f>IF(AK89="","",AK89*AN89)</f>
        <v/>
      </c>
      <c r="AP89" s="45">
        <f>IF(OR(AK89="",V89=0),"",MIN(IF(AX89="",9.9E+99,AX89),FLOOR(AO89/V89,1)))</f>
        <v/>
      </c>
      <c r="AQ89" s="49">
        <f>IF(AP89="","",AP89*IF(ABS(MOD(ABS((X89)),1)-0.5)&lt;1E-9,2*ROUND((X89)/2,0),ROUND((X89),0)))</f>
        <v/>
      </c>
      <c r="AR89" s="47">
        <f>IF(OR(AK89="",V89=0),"",MIN(IF(AX89="",9.9E+99,AX89),AO89/V89))</f>
        <v/>
      </c>
      <c r="AS89" s="49">
        <f>IF(AR89="","",AR89*IF(B89="South Korea",IF(ABS(MOD(ABS((X89)),1)-0.5)&lt;1E-9,2*ROUND((X89)/2,0),ROUND((X89),0)),X89))</f>
        <v/>
      </c>
      <c r="AT89" s="51" t="n"/>
      <c r="AU89" s="43" t="inlineStr">
        <is>
          <t>Estimated</t>
        </is>
      </c>
      <c r="AV89" s="52" t="n"/>
      <c r="AW89" s="52" t="n"/>
      <c r="AX89" s="53" t="n"/>
      <c r="AY89" s="54">
        <f>IF(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&lt;=0,"",VLOOKUP(B89,country_opex,7,FALSE)/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)</f>
        <v/>
      </c>
      <c r="AZ89" s="54">
        <f>IF(((W89*pax_cap*IF(B89="South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Korea",korea_mid_revleg,revleg_mid)),0))*VLOOKUP(B89,country_opex,3,FALSE))+Z89+AA89+AB89+AC89+AD89))&lt;=0,"",VLOOKUP(B89,country_opex,7,FALSE)/((W89*pax_cap*IF(B89="South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Korea",korea_mid_revleg,revleg_mid)),0))*VLOOKUP(B89,country_opex,3,FALSE))+Z89+AA89+AB89+AC89+AD89)))</f>
        <v/>
      </c>
      <c r="BA89" s="54">
        <f>IF(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&lt;=0,"",VLOOKUP(B89,country_opex,7,FALSE)/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)</f>
        <v/>
      </c>
      <c r="BB89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C89" s="40" t="n"/>
      <c r="BD89" s="43" t="n"/>
    </row>
    <row r="90">
      <c r="A90" s="38" t="inlineStr">
        <is>
          <t>Yango Cote Divoire</t>
        </is>
      </c>
      <c r="B90" s="38" t="inlineStr">
        <is>
          <t>Côte d'Ivoire</t>
        </is>
      </c>
      <c r="C90" s="39" t="inlineStr">
        <is>
          <t>Plateau → Treichville</t>
        </is>
      </c>
      <c r="D90" s="38" t="inlineStr">
        <is>
          <t>yango</t>
        </is>
      </c>
      <c r="E90" s="40" t="inlineStr">
        <is>
          <t>yango-cote-divoire</t>
        </is>
      </c>
      <c r="F90" s="41" t="n">
        <v>1</v>
      </c>
      <c r="G90" s="42" t="n">
        <v>1.5</v>
      </c>
      <c r="H90" s="35" t="n">
        <v>18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IF(B90="South Korea",G90/korea_charge_range_nm*korea_full_range_charge_min,0)</f>
        <v/>
      </c>
      <c r="N90" s="44">
        <f>IF(B90="South Korea",L90+korea_turn_min+korea_dwell_min+M90,L90+turn_min+dwell_min)</f>
        <v/>
      </c>
      <c r="O90" s="45">
        <f>IF(B90="South Korea",FLOOR(60*korea_service_hr/N90,1),MIN(24,FLOOR(60*service_hr/N90,1)))</f>
        <v/>
      </c>
      <c r="P90" s="45">
        <f>IF(ABS(MOD(ABS((365*mech_uptime*K90)),1)-0.5)&lt;1E-9,2*ROUND((365*mech_uptime*K90)/2,0),ROUND((365*mech_uptime*K90),0))</f>
        <v/>
      </c>
      <c r="Q90" s="46">
        <f>mech_uptime</f>
        <v/>
      </c>
      <c r="R90" s="46">
        <f>IF(AND(B90="South Korea",scenario="MID"),korea_mid_revleg,revleg_sel)</f>
        <v/>
      </c>
      <c r="S90" s="45">
        <f>IF(ABS(MOD(ABS((O90*P90*R90)),1)-0.5)&lt;1E-9,2*ROUND((O90*P90*R90)/2,0),ROUND((O90*P90*R90),0))</f>
        <v/>
      </c>
      <c r="T90" s="46">
        <f>IF(AND(B90="South Korea",scenario="MID"),korea_mid_load,load_sel)</f>
        <v/>
      </c>
      <c r="U90" s="47">
        <f>pax_cap*T90</f>
        <v/>
      </c>
      <c r="V90" s="45">
        <f>U90*S90</f>
        <v/>
      </c>
      <c r="W90" s="48">
        <f>H90*discount</f>
        <v/>
      </c>
      <c r="X90" s="49">
        <f>W90*V90</f>
        <v/>
      </c>
      <c r="Y90" s="49">
        <f>(battery/range_nm)*G90*S90*VLOOKUP(B90,country_opex,3,FALSE)</f>
        <v/>
      </c>
      <c r="Z90" s="49">
        <f>VLOOKUP(B90,country_opex,2,FALSE)*crew_factor</f>
        <v/>
      </c>
      <c r="AA90" s="49">
        <f>VLOOKUP(B90,country_opex,5,FALSE)</f>
        <v/>
      </c>
      <c r="AB90" s="49">
        <f>maint</f>
        <v/>
      </c>
      <c r="AC90" s="49">
        <f>VLOOKUP(B90,country_opex,7,FALSE)*ins_pct</f>
        <v/>
      </c>
      <c r="AD90" s="49">
        <f>charge_berth</f>
        <v/>
      </c>
      <c r="AE90" s="49">
        <f>Y90+Z90+AA90+AB90+AC90+AD90</f>
        <v/>
      </c>
      <c r="AF90" s="49">
        <f>VLOOKUP(B90,country_opex,7,FALSE)/dep_years</f>
        <v/>
      </c>
      <c r="AG90" s="49">
        <f>X90-AE90</f>
        <v/>
      </c>
      <c r="AH90" s="46">
        <f>IF(X90=0,"",AG90/X90)</f>
        <v/>
      </c>
      <c r="AI90" s="47">
        <f>IF(AG90&lt;=0,"",VLOOKUP(B90,country_opex,7,FALSE)/AG90)</f>
        <v/>
      </c>
      <c r="AJ90" s="44">
        <f>((G90*S90/diesel_nmpg)*diesel_co2pg-(battery/range_nm)*G90*S90*VLOOKUP(B90,country_opex,4,FALSE))/1000</f>
        <v/>
      </c>
      <c r="AK90" s="42" t="n">
        <v>150600</v>
      </c>
      <c r="AL90" s="43" t="n"/>
      <c r="AM90" s="43" t="inlineStr">
        <is>
          <t>med</t>
        </is>
      </c>
      <c r="AN90" s="50" t="n">
        <v>0.25</v>
      </c>
      <c r="AO90" s="45">
        <f>IF(AK90="","",AK90*AN90)</f>
        <v/>
      </c>
      <c r="AP90" s="45">
        <f>IF(OR(AK90="",V90=0),"",MIN(IF(AX90="",9.9E+99,AX90),FLOOR(AO90/V90,1)))</f>
        <v/>
      </c>
      <c r="AQ90" s="49">
        <f>IF(AP90="","",AP90*IF(ABS(MOD(ABS((X90)),1)-0.5)&lt;1E-9,2*ROUND((X90)/2,0),ROUND((X90),0)))</f>
        <v/>
      </c>
      <c r="AR90" s="47">
        <f>IF(OR(AK90="",V90=0),"",MIN(IF(AX90="",9.9E+99,AX90),AO90/V90))</f>
        <v/>
      </c>
      <c r="AS90" s="49">
        <f>IF(AR90="","",AR90*IF(B90="South Korea",IF(ABS(MOD(ABS((X90)),1)-0.5)&lt;1E-9,2*ROUND((X90)/2,0),ROUND((X90),0)),X90))</f>
        <v/>
      </c>
      <c r="AT90" s="51" t="n"/>
      <c r="AU90" s="43" t="inlineStr">
        <is>
          <t>Grounded</t>
        </is>
      </c>
      <c r="AV90" s="52" t="n"/>
      <c r="AW90" s="52" t="n"/>
      <c r="AX90" s="53" t="n"/>
      <c r="AY90" s="54">
        <f>IF(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&lt;=0,"",VLOOKUP(B90,country_opex,7,FALSE)/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)</f>
        <v/>
      </c>
      <c r="AZ90" s="54">
        <f>IF(((W90*pax_cap*IF(B90="South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Korea",korea_mid_revleg,revleg_mid)),0))*VLOOKUP(B90,country_opex,3,FALSE))+Z90+AA90+AB90+AC90+AD90))&lt;=0,"",VLOOKUP(B90,country_opex,7,FALSE)/((W90*pax_cap*IF(B90="South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Korea",korea_mid_revleg,revleg_mid)),0))*VLOOKUP(B90,country_opex,3,FALSE))+Z90+AA90+AB90+AC90+AD90)))</f>
        <v/>
      </c>
      <c r="BA90" s="54">
        <f>IF(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&lt;=0,"",VLOOKUP(B90,country_opex,7,FALSE)/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)</f>
        <v/>
      </c>
      <c r="BB90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C90" s="40" t="n"/>
      <c r="BD90" s="43" t="n"/>
    </row>
    <row r="91">
      <c r="A91" s="38" t="inlineStr">
        <is>
          <t>Yango Cote Divoire</t>
        </is>
      </c>
      <c r="B91" s="38" t="inlineStr">
        <is>
          <t>Côte d'Ivoire</t>
        </is>
      </c>
      <c r="C91" s="39" t="inlineStr">
        <is>
          <t>Abobo-Doume (Attecoube) → Plateau</t>
        </is>
      </c>
      <c r="D91" s="38" t="inlineStr">
        <is>
          <t>yango</t>
        </is>
      </c>
      <c r="E91" s="40" t="inlineStr">
        <is>
          <t>yango-cote-divoire</t>
        </is>
      </c>
      <c r="F91" s="41" t="n">
        <v>1</v>
      </c>
      <c r="G91" s="42" t="n">
        <v>1.5</v>
      </c>
      <c r="H91" s="35" t="n">
        <v>18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IF(B91="South Korea",G91/korea_charge_range_nm*korea_full_range_charge_min,0)</f>
        <v/>
      </c>
      <c r="N91" s="44">
        <f>IF(B91="South Korea",L91+korea_turn_min+korea_dwell_min+M91,L91+turn_min+dwell_min)</f>
        <v/>
      </c>
      <c r="O91" s="45">
        <f>IF(B91="South Korea",FLOOR(60*korea_service_hr/N91,1),MIN(24,FLOOR(60*service_hr/N91,1)))</f>
        <v/>
      </c>
      <c r="P91" s="45">
        <f>IF(ABS(MOD(ABS((365*mech_uptime*K91)),1)-0.5)&lt;1E-9,2*ROUND((365*mech_uptime*K91)/2,0),ROUND((365*mech_uptime*K91),0))</f>
        <v/>
      </c>
      <c r="Q91" s="46">
        <f>mech_uptime</f>
        <v/>
      </c>
      <c r="R91" s="46">
        <f>IF(AND(B91="South Korea",scenario="MID"),korea_mid_revleg,revleg_sel)</f>
        <v/>
      </c>
      <c r="S91" s="45">
        <f>IF(ABS(MOD(ABS((O91*P91*R91)),1)-0.5)&lt;1E-9,2*ROUND((O91*P91*R91)/2,0),ROUND((O91*P91*R91),0))</f>
        <v/>
      </c>
      <c r="T91" s="46">
        <f>IF(AND(B91="South Korea",scenario="MID"),korea_mid_load,load_sel)</f>
        <v/>
      </c>
      <c r="U91" s="47">
        <f>pax_cap*T91</f>
        <v/>
      </c>
      <c r="V91" s="45">
        <f>U91*S91</f>
        <v/>
      </c>
      <c r="W91" s="48">
        <f>H91*discount</f>
        <v/>
      </c>
      <c r="X91" s="49">
        <f>W91*V91</f>
        <v/>
      </c>
      <c r="Y91" s="49">
        <f>(battery/range_nm)*G91*S91*VLOOKUP(B91,country_opex,3,FALSE)</f>
        <v/>
      </c>
      <c r="Z91" s="49">
        <f>VLOOKUP(B91,country_opex,2,FALSE)*crew_factor</f>
        <v/>
      </c>
      <c r="AA91" s="49">
        <f>VLOOKUP(B91,country_opex,5,FALSE)</f>
        <v/>
      </c>
      <c r="AB91" s="49">
        <f>maint</f>
        <v/>
      </c>
      <c r="AC91" s="49">
        <f>VLOOKUP(B91,country_opex,7,FALSE)*ins_pct</f>
        <v/>
      </c>
      <c r="AD91" s="49">
        <f>charge_berth</f>
        <v/>
      </c>
      <c r="AE91" s="49">
        <f>Y91+Z91+AA91+AB91+AC91+AD91</f>
        <v/>
      </c>
      <c r="AF91" s="49">
        <f>VLOOKUP(B91,country_opex,7,FALSE)/dep_years</f>
        <v/>
      </c>
      <c r="AG91" s="49">
        <f>X91-AE91</f>
        <v/>
      </c>
      <c r="AH91" s="46">
        <f>IF(X91=0,"",AG91/X91)</f>
        <v/>
      </c>
      <c r="AI91" s="47">
        <f>IF(AG91&lt;=0,"",VLOOKUP(B91,country_opex,7,FALSE)/AG91)</f>
        <v/>
      </c>
      <c r="AJ91" s="44">
        <f>((G91*S91/diesel_nmpg)*diesel_co2pg-(battery/range_nm)*G91*S91*VLOOKUP(B91,country_opex,4,FALSE))/1000</f>
        <v/>
      </c>
      <c r="AK91" s="42" t="n">
        <v>150600</v>
      </c>
      <c r="AL91" s="43" t="n"/>
      <c r="AM91" s="43" t="inlineStr">
        <is>
          <t>med</t>
        </is>
      </c>
      <c r="AN91" s="50" t="n">
        <v>0.25</v>
      </c>
      <c r="AO91" s="45">
        <f>IF(AK91="","",AK91*AN91)</f>
        <v/>
      </c>
      <c r="AP91" s="45">
        <f>IF(OR(AK91="",V91=0),"",MIN(IF(AX91="",9.9E+99,AX91),FLOOR(AO91/V91,1)))</f>
        <v/>
      </c>
      <c r="AQ91" s="49">
        <f>IF(AP91="","",AP91*IF(ABS(MOD(ABS((X91)),1)-0.5)&lt;1E-9,2*ROUND((X91)/2,0),ROUND((X91),0)))</f>
        <v/>
      </c>
      <c r="AR91" s="47">
        <f>IF(OR(AK91="",V91=0),"",MIN(IF(AX91="",9.9E+99,AX91),AO91/V91))</f>
        <v/>
      </c>
      <c r="AS91" s="49">
        <f>IF(AR91="","",AR91*IF(B91="South Korea",IF(ABS(MOD(ABS((X91)),1)-0.5)&lt;1E-9,2*ROUND((X91)/2,0),ROUND((X91),0)),X91))</f>
        <v/>
      </c>
      <c r="AT91" s="51" t="n"/>
      <c r="AU91" s="43" t="inlineStr">
        <is>
          <t>Grounded</t>
        </is>
      </c>
      <c r="AV91" s="52" t="n"/>
      <c r="AW91" s="52" t="n"/>
      <c r="AX91" s="53" t="n"/>
      <c r="AY91" s="54">
        <f>IF(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&lt;=0,"",VLOOKUP(B91,country_opex,7,FALSE)/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)</f>
        <v/>
      </c>
      <c r="AZ91" s="54">
        <f>IF(((W91*pax_cap*IF(B91="South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Korea",korea_mid_revleg,revleg_mid)),0))*VLOOKUP(B91,country_opex,3,FALSE))+Z91+AA91+AB91+AC91+AD91))&lt;=0,"",VLOOKUP(B91,country_opex,7,FALSE)/((W91*pax_cap*IF(B91="South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Korea",korea_mid_revleg,revleg_mid)),0))*VLOOKUP(B91,country_opex,3,FALSE))+Z91+AA91+AB91+AC91+AD91)))</f>
        <v/>
      </c>
      <c r="BA91" s="54">
        <f>IF(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&lt;=0,"",VLOOKUP(B91,country_opex,7,FALSE)/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)</f>
        <v/>
      </c>
      <c r="BB91" s="40" t="inlineStr">
        <is>
          <t>[LB-255 PREMIUM RE-FARE: subsidized comparable $0.87 lifted to premium on-demand floor $18.0] PREMIUM tier: STL/CITRANS VIP cabin 500 FCFA ~ $0.87.</t>
        </is>
      </c>
      <c r="BC91" s="40" t="n"/>
      <c r="BD91" s="43" t="n"/>
    </row>
    <row r="92">
      <c r="A92" s="38" t="inlineStr">
        <is>
          <t>Yango Cote Divoire</t>
        </is>
      </c>
      <c r="B92" s="38" t="inlineStr">
        <is>
          <t>Côte d'Ivoire</t>
        </is>
      </c>
      <c r="C92" s="39" t="inlineStr">
        <is>
          <t>Blockhauss (Cocody / Blokosso) → Plateau</t>
        </is>
      </c>
      <c r="D92" s="38" t="inlineStr">
        <is>
          <t>yango</t>
        </is>
      </c>
      <c r="E92" s="40" t="inlineStr">
        <is>
          <t>yango-cote-divoire</t>
        </is>
      </c>
      <c r="F92" s="41" t="n">
        <v>1</v>
      </c>
      <c r="G92" s="42" t="n">
        <v>1.8</v>
      </c>
      <c r="H92" s="35" t="n">
        <v>18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IF(B92="South Korea",G92/korea_charge_range_nm*korea_full_range_charge_min,0)</f>
        <v/>
      </c>
      <c r="N92" s="44">
        <f>IF(B92="South Korea",L92+korea_turn_min+korea_dwell_min+M92,L92+turn_min+dwell_min)</f>
        <v/>
      </c>
      <c r="O92" s="45">
        <f>IF(B92="South Korea",FLOOR(60*korea_service_hr/N92,1),MIN(24,FLOOR(60*service_hr/N92,1)))</f>
        <v/>
      </c>
      <c r="P92" s="45">
        <f>IF(ABS(MOD(ABS((365*mech_uptime*K92)),1)-0.5)&lt;1E-9,2*ROUND((365*mech_uptime*K92)/2,0),ROUND((365*mech_uptime*K92),0))</f>
        <v/>
      </c>
      <c r="Q92" s="46">
        <f>mech_uptime</f>
        <v/>
      </c>
      <c r="R92" s="46">
        <f>IF(AND(B92="South Korea",scenario="MID"),korea_mid_revleg,revleg_sel)</f>
        <v/>
      </c>
      <c r="S92" s="45">
        <f>IF(ABS(MOD(ABS((O92*P92*R92)),1)-0.5)&lt;1E-9,2*ROUND((O92*P92*R92)/2,0),ROUND((O92*P92*R92),0))</f>
        <v/>
      </c>
      <c r="T92" s="46">
        <f>IF(AND(B92="South Korea",scenario="MID"),korea_mid_load,load_sel)</f>
        <v/>
      </c>
      <c r="U92" s="47">
        <f>pax_cap*T92</f>
        <v/>
      </c>
      <c r="V92" s="45">
        <f>U92*S92</f>
        <v/>
      </c>
      <c r="W92" s="48">
        <f>H92*discount</f>
        <v/>
      </c>
      <c r="X92" s="49">
        <f>W92*V92</f>
        <v/>
      </c>
      <c r="Y92" s="49">
        <f>(battery/range_nm)*G92*S92*VLOOKUP(B92,country_opex,3,FALSE)</f>
        <v/>
      </c>
      <c r="Z92" s="49">
        <f>VLOOKUP(B92,country_opex,2,FALSE)*crew_factor</f>
        <v/>
      </c>
      <c r="AA92" s="49">
        <f>VLOOKUP(B92,country_opex,5,FALSE)</f>
        <v/>
      </c>
      <c r="AB92" s="49">
        <f>maint</f>
        <v/>
      </c>
      <c r="AC92" s="49">
        <f>VLOOKUP(B92,country_opex,7,FALSE)*ins_pct</f>
        <v/>
      </c>
      <c r="AD92" s="49">
        <f>charge_berth</f>
        <v/>
      </c>
      <c r="AE92" s="49">
        <f>Y92+Z92+AA92+AB92+AC92+AD92</f>
        <v/>
      </c>
      <c r="AF92" s="49">
        <f>VLOOKUP(B92,country_opex,7,FALSE)/dep_years</f>
        <v/>
      </c>
      <c r="AG92" s="49">
        <f>X92-AE92</f>
        <v/>
      </c>
      <c r="AH92" s="46">
        <f>IF(X92=0,"",AG92/X92)</f>
        <v/>
      </c>
      <c r="AI92" s="47">
        <f>IF(AG92&lt;=0,"",VLOOKUP(B92,country_opex,7,FALSE)/AG92)</f>
        <v/>
      </c>
      <c r="AJ92" s="44">
        <f>((G92*S92/diesel_nmpg)*diesel_co2pg-(battery/range_nm)*G92*S92*VLOOKUP(B92,country_opex,4,FALSE))/1000</f>
        <v/>
      </c>
      <c r="AK92" s="42" t="n">
        <v>150600</v>
      </c>
      <c r="AL92" s="43" t="n"/>
      <c r="AM92" s="43" t="inlineStr">
        <is>
          <t>med</t>
        </is>
      </c>
      <c r="AN92" s="50" t="n">
        <v>0.25</v>
      </c>
      <c r="AO92" s="45">
        <f>IF(AK92="","",AK92*AN92)</f>
        <v/>
      </c>
      <c r="AP92" s="45">
        <f>IF(OR(AK92="",V92=0),"",MIN(IF(AX92="",9.9E+99,AX92),FLOOR(AO92/V92,1)))</f>
        <v/>
      </c>
      <c r="AQ92" s="49">
        <f>IF(AP92="","",AP92*IF(ABS(MOD(ABS((X92)),1)-0.5)&lt;1E-9,2*ROUND((X92)/2,0),ROUND((X92),0)))</f>
        <v/>
      </c>
      <c r="AR92" s="47">
        <f>IF(OR(AK92="",V92=0),"",MIN(IF(AX92="",9.9E+99,AX92),AO92/V92))</f>
        <v/>
      </c>
      <c r="AS92" s="49">
        <f>IF(AR92="","",AR92*IF(B92="South Korea",IF(ABS(MOD(ABS((X92)),1)-0.5)&lt;1E-9,2*ROUND((X92)/2,0),ROUND((X92),0)),X92))</f>
        <v/>
      </c>
      <c r="AT92" s="51" t="n"/>
      <c r="AU92" s="43" t="inlineStr">
        <is>
          <t>Grounded</t>
        </is>
      </c>
      <c r="AV92" s="52" t="n"/>
      <c r="AW92" s="52" t="n"/>
      <c r="AX92" s="53" t="n"/>
      <c r="AY92" s="54">
        <f>IF(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&lt;=0,"",VLOOKUP(B92,country_opex,7,FALSE)/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)</f>
        <v/>
      </c>
      <c r="AZ92" s="54">
        <f>IF(((W92*pax_cap*IF(B92="South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Korea",korea_mid_revleg,revleg_mid)),0))*VLOOKUP(B92,country_opex,3,FALSE))+Z92+AA92+AB92+AC92+AD92))&lt;=0,"",VLOOKUP(B92,country_opex,7,FALSE)/((W92*pax_cap*IF(B92="South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Korea",korea_mid_revleg,revleg_mid)),0))*VLOOKUP(B92,country_opex,3,FALSE))+Z92+AA92+AB92+AC92+AD92)))</f>
        <v/>
      </c>
      <c r="BA92" s="54">
        <f>IF(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&lt;=0,"",VLOOKUP(B92,country_opex,7,FALSE)/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)</f>
        <v/>
      </c>
      <c r="BB92" s="40" t="inlineStr">
        <is>
          <t>[LB-255 PREMIUM RE-FARE: subsidized comparable $0.87 lifted to premium on-demand floor $18.0] PREMIUM tier: STL/CITRANS VIP cabin 500 FCFA ~ $0.87 (SOTRA standard now ~500 FCFA in 2026).</t>
        </is>
      </c>
      <c r="BC92" s="40" t="n"/>
      <c r="BD92" s="43" t="n"/>
    </row>
    <row r="93">
      <c r="A93" s="38" t="inlineStr">
        <is>
          <t>Yango Cote Divoire</t>
        </is>
      </c>
      <c r="B93" s="38" t="inlineStr">
        <is>
          <t>Côte d'Ivoire</t>
        </is>
      </c>
      <c r="C93" s="39" t="inlineStr">
        <is>
          <t>Abobo-Doume (Attecoube) → Treichville</t>
        </is>
      </c>
      <c r="D93" s="38" t="inlineStr">
        <is>
          <t>yango</t>
        </is>
      </c>
      <c r="E93" s="40" t="inlineStr">
        <is>
          <t>yango-cote-divoire</t>
        </is>
      </c>
      <c r="F93" s="41" t="n">
        <v>1</v>
      </c>
      <c r="G93" s="42" t="n">
        <v>2</v>
      </c>
      <c r="H93" s="35" t="n">
        <v>18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IF(B93="South Korea",G93/korea_charge_range_nm*korea_full_range_charge_min,0)</f>
        <v/>
      </c>
      <c r="N93" s="44">
        <f>IF(B93="South Korea",L93+korea_turn_min+korea_dwell_min+M93,L93+turn_min+dwell_min)</f>
        <v/>
      </c>
      <c r="O93" s="45">
        <f>IF(B93="South Korea",FLOOR(60*korea_service_hr/N93,1),MIN(24,FLOOR(60*service_hr/N93,1)))</f>
        <v/>
      </c>
      <c r="P93" s="45">
        <f>IF(ABS(MOD(ABS((365*mech_uptime*K93)),1)-0.5)&lt;1E-9,2*ROUND((365*mech_uptime*K93)/2,0),ROUND((365*mech_uptime*K93),0))</f>
        <v/>
      </c>
      <c r="Q93" s="46">
        <f>mech_uptime</f>
        <v/>
      </c>
      <c r="R93" s="46">
        <f>IF(AND(B93="South Korea",scenario="MID"),korea_mid_revleg,revleg_sel)</f>
        <v/>
      </c>
      <c r="S93" s="45">
        <f>IF(ABS(MOD(ABS((O93*P93*R93)),1)-0.5)&lt;1E-9,2*ROUND((O93*P93*R93)/2,0),ROUND((O93*P93*R93),0))</f>
        <v/>
      </c>
      <c r="T93" s="46">
        <f>IF(AND(B93="South Korea",scenario="MID"),korea_mid_load,load_sel)</f>
        <v/>
      </c>
      <c r="U93" s="47">
        <f>pax_cap*T93</f>
        <v/>
      </c>
      <c r="V93" s="45">
        <f>U93*S93</f>
        <v/>
      </c>
      <c r="W93" s="48">
        <f>H93*discount</f>
        <v/>
      </c>
      <c r="X93" s="49">
        <f>W93*V93</f>
        <v/>
      </c>
      <c r="Y93" s="49">
        <f>(battery/range_nm)*G93*S93*VLOOKUP(B93,country_opex,3,FALSE)</f>
        <v/>
      </c>
      <c r="Z93" s="49">
        <f>VLOOKUP(B93,country_opex,2,FALSE)*crew_factor</f>
        <v/>
      </c>
      <c r="AA93" s="49">
        <f>VLOOKUP(B93,country_opex,5,FALSE)</f>
        <v/>
      </c>
      <c r="AB93" s="49">
        <f>maint</f>
        <v/>
      </c>
      <c r="AC93" s="49">
        <f>VLOOKUP(B93,country_opex,7,FALSE)*ins_pct</f>
        <v/>
      </c>
      <c r="AD93" s="49">
        <f>charge_berth</f>
        <v/>
      </c>
      <c r="AE93" s="49">
        <f>Y93+Z93+AA93+AB93+AC93+AD93</f>
        <v/>
      </c>
      <c r="AF93" s="49">
        <f>VLOOKUP(B93,country_opex,7,FALSE)/dep_years</f>
        <v/>
      </c>
      <c r="AG93" s="49">
        <f>X93-AE93</f>
        <v/>
      </c>
      <c r="AH93" s="46">
        <f>IF(X93=0,"",AG93/X93)</f>
        <v/>
      </c>
      <c r="AI93" s="47">
        <f>IF(AG93&lt;=0,"",VLOOKUP(B93,country_opex,7,FALSE)/AG93)</f>
        <v/>
      </c>
      <c r="AJ93" s="44">
        <f>((G93*S93/diesel_nmpg)*diesel_co2pg-(battery/range_nm)*G93*S93*VLOOKUP(B93,country_opex,4,FALSE))/1000</f>
        <v/>
      </c>
      <c r="AK93" s="42" t="n">
        <v>150600</v>
      </c>
      <c r="AL93" s="43" t="n"/>
      <c r="AM93" s="43" t="inlineStr">
        <is>
          <t>med</t>
        </is>
      </c>
      <c r="AN93" s="50" t="n">
        <v>0.25</v>
      </c>
      <c r="AO93" s="45">
        <f>IF(AK93="","",AK93*AN93)</f>
        <v/>
      </c>
      <c r="AP93" s="45">
        <f>IF(OR(AK93="",V93=0),"",MIN(IF(AX93="",9.9E+99,AX93),FLOOR(AO93/V93,1)))</f>
        <v/>
      </c>
      <c r="AQ93" s="49">
        <f>IF(AP93="","",AP93*IF(ABS(MOD(ABS((X93)),1)-0.5)&lt;1E-9,2*ROUND((X93)/2,0),ROUND((X93),0)))</f>
        <v/>
      </c>
      <c r="AR93" s="47">
        <f>IF(OR(AK93="",V93=0),"",MIN(IF(AX93="",9.9E+99,AX93),AO93/V93))</f>
        <v/>
      </c>
      <c r="AS93" s="49">
        <f>IF(AR93="","",AR93*IF(B93="South Korea",IF(ABS(MOD(ABS((X93)),1)-0.5)&lt;1E-9,2*ROUND((X93)/2,0),ROUND((X93),0)),X93))</f>
        <v/>
      </c>
      <c r="AT93" s="51" t="n"/>
      <c r="AU93" s="43" t="inlineStr">
        <is>
          <t>Grounded</t>
        </is>
      </c>
      <c r="AV93" s="52" t="n"/>
      <c r="AW93" s="52" t="n"/>
      <c r="AX93" s="53" t="n"/>
      <c r="AY93" s="54">
        <f>IF(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&lt;=0,"",VLOOKUP(B93,country_opex,7,FALSE)/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)</f>
        <v/>
      </c>
      <c r="AZ93" s="54">
        <f>IF(((W93*pax_cap*IF(B93="South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Korea",korea_mid_revleg,revleg_mid)),0))*VLOOKUP(B93,country_opex,3,FALSE))+Z93+AA93+AB93+AC93+AD93))&lt;=0,"",VLOOKUP(B93,country_opex,7,FALSE)/((W93*pax_cap*IF(B93="South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Korea",korea_mid_revleg,revleg_mid)),0))*VLOOKUP(B93,country_opex,3,FALSE))+Z93+AA93+AB93+AC93+AD93)))</f>
        <v/>
      </c>
      <c r="BA93" s="54">
        <f>IF(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&lt;=0,"",VLOOKUP(B93,country_opex,7,FALSE)/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)</f>
        <v/>
      </c>
      <c r="BB93" s="40" t="inlineStr">
        <is>
          <t>[LB-255 PREMIUM RE-FARE: subsidized comparable $0.87 lifted to premium on-demand floor $18.0] PREMIUM tier: STL/CITRANS VIP cabin 500 FCFA ~ $0.87.</t>
        </is>
      </c>
      <c r="BC93" s="40" t="n"/>
      <c r="BD93" s="43" t="n"/>
    </row>
    <row r="94">
      <c r="A94" s="38" t="inlineStr">
        <is>
          <t>Yango Cote Divoire</t>
        </is>
      </c>
      <c r="B94" s="38" t="inlineStr">
        <is>
          <t>Côte d'Ivoire</t>
        </is>
      </c>
      <c r="C94" s="39" t="inlineStr">
        <is>
          <t>Plateau → Cocody (Riviera)</t>
        </is>
      </c>
      <c r="D94" s="38" t="inlineStr">
        <is>
          <t>yango</t>
        </is>
      </c>
      <c r="E94" s="40" t="inlineStr">
        <is>
          <t>yango-cote-divoire</t>
        </is>
      </c>
      <c r="F94" s="41" t="n">
        <v>1</v>
      </c>
      <c r="G94" s="42" t="n">
        <v>3</v>
      </c>
      <c r="H94" s="35" t="n">
        <v>18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IF(B94="South Korea",G94/korea_charge_range_nm*korea_full_range_charge_min,0)</f>
        <v/>
      </c>
      <c r="N94" s="44">
        <f>IF(B94="South Korea",L94+korea_turn_min+korea_dwell_min+M94,L94+turn_min+dwell_min)</f>
        <v/>
      </c>
      <c r="O94" s="45">
        <f>IF(B94="South Korea",FLOOR(60*korea_service_hr/N94,1),MIN(24,FLOOR(60*service_hr/N94,1)))</f>
        <v/>
      </c>
      <c r="P94" s="45">
        <f>IF(ABS(MOD(ABS((365*mech_uptime*K94)),1)-0.5)&lt;1E-9,2*ROUND((365*mech_uptime*K94)/2,0),ROUND((365*mech_uptime*K94),0))</f>
        <v/>
      </c>
      <c r="Q94" s="46">
        <f>mech_uptime</f>
        <v/>
      </c>
      <c r="R94" s="46">
        <f>IF(AND(B94="South Korea",scenario="MID"),korea_mid_revleg,revleg_sel)</f>
        <v/>
      </c>
      <c r="S94" s="45">
        <f>IF(ABS(MOD(ABS((O94*P94*R94)),1)-0.5)&lt;1E-9,2*ROUND((O94*P94*R94)/2,0),ROUND((O94*P94*R94),0))</f>
        <v/>
      </c>
      <c r="T94" s="46">
        <f>IF(AND(B94="South Korea",scenario="MID"),korea_mid_load,load_sel)</f>
        <v/>
      </c>
      <c r="U94" s="47">
        <f>pax_cap*T94</f>
        <v/>
      </c>
      <c r="V94" s="45">
        <f>U94*S94</f>
        <v/>
      </c>
      <c r="W94" s="48">
        <f>H94*discount</f>
        <v/>
      </c>
      <c r="X94" s="49">
        <f>W94*V94</f>
        <v/>
      </c>
      <c r="Y94" s="49">
        <f>(battery/range_nm)*G94*S94*VLOOKUP(B94,country_opex,3,FALSE)</f>
        <v/>
      </c>
      <c r="Z94" s="49">
        <f>VLOOKUP(B94,country_opex,2,FALSE)*crew_factor</f>
        <v/>
      </c>
      <c r="AA94" s="49">
        <f>VLOOKUP(B94,country_opex,5,FALSE)</f>
        <v/>
      </c>
      <c r="AB94" s="49">
        <f>maint</f>
        <v/>
      </c>
      <c r="AC94" s="49">
        <f>VLOOKUP(B94,country_opex,7,FALSE)*ins_pct</f>
        <v/>
      </c>
      <c r="AD94" s="49">
        <f>charge_berth</f>
        <v/>
      </c>
      <c r="AE94" s="49">
        <f>Y94+Z94+AA94+AB94+AC94+AD94</f>
        <v/>
      </c>
      <c r="AF94" s="49">
        <f>VLOOKUP(B94,country_opex,7,FALSE)/dep_years</f>
        <v/>
      </c>
      <c r="AG94" s="49">
        <f>X94-AE94</f>
        <v/>
      </c>
      <c r="AH94" s="46">
        <f>IF(X94=0,"",AG94/X94)</f>
        <v/>
      </c>
      <c r="AI94" s="47">
        <f>IF(AG94&lt;=0,"",VLOOKUP(B94,country_opex,7,FALSE)/AG94)</f>
        <v/>
      </c>
      <c r="AJ94" s="44">
        <f>((G94*S94/diesel_nmpg)*diesel_co2pg-(battery/range_nm)*G94*S94*VLOOKUP(B94,country_opex,4,FALSE))/1000</f>
        <v/>
      </c>
      <c r="AK94" s="42" t="n">
        <v>225900</v>
      </c>
      <c r="AL94" s="43" t="n"/>
      <c r="AM94" s="43" t="inlineStr">
        <is>
          <t>med</t>
        </is>
      </c>
      <c r="AN94" s="50" t="n">
        <v>0.25</v>
      </c>
      <c r="AO94" s="45">
        <f>IF(AK94="","",AK94*AN94)</f>
        <v/>
      </c>
      <c r="AP94" s="45">
        <f>IF(OR(AK94="",V94=0),"",MIN(IF(AX94="",9.9E+99,AX94),FLOOR(AO94/V94,1)))</f>
        <v/>
      </c>
      <c r="AQ94" s="49">
        <f>IF(AP94="","",AP94*IF(ABS(MOD(ABS((X94)),1)-0.5)&lt;1E-9,2*ROUND((X94)/2,0),ROUND((X94),0)))</f>
        <v/>
      </c>
      <c r="AR94" s="47">
        <f>IF(OR(AK94="",V94=0),"",MIN(IF(AX94="",9.9E+99,AX94),AO94/V94))</f>
        <v/>
      </c>
      <c r="AS94" s="49">
        <f>IF(AR94="","",AR94*IF(B94="South Korea",IF(ABS(MOD(ABS((X94)),1)-0.5)&lt;1E-9,2*ROUND((X94)/2,0),ROUND((X94),0)),X94))</f>
        <v/>
      </c>
      <c r="AT94" s="51" t="n"/>
      <c r="AU94" s="43" t="inlineStr">
        <is>
          <t>Grounded</t>
        </is>
      </c>
      <c r="AV94" s="52" t="n"/>
      <c r="AW94" s="52" t="n"/>
      <c r="AX94" s="53" t="n"/>
      <c r="AY94" s="54">
        <f>IF(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&lt;=0,"",VLOOKUP(B94,country_opex,7,FALSE)/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)</f>
        <v/>
      </c>
      <c r="AZ94" s="54">
        <f>IF(((W94*pax_cap*IF(B94="South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Korea",korea_mid_revleg,revleg_mid)),0))*VLOOKUP(B94,country_opex,3,FALSE))+Z94+AA94+AB94+AC94+AD94))&lt;=0,"",VLOOKUP(B94,country_opex,7,FALSE)/((W94*pax_cap*IF(B94="South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Korea",korea_mid_revleg,revleg_mid)),0))*VLOOKUP(B94,country_opex,3,FALSE))+Z94+AA94+AB94+AC94+AD94)))</f>
        <v/>
      </c>
      <c r="BA94" s="54">
        <f>IF(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&lt;=0,"",VLOOKUP(B94,country_opex,7,FALSE)/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)</f>
        <v/>
      </c>
      <c r="BB94" s="40" t="inlineStr">
        <is>
          <t>[LB-255 PREMIUM RE-FARE: subsidized comparable $0.87 lifted to premium on-demand floor $18.0] PREMIUM tier: STL/CITRANS air-conditioned VIP cabin (Wifi) 500 FCFA ~ $0.87.</t>
        </is>
      </c>
      <c r="BC94" s="40" t="n"/>
      <c r="BD94" s="43" t="n"/>
    </row>
    <row r="95">
      <c r="A95" s="38" t="inlineStr">
        <is>
          <t>Yango Cote Divoire</t>
        </is>
      </c>
      <c r="B95" s="38" t="inlineStr">
        <is>
          <t>Côte d'Ivoire</t>
        </is>
      </c>
      <c r="C95" s="39" t="inlineStr">
        <is>
          <t>Marcory → Koumassi</t>
        </is>
      </c>
      <c r="D95" s="38" t="inlineStr">
        <is>
          <t>yango</t>
        </is>
      </c>
      <c r="E95" s="40" t="inlineStr">
        <is>
          <t>yango-cote-divoire</t>
        </is>
      </c>
      <c r="F95" s="41" t="n">
        <v>1</v>
      </c>
      <c r="G95" s="42" t="n">
        <v>3</v>
      </c>
      <c r="H95" s="35" t="n"/>
      <c r="I95" s="43" t="n"/>
      <c r="J95" s="43" t="n"/>
      <c r="K95" s="29" t="n">
        <v>1</v>
      </c>
      <c r="L95" s="44">
        <f>60*G95/cruise_kt</f>
        <v/>
      </c>
      <c r="M95" s="44">
        <f>IF(B95="South Korea",G95/korea_charge_range_nm*korea_full_range_charge_min,0)</f>
        <v/>
      </c>
      <c r="N95" s="44">
        <f>IF(B95="South Korea",L95+korea_turn_min+korea_dwell_min+M95,L95+turn_min+dwell_min)</f>
        <v/>
      </c>
      <c r="O95" s="45">
        <f>IF(B95="South Korea",FLOOR(60*korea_service_hr/N95,1),MIN(24,FLOOR(60*service_hr/N95,1)))</f>
        <v/>
      </c>
      <c r="P95" s="45">
        <f>IF(ABS(MOD(ABS((365*mech_uptime*K95)),1)-0.5)&lt;1E-9,2*ROUND((365*mech_uptime*K95)/2,0),ROUND((365*mech_uptime*K95),0))</f>
        <v/>
      </c>
      <c r="Q95" s="46">
        <f>mech_uptime</f>
        <v/>
      </c>
      <c r="R95" s="46">
        <f>IF(AND(B95="South Korea",scenario="MID"),korea_mid_revleg,revleg_sel)</f>
        <v/>
      </c>
      <c r="S95" s="45">
        <f>IF(ABS(MOD(ABS((O95*P95*R95)),1)-0.5)&lt;1E-9,2*ROUND((O95*P95*R95)/2,0),ROUND((O95*P95*R95),0))</f>
        <v/>
      </c>
      <c r="T95" s="46">
        <f>IF(AND(B95="South Korea",scenario="MID"),korea_mid_load,load_sel)</f>
        <v/>
      </c>
      <c r="U95" s="47">
        <f>pax_cap*T95</f>
        <v/>
      </c>
      <c r="V95" s="45">
        <f>U95*S95</f>
        <v/>
      </c>
      <c r="W95" s="48">
        <f>H95*discount</f>
        <v/>
      </c>
      <c r="X95" s="49">
        <f>W95*V95</f>
        <v/>
      </c>
      <c r="Y95" s="49">
        <f>(battery/range_nm)*G95*S95*VLOOKUP(B95,country_opex,3,FALSE)</f>
        <v/>
      </c>
      <c r="Z95" s="49">
        <f>VLOOKUP(B95,country_opex,2,FALSE)*crew_factor</f>
        <v/>
      </c>
      <c r="AA95" s="49">
        <f>VLOOKUP(B95,country_opex,5,FALSE)</f>
        <v/>
      </c>
      <c r="AB95" s="49">
        <f>maint</f>
        <v/>
      </c>
      <c r="AC95" s="49">
        <f>VLOOKUP(B95,country_opex,7,FALSE)*ins_pct</f>
        <v/>
      </c>
      <c r="AD95" s="49">
        <f>charge_berth</f>
        <v/>
      </c>
      <c r="AE95" s="49">
        <f>Y95+Z95+AA95+AB95+AC95+AD95</f>
        <v/>
      </c>
      <c r="AF95" s="49">
        <f>VLOOKUP(B95,country_opex,7,FALSE)/dep_years</f>
        <v/>
      </c>
      <c r="AG95" s="49">
        <f>X95-AE95</f>
        <v/>
      </c>
      <c r="AH95" s="46">
        <f>IF(X95=0,"",AG95/X95)</f>
        <v/>
      </c>
      <c r="AI95" s="47">
        <f>IF(AG95&lt;=0,"",VLOOKUP(B95,country_opex,7,FALSE)/AG95)</f>
        <v/>
      </c>
      <c r="AJ95" s="44">
        <f>((G95*S95/diesel_nmpg)*diesel_co2pg-(battery/range_nm)*G95*S95*VLOOKUP(B95,country_opex,4,FALSE))/1000</f>
        <v/>
      </c>
      <c r="AK95" s="42" t="n"/>
      <c r="AL95" s="43" t="n"/>
      <c r="AM95" s="43" t="n"/>
      <c r="AN95" s="50" t="n">
        <v>0.1</v>
      </c>
      <c r="AO95" s="45">
        <f>IF(AK95="","",AK95*AN95)</f>
        <v/>
      </c>
      <c r="AP95" s="45">
        <f>IF(OR(AK95="",V95=0),"",MIN(IF(AX95="",9.9E+99,AX95),FLOOR(AO95/V95,1)))</f>
        <v/>
      </c>
      <c r="AQ95" s="49">
        <f>IF(AP95="","",AP95*IF(ABS(MOD(ABS((X95)),1)-0.5)&lt;1E-9,2*ROUND((X95)/2,0),ROUND((X95),0)))</f>
        <v/>
      </c>
      <c r="AR95" s="47">
        <f>IF(OR(AK95="",V95=0),"",MIN(IF(AX95="",9.9E+99,AX95),AO95/V95))</f>
        <v/>
      </c>
      <c r="AS95" s="49">
        <f>IF(AR95="","",AR95*IF(B95="South Korea",IF(ABS(MOD(ABS((X95)),1)-0.5)&lt;1E-9,2*ROUND((X95)/2,0),ROUND((X95),0)),X95))</f>
        <v/>
      </c>
      <c r="AT95" s="51" t="n"/>
      <c r="AU95" s="43" t="inlineStr">
        <is>
          <t>Estimated</t>
        </is>
      </c>
      <c r="AV95" s="52" t="n"/>
      <c r="AW95" s="52" t="n"/>
      <c r="AX95" s="53" t="n"/>
      <c r="AY95" s="54">
        <f>IF(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&lt;=0,"",VLOOKUP(B95,country_opex,7,FALSE)/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)</f>
        <v/>
      </c>
      <c r="AZ95" s="54">
        <f>IF(((W95*pax_cap*IF(B95="South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Korea",korea_mid_revleg,revleg_mid)),0))*VLOOKUP(B95,country_opex,3,FALSE))+Z95+AA95+AB95+AC95+AD95))&lt;=0,"",VLOOKUP(B95,country_opex,7,FALSE)/((W95*pax_cap*IF(B95="South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Korea",korea_mid_revleg,revleg_mid)),0))*VLOOKUP(B95,country_opex,3,FALSE))+Z95+AA95+AB95+AC95+AD95)))</f>
        <v/>
      </c>
      <c r="BA95" s="54">
        <f>IF(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&lt;=0,"",VLOOKUP(B95,country_opex,7,FALSE)/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)</f>
        <v/>
      </c>
      <c r="BB95" s="40" t="n"/>
      <c r="BC95" s="40" t="n"/>
      <c r="BD95" s="43" t="n"/>
    </row>
    <row r="96">
      <c r="A96" s="38" t="inlineStr">
        <is>
          <t>Yango Cote Divoire</t>
        </is>
      </c>
      <c r="B96" s="38" t="inlineStr">
        <is>
          <t>Côte d'Ivoire</t>
        </is>
      </c>
      <c r="C96" s="39" t="inlineStr">
        <is>
          <t>Treichville → Koumassi</t>
        </is>
      </c>
      <c r="D96" s="38" t="inlineStr">
        <is>
          <t>yango</t>
        </is>
      </c>
      <c r="E96" s="40" t="inlineStr">
        <is>
          <t>yango-cote-divoire</t>
        </is>
      </c>
      <c r="F96" s="41" t="n">
        <v>1</v>
      </c>
      <c r="G96" s="42" t="n">
        <v>3.5</v>
      </c>
      <c r="H96" s="35" t="n">
        <v>18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IF(B96="South Korea",G96/korea_charge_range_nm*korea_full_range_charge_min,0)</f>
        <v/>
      </c>
      <c r="N96" s="44">
        <f>IF(B96="South Korea",L96+korea_turn_min+korea_dwell_min+M96,L96+turn_min+dwell_min)</f>
        <v/>
      </c>
      <c r="O96" s="45">
        <f>IF(B96="South Korea",FLOOR(60*korea_service_hr/N96,1),MIN(24,FLOOR(60*service_hr/N96,1)))</f>
        <v/>
      </c>
      <c r="P96" s="45">
        <f>IF(ABS(MOD(ABS((365*mech_uptime*K96)),1)-0.5)&lt;1E-9,2*ROUND((365*mech_uptime*K96)/2,0),ROUND((365*mech_uptime*K96),0))</f>
        <v/>
      </c>
      <c r="Q96" s="46">
        <f>mech_uptime</f>
        <v/>
      </c>
      <c r="R96" s="46">
        <f>IF(AND(B96="South Korea",scenario="MID"),korea_mid_revleg,revleg_sel)</f>
        <v/>
      </c>
      <c r="S96" s="45">
        <f>IF(ABS(MOD(ABS((O96*P96*R96)),1)-0.5)&lt;1E-9,2*ROUND((O96*P96*R96)/2,0),ROUND((O96*P96*R96),0))</f>
        <v/>
      </c>
      <c r="T96" s="46">
        <f>IF(AND(B96="South Korea",scenario="MID"),korea_mid_load,load_sel)</f>
        <v/>
      </c>
      <c r="U96" s="47">
        <f>pax_cap*T96</f>
        <v/>
      </c>
      <c r="V96" s="45">
        <f>U96*S96</f>
        <v/>
      </c>
      <c r="W96" s="48">
        <f>H96*discount</f>
        <v/>
      </c>
      <c r="X96" s="49">
        <f>W96*V96</f>
        <v/>
      </c>
      <c r="Y96" s="49">
        <f>(battery/range_nm)*G96*S96*VLOOKUP(B96,country_opex,3,FALSE)</f>
        <v/>
      </c>
      <c r="Z96" s="49">
        <f>VLOOKUP(B96,country_opex,2,FALSE)*crew_factor</f>
        <v/>
      </c>
      <c r="AA96" s="49">
        <f>VLOOKUP(B96,country_opex,5,FALSE)</f>
        <v/>
      </c>
      <c r="AB96" s="49">
        <f>maint</f>
        <v/>
      </c>
      <c r="AC96" s="49">
        <f>VLOOKUP(B96,country_opex,7,FALSE)*ins_pct</f>
        <v/>
      </c>
      <c r="AD96" s="49">
        <f>charge_berth</f>
        <v/>
      </c>
      <c r="AE96" s="49">
        <f>Y96+Z96+AA96+AB96+AC96+AD96</f>
        <v/>
      </c>
      <c r="AF96" s="49">
        <f>VLOOKUP(B96,country_opex,7,FALSE)/dep_years</f>
        <v/>
      </c>
      <c r="AG96" s="49">
        <f>X96-AE96</f>
        <v/>
      </c>
      <c r="AH96" s="46">
        <f>IF(X96=0,"",AG96/X96)</f>
        <v/>
      </c>
      <c r="AI96" s="47">
        <f>IF(AG96&lt;=0,"",VLOOKUP(B96,country_opex,7,FALSE)/AG96)</f>
        <v/>
      </c>
      <c r="AJ96" s="44">
        <f>((G96*S96/diesel_nmpg)*diesel_co2pg-(battery/range_nm)*G96*S96*VLOOKUP(B96,country_opex,4,FALSE))/1000</f>
        <v/>
      </c>
      <c r="AK96" s="42" t="n">
        <v>225900</v>
      </c>
      <c r="AL96" s="43" t="n"/>
      <c r="AM96" s="43" t="inlineStr">
        <is>
          <t>med</t>
        </is>
      </c>
      <c r="AN96" s="50" t="n">
        <v>0.25</v>
      </c>
      <c r="AO96" s="45">
        <f>IF(AK96="","",AK96*AN96)</f>
        <v/>
      </c>
      <c r="AP96" s="45">
        <f>IF(OR(AK96="",V96=0),"",MIN(IF(AX96="",9.9E+99,AX96),FLOOR(AO96/V96,1)))</f>
        <v/>
      </c>
      <c r="AQ96" s="49">
        <f>IF(AP96="","",AP96*IF(ABS(MOD(ABS((X96)),1)-0.5)&lt;1E-9,2*ROUND((X96)/2,0),ROUND((X96),0)))</f>
        <v/>
      </c>
      <c r="AR96" s="47">
        <f>IF(OR(AK96="",V96=0),"",MIN(IF(AX96="",9.9E+99,AX96),AO96/V96))</f>
        <v/>
      </c>
      <c r="AS96" s="49">
        <f>IF(AR96="","",AR96*IF(B96="South Korea",IF(ABS(MOD(ABS((X96)),1)-0.5)&lt;1E-9,2*ROUND((X96)/2,0),ROUND((X96),0)),X96))</f>
        <v/>
      </c>
      <c r="AT96" s="51" t="n"/>
      <c r="AU96" s="43" t="inlineStr">
        <is>
          <t>Grounded</t>
        </is>
      </c>
      <c r="AV96" s="52" t="n"/>
      <c r="AW96" s="52" t="n"/>
      <c r="AX96" s="53" t="n"/>
      <c r="AY96" s="54">
        <f>IF(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&lt;=0,"",VLOOKUP(B96,country_opex,7,FALSE)/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)</f>
        <v/>
      </c>
      <c r="AZ96" s="54">
        <f>IF(((W96*pax_cap*IF(B96="South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Korea",korea_mid_revleg,revleg_mid)),0))*VLOOKUP(B96,country_opex,3,FALSE))+Z96+AA96+AB96+AC96+AD96))&lt;=0,"",VLOOKUP(B96,country_opex,7,FALSE)/((W96*pax_cap*IF(B96="South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Korea",korea_mid_revleg,revleg_mid)),0))*VLOOKUP(B96,country_opex,3,FALSE))+Z96+AA96+AB96+AC96+AD96)))</f>
        <v/>
      </c>
      <c r="BA96" s="54">
        <f>IF(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&lt;=0,"",VLOOKUP(B96,country_opex,7,FALSE)/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)</f>
        <v/>
      </c>
      <c r="BB96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C96" s="40" t="n"/>
      <c r="BD96" s="43" t="n"/>
    </row>
    <row r="97">
      <c r="A97" s="38" t="inlineStr">
        <is>
          <t>Yango Cote Divoire</t>
        </is>
      </c>
      <c r="B97" s="38" t="inlineStr">
        <is>
          <t>Côte d'Ivoire</t>
        </is>
      </c>
      <c r="C97" s="39" t="inlineStr">
        <is>
          <t>M'Pouto (Cocody) → Koumassi</t>
        </is>
      </c>
      <c r="D97" s="38" t="inlineStr">
        <is>
          <t>yango</t>
        </is>
      </c>
      <c r="E97" s="40" t="inlineStr">
        <is>
          <t>yango-cote-divoire</t>
        </is>
      </c>
      <c r="F97" s="41" t="n">
        <v>1</v>
      </c>
      <c r="G97" s="42" t="n">
        <v>3.5</v>
      </c>
      <c r="H97" s="35" t="n">
        <v>18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IF(B97="South Korea",G97/korea_charge_range_nm*korea_full_range_charge_min,0)</f>
        <v/>
      </c>
      <c r="N97" s="44">
        <f>IF(B97="South Korea",L97+korea_turn_min+korea_dwell_min+M97,L97+turn_min+dwell_min)</f>
        <v/>
      </c>
      <c r="O97" s="45">
        <f>IF(B97="South Korea",FLOOR(60*korea_service_hr/N97,1),MIN(24,FLOOR(60*service_hr/N97,1)))</f>
        <v/>
      </c>
      <c r="P97" s="45">
        <f>IF(ABS(MOD(ABS((365*mech_uptime*K97)),1)-0.5)&lt;1E-9,2*ROUND((365*mech_uptime*K97)/2,0),ROUND((365*mech_uptime*K97),0))</f>
        <v/>
      </c>
      <c r="Q97" s="46">
        <f>mech_uptime</f>
        <v/>
      </c>
      <c r="R97" s="46">
        <f>IF(AND(B97="South Korea",scenario="MID"),korea_mid_revleg,revleg_sel)</f>
        <v/>
      </c>
      <c r="S97" s="45">
        <f>IF(ABS(MOD(ABS((O97*P97*R97)),1)-0.5)&lt;1E-9,2*ROUND((O97*P97*R97)/2,0),ROUND((O97*P97*R97),0))</f>
        <v/>
      </c>
      <c r="T97" s="46">
        <f>IF(AND(B97="South Korea",scenario="MID"),korea_mid_load,load_sel)</f>
        <v/>
      </c>
      <c r="U97" s="47">
        <f>pax_cap*T97</f>
        <v/>
      </c>
      <c r="V97" s="45">
        <f>U97*S97</f>
        <v/>
      </c>
      <c r="W97" s="48">
        <f>H97*discount</f>
        <v/>
      </c>
      <c r="X97" s="49">
        <f>W97*V97</f>
        <v/>
      </c>
      <c r="Y97" s="49">
        <f>(battery/range_nm)*G97*S97*VLOOKUP(B97,country_opex,3,FALSE)</f>
        <v/>
      </c>
      <c r="Z97" s="49">
        <f>VLOOKUP(B97,country_opex,2,FALSE)*crew_factor</f>
        <v/>
      </c>
      <c r="AA97" s="49">
        <f>VLOOKUP(B97,country_opex,5,FALSE)</f>
        <v/>
      </c>
      <c r="AB97" s="49">
        <f>maint</f>
        <v/>
      </c>
      <c r="AC97" s="49">
        <f>VLOOKUP(B97,country_opex,7,FALSE)*ins_pct</f>
        <v/>
      </c>
      <c r="AD97" s="49">
        <f>charge_berth</f>
        <v/>
      </c>
      <c r="AE97" s="49">
        <f>Y97+Z97+AA97+AB97+AC97+AD97</f>
        <v/>
      </c>
      <c r="AF97" s="49">
        <f>VLOOKUP(B97,country_opex,7,FALSE)/dep_years</f>
        <v/>
      </c>
      <c r="AG97" s="49">
        <f>X97-AE97</f>
        <v/>
      </c>
      <c r="AH97" s="46">
        <f>IF(X97=0,"",AG97/X97)</f>
        <v/>
      </c>
      <c r="AI97" s="47">
        <f>IF(AG97&lt;=0,"",VLOOKUP(B97,country_opex,7,FALSE)/AG97)</f>
        <v/>
      </c>
      <c r="AJ97" s="44">
        <f>((G97*S97/diesel_nmpg)*diesel_co2pg-(battery/range_nm)*G97*S97*VLOOKUP(B97,country_opex,4,FALSE))/1000</f>
        <v/>
      </c>
      <c r="AK97" s="42" t="n">
        <v>225900</v>
      </c>
      <c r="AL97" s="43" t="n"/>
      <c r="AM97" s="43" t="inlineStr">
        <is>
          <t>med</t>
        </is>
      </c>
      <c r="AN97" s="50" t="n">
        <v>0.25</v>
      </c>
      <c r="AO97" s="45">
        <f>IF(AK97="","",AK97*AN97)</f>
        <v/>
      </c>
      <c r="AP97" s="45">
        <f>IF(OR(AK97="",V97=0),"",MIN(IF(AX97="",9.9E+99,AX97),FLOOR(AO97/V97,1)))</f>
        <v/>
      </c>
      <c r="AQ97" s="49">
        <f>IF(AP97="","",AP97*IF(ABS(MOD(ABS((X97)),1)-0.5)&lt;1E-9,2*ROUND((X97)/2,0),ROUND((X97),0)))</f>
        <v/>
      </c>
      <c r="AR97" s="47">
        <f>IF(OR(AK97="",V97=0),"",MIN(IF(AX97="",9.9E+99,AX97),AO97/V97))</f>
        <v/>
      </c>
      <c r="AS97" s="49">
        <f>IF(AR97="","",AR97*IF(B97="South Korea",IF(ABS(MOD(ABS((X97)),1)-0.5)&lt;1E-9,2*ROUND((X97)/2,0),ROUND((X97),0)),X97))</f>
        <v/>
      </c>
      <c r="AT97" s="51" t="n"/>
      <c r="AU97" s="43" t="inlineStr">
        <is>
          <t>Grounded</t>
        </is>
      </c>
      <c r="AV97" s="52" t="n"/>
      <c r="AW97" s="52" t="n"/>
      <c r="AX97" s="53" t="n"/>
      <c r="AY97" s="54">
        <f>IF(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&lt;=0,"",VLOOKUP(B97,country_opex,7,FALSE)/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)</f>
        <v/>
      </c>
      <c r="AZ97" s="54">
        <f>IF(((W97*pax_cap*IF(B97="South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Korea",korea_mid_revleg,revleg_mid)),0))*VLOOKUP(B97,country_opex,3,FALSE))+Z97+AA97+AB97+AC97+AD97))&lt;=0,"",VLOOKUP(B97,country_opex,7,FALSE)/((W97*pax_cap*IF(B97="South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Korea",korea_mid_revleg,revleg_mid)),0))*VLOOKUP(B97,country_opex,3,FALSE))+Z97+AA97+AB97+AC97+AD97)))</f>
        <v/>
      </c>
      <c r="BA97" s="54">
        <f>IF(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&lt;=0,"",VLOOKUP(B97,country_opex,7,FALSE)/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)</f>
        <v/>
      </c>
      <c r="BB97" s="40" t="inlineStr">
        <is>
          <t>[LB-255 PREMIUM RE-FARE: subsidized comparable $1.22 lifted to premium on-demand floor $18.0] PREMIUM tier: STL/Aqualines M'Pouto-Koumassi 700 FCFA ~ $1.22.</t>
        </is>
      </c>
      <c r="BC97" s="40" t="n"/>
      <c r="BD97" s="43" t="n"/>
    </row>
    <row r="98">
      <c r="A98" s="38" t="inlineStr">
        <is>
          <t>Yango Cote Divoire</t>
        </is>
      </c>
      <c r="B98" s="38" t="inlineStr">
        <is>
          <t>Côte d'Ivoire</t>
        </is>
      </c>
      <c r="C98" s="39" t="inlineStr">
        <is>
          <t>Plateau → Yopougon</t>
        </is>
      </c>
      <c r="D98" s="38" t="inlineStr">
        <is>
          <t>yango</t>
        </is>
      </c>
      <c r="E98" s="40" t="inlineStr">
        <is>
          <t>yango-cote-divoire</t>
        </is>
      </c>
      <c r="F98" s="41" t="n">
        <v>1</v>
      </c>
      <c r="G98" s="42" t="n">
        <v>5</v>
      </c>
      <c r="H98" s="35" t="n">
        <v>18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IF(B98="South Korea",G98/korea_charge_range_nm*korea_full_range_charge_min,0)</f>
        <v/>
      </c>
      <c r="N98" s="44">
        <f>IF(B98="South Korea",L98+korea_turn_min+korea_dwell_min+M98,L98+turn_min+dwell_min)</f>
        <v/>
      </c>
      <c r="O98" s="45">
        <f>IF(B98="South Korea",FLOOR(60*korea_service_hr/N98,1),MIN(24,FLOOR(60*service_hr/N98,1)))</f>
        <v/>
      </c>
      <c r="P98" s="45">
        <f>IF(ABS(MOD(ABS((365*mech_uptime*K98)),1)-0.5)&lt;1E-9,2*ROUND((365*mech_uptime*K98)/2,0),ROUND((365*mech_uptime*K98),0))</f>
        <v/>
      </c>
      <c r="Q98" s="46">
        <f>mech_uptime</f>
        <v/>
      </c>
      <c r="R98" s="46">
        <f>IF(AND(B98="South Korea",scenario="MID"),korea_mid_revleg,revleg_sel)</f>
        <v/>
      </c>
      <c r="S98" s="45">
        <f>IF(ABS(MOD(ABS((O98*P98*R98)),1)-0.5)&lt;1E-9,2*ROUND((O98*P98*R98)/2,0),ROUND((O98*P98*R98),0))</f>
        <v/>
      </c>
      <c r="T98" s="46">
        <f>IF(AND(B98="South Korea",scenario="MID"),korea_mid_load,load_sel)</f>
        <v/>
      </c>
      <c r="U98" s="47">
        <f>pax_cap*T98</f>
        <v/>
      </c>
      <c r="V98" s="45">
        <f>U98*S98</f>
        <v/>
      </c>
      <c r="W98" s="48">
        <f>H98*discount</f>
        <v/>
      </c>
      <c r="X98" s="49">
        <f>W98*V98</f>
        <v/>
      </c>
      <c r="Y98" s="49">
        <f>(battery/range_nm)*G98*S98*VLOOKUP(B98,country_opex,3,FALSE)</f>
        <v/>
      </c>
      <c r="Z98" s="49">
        <f>VLOOKUP(B98,country_opex,2,FALSE)*crew_factor</f>
        <v/>
      </c>
      <c r="AA98" s="49">
        <f>VLOOKUP(B98,country_opex,5,FALSE)</f>
        <v/>
      </c>
      <c r="AB98" s="49">
        <f>maint</f>
        <v/>
      </c>
      <c r="AC98" s="49">
        <f>VLOOKUP(B98,country_opex,7,FALSE)*ins_pct</f>
        <v/>
      </c>
      <c r="AD98" s="49">
        <f>charge_berth</f>
        <v/>
      </c>
      <c r="AE98" s="49">
        <f>Y98+Z98+AA98+AB98+AC98+AD98</f>
        <v/>
      </c>
      <c r="AF98" s="49">
        <f>VLOOKUP(B98,country_opex,7,FALSE)/dep_years</f>
        <v/>
      </c>
      <c r="AG98" s="49">
        <f>X98-AE98</f>
        <v/>
      </c>
      <c r="AH98" s="46">
        <f>IF(X98=0,"",AG98/X98)</f>
        <v/>
      </c>
      <c r="AI98" s="47">
        <f>IF(AG98&lt;=0,"",VLOOKUP(B98,country_opex,7,FALSE)/AG98)</f>
        <v/>
      </c>
      <c r="AJ98" s="44">
        <f>((G98*S98/diesel_nmpg)*diesel_co2pg-(battery/range_nm)*G98*S98*VLOOKUP(B98,country_opex,4,FALSE))/1000</f>
        <v/>
      </c>
      <c r="AK98" s="42" t="n">
        <v>225900</v>
      </c>
      <c r="AL98" s="43" t="n"/>
      <c r="AM98" s="43" t="inlineStr">
        <is>
          <t>med</t>
        </is>
      </c>
      <c r="AN98" s="50" t="n">
        <v>0.25</v>
      </c>
      <c r="AO98" s="45">
        <f>IF(AK98="","",AK98*AN98)</f>
        <v/>
      </c>
      <c r="AP98" s="45">
        <f>IF(OR(AK98="",V98=0),"",MIN(IF(AX98="",9.9E+99,AX98),FLOOR(AO98/V98,1)))</f>
        <v/>
      </c>
      <c r="AQ98" s="49">
        <f>IF(AP98="","",AP98*IF(ABS(MOD(ABS((X98)),1)-0.5)&lt;1E-9,2*ROUND((X98)/2,0),ROUND((X98),0)))</f>
        <v/>
      </c>
      <c r="AR98" s="47">
        <f>IF(OR(AK98="",V98=0),"",MIN(IF(AX98="",9.9E+99,AX98),AO98/V98))</f>
        <v/>
      </c>
      <c r="AS98" s="49">
        <f>IF(AR98="","",AR98*IF(B98="South Korea",IF(ABS(MOD(ABS((X98)),1)-0.5)&lt;1E-9,2*ROUND((X98)/2,0),ROUND((X98),0)),X98))</f>
        <v/>
      </c>
      <c r="AT98" s="51" t="n"/>
      <c r="AU98" s="43" t="inlineStr">
        <is>
          <t>Grounded</t>
        </is>
      </c>
      <c r="AV98" s="52" t="n"/>
      <c r="AW98" s="52" t="n"/>
      <c r="AX98" s="53" t="n"/>
      <c r="AY98" s="54">
        <f>IF(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&lt;=0,"",VLOOKUP(B98,country_opex,7,FALSE)/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)</f>
        <v/>
      </c>
      <c r="AZ98" s="54">
        <f>IF(((W98*pax_cap*IF(B98="South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Korea",korea_mid_revleg,revleg_mid)),0))*VLOOKUP(B98,country_opex,3,FALSE))+Z98+AA98+AB98+AC98+AD98))&lt;=0,"",VLOOKUP(B98,country_opex,7,FALSE)/((W98*pax_cap*IF(B98="South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Korea",korea_mid_revleg,revleg_mid)),0))*VLOOKUP(B98,country_opex,3,FALSE))+Z98+AA98+AB98+AC98+AD98)))</f>
        <v/>
      </c>
      <c r="BA98" s="54">
        <f>IF(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&lt;=0,"",VLOOKUP(B98,country_opex,7,FALSE)/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)</f>
        <v/>
      </c>
      <c r="BB98" s="40" t="inlineStr">
        <is>
          <t>[LB-255 PREMIUM RE-FARE: subsidized comparable $1.22 lifted to premium on-demand floor $18.0] PREMIUM tier: STL long-trip / VIP Plateau-Yopougon Azito 700 FCFA ~ $1.22.</t>
        </is>
      </c>
      <c r="BC98" s="40" t="n"/>
      <c r="BD98" s="43" t="n"/>
    </row>
    <row r="99">
      <c r="A99" s="38" t="inlineStr">
        <is>
          <t>Yango Cote Divoire</t>
        </is>
      </c>
      <c r="B99" s="38" t="inlineStr">
        <is>
          <t>Côte d'Ivoire</t>
        </is>
      </c>
      <c r="C99" s="39" t="inlineStr">
        <is>
          <t>Plateau → Port-Bouet (Aeroport)</t>
        </is>
      </c>
      <c r="D99" s="38" t="inlineStr">
        <is>
          <t>yango</t>
        </is>
      </c>
      <c r="E99" s="40" t="inlineStr">
        <is>
          <t>yango-cote-divoire</t>
        </is>
      </c>
      <c r="F99" s="41" t="n">
        <v>1</v>
      </c>
      <c r="G99" s="42" t="n">
        <v>6</v>
      </c>
      <c r="H99" s="35" t="n">
        <v>8.699999999999999</v>
      </c>
      <c r="I99" s="43" t="inlineStr">
        <is>
          <t>T2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IF(B99="South Korea",G99/korea_charge_range_nm*korea_full_range_charge_min,0)</f>
        <v/>
      </c>
      <c r="N99" s="44">
        <f>IF(B99="South Korea",L99+korea_turn_min+korea_dwell_min+M99,L99+turn_min+dwell_min)</f>
        <v/>
      </c>
      <c r="O99" s="45">
        <f>IF(B99="South Korea",FLOOR(60*korea_service_hr/N99,1),MIN(15,FLOOR(60*service_hr/N99,1)))</f>
        <v/>
      </c>
      <c r="P99" s="45">
        <f>IF(ABS(MOD(ABS((365*mech_uptime*K99)),1)-0.5)&lt;1E-9,2*ROUND((365*mech_uptime*K99)/2,0),ROUND((365*mech_uptime*K99),0))</f>
        <v/>
      </c>
      <c r="Q99" s="46">
        <f>mech_uptime</f>
        <v/>
      </c>
      <c r="R99" s="46">
        <f>IF(AND(B99="South Korea",scenario="MID"),korea_mid_revleg,revleg_sel)</f>
        <v/>
      </c>
      <c r="S99" s="45">
        <f>IF(ABS(MOD(ABS((O99*P99*R99)),1)-0.5)&lt;1E-9,2*ROUND((O99*P99*R99)/2,0),ROUND((O99*P99*R99),0))</f>
        <v/>
      </c>
      <c r="T99" s="46">
        <f>IF(AND(B99="South Korea",scenario="MID"),korea_mid_load,load_sel)</f>
        <v/>
      </c>
      <c r="U99" s="47">
        <f>pax_cap*T99</f>
        <v/>
      </c>
      <c r="V99" s="45">
        <f>U99*S99</f>
        <v/>
      </c>
      <c r="W99" s="48">
        <f>H99*discount</f>
        <v/>
      </c>
      <c r="X99" s="49">
        <f>W99*V99</f>
        <v/>
      </c>
      <c r="Y99" s="49">
        <f>(battery/range_nm)*G99*S99*VLOOKUP(B99,country_opex,3,FALSE)</f>
        <v/>
      </c>
      <c r="Z99" s="49">
        <f>VLOOKUP(B99,country_opex,2,FALSE)*crew_factor</f>
        <v/>
      </c>
      <c r="AA99" s="49">
        <f>VLOOKUP(B99,country_opex,5,FALSE)</f>
        <v/>
      </c>
      <c r="AB99" s="49">
        <f>maint</f>
        <v/>
      </c>
      <c r="AC99" s="49">
        <f>VLOOKUP(B99,country_opex,7,FALSE)*ins_pct</f>
        <v/>
      </c>
      <c r="AD99" s="49">
        <f>charge_berth</f>
        <v/>
      </c>
      <c r="AE99" s="49">
        <f>Y99+Z99+AA99+AB99+AC99+AD99</f>
        <v/>
      </c>
      <c r="AF99" s="49">
        <f>VLOOKUP(B99,country_opex,7,FALSE)/dep_years</f>
        <v/>
      </c>
      <c r="AG99" s="49">
        <f>X99-AE99</f>
        <v/>
      </c>
      <c r="AH99" s="46">
        <f>IF(X99=0,"",AG99/X99)</f>
        <v/>
      </c>
      <c r="AI99" s="47">
        <f>IF(AG99&lt;=0,"",VLOOKUP(B99,country_opex,7,FALSE)/AG99)</f>
        <v/>
      </c>
      <c r="AJ99" s="44">
        <f>((G99*S99/diesel_nmpg)*diesel_co2pg-(battery/range_nm)*G99*S99*VLOOKUP(B99,country_opex,4,FALSE))/1000</f>
        <v/>
      </c>
      <c r="AK99" s="42" t="n"/>
      <c r="AL99" s="43" t="n"/>
      <c r="AM99" s="43" t="n"/>
      <c r="AN99" s="50" t="n">
        <v>0.1</v>
      </c>
      <c r="AO99" s="45">
        <f>IF(AK99="","",AK99*AN99)</f>
        <v/>
      </c>
      <c r="AP99" s="45">
        <f>IF(OR(AK99="",V99=0),"",MIN(IF(AX99="",9.9E+99,AX99),FLOOR(AO99/V99,1)))</f>
        <v/>
      </c>
      <c r="AQ99" s="49">
        <f>IF(AP99="","",AP99*IF(ABS(MOD(ABS((X99)),1)-0.5)&lt;1E-9,2*ROUND((X99)/2,0),ROUND((X99),0)))</f>
        <v/>
      </c>
      <c r="AR99" s="47">
        <f>IF(OR(AK99="",V99=0),"",MIN(IF(AX99="",9.9E+99,AX99),AO99/V99))</f>
        <v/>
      </c>
      <c r="AS99" s="49">
        <f>IF(AR99="","",AR99*IF(B99="South Korea",IF(ABS(MOD(ABS((X99)),1)-0.5)&lt;1E-9,2*ROUND((X99)/2,0),ROUND((X99),0)),X99))</f>
        <v/>
      </c>
      <c r="AT99" s="51" t="n"/>
      <c r="AU99" s="43" t="inlineStr">
        <is>
          <t>Estimated</t>
        </is>
      </c>
      <c r="AV99" s="52" t="n"/>
      <c r="AW99" s="52" t="n"/>
      <c r="AX99" s="53" t="n"/>
      <c r="AY99" s="54">
        <f>IF(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&lt;=0,"",VLOOKUP(B99,country_opex,7,FALSE)/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)</f>
        <v/>
      </c>
      <c r="AZ99" s="54">
        <f>IF(((W99*pax_cap*IF(B99="South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Korea",korea_mid_revleg,revleg_mid)),0))*VLOOKUP(B99,country_opex,3,FALSE))+Z99+AA99+AB99+AC99+AD99))&lt;=0,"",VLOOKUP(B99,country_opex,7,FALSE)/((W99*pax_cap*IF(B99="South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Korea",korea_mid_revleg,revleg_mid)),0))*VLOOKUP(B99,country_opex,3,FALSE))+Z99+AA99+AB99+AC99+AD99)))</f>
        <v/>
      </c>
      <c r="BA99" s="54">
        <f>IF(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&lt;=0,"",VLOOKUP(B99,country_opex,7,FALSE)/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)</f>
        <v/>
      </c>
      <c r="BB99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C99" s="40" t="n"/>
      <c r="BD99" s="43" t="n"/>
    </row>
    <row r="100">
      <c r="A100" s="38" t="inlineStr">
        <is>
          <t>Yango Cote Divoire</t>
        </is>
      </c>
      <c r="B100" s="38" t="inlineStr">
        <is>
          <t>Côte d'Ivoire</t>
        </is>
      </c>
      <c r="C100" s="39" t="inlineStr">
        <is>
          <t>Plateau → Abatta (Bingerville)</t>
        </is>
      </c>
      <c r="D100" s="38" t="inlineStr">
        <is>
          <t>yango</t>
        </is>
      </c>
      <c r="E100" s="40" t="inlineStr">
        <is>
          <t>yango-cote-divoire</t>
        </is>
      </c>
      <c r="F100" s="41" t="n">
        <v>1</v>
      </c>
      <c r="G100" s="42" t="n">
        <v>9</v>
      </c>
      <c r="H100" s="35" t="n">
        <v>18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IF(B100="South Korea",G100/korea_charge_range_nm*korea_full_range_charge_min,0)</f>
        <v/>
      </c>
      <c r="N100" s="44">
        <f>IF(B100="South Korea",L100+korea_turn_min+korea_dwell_min+M100,L100+turn_min+dwell_min)</f>
        <v/>
      </c>
      <c r="O100" s="45">
        <f>IF(B100="South Korea",FLOOR(60*korea_service_hr/N100,1),MIN(24,FLOOR(60*service_hr/N100,1)))</f>
        <v/>
      </c>
      <c r="P100" s="45">
        <f>IF(ABS(MOD(ABS((365*mech_uptime*K100)),1)-0.5)&lt;1E-9,2*ROUND((365*mech_uptime*K100)/2,0),ROUND((365*mech_uptime*K100),0))</f>
        <v/>
      </c>
      <c r="Q100" s="46">
        <f>mech_uptime</f>
        <v/>
      </c>
      <c r="R100" s="46">
        <f>IF(AND(B100="South Korea",scenario="MID"),korea_mid_revleg,revleg_sel)</f>
        <v/>
      </c>
      <c r="S100" s="45">
        <f>IF(ABS(MOD(ABS((O100*P100*R100)),1)-0.5)&lt;1E-9,2*ROUND((O100*P100*R100)/2,0),ROUND((O100*P100*R100),0))</f>
        <v/>
      </c>
      <c r="T100" s="46">
        <f>IF(AND(B100="South Korea",scenario="MID"),korea_mid_load,load_sel)</f>
        <v/>
      </c>
      <c r="U100" s="47">
        <f>pax_cap*T100</f>
        <v/>
      </c>
      <c r="V100" s="45">
        <f>U100*S100</f>
        <v/>
      </c>
      <c r="W100" s="48">
        <f>H100*discount</f>
        <v/>
      </c>
      <c r="X100" s="49">
        <f>W100*V100</f>
        <v/>
      </c>
      <c r="Y100" s="49">
        <f>(battery/range_nm)*G100*S100*VLOOKUP(B100,country_opex,3,FALSE)</f>
        <v/>
      </c>
      <c r="Z100" s="49">
        <f>VLOOKUP(B100,country_opex,2,FALSE)*crew_factor</f>
        <v/>
      </c>
      <c r="AA100" s="49">
        <f>VLOOKUP(B100,country_opex,5,FALSE)</f>
        <v/>
      </c>
      <c r="AB100" s="49">
        <f>maint</f>
        <v/>
      </c>
      <c r="AC100" s="49">
        <f>VLOOKUP(B100,country_opex,7,FALSE)*ins_pct</f>
        <v/>
      </c>
      <c r="AD100" s="49">
        <f>charge_berth</f>
        <v/>
      </c>
      <c r="AE100" s="49">
        <f>Y100+Z100+AA100+AB100+AC100+AD100</f>
        <v/>
      </c>
      <c r="AF100" s="49">
        <f>VLOOKUP(B100,country_opex,7,FALSE)/dep_years</f>
        <v/>
      </c>
      <c r="AG100" s="49">
        <f>X100-AE100</f>
        <v/>
      </c>
      <c r="AH100" s="46">
        <f>IF(X100=0,"",AG100/X100)</f>
        <v/>
      </c>
      <c r="AI100" s="47">
        <f>IF(AG100&lt;=0,"",VLOOKUP(B100,country_opex,7,FALSE)/AG100)</f>
        <v/>
      </c>
      <c r="AJ100" s="44">
        <f>((G100*S100/diesel_nmpg)*diesel_co2pg-(battery/range_nm)*G100*S100*VLOOKUP(B100,country_opex,4,FALSE))/1000</f>
        <v/>
      </c>
      <c r="AK100" s="42" t="n"/>
      <c r="AL100" s="43" t="n"/>
      <c r="AM100" s="43" t="n"/>
      <c r="AN100" s="50" t="n">
        <v>0.1</v>
      </c>
      <c r="AO100" s="45">
        <f>IF(AK100="","",AK100*AN100)</f>
        <v/>
      </c>
      <c r="AP100" s="45">
        <f>IF(OR(AK100="",V100=0),"",MIN(IF(AX100="",9.9E+99,AX100),FLOOR(AO100/V100,1)))</f>
        <v/>
      </c>
      <c r="AQ100" s="49">
        <f>IF(AP100="","",AP100*IF(ABS(MOD(ABS((X100)),1)-0.5)&lt;1E-9,2*ROUND((X100)/2,0),ROUND((X100),0)))</f>
        <v/>
      </c>
      <c r="AR100" s="47">
        <f>IF(OR(AK100="",V100=0),"",MIN(IF(AX100="",9.9E+99,AX100),AO100/V100))</f>
        <v/>
      </c>
      <c r="AS100" s="49">
        <f>IF(AR100="","",AR100*IF(B100="South Korea",IF(ABS(MOD(ABS((X100)),1)-0.5)&lt;1E-9,2*ROUND((X100)/2,0),ROUND((X100),0)),X100))</f>
        <v/>
      </c>
      <c r="AT100" s="51" t="n"/>
      <c r="AU100" s="43" t="inlineStr">
        <is>
          <t>Estimated</t>
        </is>
      </c>
      <c r="AV100" s="52" t="n"/>
      <c r="AW100" s="52" t="n"/>
      <c r="AX100" s="53" t="n"/>
      <c r="AY100" s="54">
        <f>IF(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&lt;=0,"",VLOOKUP(B100,country_opex,7,FALSE)/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)</f>
        <v/>
      </c>
      <c r="AZ100" s="54">
        <f>IF(((W100*pax_cap*IF(B100="South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Korea",korea_mid_revleg,revleg_mid)),0))*VLOOKUP(B100,country_opex,3,FALSE))+Z100+AA100+AB100+AC100+AD100))&lt;=0,"",VLOOKUP(B100,country_opex,7,FALSE)/((W100*pax_cap*IF(B100="South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Korea",korea_mid_revleg,revleg_mid)),0))*VLOOKUP(B100,country_opex,3,FALSE))+Z100+AA100+AB100+AC100+AD100)))</f>
        <v/>
      </c>
      <c r="BA100" s="54">
        <f>IF(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&lt;=0,"",VLOOKUP(B100,country_opex,7,FALSE)/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)</f>
        <v/>
      </c>
      <c r="BB100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C100" s="40" t="n"/>
      <c r="BD100" s="43" t="n"/>
    </row>
    <row r="101">
      <c r="A101" s="38" t="inlineStr">
        <is>
          <t>Yango Cote Divoire</t>
        </is>
      </c>
      <c r="B101" s="38" t="inlineStr">
        <is>
          <t>Côte d'Ivoire</t>
        </is>
      </c>
      <c r="C101" s="39" t="inlineStr">
        <is>
          <t>Songon → Plateau</t>
        </is>
      </c>
      <c r="D101" s="38" t="inlineStr">
        <is>
          <t>yango</t>
        </is>
      </c>
      <c r="E101" s="40" t="inlineStr">
        <is>
          <t>yango-cote-divoire</t>
        </is>
      </c>
      <c r="F101" s="41" t="n">
        <v>1</v>
      </c>
      <c r="G101" s="42" t="n">
        <v>12</v>
      </c>
      <c r="H101" s="35" t="n">
        <v>18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IF(B101="South Korea",G101/korea_charge_range_nm*korea_full_range_charge_min,0)</f>
        <v/>
      </c>
      <c r="N101" s="44">
        <f>IF(B101="South Korea",L101+korea_turn_min+korea_dwell_min+M101,L101+turn_min+dwell_min)</f>
        <v/>
      </c>
      <c r="O101" s="45">
        <f>IF(B101="South Korea",FLOOR(60*korea_service_hr/N101,1),MIN(15,FLOOR(60*service_hr/N101,1)))</f>
        <v/>
      </c>
      <c r="P101" s="45">
        <f>IF(ABS(MOD(ABS((365*mech_uptime*K101)),1)-0.5)&lt;1E-9,2*ROUND((365*mech_uptime*K101)/2,0),ROUND((365*mech_uptime*K101),0))</f>
        <v/>
      </c>
      <c r="Q101" s="46">
        <f>mech_uptime</f>
        <v/>
      </c>
      <c r="R101" s="46">
        <f>IF(AND(B101="South Korea",scenario="MID"),korea_mid_revleg,revleg_sel)</f>
        <v/>
      </c>
      <c r="S101" s="45">
        <f>IF(ABS(MOD(ABS((O101*P101*R101)),1)-0.5)&lt;1E-9,2*ROUND((O101*P101*R101)/2,0),ROUND((O101*P101*R101),0))</f>
        <v/>
      </c>
      <c r="T101" s="46">
        <f>IF(AND(B101="South Korea",scenario="MID"),korea_mid_load,load_sel)</f>
        <v/>
      </c>
      <c r="U101" s="47">
        <f>pax_cap*T101</f>
        <v/>
      </c>
      <c r="V101" s="45">
        <f>U101*S101</f>
        <v/>
      </c>
      <c r="W101" s="48">
        <f>H101*discount</f>
        <v/>
      </c>
      <c r="X101" s="49">
        <f>W101*V101</f>
        <v/>
      </c>
      <c r="Y101" s="49">
        <f>(battery/range_nm)*G101*S101*VLOOKUP(B101,country_opex,3,FALSE)</f>
        <v/>
      </c>
      <c r="Z101" s="49">
        <f>VLOOKUP(B101,country_opex,2,FALSE)*crew_factor</f>
        <v/>
      </c>
      <c r="AA101" s="49">
        <f>VLOOKUP(B101,country_opex,5,FALSE)</f>
        <v/>
      </c>
      <c r="AB101" s="49">
        <f>maint</f>
        <v/>
      </c>
      <c r="AC101" s="49">
        <f>VLOOKUP(B101,country_opex,7,FALSE)*ins_pct</f>
        <v/>
      </c>
      <c r="AD101" s="49">
        <f>charge_berth</f>
        <v/>
      </c>
      <c r="AE101" s="49">
        <f>Y101+Z101+AA101+AB101+AC101+AD101</f>
        <v/>
      </c>
      <c r="AF101" s="49">
        <f>VLOOKUP(B101,country_opex,7,FALSE)/dep_years</f>
        <v/>
      </c>
      <c r="AG101" s="49">
        <f>X101-AE101</f>
        <v/>
      </c>
      <c r="AH101" s="46">
        <f>IF(X101=0,"",AG101/X101)</f>
        <v/>
      </c>
      <c r="AI101" s="47">
        <f>IF(AG101&lt;=0,"",VLOOKUP(B101,country_opex,7,FALSE)/AG101)</f>
        <v/>
      </c>
      <c r="AJ101" s="44">
        <f>((G101*S101/diesel_nmpg)*diesel_co2pg-(battery/range_nm)*G101*S101*VLOOKUP(B101,country_opex,4,FALSE))/1000</f>
        <v/>
      </c>
      <c r="AK101" s="42" t="n"/>
      <c r="AL101" s="43" t="n"/>
      <c r="AM101" s="43" t="n"/>
      <c r="AN101" s="50" t="n">
        <v>0.1</v>
      </c>
      <c r="AO101" s="45">
        <f>IF(AK101="","",AK101*AN101)</f>
        <v/>
      </c>
      <c r="AP101" s="45">
        <f>IF(OR(AK101="",V101=0),"",MIN(IF(AX101="",9.9E+99,AX101),FLOOR(AO101/V101,1)))</f>
        <v/>
      </c>
      <c r="AQ101" s="49">
        <f>IF(AP101="","",AP101*IF(ABS(MOD(ABS((X101)),1)-0.5)&lt;1E-9,2*ROUND((X101)/2,0),ROUND((X101),0)))</f>
        <v/>
      </c>
      <c r="AR101" s="47">
        <f>IF(OR(AK101="",V101=0),"",MIN(IF(AX101="",9.9E+99,AX101),AO101/V101))</f>
        <v/>
      </c>
      <c r="AS101" s="49">
        <f>IF(AR101="","",AR101*IF(B101="South Korea",IF(ABS(MOD(ABS((X101)),1)-0.5)&lt;1E-9,2*ROUND((X101)/2,0),ROUND((X101),0)),X101))</f>
        <v/>
      </c>
      <c r="AT101" s="51" t="n"/>
      <c r="AU101" s="43" t="inlineStr">
        <is>
          <t>Estimated</t>
        </is>
      </c>
      <c r="AV101" s="52" t="n"/>
      <c r="AW101" s="52" t="n"/>
      <c r="AX101" s="53" t="n"/>
      <c r="AY101" s="54">
        <f>IF(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&lt;=0,"",VLOOKUP(B101,country_opex,7,FALSE)/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)</f>
        <v/>
      </c>
      <c r="AZ101" s="54">
        <f>IF(((W101*pax_cap*IF(B101="South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Korea",korea_mid_revleg,revleg_mid)),0))*VLOOKUP(B101,country_opex,3,FALSE))+Z101+AA101+AB101+AC101+AD101))&lt;=0,"",VLOOKUP(B101,country_opex,7,FALSE)/((W101*pax_cap*IF(B101="South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Korea",korea_mid_revleg,revleg_mid)),0))*VLOOKUP(B101,country_opex,3,FALSE))+Z101+AA101+AB101+AC101+AD101)))</f>
        <v/>
      </c>
      <c r="BA101" s="54">
        <f>IF(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&lt;=0,"",VLOOKUP(B101,country_opex,7,FALSE)/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)</f>
        <v/>
      </c>
      <c r="BB101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C101" s="40" t="n"/>
      <c r="BD101" s="43" t="n"/>
    </row>
    <row r="102">
      <c r="A102" s="38" t="inlineStr">
        <is>
          <t>Yango Cote Divoire</t>
        </is>
      </c>
      <c r="B102" s="38" t="inlineStr">
        <is>
          <t>Côte d'Ivoire</t>
        </is>
      </c>
      <c r="C102" s="39" t="inlineStr">
        <is>
          <t>Abidjan → Grand-Bassam</t>
        </is>
      </c>
      <c r="D102" s="38" t="inlineStr">
        <is>
          <t>yango</t>
        </is>
      </c>
      <c r="E102" s="40" t="inlineStr">
        <is>
          <t>yango-cote-divoire</t>
        </is>
      </c>
      <c r="F102" s="41" t="n">
        <v>1</v>
      </c>
      <c r="G102" s="42" t="n">
        <v>18</v>
      </c>
      <c r="H102" s="35" t="n">
        <v>52</v>
      </c>
      <c r="I102" s="43" t="inlineStr">
        <is>
          <t>T2</t>
        </is>
      </c>
      <c r="J102" s="43" t="inlineStr">
        <is>
          <t>med</t>
        </is>
      </c>
      <c r="K102" s="29" t="n">
        <v>1</v>
      </c>
      <c r="L102" s="44">
        <f>60*G102/cruise_kt</f>
        <v/>
      </c>
      <c r="M102" s="44">
        <f>IF(B102="South Korea",G102/korea_charge_range_nm*korea_full_range_charge_min,0)</f>
        <v/>
      </c>
      <c r="N102" s="44">
        <f>IF(B102="South Korea",L102+korea_turn_min+korea_dwell_min+M102,L102+turn_min+dwell_min)</f>
        <v/>
      </c>
      <c r="O102" s="45">
        <f>IF(B102="South Korea",FLOOR(60*korea_service_hr/N102,1),MIN(24,FLOOR(60*service_hr/N102,1)))</f>
        <v/>
      </c>
      <c r="P102" s="45">
        <f>IF(ABS(MOD(ABS((365*mech_uptime*K102)),1)-0.5)&lt;1E-9,2*ROUND((365*mech_uptime*K102)/2,0),ROUND((365*mech_uptime*K102),0))</f>
        <v/>
      </c>
      <c r="Q102" s="46">
        <f>mech_uptime</f>
        <v/>
      </c>
      <c r="R102" s="46">
        <f>IF(AND(B102="South Korea",scenario="MID"),korea_mid_revleg,revleg_sel)</f>
        <v/>
      </c>
      <c r="S102" s="45">
        <f>IF(ABS(MOD(ABS((O102*P102*R102)),1)-0.5)&lt;1E-9,2*ROUND((O102*P102*R102)/2,0),ROUND((O102*P102*R102),0))</f>
        <v/>
      </c>
      <c r="T102" s="46">
        <f>IF(AND(B102="South Korea",scenario="MID"),korea_mid_load,load_sel)</f>
        <v/>
      </c>
      <c r="U102" s="47">
        <f>pax_cap*T102</f>
        <v/>
      </c>
      <c r="V102" s="45">
        <f>U102*S102</f>
        <v/>
      </c>
      <c r="W102" s="48">
        <f>H102*discount</f>
        <v/>
      </c>
      <c r="X102" s="49">
        <f>W102*V102</f>
        <v/>
      </c>
      <c r="Y102" s="49">
        <f>(battery/range_nm)*G102*S102*VLOOKUP(B102,country_opex,3,FALSE)</f>
        <v/>
      </c>
      <c r="Z102" s="49">
        <f>VLOOKUP(B102,country_opex,2,FALSE)*crew_factor</f>
        <v/>
      </c>
      <c r="AA102" s="49">
        <f>VLOOKUP(B102,country_opex,5,FALSE)</f>
        <v/>
      </c>
      <c r="AB102" s="49">
        <f>maint</f>
        <v/>
      </c>
      <c r="AC102" s="49">
        <f>VLOOKUP(B102,country_opex,7,FALSE)*ins_pct</f>
        <v/>
      </c>
      <c r="AD102" s="49">
        <f>charge_berth</f>
        <v/>
      </c>
      <c r="AE102" s="49">
        <f>Y102+Z102+AA102+AB102+AC102+AD102</f>
        <v/>
      </c>
      <c r="AF102" s="49">
        <f>VLOOKUP(B102,country_opex,7,FALSE)/dep_years</f>
        <v/>
      </c>
      <c r="AG102" s="49">
        <f>X102-AE102</f>
        <v/>
      </c>
      <c r="AH102" s="46">
        <f>IF(X102=0,"",AG102/X102)</f>
        <v/>
      </c>
      <c r="AI102" s="47">
        <f>IF(AG102&lt;=0,"",VLOOKUP(B102,country_opex,7,FALSE)/AG102)</f>
        <v/>
      </c>
      <c r="AJ102" s="44">
        <f>((G102*S102/diesel_nmpg)*diesel_co2pg-(battery/range_nm)*G102*S102*VLOOKUP(B102,country_opex,4,FALSE))/1000</f>
        <v/>
      </c>
      <c r="AK102" s="42" t="n"/>
      <c r="AL102" s="43" t="n"/>
      <c r="AM102" s="43" t="n"/>
      <c r="AN102" s="50" t="n">
        <v>0.1</v>
      </c>
      <c r="AO102" s="45">
        <f>IF(AK102="","",AK102*AN102)</f>
        <v/>
      </c>
      <c r="AP102" s="45">
        <f>IF(OR(AK102="",V102=0),"",MIN(IF(AX102="",9.9E+99,AX102),FLOOR(AO102/V102,1)))</f>
        <v/>
      </c>
      <c r="AQ102" s="49">
        <f>IF(AP102="","",AP102*IF(ABS(MOD(ABS((X102)),1)-0.5)&lt;1E-9,2*ROUND((X102)/2,0),ROUND((X102),0)))</f>
        <v/>
      </c>
      <c r="AR102" s="47">
        <f>IF(OR(AK102="",V102=0),"",MIN(IF(AX102="",9.9E+99,AX102),AO102/V102))</f>
        <v/>
      </c>
      <c r="AS102" s="49">
        <f>IF(AR102="","",AR102*IF(B102="South Korea",IF(ABS(MOD(ABS((X102)),1)-0.5)&lt;1E-9,2*ROUND((X102)/2,0),ROUND((X102),0)),X102))</f>
        <v/>
      </c>
      <c r="AT102" s="51" t="n"/>
      <c r="AU102" s="43" t="inlineStr">
        <is>
          <t>Estimated</t>
        </is>
      </c>
      <c r="AV102" s="52" t="n"/>
      <c r="AW102" s="52" t="n"/>
      <c r="AX102" s="53" t="n"/>
      <c r="AY102" s="54">
        <f>IF(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&lt;=0,"",VLOOKUP(B102,country_opex,7,FALSE)/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)</f>
        <v/>
      </c>
      <c r="AZ102" s="54">
        <f>IF(((W102*pax_cap*IF(B102="South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Korea",korea_mid_revleg,revleg_mid)),0))*VLOOKUP(B102,country_opex,3,FALSE))+Z102+AA102+AB102+AC102+AD102))&lt;=0,"",VLOOKUP(B102,country_opex,7,FALSE)/((W102*pax_cap*IF(B102="South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Korea",korea_mid_revleg,revleg_mid)),0))*VLOOKUP(B102,country_opex,3,FALSE))+Z102+AA102+AB102+AC102+AD102)))</f>
        <v/>
      </c>
      <c r="BA102" s="54">
        <f>IF(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&lt;=0,"",VLOOKUP(B102,country_opex,7,FALSE)/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)</f>
        <v/>
      </c>
      <c r="BB102" s="40" t="inlineStr">
        <is>
          <t>PREMIUM leisure/charter tier: STL/Aqualines lagoon cruise charter 25,000-40,000 FCFA/seat ~ $43-$70; midpoint ~$52 (re-derived at 575 FCFA/USD; was $50 at 600).</t>
        </is>
      </c>
      <c r="BC102" s="40" t="n"/>
      <c r="BD102" s="43" t="n"/>
    </row>
    <row r="103">
      <c r="A103" s="38" t="inlineStr">
        <is>
          <t>Yango Cote Divoire</t>
        </is>
      </c>
      <c r="B103" s="38" t="inlineStr">
        <is>
          <t>Côte d'Ivoire</t>
        </is>
      </c>
      <c r="C103" s="39" t="inlineStr">
        <is>
          <t>Abidjan → Jacqueville</t>
        </is>
      </c>
      <c r="D103" s="38" t="inlineStr">
        <is>
          <t>yango</t>
        </is>
      </c>
      <c r="E103" s="40" t="inlineStr">
        <is>
          <t>yango-cote-divoire</t>
        </is>
      </c>
      <c r="F103" s="41" t="n">
        <v>1</v>
      </c>
      <c r="G103" s="42" t="n">
        <v>22</v>
      </c>
      <c r="H103" s="35" t="n">
        <v>8.699999999999999</v>
      </c>
      <c r="I103" s="43" t="inlineStr">
        <is>
          <t>T2</t>
        </is>
      </c>
      <c r="J103" s="43" t="inlineStr">
        <is>
          <t>med</t>
        </is>
      </c>
      <c r="K103" s="29" t="n">
        <v>1</v>
      </c>
      <c r="L103" s="44">
        <f>60*G103/cruise_kt</f>
        <v/>
      </c>
      <c r="M103" s="44">
        <f>IF(B103="South Korea",G103/korea_charge_range_nm*korea_full_range_charge_min,0)</f>
        <v/>
      </c>
      <c r="N103" s="44">
        <f>IF(B103="South Korea",L103+korea_turn_min+korea_dwell_min+M103,L103+turn_min+dwell_min)</f>
        <v/>
      </c>
      <c r="O103" s="45">
        <f>IF(B103="South Korea",FLOOR(60*korea_service_hr/N103,1),MIN(24,FLOOR(60*service_hr/N103,1)))</f>
        <v/>
      </c>
      <c r="P103" s="45">
        <f>IF(ABS(MOD(ABS((365*mech_uptime*K103)),1)-0.5)&lt;1E-9,2*ROUND((365*mech_uptime*K103)/2,0),ROUND((365*mech_uptime*K103),0))</f>
        <v/>
      </c>
      <c r="Q103" s="46">
        <f>mech_uptime</f>
        <v/>
      </c>
      <c r="R103" s="46">
        <f>IF(AND(B103="South Korea",scenario="MID"),korea_mid_revleg,revleg_sel)</f>
        <v/>
      </c>
      <c r="S103" s="45">
        <f>IF(ABS(MOD(ABS((O103*P103*R103)),1)-0.5)&lt;1E-9,2*ROUND((O103*P103*R103)/2,0),ROUND((O103*P103*R103),0))</f>
        <v/>
      </c>
      <c r="T103" s="46">
        <f>IF(AND(B103="South Korea",scenario="MID"),korea_mid_load,load_sel)</f>
        <v/>
      </c>
      <c r="U103" s="47">
        <f>pax_cap*T103</f>
        <v/>
      </c>
      <c r="V103" s="45">
        <f>U103*S103</f>
        <v/>
      </c>
      <c r="W103" s="48">
        <f>H103*discount</f>
        <v/>
      </c>
      <c r="X103" s="49">
        <f>W103*V103</f>
        <v/>
      </c>
      <c r="Y103" s="49">
        <f>(battery/range_nm)*G103*S103*VLOOKUP(B103,country_opex,3,FALSE)</f>
        <v/>
      </c>
      <c r="Z103" s="49">
        <f>VLOOKUP(B103,country_opex,2,FALSE)*crew_factor</f>
        <v/>
      </c>
      <c r="AA103" s="49">
        <f>VLOOKUP(B103,country_opex,5,FALSE)</f>
        <v/>
      </c>
      <c r="AB103" s="49">
        <f>maint</f>
        <v/>
      </c>
      <c r="AC103" s="49">
        <f>VLOOKUP(B103,country_opex,7,FALSE)*ins_pct</f>
        <v/>
      </c>
      <c r="AD103" s="49">
        <f>charge_berth</f>
        <v/>
      </c>
      <c r="AE103" s="49">
        <f>Y103+Z103+AA103+AB103+AC103+AD103</f>
        <v/>
      </c>
      <c r="AF103" s="49">
        <f>VLOOKUP(B103,country_opex,7,FALSE)/dep_years</f>
        <v/>
      </c>
      <c r="AG103" s="49">
        <f>X103-AE103</f>
        <v/>
      </c>
      <c r="AH103" s="46">
        <f>IF(X103=0,"",AG103/X103)</f>
        <v/>
      </c>
      <c r="AI103" s="47">
        <f>IF(AG103&lt;=0,"",VLOOKUP(B103,country_opex,7,FALSE)/AG103)</f>
        <v/>
      </c>
      <c r="AJ103" s="44">
        <f>((G103*S103/diesel_nmpg)*diesel_co2pg-(battery/range_nm)*G103*S103*VLOOKUP(B103,country_opex,4,FALSE))/1000</f>
        <v/>
      </c>
      <c r="AK103" s="42" t="n"/>
      <c r="AL103" s="43" t="n"/>
      <c r="AM103" s="43" t="n"/>
      <c r="AN103" s="50" t="n">
        <v>0.1</v>
      </c>
      <c r="AO103" s="45">
        <f>IF(AK103="","",AK103*AN103)</f>
        <v/>
      </c>
      <c r="AP103" s="45">
        <f>IF(OR(AK103="",V103=0),"",MIN(IF(AX103="",9.9E+99,AX103),FLOOR(AO103/V103,1)))</f>
        <v/>
      </c>
      <c r="AQ103" s="49">
        <f>IF(AP103="","",AP103*IF(ABS(MOD(ABS((X103)),1)-0.5)&lt;1E-9,2*ROUND((X103)/2,0),ROUND((X103),0)))</f>
        <v/>
      </c>
      <c r="AR103" s="47">
        <f>IF(OR(AK103="",V103=0),"",MIN(IF(AX103="",9.9E+99,AX103),AO103/V103))</f>
        <v/>
      </c>
      <c r="AS103" s="49">
        <f>IF(AR103="","",AR103*IF(B103="South Korea",IF(ABS(MOD(ABS((X103)),1)-0.5)&lt;1E-9,2*ROUND((X103)/2,0),ROUND((X103),0)),X103))</f>
        <v/>
      </c>
      <c r="AT103" s="51" t="n"/>
      <c r="AU103" s="43" t="inlineStr">
        <is>
          <t>Estimated</t>
        </is>
      </c>
      <c r="AV103" s="52" t="n"/>
      <c r="AW103" s="52" t="n"/>
      <c r="AX103" s="53" t="n"/>
      <c r="AY103" s="54">
        <f>IF(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&lt;=0,"",VLOOKUP(B103,country_opex,7,FALSE)/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)</f>
        <v/>
      </c>
      <c r="AZ103" s="54">
        <f>IF(((W103*pax_cap*IF(B103="South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Korea",korea_mid_revleg,revleg_mid)),0))*VLOOKUP(B103,country_opex,3,FALSE))+Z103+AA103+AB103+AC103+AD103))&lt;=0,"",VLOOKUP(B103,country_opex,7,FALSE)/((W103*pax_cap*IF(B103="South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Korea",korea_mid_revleg,revleg_mid)),0))*VLOOKUP(B103,country_opex,3,FALSE))+Z103+AA103+AB103+AC103+AD103)))</f>
        <v/>
      </c>
      <c r="BA103" s="54">
        <f>IF(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&lt;=0,"",VLOOKUP(B103,country_opex,7,FALSE)/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)</f>
        <v/>
      </c>
      <c r="BB103" s="40" t="inlineStr">
        <is>
          <t>PREMIUM leisure tier: divided 'navette de luxe / balade VIP' per-seat 5,000 FCFA ~ $8.7 (CITRANS Aqualines VIP balade); cruise-charter range $43-$70 not corridor-specific.</t>
        </is>
      </c>
      <c r="BC103" s="40" t="n"/>
      <c r="BD103" s="43" t="n"/>
    </row>
    <row r="104">
      <c r="A104" s="38" t="inlineStr">
        <is>
          <t>Bolt Egypt</t>
        </is>
      </c>
      <c r="B104" s="38" t="inlineStr">
        <is>
          <t>Egypt</t>
        </is>
      </c>
      <c r="C104" s="39" t="inlineStr">
        <is>
          <t>El Gouna (internal lagoon) → El Gouna Downtown / Abu Tig</t>
        </is>
      </c>
      <c r="D104" s="38" t="inlineStr">
        <is>
          <t>bolt</t>
        </is>
      </c>
      <c r="E104" s="40" t="inlineStr">
        <is>
          <t>bolt-egypt, yango-egypt</t>
        </is>
      </c>
      <c r="F104" s="41" t="n">
        <v>2</v>
      </c>
      <c r="G104" s="42" t="n">
        <v>2</v>
      </c>
      <c r="H104" s="35" t="n">
        <v>18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IF(B104="South Korea",G104/korea_charge_range_nm*korea_full_range_charge_min,0)</f>
        <v/>
      </c>
      <c r="N104" s="44">
        <f>IF(B104="South Korea",L104+korea_turn_min+korea_dwell_min+M104,L104+turn_min+dwell_min)</f>
        <v/>
      </c>
      <c r="O104" s="45">
        <f>IF(B104="South Korea",FLOOR(60*korea_service_hr/N104,1),MIN(15,FLOOR(60*service_hr/N104,1)))</f>
        <v/>
      </c>
      <c r="P104" s="45">
        <f>IF(ABS(MOD(ABS((365*mech_uptime*K104)),1)-0.5)&lt;1E-9,2*ROUND((365*mech_uptime*K104)/2,0),ROUND((365*mech_uptime*K104),0))</f>
        <v/>
      </c>
      <c r="Q104" s="46">
        <f>mech_uptime</f>
        <v/>
      </c>
      <c r="R104" s="46">
        <f>IF(AND(B104="South Korea",scenario="MID"),korea_mid_revleg,revleg_sel)</f>
        <v/>
      </c>
      <c r="S104" s="45">
        <f>IF(ABS(MOD(ABS((O104*P104*R104)),1)-0.5)&lt;1E-9,2*ROUND((O104*P104*R104)/2,0),ROUND((O104*P104*R104),0))</f>
        <v/>
      </c>
      <c r="T104" s="46">
        <f>IF(AND(B104="South Korea",scenario="MID"),korea_mid_load,load_sel)</f>
        <v/>
      </c>
      <c r="U104" s="47">
        <f>pax_cap*T104</f>
        <v/>
      </c>
      <c r="V104" s="45">
        <f>U104*S104</f>
        <v/>
      </c>
      <c r="W104" s="48">
        <f>H104*discount</f>
        <v/>
      </c>
      <c r="X104" s="49">
        <f>W104*V104</f>
        <v/>
      </c>
      <c r="Y104" s="49">
        <f>(battery/range_nm)*G104*S104*VLOOKUP(B104,country_opex,3,FALSE)</f>
        <v/>
      </c>
      <c r="Z104" s="49">
        <f>VLOOKUP(B104,country_opex,2,FALSE)*crew_factor</f>
        <v/>
      </c>
      <c r="AA104" s="49">
        <f>VLOOKUP(B104,country_opex,5,FALSE)</f>
        <v/>
      </c>
      <c r="AB104" s="49">
        <f>maint</f>
        <v/>
      </c>
      <c r="AC104" s="49">
        <f>VLOOKUP(B104,country_opex,7,FALSE)*ins_pct</f>
        <v/>
      </c>
      <c r="AD104" s="49">
        <f>charge_berth</f>
        <v/>
      </c>
      <c r="AE104" s="49">
        <f>Y104+Z104+AA104+AB104+AC104+AD104</f>
        <v/>
      </c>
      <c r="AF104" s="49">
        <f>VLOOKUP(B104,country_opex,7,FALSE)/dep_years</f>
        <v/>
      </c>
      <c r="AG104" s="49">
        <f>X104-AE104</f>
        <v/>
      </c>
      <c r="AH104" s="46">
        <f>IF(X104=0,"",AG104/X104)</f>
        <v/>
      </c>
      <c r="AI104" s="47">
        <f>IF(AG104&lt;=0,"",VLOOKUP(B104,country_opex,7,FALSE)/AG104)</f>
        <v/>
      </c>
      <c r="AJ104" s="44">
        <f>((G104*S104/diesel_nmpg)*diesel_co2pg-(battery/range_nm)*G104*S104*VLOOKUP(B104,country_opex,4,FALSE))/1000</f>
        <v/>
      </c>
      <c r="AK104" s="42" t="n"/>
      <c r="AL104" s="43" t="n"/>
      <c r="AM104" s="43" t="n"/>
      <c r="AN104" s="50" t="n">
        <v>0.1</v>
      </c>
      <c r="AO104" s="45">
        <f>IF(AK104="","",AK104*AN104)</f>
        <v/>
      </c>
      <c r="AP104" s="45">
        <f>IF(OR(AK104="",V104=0),"",MIN(IF(AX104="",9.9E+99,AX104),FLOOR(AO104/V104,1)))</f>
        <v/>
      </c>
      <c r="AQ104" s="49">
        <f>IF(AP104="","",AP104*IF(ABS(MOD(ABS((X104)),1)-0.5)&lt;1E-9,2*ROUND((X104)/2,0),ROUND((X104),0)))</f>
        <v/>
      </c>
      <c r="AR104" s="47">
        <f>IF(OR(AK104="",V104=0),"",MIN(IF(AX104="",9.9E+99,AX104),AO104/V104))</f>
        <v/>
      </c>
      <c r="AS104" s="49">
        <f>IF(AR104="","",AR104*IF(B104="South Korea",IF(ABS(MOD(ABS((X104)),1)-0.5)&lt;1E-9,2*ROUND((X104)/2,0),ROUND((X104),0)),X104))</f>
        <v/>
      </c>
      <c r="AT104" s="51" t="n"/>
      <c r="AU104" s="43" t="inlineStr">
        <is>
          <t>Estimated</t>
        </is>
      </c>
      <c r="AV104" s="52" t="n"/>
      <c r="AW104" s="52" t="n"/>
      <c r="AX104" s="53" t="n"/>
      <c r="AY104" s="54">
        <f>IF(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&lt;=0,"",VLOOKUP(B104,country_opex,7,FALSE)/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)</f>
        <v/>
      </c>
      <c r="AZ104" s="54">
        <f>IF(((W104*pax_cap*IF(B104="South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Korea",korea_mid_revleg,revleg_mid)),0))*VLOOKUP(B104,country_opex,3,FALSE))+Z104+AA104+AB104+AC104+AD104))&lt;=0,"",VLOOKUP(B104,country_opex,7,FALSE)/((W104*pax_cap*IF(B104="South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Korea",korea_mid_revleg,revleg_mid)),0))*VLOOKUP(B104,country_opex,3,FALSE))+Z104+AA104+AB104+AC104+AD104)))</f>
        <v/>
      </c>
      <c r="BA104" s="54">
        <f>IF(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&lt;=0,"",VLOOKUP(B104,country_opex,7,FALSE)/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)</f>
        <v/>
      </c>
      <c r="BB104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C104" s="40" t="n"/>
      <c r="BD104" s="43" t="n"/>
    </row>
    <row r="105">
      <c r="A105" s="38" t="inlineStr">
        <is>
          <t>Bolt Egypt</t>
        </is>
      </c>
      <c r="B105" s="38" t="inlineStr">
        <is>
          <t>Egypt</t>
        </is>
      </c>
      <c r="C105" s="39" t="inlineStr">
        <is>
          <t>Cairo - Maadi → Cairo - Zamalek / Downtown</t>
        </is>
      </c>
      <c r="D105" s="38" t="inlineStr">
        <is>
          <t>bolt</t>
        </is>
      </c>
      <c r="E105" s="40" t="inlineStr">
        <is>
          <t>bolt-egypt, yango-egypt</t>
        </is>
      </c>
      <c r="F105" s="41" t="n">
        <v>2</v>
      </c>
      <c r="G105" s="42" t="n">
        <v>6</v>
      </c>
      <c r="H105" s="35" t="n">
        <v>18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IF(B105="South Korea",G105/korea_charge_range_nm*korea_full_range_charge_min,0)</f>
        <v/>
      </c>
      <c r="N105" s="44">
        <f>IF(B105="South Korea",L105+korea_turn_min+korea_dwell_min+M105,L105+turn_min+dwell_min)</f>
        <v/>
      </c>
      <c r="O105" s="45">
        <f>IF(B105="South Korea",FLOOR(60*korea_service_hr/N105,1),MIN(24,FLOOR(60*service_hr/N105,1)))</f>
        <v/>
      </c>
      <c r="P105" s="45">
        <f>IF(ABS(MOD(ABS((365*mech_uptime*K105)),1)-0.5)&lt;1E-9,2*ROUND((365*mech_uptime*K105)/2,0),ROUND((365*mech_uptime*K105),0))</f>
        <v/>
      </c>
      <c r="Q105" s="46">
        <f>mech_uptime</f>
        <v/>
      </c>
      <c r="R105" s="46">
        <f>IF(AND(B105="South Korea",scenario="MID"),korea_mid_revleg,revleg_sel)</f>
        <v/>
      </c>
      <c r="S105" s="45">
        <f>IF(ABS(MOD(ABS((O105*P105*R105)),1)-0.5)&lt;1E-9,2*ROUND((O105*P105*R105)/2,0),ROUND((O105*P105*R105),0))</f>
        <v/>
      </c>
      <c r="T105" s="46">
        <f>IF(AND(B105="South Korea",scenario="MID"),korea_mid_load,load_sel)</f>
        <v/>
      </c>
      <c r="U105" s="47">
        <f>pax_cap*T105</f>
        <v/>
      </c>
      <c r="V105" s="45">
        <f>U105*S105</f>
        <v/>
      </c>
      <c r="W105" s="48">
        <f>H105*discount</f>
        <v/>
      </c>
      <c r="X105" s="49">
        <f>W105*V105</f>
        <v/>
      </c>
      <c r="Y105" s="49">
        <f>(battery/range_nm)*G105*S105*VLOOKUP(B105,country_opex,3,FALSE)</f>
        <v/>
      </c>
      <c r="Z105" s="49">
        <f>VLOOKUP(B105,country_opex,2,FALSE)*crew_factor</f>
        <v/>
      </c>
      <c r="AA105" s="49">
        <f>VLOOKUP(B105,country_opex,5,FALSE)</f>
        <v/>
      </c>
      <c r="AB105" s="49">
        <f>maint</f>
        <v/>
      </c>
      <c r="AC105" s="49">
        <f>VLOOKUP(B105,country_opex,7,FALSE)*ins_pct</f>
        <v/>
      </c>
      <c r="AD105" s="49">
        <f>charge_berth</f>
        <v/>
      </c>
      <c r="AE105" s="49">
        <f>Y105+Z105+AA105+AB105+AC105+AD105</f>
        <v/>
      </c>
      <c r="AF105" s="49">
        <f>VLOOKUP(B105,country_opex,7,FALSE)/dep_years</f>
        <v/>
      </c>
      <c r="AG105" s="49">
        <f>X105-AE105</f>
        <v/>
      </c>
      <c r="AH105" s="46">
        <f>IF(X105=0,"",AG105/X105)</f>
        <v/>
      </c>
      <c r="AI105" s="47">
        <f>IF(AG105&lt;=0,"",VLOOKUP(B105,country_opex,7,FALSE)/AG105)</f>
        <v/>
      </c>
      <c r="AJ105" s="44">
        <f>((G105*S105/diesel_nmpg)*diesel_co2pg-(battery/range_nm)*G105*S105*VLOOKUP(B105,country_opex,4,FALSE))/1000</f>
        <v/>
      </c>
      <c r="AK105" s="42" t="n"/>
      <c r="AL105" s="43" t="n"/>
      <c r="AM105" s="43" t="n"/>
      <c r="AN105" s="50" t="n">
        <v>0.1</v>
      </c>
      <c r="AO105" s="45">
        <f>IF(AK105="","",AK105*AN105)</f>
        <v/>
      </c>
      <c r="AP105" s="45">
        <f>IF(OR(AK105="",V105=0),"",MIN(IF(AX105="",9.9E+99,AX105),FLOOR(AO105/V105,1)))</f>
        <v/>
      </c>
      <c r="AQ105" s="49">
        <f>IF(AP105="","",AP105*IF(ABS(MOD(ABS((X105)),1)-0.5)&lt;1E-9,2*ROUND((X105)/2,0),ROUND((X105),0)))</f>
        <v/>
      </c>
      <c r="AR105" s="47">
        <f>IF(OR(AK105="",V105=0),"",MIN(IF(AX105="",9.9E+99,AX105),AO105/V105))</f>
        <v/>
      </c>
      <c r="AS105" s="49">
        <f>IF(AR105="","",AR105*IF(B105="South Korea",IF(ABS(MOD(ABS((X105)),1)-0.5)&lt;1E-9,2*ROUND((X105)/2,0),ROUND((X105),0)),X105))</f>
        <v/>
      </c>
      <c r="AT105" s="51" t="n"/>
      <c r="AU105" s="43" t="inlineStr">
        <is>
          <t>Estimated</t>
        </is>
      </c>
      <c r="AV105" s="52" t="n"/>
      <c r="AW105" s="52" t="n"/>
      <c r="AX105" s="53" t="n"/>
      <c r="AY105" s="54">
        <f>IF(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&lt;=0,"",VLOOKUP(B105,country_opex,7,FALSE)/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)</f>
        <v/>
      </c>
      <c r="AZ105" s="54">
        <f>IF(((W105*pax_cap*IF(B105="South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Korea",korea_mid_revleg,revleg_mid)),0))*VLOOKUP(B105,country_opex,3,FALSE))+Z105+AA105+AB105+AC105+AD105))&lt;=0,"",VLOOKUP(B105,country_opex,7,FALSE)/((W105*pax_cap*IF(B105="South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Korea",korea_mid_revleg,revleg_mid)),0))*VLOOKUP(B105,country_opex,3,FALSE))+Z105+AA105+AB105+AC105+AD105)))</f>
        <v/>
      </c>
      <c r="BA105" s="54">
        <f>IF(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&lt;=0,"",VLOOKUP(B105,country_opex,7,FALSE)/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)</f>
        <v/>
      </c>
      <c r="BB105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C105" s="40" t="n"/>
      <c r="BD105" s="43" t="n"/>
    </row>
    <row r="106">
      <c r="A106" s="38" t="inlineStr">
        <is>
          <t>Bolt Egypt</t>
        </is>
      </c>
      <c r="B106" s="38" t="inlineStr">
        <is>
          <t>Egypt</t>
        </is>
      </c>
      <c r="C106" s="39" t="inlineStr">
        <is>
          <t>Hurghada → Giftun Island (Orange Bay / Mahmya)</t>
        </is>
      </c>
      <c r="D106" s="38" t="inlineStr">
        <is>
          <t>bolt</t>
        </is>
      </c>
      <c r="E106" s="40" t="inlineStr">
        <is>
          <t>bolt-egypt, yango-egypt</t>
        </is>
      </c>
      <c r="F106" s="41" t="n">
        <v>2</v>
      </c>
      <c r="G106" s="42" t="n">
        <v>9</v>
      </c>
      <c r="H106" s="35" t="n">
        <v>32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IF(B106="South Korea",G106/korea_charge_range_nm*korea_full_range_charge_min,0)</f>
        <v/>
      </c>
      <c r="N106" s="44">
        <f>IF(B106="South Korea",L106+korea_turn_min+korea_dwell_min+M106,L106+turn_min+dwell_min)</f>
        <v/>
      </c>
      <c r="O106" s="45">
        <f>IF(B106="South Korea",FLOOR(60*korea_service_hr/N106,1),MIN(15,FLOOR(60*service_hr/N106,1)))</f>
        <v/>
      </c>
      <c r="P106" s="45">
        <f>IF(ABS(MOD(ABS((365*mech_uptime*K106)),1)-0.5)&lt;1E-9,2*ROUND((365*mech_uptime*K106)/2,0),ROUND((365*mech_uptime*K106),0))</f>
        <v/>
      </c>
      <c r="Q106" s="46">
        <f>mech_uptime</f>
        <v/>
      </c>
      <c r="R106" s="46">
        <f>IF(AND(B106="South Korea",scenario="MID"),korea_mid_revleg,revleg_sel)</f>
        <v/>
      </c>
      <c r="S106" s="45">
        <f>IF(ABS(MOD(ABS((O106*P106*R106)),1)-0.5)&lt;1E-9,2*ROUND((O106*P106*R106)/2,0),ROUND((O106*P106*R106),0))</f>
        <v/>
      </c>
      <c r="T106" s="46">
        <f>IF(AND(B106="South Korea",scenario="MID"),korea_mid_load,load_sel)</f>
        <v/>
      </c>
      <c r="U106" s="47">
        <f>pax_cap*T106</f>
        <v/>
      </c>
      <c r="V106" s="45">
        <f>U106*S106</f>
        <v/>
      </c>
      <c r="W106" s="48">
        <f>H106*discount</f>
        <v/>
      </c>
      <c r="X106" s="49">
        <f>W106*V106</f>
        <v/>
      </c>
      <c r="Y106" s="49">
        <f>(battery/range_nm)*G106*S106*VLOOKUP(B106,country_opex,3,FALSE)</f>
        <v/>
      </c>
      <c r="Z106" s="49">
        <f>VLOOKUP(B106,country_opex,2,FALSE)*crew_factor</f>
        <v/>
      </c>
      <c r="AA106" s="49">
        <f>VLOOKUP(B106,country_opex,5,FALSE)</f>
        <v/>
      </c>
      <c r="AB106" s="49">
        <f>maint</f>
        <v/>
      </c>
      <c r="AC106" s="49">
        <f>VLOOKUP(B106,country_opex,7,FALSE)*ins_pct</f>
        <v/>
      </c>
      <c r="AD106" s="49">
        <f>charge_berth</f>
        <v/>
      </c>
      <c r="AE106" s="49">
        <f>Y106+Z106+AA106+AB106+AC106+AD106</f>
        <v/>
      </c>
      <c r="AF106" s="49">
        <f>VLOOKUP(B106,country_opex,7,FALSE)/dep_years</f>
        <v/>
      </c>
      <c r="AG106" s="49">
        <f>X106-AE106</f>
        <v/>
      </c>
      <c r="AH106" s="46">
        <f>IF(X106=0,"",AG106/X106)</f>
        <v/>
      </c>
      <c r="AI106" s="47">
        <f>IF(AG106&lt;=0,"",VLOOKUP(B106,country_opex,7,FALSE)/AG106)</f>
        <v/>
      </c>
      <c r="AJ106" s="44">
        <f>((G106*S106/diesel_nmpg)*diesel_co2pg-(battery/range_nm)*G106*S106*VLOOKUP(B106,country_opex,4,FALSE))/1000</f>
        <v/>
      </c>
      <c r="AK106" s="42" t="n">
        <v>1204586</v>
      </c>
      <c r="AL106" s="43" t="n"/>
      <c r="AM106" s="43" t="n"/>
      <c r="AN106" s="50" t="n">
        <v>0.1</v>
      </c>
      <c r="AO106" s="45">
        <f>IF(AK106="","",AK106*AN106)</f>
        <v/>
      </c>
      <c r="AP106" s="45">
        <f>IF(OR(AK106="",V106=0),"",MIN(IF(AX106="",9.9E+99,AX106),FLOOR(AO106/V106,1)))</f>
        <v/>
      </c>
      <c r="AQ106" s="49">
        <f>IF(AP106="","",AP106*IF(ABS(MOD(ABS((X106)),1)-0.5)&lt;1E-9,2*ROUND((X106)/2,0),ROUND((X106),0)))</f>
        <v/>
      </c>
      <c r="AR106" s="47">
        <f>IF(OR(AK106="",V106=0),"",MIN(IF(AX106="",9.9E+99,AX106),AO106/V106))</f>
        <v/>
      </c>
      <c r="AS106" s="49">
        <f>IF(AR106="","",AR106*IF(B106="South Korea",IF(ABS(MOD(ABS((X106)),1)-0.5)&lt;1E-9,2*ROUND((X106)/2,0),ROUND((X106),0)),X106))</f>
        <v/>
      </c>
      <c r="AT106" s="51" t="n"/>
      <c r="AU106" s="43" t="inlineStr">
        <is>
          <t>Grounded</t>
        </is>
      </c>
      <c r="AV106" s="52" t="n"/>
      <c r="AW106" s="52" t="n"/>
      <c r="AX106" s="53" t="n"/>
      <c r="AY106" s="54">
        <f>IF(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&lt;=0,"",VLOOKUP(B106,country_opex,7,FALSE)/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)</f>
        <v/>
      </c>
      <c r="AZ106" s="54">
        <f>IF(((W106*pax_cap*IF(B106="South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Korea",korea_mid_revleg,revleg_mid)),0))*VLOOKUP(B106,country_opex,3,FALSE))+Z106+AA106+AB106+AC106+AD106))&lt;=0,"",VLOOKUP(B106,country_opex,7,FALSE)/((W106*pax_cap*IF(B106="South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Korea",korea_mid_revleg,revleg_mid)),0))*VLOOKUP(B106,country_opex,3,FALSE))+Z106+AA106+AB106+AC106+AD106)))</f>
        <v/>
      </c>
      <c r="BA106" s="54">
        <f>IF(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&lt;=0,"",VLOOKUP(B106,country_opex,7,FALSE)/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)</f>
        <v/>
      </c>
      <c r="BB106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C106" s="40" t="n"/>
      <c r="BD106" s="43" t="n"/>
    </row>
    <row r="107">
      <c r="A107" s="38" t="inlineStr">
        <is>
          <t>Bolt Egypt</t>
        </is>
      </c>
      <c r="B107" s="38" t="inlineStr">
        <is>
          <t>Egypt</t>
        </is>
      </c>
      <c r="C107" s="39" t="inlineStr">
        <is>
          <t>Hurghada → Sahl Hasheesh</t>
        </is>
      </c>
      <c r="D107" s="38" t="inlineStr">
        <is>
          <t>bolt</t>
        </is>
      </c>
      <c r="E107" s="40" t="inlineStr">
        <is>
          <t>bolt-egypt, yango-egypt</t>
        </is>
      </c>
      <c r="F107" s="41" t="n">
        <v>2</v>
      </c>
      <c r="G107" s="42" t="n">
        <v>10</v>
      </c>
      <c r="H107" s="35" t="n">
        <v>40.8</v>
      </c>
      <c r="I107" s="43" t="inlineStr">
        <is>
          <t>T2</t>
        </is>
      </c>
      <c r="J107" s="43" t="inlineStr">
        <is>
          <t>med</t>
        </is>
      </c>
      <c r="K107" s="29" t="n">
        <v>1</v>
      </c>
      <c r="L107" s="44">
        <f>60*G107/cruise_kt</f>
        <v/>
      </c>
      <c r="M107" s="44">
        <f>IF(B107="South Korea",G107/korea_charge_range_nm*korea_full_range_charge_min,0)</f>
        <v/>
      </c>
      <c r="N107" s="44">
        <f>IF(B107="South Korea",L107+korea_turn_min+korea_dwell_min+M107,L107+turn_min+dwell_min)</f>
        <v/>
      </c>
      <c r="O107" s="45">
        <f>IF(B107="South Korea",FLOOR(60*korea_service_hr/N107,1),MIN(15,FLOOR(60*service_hr/N107,1)))</f>
        <v/>
      </c>
      <c r="P107" s="45">
        <f>IF(ABS(MOD(ABS((365*mech_uptime*K107)),1)-0.5)&lt;1E-9,2*ROUND((365*mech_uptime*K107)/2,0),ROUND((365*mech_uptime*K107),0))</f>
        <v/>
      </c>
      <c r="Q107" s="46">
        <f>mech_uptime</f>
        <v/>
      </c>
      <c r="R107" s="46">
        <f>IF(AND(B107="South Korea",scenario="MID"),korea_mid_revleg,revleg_sel)</f>
        <v/>
      </c>
      <c r="S107" s="45">
        <f>IF(ABS(MOD(ABS((O107*P107*R107)),1)-0.5)&lt;1E-9,2*ROUND((O107*P107*R107)/2,0),ROUND((O107*P107*R107),0))</f>
        <v/>
      </c>
      <c r="T107" s="46">
        <f>IF(AND(B107="South Korea",scenario="MID"),korea_mid_load,load_sel)</f>
        <v/>
      </c>
      <c r="U107" s="47">
        <f>pax_cap*T107</f>
        <v/>
      </c>
      <c r="V107" s="45">
        <f>U107*S107</f>
        <v/>
      </c>
      <c r="W107" s="48">
        <f>H107*discount</f>
        <v/>
      </c>
      <c r="X107" s="49">
        <f>W107*V107</f>
        <v/>
      </c>
      <c r="Y107" s="49">
        <f>(battery/range_nm)*G107*S107*VLOOKUP(B107,country_opex,3,FALSE)</f>
        <v/>
      </c>
      <c r="Z107" s="49">
        <f>VLOOKUP(B107,country_opex,2,FALSE)*crew_factor</f>
        <v/>
      </c>
      <c r="AA107" s="49">
        <f>VLOOKUP(B107,country_opex,5,FALSE)</f>
        <v/>
      </c>
      <c r="AB107" s="49">
        <f>maint</f>
        <v/>
      </c>
      <c r="AC107" s="49">
        <f>VLOOKUP(B107,country_opex,7,FALSE)*ins_pct</f>
        <v/>
      </c>
      <c r="AD107" s="49">
        <f>charge_berth</f>
        <v/>
      </c>
      <c r="AE107" s="49">
        <f>Y107+Z107+AA107+AB107+AC107+AD107</f>
        <v/>
      </c>
      <c r="AF107" s="49">
        <f>VLOOKUP(B107,country_opex,7,FALSE)/dep_years</f>
        <v/>
      </c>
      <c r="AG107" s="49">
        <f>X107-AE107</f>
        <v/>
      </c>
      <c r="AH107" s="46">
        <f>IF(X107=0,"",AG107/X107)</f>
        <v/>
      </c>
      <c r="AI107" s="47">
        <f>IF(AG107&lt;=0,"",VLOOKUP(B107,country_opex,7,FALSE)/AG107)</f>
        <v/>
      </c>
      <c r="AJ107" s="44">
        <f>((G107*S107/diesel_nmpg)*diesel_co2pg-(battery/range_nm)*G107*S107*VLOOKUP(B107,country_opex,4,FALSE))/1000</f>
        <v/>
      </c>
      <c r="AK107" s="42" t="n"/>
      <c r="AL107" s="43" t="n"/>
      <c r="AM107" s="43" t="n"/>
      <c r="AN107" s="50" t="n">
        <v>0.1</v>
      </c>
      <c r="AO107" s="45">
        <f>IF(AK107="","",AK107*AN107)</f>
        <v/>
      </c>
      <c r="AP107" s="45">
        <f>IF(OR(AK107="",V107=0),"",MIN(IF(AX107="",9.9E+99,AX107),FLOOR(AO107/V107,1)))</f>
        <v/>
      </c>
      <c r="AQ107" s="49">
        <f>IF(AP107="","",AP107*IF(ABS(MOD(ABS((X107)),1)-0.5)&lt;1E-9,2*ROUND((X107)/2,0),ROUND((X107),0)))</f>
        <v/>
      </c>
      <c r="AR107" s="47">
        <f>IF(OR(AK107="",V107=0),"",MIN(IF(AX107="",9.9E+99,AX107),AO107/V107))</f>
        <v/>
      </c>
      <c r="AS107" s="49">
        <f>IF(AR107="","",AR107*IF(B107="South Korea",IF(ABS(MOD(ABS((X107)),1)-0.5)&lt;1E-9,2*ROUND((X107)/2,0),ROUND((X107),0)),X107))</f>
        <v/>
      </c>
      <c r="AT107" s="51" t="n"/>
      <c r="AU107" s="43" t="inlineStr">
        <is>
          <t>Estimated</t>
        </is>
      </c>
      <c r="AV107" s="52" t="n"/>
      <c r="AW107" s="52" t="n"/>
      <c r="AX107" s="53" t="n"/>
      <c r="AY107" s="54">
        <f>IF(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&lt;=0,"",VLOOKUP(B107,country_opex,7,FALSE)/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)</f>
        <v/>
      </c>
      <c r="AZ107" s="54">
        <f>IF(((W107*pax_cap*IF(B107="South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Korea",korea_mid_revleg,revleg_mid)),0))*VLOOKUP(B107,country_opex,3,FALSE))+Z107+AA107+AB107+AC107+AD107))&lt;=0,"",VLOOKUP(B107,country_opex,7,FALSE)/((W107*pax_cap*IF(B107="South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Korea",korea_mid_revleg,revleg_mid)),0))*VLOOKUP(B107,country_opex,3,FALSE))+Z107+AA107+AB107+AC107+AD107)))</f>
        <v/>
      </c>
      <c r="BA107" s="54">
        <f>IF(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&lt;=0,"",VLOOKUP(B107,country_opex,7,FALSE)/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)</f>
        <v/>
      </c>
      <c r="BB107" s="40" t="inlineStr">
        <is>
          <t>PREMIUM tier proxy = Dubai RTA convention $40.8/seat (same premium resort-transfer tier as El Gouna). No Egypt-native scheduled water-taxi fare on this leg published.</t>
        </is>
      </c>
      <c r="BC107" s="40" t="n"/>
      <c r="BD107" s="43" t="n"/>
    </row>
    <row r="108">
      <c r="A108" s="38" t="inlineStr">
        <is>
          <t>Bolt Egypt</t>
        </is>
      </c>
      <c r="B108" s="38" t="inlineStr">
        <is>
          <t>Egypt</t>
        </is>
      </c>
      <c r="C108" s="39" t="inlineStr">
        <is>
          <t>Greater Cairo - Maspero (Downtown) → Greater Cairo - Warraq / El Qanater</t>
        </is>
      </c>
      <c r="D108" s="38" t="inlineStr">
        <is>
          <t>bolt</t>
        </is>
      </c>
      <c r="E108" s="40" t="inlineStr">
        <is>
          <t>bolt-egypt, yango-egypt</t>
        </is>
      </c>
      <c r="F108" s="41" t="n">
        <v>2</v>
      </c>
      <c r="G108" s="42" t="n">
        <v>13</v>
      </c>
      <c r="H108" s="35" t="n">
        <v>18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IF(B108="South Korea",G108/korea_charge_range_nm*korea_full_range_charge_min,0)</f>
        <v/>
      </c>
      <c r="N108" s="44">
        <f>IF(B108="South Korea",L108+korea_turn_min+korea_dwell_min+M108,L108+turn_min+dwell_min)</f>
        <v/>
      </c>
      <c r="O108" s="45">
        <f>IF(B108="South Korea",FLOOR(60*korea_service_hr/N108,1),MIN(24,FLOOR(60*service_hr/N108,1)))</f>
        <v/>
      </c>
      <c r="P108" s="45">
        <f>IF(ABS(MOD(ABS((365*mech_uptime*K108)),1)-0.5)&lt;1E-9,2*ROUND((365*mech_uptime*K108)/2,0),ROUND((365*mech_uptime*K108),0))</f>
        <v/>
      </c>
      <c r="Q108" s="46">
        <f>mech_uptime</f>
        <v/>
      </c>
      <c r="R108" s="46">
        <f>IF(AND(B108="South Korea",scenario="MID"),korea_mid_revleg,revleg_sel)</f>
        <v/>
      </c>
      <c r="S108" s="45">
        <f>IF(ABS(MOD(ABS((O108*P108*R108)),1)-0.5)&lt;1E-9,2*ROUND((O108*P108*R108)/2,0),ROUND((O108*P108*R108),0))</f>
        <v/>
      </c>
      <c r="T108" s="46">
        <f>IF(AND(B108="South Korea",scenario="MID"),korea_mid_load,load_sel)</f>
        <v/>
      </c>
      <c r="U108" s="47">
        <f>pax_cap*T108</f>
        <v/>
      </c>
      <c r="V108" s="45">
        <f>U108*S108</f>
        <v/>
      </c>
      <c r="W108" s="48">
        <f>H108*discount</f>
        <v/>
      </c>
      <c r="X108" s="49">
        <f>W108*V108</f>
        <v/>
      </c>
      <c r="Y108" s="49">
        <f>(battery/range_nm)*G108*S108*VLOOKUP(B108,country_opex,3,FALSE)</f>
        <v/>
      </c>
      <c r="Z108" s="49">
        <f>VLOOKUP(B108,country_opex,2,FALSE)*crew_factor</f>
        <v/>
      </c>
      <c r="AA108" s="49">
        <f>VLOOKUP(B108,country_opex,5,FALSE)</f>
        <v/>
      </c>
      <c r="AB108" s="49">
        <f>maint</f>
        <v/>
      </c>
      <c r="AC108" s="49">
        <f>VLOOKUP(B108,country_opex,7,FALSE)*ins_pct</f>
        <v/>
      </c>
      <c r="AD108" s="49">
        <f>charge_berth</f>
        <v/>
      </c>
      <c r="AE108" s="49">
        <f>Y108+Z108+AA108+AB108+AC108+AD108</f>
        <v/>
      </c>
      <c r="AF108" s="49">
        <f>VLOOKUP(B108,country_opex,7,FALSE)/dep_years</f>
        <v/>
      </c>
      <c r="AG108" s="49">
        <f>X108-AE108</f>
        <v/>
      </c>
      <c r="AH108" s="46">
        <f>IF(X108=0,"",AG108/X108)</f>
        <v/>
      </c>
      <c r="AI108" s="47">
        <f>IF(AG108&lt;=0,"",VLOOKUP(B108,country_opex,7,FALSE)/AG108)</f>
        <v/>
      </c>
      <c r="AJ108" s="44">
        <f>((G108*S108/diesel_nmpg)*diesel_co2pg-(battery/range_nm)*G108*S108*VLOOKUP(B108,country_opex,4,FALSE))/1000</f>
        <v/>
      </c>
      <c r="AK108" s="42" t="n"/>
      <c r="AL108" s="43" t="n"/>
      <c r="AM108" s="43" t="n"/>
      <c r="AN108" s="50" t="n">
        <v>0.1</v>
      </c>
      <c r="AO108" s="45">
        <f>IF(AK108="","",AK108*AN108)</f>
        <v/>
      </c>
      <c r="AP108" s="45">
        <f>IF(OR(AK108="",V108=0),"",MIN(IF(AX108="",9.9E+99,AX108),FLOOR(AO108/V108,1)))</f>
        <v/>
      </c>
      <c r="AQ108" s="49">
        <f>IF(AP108="","",AP108*IF(ABS(MOD(ABS((X108)),1)-0.5)&lt;1E-9,2*ROUND((X108)/2,0),ROUND((X108),0)))</f>
        <v/>
      </c>
      <c r="AR108" s="47">
        <f>IF(OR(AK108="",V108=0),"",MIN(IF(AX108="",9.9E+99,AX108),AO108/V108))</f>
        <v/>
      </c>
      <c r="AS108" s="49">
        <f>IF(AR108="","",AR108*IF(B108="South Korea",IF(ABS(MOD(ABS((X108)),1)-0.5)&lt;1E-9,2*ROUND((X108)/2,0),ROUND((X108),0)),X108))</f>
        <v/>
      </c>
      <c r="AT108" s="51" t="n"/>
      <c r="AU108" s="43" t="inlineStr">
        <is>
          <t>Estimated</t>
        </is>
      </c>
      <c r="AV108" s="52" t="n"/>
      <c r="AW108" s="52" t="n"/>
      <c r="AX108" s="53" t="n"/>
      <c r="AY108" s="54">
        <f>IF(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&lt;=0,"",VLOOKUP(B108,country_opex,7,FALSE)/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)</f>
        <v/>
      </c>
      <c r="AZ108" s="54">
        <f>IF(((W108*pax_cap*IF(B108="South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Korea",korea_mid_revleg,revleg_mid)),0))*VLOOKUP(B108,country_opex,3,FALSE))+Z108+AA108+AB108+AC108+AD108))&lt;=0,"",VLOOKUP(B108,country_opex,7,FALSE)/((W108*pax_cap*IF(B108="South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Korea",korea_mid_revleg,revleg_mid)),0))*VLOOKUP(B108,country_opex,3,FALSE))+Z108+AA108+AB108+AC108+AD108)))</f>
        <v/>
      </c>
      <c r="BA108" s="54">
        <f>IF(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&lt;=0,"",VLOOKUP(B108,country_opex,7,FALSE)/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)</f>
        <v/>
      </c>
      <c r="BB108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C108" s="40" t="n"/>
      <c r="BD108" s="43" t="n"/>
    </row>
    <row r="109">
      <c r="A109" s="38" t="inlineStr">
        <is>
          <t>Bolt Egypt</t>
        </is>
      </c>
      <c r="B109" s="38" t="inlineStr">
        <is>
          <t>Egypt</t>
        </is>
      </c>
      <c r="C109" s="39" t="inlineStr">
        <is>
          <t>Hurghada → El Gouna</t>
        </is>
      </c>
      <c r="D109" s="38" t="inlineStr">
        <is>
          <t>bolt</t>
        </is>
      </c>
      <c r="E109" s="40" t="inlineStr">
        <is>
          <t>bolt-egypt, yango-egypt</t>
        </is>
      </c>
      <c r="F109" s="41" t="n">
        <v>2</v>
      </c>
      <c r="G109" s="42" t="n">
        <v>14</v>
      </c>
      <c r="H109" s="35" t="n">
        <v>40.8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IF(B109="South Korea",G109/korea_charge_range_nm*korea_full_range_charge_min,0)</f>
        <v/>
      </c>
      <c r="N109" s="44">
        <f>IF(B109="South Korea",L109+korea_turn_min+korea_dwell_min+M109,L109+turn_min+dwell_min)</f>
        <v/>
      </c>
      <c r="O109" s="45">
        <f>IF(B109="South Korea",FLOOR(60*korea_service_hr/N109,1),MIN(15,FLOOR(60*service_hr/N109,1)))</f>
        <v/>
      </c>
      <c r="P109" s="45">
        <f>IF(ABS(MOD(ABS((365*mech_uptime*K109)),1)-0.5)&lt;1E-9,2*ROUND((365*mech_uptime*K109)/2,0),ROUND((365*mech_uptime*K109),0))</f>
        <v/>
      </c>
      <c r="Q109" s="46">
        <f>mech_uptime</f>
        <v/>
      </c>
      <c r="R109" s="46">
        <f>IF(AND(B109="South Korea",scenario="MID"),korea_mid_revleg,revleg_sel)</f>
        <v/>
      </c>
      <c r="S109" s="45">
        <f>IF(ABS(MOD(ABS((O109*P109*R109)),1)-0.5)&lt;1E-9,2*ROUND((O109*P109*R109)/2,0),ROUND((O109*P109*R109),0))</f>
        <v/>
      </c>
      <c r="T109" s="46">
        <f>IF(AND(B109="South Korea",scenario="MID"),korea_mid_load,load_sel)</f>
        <v/>
      </c>
      <c r="U109" s="47">
        <f>pax_cap*T109</f>
        <v/>
      </c>
      <c r="V109" s="45">
        <f>U109*S109</f>
        <v/>
      </c>
      <c r="W109" s="48">
        <f>H109*discount</f>
        <v/>
      </c>
      <c r="X109" s="49">
        <f>W109*V109</f>
        <v/>
      </c>
      <c r="Y109" s="49">
        <f>(battery/range_nm)*G109*S109*VLOOKUP(B109,country_opex,3,FALSE)</f>
        <v/>
      </c>
      <c r="Z109" s="49">
        <f>VLOOKUP(B109,country_opex,2,FALSE)*crew_factor</f>
        <v/>
      </c>
      <c r="AA109" s="49">
        <f>VLOOKUP(B109,country_opex,5,FALSE)</f>
        <v/>
      </c>
      <c r="AB109" s="49">
        <f>maint</f>
        <v/>
      </c>
      <c r="AC109" s="49">
        <f>VLOOKUP(B109,country_opex,7,FALSE)*ins_pct</f>
        <v/>
      </c>
      <c r="AD109" s="49">
        <f>charge_berth</f>
        <v/>
      </c>
      <c r="AE109" s="49">
        <f>Y109+Z109+AA109+AB109+AC109+AD109</f>
        <v/>
      </c>
      <c r="AF109" s="49">
        <f>VLOOKUP(B109,country_opex,7,FALSE)/dep_years</f>
        <v/>
      </c>
      <c r="AG109" s="49">
        <f>X109-AE109</f>
        <v/>
      </c>
      <c r="AH109" s="46">
        <f>IF(X109=0,"",AG109/X109)</f>
        <v/>
      </c>
      <c r="AI109" s="47">
        <f>IF(AG109&lt;=0,"",VLOOKUP(B109,country_opex,7,FALSE)/AG109)</f>
        <v/>
      </c>
      <c r="AJ109" s="44">
        <f>((G109*S109/diesel_nmpg)*diesel_co2pg-(battery/range_nm)*G109*S109*VLOOKUP(B109,country_opex,4,FALSE))/1000</f>
        <v/>
      </c>
      <c r="AK109" s="42" t="n">
        <v>10402</v>
      </c>
      <c r="AL109" s="43" t="n"/>
      <c r="AM109" s="43" t="n"/>
      <c r="AN109" s="50" t="n">
        <v>0.1</v>
      </c>
      <c r="AO109" s="45">
        <f>IF(AK109="","",AK109*AN109)</f>
        <v/>
      </c>
      <c r="AP109" s="45">
        <f>IF(OR(AK109="",V109=0),"",MIN(IF(AX109="",9.9E+99,AX109),FLOOR(AO109/V109,1)))</f>
        <v/>
      </c>
      <c r="AQ109" s="49">
        <f>IF(AP109="","",AP109*IF(ABS(MOD(ABS((X109)),1)-0.5)&lt;1E-9,2*ROUND((X109)/2,0),ROUND((X109),0)))</f>
        <v/>
      </c>
      <c r="AR109" s="47">
        <f>IF(OR(AK109="",V109=0),"",MIN(IF(AX109="",9.9E+99,AX109),AO109/V109))</f>
        <v/>
      </c>
      <c r="AS109" s="49">
        <f>IF(AR109="","",AR109*IF(B109="South Korea",IF(ABS(MOD(ABS((X109)),1)-0.5)&lt;1E-9,2*ROUND((X109)/2,0),ROUND((X109),0)),X109))</f>
        <v/>
      </c>
      <c r="AT109" s="51" t="n"/>
      <c r="AU109" s="43" t="inlineStr">
        <is>
          <t>Upside tier</t>
        </is>
      </c>
      <c r="AV109" s="52" t="n"/>
      <c r="AW109" s="52" t="inlineStr">
        <is>
          <t>modal_shift_greenfield</t>
        </is>
      </c>
      <c r="AX109" s="53" t="n"/>
      <c r="AY109" s="54">
        <f>IF(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&lt;=0,"",VLOOKUP(B109,country_opex,7,FALSE)/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)</f>
        <v/>
      </c>
      <c r="AZ109" s="54">
        <f>IF(((W109*pax_cap*IF(B109="South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Korea",korea_mid_revleg,revleg_mid)),0))*VLOOKUP(B109,country_opex,3,FALSE))+Z109+AA109+AB109+AC109+AD109))&lt;=0,"",VLOOKUP(B109,country_opex,7,FALSE)/((W109*pax_cap*IF(B109="South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Korea",korea_mid_revleg,revleg_mid)),0))*VLOOKUP(B109,country_opex,3,FALSE))+Z109+AA109+AB109+AC109+AD109)))</f>
        <v/>
      </c>
      <c r="BA109" s="54">
        <f>IF(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&lt;=0,"",VLOOKUP(B109,country_opex,7,FALSE)/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)</f>
        <v/>
      </c>
      <c r="BB109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C109" s="40" t="n"/>
      <c r="BD109" s="43" t="inlineStr">
        <is>
          <t>gcn-6f2754b63b-yango</t>
        </is>
      </c>
    </row>
    <row r="110">
      <c r="A110" s="38" t="inlineStr">
        <is>
          <t>Bolt Egypt</t>
        </is>
      </c>
      <c r="B110" s="38" t="inlineStr">
        <is>
          <t>Egypt</t>
        </is>
      </c>
      <c r="C110" s="39" t="inlineStr">
        <is>
          <t>Sharm El Sheikh → Ras Mohammed / Tiran reefs</t>
        </is>
      </c>
      <c r="D110" s="38" t="inlineStr">
        <is>
          <t>bolt</t>
        </is>
      </c>
      <c r="E110" s="40" t="inlineStr">
        <is>
          <t>bolt-egypt, yango-egypt</t>
        </is>
      </c>
      <c r="F110" s="41" t="n">
        <v>2</v>
      </c>
      <c r="G110" s="42" t="n">
        <v>16</v>
      </c>
      <c r="H110" s="35" t="n">
        <v>50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IF(B110="South Korea",G110/korea_charge_range_nm*korea_full_range_charge_min,0)</f>
        <v/>
      </c>
      <c r="N110" s="44">
        <f>IF(B110="South Korea",L110+korea_turn_min+korea_dwell_min+M110,L110+turn_min+dwell_min)</f>
        <v/>
      </c>
      <c r="O110" s="45">
        <f>IF(B110="South Korea",FLOOR(60*korea_service_hr/N110,1),MIN(15,FLOOR(60*service_hr/N110,1)))</f>
        <v/>
      </c>
      <c r="P110" s="45">
        <f>IF(ABS(MOD(ABS((365*mech_uptime*K110)),1)-0.5)&lt;1E-9,2*ROUND((365*mech_uptime*K110)/2,0),ROUND((365*mech_uptime*K110),0))</f>
        <v/>
      </c>
      <c r="Q110" s="46">
        <f>mech_uptime</f>
        <v/>
      </c>
      <c r="R110" s="46">
        <f>IF(AND(B110="South Korea",scenario="MID"),korea_mid_revleg,revleg_sel)</f>
        <v/>
      </c>
      <c r="S110" s="45">
        <f>IF(ABS(MOD(ABS((O110*P110*R110)),1)-0.5)&lt;1E-9,2*ROUND((O110*P110*R110)/2,0),ROUND((O110*P110*R110),0))</f>
        <v/>
      </c>
      <c r="T110" s="46">
        <f>IF(AND(B110="South Korea",scenario="MID"),korea_mid_load,load_sel)</f>
        <v/>
      </c>
      <c r="U110" s="47">
        <f>pax_cap*T110</f>
        <v/>
      </c>
      <c r="V110" s="45">
        <f>U110*S110</f>
        <v/>
      </c>
      <c r="W110" s="48">
        <f>H110*discount</f>
        <v/>
      </c>
      <c r="X110" s="49">
        <f>W110*V110</f>
        <v/>
      </c>
      <c r="Y110" s="49">
        <f>(battery/range_nm)*G110*S110*VLOOKUP(B110,country_opex,3,FALSE)</f>
        <v/>
      </c>
      <c r="Z110" s="49">
        <f>VLOOKUP(B110,country_opex,2,FALSE)*crew_factor</f>
        <v/>
      </c>
      <c r="AA110" s="49">
        <f>VLOOKUP(B110,country_opex,5,FALSE)</f>
        <v/>
      </c>
      <c r="AB110" s="49">
        <f>maint</f>
        <v/>
      </c>
      <c r="AC110" s="49">
        <f>VLOOKUP(B110,country_opex,7,FALSE)*ins_pct</f>
        <v/>
      </c>
      <c r="AD110" s="49">
        <f>charge_berth</f>
        <v/>
      </c>
      <c r="AE110" s="49">
        <f>Y110+Z110+AA110+AB110+AC110+AD110</f>
        <v/>
      </c>
      <c r="AF110" s="49">
        <f>VLOOKUP(B110,country_opex,7,FALSE)/dep_years</f>
        <v/>
      </c>
      <c r="AG110" s="49">
        <f>X110-AE110</f>
        <v/>
      </c>
      <c r="AH110" s="46">
        <f>IF(X110=0,"",AG110/X110)</f>
        <v/>
      </c>
      <c r="AI110" s="47">
        <f>IF(AG110&lt;=0,"",VLOOKUP(B110,country_opex,7,FALSE)/AG110)</f>
        <v/>
      </c>
      <c r="AJ110" s="44">
        <f>((G110*S110/diesel_nmpg)*diesel_co2pg-(battery/range_nm)*G110*S110*VLOOKUP(B110,country_opex,4,FALSE))/1000</f>
        <v/>
      </c>
      <c r="AK110" s="42" t="n">
        <v>50000</v>
      </c>
      <c r="AL110" s="43" t="n"/>
      <c r="AM110" s="43" t="n"/>
      <c r="AN110" s="50" t="n">
        <v>0.1</v>
      </c>
      <c r="AO110" s="45">
        <f>IF(AK110="","",AK110*AN110)</f>
        <v/>
      </c>
      <c r="AP110" s="45">
        <f>IF(OR(AK110="",V110=0),"",MIN(IF(AX110="",9.9E+99,AX110),FLOOR(AO110/V110,1)))</f>
        <v/>
      </c>
      <c r="AQ110" s="49">
        <f>IF(AP110="","",AP110*IF(ABS(MOD(ABS((X110)),1)-0.5)&lt;1E-9,2*ROUND((X110)/2,0),ROUND((X110),0)))</f>
        <v/>
      </c>
      <c r="AR110" s="47">
        <f>IF(OR(AK110="",V110=0),"",MIN(IF(AX110="",9.9E+99,AX110),AO110/V110))</f>
        <v/>
      </c>
      <c r="AS110" s="49">
        <f>IF(AR110="","",AR110*IF(B110="South Korea",IF(ABS(MOD(ABS((X110)),1)-0.5)&lt;1E-9,2*ROUND((X110)/2,0),ROUND((X110),0)),X110))</f>
        <v/>
      </c>
      <c r="AT110" s="51" t="n"/>
      <c r="AU110" s="43" t="inlineStr">
        <is>
          <t>Estimated</t>
        </is>
      </c>
      <c r="AV110" s="52" t="n"/>
      <c r="AW110" s="52" t="n"/>
      <c r="AX110" s="53" t="n"/>
      <c r="AY110" s="54">
        <f>IF(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&lt;=0,"",VLOOKUP(B110,country_opex,7,FALSE)/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)</f>
        <v/>
      </c>
      <c r="AZ110" s="54">
        <f>IF(((W110*pax_cap*IF(B110="South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Korea",korea_mid_revleg,revleg_mid)),0))*VLOOKUP(B110,country_opex,3,FALSE))+Z110+AA110+AB110+AC110+AD110))&lt;=0,"",VLOOKUP(B110,country_opex,7,FALSE)/((W110*pax_cap*IF(B110="South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Korea",korea_mid_revleg,revleg_mid)),0))*VLOOKUP(B110,country_opex,3,FALSE))+Z110+AA110+AB110+AC110+AD110)))</f>
        <v/>
      </c>
      <c r="BA110" s="54">
        <f>IF(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&lt;=0,"",VLOOKUP(B110,country_opex,7,FALSE)/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)</f>
        <v/>
      </c>
      <c r="BB110" s="40" t="inlineStr">
        <is>
          <t>PREMIUM tier = VIP/premium Ras Mohammed + White Island boat sea-trip ~$52/adult (Tripadvisor VIP boat); standard scheduled boat day-trips from EUR 24 (~$26). Modeled premium tier ~$50.</t>
        </is>
      </c>
      <c r="BC110" s="40" t="n"/>
      <c r="BD110" s="43" t="n"/>
    </row>
    <row r="111">
      <c r="A111" s="38" t="inlineStr">
        <is>
          <t>Bolt Egypt</t>
        </is>
      </c>
      <c r="B111" s="38" t="inlineStr">
        <is>
          <t>Egypt</t>
        </is>
      </c>
      <c r="C111" s="39" t="inlineStr">
        <is>
          <t>Hurghada → Soma Bay</t>
        </is>
      </c>
      <c r="D111" s="38" t="inlineStr">
        <is>
          <t>bolt</t>
        </is>
      </c>
      <c r="E111" s="40" t="inlineStr">
        <is>
          <t>bolt-egypt, yango-egypt</t>
        </is>
      </c>
      <c r="F111" s="41" t="n">
        <v>2</v>
      </c>
      <c r="G111" s="42" t="n">
        <v>25</v>
      </c>
      <c r="H111" s="35" t="n">
        <v>40.8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IF(B111="South Korea",G111/korea_charge_range_nm*korea_full_range_charge_min,0)</f>
        <v/>
      </c>
      <c r="N111" s="44">
        <f>IF(B111="South Korea",L111+korea_turn_min+korea_dwell_min+M111,L111+turn_min+dwell_min)</f>
        <v/>
      </c>
      <c r="O111" s="45">
        <f>IF(B111="South Korea",FLOOR(60*korea_service_hr/N111,1),MIN(15,FLOOR(60*service_hr/N111,1)))</f>
        <v/>
      </c>
      <c r="P111" s="45">
        <f>IF(ABS(MOD(ABS((365*mech_uptime*K111)),1)-0.5)&lt;1E-9,2*ROUND((365*mech_uptime*K111)/2,0),ROUND((365*mech_uptime*K111),0))</f>
        <v/>
      </c>
      <c r="Q111" s="46">
        <f>mech_uptime</f>
        <v/>
      </c>
      <c r="R111" s="46">
        <f>IF(AND(B111="South Korea",scenario="MID"),korea_mid_revleg,revleg_sel)</f>
        <v/>
      </c>
      <c r="S111" s="45">
        <f>IF(ABS(MOD(ABS((O111*P111*R111)),1)-0.5)&lt;1E-9,2*ROUND((O111*P111*R111)/2,0),ROUND((O111*P111*R111),0))</f>
        <v/>
      </c>
      <c r="T111" s="46">
        <f>IF(AND(B111="South Korea",scenario="MID"),korea_mid_load,load_sel)</f>
        <v/>
      </c>
      <c r="U111" s="47">
        <f>pax_cap*T111</f>
        <v/>
      </c>
      <c r="V111" s="45">
        <f>U111*S111</f>
        <v/>
      </c>
      <c r="W111" s="48">
        <f>H111*discount</f>
        <v/>
      </c>
      <c r="X111" s="49">
        <f>W111*V111</f>
        <v/>
      </c>
      <c r="Y111" s="49">
        <f>(battery/range_nm)*G111*S111*VLOOKUP(B111,country_opex,3,FALSE)</f>
        <v/>
      </c>
      <c r="Z111" s="49">
        <f>VLOOKUP(B111,country_opex,2,FALSE)*crew_factor</f>
        <v/>
      </c>
      <c r="AA111" s="49">
        <f>VLOOKUP(B111,country_opex,5,FALSE)</f>
        <v/>
      </c>
      <c r="AB111" s="49">
        <f>maint</f>
        <v/>
      </c>
      <c r="AC111" s="49">
        <f>VLOOKUP(B111,country_opex,7,FALSE)*ins_pct</f>
        <v/>
      </c>
      <c r="AD111" s="49">
        <f>charge_berth</f>
        <v/>
      </c>
      <c r="AE111" s="49">
        <f>Y111+Z111+AA111+AB111+AC111+AD111</f>
        <v/>
      </c>
      <c r="AF111" s="49">
        <f>VLOOKUP(B111,country_opex,7,FALSE)/dep_years</f>
        <v/>
      </c>
      <c r="AG111" s="49">
        <f>X111-AE111</f>
        <v/>
      </c>
      <c r="AH111" s="46">
        <f>IF(X111=0,"",AG111/X111)</f>
        <v/>
      </c>
      <c r="AI111" s="47">
        <f>IF(AG111&lt;=0,"",VLOOKUP(B111,country_opex,7,FALSE)/AG111)</f>
        <v/>
      </c>
      <c r="AJ111" s="44">
        <f>((G111*S111/diesel_nmpg)*diesel_co2pg-(battery/range_nm)*G111*S111*VLOOKUP(B111,country_opex,4,FALSE))/1000</f>
        <v/>
      </c>
      <c r="AK111" s="42" t="n">
        <v>6935</v>
      </c>
      <c r="AL111" s="43" t="n"/>
      <c r="AM111" s="43" t="n"/>
      <c r="AN111" s="50" t="n">
        <v>0.1</v>
      </c>
      <c r="AO111" s="45">
        <f>IF(AK111="","",AK111*AN111)</f>
        <v/>
      </c>
      <c r="AP111" s="45">
        <f>IF(OR(AK111="",V111=0),"",MIN(IF(AX111="",9.9E+99,AX111),FLOOR(AO111/V111,1)))</f>
        <v/>
      </c>
      <c r="AQ111" s="49">
        <f>IF(AP111="","",AP111*IF(ABS(MOD(ABS((X111)),1)-0.5)&lt;1E-9,2*ROUND((X111)/2,0),ROUND((X111),0)))</f>
        <v/>
      </c>
      <c r="AR111" s="47">
        <f>IF(OR(AK111="",V111=0),"",MIN(IF(AX111="",9.9E+99,AX111),AO111/V111))</f>
        <v/>
      </c>
      <c r="AS111" s="49">
        <f>IF(AR111="","",AR111*IF(B111="South Korea",IF(ABS(MOD(ABS((X111)),1)-0.5)&lt;1E-9,2*ROUND((X111)/2,0),ROUND((X111),0)),X111))</f>
        <v/>
      </c>
      <c r="AT111" s="51" t="n"/>
      <c r="AU111" s="43" t="inlineStr">
        <is>
          <t>Estimated</t>
        </is>
      </c>
      <c r="AV111" s="52" t="n"/>
      <c r="AW111" s="52" t="n"/>
      <c r="AX111" s="53" t="n"/>
      <c r="AY111" s="54">
        <f>IF(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&lt;=0,"",VLOOKUP(B111,country_opex,7,FALSE)/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)</f>
        <v/>
      </c>
      <c r="AZ111" s="54">
        <f>IF(((W111*pax_cap*IF(B111="South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Korea",korea_mid_revleg,revleg_mid)),0))*VLOOKUP(B111,country_opex,3,FALSE))+Z111+AA111+AB111+AC111+AD111))&lt;=0,"",VLOOKUP(B111,country_opex,7,FALSE)/((W111*pax_cap*IF(B111="South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Korea",korea_mid_revleg,revleg_mid)),0))*VLOOKUP(B111,country_opex,3,FALSE))+Z111+AA111+AB111+AC111+AD111)))</f>
        <v/>
      </c>
      <c r="BA111" s="54">
        <f>IF(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&lt;=0,"",VLOOKUP(B111,country_opex,7,FALSE)/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)</f>
        <v/>
      </c>
      <c r="BB111" s="40" t="inlineStr">
        <is>
          <t>PREMIUM tier proxy = Dubai RTA convention $40.8/seat (premium resort-transfer tier). No scheduled Egypt-native marine fare on this leg.</t>
        </is>
      </c>
      <c r="BC111" s="40" t="n"/>
      <c r="BD111" s="43" t="n"/>
    </row>
    <row r="112">
      <c r="A112" s="38" t="inlineStr">
        <is>
          <t>Bolt Egypt</t>
        </is>
      </c>
      <c r="B112" s="38" t="inlineStr">
        <is>
          <t>Egypt</t>
        </is>
      </c>
      <c r="C112" s="39" t="inlineStr">
        <is>
          <t>Sharm El Sheikh → Dahab</t>
        </is>
      </c>
      <c r="D112" s="38" t="inlineStr">
        <is>
          <t>bolt</t>
        </is>
      </c>
      <c r="E112" s="40" t="inlineStr">
        <is>
          <t>bolt-egypt, yango-egypt</t>
        </is>
      </c>
      <c r="F112" s="41" t="n">
        <v>2</v>
      </c>
      <c r="G112" s="42" t="n">
        <v>28</v>
      </c>
      <c r="H112" s="35" t="n">
        <v>15</v>
      </c>
      <c r="I112" s="43" t="inlineStr">
        <is>
          <t>T2</t>
        </is>
      </c>
      <c r="J112" s="43" t="inlineStr">
        <is>
          <t>med</t>
        </is>
      </c>
      <c r="K112" s="29" t="n">
        <v>1</v>
      </c>
      <c r="L112" s="44">
        <f>60*G112/cruise_kt</f>
        <v/>
      </c>
      <c r="M112" s="44">
        <f>IF(B112="South Korea",G112/korea_charge_range_nm*korea_full_range_charge_min,0)</f>
        <v/>
      </c>
      <c r="N112" s="44">
        <f>IF(B112="South Korea",L112+korea_turn_min+korea_dwell_min+M112,L112+turn_min+dwell_min)</f>
        <v/>
      </c>
      <c r="O112" s="45">
        <f>IF(B112="South Korea",FLOOR(60*korea_service_hr/N112,1),MIN(24,FLOOR(60*service_hr/N112,1)))</f>
        <v/>
      </c>
      <c r="P112" s="45">
        <f>IF(ABS(MOD(ABS((365*mech_uptime*K112)),1)-0.5)&lt;1E-9,2*ROUND((365*mech_uptime*K112)/2,0),ROUND((365*mech_uptime*K112),0))</f>
        <v/>
      </c>
      <c r="Q112" s="46">
        <f>mech_uptime</f>
        <v/>
      </c>
      <c r="R112" s="46">
        <f>IF(AND(B112="South Korea",scenario="MID"),korea_mid_revleg,revleg_sel)</f>
        <v/>
      </c>
      <c r="S112" s="45">
        <f>IF(ABS(MOD(ABS((O112*P112*R112)),1)-0.5)&lt;1E-9,2*ROUND((O112*P112*R112)/2,0),ROUND((O112*P112*R112),0))</f>
        <v/>
      </c>
      <c r="T112" s="46">
        <f>IF(AND(B112="South Korea",scenario="MID"),korea_mid_load,load_sel)</f>
        <v/>
      </c>
      <c r="U112" s="47">
        <f>pax_cap*T112</f>
        <v/>
      </c>
      <c r="V112" s="45">
        <f>U112*S112</f>
        <v/>
      </c>
      <c r="W112" s="48">
        <f>H112*discount</f>
        <v/>
      </c>
      <c r="X112" s="49">
        <f>W112*V112</f>
        <v/>
      </c>
      <c r="Y112" s="49">
        <f>(battery/range_nm)*G112*S112*VLOOKUP(B112,country_opex,3,FALSE)</f>
        <v/>
      </c>
      <c r="Z112" s="49">
        <f>VLOOKUP(B112,country_opex,2,FALSE)*crew_factor</f>
        <v/>
      </c>
      <c r="AA112" s="49">
        <f>VLOOKUP(B112,country_opex,5,FALSE)</f>
        <v/>
      </c>
      <c r="AB112" s="49">
        <f>maint</f>
        <v/>
      </c>
      <c r="AC112" s="49">
        <f>VLOOKUP(B112,country_opex,7,FALSE)*ins_pct</f>
        <v/>
      </c>
      <c r="AD112" s="49">
        <f>charge_berth</f>
        <v/>
      </c>
      <c r="AE112" s="49">
        <f>Y112+Z112+AA112+AB112+AC112+AD112</f>
        <v/>
      </c>
      <c r="AF112" s="49">
        <f>VLOOKUP(B112,country_opex,7,FALSE)/dep_years</f>
        <v/>
      </c>
      <c r="AG112" s="49">
        <f>X112-AE112</f>
        <v/>
      </c>
      <c r="AH112" s="46">
        <f>IF(X112=0,"",AG112/X112)</f>
        <v/>
      </c>
      <c r="AI112" s="47">
        <f>IF(AG112&lt;=0,"",VLOOKUP(B112,country_opex,7,FALSE)/AG112)</f>
        <v/>
      </c>
      <c r="AJ112" s="44">
        <f>((G112*S112/diesel_nmpg)*diesel_co2pg-(battery/range_nm)*G112*S112*VLOOKUP(B112,country_opex,4,FALSE))/1000</f>
        <v/>
      </c>
      <c r="AK112" s="42" t="n"/>
      <c r="AL112" s="43" t="n"/>
      <c r="AM112" s="43" t="n"/>
      <c r="AN112" s="50" t="n">
        <v>0.1</v>
      </c>
      <c r="AO112" s="45">
        <f>IF(AK112="","",AK112*AN112)</f>
        <v/>
      </c>
      <c r="AP112" s="45">
        <f>IF(OR(AK112="",V112=0),"",MIN(IF(AX112="",9.9E+99,AX112),FLOOR(AO112/V112,1)))</f>
        <v/>
      </c>
      <c r="AQ112" s="49">
        <f>IF(AP112="","",AP112*IF(ABS(MOD(ABS((X112)),1)-0.5)&lt;1E-9,2*ROUND((X112)/2,0),ROUND((X112),0)))</f>
        <v/>
      </c>
      <c r="AR112" s="47">
        <f>IF(OR(AK112="",V112=0),"",MIN(IF(AX112="",9.9E+99,AX112),AO112/V112))</f>
        <v/>
      </c>
      <c r="AS112" s="49">
        <f>IF(AR112="","",AR112*IF(B112="South Korea",IF(ABS(MOD(ABS((X112)),1)-0.5)&lt;1E-9,2*ROUND((X112)/2,0),ROUND((X112),0)),X112))</f>
        <v/>
      </c>
      <c r="AT112" s="51" t="n"/>
      <c r="AU112" s="43" t="inlineStr">
        <is>
          <t>Estimated</t>
        </is>
      </c>
      <c r="AV112" s="52" t="n"/>
      <c r="AW112" s="52" t="n"/>
      <c r="AX112" s="53" t="n"/>
      <c r="AY112" s="54">
        <f>IF(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&lt;=0,"",VLOOKUP(B112,country_opex,7,FALSE)/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)</f>
        <v/>
      </c>
      <c r="AZ112" s="54">
        <f>IF(((W112*pax_cap*IF(B112="South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Korea",korea_mid_revleg,revleg_mid)),0))*VLOOKUP(B112,country_opex,3,FALSE))+Z112+AA112+AB112+AC112+AD112))&lt;=0,"",VLOOKUP(B112,country_opex,7,FALSE)/((W112*pax_cap*IF(B112="South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Korea",korea_mid_revleg,revleg_mid)),0))*VLOOKUP(B112,country_opex,3,FALSE))+Z112+AA112+AB112+AC112+AD112)))</f>
        <v/>
      </c>
      <c r="BA112" s="54">
        <f>IF(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&lt;=0,"",VLOOKUP(B112,country_opex,7,FALSE)/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)</f>
        <v/>
      </c>
      <c r="BB112" s="40" t="inlineStr">
        <is>
          <t>PREMIUM tier (road analogue) = private transfer Sharm&lt;-&gt;Dahab ~1400-1500 EGP/car (~$29-31) divided ~4 pax (~$7.5/seat) up to premium per-seat ~$15; no scheduled marine fare exists.</t>
        </is>
      </c>
      <c r="BC112" s="40" t="n"/>
      <c r="BD112" s="43" t="n"/>
    </row>
    <row r="113">
      <c r="A113" s="38" t="inlineStr">
        <is>
          <t>Bolt Egypt</t>
        </is>
      </c>
      <c r="B113" s="38" t="inlineStr">
        <is>
          <t>Egypt</t>
        </is>
      </c>
      <c r="C113" s="39" t="inlineStr">
        <is>
          <t>Hurghada / El Gouna → Sharm El Sheikh</t>
        </is>
      </c>
      <c r="D113" s="38" t="inlineStr">
        <is>
          <t>bolt</t>
        </is>
      </c>
      <c r="E113" s="40" t="inlineStr">
        <is>
          <t>bolt-egypt, yango-egypt</t>
        </is>
      </c>
      <c r="F113" s="41" t="n">
        <v>2</v>
      </c>
      <c r="G113" s="42" t="n">
        <v>49.8</v>
      </c>
      <c r="H113" s="35" t="n">
        <v>110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IF(B113="South Korea",G113/korea_charge_range_nm*korea_full_range_charge_min,0)</f>
        <v/>
      </c>
      <c r="N113" s="44">
        <f>IF(B113="South Korea",L113+korea_turn_min+korea_dwell_min+M113,L113+turn_min+dwell_min)</f>
        <v/>
      </c>
      <c r="O113" s="45">
        <f>IF(B113="South Korea",FLOOR(60*korea_service_hr/N113,1),MIN(15,FLOOR(60*service_hr/N113,1)))</f>
        <v/>
      </c>
      <c r="P113" s="45">
        <f>IF(ABS(MOD(ABS((365*mech_uptime*K113)),1)-0.5)&lt;1E-9,2*ROUND((365*mech_uptime*K113)/2,0),ROUND((365*mech_uptime*K113),0))</f>
        <v/>
      </c>
      <c r="Q113" s="46">
        <f>mech_uptime</f>
        <v/>
      </c>
      <c r="R113" s="46">
        <f>IF(AND(B113="South Korea",scenario="MID"),korea_mid_revleg,revleg_sel)</f>
        <v/>
      </c>
      <c r="S113" s="45">
        <f>IF(ABS(MOD(ABS((O113*P113*R113)),1)-0.5)&lt;1E-9,2*ROUND((O113*P113*R113)/2,0),ROUND((O113*P113*R113),0))</f>
        <v/>
      </c>
      <c r="T113" s="46">
        <f>IF(AND(B113="South Korea",scenario="MID"),korea_mid_load,load_sel)</f>
        <v/>
      </c>
      <c r="U113" s="47">
        <f>pax_cap*T113</f>
        <v/>
      </c>
      <c r="V113" s="45">
        <f>U113*S113</f>
        <v/>
      </c>
      <c r="W113" s="48">
        <f>H113*discount</f>
        <v/>
      </c>
      <c r="X113" s="49">
        <f>W113*V113</f>
        <v/>
      </c>
      <c r="Y113" s="49">
        <f>(battery/range_nm)*G113*S113*VLOOKUP(B113,country_opex,3,FALSE)</f>
        <v/>
      </c>
      <c r="Z113" s="49">
        <f>VLOOKUP(B113,country_opex,2,FALSE)*crew_factor</f>
        <v/>
      </c>
      <c r="AA113" s="49">
        <f>VLOOKUP(B113,country_opex,5,FALSE)</f>
        <v/>
      </c>
      <c r="AB113" s="49">
        <f>maint</f>
        <v/>
      </c>
      <c r="AC113" s="49">
        <f>VLOOKUP(B113,country_opex,7,FALSE)*ins_pct</f>
        <v/>
      </c>
      <c r="AD113" s="49">
        <f>charge_berth</f>
        <v/>
      </c>
      <c r="AE113" s="49">
        <f>Y113+Z113+AA113+AB113+AC113+AD113</f>
        <v/>
      </c>
      <c r="AF113" s="49">
        <f>VLOOKUP(B113,country_opex,7,FALSE)/dep_years</f>
        <v/>
      </c>
      <c r="AG113" s="49">
        <f>X113-AE113</f>
        <v/>
      </c>
      <c r="AH113" s="46">
        <f>IF(X113=0,"",AG113/X113)</f>
        <v/>
      </c>
      <c r="AI113" s="47">
        <f>IF(AG113&lt;=0,"",VLOOKUP(B113,country_opex,7,FALSE)/AG113)</f>
        <v/>
      </c>
      <c r="AJ113" s="44">
        <f>((G113*S113/diesel_nmpg)*diesel_co2pg-(battery/range_nm)*G113*S113*VLOOKUP(B113,country_opex,4,FALSE))/1000</f>
        <v/>
      </c>
      <c r="AK113" s="42" t="n"/>
      <c r="AL113" s="43" t="inlineStr">
        <is>
          <t>T5</t>
        </is>
      </c>
      <c r="AM113" s="43" t="inlineStr">
        <is>
          <t>low</t>
        </is>
      </c>
      <c r="AN113" s="50" t="n">
        <v>0.1</v>
      </c>
      <c r="AO113" s="45">
        <f>IF(AK113="","",AK113*AN113)</f>
        <v/>
      </c>
      <c r="AP113" s="45">
        <f>IF(OR(AK113="",V113=0),"",MIN(IF(AX113="",9.9E+99,AX113),FLOOR(AO113/V113,1)))</f>
        <v/>
      </c>
      <c r="AQ113" s="49">
        <f>IF(AP113="","",AP113*IF(ABS(MOD(ABS((X113)),1)-0.5)&lt;1E-9,2*ROUND((X113)/2,0),ROUND((X113),0)))</f>
        <v/>
      </c>
      <c r="AR113" s="47">
        <f>IF(OR(AK113="",V113=0),"",MIN(IF(AX113="",9.9E+99,AX113),AO113/V113))</f>
        <v/>
      </c>
      <c r="AS113" s="49">
        <f>IF(AR113="","",AR113*IF(B113="South Korea",IF(ABS(MOD(ABS((X113)),1)-0.5)&lt;1E-9,2*ROUND((X113)/2,0),ROUND((X113),0)),X113))</f>
        <v/>
      </c>
      <c r="AT113" s="51" t="n"/>
      <c r="AU113" s="43" t="inlineStr">
        <is>
          <t>Upside tier</t>
        </is>
      </c>
      <c r="AV113" s="52" t="n"/>
      <c r="AW113" s="52" t="inlineStr">
        <is>
          <t>modal_shift_greenfield</t>
        </is>
      </c>
      <c r="AX113" s="53" t="n"/>
      <c r="AY113" s="54">
        <f>IF(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&lt;=0,"",VLOOKUP(B113,country_opex,7,FALSE)/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)</f>
        <v/>
      </c>
      <c r="AZ113" s="54">
        <f>IF(((W113*pax_cap*IF(B113="South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Korea",korea_mid_revleg,revleg_mid)),0))*VLOOKUP(B113,country_opex,3,FALSE))+Z113+AA113+AB113+AC113+AD113))&lt;=0,"",VLOOKUP(B113,country_opex,7,FALSE)/((W113*pax_cap*IF(B113="South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Korea",korea_mid_revleg,revleg_mid)),0))*VLOOKUP(B113,country_opex,3,FALSE))+Z113+AA113+AB113+AC113+AD113)))</f>
        <v/>
      </c>
      <c r="BA113" s="54">
        <f>IF(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&lt;=0,"",VLOOKUP(B113,country_opex,7,FALSE)/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)</f>
        <v/>
      </c>
      <c r="BB113" s="40" t="inlineStr">
        <is>
          <t>Kept from prior registry = $110/seat (historic fast-ferry premium fare level / cross-gulf premium tier). FLAG: legacy/aspirational - no active service.</t>
        </is>
      </c>
      <c r="BC113" s="40" t="inlineStr">
        <is>
          <t>tourism</t>
        </is>
      </c>
      <c r="BD113" s="43" t="inlineStr">
        <is>
          <t>gcn-73d7e2f19c-bolt</t>
        </is>
      </c>
    </row>
    <row r="114">
      <c r="A114" s="38" t="inlineStr">
        <is>
          <t>Bolt Estonia</t>
        </is>
      </c>
      <c r="B114" s="38" t="inlineStr">
        <is>
          <t>Estonia</t>
        </is>
      </c>
      <c r="C114" s="39" t="inlineStr">
        <is>
          <t>Tallinn Old City Harbour → Pirita Marina</t>
        </is>
      </c>
      <c r="D114" s="38" t="inlineStr">
        <is>
          <t>bolt</t>
        </is>
      </c>
      <c r="E114" s="40" t="inlineStr">
        <is>
          <t>bolt-estonia</t>
        </is>
      </c>
      <c r="F114" s="41" t="n">
        <v>1</v>
      </c>
      <c r="G114" s="42" t="n">
        <v>4.5</v>
      </c>
      <c r="H114" s="35" t="n"/>
      <c r="I114" s="43" t="inlineStr">
        <is>
          <t>T5</t>
        </is>
      </c>
      <c r="J114" s="43" t="inlineStr">
        <is>
          <t>low</t>
        </is>
      </c>
      <c r="K114" s="29" t="n">
        <v>1</v>
      </c>
      <c r="L114" s="44">
        <f>60*G114/cruise_kt</f>
        <v/>
      </c>
      <c r="M114" s="44">
        <f>IF(B114="South Korea",G114/korea_charge_range_nm*korea_full_range_charge_min,0)</f>
        <v/>
      </c>
      <c r="N114" s="44">
        <f>IF(B114="South Korea",L114+korea_turn_min+korea_dwell_min+M114,L114+turn_min+dwell_min)</f>
        <v/>
      </c>
      <c r="O114" s="45">
        <f>IF(B114="South Korea",FLOOR(60*korea_service_hr/N114,1),MIN(24,FLOOR(60*service_hr/N114,1)))</f>
        <v/>
      </c>
      <c r="P114" s="45">
        <f>IF(ABS(MOD(ABS((365*mech_uptime*K114)),1)-0.5)&lt;1E-9,2*ROUND((365*mech_uptime*K114)/2,0),ROUND((365*mech_uptime*K114),0))</f>
        <v/>
      </c>
      <c r="Q114" s="46">
        <f>mech_uptime</f>
        <v/>
      </c>
      <c r="R114" s="46">
        <f>IF(AND(B114="South Korea",scenario="MID"),korea_mid_revleg,revleg_sel)</f>
        <v/>
      </c>
      <c r="S114" s="45">
        <f>IF(ABS(MOD(ABS((O114*P114*R114)),1)-0.5)&lt;1E-9,2*ROUND((O114*P114*R114)/2,0),ROUND((O114*P114*R114),0))</f>
        <v/>
      </c>
      <c r="T114" s="46">
        <f>IF(AND(B114="South Korea",scenario="MID"),korea_mid_load,load_sel)</f>
        <v/>
      </c>
      <c r="U114" s="47">
        <f>pax_cap*T114</f>
        <v/>
      </c>
      <c r="V114" s="45">
        <f>U114*S114</f>
        <v/>
      </c>
      <c r="W114" s="48">
        <f>H114*discount</f>
        <v/>
      </c>
      <c r="X114" s="49">
        <f>W114*V114</f>
        <v/>
      </c>
      <c r="Y114" s="49">
        <f>(battery/range_nm)*G114*S114*VLOOKUP(B114,country_opex,3,FALSE)</f>
        <v/>
      </c>
      <c r="Z114" s="49">
        <f>VLOOKUP(B114,country_opex,2,FALSE)*crew_factor</f>
        <v/>
      </c>
      <c r="AA114" s="49">
        <f>VLOOKUP(B114,country_opex,5,FALSE)</f>
        <v/>
      </c>
      <c r="AB114" s="49">
        <f>maint</f>
        <v/>
      </c>
      <c r="AC114" s="49">
        <f>VLOOKUP(B114,country_opex,7,FALSE)*ins_pct</f>
        <v/>
      </c>
      <c r="AD114" s="49">
        <f>charge_berth</f>
        <v/>
      </c>
      <c r="AE114" s="49">
        <f>Y114+Z114+AA114+AB114+AC114+AD114</f>
        <v/>
      </c>
      <c r="AF114" s="49">
        <f>VLOOKUP(B114,country_opex,7,FALSE)/dep_years</f>
        <v/>
      </c>
      <c r="AG114" s="49">
        <f>X114-AE114</f>
        <v/>
      </c>
      <c r="AH114" s="46">
        <f>IF(X114=0,"",AG114/X114)</f>
        <v/>
      </c>
      <c r="AI114" s="47">
        <f>IF(AG114&lt;=0,"",VLOOKUP(B114,country_opex,7,FALSE)/AG114)</f>
        <v/>
      </c>
      <c r="AJ114" s="44">
        <f>((G114*S114/diesel_nmpg)*diesel_co2pg-(battery/range_nm)*G114*S114*VLOOKUP(B114,country_opex,4,FALSE))/1000</f>
        <v/>
      </c>
      <c r="AK114" s="42" t="n"/>
      <c r="AL114" s="43" t="inlineStr">
        <is>
          <t>T5</t>
        </is>
      </c>
      <c r="AM114" s="43" t="inlineStr">
        <is>
          <t>low</t>
        </is>
      </c>
      <c r="AN114" s="50" t="n">
        <v>0.1</v>
      </c>
      <c r="AO114" s="45">
        <f>IF(AK114="","",AK114*AN114)</f>
        <v/>
      </c>
      <c r="AP114" s="45">
        <f>IF(OR(AK114="",V114=0),"",MIN(IF(AX114="",9.9E+99,AX114),FLOOR(AO114/V114,1)))</f>
        <v/>
      </c>
      <c r="AQ114" s="49">
        <f>IF(AP114="","",AP114*IF(ABS(MOD(ABS((X114)),1)-0.5)&lt;1E-9,2*ROUND((X114)/2,0),ROUND((X114),0)))</f>
        <v/>
      </c>
      <c r="AR114" s="47">
        <f>IF(OR(AK114="",V114=0),"",MIN(IF(AX114="",9.9E+99,AX114),AO114/V114))</f>
        <v/>
      </c>
      <c r="AS114" s="49">
        <f>IF(AR114="","",AR114*IF(B114="South Korea",IF(ABS(MOD(ABS((X114)),1)-0.5)&lt;1E-9,2*ROUND((X114)/2,0),ROUND((X114),0)),X114))</f>
        <v/>
      </c>
      <c r="AT114" s="51" t="n"/>
      <c r="AU114" s="43" t="inlineStr">
        <is>
          <t>Estimated</t>
        </is>
      </c>
      <c r="AV114" s="52" t="n"/>
      <c r="AW114" s="52" t="n"/>
      <c r="AX114" s="53" t="n"/>
      <c r="AY114" s="54">
        <f>IF(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&lt;=0,"",VLOOKUP(B114,country_opex,7,FALSE)/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)</f>
        <v/>
      </c>
      <c r="AZ114" s="54">
        <f>IF(((W114*pax_cap*IF(B114="South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Korea",korea_mid_revleg,revleg_mid)),0))*VLOOKUP(B114,country_opex,3,FALSE))+Z114+AA114+AB114+AC114+AD114))&lt;=0,"",VLOOKUP(B114,country_opex,7,FALSE)/((W114*pax_cap*IF(B114="South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Korea",korea_mid_revleg,revleg_mid)),0))*VLOOKUP(B114,country_opex,3,FALSE))+Z114+AA114+AB114+AC114+AD114)))</f>
        <v/>
      </c>
      <c r="BA114" s="54">
        <f>IF(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&lt;=0,"",VLOOKUP(B114,country_opex,7,FALSE)/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)</f>
        <v/>
      </c>
      <c r="BB114" s="40" t="inlineStr">
        <is>
          <t>TBD — Tier-B headline placeholder</t>
        </is>
      </c>
      <c r="BC114" s="40" t="inlineStr">
        <is>
          <t>TBD — Tier-B headline placeholder</t>
        </is>
      </c>
      <c r="BD114" s="43" t="n"/>
    </row>
    <row r="115">
      <c r="A115" s="38" t="inlineStr">
        <is>
          <t>Bolt Estonia</t>
        </is>
      </c>
      <c r="B115" s="38" t="inlineStr">
        <is>
          <t>Estonia</t>
        </is>
      </c>
      <c r="C115" s="39" t="inlineStr">
        <is>
          <t>Tallinn → Prangli</t>
        </is>
      </c>
      <c r="D115" s="38" t="inlineStr">
        <is>
          <t>bolt</t>
        </is>
      </c>
      <c r="E115" s="40" t="inlineStr">
        <is>
          <t>bolt-estonia</t>
        </is>
      </c>
      <c r="F115" s="41" t="n">
        <v>1</v>
      </c>
      <c r="G115" s="42" t="n">
        <v>5</v>
      </c>
      <c r="H115" s="35" t="n">
        <v>6.5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IF(B115="South Korea",G115/korea_charge_range_nm*korea_full_range_charge_min,0)</f>
        <v/>
      </c>
      <c r="N115" s="44">
        <f>IF(B115="South Korea",L115+korea_turn_min+korea_dwell_min+M115,L115+turn_min+dwell_min)</f>
        <v/>
      </c>
      <c r="O115" s="45">
        <f>IF(B115="South Korea",FLOOR(60*korea_service_hr/N115,1),MIN(15,FLOOR(60*service_hr/N115,1)))</f>
        <v/>
      </c>
      <c r="P115" s="45">
        <f>IF(ABS(MOD(ABS((365*mech_uptime*K115)),1)-0.5)&lt;1E-9,2*ROUND((365*mech_uptime*K115)/2,0),ROUND((365*mech_uptime*K115),0))</f>
        <v/>
      </c>
      <c r="Q115" s="46">
        <f>mech_uptime</f>
        <v/>
      </c>
      <c r="R115" s="46">
        <f>IF(AND(B115="South Korea",scenario="MID"),korea_mid_revleg,revleg_sel)</f>
        <v/>
      </c>
      <c r="S115" s="45">
        <f>IF(ABS(MOD(ABS((O115*P115*R115)),1)-0.5)&lt;1E-9,2*ROUND((O115*P115*R115)/2,0),ROUND((O115*P115*R115),0))</f>
        <v/>
      </c>
      <c r="T115" s="46">
        <f>IF(AND(B115="South Korea",scenario="MID"),korea_mid_load,load_sel)</f>
        <v/>
      </c>
      <c r="U115" s="47">
        <f>pax_cap*T115</f>
        <v/>
      </c>
      <c r="V115" s="45">
        <f>U115*S115</f>
        <v/>
      </c>
      <c r="W115" s="48">
        <f>H115*discount</f>
        <v/>
      </c>
      <c r="X115" s="49">
        <f>W115*V115</f>
        <v/>
      </c>
      <c r="Y115" s="49">
        <f>(battery/range_nm)*G115*S115*VLOOKUP(B115,country_opex,3,FALSE)</f>
        <v/>
      </c>
      <c r="Z115" s="49">
        <f>VLOOKUP(B115,country_opex,2,FALSE)*crew_factor</f>
        <v/>
      </c>
      <c r="AA115" s="49">
        <f>VLOOKUP(B115,country_opex,5,FALSE)</f>
        <v/>
      </c>
      <c r="AB115" s="49">
        <f>maint</f>
        <v/>
      </c>
      <c r="AC115" s="49">
        <f>VLOOKUP(B115,country_opex,7,FALSE)*ins_pct</f>
        <v/>
      </c>
      <c r="AD115" s="49">
        <f>charge_berth</f>
        <v/>
      </c>
      <c r="AE115" s="49">
        <f>Y115+Z115+AA115+AB115+AC115+AD115</f>
        <v/>
      </c>
      <c r="AF115" s="49">
        <f>VLOOKUP(B115,country_opex,7,FALSE)/dep_years</f>
        <v/>
      </c>
      <c r="AG115" s="49">
        <f>X115-AE115</f>
        <v/>
      </c>
      <c r="AH115" s="46">
        <f>IF(X115=0,"",AG115/X115)</f>
        <v/>
      </c>
      <c r="AI115" s="47">
        <f>IF(AG115&lt;=0,"",VLOOKUP(B115,country_opex,7,FALSE)/AG115)</f>
        <v/>
      </c>
      <c r="AJ115" s="44">
        <f>((G115*S115/diesel_nmpg)*diesel_co2pg-(battery/range_nm)*G115*S115*VLOOKUP(B115,country_opex,4,FALSE))/1000</f>
        <v/>
      </c>
      <c r="AK115" s="42" t="n">
        <v>4500</v>
      </c>
      <c r="AL115" s="43" t="n"/>
      <c r="AM115" s="43" t="inlineStr">
        <is>
          <t>med</t>
        </is>
      </c>
      <c r="AN115" s="50" t="n">
        <v>0.25</v>
      </c>
      <c r="AO115" s="45">
        <f>IF(AK115="","",AK115*AN115)</f>
        <v/>
      </c>
      <c r="AP115" s="45">
        <f>IF(OR(AK115="",V115=0),"",MIN(IF(AX115="",9.9E+99,AX115),FLOOR(AO115/V115,1)))</f>
        <v/>
      </c>
      <c r="AQ115" s="49">
        <f>IF(AP115="","",AP115*IF(ABS(MOD(ABS((X115)),1)-0.5)&lt;1E-9,2*ROUND((X115)/2,0),ROUND((X115),0)))</f>
        <v/>
      </c>
      <c r="AR115" s="47">
        <f>IF(OR(AK115="",V115=0),"",MIN(IF(AX115="",9.9E+99,AX115),AO115/V115))</f>
        <v/>
      </c>
      <c r="AS115" s="49">
        <f>IF(AR115="","",AR115*IF(B115="South Korea",IF(ABS(MOD(ABS((X115)),1)-0.5)&lt;1E-9,2*ROUND((X115)/2,0),ROUND((X115),0)),X115))</f>
        <v/>
      </c>
      <c r="AT115" s="51" t="n"/>
      <c r="AU115" s="43" t="inlineStr">
        <is>
          <t>Estimated</t>
        </is>
      </c>
      <c r="AV115" s="52" t="n"/>
      <c r="AW115" s="52" t="n"/>
      <c r="AX115" s="53" t="n"/>
      <c r="AY115" s="54">
        <f>IF(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&lt;=0,"",VLOOKUP(B115,country_opex,7,FALSE)/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)</f>
        <v/>
      </c>
      <c r="AZ115" s="54">
        <f>IF(((W115*pax_cap*IF(B115="South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Korea",korea_mid_revleg,revleg_mid)),0))*VLOOKUP(B115,country_opex,3,FALSE))+Z115+AA115+AB115+AC115+AD115))&lt;=0,"",VLOOKUP(B115,country_opex,7,FALSE)/((W115*pax_cap*IF(B115="South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Korea",korea_mid_revleg,revleg_mid)),0))*VLOOKUP(B115,country_opex,3,FALSE))+Z115+AA115+AB115+AC115+AD115)))</f>
        <v/>
      </c>
      <c r="BA115" s="54">
        <f>IF(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&lt;=0,"",VLOOKUP(B115,country_opex,7,FALSE)/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)</f>
        <v/>
      </c>
      <c r="BB115" s="40" t="inlineStr">
        <is>
          <t>Wrango ferry Leppneeme&lt;-&gt;Kelnase adult EUR 6 one-way (Viimsi municipality). EUR 6 x 1.08 = $6.5.</t>
        </is>
      </c>
      <c r="BC115" s="40" t="n"/>
      <c r="BD115" s="43" t="n"/>
    </row>
    <row r="116">
      <c r="A116" s="38" t="inlineStr">
        <is>
          <t>Bolt Estonia</t>
        </is>
      </c>
      <c r="B116" s="38" t="inlineStr">
        <is>
          <t>Estonia</t>
        </is>
      </c>
      <c r="C116" s="39" t="inlineStr">
        <is>
          <t>Tallinn → Viimsi</t>
        </is>
      </c>
      <c r="D116" s="38" t="inlineStr">
        <is>
          <t>bolt</t>
        </is>
      </c>
      <c r="E116" s="40" t="inlineStr">
        <is>
          <t>bolt-estonia</t>
        </is>
      </c>
      <c r="F116" s="41" t="n">
        <v>1</v>
      </c>
      <c r="G116" s="42" t="n">
        <v>5</v>
      </c>
      <c r="H116" s="35" t="n"/>
      <c r="I116" s="43" t="n"/>
      <c r="J116" s="43" t="n"/>
      <c r="K116" s="29" t="n">
        <v>1</v>
      </c>
      <c r="L116" s="44">
        <f>60*G116/cruise_kt</f>
        <v/>
      </c>
      <c r="M116" s="44">
        <f>IF(B116="South Korea",G116/korea_charge_range_nm*korea_full_range_charge_min,0)</f>
        <v/>
      </c>
      <c r="N116" s="44">
        <f>IF(B116="South Korea",L116+korea_turn_min+korea_dwell_min+M116,L116+turn_min+dwell_min)</f>
        <v/>
      </c>
      <c r="O116" s="45">
        <f>IF(B116="South Korea",FLOOR(60*korea_service_hr/N116,1),MIN(24,FLOOR(60*service_hr/N116,1)))</f>
        <v/>
      </c>
      <c r="P116" s="45">
        <f>IF(ABS(MOD(ABS((365*mech_uptime*K116)),1)-0.5)&lt;1E-9,2*ROUND((365*mech_uptime*K116)/2,0),ROUND((365*mech_uptime*K116),0))</f>
        <v/>
      </c>
      <c r="Q116" s="46">
        <f>mech_uptime</f>
        <v/>
      </c>
      <c r="R116" s="46">
        <f>IF(AND(B116="South Korea",scenario="MID"),korea_mid_revleg,revleg_sel)</f>
        <v/>
      </c>
      <c r="S116" s="45">
        <f>IF(ABS(MOD(ABS((O116*P116*R116)),1)-0.5)&lt;1E-9,2*ROUND((O116*P116*R116)/2,0),ROUND((O116*P116*R116),0))</f>
        <v/>
      </c>
      <c r="T116" s="46">
        <f>IF(AND(B116="South Korea",scenario="MID"),korea_mid_load,load_sel)</f>
        <v/>
      </c>
      <c r="U116" s="47">
        <f>pax_cap*T116</f>
        <v/>
      </c>
      <c r="V116" s="45">
        <f>U116*S116</f>
        <v/>
      </c>
      <c r="W116" s="48">
        <f>H116*discount</f>
        <v/>
      </c>
      <c r="X116" s="49">
        <f>W116*V116</f>
        <v/>
      </c>
      <c r="Y116" s="49">
        <f>(battery/range_nm)*G116*S116*VLOOKUP(B116,country_opex,3,FALSE)</f>
        <v/>
      </c>
      <c r="Z116" s="49">
        <f>VLOOKUP(B116,country_opex,2,FALSE)*crew_factor</f>
        <v/>
      </c>
      <c r="AA116" s="49">
        <f>VLOOKUP(B116,country_opex,5,FALSE)</f>
        <v/>
      </c>
      <c r="AB116" s="49">
        <f>maint</f>
        <v/>
      </c>
      <c r="AC116" s="49">
        <f>VLOOKUP(B116,country_opex,7,FALSE)*ins_pct</f>
        <v/>
      </c>
      <c r="AD116" s="49">
        <f>charge_berth</f>
        <v/>
      </c>
      <c r="AE116" s="49">
        <f>Y116+Z116+AA116+AB116+AC116+AD116</f>
        <v/>
      </c>
      <c r="AF116" s="49">
        <f>VLOOKUP(B116,country_opex,7,FALSE)/dep_years</f>
        <v/>
      </c>
      <c r="AG116" s="49">
        <f>X116-AE116</f>
        <v/>
      </c>
      <c r="AH116" s="46">
        <f>IF(X116=0,"",AG116/X116)</f>
        <v/>
      </c>
      <c r="AI116" s="47">
        <f>IF(AG116&lt;=0,"",VLOOKUP(B116,country_opex,7,FALSE)/AG116)</f>
        <v/>
      </c>
      <c r="AJ116" s="44">
        <f>((G116*S116/diesel_nmpg)*diesel_co2pg-(battery/range_nm)*G116*S116*VLOOKUP(B116,country_opex,4,FALSE))/1000</f>
        <v/>
      </c>
      <c r="AK116" s="42" t="n"/>
      <c r="AL116" s="43" t="n"/>
      <c r="AM116" s="43" t="n"/>
      <c r="AN116" s="50" t="n">
        <v>0.1</v>
      </c>
      <c r="AO116" s="45">
        <f>IF(AK116="","",AK116*AN116)</f>
        <v/>
      </c>
      <c r="AP116" s="45">
        <f>IF(OR(AK116="",V116=0),"",MIN(IF(AX116="",9.9E+99,AX116),FLOOR(AO116/V116,1)))</f>
        <v/>
      </c>
      <c r="AQ116" s="49">
        <f>IF(AP116="","",AP116*IF(ABS(MOD(ABS((X116)),1)-0.5)&lt;1E-9,2*ROUND((X116)/2,0),ROUND((X116),0)))</f>
        <v/>
      </c>
      <c r="AR116" s="47">
        <f>IF(OR(AK116="",V116=0),"",MIN(IF(AX116="",9.9E+99,AX116),AO116/V116))</f>
        <v/>
      </c>
      <c r="AS116" s="49">
        <f>IF(AR116="","",AR116*IF(B116="South Korea",IF(ABS(MOD(ABS((X116)),1)-0.5)&lt;1E-9,2*ROUND((X116)/2,0),ROUND((X116),0)),X116))</f>
        <v/>
      </c>
      <c r="AT116" s="51" t="n"/>
      <c r="AU116" s="43" t="inlineStr">
        <is>
          <t>Estimated</t>
        </is>
      </c>
      <c r="AV116" s="52" t="n"/>
      <c r="AW116" s="52" t="n"/>
      <c r="AX116" s="53" t="n"/>
      <c r="AY116" s="54">
        <f>IF(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&lt;=0,"",VLOOKUP(B116,country_opex,7,FALSE)/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)</f>
        <v/>
      </c>
      <c r="AZ116" s="54">
        <f>IF(((W116*pax_cap*IF(B116="South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Korea",korea_mid_revleg,revleg_mid)),0))*VLOOKUP(B116,country_opex,3,FALSE))+Z116+AA116+AB116+AC116+AD116))&lt;=0,"",VLOOKUP(B116,country_opex,7,FALSE)/((W116*pax_cap*IF(B116="South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Korea",korea_mid_revleg,revleg_mid)),0))*VLOOKUP(B116,country_opex,3,FALSE))+Z116+AA116+AB116+AC116+AD116)))</f>
        <v/>
      </c>
      <c r="BA116" s="54">
        <f>IF(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&lt;=0,"",VLOOKUP(B116,country_opex,7,FALSE)/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)</f>
        <v/>
      </c>
      <c r="BB116" s="40" t="n"/>
      <c r="BC116" s="40" t="n"/>
      <c r="BD116" s="43" t="n"/>
    </row>
    <row r="117">
      <c r="A117" s="38" t="inlineStr">
        <is>
          <t>Bolt Estonia</t>
        </is>
      </c>
      <c r="B117" s="38" t="inlineStr">
        <is>
          <t>Estonia</t>
        </is>
      </c>
      <c r="C117" s="39" t="inlineStr">
        <is>
          <t>Tallinn → Kakumäe</t>
        </is>
      </c>
      <c r="D117" s="38" t="inlineStr">
        <is>
          <t>bolt</t>
        </is>
      </c>
      <c r="E117" s="40" t="inlineStr">
        <is>
          <t>bolt-estonia</t>
        </is>
      </c>
      <c r="F117" s="41" t="n">
        <v>1</v>
      </c>
      <c r="G117" s="42" t="n">
        <v>6</v>
      </c>
      <c r="H117" s="35" t="n"/>
      <c r="I117" s="43" t="n"/>
      <c r="J117" s="43" t="n"/>
      <c r="K117" s="29" t="n">
        <v>1</v>
      </c>
      <c r="L117" s="44">
        <f>60*G117/cruise_kt</f>
        <v/>
      </c>
      <c r="M117" s="44">
        <f>IF(B117="South Korea",G117/korea_charge_range_nm*korea_full_range_charge_min,0)</f>
        <v/>
      </c>
      <c r="N117" s="44">
        <f>IF(B117="South Korea",L117+korea_turn_min+korea_dwell_min+M117,L117+turn_min+dwell_min)</f>
        <v/>
      </c>
      <c r="O117" s="45">
        <f>IF(B117="South Korea",FLOOR(60*korea_service_hr/N117,1),MIN(24,FLOOR(60*service_hr/N117,1)))</f>
        <v/>
      </c>
      <c r="P117" s="45">
        <f>IF(ABS(MOD(ABS((365*mech_uptime*K117)),1)-0.5)&lt;1E-9,2*ROUND((365*mech_uptime*K117)/2,0),ROUND((365*mech_uptime*K117),0))</f>
        <v/>
      </c>
      <c r="Q117" s="46">
        <f>mech_uptime</f>
        <v/>
      </c>
      <c r="R117" s="46">
        <f>IF(AND(B117="South Korea",scenario="MID"),korea_mid_revleg,revleg_sel)</f>
        <v/>
      </c>
      <c r="S117" s="45">
        <f>IF(ABS(MOD(ABS((O117*P117*R117)),1)-0.5)&lt;1E-9,2*ROUND((O117*P117*R117)/2,0),ROUND((O117*P117*R117),0))</f>
        <v/>
      </c>
      <c r="T117" s="46">
        <f>IF(AND(B117="South Korea",scenario="MID"),korea_mid_load,load_sel)</f>
        <v/>
      </c>
      <c r="U117" s="47">
        <f>pax_cap*T117</f>
        <v/>
      </c>
      <c r="V117" s="45">
        <f>U117*S117</f>
        <v/>
      </c>
      <c r="W117" s="48">
        <f>H117*discount</f>
        <v/>
      </c>
      <c r="X117" s="49">
        <f>W117*V117</f>
        <v/>
      </c>
      <c r="Y117" s="49">
        <f>(battery/range_nm)*G117*S117*VLOOKUP(B117,country_opex,3,FALSE)</f>
        <v/>
      </c>
      <c r="Z117" s="49">
        <f>VLOOKUP(B117,country_opex,2,FALSE)*crew_factor</f>
        <v/>
      </c>
      <c r="AA117" s="49">
        <f>VLOOKUP(B117,country_opex,5,FALSE)</f>
        <v/>
      </c>
      <c r="AB117" s="49">
        <f>maint</f>
        <v/>
      </c>
      <c r="AC117" s="49">
        <f>VLOOKUP(B117,country_opex,7,FALSE)*ins_pct</f>
        <v/>
      </c>
      <c r="AD117" s="49">
        <f>charge_berth</f>
        <v/>
      </c>
      <c r="AE117" s="49">
        <f>Y117+Z117+AA117+AB117+AC117+AD117</f>
        <v/>
      </c>
      <c r="AF117" s="49">
        <f>VLOOKUP(B117,country_opex,7,FALSE)/dep_years</f>
        <v/>
      </c>
      <c r="AG117" s="49">
        <f>X117-AE117</f>
        <v/>
      </c>
      <c r="AH117" s="46">
        <f>IF(X117=0,"",AG117/X117)</f>
        <v/>
      </c>
      <c r="AI117" s="47">
        <f>IF(AG117&lt;=0,"",VLOOKUP(B117,country_opex,7,FALSE)/AG117)</f>
        <v/>
      </c>
      <c r="AJ117" s="44">
        <f>((G117*S117/diesel_nmpg)*diesel_co2pg-(battery/range_nm)*G117*S117*VLOOKUP(B117,country_opex,4,FALSE))/1000</f>
        <v/>
      </c>
      <c r="AK117" s="42" t="n"/>
      <c r="AL117" s="43" t="n"/>
      <c r="AM117" s="43" t="n"/>
      <c r="AN117" s="50" t="n">
        <v>0.1</v>
      </c>
      <c r="AO117" s="45">
        <f>IF(AK117="","",AK117*AN117)</f>
        <v/>
      </c>
      <c r="AP117" s="45">
        <f>IF(OR(AK117="",V117=0),"",MIN(IF(AX117="",9.9E+99,AX117),FLOOR(AO117/V117,1)))</f>
        <v/>
      </c>
      <c r="AQ117" s="49">
        <f>IF(AP117="","",AP117*IF(ABS(MOD(ABS((X117)),1)-0.5)&lt;1E-9,2*ROUND((X117)/2,0),ROUND((X117),0)))</f>
        <v/>
      </c>
      <c r="AR117" s="47">
        <f>IF(OR(AK117="",V117=0),"",MIN(IF(AX117="",9.9E+99,AX117),AO117/V117))</f>
        <v/>
      </c>
      <c r="AS117" s="49">
        <f>IF(AR117="","",AR117*IF(B117="South Korea",IF(ABS(MOD(ABS((X117)),1)-0.5)&lt;1E-9,2*ROUND((X117)/2,0),ROUND((X117),0)),X117))</f>
        <v/>
      </c>
      <c r="AT117" s="51" t="n"/>
      <c r="AU117" s="43" t="inlineStr">
        <is>
          <t>Estimated</t>
        </is>
      </c>
      <c r="AV117" s="52" t="n"/>
      <c r="AW117" s="52" t="n"/>
      <c r="AX117" s="53" t="n"/>
      <c r="AY117" s="54">
        <f>IF(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&lt;=0,"",VLOOKUP(B117,country_opex,7,FALSE)/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)</f>
        <v/>
      </c>
      <c r="AZ117" s="54">
        <f>IF(((W117*pax_cap*IF(B117="South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Korea",korea_mid_revleg,revleg_mid)),0))*VLOOKUP(B117,country_opex,3,FALSE))+Z117+AA117+AB117+AC117+AD117))&lt;=0,"",VLOOKUP(B117,country_opex,7,FALSE)/((W117*pax_cap*IF(B117="South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Korea",korea_mid_revleg,revleg_mid)),0))*VLOOKUP(B117,country_opex,3,FALSE))+Z117+AA117+AB117+AC117+AD117)))</f>
        <v/>
      </c>
      <c r="BA117" s="54">
        <f>IF(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&lt;=0,"",VLOOKUP(B117,country_opex,7,FALSE)/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)</f>
        <v/>
      </c>
      <c r="BB117" s="40" t="n"/>
      <c r="BC117" s="40" t="n"/>
      <c r="BD117" s="43" t="n"/>
    </row>
    <row r="118">
      <c r="A118" s="38" t="inlineStr">
        <is>
          <t>Bolt Estonia</t>
        </is>
      </c>
      <c r="B118" s="38" t="inlineStr">
        <is>
          <t>Estonia</t>
        </is>
      </c>
      <c r="C118" s="39" t="inlineStr">
        <is>
          <t>Tallinn → Aegna</t>
        </is>
      </c>
      <c r="D118" s="38" t="inlineStr">
        <is>
          <t>bolt</t>
        </is>
      </c>
      <c r="E118" s="40" t="inlineStr">
        <is>
          <t>bolt-estonia</t>
        </is>
      </c>
      <c r="F118" s="41" t="n">
        <v>1</v>
      </c>
      <c r="G118" s="42" t="n">
        <v>7</v>
      </c>
      <c r="H118" s="35" t="n">
        <v>6.5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IF(B118="South Korea",G118/korea_charge_range_nm*korea_full_range_charge_min,0)</f>
        <v/>
      </c>
      <c r="N118" s="44">
        <f>IF(B118="South Korea",L118+korea_turn_min+korea_dwell_min+M118,L118+turn_min+dwell_min)</f>
        <v/>
      </c>
      <c r="O118" s="45">
        <f>IF(B118="South Korea",FLOOR(60*korea_service_hr/N118,1),MIN(15,FLOOR(60*service_hr/N118,1)))</f>
        <v/>
      </c>
      <c r="P118" s="45">
        <f>IF(ABS(MOD(ABS((365*mech_uptime*K118)),1)-0.5)&lt;1E-9,2*ROUND((365*mech_uptime*K118)/2,0),ROUND((365*mech_uptime*K118),0))</f>
        <v/>
      </c>
      <c r="Q118" s="46">
        <f>mech_uptime</f>
        <v/>
      </c>
      <c r="R118" s="46">
        <f>IF(AND(B118="South Korea",scenario="MID"),korea_mid_revleg,revleg_sel)</f>
        <v/>
      </c>
      <c r="S118" s="45">
        <f>IF(ABS(MOD(ABS((O118*P118*R118)),1)-0.5)&lt;1E-9,2*ROUND((O118*P118*R118)/2,0),ROUND((O118*P118*R118),0))</f>
        <v/>
      </c>
      <c r="T118" s="46">
        <f>IF(AND(B118="South Korea",scenario="MID"),korea_mid_load,load_sel)</f>
        <v/>
      </c>
      <c r="U118" s="47">
        <f>pax_cap*T118</f>
        <v/>
      </c>
      <c r="V118" s="45">
        <f>U118*S118</f>
        <v/>
      </c>
      <c r="W118" s="48">
        <f>H118*discount</f>
        <v/>
      </c>
      <c r="X118" s="49">
        <f>W118*V118</f>
        <v/>
      </c>
      <c r="Y118" s="49">
        <f>(battery/range_nm)*G118*S118*VLOOKUP(B118,country_opex,3,FALSE)</f>
        <v/>
      </c>
      <c r="Z118" s="49">
        <f>VLOOKUP(B118,country_opex,2,FALSE)*crew_factor</f>
        <v/>
      </c>
      <c r="AA118" s="49">
        <f>VLOOKUP(B118,country_opex,5,FALSE)</f>
        <v/>
      </c>
      <c r="AB118" s="49">
        <f>maint</f>
        <v/>
      </c>
      <c r="AC118" s="49">
        <f>VLOOKUP(B118,country_opex,7,FALSE)*ins_pct</f>
        <v/>
      </c>
      <c r="AD118" s="49">
        <f>charge_berth</f>
        <v/>
      </c>
      <c r="AE118" s="49">
        <f>Y118+Z118+AA118+AB118+AC118+AD118</f>
        <v/>
      </c>
      <c r="AF118" s="49">
        <f>VLOOKUP(B118,country_opex,7,FALSE)/dep_years</f>
        <v/>
      </c>
      <c r="AG118" s="49">
        <f>X118-AE118</f>
        <v/>
      </c>
      <c r="AH118" s="46">
        <f>IF(X118=0,"",AG118/X118)</f>
        <v/>
      </c>
      <c r="AI118" s="47">
        <f>IF(AG118&lt;=0,"",VLOOKUP(B118,country_opex,7,FALSE)/AG118)</f>
        <v/>
      </c>
      <c r="AJ118" s="44">
        <f>((G118*S118/diesel_nmpg)*diesel_co2pg-(battery/range_nm)*G118*S118*VLOOKUP(B118,country_opex,4,FALSE))/1000</f>
        <v/>
      </c>
      <c r="AK118" s="42" t="n">
        <v>3300</v>
      </c>
      <c r="AL118" s="43" t="n"/>
      <c r="AM118" s="43" t="inlineStr">
        <is>
          <t>med</t>
        </is>
      </c>
      <c r="AN118" s="50" t="n">
        <v>0.25</v>
      </c>
      <c r="AO118" s="45">
        <f>IF(AK118="","",AK118*AN118)</f>
        <v/>
      </c>
      <c r="AP118" s="45">
        <f>IF(OR(AK118="",V118=0),"",MIN(IF(AX118="",9.9E+99,AX118),FLOOR(AO118/V118,1)))</f>
        <v/>
      </c>
      <c r="AQ118" s="49">
        <f>IF(AP118="","",AP118*IF(ABS(MOD(ABS((X118)),1)-0.5)&lt;1E-9,2*ROUND((X118)/2,0),ROUND((X118),0)))</f>
        <v/>
      </c>
      <c r="AR118" s="47">
        <f>IF(OR(AK118="",V118=0),"",MIN(IF(AX118="",9.9E+99,AX118),AO118/V118))</f>
        <v/>
      </c>
      <c r="AS118" s="49">
        <f>IF(AR118="","",AR118*IF(B118="South Korea",IF(ABS(MOD(ABS((X118)),1)-0.5)&lt;1E-9,2*ROUND((X118)/2,0),ROUND((X118),0)),X118))</f>
        <v/>
      </c>
      <c r="AT118" s="51" t="n"/>
      <c r="AU118" s="43" t="inlineStr">
        <is>
          <t>Estimated</t>
        </is>
      </c>
      <c r="AV118" s="52" t="n"/>
      <c r="AW118" s="52" t="n"/>
      <c r="AX118" s="53" t="n"/>
      <c r="AY118" s="54">
        <f>IF(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&lt;=0,"",VLOOKUP(B118,country_opex,7,FALSE)/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)</f>
        <v/>
      </c>
      <c r="AZ118" s="54">
        <f>IF(((W118*pax_cap*IF(B118="South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Korea",korea_mid_revleg,revleg_mid)),0))*VLOOKUP(B118,country_opex,3,FALSE))+Z118+AA118+AB118+AC118+AD118))&lt;=0,"",VLOOKUP(B118,country_opex,7,FALSE)/((W118*pax_cap*IF(B118="South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Korea",korea_mid_revleg,revleg_mid)),0))*VLOOKUP(B118,country_opex,3,FALSE))+Z118+AA118+AB118+AC118+AD118)))</f>
        <v/>
      </c>
      <c r="BA118" s="54">
        <f>IF(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&lt;=0,"",VLOOKUP(B118,country_opex,7,FALSE)/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)</f>
        <v/>
      </c>
      <c r="BB118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C118" s="40" t="n"/>
      <c r="BD118" s="43" t="n"/>
    </row>
    <row r="119">
      <c r="A119" s="38" t="inlineStr">
        <is>
          <t>Bolt Estonia</t>
        </is>
      </c>
      <c r="B119" s="38" t="inlineStr">
        <is>
          <t>Estonia</t>
        </is>
      </c>
      <c r="C119" s="39" t="inlineStr">
        <is>
          <t>Tallinn → Naissaar</t>
        </is>
      </c>
      <c r="D119" s="38" t="inlineStr">
        <is>
          <t>bolt</t>
        </is>
      </c>
      <c r="E119" s="40" t="inlineStr">
        <is>
          <t>bolt-estonia</t>
        </is>
      </c>
      <c r="F119" s="41" t="n">
        <v>1</v>
      </c>
      <c r="G119" s="42" t="n">
        <v>11</v>
      </c>
      <c r="H119" s="35" t="n">
        <v>10.8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IF(B119="South Korea",G119/korea_charge_range_nm*korea_full_range_charge_min,0)</f>
        <v/>
      </c>
      <c r="N119" s="44">
        <f>IF(B119="South Korea",L119+korea_turn_min+korea_dwell_min+M119,L119+turn_min+dwell_min)</f>
        <v/>
      </c>
      <c r="O119" s="45">
        <f>IF(B119="South Korea",FLOOR(60*korea_service_hr/N119,1),MIN(15,FLOOR(60*service_hr/N119,1)))</f>
        <v/>
      </c>
      <c r="P119" s="45">
        <f>IF(ABS(MOD(ABS((365*mech_uptime*K119)),1)-0.5)&lt;1E-9,2*ROUND((365*mech_uptime*K119)/2,0),ROUND((365*mech_uptime*K119),0))</f>
        <v/>
      </c>
      <c r="Q119" s="46">
        <f>mech_uptime</f>
        <v/>
      </c>
      <c r="R119" s="46">
        <f>IF(AND(B119="South Korea",scenario="MID"),korea_mid_revleg,revleg_sel)</f>
        <v/>
      </c>
      <c r="S119" s="45">
        <f>IF(ABS(MOD(ABS((O119*P119*R119)),1)-0.5)&lt;1E-9,2*ROUND((O119*P119*R119)/2,0),ROUND((O119*P119*R119),0))</f>
        <v/>
      </c>
      <c r="T119" s="46">
        <f>IF(AND(B119="South Korea",scenario="MID"),korea_mid_load,load_sel)</f>
        <v/>
      </c>
      <c r="U119" s="47">
        <f>pax_cap*T119</f>
        <v/>
      </c>
      <c r="V119" s="45">
        <f>U119*S119</f>
        <v/>
      </c>
      <c r="W119" s="48">
        <f>H119*discount</f>
        <v/>
      </c>
      <c r="X119" s="49">
        <f>W119*V119</f>
        <v/>
      </c>
      <c r="Y119" s="49">
        <f>(battery/range_nm)*G119*S119*VLOOKUP(B119,country_opex,3,FALSE)</f>
        <v/>
      </c>
      <c r="Z119" s="49">
        <f>VLOOKUP(B119,country_opex,2,FALSE)*crew_factor</f>
        <v/>
      </c>
      <c r="AA119" s="49">
        <f>VLOOKUP(B119,country_opex,5,FALSE)</f>
        <v/>
      </c>
      <c r="AB119" s="49">
        <f>maint</f>
        <v/>
      </c>
      <c r="AC119" s="49">
        <f>VLOOKUP(B119,country_opex,7,FALSE)*ins_pct</f>
        <v/>
      </c>
      <c r="AD119" s="49">
        <f>charge_berth</f>
        <v/>
      </c>
      <c r="AE119" s="49">
        <f>Y119+Z119+AA119+AB119+AC119+AD119</f>
        <v/>
      </c>
      <c r="AF119" s="49">
        <f>VLOOKUP(B119,country_opex,7,FALSE)/dep_years</f>
        <v/>
      </c>
      <c r="AG119" s="49">
        <f>X119-AE119</f>
        <v/>
      </c>
      <c r="AH119" s="46">
        <f>IF(X119=0,"",AG119/X119)</f>
        <v/>
      </c>
      <c r="AI119" s="47">
        <f>IF(AG119&lt;=0,"",VLOOKUP(B119,country_opex,7,FALSE)/AG119)</f>
        <v/>
      </c>
      <c r="AJ119" s="44">
        <f>((G119*S119/diesel_nmpg)*diesel_co2pg-(battery/range_nm)*G119*S119*VLOOKUP(B119,country_opex,4,FALSE))/1000</f>
        <v/>
      </c>
      <c r="AK119" s="42" t="n">
        <v>50000</v>
      </c>
      <c r="AL119" s="43" t="n"/>
      <c r="AM119" s="43" t="n"/>
      <c r="AN119" s="50" t="n">
        <v>0.1</v>
      </c>
      <c r="AO119" s="45">
        <f>IF(AK119="","",AK119*AN119)</f>
        <v/>
      </c>
      <c r="AP119" s="45">
        <f>IF(OR(AK119="",V119=0),"",MIN(IF(AX119="",9.9E+99,AX119),FLOOR(AO119/V119,1)))</f>
        <v/>
      </c>
      <c r="AQ119" s="49">
        <f>IF(AP119="","",AP119*IF(ABS(MOD(ABS((X119)),1)-0.5)&lt;1E-9,2*ROUND((X119)/2,0),ROUND((X119),0)))</f>
        <v/>
      </c>
      <c r="AR119" s="47">
        <f>IF(OR(AK119="",V119=0),"",MIN(IF(AX119="",9.9E+99,AX119),AO119/V119))</f>
        <v/>
      </c>
      <c r="AS119" s="49">
        <f>IF(AR119="","",AR119*IF(B119="South Korea",IF(ABS(MOD(ABS((X119)),1)-0.5)&lt;1E-9,2*ROUND((X119)/2,0),ROUND((X119),0)),X119))</f>
        <v/>
      </c>
      <c r="AT119" s="51" t="n"/>
      <c r="AU119" s="43" t="inlineStr">
        <is>
          <t>Estimated</t>
        </is>
      </c>
      <c r="AV119" s="52" t="n"/>
      <c r="AW119" s="52" t="n"/>
      <c r="AX119" s="53" t="n"/>
      <c r="AY119" s="54">
        <f>IF(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&lt;=0,"",VLOOKUP(B119,country_opex,7,FALSE)/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)</f>
        <v/>
      </c>
      <c r="AZ119" s="54">
        <f>IF(((W119*pax_cap*IF(B119="South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Korea",korea_mid_revleg,revleg_mid)),0))*VLOOKUP(B119,country_opex,3,FALSE))+Z119+AA119+AB119+AC119+AD119))&lt;=0,"",VLOOKUP(B119,country_opex,7,FALSE)/((W119*pax_cap*IF(B119="South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Korea",korea_mid_revleg,revleg_mid)),0))*VLOOKUP(B119,country_opex,3,FALSE))+Z119+AA119+AB119+AC119+AD119)))</f>
        <v/>
      </c>
      <c r="BA119" s="54">
        <f>IF(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&lt;=0,"",VLOOKUP(B119,country_opex,7,FALSE)/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)</f>
        <v/>
      </c>
      <c r="BB119" s="40" t="inlineStr">
        <is>
          <t>Sunlines 'Strande' (300 pax) adult scheduled fare EUR 10 one-way / EUR 20 round-trip, departing Linnahall 11:00. EUR 10 x 1.08 = $10.8.</t>
        </is>
      </c>
      <c r="BC119" s="40" t="n"/>
      <c r="BD119" s="43" t="n"/>
    </row>
    <row r="120">
      <c r="A120" s="38" t="inlineStr">
        <is>
          <t>Bolt Estonia</t>
        </is>
      </c>
      <c r="B120" s="38" t="inlineStr">
        <is>
          <t>Estonia</t>
        </is>
      </c>
      <c r="C120" s="39" t="inlineStr">
        <is>
          <t>Tallinn → Helsinki</t>
        </is>
      </c>
      <c r="D120" s="38" t="inlineStr">
        <is>
          <t>bolt</t>
        </is>
      </c>
      <c r="E120" s="40" t="inlineStr">
        <is>
          <t>bolt-estonia</t>
        </is>
      </c>
      <c r="F120" s="41" t="n">
        <v>1</v>
      </c>
      <c r="G120" s="42" t="n">
        <v>43</v>
      </c>
      <c r="H120" s="35" t="n">
        <v>27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IF(B120="South Korea",G120/korea_charge_range_nm*korea_full_range_charge_min,0)</f>
        <v/>
      </c>
      <c r="N120" s="44">
        <f>IF(B120="South Korea",L120+korea_turn_min+korea_dwell_min+M120,L120+turn_min+dwell_min)</f>
        <v/>
      </c>
      <c r="O120" s="45">
        <f>IF(B120="South Korea",FLOOR(60*korea_service_hr/N120,1),MIN(15,FLOOR(60*service_hr/N120,1)))</f>
        <v/>
      </c>
      <c r="P120" s="45">
        <f>IF(ABS(MOD(ABS((365*mech_uptime*K120)),1)-0.5)&lt;1E-9,2*ROUND((365*mech_uptime*K120)/2,0),ROUND((365*mech_uptime*K120),0))</f>
        <v/>
      </c>
      <c r="Q120" s="46">
        <f>mech_uptime</f>
        <v/>
      </c>
      <c r="R120" s="46">
        <f>IF(AND(B120="South Korea",scenario="MID"),korea_mid_revleg,revleg_sel)</f>
        <v/>
      </c>
      <c r="S120" s="45">
        <f>IF(ABS(MOD(ABS((O120*P120*R120)),1)-0.5)&lt;1E-9,2*ROUND((O120*P120*R120)/2,0),ROUND((O120*P120*R120),0))</f>
        <v/>
      </c>
      <c r="T120" s="46">
        <f>IF(AND(B120="South Korea",scenario="MID"),korea_mid_load,load_sel)</f>
        <v/>
      </c>
      <c r="U120" s="47">
        <f>pax_cap*T120</f>
        <v/>
      </c>
      <c r="V120" s="45">
        <f>U120*S120</f>
        <v/>
      </c>
      <c r="W120" s="48">
        <f>H120*discount</f>
        <v/>
      </c>
      <c r="X120" s="49">
        <f>W120*V120</f>
        <v/>
      </c>
      <c r="Y120" s="49">
        <f>(battery/range_nm)*G120*S120*VLOOKUP(B120,country_opex,3,FALSE)</f>
        <v/>
      </c>
      <c r="Z120" s="49">
        <f>VLOOKUP(B120,country_opex,2,FALSE)*crew_factor</f>
        <v/>
      </c>
      <c r="AA120" s="49">
        <f>VLOOKUP(B120,country_opex,5,FALSE)</f>
        <v/>
      </c>
      <c r="AB120" s="49">
        <f>maint</f>
        <v/>
      </c>
      <c r="AC120" s="49">
        <f>VLOOKUP(B120,country_opex,7,FALSE)*ins_pct</f>
        <v/>
      </c>
      <c r="AD120" s="49">
        <f>charge_berth</f>
        <v/>
      </c>
      <c r="AE120" s="49">
        <f>Y120+Z120+AA120+AB120+AC120+AD120</f>
        <v/>
      </c>
      <c r="AF120" s="49">
        <f>VLOOKUP(B120,country_opex,7,FALSE)/dep_years</f>
        <v/>
      </c>
      <c r="AG120" s="49">
        <f>X120-AE120</f>
        <v/>
      </c>
      <c r="AH120" s="46">
        <f>IF(X120=0,"",AG120/X120)</f>
        <v/>
      </c>
      <c r="AI120" s="47">
        <f>IF(AG120&lt;=0,"",VLOOKUP(B120,country_opex,7,FALSE)/AG120)</f>
        <v/>
      </c>
      <c r="AJ120" s="44">
        <f>((G120*S120/diesel_nmpg)*diesel_co2pg-(battery/range_nm)*G120*S120*VLOOKUP(B120,country_opex,4,FALSE))/1000</f>
        <v/>
      </c>
      <c r="AK120" s="42" t="n">
        <v>750000</v>
      </c>
      <c r="AL120" s="43" t="n"/>
      <c r="AM120" s="43" t="inlineStr">
        <is>
          <t>med</t>
        </is>
      </c>
      <c r="AN120" s="50" t="n">
        <v>0.25</v>
      </c>
      <c r="AO120" s="45">
        <f>IF(AK120="","",AK120*AN120)</f>
        <v/>
      </c>
      <c r="AP120" s="45">
        <f>IF(OR(AK120="",V120=0),"",MIN(IF(AX120="",9.9E+99,AX120),FLOOR(AO120/V120,1)))</f>
        <v/>
      </c>
      <c r="AQ120" s="49">
        <f>IF(AP120="","",AP120*IF(ABS(MOD(ABS((X120)),1)-0.5)&lt;1E-9,2*ROUND((X120)/2,0),ROUND((X120),0)))</f>
        <v/>
      </c>
      <c r="AR120" s="47">
        <f>IF(OR(AK120="",V120=0),"",MIN(IF(AX120="",9.9E+99,AX120),AO120/V120))</f>
        <v/>
      </c>
      <c r="AS120" s="49">
        <f>IF(AR120="","",AR120*IF(B120="South Korea",IF(ABS(MOD(ABS((X120)),1)-0.5)&lt;1E-9,2*ROUND((X120)/2,0),ROUND((X120),0)),X120))</f>
        <v/>
      </c>
      <c r="AT120" s="51" t="n"/>
      <c r="AU120" s="43" t="inlineStr">
        <is>
          <t>Grounded</t>
        </is>
      </c>
      <c r="AV120" s="52" t="n"/>
      <c r="AW120" s="52" t="n"/>
      <c r="AX120" s="53" t="n"/>
      <c r="AY120" s="54">
        <f>IF(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&lt;=0,"",VLOOKUP(B120,country_opex,7,FALSE)/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)</f>
        <v/>
      </c>
      <c r="AZ120" s="54">
        <f>IF(((W120*pax_cap*IF(B120="South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Korea",korea_mid_revleg,revleg_mid)),0))*VLOOKUP(B120,country_opex,3,FALSE))+Z120+AA120+AB120+AC120+AD120))&lt;=0,"",VLOOKUP(B120,country_opex,7,FALSE)/((W120*pax_cap*IF(B120="South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Korea",korea_mid_revleg,revleg_mid)),0))*VLOOKUP(B120,country_opex,3,FALSE))+Z120+AA120+AB120+AC120+AD120)))</f>
        <v/>
      </c>
      <c r="BA120" s="54">
        <f>IF(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&lt;=0,"",VLOOKUP(B120,country_opex,7,FALSE)/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)</f>
        <v/>
      </c>
      <c r="BB120" s="40" t="inlineStr">
        <is>
          <t>PREMIUM tier: standard adult walk-up fast-ferry seat ~EUR 25 (range EUR 18-35 by season/operator/advance; Tallink Megastar/MyStar, Viking from EUR 18, Eckero). EUR 25 x 1.08 = $27.0.</t>
        </is>
      </c>
      <c r="BC120" s="40" t="n"/>
      <c r="BD120" s="43" t="n"/>
    </row>
    <row r="121">
      <c r="A121" s="38" t="inlineStr">
        <is>
          <t>Bolt Finland</t>
        </is>
      </c>
      <c r="B121" s="38" t="inlineStr">
        <is>
          <t>Finland</t>
        </is>
      </c>
      <c r="C121" s="39" t="inlineStr">
        <is>
          <t>Helsinki → Lonna</t>
        </is>
      </c>
      <c r="D121" s="38" t="inlineStr">
        <is>
          <t>bolt</t>
        </is>
      </c>
      <c r="E121" s="40" t="inlineStr">
        <is>
          <t>bolt-finland</t>
        </is>
      </c>
      <c r="F121" s="41" t="n">
        <v>1</v>
      </c>
      <c r="G121" s="42" t="n">
        <v>1.2</v>
      </c>
      <c r="H121" s="35" t="n">
        <v>8.640000000000001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IF(B121="South Korea",G121/korea_charge_range_nm*korea_full_range_charge_min,0)</f>
        <v/>
      </c>
      <c r="N121" s="44">
        <f>IF(B121="South Korea",L121+korea_turn_min+korea_dwell_min+M121,L121+turn_min+dwell_min)</f>
        <v/>
      </c>
      <c r="O121" s="45">
        <f>IF(B121="South Korea",FLOOR(60*korea_service_hr/N121,1),MIN(15,FLOOR(60*service_hr/N121,1)))</f>
        <v/>
      </c>
      <c r="P121" s="45">
        <f>IF(ABS(MOD(ABS((365*mech_uptime*K121)),1)-0.5)&lt;1E-9,2*ROUND((365*mech_uptime*K121)/2,0),ROUND((365*mech_uptime*K121),0))</f>
        <v/>
      </c>
      <c r="Q121" s="46">
        <f>mech_uptime</f>
        <v/>
      </c>
      <c r="R121" s="46">
        <f>IF(AND(B121="South Korea",scenario="MID"),korea_mid_revleg,revleg_sel)</f>
        <v/>
      </c>
      <c r="S121" s="45">
        <f>IF(ABS(MOD(ABS((O121*P121*R121)),1)-0.5)&lt;1E-9,2*ROUND((O121*P121*R121)/2,0),ROUND((O121*P121*R121),0))</f>
        <v/>
      </c>
      <c r="T121" s="46">
        <f>IF(AND(B121="South Korea",scenario="MID"),korea_mid_load,load_sel)</f>
        <v/>
      </c>
      <c r="U121" s="47">
        <f>pax_cap*T121</f>
        <v/>
      </c>
      <c r="V121" s="45">
        <f>U121*S121</f>
        <v/>
      </c>
      <c r="W121" s="48">
        <f>H121*discount</f>
        <v/>
      </c>
      <c r="X121" s="49">
        <f>W121*V121</f>
        <v/>
      </c>
      <c r="Y121" s="49">
        <f>(battery/range_nm)*G121*S121*VLOOKUP(B121,country_opex,3,FALSE)</f>
        <v/>
      </c>
      <c r="Z121" s="49">
        <f>VLOOKUP(B121,country_opex,2,FALSE)*crew_factor</f>
        <v/>
      </c>
      <c r="AA121" s="49">
        <f>VLOOKUP(B121,country_opex,5,FALSE)</f>
        <v/>
      </c>
      <c r="AB121" s="49">
        <f>maint</f>
        <v/>
      </c>
      <c r="AC121" s="49">
        <f>VLOOKUP(B121,country_opex,7,FALSE)*ins_pct</f>
        <v/>
      </c>
      <c r="AD121" s="49">
        <f>charge_berth</f>
        <v/>
      </c>
      <c r="AE121" s="49">
        <f>Y121+Z121+AA121+AB121+AC121+AD121</f>
        <v/>
      </c>
      <c r="AF121" s="49">
        <f>VLOOKUP(B121,country_opex,7,FALSE)/dep_years</f>
        <v/>
      </c>
      <c r="AG121" s="49">
        <f>X121-AE121</f>
        <v/>
      </c>
      <c r="AH121" s="46">
        <f>IF(X121=0,"",AG121/X121)</f>
        <v/>
      </c>
      <c r="AI121" s="47">
        <f>IF(AG121&lt;=0,"",VLOOKUP(B121,country_opex,7,FALSE)/AG121)</f>
        <v/>
      </c>
      <c r="AJ121" s="44">
        <f>((G121*S121/diesel_nmpg)*diesel_co2pg-(battery/range_nm)*G121*S121*VLOOKUP(B121,country_opex,4,FALSE))/1000</f>
        <v/>
      </c>
      <c r="AK121" s="42" t="n"/>
      <c r="AL121" s="43" t="n"/>
      <c r="AM121" s="43" t="n"/>
      <c r="AN121" s="50" t="n">
        <v>0.1</v>
      </c>
      <c r="AO121" s="45">
        <f>IF(AK121="","",AK121*AN121)</f>
        <v/>
      </c>
      <c r="AP121" s="45">
        <f>IF(OR(AK121="",V121=0),"",MIN(IF(AX121="",9.9E+99,AX121),FLOOR(AO121/V121,1)))</f>
        <v/>
      </c>
      <c r="AQ121" s="49">
        <f>IF(AP121="","",AP121*IF(ABS(MOD(ABS((X121)),1)-0.5)&lt;1E-9,2*ROUND((X121)/2,0),ROUND((X121),0)))</f>
        <v/>
      </c>
      <c r="AR121" s="47">
        <f>IF(OR(AK121="",V121=0),"",MIN(IF(AX121="",9.9E+99,AX121),AO121/V121))</f>
        <v/>
      </c>
      <c r="AS121" s="49">
        <f>IF(AR121="","",AR121*IF(B121="South Korea",IF(ABS(MOD(ABS((X121)),1)-0.5)&lt;1E-9,2*ROUND((X121)/2,0),ROUND((X121),0)),X121))</f>
        <v/>
      </c>
      <c r="AT121" s="51" t="n"/>
      <c r="AU121" s="43" t="inlineStr">
        <is>
          <t>Estimated</t>
        </is>
      </c>
      <c r="AV121" s="52" t="n"/>
      <c r="AW121" s="52" t="n"/>
      <c r="AX121" s="53" t="n"/>
      <c r="AY121" s="54">
        <f>IF(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&lt;=0,"",VLOOKUP(B121,country_opex,7,FALSE)/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)</f>
        <v/>
      </c>
      <c r="AZ121" s="54">
        <f>IF(((W121*pax_cap*IF(B121="South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Korea",korea_mid_revleg,revleg_mid)),0))*VLOOKUP(B121,country_opex,3,FALSE))+Z121+AA121+AB121+AC121+AD121))&lt;=0,"",VLOOKUP(B121,country_opex,7,FALSE)/((W121*pax_cap*IF(B121="South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Korea",korea_mid_revleg,revleg_mid)),0))*VLOOKUP(B121,country_opex,3,FALSE))+Z121+AA121+AB121+AC121+AD121)))</f>
        <v/>
      </c>
      <c r="BA121" s="54">
        <f>IF(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&lt;=0,"",VLOOKUP(B121,country_opex,7,FALSE)/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)</f>
        <v/>
      </c>
      <c r="BB121" s="40" t="inlineStr">
        <is>
          <t>JT-Line Kauppatori-&gt;Lonna adult fare EUR 8 (Rome2Rio; 10 min). EUR 8 x 1.08 = $8.64.</t>
        </is>
      </c>
      <c r="BC121" s="40" t="n"/>
      <c r="BD121" s="43" t="n"/>
    </row>
    <row r="122">
      <c r="A122" s="38" t="inlineStr">
        <is>
          <t>Bolt Finland</t>
        </is>
      </c>
      <c r="B122" s="38" t="inlineStr">
        <is>
          <t>Finland</t>
        </is>
      </c>
      <c r="C122" s="39" t="inlineStr">
        <is>
          <t>Helsinki Market Square → Suomenlinna</t>
        </is>
      </c>
      <c r="D122" s="38" t="inlineStr">
        <is>
          <t>bolt</t>
        </is>
      </c>
      <c r="E122" s="40" t="inlineStr">
        <is>
          <t>bolt-finland</t>
        </is>
      </c>
      <c r="F122" s="41" t="n">
        <v>1</v>
      </c>
      <c r="G122" s="42" t="n">
        <v>1.5</v>
      </c>
      <c r="H122" s="35" t="n">
        <v>8.640000000000001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IF(B122="South Korea",G122/korea_charge_range_nm*korea_full_range_charge_min,0)</f>
        <v/>
      </c>
      <c r="N122" s="44">
        <f>IF(B122="South Korea",L122+korea_turn_min+korea_dwell_min+M122,L122+turn_min+dwell_min)</f>
        <v/>
      </c>
      <c r="O122" s="45">
        <f>IF(B122="South Korea",FLOOR(60*korea_service_hr/N122,1),MIN(15,FLOOR(60*service_hr/N122,1)))</f>
        <v/>
      </c>
      <c r="P122" s="45">
        <f>IF(ABS(MOD(ABS((365*mech_uptime*K122)),1)-0.5)&lt;1E-9,2*ROUND((365*mech_uptime*K122)/2,0),ROUND((365*mech_uptime*K122),0))</f>
        <v/>
      </c>
      <c r="Q122" s="46">
        <f>mech_uptime</f>
        <v/>
      </c>
      <c r="R122" s="46">
        <f>IF(AND(B122="South Korea",scenario="MID"),korea_mid_revleg,revleg_sel)</f>
        <v/>
      </c>
      <c r="S122" s="45">
        <f>IF(ABS(MOD(ABS((O122*P122*R122)),1)-0.5)&lt;1E-9,2*ROUND((O122*P122*R122)/2,0),ROUND((O122*P122*R122),0))</f>
        <v/>
      </c>
      <c r="T122" s="46">
        <f>IF(AND(B122="South Korea",scenario="MID"),korea_mid_load,load_sel)</f>
        <v/>
      </c>
      <c r="U122" s="47">
        <f>pax_cap*T122</f>
        <v/>
      </c>
      <c r="V122" s="45">
        <f>U122*S122</f>
        <v/>
      </c>
      <c r="W122" s="48">
        <f>H122*discount</f>
        <v/>
      </c>
      <c r="X122" s="49">
        <f>W122*V122</f>
        <v/>
      </c>
      <c r="Y122" s="49">
        <f>(battery/range_nm)*G122*S122*VLOOKUP(B122,country_opex,3,FALSE)</f>
        <v/>
      </c>
      <c r="Z122" s="49">
        <f>VLOOKUP(B122,country_opex,2,FALSE)*crew_factor</f>
        <v/>
      </c>
      <c r="AA122" s="49">
        <f>VLOOKUP(B122,country_opex,5,FALSE)</f>
        <v/>
      </c>
      <c r="AB122" s="49">
        <f>maint</f>
        <v/>
      </c>
      <c r="AC122" s="49">
        <f>VLOOKUP(B122,country_opex,7,FALSE)*ins_pct</f>
        <v/>
      </c>
      <c r="AD122" s="49">
        <f>charge_berth</f>
        <v/>
      </c>
      <c r="AE122" s="49">
        <f>Y122+Z122+AA122+AB122+AC122+AD122</f>
        <v/>
      </c>
      <c r="AF122" s="49">
        <f>VLOOKUP(B122,country_opex,7,FALSE)/dep_years</f>
        <v/>
      </c>
      <c r="AG122" s="49">
        <f>X122-AE122</f>
        <v/>
      </c>
      <c r="AH122" s="46">
        <f>IF(X122=0,"",AG122/X122)</f>
        <v/>
      </c>
      <c r="AI122" s="47">
        <f>IF(AG122&lt;=0,"",VLOOKUP(B122,country_opex,7,FALSE)/AG122)</f>
        <v/>
      </c>
      <c r="AJ122" s="44">
        <f>((G122*S122/diesel_nmpg)*diesel_co2pg-(battery/range_nm)*G122*S122*VLOOKUP(B122,country_opex,4,FALSE))/1000</f>
        <v/>
      </c>
      <c r="AK122" s="42" t="n">
        <v>1000000</v>
      </c>
      <c r="AL122" s="43" t="n"/>
      <c r="AM122" s="43" t="n"/>
      <c r="AN122" s="50" t="n">
        <v>0.1</v>
      </c>
      <c r="AO122" s="45">
        <f>IF(AK122="","",AK122*AN122)</f>
        <v/>
      </c>
      <c r="AP122" s="45">
        <f>IF(OR(AK122="",V122=0),"",MIN(IF(AX122="",9.9E+99,AX122),FLOOR(AO122/V122,1)))</f>
        <v/>
      </c>
      <c r="AQ122" s="49">
        <f>IF(AP122="","",AP122*IF(ABS(MOD(ABS((X122)),1)-0.5)&lt;1E-9,2*ROUND((X122)/2,0),ROUND((X122),0)))</f>
        <v/>
      </c>
      <c r="AR122" s="47">
        <f>IF(OR(AK122="",V122=0),"",MIN(IF(AX122="",9.9E+99,AX122),AO122/V122))</f>
        <v/>
      </c>
      <c r="AS122" s="49">
        <f>IF(AR122="","",AR122*IF(B122="South Korea",IF(ABS(MOD(ABS((X122)),1)-0.5)&lt;1E-9,2*ROUND((X122)/2,0),ROUND((X122),0)),X122))</f>
        <v/>
      </c>
      <c r="AT122" s="51" t="n"/>
      <c r="AU122" s="43" t="inlineStr">
        <is>
          <t>Grounded</t>
        </is>
      </c>
      <c r="AV122" s="52" t="n"/>
      <c r="AW122" s="52" t="n"/>
      <c r="AX122" s="53" t="n"/>
      <c r="AY122" s="54">
        <f>IF(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&lt;=0,"",VLOOKUP(B122,country_opex,7,FALSE)/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)</f>
        <v/>
      </c>
      <c r="AZ122" s="54">
        <f>IF(((W122*pax_cap*IF(B122="South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Korea",korea_mid_revleg,revleg_mid)),0))*VLOOKUP(B122,country_opex,3,FALSE))+Z122+AA122+AB122+AC122+AD122))&lt;=0,"",VLOOKUP(B122,country_opex,7,FALSE)/((W122*pax_cap*IF(B122="South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Korea",korea_mid_revleg,revleg_mid)),0))*VLOOKUP(B122,country_opex,3,FALSE))+Z122+AA122+AB122+AC122+AD122)))</f>
        <v/>
      </c>
      <c r="BA122" s="54">
        <f>IF(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&lt;=0,"",VLOOKUP(B122,country_opex,7,FALSE)/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)</f>
        <v/>
      </c>
      <c r="BB122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C122" s="40" t="n"/>
      <c r="BD122" s="43" t="n"/>
    </row>
    <row r="123">
      <c r="A123" s="38" t="inlineStr">
        <is>
          <t>Bolt Finland</t>
        </is>
      </c>
      <c r="B123" s="38" t="inlineStr">
        <is>
          <t>Finland</t>
        </is>
      </c>
      <c r="C123" s="39" t="inlineStr">
        <is>
          <t>Helsinki → Pihlajasaari</t>
        </is>
      </c>
      <c r="D123" s="38" t="inlineStr">
        <is>
          <t>bolt</t>
        </is>
      </c>
      <c r="E123" s="40" t="inlineStr">
        <is>
          <t>bolt-finland</t>
        </is>
      </c>
      <c r="F123" s="41" t="n">
        <v>1</v>
      </c>
      <c r="G123" s="42" t="n">
        <v>1.5</v>
      </c>
      <c r="H123" s="35" t="n">
        <v>8.640000000000001</v>
      </c>
      <c r="I123" s="43" t="inlineStr">
        <is>
          <t>T2</t>
        </is>
      </c>
      <c r="J123" s="43" t="inlineStr">
        <is>
          <t>med</t>
        </is>
      </c>
      <c r="K123" s="29" t="n">
        <v>1</v>
      </c>
      <c r="L123" s="44">
        <f>60*G123/cruise_kt</f>
        <v/>
      </c>
      <c r="M123" s="44">
        <f>IF(B123="South Korea",G123/korea_charge_range_nm*korea_full_range_charge_min,0)</f>
        <v/>
      </c>
      <c r="N123" s="44">
        <f>IF(B123="South Korea",L123+korea_turn_min+korea_dwell_min+M123,L123+turn_min+dwell_min)</f>
        <v/>
      </c>
      <c r="O123" s="45">
        <f>IF(B123="South Korea",FLOOR(60*korea_service_hr/N123,1),MIN(15,FLOOR(60*service_hr/N123,1)))</f>
        <v/>
      </c>
      <c r="P123" s="45">
        <f>IF(ABS(MOD(ABS((365*mech_uptime*K123)),1)-0.5)&lt;1E-9,2*ROUND((365*mech_uptime*K123)/2,0),ROUND((365*mech_uptime*K123),0))</f>
        <v/>
      </c>
      <c r="Q123" s="46">
        <f>mech_uptime</f>
        <v/>
      </c>
      <c r="R123" s="46">
        <f>IF(AND(B123="South Korea",scenario="MID"),korea_mid_revleg,revleg_sel)</f>
        <v/>
      </c>
      <c r="S123" s="45">
        <f>IF(ABS(MOD(ABS((O123*P123*R123)),1)-0.5)&lt;1E-9,2*ROUND((O123*P123*R123)/2,0),ROUND((O123*P123*R123),0))</f>
        <v/>
      </c>
      <c r="T123" s="46">
        <f>IF(AND(B123="South Korea",scenario="MID"),korea_mid_load,load_sel)</f>
        <v/>
      </c>
      <c r="U123" s="47">
        <f>pax_cap*T123</f>
        <v/>
      </c>
      <c r="V123" s="45">
        <f>U123*S123</f>
        <v/>
      </c>
      <c r="W123" s="48">
        <f>H123*discount</f>
        <v/>
      </c>
      <c r="X123" s="49">
        <f>W123*V123</f>
        <v/>
      </c>
      <c r="Y123" s="49">
        <f>(battery/range_nm)*G123*S123*VLOOKUP(B123,country_opex,3,FALSE)</f>
        <v/>
      </c>
      <c r="Z123" s="49">
        <f>VLOOKUP(B123,country_opex,2,FALSE)*crew_factor</f>
        <v/>
      </c>
      <c r="AA123" s="49">
        <f>VLOOKUP(B123,country_opex,5,FALSE)</f>
        <v/>
      </c>
      <c r="AB123" s="49">
        <f>maint</f>
        <v/>
      </c>
      <c r="AC123" s="49">
        <f>VLOOKUP(B123,country_opex,7,FALSE)*ins_pct</f>
        <v/>
      </c>
      <c r="AD123" s="49">
        <f>charge_berth</f>
        <v/>
      </c>
      <c r="AE123" s="49">
        <f>Y123+Z123+AA123+AB123+AC123+AD123</f>
        <v/>
      </c>
      <c r="AF123" s="49">
        <f>VLOOKUP(B123,country_opex,7,FALSE)/dep_years</f>
        <v/>
      </c>
      <c r="AG123" s="49">
        <f>X123-AE123</f>
        <v/>
      </c>
      <c r="AH123" s="46">
        <f>IF(X123=0,"",AG123/X123)</f>
        <v/>
      </c>
      <c r="AI123" s="47">
        <f>IF(AG123&lt;=0,"",VLOOKUP(B123,country_opex,7,FALSE)/AG123)</f>
        <v/>
      </c>
      <c r="AJ123" s="44">
        <f>((G123*S123/diesel_nmpg)*diesel_co2pg-(battery/range_nm)*G123*S123*VLOOKUP(B123,country_opex,4,FALSE))/1000</f>
        <v/>
      </c>
      <c r="AK123" s="42" t="n"/>
      <c r="AL123" s="43" t="n"/>
      <c r="AM123" s="43" t="n"/>
      <c r="AN123" s="50" t="n">
        <v>0.1</v>
      </c>
      <c r="AO123" s="45">
        <f>IF(AK123="","",AK123*AN123)</f>
        <v/>
      </c>
      <c r="AP123" s="45">
        <f>IF(OR(AK123="",V123=0),"",MIN(IF(AX123="",9.9E+99,AX123),FLOOR(AO123/V123,1)))</f>
        <v/>
      </c>
      <c r="AQ123" s="49">
        <f>IF(AP123="","",AP123*IF(ABS(MOD(ABS((X123)),1)-0.5)&lt;1E-9,2*ROUND((X123)/2,0),ROUND((X123),0)))</f>
        <v/>
      </c>
      <c r="AR123" s="47">
        <f>IF(OR(AK123="",V123=0),"",MIN(IF(AX123="",9.9E+99,AX123),AO123/V123))</f>
        <v/>
      </c>
      <c r="AS123" s="49">
        <f>IF(AR123="","",AR123*IF(B123="South Korea",IF(ABS(MOD(ABS((X123)),1)-0.5)&lt;1E-9,2*ROUND((X123)/2,0),ROUND((X123),0)),X123))</f>
        <v/>
      </c>
      <c r="AT123" s="51" t="n"/>
      <c r="AU123" s="43" t="inlineStr">
        <is>
          <t>Estimated</t>
        </is>
      </c>
      <c r="AV123" s="52" t="n"/>
      <c r="AW123" s="52" t="n"/>
      <c r="AX123" s="53" t="n"/>
      <c r="AY123" s="54">
        <f>IF(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&lt;=0,"",VLOOKUP(B123,country_opex,7,FALSE)/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)</f>
        <v/>
      </c>
      <c r="AZ123" s="54">
        <f>IF(((W123*pax_cap*IF(B123="South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Korea",korea_mid_revleg,revleg_mid)),0))*VLOOKUP(B123,country_opex,3,FALSE))+Z123+AA123+AB123+AC123+AD123))&lt;=0,"",VLOOKUP(B123,country_opex,7,FALSE)/((W123*pax_cap*IF(B123="South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Korea",korea_mid_revleg,revleg_mid)),0))*VLOOKUP(B123,country_opex,3,FALSE))+Z123+AA123+AB123+AC123+AD123)))</f>
        <v/>
      </c>
      <c r="BA123" s="54">
        <f>IF(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&lt;=0,"",VLOOKUP(B123,country_opex,7,FALSE)/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)</f>
        <v/>
      </c>
      <c r="BB123" s="40" t="inlineStr">
        <is>
          <t>JT-Line adult ferry seat EUR 8 (Summer 2026; EUR 9 quoted 2024). EUR 8 x 1.08 = $8.64.</t>
        </is>
      </c>
      <c r="BC123" s="40" t="n"/>
      <c r="BD123" s="43" t="n"/>
    </row>
    <row r="124">
      <c r="A124" s="38" t="inlineStr">
        <is>
          <t>Bolt Finland</t>
        </is>
      </c>
      <c r="B124" s="38" t="inlineStr">
        <is>
          <t>Finland</t>
        </is>
      </c>
      <c r="C124" s="39" t="inlineStr">
        <is>
          <t>Helsinki → Korkeasaari (Zoo island)</t>
        </is>
      </c>
      <c r="D124" s="38" t="inlineStr">
        <is>
          <t>bolt</t>
        </is>
      </c>
      <c r="E124" s="40" t="inlineStr">
        <is>
          <t>bolt-finland</t>
        </is>
      </c>
      <c r="F124" s="41" t="n">
        <v>1</v>
      </c>
      <c r="G124" s="42" t="n">
        <v>2</v>
      </c>
      <c r="H124" s="35" t="n">
        <v>8.640000000000001</v>
      </c>
      <c r="I124" s="43" t="inlineStr">
        <is>
          <t>T2</t>
        </is>
      </c>
      <c r="J124" s="43" t="inlineStr">
        <is>
          <t>med</t>
        </is>
      </c>
      <c r="K124" s="29" t="n">
        <v>1</v>
      </c>
      <c r="L124" s="44">
        <f>60*G124/cruise_kt</f>
        <v/>
      </c>
      <c r="M124" s="44">
        <f>IF(B124="South Korea",G124/korea_charge_range_nm*korea_full_range_charge_min,0)</f>
        <v/>
      </c>
      <c r="N124" s="44">
        <f>IF(B124="South Korea",L124+korea_turn_min+korea_dwell_min+M124,L124+turn_min+dwell_min)</f>
        <v/>
      </c>
      <c r="O124" s="45">
        <f>IF(B124="South Korea",FLOOR(60*korea_service_hr/N124,1),MIN(15,FLOOR(60*service_hr/N124,1)))</f>
        <v/>
      </c>
      <c r="P124" s="45">
        <f>IF(ABS(MOD(ABS((365*mech_uptime*K124)),1)-0.5)&lt;1E-9,2*ROUND((365*mech_uptime*K124)/2,0),ROUND((365*mech_uptime*K124),0))</f>
        <v/>
      </c>
      <c r="Q124" s="46">
        <f>mech_uptime</f>
        <v/>
      </c>
      <c r="R124" s="46">
        <f>IF(AND(B124="South Korea",scenario="MID"),korea_mid_revleg,revleg_sel)</f>
        <v/>
      </c>
      <c r="S124" s="45">
        <f>IF(ABS(MOD(ABS((O124*P124*R124)),1)-0.5)&lt;1E-9,2*ROUND((O124*P124*R124)/2,0),ROUND((O124*P124*R124),0))</f>
        <v/>
      </c>
      <c r="T124" s="46">
        <f>IF(AND(B124="South Korea",scenario="MID"),korea_mid_load,load_sel)</f>
        <v/>
      </c>
      <c r="U124" s="47">
        <f>pax_cap*T124</f>
        <v/>
      </c>
      <c r="V124" s="45">
        <f>U124*S124</f>
        <v/>
      </c>
      <c r="W124" s="48">
        <f>H124*discount</f>
        <v/>
      </c>
      <c r="X124" s="49">
        <f>W124*V124</f>
        <v/>
      </c>
      <c r="Y124" s="49">
        <f>(battery/range_nm)*G124*S124*VLOOKUP(B124,country_opex,3,FALSE)</f>
        <v/>
      </c>
      <c r="Z124" s="49">
        <f>VLOOKUP(B124,country_opex,2,FALSE)*crew_factor</f>
        <v/>
      </c>
      <c r="AA124" s="49">
        <f>VLOOKUP(B124,country_opex,5,FALSE)</f>
        <v/>
      </c>
      <c r="AB124" s="49">
        <f>maint</f>
        <v/>
      </c>
      <c r="AC124" s="49">
        <f>VLOOKUP(B124,country_opex,7,FALSE)*ins_pct</f>
        <v/>
      </c>
      <c r="AD124" s="49">
        <f>charge_berth</f>
        <v/>
      </c>
      <c r="AE124" s="49">
        <f>Y124+Z124+AA124+AB124+AC124+AD124</f>
        <v/>
      </c>
      <c r="AF124" s="49">
        <f>VLOOKUP(B124,country_opex,7,FALSE)/dep_years</f>
        <v/>
      </c>
      <c r="AG124" s="49">
        <f>X124-AE124</f>
        <v/>
      </c>
      <c r="AH124" s="46">
        <f>IF(X124=0,"",AG124/X124)</f>
        <v/>
      </c>
      <c r="AI124" s="47">
        <f>IF(AG124&lt;=0,"",VLOOKUP(B124,country_opex,7,FALSE)/AG124)</f>
        <v/>
      </c>
      <c r="AJ124" s="44">
        <f>((G124*S124/diesel_nmpg)*diesel_co2pg-(battery/range_nm)*G124*S124*VLOOKUP(B124,country_opex,4,FALSE))/1000</f>
        <v/>
      </c>
      <c r="AK124" s="42" t="n">
        <v>500000</v>
      </c>
      <c r="AL124" s="43" t="n"/>
      <c r="AM124" s="43" t="n"/>
      <c r="AN124" s="50" t="n">
        <v>0.1</v>
      </c>
      <c r="AO124" s="45">
        <f>IF(AK124="","",AK124*AN124)</f>
        <v/>
      </c>
      <c r="AP124" s="45">
        <f>IF(OR(AK124="",V124=0),"",MIN(IF(AX124="",9.9E+99,AX124),FLOOR(AO124/V124,1)))</f>
        <v/>
      </c>
      <c r="AQ124" s="49">
        <f>IF(AP124="","",AP124*IF(ABS(MOD(ABS((X124)),1)-0.5)&lt;1E-9,2*ROUND((X124)/2,0),ROUND((X124),0)))</f>
        <v/>
      </c>
      <c r="AR124" s="47">
        <f>IF(OR(AK124="",V124=0),"",MIN(IF(AX124="",9.9E+99,AX124),AO124/V124))</f>
        <v/>
      </c>
      <c r="AS124" s="49">
        <f>IF(AR124="","",AR124*IF(B124="South Korea",IF(ABS(MOD(ABS((X124)),1)-0.5)&lt;1E-9,2*ROUND((X124)/2,0),ROUND((X124),0)),X124))</f>
        <v/>
      </c>
      <c r="AT124" s="51" t="n"/>
      <c r="AU124" s="43" t="inlineStr">
        <is>
          <t>Grounded</t>
        </is>
      </c>
      <c r="AV124" s="52" t="n"/>
      <c r="AW124" s="52" t="n"/>
      <c r="AX124" s="53" t="n"/>
      <c r="AY124" s="54">
        <f>IF(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&lt;=0,"",VLOOKUP(B124,country_opex,7,FALSE)/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)</f>
        <v/>
      </c>
      <c r="AZ124" s="54">
        <f>IF(((W124*pax_cap*IF(B124="South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Korea",korea_mid_revleg,revleg_mid)),0))*VLOOKUP(B124,country_opex,3,FALSE))+Z124+AA124+AB124+AC124+AD124))&lt;=0,"",VLOOKUP(B124,country_opex,7,FALSE)/((W124*pax_cap*IF(B124="South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Korea",korea_mid_revleg,revleg_mid)),0))*VLOOKUP(B124,country_opex,3,FALSE))+Z124+AA124+AB124+AC124+AD124)))</f>
        <v/>
      </c>
      <c r="BA124" s="54">
        <f>IF(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&lt;=0,"",VLOOKUP(B124,country_opex,7,FALSE)/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)</f>
        <v/>
      </c>
      <c r="BB124" s="40" t="inlineStr">
        <is>
          <t>Seasonal Market Square-&gt;Korkeasaari ferry adult seat ~EUR 8 (archipelago leisure tier; zoo admission separate). EUR 8 x 1.08 = $8.64.</t>
        </is>
      </c>
      <c r="BC124" s="40" t="n"/>
      <c r="BD124" s="43" t="n"/>
    </row>
    <row r="125">
      <c r="A125" s="38" t="inlineStr">
        <is>
          <t>Bolt Finland</t>
        </is>
      </c>
      <c r="B125" s="38" t="inlineStr">
        <is>
          <t>Finland</t>
        </is>
      </c>
      <c r="C125" s="39" t="inlineStr">
        <is>
          <t>Helsinki → Kruunuvuorenranta (Laajasalo)</t>
        </is>
      </c>
      <c r="D125" s="38" t="inlineStr">
        <is>
          <t>bolt</t>
        </is>
      </c>
      <c r="E125" s="40" t="inlineStr">
        <is>
          <t>bolt-finland</t>
        </is>
      </c>
      <c r="F125" s="41" t="n">
        <v>1</v>
      </c>
      <c r="G125" s="42" t="n">
        <v>2</v>
      </c>
      <c r="H125" s="35" t="n">
        <v>18</v>
      </c>
      <c r="I125" s="43" t="inlineStr">
        <is>
          <t>T2</t>
        </is>
      </c>
      <c r="J125" s="43" t="inlineStr">
        <is>
          <t>med</t>
        </is>
      </c>
      <c r="K125" s="29" t="n">
        <v>1</v>
      </c>
      <c r="L125" s="44">
        <f>60*G125/cruise_kt</f>
        <v/>
      </c>
      <c r="M125" s="44">
        <f>IF(B125="South Korea",G125/korea_charge_range_nm*korea_full_range_charge_min,0)</f>
        <v/>
      </c>
      <c r="N125" s="44">
        <f>IF(B125="South Korea",L125+korea_turn_min+korea_dwell_min+M125,L125+turn_min+dwell_min)</f>
        <v/>
      </c>
      <c r="O125" s="45">
        <f>IF(B125="South Korea",FLOOR(60*korea_service_hr/N125,1),MIN(24,FLOOR(60*service_hr/N125,1)))</f>
        <v/>
      </c>
      <c r="P125" s="45">
        <f>IF(ABS(MOD(ABS((365*mech_uptime*K125)),1)-0.5)&lt;1E-9,2*ROUND((365*mech_uptime*K125)/2,0),ROUND((365*mech_uptime*K125),0))</f>
        <v/>
      </c>
      <c r="Q125" s="46">
        <f>mech_uptime</f>
        <v/>
      </c>
      <c r="R125" s="46">
        <f>IF(AND(B125="South Korea",scenario="MID"),korea_mid_revleg,revleg_sel)</f>
        <v/>
      </c>
      <c r="S125" s="45">
        <f>IF(ABS(MOD(ABS((O125*P125*R125)),1)-0.5)&lt;1E-9,2*ROUND((O125*P125*R125)/2,0),ROUND((O125*P125*R125),0))</f>
        <v/>
      </c>
      <c r="T125" s="46">
        <f>IF(AND(B125="South Korea",scenario="MID"),korea_mid_load,load_sel)</f>
        <v/>
      </c>
      <c r="U125" s="47">
        <f>pax_cap*T125</f>
        <v/>
      </c>
      <c r="V125" s="45">
        <f>U125*S125</f>
        <v/>
      </c>
      <c r="W125" s="48">
        <f>H125*discount</f>
        <v/>
      </c>
      <c r="X125" s="49">
        <f>W125*V125</f>
        <v/>
      </c>
      <c r="Y125" s="49">
        <f>(battery/range_nm)*G125*S125*VLOOKUP(B125,country_opex,3,FALSE)</f>
        <v/>
      </c>
      <c r="Z125" s="49">
        <f>VLOOKUP(B125,country_opex,2,FALSE)*crew_factor</f>
        <v/>
      </c>
      <c r="AA125" s="49">
        <f>VLOOKUP(B125,country_opex,5,FALSE)</f>
        <v/>
      </c>
      <c r="AB125" s="49">
        <f>maint</f>
        <v/>
      </c>
      <c r="AC125" s="49">
        <f>VLOOKUP(B125,country_opex,7,FALSE)*ins_pct</f>
        <v/>
      </c>
      <c r="AD125" s="49">
        <f>charge_berth</f>
        <v/>
      </c>
      <c r="AE125" s="49">
        <f>Y125+Z125+AA125+AB125+AC125+AD125</f>
        <v/>
      </c>
      <c r="AF125" s="49">
        <f>VLOOKUP(B125,country_opex,7,FALSE)/dep_years</f>
        <v/>
      </c>
      <c r="AG125" s="49">
        <f>X125-AE125</f>
        <v/>
      </c>
      <c r="AH125" s="46">
        <f>IF(X125=0,"",AG125/X125)</f>
        <v/>
      </c>
      <c r="AI125" s="47">
        <f>IF(AG125&lt;=0,"",VLOOKUP(B125,country_opex,7,FALSE)/AG125)</f>
        <v/>
      </c>
      <c r="AJ125" s="44">
        <f>((G125*S125/diesel_nmpg)*diesel_co2pg-(battery/range_nm)*G125*S125*VLOOKUP(B125,country_opex,4,FALSE))/1000</f>
        <v/>
      </c>
      <c r="AK125" s="42" t="n"/>
      <c r="AL125" s="43" t="n"/>
      <c r="AM125" s="43" t="n"/>
      <c r="AN125" s="50" t="n">
        <v>0.1</v>
      </c>
      <c r="AO125" s="45">
        <f>IF(AK125="","",AK125*AN125)</f>
        <v/>
      </c>
      <c r="AP125" s="45">
        <f>IF(OR(AK125="",V125=0),"",MIN(IF(AX125="",9.9E+99,AX125),FLOOR(AO125/V125,1)))</f>
        <v/>
      </c>
      <c r="AQ125" s="49">
        <f>IF(AP125="","",AP125*IF(ABS(MOD(ABS((X125)),1)-0.5)&lt;1E-9,2*ROUND((X125)/2,0),ROUND((X125),0)))</f>
        <v/>
      </c>
      <c r="AR125" s="47">
        <f>IF(OR(AK125="",V125=0),"",MIN(IF(AX125="",9.9E+99,AX125),AO125/V125))</f>
        <v/>
      </c>
      <c r="AS125" s="49">
        <f>IF(AR125="","",AR125*IF(B125="South Korea",IF(ABS(MOD(ABS((X125)),1)-0.5)&lt;1E-9,2*ROUND((X125)/2,0),ROUND((X125),0)),X125))</f>
        <v/>
      </c>
      <c r="AT125" s="51" t="n"/>
      <c r="AU125" s="43" t="inlineStr">
        <is>
          <t>Estimated</t>
        </is>
      </c>
      <c r="AV125" s="52" t="n"/>
      <c r="AW125" s="52" t="n"/>
      <c r="AX125" s="53" t="n"/>
      <c r="AY125" s="54">
        <f>IF(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&lt;=0,"",VLOOKUP(B125,country_opex,7,FALSE)/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)</f>
        <v/>
      </c>
      <c r="AZ125" s="54">
        <f>IF(((W125*pax_cap*IF(B125="South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Korea",korea_mid_revleg,revleg_mid)),0))*VLOOKUP(B125,country_opex,3,FALSE))+Z125+AA125+AB125+AC125+AD125))&lt;=0,"",VLOOKUP(B125,country_opex,7,FALSE)/((W125*pax_cap*IF(B125="South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Korea",korea_mid_revleg,revleg_mid)),0))*VLOOKUP(B125,country_opex,3,FALSE))+Z125+AA125+AB125+AC125+AD125)))</f>
        <v/>
      </c>
      <c r="BA125" s="54">
        <f>IF(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&lt;=0,"",VLOOKUP(B125,country_opex,7,FALSE)/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)</f>
        <v/>
      </c>
      <c r="BB125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C125" s="40" t="n"/>
      <c r="BD125" s="43" t="n"/>
    </row>
    <row r="126">
      <c r="A126" s="38" t="inlineStr">
        <is>
          <t>Bolt Finland</t>
        </is>
      </c>
      <c r="B126" s="38" t="inlineStr">
        <is>
          <t>Finland</t>
        </is>
      </c>
      <c r="C126" s="39" t="inlineStr">
        <is>
          <t>Helsinki → Vallisaari</t>
        </is>
      </c>
      <c r="D126" s="38" t="inlineStr">
        <is>
          <t>bolt</t>
        </is>
      </c>
      <c r="E126" s="40" t="inlineStr">
        <is>
          <t>bolt-finland</t>
        </is>
      </c>
      <c r="F126" s="41" t="n">
        <v>1</v>
      </c>
      <c r="G126" s="42" t="n">
        <v>2.5</v>
      </c>
      <c r="H126" s="35" t="n">
        <v>8.640000000000001</v>
      </c>
      <c r="I126" s="43" t="inlineStr">
        <is>
          <t>T2</t>
        </is>
      </c>
      <c r="J126" s="43" t="inlineStr">
        <is>
          <t>med</t>
        </is>
      </c>
      <c r="K126" s="29" t="n">
        <v>1</v>
      </c>
      <c r="L126" s="44">
        <f>60*G126/cruise_kt</f>
        <v/>
      </c>
      <c r="M126" s="44">
        <f>IF(B126="South Korea",G126/korea_charge_range_nm*korea_full_range_charge_min,0)</f>
        <v/>
      </c>
      <c r="N126" s="44">
        <f>IF(B126="South Korea",L126+korea_turn_min+korea_dwell_min+M126,L126+turn_min+dwell_min)</f>
        <v/>
      </c>
      <c r="O126" s="45">
        <f>IF(B126="South Korea",FLOOR(60*korea_service_hr/N126,1),MIN(15,FLOOR(60*service_hr/N126,1)))</f>
        <v/>
      </c>
      <c r="P126" s="45">
        <f>IF(ABS(MOD(ABS((365*mech_uptime*K126)),1)-0.5)&lt;1E-9,2*ROUND((365*mech_uptime*K126)/2,0),ROUND((365*mech_uptime*K126),0))</f>
        <v/>
      </c>
      <c r="Q126" s="46">
        <f>mech_uptime</f>
        <v/>
      </c>
      <c r="R126" s="46">
        <f>IF(AND(B126="South Korea",scenario="MID"),korea_mid_revleg,revleg_sel)</f>
        <v/>
      </c>
      <c r="S126" s="45">
        <f>IF(ABS(MOD(ABS((O126*P126*R126)),1)-0.5)&lt;1E-9,2*ROUND((O126*P126*R126)/2,0),ROUND((O126*P126*R126),0))</f>
        <v/>
      </c>
      <c r="T126" s="46">
        <f>IF(AND(B126="South Korea",scenario="MID"),korea_mid_load,load_sel)</f>
        <v/>
      </c>
      <c r="U126" s="47">
        <f>pax_cap*T126</f>
        <v/>
      </c>
      <c r="V126" s="45">
        <f>U126*S126</f>
        <v/>
      </c>
      <c r="W126" s="48">
        <f>H126*discount</f>
        <v/>
      </c>
      <c r="X126" s="49">
        <f>W126*V126</f>
        <v/>
      </c>
      <c r="Y126" s="49">
        <f>(battery/range_nm)*G126*S126*VLOOKUP(B126,country_opex,3,FALSE)</f>
        <v/>
      </c>
      <c r="Z126" s="49">
        <f>VLOOKUP(B126,country_opex,2,FALSE)*crew_factor</f>
        <v/>
      </c>
      <c r="AA126" s="49">
        <f>VLOOKUP(B126,country_opex,5,FALSE)</f>
        <v/>
      </c>
      <c r="AB126" s="49">
        <f>maint</f>
        <v/>
      </c>
      <c r="AC126" s="49">
        <f>VLOOKUP(B126,country_opex,7,FALSE)*ins_pct</f>
        <v/>
      </c>
      <c r="AD126" s="49">
        <f>charge_berth</f>
        <v/>
      </c>
      <c r="AE126" s="49">
        <f>Y126+Z126+AA126+AB126+AC126+AD126</f>
        <v/>
      </c>
      <c r="AF126" s="49">
        <f>VLOOKUP(B126,country_opex,7,FALSE)/dep_years</f>
        <v/>
      </c>
      <c r="AG126" s="49">
        <f>X126-AE126</f>
        <v/>
      </c>
      <c r="AH126" s="46">
        <f>IF(X126=0,"",AG126/X126)</f>
        <v/>
      </c>
      <c r="AI126" s="47">
        <f>IF(AG126&lt;=0,"",VLOOKUP(B126,country_opex,7,FALSE)/AG126)</f>
        <v/>
      </c>
      <c r="AJ126" s="44">
        <f>((G126*S126/diesel_nmpg)*diesel_co2pg-(battery/range_nm)*G126*S126*VLOOKUP(B126,country_opex,4,FALSE))/1000</f>
        <v/>
      </c>
      <c r="AK126" s="42" t="n">
        <v>500000</v>
      </c>
      <c r="AL126" s="43" t="n"/>
      <c r="AM126" s="43" t="n"/>
      <c r="AN126" s="50" t="n">
        <v>0.1</v>
      </c>
      <c r="AO126" s="45">
        <f>IF(AK126="","",AK126*AN126)</f>
        <v/>
      </c>
      <c r="AP126" s="45">
        <f>IF(OR(AK126="",V126=0),"",MIN(IF(AX126="",9.9E+99,AX126),FLOOR(AO126/V126,1)))</f>
        <v/>
      </c>
      <c r="AQ126" s="49">
        <f>IF(AP126="","",AP126*IF(ABS(MOD(ABS((X126)),1)-0.5)&lt;1E-9,2*ROUND((X126)/2,0),ROUND((X126),0)))</f>
        <v/>
      </c>
      <c r="AR126" s="47">
        <f>IF(OR(AK126="",V126=0),"",MIN(IF(AX126="",9.9E+99,AX126),AO126/V126))</f>
        <v/>
      </c>
      <c r="AS126" s="49">
        <f>IF(AR126="","",AR126*IF(B126="South Korea",IF(ABS(MOD(ABS((X126)),1)-0.5)&lt;1E-9,2*ROUND((X126)/2,0),ROUND((X126),0)),X126))</f>
        <v/>
      </c>
      <c r="AT126" s="51" t="n"/>
      <c r="AU126" s="43" t="inlineStr">
        <is>
          <t>Grounded</t>
        </is>
      </c>
      <c r="AV126" s="52" t="n"/>
      <c r="AW126" s="52" t="n"/>
      <c r="AX126" s="53" t="n"/>
      <c r="AY126" s="54">
        <f>IF(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&lt;=0,"",VLOOKUP(B126,country_opex,7,FALSE)/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)</f>
        <v/>
      </c>
      <c r="AZ126" s="54">
        <f>IF(((W126*pax_cap*IF(B126="South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Korea",korea_mid_revleg,revleg_mid)),0))*VLOOKUP(B126,country_opex,3,FALSE))+Z126+AA126+AB126+AC126+AD126))&lt;=0,"",VLOOKUP(B126,country_opex,7,FALSE)/((W126*pax_cap*IF(B126="South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Korea",korea_mid_revleg,revleg_mid)),0))*VLOOKUP(B126,country_opex,3,FALSE))+Z126+AA126+AB126+AC126+AD126)))</f>
        <v/>
      </c>
      <c r="BA126" s="54">
        <f>IF(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&lt;=0,"",VLOOKUP(B126,country_opex,7,FALSE)/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)</f>
        <v/>
      </c>
      <c r="BB126" s="40" t="inlineStr">
        <is>
          <t>JT-Line adult island ferry seat ~EUR 8 (2026 island-hop tariff; EUR 9 quoted 2024). EUR 8 x 1.08 = $8.64.</t>
        </is>
      </c>
      <c r="BC126" s="40" t="n"/>
      <c r="BD126" s="43" t="n"/>
    </row>
    <row r="127">
      <c r="A127" s="38" t="inlineStr">
        <is>
          <t>Bolt Finland</t>
        </is>
      </c>
      <c r="B127" s="38" t="inlineStr">
        <is>
          <t>Finland</t>
        </is>
      </c>
      <c r="C127" s="39" t="inlineStr">
        <is>
          <t>Helsinki → Porvoo</t>
        </is>
      </c>
      <c r="D127" s="38" t="inlineStr">
        <is>
          <t>bolt</t>
        </is>
      </c>
      <c r="E127" s="40" t="inlineStr">
        <is>
          <t>bolt-finland</t>
        </is>
      </c>
      <c r="F127" s="41" t="n">
        <v>1</v>
      </c>
      <c r="G127" s="42" t="n">
        <v>26</v>
      </c>
      <c r="H127" s="35" t="n"/>
      <c r="I127" s="43" t="n"/>
      <c r="J127" s="43" t="n"/>
      <c r="K127" s="29" t="n">
        <v>1</v>
      </c>
      <c r="L127" s="44">
        <f>60*G127/cruise_kt</f>
        <v/>
      </c>
      <c r="M127" s="44">
        <f>IF(B127="South Korea",G127/korea_charge_range_nm*korea_full_range_charge_min,0)</f>
        <v/>
      </c>
      <c r="N127" s="44">
        <f>IF(B127="South Korea",L127+korea_turn_min+korea_dwell_min+M127,L127+turn_min+dwell_min)</f>
        <v/>
      </c>
      <c r="O127" s="45">
        <f>IF(B127="South Korea",FLOOR(60*korea_service_hr/N127,1),MIN(24,FLOOR(60*service_hr/N127,1)))</f>
        <v/>
      </c>
      <c r="P127" s="45">
        <f>IF(ABS(MOD(ABS((365*mech_uptime*K127)),1)-0.5)&lt;1E-9,2*ROUND((365*mech_uptime*K127)/2,0),ROUND((365*mech_uptime*K127),0))</f>
        <v/>
      </c>
      <c r="Q127" s="46">
        <f>mech_uptime</f>
        <v/>
      </c>
      <c r="R127" s="46">
        <f>IF(AND(B127="South Korea",scenario="MID"),korea_mid_revleg,revleg_sel)</f>
        <v/>
      </c>
      <c r="S127" s="45">
        <f>IF(ABS(MOD(ABS((O127*P127*R127)),1)-0.5)&lt;1E-9,2*ROUND((O127*P127*R127)/2,0),ROUND((O127*P127*R127),0))</f>
        <v/>
      </c>
      <c r="T127" s="46">
        <f>IF(AND(B127="South Korea",scenario="MID"),korea_mid_load,load_sel)</f>
        <v/>
      </c>
      <c r="U127" s="47">
        <f>pax_cap*T127</f>
        <v/>
      </c>
      <c r="V127" s="45">
        <f>U127*S127</f>
        <v/>
      </c>
      <c r="W127" s="48">
        <f>H127*discount</f>
        <v/>
      </c>
      <c r="X127" s="49">
        <f>W127*V127</f>
        <v/>
      </c>
      <c r="Y127" s="49">
        <f>(battery/range_nm)*G127*S127*VLOOKUP(B127,country_opex,3,FALSE)</f>
        <v/>
      </c>
      <c r="Z127" s="49">
        <f>VLOOKUP(B127,country_opex,2,FALSE)*crew_factor</f>
        <v/>
      </c>
      <c r="AA127" s="49">
        <f>VLOOKUP(B127,country_opex,5,FALSE)</f>
        <v/>
      </c>
      <c r="AB127" s="49">
        <f>maint</f>
        <v/>
      </c>
      <c r="AC127" s="49">
        <f>VLOOKUP(B127,country_opex,7,FALSE)*ins_pct</f>
        <v/>
      </c>
      <c r="AD127" s="49">
        <f>charge_berth</f>
        <v/>
      </c>
      <c r="AE127" s="49">
        <f>Y127+Z127+AA127+AB127+AC127+AD127</f>
        <v/>
      </c>
      <c r="AF127" s="49">
        <f>VLOOKUP(B127,country_opex,7,FALSE)/dep_years</f>
        <v/>
      </c>
      <c r="AG127" s="49">
        <f>X127-AE127</f>
        <v/>
      </c>
      <c r="AH127" s="46">
        <f>IF(X127=0,"",AG127/X127)</f>
        <v/>
      </c>
      <c r="AI127" s="47">
        <f>IF(AG127&lt;=0,"",VLOOKUP(B127,country_opex,7,FALSE)/AG127)</f>
        <v/>
      </c>
      <c r="AJ127" s="44">
        <f>((G127*S127/diesel_nmpg)*diesel_co2pg-(battery/range_nm)*G127*S127*VLOOKUP(B127,country_opex,4,FALSE))/1000</f>
        <v/>
      </c>
      <c r="AK127" s="42" t="n"/>
      <c r="AL127" s="43" t="n"/>
      <c r="AM127" s="43" t="n"/>
      <c r="AN127" s="50" t="n">
        <v>0.1</v>
      </c>
      <c r="AO127" s="45">
        <f>IF(AK127="","",AK127*AN127)</f>
        <v/>
      </c>
      <c r="AP127" s="45">
        <f>IF(OR(AK127="",V127=0),"",MIN(IF(AX127="",9.9E+99,AX127),FLOOR(AO127/V127,1)))</f>
        <v/>
      </c>
      <c r="AQ127" s="49">
        <f>IF(AP127="","",AP127*IF(ABS(MOD(ABS((X127)),1)-0.5)&lt;1E-9,2*ROUND((X127)/2,0),ROUND((X127),0)))</f>
        <v/>
      </c>
      <c r="AR127" s="47">
        <f>IF(OR(AK127="",V127=0),"",MIN(IF(AX127="",9.9E+99,AX127),AO127/V127))</f>
        <v/>
      </c>
      <c r="AS127" s="49">
        <f>IF(AR127="","",AR127*IF(B127="South Korea",IF(ABS(MOD(ABS((X127)),1)-0.5)&lt;1E-9,2*ROUND((X127)/2,0),ROUND((X127),0)),X127))</f>
        <v/>
      </c>
      <c r="AT127" s="51" t="n"/>
      <c r="AU127" s="43" t="inlineStr">
        <is>
          <t>Estimated</t>
        </is>
      </c>
      <c r="AV127" s="52" t="n"/>
      <c r="AW127" s="52" t="n"/>
      <c r="AX127" s="53" t="n"/>
      <c r="AY127" s="54">
        <f>IF(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&lt;=0,"",VLOOKUP(B127,country_opex,7,FALSE)/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)</f>
        <v/>
      </c>
      <c r="AZ127" s="54">
        <f>IF(((W127*pax_cap*IF(B127="South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Korea",korea_mid_revleg,revleg_mid)),0))*VLOOKUP(B127,country_opex,3,FALSE))+Z127+AA127+AB127+AC127+AD127))&lt;=0,"",VLOOKUP(B127,country_opex,7,FALSE)/((W127*pax_cap*IF(B127="South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Korea",korea_mid_revleg,revleg_mid)),0))*VLOOKUP(B127,country_opex,3,FALSE))+Z127+AA127+AB127+AC127+AD127)))</f>
        <v/>
      </c>
      <c r="BA127" s="54">
        <f>IF(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&lt;=0,"",VLOOKUP(B127,country_opex,7,FALSE)/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)</f>
        <v/>
      </c>
      <c r="BB127" s="40" t="n"/>
      <c r="BC127" s="40" t="n"/>
      <c r="BD127" s="43" t="n"/>
    </row>
    <row r="128">
      <c r="A128" s="38" t="inlineStr">
        <is>
          <t>Bolt Finland</t>
        </is>
      </c>
      <c r="B128" s="38" t="inlineStr">
        <is>
          <t>Finland</t>
        </is>
      </c>
      <c r="C128" s="39" t="inlineStr">
        <is>
          <t>Helsinki → Tallinn</t>
        </is>
      </c>
      <c r="D128" s="38" t="inlineStr">
        <is>
          <t>bolt</t>
        </is>
      </c>
      <c r="E128" s="40" t="inlineStr">
        <is>
          <t>bolt-finland</t>
        </is>
      </c>
      <c r="F128" s="41" t="n">
        <v>1</v>
      </c>
      <c r="G128" s="42" t="n">
        <v>43</v>
      </c>
      <c r="H128" s="35" t="n">
        <v>27</v>
      </c>
      <c r="I128" s="43" t="inlineStr">
        <is>
          <t>T2</t>
        </is>
      </c>
      <c r="J128" s="43" t="inlineStr">
        <is>
          <t>med</t>
        </is>
      </c>
      <c r="K128" s="29" t="n">
        <v>1</v>
      </c>
      <c r="L128" s="44">
        <f>60*G128/cruise_kt</f>
        <v/>
      </c>
      <c r="M128" s="44">
        <f>IF(B128="South Korea",G128/korea_charge_range_nm*korea_full_range_charge_min,0)</f>
        <v/>
      </c>
      <c r="N128" s="44">
        <f>IF(B128="South Korea",L128+korea_turn_min+korea_dwell_min+M128,L128+turn_min+dwell_min)</f>
        <v/>
      </c>
      <c r="O128" s="45">
        <f>IF(B128="South Korea",FLOOR(60*korea_service_hr/N128,1),MIN(15,FLOOR(60*service_hr/N128,1)))</f>
        <v/>
      </c>
      <c r="P128" s="45">
        <f>IF(ABS(MOD(ABS((365*mech_uptime*K128)),1)-0.5)&lt;1E-9,2*ROUND((365*mech_uptime*K128)/2,0),ROUND((365*mech_uptime*K128),0))</f>
        <v/>
      </c>
      <c r="Q128" s="46">
        <f>mech_uptime</f>
        <v/>
      </c>
      <c r="R128" s="46">
        <f>IF(AND(B128="South Korea",scenario="MID"),korea_mid_revleg,revleg_sel)</f>
        <v/>
      </c>
      <c r="S128" s="45">
        <f>IF(ABS(MOD(ABS((O128*P128*R128)),1)-0.5)&lt;1E-9,2*ROUND((O128*P128*R128)/2,0),ROUND((O128*P128*R128),0))</f>
        <v/>
      </c>
      <c r="T128" s="46">
        <f>IF(AND(B128="South Korea",scenario="MID"),korea_mid_load,load_sel)</f>
        <v/>
      </c>
      <c r="U128" s="47">
        <f>pax_cap*T128</f>
        <v/>
      </c>
      <c r="V128" s="45">
        <f>U128*S128</f>
        <v/>
      </c>
      <c r="W128" s="48">
        <f>H128*discount</f>
        <v/>
      </c>
      <c r="X128" s="49">
        <f>W128*V128</f>
        <v/>
      </c>
      <c r="Y128" s="49">
        <f>(battery/range_nm)*G128*S128*VLOOKUP(B128,country_opex,3,FALSE)</f>
        <v/>
      </c>
      <c r="Z128" s="49">
        <f>VLOOKUP(B128,country_opex,2,FALSE)*crew_factor</f>
        <v/>
      </c>
      <c r="AA128" s="49">
        <f>VLOOKUP(B128,country_opex,5,FALSE)</f>
        <v/>
      </c>
      <c r="AB128" s="49">
        <f>maint</f>
        <v/>
      </c>
      <c r="AC128" s="49">
        <f>VLOOKUP(B128,country_opex,7,FALSE)*ins_pct</f>
        <v/>
      </c>
      <c r="AD128" s="49">
        <f>charge_berth</f>
        <v/>
      </c>
      <c r="AE128" s="49">
        <f>Y128+Z128+AA128+AB128+AC128+AD128</f>
        <v/>
      </c>
      <c r="AF128" s="49">
        <f>VLOOKUP(B128,country_opex,7,FALSE)/dep_years</f>
        <v/>
      </c>
      <c r="AG128" s="49">
        <f>X128-AE128</f>
        <v/>
      </c>
      <c r="AH128" s="46">
        <f>IF(X128=0,"",AG128/X128)</f>
        <v/>
      </c>
      <c r="AI128" s="47">
        <f>IF(AG128&lt;=0,"",VLOOKUP(B128,country_opex,7,FALSE)/AG128)</f>
        <v/>
      </c>
      <c r="AJ128" s="44">
        <f>((G128*S128/diesel_nmpg)*diesel_co2pg-(battery/range_nm)*G128*S128*VLOOKUP(B128,country_opex,4,FALSE))/1000</f>
        <v/>
      </c>
      <c r="AK128" s="42" t="n">
        <v>750000</v>
      </c>
      <c r="AL128" s="43" t="n"/>
      <c r="AM128" s="43" t="inlineStr">
        <is>
          <t>med</t>
        </is>
      </c>
      <c r="AN128" s="50" t="n">
        <v>0.25</v>
      </c>
      <c r="AO128" s="45">
        <f>IF(AK128="","",AK128*AN128)</f>
        <v/>
      </c>
      <c r="AP128" s="45">
        <f>IF(OR(AK128="",V128=0),"",MIN(IF(AX128="",9.9E+99,AX128),FLOOR(AO128/V128,1)))</f>
        <v/>
      </c>
      <c r="AQ128" s="49">
        <f>IF(AP128="","",AP128*IF(ABS(MOD(ABS((X128)),1)-0.5)&lt;1E-9,2*ROUND((X128)/2,0),ROUND((X128),0)))</f>
        <v/>
      </c>
      <c r="AR128" s="47">
        <f>IF(OR(AK128="",V128=0),"",MIN(IF(AX128="",9.9E+99,AX128),AO128/V128))</f>
        <v/>
      </c>
      <c r="AS128" s="49">
        <f>IF(AR128="","",AR128*IF(B128="South Korea",IF(ABS(MOD(ABS((X128)),1)-0.5)&lt;1E-9,2*ROUND((X128)/2,0),ROUND((X128),0)),X128))</f>
        <v/>
      </c>
      <c r="AT128" s="51" t="n"/>
      <c r="AU128" s="43" t="inlineStr">
        <is>
          <t>Estimated</t>
        </is>
      </c>
      <c r="AV128" s="52" t="n"/>
      <c r="AW128" s="52" t="n"/>
      <c r="AX128" s="53" t="n"/>
      <c r="AY128" s="54">
        <f>IF(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&lt;=0,"",VLOOKUP(B128,country_opex,7,FALSE)/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)</f>
        <v/>
      </c>
      <c r="AZ128" s="54">
        <f>IF(((W128*pax_cap*IF(B128="South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Korea",korea_mid_revleg,revleg_mid)),0))*VLOOKUP(B128,country_opex,3,FALSE))+Z128+AA128+AB128+AC128+AD128))&lt;=0,"",VLOOKUP(B128,country_opex,7,FALSE)/((W128*pax_cap*IF(B128="South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Korea",korea_mid_revleg,revleg_mid)),0))*VLOOKUP(B128,country_opex,3,FALSE))+Z128+AA128+AB128+AC128+AD128)))</f>
        <v/>
      </c>
      <c r="BA128" s="54">
        <f>IF(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&lt;=0,"",VLOOKUP(B128,country_opex,7,FALSE)/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)</f>
        <v/>
      </c>
      <c r="BB128" s="40" t="inlineStr">
        <is>
          <t>PREMIUM tier: standard adult walk-up fast-ferry seat ~EUR 25 (range EUR 18-35 by season/operator/advance; Tallink Megastar/MyStar, Viking from EUR 18, Eckero). EUR 25 x 1.08 = $27.0.</t>
        </is>
      </c>
      <c r="BC128" s="40" t="n"/>
      <c r="BD128" s="43" t="n"/>
    </row>
    <row r="129">
      <c r="A129" s="38" t="inlineStr">
        <is>
          <t>Bolt France Riviera</t>
        </is>
      </c>
      <c r="B129" s="38" t="inlineStr">
        <is>
          <t>France</t>
        </is>
      </c>
      <c r="C129" s="39" t="inlineStr">
        <is>
          <t>Cannes → Ile Sainte-Marguerite (Iles de Lerins)</t>
        </is>
      </c>
      <c r="D129" s="38" t="inlineStr">
        <is>
          <t>bolt</t>
        </is>
      </c>
      <c r="E129" s="40" t="inlineStr">
        <is>
          <t>bolt-france-riviera</t>
        </is>
      </c>
      <c r="F129" s="41" t="n">
        <v>1</v>
      </c>
      <c r="G129" s="42" t="n">
        <v>1.5</v>
      </c>
      <c r="H129" s="35" t="n">
        <v>10.3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IF(B129="South Korea",G129/korea_charge_range_nm*korea_full_range_charge_min,0)</f>
        <v/>
      </c>
      <c r="N129" s="44">
        <f>IF(B129="South Korea",L129+korea_turn_min+korea_dwell_min+M129,L129+turn_min+dwell_min)</f>
        <v/>
      </c>
      <c r="O129" s="45">
        <f>IF(B129="South Korea",FLOOR(60*korea_service_hr/N129,1),MIN(15,FLOOR(60*service_hr/N129,1)))</f>
        <v/>
      </c>
      <c r="P129" s="45">
        <f>IF(ABS(MOD(ABS((365*mech_uptime*K129)),1)-0.5)&lt;1E-9,2*ROUND((365*mech_uptime*K129)/2,0),ROUND((365*mech_uptime*K129),0))</f>
        <v/>
      </c>
      <c r="Q129" s="46">
        <f>mech_uptime</f>
        <v/>
      </c>
      <c r="R129" s="46">
        <f>IF(AND(B129="South Korea",scenario="MID"),korea_mid_revleg,revleg_sel)</f>
        <v/>
      </c>
      <c r="S129" s="45">
        <f>IF(ABS(MOD(ABS((O129*P129*R129)),1)-0.5)&lt;1E-9,2*ROUND((O129*P129*R129)/2,0),ROUND((O129*P129*R129),0))</f>
        <v/>
      </c>
      <c r="T129" s="46">
        <f>IF(AND(B129="South Korea",scenario="MID"),korea_mid_load,load_sel)</f>
        <v/>
      </c>
      <c r="U129" s="47">
        <f>pax_cap*T129</f>
        <v/>
      </c>
      <c r="V129" s="45">
        <f>U129*S129</f>
        <v/>
      </c>
      <c r="W129" s="48">
        <f>H129*discount</f>
        <v/>
      </c>
      <c r="X129" s="49">
        <f>W129*V129</f>
        <v/>
      </c>
      <c r="Y129" s="49">
        <f>(battery/range_nm)*G129*S129*VLOOKUP(B129,country_opex,3,FALSE)</f>
        <v/>
      </c>
      <c r="Z129" s="49">
        <f>VLOOKUP(B129,country_opex,2,FALSE)*crew_factor</f>
        <v/>
      </c>
      <c r="AA129" s="49">
        <f>VLOOKUP(B129,country_opex,5,FALSE)</f>
        <v/>
      </c>
      <c r="AB129" s="49">
        <f>maint</f>
        <v/>
      </c>
      <c r="AC129" s="49">
        <f>VLOOKUP(B129,country_opex,7,FALSE)*ins_pct</f>
        <v/>
      </c>
      <c r="AD129" s="49">
        <f>charge_berth</f>
        <v/>
      </c>
      <c r="AE129" s="49">
        <f>Y129+Z129+AA129+AB129+AC129+AD129</f>
        <v/>
      </c>
      <c r="AF129" s="49">
        <f>VLOOKUP(B129,country_opex,7,FALSE)/dep_years</f>
        <v/>
      </c>
      <c r="AG129" s="49">
        <f>X129-AE129</f>
        <v/>
      </c>
      <c r="AH129" s="46">
        <f>IF(X129=0,"",AG129/X129)</f>
        <v/>
      </c>
      <c r="AI129" s="47">
        <f>IF(AG129&lt;=0,"",VLOOKUP(B129,country_opex,7,FALSE)/AG129)</f>
        <v/>
      </c>
      <c r="AJ129" s="44">
        <f>((G129*S129/diesel_nmpg)*diesel_co2pg-(battery/range_nm)*G129*S129*VLOOKUP(B129,country_opex,4,FALSE))/1000</f>
        <v/>
      </c>
      <c r="AK129" s="42" t="n">
        <v>300000</v>
      </c>
      <c r="AL129" s="43" t="n"/>
      <c r="AM129" s="43" t="n"/>
      <c r="AN129" s="50" t="n">
        <v>0.1</v>
      </c>
      <c r="AO129" s="45">
        <f>IF(AK129="","",AK129*AN129)</f>
        <v/>
      </c>
      <c r="AP129" s="45">
        <f>IF(OR(AK129="",V129=0),"",MIN(IF(AX129="",9.9E+99,AX129),FLOOR(AO129/V129,1)))</f>
        <v/>
      </c>
      <c r="AQ129" s="49">
        <f>IF(AP129="","",AP129*IF(ABS(MOD(ABS((X129)),1)-0.5)&lt;1E-9,2*ROUND((X129)/2,0),ROUND((X129),0)))</f>
        <v/>
      </c>
      <c r="AR129" s="47">
        <f>IF(OR(AK129="",V129=0),"",MIN(IF(AX129="",9.9E+99,AX129),AO129/V129))</f>
        <v/>
      </c>
      <c r="AS129" s="49">
        <f>IF(AR129="","",AR129*IF(B129="South Korea",IF(ABS(MOD(ABS((X129)),1)-0.5)&lt;1E-9,2*ROUND((X129)/2,0),ROUND((X129),0)),X129))</f>
        <v/>
      </c>
      <c r="AT129" s="51" t="n"/>
      <c r="AU129" s="43" t="inlineStr">
        <is>
          <t>Grounded</t>
        </is>
      </c>
      <c r="AV129" s="52" t="n"/>
      <c r="AW129" s="52" t="n"/>
      <c r="AX129" s="53" t="n"/>
      <c r="AY129" s="54">
        <f>IF(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&lt;=0,"",VLOOKUP(B129,country_opex,7,FALSE)/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)</f>
        <v/>
      </c>
      <c r="AZ129" s="54">
        <f>IF(((W129*pax_cap*IF(B129="South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Korea",korea_mid_revleg,revleg_mid)),0))*VLOOKUP(B129,country_opex,3,FALSE))+Z129+AA129+AB129+AC129+AD129))&lt;=0,"",VLOOKUP(B129,country_opex,7,FALSE)/((W129*pax_cap*IF(B129="South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Korea",korea_mid_revleg,revleg_mid)),0))*VLOOKUP(B129,country_opex,3,FALSE))+Z129+AA129+AB129+AC129+AD129)))</f>
        <v/>
      </c>
      <c r="BA129" s="54">
        <f>IF(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&lt;=0,"",VLOOKUP(B129,country_opex,7,FALSE)/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)</f>
        <v/>
      </c>
      <c r="BB129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C129" s="40" t="n"/>
      <c r="BD129" s="43" t="n"/>
    </row>
    <row r="130">
      <c r="A130" s="38" t="inlineStr">
        <is>
          <t>Bolt France Riviera</t>
        </is>
      </c>
      <c r="B130" s="38" t="inlineStr">
        <is>
          <t>France</t>
        </is>
      </c>
      <c r="C130" s="39" t="inlineStr">
        <is>
          <t>Menton → Monaco</t>
        </is>
      </c>
      <c r="D130" s="38" t="inlineStr">
        <is>
          <t>bolt</t>
        </is>
      </c>
      <c r="E130" s="40" t="inlineStr">
        <is>
          <t>bolt-france-riviera</t>
        </is>
      </c>
      <c r="F130" s="41" t="n">
        <v>1</v>
      </c>
      <c r="G130" s="42" t="n">
        <v>4</v>
      </c>
      <c r="H130" s="35" t="n"/>
      <c r="I130" s="43" t="n"/>
      <c r="J130" s="43" t="n"/>
      <c r="K130" s="29" t="n">
        <v>1</v>
      </c>
      <c r="L130" s="44">
        <f>60*G130/cruise_kt</f>
        <v/>
      </c>
      <c r="M130" s="44">
        <f>IF(B130="South Korea",G130/korea_charge_range_nm*korea_full_range_charge_min,0)</f>
        <v/>
      </c>
      <c r="N130" s="44">
        <f>IF(B130="South Korea",L130+korea_turn_min+korea_dwell_min+M130,L130+turn_min+dwell_min)</f>
        <v/>
      </c>
      <c r="O130" s="45">
        <f>IF(B130="South Korea",FLOOR(60*korea_service_hr/N130,1),MIN(24,FLOOR(60*service_hr/N130,1)))</f>
        <v/>
      </c>
      <c r="P130" s="45">
        <f>IF(ABS(MOD(ABS((365*mech_uptime*K130)),1)-0.5)&lt;1E-9,2*ROUND((365*mech_uptime*K130)/2,0),ROUND((365*mech_uptime*K130),0))</f>
        <v/>
      </c>
      <c r="Q130" s="46">
        <f>mech_uptime</f>
        <v/>
      </c>
      <c r="R130" s="46">
        <f>IF(AND(B130="South Korea",scenario="MID"),korea_mid_revleg,revleg_sel)</f>
        <v/>
      </c>
      <c r="S130" s="45">
        <f>IF(ABS(MOD(ABS((O130*P130*R130)),1)-0.5)&lt;1E-9,2*ROUND((O130*P130*R130)/2,0),ROUND((O130*P130*R130),0))</f>
        <v/>
      </c>
      <c r="T130" s="46">
        <f>IF(AND(B130="South Korea",scenario="MID"),korea_mid_load,load_sel)</f>
        <v/>
      </c>
      <c r="U130" s="47">
        <f>pax_cap*T130</f>
        <v/>
      </c>
      <c r="V130" s="45">
        <f>U130*S130</f>
        <v/>
      </c>
      <c r="W130" s="48">
        <f>H130*discount</f>
        <v/>
      </c>
      <c r="X130" s="49">
        <f>W130*V130</f>
        <v/>
      </c>
      <c r="Y130" s="49">
        <f>(battery/range_nm)*G130*S130*VLOOKUP(B130,country_opex,3,FALSE)</f>
        <v/>
      </c>
      <c r="Z130" s="49">
        <f>VLOOKUP(B130,country_opex,2,FALSE)*crew_factor</f>
        <v/>
      </c>
      <c r="AA130" s="49">
        <f>VLOOKUP(B130,country_opex,5,FALSE)</f>
        <v/>
      </c>
      <c r="AB130" s="49">
        <f>maint</f>
        <v/>
      </c>
      <c r="AC130" s="49">
        <f>VLOOKUP(B130,country_opex,7,FALSE)*ins_pct</f>
        <v/>
      </c>
      <c r="AD130" s="49">
        <f>charge_berth</f>
        <v/>
      </c>
      <c r="AE130" s="49">
        <f>Y130+Z130+AA130+AB130+AC130+AD130</f>
        <v/>
      </c>
      <c r="AF130" s="49">
        <f>VLOOKUP(B130,country_opex,7,FALSE)/dep_years</f>
        <v/>
      </c>
      <c r="AG130" s="49">
        <f>X130-AE130</f>
        <v/>
      </c>
      <c r="AH130" s="46">
        <f>IF(X130=0,"",AG130/X130)</f>
        <v/>
      </c>
      <c r="AI130" s="47">
        <f>IF(AG130&lt;=0,"",VLOOKUP(B130,country_opex,7,FALSE)/AG130)</f>
        <v/>
      </c>
      <c r="AJ130" s="44">
        <f>((G130*S130/diesel_nmpg)*diesel_co2pg-(battery/range_nm)*G130*S130*VLOOKUP(B130,country_opex,4,FALSE))/1000</f>
        <v/>
      </c>
      <c r="AK130" s="42" t="n">
        <v>110565</v>
      </c>
      <c r="AL130" s="43" t="n"/>
      <c r="AM130" s="43" t="n"/>
      <c r="AN130" s="50" t="n">
        <v>0.1</v>
      </c>
      <c r="AO130" s="45">
        <f>IF(AK130="","",AK130*AN130)</f>
        <v/>
      </c>
      <c r="AP130" s="45">
        <f>IF(OR(AK130="",V130=0),"",MIN(IF(AX130="",9.9E+99,AX130),FLOOR(AO130/V130,1)))</f>
        <v/>
      </c>
      <c r="AQ130" s="49">
        <f>IF(AP130="","",AP130*IF(ABS(MOD(ABS((X130)),1)-0.5)&lt;1E-9,2*ROUND((X130)/2,0),ROUND((X130),0)))</f>
        <v/>
      </c>
      <c r="AR130" s="47">
        <f>IF(OR(AK130="",V130=0),"",MIN(IF(AX130="",9.9E+99,AX130),AO130/V130))</f>
        <v/>
      </c>
      <c r="AS130" s="49">
        <f>IF(AR130="","",AR130*IF(B130="South Korea",IF(ABS(MOD(ABS((X130)),1)-0.5)&lt;1E-9,2*ROUND((X130)/2,0),ROUND((X130),0)),X130))</f>
        <v/>
      </c>
      <c r="AT130" s="51" t="n"/>
      <c r="AU130" s="43" t="inlineStr">
        <is>
          <t>Estimated</t>
        </is>
      </c>
      <c r="AV130" s="52" t="n"/>
      <c r="AW130" s="52" t="n"/>
      <c r="AX130" s="53" t="n"/>
      <c r="AY130" s="54">
        <f>IF(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&lt;=0,"",VLOOKUP(B130,country_opex,7,FALSE)/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)</f>
        <v/>
      </c>
      <c r="AZ130" s="54">
        <f>IF(((W130*pax_cap*IF(B130="South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Korea",korea_mid_revleg,revleg_mid)),0))*VLOOKUP(B130,country_opex,3,FALSE))+Z130+AA130+AB130+AC130+AD130))&lt;=0,"",VLOOKUP(B130,country_opex,7,FALSE)/((W130*pax_cap*IF(B130="South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Korea",korea_mid_revleg,revleg_mid)),0))*VLOOKUP(B130,country_opex,3,FALSE))+Z130+AA130+AB130+AC130+AD130)))</f>
        <v/>
      </c>
      <c r="BA130" s="54">
        <f>IF(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&lt;=0,"",VLOOKUP(B130,country_opex,7,FALSE)/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)</f>
        <v/>
      </c>
      <c r="BB130" s="40" t="n"/>
      <c r="BC130" s="40" t="n"/>
      <c r="BD130" s="43" t="n"/>
    </row>
    <row r="131">
      <c r="A131" s="38" t="inlineStr">
        <is>
          <t>Bolt France Riviera</t>
        </is>
      </c>
      <c r="B131" s="38" t="inlineStr">
        <is>
          <t>France</t>
        </is>
      </c>
      <c r="C131" s="39" t="inlineStr">
        <is>
          <t>Villefranche-sur-Mer → Monaco</t>
        </is>
      </c>
      <c r="D131" s="38" t="inlineStr">
        <is>
          <t>bolt</t>
        </is>
      </c>
      <c r="E131" s="40" t="inlineStr">
        <is>
          <t>bolt-france-riviera</t>
        </is>
      </c>
      <c r="F131" s="41" t="n">
        <v>1</v>
      </c>
      <c r="G131" s="42" t="n">
        <v>5</v>
      </c>
      <c r="H131" s="35" t="n"/>
      <c r="I131" s="43" t="n"/>
      <c r="J131" s="43" t="n"/>
      <c r="K131" s="29" t="n">
        <v>1</v>
      </c>
      <c r="L131" s="44">
        <f>60*G131/cruise_kt</f>
        <v/>
      </c>
      <c r="M131" s="44">
        <f>IF(B131="South Korea",G131/korea_charge_range_nm*korea_full_range_charge_min,0)</f>
        <v/>
      </c>
      <c r="N131" s="44">
        <f>IF(B131="South Korea",L131+korea_turn_min+korea_dwell_min+M131,L131+turn_min+dwell_min)</f>
        <v/>
      </c>
      <c r="O131" s="45">
        <f>IF(B131="South Korea",FLOOR(60*korea_service_hr/N131,1),MIN(24,FLOOR(60*service_hr/N131,1)))</f>
        <v/>
      </c>
      <c r="P131" s="45">
        <f>IF(ABS(MOD(ABS((365*mech_uptime*K131)),1)-0.5)&lt;1E-9,2*ROUND((365*mech_uptime*K131)/2,0),ROUND((365*mech_uptime*K131),0))</f>
        <v/>
      </c>
      <c r="Q131" s="46">
        <f>mech_uptime</f>
        <v/>
      </c>
      <c r="R131" s="46">
        <f>IF(AND(B131="South Korea",scenario="MID"),korea_mid_revleg,revleg_sel)</f>
        <v/>
      </c>
      <c r="S131" s="45">
        <f>IF(ABS(MOD(ABS((O131*P131*R131)),1)-0.5)&lt;1E-9,2*ROUND((O131*P131*R131)/2,0),ROUND((O131*P131*R131),0))</f>
        <v/>
      </c>
      <c r="T131" s="46">
        <f>IF(AND(B131="South Korea",scenario="MID"),korea_mid_load,load_sel)</f>
        <v/>
      </c>
      <c r="U131" s="47">
        <f>pax_cap*T131</f>
        <v/>
      </c>
      <c r="V131" s="45">
        <f>U131*S131</f>
        <v/>
      </c>
      <c r="W131" s="48">
        <f>H131*discount</f>
        <v/>
      </c>
      <c r="X131" s="49">
        <f>W131*V131</f>
        <v/>
      </c>
      <c r="Y131" s="49">
        <f>(battery/range_nm)*G131*S131*VLOOKUP(B131,country_opex,3,FALSE)</f>
        <v/>
      </c>
      <c r="Z131" s="49">
        <f>VLOOKUP(B131,country_opex,2,FALSE)*crew_factor</f>
        <v/>
      </c>
      <c r="AA131" s="49">
        <f>VLOOKUP(B131,country_opex,5,FALSE)</f>
        <v/>
      </c>
      <c r="AB131" s="49">
        <f>maint</f>
        <v/>
      </c>
      <c r="AC131" s="49">
        <f>VLOOKUP(B131,country_opex,7,FALSE)*ins_pct</f>
        <v/>
      </c>
      <c r="AD131" s="49">
        <f>charge_berth</f>
        <v/>
      </c>
      <c r="AE131" s="49">
        <f>Y131+Z131+AA131+AB131+AC131+AD131</f>
        <v/>
      </c>
      <c r="AF131" s="49">
        <f>VLOOKUP(B131,country_opex,7,FALSE)/dep_years</f>
        <v/>
      </c>
      <c r="AG131" s="49">
        <f>X131-AE131</f>
        <v/>
      </c>
      <c r="AH131" s="46">
        <f>IF(X131=0,"",AG131/X131)</f>
        <v/>
      </c>
      <c r="AI131" s="47">
        <f>IF(AG131&lt;=0,"",VLOOKUP(B131,country_opex,7,FALSE)/AG131)</f>
        <v/>
      </c>
      <c r="AJ131" s="44">
        <f>((G131*S131/diesel_nmpg)*diesel_co2pg-(battery/range_nm)*G131*S131*VLOOKUP(B131,country_opex,4,FALSE))/1000</f>
        <v/>
      </c>
      <c r="AK131" s="42" t="n"/>
      <c r="AL131" s="43" t="n"/>
      <c r="AM131" s="43" t="n"/>
      <c r="AN131" s="50" t="n">
        <v>0.1</v>
      </c>
      <c r="AO131" s="45">
        <f>IF(AK131="","",AK131*AN131)</f>
        <v/>
      </c>
      <c r="AP131" s="45">
        <f>IF(OR(AK131="",V131=0),"",MIN(IF(AX131="",9.9E+99,AX131),FLOOR(AO131/V131,1)))</f>
        <v/>
      </c>
      <c r="AQ131" s="49">
        <f>IF(AP131="","",AP131*IF(ABS(MOD(ABS((X131)),1)-0.5)&lt;1E-9,2*ROUND((X131)/2,0),ROUND((X131),0)))</f>
        <v/>
      </c>
      <c r="AR131" s="47">
        <f>IF(OR(AK131="",V131=0),"",MIN(IF(AX131="",9.9E+99,AX131),AO131/V131))</f>
        <v/>
      </c>
      <c r="AS131" s="49">
        <f>IF(AR131="","",AR131*IF(B131="South Korea",IF(ABS(MOD(ABS((X131)),1)-0.5)&lt;1E-9,2*ROUND((X131)/2,0),ROUND((X131),0)),X131))</f>
        <v/>
      </c>
      <c r="AT131" s="51" t="n"/>
      <c r="AU131" s="43" t="inlineStr">
        <is>
          <t>Estimated</t>
        </is>
      </c>
      <c r="AV131" s="52" t="n"/>
      <c r="AW131" s="52" t="n"/>
      <c r="AX131" s="53" t="n"/>
      <c r="AY131" s="54">
        <f>IF(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&lt;=0,"",VLOOKUP(B131,country_opex,7,FALSE)/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)</f>
        <v/>
      </c>
      <c r="AZ131" s="54">
        <f>IF(((W131*pax_cap*IF(B131="South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Korea",korea_mid_revleg,revleg_mid)),0))*VLOOKUP(B131,country_opex,3,FALSE))+Z131+AA131+AB131+AC131+AD131))&lt;=0,"",VLOOKUP(B131,country_opex,7,FALSE)/((W131*pax_cap*IF(B131="South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Korea",korea_mid_revleg,revleg_mid)),0))*VLOOKUP(B131,country_opex,3,FALSE))+Z131+AA131+AB131+AC131+AD131)))</f>
        <v/>
      </c>
      <c r="BA131" s="54">
        <f>IF(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&lt;=0,"",VLOOKUP(B131,country_opex,7,FALSE)/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)</f>
        <v/>
      </c>
      <c r="BB131" s="40" t="n"/>
      <c r="BC131" s="40" t="n"/>
      <c r="BD131" s="43" t="n"/>
    </row>
    <row r="132">
      <c r="A132" s="38" t="inlineStr">
        <is>
          <t>Bolt France Riviera</t>
        </is>
      </c>
      <c r="B132" s="38" t="inlineStr">
        <is>
          <t>France</t>
        </is>
      </c>
      <c r="C132" s="39" t="inlineStr">
        <is>
          <t>Antibes → Cannes</t>
        </is>
      </c>
      <c r="D132" s="38" t="inlineStr">
        <is>
          <t>bolt</t>
        </is>
      </c>
      <c r="E132" s="40" t="inlineStr">
        <is>
          <t>bolt-france-riviera</t>
        </is>
      </c>
      <c r="F132" s="41" t="n">
        <v>1</v>
      </c>
      <c r="G132" s="42" t="n">
        <v>6</v>
      </c>
      <c r="H132" s="35" t="n"/>
      <c r="I132" s="43" t="n"/>
      <c r="J132" s="43" t="n"/>
      <c r="K132" s="29" t="n">
        <v>1</v>
      </c>
      <c r="L132" s="44">
        <f>60*G132/cruise_kt</f>
        <v/>
      </c>
      <c r="M132" s="44">
        <f>IF(B132="South Korea",G132/korea_charge_range_nm*korea_full_range_charge_min,0)</f>
        <v/>
      </c>
      <c r="N132" s="44">
        <f>IF(B132="South Korea",L132+korea_turn_min+korea_dwell_min+M132,L132+turn_min+dwell_min)</f>
        <v/>
      </c>
      <c r="O132" s="45">
        <f>IF(B132="South Korea",FLOOR(60*korea_service_hr/N132,1),MIN(24,FLOOR(60*service_hr/N132,1)))</f>
        <v/>
      </c>
      <c r="P132" s="45">
        <f>IF(ABS(MOD(ABS((365*mech_uptime*K132)),1)-0.5)&lt;1E-9,2*ROUND((365*mech_uptime*K132)/2,0),ROUND((365*mech_uptime*K132),0))</f>
        <v/>
      </c>
      <c r="Q132" s="46">
        <f>mech_uptime</f>
        <v/>
      </c>
      <c r="R132" s="46">
        <f>IF(AND(B132="South Korea",scenario="MID"),korea_mid_revleg,revleg_sel)</f>
        <v/>
      </c>
      <c r="S132" s="45">
        <f>IF(ABS(MOD(ABS((O132*P132*R132)),1)-0.5)&lt;1E-9,2*ROUND((O132*P132*R132)/2,0),ROUND((O132*P132*R132),0))</f>
        <v/>
      </c>
      <c r="T132" s="46">
        <f>IF(AND(B132="South Korea",scenario="MID"),korea_mid_load,load_sel)</f>
        <v/>
      </c>
      <c r="U132" s="47">
        <f>pax_cap*T132</f>
        <v/>
      </c>
      <c r="V132" s="45">
        <f>U132*S132</f>
        <v/>
      </c>
      <c r="W132" s="48">
        <f>H132*discount</f>
        <v/>
      </c>
      <c r="X132" s="49">
        <f>W132*V132</f>
        <v/>
      </c>
      <c r="Y132" s="49">
        <f>(battery/range_nm)*G132*S132*VLOOKUP(B132,country_opex,3,FALSE)</f>
        <v/>
      </c>
      <c r="Z132" s="49">
        <f>VLOOKUP(B132,country_opex,2,FALSE)*crew_factor</f>
        <v/>
      </c>
      <c r="AA132" s="49">
        <f>VLOOKUP(B132,country_opex,5,FALSE)</f>
        <v/>
      </c>
      <c r="AB132" s="49">
        <f>maint</f>
        <v/>
      </c>
      <c r="AC132" s="49">
        <f>VLOOKUP(B132,country_opex,7,FALSE)*ins_pct</f>
        <v/>
      </c>
      <c r="AD132" s="49">
        <f>charge_berth</f>
        <v/>
      </c>
      <c r="AE132" s="49">
        <f>Y132+Z132+AA132+AB132+AC132+AD132</f>
        <v/>
      </c>
      <c r="AF132" s="49">
        <f>VLOOKUP(B132,country_opex,7,FALSE)/dep_years</f>
        <v/>
      </c>
      <c r="AG132" s="49">
        <f>X132-AE132</f>
        <v/>
      </c>
      <c r="AH132" s="46">
        <f>IF(X132=0,"",AG132/X132)</f>
        <v/>
      </c>
      <c r="AI132" s="47">
        <f>IF(AG132&lt;=0,"",VLOOKUP(B132,country_opex,7,FALSE)/AG132)</f>
        <v/>
      </c>
      <c r="AJ132" s="44">
        <f>((G132*S132/diesel_nmpg)*diesel_co2pg-(battery/range_nm)*G132*S132*VLOOKUP(B132,country_opex,4,FALSE))/1000</f>
        <v/>
      </c>
      <c r="AK132" s="42" t="n">
        <v>136595</v>
      </c>
      <c r="AL132" s="43" t="n"/>
      <c r="AM132" s="43" t="n"/>
      <c r="AN132" s="50" t="n">
        <v>0.1</v>
      </c>
      <c r="AO132" s="45">
        <f>IF(AK132="","",AK132*AN132)</f>
        <v/>
      </c>
      <c r="AP132" s="45">
        <f>IF(OR(AK132="",V132=0),"",MIN(IF(AX132="",9.9E+99,AX132),FLOOR(AO132/V132,1)))</f>
        <v/>
      </c>
      <c r="AQ132" s="49">
        <f>IF(AP132="","",AP132*IF(ABS(MOD(ABS((X132)),1)-0.5)&lt;1E-9,2*ROUND((X132)/2,0),ROUND((X132),0)))</f>
        <v/>
      </c>
      <c r="AR132" s="47">
        <f>IF(OR(AK132="",V132=0),"",MIN(IF(AX132="",9.9E+99,AX132),AO132/V132))</f>
        <v/>
      </c>
      <c r="AS132" s="49">
        <f>IF(AR132="","",AR132*IF(B132="South Korea",IF(ABS(MOD(ABS((X132)),1)-0.5)&lt;1E-9,2*ROUND((X132)/2,0),ROUND((X132),0)),X132))</f>
        <v/>
      </c>
      <c r="AT132" s="51" t="n"/>
      <c r="AU132" s="43" t="inlineStr">
        <is>
          <t>Estimated</t>
        </is>
      </c>
      <c r="AV132" s="52" t="n"/>
      <c r="AW132" s="52" t="n"/>
      <c r="AX132" s="53" t="n"/>
      <c r="AY132" s="54">
        <f>IF(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&lt;=0,"",VLOOKUP(B132,country_opex,7,FALSE)/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)</f>
        <v/>
      </c>
      <c r="AZ132" s="54">
        <f>IF(((W132*pax_cap*IF(B132="South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Korea",korea_mid_revleg,revleg_mid)),0))*VLOOKUP(B132,country_opex,3,FALSE))+Z132+AA132+AB132+AC132+AD132))&lt;=0,"",VLOOKUP(B132,country_opex,7,FALSE)/((W132*pax_cap*IF(B132="South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Korea",korea_mid_revleg,revleg_mid)),0))*VLOOKUP(B132,country_opex,3,FALSE))+Z132+AA132+AB132+AC132+AD132)))</f>
        <v/>
      </c>
      <c r="BA132" s="54">
        <f>IF(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&lt;=0,"",VLOOKUP(B132,country_opex,7,FALSE)/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)</f>
        <v/>
      </c>
      <c r="BB132" s="40" t="n"/>
      <c r="BC132" s="40" t="n"/>
      <c r="BD132" s="43" t="n"/>
    </row>
    <row r="133">
      <c r="A133" s="38" t="inlineStr">
        <is>
          <t>Bolt France Riviera</t>
        </is>
      </c>
      <c r="B133" s="38" t="inlineStr">
        <is>
          <t>France</t>
        </is>
      </c>
      <c r="C133" s="39" t="inlineStr">
        <is>
          <t>Nice → Monaco</t>
        </is>
      </c>
      <c r="D133" s="38" t="inlineStr">
        <is>
          <t>bolt</t>
        </is>
      </c>
      <c r="E133" s="40" t="inlineStr">
        <is>
          <t>bolt-france-riviera</t>
        </is>
      </c>
      <c r="F133" s="41" t="n">
        <v>1</v>
      </c>
      <c r="G133" s="42" t="n">
        <v>6.5</v>
      </c>
      <c r="H133" s="35" t="n">
        <v>26.7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IF(B133="South Korea",G133/korea_charge_range_nm*korea_full_range_charge_min,0)</f>
        <v/>
      </c>
      <c r="N133" s="44">
        <f>IF(B133="South Korea",L133+korea_turn_min+korea_dwell_min+M133,L133+turn_min+dwell_min)</f>
        <v/>
      </c>
      <c r="O133" s="45">
        <f>IF(B133="South Korea",FLOOR(60*korea_service_hr/N133,1),MIN(24,FLOOR(60*service_hr/N133,1)))</f>
        <v/>
      </c>
      <c r="P133" s="45">
        <f>IF(ABS(MOD(ABS((365*mech_uptime*K133)),1)-0.5)&lt;1E-9,2*ROUND((365*mech_uptime*K133)/2,0),ROUND((365*mech_uptime*K133),0))</f>
        <v/>
      </c>
      <c r="Q133" s="46">
        <f>mech_uptime</f>
        <v/>
      </c>
      <c r="R133" s="46">
        <f>IF(AND(B133="South Korea",scenario="MID"),korea_mid_revleg,revleg_sel)</f>
        <v/>
      </c>
      <c r="S133" s="45">
        <f>IF(ABS(MOD(ABS((O133*P133*R133)),1)-0.5)&lt;1E-9,2*ROUND((O133*P133*R133)/2,0),ROUND((O133*P133*R133),0))</f>
        <v/>
      </c>
      <c r="T133" s="46">
        <f>IF(AND(B133="South Korea",scenario="MID"),korea_mid_load,load_sel)</f>
        <v/>
      </c>
      <c r="U133" s="47">
        <f>pax_cap*T133</f>
        <v/>
      </c>
      <c r="V133" s="45">
        <f>U133*S133</f>
        <v/>
      </c>
      <c r="W133" s="48">
        <f>H133*discount</f>
        <v/>
      </c>
      <c r="X133" s="49">
        <f>W133*V133</f>
        <v/>
      </c>
      <c r="Y133" s="49">
        <f>(battery/range_nm)*G133*S133*VLOOKUP(B133,country_opex,3,FALSE)</f>
        <v/>
      </c>
      <c r="Z133" s="49">
        <f>VLOOKUP(B133,country_opex,2,FALSE)*crew_factor</f>
        <v/>
      </c>
      <c r="AA133" s="49">
        <f>VLOOKUP(B133,country_opex,5,FALSE)</f>
        <v/>
      </c>
      <c r="AB133" s="49">
        <f>maint</f>
        <v/>
      </c>
      <c r="AC133" s="49">
        <f>VLOOKUP(B133,country_opex,7,FALSE)*ins_pct</f>
        <v/>
      </c>
      <c r="AD133" s="49">
        <f>charge_berth</f>
        <v/>
      </c>
      <c r="AE133" s="49">
        <f>Y133+Z133+AA133+AB133+AC133+AD133</f>
        <v/>
      </c>
      <c r="AF133" s="49">
        <f>VLOOKUP(B133,country_opex,7,FALSE)/dep_years</f>
        <v/>
      </c>
      <c r="AG133" s="49">
        <f>X133-AE133</f>
        <v/>
      </c>
      <c r="AH133" s="46">
        <f>IF(X133=0,"",AG133/X133)</f>
        <v/>
      </c>
      <c r="AI133" s="47">
        <f>IF(AG133&lt;=0,"",VLOOKUP(B133,country_opex,7,FALSE)/AG133)</f>
        <v/>
      </c>
      <c r="AJ133" s="44">
        <f>((G133*S133/diesel_nmpg)*diesel_co2pg-(battery/range_nm)*G133*S133*VLOOKUP(B133,country_opex,4,FALSE))/1000</f>
        <v/>
      </c>
      <c r="AK133" s="42" t="n">
        <v>368966</v>
      </c>
      <c r="AL133" s="43" t="n"/>
      <c r="AM133" s="43" t="n"/>
      <c r="AN133" s="50" t="n">
        <v>0.1</v>
      </c>
      <c r="AO133" s="45">
        <f>IF(AK133="","",AK133*AN133)</f>
        <v/>
      </c>
      <c r="AP133" s="45">
        <f>IF(OR(AK133="",V133=0),"",MIN(IF(AX133="",9.9E+99,AX133),FLOOR(AO133/V133,1)))</f>
        <v/>
      </c>
      <c r="AQ133" s="49">
        <f>IF(AP133="","",AP133*IF(ABS(MOD(ABS((X133)),1)-0.5)&lt;1E-9,2*ROUND((X133)/2,0),ROUND((X133),0)))</f>
        <v/>
      </c>
      <c r="AR133" s="47">
        <f>IF(OR(AK133="",V133=0),"",MIN(IF(AX133="",9.9E+99,AX133),AO133/V133))</f>
        <v/>
      </c>
      <c r="AS133" s="49">
        <f>IF(AR133="","",AR133*IF(B133="South Korea",IF(ABS(MOD(ABS((X133)),1)-0.5)&lt;1E-9,2*ROUND((X133)/2,0),ROUND((X133),0)),X133))</f>
        <v/>
      </c>
      <c r="AT133" s="51" t="n"/>
      <c r="AU133" s="43" t="inlineStr">
        <is>
          <t>Grounded</t>
        </is>
      </c>
      <c r="AV133" s="52" t="n"/>
      <c r="AW133" s="52" t="n"/>
      <c r="AX133" s="53" t="n"/>
      <c r="AY133" s="54">
        <f>IF(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&lt;=0,"",VLOOKUP(B133,country_opex,7,FALSE)/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)</f>
        <v/>
      </c>
      <c r="AZ133" s="54">
        <f>IF(((W133*pax_cap*IF(B133="South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Korea",korea_mid_revleg,revleg_mid)),0))*VLOOKUP(B133,country_opex,3,FALSE))+Z133+AA133+AB133+AC133+AD133))&lt;=0,"",VLOOKUP(B133,country_opex,7,FALSE)/((W133*pax_cap*IF(B133="South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Korea",korea_mid_revleg,revleg_mid)),0))*VLOOKUP(B133,country_opex,3,FALSE))+Z133+AA133+AB133+AC133+AD133)))</f>
        <v/>
      </c>
      <c r="BA133" s="54">
        <f>IF(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&lt;=0,"",VLOOKUP(B133,country_opex,7,FALSE)/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)</f>
        <v/>
      </c>
      <c r="BB133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C133" s="40" t="n"/>
      <c r="BD133" s="43" t="n"/>
    </row>
    <row r="134">
      <c r="A134" s="38" t="inlineStr">
        <is>
          <t>Bolt France Riviera</t>
        </is>
      </c>
      <c r="B134" s="38" t="inlineStr">
        <is>
          <t>France</t>
        </is>
      </c>
      <c r="C134" s="39" t="inlineStr">
        <is>
          <t>Nice Airport → Monaco</t>
        </is>
      </c>
      <c r="D134" s="38" t="inlineStr">
        <is>
          <t>bolt</t>
        </is>
      </c>
      <c r="E134" s="40" t="inlineStr">
        <is>
          <t>bolt-france-riviera</t>
        </is>
      </c>
      <c r="F134" s="41" t="n">
        <v>1</v>
      </c>
      <c r="G134" s="42" t="n">
        <v>6.7</v>
      </c>
      <c r="H134" s="35" t="n">
        <v>210.6</v>
      </c>
      <c r="I134" s="43" t="inlineStr">
        <is>
          <t>T2</t>
        </is>
      </c>
      <c r="J134" s="43" t="inlineStr">
        <is>
          <t>med</t>
        </is>
      </c>
      <c r="K134" s="29" t="n">
        <v>1</v>
      </c>
      <c r="L134" s="44">
        <f>60*G134/cruise_kt</f>
        <v/>
      </c>
      <c r="M134" s="44">
        <f>IF(B134="South Korea",G134/korea_charge_range_nm*korea_full_range_charge_min,0)</f>
        <v/>
      </c>
      <c r="N134" s="44">
        <f>IF(B134="South Korea",L134+korea_turn_min+korea_dwell_min+M134,L134+turn_min+dwell_min)</f>
        <v/>
      </c>
      <c r="O134" s="45">
        <f>IF(B134="South Korea",FLOOR(60*korea_service_hr/N134,1),MIN(15,FLOOR(60*service_hr/N134,1)))</f>
        <v/>
      </c>
      <c r="P134" s="45">
        <f>IF(ABS(MOD(ABS((365*mech_uptime*K134)),1)-0.5)&lt;1E-9,2*ROUND((365*mech_uptime*K134)/2,0),ROUND((365*mech_uptime*K134),0))</f>
        <v/>
      </c>
      <c r="Q134" s="46">
        <f>mech_uptime</f>
        <v/>
      </c>
      <c r="R134" s="46">
        <f>IF(AND(B134="South Korea",scenario="MID"),korea_mid_revleg,revleg_sel)</f>
        <v/>
      </c>
      <c r="S134" s="45">
        <f>IF(ABS(MOD(ABS((O134*P134*R134)),1)-0.5)&lt;1E-9,2*ROUND((O134*P134*R134)/2,0),ROUND((O134*P134*R134),0))</f>
        <v/>
      </c>
      <c r="T134" s="46">
        <f>IF(AND(B134="South Korea",scenario="MID"),korea_mid_load,load_sel)</f>
        <v/>
      </c>
      <c r="U134" s="47">
        <f>pax_cap*T134</f>
        <v/>
      </c>
      <c r="V134" s="45">
        <f>U134*S134</f>
        <v/>
      </c>
      <c r="W134" s="48">
        <f>H134*discount</f>
        <v/>
      </c>
      <c r="X134" s="49">
        <f>W134*V134</f>
        <v/>
      </c>
      <c r="Y134" s="49">
        <f>(battery/range_nm)*G134*S134*VLOOKUP(B134,country_opex,3,FALSE)</f>
        <v/>
      </c>
      <c r="Z134" s="49">
        <f>VLOOKUP(B134,country_opex,2,FALSE)*crew_factor</f>
        <v/>
      </c>
      <c r="AA134" s="49">
        <f>VLOOKUP(B134,country_opex,5,FALSE)</f>
        <v/>
      </c>
      <c r="AB134" s="49">
        <f>maint</f>
        <v/>
      </c>
      <c r="AC134" s="49">
        <f>VLOOKUP(B134,country_opex,7,FALSE)*ins_pct</f>
        <v/>
      </c>
      <c r="AD134" s="49">
        <f>charge_berth</f>
        <v/>
      </c>
      <c r="AE134" s="49">
        <f>Y134+Z134+AA134+AB134+AC134+AD134</f>
        <v/>
      </c>
      <c r="AF134" s="49">
        <f>VLOOKUP(B134,country_opex,7,FALSE)/dep_years</f>
        <v/>
      </c>
      <c r="AG134" s="49">
        <f>X134-AE134</f>
        <v/>
      </c>
      <c r="AH134" s="46">
        <f>IF(X134=0,"",AG134/X134)</f>
        <v/>
      </c>
      <c r="AI134" s="47">
        <f>IF(AG134&lt;=0,"",VLOOKUP(B134,country_opex,7,FALSE)/AG134)</f>
        <v/>
      </c>
      <c r="AJ134" s="44">
        <f>((G134*S134/diesel_nmpg)*diesel_co2pg-(battery/range_nm)*G134*S134*VLOOKUP(B134,country_opex,4,FALSE))/1000</f>
        <v/>
      </c>
      <c r="AK134" s="42" t="n">
        <v>79000</v>
      </c>
      <c r="AL134" s="43" t="n"/>
      <c r="AM134" s="43" t="n"/>
      <c r="AN134" s="50" t="n">
        <v>0.1</v>
      </c>
      <c r="AO134" s="45">
        <f>IF(AK134="","",AK134*AN134)</f>
        <v/>
      </c>
      <c r="AP134" s="45">
        <f>IF(OR(AK134="",V134=0),"",MIN(IF(AX134="",9.9E+99,AX134),FLOOR(AO134/V134,1)))</f>
        <v/>
      </c>
      <c r="AQ134" s="49">
        <f>IF(AP134="","",AP134*IF(ABS(MOD(ABS((X134)),1)-0.5)&lt;1E-9,2*ROUND((X134)/2,0),ROUND((X134),0)))</f>
        <v/>
      </c>
      <c r="AR134" s="47">
        <f>IF(OR(AK134="",V134=0),"",MIN(IF(AX134="",9.9E+99,AX134),AO134/V134))</f>
        <v/>
      </c>
      <c r="AS134" s="49">
        <f>IF(AR134="","",AR134*IF(B134="South Korea",IF(ABS(MOD(ABS((X134)),1)-0.5)&lt;1E-9,2*ROUND((X134)/2,0),ROUND((X134),0)),X134))</f>
        <v/>
      </c>
      <c r="AT134" s="51" t="n"/>
      <c r="AU134" s="43" t="inlineStr">
        <is>
          <t>Upside tier</t>
        </is>
      </c>
      <c r="AV134" s="52" t="n"/>
      <c r="AW134" s="52" t="inlineStr">
        <is>
          <t>modal_shift_greenfield</t>
        </is>
      </c>
      <c r="AX134" s="53" t="n"/>
      <c r="AY134" s="54">
        <f>IF(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&lt;=0,"",VLOOKUP(B134,country_opex,7,FALSE)/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)</f>
        <v/>
      </c>
      <c r="AZ134" s="54">
        <f>IF(((W134*pax_cap*IF(B134="South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Korea",korea_mid_revleg,revleg_mid)),0))*VLOOKUP(B134,country_opex,3,FALSE))+Z134+AA134+AB134+AC134+AD134))&lt;=0,"",VLOOKUP(B134,country_opex,7,FALSE)/((W134*pax_cap*IF(B134="South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Korea",korea_mid_revleg,revleg_mid)),0))*VLOOKUP(B134,country_opex,3,FALSE))+Z134+AA134+AB134+AC134+AD134)))</f>
        <v/>
      </c>
      <c r="BA134" s="54">
        <f>IF(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&lt;=0,"",VLOOKUP(B134,country_opex,7,FALSE)/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)</f>
        <v/>
      </c>
      <c r="BB134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C134" s="40" t="n"/>
      <c r="BD134" s="43" t="n"/>
    </row>
    <row r="135">
      <c r="A135" s="38" t="inlineStr">
        <is>
          <t>Bolt France Riviera</t>
        </is>
      </c>
      <c r="B135" s="38" t="inlineStr">
        <is>
          <t>France</t>
        </is>
      </c>
      <c r="C135" s="39" t="inlineStr">
        <is>
          <t>Nice Airport → Cannes</t>
        </is>
      </c>
      <c r="D135" s="38" t="inlineStr">
        <is>
          <t>bolt</t>
        </is>
      </c>
      <c r="E135" s="40" t="inlineStr">
        <is>
          <t>bolt-france-riviera</t>
        </is>
      </c>
      <c r="F135" s="41" t="n">
        <v>1</v>
      </c>
      <c r="G135" s="42" t="n">
        <v>9</v>
      </c>
      <c r="H135" s="35" t="n"/>
      <c r="I135" s="43" t="n"/>
      <c r="J135" s="43" t="n"/>
      <c r="K135" s="29" t="n">
        <v>1</v>
      </c>
      <c r="L135" s="44">
        <f>60*G135/cruise_kt</f>
        <v/>
      </c>
      <c r="M135" s="44">
        <f>IF(B135="South Korea",G135/korea_charge_range_nm*korea_full_range_charge_min,0)</f>
        <v/>
      </c>
      <c r="N135" s="44">
        <f>IF(B135="South Korea",L135+korea_turn_min+korea_dwell_min+M135,L135+turn_min+dwell_min)</f>
        <v/>
      </c>
      <c r="O135" s="45">
        <f>IF(B135="South Korea",FLOOR(60*korea_service_hr/N135,1),MIN(15,FLOOR(60*service_hr/N135,1)))</f>
        <v/>
      </c>
      <c r="P135" s="45">
        <f>IF(ABS(MOD(ABS((365*mech_uptime*K135)),1)-0.5)&lt;1E-9,2*ROUND((365*mech_uptime*K135)/2,0),ROUND((365*mech_uptime*K135),0))</f>
        <v/>
      </c>
      <c r="Q135" s="46">
        <f>mech_uptime</f>
        <v/>
      </c>
      <c r="R135" s="46">
        <f>IF(AND(B135="South Korea",scenario="MID"),korea_mid_revleg,revleg_sel)</f>
        <v/>
      </c>
      <c r="S135" s="45">
        <f>IF(ABS(MOD(ABS((O135*P135*R135)),1)-0.5)&lt;1E-9,2*ROUND((O135*P135*R135)/2,0),ROUND((O135*P135*R135),0))</f>
        <v/>
      </c>
      <c r="T135" s="46">
        <f>IF(AND(B135="South Korea",scenario="MID"),korea_mid_load,load_sel)</f>
        <v/>
      </c>
      <c r="U135" s="47">
        <f>pax_cap*T135</f>
        <v/>
      </c>
      <c r="V135" s="45">
        <f>U135*S135</f>
        <v/>
      </c>
      <c r="W135" s="48">
        <f>H135*discount</f>
        <v/>
      </c>
      <c r="X135" s="49">
        <f>W135*V135</f>
        <v/>
      </c>
      <c r="Y135" s="49">
        <f>(battery/range_nm)*G135*S135*VLOOKUP(B135,country_opex,3,FALSE)</f>
        <v/>
      </c>
      <c r="Z135" s="49">
        <f>VLOOKUP(B135,country_opex,2,FALSE)*crew_factor</f>
        <v/>
      </c>
      <c r="AA135" s="49">
        <f>VLOOKUP(B135,country_opex,5,FALSE)</f>
        <v/>
      </c>
      <c r="AB135" s="49">
        <f>maint</f>
        <v/>
      </c>
      <c r="AC135" s="49">
        <f>VLOOKUP(B135,country_opex,7,FALSE)*ins_pct</f>
        <v/>
      </c>
      <c r="AD135" s="49">
        <f>charge_berth</f>
        <v/>
      </c>
      <c r="AE135" s="49">
        <f>Y135+Z135+AA135+AB135+AC135+AD135</f>
        <v/>
      </c>
      <c r="AF135" s="49">
        <f>VLOOKUP(B135,country_opex,7,FALSE)/dep_years</f>
        <v/>
      </c>
      <c r="AG135" s="49">
        <f>X135-AE135</f>
        <v/>
      </c>
      <c r="AH135" s="46">
        <f>IF(X135=0,"",AG135/X135)</f>
        <v/>
      </c>
      <c r="AI135" s="47">
        <f>IF(AG135&lt;=0,"",VLOOKUP(B135,country_opex,7,FALSE)/AG135)</f>
        <v/>
      </c>
      <c r="AJ135" s="44">
        <f>((G135*S135/diesel_nmpg)*diesel_co2pg-(battery/range_nm)*G135*S135*VLOOKUP(B135,country_opex,4,FALSE))/1000</f>
        <v/>
      </c>
      <c r="AK135" s="42" t="n"/>
      <c r="AL135" s="43" t="n"/>
      <c r="AM135" s="43" t="n"/>
      <c r="AN135" s="50" t="n">
        <v>0.1</v>
      </c>
      <c r="AO135" s="45">
        <f>IF(AK135="","",AK135*AN135)</f>
        <v/>
      </c>
      <c r="AP135" s="45">
        <f>IF(OR(AK135="",V135=0),"",MIN(IF(AX135="",9.9E+99,AX135),FLOOR(AO135/V135,1)))</f>
        <v/>
      </c>
      <c r="AQ135" s="49">
        <f>IF(AP135="","",AP135*IF(ABS(MOD(ABS((X135)),1)-0.5)&lt;1E-9,2*ROUND((X135)/2,0),ROUND((X135),0)))</f>
        <v/>
      </c>
      <c r="AR135" s="47">
        <f>IF(OR(AK135="",V135=0),"",MIN(IF(AX135="",9.9E+99,AX135),AO135/V135))</f>
        <v/>
      </c>
      <c r="AS135" s="49">
        <f>IF(AR135="","",AR135*IF(B135="South Korea",IF(ABS(MOD(ABS((X135)),1)-0.5)&lt;1E-9,2*ROUND((X135)/2,0),ROUND((X135),0)),X135))</f>
        <v/>
      </c>
      <c r="AT135" s="51" t="n"/>
      <c r="AU135" s="43" t="inlineStr">
        <is>
          <t>Estimated</t>
        </is>
      </c>
      <c r="AV135" s="52" t="n"/>
      <c r="AW135" s="52" t="n"/>
      <c r="AX135" s="53" t="n"/>
      <c r="AY135" s="54">
        <f>IF(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&lt;=0,"",VLOOKUP(B135,country_opex,7,FALSE)/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)</f>
        <v/>
      </c>
      <c r="AZ135" s="54">
        <f>IF(((W135*pax_cap*IF(B135="South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Korea",korea_mid_revleg,revleg_mid)),0))*VLOOKUP(B135,country_opex,3,FALSE))+Z135+AA135+AB135+AC135+AD135))&lt;=0,"",VLOOKUP(B135,country_opex,7,FALSE)/((W135*pax_cap*IF(B135="South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Korea",korea_mid_revleg,revleg_mid)),0))*VLOOKUP(B135,country_opex,3,FALSE))+Z135+AA135+AB135+AC135+AD135)))</f>
        <v/>
      </c>
      <c r="BA135" s="54">
        <f>IF(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&lt;=0,"",VLOOKUP(B135,country_opex,7,FALSE)/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)</f>
        <v/>
      </c>
      <c r="BB135" s="40" t="n"/>
      <c r="BC135" s="40" t="n"/>
      <c r="BD135" s="43" t="n"/>
    </row>
    <row r="136">
      <c r="A136" s="38" t="inlineStr">
        <is>
          <t>Bolt France Riviera</t>
        </is>
      </c>
      <c r="B136" s="38" t="inlineStr">
        <is>
          <t>France</t>
        </is>
      </c>
      <c r="C136" s="39" t="inlineStr">
        <is>
          <t>Nice → Cannes</t>
        </is>
      </c>
      <c r="D136" s="38" t="inlineStr">
        <is>
          <t>bolt</t>
        </is>
      </c>
      <c r="E136" s="40" t="inlineStr">
        <is>
          <t>bolt-france-riviera</t>
        </is>
      </c>
      <c r="F136" s="41" t="n">
        <v>1</v>
      </c>
      <c r="G136" s="42" t="n">
        <v>13</v>
      </c>
      <c r="H136" s="35" t="n">
        <v>26.7</v>
      </c>
      <c r="I136" s="43" t="inlineStr">
        <is>
          <t>T2</t>
        </is>
      </c>
      <c r="J136" s="43" t="inlineStr">
        <is>
          <t>med</t>
        </is>
      </c>
      <c r="K136" s="29" t="n">
        <v>1</v>
      </c>
      <c r="L136" s="44">
        <f>60*G136/cruise_kt</f>
        <v/>
      </c>
      <c r="M136" s="44">
        <f>IF(B136="South Korea",G136/korea_charge_range_nm*korea_full_range_charge_min,0)</f>
        <v/>
      </c>
      <c r="N136" s="44">
        <f>IF(B136="South Korea",L136+korea_turn_min+korea_dwell_min+M136,L136+turn_min+dwell_min)</f>
        <v/>
      </c>
      <c r="O136" s="45">
        <f>IF(B136="South Korea",FLOOR(60*korea_service_hr/N136,1),MIN(24,FLOOR(60*service_hr/N136,1)))</f>
        <v/>
      </c>
      <c r="P136" s="45">
        <f>IF(ABS(MOD(ABS((365*mech_uptime*K136)),1)-0.5)&lt;1E-9,2*ROUND((365*mech_uptime*K136)/2,0),ROUND((365*mech_uptime*K136),0))</f>
        <v/>
      </c>
      <c r="Q136" s="46">
        <f>mech_uptime</f>
        <v/>
      </c>
      <c r="R136" s="46">
        <f>IF(AND(B136="South Korea",scenario="MID"),korea_mid_revleg,revleg_sel)</f>
        <v/>
      </c>
      <c r="S136" s="45">
        <f>IF(ABS(MOD(ABS((O136*P136*R136)),1)-0.5)&lt;1E-9,2*ROUND((O136*P136*R136)/2,0),ROUND((O136*P136*R136),0))</f>
        <v/>
      </c>
      <c r="T136" s="46">
        <f>IF(AND(B136="South Korea",scenario="MID"),korea_mid_load,load_sel)</f>
        <v/>
      </c>
      <c r="U136" s="47">
        <f>pax_cap*T136</f>
        <v/>
      </c>
      <c r="V136" s="45">
        <f>U136*S136</f>
        <v/>
      </c>
      <c r="W136" s="48">
        <f>H136*discount</f>
        <v/>
      </c>
      <c r="X136" s="49">
        <f>W136*V136</f>
        <v/>
      </c>
      <c r="Y136" s="49">
        <f>(battery/range_nm)*G136*S136*VLOOKUP(B136,country_opex,3,FALSE)</f>
        <v/>
      </c>
      <c r="Z136" s="49">
        <f>VLOOKUP(B136,country_opex,2,FALSE)*crew_factor</f>
        <v/>
      </c>
      <c r="AA136" s="49">
        <f>VLOOKUP(B136,country_opex,5,FALSE)</f>
        <v/>
      </c>
      <c r="AB136" s="49">
        <f>maint</f>
        <v/>
      </c>
      <c r="AC136" s="49">
        <f>VLOOKUP(B136,country_opex,7,FALSE)*ins_pct</f>
        <v/>
      </c>
      <c r="AD136" s="49">
        <f>charge_berth</f>
        <v/>
      </c>
      <c r="AE136" s="49">
        <f>Y136+Z136+AA136+AB136+AC136+AD136</f>
        <v/>
      </c>
      <c r="AF136" s="49">
        <f>VLOOKUP(B136,country_opex,7,FALSE)/dep_years</f>
        <v/>
      </c>
      <c r="AG136" s="49">
        <f>X136-AE136</f>
        <v/>
      </c>
      <c r="AH136" s="46">
        <f>IF(X136=0,"",AG136/X136)</f>
        <v/>
      </c>
      <c r="AI136" s="47">
        <f>IF(AG136&lt;=0,"",VLOOKUP(B136,country_opex,7,FALSE)/AG136)</f>
        <v/>
      </c>
      <c r="AJ136" s="44">
        <f>((G136*S136/diesel_nmpg)*diesel_co2pg-(battery/range_nm)*G136*S136*VLOOKUP(B136,country_opex,4,FALSE))/1000</f>
        <v/>
      </c>
      <c r="AK136" s="42" t="n">
        <v>224880</v>
      </c>
      <c r="AL136" s="43" t="n"/>
      <c r="AM136" s="43" t="n"/>
      <c r="AN136" s="50" t="n">
        <v>0.1</v>
      </c>
      <c r="AO136" s="45">
        <f>IF(AK136="","",AK136*AN136)</f>
        <v/>
      </c>
      <c r="AP136" s="45">
        <f>IF(OR(AK136="",V136=0),"",MIN(IF(AX136="",9.9E+99,AX136),FLOOR(AO136/V136,1)))</f>
        <v/>
      </c>
      <c r="AQ136" s="49">
        <f>IF(AP136="","",AP136*IF(ABS(MOD(ABS((X136)),1)-0.5)&lt;1E-9,2*ROUND((X136)/2,0),ROUND((X136),0)))</f>
        <v/>
      </c>
      <c r="AR136" s="47">
        <f>IF(OR(AK136="",V136=0),"",MIN(IF(AX136="",9.9E+99,AX136),AO136/V136))</f>
        <v/>
      </c>
      <c r="AS136" s="49">
        <f>IF(AR136="","",AR136*IF(B136="South Korea",IF(ABS(MOD(ABS((X136)),1)-0.5)&lt;1E-9,2*ROUND((X136)/2,0),ROUND((X136),0)),X136))</f>
        <v/>
      </c>
      <c r="AT136" s="51" t="n"/>
      <c r="AU136" s="43" t="inlineStr">
        <is>
          <t>Grounded</t>
        </is>
      </c>
      <c r="AV136" s="52" t="n"/>
      <c r="AW136" s="52" t="n"/>
      <c r="AX136" s="53" t="n"/>
      <c r="AY136" s="54">
        <f>IF(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&lt;=0,"",VLOOKUP(B136,country_opex,7,FALSE)/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)</f>
        <v/>
      </c>
      <c r="AZ136" s="54">
        <f>IF(((W136*pax_cap*IF(B136="South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Korea",korea_mid_revleg,revleg_mid)),0))*VLOOKUP(B136,country_opex,3,FALSE))+Z136+AA136+AB136+AC136+AD136))&lt;=0,"",VLOOKUP(B136,country_opex,7,FALSE)/((W136*pax_cap*IF(B136="South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Korea",korea_mid_revleg,revleg_mid)),0))*VLOOKUP(B136,country_opex,3,FALSE))+Z136+AA136+AB136+AC136+AD136)))</f>
        <v/>
      </c>
      <c r="BA136" s="54">
        <f>IF(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&lt;=0,"",VLOOKUP(B136,country_opex,7,FALSE)/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)</f>
        <v/>
      </c>
      <c r="BB136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C136" s="40" t="n"/>
      <c r="BD136" s="43" t="n"/>
    </row>
    <row r="137">
      <c r="A137" s="38" t="inlineStr">
        <is>
          <t>Bolt France Riviera</t>
        </is>
      </c>
      <c r="B137" s="38" t="inlineStr">
        <is>
          <t>France</t>
        </is>
      </c>
      <c r="C137" s="39" t="inlineStr">
        <is>
          <t>Monaco → Sanremo</t>
        </is>
      </c>
      <c r="D137" s="38" t="inlineStr">
        <is>
          <t>bolt</t>
        </is>
      </c>
      <c r="E137" s="40" t="inlineStr">
        <is>
          <t>bolt-france-riviera</t>
        </is>
      </c>
      <c r="F137" s="41" t="n">
        <v>1</v>
      </c>
      <c r="G137" s="42" t="n">
        <v>13</v>
      </c>
      <c r="H137" s="35" t="n"/>
      <c r="I137" s="43" t="n"/>
      <c r="J137" s="43" t="n"/>
      <c r="K137" s="29" t="n">
        <v>1</v>
      </c>
      <c r="L137" s="44">
        <f>60*G137/cruise_kt</f>
        <v/>
      </c>
      <c r="M137" s="44">
        <f>IF(B137="South Korea",G137/korea_charge_range_nm*korea_full_range_charge_min,0)</f>
        <v/>
      </c>
      <c r="N137" s="44">
        <f>IF(B137="South Korea",L137+korea_turn_min+korea_dwell_min+M137,L137+turn_min+dwell_min)</f>
        <v/>
      </c>
      <c r="O137" s="45">
        <f>IF(B137="South Korea",FLOOR(60*korea_service_hr/N137,1),MIN(15,FLOOR(60*service_hr/N137,1)))</f>
        <v/>
      </c>
      <c r="P137" s="45">
        <f>IF(ABS(MOD(ABS((365*mech_uptime*K137)),1)-0.5)&lt;1E-9,2*ROUND((365*mech_uptime*K137)/2,0),ROUND((365*mech_uptime*K137),0))</f>
        <v/>
      </c>
      <c r="Q137" s="46">
        <f>mech_uptime</f>
        <v/>
      </c>
      <c r="R137" s="46">
        <f>IF(AND(B137="South Korea",scenario="MID"),korea_mid_revleg,revleg_sel)</f>
        <v/>
      </c>
      <c r="S137" s="45">
        <f>IF(ABS(MOD(ABS((O137*P137*R137)),1)-0.5)&lt;1E-9,2*ROUND((O137*P137*R137)/2,0),ROUND((O137*P137*R137),0))</f>
        <v/>
      </c>
      <c r="T137" s="46">
        <f>IF(AND(B137="South Korea",scenario="MID"),korea_mid_load,load_sel)</f>
        <v/>
      </c>
      <c r="U137" s="47">
        <f>pax_cap*T137</f>
        <v/>
      </c>
      <c r="V137" s="45">
        <f>U137*S137</f>
        <v/>
      </c>
      <c r="W137" s="48">
        <f>H137*discount</f>
        <v/>
      </c>
      <c r="X137" s="49">
        <f>W137*V137</f>
        <v/>
      </c>
      <c r="Y137" s="49">
        <f>(battery/range_nm)*G137*S137*VLOOKUP(B137,country_opex,3,FALSE)</f>
        <v/>
      </c>
      <c r="Z137" s="49">
        <f>VLOOKUP(B137,country_opex,2,FALSE)*crew_factor</f>
        <v/>
      </c>
      <c r="AA137" s="49">
        <f>VLOOKUP(B137,country_opex,5,FALSE)</f>
        <v/>
      </c>
      <c r="AB137" s="49">
        <f>maint</f>
        <v/>
      </c>
      <c r="AC137" s="49">
        <f>VLOOKUP(B137,country_opex,7,FALSE)*ins_pct</f>
        <v/>
      </c>
      <c r="AD137" s="49">
        <f>charge_berth</f>
        <v/>
      </c>
      <c r="AE137" s="49">
        <f>Y137+Z137+AA137+AB137+AC137+AD137</f>
        <v/>
      </c>
      <c r="AF137" s="49">
        <f>VLOOKUP(B137,country_opex,7,FALSE)/dep_years</f>
        <v/>
      </c>
      <c r="AG137" s="49">
        <f>X137-AE137</f>
        <v/>
      </c>
      <c r="AH137" s="46">
        <f>IF(X137=0,"",AG137/X137)</f>
        <v/>
      </c>
      <c r="AI137" s="47">
        <f>IF(AG137&lt;=0,"",VLOOKUP(B137,country_opex,7,FALSE)/AG137)</f>
        <v/>
      </c>
      <c r="AJ137" s="44">
        <f>((G137*S137/diesel_nmpg)*diesel_co2pg-(battery/range_nm)*G137*S137*VLOOKUP(B137,country_opex,4,FALSE))/1000</f>
        <v/>
      </c>
      <c r="AK137" s="42" t="n">
        <v>4748</v>
      </c>
      <c r="AL137" s="43" t="n"/>
      <c r="AM137" s="43" t="n"/>
      <c r="AN137" s="50" t="n">
        <v>0.1</v>
      </c>
      <c r="AO137" s="45">
        <f>IF(AK137="","",AK137*AN137)</f>
        <v/>
      </c>
      <c r="AP137" s="45">
        <f>IF(OR(AK137="",V137=0),"",MIN(IF(AX137="",9.9E+99,AX137),FLOOR(AO137/V137,1)))</f>
        <v/>
      </c>
      <c r="AQ137" s="49">
        <f>IF(AP137="","",AP137*IF(ABS(MOD(ABS((X137)),1)-0.5)&lt;1E-9,2*ROUND((X137)/2,0),ROUND((X137),0)))</f>
        <v/>
      </c>
      <c r="AR137" s="47">
        <f>IF(OR(AK137="",V137=0),"",MIN(IF(AX137="",9.9E+99,AX137),AO137/V137))</f>
        <v/>
      </c>
      <c r="AS137" s="49">
        <f>IF(AR137="","",AR137*IF(B137="South Korea",IF(ABS(MOD(ABS((X137)),1)-0.5)&lt;1E-9,2*ROUND((X137)/2,0),ROUND((X137),0)),X137))</f>
        <v/>
      </c>
      <c r="AT137" s="51" t="n"/>
      <c r="AU137" s="43" t="inlineStr">
        <is>
          <t>Estimated</t>
        </is>
      </c>
      <c r="AV137" s="52" t="n"/>
      <c r="AW137" s="52" t="n"/>
      <c r="AX137" s="53" t="n"/>
      <c r="AY137" s="54">
        <f>IF(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&lt;=0,"",VLOOKUP(B137,country_opex,7,FALSE)/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)</f>
        <v/>
      </c>
      <c r="AZ137" s="54">
        <f>IF(((W137*pax_cap*IF(B137="South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Korea",korea_mid_revleg,revleg_mid)),0))*VLOOKUP(B137,country_opex,3,FALSE))+Z137+AA137+AB137+AC137+AD137))&lt;=0,"",VLOOKUP(B137,country_opex,7,FALSE)/((W137*pax_cap*IF(B137="South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Korea",korea_mid_revleg,revleg_mid)),0))*VLOOKUP(B137,country_opex,3,FALSE))+Z137+AA137+AB137+AC137+AD137)))</f>
        <v/>
      </c>
      <c r="BA137" s="54">
        <f>IF(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&lt;=0,"",VLOOKUP(B137,country_opex,7,FALSE)/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)</f>
        <v/>
      </c>
      <c r="BB137" s="40" t="n"/>
      <c r="BC137" s="40" t="n"/>
      <c r="BD137" s="43" t="n"/>
    </row>
    <row r="138">
      <c r="A138" s="38" t="inlineStr">
        <is>
          <t>Bolt France Riviera</t>
        </is>
      </c>
      <c r="B138" s="38" t="inlineStr">
        <is>
          <t>France</t>
        </is>
      </c>
      <c r="C138" s="39" t="inlineStr">
        <is>
          <t>Cannes → Saint-Tropez</t>
        </is>
      </c>
      <c r="D138" s="38" t="inlineStr">
        <is>
          <t>bolt</t>
        </is>
      </c>
      <c r="E138" s="40" t="inlineStr">
        <is>
          <t>bolt-france-riviera</t>
        </is>
      </c>
      <c r="F138" s="41" t="n">
        <v>1</v>
      </c>
      <c r="G138" s="42" t="n">
        <v>25</v>
      </c>
      <c r="H138" s="35" t="n">
        <v>38.3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IF(B138="South Korea",G138/korea_charge_range_nm*korea_full_range_charge_min,0)</f>
        <v/>
      </c>
      <c r="N138" s="44">
        <f>IF(B138="South Korea",L138+korea_turn_min+korea_dwell_min+M138,L138+turn_min+dwell_min)</f>
        <v/>
      </c>
      <c r="O138" s="45">
        <f>IF(B138="South Korea",FLOOR(60*korea_service_hr/N138,1),MIN(15,FLOOR(60*service_hr/N138,1)))</f>
        <v/>
      </c>
      <c r="P138" s="45">
        <f>IF(ABS(MOD(ABS((365*mech_uptime*K138)),1)-0.5)&lt;1E-9,2*ROUND((365*mech_uptime*K138)/2,0),ROUND((365*mech_uptime*K138),0))</f>
        <v/>
      </c>
      <c r="Q138" s="46">
        <f>mech_uptime</f>
        <v/>
      </c>
      <c r="R138" s="46">
        <f>IF(AND(B138="South Korea",scenario="MID"),korea_mid_revleg,revleg_sel)</f>
        <v/>
      </c>
      <c r="S138" s="45">
        <f>IF(ABS(MOD(ABS((O138*P138*R138)),1)-0.5)&lt;1E-9,2*ROUND((O138*P138*R138)/2,0),ROUND((O138*P138*R138),0))</f>
        <v/>
      </c>
      <c r="T138" s="46">
        <f>IF(AND(B138="South Korea",scenario="MID"),korea_mid_load,load_sel)</f>
        <v/>
      </c>
      <c r="U138" s="47">
        <f>pax_cap*T138</f>
        <v/>
      </c>
      <c r="V138" s="45">
        <f>U138*S138</f>
        <v/>
      </c>
      <c r="W138" s="48">
        <f>H138*discount</f>
        <v/>
      </c>
      <c r="X138" s="49">
        <f>W138*V138</f>
        <v/>
      </c>
      <c r="Y138" s="49">
        <f>(battery/range_nm)*G138*S138*VLOOKUP(B138,country_opex,3,FALSE)</f>
        <v/>
      </c>
      <c r="Z138" s="49">
        <f>VLOOKUP(B138,country_opex,2,FALSE)*crew_factor</f>
        <v/>
      </c>
      <c r="AA138" s="49">
        <f>VLOOKUP(B138,country_opex,5,FALSE)</f>
        <v/>
      </c>
      <c r="AB138" s="49">
        <f>maint</f>
        <v/>
      </c>
      <c r="AC138" s="49">
        <f>VLOOKUP(B138,country_opex,7,FALSE)*ins_pct</f>
        <v/>
      </c>
      <c r="AD138" s="49">
        <f>charge_berth</f>
        <v/>
      </c>
      <c r="AE138" s="49">
        <f>Y138+Z138+AA138+AB138+AC138+AD138</f>
        <v/>
      </c>
      <c r="AF138" s="49">
        <f>VLOOKUP(B138,country_opex,7,FALSE)/dep_years</f>
        <v/>
      </c>
      <c r="AG138" s="49">
        <f>X138-AE138</f>
        <v/>
      </c>
      <c r="AH138" s="46">
        <f>IF(X138=0,"",AG138/X138)</f>
        <v/>
      </c>
      <c r="AI138" s="47">
        <f>IF(AG138&lt;=0,"",VLOOKUP(B138,country_opex,7,FALSE)/AG138)</f>
        <v/>
      </c>
      <c r="AJ138" s="44">
        <f>((G138*S138/diesel_nmpg)*diesel_co2pg-(battery/range_nm)*G138*S138*VLOOKUP(B138,country_opex,4,FALSE))/1000</f>
        <v/>
      </c>
      <c r="AK138" s="42" t="n">
        <v>32000</v>
      </c>
      <c r="AL138" s="43" t="n"/>
      <c r="AM138" s="43" t="n"/>
      <c r="AN138" s="50" t="n">
        <v>0.1</v>
      </c>
      <c r="AO138" s="45">
        <f>IF(AK138="","",AK138*AN138)</f>
        <v/>
      </c>
      <c r="AP138" s="45">
        <f>IF(OR(AK138="",V138=0),"",MIN(IF(AX138="",9.9E+99,AX138),FLOOR(AO138/V138,1)))</f>
        <v/>
      </c>
      <c r="AQ138" s="49">
        <f>IF(AP138="","",AP138*IF(ABS(MOD(ABS((X138)),1)-0.5)&lt;1E-9,2*ROUND((X138)/2,0),ROUND((X138),0)))</f>
        <v/>
      </c>
      <c r="AR138" s="47">
        <f>IF(OR(AK138="",V138=0),"",MIN(IF(AX138="",9.9E+99,AX138),AO138/V138))</f>
        <v/>
      </c>
      <c r="AS138" s="49">
        <f>IF(AR138="","",AR138*IF(B138="South Korea",IF(ABS(MOD(ABS((X138)),1)-0.5)&lt;1E-9,2*ROUND((X138)/2,0),ROUND((X138),0)),X138))</f>
        <v/>
      </c>
      <c r="AT138" s="51" t="n"/>
      <c r="AU138" s="43" t="inlineStr">
        <is>
          <t>Estimated</t>
        </is>
      </c>
      <c r="AV138" s="52" t="n"/>
      <c r="AW138" s="52" t="n"/>
      <c r="AX138" s="53" t="n"/>
      <c r="AY138" s="54">
        <f>IF(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&lt;=0,"",VLOOKUP(B138,country_opex,7,FALSE)/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)</f>
        <v/>
      </c>
      <c r="AZ138" s="54">
        <f>IF(((W138*pax_cap*IF(B138="South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Korea",korea_mid_revleg,revleg_mid)),0))*VLOOKUP(B138,country_opex,3,FALSE))+Z138+AA138+AB138+AC138+AD138))&lt;=0,"",VLOOKUP(B138,country_opex,7,FALSE)/((W138*pax_cap*IF(B138="South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Korea",korea_mid_revleg,revleg_mid)),0))*VLOOKUP(B138,country_opex,3,FALSE))+Z138+AA138+AB138+AC138+AD138)))</f>
        <v/>
      </c>
      <c r="BA138" s="54">
        <f>IF(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&lt;=0,"",VLOOKUP(B138,country_opex,7,FALSE)/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)</f>
        <v/>
      </c>
      <c r="BB138" s="40" t="inlineStr">
        <is>
          <t>PREMIUM tier: Trans Cote d'Azur scheduled fast catamaran Cannes&lt;-&gt;Saint-Tropez EUR 71 adult RT (2026) = ~EUR 35.5 one-way x 1.08 = ~$38.3.</t>
        </is>
      </c>
      <c r="BC138" s="40" t="n"/>
      <c r="BD138" s="43" t="n"/>
    </row>
    <row r="139">
      <c r="A139" s="38" t="inlineStr">
        <is>
          <t>Bolt France Riviera</t>
        </is>
      </c>
      <c r="B139" s="38" t="inlineStr">
        <is>
          <t>France</t>
        </is>
      </c>
      <c r="C139" s="39" t="inlineStr">
        <is>
          <t>Nice → Saint-Tropez</t>
        </is>
      </c>
      <c r="D139" s="38" t="inlineStr">
        <is>
          <t>bolt</t>
        </is>
      </c>
      <c r="E139" s="40" t="inlineStr">
        <is>
          <t>bolt-france-riviera</t>
        </is>
      </c>
      <c r="F139" s="41" t="n">
        <v>1</v>
      </c>
      <c r="G139" s="42" t="n">
        <v>32</v>
      </c>
      <c r="H139" s="35" t="n">
        <v>45.4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IF(B139="South Korea",G139/korea_charge_range_nm*korea_full_range_charge_min,0)</f>
        <v/>
      </c>
      <c r="N139" s="44">
        <f>IF(B139="South Korea",L139+korea_turn_min+korea_dwell_min+M139,L139+turn_min+dwell_min)</f>
        <v/>
      </c>
      <c r="O139" s="45">
        <f>IF(B139="South Korea",FLOOR(60*korea_service_hr/N139,1),MIN(15,FLOOR(60*service_hr/N139,1)))</f>
        <v/>
      </c>
      <c r="P139" s="45">
        <f>IF(ABS(MOD(ABS((365*mech_uptime*K139)),1)-0.5)&lt;1E-9,2*ROUND((365*mech_uptime*K139)/2,0),ROUND((365*mech_uptime*K139),0))</f>
        <v/>
      </c>
      <c r="Q139" s="46">
        <f>mech_uptime</f>
        <v/>
      </c>
      <c r="R139" s="46">
        <f>IF(AND(B139="South Korea",scenario="MID"),korea_mid_revleg,revleg_sel)</f>
        <v/>
      </c>
      <c r="S139" s="45">
        <f>IF(ABS(MOD(ABS((O139*P139*R139)),1)-0.5)&lt;1E-9,2*ROUND((O139*P139*R139)/2,0),ROUND((O139*P139*R139),0))</f>
        <v/>
      </c>
      <c r="T139" s="46">
        <f>IF(AND(B139="South Korea",scenario="MID"),korea_mid_load,load_sel)</f>
        <v/>
      </c>
      <c r="U139" s="47">
        <f>pax_cap*T139</f>
        <v/>
      </c>
      <c r="V139" s="45">
        <f>U139*S139</f>
        <v/>
      </c>
      <c r="W139" s="48">
        <f>H139*discount</f>
        <v/>
      </c>
      <c r="X139" s="49">
        <f>W139*V139</f>
        <v/>
      </c>
      <c r="Y139" s="49">
        <f>(battery/range_nm)*G139*S139*VLOOKUP(B139,country_opex,3,FALSE)</f>
        <v/>
      </c>
      <c r="Z139" s="49">
        <f>VLOOKUP(B139,country_opex,2,FALSE)*crew_factor</f>
        <v/>
      </c>
      <c r="AA139" s="49">
        <f>VLOOKUP(B139,country_opex,5,FALSE)</f>
        <v/>
      </c>
      <c r="AB139" s="49">
        <f>maint</f>
        <v/>
      </c>
      <c r="AC139" s="49">
        <f>VLOOKUP(B139,country_opex,7,FALSE)*ins_pct</f>
        <v/>
      </c>
      <c r="AD139" s="49">
        <f>charge_berth</f>
        <v/>
      </c>
      <c r="AE139" s="49">
        <f>Y139+Z139+AA139+AB139+AC139+AD139</f>
        <v/>
      </c>
      <c r="AF139" s="49">
        <f>VLOOKUP(B139,country_opex,7,FALSE)/dep_years</f>
        <v/>
      </c>
      <c r="AG139" s="49">
        <f>X139-AE139</f>
        <v/>
      </c>
      <c r="AH139" s="46">
        <f>IF(X139=0,"",AG139/X139)</f>
        <v/>
      </c>
      <c r="AI139" s="47">
        <f>IF(AG139&lt;=0,"",VLOOKUP(B139,country_opex,7,FALSE)/AG139)</f>
        <v/>
      </c>
      <c r="AJ139" s="44">
        <f>((G139*S139/diesel_nmpg)*diesel_co2pg-(battery/range_nm)*G139*S139*VLOOKUP(B139,country_opex,4,FALSE))/1000</f>
        <v/>
      </c>
      <c r="AK139" s="42" t="n">
        <v>32000</v>
      </c>
      <c r="AL139" s="43" t="n"/>
      <c r="AM139" s="43" t="n"/>
      <c r="AN139" s="50" t="n">
        <v>0.1</v>
      </c>
      <c r="AO139" s="45">
        <f>IF(AK139="","",AK139*AN139)</f>
        <v/>
      </c>
      <c r="AP139" s="45">
        <f>IF(OR(AK139="",V139=0),"",MIN(IF(AX139="",9.9E+99,AX139),FLOOR(AO139/V139,1)))</f>
        <v/>
      </c>
      <c r="AQ139" s="49">
        <f>IF(AP139="","",AP139*IF(ABS(MOD(ABS((X139)),1)-0.5)&lt;1E-9,2*ROUND((X139)/2,0),ROUND((X139),0)))</f>
        <v/>
      </c>
      <c r="AR139" s="47">
        <f>IF(OR(AK139="",V139=0),"",MIN(IF(AX139="",9.9E+99,AX139),AO139/V139))</f>
        <v/>
      </c>
      <c r="AS139" s="49">
        <f>IF(AR139="","",AR139*IF(B139="South Korea",IF(ABS(MOD(ABS((X139)),1)-0.5)&lt;1E-9,2*ROUND((X139)/2,0),ROUND((X139),0)),X139))</f>
        <v/>
      </c>
      <c r="AT139" s="51" t="n"/>
      <c r="AU139" s="43" t="inlineStr">
        <is>
          <t>Estimated</t>
        </is>
      </c>
      <c r="AV139" s="52" t="n"/>
      <c r="AW139" s="52" t="n"/>
      <c r="AX139" s="53" t="n"/>
      <c r="AY139" s="54">
        <f>IF(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&lt;=0,"",VLOOKUP(B139,country_opex,7,FALSE)/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)</f>
        <v/>
      </c>
      <c r="AZ139" s="54">
        <f>IF(((W139*pax_cap*IF(B139="South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Korea",korea_mid_revleg,revleg_mid)),0))*VLOOKUP(B139,country_opex,3,FALSE))+Z139+AA139+AB139+AC139+AD139))&lt;=0,"",VLOOKUP(B139,country_opex,7,FALSE)/((W139*pax_cap*IF(B139="South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Korea",korea_mid_revleg,revleg_mid)),0))*VLOOKUP(B139,country_opex,3,FALSE))+Z139+AA139+AB139+AC139+AD139)))</f>
        <v/>
      </c>
      <c r="BA139" s="54">
        <f>IF(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&lt;=0,"",VLOOKUP(B139,country_opex,7,FALSE)/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)</f>
        <v/>
      </c>
      <c r="BB139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C139" s="40" t="n"/>
      <c r="BD139" s="43" t="n"/>
    </row>
    <row r="140">
      <c r="A140" s="38" t="inlineStr">
        <is>
          <t>French Polynesia</t>
        </is>
      </c>
      <c r="B140" s="38" t="inlineStr">
        <is>
          <t>French Polynesia</t>
        </is>
      </c>
      <c r="C140" s="39" t="inlineStr">
        <is>
          <t>Vaitape (Bora Bora) → Motu Mute Airport</t>
        </is>
      </c>
      <c r="D140" s="38" t="inlineStr">
        <is>
          <t>french-polynesia</t>
        </is>
      </c>
      <c r="E140" s="40" t="inlineStr">
        <is>
          <t>french-polynesia</t>
        </is>
      </c>
      <c r="F140" s="41" t="n">
        <v>1</v>
      </c>
      <c r="G140" s="42" t="n">
        <v>3</v>
      </c>
      <c r="H140" s="35" t="n">
        <v>65</v>
      </c>
      <c r="I140" s="43" t="inlineStr">
        <is>
          <t>T1</t>
        </is>
      </c>
      <c r="J140" s="43" t="inlineStr">
        <is>
          <t>high</t>
        </is>
      </c>
      <c r="K140" s="29" t="n">
        <v>0.93</v>
      </c>
      <c r="L140" s="44">
        <f>60*G140/cruise_kt</f>
        <v/>
      </c>
      <c r="M140" s="44">
        <f>IF(B140="South Korea",G140/korea_charge_range_nm*korea_full_range_charge_min,0)</f>
        <v/>
      </c>
      <c r="N140" s="44">
        <f>IF(B140="South Korea",L140+korea_turn_min+korea_dwell_min+M140,L140+turn_min+dwell_min)</f>
        <v/>
      </c>
      <c r="O140" s="45">
        <f>IF(B140="South Korea",FLOOR(60*korea_service_hr/N140,1),MIN(15,FLOOR(60*service_hr/N140,1)))</f>
        <v/>
      </c>
      <c r="P140" s="45">
        <f>IF(ABS(MOD(ABS((365*mech_uptime*K140)),1)-0.5)&lt;1E-9,2*ROUND((365*mech_uptime*K140)/2,0),ROUND((365*mech_uptime*K140),0))</f>
        <v/>
      </c>
      <c r="Q140" s="46">
        <f>mech_uptime</f>
        <v/>
      </c>
      <c r="R140" s="46">
        <f>IF(AND(B140="South Korea",scenario="MID"),korea_mid_revleg,revleg_sel)</f>
        <v/>
      </c>
      <c r="S140" s="45">
        <f>IF(ABS(MOD(ABS((O140*P140*R140)),1)-0.5)&lt;1E-9,2*ROUND((O140*P140*R140)/2,0),ROUND((O140*P140*R140),0))</f>
        <v/>
      </c>
      <c r="T140" s="46">
        <f>IF(AND(B140="South Korea",scenario="MID"),korea_mid_load,load_sel)</f>
        <v/>
      </c>
      <c r="U140" s="47">
        <f>pax_cap*T140</f>
        <v/>
      </c>
      <c r="V140" s="45">
        <f>U140*S140</f>
        <v/>
      </c>
      <c r="W140" s="48">
        <f>H140*discount</f>
        <v/>
      </c>
      <c r="X140" s="49">
        <f>W140*V140</f>
        <v/>
      </c>
      <c r="Y140" s="49">
        <f>(battery/range_nm)*G140*S140*VLOOKUP(B140,country_opex,3,FALSE)</f>
        <v/>
      </c>
      <c r="Z140" s="49">
        <f>VLOOKUP(B140,country_opex,2,FALSE)*crew_factor</f>
        <v/>
      </c>
      <c r="AA140" s="49">
        <f>VLOOKUP(B140,country_opex,5,FALSE)</f>
        <v/>
      </c>
      <c r="AB140" s="49">
        <f>maint</f>
        <v/>
      </c>
      <c r="AC140" s="49">
        <f>VLOOKUP(B140,country_opex,7,FALSE)*ins_pct</f>
        <v/>
      </c>
      <c r="AD140" s="49">
        <f>charge_berth</f>
        <v/>
      </c>
      <c r="AE140" s="49">
        <f>Y140+Z140+AA140+AB140+AC140+AD140</f>
        <v/>
      </c>
      <c r="AF140" s="49">
        <f>VLOOKUP(B140,country_opex,7,FALSE)/dep_years</f>
        <v/>
      </c>
      <c r="AG140" s="49">
        <f>X140-AE140</f>
        <v/>
      </c>
      <c r="AH140" s="46">
        <f>IF(X140=0,"",AG140/X140)</f>
        <v/>
      </c>
      <c r="AI140" s="47">
        <f>IF(AG140&lt;=0,"",VLOOKUP(B140,country_opex,7,FALSE)/AG140)</f>
        <v/>
      </c>
      <c r="AJ140" s="44">
        <f>((G140*S140/diesel_nmpg)*diesel_co2pg-(battery/range_nm)*G140*S140*VLOOKUP(B140,country_opex,4,FALSE))/1000</f>
        <v/>
      </c>
      <c r="AK140" s="42" t="n">
        <v>600000</v>
      </c>
      <c r="AL140" s="43" t="inlineStr">
        <is>
          <t>T2</t>
        </is>
      </c>
      <c r="AM140" s="43" t="inlineStr">
        <is>
          <t>med-high</t>
        </is>
      </c>
      <c r="AN140" s="50" t="n">
        <v>0.9</v>
      </c>
      <c r="AO140" s="45">
        <f>IF(AK140="","",AK140*AN140)</f>
        <v/>
      </c>
      <c r="AP140" s="45">
        <f>IF(OR(AK140="",V140=0),"",MIN(IF(AX140="",9.9E+99,AX140),FLOOR(AO140/V140,1)))</f>
        <v/>
      </c>
      <c r="AQ140" s="49">
        <f>IF(AP140="","",AP140*IF(ABS(MOD(ABS((X140)),1)-0.5)&lt;1E-9,2*ROUND((X140)/2,0),ROUND((X140),0)))</f>
        <v/>
      </c>
      <c r="AR140" s="47">
        <f>IF(OR(AK140="",V140=0),"",MIN(IF(AX140="",9.9E+99,AX140),AO140/V140))</f>
        <v/>
      </c>
      <c r="AS140" s="49">
        <f>IF(AR140="","",AR140*IF(B140="South Korea",IF(ABS(MOD(ABS((X140)),1)-0.5)&lt;1E-9,2*ROUND((X140)/2,0),ROUND((X140),0)),X140))</f>
        <v/>
      </c>
      <c r="AT140" s="51" t="n"/>
      <c r="AU140" s="43" t="inlineStr">
        <is>
          <t>Grounded</t>
        </is>
      </c>
      <c r="AV140" s="52" t="n"/>
      <c r="AW140" s="52" t="n"/>
      <c r="AX140" s="53" t="n"/>
      <c r="AY140" s="54">
        <f>IF(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&lt;=0,"",VLOOKUP(B140,country_opex,7,FALSE)/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)</f>
        <v/>
      </c>
      <c r="AZ140" s="54">
        <f>IF(((W140*pax_cap*IF(B140="South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Korea",korea_mid_revleg,revleg_mid)),0))*VLOOKUP(B140,country_opex,3,FALSE))+Z140+AA140+AB140+AC140+AD140))&lt;=0,"",VLOOKUP(B140,country_opex,7,FALSE)/((W140*pax_cap*IF(B140="South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Korea",korea_mid_revleg,revleg_mid)),0))*VLOOKUP(B140,country_opex,3,FALSE))+Z140+AA140+AB140+AC140+AD140)))</f>
        <v/>
      </c>
      <c r="BA140" s="54">
        <f>IF(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&lt;=0,"",VLOOKUP(B140,country_opex,7,FALSE)/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)</f>
        <v/>
      </c>
      <c r="BB140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C140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  <c r="BD140" s="43" t="n"/>
    </row>
    <row r="141">
      <c r="A141" s="38" t="inlineStr">
        <is>
          <t>French Polynesia</t>
        </is>
      </c>
      <c r="B141" s="38" t="inlineStr">
        <is>
          <t>French Polynesia</t>
        </is>
      </c>
      <c r="C141" s="39" t="inlineStr">
        <is>
          <t>Bora Bora intra-lagoon resort mesh → (captive motu hop network)</t>
        </is>
      </c>
      <c r="D141" s="38" t="inlineStr">
        <is>
          <t>french-polynesia</t>
        </is>
      </c>
      <c r="E141" s="40" t="inlineStr">
        <is>
          <t>french-polynesia</t>
        </is>
      </c>
      <c r="F141" s="41" t="n">
        <v>1</v>
      </c>
      <c r="G141" s="42" t="n">
        <v>4</v>
      </c>
      <c r="H141" s="35" t="n">
        <v>55</v>
      </c>
      <c r="I141" s="43" t="inlineStr">
        <is>
          <t>T5</t>
        </is>
      </c>
      <c r="J141" s="43" t="inlineStr">
        <is>
          <t>low</t>
        </is>
      </c>
      <c r="K141" s="29" t="n">
        <v>0.93</v>
      </c>
      <c r="L141" s="44">
        <f>60*G141/cruise_kt</f>
        <v/>
      </c>
      <c r="M141" s="44">
        <f>IF(B141="South Korea",G141/korea_charge_range_nm*korea_full_range_charge_min,0)</f>
        <v/>
      </c>
      <c r="N141" s="44">
        <f>IF(B141="South Korea",L141+korea_turn_min+korea_dwell_min+M141,L141+turn_min+dwell_min)</f>
        <v/>
      </c>
      <c r="O141" s="45">
        <f>IF(B141="South Korea",FLOOR(60*korea_service_hr/N141,1),MIN(15,FLOOR(60*service_hr/N141,1)))</f>
        <v/>
      </c>
      <c r="P141" s="45">
        <f>IF(ABS(MOD(ABS((365*mech_uptime*K141)),1)-0.5)&lt;1E-9,2*ROUND((365*mech_uptime*K141)/2,0),ROUND((365*mech_uptime*K141),0))</f>
        <v/>
      </c>
      <c r="Q141" s="46">
        <f>mech_uptime</f>
        <v/>
      </c>
      <c r="R141" s="46">
        <f>IF(AND(B141="South Korea",scenario="MID"),korea_mid_revleg,revleg_sel)</f>
        <v/>
      </c>
      <c r="S141" s="45">
        <f>IF(ABS(MOD(ABS((O141*P141*R141)),1)-0.5)&lt;1E-9,2*ROUND((O141*P141*R141)/2,0),ROUND((O141*P141*R141),0))</f>
        <v/>
      </c>
      <c r="T141" s="46">
        <f>IF(AND(B141="South Korea",scenario="MID"),korea_mid_load,load_sel)</f>
        <v/>
      </c>
      <c r="U141" s="47">
        <f>pax_cap*T141</f>
        <v/>
      </c>
      <c r="V141" s="45">
        <f>U141*S141</f>
        <v/>
      </c>
      <c r="W141" s="48">
        <f>H141*discount</f>
        <v/>
      </c>
      <c r="X141" s="49">
        <f>W141*V141</f>
        <v/>
      </c>
      <c r="Y141" s="49">
        <f>(battery/range_nm)*G141*S141*VLOOKUP(B141,country_opex,3,FALSE)</f>
        <v/>
      </c>
      <c r="Z141" s="49">
        <f>VLOOKUP(B141,country_opex,2,FALSE)*crew_factor</f>
        <v/>
      </c>
      <c r="AA141" s="49">
        <f>VLOOKUP(B141,country_opex,5,FALSE)</f>
        <v/>
      </c>
      <c r="AB141" s="49">
        <f>maint</f>
        <v/>
      </c>
      <c r="AC141" s="49">
        <f>VLOOKUP(B141,country_opex,7,FALSE)*ins_pct</f>
        <v/>
      </c>
      <c r="AD141" s="49">
        <f>charge_berth</f>
        <v/>
      </c>
      <c r="AE141" s="49">
        <f>Y141+Z141+AA141+AB141+AC141+AD141</f>
        <v/>
      </c>
      <c r="AF141" s="49">
        <f>VLOOKUP(B141,country_opex,7,FALSE)/dep_years</f>
        <v/>
      </c>
      <c r="AG141" s="49">
        <f>X141-AE141</f>
        <v/>
      </c>
      <c r="AH141" s="46">
        <f>IF(X141=0,"",AG141/X141)</f>
        <v/>
      </c>
      <c r="AI141" s="47">
        <f>IF(AG141&lt;=0,"",VLOOKUP(B141,country_opex,7,FALSE)/AG141)</f>
        <v/>
      </c>
      <c r="AJ141" s="44">
        <f>((G141*S141/diesel_nmpg)*diesel_co2pg-(battery/range_nm)*G141*S141*VLOOKUP(B141,country_opex,4,FALSE))/1000</f>
        <v/>
      </c>
      <c r="AK141" s="42" t="n"/>
      <c r="AL141" s="43" t="inlineStr">
        <is>
          <t>T5</t>
        </is>
      </c>
      <c r="AM141" s="43" t="inlineStr">
        <is>
          <t>low</t>
        </is>
      </c>
      <c r="AN141" s="50" t="n">
        <v>0.9</v>
      </c>
      <c r="AO141" s="45">
        <f>IF(AK141="","",AK141*AN141)</f>
        <v/>
      </c>
      <c r="AP141" s="45">
        <f>IF(OR(AK141="",V141=0),"",MIN(IF(AX141="",9.9E+99,AX141),FLOOR(AO141/V141,1)))</f>
        <v/>
      </c>
      <c r="AQ141" s="49">
        <f>IF(AP141="","",AP141*IF(ABS(MOD(ABS((X141)),1)-0.5)&lt;1E-9,2*ROUND((X141)/2,0),ROUND((X141),0)))</f>
        <v/>
      </c>
      <c r="AR141" s="47">
        <f>IF(OR(AK141="",V141=0),"",MIN(IF(AX141="",9.9E+99,AX141),AO141/V141))</f>
        <v/>
      </c>
      <c r="AS141" s="49">
        <f>IF(AR141="","",AR141*IF(B141="South Korea",IF(ABS(MOD(ABS((X141)),1)-0.5)&lt;1E-9,2*ROUND((X141)/2,0),ROUND((X141),0)),X141))</f>
        <v/>
      </c>
      <c r="AT141" s="51" t="n"/>
      <c r="AU141" s="43" t="inlineStr">
        <is>
          <t>Estimated</t>
        </is>
      </c>
      <c r="AV141" s="52" t="n"/>
      <c r="AW141" s="52" t="n"/>
      <c r="AX141" s="53" t="n"/>
      <c r="AY141" s="54">
        <f>IF(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&lt;=0,"",VLOOKUP(B141,country_opex,7,FALSE)/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)</f>
        <v/>
      </c>
      <c r="AZ141" s="54">
        <f>IF(((W141*pax_cap*IF(B141="South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Korea",korea_mid_revleg,revleg_mid)),0))*VLOOKUP(B141,country_opex,3,FALSE))+Z141+AA141+AB141+AC141+AD141))&lt;=0,"",VLOOKUP(B141,country_opex,7,FALSE)/((W141*pax_cap*IF(B141="South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Korea",korea_mid_revleg,revleg_mid)),0))*VLOOKUP(B141,country_opex,3,FALSE))+Z141+AA141+AB141+AC141+AD141)))</f>
        <v/>
      </c>
      <c r="BA141" s="54">
        <f>IF(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&lt;=0,"",VLOOKUP(B141,country_opex,7,FALSE)/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)</f>
        <v/>
      </c>
      <c r="BB141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C141" s="40" t="inlineStr">
        <is>
          <t>Intra-lagoon resort mesh has no public ridership; activity is bundled into resort stays. BB ~250k room-nights/yr × ~1 intra-lagoon hop/stay = ~250k pax/yr indicative but not verifiable.</t>
        </is>
      </c>
      <c r="BD141" s="43" t="n"/>
    </row>
    <row r="142">
      <c r="A142" s="38" t="inlineStr">
        <is>
          <t>French Polynesia</t>
        </is>
      </c>
      <c r="B142" s="38" t="inlineStr">
        <is>
          <t>French Polynesia</t>
        </is>
      </c>
      <c r="C142" s="39" t="inlineStr">
        <is>
          <t>Tahaa intra-lagoon resort shuttle (Le Taha'a / Vahine / Patio) → (intra-lagoon)</t>
        </is>
      </c>
      <c r="D142" s="38" t="inlineStr">
        <is>
          <t>french-polynesia</t>
        </is>
      </c>
      <c r="E142" s="40" t="inlineStr">
        <is>
          <t>french-polynesia</t>
        </is>
      </c>
      <c r="F142" s="41" t="n">
        <v>1</v>
      </c>
      <c r="G142" s="42" t="n">
        <v>4</v>
      </c>
      <c r="H142" s="35" t="n">
        <v>50</v>
      </c>
      <c r="I142" s="43" t="inlineStr">
        <is>
          <t>T5</t>
        </is>
      </c>
      <c r="J142" s="43" t="inlineStr">
        <is>
          <t>low</t>
        </is>
      </c>
      <c r="K142" s="29" t="n">
        <v>0.93</v>
      </c>
      <c r="L142" s="44">
        <f>60*G142/cruise_kt</f>
        <v/>
      </c>
      <c r="M142" s="44">
        <f>IF(B142="South Korea",G142/korea_charge_range_nm*korea_full_range_charge_min,0)</f>
        <v/>
      </c>
      <c r="N142" s="44">
        <f>IF(B142="South Korea",L142+korea_turn_min+korea_dwell_min+M142,L142+turn_min+dwell_min)</f>
        <v/>
      </c>
      <c r="O142" s="45">
        <f>IF(B142="South Korea",FLOOR(60*korea_service_hr/N142,1),MIN(15,FLOOR(60*service_hr/N142,1)))</f>
        <v/>
      </c>
      <c r="P142" s="45">
        <f>IF(ABS(MOD(ABS((365*mech_uptime*K142)),1)-0.5)&lt;1E-9,2*ROUND((365*mech_uptime*K142)/2,0),ROUND((365*mech_uptime*K142),0))</f>
        <v/>
      </c>
      <c r="Q142" s="46">
        <f>mech_uptime</f>
        <v/>
      </c>
      <c r="R142" s="46">
        <f>IF(AND(B142="South Korea",scenario="MID"),korea_mid_revleg,revleg_sel)</f>
        <v/>
      </c>
      <c r="S142" s="45">
        <f>IF(ABS(MOD(ABS((O142*P142*R142)),1)-0.5)&lt;1E-9,2*ROUND((O142*P142*R142)/2,0),ROUND((O142*P142*R142),0))</f>
        <v/>
      </c>
      <c r="T142" s="46">
        <f>IF(AND(B142="South Korea",scenario="MID"),korea_mid_load,load_sel)</f>
        <v/>
      </c>
      <c r="U142" s="47">
        <f>pax_cap*T142</f>
        <v/>
      </c>
      <c r="V142" s="45">
        <f>U142*S142</f>
        <v/>
      </c>
      <c r="W142" s="48">
        <f>H142*discount</f>
        <v/>
      </c>
      <c r="X142" s="49">
        <f>W142*V142</f>
        <v/>
      </c>
      <c r="Y142" s="49">
        <f>(battery/range_nm)*G142*S142*VLOOKUP(B142,country_opex,3,FALSE)</f>
        <v/>
      </c>
      <c r="Z142" s="49">
        <f>VLOOKUP(B142,country_opex,2,FALSE)*crew_factor</f>
        <v/>
      </c>
      <c r="AA142" s="49">
        <f>VLOOKUP(B142,country_opex,5,FALSE)</f>
        <v/>
      </c>
      <c r="AB142" s="49">
        <f>maint</f>
        <v/>
      </c>
      <c r="AC142" s="49">
        <f>VLOOKUP(B142,country_opex,7,FALSE)*ins_pct</f>
        <v/>
      </c>
      <c r="AD142" s="49">
        <f>charge_berth</f>
        <v/>
      </c>
      <c r="AE142" s="49">
        <f>Y142+Z142+AA142+AB142+AC142+AD142</f>
        <v/>
      </c>
      <c r="AF142" s="49">
        <f>VLOOKUP(B142,country_opex,7,FALSE)/dep_years</f>
        <v/>
      </c>
      <c r="AG142" s="49">
        <f>X142-AE142</f>
        <v/>
      </c>
      <c r="AH142" s="46">
        <f>IF(X142=0,"",AG142/X142)</f>
        <v/>
      </c>
      <c r="AI142" s="47">
        <f>IF(AG142&lt;=0,"",VLOOKUP(B142,country_opex,7,FALSE)/AG142)</f>
        <v/>
      </c>
      <c r="AJ142" s="44">
        <f>((G142*S142/diesel_nmpg)*diesel_co2pg-(battery/range_nm)*G142*S142*VLOOKUP(B142,country_opex,4,FALSE))/1000</f>
        <v/>
      </c>
      <c r="AK142" s="42" t="n"/>
      <c r="AL142" s="43" t="inlineStr">
        <is>
          <t>T5</t>
        </is>
      </c>
      <c r="AM142" s="43" t="inlineStr">
        <is>
          <t>low</t>
        </is>
      </c>
      <c r="AN142" s="50" t="n">
        <v>0.9</v>
      </c>
      <c r="AO142" s="45">
        <f>IF(AK142="","",AK142*AN142)</f>
        <v/>
      </c>
      <c r="AP142" s="45">
        <f>IF(OR(AK142="",V142=0),"",MIN(IF(AX142="",9.9E+99,AX142),FLOOR(AO142/V142,1)))</f>
        <v/>
      </c>
      <c r="AQ142" s="49">
        <f>IF(AP142="","",AP142*IF(ABS(MOD(ABS((X142)),1)-0.5)&lt;1E-9,2*ROUND((X142)/2,0),ROUND((X142),0)))</f>
        <v/>
      </c>
      <c r="AR142" s="47">
        <f>IF(OR(AK142="",V142=0),"",MIN(IF(AX142="",9.9E+99,AX142),AO142/V142))</f>
        <v/>
      </c>
      <c r="AS142" s="49">
        <f>IF(AR142="","",AR142*IF(B142="South Korea",IF(ABS(MOD(ABS((X142)),1)-0.5)&lt;1E-9,2*ROUND((X142)/2,0),ROUND((X142),0)),X142))</f>
        <v/>
      </c>
      <c r="AT142" s="51" t="n"/>
      <c r="AU142" s="43" t="inlineStr">
        <is>
          <t>Estimated</t>
        </is>
      </c>
      <c r="AV142" s="52" t="n"/>
      <c r="AW142" s="52" t="n"/>
      <c r="AX142" s="53" t="n"/>
      <c r="AY142" s="54">
        <f>IF(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&lt;=0,"",VLOOKUP(B142,country_opex,7,FALSE)/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)</f>
        <v/>
      </c>
      <c r="AZ142" s="54">
        <f>IF(((W142*pax_cap*IF(B142="South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Korea",korea_mid_revleg,revleg_mid)),0))*VLOOKUP(B142,country_opex,3,FALSE))+Z142+AA142+AB142+AC142+AD142))&lt;=0,"",VLOOKUP(B142,country_opex,7,FALSE)/((W142*pax_cap*IF(B142="South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Korea",korea_mid_revleg,revleg_mid)),0))*VLOOKUP(B142,country_opex,3,FALSE))+Z142+AA142+AB142+AC142+AD142)))</f>
        <v/>
      </c>
      <c r="BA142" s="54">
        <f>IF(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&lt;=0,"",VLOOKUP(B142,country_opex,7,FALSE)/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)</f>
        <v/>
      </c>
      <c r="BB142" s="40" t="inlineStr">
        <is>
          <t>No published per-seat tariff for intra-Tahaa-lagoon resort shuttles. Modeled below Le Taha'a Pearl 7,100 XPF airport transfer (~$65) since intra-lagoon hops are shorter; per-seat ~$50.</t>
        </is>
      </c>
      <c r="BC142" s="40" t="inlineStr">
        <is>
          <t>Captive resort intra-lagoon shuttle; bundled into resort stays.</t>
        </is>
      </c>
      <c r="BD142" s="43" t="n"/>
    </row>
    <row r="143">
      <c r="A143" s="38" t="inlineStr">
        <is>
          <t>French Polynesia</t>
        </is>
      </c>
      <c r="B143" s="38" t="inlineStr">
        <is>
          <t>French Polynesia</t>
        </is>
      </c>
      <c r="C143" s="39" t="inlineStr">
        <is>
          <t>Raiatea (Marina Apooiti) → Tahaa (Le Taha'a Pearl)</t>
        </is>
      </c>
      <c r="D143" s="38" t="inlineStr">
        <is>
          <t>french-polynesia</t>
        </is>
      </c>
      <c r="E143" s="40" t="inlineStr">
        <is>
          <t>french-polynesia</t>
        </is>
      </c>
      <c r="F143" s="41" t="n">
        <v>1</v>
      </c>
      <c r="G143" s="42" t="n">
        <v>5</v>
      </c>
      <c r="H143" s="35" t="n">
        <v>65</v>
      </c>
      <c r="I143" s="43" t="inlineStr">
        <is>
          <t>T1</t>
        </is>
      </c>
      <c r="J143" s="43" t="inlineStr">
        <is>
          <t>high</t>
        </is>
      </c>
      <c r="K143" s="29" t="n">
        <v>0.93</v>
      </c>
      <c r="L143" s="44">
        <f>60*G143/cruise_kt</f>
        <v/>
      </c>
      <c r="M143" s="44">
        <f>IF(B143="South Korea",G143/korea_charge_range_nm*korea_full_range_charge_min,0)</f>
        <v/>
      </c>
      <c r="N143" s="44">
        <f>IF(B143="South Korea",L143+korea_turn_min+korea_dwell_min+M143,L143+turn_min+dwell_min)</f>
        <v/>
      </c>
      <c r="O143" s="45">
        <f>IF(B143="South Korea",FLOOR(60*korea_service_hr/N143,1),MIN(15,FLOOR(60*service_hr/N143,1)))</f>
        <v/>
      </c>
      <c r="P143" s="45">
        <f>IF(ABS(MOD(ABS((365*mech_uptime*K143)),1)-0.5)&lt;1E-9,2*ROUND((365*mech_uptime*K143)/2,0),ROUND((365*mech_uptime*K143),0))</f>
        <v/>
      </c>
      <c r="Q143" s="46">
        <f>mech_uptime</f>
        <v/>
      </c>
      <c r="R143" s="46">
        <f>IF(AND(B143="South Korea",scenario="MID"),korea_mid_revleg,revleg_sel)</f>
        <v/>
      </c>
      <c r="S143" s="45">
        <f>IF(ABS(MOD(ABS((O143*P143*R143)),1)-0.5)&lt;1E-9,2*ROUND((O143*P143*R143)/2,0),ROUND((O143*P143*R143),0))</f>
        <v/>
      </c>
      <c r="T143" s="46">
        <f>IF(AND(B143="South Korea",scenario="MID"),korea_mid_load,load_sel)</f>
        <v/>
      </c>
      <c r="U143" s="47">
        <f>pax_cap*T143</f>
        <v/>
      </c>
      <c r="V143" s="45">
        <f>U143*S143</f>
        <v/>
      </c>
      <c r="W143" s="48">
        <f>H143*discount</f>
        <v/>
      </c>
      <c r="X143" s="49">
        <f>W143*V143</f>
        <v/>
      </c>
      <c r="Y143" s="49">
        <f>(battery/range_nm)*G143*S143*VLOOKUP(B143,country_opex,3,FALSE)</f>
        <v/>
      </c>
      <c r="Z143" s="49">
        <f>VLOOKUP(B143,country_opex,2,FALSE)*crew_factor</f>
        <v/>
      </c>
      <c r="AA143" s="49">
        <f>VLOOKUP(B143,country_opex,5,FALSE)</f>
        <v/>
      </c>
      <c r="AB143" s="49">
        <f>maint</f>
        <v/>
      </c>
      <c r="AC143" s="49">
        <f>VLOOKUP(B143,country_opex,7,FALSE)*ins_pct</f>
        <v/>
      </c>
      <c r="AD143" s="49">
        <f>charge_berth</f>
        <v/>
      </c>
      <c r="AE143" s="49">
        <f>Y143+Z143+AA143+AB143+AC143+AD143</f>
        <v/>
      </c>
      <c r="AF143" s="49">
        <f>VLOOKUP(B143,country_opex,7,FALSE)/dep_years</f>
        <v/>
      </c>
      <c r="AG143" s="49">
        <f>X143-AE143</f>
        <v/>
      </c>
      <c r="AH143" s="46">
        <f>IF(X143=0,"",AG143/X143)</f>
        <v/>
      </c>
      <c r="AI143" s="47">
        <f>IF(AG143&lt;=0,"",VLOOKUP(B143,country_opex,7,FALSE)/AG143)</f>
        <v/>
      </c>
      <c r="AJ143" s="44">
        <f>((G143*S143/diesel_nmpg)*diesel_co2pg-(battery/range_nm)*G143*S143*VLOOKUP(B143,country_opex,4,FALSE))/1000</f>
        <v/>
      </c>
      <c r="AK143" s="42" t="n">
        <v>12000</v>
      </c>
      <c r="AL143" s="43" t="inlineStr">
        <is>
          <t>T5</t>
        </is>
      </c>
      <c r="AM143" s="43" t="inlineStr">
        <is>
          <t>low</t>
        </is>
      </c>
      <c r="AN143" s="50" t="n">
        <v>0.9</v>
      </c>
      <c r="AO143" s="45">
        <f>IF(AK143="","",AK143*AN143)</f>
        <v/>
      </c>
      <c r="AP143" s="45">
        <f>IF(OR(AK143="",V143=0),"",MIN(IF(AX143="",9.9E+99,AX143),FLOOR(AO143/V143,1)))</f>
        <v/>
      </c>
      <c r="AQ143" s="49">
        <f>IF(AP143="","",AP143*IF(ABS(MOD(ABS((X143)),1)-0.5)&lt;1E-9,2*ROUND((X143)/2,0),ROUND((X143),0)))</f>
        <v/>
      </c>
      <c r="AR143" s="47">
        <f>IF(OR(AK143="",V143=0),"",MIN(IF(AX143="",9.9E+99,AX143),AO143/V143))</f>
        <v/>
      </c>
      <c r="AS143" s="49">
        <f>IF(AR143="","",AR143*IF(B143="South Korea",IF(ABS(MOD(ABS((X143)),1)-0.5)&lt;1E-9,2*ROUND((X143)/2,0),ROUND((X143),0)),X143))</f>
        <v/>
      </c>
      <c r="AT143" s="51" t="n"/>
      <c r="AU143" s="43" t="inlineStr">
        <is>
          <t>Estimated</t>
        </is>
      </c>
      <c r="AV143" s="52" t="n"/>
      <c r="AW143" s="52" t="n"/>
      <c r="AX143" s="53" t="n"/>
      <c r="AY143" s="54">
        <f>IF(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&lt;=0,"",VLOOKUP(B143,country_opex,7,FALSE)/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)</f>
        <v/>
      </c>
      <c r="AZ143" s="54">
        <f>IF(((W143*pax_cap*IF(B143="South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Korea",korea_mid_revleg,revleg_mid)),0))*VLOOKUP(B143,country_opex,3,FALSE))+Z143+AA143+AB143+AC143+AD143))&lt;=0,"",VLOOKUP(B143,country_opex,7,FALSE)/((W143*pax_cap*IF(B143="South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Korea",korea_mid_revleg,revleg_mid)),0))*VLOOKUP(B143,country_opex,3,FALSE))+Z143+AA143+AB143+AC143+AD143)))</f>
        <v/>
      </c>
      <c r="BA143" s="54">
        <f>IF(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&lt;=0,"",VLOOKUP(B143,country_opex,7,FALSE)/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)</f>
        <v/>
      </c>
      <c r="BB143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C143" s="40" t="inlineStr">
        <is>
          <t>Le Taha'a Pearl (60 villas) + Vahine Island (9 villas) + small pensions ~80 keys × ~65% occ × 2.5 pax × 365/4 nights ÷ 1-way ≈ ~12k arrivals/yr to Tahaa via Raiatea airport.</t>
        </is>
      </c>
      <c r="BD143" s="43" t="inlineStr">
        <is>
          <t>e__bora-bora-french-polynesia__raiatea-tahaa-french-polynesia</t>
        </is>
      </c>
    </row>
    <row r="144">
      <c r="A144" s="38" t="inlineStr">
        <is>
          <t>French Polynesia</t>
        </is>
      </c>
      <c r="B144" s="38" t="inlineStr">
        <is>
          <t>French Polynesia</t>
        </is>
      </c>
      <c r="C144" s="39" t="inlineStr">
        <is>
          <t>Hiva Oa (Atuona) → Tahuata (Vaitahu)</t>
        </is>
      </c>
      <c r="D144" s="38" t="inlineStr">
        <is>
          <t>french-polynesia</t>
        </is>
      </c>
      <c r="E144" s="40" t="inlineStr">
        <is>
          <t>french-polynesia</t>
        </is>
      </c>
      <c r="F144" s="41" t="n">
        <v>1</v>
      </c>
      <c r="G144" s="42" t="n">
        <v>5</v>
      </c>
      <c r="H144" s="35" t="n">
        <v>40</v>
      </c>
      <c r="I144" s="43" t="inlineStr">
        <is>
          <t>T4</t>
        </is>
      </c>
      <c r="J144" s="43" t="inlineStr">
        <is>
          <t>low</t>
        </is>
      </c>
      <c r="K144" s="29" t="n">
        <v>0.93</v>
      </c>
      <c r="L144" s="44">
        <f>60*G144/cruise_kt</f>
        <v/>
      </c>
      <c r="M144" s="44">
        <f>IF(B144="South Korea",G144/korea_charge_range_nm*korea_full_range_charge_min,0)</f>
        <v/>
      </c>
      <c r="N144" s="44">
        <f>IF(B144="South Korea",L144+korea_turn_min+korea_dwell_min+M144,L144+turn_min+dwell_min)</f>
        <v/>
      </c>
      <c r="O144" s="45">
        <f>IF(B144="South Korea",FLOOR(60*korea_service_hr/N144,1),MIN(15,FLOOR(60*service_hr/N144,1)))</f>
        <v/>
      </c>
      <c r="P144" s="45">
        <f>IF(ABS(MOD(ABS((365*mech_uptime*K144)),1)-0.5)&lt;1E-9,2*ROUND((365*mech_uptime*K144)/2,0),ROUND((365*mech_uptime*K144),0))</f>
        <v/>
      </c>
      <c r="Q144" s="46">
        <f>mech_uptime</f>
        <v/>
      </c>
      <c r="R144" s="46">
        <f>IF(AND(B144="South Korea",scenario="MID"),korea_mid_revleg,revleg_sel)</f>
        <v/>
      </c>
      <c r="S144" s="45">
        <f>IF(ABS(MOD(ABS((O144*P144*R144)),1)-0.5)&lt;1E-9,2*ROUND((O144*P144*R144)/2,0),ROUND((O144*P144*R144),0))</f>
        <v/>
      </c>
      <c r="T144" s="46">
        <f>IF(AND(B144="South Korea",scenario="MID"),korea_mid_load,load_sel)</f>
        <v/>
      </c>
      <c r="U144" s="47">
        <f>pax_cap*T144</f>
        <v/>
      </c>
      <c r="V144" s="45">
        <f>U144*S144</f>
        <v/>
      </c>
      <c r="W144" s="48">
        <f>H144*discount</f>
        <v/>
      </c>
      <c r="X144" s="49">
        <f>W144*V144</f>
        <v/>
      </c>
      <c r="Y144" s="49">
        <f>(battery/range_nm)*G144*S144*VLOOKUP(B144,country_opex,3,FALSE)</f>
        <v/>
      </c>
      <c r="Z144" s="49">
        <f>VLOOKUP(B144,country_opex,2,FALSE)*crew_factor</f>
        <v/>
      </c>
      <c r="AA144" s="49">
        <f>VLOOKUP(B144,country_opex,5,FALSE)</f>
        <v/>
      </c>
      <c r="AB144" s="49">
        <f>maint</f>
        <v/>
      </c>
      <c r="AC144" s="49">
        <f>VLOOKUP(B144,country_opex,7,FALSE)*ins_pct</f>
        <v/>
      </c>
      <c r="AD144" s="49">
        <f>charge_berth</f>
        <v/>
      </c>
      <c r="AE144" s="49">
        <f>Y144+Z144+AA144+AB144+AC144+AD144</f>
        <v/>
      </c>
      <c r="AF144" s="49">
        <f>VLOOKUP(B144,country_opex,7,FALSE)/dep_years</f>
        <v/>
      </c>
      <c r="AG144" s="49">
        <f>X144-AE144</f>
        <v/>
      </c>
      <c r="AH144" s="46">
        <f>IF(X144=0,"",AG144/X144)</f>
        <v/>
      </c>
      <c r="AI144" s="47">
        <f>IF(AG144&lt;=0,"",VLOOKUP(B144,country_opex,7,FALSE)/AG144)</f>
        <v/>
      </c>
      <c r="AJ144" s="44">
        <f>((G144*S144/diesel_nmpg)*diesel_co2pg-(battery/range_nm)*G144*S144*VLOOKUP(B144,country_opex,4,FALSE))/1000</f>
        <v/>
      </c>
      <c r="AK144" s="42" t="n"/>
      <c r="AL144" s="43" t="inlineStr">
        <is>
          <t>T5</t>
        </is>
      </c>
      <c r="AM144" s="43" t="inlineStr">
        <is>
          <t>low</t>
        </is>
      </c>
      <c r="AN144" s="50" t="n">
        <v>0.1</v>
      </c>
      <c r="AO144" s="45">
        <f>IF(AK144="","",AK144*AN144)</f>
        <v/>
      </c>
      <c r="AP144" s="45">
        <f>IF(OR(AK144="",V144=0),"",MIN(IF(AX144="",9.9E+99,AX144),FLOOR(AO144/V144,1)))</f>
        <v/>
      </c>
      <c r="AQ144" s="49">
        <f>IF(AP144="","",AP144*IF(ABS(MOD(ABS((X144)),1)-0.5)&lt;1E-9,2*ROUND((X144)/2,0),ROUND((X144),0)))</f>
        <v/>
      </c>
      <c r="AR144" s="47">
        <f>IF(OR(AK144="",V144=0),"",MIN(IF(AX144="",9.9E+99,AX144),AO144/V144))</f>
        <v/>
      </c>
      <c r="AS144" s="49">
        <f>IF(AR144="","",AR144*IF(B144="South Korea",IF(ABS(MOD(ABS((X144)),1)-0.5)&lt;1E-9,2*ROUND((X144)/2,0),ROUND((X144),0)),X144))</f>
        <v/>
      </c>
      <c r="AT144" s="51" t="n"/>
      <c r="AU144" s="43" t="inlineStr">
        <is>
          <t>Estimated</t>
        </is>
      </c>
      <c r="AV144" s="52" t="n"/>
      <c r="AW144" s="52" t="n"/>
      <c r="AX144" s="53" t="n"/>
      <c r="AY144" s="54">
        <f>IF(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&lt;=0,"",VLOOKUP(B144,country_opex,7,FALSE)/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)</f>
        <v/>
      </c>
      <c r="AZ144" s="54">
        <f>IF(((W144*pax_cap*IF(B144="South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Korea",korea_mid_revleg,revleg_mid)),0))*VLOOKUP(B144,country_opex,3,FALSE))+Z144+AA144+AB144+AC144+AD144))&lt;=0,"",VLOOKUP(B144,country_opex,7,FALSE)/((W144*pax_cap*IF(B144="South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Korea",korea_mid_revleg,revleg_mid)),0))*VLOOKUP(B144,country_opex,3,FALSE))+Z144+AA144+AB144+AC144+AD144)))</f>
        <v/>
      </c>
      <c r="BA144" s="54">
        <f>IF(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&lt;=0,"",VLOOKUP(B144,country_opex,7,FALSE)/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)</f>
        <v/>
      </c>
      <c r="BB144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C144" s="40" t="inlineStr">
        <is>
          <t>Tahuata ~700 residents + tourists from Hiva Oa ~1-2k/yr. Crossing ~5nm daily local boat.</t>
        </is>
      </c>
      <c r="BD144" s="43" t="n"/>
    </row>
    <row r="145">
      <c r="A145" s="38" t="inlineStr">
        <is>
          <t>French Polynesia</t>
        </is>
      </c>
      <c r="B145" s="38" t="inlineStr">
        <is>
          <t>French Polynesia</t>
        </is>
      </c>
      <c r="C145" s="39" t="inlineStr">
        <is>
          <t>Papeete (Tahiti) → Vaiare (Moorea)</t>
        </is>
      </c>
      <c r="D145" s="38" t="inlineStr">
        <is>
          <t>french-polynesia</t>
        </is>
      </c>
      <c r="E145" s="40" t="inlineStr">
        <is>
          <t>french-polynesia</t>
        </is>
      </c>
      <c r="F145" s="41" t="n">
        <v>1</v>
      </c>
      <c r="G145" s="42" t="n">
        <v>12</v>
      </c>
      <c r="H145" s="35" t="n">
        <v>18.5</v>
      </c>
      <c r="I145" s="43" t="inlineStr">
        <is>
          <t>T1</t>
        </is>
      </c>
      <c r="J145" s="43" t="inlineStr">
        <is>
          <t>high</t>
        </is>
      </c>
      <c r="K145" s="29" t="n">
        <v>0.93</v>
      </c>
      <c r="L145" s="44">
        <f>60*G145/cruise_kt</f>
        <v/>
      </c>
      <c r="M145" s="44">
        <f>IF(B145="South Korea",G145/korea_charge_range_nm*korea_full_range_charge_min,0)</f>
        <v/>
      </c>
      <c r="N145" s="44">
        <f>IF(B145="South Korea",L145+korea_turn_min+korea_dwell_min+M145,L145+turn_min+dwell_min)</f>
        <v/>
      </c>
      <c r="O145" s="45">
        <f>IF(B145="South Korea",FLOOR(60*korea_service_hr/N145,1),MIN(15,FLOOR(60*service_hr/N145,1)))</f>
        <v/>
      </c>
      <c r="P145" s="45">
        <f>IF(ABS(MOD(ABS((365*mech_uptime*K145)),1)-0.5)&lt;1E-9,2*ROUND((365*mech_uptime*K145)/2,0),ROUND((365*mech_uptime*K145),0))</f>
        <v/>
      </c>
      <c r="Q145" s="46">
        <f>mech_uptime</f>
        <v/>
      </c>
      <c r="R145" s="46">
        <f>IF(AND(B145="South Korea",scenario="MID"),korea_mid_revleg,revleg_sel)</f>
        <v/>
      </c>
      <c r="S145" s="45">
        <f>IF(ABS(MOD(ABS((O145*P145*R145)),1)-0.5)&lt;1E-9,2*ROUND((O145*P145*R145)/2,0),ROUND((O145*P145*R145),0))</f>
        <v/>
      </c>
      <c r="T145" s="46">
        <f>IF(AND(B145="South Korea",scenario="MID"),korea_mid_load,load_sel)</f>
        <v/>
      </c>
      <c r="U145" s="47">
        <f>pax_cap*T145</f>
        <v/>
      </c>
      <c r="V145" s="45">
        <f>U145*S145</f>
        <v/>
      </c>
      <c r="W145" s="48">
        <f>H145*discount</f>
        <v/>
      </c>
      <c r="X145" s="49">
        <f>W145*V145</f>
        <v/>
      </c>
      <c r="Y145" s="49">
        <f>(battery/range_nm)*G145*S145*VLOOKUP(B145,country_opex,3,FALSE)</f>
        <v/>
      </c>
      <c r="Z145" s="49">
        <f>VLOOKUP(B145,country_opex,2,FALSE)*crew_factor</f>
        <v/>
      </c>
      <c r="AA145" s="49">
        <f>VLOOKUP(B145,country_opex,5,FALSE)</f>
        <v/>
      </c>
      <c r="AB145" s="49">
        <f>maint</f>
        <v/>
      </c>
      <c r="AC145" s="49">
        <f>VLOOKUP(B145,country_opex,7,FALSE)*ins_pct</f>
        <v/>
      </c>
      <c r="AD145" s="49">
        <f>charge_berth</f>
        <v/>
      </c>
      <c r="AE145" s="49">
        <f>Y145+Z145+AA145+AB145+AC145+AD145</f>
        <v/>
      </c>
      <c r="AF145" s="49">
        <f>VLOOKUP(B145,country_opex,7,FALSE)/dep_years</f>
        <v/>
      </c>
      <c r="AG145" s="49">
        <f>X145-AE145</f>
        <v/>
      </c>
      <c r="AH145" s="46">
        <f>IF(X145=0,"",AG145/X145)</f>
        <v/>
      </c>
      <c r="AI145" s="47">
        <f>IF(AG145&lt;=0,"",VLOOKUP(B145,country_opex,7,FALSE)/AG145)</f>
        <v/>
      </c>
      <c r="AJ145" s="44">
        <f>((G145*S145/diesel_nmpg)*diesel_co2pg-(battery/range_nm)*G145*S145*VLOOKUP(B145,country_opex,4,FALSE))/1000</f>
        <v/>
      </c>
      <c r="AK145" s="42" t="n">
        <v>1600000</v>
      </c>
      <c r="AL145" s="43" t="inlineStr">
        <is>
          <t>T2</t>
        </is>
      </c>
      <c r="AM145" s="43" t="inlineStr">
        <is>
          <t>high</t>
        </is>
      </c>
      <c r="AN145" s="50" t="n">
        <v>0.1</v>
      </c>
      <c r="AO145" s="45">
        <f>IF(AK145="","",AK145*AN145)</f>
        <v/>
      </c>
      <c r="AP145" s="45">
        <f>IF(OR(AK145="",V145=0),"",MIN(IF(AX145="",9.9E+99,AX145),FLOOR(AO145/V145,1)))</f>
        <v/>
      </c>
      <c r="AQ145" s="49">
        <f>IF(AP145="","",AP145*IF(ABS(MOD(ABS((X145)),1)-0.5)&lt;1E-9,2*ROUND((X145)/2,0),ROUND((X145),0)))</f>
        <v/>
      </c>
      <c r="AR145" s="47">
        <f>IF(OR(AK145="",V145=0),"",MIN(IF(AX145="",9.9E+99,AX145),AO145/V145))</f>
        <v/>
      </c>
      <c r="AS145" s="49">
        <f>IF(AR145="","",AR145*IF(B145="South Korea",IF(ABS(MOD(ABS((X145)),1)-0.5)&lt;1E-9,2*ROUND((X145)/2,0),ROUND((X145),0)),X145))</f>
        <v/>
      </c>
      <c r="AT145" s="51" t="n"/>
      <c r="AU145" s="43" t="inlineStr">
        <is>
          <t>Grounded</t>
        </is>
      </c>
      <c r="AV145" s="52" t="n"/>
      <c r="AW145" s="52" t="n"/>
      <c r="AX145" s="53" t="n"/>
      <c r="AY145" s="54">
        <f>IF(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&lt;=0,"",VLOOKUP(B145,country_opex,7,FALSE)/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)</f>
        <v/>
      </c>
      <c r="AZ145" s="54">
        <f>IF(((W145*pax_cap*IF(B145="South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Korea",korea_mid_revleg,revleg_mid)),0))*VLOOKUP(B145,country_opex,3,FALSE))+Z145+AA145+AB145+AC145+AD145))&lt;=0,"",VLOOKUP(B145,country_opex,7,FALSE)/((W145*pax_cap*IF(B145="South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Korea",korea_mid_revleg,revleg_mid)),0))*VLOOKUP(B145,country_opex,3,FALSE))+Z145+AA145+AB145+AC145+AD145)))</f>
        <v/>
      </c>
      <c r="BA145" s="54">
        <f>IF(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&lt;=0,"",VLOOKUP(B145,country_opex,7,FALSE)/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)</f>
        <v/>
      </c>
      <c r="BB145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C145" s="40" t="inlineStr">
        <is>
          <t>AIVP (Papeete Port Authority): '1.5 to 1.8 million passengers a year pass through Papeete's ferry terminal (Tahiti-Moorea)'. Three operators Aremiti+Terevau+Tauati combined. Anchor 1.6M.</t>
        </is>
      </c>
      <c r="BD145" s="43" t="inlineStr">
        <is>
          <t>e__tahiti-moorea-french-polynesia__moorea-french-polynesia</t>
        </is>
      </c>
    </row>
    <row r="146">
      <c r="A146" s="38" t="inlineStr">
        <is>
          <t>French Polynesia</t>
        </is>
      </c>
      <c r="B146" s="38" t="inlineStr">
        <is>
          <t>French Polynesia</t>
        </is>
      </c>
      <c r="C146" s="39" t="inlineStr">
        <is>
          <t>Rangiroa intra-lagoon (Avatoru ↔ Blue Lagoon) → (intra-atoll)</t>
        </is>
      </c>
      <c r="D146" s="38" t="inlineStr">
        <is>
          <t>french-polynesia</t>
        </is>
      </c>
      <c r="E146" s="40" t="inlineStr">
        <is>
          <t>french-polynesia</t>
        </is>
      </c>
      <c r="F146" s="41" t="n">
        <v>1</v>
      </c>
      <c r="G146" s="42" t="n">
        <v>20</v>
      </c>
      <c r="H146" s="35" t="n">
        <v>75</v>
      </c>
      <c r="I146" s="43" t="inlineStr">
        <is>
          <t>T4</t>
        </is>
      </c>
      <c r="J146" s="43" t="inlineStr">
        <is>
          <t>med-low</t>
        </is>
      </c>
      <c r="K146" s="29" t="n">
        <v>0.93</v>
      </c>
      <c r="L146" s="44">
        <f>60*G146/cruise_kt</f>
        <v/>
      </c>
      <c r="M146" s="44">
        <f>IF(B146="South Korea",G146/korea_charge_range_nm*korea_full_range_charge_min,0)</f>
        <v/>
      </c>
      <c r="N146" s="44">
        <f>IF(B146="South Korea",L146+korea_turn_min+korea_dwell_min+M146,L146+turn_min+dwell_min)</f>
        <v/>
      </c>
      <c r="O146" s="45">
        <f>IF(B146="South Korea",FLOOR(60*korea_service_hr/N146,1),MIN(15,FLOOR(60*service_hr/N146,1)))</f>
        <v/>
      </c>
      <c r="P146" s="45">
        <f>IF(ABS(MOD(ABS((365*mech_uptime*K146)),1)-0.5)&lt;1E-9,2*ROUND((365*mech_uptime*K146)/2,0),ROUND((365*mech_uptime*K146),0))</f>
        <v/>
      </c>
      <c r="Q146" s="46">
        <f>mech_uptime</f>
        <v/>
      </c>
      <c r="R146" s="46">
        <f>IF(AND(B146="South Korea",scenario="MID"),korea_mid_revleg,revleg_sel)</f>
        <v/>
      </c>
      <c r="S146" s="45">
        <f>IF(ABS(MOD(ABS((O146*P146*R146)),1)-0.5)&lt;1E-9,2*ROUND((O146*P146*R146)/2,0),ROUND((O146*P146*R146),0))</f>
        <v/>
      </c>
      <c r="T146" s="46">
        <f>IF(AND(B146="South Korea",scenario="MID"),korea_mid_load,load_sel)</f>
        <v/>
      </c>
      <c r="U146" s="47">
        <f>pax_cap*T146</f>
        <v/>
      </c>
      <c r="V146" s="45">
        <f>U146*S146</f>
        <v/>
      </c>
      <c r="W146" s="48">
        <f>H146*discount</f>
        <v/>
      </c>
      <c r="X146" s="49">
        <f>W146*V146</f>
        <v/>
      </c>
      <c r="Y146" s="49">
        <f>(battery/range_nm)*G146*S146*VLOOKUP(B146,country_opex,3,FALSE)</f>
        <v/>
      </c>
      <c r="Z146" s="49">
        <f>VLOOKUP(B146,country_opex,2,FALSE)*crew_factor</f>
        <v/>
      </c>
      <c r="AA146" s="49">
        <f>VLOOKUP(B146,country_opex,5,FALSE)</f>
        <v/>
      </c>
      <c r="AB146" s="49">
        <f>maint</f>
        <v/>
      </c>
      <c r="AC146" s="49">
        <f>VLOOKUP(B146,country_opex,7,FALSE)*ins_pct</f>
        <v/>
      </c>
      <c r="AD146" s="49">
        <f>charge_berth</f>
        <v/>
      </c>
      <c r="AE146" s="49">
        <f>Y146+Z146+AA146+AB146+AC146+AD146</f>
        <v/>
      </c>
      <c r="AF146" s="49">
        <f>VLOOKUP(B146,country_opex,7,FALSE)/dep_years</f>
        <v/>
      </c>
      <c r="AG146" s="49">
        <f>X146-AE146</f>
        <v/>
      </c>
      <c r="AH146" s="46">
        <f>IF(X146=0,"",AG146/X146)</f>
        <v/>
      </c>
      <c r="AI146" s="47">
        <f>IF(AG146&lt;=0,"",VLOOKUP(B146,country_opex,7,FALSE)/AG146)</f>
        <v/>
      </c>
      <c r="AJ146" s="44">
        <f>((G146*S146/diesel_nmpg)*diesel_co2pg-(battery/range_nm)*G146*S146*VLOOKUP(B146,country_opex,4,FALSE))/1000</f>
        <v/>
      </c>
      <c r="AK146" s="42" t="n">
        <v>30000</v>
      </c>
      <c r="AL146" s="43" t="inlineStr">
        <is>
          <t>T5</t>
        </is>
      </c>
      <c r="AM146" s="43" t="inlineStr">
        <is>
          <t>med-low</t>
        </is>
      </c>
      <c r="AN146" s="50" t="n">
        <v>0.9</v>
      </c>
      <c r="AO146" s="45">
        <f>IF(AK146="","",AK146*AN146)</f>
        <v/>
      </c>
      <c r="AP146" s="45">
        <f>IF(OR(AK146="",V146=0),"",MIN(IF(AX146="",9.9E+99,AX146),FLOOR(AO146/V146,1)))</f>
        <v/>
      </c>
      <c r="AQ146" s="49">
        <f>IF(AP146="","",AP146*IF(ABS(MOD(ABS((X146)),1)-0.5)&lt;1E-9,2*ROUND((X146)/2,0),ROUND((X146),0)))</f>
        <v/>
      </c>
      <c r="AR146" s="47">
        <f>IF(OR(AK146="",V146=0),"",MIN(IF(AX146="",9.9E+99,AX146),AO146/V146))</f>
        <v/>
      </c>
      <c r="AS146" s="49">
        <f>IF(AR146="","",AR146*IF(B146="South Korea",IF(ABS(MOD(ABS((X146)),1)-0.5)&lt;1E-9,2*ROUND((X146)/2,0),ROUND((X146),0)),X146))</f>
        <v/>
      </c>
      <c r="AT146" s="51" t="n"/>
      <c r="AU146" s="43" t="inlineStr">
        <is>
          <t>Grounded</t>
        </is>
      </c>
      <c r="AV146" s="52" t="n"/>
      <c r="AW146" s="52" t="n"/>
      <c r="AX146" s="53" t="n"/>
      <c r="AY146" s="54">
        <f>IF(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&lt;=0,"",VLOOKUP(B146,country_opex,7,FALSE)/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)</f>
        <v/>
      </c>
      <c r="AZ146" s="54">
        <f>IF(((W146*pax_cap*IF(B146="South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Korea",korea_mid_revleg,revleg_mid)),0))*VLOOKUP(B146,country_opex,3,FALSE))+Z146+AA146+AB146+AC146+AD146))&lt;=0,"",VLOOKUP(B146,country_opex,7,FALSE)/((W146*pax_cap*IF(B146="South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Korea",korea_mid_revleg,revleg_mid)),0))*VLOOKUP(B146,country_opex,3,FALSE))+Z146+AA146+AB146+AC146+AD146)))</f>
        <v/>
      </c>
      <c r="BA146" s="54">
        <f>IF(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&lt;=0,"",VLOOKUP(B146,country_opex,7,FALSE)/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)</f>
        <v/>
      </c>
      <c r="BB146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C146" s="40" t="inlineStr">
        <is>
          <t>Rangiroa ~10-15k tourists/yr (Hotel Kia Ora + pensions); Blue Lagoon is the main excursion - ~70% of guests do it. ~10-15k × 2 trips ≈ 25-30k pax/yr one-way intra-lagoon.</t>
        </is>
      </c>
      <c r="BD146" s="43" t="n"/>
    </row>
    <row r="147">
      <c r="A147" s="38" t="inlineStr">
        <is>
          <t>French Polynesia</t>
        </is>
      </c>
      <c r="B147" s="38" t="inlineStr">
        <is>
          <t>French Polynesia</t>
        </is>
      </c>
      <c r="C147" s="39" t="inlineStr">
        <is>
          <t>Bora Bora → Raiatea (Uturoa)</t>
        </is>
      </c>
      <c r="D147" s="38" t="inlineStr">
        <is>
          <t>french-polynesia</t>
        </is>
      </c>
      <c r="E147" s="40" t="inlineStr">
        <is>
          <t>french-polynesia</t>
        </is>
      </c>
      <c r="F147" s="41" t="n">
        <v>1</v>
      </c>
      <c r="G147" s="42" t="n">
        <v>22</v>
      </c>
      <c r="H147" s="35" t="n">
        <v>64</v>
      </c>
      <c r="I147" s="43" t="inlineStr">
        <is>
          <t>T1</t>
        </is>
      </c>
      <c r="J147" s="43" t="inlineStr">
        <is>
          <t>high</t>
        </is>
      </c>
      <c r="K147" s="29" t="n">
        <v>0.93</v>
      </c>
      <c r="L147" s="44">
        <f>60*G147/cruise_kt</f>
        <v/>
      </c>
      <c r="M147" s="44">
        <f>IF(B147="South Korea",G147/korea_charge_range_nm*korea_full_range_charge_min,0)</f>
        <v/>
      </c>
      <c r="N147" s="44">
        <f>IF(B147="South Korea",L147+korea_turn_min+korea_dwell_min+M147,L147+turn_min+dwell_min)</f>
        <v/>
      </c>
      <c r="O147" s="45">
        <f>IF(B147="South Korea",FLOOR(60*korea_service_hr/N147,1),MIN(15,FLOOR(60*service_hr/N147,1)))</f>
        <v/>
      </c>
      <c r="P147" s="45">
        <f>IF(ABS(MOD(ABS((365*mech_uptime*K147)),1)-0.5)&lt;1E-9,2*ROUND((365*mech_uptime*K147)/2,0),ROUND((365*mech_uptime*K147),0))</f>
        <v/>
      </c>
      <c r="Q147" s="46">
        <f>mech_uptime</f>
        <v/>
      </c>
      <c r="R147" s="46">
        <f>IF(AND(B147="South Korea",scenario="MID"),korea_mid_revleg,revleg_sel)</f>
        <v/>
      </c>
      <c r="S147" s="45">
        <f>IF(ABS(MOD(ABS((O147*P147*R147)),1)-0.5)&lt;1E-9,2*ROUND((O147*P147*R147)/2,0),ROUND((O147*P147*R147),0))</f>
        <v/>
      </c>
      <c r="T147" s="46">
        <f>IF(AND(B147="South Korea",scenario="MID"),korea_mid_load,load_sel)</f>
        <v/>
      </c>
      <c r="U147" s="47">
        <f>pax_cap*T147</f>
        <v/>
      </c>
      <c r="V147" s="45">
        <f>U147*S147</f>
        <v/>
      </c>
      <c r="W147" s="48">
        <f>H147*discount</f>
        <v/>
      </c>
      <c r="X147" s="49">
        <f>W147*V147</f>
        <v/>
      </c>
      <c r="Y147" s="49">
        <f>(battery/range_nm)*G147*S147*VLOOKUP(B147,country_opex,3,FALSE)</f>
        <v/>
      </c>
      <c r="Z147" s="49">
        <f>VLOOKUP(B147,country_opex,2,FALSE)*crew_factor</f>
        <v/>
      </c>
      <c r="AA147" s="49">
        <f>VLOOKUP(B147,country_opex,5,FALSE)</f>
        <v/>
      </c>
      <c r="AB147" s="49">
        <f>maint</f>
        <v/>
      </c>
      <c r="AC147" s="49">
        <f>VLOOKUP(B147,country_opex,7,FALSE)*ins_pct</f>
        <v/>
      </c>
      <c r="AD147" s="49">
        <f>charge_berth</f>
        <v/>
      </c>
      <c r="AE147" s="49">
        <f>Y147+Z147+AA147+AB147+AC147+AD147</f>
        <v/>
      </c>
      <c r="AF147" s="49">
        <f>VLOOKUP(B147,country_opex,7,FALSE)/dep_years</f>
        <v/>
      </c>
      <c r="AG147" s="49">
        <f>X147-AE147</f>
        <v/>
      </c>
      <c r="AH147" s="46">
        <f>IF(X147=0,"",AG147/X147)</f>
        <v/>
      </c>
      <c r="AI147" s="47">
        <f>IF(AG147&lt;=0,"",VLOOKUP(B147,country_opex,7,FALSE)/AG147)</f>
        <v/>
      </c>
      <c r="AJ147" s="44">
        <f>((G147*S147/diesel_nmpg)*diesel_co2pg-(battery/range_nm)*G147*S147*VLOOKUP(B147,country_opex,4,FALSE))/1000</f>
        <v/>
      </c>
      <c r="AK147" s="42" t="n">
        <v>35000</v>
      </c>
      <c r="AL147" s="43" t="inlineStr">
        <is>
          <t>T2</t>
        </is>
      </c>
      <c r="AM147" s="43" t="inlineStr">
        <is>
          <t>med</t>
        </is>
      </c>
      <c r="AN147" s="50" t="n">
        <v>0.1</v>
      </c>
      <c r="AO147" s="45">
        <f>IF(AK147="","",AK147*AN147)</f>
        <v/>
      </c>
      <c r="AP147" s="45">
        <f>IF(OR(AK147="",V147=0),"",MIN(IF(AX147="",9.9E+99,AX147),FLOOR(AO147/V147,1)))</f>
        <v/>
      </c>
      <c r="AQ147" s="49">
        <f>IF(AP147="","",AP147*IF(ABS(MOD(ABS((X147)),1)-0.5)&lt;1E-9,2*ROUND((X147)/2,0),ROUND((X147),0)))</f>
        <v/>
      </c>
      <c r="AR147" s="47">
        <f>IF(OR(AK147="",V147=0),"",MIN(IF(AX147="",9.9E+99,AX147),AO147/V147))</f>
        <v/>
      </c>
      <c r="AS147" s="49">
        <f>IF(AR147="","",AR147*IF(B147="South Korea",IF(ABS(MOD(ABS((X147)),1)-0.5)&lt;1E-9,2*ROUND((X147)/2,0),ROUND((X147),0)),X147))</f>
        <v/>
      </c>
      <c r="AT147" s="51" t="n"/>
      <c r="AU147" s="43" t="inlineStr">
        <is>
          <t>Estimated</t>
        </is>
      </c>
      <c r="AV147" s="52" t="n"/>
      <c r="AW147" s="52" t="n"/>
      <c r="AX147" s="53" t="n"/>
      <c r="AY147" s="54">
        <f>IF(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&lt;=0,"",VLOOKUP(B147,country_opex,7,FALSE)/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)</f>
        <v/>
      </c>
      <c r="AZ147" s="54">
        <f>IF(((W147*pax_cap*IF(B147="South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Korea",korea_mid_revleg,revleg_mid)),0))*VLOOKUP(B147,country_opex,3,FALSE))+Z147+AA147+AB147+AC147+AD147))&lt;=0,"",VLOOKUP(B147,country_opex,7,FALSE)/((W147*pax_cap*IF(B147="South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Korea",korea_mid_revleg,revleg_mid)),0))*VLOOKUP(B147,country_opex,3,FALSE))+Z147+AA147+AB147+AC147+AD147)))</f>
        <v/>
      </c>
      <c r="BA147" s="54">
        <f>IF(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&lt;=0,"",VLOOKUP(B147,country_opex,7,FALSE)/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)</f>
        <v/>
      </c>
      <c r="BB147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C147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  <c r="BD147" s="43" t="inlineStr">
        <is>
          <t>e__bora-bora-french-polynesia__raiatea-tahaa-french-polynesia</t>
        </is>
      </c>
    </row>
    <row r="148">
      <c r="A148" s="38" t="inlineStr">
        <is>
          <t>French Polynesia</t>
        </is>
      </c>
      <c r="B148" s="38" t="inlineStr">
        <is>
          <t>French Polynesia</t>
        </is>
      </c>
      <c r="C148" s="39" t="inlineStr">
        <is>
          <t>Bora Bora → Tahaa (Patio)</t>
        </is>
      </c>
      <c r="D148" s="38" t="inlineStr">
        <is>
          <t>french-polynesia</t>
        </is>
      </c>
      <c r="E148" s="40" t="inlineStr">
        <is>
          <t>french-polynesia</t>
        </is>
      </c>
      <c r="F148" s="41" t="n">
        <v>1</v>
      </c>
      <c r="G148" s="42" t="n">
        <v>25</v>
      </c>
      <c r="H148" s="35" t="n">
        <v>65</v>
      </c>
      <c r="I148" s="43" t="inlineStr">
        <is>
          <t>T1</t>
        </is>
      </c>
      <c r="J148" s="43" t="inlineStr">
        <is>
          <t>high</t>
        </is>
      </c>
      <c r="K148" s="29" t="n">
        <v>0.93</v>
      </c>
      <c r="L148" s="44">
        <f>60*G148/cruise_kt</f>
        <v/>
      </c>
      <c r="M148" s="44">
        <f>IF(B148="South Korea",G148/korea_charge_range_nm*korea_full_range_charge_min,0)</f>
        <v/>
      </c>
      <c r="N148" s="44">
        <f>IF(B148="South Korea",L148+korea_turn_min+korea_dwell_min+M148,L148+turn_min+dwell_min)</f>
        <v/>
      </c>
      <c r="O148" s="45">
        <f>IF(B148="South Korea",FLOOR(60*korea_service_hr/N148,1),MIN(15,FLOOR(60*service_hr/N148,1)))</f>
        <v/>
      </c>
      <c r="P148" s="45">
        <f>IF(ABS(MOD(ABS((365*mech_uptime*K148)),1)-0.5)&lt;1E-9,2*ROUND((365*mech_uptime*K148)/2,0),ROUND((365*mech_uptime*K148),0))</f>
        <v/>
      </c>
      <c r="Q148" s="46">
        <f>mech_uptime</f>
        <v/>
      </c>
      <c r="R148" s="46">
        <f>IF(AND(B148="South Korea",scenario="MID"),korea_mid_revleg,revleg_sel)</f>
        <v/>
      </c>
      <c r="S148" s="45">
        <f>IF(ABS(MOD(ABS((O148*P148*R148)),1)-0.5)&lt;1E-9,2*ROUND((O148*P148*R148)/2,0),ROUND((O148*P148*R148),0))</f>
        <v/>
      </c>
      <c r="T148" s="46">
        <f>IF(AND(B148="South Korea",scenario="MID"),korea_mid_load,load_sel)</f>
        <v/>
      </c>
      <c r="U148" s="47">
        <f>pax_cap*T148</f>
        <v/>
      </c>
      <c r="V148" s="45">
        <f>U148*S148</f>
        <v/>
      </c>
      <c r="W148" s="48">
        <f>H148*discount</f>
        <v/>
      </c>
      <c r="X148" s="49">
        <f>W148*V148</f>
        <v/>
      </c>
      <c r="Y148" s="49">
        <f>(battery/range_nm)*G148*S148*VLOOKUP(B148,country_opex,3,FALSE)</f>
        <v/>
      </c>
      <c r="Z148" s="49">
        <f>VLOOKUP(B148,country_opex,2,FALSE)*crew_factor</f>
        <v/>
      </c>
      <c r="AA148" s="49">
        <f>VLOOKUP(B148,country_opex,5,FALSE)</f>
        <v/>
      </c>
      <c r="AB148" s="49">
        <f>maint</f>
        <v/>
      </c>
      <c r="AC148" s="49">
        <f>VLOOKUP(B148,country_opex,7,FALSE)*ins_pct</f>
        <v/>
      </c>
      <c r="AD148" s="49">
        <f>charge_berth</f>
        <v/>
      </c>
      <c r="AE148" s="49">
        <f>Y148+Z148+AA148+AB148+AC148+AD148</f>
        <v/>
      </c>
      <c r="AF148" s="49">
        <f>VLOOKUP(B148,country_opex,7,FALSE)/dep_years</f>
        <v/>
      </c>
      <c r="AG148" s="49">
        <f>X148-AE148</f>
        <v/>
      </c>
      <c r="AH148" s="46">
        <f>IF(X148=0,"",AG148/X148)</f>
        <v/>
      </c>
      <c r="AI148" s="47">
        <f>IF(AG148&lt;=0,"",VLOOKUP(B148,country_opex,7,FALSE)/AG148)</f>
        <v/>
      </c>
      <c r="AJ148" s="44">
        <f>((G148*S148/diesel_nmpg)*diesel_co2pg-(battery/range_nm)*G148*S148*VLOOKUP(B148,country_opex,4,FALSE))/1000</f>
        <v/>
      </c>
      <c r="AK148" s="42" t="n"/>
      <c r="AL148" s="43" t="inlineStr">
        <is>
          <t>T5</t>
        </is>
      </c>
      <c r="AM148" s="43" t="inlineStr">
        <is>
          <t>low</t>
        </is>
      </c>
      <c r="AN148" s="50" t="n">
        <v>0.9</v>
      </c>
      <c r="AO148" s="45">
        <f>IF(AK148="","",AK148*AN148)</f>
        <v/>
      </c>
      <c r="AP148" s="45">
        <f>IF(OR(AK148="",V148=0),"",MIN(IF(AX148="",9.9E+99,AX148),FLOOR(AO148/V148,1)))</f>
        <v/>
      </c>
      <c r="AQ148" s="49">
        <f>IF(AP148="","",AP148*IF(ABS(MOD(ABS((X148)),1)-0.5)&lt;1E-9,2*ROUND((X148)/2,0),ROUND((X148),0)))</f>
        <v/>
      </c>
      <c r="AR148" s="47">
        <f>IF(OR(AK148="",V148=0),"",MIN(IF(AX148="",9.9E+99,AX148),AO148/V148))</f>
        <v/>
      </c>
      <c r="AS148" s="49">
        <f>IF(AR148="","",AR148*IF(B148="South Korea",IF(ABS(MOD(ABS((X148)),1)-0.5)&lt;1E-9,2*ROUND((X148)/2,0),ROUND((X148),0)),X148))</f>
        <v/>
      </c>
      <c r="AT148" s="51" t="n"/>
      <c r="AU148" s="43" t="inlineStr">
        <is>
          <t>Estimated</t>
        </is>
      </c>
      <c r="AV148" s="52" t="n"/>
      <c r="AW148" s="52" t="n"/>
      <c r="AX148" s="53" t="n"/>
      <c r="AY148" s="54">
        <f>IF(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&lt;=0,"",VLOOKUP(B148,country_opex,7,FALSE)/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)</f>
        <v/>
      </c>
      <c r="AZ148" s="54">
        <f>IF(((W148*pax_cap*IF(B148="South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Korea",korea_mid_revleg,revleg_mid)),0))*VLOOKUP(B148,country_opex,3,FALSE))+Z148+AA148+AB148+AC148+AD148))&lt;=0,"",VLOOKUP(B148,country_opex,7,FALSE)/((W148*pax_cap*IF(B148="South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Korea",korea_mid_revleg,revleg_mid)),0))*VLOOKUP(B148,country_opex,3,FALSE))+Z148+AA148+AB148+AC148+AD148)))</f>
        <v/>
      </c>
      <c r="BA148" s="54">
        <f>IF(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&lt;=0,"",VLOOKUP(B148,country_opex,7,FALSE)/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)</f>
        <v/>
      </c>
      <c r="BB148" s="40" t="inlineStr">
        <is>
          <t>Le Taha'a by Pearl Resorts official transfer (bookings.letahaa.com / Pearl Resorts): 7,100 XPF per adult per way (~$65.1 @109). Apetahi Express also calls Tahaa 7,000 XPF.</t>
        </is>
      </c>
      <c r="BC148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  <c r="BD148" s="43" t="inlineStr">
        <is>
          <t>e__bora-bora-french-polynesia__raiatea-tahaa-french-polynesia</t>
        </is>
      </c>
    </row>
    <row r="149">
      <c r="A149" s="38" t="inlineStr">
        <is>
          <t>French Polynesia</t>
        </is>
      </c>
      <c r="B149" s="38" t="inlineStr">
        <is>
          <t>French Polynesia</t>
        </is>
      </c>
      <c r="C149" s="39" t="inlineStr">
        <is>
          <t>Raiatea (Uturoa) → Huahine (Fare)</t>
        </is>
      </c>
      <c r="D149" s="38" t="inlineStr">
        <is>
          <t>french-polynesia</t>
        </is>
      </c>
      <c r="E149" s="40" t="inlineStr">
        <is>
          <t>french-polynesia</t>
        </is>
      </c>
      <c r="F149" s="41" t="n">
        <v>1</v>
      </c>
      <c r="G149" s="42" t="n">
        <v>25</v>
      </c>
      <c r="H149" s="35" t="n">
        <v>64</v>
      </c>
      <c r="I149" s="43" t="inlineStr">
        <is>
          <t>T1</t>
        </is>
      </c>
      <c r="J149" s="43" t="inlineStr">
        <is>
          <t>high</t>
        </is>
      </c>
      <c r="K149" s="29" t="n">
        <v>0.93</v>
      </c>
      <c r="L149" s="44">
        <f>60*G149/cruise_kt</f>
        <v/>
      </c>
      <c r="M149" s="44">
        <f>IF(B149="South Korea",G149/korea_charge_range_nm*korea_full_range_charge_min,0)</f>
        <v/>
      </c>
      <c r="N149" s="44">
        <f>IF(B149="South Korea",L149+korea_turn_min+korea_dwell_min+M149,L149+turn_min+dwell_min)</f>
        <v/>
      </c>
      <c r="O149" s="45">
        <f>IF(B149="South Korea",FLOOR(60*korea_service_hr/N149,1),MIN(15,FLOOR(60*service_hr/N149,1)))</f>
        <v/>
      </c>
      <c r="P149" s="45">
        <f>IF(ABS(MOD(ABS((365*mech_uptime*K149)),1)-0.5)&lt;1E-9,2*ROUND((365*mech_uptime*K149)/2,0),ROUND((365*mech_uptime*K149),0))</f>
        <v/>
      </c>
      <c r="Q149" s="46">
        <f>mech_uptime</f>
        <v/>
      </c>
      <c r="R149" s="46">
        <f>IF(AND(B149="South Korea",scenario="MID"),korea_mid_revleg,revleg_sel)</f>
        <v/>
      </c>
      <c r="S149" s="45">
        <f>IF(ABS(MOD(ABS((O149*P149*R149)),1)-0.5)&lt;1E-9,2*ROUND((O149*P149*R149)/2,0),ROUND((O149*P149*R149),0))</f>
        <v/>
      </c>
      <c r="T149" s="46">
        <f>IF(AND(B149="South Korea",scenario="MID"),korea_mid_load,load_sel)</f>
        <v/>
      </c>
      <c r="U149" s="47">
        <f>pax_cap*T149</f>
        <v/>
      </c>
      <c r="V149" s="45">
        <f>U149*S149</f>
        <v/>
      </c>
      <c r="W149" s="48">
        <f>H149*discount</f>
        <v/>
      </c>
      <c r="X149" s="49">
        <f>W149*V149</f>
        <v/>
      </c>
      <c r="Y149" s="49">
        <f>(battery/range_nm)*G149*S149*VLOOKUP(B149,country_opex,3,FALSE)</f>
        <v/>
      </c>
      <c r="Z149" s="49">
        <f>VLOOKUP(B149,country_opex,2,FALSE)*crew_factor</f>
        <v/>
      </c>
      <c r="AA149" s="49">
        <f>VLOOKUP(B149,country_opex,5,FALSE)</f>
        <v/>
      </c>
      <c r="AB149" s="49">
        <f>maint</f>
        <v/>
      </c>
      <c r="AC149" s="49">
        <f>VLOOKUP(B149,country_opex,7,FALSE)*ins_pct</f>
        <v/>
      </c>
      <c r="AD149" s="49">
        <f>charge_berth</f>
        <v/>
      </c>
      <c r="AE149" s="49">
        <f>Y149+Z149+AA149+AB149+AC149+AD149</f>
        <v/>
      </c>
      <c r="AF149" s="49">
        <f>VLOOKUP(B149,country_opex,7,FALSE)/dep_years</f>
        <v/>
      </c>
      <c r="AG149" s="49">
        <f>X149-AE149</f>
        <v/>
      </c>
      <c r="AH149" s="46">
        <f>IF(X149=0,"",AG149/X149)</f>
        <v/>
      </c>
      <c r="AI149" s="47">
        <f>IF(AG149&lt;=0,"",VLOOKUP(B149,country_opex,7,FALSE)/AG149)</f>
        <v/>
      </c>
      <c r="AJ149" s="44">
        <f>((G149*S149/diesel_nmpg)*diesel_co2pg-(battery/range_nm)*G149*S149*VLOOKUP(B149,country_opex,4,FALSE))/1000</f>
        <v/>
      </c>
      <c r="AK149" s="42" t="n">
        <v>20000</v>
      </c>
      <c r="AL149" s="43" t="inlineStr">
        <is>
          <t>T5</t>
        </is>
      </c>
      <c r="AM149" s="43" t="inlineStr">
        <is>
          <t>med-low</t>
        </is>
      </c>
      <c r="AN149" s="50" t="n">
        <v>0.1</v>
      </c>
      <c r="AO149" s="45">
        <f>IF(AK149="","",AK149*AN149)</f>
        <v/>
      </c>
      <c r="AP149" s="45">
        <f>IF(OR(AK149="",V149=0),"",MIN(IF(AX149="",9.9E+99,AX149),FLOOR(AO149/V149,1)))</f>
        <v/>
      </c>
      <c r="AQ149" s="49">
        <f>IF(AP149="","",AP149*IF(ABS(MOD(ABS((X149)),1)-0.5)&lt;1E-9,2*ROUND((X149)/2,0),ROUND((X149),0)))</f>
        <v/>
      </c>
      <c r="AR149" s="47">
        <f>IF(OR(AK149="",V149=0),"",MIN(IF(AX149="",9.9E+99,AX149),AO149/V149))</f>
        <v/>
      </c>
      <c r="AS149" s="49">
        <f>IF(AR149="","",AR149*IF(B149="South Korea",IF(ABS(MOD(ABS((X149)),1)-0.5)&lt;1E-9,2*ROUND((X149)/2,0),ROUND((X149),0)),X149))</f>
        <v/>
      </c>
      <c r="AT149" s="51" t="n"/>
      <c r="AU149" s="43" t="inlineStr">
        <is>
          <t>Estimated</t>
        </is>
      </c>
      <c r="AV149" s="52" t="n"/>
      <c r="AW149" s="52" t="n"/>
      <c r="AX149" s="53" t="n"/>
      <c r="AY149" s="54">
        <f>IF(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&lt;=0,"",VLOOKUP(B149,country_opex,7,FALSE)/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)</f>
        <v/>
      </c>
      <c r="AZ149" s="54">
        <f>IF(((W149*pax_cap*IF(B149="South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Korea",korea_mid_revleg,revleg_mid)),0))*VLOOKUP(B149,country_opex,3,FALSE))+Z149+AA149+AB149+AC149+AD149))&lt;=0,"",VLOOKUP(B149,country_opex,7,FALSE)/((W149*pax_cap*IF(B149="South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Korea",korea_mid_revleg,revleg_mid)),0))*VLOOKUP(B149,country_opex,3,FALSE))+Z149+AA149+AB149+AC149+AD149)))</f>
        <v/>
      </c>
      <c r="BA149" s="54">
        <f>IF(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&lt;=0,"",VLOOKUP(B149,country_opex,7,FALSE)/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)</f>
        <v/>
      </c>
      <c r="BB149" s="40" t="inlineStr">
        <is>
          <t>Apetahi Express 7,000 XPF per inter-island leg (~$64).</t>
        </is>
      </c>
      <c r="BC149" s="40" t="inlineStr">
        <is>
          <t>Apetahi network ~120k/yr split across 6 inter-island legs. Raiatea-Huahine is the second-densest Leeward inter-island leg after BB-Raiatea. Allocate ~20k/yr.</t>
        </is>
      </c>
      <c r="BD149" s="43" t="inlineStr">
        <is>
          <t>e__raiatea-tahaa-french-polynesia__huahine-french-polynesia</t>
        </is>
      </c>
    </row>
    <row r="150">
      <c r="A150" s="38" t="inlineStr">
        <is>
          <t>French Polynesia</t>
        </is>
      </c>
      <c r="B150" s="38" t="inlineStr">
        <is>
          <t>French Polynesia</t>
        </is>
      </c>
      <c r="C150" s="39" t="inlineStr">
        <is>
          <t>Papeete (Tahiti) → Tetiaroa / The Brando</t>
        </is>
      </c>
      <c r="D150" s="38" t="inlineStr">
        <is>
          <t>french-polynesia</t>
        </is>
      </c>
      <c r="E150" s="40" t="inlineStr">
        <is>
          <t>french-polynesia</t>
        </is>
      </c>
      <c r="F150" s="41" t="n">
        <v>1</v>
      </c>
      <c r="G150" s="42" t="n">
        <v>30</v>
      </c>
      <c r="H150" s="35" t="n">
        <v>335</v>
      </c>
      <c r="I150" s="43" t="inlineStr">
        <is>
          <t>T1</t>
        </is>
      </c>
      <c r="J150" s="43" t="inlineStr">
        <is>
          <t>med</t>
        </is>
      </c>
      <c r="K150" s="29" t="n">
        <v>0.93</v>
      </c>
      <c r="L150" s="44">
        <f>60*G150/cruise_kt</f>
        <v/>
      </c>
      <c r="M150" s="44">
        <f>IF(B150="South Korea",G150/korea_charge_range_nm*korea_full_range_charge_min,0)</f>
        <v/>
      </c>
      <c r="N150" s="44">
        <f>IF(B150="South Korea",L150+korea_turn_min+korea_dwell_min+M150,L150+turn_min+dwell_min)</f>
        <v/>
      </c>
      <c r="O150" s="45">
        <f>IF(B150="South Korea",FLOOR(60*korea_service_hr/N150,1),MIN(15,FLOOR(60*service_hr/N150,1)))</f>
        <v/>
      </c>
      <c r="P150" s="45">
        <f>IF(ABS(MOD(ABS((365*mech_uptime*K150)),1)-0.5)&lt;1E-9,2*ROUND((365*mech_uptime*K150)/2,0),ROUND((365*mech_uptime*K150),0))</f>
        <v/>
      </c>
      <c r="Q150" s="46">
        <f>mech_uptime</f>
        <v/>
      </c>
      <c r="R150" s="46">
        <f>IF(AND(B150="South Korea",scenario="MID"),korea_mid_revleg,revleg_sel)</f>
        <v/>
      </c>
      <c r="S150" s="45">
        <f>IF(ABS(MOD(ABS((O150*P150*R150)),1)-0.5)&lt;1E-9,2*ROUND((O150*P150*R150)/2,0),ROUND((O150*P150*R150),0))</f>
        <v/>
      </c>
      <c r="T150" s="46">
        <f>IF(AND(B150="South Korea",scenario="MID"),korea_mid_load,load_sel)</f>
        <v/>
      </c>
      <c r="U150" s="47">
        <f>pax_cap*T150</f>
        <v/>
      </c>
      <c r="V150" s="45">
        <f>U150*S150</f>
        <v/>
      </c>
      <c r="W150" s="48">
        <f>H150*discount</f>
        <v/>
      </c>
      <c r="X150" s="49">
        <f>W150*V150</f>
        <v/>
      </c>
      <c r="Y150" s="49">
        <f>(battery/range_nm)*G150*S150*VLOOKUP(B150,country_opex,3,FALSE)</f>
        <v/>
      </c>
      <c r="Z150" s="49">
        <f>VLOOKUP(B150,country_opex,2,FALSE)*crew_factor</f>
        <v/>
      </c>
      <c r="AA150" s="49">
        <f>VLOOKUP(B150,country_opex,5,FALSE)</f>
        <v/>
      </c>
      <c r="AB150" s="49">
        <f>maint</f>
        <v/>
      </c>
      <c r="AC150" s="49">
        <f>VLOOKUP(B150,country_opex,7,FALSE)*ins_pct</f>
        <v/>
      </c>
      <c r="AD150" s="49">
        <f>charge_berth</f>
        <v/>
      </c>
      <c r="AE150" s="49">
        <f>Y150+Z150+AA150+AB150+AC150+AD150</f>
        <v/>
      </c>
      <c r="AF150" s="49">
        <f>VLOOKUP(B150,country_opex,7,FALSE)/dep_years</f>
        <v/>
      </c>
      <c r="AG150" s="49">
        <f>X150-AE150</f>
        <v/>
      </c>
      <c r="AH150" s="46">
        <f>IF(X150=0,"",AG150/X150)</f>
        <v/>
      </c>
      <c r="AI150" s="47">
        <f>IF(AG150&lt;=0,"",VLOOKUP(B150,country_opex,7,FALSE)/AG150)</f>
        <v/>
      </c>
      <c r="AJ150" s="44">
        <f>((G150*S150/diesel_nmpg)*diesel_co2pg-(battery/range_nm)*G150*S150*VLOOKUP(B150,country_opex,4,FALSE))/1000</f>
        <v/>
      </c>
      <c r="AK150" s="42" t="n"/>
      <c r="AL150" s="43" t="inlineStr">
        <is>
          <t>T5</t>
        </is>
      </c>
      <c r="AM150" s="43" t="inlineStr">
        <is>
          <t>low</t>
        </is>
      </c>
      <c r="AN150" s="50" t="n">
        <v>0.9</v>
      </c>
      <c r="AO150" s="45">
        <f>IF(AK150="","",AK150*AN150)</f>
        <v/>
      </c>
      <c r="AP150" s="45">
        <f>IF(OR(AK150="",V150=0),"",MIN(IF(AX150="",9.9E+99,AX150),FLOOR(AO150/V150,1)))</f>
        <v/>
      </c>
      <c r="AQ150" s="49">
        <f>IF(AP150="","",AP150*IF(ABS(MOD(ABS((X150)),1)-0.5)&lt;1E-9,2*ROUND((X150)/2,0),ROUND((X150),0)))</f>
        <v/>
      </c>
      <c r="AR150" s="47">
        <f>IF(OR(AK150="",V150=0),"",MIN(IF(AX150="",9.9E+99,AX150),AO150/V150))</f>
        <v/>
      </c>
      <c r="AS150" s="49">
        <f>IF(AR150="","",AR150*IF(B150="South Korea",IF(ABS(MOD(ABS((X150)),1)-0.5)&lt;1E-9,2*ROUND((X150)/2,0),ROUND((X150),0)),X150))</f>
        <v/>
      </c>
      <c r="AT150" s="51" t="n"/>
      <c r="AU150" s="43" t="inlineStr">
        <is>
          <t>Estimated</t>
        </is>
      </c>
      <c r="AV150" s="52" t="n"/>
      <c r="AW150" s="52" t="n"/>
      <c r="AX150" s="53" t="n"/>
      <c r="AY150" s="54">
        <f>IF(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&lt;=0,"",VLOOKUP(B150,country_opex,7,FALSE)/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)</f>
        <v/>
      </c>
      <c r="AZ150" s="54">
        <f>IF(((W150*pax_cap*IF(B150="South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Korea",korea_mid_revleg,revleg_mid)),0))*VLOOKUP(B150,country_opex,3,FALSE))+Z150+AA150+AB150+AC150+AD150))&lt;=0,"",VLOOKUP(B150,country_opex,7,FALSE)/((W150*pax_cap*IF(B150="South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Korea",korea_mid_revleg,revleg_mid)),0))*VLOOKUP(B150,country_opex,3,FALSE))+Z150+AA150+AB150+AC150+AD150)))</f>
        <v/>
      </c>
      <c r="BA150" s="54">
        <f>IF(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&lt;=0,"",VLOOKUP(B150,country_opex,7,FALSE)/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)</f>
        <v/>
      </c>
      <c r="BB150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C150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  <c r="BD150" s="43" t="n"/>
    </row>
    <row r="151">
      <c r="A151" s="38" t="inlineStr">
        <is>
          <t>French Polynesia</t>
        </is>
      </c>
      <c r="B151" s="38" t="inlineStr">
        <is>
          <t>French Polynesia</t>
        </is>
      </c>
      <c r="C151" s="39" t="inlineStr">
        <is>
          <t>Bora Bora → Maupiti (Vai'ea)</t>
        </is>
      </c>
      <c r="D151" s="38" t="inlineStr">
        <is>
          <t>french-polynesia</t>
        </is>
      </c>
      <c r="E151" s="40" t="inlineStr">
        <is>
          <t>french-polynesia</t>
        </is>
      </c>
      <c r="F151" s="41" t="n">
        <v>1</v>
      </c>
      <c r="G151" s="42" t="n">
        <v>30</v>
      </c>
      <c r="H151" s="35" t="n">
        <v>37</v>
      </c>
      <c r="I151" s="43" t="inlineStr">
        <is>
          <t>T2</t>
        </is>
      </c>
      <c r="J151" s="43" t="inlineStr">
        <is>
          <t>med</t>
        </is>
      </c>
      <c r="K151" s="29" t="n">
        <v>0.93</v>
      </c>
      <c r="L151" s="44">
        <f>60*G151/cruise_kt</f>
        <v/>
      </c>
      <c r="M151" s="44">
        <f>IF(B151="South Korea",G151/korea_charge_range_nm*korea_full_range_charge_min,0)</f>
        <v/>
      </c>
      <c r="N151" s="44">
        <f>IF(B151="South Korea",L151+korea_turn_min+korea_dwell_min+M151,L151+turn_min+dwell_min)</f>
        <v/>
      </c>
      <c r="O151" s="45">
        <f>IF(B151="South Korea",FLOOR(60*korea_service_hr/N151,1),MIN(15,FLOOR(60*service_hr/N151,1)))</f>
        <v/>
      </c>
      <c r="P151" s="45">
        <f>IF(ABS(MOD(ABS((365*mech_uptime*K151)),1)-0.5)&lt;1E-9,2*ROUND((365*mech_uptime*K151)/2,0),ROUND((365*mech_uptime*K151),0))</f>
        <v/>
      </c>
      <c r="Q151" s="46">
        <f>mech_uptime</f>
        <v/>
      </c>
      <c r="R151" s="46">
        <f>IF(AND(B151="South Korea",scenario="MID"),korea_mid_revleg,revleg_sel)</f>
        <v/>
      </c>
      <c r="S151" s="45">
        <f>IF(ABS(MOD(ABS((O151*P151*R151)),1)-0.5)&lt;1E-9,2*ROUND((O151*P151*R151)/2,0),ROUND((O151*P151*R151),0))</f>
        <v/>
      </c>
      <c r="T151" s="46">
        <f>IF(AND(B151="South Korea",scenario="MID"),korea_mid_load,load_sel)</f>
        <v/>
      </c>
      <c r="U151" s="47">
        <f>pax_cap*T151</f>
        <v/>
      </c>
      <c r="V151" s="45">
        <f>U151*S151</f>
        <v/>
      </c>
      <c r="W151" s="48">
        <f>H151*discount</f>
        <v/>
      </c>
      <c r="X151" s="49">
        <f>W151*V151</f>
        <v/>
      </c>
      <c r="Y151" s="49">
        <f>(battery/range_nm)*G151*S151*VLOOKUP(B151,country_opex,3,FALSE)</f>
        <v/>
      </c>
      <c r="Z151" s="49">
        <f>VLOOKUP(B151,country_opex,2,FALSE)*crew_factor</f>
        <v/>
      </c>
      <c r="AA151" s="49">
        <f>VLOOKUP(B151,country_opex,5,FALSE)</f>
        <v/>
      </c>
      <c r="AB151" s="49">
        <f>maint</f>
        <v/>
      </c>
      <c r="AC151" s="49">
        <f>VLOOKUP(B151,country_opex,7,FALSE)*ins_pct</f>
        <v/>
      </c>
      <c r="AD151" s="49">
        <f>charge_berth</f>
        <v/>
      </c>
      <c r="AE151" s="49">
        <f>Y151+Z151+AA151+AB151+AC151+AD151</f>
        <v/>
      </c>
      <c r="AF151" s="49">
        <f>VLOOKUP(B151,country_opex,7,FALSE)/dep_years</f>
        <v/>
      </c>
      <c r="AG151" s="49">
        <f>X151-AE151</f>
        <v/>
      </c>
      <c r="AH151" s="46">
        <f>IF(X151=0,"",AG151/X151)</f>
        <v/>
      </c>
      <c r="AI151" s="47">
        <f>IF(AG151&lt;=0,"",VLOOKUP(B151,country_opex,7,FALSE)/AG151)</f>
        <v/>
      </c>
      <c r="AJ151" s="44">
        <f>((G151*S151/diesel_nmpg)*diesel_co2pg-(battery/range_nm)*G151*S151*VLOOKUP(B151,country_opex,4,FALSE))/1000</f>
        <v/>
      </c>
      <c r="AK151" s="42" t="n"/>
      <c r="AL151" s="43" t="inlineStr">
        <is>
          <t>T5</t>
        </is>
      </c>
      <c r="AM151" s="43" t="inlineStr">
        <is>
          <t>low</t>
        </is>
      </c>
      <c r="AN151" s="50" t="n">
        <v>0.1</v>
      </c>
      <c r="AO151" s="45">
        <f>IF(AK151="","",AK151*AN151)</f>
        <v/>
      </c>
      <c r="AP151" s="45">
        <f>IF(OR(AK151="",V151=0),"",MIN(IF(AX151="",9.9E+99,AX151),FLOOR(AO151/V151,1)))</f>
        <v/>
      </c>
      <c r="AQ151" s="49">
        <f>IF(AP151="","",AP151*IF(ABS(MOD(ABS((X151)),1)-0.5)&lt;1E-9,2*ROUND((X151)/2,0),ROUND((X151),0)))</f>
        <v/>
      </c>
      <c r="AR151" s="47">
        <f>IF(OR(AK151="",V151=0),"",MIN(IF(AX151="",9.9E+99,AX151),AO151/V151))</f>
        <v/>
      </c>
      <c r="AS151" s="49">
        <f>IF(AR151="","",AR151*IF(B151="South Korea",IF(ABS(MOD(ABS((X151)),1)-0.5)&lt;1E-9,2*ROUND((X151)/2,0),ROUND((X151),0)),X151))</f>
        <v/>
      </c>
      <c r="AT151" s="51" t="n"/>
      <c r="AU151" s="43" t="inlineStr">
        <is>
          <t>Estimated</t>
        </is>
      </c>
      <c r="AV151" s="52" t="n"/>
      <c r="AW151" s="52" t="n"/>
      <c r="AX151" s="53" t="n"/>
      <c r="AY151" s="54">
        <f>IF(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&lt;=0,"",VLOOKUP(B151,country_opex,7,FALSE)/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)</f>
        <v/>
      </c>
      <c r="AZ151" s="54">
        <f>IF(((W151*pax_cap*IF(B151="South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Korea",korea_mid_revleg,revleg_mid)),0))*VLOOKUP(B151,country_opex,3,FALSE))+Z151+AA151+AB151+AC151+AD151))&lt;=0,"",VLOOKUP(B151,country_opex,7,FALSE)/((W151*pax_cap*IF(B151="South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Korea",korea_mid_revleg,revleg_mid)),0))*VLOOKUP(B151,country_opex,3,FALSE))+Z151+AA151+AB151+AC151+AD151)))</f>
        <v/>
      </c>
      <c r="BA151" s="54">
        <f>IF(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&lt;=0,"",VLOOKUP(B151,country_opex,7,FALSE)/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)</f>
        <v/>
      </c>
      <c r="BB151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C151" s="40" t="inlineStr">
        <is>
          <t>Maupiti = ~1,300 residents + ~2-3k tourists/yr (remote pension-only island). Maupiti Express II 140-pax × 3 trips/wk × 50% load × 52 ≈ ~11k/yr but split across all 4 ports.</t>
        </is>
      </c>
      <c r="BD151" s="43" t="inlineStr">
        <is>
          <t>e__bora-bora-french-polynesia__maupiti-french-polynesia</t>
        </is>
      </c>
    </row>
    <row r="152">
      <c r="A152" s="38" t="inlineStr">
        <is>
          <t>French Polynesia</t>
        </is>
      </c>
      <c r="B152" s="38" t="inlineStr">
        <is>
          <t>French Polynesia</t>
        </is>
      </c>
      <c r="C152" s="39" t="inlineStr">
        <is>
          <t>Fakarava (Rotoava ↔ Tetamanu south pass) → (intra-atoll)</t>
        </is>
      </c>
      <c r="D152" s="38" t="inlineStr">
        <is>
          <t>french-polynesia</t>
        </is>
      </c>
      <c r="E152" s="40" t="inlineStr">
        <is>
          <t>french-polynesia</t>
        </is>
      </c>
      <c r="F152" s="41" t="n">
        <v>1</v>
      </c>
      <c r="G152" s="42" t="n">
        <v>30</v>
      </c>
      <c r="H152" s="35" t="n">
        <v>95</v>
      </c>
      <c r="I152" s="43" t="inlineStr">
        <is>
          <t>T4</t>
        </is>
      </c>
      <c r="J152" s="43" t="inlineStr">
        <is>
          <t>med-low</t>
        </is>
      </c>
      <c r="K152" s="29" t="n">
        <v>0.93</v>
      </c>
      <c r="L152" s="44">
        <f>60*G152/cruise_kt</f>
        <v/>
      </c>
      <c r="M152" s="44">
        <f>IF(B152="South Korea",G152/korea_charge_range_nm*korea_full_range_charge_min,0)</f>
        <v/>
      </c>
      <c r="N152" s="44">
        <f>IF(B152="South Korea",L152+korea_turn_min+korea_dwell_min+M152,L152+turn_min+dwell_min)</f>
        <v/>
      </c>
      <c r="O152" s="45">
        <f>IF(B152="South Korea",FLOOR(60*korea_service_hr/N152,1),MIN(15,FLOOR(60*service_hr/N152,1)))</f>
        <v/>
      </c>
      <c r="P152" s="45">
        <f>IF(ABS(MOD(ABS((365*mech_uptime*K152)),1)-0.5)&lt;1E-9,2*ROUND((365*mech_uptime*K152)/2,0),ROUND((365*mech_uptime*K152),0))</f>
        <v/>
      </c>
      <c r="Q152" s="46">
        <f>mech_uptime</f>
        <v/>
      </c>
      <c r="R152" s="46">
        <f>IF(AND(B152="South Korea",scenario="MID"),korea_mid_revleg,revleg_sel)</f>
        <v/>
      </c>
      <c r="S152" s="45">
        <f>IF(ABS(MOD(ABS((O152*P152*R152)),1)-0.5)&lt;1E-9,2*ROUND((O152*P152*R152)/2,0),ROUND((O152*P152*R152),0))</f>
        <v/>
      </c>
      <c r="T152" s="46">
        <f>IF(AND(B152="South Korea",scenario="MID"),korea_mid_load,load_sel)</f>
        <v/>
      </c>
      <c r="U152" s="47">
        <f>pax_cap*T152</f>
        <v/>
      </c>
      <c r="V152" s="45">
        <f>U152*S152</f>
        <v/>
      </c>
      <c r="W152" s="48">
        <f>H152*discount</f>
        <v/>
      </c>
      <c r="X152" s="49">
        <f>W152*V152</f>
        <v/>
      </c>
      <c r="Y152" s="49">
        <f>(battery/range_nm)*G152*S152*VLOOKUP(B152,country_opex,3,FALSE)</f>
        <v/>
      </c>
      <c r="Z152" s="49">
        <f>VLOOKUP(B152,country_opex,2,FALSE)*crew_factor</f>
        <v/>
      </c>
      <c r="AA152" s="49">
        <f>VLOOKUP(B152,country_opex,5,FALSE)</f>
        <v/>
      </c>
      <c r="AB152" s="49">
        <f>maint</f>
        <v/>
      </c>
      <c r="AC152" s="49">
        <f>VLOOKUP(B152,country_opex,7,FALSE)*ins_pct</f>
        <v/>
      </c>
      <c r="AD152" s="49">
        <f>charge_berth</f>
        <v/>
      </c>
      <c r="AE152" s="49">
        <f>Y152+Z152+AA152+AB152+AC152+AD152</f>
        <v/>
      </c>
      <c r="AF152" s="49">
        <f>VLOOKUP(B152,country_opex,7,FALSE)/dep_years</f>
        <v/>
      </c>
      <c r="AG152" s="49">
        <f>X152-AE152</f>
        <v/>
      </c>
      <c r="AH152" s="46">
        <f>IF(X152=0,"",AG152/X152)</f>
        <v/>
      </c>
      <c r="AI152" s="47">
        <f>IF(AG152&lt;=0,"",VLOOKUP(B152,country_opex,7,FALSE)/AG152)</f>
        <v/>
      </c>
      <c r="AJ152" s="44">
        <f>((G152*S152/diesel_nmpg)*diesel_co2pg-(battery/range_nm)*G152*S152*VLOOKUP(B152,country_opex,4,FALSE))/1000</f>
        <v/>
      </c>
      <c r="AK152" s="42" t="n">
        <v>15000</v>
      </c>
      <c r="AL152" s="43" t="inlineStr">
        <is>
          <t>T5</t>
        </is>
      </c>
      <c r="AM152" s="43" t="inlineStr">
        <is>
          <t>low</t>
        </is>
      </c>
      <c r="AN152" s="50" t="n">
        <v>0.9</v>
      </c>
      <c r="AO152" s="45">
        <f>IF(AK152="","",AK152*AN152)</f>
        <v/>
      </c>
      <c r="AP152" s="45">
        <f>IF(OR(AK152="",V152=0),"",MIN(IF(AX152="",9.9E+99,AX152),FLOOR(AO152/V152,1)))</f>
        <v/>
      </c>
      <c r="AQ152" s="49">
        <f>IF(AP152="","",AP152*IF(ABS(MOD(ABS((X152)),1)-0.5)&lt;1E-9,2*ROUND((X152)/2,0),ROUND((X152),0)))</f>
        <v/>
      </c>
      <c r="AR152" s="47">
        <f>IF(OR(AK152="",V152=0),"",MIN(IF(AX152="",9.9E+99,AX152),AO152/V152))</f>
        <v/>
      </c>
      <c r="AS152" s="49">
        <f>IF(AR152="","",AR152*IF(B152="South Korea",IF(ABS(MOD(ABS((X152)),1)-0.5)&lt;1E-9,2*ROUND((X152)/2,0),ROUND((X152),0)),X152))</f>
        <v/>
      </c>
      <c r="AT152" s="51" t="n"/>
      <c r="AU152" s="43" t="inlineStr">
        <is>
          <t>Grounded</t>
        </is>
      </c>
      <c r="AV152" s="52" t="n"/>
      <c r="AW152" s="52" t="n"/>
      <c r="AX152" s="53" t="n"/>
      <c r="AY152" s="54">
        <f>IF(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&lt;=0,"",VLOOKUP(B152,country_opex,7,FALSE)/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)</f>
        <v/>
      </c>
      <c r="AZ152" s="54">
        <f>IF(((W152*pax_cap*IF(B152="South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Korea",korea_mid_revleg,revleg_mid)),0))*VLOOKUP(B152,country_opex,3,FALSE))+Z152+AA152+AB152+AC152+AD152))&lt;=0,"",VLOOKUP(B152,country_opex,7,FALSE)/((W152*pax_cap*IF(B152="South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Korea",korea_mid_revleg,revleg_mid)),0))*VLOOKUP(B152,country_opex,3,FALSE))+Z152+AA152+AB152+AC152+AD152)))</f>
        <v/>
      </c>
      <c r="BA152" s="54">
        <f>IF(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&lt;=0,"",VLOOKUP(B152,country_opex,7,FALSE)/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)</f>
        <v/>
      </c>
      <c r="BB152" s="40" t="inlineStr">
        <is>
          <t>Fakarava Rotoava-Tetamanu South Pass dive/excursion boats: typical 10,000-14,000 XPF day-trip (~$90-130) incl dive/lunch; net transport ~$95/pax.</t>
        </is>
      </c>
      <c r="BC152" s="40" t="inlineStr">
        <is>
          <t>Fakarava UNESCO biosphere ~8-12k tourists/yr; South Pass is THE attraction. ~7-10k pax × 2 trips ≈ 15-20k one-way intra-atoll.</t>
        </is>
      </c>
      <c r="BD152" s="43" t="n"/>
    </row>
    <row r="153">
      <c r="A153" s="38" t="inlineStr">
        <is>
          <t>French Polynesia</t>
        </is>
      </c>
      <c r="B153" s="38" t="inlineStr">
        <is>
          <t>French Polynesia</t>
        </is>
      </c>
      <c r="C153" s="39" t="inlineStr">
        <is>
          <t>Nuku Hiva (Taiohae) → Ua Pou (Hakahau)</t>
        </is>
      </c>
      <c r="D153" s="38" t="inlineStr">
        <is>
          <t>french-polynesia</t>
        </is>
      </c>
      <c r="E153" s="40" t="inlineStr">
        <is>
          <t>french-polynesia</t>
        </is>
      </c>
      <c r="F153" s="41" t="n">
        <v>1</v>
      </c>
      <c r="G153" s="42" t="n">
        <v>30</v>
      </c>
      <c r="H153" s="35" t="n">
        <v>60</v>
      </c>
      <c r="I153" s="43" t="inlineStr">
        <is>
          <t>T4</t>
        </is>
      </c>
      <c r="J153" s="43" t="inlineStr">
        <is>
          <t>low</t>
        </is>
      </c>
      <c r="K153" s="29" t="n">
        <v>0.93</v>
      </c>
      <c r="L153" s="44">
        <f>60*G153/cruise_kt</f>
        <v/>
      </c>
      <c r="M153" s="44">
        <f>IF(B153="South Korea",G153/korea_charge_range_nm*korea_full_range_charge_min,0)</f>
        <v/>
      </c>
      <c r="N153" s="44">
        <f>IF(B153="South Korea",L153+korea_turn_min+korea_dwell_min+M153,L153+turn_min+dwell_min)</f>
        <v/>
      </c>
      <c r="O153" s="45">
        <f>IF(B153="South Korea",FLOOR(60*korea_service_hr/N153,1),MIN(15,FLOOR(60*service_hr/N153,1)))</f>
        <v/>
      </c>
      <c r="P153" s="45">
        <f>IF(ABS(MOD(ABS((365*mech_uptime*K153)),1)-0.5)&lt;1E-9,2*ROUND((365*mech_uptime*K153)/2,0),ROUND((365*mech_uptime*K153),0))</f>
        <v/>
      </c>
      <c r="Q153" s="46">
        <f>mech_uptime</f>
        <v/>
      </c>
      <c r="R153" s="46">
        <f>IF(AND(B153="South Korea",scenario="MID"),korea_mid_revleg,revleg_sel)</f>
        <v/>
      </c>
      <c r="S153" s="45">
        <f>IF(ABS(MOD(ABS((O153*P153*R153)),1)-0.5)&lt;1E-9,2*ROUND((O153*P153*R153)/2,0),ROUND((O153*P153*R153),0))</f>
        <v/>
      </c>
      <c r="T153" s="46">
        <f>IF(AND(B153="South Korea",scenario="MID"),korea_mid_load,load_sel)</f>
        <v/>
      </c>
      <c r="U153" s="47">
        <f>pax_cap*T153</f>
        <v/>
      </c>
      <c r="V153" s="45">
        <f>U153*S153</f>
        <v/>
      </c>
      <c r="W153" s="48">
        <f>H153*discount</f>
        <v/>
      </c>
      <c r="X153" s="49">
        <f>W153*V153</f>
        <v/>
      </c>
      <c r="Y153" s="49">
        <f>(battery/range_nm)*G153*S153*VLOOKUP(B153,country_opex,3,FALSE)</f>
        <v/>
      </c>
      <c r="Z153" s="49">
        <f>VLOOKUP(B153,country_opex,2,FALSE)*crew_factor</f>
        <v/>
      </c>
      <c r="AA153" s="49">
        <f>VLOOKUP(B153,country_opex,5,FALSE)</f>
        <v/>
      </c>
      <c r="AB153" s="49">
        <f>maint</f>
        <v/>
      </c>
      <c r="AC153" s="49">
        <f>VLOOKUP(B153,country_opex,7,FALSE)*ins_pct</f>
        <v/>
      </c>
      <c r="AD153" s="49">
        <f>charge_berth</f>
        <v/>
      </c>
      <c r="AE153" s="49">
        <f>Y153+Z153+AA153+AB153+AC153+AD153</f>
        <v/>
      </c>
      <c r="AF153" s="49">
        <f>VLOOKUP(B153,country_opex,7,FALSE)/dep_years</f>
        <v/>
      </c>
      <c r="AG153" s="49">
        <f>X153-AE153</f>
        <v/>
      </c>
      <c r="AH153" s="46">
        <f>IF(X153=0,"",AG153/X153)</f>
        <v/>
      </c>
      <c r="AI153" s="47">
        <f>IF(AG153&lt;=0,"",VLOOKUP(B153,country_opex,7,FALSE)/AG153)</f>
        <v/>
      </c>
      <c r="AJ153" s="44">
        <f>((G153*S153/diesel_nmpg)*diesel_co2pg-(battery/range_nm)*G153*S153*VLOOKUP(B153,country_opex,4,FALSE))/1000</f>
        <v/>
      </c>
      <c r="AK153" s="42" t="n"/>
      <c r="AL153" s="43" t="inlineStr">
        <is>
          <t>T5</t>
        </is>
      </c>
      <c r="AM153" s="43" t="inlineStr">
        <is>
          <t>low</t>
        </is>
      </c>
      <c r="AN153" s="50" t="n">
        <v>0.1</v>
      </c>
      <c r="AO153" s="45">
        <f>IF(AK153="","",AK153*AN153)</f>
        <v/>
      </c>
      <c r="AP153" s="45">
        <f>IF(OR(AK153="",V153=0),"",MIN(IF(AX153="",9.9E+99,AX153),FLOOR(AO153/V153,1)))</f>
        <v/>
      </c>
      <c r="AQ153" s="49">
        <f>IF(AP153="","",AP153*IF(ABS(MOD(ABS((X153)),1)-0.5)&lt;1E-9,2*ROUND((X153)/2,0),ROUND((X153),0)))</f>
        <v/>
      </c>
      <c r="AR153" s="47">
        <f>IF(OR(AK153="",V153=0),"",MIN(IF(AX153="",9.9E+99,AX153),AO153/V153))</f>
        <v/>
      </c>
      <c r="AS153" s="49">
        <f>IF(AR153="","",AR153*IF(B153="South Korea",IF(ABS(MOD(ABS((X153)),1)-0.5)&lt;1E-9,2*ROUND((X153)/2,0),ROUND((X153),0)),X153))</f>
        <v/>
      </c>
      <c r="AT153" s="51" t="n"/>
      <c r="AU153" s="43" t="inlineStr">
        <is>
          <t>Estimated</t>
        </is>
      </c>
      <c r="AV153" s="52" t="n"/>
      <c r="AW153" s="52" t="n"/>
      <c r="AX153" s="53" t="n"/>
      <c r="AY153" s="54">
        <f>IF(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&lt;=0,"",VLOOKUP(B153,country_opex,7,FALSE)/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)</f>
        <v/>
      </c>
      <c r="AZ153" s="54">
        <f>IF(((W153*pax_cap*IF(B153="South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Korea",korea_mid_revleg,revleg_mid)),0))*VLOOKUP(B153,country_opex,3,FALSE))+Z153+AA153+AB153+AC153+AD153))&lt;=0,"",VLOOKUP(B153,country_opex,7,FALSE)/((W153*pax_cap*IF(B153="South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Korea",korea_mid_revleg,revleg_mid)),0))*VLOOKUP(B153,country_opex,3,FALSE))+Z153+AA153+AB153+AC153+AD153)))</f>
        <v/>
      </c>
      <c r="BA153" s="54">
        <f>IF(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&lt;=0,"",VLOOKUP(B153,country_opex,7,FALSE)/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)</f>
        <v/>
      </c>
      <c r="BB153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C153" s="40" t="inlineStr">
        <is>
          <t>Marquesas total 10,995 tourists 2023 (ISPF, waaytv citing) + ~9,500 residents across 6 islands. Inter-island demand tiny; Te Ata O Hiva weekly.</t>
        </is>
      </c>
      <c r="BD153" s="43" t="n"/>
    </row>
    <row r="154">
      <c r="A154" s="38" t="inlineStr">
        <is>
          <t>French Polynesia</t>
        </is>
      </c>
      <c r="B154" s="38" t="inlineStr">
        <is>
          <t>French Polynesia</t>
        </is>
      </c>
      <c r="C154" s="39" t="inlineStr">
        <is>
          <t>Rangiroa (Avatoru) → Tikehau (Tuherahera)</t>
        </is>
      </c>
      <c r="D154" s="38" t="inlineStr">
        <is>
          <t>french-polynesia</t>
        </is>
      </c>
      <c r="E154" s="40" t="inlineStr">
        <is>
          <t>french-polynesia</t>
        </is>
      </c>
      <c r="F154" s="41" t="n">
        <v>1</v>
      </c>
      <c r="G154" s="42" t="n">
        <v>35</v>
      </c>
      <c r="H154" s="35" t="n">
        <v>150</v>
      </c>
      <c r="I154" s="43" t="inlineStr">
        <is>
          <t>T2</t>
        </is>
      </c>
      <c r="J154" s="43" t="inlineStr">
        <is>
          <t>med</t>
        </is>
      </c>
      <c r="K154" s="29" t="n">
        <v>0.93</v>
      </c>
      <c r="L154" s="44">
        <f>60*G154/cruise_kt</f>
        <v/>
      </c>
      <c r="M154" s="44">
        <f>IF(B154="South Korea",G154/korea_charge_range_nm*korea_full_range_charge_min,0)</f>
        <v/>
      </c>
      <c r="N154" s="44">
        <f>IF(B154="South Korea",L154+korea_turn_min+korea_dwell_min+M154,L154+turn_min+dwell_min)</f>
        <v/>
      </c>
      <c r="O154" s="45">
        <f>IF(B154="South Korea",FLOOR(60*korea_service_hr/N154,1),MIN(15,FLOOR(60*service_hr/N154,1)))</f>
        <v/>
      </c>
      <c r="P154" s="45">
        <f>IF(ABS(MOD(ABS((365*mech_uptime*K154)),1)-0.5)&lt;1E-9,2*ROUND((365*mech_uptime*K154)/2,0),ROUND((365*mech_uptime*K154),0))</f>
        <v/>
      </c>
      <c r="Q154" s="46">
        <f>mech_uptime</f>
        <v/>
      </c>
      <c r="R154" s="46">
        <f>IF(AND(B154="South Korea",scenario="MID"),korea_mid_revleg,revleg_sel)</f>
        <v/>
      </c>
      <c r="S154" s="45">
        <f>IF(ABS(MOD(ABS((O154*P154*R154)),1)-0.5)&lt;1E-9,2*ROUND((O154*P154*R154)/2,0),ROUND((O154*P154*R154),0))</f>
        <v/>
      </c>
      <c r="T154" s="46">
        <f>IF(AND(B154="South Korea",scenario="MID"),korea_mid_load,load_sel)</f>
        <v/>
      </c>
      <c r="U154" s="47">
        <f>pax_cap*T154</f>
        <v/>
      </c>
      <c r="V154" s="45">
        <f>U154*S154</f>
        <v/>
      </c>
      <c r="W154" s="48">
        <f>H154*discount</f>
        <v/>
      </c>
      <c r="X154" s="49">
        <f>W154*V154</f>
        <v/>
      </c>
      <c r="Y154" s="49">
        <f>(battery/range_nm)*G154*S154*VLOOKUP(B154,country_opex,3,FALSE)</f>
        <v/>
      </c>
      <c r="Z154" s="49">
        <f>VLOOKUP(B154,country_opex,2,FALSE)*crew_factor</f>
        <v/>
      </c>
      <c r="AA154" s="49">
        <f>VLOOKUP(B154,country_opex,5,FALSE)</f>
        <v/>
      </c>
      <c r="AB154" s="49">
        <f>maint</f>
        <v/>
      </c>
      <c r="AC154" s="49">
        <f>VLOOKUP(B154,country_opex,7,FALSE)*ins_pct</f>
        <v/>
      </c>
      <c r="AD154" s="49">
        <f>charge_berth</f>
        <v/>
      </c>
      <c r="AE154" s="49">
        <f>Y154+Z154+AA154+AB154+AC154+AD154</f>
        <v/>
      </c>
      <c r="AF154" s="49">
        <f>VLOOKUP(B154,country_opex,7,FALSE)/dep_years</f>
        <v/>
      </c>
      <c r="AG154" s="49">
        <f>X154-AE154</f>
        <v/>
      </c>
      <c r="AH154" s="46">
        <f>IF(X154=0,"",AG154/X154)</f>
        <v/>
      </c>
      <c r="AI154" s="47">
        <f>IF(AG154&lt;=0,"",VLOOKUP(B154,country_opex,7,FALSE)/AG154)</f>
        <v/>
      </c>
      <c r="AJ154" s="44">
        <f>((G154*S154/diesel_nmpg)*diesel_co2pg-(battery/range_nm)*G154*S154*VLOOKUP(B154,country_opex,4,FALSE))/1000</f>
        <v/>
      </c>
      <c r="AK154" s="42" t="n"/>
      <c r="AL154" s="43" t="inlineStr">
        <is>
          <t>T5</t>
        </is>
      </c>
      <c r="AM154" s="43" t="inlineStr">
        <is>
          <t>low</t>
        </is>
      </c>
      <c r="AN154" s="50" t="n">
        <v>0.9</v>
      </c>
      <c r="AO154" s="45">
        <f>IF(AK154="","",AK154*AN154)</f>
        <v/>
      </c>
      <c r="AP154" s="45">
        <f>IF(OR(AK154="",V154=0),"",MIN(IF(AX154="",9.9E+99,AX154),FLOOR(AO154/V154,1)))</f>
        <v/>
      </c>
      <c r="AQ154" s="49">
        <f>IF(AP154="","",AP154*IF(ABS(MOD(ABS((X154)),1)-0.5)&lt;1E-9,2*ROUND((X154)/2,0),ROUND((X154),0)))</f>
        <v/>
      </c>
      <c r="AR154" s="47">
        <f>IF(OR(AK154="",V154=0),"",MIN(IF(AX154="",9.9E+99,AX154),AO154/V154))</f>
        <v/>
      </c>
      <c r="AS154" s="49">
        <f>IF(AR154="","",AR154*IF(B154="South Korea",IF(ABS(MOD(ABS((X154)),1)-0.5)&lt;1E-9,2*ROUND((X154)/2,0),ROUND((X154),0)),X154))</f>
        <v/>
      </c>
      <c r="AT154" s="51" t="n"/>
      <c r="AU154" s="43" t="inlineStr">
        <is>
          <t>Estimated</t>
        </is>
      </c>
      <c r="AV154" s="52" t="n"/>
      <c r="AW154" s="52" t="n"/>
      <c r="AX154" s="53" t="n"/>
      <c r="AY154" s="54">
        <f>IF(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&lt;=0,"",VLOOKUP(B154,country_opex,7,FALSE)/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)</f>
        <v/>
      </c>
      <c r="AZ154" s="54">
        <f>IF(((W154*pax_cap*IF(B154="South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Korea",korea_mid_revleg,revleg_mid)),0))*VLOOKUP(B154,country_opex,3,FALSE))+Z154+AA154+AB154+AC154+AD154))&lt;=0,"",VLOOKUP(B154,country_opex,7,FALSE)/((W154*pax_cap*IF(B154="South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Korea",korea_mid_revleg,revleg_mid)),0))*VLOOKUP(B154,country_opex,3,FALSE))+Z154+AA154+AB154+AC154+AD154)))</f>
        <v/>
      </c>
      <c r="BA154" s="54">
        <f>IF(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&lt;=0,"",VLOOKUP(B154,country_opex,7,FALSE)/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)</f>
        <v/>
      </c>
      <c r="BB154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C154" s="40" t="inlineStr">
        <is>
          <t>Rangiroa+Tikehau combined ~20k tourists; inter-atoll demand thin; Air Tahiti carries it.</t>
        </is>
      </c>
      <c r="BD154" s="43" t="n"/>
    </row>
    <row r="155">
      <c r="A155" s="38" t="inlineStr">
        <is>
          <t>French Polynesia</t>
        </is>
      </c>
      <c r="B155" s="38" t="inlineStr">
        <is>
          <t>French Polynesia</t>
        </is>
      </c>
      <c r="C155" s="39" t="inlineStr">
        <is>
          <t>Hiva Oa (Atuona) → Fatu Hiva (Hanavave / Bay of Virgins)</t>
        </is>
      </c>
      <c r="D155" s="38" t="inlineStr">
        <is>
          <t>french-polynesia</t>
        </is>
      </c>
      <c r="E155" s="40" t="inlineStr">
        <is>
          <t>french-polynesia</t>
        </is>
      </c>
      <c r="F155" s="41" t="n">
        <v>1</v>
      </c>
      <c r="G155" s="42" t="n">
        <v>45</v>
      </c>
      <c r="H155" s="35" t="n">
        <v>75</v>
      </c>
      <c r="I155" s="43" t="inlineStr">
        <is>
          <t>T4</t>
        </is>
      </c>
      <c r="J155" s="43" t="inlineStr">
        <is>
          <t>low</t>
        </is>
      </c>
      <c r="K155" s="29" t="n">
        <v>0.93</v>
      </c>
      <c r="L155" s="44">
        <f>60*G155/cruise_kt</f>
        <v/>
      </c>
      <c r="M155" s="44">
        <f>IF(B155="South Korea",G155/korea_charge_range_nm*korea_full_range_charge_min,0)</f>
        <v/>
      </c>
      <c r="N155" s="44">
        <f>IF(B155="South Korea",L155+korea_turn_min+korea_dwell_min+M155,L155+turn_min+dwell_min)</f>
        <v/>
      </c>
      <c r="O155" s="45">
        <f>IF(B155="South Korea",FLOOR(60*korea_service_hr/N155,1),MIN(15,FLOOR(60*service_hr/N155,1)))</f>
        <v/>
      </c>
      <c r="P155" s="45">
        <f>IF(ABS(MOD(ABS((365*mech_uptime*K155)),1)-0.5)&lt;1E-9,2*ROUND((365*mech_uptime*K155)/2,0),ROUND((365*mech_uptime*K155),0))</f>
        <v/>
      </c>
      <c r="Q155" s="46">
        <f>mech_uptime</f>
        <v/>
      </c>
      <c r="R155" s="46">
        <f>IF(AND(B155="South Korea",scenario="MID"),korea_mid_revleg,revleg_sel)</f>
        <v/>
      </c>
      <c r="S155" s="45">
        <f>IF(ABS(MOD(ABS((O155*P155*R155)),1)-0.5)&lt;1E-9,2*ROUND((O155*P155*R155)/2,0),ROUND((O155*P155*R155),0))</f>
        <v/>
      </c>
      <c r="T155" s="46">
        <f>IF(AND(B155="South Korea",scenario="MID"),korea_mid_load,load_sel)</f>
        <v/>
      </c>
      <c r="U155" s="47">
        <f>pax_cap*T155</f>
        <v/>
      </c>
      <c r="V155" s="45">
        <f>U155*S155</f>
        <v/>
      </c>
      <c r="W155" s="48">
        <f>H155*discount</f>
        <v/>
      </c>
      <c r="X155" s="49">
        <f>W155*V155</f>
        <v/>
      </c>
      <c r="Y155" s="49">
        <f>(battery/range_nm)*G155*S155*VLOOKUP(B155,country_opex,3,FALSE)</f>
        <v/>
      </c>
      <c r="Z155" s="49">
        <f>VLOOKUP(B155,country_opex,2,FALSE)*crew_factor</f>
        <v/>
      </c>
      <c r="AA155" s="49">
        <f>VLOOKUP(B155,country_opex,5,FALSE)</f>
        <v/>
      </c>
      <c r="AB155" s="49">
        <f>maint</f>
        <v/>
      </c>
      <c r="AC155" s="49">
        <f>VLOOKUP(B155,country_opex,7,FALSE)*ins_pct</f>
        <v/>
      </c>
      <c r="AD155" s="49">
        <f>charge_berth</f>
        <v/>
      </c>
      <c r="AE155" s="49">
        <f>Y155+Z155+AA155+AB155+AC155+AD155</f>
        <v/>
      </c>
      <c r="AF155" s="49">
        <f>VLOOKUP(B155,country_opex,7,FALSE)/dep_years</f>
        <v/>
      </c>
      <c r="AG155" s="49">
        <f>X155-AE155</f>
        <v/>
      </c>
      <c r="AH155" s="46">
        <f>IF(X155=0,"",AG155/X155)</f>
        <v/>
      </c>
      <c r="AI155" s="47">
        <f>IF(AG155&lt;=0,"",VLOOKUP(B155,country_opex,7,FALSE)/AG155)</f>
        <v/>
      </c>
      <c r="AJ155" s="44">
        <f>((G155*S155/diesel_nmpg)*diesel_co2pg-(battery/range_nm)*G155*S155*VLOOKUP(B155,country_opex,4,FALSE))/1000</f>
        <v/>
      </c>
      <c r="AK155" s="42" t="n"/>
      <c r="AL155" s="43" t="inlineStr">
        <is>
          <t>T5</t>
        </is>
      </c>
      <c r="AM155" s="43" t="inlineStr">
        <is>
          <t>low</t>
        </is>
      </c>
      <c r="AN155" s="50" t="n">
        <v>0.1</v>
      </c>
      <c r="AO155" s="45">
        <f>IF(AK155="","",AK155*AN155)</f>
        <v/>
      </c>
      <c r="AP155" s="45">
        <f>IF(OR(AK155="",V155=0),"",MIN(IF(AX155="",9.9E+99,AX155),FLOOR(AO155/V155,1)))</f>
        <v/>
      </c>
      <c r="AQ155" s="49">
        <f>IF(AP155="","",AP155*IF(ABS(MOD(ABS((X155)),1)-0.5)&lt;1E-9,2*ROUND((X155)/2,0),ROUND((X155),0)))</f>
        <v/>
      </c>
      <c r="AR155" s="47">
        <f>IF(OR(AK155="",V155=0),"",MIN(IF(AX155="",9.9E+99,AX155),AO155/V155))</f>
        <v/>
      </c>
      <c r="AS155" s="49">
        <f>IF(AR155="","",AR155*IF(B155="South Korea",IF(ABS(MOD(ABS((X155)),1)-0.5)&lt;1E-9,2*ROUND((X155)/2,0),ROUND((X155),0)),X155))</f>
        <v/>
      </c>
      <c r="AT155" s="51" t="n"/>
      <c r="AU155" s="43" t="inlineStr">
        <is>
          <t>Estimated</t>
        </is>
      </c>
      <c r="AV155" s="52" t="n"/>
      <c r="AW155" s="52" t="n"/>
      <c r="AX155" s="53" t="n"/>
      <c r="AY155" s="54">
        <f>IF(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&lt;=0,"",VLOOKUP(B155,country_opex,7,FALSE)/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)</f>
        <v/>
      </c>
      <c r="AZ155" s="54">
        <f>IF(((W155*pax_cap*IF(B155="South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Korea",korea_mid_revleg,revleg_mid)),0))*VLOOKUP(B155,country_opex,3,FALSE))+Z155+AA155+AB155+AC155+AD155))&lt;=0,"",VLOOKUP(B155,country_opex,7,FALSE)/((W155*pax_cap*IF(B155="South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Korea",korea_mid_revleg,revleg_mid)),0))*VLOOKUP(B155,country_opex,3,FALSE))+Z155+AA155+AB155+AC155+AD155)))</f>
        <v/>
      </c>
      <c r="BA155" s="54">
        <f>IF(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&lt;=0,"",VLOOKUP(B155,country_opex,7,FALSE)/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)</f>
        <v/>
      </c>
      <c r="BB155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C155" s="40" t="inlineStr">
        <is>
          <t>Fatu Hiva ~600 residents + ~1-2k tourists/yr (Aranui calls + adventurers); demand a few thousand pax/yr inter-island including supply runs.</t>
        </is>
      </c>
      <c r="BD155" s="43" t="n"/>
    </row>
    <row r="156">
      <c r="A156" s="38" t="inlineStr">
        <is>
          <t>French Polynesia</t>
        </is>
      </c>
      <c r="B156" s="38" t="inlineStr">
        <is>
          <t>French Polynesia</t>
        </is>
      </c>
      <c r="C156" s="39" t="inlineStr">
        <is>
          <t>Bora Bora → Huahine (Fare)</t>
        </is>
      </c>
      <c r="D156" s="38" t="inlineStr">
        <is>
          <t>french-polynesia</t>
        </is>
      </c>
      <c r="E156" s="40" t="inlineStr">
        <is>
          <t>french-polynesia</t>
        </is>
      </c>
      <c r="F156" s="41" t="n">
        <v>1</v>
      </c>
      <c r="G156" s="42" t="n">
        <v>50</v>
      </c>
      <c r="H156" s="35" t="n">
        <v>64</v>
      </c>
      <c r="I156" s="43" t="inlineStr">
        <is>
          <t>T1</t>
        </is>
      </c>
      <c r="J156" s="43" t="inlineStr">
        <is>
          <t>high</t>
        </is>
      </c>
      <c r="K156" s="29" t="n">
        <v>0.93</v>
      </c>
      <c r="L156" s="44">
        <f>60*G156/cruise_kt</f>
        <v/>
      </c>
      <c r="M156" s="44">
        <f>IF(B156="South Korea",G156/korea_charge_range_nm*korea_full_range_charge_min,0)</f>
        <v/>
      </c>
      <c r="N156" s="44">
        <f>IF(B156="South Korea",L156+korea_turn_min+korea_dwell_min+M156,L156+turn_min+dwell_min)</f>
        <v/>
      </c>
      <c r="O156" s="45">
        <f>IF(B156="South Korea",FLOOR(60*korea_service_hr/N156,1),MIN(15,FLOOR(60*service_hr/N156,1)))</f>
        <v/>
      </c>
      <c r="P156" s="45">
        <f>IF(ABS(MOD(ABS((365*mech_uptime*K156)),1)-0.5)&lt;1E-9,2*ROUND((365*mech_uptime*K156)/2,0),ROUND((365*mech_uptime*K156),0))</f>
        <v/>
      </c>
      <c r="Q156" s="46">
        <f>mech_uptime</f>
        <v/>
      </c>
      <c r="R156" s="46">
        <f>IF(AND(B156="South Korea",scenario="MID"),korea_mid_revleg,revleg_sel)</f>
        <v/>
      </c>
      <c r="S156" s="45">
        <f>IF(ABS(MOD(ABS((O156*P156*R156)),1)-0.5)&lt;1E-9,2*ROUND((O156*P156*R156)/2,0),ROUND((O156*P156*R156),0))</f>
        <v/>
      </c>
      <c r="T156" s="46">
        <f>IF(AND(B156="South Korea",scenario="MID"),korea_mid_load,load_sel)</f>
        <v/>
      </c>
      <c r="U156" s="47">
        <f>pax_cap*T156</f>
        <v/>
      </c>
      <c r="V156" s="45">
        <f>U156*S156</f>
        <v/>
      </c>
      <c r="W156" s="48">
        <f>H156*discount</f>
        <v/>
      </c>
      <c r="X156" s="49">
        <f>W156*V156</f>
        <v/>
      </c>
      <c r="Y156" s="49">
        <f>(battery/range_nm)*G156*S156*VLOOKUP(B156,country_opex,3,FALSE)</f>
        <v/>
      </c>
      <c r="Z156" s="49">
        <f>VLOOKUP(B156,country_opex,2,FALSE)*crew_factor</f>
        <v/>
      </c>
      <c r="AA156" s="49">
        <f>VLOOKUP(B156,country_opex,5,FALSE)</f>
        <v/>
      </c>
      <c r="AB156" s="49">
        <f>maint</f>
        <v/>
      </c>
      <c r="AC156" s="49">
        <f>VLOOKUP(B156,country_opex,7,FALSE)*ins_pct</f>
        <v/>
      </c>
      <c r="AD156" s="49">
        <f>charge_berth</f>
        <v/>
      </c>
      <c r="AE156" s="49">
        <f>Y156+Z156+AA156+AB156+AC156+AD156</f>
        <v/>
      </c>
      <c r="AF156" s="49">
        <f>VLOOKUP(B156,country_opex,7,FALSE)/dep_years</f>
        <v/>
      </c>
      <c r="AG156" s="49">
        <f>X156-AE156</f>
        <v/>
      </c>
      <c r="AH156" s="46">
        <f>IF(X156=0,"",AG156/X156)</f>
        <v/>
      </c>
      <c r="AI156" s="47">
        <f>IF(AG156&lt;=0,"",VLOOKUP(B156,country_opex,7,FALSE)/AG156)</f>
        <v/>
      </c>
      <c r="AJ156" s="44">
        <f>((G156*S156/diesel_nmpg)*diesel_co2pg-(battery/range_nm)*G156*S156*VLOOKUP(B156,country_opex,4,FALSE))/1000</f>
        <v/>
      </c>
      <c r="AK156" s="42" t="n">
        <v>25000</v>
      </c>
      <c r="AL156" s="43" t="inlineStr">
        <is>
          <t>T5</t>
        </is>
      </c>
      <c r="AM156" s="43" t="inlineStr">
        <is>
          <t>med-low</t>
        </is>
      </c>
      <c r="AN156" s="50" t="n">
        <v>0.1</v>
      </c>
      <c r="AO156" s="45">
        <f>IF(AK156="","",AK156*AN156)</f>
        <v/>
      </c>
      <c r="AP156" s="45">
        <f>IF(OR(AK156="",V156=0),"",MIN(IF(AX156="",9.9E+99,AX156),FLOOR(AO156/V156,1)))</f>
        <v/>
      </c>
      <c r="AQ156" s="49">
        <f>IF(AP156="","",AP156*IF(ABS(MOD(ABS((X156)),1)-0.5)&lt;1E-9,2*ROUND((X156)/2,0),ROUND((X156),0)))</f>
        <v/>
      </c>
      <c r="AR156" s="47">
        <f>IF(OR(AK156="",V156=0),"",MIN(IF(AX156="",9.9E+99,AX156),AO156/V156))</f>
        <v/>
      </c>
      <c r="AS156" s="49">
        <f>IF(AR156="","",AR156*IF(B156="South Korea",IF(ABS(MOD(ABS((X156)),1)-0.5)&lt;1E-9,2*ROUND((X156)/2,0),ROUND((X156),0)),X156))</f>
        <v/>
      </c>
      <c r="AT156" s="51" t="n"/>
      <c r="AU156" s="43" t="inlineStr">
        <is>
          <t>Estimated</t>
        </is>
      </c>
      <c r="AV156" s="52" t="n"/>
      <c r="AW156" s="52" t="n"/>
      <c r="AX156" s="53" t="n"/>
      <c r="AY156" s="54">
        <f>IF(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&lt;=0,"",VLOOKUP(B156,country_opex,7,FALSE)/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)</f>
        <v/>
      </c>
      <c r="AZ156" s="54">
        <f>IF(((W156*pax_cap*IF(B156="South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Korea",korea_mid_revleg,revleg_mid)),0))*VLOOKUP(B156,country_opex,3,FALSE))+Z156+AA156+AB156+AC156+AD156))&lt;=0,"",VLOOKUP(B156,country_opex,7,FALSE)/((W156*pax_cap*IF(B156="South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Korea",korea_mid_revleg,revleg_mid)),0))*VLOOKUP(B156,country_opex,3,FALSE))+Z156+AA156+AB156+AC156+AD156)))</f>
        <v/>
      </c>
      <c r="BA156" s="54">
        <f>IF(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&lt;=0,"",VLOOKUP(B156,country_opex,7,FALSE)/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)</f>
        <v/>
      </c>
      <c r="BB156" s="40" t="inlineStr">
        <is>
          <t>Apetahi Express 7,000 XPF per inter-island leg (tuateaferries.com); 50nm BB-Huahine ~2-hour crossing.</t>
        </is>
      </c>
      <c r="BC156" s="40" t="inlineStr">
        <is>
          <t>Apetahi network ~120k/yr (400k since 2021) split across legs; BB-Huahine is a less-core leg than BB-Raiatea or Pap-BB. Allocate ~20-30k/yr.</t>
        </is>
      </c>
      <c r="BD156" s="43" t="inlineStr">
        <is>
          <t>e__bora-bora-french-polynesia__huahine-french-polynesia</t>
        </is>
      </c>
    </row>
    <row r="157">
      <c r="A157" s="38" t="inlineStr">
        <is>
          <t>Bolt Greece</t>
        </is>
      </c>
      <c r="B157" s="38" t="inlineStr">
        <is>
          <t>Greece</t>
        </is>
      </c>
      <c r="C157" s="39" t="inlineStr">
        <is>
          <t>Mykonos Town → Delos</t>
        </is>
      </c>
      <c r="D157" s="38" t="inlineStr">
        <is>
          <t>bolt</t>
        </is>
      </c>
      <c r="E157" s="40" t="inlineStr">
        <is>
          <t>bolt-greece</t>
        </is>
      </c>
      <c r="F157" s="41" t="n">
        <v>1</v>
      </c>
      <c r="G157" s="42" t="n">
        <v>3.5</v>
      </c>
      <c r="H157" s="35" t="n">
        <v>54</v>
      </c>
      <c r="I157" s="43" t="inlineStr">
        <is>
          <t>T2</t>
        </is>
      </c>
      <c r="J157" s="43" t="inlineStr">
        <is>
          <t>med</t>
        </is>
      </c>
      <c r="K157" s="29" t="n">
        <v>1</v>
      </c>
      <c r="L157" s="44">
        <f>60*G157/cruise_kt</f>
        <v/>
      </c>
      <c r="M157" s="44">
        <f>IF(B157="South Korea",G157/korea_charge_range_nm*korea_full_range_charge_min,0)</f>
        <v/>
      </c>
      <c r="N157" s="44">
        <f>IF(B157="South Korea",L157+korea_turn_min+korea_dwell_min+M157,L157+turn_min+dwell_min)</f>
        <v/>
      </c>
      <c r="O157" s="45">
        <f>IF(B157="South Korea",FLOOR(60*korea_service_hr/N157,1),MIN(15,FLOOR(60*service_hr/N157,1)))</f>
        <v/>
      </c>
      <c r="P157" s="45">
        <f>IF(ABS(MOD(ABS((365*mech_uptime*K157)),1)-0.5)&lt;1E-9,2*ROUND((365*mech_uptime*K157)/2,0),ROUND((365*mech_uptime*K157),0))</f>
        <v/>
      </c>
      <c r="Q157" s="46">
        <f>mech_uptime</f>
        <v/>
      </c>
      <c r="R157" s="46">
        <f>IF(AND(B157="South Korea",scenario="MID"),korea_mid_revleg,revleg_sel)</f>
        <v/>
      </c>
      <c r="S157" s="45">
        <f>IF(ABS(MOD(ABS((O157*P157*R157)),1)-0.5)&lt;1E-9,2*ROUND((O157*P157*R157)/2,0),ROUND((O157*P157*R157),0))</f>
        <v/>
      </c>
      <c r="T157" s="46">
        <f>IF(AND(B157="South Korea",scenario="MID"),korea_mid_load,load_sel)</f>
        <v/>
      </c>
      <c r="U157" s="47">
        <f>pax_cap*T157</f>
        <v/>
      </c>
      <c r="V157" s="45">
        <f>U157*S157</f>
        <v/>
      </c>
      <c r="W157" s="48">
        <f>H157*discount</f>
        <v/>
      </c>
      <c r="X157" s="49">
        <f>W157*V157</f>
        <v/>
      </c>
      <c r="Y157" s="49">
        <f>(battery/range_nm)*G157*S157*VLOOKUP(B157,country_opex,3,FALSE)</f>
        <v/>
      </c>
      <c r="Z157" s="49">
        <f>VLOOKUP(B157,country_opex,2,FALSE)*crew_factor</f>
        <v/>
      </c>
      <c r="AA157" s="49">
        <f>VLOOKUP(B157,country_opex,5,FALSE)</f>
        <v/>
      </c>
      <c r="AB157" s="49">
        <f>maint</f>
        <v/>
      </c>
      <c r="AC157" s="49">
        <f>VLOOKUP(B157,country_opex,7,FALSE)*ins_pct</f>
        <v/>
      </c>
      <c r="AD157" s="49">
        <f>charge_berth</f>
        <v/>
      </c>
      <c r="AE157" s="49">
        <f>Y157+Z157+AA157+AB157+AC157+AD157</f>
        <v/>
      </c>
      <c r="AF157" s="49">
        <f>VLOOKUP(B157,country_opex,7,FALSE)/dep_years</f>
        <v/>
      </c>
      <c r="AG157" s="49">
        <f>X157-AE157</f>
        <v/>
      </c>
      <c r="AH157" s="46">
        <f>IF(X157=0,"",AG157/X157)</f>
        <v/>
      </c>
      <c r="AI157" s="47">
        <f>IF(AG157&lt;=0,"",VLOOKUP(B157,country_opex,7,FALSE)/AG157)</f>
        <v/>
      </c>
      <c r="AJ157" s="44">
        <f>((G157*S157/diesel_nmpg)*diesel_co2pg-(battery/range_nm)*G157*S157*VLOOKUP(B157,country_opex,4,FALSE))/1000</f>
        <v/>
      </c>
      <c r="AK157" s="42" t="n">
        <v>120000</v>
      </c>
      <c r="AL157" s="43" t="n"/>
      <c r="AM157" s="43" t="n"/>
      <c r="AN157" s="50" t="n">
        <v>0.1</v>
      </c>
      <c r="AO157" s="45">
        <f>IF(AK157="","",AK157*AN157)</f>
        <v/>
      </c>
      <c r="AP157" s="45">
        <f>IF(OR(AK157="",V157=0),"",MIN(IF(AX157="",9.9E+99,AX157),FLOOR(AO157/V157,1)))</f>
        <v/>
      </c>
      <c r="AQ157" s="49">
        <f>IF(AP157="","",AP157*IF(ABS(MOD(ABS((X157)),1)-0.5)&lt;1E-9,2*ROUND((X157)/2,0),ROUND((X157),0)))</f>
        <v/>
      </c>
      <c r="AR157" s="47">
        <f>IF(OR(AK157="",V157=0),"",MIN(IF(AX157="",9.9E+99,AX157),AO157/V157))</f>
        <v/>
      </c>
      <c r="AS157" s="49">
        <f>IF(AR157="","",AR157*IF(B157="South Korea",IF(ABS(MOD(ABS((X157)),1)-0.5)&lt;1E-9,2*ROUND((X157)/2,0),ROUND((X157),0)),X157))</f>
        <v/>
      </c>
      <c r="AT157" s="51" t="n"/>
      <c r="AU157" s="43" t="inlineStr">
        <is>
          <t>Grounded</t>
        </is>
      </c>
      <c r="AV157" s="52" t="n"/>
      <c r="AW157" s="52" t="n"/>
      <c r="AX157" s="53" t="n"/>
      <c r="AY157" s="54">
        <f>IF(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&lt;=0,"",VLOOKUP(B157,country_opex,7,FALSE)/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)</f>
        <v/>
      </c>
      <c r="AZ157" s="54">
        <f>IF(((W157*pax_cap*IF(B157="South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Korea",korea_mid_revleg,revleg_mid)),0))*VLOOKUP(B157,country_opex,3,FALSE))+Z157+AA157+AB157+AC157+AD157))&lt;=0,"",VLOOKUP(B157,country_opex,7,FALSE)/((W157*pax_cap*IF(B157="South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Korea",korea_mid_revleg,revleg_mid)),0))*VLOOKUP(B157,country_opex,3,FALSE))+Z157+AA157+AB157+AC157+AD157)))</f>
        <v/>
      </c>
      <c r="BA157" s="54">
        <f>IF(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&lt;=0,"",VLOOKUP(B157,country_opex,7,FALSE)/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)</f>
        <v/>
      </c>
      <c r="BB157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C157" s="40" t="n"/>
      <c r="BD157" s="43" t="n"/>
    </row>
    <row r="158">
      <c r="A158" s="38" t="inlineStr">
        <is>
          <t>Bolt Greece</t>
        </is>
      </c>
      <c r="B158" s="38" t="inlineStr">
        <is>
          <t>Greece</t>
        </is>
      </c>
      <c r="C158" s="39" t="inlineStr">
        <is>
          <t>Glyfada (Athens Riviera) → Vouliagmeni (Astir resort cluster)</t>
        </is>
      </c>
      <c r="D158" s="38" t="inlineStr">
        <is>
          <t>bolt</t>
        </is>
      </c>
      <c r="E158" s="40" t="inlineStr">
        <is>
          <t>bolt-greece</t>
        </is>
      </c>
      <c r="F158" s="41" t="n">
        <v>1</v>
      </c>
      <c r="G158" s="42" t="n">
        <v>5</v>
      </c>
      <c r="H158" s="35" t="n"/>
      <c r="I158" s="43" t="n"/>
      <c r="J158" s="43" t="n"/>
      <c r="K158" s="29" t="n">
        <v>1</v>
      </c>
      <c r="L158" s="44">
        <f>60*G158/cruise_kt</f>
        <v/>
      </c>
      <c r="M158" s="44">
        <f>IF(B158="South Korea",G158/korea_charge_range_nm*korea_full_range_charge_min,0)</f>
        <v/>
      </c>
      <c r="N158" s="44">
        <f>IF(B158="South Korea",L158+korea_turn_min+korea_dwell_min+M158,L158+turn_min+dwell_min)</f>
        <v/>
      </c>
      <c r="O158" s="45">
        <f>IF(B158="South Korea",FLOOR(60*korea_service_hr/N158,1),MIN(24,FLOOR(60*service_hr/N158,1)))</f>
        <v/>
      </c>
      <c r="P158" s="45">
        <f>IF(ABS(MOD(ABS((365*mech_uptime*K158)),1)-0.5)&lt;1E-9,2*ROUND((365*mech_uptime*K158)/2,0),ROUND((365*mech_uptime*K158),0))</f>
        <v/>
      </c>
      <c r="Q158" s="46">
        <f>mech_uptime</f>
        <v/>
      </c>
      <c r="R158" s="46">
        <f>IF(AND(B158="South Korea",scenario="MID"),korea_mid_revleg,revleg_sel)</f>
        <v/>
      </c>
      <c r="S158" s="45">
        <f>IF(ABS(MOD(ABS((O158*P158*R158)),1)-0.5)&lt;1E-9,2*ROUND((O158*P158*R158)/2,0),ROUND((O158*P158*R158),0))</f>
        <v/>
      </c>
      <c r="T158" s="46">
        <f>IF(AND(B158="South Korea",scenario="MID"),korea_mid_load,load_sel)</f>
        <v/>
      </c>
      <c r="U158" s="47">
        <f>pax_cap*T158</f>
        <v/>
      </c>
      <c r="V158" s="45">
        <f>U158*S158</f>
        <v/>
      </c>
      <c r="W158" s="48">
        <f>H158*discount</f>
        <v/>
      </c>
      <c r="X158" s="49">
        <f>W158*V158</f>
        <v/>
      </c>
      <c r="Y158" s="49">
        <f>(battery/range_nm)*G158*S158*VLOOKUP(B158,country_opex,3,FALSE)</f>
        <v/>
      </c>
      <c r="Z158" s="49">
        <f>VLOOKUP(B158,country_opex,2,FALSE)*crew_factor</f>
        <v/>
      </c>
      <c r="AA158" s="49">
        <f>VLOOKUP(B158,country_opex,5,FALSE)</f>
        <v/>
      </c>
      <c r="AB158" s="49">
        <f>maint</f>
        <v/>
      </c>
      <c r="AC158" s="49">
        <f>VLOOKUP(B158,country_opex,7,FALSE)*ins_pct</f>
        <v/>
      </c>
      <c r="AD158" s="49">
        <f>charge_berth</f>
        <v/>
      </c>
      <c r="AE158" s="49">
        <f>Y158+Z158+AA158+AB158+AC158+AD158</f>
        <v/>
      </c>
      <c r="AF158" s="49">
        <f>VLOOKUP(B158,country_opex,7,FALSE)/dep_years</f>
        <v/>
      </c>
      <c r="AG158" s="49">
        <f>X158-AE158</f>
        <v/>
      </c>
      <c r="AH158" s="46">
        <f>IF(X158=0,"",AG158/X158)</f>
        <v/>
      </c>
      <c r="AI158" s="47">
        <f>IF(AG158&lt;=0,"",VLOOKUP(B158,country_opex,7,FALSE)/AG158)</f>
        <v/>
      </c>
      <c r="AJ158" s="44">
        <f>((G158*S158/diesel_nmpg)*diesel_co2pg-(battery/range_nm)*G158*S158*VLOOKUP(B158,country_opex,4,FALSE))/1000</f>
        <v/>
      </c>
      <c r="AK158" s="42" t="n"/>
      <c r="AL158" s="43" t="n"/>
      <c r="AM158" s="43" t="n"/>
      <c r="AN158" s="50" t="n">
        <v>0.1</v>
      </c>
      <c r="AO158" s="45">
        <f>IF(AK158="","",AK158*AN158)</f>
        <v/>
      </c>
      <c r="AP158" s="45">
        <f>IF(OR(AK158="",V158=0),"",MIN(IF(AX158="",9.9E+99,AX158),FLOOR(AO158/V158,1)))</f>
        <v/>
      </c>
      <c r="AQ158" s="49">
        <f>IF(AP158="","",AP158*IF(ABS(MOD(ABS((X158)),1)-0.5)&lt;1E-9,2*ROUND((X158)/2,0),ROUND((X158),0)))</f>
        <v/>
      </c>
      <c r="AR158" s="47">
        <f>IF(OR(AK158="",V158=0),"",MIN(IF(AX158="",9.9E+99,AX158),AO158/V158))</f>
        <v/>
      </c>
      <c r="AS158" s="49">
        <f>IF(AR158="","",AR158*IF(B158="South Korea",IF(ABS(MOD(ABS((X158)),1)-0.5)&lt;1E-9,2*ROUND((X158)/2,0),ROUND((X158),0)),X158))</f>
        <v/>
      </c>
      <c r="AT158" s="51" t="n"/>
      <c r="AU158" s="43" t="inlineStr">
        <is>
          <t>Estimated</t>
        </is>
      </c>
      <c r="AV158" s="52" t="n"/>
      <c r="AW158" s="52" t="n"/>
      <c r="AX158" s="53" t="n"/>
      <c r="AY158" s="54">
        <f>IF(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&lt;=0,"",VLOOKUP(B158,country_opex,7,FALSE)/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)</f>
        <v/>
      </c>
      <c r="AZ158" s="54">
        <f>IF(((W158*pax_cap*IF(B158="South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Korea",korea_mid_revleg,revleg_mid)),0))*VLOOKUP(B158,country_opex,3,FALSE))+Z158+AA158+AB158+AC158+AD158))&lt;=0,"",VLOOKUP(B158,country_opex,7,FALSE)/((W158*pax_cap*IF(B158="South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Korea",korea_mid_revleg,revleg_mid)),0))*VLOOKUP(B158,country_opex,3,FALSE))+Z158+AA158+AB158+AC158+AD158)))</f>
        <v/>
      </c>
      <c r="BA158" s="54">
        <f>IF(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&lt;=0,"",VLOOKUP(B158,country_opex,7,FALSE)/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)</f>
        <v/>
      </c>
      <c r="BB158" s="40" t="n"/>
      <c r="BC158" s="40" t="n"/>
      <c r="BD158" s="43" t="n"/>
    </row>
    <row r="159">
      <c r="A159" s="38" t="inlineStr">
        <is>
          <t>Bolt Greece</t>
        </is>
      </c>
      <c r="B159" s="38" t="inlineStr">
        <is>
          <t>Greece</t>
        </is>
      </c>
      <c r="C159" s="39" t="inlineStr">
        <is>
          <t>Naxos → Paros</t>
        </is>
      </c>
      <c r="D159" s="38" t="inlineStr">
        <is>
          <t>bolt</t>
        </is>
      </c>
      <c r="E159" s="40" t="inlineStr">
        <is>
          <t>bolt-greece</t>
        </is>
      </c>
      <c r="F159" s="41" t="n">
        <v>1</v>
      </c>
      <c r="G159" s="42" t="n">
        <v>6</v>
      </c>
      <c r="H159" s="35" t="n">
        <v>33.5</v>
      </c>
      <c r="I159" s="43" t="inlineStr">
        <is>
          <t>T2</t>
        </is>
      </c>
      <c r="J159" s="43" t="inlineStr">
        <is>
          <t>med</t>
        </is>
      </c>
      <c r="K159" s="29" t="n">
        <v>1</v>
      </c>
      <c r="L159" s="44">
        <f>60*G159/cruise_kt</f>
        <v/>
      </c>
      <c r="M159" s="44">
        <f>IF(B159="South Korea",G159/korea_charge_range_nm*korea_full_range_charge_min,0)</f>
        <v/>
      </c>
      <c r="N159" s="44">
        <f>IF(B159="South Korea",L159+korea_turn_min+korea_dwell_min+M159,L159+turn_min+dwell_min)</f>
        <v/>
      </c>
      <c r="O159" s="45">
        <f>IF(B159="South Korea",FLOOR(60*korea_service_hr/N159,1),MIN(15,FLOOR(60*service_hr/N159,1)))</f>
        <v/>
      </c>
      <c r="P159" s="45">
        <f>IF(ABS(MOD(ABS((365*mech_uptime*K159)),1)-0.5)&lt;1E-9,2*ROUND((365*mech_uptime*K159)/2,0),ROUND((365*mech_uptime*K159),0))</f>
        <v/>
      </c>
      <c r="Q159" s="46">
        <f>mech_uptime</f>
        <v/>
      </c>
      <c r="R159" s="46">
        <f>IF(AND(B159="South Korea",scenario="MID"),korea_mid_revleg,revleg_sel)</f>
        <v/>
      </c>
      <c r="S159" s="45">
        <f>IF(ABS(MOD(ABS((O159*P159*R159)),1)-0.5)&lt;1E-9,2*ROUND((O159*P159*R159)/2,0),ROUND((O159*P159*R159),0))</f>
        <v/>
      </c>
      <c r="T159" s="46">
        <f>IF(AND(B159="South Korea",scenario="MID"),korea_mid_load,load_sel)</f>
        <v/>
      </c>
      <c r="U159" s="47">
        <f>pax_cap*T159</f>
        <v/>
      </c>
      <c r="V159" s="45">
        <f>U159*S159</f>
        <v/>
      </c>
      <c r="W159" s="48">
        <f>H159*discount</f>
        <v/>
      </c>
      <c r="X159" s="49">
        <f>W159*V159</f>
        <v/>
      </c>
      <c r="Y159" s="49">
        <f>(battery/range_nm)*G159*S159*VLOOKUP(B159,country_opex,3,FALSE)</f>
        <v/>
      </c>
      <c r="Z159" s="49">
        <f>VLOOKUP(B159,country_opex,2,FALSE)*crew_factor</f>
        <v/>
      </c>
      <c r="AA159" s="49">
        <f>VLOOKUP(B159,country_opex,5,FALSE)</f>
        <v/>
      </c>
      <c r="AB159" s="49">
        <f>maint</f>
        <v/>
      </c>
      <c r="AC159" s="49">
        <f>VLOOKUP(B159,country_opex,7,FALSE)*ins_pct</f>
        <v/>
      </c>
      <c r="AD159" s="49">
        <f>charge_berth</f>
        <v/>
      </c>
      <c r="AE159" s="49">
        <f>Y159+Z159+AA159+AB159+AC159+AD159</f>
        <v/>
      </c>
      <c r="AF159" s="49">
        <f>VLOOKUP(B159,country_opex,7,FALSE)/dep_years</f>
        <v/>
      </c>
      <c r="AG159" s="49">
        <f>X159-AE159</f>
        <v/>
      </c>
      <c r="AH159" s="46">
        <f>IF(X159=0,"",AG159/X159)</f>
        <v/>
      </c>
      <c r="AI159" s="47">
        <f>IF(AG159&lt;=0,"",VLOOKUP(B159,country_opex,7,FALSE)/AG159)</f>
        <v/>
      </c>
      <c r="AJ159" s="44">
        <f>((G159*S159/diesel_nmpg)*diesel_co2pg-(battery/range_nm)*G159*S159*VLOOKUP(B159,country_opex,4,FALSE))/1000</f>
        <v/>
      </c>
      <c r="AK159" s="42" t="n"/>
      <c r="AL159" s="43" t="n"/>
      <c r="AM159" s="43" t="n"/>
      <c r="AN159" s="50" t="n">
        <v>0.1</v>
      </c>
      <c r="AO159" s="45">
        <f>IF(AK159="","",AK159*AN159)</f>
        <v/>
      </c>
      <c r="AP159" s="45">
        <f>IF(OR(AK159="",V159=0),"",MIN(IF(AX159="",9.9E+99,AX159),FLOOR(AO159/V159,1)))</f>
        <v/>
      </c>
      <c r="AQ159" s="49">
        <f>IF(AP159="","",AP159*IF(ABS(MOD(ABS((X159)),1)-0.5)&lt;1E-9,2*ROUND((X159)/2,0),ROUND((X159),0)))</f>
        <v/>
      </c>
      <c r="AR159" s="47">
        <f>IF(OR(AK159="",V159=0),"",MIN(IF(AX159="",9.9E+99,AX159),AO159/V159))</f>
        <v/>
      </c>
      <c r="AS159" s="49">
        <f>IF(AR159="","",AR159*IF(B159="South Korea",IF(ABS(MOD(ABS((X159)),1)-0.5)&lt;1E-9,2*ROUND((X159)/2,0),ROUND((X159),0)),X159))</f>
        <v/>
      </c>
      <c r="AT159" s="51" t="n"/>
      <c r="AU159" s="43" t="inlineStr">
        <is>
          <t>Estimated</t>
        </is>
      </c>
      <c r="AV159" s="52" t="n"/>
      <c r="AW159" s="52" t="n"/>
      <c r="AX159" s="53" t="n"/>
      <c r="AY159" s="54">
        <f>IF(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&lt;=0,"",VLOOKUP(B159,country_opex,7,FALSE)/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)</f>
        <v/>
      </c>
      <c r="AZ159" s="54">
        <f>IF(((W159*pax_cap*IF(B159="South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Korea",korea_mid_revleg,revleg_mid)),0))*VLOOKUP(B159,country_opex,3,FALSE))+Z159+AA159+AB159+AC159+AD159))&lt;=0,"",VLOOKUP(B159,country_opex,7,FALSE)/((W159*pax_cap*IF(B159="South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Korea",korea_mid_revleg,revleg_mid)),0))*VLOOKUP(B159,country_opex,3,FALSE))+Z159+AA159+AB159+AC159+AD159)))</f>
        <v/>
      </c>
      <c r="BA159" s="54">
        <f>IF(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&lt;=0,"",VLOOKUP(B159,country_opex,7,FALSE)/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)</f>
        <v/>
      </c>
      <c r="BB159" s="40" t="inlineStr">
        <is>
          <t>PREMIUM scheduled per-seat = fast-ferry Naxos-&gt;Paros ~EUR 31 one-way (AFerry foot-passenger from GBP 27 ~ EUR 31; ~$33.5). Short hop, so cheaper conventional options exist below.</t>
        </is>
      </c>
      <c r="BC159" s="40" t="n"/>
      <c r="BD159" s="43" t="n"/>
    </row>
    <row r="160">
      <c r="A160" s="38" t="inlineStr">
        <is>
          <t>Bolt Greece</t>
        </is>
      </c>
      <c r="B160" s="38" t="inlineStr">
        <is>
          <t>Greece</t>
        </is>
      </c>
      <c r="C160" s="39" t="inlineStr">
        <is>
          <t>Athens (Piraeus) → Glyfada (Athens Riviera)</t>
        </is>
      </c>
      <c r="D160" s="38" t="inlineStr">
        <is>
          <t>bolt</t>
        </is>
      </c>
      <c r="E160" s="40" t="inlineStr">
        <is>
          <t>bolt-greece</t>
        </is>
      </c>
      <c r="F160" s="41" t="n">
        <v>1</v>
      </c>
      <c r="G160" s="42" t="n">
        <v>8</v>
      </c>
      <c r="H160" s="35" t="n"/>
      <c r="I160" s="43" t="n"/>
      <c r="J160" s="43" t="n"/>
      <c r="K160" s="29" t="n">
        <v>1</v>
      </c>
      <c r="L160" s="44">
        <f>60*G160/cruise_kt</f>
        <v/>
      </c>
      <c r="M160" s="44">
        <f>IF(B160="South Korea",G160/korea_charge_range_nm*korea_full_range_charge_min,0)</f>
        <v/>
      </c>
      <c r="N160" s="44">
        <f>IF(B160="South Korea",L160+korea_turn_min+korea_dwell_min+M160,L160+turn_min+dwell_min)</f>
        <v/>
      </c>
      <c r="O160" s="45">
        <f>IF(B160="South Korea",FLOOR(60*korea_service_hr/N160,1),MIN(24,FLOOR(60*service_hr/N160,1)))</f>
        <v/>
      </c>
      <c r="P160" s="45">
        <f>IF(ABS(MOD(ABS((365*mech_uptime*K160)),1)-0.5)&lt;1E-9,2*ROUND((365*mech_uptime*K160)/2,0),ROUND((365*mech_uptime*K160),0))</f>
        <v/>
      </c>
      <c r="Q160" s="46">
        <f>mech_uptime</f>
        <v/>
      </c>
      <c r="R160" s="46">
        <f>IF(AND(B160="South Korea",scenario="MID"),korea_mid_revleg,revleg_sel)</f>
        <v/>
      </c>
      <c r="S160" s="45">
        <f>IF(ABS(MOD(ABS((O160*P160*R160)),1)-0.5)&lt;1E-9,2*ROUND((O160*P160*R160)/2,0),ROUND((O160*P160*R160),0))</f>
        <v/>
      </c>
      <c r="T160" s="46">
        <f>IF(AND(B160="South Korea",scenario="MID"),korea_mid_load,load_sel)</f>
        <v/>
      </c>
      <c r="U160" s="47">
        <f>pax_cap*T160</f>
        <v/>
      </c>
      <c r="V160" s="45">
        <f>U160*S160</f>
        <v/>
      </c>
      <c r="W160" s="48">
        <f>H160*discount</f>
        <v/>
      </c>
      <c r="X160" s="49">
        <f>W160*V160</f>
        <v/>
      </c>
      <c r="Y160" s="49">
        <f>(battery/range_nm)*G160*S160*VLOOKUP(B160,country_opex,3,FALSE)</f>
        <v/>
      </c>
      <c r="Z160" s="49">
        <f>VLOOKUP(B160,country_opex,2,FALSE)*crew_factor</f>
        <v/>
      </c>
      <c r="AA160" s="49">
        <f>VLOOKUP(B160,country_opex,5,FALSE)</f>
        <v/>
      </c>
      <c r="AB160" s="49">
        <f>maint</f>
        <v/>
      </c>
      <c r="AC160" s="49">
        <f>VLOOKUP(B160,country_opex,7,FALSE)*ins_pct</f>
        <v/>
      </c>
      <c r="AD160" s="49">
        <f>charge_berth</f>
        <v/>
      </c>
      <c r="AE160" s="49">
        <f>Y160+Z160+AA160+AB160+AC160+AD160</f>
        <v/>
      </c>
      <c r="AF160" s="49">
        <f>VLOOKUP(B160,country_opex,7,FALSE)/dep_years</f>
        <v/>
      </c>
      <c r="AG160" s="49">
        <f>X160-AE160</f>
        <v/>
      </c>
      <c r="AH160" s="46">
        <f>IF(X160=0,"",AG160/X160)</f>
        <v/>
      </c>
      <c r="AI160" s="47">
        <f>IF(AG160&lt;=0,"",VLOOKUP(B160,country_opex,7,FALSE)/AG160)</f>
        <v/>
      </c>
      <c r="AJ160" s="44">
        <f>((G160*S160/diesel_nmpg)*diesel_co2pg-(battery/range_nm)*G160*S160*VLOOKUP(B160,country_opex,4,FALSE))/1000</f>
        <v/>
      </c>
      <c r="AK160" s="42" t="n">
        <v>949000</v>
      </c>
      <c r="AL160" s="43" t="n"/>
      <c r="AM160" s="43" t="n"/>
      <c r="AN160" s="50" t="n">
        <v>0.1</v>
      </c>
      <c r="AO160" s="45">
        <f>IF(AK160="","",AK160*AN160)</f>
        <v/>
      </c>
      <c r="AP160" s="45">
        <f>IF(OR(AK160="",V160=0),"",MIN(IF(AX160="",9.9E+99,AX160),FLOOR(AO160/V160,1)))</f>
        <v/>
      </c>
      <c r="AQ160" s="49">
        <f>IF(AP160="","",AP160*IF(ABS(MOD(ABS((X160)),1)-0.5)&lt;1E-9,2*ROUND((X160)/2,0),ROUND((X160),0)))</f>
        <v/>
      </c>
      <c r="AR160" s="47">
        <f>IF(OR(AK160="",V160=0),"",MIN(IF(AX160="",9.9E+99,AX160),AO160/V160))</f>
        <v/>
      </c>
      <c r="AS160" s="49">
        <f>IF(AR160="","",AR160*IF(B160="South Korea",IF(ABS(MOD(ABS((X160)),1)-0.5)&lt;1E-9,2*ROUND((X160)/2,0),ROUND((X160),0)),X160))</f>
        <v/>
      </c>
      <c r="AT160" s="51" t="n"/>
      <c r="AU160" s="43" t="inlineStr">
        <is>
          <t>Estimated</t>
        </is>
      </c>
      <c r="AV160" s="52" t="n"/>
      <c r="AW160" s="52" t="n"/>
      <c r="AX160" s="53" t="n"/>
      <c r="AY160" s="54">
        <f>IF(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&lt;=0,"",VLOOKUP(B160,country_opex,7,FALSE)/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)</f>
        <v/>
      </c>
      <c r="AZ160" s="54">
        <f>IF(((W160*pax_cap*IF(B160="South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Korea",korea_mid_revleg,revleg_mid)),0))*VLOOKUP(B160,country_opex,3,FALSE))+Z160+AA160+AB160+AC160+AD160))&lt;=0,"",VLOOKUP(B160,country_opex,7,FALSE)/((W160*pax_cap*IF(B160="South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Korea",korea_mid_revleg,revleg_mid)),0))*VLOOKUP(B160,country_opex,3,FALSE))+Z160+AA160+AB160+AC160+AD160)))</f>
        <v/>
      </c>
      <c r="BA160" s="54">
        <f>IF(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&lt;=0,"",VLOOKUP(B160,country_opex,7,FALSE)/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)</f>
        <v/>
      </c>
      <c r="BB160" s="40" t="n"/>
      <c r="BC160" s="40" t="n"/>
      <c r="BD160" s="43" t="n"/>
    </row>
    <row r="161">
      <c r="A161" s="38" t="inlineStr">
        <is>
          <t>Bolt Greece</t>
        </is>
      </c>
      <c r="B161" s="38" t="inlineStr">
        <is>
          <t>Greece</t>
        </is>
      </c>
      <c r="C161" s="39" t="inlineStr">
        <is>
          <t>Athens (Piraeus) → Aegina</t>
        </is>
      </c>
      <c r="D161" s="38" t="inlineStr">
        <is>
          <t>bolt</t>
        </is>
      </c>
      <c r="E161" s="40" t="inlineStr">
        <is>
          <t>bolt-greece</t>
        </is>
      </c>
      <c r="F161" s="41" t="n">
        <v>1</v>
      </c>
      <c r="G161" s="42" t="n">
        <v>17</v>
      </c>
      <c r="H161" s="35" t="n">
        <v>14</v>
      </c>
      <c r="I161" s="43" t="inlineStr">
        <is>
          <t>T2</t>
        </is>
      </c>
      <c r="J161" s="43" t="inlineStr">
        <is>
          <t>med</t>
        </is>
      </c>
      <c r="K161" s="29" t="n">
        <v>1</v>
      </c>
      <c r="L161" s="44">
        <f>60*G161/cruise_kt</f>
        <v/>
      </c>
      <c r="M161" s="44">
        <f>IF(B161="South Korea",G161/korea_charge_range_nm*korea_full_range_charge_min,0)</f>
        <v/>
      </c>
      <c r="N161" s="44">
        <f>IF(B161="South Korea",L161+korea_turn_min+korea_dwell_min+M161,L161+turn_min+dwell_min)</f>
        <v/>
      </c>
      <c r="O161" s="45">
        <f>IF(B161="South Korea",FLOOR(60*korea_service_hr/N161,1),MIN(15,FLOOR(60*service_hr/N161,1)))</f>
        <v/>
      </c>
      <c r="P161" s="45">
        <f>IF(ABS(MOD(ABS((365*mech_uptime*K161)),1)-0.5)&lt;1E-9,2*ROUND((365*mech_uptime*K161)/2,0),ROUND((365*mech_uptime*K161),0))</f>
        <v/>
      </c>
      <c r="Q161" s="46">
        <f>mech_uptime</f>
        <v/>
      </c>
      <c r="R161" s="46">
        <f>IF(AND(B161="South Korea",scenario="MID"),korea_mid_revleg,revleg_sel)</f>
        <v/>
      </c>
      <c r="S161" s="45">
        <f>IF(ABS(MOD(ABS((O161*P161*R161)),1)-0.5)&lt;1E-9,2*ROUND((O161*P161*R161)/2,0),ROUND((O161*P161*R161),0))</f>
        <v/>
      </c>
      <c r="T161" s="46">
        <f>IF(AND(B161="South Korea",scenario="MID"),korea_mid_load,load_sel)</f>
        <v/>
      </c>
      <c r="U161" s="47">
        <f>pax_cap*T161</f>
        <v/>
      </c>
      <c r="V161" s="45">
        <f>U161*S161</f>
        <v/>
      </c>
      <c r="W161" s="48">
        <f>H161*discount</f>
        <v/>
      </c>
      <c r="X161" s="49">
        <f>W161*V161</f>
        <v/>
      </c>
      <c r="Y161" s="49">
        <f>(battery/range_nm)*G161*S161*VLOOKUP(B161,country_opex,3,FALSE)</f>
        <v/>
      </c>
      <c r="Z161" s="49">
        <f>VLOOKUP(B161,country_opex,2,FALSE)*crew_factor</f>
        <v/>
      </c>
      <c r="AA161" s="49">
        <f>VLOOKUP(B161,country_opex,5,FALSE)</f>
        <v/>
      </c>
      <c r="AB161" s="49">
        <f>maint</f>
        <v/>
      </c>
      <c r="AC161" s="49">
        <f>VLOOKUP(B161,country_opex,7,FALSE)*ins_pct</f>
        <v/>
      </c>
      <c r="AD161" s="49">
        <f>charge_berth</f>
        <v/>
      </c>
      <c r="AE161" s="49">
        <f>Y161+Z161+AA161+AB161+AC161+AD161</f>
        <v/>
      </c>
      <c r="AF161" s="49">
        <f>VLOOKUP(B161,country_opex,7,FALSE)/dep_years</f>
        <v/>
      </c>
      <c r="AG161" s="49">
        <f>X161-AE161</f>
        <v/>
      </c>
      <c r="AH161" s="46">
        <f>IF(X161=0,"",AG161/X161)</f>
        <v/>
      </c>
      <c r="AI161" s="47">
        <f>IF(AG161&lt;=0,"",VLOOKUP(B161,country_opex,7,FALSE)/AG161)</f>
        <v/>
      </c>
      <c r="AJ161" s="44">
        <f>((G161*S161/diesel_nmpg)*diesel_co2pg-(battery/range_nm)*G161*S161*VLOOKUP(B161,country_opex,4,FALSE))/1000</f>
        <v/>
      </c>
      <c r="AK161" s="42" t="n">
        <v>1000000</v>
      </c>
      <c r="AL161" s="43" t="n"/>
      <c r="AM161" s="43" t="n"/>
      <c r="AN161" s="50" t="n">
        <v>0.1</v>
      </c>
      <c r="AO161" s="45">
        <f>IF(AK161="","",AK161*AN161)</f>
        <v/>
      </c>
      <c r="AP161" s="45">
        <f>IF(OR(AK161="",V161=0),"",MIN(IF(AX161="",9.9E+99,AX161),FLOOR(AO161/V161,1)))</f>
        <v/>
      </c>
      <c r="AQ161" s="49">
        <f>IF(AP161="","",AP161*IF(ABS(MOD(ABS((X161)),1)-0.5)&lt;1E-9,2*ROUND((X161)/2,0),ROUND((X161),0)))</f>
        <v/>
      </c>
      <c r="AR161" s="47">
        <f>IF(OR(AK161="",V161=0),"",MIN(IF(AX161="",9.9E+99,AX161),AO161/V161))</f>
        <v/>
      </c>
      <c r="AS161" s="49">
        <f>IF(AR161="","",AR161*IF(B161="South Korea",IF(ABS(MOD(ABS((X161)),1)-0.5)&lt;1E-9,2*ROUND((X161)/2,0),ROUND((X161),0)),X161))</f>
        <v/>
      </c>
      <c r="AT161" s="51" t="n"/>
      <c r="AU161" s="43" t="inlineStr">
        <is>
          <t>Grounded</t>
        </is>
      </c>
      <c r="AV161" s="52" t="n"/>
      <c r="AW161" s="52" t="n"/>
      <c r="AX161" s="53" t="n"/>
      <c r="AY161" s="54">
        <f>IF(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&lt;=0,"",VLOOKUP(B161,country_opex,7,FALSE)/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)</f>
        <v/>
      </c>
      <c r="AZ161" s="54">
        <f>IF(((W161*pax_cap*IF(B161="South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Korea",korea_mid_revleg,revleg_mid)),0))*VLOOKUP(B161,country_opex,3,FALSE))+Z161+AA161+AB161+AC161+AD161))&lt;=0,"",VLOOKUP(B161,country_opex,7,FALSE)/((W161*pax_cap*IF(B161="South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Korea",korea_mid_revleg,revleg_mid)),0))*VLOOKUP(B161,country_opex,3,FALSE))+Z161+AA161+AB161+AC161+AD161)))</f>
        <v/>
      </c>
      <c r="BA161" s="54">
        <f>IF(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&lt;=0,"",VLOOKUP(B161,country_opex,7,FALSE)/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)</f>
        <v/>
      </c>
      <c r="BB161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C161" s="40" t="n"/>
      <c r="BD161" s="43" t="n"/>
    </row>
    <row r="162">
      <c r="A162" s="38" t="inlineStr">
        <is>
          <t>Bolt Greece</t>
        </is>
      </c>
      <c r="B162" s="38" t="inlineStr">
        <is>
          <t>Greece</t>
        </is>
      </c>
      <c r="C162" s="39" t="inlineStr">
        <is>
          <t>Santorini (Thira) → Ios</t>
        </is>
      </c>
      <c r="D162" s="38" t="inlineStr">
        <is>
          <t>bolt</t>
        </is>
      </c>
      <c r="E162" s="40" t="inlineStr">
        <is>
          <t>bolt-greece</t>
        </is>
      </c>
      <c r="F162" s="41" t="n">
        <v>1</v>
      </c>
      <c r="G162" s="42" t="n">
        <v>17</v>
      </c>
      <c r="H162" s="35" t="n">
        <v>54</v>
      </c>
      <c r="I162" s="43" t="inlineStr">
        <is>
          <t>T2</t>
        </is>
      </c>
      <c r="J162" s="43" t="inlineStr">
        <is>
          <t>med</t>
        </is>
      </c>
      <c r="K162" s="29" t="n">
        <v>1</v>
      </c>
      <c r="L162" s="44">
        <f>60*G162/cruise_kt</f>
        <v/>
      </c>
      <c r="M162" s="44">
        <f>IF(B162="South Korea",G162/korea_charge_range_nm*korea_full_range_charge_min,0)</f>
        <v/>
      </c>
      <c r="N162" s="44">
        <f>IF(B162="South Korea",L162+korea_turn_min+korea_dwell_min+M162,L162+turn_min+dwell_min)</f>
        <v/>
      </c>
      <c r="O162" s="45">
        <f>IF(B162="South Korea",FLOOR(60*korea_service_hr/N162,1),MIN(15,FLOOR(60*service_hr/N162,1)))</f>
        <v/>
      </c>
      <c r="P162" s="45">
        <f>IF(ABS(MOD(ABS((365*mech_uptime*K162)),1)-0.5)&lt;1E-9,2*ROUND((365*mech_uptime*K162)/2,0),ROUND((365*mech_uptime*K162),0))</f>
        <v/>
      </c>
      <c r="Q162" s="46">
        <f>mech_uptime</f>
        <v/>
      </c>
      <c r="R162" s="46">
        <f>IF(AND(B162="South Korea",scenario="MID"),korea_mid_revleg,revleg_sel)</f>
        <v/>
      </c>
      <c r="S162" s="45">
        <f>IF(ABS(MOD(ABS((O162*P162*R162)),1)-0.5)&lt;1E-9,2*ROUND((O162*P162*R162)/2,0),ROUND((O162*P162*R162),0))</f>
        <v/>
      </c>
      <c r="T162" s="46">
        <f>IF(AND(B162="South Korea",scenario="MID"),korea_mid_load,load_sel)</f>
        <v/>
      </c>
      <c r="U162" s="47">
        <f>pax_cap*T162</f>
        <v/>
      </c>
      <c r="V162" s="45">
        <f>U162*S162</f>
        <v/>
      </c>
      <c r="W162" s="48">
        <f>H162*discount</f>
        <v/>
      </c>
      <c r="X162" s="49">
        <f>W162*V162</f>
        <v/>
      </c>
      <c r="Y162" s="49">
        <f>(battery/range_nm)*G162*S162*VLOOKUP(B162,country_opex,3,FALSE)</f>
        <v/>
      </c>
      <c r="Z162" s="49">
        <f>VLOOKUP(B162,country_opex,2,FALSE)*crew_factor</f>
        <v/>
      </c>
      <c r="AA162" s="49">
        <f>VLOOKUP(B162,country_opex,5,FALSE)</f>
        <v/>
      </c>
      <c r="AB162" s="49">
        <f>maint</f>
        <v/>
      </c>
      <c r="AC162" s="49">
        <f>VLOOKUP(B162,country_opex,7,FALSE)*ins_pct</f>
        <v/>
      </c>
      <c r="AD162" s="49">
        <f>charge_berth</f>
        <v/>
      </c>
      <c r="AE162" s="49">
        <f>Y162+Z162+AA162+AB162+AC162+AD162</f>
        <v/>
      </c>
      <c r="AF162" s="49">
        <f>VLOOKUP(B162,country_opex,7,FALSE)/dep_years</f>
        <v/>
      </c>
      <c r="AG162" s="49">
        <f>X162-AE162</f>
        <v/>
      </c>
      <c r="AH162" s="46">
        <f>IF(X162=0,"",AG162/X162)</f>
        <v/>
      </c>
      <c r="AI162" s="47">
        <f>IF(AG162&lt;=0,"",VLOOKUP(B162,country_opex,7,FALSE)/AG162)</f>
        <v/>
      </c>
      <c r="AJ162" s="44">
        <f>((G162*S162/diesel_nmpg)*diesel_co2pg-(battery/range_nm)*G162*S162*VLOOKUP(B162,country_opex,4,FALSE))/1000</f>
        <v/>
      </c>
      <c r="AK162" s="42" t="n"/>
      <c r="AL162" s="43" t="n"/>
      <c r="AM162" s="43" t="n"/>
      <c r="AN162" s="50" t="n">
        <v>0.1</v>
      </c>
      <c r="AO162" s="45">
        <f>IF(AK162="","",AK162*AN162)</f>
        <v/>
      </c>
      <c r="AP162" s="45">
        <f>IF(OR(AK162="",V162=0),"",MIN(IF(AX162="",9.9E+99,AX162),FLOOR(AO162/V162,1)))</f>
        <v/>
      </c>
      <c r="AQ162" s="49">
        <f>IF(AP162="","",AP162*IF(ABS(MOD(ABS((X162)),1)-0.5)&lt;1E-9,2*ROUND((X162)/2,0),ROUND((X162),0)))</f>
        <v/>
      </c>
      <c r="AR162" s="47">
        <f>IF(OR(AK162="",V162=0),"",MIN(IF(AX162="",9.9E+99,AX162),AO162/V162))</f>
        <v/>
      </c>
      <c r="AS162" s="49">
        <f>IF(AR162="","",AR162*IF(B162="South Korea",IF(ABS(MOD(ABS((X162)),1)-0.5)&lt;1E-9,2*ROUND((X162)/2,0),ROUND((X162),0)),X162))</f>
        <v/>
      </c>
      <c r="AT162" s="51" t="n"/>
      <c r="AU162" s="43" t="inlineStr">
        <is>
          <t>Estimated</t>
        </is>
      </c>
      <c r="AV162" s="52" t="n"/>
      <c r="AW162" s="52" t="n"/>
      <c r="AX162" s="53" t="n"/>
      <c r="AY162" s="54">
        <f>IF(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&lt;=0,"",VLOOKUP(B162,country_opex,7,FALSE)/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)</f>
        <v/>
      </c>
      <c r="AZ162" s="54">
        <f>IF(((W162*pax_cap*IF(B162="South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Korea",korea_mid_revleg,revleg_mid)),0))*VLOOKUP(B162,country_opex,3,FALSE))+Z162+AA162+AB162+AC162+AD162))&lt;=0,"",VLOOKUP(B162,country_opex,7,FALSE)/((W162*pax_cap*IF(B162="South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Korea",korea_mid_revleg,revleg_mid)),0))*VLOOKUP(B162,country_opex,3,FALSE))+Z162+AA162+AB162+AC162+AD162)))</f>
        <v/>
      </c>
      <c r="BA162" s="54">
        <f>IF(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&lt;=0,"",VLOOKUP(B162,country_opex,7,FALSE)/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)</f>
        <v/>
      </c>
      <c r="BB162" s="40" t="inlineStr">
        <is>
          <t>PREMIUM scheduled per-seat = fast-ferry Santorini-&gt;Ios ~EUR 50 one-way (range to EUR 69.7; ~$54). Up to 7 daily crossings year-round.</t>
        </is>
      </c>
      <c r="BC162" s="40" t="n"/>
      <c r="BD162" s="43" t="n"/>
    </row>
    <row r="163">
      <c r="A163" s="38" t="inlineStr">
        <is>
          <t>Bolt Greece</t>
        </is>
      </c>
      <c r="B163" s="38" t="inlineStr">
        <is>
          <t>Greece</t>
        </is>
      </c>
      <c r="C163" s="39" t="inlineStr">
        <is>
          <t>Athens (Piraeus) → Agistri (Saronic)</t>
        </is>
      </c>
      <c r="D163" s="38" t="inlineStr">
        <is>
          <t>bolt</t>
        </is>
      </c>
      <c r="E163" s="40" t="inlineStr">
        <is>
          <t>bolt-greece</t>
        </is>
      </c>
      <c r="F163" s="41" t="n">
        <v>1</v>
      </c>
      <c r="G163" s="42" t="n">
        <v>18</v>
      </c>
      <c r="H163" s="35" t="n">
        <v>14.6</v>
      </c>
      <c r="I163" s="43" t="inlineStr">
        <is>
          <t>T2</t>
        </is>
      </c>
      <c r="J163" s="43" t="inlineStr">
        <is>
          <t>med</t>
        </is>
      </c>
      <c r="K163" s="29" t="n">
        <v>1</v>
      </c>
      <c r="L163" s="44">
        <f>60*G163/cruise_kt</f>
        <v/>
      </c>
      <c r="M163" s="44">
        <f>IF(B163="South Korea",G163/korea_charge_range_nm*korea_full_range_charge_min,0)</f>
        <v/>
      </c>
      <c r="N163" s="44">
        <f>IF(B163="South Korea",L163+korea_turn_min+korea_dwell_min+M163,L163+turn_min+dwell_min)</f>
        <v/>
      </c>
      <c r="O163" s="45">
        <f>IF(B163="South Korea",FLOOR(60*korea_service_hr/N163,1),MIN(15,FLOOR(60*service_hr/N163,1)))</f>
        <v/>
      </c>
      <c r="P163" s="45">
        <f>IF(ABS(MOD(ABS((365*mech_uptime*K163)),1)-0.5)&lt;1E-9,2*ROUND((365*mech_uptime*K163)/2,0),ROUND((365*mech_uptime*K163),0))</f>
        <v/>
      </c>
      <c r="Q163" s="46">
        <f>mech_uptime</f>
        <v/>
      </c>
      <c r="R163" s="46">
        <f>IF(AND(B163="South Korea",scenario="MID"),korea_mid_revleg,revleg_sel)</f>
        <v/>
      </c>
      <c r="S163" s="45">
        <f>IF(ABS(MOD(ABS((O163*P163*R163)),1)-0.5)&lt;1E-9,2*ROUND((O163*P163*R163)/2,0),ROUND((O163*P163*R163),0))</f>
        <v/>
      </c>
      <c r="T163" s="46">
        <f>IF(AND(B163="South Korea",scenario="MID"),korea_mid_load,load_sel)</f>
        <v/>
      </c>
      <c r="U163" s="47">
        <f>pax_cap*T163</f>
        <v/>
      </c>
      <c r="V163" s="45">
        <f>U163*S163</f>
        <v/>
      </c>
      <c r="W163" s="48">
        <f>H163*discount</f>
        <v/>
      </c>
      <c r="X163" s="49">
        <f>W163*V163</f>
        <v/>
      </c>
      <c r="Y163" s="49">
        <f>(battery/range_nm)*G163*S163*VLOOKUP(B163,country_opex,3,FALSE)</f>
        <v/>
      </c>
      <c r="Z163" s="49">
        <f>VLOOKUP(B163,country_opex,2,FALSE)*crew_factor</f>
        <v/>
      </c>
      <c r="AA163" s="49">
        <f>VLOOKUP(B163,country_opex,5,FALSE)</f>
        <v/>
      </c>
      <c r="AB163" s="49">
        <f>maint</f>
        <v/>
      </c>
      <c r="AC163" s="49">
        <f>VLOOKUP(B163,country_opex,7,FALSE)*ins_pct</f>
        <v/>
      </c>
      <c r="AD163" s="49">
        <f>charge_berth</f>
        <v/>
      </c>
      <c r="AE163" s="49">
        <f>Y163+Z163+AA163+AB163+AC163+AD163</f>
        <v/>
      </c>
      <c r="AF163" s="49">
        <f>VLOOKUP(B163,country_opex,7,FALSE)/dep_years</f>
        <v/>
      </c>
      <c r="AG163" s="49">
        <f>X163-AE163</f>
        <v/>
      </c>
      <c r="AH163" s="46">
        <f>IF(X163=0,"",AG163/X163)</f>
        <v/>
      </c>
      <c r="AI163" s="47">
        <f>IF(AG163&lt;=0,"",VLOOKUP(B163,country_opex,7,FALSE)/AG163)</f>
        <v/>
      </c>
      <c r="AJ163" s="44">
        <f>((G163*S163/diesel_nmpg)*diesel_co2pg-(battery/range_nm)*G163*S163*VLOOKUP(B163,country_opex,4,FALSE))/1000</f>
        <v/>
      </c>
      <c r="AK163" s="42" t="n"/>
      <c r="AL163" s="43" t="n"/>
      <c r="AM163" s="43" t="n"/>
      <c r="AN163" s="50" t="n">
        <v>0.1</v>
      </c>
      <c r="AO163" s="45">
        <f>IF(AK163="","",AK163*AN163)</f>
        <v/>
      </c>
      <c r="AP163" s="45">
        <f>IF(OR(AK163="",V163=0),"",MIN(IF(AX163="",9.9E+99,AX163),FLOOR(AO163/V163,1)))</f>
        <v/>
      </c>
      <c r="AQ163" s="49">
        <f>IF(AP163="","",AP163*IF(ABS(MOD(ABS((X163)),1)-0.5)&lt;1E-9,2*ROUND((X163)/2,0),ROUND((X163),0)))</f>
        <v/>
      </c>
      <c r="AR163" s="47">
        <f>IF(OR(AK163="",V163=0),"",MIN(IF(AX163="",9.9E+99,AX163),AO163/V163))</f>
        <v/>
      </c>
      <c r="AS163" s="49">
        <f>IF(AR163="","",AR163*IF(B163="South Korea",IF(ABS(MOD(ABS((X163)),1)-0.5)&lt;1E-9,2*ROUND((X163)/2,0),ROUND((X163),0)),X163))</f>
        <v/>
      </c>
      <c r="AT163" s="51" t="n"/>
      <c r="AU163" s="43" t="inlineStr">
        <is>
          <t>Estimated</t>
        </is>
      </c>
      <c r="AV163" s="52" t="n"/>
      <c r="AW163" s="52" t="n"/>
      <c r="AX163" s="53" t="n"/>
      <c r="AY163" s="54">
        <f>IF(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&lt;=0,"",VLOOKUP(B163,country_opex,7,FALSE)/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)</f>
        <v/>
      </c>
      <c r="AZ163" s="54">
        <f>IF(((W163*pax_cap*IF(B163="South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Korea",korea_mid_revleg,revleg_mid)),0))*VLOOKUP(B163,country_opex,3,FALSE))+Z163+AA163+AB163+AC163+AD163))&lt;=0,"",VLOOKUP(B163,country_opex,7,FALSE)/((W163*pax_cap*IF(B163="South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Korea",korea_mid_revleg,revleg_mid)),0))*VLOOKUP(B163,country_opex,3,FALSE))+Z163+AA163+AB163+AC163+AD163)))</f>
        <v/>
      </c>
      <c r="BA163" s="54">
        <f>IF(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&lt;=0,"",VLOOKUP(B163,country_opex,7,FALSE)/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)</f>
        <v/>
      </c>
      <c r="BB163" s="40" t="inlineStr">
        <is>
          <t>PREMIUM scheduled per-seat = Aegean Flying Dolphins Piraeus-&gt;Agistri (Myli) EUR 13.50 one-way (2026, ~$14.6).</t>
        </is>
      </c>
      <c r="BC163" s="40" t="n"/>
      <c r="BD163" s="43" t="n"/>
    </row>
    <row r="164">
      <c r="A164" s="38" t="inlineStr">
        <is>
          <t>Bolt Greece</t>
        </is>
      </c>
      <c r="B164" s="38" t="inlineStr">
        <is>
          <t>Greece</t>
        </is>
      </c>
      <c r="C164" s="39" t="inlineStr">
        <is>
          <t>Mykonos → Paros</t>
        </is>
      </c>
      <c r="D164" s="38" t="inlineStr">
        <is>
          <t>bolt</t>
        </is>
      </c>
      <c r="E164" s="40" t="inlineStr">
        <is>
          <t>bolt-greece</t>
        </is>
      </c>
      <c r="F164" s="41" t="n">
        <v>1</v>
      </c>
      <c r="G164" s="42" t="n">
        <v>22</v>
      </c>
      <c r="H164" s="35" t="n">
        <v>54</v>
      </c>
      <c r="I164" s="43" t="inlineStr">
        <is>
          <t>T2</t>
        </is>
      </c>
      <c r="J164" s="43" t="inlineStr">
        <is>
          <t>med</t>
        </is>
      </c>
      <c r="K164" s="29" t="n">
        <v>1</v>
      </c>
      <c r="L164" s="44">
        <f>60*G164/cruise_kt</f>
        <v/>
      </c>
      <c r="M164" s="44">
        <f>IF(B164="South Korea",G164/korea_charge_range_nm*korea_full_range_charge_min,0)</f>
        <v/>
      </c>
      <c r="N164" s="44">
        <f>IF(B164="South Korea",L164+korea_turn_min+korea_dwell_min+M164,L164+turn_min+dwell_min)</f>
        <v/>
      </c>
      <c r="O164" s="45">
        <f>IF(B164="South Korea",FLOOR(60*korea_service_hr/N164,1),MIN(15,FLOOR(60*service_hr/N164,1)))</f>
        <v/>
      </c>
      <c r="P164" s="45">
        <f>IF(ABS(MOD(ABS((365*mech_uptime*K164)),1)-0.5)&lt;1E-9,2*ROUND((365*mech_uptime*K164)/2,0),ROUND((365*mech_uptime*K164),0))</f>
        <v/>
      </c>
      <c r="Q164" s="46">
        <f>mech_uptime</f>
        <v/>
      </c>
      <c r="R164" s="46">
        <f>IF(AND(B164="South Korea",scenario="MID"),korea_mid_revleg,revleg_sel)</f>
        <v/>
      </c>
      <c r="S164" s="45">
        <f>IF(ABS(MOD(ABS((O164*P164*R164)),1)-0.5)&lt;1E-9,2*ROUND((O164*P164*R164)/2,0),ROUND((O164*P164*R164),0))</f>
        <v/>
      </c>
      <c r="T164" s="46">
        <f>IF(AND(B164="South Korea",scenario="MID"),korea_mid_load,load_sel)</f>
        <v/>
      </c>
      <c r="U164" s="47">
        <f>pax_cap*T164</f>
        <v/>
      </c>
      <c r="V164" s="45">
        <f>U164*S164</f>
        <v/>
      </c>
      <c r="W164" s="48">
        <f>H164*discount</f>
        <v/>
      </c>
      <c r="X164" s="49">
        <f>W164*V164</f>
        <v/>
      </c>
      <c r="Y164" s="49">
        <f>(battery/range_nm)*G164*S164*VLOOKUP(B164,country_opex,3,FALSE)</f>
        <v/>
      </c>
      <c r="Z164" s="49">
        <f>VLOOKUP(B164,country_opex,2,FALSE)*crew_factor</f>
        <v/>
      </c>
      <c r="AA164" s="49">
        <f>VLOOKUP(B164,country_opex,5,FALSE)</f>
        <v/>
      </c>
      <c r="AB164" s="49">
        <f>maint</f>
        <v/>
      </c>
      <c r="AC164" s="49">
        <f>VLOOKUP(B164,country_opex,7,FALSE)*ins_pct</f>
        <v/>
      </c>
      <c r="AD164" s="49">
        <f>charge_berth</f>
        <v/>
      </c>
      <c r="AE164" s="49">
        <f>Y164+Z164+AA164+AB164+AC164+AD164</f>
        <v/>
      </c>
      <c r="AF164" s="49">
        <f>VLOOKUP(B164,country_opex,7,FALSE)/dep_years</f>
        <v/>
      </c>
      <c r="AG164" s="49">
        <f>X164-AE164</f>
        <v/>
      </c>
      <c r="AH164" s="46">
        <f>IF(X164=0,"",AG164/X164)</f>
        <v/>
      </c>
      <c r="AI164" s="47">
        <f>IF(AG164&lt;=0,"",VLOOKUP(B164,country_opex,7,FALSE)/AG164)</f>
        <v/>
      </c>
      <c r="AJ164" s="44">
        <f>((G164*S164/diesel_nmpg)*diesel_co2pg-(battery/range_nm)*G164*S164*VLOOKUP(B164,country_opex,4,FALSE))/1000</f>
        <v/>
      </c>
      <c r="AK164" s="42" t="n"/>
      <c r="AL164" s="43" t="n"/>
      <c r="AM164" s="43" t="n"/>
      <c r="AN164" s="50" t="n">
        <v>0.1</v>
      </c>
      <c r="AO164" s="45">
        <f>IF(AK164="","",AK164*AN164)</f>
        <v/>
      </c>
      <c r="AP164" s="45">
        <f>IF(OR(AK164="",V164=0),"",MIN(IF(AX164="",9.9E+99,AX164),FLOOR(AO164/V164,1)))</f>
        <v/>
      </c>
      <c r="AQ164" s="49">
        <f>IF(AP164="","",AP164*IF(ABS(MOD(ABS((X164)),1)-0.5)&lt;1E-9,2*ROUND((X164)/2,0),ROUND((X164),0)))</f>
        <v/>
      </c>
      <c r="AR164" s="47">
        <f>IF(OR(AK164="",V164=0),"",MIN(IF(AX164="",9.9E+99,AX164),AO164/V164))</f>
        <v/>
      </c>
      <c r="AS164" s="49">
        <f>IF(AR164="","",AR164*IF(B164="South Korea",IF(ABS(MOD(ABS((X164)),1)-0.5)&lt;1E-9,2*ROUND((X164)/2,0),ROUND((X164),0)),X164))</f>
        <v/>
      </c>
      <c r="AT164" s="51" t="n"/>
      <c r="AU164" s="43" t="inlineStr">
        <is>
          <t>Estimated</t>
        </is>
      </c>
      <c r="AV164" s="52" t="n"/>
      <c r="AW164" s="52" t="n"/>
      <c r="AX164" s="53" t="n"/>
      <c r="AY164" s="54">
        <f>IF(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&lt;=0,"",VLOOKUP(B164,country_opex,7,FALSE)/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)</f>
        <v/>
      </c>
      <c r="AZ164" s="54">
        <f>IF(((W164*pax_cap*IF(B164="South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Korea",korea_mid_revleg,revleg_mid)),0))*VLOOKUP(B164,country_opex,3,FALSE))+Z164+AA164+AB164+AC164+AD164))&lt;=0,"",VLOOKUP(B164,country_opex,7,FALSE)/((W164*pax_cap*IF(B164="South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Korea",korea_mid_revleg,revleg_mid)),0))*VLOOKUP(B164,country_opex,3,FALSE))+Z164+AA164+AB164+AC164+AD164)))</f>
        <v/>
      </c>
      <c r="BA164" s="54">
        <f>IF(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&lt;=0,"",VLOOKUP(B164,country_opex,7,FALSE)/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)</f>
        <v/>
      </c>
      <c r="BB164" s="40" t="inlineStr">
        <is>
          <t>PREMIUM scheduled per-seat = Seajets/fast-ferry Mykonos-&gt;Paros ~EUR 50 one-way (range EUR 36-66; ~$54).</t>
        </is>
      </c>
      <c r="BC164" s="40" t="n"/>
      <c r="BD164" s="43" t="inlineStr">
        <is>
          <t>edge__paros-greece__mykonos</t>
        </is>
      </c>
    </row>
    <row r="165">
      <c r="A165" s="38" t="inlineStr">
        <is>
          <t>Bolt Greece</t>
        </is>
      </c>
      <c r="B165" s="38" t="inlineStr">
        <is>
          <t>Greece</t>
        </is>
      </c>
      <c r="C165" s="39" t="inlineStr">
        <is>
          <t>Rhodes → Marmaris (Turkey)</t>
        </is>
      </c>
      <c r="D165" s="38" t="inlineStr">
        <is>
          <t>bolt</t>
        </is>
      </c>
      <c r="E165" s="40" t="inlineStr">
        <is>
          <t>bolt-greece</t>
        </is>
      </c>
      <c r="F165" s="41" t="n">
        <v>1</v>
      </c>
      <c r="G165" s="42" t="n">
        <v>22</v>
      </c>
      <c r="H165" s="35" t="n"/>
      <c r="I165" s="43" t="n"/>
      <c r="J165" s="43" t="n"/>
      <c r="K165" s="29" t="n">
        <v>1</v>
      </c>
      <c r="L165" s="44">
        <f>60*G165/cruise_kt</f>
        <v/>
      </c>
      <c r="M165" s="44">
        <f>IF(B165="South Korea",G165/korea_charge_range_nm*korea_full_range_charge_min,0)</f>
        <v/>
      </c>
      <c r="N165" s="44">
        <f>IF(B165="South Korea",L165+korea_turn_min+korea_dwell_min+M165,L165+turn_min+dwell_min)</f>
        <v/>
      </c>
      <c r="O165" s="45">
        <f>IF(B165="South Korea",FLOOR(60*korea_service_hr/N165,1),MIN(15,FLOOR(60*service_hr/N165,1)))</f>
        <v/>
      </c>
      <c r="P165" s="45">
        <f>IF(ABS(MOD(ABS((365*mech_uptime*K165)),1)-0.5)&lt;1E-9,2*ROUND((365*mech_uptime*K165)/2,0),ROUND((365*mech_uptime*K165),0))</f>
        <v/>
      </c>
      <c r="Q165" s="46">
        <f>mech_uptime</f>
        <v/>
      </c>
      <c r="R165" s="46">
        <f>IF(AND(B165="South Korea",scenario="MID"),korea_mid_revleg,revleg_sel)</f>
        <v/>
      </c>
      <c r="S165" s="45">
        <f>IF(ABS(MOD(ABS((O165*P165*R165)),1)-0.5)&lt;1E-9,2*ROUND((O165*P165*R165)/2,0),ROUND((O165*P165*R165),0))</f>
        <v/>
      </c>
      <c r="T165" s="46">
        <f>IF(AND(B165="South Korea",scenario="MID"),korea_mid_load,load_sel)</f>
        <v/>
      </c>
      <c r="U165" s="47">
        <f>pax_cap*T165</f>
        <v/>
      </c>
      <c r="V165" s="45">
        <f>U165*S165</f>
        <v/>
      </c>
      <c r="W165" s="48">
        <f>H165*discount</f>
        <v/>
      </c>
      <c r="X165" s="49">
        <f>W165*V165</f>
        <v/>
      </c>
      <c r="Y165" s="49">
        <f>(battery/range_nm)*G165*S165*VLOOKUP(B165,country_opex,3,FALSE)</f>
        <v/>
      </c>
      <c r="Z165" s="49">
        <f>VLOOKUP(B165,country_opex,2,FALSE)*crew_factor</f>
        <v/>
      </c>
      <c r="AA165" s="49">
        <f>VLOOKUP(B165,country_opex,5,FALSE)</f>
        <v/>
      </c>
      <c r="AB165" s="49">
        <f>maint</f>
        <v/>
      </c>
      <c r="AC165" s="49">
        <f>VLOOKUP(B165,country_opex,7,FALSE)*ins_pct</f>
        <v/>
      </c>
      <c r="AD165" s="49">
        <f>charge_berth</f>
        <v/>
      </c>
      <c r="AE165" s="49">
        <f>Y165+Z165+AA165+AB165+AC165+AD165</f>
        <v/>
      </c>
      <c r="AF165" s="49">
        <f>VLOOKUP(B165,country_opex,7,FALSE)/dep_years</f>
        <v/>
      </c>
      <c r="AG165" s="49">
        <f>X165-AE165</f>
        <v/>
      </c>
      <c r="AH165" s="46">
        <f>IF(X165=0,"",AG165/X165)</f>
        <v/>
      </c>
      <c r="AI165" s="47">
        <f>IF(AG165&lt;=0,"",VLOOKUP(B165,country_opex,7,FALSE)/AG165)</f>
        <v/>
      </c>
      <c r="AJ165" s="44">
        <f>((G165*S165/diesel_nmpg)*diesel_co2pg-(battery/range_nm)*G165*S165*VLOOKUP(B165,country_opex,4,FALSE))/1000</f>
        <v/>
      </c>
      <c r="AK165" s="42" t="n"/>
      <c r="AL165" s="43" t="n"/>
      <c r="AM165" s="43" t="n"/>
      <c r="AN165" s="50" t="n">
        <v>0.1</v>
      </c>
      <c r="AO165" s="45">
        <f>IF(AK165="","",AK165*AN165)</f>
        <v/>
      </c>
      <c r="AP165" s="45">
        <f>IF(OR(AK165="",V165=0),"",MIN(IF(AX165="",9.9E+99,AX165),FLOOR(AO165/V165,1)))</f>
        <v/>
      </c>
      <c r="AQ165" s="49">
        <f>IF(AP165="","",AP165*IF(ABS(MOD(ABS((X165)),1)-0.5)&lt;1E-9,2*ROUND((X165)/2,0),ROUND((X165),0)))</f>
        <v/>
      </c>
      <c r="AR165" s="47">
        <f>IF(OR(AK165="",V165=0),"",MIN(IF(AX165="",9.9E+99,AX165),AO165/V165))</f>
        <v/>
      </c>
      <c r="AS165" s="49">
        <f>IF(AR165="","",AR165*IF(B165="South Korea",IF(ABS(MOD(ABS((X165)),1)-0.5)&lt;1E-9,2*ROUND((X165)/2,0),ROUND((X165),0)),X165))</f>
        <v/>
      </c>
      <c r="AT165" s="51" t="n"/>
      <c r="AU165" s="43" t="inlineStr">
        <is>
          <t>Estimated</t>
        </is>
      </c>
      <c r="AV165" s="52" t="n"/>
      <c r="AW165" s="52" t="n"/>
      <c r="AX165" s="53" t="n"/>
      <c r="AY165" s="54">
        <f>IF(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&lt;=0,"",VLOOKUP(B165,country_opex,7,FALSE)/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)</f>
        <v/>
      </c>
      <c r="AZ165" s="54">
        <f>IF(((W165*pax_cap*IF(B165="South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Korea",korea_mid_revleg,revleg_mid)),0))*VLOOKUP(B165,country_opex,3,FALSE))+Z165+AA165+AB165+AC165+AD165))&lt;=0,"",VLOOKUP(B165,country_opex,7,FALSE)/((W165*pax_cap*IF(B165="South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Korea",korea_mid_revleg,revleg_mid)),0))*VLOOKUP(B165,country_opex,3,FALSE))+Z165+AA165+AB165+AC165+AD165)))</f>
        <v/>
      </c>
      <c r="BA165" s="54">
        <f>IF(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&lt;=0,"",VLOOKUP(B165,country_opex,7,FALSE)/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)</f>
        <v/>
      </c>
      <c r="BB165" s="40" t="n"/>
      <c r="BC165" s="40" t="n"/>
      <c r="BD165" s="43" t="n"/>
    </row>
    <row r="166">
      <c r="A166" s="38" t="inlineStr">
        <is>
          <t>Bolt Greece</t>
        </is>
      </c>
      <c r="B166" s="38" t="inlineStr">
        <is>
          <t>Greece</t>
        </is>
      </c>
      <c r="C166" s="39" t="inlineStr">
        <is>
          <t>Athens (Piraeus) → Poros (Saronic)</t>
        </is>
      </c>
      <c r="D166" s="38" t="inlineStr">
        <is>
          <t>bolt</t>
        </is>
      </c>
      <c r="E166" s="40" t="inlineStr">
        <is>
          <t>bolt-greece</t>
        </is>
      </c>
      <c r="F166" s="41" t="n">
        <v>1</v>
      </c>
      <c r="G166" s="42" t="n">
        <v>27</v>
      </c>
      <c r="H166" s="35" t="n">
        <v>18.4</v>
      </c>
      <c r="I166" s="43" t="inlineStr">
        <is>
          <t>T2</t>
        </is>
      </c>
      <c r="J166" s="43" t="inlineStr">
        <is>
          <t>med</t>
        </is>
      </c>
      <c r="K166" s="29" t="n">
        <v>1</v>
      </c>
      <c r="L166" s="44">
        <f>60*G166/cruise_kt</f>
        <v/>
      </c>
      <c r="M166" s="44">
        <f>IF(B166="South Korea",G166/korea_charge_range_nm*korea_full_range_charge_min,0)</f>
        <v/>
      </c>
      <c r="N166" s="44">
        <f>IF(B166="South Korea",L166+korea_turn_min+korea_dwell_min+M166,L166+turn_min+dwell_min)</f>
        <v/>
      </c>
      <c r="O166" s="45">
        <f>IF(B166="South Korea",FLOOR(60*korea_service_hr/N166,1),MIN(15,FLOOR(60*service_hr/N166,1)))</f>
        <v/>
      </c>
      <c r="P166" s="45">
        <f>IF(ABS(MOD(ABS((365*mech_uptime*K166)),1)-0.5)&lt;1E-9,2*ROUND((365*mech_uptime*K166)/2,0),ROUND((365*mech_uptime*K166),0))</f>
        <v/>
      </c>
      <c r="Q166" s="46">
        <f>mech_uptime</f>
        <v/>
      </c>
      <c r="R166" s="46">
        <f>IF(AND(B166="South Korea",scenario="MID"),korea_mid_revleg,revleg_sel)</f>
        <v/>
      </c>
      <c r="S166" s="45">
        <f>IF(ABS(MOD(ABS((O166*P166*R166)),1)-0.5)&lt;1E-9,2*ROUND((O166*P166*R166)/2,0),ROUND((O166*P166*R166),0))</f>
        <v/>
      </c>
      <c r="T166" s="46">
        <f>IF(AND(B166="South Korea",scenario="MID"),korea_mid_load,load_sel)</f>
        <v/>
      </c>
      <c r="U166" s="47">
        <f>pax_cap*T166</f>
        <v/>
      </c>
      <c r="V166" s="45">
        <f>U166*S166</f>
        <v/>
      </c>
      <c r="W166" s="48">
        <f>H166*discount</f>
        <v/>
      </c>
      <c r="X166" s="49">
        <f>W166*V166</f>
        <v/>
      </c>
      <c r="Y166" s="49">
        <f>(battery/range_nm)*G166*S166*VLOOKUP(B166,country_opex,3,FALSE)</f>
        <v/>
      </c>
      <c r="Z166" s="49">
        <f>VLOOKUP(B166,country_opex,2,FALSE)*crew_factor</f>
        <v/>
      </c>
      <c r="AA166" s="49">
        <f>VLOOKUP(B166,country_opex,5,FALSE)</f>
        <v/>
      </c>
      <c r="AB166" s="49">
        <f>maint</f>
        <v/>
      </c>
      <c r="AC166" s="49">
        <f>VLOOKUP(B166,country_opex,7,FALSE)*ins_pct</f>
        <v/>
      </c>
      <c r="AD166" s="49">
        <f>charge_berth</f>
        <v/>
      </c>
      <c r="AE166" s="49">
        <f>Y166+Z166+AA166+AB166+AC166+AD166</f>
        <v/>
      </c>
      <c r="AF166" s="49">
        <f>VLOOKUP(B166,country_opex,7,FALSE)/dep_years</f>
        <v/>
      </c>
      <c r="AG166" s="49">
        <f>X166-AE166</f>
        <v/>
      </c>
      <c r="AH166" s="46">
        <f>IF(X166=0,"",AG166/X166)</f>
        <v/>
      </c>
      <c r="AI166" s="47">
        <f>IF(AG166&lt;=0,"",VLOOKUP(B166,country_opex,7,FALSE)/AG166)</f>
        <v/>
      </c>
      <c r="AJ166" s="44">
        <f>((G166*S166/diesel_nmpg)*diesel_co2pg-(battery/range_nm)*G166*S166*VLOOKUP(B166,country_opex,4,FALSE))/1000</f>
        <v/>
      </c>
      <c r="AK166" s="42" t="n"/>
      <c r="AL166" s="43" t="n"/>
      <c r="AM166" s="43" t="n"/>
      <c r="AN166" s="50" t="n">
        <v>0.1</v>
      </c>
      <c r="AO166" s="45">
        <f>IF(AK166="","",AK166*AN166)</f>
        <v/>
      </c>
      <c r="AP166" s="45">
        <f>IF(OR(AK166="",V166=0),"",MIN(IF(AX166="",9.9E+99,AX166),FLOOR(AO166/V166,1)))</f>
        <v/>
      </c>
      <c r="AQ166" s="49">
        <f>IF(AP166="","",AP166*IF(ABS(MOD(ABS((X166)),1)-0.5)&lt;1E-9,2*ROUND((X166)/2,0),ROUND((X166),0)))</f>
        <v/>
      </c>
      <c r="AR166" s="47">
        <f>IF(OR(AK166="",V166=0),"",MIN(IF(AX166="",9.9E+99,AX166),AO166/V166))</f>
        <v/>
      </c>
      <c r="AS166" s="49">
        <f>IF(AR166="","",AR166*IF(B166="South Korea",IF(ABS(MOD(ABS((X166)),1)-0.5)&lt;1E-9,2*ROUND((X166)/2,0),ROUND((X166),0)),X166))</f>
        <v/>
      </c>
      <c r="AT166" s="51" t="n"/>
      <c r="AU166" s="43" t="inlineStr">
        <is>
          <t>Estimated</t>
        </is>
      </c>
      <c r="AV166" s="52" t="n"/>
      <c r="AW166" s="52" t="n"/>
      <c r="AX166" s="53" t="n"/>
      <c r="AY166" s="54">
        <f>IF(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&lt;=0,"",VLOOKUP(B166,country_opex,7,FALSE)/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)</f>
        <v/>
      </c>
      <c r="AZ166" s="54">
        <f>IF(((W166*pax_cap*IF(B166="South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Korea",korea_mid_revleg,revleg_mid)),0))*VLOOKUP(B166,country_opex,3,FALSE))+Z166+AA166+AB166+AC166+AD166))&lt;=0,"",VLOOKUP(B166,country_opex,7,FALSE)/((W166*pax_cap*IF(B166="South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Korea",korea_mid_revleg,revleg_mid)),0))*VLOOKUP(B166,country_opex,3,FALSE))+Z166+AA166+AB166+AC166+AD166)))</f>
        <v/>
      </c>
      <c r="BA166" s="54">
        <f>IF(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&lt;=0,"",VLOOKUP(B166,country_opex,7,FALSE)/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)</f>
        <v/>
      </c>
      <c r="BB166" s="40" t="inlineStr">
        <is>
          <t>PREMIUM scheduled per-seat = Hellenic Seaways fast craft Piraeus-&gt;Poros EUR 17.00 one-way (~$18.4).</t>
        </is>
      </c>
      <c r="BC166" s="40" t="n"/>
      <c r="BD166" s="43" t="n"/>
    </row>
    <row r="167">
      <c r="A167" s="38" t="inlineStr">
        <is>
          <t>Bolt Greece</t>
        </is>
      </c>
      <c r="B167" s="38" t="inlineStr">
        <is>
          <t>Greece</t>
        </is>
      </c>
      <c r="C167" s="39" t="inlineStr">
        <is>
          <t>Mykonos → Naxos</t>
        </is>
      </c>
      <c r="D167" s="38" t="inlineStr">
        <is>
          <t>bolt</t>
        </is>
      </c>
      <c r="E167" s="40" t="inlineStr">
        <is>
          <t>bolt-greece</t>
        </is>
      </c>
      <c r="F167" s="41" t="n">
        <v>1</v>
      </c>
      <c r="G167" s="42" t="n">
        <v>28</v>
      </c>
      <c r="H167" s="35" t="n">
        <v>54</v>
      </c>
      <c r="I167" s="43" t="inlineStr">
        <is>
          <t>T2</t>
        </is>
      </c>
      <c r="J167" s="43" t="inlineStr">
        <is>
          <t>med</t>
        </is>
      </c>
      <c r="K167" s="29" t="n">
        <v>1</v>
      </c>
      <c r="L167" s="44">
        <f>60*G167/cruise_kt</f>
        <v/>
      </c>
      <c r="M167" s="44">
        <f>IF(B167="South Korea",G167/korea_charge_range_nm*korea_full_range_charge_min,0)</f>
        <v/>
      </c>
      <c r="N167" s="44">
        <f>IF(B167="South Korea",L167+korea_turn_min+korea_dwell_min+M167,L167+turn_min+dwell_min)</f>
        <v/>
      </c>
      <c r="O167" s="45">
        <f>IF(B167="South Korea",FLOOR(60*korea_service_hr/N167,1),MIN(15,FLOOR(60*service_hr/N167,1)))</f>
        <v/>
      </c>
      <c r="P167" s="45">
        <f>IF(ABS(MOD(ABS((365*mech_uptime*K167)),1)-0.5)&lt;1E-9,2*ROUND((365*mech_uptime*K167)/2,0),ROUND((365*mech_uptime*K167),0))</f>
        <v/>
      </c>
      <c r="Q167" s="46">
        <f>mech_uptime</f>
        <v/>
      </c>
      <c r="R167" s="46">
        <f>IF(AND(B167="South Korea",scenario="MID"),korea_mid_revleg,revleg_sel)</f>
        <v/>
      </c>
      <c r="S167" s="45">
        <f>IF(ABS(MOD(ABS((O167*P167*R167)),1)-0.5)&lt;1E-9,2*ROUND((O167*P167*R167)/2,0),ROUND((O167*P167*R167),0))</f>
        <v/>
      </c>
      <c r="T167" s="46">
        <f>IF(AND(B167="South Korea",scenario="MID"),korea_mid_load,load_sel)</f>
        <v/>
      </c>
      <c r="U167" s="47">
        <f>pax_cap*T167</f>
        <v/>
      </c>
      <c r="V167" s="45">
        <f>U167*S167</f>
        <v/>
      </c>
      <c r="W167" s="48">
        <f>H167*discount</f>
        <v/>
      </c>
      <c r="X167" s="49">
        <f>W167*V167</f>
        <v/>
      </c>
      <c r="Y167" s="49">
        <f>(battery/range_nm)*G167*S167*VLOOKUP(B167,country_opex,3,FALSE)</f>
        <v/>
      </c>
      <c r="Z167" s="49">
        <f>VLOOKUP(B167,country_opex,2,FALSE)*crew_factor</f>
        <v/>
      </c>
      <c r="AA167" s="49">
        <f>VLOOKUP(B167,country_opex,5,FALSE)</f>
        <v/>
      </c>
      <c r="AB167" s="49">
        <f>maint</f>
        <v/>
      </c>
      <c r="AC167" s="49">
        <f>VLOOKUP(B167,country_opex,7,FALSE)*ins_pct</f>
        <v/>
      </c>
      <c r="AD167" s="49">
        <f>charge_berth</f>
        <v/>
      </c>
      <c r="AE167" s="49">
        <f>Y167+Z167+AA167+AB167+AC167+AD167</f>
        <v/>
      </c>
      <c r="AF167" s="49">
        <f>VLOOKUP(B167,country_opex,7,FALSE)/dep_years</f>
        <v/>
      </c>
      <c r="AG167" s="49">
        <f>X167-AE167</f>
        <v/>
      </c>
      <c r="AH167" s="46">
        <f>IF(X167=0,"",AG167/X167)</f>
        <v/>
      </c>
      <c r="AI167" s="47">
        <f>IF(AG167&lt;=0,"",VLOOKUP(B167,country_opex,7,FALSE)/AG167)</f>
        <v/>
      </c>
      <c r="AJ167" s="44">
        <f>((G167*S167/diesel_nmpg)*diesel_co2pg-(battery/range_nm)*G167*S167*VLOOKUP(B167,country_opex,4,FALSE))/1000</f>
        <v/>
      </c>
      <c r="AK167" s="42" t="n"/>
      <c r="AL167" s="43" t="n"/>
      <c r="AM167" s="43" t="n"/>
      <c r="AN167" s="50" t="n">
        <v>0.1</v>
      </c>
      <c r="AO167" s="45">
        <f>IF(AK167="","",AK167*AN167)</f>
        <v/>
      </c>
      <c r="AP167" s="45">
        <f>IF(OR(AK167="",V167=0),"",MIN(IF(AX167="",9.9E+99,AX167),FLOOR(AO167/V167,1)))</f>
        <v/>
      </c>
      <c r="AQ167" s="49">
        <f>IF(AP167="","",AP167*IF(ABS(MOD(ABS((X167)),1)-0.5)&lt;1E-9,2*ROUND((X167)/2,0),ROUND((X167),0)))</f>
        <v/>
      </c>
      <c r="AR167" s="47">
        <f>IF(OR(AK167="",V167=0),"",MIN(IF(AX167="",9.9E+99,AX167),AO167/V167))</f>
        <v/>
      </c>
      <c r="AS167" s="49">
        <f>IF(AR167="","",AR167*IF(B167="South Korea",IF(ABS(MOD(ABS((X167)),1)-0.5)&lt;1E-9,2*ROUND((X167)/2,0),ROUND((X167),0)),X167))</f>
        <v/>
      </c>
      <c r="AT167" s="51" t="n"/>
      <c r="AU167" s="43" t="inlineStr">
        <is>
          <t>Estimated</t>
        </is>
      </c>
      <c r="AV167" s="52" t="n"/>
      <c r="AW167" s="52" t="n"/>
      <c r="AX167" s="53" t="n"/>
      <c r="AY167" s="54">
        <f>IF(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&lt;=0,"",VLOOKUP(B167,country_opex,7,FALSE)/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)</f>
        <v/>
      </c>
      <c r="AZ167" s="54">
        <f>IF(((W167*pax_cap*IF(B167="South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Korea",korea_mid_revleg,revleg_mid)),0))*VLOOKUP(B167,country_opex,3,FALSE))+Z167+AA167+AB167+AC167+AD167))&lt;=0,"",VLOOKUP(B167,country_opex,7,FALSE)/((W167*pax_cap*IF(B167="South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Korea",korea_mid_revleg,revleg_mid)),0))*VLOOKUP(B167,country_opex,3,FALSE))+Z167+AA167+AB167+AC167+AD167)))</f>
        <v/>
      </c>
      <c r="BA167" s="54">
        <f>IF(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&lt;=0,"",VLOOKUP(B167,country_opex,7,FALSE)/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)</f>
        <v/>
      </c>
      <c r="BB167" s="40" t="inlineStr">
        <is>
          <t>PREMIUM scheduled per-seat = Seajets/fast-ferry Mykonos-&gt;Naxos ~EUR 50 one-way (~$54), in line with the Mykonos-&gt;Paros tier (similar distance). Approximate.</t>
        </is>
      </c>
      <c r="BC167" s="40" t="n"/>
      <c r="BD167" s="43" t="n"/>
    </row>
    <row r="168">
      <c r="A168" s="38" t="inlineStr">
        <is>
          <t>Bolt Greece</t>
        </is>
      </c>
      <c r="B168" s="38" t="inlineStr">
        <is>
          <t>Greece</t>
        </is>
      </c>
      <c r="C168" s="39" t="inlineStr">
        <is>
          <t>Athens → Hydra (Saronic)</t>
        </is>
      </c>
      <c r="D168" s="38" t="inlineStr">
        <is>
          <t>bolt</t>
        </is>
      </c>
      <c r="E168" s="40" t="inlineStr">
        <is>
          <t>bolt-greece</t>
        </is>
      </c>
      <c r="F168" s="41" t="n">
        <v>1</v>
      </c>
      <c r="G168" s="42" t="n">
        <v>30</v>
      </c>
      <c r="H168" s="35" t="n">
        <v>43.2</v>
      </c>
      <c r="I168" s="43" t="inlineStr">
        <is>
          <t>T2</t>
        </is>
      </c>
      <c r="J168" s="43" t="inlineStr">
        <is>
          <t>med</t>
        </is>
      </c>
      <c r="K168" s="29" t="n">
        <v>1</v>
      </c>
      <c r="L168" s="44">
        <f>60*G168/cruise_kt</f>
        <v/>
      </c>
      <c r="M168" s="44">
        <f>IF(B168="South Korea",G168/korea_charge_range_nm*korea_full_range_charge_min,0)</f>
        <v/>
      </c>
      <c r="N168" s="44">
        <f>IF(B168="South Korea",L168+korea_turn_min+korea_dwell_min+M168,L168+turn_min+dwell_min)</f>
        <v/>
      </c>
      <c r="O168" s="45">
        <f>IF(B168="South Korea",FLOOR(60*korea_service_hr/N168,1),MIN(15,FLOOR(60*service_hr/N168,1)))</f>
        <v/>
      </c>
      <c r="P168" s="45">
        <f>IF(ABS(MOD(ABS((365*mech_uptime*K168)),1)-0.5)&lt;1E-9,2*ROUND((365*mech_uptime*K168)/2,0),ROUND((365*mech_uptime*K168),0))</f>
        <v/>
      </c>
      <c r="Q168" s="46">
        <f>mech_uptime</f>
        <v/>
      </c>
      <c r="R168" s="46">
        <f>IF(AND(B168="South Korea",scenario="MID"),korea_mid_revleg,revleg_sel)</f>
        <v/>
      </c>
      <c r="S168" s="45">
        <f>IF(ABS(MOD(ABS((O168*P168*R168)),1)-0.5)&lt;1E-9,2*ROUND((O168*P168*R168)/2,0),ROUND((O168*P168*R168),0))</f>
        <v/>
      </c>
      <c r="T168" s="46">
        <f>IF(AND(B168="South Korea",scenario="MID"),korea_mid_load,load_sel)</f>
        <v/>
      </c>
      <c r="U168" s="47">
        <f>pax_cap*T168</f>
        <v/>
      </c>
      <c r="V168" s="45">
        <f>U168*S168</f>
        <v/>
      </c>
      <c r="W168" s="48">
        <f>H168*discount</f>
        <v/>
      </c>
      <c r="X168" s="49">
        <f>W168*V168</f>
        <v/>
      </c>
      <c r="Y168" s="49">
        <f>(battery/range_nm)*G168*S168*VLOOKUP(B168,country_opex,3,FALSE)</f>
        <v/>
      </c>
      <c r="Z168" s="49">
        <f>VLOOKUP(B168,country_opex,2,FALSE)*crew_factor</f>
        <v/>
      </c>
      <c r="AA168" s="49">
        <f>VLOOKUP(B168,country_opex,5,FALSE)</f>
        <v/>
      </c>
      <c r="AB168" s="49">
        <f>maint</f>
        <v/>
      </c>
      <c r="AC168" s="49">
        <f>VLOOKUP(B168,country_opex,7,FALSE)*ins_pct</f>
        <v/>
      </c>
      <c r="AD168" s="49">
        <f>charge_berth</f>
        <v/>
      </c>
      <c r="AE168" s="49">
        <f>Y168+Z168+AA168+AB168+AC168+AD168</f>
        <v/>
      </c>
      <c r="AF168" s="49">
        <f>VLOOKUP(B168,country_opex,7,FALSE)/dep_years</f>
        <v/>
      </c>
      <c r="AG168" s="49">
        <f>X168-AE168</f>
        <v/>
      </c>
      <c r="AH168" s="46">
        <f>IF(X168=0,"",AG168/X168)</f>
        <v/>
      </c>
      <c r="AI168" s="47">
        <f>IF(AG168&lt;=0,"",VLOOKUP(B168,country_opex,7,FALSE)/AG168)</f>
        <v/>
      </c>
      <c r="AJ168" s="44">
        <f>((G168*S168/diesel_nmpg)*diesel_co2pg-(battery/range_nm)*G168*S168*VLOOKUP(B168,country_opex,4,FALSE))/1000</f>
        <v/>
      </c>
      <c r="AK168" s="42" t="n"/>
      <c r="AL168" s="43" t="inlineStr">
        <is>
          <t>T5</t>
        </is>
      </c>
      <c r="AM168" s="43" t="inlineStr">
        <is>
          <t>low</t>
        </is>
      </c>
      <c r="AN168" s="50" t="n">
        <v>0.1</v>
      </c>
      <c r="AO168" s="45">
        <f>IF(AK168="","",AK168*AN168)</f>
        <v/>
      </c>
      <c r="AP168" s="45">
        <f>IF(OR(AK168="",V168=0),"",MIN(IF(AX168="",9.9E+99,AX168),FLOOR(AO168/V168,1)))</f>
        <v/>
      </c>
      <c r="AQ168" s="49">
        <f>IF(AP168="","",AP168*IF(ABS(MOD(ABS((X168)),1)-0.5)&lt;1E-9,2*ROUND((X168)/2,0),ROUND((X168),0)))</f>
        <v/>
      </c>
      <c r="AR168" s="47">
        <f>IF(OR(AK168="",V168=0),"",MIN(IF(AX168="",9.9E+99,AX168),AO168/V168))</f>
        <v/>
      </c>
      <c r="AS168" s="49">
        <f>IF(AR168="","",AR168*IF(B168="South Korea",IF(ABS(MOD(ABS((X168)),1)-0.5)&lt;1E-9,2*ROUND((X168)/2,0),ROUND((X168),0)),X168))</f>
        <v/>
      </c>
      <c r="AT168" s="51" t="n"/>
      <c r="AU168" s="43" t="inlineStr">
        <is>
          <t>Estimated</t>
        </is>
      </c>
      <c r="AV168" s="52" t="n"/>
      <c r="AW168" s="52" t="n"/>
      <c r="AX168" s="53" t="n"/>
      <c r="AY168" s="54">
        <f>IF(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&lt;=0,"",VLOOKUP(B168,country_opex,7,FALSE)/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)</f>
        <v/>
      </c>
      <c r="AZ168" s="54">
        <f>IF(((W168*pax_cap*IF(B168="South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Korea",korea_mid_revleg,revleg_mid)),0))*VLOOKUP(B168,country_opex,3,FALSE))+Z168+AA168+AB168+AC168+AD168))&lt;=0,"",VLOOKUP(B168,country_opex,7,FALSE)/((W168*pax_cap*IF(B168="South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Korea",korea_mid_revleg,revleg_mid)),0))*VLOOKUP(B168,country_opex,3,FALSE))+Z168+AA168+AB168+AC168+AD168)))</f>
        <v/>
      </c>
      <c r="BA168" s="54">
        <f>IF(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&lt;=0,"",VLOOKUP(B168,country_opex,7,FALSE)/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)</f>
        <v/>
      </c>
      <c r="BB168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C168" s="40" t="n"/>
      <c r="BD168" s="43" t="n"/>
    </row>
    <row r="169">
      <c r="A169" s="38" t="inlineStr">
        <is>
          <t>Bolt Greece</t>
        </is>
      </c>
      <c r="B169" s="38" t="inlineStr">
        <is>
          <t>Greece</t>
        </is>
      </c>
      <c r="C169" s="39" t="inlineStr">
        <is>
          <t>Athens (Piraeus) → Spetses (Saronic)</t>
        </is>
      </c>
      <c r="D169" s="38" t="inlineStr">
        <is>
          <t>bolt</t>
        </is>
      </c>
      <c r="E169" s="40" t="inlineStr">
        <is>
          <t>bolt-greece</t>
        </is>
      </c>
      <c r="F169" s="41" t="n">
        <v>1</v>
      </c>
      <c r="G169" s="42" t="n">
        <v>50</v>
      </c>
      <c r="H169" s="35" t="n">
        <v>37.8</v>
      </c>
      <c r="I169" s="43" t="inlineStr">
        <is>
          <t>T2</t>
        </is>
      </c>
      <c r="J169" s="43" t="inlineStr">
        <is>
          <t>med</t>
        </is>
      </c>
      <c r="K169" s="29" t="n">
        <v>1</v>
      </c>
      <c r="L169" s="44">
        <f>60*G169/cruise_kt</f>
        <v/>
      </c>
      <c r="M169" s="44">
        <f>IF(B169="South Korea",G169/korea_charge_range_nm*korea_full_range_charge_min,0)</f>
        <v/>
      </c>
      <c r="N169" s="44">
        <f>IF(B169="South Korea",L169+korea_turn_min+korea_dwell_min+M169,L169+turn_min+dwell_min)</f>
        <v/>
      </c>
      <c r="O169" s="45">
        <f>IF(B169="South Korea",FLOOR(60*korea_service_hr/N169,1),MIN(15,FLOOR(60*service_hr/N169,1)))</f>
        <v/>
      </c>
      <c r="P169" s="45">
        <f>IF(ABS(MOD(ABS((365*mech_uptime*K169)),1)-0.5)&lt;1E-9,2*ROUND((365*mech_uptime*K169)/2,0),ROUND((365*mech_uptime*K169),0))</f>
        <v/>
      </c>
      <c r="Q169" s="46">
        <f>mech_uptime</f>
        <v/>
      </c>
      <c r="R169" s="46">
        <f>IF(AND(B169="South Korea",scenario="MID"),korea_mid_revleg,revleg_sel)</f>
        <v/>
      </c>
      <c r="S169" s="45">
        <f>IF(ABS(MOD(ABS((O169*P169*R169)),1)-0.5)&lt;1E-9,2*ROUND((O169*P169*R169)/2,0),ROUND((O169*P169*R169),0))</f>
        <v/>
      </c>
      <c r="T169" s="46">
        <f>IF(AND(B169="South Korea",scenario="MID"),korea_mid_load,load_sel)</f>
        <v/>
      </c>
      <c r="U169" s="47">
        <f>pax_cap*T169</f>
        <v/>
      </c>
      <c r="V169" s="45">
        <f>U169*S169</f>
        <v/>
      </c>
      <c r="W169" s="48">
        <f>H169*discount</f>
        <v/>
      </c>
      <c r="X169" s="49">
        <f>W169*V169</f>
        <v/>
      </c>
      <c r="Y169" s="49">
        <f>(battery/range_nm)*G169*S169*VLOOKUP(B169,country_opex,3,FALSE)</f>
        <v/>
      </c>
      <c r="Z169" s="49">
        <f>VLOOKUP(B169,country_opex,2,FALSE)*crew_factor</f>
        <v/>
      </c>
      <c r="AA169" s="49">
        <f>VLOOKUP(B169,country_opex,5,FALSE)</f>
        <v/>
      </c>
      <c r="AB169" s="49">
        <f>maint</f>
        <v/>
      </c>
      <c r="AC169" s="49">
        <f>VLOOKUP(B169,country_opex,7,FALSE)*ins_pct</f>
        <v/>
      </c>
      <c r="AD169" s="49">
        <f>charge_berth</f>
        <v/>
      </c>
      <c r="AE169" s="49">
        <f>Y169+Z169+AA169+AB169+AC169+AD169</f>
        <v/>
      </c>
      <c r="AF169" s="49">
        <f>VLOOKUP(B169,country_opex,7,FALSE)/dep_years</f>
        <v/>
      </c>
      <c r="AG169" s="49">
        <f>X169-AE169</f>
        <v/>
      </c>
      <c r="AH169" s="46">
        <f>IF(X169=0,"",AG169/X169)</f>
        <v/>
      </c>
      <c r="AI169" s="47">
        <f>IF(AG169&lt;=0,"",VLOOKUP(B169,country_opex,7,FALSE)/AG169)</f>
        <v/>
      </c>
      <c r="AJ169" s="44">
        <f>((G169*S169/diesel_nmpg)*diesel_co2pg-(battery/range_nm)*G169*S169*VLOOKUP(B169,country_opex,4,FALSE))/1000</f>
        <v/>
      </c>
      <c r="AK169" s="42" t="n"/>
      <c r="AL169" s="43" t="n"/>
      <c r="AM169" s="43" t="n"/>
      <c r="AN169" s="50" t="n">
        <v>0.1</v>
      </c>
      <c r="AO169" s="45">
        <f>IF(AK169="","",AK169*AN169)</f>
        <v/>
      </c>
      <c r="AP169" s="45">
        <f>IF(OR(AK169="",V169=0),"",MIN(IF(AX169="",9.9E+99,AX169),FLOOR(AO169/V169,1)))</f>
        <v/>
      </c>
      <c r="AQ169" s="49">
        <f>IF(AP169="","",AP169*IF(ABS(MOD(ABS((X169)),1)-0.5)&lt;1E-9,2*ROUND((X169)/2,0),ROUND((X169),0)))</f>
        <v/>
      </c>
      <c r="AR169" s="47">
        <f>IF(OR(AK169="",V169=0),"",MIN(IF(AX169="",9.9E+99,AX169),AO169/V169))</f>
        <v/>
      </c>
      <c r="AS169" s="49">
        <f>IF(AR169="","",AR169*IF(B169="South Korea",IF(ABS(MOD(ABS((X169)),1)-0.5)&lt;1E-9,2*ROUND((X169)/2,0),ROUND((X169),0)),X169))</f>
        <v/>
      </c>
      <c r="AT169" s="51" t="n"/>
      <c r="AU169" s="43" t="inlineStr">
        <is>
          <t>Estimated</t>
        </is>
      </c>
      <c r="AV169" s="52" t="n"/>
      <c r="AW169" s="52" t="n"/>
      <c r="AX169" s="53" t="n"/>
      <c r="AY169" s="54">
        <f>IF(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&lt;=0,"",VLOOKUP(B169,country_opex,7,FALSE)/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)</f>
        <v/>
      </c>
      <c r="AZ169" s="54">
        <f>IF(((W169*pax_cap*IF(B169="South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Korea",korea_mid_revleg,revleg_mid)),0))*VLOOKUP(B169,country_opex,3,FALSE))+Z169+AA169+AB169+AC169+AD169))&lt;=0,"",VLOOKUP(B169,country_opex,7,FALSE)/((W169*pax_cap*IF(B169="South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Korea",korea_mid_revleg,revleg_mid)),0))*VLOOKUP(B169,country_opex,3,FALSE))+Z169+AA169+AB169+AC169+AD169)))</f>
        <v/>
      </c>
      <c r="BA169" s="54">
        <f>IF(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&lt;=0,"",VLOOKUP(B169,country_opex,7,FALSE)/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)</f>
        <v/>
      </c>
      <c r="BB169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C169" s="40" t="n"/>
      <c r="BD169" s="43" t="n"/>
    </row>
    <row r="170">
      <c r="A170" s="38" t="inlineStr">
        <is>
          <t>Bolt Greece</t>
        </is>
      </c>
      <c r="B170" s="38" t="inlineStr">
        <is>
          <t>Greece</t>
        </is>
      </c>
      <c r="C170" s="39" t="inlineStr">
        <is>
          <t>Naxos → Santorini (Thira)</t>
        </is>
      </c>
      <c r="D170" s="38" t="inlineStr">
        <is>
          <t>bolt</t>
        </is>
      </c>
      <c r="E170" s="40" t="inlineStr">
        <is>
          <t>bolt-greece</t>
        </is>
      </c>
      <c r="F170" s="41" t="n">
        <v>1</v>
      </c>
      <c r="G170" s="42" t="n">
        <v>50</v>
      </c>
      <c r="H170" s="35" t="n">
        <v>54</v>
      </c>
      <c r="I170" s="43" t="inlineStr">
        <is>
          <t>T2</t>
        </is>
      </c>
      <c r="J170" s="43" t="inlineStr">
        <is>
          <t>med</t>
        </is>
      </c>
      <c r="K170" s="29" t="n">
        <v>1</v>
      </c>
      <c r="L170" s="44">
        <f>60*G170/cruise_kt</f>
        <v/>
      </c>
      <c r="M170" s="44">
        <f>IF(B170="South Korea",G170/korea_charge_range_nm*korea_full_range_charge_min,0)</f>
        <v/>
      </c>
      <c r="N170" s="44">
        <f>IF(B170="South Korea",L170+korea_turn_min+korea_dwell_min+M170,L170+turn_min+dwell_min)</f>
        <v/>
      </c>
      <c r="O170" s="45">
        <f>IF(B170="South Korea",FLOOR(60*korea_service_hr/N170,1),MIN(15,FLOOR(60*service_hr/N170,1)))</f>
        <v/>
      </c>
      <c r="P170" s="45">
        <f>IF(ABS(MOD(ABS((365*mech_uptime*K170)),1)-0.5)&lt;1E-9,2*ROUND((365*mech_uptime*K170)/2,0),ROUND((365*mech_uptime*K170),0))</f>
        <v/>
      </c>
      <c r="Q170" s="46">
        <f>mech_uptime</f>
        <v/>
      </c>
      <c r="R170" s="46">
        <f>IF(AND(B170="South Korea",scenario="MID"),korea_mid_revleg,revleg_sel)</f>
        <v/>
      </c>
      <c r="S170" s="45">
        <f>IF(ABS(MOD(ABS((O170*P170*R170)),1)-0.5)&lt;1E-9,2*ROUND((O170*P170*R170)/2,0),ROUND((O170*P170*R170),0))</f>
        <v/>
      </c>
      <c r="T170" s="46">
        <f>IF(AND(B170="South Korea",scenario="MID"),korea_mid_load,load_sel)</f>
        <v/>
      </c>
      <c r="U170" s="47">
        <f>pax_cap*T170</f>
        <v/>
      </c>
      <c r="V170" s="45">
        <f>U170*S170</f>
        <v/>
      </c>
      <c r="W170" s="48">
        <f>H170*discount</f>
        <v/>
      </c>
      <c r="X170" s="49">
        <f>W170*V170</f>
        <v/>
      </c>
      <c r="Y170" s="49">
        <f>(battery/range_nm)*G170*S170*VLOOKUP(B170,country_opex,3,FALSE)</f>
        <v/>
      </c>
      <c r="Z170" s="49">
        <f>VLOOKUP(B170,country_opex,2,FALSE)*crew_factor</f>
        <v/>
      </c>
      <c r="AA170" s="49">
        <f>VLOOKUP(B170,country_opex,5,FALSE)</f>
        <v/>
      </c>
      <c r="AB170" s="49">
        <f>maint</f>
        <v/>
      </c>
      <c r="AC170" s="49">
        <f>VLOOKUP(B170,country_opex,7,FALSE)*ins_pct</f>
        <v/>
      </c>
      <c r="AD170" s="49">
        <f>charge_berth</f>
        <v/>
      </c>
      <c r="AE170" s="49">
        <f>Y170+Z170+AA170+AB170+AC170+AD170</f>
        <v/>
      </c>
      <c r="AF170" s="49">
        <f>VLOOKUP(B170,country_opex,7,FALSE)/dep_years</f>
        <v/>
      </c>
      <c r="AG170" s="49">
        <f>X170-AE170</f>
        <v/>
      </c>
      <c r="AH170" s="46">
        <f>IF(X170=0,"",AG170/X170)</f>
        <v/>
      </c>
      <c r="AI170" s="47">
        <f>IF(AG170&lt;=0,"",VLOOKUP(B170,country_opex,7,FALSE)/AG170)</f>
        <v/>
      </c>
      <c r="AJ170" s="44">
        <f>((G170*S170/diesel_nmpg)*diesel_co2pg-(battery/range_nm)*G170*S170*VLOOKUP(B170,country_opex,4,FALSE))/1000</f>
        <v/>
      </c>
      <c r="AK170" s="42" t="n"/>
      <c r="AL170" s="43" t="n"/>
      <c r="AM170" s="43" t="n"/>
      <c r="AN170" s="50" t="n">
        <v>0.1</v>
      </c>
      <c r="AO170" s="45">
        <f>IF(AK170="","",AK170*AN170)</f>
        <v/>
      </c>
      <c r="AP170" s="45">
        <f>IF(OR(AK170="",V170=0),"",MIN(IF(AX170="",9.9E+99,AX170),FLOOR(AO170/V170,1)))</f>
        <v/>
      </c>
      <c r="AQ170" s="49">
        <f>IF(AP170="","",AP170*IF(ABS(MOD(ABS((X170)),1)-0.5)&lt;1E-9,2*ROUND((X170)/2,0),ROUND((X170),0)))</f>
        <v/>
      </c>
      <c r="AR170" s="47">
        <f>IF(OR(AK170="",V170=0),"",MIN(IF(AX170="",9.9E+99,AX170),AO170/V170))</f>
        <v/>
      </c>
      <c r="AS170" s="49">
        <f>IF(AR170="","",AR170*IF(B170="South Korea",IF(ABS(MOD(ABS((X170)),1)-0.5)&lt;1E-9,2*ROUND((X170)/2,0),ROUND((X170),0)),X170))</f>
        <v/>
      </c>
      <c r="AT170" s="51" t="n"/>
      <c r="AU170" s="43" t="inlineStr">
        <is>
          <t>Estimated</t>
        </is>
      </c>
      <c r="AV170" s="52" t="n"/>
      <c r="AW170" s="52" t="n"/>
      <c r="AX170" s="53" t="n"/>
      <c r="AY170" s="54">
        <f>IF(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&lt;=0,"",VLOOKUP(B170,country_opex,7,FALSE)/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)</f>
        <v/>
      </c>
      <c r="AZ170" s="54">
        <f>IF(((W170*pax_cap*IF(B170="South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Korea",korea_mid_revleg,revleg_mid)),0))*VLOOKUP(B170,country_opex,3,FALSE))+Z170+AA170+AB170+AC170+AD170))&lt;=0,"",VLOOKUP(B170,country_opex,7,FALSE)/((W170*pax_cap*IF(B170="South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Korea",korea_mid_revleg,revleg_mid)),0))*VLOOKUP(B170,country_opex,3,FALSE))+Z170+AA170+AB170+AC170+AD170)))</f>
        <v/>
      </c>
      <c r="BA170" s="54">
        <f>IF(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&lt;=0,"",VLOOKUP(B170,country_opex,7,FALSE)/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)</f>
        <v/>
      </c>
      <c r="BB170" s="40" t="inlineStr">
        <is>
          <t>PREMIUM scheduled per-seat = fast-ferry Naxos-&gt;Santorini ~EUR 50 one-way (~$54); standard fast-ferry tier on the central-to-southern Cyclades leg. Approximate.</t>
        </is>
      </c>
      <c r="BC170" s="40" t="n"/>
      <c r="BD170" s="43" t="n"/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Middle Strait Jetty → Oralkatcha Jetty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0.7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IF(B171="South Korea",G171/korea_charge_range_nm*korea_full_range_charge_min,0)</f>
        <v/>
      </c>
      <c r="N171" s="44">
        <f>IF(B171="South Korea",L171+korea_turn_min+korea_dwell_min+M171,L171+turn_min+dwell_min)</f>
        <v/>
      </c>
      <c r="O171" s="45">
        <f>IF(B171="South Korea",FLOOR(60*korea_service_hr/N171,1),MIN(15,FLOOR(60*service_hr/N171,1)))</f>
        <v/>
      </c>
      <c r="P171" s="45">
        <f>IF(ABS(MOD(ABS((365*mech_uptime*K171)),1)-0.5)&lt;1E-9,2*ROUND((365*mech_uptime*K171)/2,0),ROUND((365*mech_uptime*K171),0))</f>
        <v/>
      </c>
      <c r="Q171" s="46">
        <f>mech_uptime</f>
        <v/>
      </c>
      <c r="R171" s="46">
        <f>IF(AND(B171="South Korea",scenario="MID"),korea_mid_revleg,revleg_sel)</f>
        <v/>
      </c>
      <c r="S171" s="45">
        <f>IF(ABS(MOD(ABS((O171*P171*R171)),1)-0.5)&lt;1E-9,2*ROUND((O171*P171*R171)/2,0),ROUND((O171*P171*R171),0))</f>
        <v/>
      </c>
      <c r="T171" s="46">
        <f>IF(AND(B171="South Korea",scenario="MID"),korea_mid_load,load_sel)</f>
        <v/>
      </c>
      <c r="U171" s="47">
        <f>pax_cap*T171</f>
        <v/>
      </c>
      <c r="V171" s="45">
        <f>U171*S171</f>
        <v/>
      </c>
      <c r="W171" s="48">
        <f>H171*discount</f>
        <v/>
      </c>
      <c r="X171" s="49">
        <f>W171*V171</f>
        <v/>
      </c>
      <c r="Y171" s="49">
        <f>(battery/range_nm)*G171*S171*VLOOKUP(B171,country_opex,3,FALSE)</f>
        <v/>
      </c>
      <c r="Z171" s="49">
        <f>VLOOKUP(B171,country_opex,2,FALSE)*crew_factor</f>
        <v/>
      </c>
      <c r="AA171" s="49">
        <f>VLOOKUP(B171,country_opex,5,FALSE)</f>
        <v/>
      </c>
      <c r="AB171" s="49">
        <f>maint</f>
        <v/>
      </c>
      <c r="AC171" s="49">
        <f>VLOOKUP(B171,country_opex,7,FALSE)*ins_pct</f>
        <v/>
      </c>
      <c r="AD171" s="49">
        <f>charge_berth</f>
        <v/>
      </c>
      <c r="AE171" s="49">
        <f>Y171+Z171+AA171+AB171+AC171+AD171</f>
        <v/>
      </c>
      <c r="AF171" s="49">
        <f>VLOOKUP(B171,country_opex,7,FALSE)/dep_years</f>
        <v/>
      </c>
      <c r="AG171" s="49">
        <f>X171-AE171</f>
        <v/>
      </c>
      <c r="AH171" s="46">
        <f>IF(X171=0,"",AG171/X171)</f>
        <v/>
      </c>
      <c r="AI171" s="47">
        <f>IF(AG171&lt;=0,"",VLOOKUP(B171,country_opex,7,FALSE)/AG171)</f>
        <v/>
      </c>
      <c r="AJ171" s="44">
        <f>((G171*S171/diesel_nmpg)*diesel_co2pg-(battery/range_nm)*G171*S171*VLOOKUP(B171,country_opex,4,FALSE))/1000</f>
        <v/>
      </c>
      <c r="AK171" s="42" t="n">
        <v>5000</v>
      </c>
      <c r="AL171" s="43" t="inlineStr">
        <is>
          <t>T3</t>
        </is>
      </c>
      <c r="AM171" s="43" t="inlineStr">
        <is>
          <t>med-low</t>
        </is>
      </c>
      <c r="AN171" s="50" t="n">
        <v>0.1</v>
      </c>
      <c r="AO171" s="45">
        <f>IF(AK171="","",AK171*AN171)</f>
        <v/>
      </c>
      <c r="AP171" s="45">
        <f>IF(OR(AK171="",V171=0),"",MIN(IF(AX171="",9.9E+99,AX171),FLOOR(AO171/V171,1)))</f>
        <v/>
      </c>
      <c r="AQ171" s="49">
        <f>IF(AP171="","",AP171*IF(ABS(MOD(ABS((X171)),1)-0.5)&lt;1E-9,2*ROUND((X171)/2,0),ROUND((X171),0)))</f>
        <v/>
      </c>
      <c r="AR171" s="47">
        <f>IF(OR(AK171="",V171=0),"",MIN(IF(AX171="",9.9E+99,AX171),AO171/V171))</f>
        <v/>
      </c>
      <c r="AS171" s="49">
        <f>IF(AR171="","",AR171*IF(B171="South Korea",IF(ABS(MOD(ABS((X171)),1)-0.5)&lt;1E-9,2*ROUND((X171)/2,0),ROUND((X171),0)),X171))</f>
        <v/>
      </c>
      <c r="AT171" s="51" t="n"/>
      <c r="AU171" s="43" t="inlineStr">
        <is>
          <t>Grounded</t>
        </is>
      </c>
      <c r="AV171" s="52" t="n"/>
      <c r="AW171" s="52" t="n"/>
      <c r="AX171" s="53" t="n"/>
      <c r="AY171" s="54">
        <f>IF(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&lt;=0,"",VLOOKUP(B171,country_opex,7,FALSE)/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)</f>
        <v/>
      </c>
      <c r="AZ171" s="54">
        <f>IF(((W171*pax_cap*IF(B171="South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Korea",korea_mid_revleg,revleg_mid)),0))*VLOOKUP(B171,country_opex,3,FALSE))+Z171+AA171+AB171+AC171+AD171))&lt;=0,"",VLOOKUP(B171,country_opex,7,FALSE)/((W171*pax_cap*IF(B171="South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Korea",korea_mid_revleg,revleg_mid)),0))*VLOOKUP(B171,country_opex,3,FALSE))+Z171+AA171+AB171+AC171+AD171)))</f>
        <v/>
      </c>
      <c r="BA171" s="54">
        <f>IF(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&lt;=0,"",VLOOKUP(B171,country_opex,7,FALSE)/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)</f>
        <v/>
      </c>
      <c r="BB171" s="40" t="inlineStr">
        <is>
          <t>handoff/INDIA-ECONOMICS-SIDECAR-V0-2026-06-20.json (andaman)</t>
        </is>
      </c>
      <c r="BC171" s="40" t="inlineStr">
        <is>
          <t>handoff/INDIA-ECONOMICS-SIDECAR-V0-2026-06-20.json (andaman)</t>
        </is>
      </c>
      <c r="BD171" s="43" t="inlineStr">
        <is>
          <t>rn-4d8588267a24</t>
        </is>
      </c>
    </row>
    <row r="172">
      <c r="A172" s="38" t="inlineStr">
        <is>
          <t>India Andaman Rapido</t>
        </is>
      </c>
      <c r="B172" s="38" t="inlineStr">
        <is>
          <t>India</t>
        </is>
      </c>
      <c r="C172" s="39" t="inlineStr">
        <is>
          <t>Junglighat Jetty → Port Blair</t>
        </is>
      </c>
      <c r="D172" s="38" t="inlineStr">
        <is>
          <t>rapido</t>
        </is>
      </c>
      <c r="E172" s="40" t="inlineStr">
        <is>
          <t>india-andaman-ola, india-andaman-rapido</t>
        </is>
      </c>
      <c r="F172" s="41" t="n">
        <v>2</v>
      </c>
      <c r="G172" s="42" t="n">
        <v>0.8</v>
      </c>
      <c r="H172" s="35" t="n">
        <v>22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IF(B172="South Korea",G172/korea_charge_range_nm*korea_full_range_charge_min,0)</f>
        <v/>
      </c>
      <c r="N172" s="44">
        <f>IF(B172="South Korea",L172+korea_turn_min+korea_dwell_min+M172,L172+turn_min+dwell_min)</f>
        <v/>
      </c>
      <c r="O172" s="45">
        <f>IF(B172="South Korea",FLOOR(60*korea_service_hr/N172,1),MIN(15,FLOOR(60*service_hr/N172,1)))</f>
        <v/>
      </c>
      <c r="P172" s="45">
        <f>IF(ABS(MOD(ABS((365*mech_uptime*K172)),1)-0.5)&lt;1E-9,2*ROUND((365*mech_uptime*K172)/2,0),ROUND((365*mech_uptime*K172),0))</f>
        <v/>
      </c>
      <c r="Q172" s="46">
        <f>mech_uptime</f>
        <v/>
      </c>
      <c r="R172" s="46">
        <f>IF(AND(B172="South Korea",scenario="MID"),korea_mid_revleg,revleg_sel)</f>
        <v/>
      </c>
      <c r="S172" s="45">
        <f>IF(ABS(MOD(ABS((O172*P172*R172)),1)-0.5)&lt;1E-9,2*ROUND((O172*P172*R172)/2,0),ROUND((O172*P172*R172),0))</f>
        <v/>
      </c>
      <c r="T172" s="46">
        <f>IF(AND(B172="South Korea",scenario="MID"),korea_mid_load,load_sel)</f>
        <v/>
      </c>
      <c r="U172" s="47">
        <f>pax_cap*T172</f>
        <v/>
      </c>
      <c r="V172" s="45">
        <f>U172*S172</f>
        <v/>
      </c>
      <c r="W172" s="48">
        <f>H172*discount</f>
        <v/>
      </c>
      <c r="X172" s="49">
        <f>W172*V172</f>
        <v/>
      </c>
      <c r="Y172" s="49">
        <f>(battery/range_nm)*G172*S172*VLOOKUP(B172,country_opex,3,FALSE)</f>
        <v/>
      </c>
      <c r="Z172" s="49">
        <f>VLOOKUP(B172,country_opex,2,FALSE)*crew_factor</f>
        <v/>
      </c>
      <c r="AA172" s="49">
        <f>VLOOKUP(B172,country_opex,5,FALSE)</f>
        <v/>
      </c>
      <c r="AB172" s="49">
        <f>maint</f>
        <v/>
      </c>
      <c r="AC172" s="49">
        <f>VLOOKUP(B172,country_opex,7,FALSE)*ins_pct</f>
        <v/>
      </c>
      <c r="AD172" s="49">
        <f>charge_berth</f>
        <v/>
      </c>
      <c r="AE172" s="49">
        <f>Y172+Z172+AA172+AB172+AC172+AD172</f>
        <v/>
      </c>
      <c r="AF172" s="49">
        <f>VLOOKUP(B172,country_opex,7,FALSE)/dep_years</f>
        <v/>
      </c>
      <c r="AG172" s="49">
        <f>X172-AE172</f>
        <v/>
      </c>
      <c r="AH172" s="46">
        <f>IF(X172=0,"",AG172/X172)</f>
        <v/>
      </c>
      <c r="AI172" s="47">
        <f>IF(AG172&lt;=0,"",VLOOKUP(B172,country_opex,7,FALSE)/AG172)</f>
        <v/>
      </c>
      <c r="AJ172" s="44">
        <f>((G172*S172/diesel_nmpg)*diesel_co2pg-(battery/range_nm)*G172*S172*VLOOKUP(B172,country_opex,4,FALSE))/1000</f>
        <v/>
      </c>
      <c r="AK172" s="42" t="n">
        <v>5000</v>
      </c>
      <c r="AL172" s="43" t="inlineStr">
        <is>
          <t>T3</t>
        </is>
      </c>
      <c r="AM172" s="43" t="inlineStr">
        <is>
          <t>med-low</t>
        </is>
      </c>
      <c r="AN172" s="50" t="n">
        <v>0.1</v>
      </c>
      <c r="AO172" s="45">
        <f>IF(AK172="","",AK172*AN172)</f>
        <v/>
      </c>
      <c r="AP172" s="45">
        <f>IF(OR(AK172="",V172=0),"",MIN(IF(AX172="",9.9E+99,AX172),FLOOR(AO172/V172,1)))</f>
        <v/>
      </c>
      <c r="AQ172" s="49">
        <f>IF(AP172="","",AP172*IF(ABS(MOD(ABS((X172)),1)-0.5)&lt;1E-9,2*ROUND((X172)/2,0),ROUND((X172),0)))</f>
        <v/>
      </c>
      <c r="AR172" s="47">
        <f>IF(OR(AK172="",V172=0),"",MIN(IF(AX172="",9.9E+99,AX172),AO172/V172))</f>
        <v/>
      </c>
      <c r="AS172" s="49">
        <f>IF(AR172="","",AR172*IF(B172="South Korea",IF(ABS(MOD(ABS((X172)),1)-0.5)&lt;1E-9,2*ROUND((X172)/2,0),ROUND((X172),0)),X172))</f>
        <v/>
      </c>
      <c r="AT172" s="51" t="n"/>
      <c r="AU172" s="43" t="inlineStr">
        <is>
          <t>Grounded</t>
        </is>
      </c>
      <c r="AV172" s="52" t="n"/>
      <c r="AW172" s="52" t="n"/>
      <c r="AX172" s="53" t="n"/>
      <c r="AY172" s="54">
        <f>IF(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&lt;=0,"",VLOOKUP(B172,country_opex,7,FALSE)/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)</f>
        <v/>
      </c>
      <c r="AZ172" s="54">
        <f>IF(((W172*pax_cap*IF(B172="South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Korea",korea_mid_revleg,revleg_mid)),0))*VLOOKUP(B172,country_opex,3,FALSE))+Z172+AA172+AB172+AC172+AD172))&lt;=0,"",VLOOKUP(B172,country_opex,7,FALSE)/((W172*pax_cap*IF(B172="South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Korea",korea_mid_revleg,revleg_mid)),0))*VLOOKUP(B172,country_opex,3,FALSE))+Z172+AA172+AB172+AC172+AD172)))</f>
        <v/>
      </c>
      <c r="BA172" s="54">
        <f>IF(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&lt;=0,"",VLOOKUP(B172,country_opex,7,FALSE)/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)</f>
        <v/>
      </c>
      <c r="BB172" s="40" t="inlineStr">
        <is>
          <t>handoff/INDIA-ECONOMICS-SIDECAR-V0-2026-06-20.json (andaman)</t>
        </is>
      </c>
      <c r="BC172" s="40" t="inlineStr">
        <is>
          <t>handoff/INDIA-ECONOMICS-SIDECAR-V0-2026-06-20.json (andaman)</t>
        </is>
      </c>
      <c r="BD172" s="43" t="inlineStr">
        <is>
          <t>rn-f6d2eee38e08</t>
        </is>
      </c>
    </row>
    <row r="173">
      <c r="A173" s="38" t="inlineStr">
        <is>
          <t>India Kolkata Rapido</t>
        </is>
      </c>
      <c r="B173" s="38" t="inlineStr">
        <is>
          <t>India</t>
        </is>
      </c>
      <c r="C173" s="39" t="inlineStr">
        <is>
          <t>Howrah Ferry Ghat → Fairlie Place Ferry</t>
        </is>
      </c>
      <c r="D173" s="38" t="inlineStr">
        <is>
          <t>rapido</t>
        </is>
      </c>
      <c r="E173" s="40" t="inlineStr">
        <is>
          <t>india-kolkata-ola, india-kolkata-rapido, india-kolkata-uber-india</t>
        </is>
      </c>
      <c r="F173" s="41" t="n">
        <v>3</v>
      </c>
      <c r="G173" s="42" t="n">
        <v>0.8</v>
      </c>
      <c r="H173" s="35" t="n">
        <v>18</v>
      </c>
      <c r="I173" s="43" t="n"/>
      <c r="J173" s="43" t="n"/>
      <c r="K173" s="29" t="n">
        <v>1</v>
      </c>
      <c r="L173" s="44">
        <f>60*G173/cruise_kt</f>
        <v/>
      </c>
      <c r="M173" s="44">
        <f>IF(B173="South Korea",G173/korea_charge_range_nm*korea_full_range_charge_min,0)</f>
        <v/>
      </c>
      <c r="N173" s="44">
        <f>IF(B173="South Korea",L173+korea_turn_min+korea_dwell_min+M173,L173+turn_min+dwell_min)</f>
        <v/>
      </c>
      <c r="O173" s="45">
        <f>IF(B173="South Korea",FLOOR(60*korea_service_hr/N173,1),MIN(15,FLOOR(60*service_hr/N173,1)))</f>
        <v/>
      </c>
      <c r="P173" s="45">
        <f>IF(ABS(MOD(ABS((365*mech_uptime*K173)),1)-0.5)&lt;1E-9,2*ROUND((365*mech_uptime*K173)/2,0),ROUND((365*mech_uptime*K173),0))</f>
        <v/>
      </c>
      <c r="Q173" s="46">
        <f>mech_uptime</f>
        <v/>
      </c>
      <c r="R173" s="46">
        <f>IF(AND(B173="South Korea",scenario="MID"),korea_mid_revleg,revleg_sel)</f>
        <v/>
      </c>
      <c r="S173" s="45">
        <f>IF(ABS(MOD(ABS((O173*P173*R173)),1)-0.5)&lt;1E-9,2*ROUND((O173*P173*R173)/2,0),ROUND((O173*P173*R173),0))</f>
        <v/>
      </c>
      <c r="T173" s="46">
        <f>IF(AND(B173="South Korea",scenario="MID"),korea_mid_load,load_sel)</f>
        <v/>
      </c>
      <c r="U173" s="47">
        <f>pax_cap*T173</f>
        <v/>
      </c>
      <c r="V173" s="45">
        <f>U173*S173</f>
        <v/>
      </c>
      <c r="W173" s="48">
        <f>H173*discount</f>
        <v/>
      </c>
      <c r="X173" s="49">
        <f>W173*V173</f>
        <v/>
      </c>
      <c r="Y173" s="49">
        <f>(battery/range_nm)*G173*S173*VLOOKUP(B173,country_opex,3,FALSE)</f>
        <v/>
      </c>
      <c r="Z173" s="49">
        <f>VLOOKUP(B173,country_opex,2,FALSE)*crew_factor</f>
        <v/>
      </c>
      <c r="AA173" s="49">
        <f>VLOOKUP(B173,country_opex,5,FALSE)</f>
        <v/>
      </c>
      <c r="AB173" s="49">
        <f>maint</f>
        <v/>
      </c>
      <c r="AC173" s="49">
        <f>VLOOKUP(B173,country_opex,7,FALSE)*ins_pct</f>
        <v/>
      </c>
      <c r="AD173" s="49">
        <f>charge_berth</f>
        <v/>
      </c>
      <c r="AE173" s="49">
        <f>Y173+Z173+AA173+AB173+AC173+AD173</f>
        <v/>
      </c>
      <c r="AF173" s="49">
        <f>VLOOKUP(B173,country_opex,7,FALSE)/dep_years</f>
        <v/>
      </c>
      <c r="AG173" s="49">
        <f>X173-AE173</f>
        <v/>
      </c>
      <c r="AH173" s="46">
        <f>IF(X173=0,"",AG173/X173)</f>
        <v/>
      </c>
      <c r="AI173" s="47">
        <f>IF(AG173&lt;=0,"",VLOOKUP(B173,country_opex,7,FALSE)/AG173)</f>
        <v/>
      </c>
      <c r="AJ173" s="44">
        <f>((G173*S173/diesel_nmpg)*diesel_co2pg-(battery/range_nm)*G173*S173*VLOOKUP(B173,country_opex,4,FALSE))/1000</f>
        <v/>
      </c>
      <c r="AK173" s="42" t="n">
        <v>1600000</v>
      </c>
      <c r="AL173" s="43" t="n"/>
      <c r="AM173" s="43" t="n"/>
      <c r="AN173" s="50" t="n">
        <v>0.1</v>
      </c>
      <c r="AO173" s="45">
        <f>IF(AK173="","",AK173*AN173)</f>
        <v/>
      </c>
      <c r="AP173" s="45">
        <f>IF(OR(AK173="",V173=0),"",MIN(IF(AX173="",9.9E+99,AX173),FLOOR(AO173/V173,1)))</f>
        <v/>
      </c>
      <c r="AQ173" s="49">
        <f>IF(AP173="","",AP173*IF(ABS(MOD(ABS((X173)),1)-0.5)&lt;1E-9,2*ROUND((X173)/2,0),ROUND((X173),0)))</f>
        <v/>
      </c>
      <c r="AR173" s="47">
        <f>IF(OR(AK173="",V173=0),"",MIN(IF(AX173="",9.9E+99,AX173),AO173/V173))</f>
        <v/>
      </c>
      <c r="AS173" s="49">
        <f>IF(AR173="","",AR173*IF(B173="South Korea",IF(ABS(MOD(ABS((X173)),1)-0.5)&lt;1E-9,2*ROUND((X173)/2,0),ROUND((X173),0)),X173))</f>
        <v/>
      </c>
      <c r="AT173" s="51" t="n"/>
      <c r="AU173" s="43" t="inlineStr">
        <is>
          <t>Grounded</t>
        </is>
      </c>
      <c r="AV173" s="52" t="n"/>
      <c r="AW173" s="52" t="n"/>
      <c r="AX173" s="53" t="n"/>
      <c r="AY173" s="54">
        <f>IF(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&lt;=0,"",VLOOKUP(B173,country_opex,7,FALSE)/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)</f>
        <v/>
      </c>
      <c r="AZ173" s="54">
        <f>IF(((W173*pax_cap*IF(B173="South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Korea",korea_mid_revleg,revleg_mid)),0))*VLOOKUP(B173,country_opex,3,FALSE))+Z173+AA173+AB173+AC173+AD173))&lt;=0,"",VLOOKUP(B173,country_opex,7,FALSE)/((W173*pax_cap*IF(B173="South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Korea",korea_mid_revleg,revleg_mid)),0))*VLOOKUP(B173,country_opex,3,FALSE))+Z173+AA173+AB173+AC173+AD173)))</f>
        <v/>
      </c>
      <c r="BA173" s="54">
        <f>IF(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&lt;=0,"",VLOOKUP(B173,country_opex,7,FALSE)/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)</f>
        <v/>
      </c>
      <c r="BB173" s="40" t="inlineStr">
        <is>
          <t xml:space="preserve">[LB-255 PREMIUM RE-FARE: subsidized comparable $2.5 lifted to premium on-demand floor $18.0] </t>
        </is>
      </c>
      <c r="BC173" s="40" t="n"/>
      <c r="BD173" s="43" t="inlineStr">
        <is>
          <t>rn-97202b12d2ce</t>
        </is>
      </c>
    </row>
    <row r="174">
      <c r="A174" s="38" t="inlineStr">
        <is>
          <t>India Andaman Rapido</t>
        </is>
      </c>
      <c r="B174" s="38" t="inlineStr">
        <is>
          <t>India</t>
        </is>
      </c>
      <c r="C174" s="39" t="inlineStr">
        <is>
          <t>Marina Park → Aberdeen Jetty</t>
        </is>
      </c>
      <c r="D174" s="38" t="inlineStr">
        <is>
          <t>rapido</t>
        </is>
      </c>
      <c r="E174" s="40" t="inlineStr">
        <is>
          <t>india-andaman-ola, india-andaman-rapido</t>
        </is>
      </c>
      <c r="F174" s="41" t="n">
        <v>2</v>
      </c>
      <c r="G174" s="42" t="n">
        <v>0.9</v>
      </c>
      <c r="H174" s="35" t="n">
        <v>22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IF(B174="South Korea",G174/korea_charge_range_nm*korea_full_range_charge_min,0)</f>
        <v/>
      </c>
      <c r="N174" s="44">
        <f>IF(B174="South Korea",L174+korea_turn_min+korea_dwell_min+M174,L174+turn_min+dwell_min)</f>
        <v/>
      </c>
      <c r="O174" s="45">
        <f>IF(B174="South Korea",FLOOR(60*korea_service_hr/N174,1),MIN(15,FLOOR(60*service_hr/N174,1)))</f>
        <v/>
      </c>
      <c r="P174" s="45">
        <f>IF(ABS(MOD(ABS((365*mech_uptime*K174)),1)-0.5)&lt;1E-9,2*ROUND((365*mech_uptime*K174)/2,0),ROUND((365*mech_uptime*K174),0))</f>
        <v/>
      </c>
      <c r="Q174" s="46">
        <f>mech_uptime</f>
        <v/>
      </c>
      <c r="R174" s="46">
        <f>IF(AND(B174="South Korea",scenario="MID"),korea_mid_revleg,revleg_sel)</f>
        <v/>
      </c>
      <c r="S174" s="45">
        <f>IF(ABS(MOD(ABS((O174*P174*R174)),1)-0.5)&lt;1E-9,2*ROUND((O174*P174*R174)/2,0),ROUND((O174*P174*R174),0))</f>
        <v/>
      </c>
      <c r="T174" s="46">
        <f>IF(AND(B174="South Korea",scenario="MID"),korea_mid_load,load_sel)</f>
        <v/>
      </c>
      <c r="U174" s="47">
        <f>pax_cap*T174</f>
        <v/>
      </c>
      <c r="V174" s="45">
        <f>U174*S174</f>
        <v/>
      </c>
      <c r="W174" s="48">
        <f>H174*discount</f>
        <v/>
      </c>
      <c r="X174" s="49">
        <f>W174*V174</f>
        <v/>
      </c>
      <c r="Y174" s="49">
        <f>(battery/range_nm)*G174*S174*VLOOKUP(B174,country_opex,3,FALSE)</f>
        <v/>
      </c>
      <c r="Z174" s="49">
        <f>VLOOKUP(B174,country_opex,2,FALSE)*crew_factor</f>
        <v/>
      </c>
      <c r="AA174" s="49">
        <f>VLOOKUP(B174,country_opex,5,FALSE)</f>
        <v/>
      </c>
      <c r="AB174" s="49">
        <f>maint</f>
        <v/>
      </c>
      <c r="AC174" s="49">
        <f>VLOOKUP(B174,country_opex,7,FALSE)*ins_pct</f>
        <v/>
      </c>
      <c r="AD174" s="49">
        <f>charge_berth</f>
        <v/>
      </c>
      <c r="AE174" s="49">
        <f>Y174+Z174+AA174+AB174+AC174+AD174</f>
        <v/>
      </c>
      <c r="AF174" s="49">
        <f>VLOOKUP(B174,country_opex,7,FALSE)/dep_years</f>
        <v/>
      </c>
      <c r="AG174" s="49">
        <f>X174-AE174</f>
        <v/>
      </c>
      <c r="AH174" s="46">
        <f>IF(X174=0,"",AG174/X174)</f>
        <v/>
      </c>
      <c r="AI174" s="47">
        <f>IF(AG174&lt;=0,"",VLOOKUP(B174,country_opex,7,FALSE)/AG174)</f>
        <v/>
      </c>
      <c r="AJ174" s="44">
        <f>((G174*S174/diesel_nmpg)*diesel_co2pg-(battery/range_nm)*G174*S174*VLOOKUP(B174,country_opex,4,FALSE))/1000</f>
        <v/>
      </c>
      <c r="AK174" s="42" t="n">
        <v>5000</v>
      </c>
      <c r="AL174" s="43" t="inlineStr">
        <is>
          <t>T3</t>
        </is>
      </c>
      <c r="AM174" s="43" t="inlineStr">
        <is>
          <t>med-low</t>
        </is>
      </c>
      <c r="AN174" s="50" t="n">
        <v>0.1</v>
      </c>
      <c r="AO174" s="45">
        <f>IF(AK174="","",AK174*AN174)</f>
        <v/>
      </c>
      <c r="AP174" s="45">
        <f>IF(OR(AK174="",V174=0),"",MIN(IF(AX174="",9.9E+99,AX174),FLOOR(AO174/V174,1)))</f>
        <v/>
      </c>
      <c r="AQ174" s="49">
        <f>IF(AP174="","",AP174*IF(ABS(MOD(ABS((X174)),1)-0.5)&lt;1E-9,2*ROUND((X174)/2,0),ROUND((X174),0)))</f>
        <v/>
      </c>
      <c r="AR174" s="47">
        <f>IF(OR(AK174="",V174=0),"",MIN(IF(AX174="",9.9E+99,AX174),AO174/V174))</f>
        <v/>
      </c>
      <c r="AS174" s="49">
        <f>IF(AR174="","",AR174*IF(B174="South Korea",IF(ABS(MOD(ABS((X174)),1)-0.5)&lt;1E-9,2*ROUND((X174)/2,0),ROUND((X174),0)),X174))</f>
        <v/>
      </c>
      <c r="AT174" s="51" t="n"/>
      <c r="AU174" s="43" t="inlineStr">
        <is>
          <t>Grounded</t>
        </is>
      </c>
      <c r="AV174" s="52" t="n"/>
      <c r="AW174" s="52" t="n"/>
      <c r="AX174" s="53" t="n"/>
      <c r="AY174" s="54">
        <f>IF(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&lt;=0,"",VLOOKUP(B174,country_opex,7,FALSE)/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)</f>
        <v/>
      </c>
      <c r="AZ174" s="54">
        <f>IF(((W174*pax_cap*IF(B174="South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Korea",korea_mid_revleg,revleg_mid)),0))*VLOOKUP(B174,country_opex,3,FALSE))+Z174+AA174+AB174+AC174+AD174))&lt;=0,"",VLOOKUP(B174,country_opex,7,FALSE)/((W174*pax_cap*IF(B174="South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Korea",korea_mid_revleg,revleg_mid)),0))*VLOOKUP(B174,country_opex,3,FALSE))+Z174+AA174+AB174+AC174+AD174)))</f>
        <v/>
      </c>
      <c r="BA174" s="54">
        <f>IF(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&lt;=0,"",VLOOKUP(B174,country_opex,7,FALSE)/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)</f>
        <v/>
      </c>
      <c r="BB174" s="40" t="inlineStr">
        <is>
          <t>handoff/INDIA-ECONOMICS-SIDECAR-V0-2026-06-20.json (andaman)</t>
        </is>
      </c>
      <c r="BC174" s="40" t="inlineStr">
        <is>
          <t>handoff/INDIA-ECONOMICS-SIDECAR-V0-2026-06-20.json (andaman)</t>
        </is>
      </c>
      <c r="BD174" s="43" t="inlineStr">
        <is>
          <t>rn-3123e448af64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Marina View Point → Aberdeen Jetty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0.9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IF(B175="South Korea",G175/korea_charge_range_nm*korea_full_range_charge_min,0)</f>
        <v/>
      </c>
      <c r="N175" s="44">
        <f>IF(B175="South Korea",L175+korea_turn_min+korea_dwell_min+M175,L175+turn_min+dwell_min)</f>
        <v/>
      </c>
      <c r="O175" s="45">
        <f>IF(B175="South Korea",FLOOR(60*korea_service_hr/N175,1),MIN(15,FLOOR(60*service_hr/N175,1)))</f>
        <v/>
      </c>
      <c r="P175" s="45">
        <f>IF(ABS(MOD(ABS((365*mech_uptime*K175)),1)-0.5)&lt;1E-9,2*ROUND((365*mech_uptime*K175)/2,0),ROUND((365*mech_uptime*K175),0))</f>
        <v/>
      </c>
      <c r="Q175" s="46">
        <f>mech_uptime</f>
        <v/>
      </c>
      <c r="R175" s="46">
        <f>IF(AND(B175="South Korea",scenario="MID"),korea_mid_revleg,revleg_sel)</f>
        <v/>
      </c>
      <c r="S175" s="45">
        <f>IF(ABS(MOD(ABS((O175*P175*R175)),1)-0.5)&lt;1E-9,2*ROUND((O175*P175*R175)/2,0),ROUND((O175*P175*R175),0))</f>
        <v/>
      </c>
      <c r="T175" s="46">
        <f>IF(AND(B175="South Korea",scenario="MID"),korea_mid_load,load_sel)</f>
        <v/>
      </c>
      <c r="U175" s="47">
        <f>pax_cap*T175</f>
        <v/>
      </c>
      <c r="V175" s="45">
        <f>U175*S175</f>
        <v/>
      </c>
      <c r="W175" s="48">
        <f>H175*discount</f>
        <v/>
      </c>
      <c r="X175" s="49">
        <f>W175*V175</f>
        <v/>
      </c>
      <c r="Y175" s="49">
        <f>(battery/range_nm)*G175*S175*VLOOKUP(B175,country_opex,3,FALSE)</f>
        <v/>
      </c>
      <c r="Z175" s="49">
        <f>VLOOKUP(B175,country_opex,2,FALSE)*crew_factor</f>
        <v/>
      </c>
      <c r="AA175" s="49">
        <f>VLOOKUP(B175,country_opex,5,FALSE)</f>
        <v/>
      </c>
      <c r="AB175" s="49">
        <f>maint</f>
        <v/>
      </c>
      <c r="AC175" s="49">
        <f>VLOOKUP(B175,country_opex,7,FALSE)*ins_pct</f>
        <v/>
      </c>
      <c r="AD175" s="49">
        <f>charge_berth</f>
        <v/>
      </c>
      <c r="AE175" s="49">
        <f>Y175+Z175+AA175+AB175+AC175+AD175</f>
        <v/>
      </c>
      <c r="AF175" s="49">
        <f>VLOOKUP(B175,country_opex,7,FALSE)/dep_years</f>
        <v/>
      </c>
      <c r="AG175" s="49">
        <f>X175-AE175</f>
        <v/>
      </c>
      <c r="AH175" s="46">
        <f>IF(X175=0,"",AG175/X175)</f>
        <v/>
      </c>
      <c r="AI175" s="47">
        <f>IF(AG175&lt;=0,"",VLOOKUP(B175,country_opex,7,FALSE)/AG175)</f>
        <v/>
      </c>
      <c r="AJ175" s="44">
        <f>((G175*S175/diesel_nmpg)*diesel_co2pg-(battery/range_nm)*G175*S175*VLOOKUP(B175,country_opex,4,FALSE))/1000</f>
        <v/>
      </c>
      <c r="AK175" s="42" t="n">
        <v>5000</v>
      </c>
      <c r="AL175" s="43" t="inlineStr">
        <is>
          <t>T3</t>
        </is>
      </c>
      <c r="AM175" s="43" t="inlineStr">
        <is>
          <t>med-low</t>
        </is>
      </c>
      <c r="AN175" s="50" t="n">
        <v>0.1</v>
      </c>
      <c r="AO175" s="45">
        <f>IF(AK175="","",AK175*AN175)</f>
        <v/>
      </c>
      <c r="AP175" s="45">
        <f>IF(OR(AK175="",V175=0),"",MIN(IF(AX175="",9.9E+99,AX175),FLOOR(AO175/V175,1)))</f>
        <v/>
      </c>
      <c r="AQ175" s="49">
        <f>IF(AP175="","",AP175*IF(ABS(MOD(ABS((X175)),1)-0.5)&lt;1E-9,2*ROUND((X175)/2,0),ROUND((X175),0)))</f>
        <v/>
      </c>
      <c r="AR175" s="47">
        <f>IF(OR(AK175="",V175=0),"",MIN(IF(AX175="",9.9E+99,AX175),AO175/V175))</f>
        <v/>
      </c>
      <c r="AS175" s="49">
        <f>IF(AR175="","",AR175*IF(B175="South Korea",IF(ABS(MOD(ABS((X175)),1)-0.5)&lt;1E-9,2*ROUND((X175)/2,0),ROUND((X175),0)),X175))</f>
        <v/>
      </c>
      <c r="AT175" s="51" t="n"/>
      <c r="AU175" s="43" t="inlineStr">
        <is>
          <t>Grounded</t>
        </is>
      </c>
      <c r="AV175" s="52" t="n"/>
      <c r="AW175" s="52" t="n"/>
      <c r="AX175" s="53" t="n"/>
      <c r="AY175" s="54">
        <f>IF(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&lt;=0,"",VLOOKUP(B175,country_opex,7,FALSE)/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)</f>
        <v/>
      </c>
      <c r="AZ175" s="54">
        <f>IF(((W175*pax_cap*IF(B175="South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Korea",korea_mid_revleg,revleg_mid)),0))*VLOOKUP(B175,country_opex,3,FALSE))+Z175+AA175+AB175+AC175+AD175))&lt;=0,"",VLOOKUP(B175,country_opex,7,FALSE)/((W175*pax_cap*IF(B175="South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Korea",korea_mid_revleg,revleg_mid)),0))*VLOOKUP(B175,country_opex,3,FALSE))+Z175+AA175+AB175+AC175+AD175)))</f>
        <v/>
      </c>
      <c r="BA175" s="54">
        <f>IF(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&lt;=0,"",VLOOKUP(B175,country_opex,7,FALSE)/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)</f>
        <v/>
      </c>
      <c r="BB175" s="40" t="inlineStr">
        <is>
          <t>handoff/INDIA-ECONOMICS-SIDECAR-V0-2026-06-20.json (andaman)</t>
        </is>
      </c>
      <c r="BC175" s="40" t="inlineStr">
        <is>
          <t>handoff/INDIA-ECONOMICS-SIDECAR-V0-2026-06-20.json (andaman)</t>
        </is>
      </c>
      <c r="BD175" s="43" t="inlineStr">
        <is>
          <t>rn-f58a96617b49</t>
        </is>
      </c>
    </row>
    <row r="176">
      <c r="A176" s="38" t="inlineStr">
        <is>
          <t>India Kolkata Rapido</t>
        </is>
      </c>
      <c r="B176" s="38" t="inlineStr">
        <is>
          <t>India</t>
        </is>
      </c>
      <c r="C176" s="39" t="inlineStr">
        <is>
          <t>Howrah Ferry Ghat → Millennium Park Jetty</t>
        </is>
      </c>
      <c r="D176" s="38" t="inlineStr">
        <is>
          <t>rapido</t>
        </is>
      </c>
      <c r="E176" s="40" t="inlineStr">
        <is>
          <t>india-kolkata-ola, india-kolkata-rapido, india-kolkata-uber-india</t>
        </is>
      </c>
      <c r="F176" s="41" t="n">
        <v>3</v>
      </c>
      <c r="G176" s="42" t="n">
        <v>0.9</v>
      </c>
      <c r="H176" s="35" t="n">
        <v>18</v>
      </c>
      <c r="I176" s="43" t="n"/>
      <c r="J176" s="43" t="n"/>
      <c r="K176" s="29" t="n">
        <v>1</v>
      </c>
      <c r="L176" s="44">
        <f>60*G176/cruise_kt</f>
        <v/>
      </c>
      <c r="M176" s="44">
        <f>IF(B176="South Korea",G176/korea_charge_range_nm*korea_full_range_charge_min,0)</f>
        <v/>
      </c>
      <c r="N176" s="44">
        <f>IF(B176="South Korea",L176+korea_turn_min+korea_dwell_min+M176,L176+turn_min+dwell_min)</f>
        <v/>
      </c>
      <c r="O176" s="45">
        <f>IF(B176="South Korea",FLOOR(60*korea_service_hr/N176,1),MIN(15,FLOOR(60*service_hr/N176,1)))</f>
        <v/>
      </c>
      <c r="P176" s="45">
        <f>IF(ABS(MOD(ABS((365*mech_uptime*K176)),1)-0.5)&lt;1E-9,2*ROUND((365*mech_uptime*K176)/2,0),ROUND((365*mech_uptime*K176),0))</f>
        <v/>
      </c>
      <c r="Q176" s="46">
        <f>mech_uptime</f>
        <v/>
      </c>
      <c r="R176" s="46">
        <f>IF(AND(B176="South Korea",scenario="MID"),korea_mid_revleg,revleg_sel)</f>
        <v/>
      </c>
      <c r="S176" s="45">
        <f>IF(ABS(MOD(ABS((O176*P176*R176)),1)-0.5)&lt;1E-9,2*ROUND((O176*P176*R176)/2,0),ROUND((O176*P176*R176),0))</f>
        <v/>
      </c>
      <c r="T176" s="46">
        <f>IF(AND(B176="South Korea",scenario="MID"),korea_mid_load,load_sel)</f>
        <v/>
      </c>
      <c r="U176" s="47">
        <f>pax_cap*T176</f>
        <v/>
      </c>
      <c r="V176" s="45">
        <f>U176*S176</f>
        <v/>
      </c>
      <c r="W176" s="48">
        <f>H176*discount</f>
        <v/>
      </c>
      <c r="X176" s="49">
        <f>W176*V176</f>
        <v/>
      </c>
      <c r="Y176" s="49">
        <f>(battery/range_nm)*G176*S176*VLOOKUP(B176,country_opex,3,FALSE)</f>
        <v/>
      </c>
      <c r="Z176" s="49">
        <f>VLOOKUP(B176,country_opex,2,FALSE)*crew_factor</f>
        <v/>
      </c>
      <c r="AA176" s="49">
        <f>VLOOKUP(B176,country_opex,5,FALSE)</f>
        <v/>
      </c>
      <c r="AB176" s="49">
        <f>maint</f>
        <v/>
      </c>
      <c r="AC176" s="49">
        <f>VLOOKUP(B176,country_opex,7,FALSE)*ins_pct</f>
        <v/>
      </c>
      <c r="AD176" s="49">
        <f>charge_berth</f>
        <v/>
      </c>
      <c r="AE176" s="49">
        <f>Y176+Z176+AA176+AB176+AC176+AD176</f>
        <v/>
      </c>
      <c r="AF176" s="49">
        <f>VLOOKUP(B176,country_opex,7,FALSE)/dep_years</f>
        <v/>
      </c>
      <c r="AG176" s="49">
        <f>X176-AE176</f>
        <v/>
      </c>
      <c r="AH176" s="46">
        <f>IF(X176=0,"",AG176/X176)</f>
        <v/>
      </c>
      <c r="AI176" s="47">
        <f>IF(AG176&lt;=0,"",VLOOKUP(B176,country_opex,7,FALSE)/AG176)</f>
        <v/>
      </c>
      <c r="AJ176" s="44">
        <f>((G176*S176/diesel_nmpg)*diesel_co2pg-(battery/range_nm)*G176*S176*VLOOKUP(B176,country_opex,4,FALSE))/1000</f>
        <v/>
      </c>
      <c r="AK176" s="42" t="n">
        <v>1600000</v>
      </c>
      <c r="AL176" s="43" t="n"/>
      <c r="AM176" s="43" t="n"/>
      <c r="AN176" s="50" t="n">
        <v>0.1</v>
      </c>
      <c r="AO176" s="45">
        <f>IF(AK176="","",AK176*AN176)</f>
        <v/>
      </c>
      <c r="AP176" s="45">
        <f>IF(OR(AK176="",V176=0),"",MIN(IF(AX176="",9.9E+99,AX176),FLOOR(AO176/V176,1)))</f>
        <v/>
      </c>
      <c r="AQ176" s="49">
        <f>IF(AP176="","",AP176*IF(ABS(MOD(ABS((X176)),1)-0.5)&lt;1E-9,2*ROUND((X176)/2,0),ROUND((X176),0)))</f>
        <v/>
      </c>
      <c r="AR176" s="47">
        <f>IF(OR(AK176="",V176=0),"",MIN(IF(AX176="",9.9E+99,AX176),AO176/V176))</f>
        <v/>
      </c>
      <c r="AS176" s="49">
        <f>IF(AR176="","",AR176*IF(B176="South Korea",IF(ABS(MOD(ABS((X176)),1)-0.5)&lt;1E-9,2*ROUND((X176)/2,0),ROUND((X176),0)),X176))</f>
        <v/>
      </c>
      <c r="AT176" s="51" t="n"/>
      <c r="AU176" s="43" t="inlineStr">
        <is>
          <t>Grounded</t>
        </is>
      </c>
      <c r="AV176" s="52" t="n"/>
      <c r="AW176" s="52" t="n"/>
      <c r="AX176" s="53" t="n"/>
      <c r="AY176" s="54">
        <f>IF(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&lt;=0,"",VLOOKUP(B176,country_opex,7,FALSE)/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)</f>
        <v/>
      </c>
      <c r="AZ176" s="54">
        <f>IF(((W176*pax_cap*IF(B176="South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Korea",korea_mid_revleg,revleg_mid)),0))*VLOOKUP(B176,country_opex,3,FALSE))+Z176+AA176+AB176+AC176+AD176))&lt;=0,"",VLOOKUP(B176,country_opex,7,FALSE)/((W176*pax_cap*IF(B176="South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Korea",korea_mid_revleg,revleg_mid)),0))*VLOOKUP(B176,country_opex,3,FALSE))+Z176+AA176+AB176+AC176+AD176)))</f>
        <v/>
      </c>
      <c r="BA176" s="54">
        <f>IF(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&lt;=0,"",VLOOKUP(B176,country_opex,7,FALSE)/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)</f>
        <v/>
      </c>
      <c r="BB176" s="40" t="inlineStr">
        <is>
          <t xml:space="preserve">[LB-255 PREMIUM RE-FARE: subsidized comparable $2.5 lifted to premium on-demand floor $18.0] </t>
        </is>
      </c>
      <c r="BC176" s="40" t="n"/>
      <c r="BD176" s="43" t="inlineStr">
        <is>
          <t>rn-e9a7f7e474e3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APARUPA SANDS MARINA → Office Of Assistant Engineer Civil, Andaman Lakshdweep Harbour Work Havelock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1.2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IF(B177="South Korea",G177/korea_charge_range_nm*korea_full_range_charge_min,0)</f>
        <v/>
      </c>
      <c r="N177" s="44">
        <f>IF(B177="South Korea",L177+korea_turn_min+korea_dwell_min+M177,L177+turn_min+dwell_min)</f>
        <v/>
      </c>
      <c r="O177" s="45">
        <f>IF(B177="South Korea",FLOOR(60*korea_service_hr/N177,1),MIN(15,FLOOR(60*service_hr/N177,1)))</f>
        <v/>
      </c>
      <c r="P177" s="45">
        <f>IF(ABS(MOD(ABS((365*mech_uptime*K177)),1)-0.5)&lt;1E-9,2*ROUND((365*mech_uptime*K177)/2,0),ROUND((365*mech_uptime*K177),0))</f>
        <v/>
      </c>
      <c r="Q177" s="46">
        <f>mech_uptime</f>
        <v/>
      </c>
      <c r="R177" s="46">
        <f>IF(AND(B177="South Korea",scenario="MID"),korea_mid_revleg,revleg_sel)</f>
        <v/>
      </c>
      <c r="S177" s="45">
        <f>IF(ABS(MOD(ABS((O177*P177*R177)),1)-0.5)&lt;1E-9,2*ROUND((O177*P177*R177)/2,0),ROUND((O177*P177*R177),0))</f>
        <v/>
      </c>
      <c r="T177" s="46">
        <f>IF(AND(B177="South Korea",scenario="MID"),korea_mid_load,load_sel)</f>
        <v/>
      </c>
      <c r="U177" s="47">
        <f>pax_cap*T177</f>
        <v/>
      </c>
      <c r="V177" s="45">
        <f>U177*S177</f>
        <v/>
      </c>
      <c r="W177" s="48">
        <f>H177*discount</f>
        <v/>
      </c>
      <c r="X177" s="49">
        <f>W177*V177</f>
        <v/>
      </c>
      <c r="Y177" s="49">
        <f>(battery/range_nm)*G177*S177*VLOOKUP(B177,country_opex,3,FALSE)</f>
        <v/>
      </c>
      <c r="Z177" s="49">
        <f>VLOOKUP(B177,country_opex,2,FALSE)*crew_factor</f>
        <v/>
      </c>
      <c r="AA177" s="49">
        <f>VLOOKUP(B177,country_opex,5,FALSE)</f>
        <v/>
      </c>
      <c r="AB177" s="49">
        <f>maint</f>
        <v/>
      </c>
      <c r="AC177" s="49">
        <f>VLOOKUP(B177,country_opex,7,FALSE)*ins_pct</f>
        <v/>
      </c>
      <c r="AD177" s="49">
        <f>charge_berth</f>
        <v/>
      </c>
      <c r="AE177" s="49">
        <f>Y177+Z177+AA177+AB177+AC177+AD177</f>
        <v/>
      </c>
      <c r="AF177" s="49">
        <f>VLOOKUP(B177,country_opex,7,FALSE)/dep_years</f>
        <v/>
      </c>
      <c r="AG177" s="49">
        <f>X177-AE177</f>
        <v/>
      </c>
      <c r="AH177" s="46">
        <f>IF(X177=0,"",AG177/X177)</f>
        <v/>
      </c>
      <c r="AI177" s="47">
        <f>IF(AG177&lt;=0,"",VLOOKUP(B177,country_opex,7,FALSE)/AG177)</f>
        <v/>
      </c>
      <c r="AJ177" s="44">
        <f>((G177*S177/diesel_nmpg)*diesel_co2pg-(battery/range_nm)*G177*S177*VLOOKUP(B177,country_opex,4,FALSE))/1000</f>
        <v/>
      </c>
      <c r="AK177" s="42" t="n">
        <v>5000</v>
      </c>
      <c r="AL177" s="43" t="inlineStr">
        <is>
          <t>T3</t>
        </is>
      </c>
      <c r="AM177" s="43" t="inlineStr">
        <is>
          <t>med-low</t>
        </is>
      </c>
      <c r="AN177" s="50" t="n">
        <v>0.1</v>
      </c>
      <c r="AO177" s="45">
        <f>IF(AK177="","",AK177*AN177)</f>
        <v/>
      </c>
      <c r="AP177" s="45">
        <f>IF(OR(AK177="",V177=0),"",MIN(IF(AX177="",9.9E+99,AX177),FLOOR(AO177/V177,1)))</f>
        <v/>
      </c>
      <c r="AQ177" s="49">
        <f>IF(AP177="","",AP177*IF(ABS(MOD(ABS((X177)),1)-0.5)&lt;1E-9,2*ROUND((X177)/2,0),ROUND((X177),0)))</f>
        <v/>
      </c>
      <c r="AR177" s="47">
        <f>IF(OR(AK177="",V177=0),"",MIN(IF(AX177="",9.9E+99,AX177),AO177/V177))</f>
        <v/>
      </c>
      <c r="AS177" s="49">
        <f>IF(AR177="","",AR177*IF(B177="South Korea",IF(ABS(MOD(ABS((X177)),1)-0.5)&lt;1E-9,2*ROUND((X177)/2,0),ROUND((X177),0)),X177))</f>
        <v/>
      </c>
      <c r="AT177" s="51" t="n"/>
      <c r="AU177" s="43" t="inlineStr">
        <is>
          <t>Grounded</t>
        </is>
      </c>
      <c r="AV177" s="52" t="n"/>
      <c r="AW177" s="52" t="n"/>
      <c r="AX177" s="53" t="n"/>
      <c r="AY177" s="54">
        <f>IF(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&lt;=0,"",VLOOKUP(B177,country_opex,7,FALSE)/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)</f>
        <v/>
      </c>
      <c r="AZ177" s="54">
        <f>IF(((W177*pax_cap*IF(B177="South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Korea",korea_mid_revleg,revleg_mid)),0))*VLOOKUP(B177,country_opex,3,FALSE))+Z177+AA177+AB177+AC177+AD177))&lt;=0,"",VLOOKUP(B177,country_opex,7,FALSE)/((W177*pax_cap*IF(B177="South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Korea",korea_mid_revleg,revleg_mid)),0))*VLOOKUP(B177,country_opex,3,FALSE))+Z177+AA177+AB177+AC177+AD177)))</f>
        <v/>
      </c>
      <c r="BA177" s="54">
        <f>IF(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&lt;=0,"",VLOOKUP(B177,country_opex,7,FALSE)/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)</f>
        <v/>
      </c>
      <c r="BB177" s="40" t="inlineStr">
        <is>
          <t>handoff/INDIA-ECONOMICS-SIDECAR-V0-2026-06-20.json (andaman)</t>
        </is>
      </c>
      <c r="BC177" s="40" t="inlineStr">
        <is>
          <t>handoff/INDIA-ECONOMICS-SIDECAR-V0-2026-06-20.json (andaman)</t>
        </is>
      </c>
      <c r="BD177" s="43" t="inlineStr">
        <is>
          <t>rn-30a13a2451e7</t>
        </is>
      </c>
    </row>
    <row r="178">
      <c r="A178" s="38" t="inlineStr">
        <is>
          <t>India Kolkata Rapido</t>
        </is>
      </c>
      <c r="B178" s="38" t="inlineStr">
        <is>
          <t>India</t>
        </is>
      </c>
      <c r="C178" s="39" t="inlineStr">
        <is>
          <t>Dakshineswar Ferry Ghat → Belur Math Ferry Ghat</t>
        </is>
      </c>
      <c r="D178" s="38" t="inlineStr">
        <is>
          <t>rapido</t>
        </is>
      </c>
      <c r="E178" s="40" t="inlineStr">
        <is>
          <t>india-kolkata-ola, india-kolkata-rapido, india-kolkata-uber-india</t>
        </is>
      </c>
      <c r="F178" s="41" t="n">
        <v>3</v>
      </c>
      <c r="G178" s="42" t="n">
        <v>1.3</v>
      </c>
      <c r="H178" s="35" t="n">
        <v>18</v>
      </c>
      <c r="I178" s="43" t="n"/>
      <c r="J178" s="43" t="n"/>
      <c r="K178" s="29" t="n">
        <v>1</v>
      </c>
      <c r="L178" s="44">
        <f>60*G178/cruise_kt</f>
        <v/>
      </c>
      <c r="M178" s="44">
        <f>IF(B178="South Korea",G178/korea_charge_range_nm*korea_full_range_charge_min,0)</f>
        <v/>
      </c>
      <c r="N178" s="44">
        <f>IF(B178="South Korea",L178+korea_turn_min+korea_dwell_min+M178,L178+turn_min+dwell_min)</f>
        <v/>
      </c>
      <c r="O178" s="45">
        <f>IF(B178="South Korea",FLOOR(60*korea_service_hr/N178,1),MIN(15,FLOOR(60*service_hr/N178,1)))</f>
        <v/>
      </c>
      <c r="P178" s="45">
        <f>IF(ABS(MOD(ABS((365*mech_uptime*K178)),1)-0.5)&lt;1E-9,2*ROUND((365*mech_uptime*K178)/2,0),ROUND((365*mech_uptime*K178),0))</f>
        <v/>
      </c>
      <c r="Q178" s="46">
        <f>mech_uptime</f>
        <v/>
      </c>
      <c r="R178" s="46">
        <f>IF(AND(B178="South Korea",scenario="MID"),korea_mid_revleg,revleg_sel)</f>
        <v/>
      </c>
      <c r="S178" s="45">
        <f>IF(ABS(MOD(ABS((O178*P178*R178)),1)-0.5)&lt;1E-9,2*ROUND((O178*P178*R178)/2,0),ROUND((O178*P178*R178),0))</f>
        <v/>
      </c>
      <c r="T178" s="46">
        <f>IF(AND(B178="South Korea",scenario="MID"),korea_mid_load,load_sel)</f>
        <v/>
      </c>
      <c r="U178" s="47">
        <f>pax_cap*T178</f>
        <v/>
      </c>
      <c r="V178" s="45">
        <f>U178*S178</f>
        <v/>
      </c>
      <c r="W178" s="48">
        <f>H178*discount</f>
        <v/>
      </c>
      <c r="X178" s="49">
        <f>W178*V178</f>
        <v/>
      </c>
      <c r="Y178" s="49">
        <f>(battery/range_nm)*G178*S178*VLOOKUP(B178,country_opex,3,FALSE)</f>
        <v/>
      </c>
      <c r="Z178" s="49">
        <f>VLOOKUP(B178,country_opex,2,FALSE)*crew_factor</f>
        <v/>
      </c>
      <c r="AA178" s="49">
        <f>VLOOKUP(B178,country_opex,5,FALSE)</f>
        <v/>
      </c>
      <c r="AB178" s="49">
        <f>maint</f>
        <v/>
      </c>
      <c r="AC178" s="49">
        <f>VLOOKUP(B178,country_opex,7,FALSE)*ins_pct</f>
        <v/>
      </c>
      <c r="AD178" s="49">
        <f>charge_berth</f>
        <v/>
      </c>
      <c r="AE178" s="49">
        <f>Y178+Z178+AA178+AB178+AC178+AD178</f>
        <v/>
      </c>
      <c r="AF178" s="49">
        <f>VLOOKUP(B178,country_opex,7,FALSE)/dep_years</f>
        <v/>
      </c>
      <c r="AG178" s="49">
        <f>X178-AE178</f>
        <v/>
      </c>
      <c r="AH178" s="46">
        <f>IF(X178=0,"",AG178/X178)</f>
        <v/>
      </c>
      <c r="AI178" s="47">
        <f>IF(AG178&lt;=0,"",VLOOKUP(B178,country_opex,7,FALSE)/AG178)</f>
        <v/>
      </c>
      <c r="AJ178" s="44">
        <f>((G178*S178/diesel_nmpg)*diesel_co2pg-(battery/range_nm)*G178*S178*VLOOKUP(B178,country_opex,4,FALSE))/1000</f>
        <v/>
      </c>
      <c r="AK178" s="42" t="n">
        <v>1600000</v>
      </c>
      <c r="AL178" s="43" t="n"/>
      <c r="AM178" s="43" t="n"/>
      <c r="AN178" s="50" t="n">
        <v>0.1</v>
      </c>
      <c r="AO178" s="45">
        <f>IF(AK178="","",AK178*AN178)</f>
        <v/>
      </c>
      <c r="AP178" s="45">
        <f>IF(OR(AK178="",V178=0),"",MIN(IF(AX178="",9.9E+99,AX178),FLOOR(AO178/V178,1)))</f>
        <v/>
      </c>
      <c r="AQ178" s="49">
        <f>IF(AP178="","",AP178*IF(ABS(MOD(ABS((X178)),1)-0.5)&lt;1E-9,2*ROUND((X178)/2,0),ROUND((X178),0)))</f>
        <v/>
      </c>
      <c r="AR178" s="47">
        <f>IF(OR(AK178="",V178=0),"",MIN(IF(AX178="",9.9E+99,AX178),AO178/V178))</f>
        <v/>
      </c>
      <c r="AS178" s="49">
        <f>IF(AR178="","",AR178*IF(B178="South Korea",IF(ABS(MOD(ABS((X178)),1)-0.5)&lt;1E-9,2*ROUND((X178)/2,0),ROUND((X178),0)),X178))</f>
        <v/>
      </c>
      <c r="AT178" s="51" t="n"/>
      <c r="AU178" s="43" t="inlineStr">
        <is>
          <t>Grounded</t>
        </is>
      </c>
      <c r="AV178" s="52" t="n"/>
      <c r="AW178" s="52" t="n"/>
      <c r="AX178" s="53" t="n"/>
      <c r="AY178" s="54">
        <f>IF(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&lt;=0,"",VLOOKUP(B178,country_opex,7,FALSE)/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)</f>
        <v/>
      </c>
      <c r="AZ178" s="54">
        <f>IF(((W178*pax_cap*IF(B178="South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Korea",korea_mid_revleg,revleg_mid)),0))*VLOOKUP(B178,country_opex,3,FALSE))+Z178+AA178+AB178+AC178+AD178))&lt;=0,"",VLOOKUP(B178,country_opex,7,FALSE)/((W178*pax_cap*IF(B178="South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Korea",korea_mid_revleg,revleg_mid)),0))*VLOOKUP(B178,country_opex,3,FALSE))+Z178+AA178+AB178+AC178+AD178)))</f>
        <v/>
      </c>
      <c r="BA178" s="54">
        <f>IF(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&lt;=0,"",VLOOKUP(B178,country_opex,7,FALSE)/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)</f>
        <v/>
      </c>
      <c r="BB178" s="40" t="inlineStr">
        <is>
          <t xml:space="preserve">[LB-255 PREMIUM RE-FARE: subsidized comparable $2.5 lifted to premium on-demand floor $18.0] </t>
        </is>
      </c>
      <c r="BC178" s="40" t="n"/>
      <c r="BD178" s="43" t="inlineStr">
        <is>
          <t>rn-b44cfaae1be2</t>
        </is>
      </c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Marina Park → Marina View Point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1.4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IF(B179="South Korea",G179/korea_charge_range_nm*korea_full_range_charge_min,0)</f>
        <v/>
      </c>
      <c r="N179" s="44">
        <f>IF(B179="South Korea",L179+korea_turn_min+korea_dwell_min+M179,L179+turn_min+dwell_min)</f>
        <v/>
      </c>
      <c r="O179" s="45">
        <f>IF(B179="South Korea",FLOOR(60*korea_service_hr/N179,1),MIN(15,FLOOR(60*service_hr/N179,1)))</f>
        <v/>
      </c>
      <c r="P179" s="45">
        <f>IF(ABS(MOD(ABS((365*mech_uptime*K179)),1)-0.5)&lt;1E-9,2*ROUND((365*mech_uptime*K179)/2,0),ROUND((365*mech_uptime*K179),0))</f>
        <v/>
      </c>
      <c r="Q179" s="46">
        <f>mech_uptime</f>
        <v/>
      </c>
      <c r="R179" s="46">
        <f>IF(AND(B179="South Korea",scenario="MID"),korea_mid_revleg,revleg_sel)</f>
        <v/>
      </c>
      <c r="S179" s="45">
        <f>IF(ABS(MOD(ABS((O179*P179*R179)),1)-0.5)&lt;1E-9,2*ROUND((O179*P179*R179)/2,0),ROUND((O179*P179*R179),0))</f>
        <v/>
      </c>
      <c r="T179" s="46">
        <f>IF(AND(B179="South Korea",scenario="MID"),korea_mid_load,load_sel)</f>
        <v/>
      </c>
      <c r="U179" s="47">
        <f>pax_cap*T179</f>
        <v/>
      </c>
      <c r="V179" s="45">
        <f>U179*S179</f>
        <v/>
      </c>
      <c r="W179" s="48">
        <f>H179*discount</f>
        <v/>
      </c>
      <c r="X179" s="49">
        <f>W179*V179</f>
        <v/>
      </c>
      <c r="Y179" s="49">
        <f>(battery/range_nm)*G179*S179*VLOOKUP(B179,country_opex,3,FALSE)</f>
        <v/>
      </c>
      <c r="Z179" s="49">
        <f>VLOOKUP(B179,country_opex,2,FALSE)*crew_factor</f>
        <v/>
      </c>
      <c r="AA179" s="49">
        <f>VLOOKUP(B179,country_opex,5,FALSE)</f>
        <v/>
      </c>
      <c r="AB179" s="49">
        <f>maint</f>
        <v/>
      </c>
      <c r="AC179" s="49">
        <f>VLOOKUP(B179,country_opex,7,FALSE)*ins_pct</f>
        <v/>
      </c>
      <c r="AD179" s="49">
        <f>charge_berth</f>
        <v/>
      </c>
      <c r="AE179" s="49">
        <f>Y179+Z179+AA179+AB179+AC179+AD179</f>
        <v/>
      </c>
      <c r="AF179" s="49">
        <f>VLOOKUP(B179,country_opex,7,FALSE)/dep_years</f>
        <v/>
      </c>
      <c r="AG179" s="49">
        <f>X179-AE179</f>
        <v/>
      </c>
      <c r="AH179" s="46">
        <f>IF(X179=0,"",AG179/X179)</f>
        <v/>
      </c>
      <c r="AI179" s="47">
        <f>IF(AG179&lt;=0,"",VLOOKUP(B179,country_opex,7,FALSE)/AG179)</f>
        <v/>
      </c>
      <c r="AJ179" s="44">
        <f>((G179*S179/diesel_nmpg)*diesel_co2pg-(battery/range_nm)*G179*S179*VLOOKUP(B179,country_opex,4,FALSE))/1000</f>
        <v/>
      </c>
      <c r="AK179" s="42" t="n">
        <v>5000</v>
      </c>
      <c r="AL179" s="43" t="inlineStr">
        <is>
          <t>T3</t>
        </is>
      </c>
      <c r="AM179" s="43" t="inlineStr">
        <is>
          <t>med-low</t>
        </is>
      </c>
      <c r="AN179" s="50" t="n">
        <v>0.1</v>
      </c>
      <c r="AO179" s="45">
        <f>IF(AK179="","",AK179*AN179)</f>
        <v/>
      </c>
      <c r="AP179" s="45">
        <f>IF(OR(AK179="",V179=0),"",MIN(IF(AX179="",9.9E+99,AX179),FLOOR(AO179/V179,1)))</f>
        <v/>
      </c>
      <c r="AQ179" s="49">
        <f>IF(AP179="","",AP179*IF(ABS(MOD(ABS((X179)),1)-0.5)&lt;1E-9,2*ROUND((X179)/2,0),ROUND((X179),0)))</f>
        <v/>
      </c>
      <c r="AR179" s="47">
        <f>IF(OR(AK179="",V179=0),"",MIN(IF(AX179="",9.9E+99,AX179),AO179/V179))</f>
        <v/>
      </c>
      <c r="AS179" s="49">
        <f>IF(AR179="","",AR179*IF(B179="South Korea",IF(ABS(MOD(ABS((X179)),1)-0.5)&lt;1E-9,2*ROUND((X179)/2,0),ROUND((X179),0)),X179))</f>
        <v/>
      </c>
      <c r="AT179" s="51" t="n"/>
      <c r="AU179" s="43" t="inlineStr">
        <is>
          <t>Grounded</t>
        </is>
      </c>
      <c r="AV179" s="52" t="n"/>
      <c r="AW179" s="52" t="n"/>
      <c r="AX179" s="53" t="n"/>
      <c r="AY179" s="54">
        <f>IF(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&lt;=0,"",VLOOKUP(B179,country_opex,7,FALSE)/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)</f>
        <v/>
      </c>
      <c r="AZ179" s="54">
        <f>IF(((W179*pax_cap*IF(B179="South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Korea",korea_mid_revleg,revleg_mid)),0))*VLOOKUP(B179,country_opex,3,FALSE))+Z179+AA179+AB179+AC179+AD179))&lt;=0,"",VLOOKUP(B179,country_opex,7,FALSE)/((W179*pax_cap*IF(B179="South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Korea",korea_mid_revleg,revleg_mid)),0))*VLOOKUP(B179,country_opex,3,FALSE))+Z179+AA179+AB179+AC179+AD179)))</f>
        <v/>
      </c>
      <c r="BA179" s="54">
        <f>IF(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&lt;=0,"",VLOOKUP(B179,country_opex,7,FALSE)/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)</f>
        <v/>
      </c>
      <c r="BB179" s="40" t="inlineStr">
        <is>
          <t>handoff/INDIA-ECONOMICS-SIDECAR-V0-2026-06-20.json (andaman)</t>
        </is>
      </c>
      <c r="BC179" s="40" t="inlineStr">
        <is>
          <t>handoff/INDIA-ECONOMICS-SIDECAR-V0-2026-06-20.json (andaman)</t>
        </is>
      </c>
      <c r="BD179" s="43" t="inlineStr">
        <is>
          <t>rn-448d7840198a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Game Fishing In Andaman | Bite Me Charter | Best Sport fishing in Andaman Islands → Port Blair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1.5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IF(B180="South Korea",G180/korea_charge_range_nm*korea_full_range_charge_min,0)</f>
        <v/>
      </c>
      <c r="N180" s="44">
        <f>IF(B180="South Korea",L180+korea_turn_min+korea_dwell_min+M180,L180+turn_min+dwell_min)</f>
        <v/>
      </c>
      <c r="O180" s="45">
        <f>IF(B180="South Korea",FLOOR(60*korea_service_hr/N180,1),MIN(15,FLOOR(60*service_hr/N180,1)))</f>
        <v/>
      </c>
      <c r="P180" s="45">
        <f>IF(ABS(MOD(ABS((365*mech_uptime*K180)),1)-0.5)&lt;1E-9,2*ROUND((365*mech_uptime*K180)/2,0),ROUND((365*mech_uptime*K180),0))</f>
        <v/>
      </c>
      <c r="Q180" s="46">
        <f>mech_uptime</f>
        <v/>
      </c>
      <c r="R180" s="46">
        <f>IF(AND(B180="South Korea",scenario="MID"),korea_mid_revleg,revleg_sel)</f>
        <v/>
      </c>
      <c r="S180" s="45">
        <f>IF(ABS(MOD(ABS((O180*P180*R180)),1)-0.5)&lt;1E-9,2*ROUND((O180*P180*R180)/2,0),ROUND((O180*P180*R180),0))</f>
        <v/>
      </c>
      <c r="T180" s="46">
        <f>IF(AND(B180="South Korea",scenario="MID"),korea_mid_load,load_sel)</f>
        <v/>
      </c>
      <c r="U180" s="47">
        <f>pax_cap*T180</f>
        <v/>
      </c>
      <c r="V180" s="45">
        <f>U180*S180</f>
        <v/>
      </c>
      <c r="W180" s="48">
        <f>H180*discount</f>
        <v/>
      </c>
      <c r="X180" s="49">
        <f>W180*V180</f>
        <v/>
      </c>
      <c r="Y180" s="49">
        <f>(battery/range_nm)*G180*S180*VLOOKUP(B180,country_opex,3,FALSE)</f>
        <v/>
      </c>
      <c r="Z180" s="49">
        <f>VLOOKUP(B180,country_opex,2,FALSE)*crew_factor</f>
        <v/>
      </c>
      <c r="AA180" s="49">
        <f>VLOOKUP(B180,country_opex,5,FALSE)</f>
        <v/>
      </c>
      <c r="AB180" s="49">
        <f>maint</f>
        <v/>
      </c>
      <c r="AC180" s="49">
        <f>VLOOKUP(B180,country_opex,7,FALSE)*ins_pct</f>
        <v/>
      </c>
      <c r="AD180" s="49">
        <f>charge_berth</f>
        <v/>
      </c>
      <c r="AE180" s="49">
        <f>Y180+Z180+AA180+AB180+AC180+AD180</f>
        <v/>
      </c>
      <c r="AF180" s="49">
        <f>VLOOKUP(B180,country_opex,7,FALSE)/dep_years</f>
        <v/>
      </c>
      <c r="AG180" s="49">
        <f>X180-AE180</f>
        <v/>
      </c>
      <c r="AH180" s="46">
        <f>IF(X180=0,"",AG180/X180)</f>
        <v/>
      </c>
      <c r="AI180" s="47">
        <f>IF(AG180&lt;=0,"",VLOOKUP(B180,country_opex,7,FALSE)/AG180)</f>
        <v/>
      </c>
      <c r="AJ180" s="44">
        <f>((G180*S180/diesel_nmpg)*diesel_co2pg-(battery/range_nm)*G180*S180*VLOOKUP(B180,country_opex,4,FALSE))/1000</f>
        <v/>
      </c>
      <c r="AK180" s="42" t="n">
        <v>5000</v>
      </c>
      <c r="AL180" s="43" t="inlineStr">
        <is>
          <t>T3</t>
        </is>
      </c>
      <c r="AM180" s="43" t="inlineStr">
        <is>
          <t>med-low</t>
        </is>
      </c>
      <c r="AN180" s="50" t="n">
        <v>0.1</v>
      </c>
      <c r="AO180" s="45">
        <f>IF(AK180="","",AK180*AN180)</f>
        <v/>
      </c>
      <c r="AP180" s="45">
        <f>IF(OR(AK180="",V180=0),"",MIN(IF(AX180="",9.9E+99,AX180),FLOOR(AO180/V180,1)))</f>
        <v/>
      </c>
      <c r="AQ180" s="49">
        <f>IF(AP180="","",AP180*IF(ABS(MOD(ABS((X180)),1)-0.5)&lt;1E-9,2*ROUND((X180)/2,0),ROUND((X180),0)))</f>
        <v/>
      </c>
      <c r="AR180" s="47">
        <f>IF(OR(AK180="",V180=0),"",MIN(IF(AX180="",9.9E+99,AX180),AO180/V180))</f>
        <v/>
      </c>
      <c r="AS180" s="49">
        <f>IF(AR180="","",AR180*IF(B180="South Korea",IF(ABS(MOD(ABS((X180)),1)-0.5)&lt;1E-9,2*ROUND((X180)/2,0),ROUND((X180),0)),X180))</f>
        <v/>
      </c>
      <c r="AT180" s="51" t="n"/>
      <c r="AU180" s="43" t="inlineStr">
        <is>
          <t>Grounded</t>
        </is>
      </c>
      <c r="AV180" s="52" t="n"/>
      <c r="AW180" s="52" t="n"/>
      <c r="AX180" s="53" t="n"/>
      <c r="AY180" s="54">
        <f>IF(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&lt;=0,"",VLOOKUP(B180,country_opex,7,FALSE)/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)</f>
        <v/>
      </c>
      <c r="AZ180" s="54">
        <f>IF(((W180*pax_cap*IF(B180="South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Korea",korea_mid_revleg,revleg_mid)),0))*VLOOKUP(B180,country_opex,3,FALSE))+Z180+AA180+AB180+AC180+AD180))&lt;=0,"",VLOOKUP(B180,country_opex,7,FALSE)/((W180*pax_cap*IF(B180="South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Korea",korea_mid_revleg,revleg_mid)),0))*VLOOKUP(B180,country_opex,3,FALSE))+Z180+AA180+AB180+AC180+AD180)))</f>
        <v/>
      </c>
      <c r="BA180" s="54">
        <f>IF(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&lt;=0,"",VLOOKUP(B180,country_opex,7,FALSE)/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)</f>
        <v/>
      </c>
      <c r="BB180" s="40" t="inlineStr">
        <is>
          <t>handoff/INDIA-ECONOMICS-SIDECAR-V0-2026-06-20.json (andaman)</t>
        </is>
      </c>
      <c r="BC180" s="40" t="inlineStr">
        <is>
          <t>handoff/INDIA-ECONOMICS-SIDECAR-V0-2026-06-20.json (andaman)</t>
        </is>
      </c>
      <c r="BD180" s="43" t="inlineStr">
        <is>
          <t>rn-9470ece6d137</t>
        </is>
      </c>
    </row>
    <row r="181">
      <c r="A181" s="38" t="inlineStr">
        <is>
          <t>India Kolkata Rapido</t>
        </is>
      </c>
      <c r="B181" s="38" t="inlineStr">
        <is>
          <t>India</t>
        </is>
      </c>
      <c r="C181" s="39" t="inlineStr">
        <is>
          <t>Fairlie Place Ferry → Bagbazar Ghat</t>
        </is>
      </c>
      <c r="D181" s="38" t="inlineStr">
        <is>
          <t>rapido</t>
        </is>
      </c>
      <c r="E181" s="40" t="inlineStr">
        <is>
          <t>india-kolkata-ola, india-kolkata-rapido, india-kolkata-uber-india</t>
        </is>
      </c>
      <c r="F181" s="41" t="n">
        <v>3</v>
      </c>
      <c r="G181" s="42" t="n">
        <v>1.7</v>
      </c>
      <c r="H181" s="35" t="n">
        <v>18</v>
      </c>
      <c r="I181" s="43" t="n"/>
      <c r="J181" s="43" t="n"/>
      <c r="K181" s="29" t="n">
        <v>1</v>
      </c>
      <c r="L181" s="44">
        <f>60*G181/cruise_kt</f>
        <v/>
      </c>
      <c r="M181" s="44">
        <f>IF(B181="South Korea",G181/korea_charge_range_nm*korea_full_range_charge_min,0)</f>
        <v/>
      </c>
      <c r="N181" s="44">
        <f>IF(B181="South Korea",L181+korea_turn_min+korea_dwell_min+M181,L181+turn_min+dwell_min)</f>
        <v/>
      </c>
      <c r="O181" s="45">
        <f>IF(B181="South Korea",FLOOR(60*korea_service_hr/N181,1),MIN(15,FLOOR(60*service_hr/N181,1)))</f>
        <v/>
      </c>
      <c r="P181" s="45">
        <f>IF(ABS(MOD(ABS((365*mech_uptime*K181)),1)-0.5)&lt;1E-9,2*ROUND((365*mech_uptime*K181)/2,0),ROUND((365*mech_uptime*K181),0))</f>
        <v/>
      </c>
      <c r="Q181" s="46">
        <f>mech_uptime</f>
        <v/>
      </c>
      <c r="R181" s="46">
        <f>IF(AND(B181="South Korea",scenario="MID"),korea_mid_revleg,revleg_sel)</f>
        <v/>
      </c>
      <c r="S181" s="45">
        <f>IF(ABS(MOD(ABS((O181*P181*R181)),1)-0.5)&lt;1E-9,2*ROUND((O181*P181*R181)/2,0),ROUND((O181*P181*R181),0))</f>
        <v/>
      </c>
      <c r="T181" s="46">
        <f>IF(AND(B181="South Korea",scenario="MID"),korea_mid_load,load_sel)</f>
        <v/>
      </c>
      <c r="U181" s="47">
        <f>pax_cap*T181</f>
        <v/>
      </c>
      <c r="V181" s="45">
        <f>U181*S181</f>
        <v/>
      </c>
      <c r="W181" s="48">
        <f>H181*discount</f>
        <v/>
      </c>
      <c r="X181" s="49">
        <f>W181*V181</f>
        <v/>
      </c>
      <c r="Y181" s="49">
        <f>(battery/range_nm)*G181*S181*VLOOKUP(B181,country_opex,3,FALSE)</f>
        <v/>
      </c>
      <c r="Z181" s="49">
        <f>VLOOKUP(B181,country_opex,2,FALSE)*crew_factor</f>
        <v/>
      </c>
      <c r="AA181" s="49">
        <f>VLOOKUP(B181,country_opex,5,FALSE)</f>
        <v/>
      </c>
      <c r="AB181" s="49">
        <f>maint</f>
        <v/>
      </c>
      <c r="AC181" s="49">
        <f>VLOOKUP(B181,country_opex,7,FALSE)*ins_pct</f>
        <v/>
      </c>
      <c r="AD181" s="49">
        <f>charge_berth</f>
        <v/>
      </c>
      <c r="AE181" s="49">
        <f>Y181+Z181+AA181+AB181+AC181+AD181</f>
        <v/>
      </c>
      <c r="AF181" s="49">
        <f>VLOOKUP(B181,country_opex,7,FALSE)/dep_years</f>
        <v/>
      </c>
      <c r="AG181" s="49">
        <f>X181-AE181</f>
        <v/>
      </c>
      <c r="AH181" s="46">
        <f>IF(X181=0,"",AG181/X181)</f>
        <v/>
      </c>
      <c r="AI181" s="47">
        <f>IF(AG181&lt;=0,"",VLOOKUP(B181,country_opex,7,FALSE)/AG181)</f>
        <v/>
      </c>
      <c r="AJ181" s="44">
        <f>((G181*S181/diesel_nmpg)*diesel_co2pg-(battery/range_nm)*G181*S181*VLOOKUP(B181,country_opex,4,FALSE))/1000</f>
        <v/>
      </c>
      <c r="AK181" s="42" t="n">
        <v>1600000</v>
      </c>
      <c r="AL181" s="43" t="n"/>
      <c r="AM181" s="43" t="n"/>
      <c r="AN181" s="50" t="n">
        <v>0.1</v>
      </c>
      <c r="AO181" s="45">
        <f>IF(AK181="","",AK181*AN181)</f>
        <v/>
      </c>
      <c r="AP181" s="45">
        <f>IF(OR(AK181="",V181=0),"",MIN(IF(AX181="",9.9E+99,AX181),FLOOR(AO181/V181,1)))</f>
        <v/>
      </c>
      <c r="AQ181" s="49">
        <f>IF(AP181="","",AP181*IF(ABS(MOD(ABS((X181)),1)-0.5)&lt;1E-9,2*ROUND((X181)/2,0),ROUND((X181),0)))</f>
        <v/>
      </c>
      <c r="AR181" s="47">
        <f>IF(OR(AK181="",V181=0),"",MIN(IF(AX181="",9.9E+99,AX181),AO181/V181))</f>
        <v/>
      </c>
      <c r="AS181" s="49">
        <f>IF(AR181="","",AR181*IF(B181="South Korea",IF(ABS(MOD(ABS((X181)),1)-0.5)&lt;1E-9,2*ROUND((X181)/2,0),ROUND((X181),0)),X181))</f>
        <v/>
      </c>
      <c r="AT181" s="51" t="n"/>
      <c r="AU181" s="43" t="inlineStr">
        <is>
          <t>Grounded</t>
        </is>
      </c>
      <c r="AV181" s="52" t="n"/>
      <c r="AW181" s="52" t="n"/>
      <c r="AX181" s="53" t="n"/>
      <c r="AY181" s="54">
        <f>IF(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&lt;=0,"",VLOOKUP(B181,country_opex,7,FALSE)/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)</f>
        <v/>
      </c>
      <c r="AZ181" s="54">
        <f>IF(((W181*pax_cap*IF(B181="South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Korea",korea_mid_revleg,revleg_mid)),0))*VLOOKUP(B181,country_opex,3,FALSE))+Z181+AA181+AB181+AC181+AD181))&lt;=0,"",VLOOKUP(B181,country_opex,7,FALSE)/((W181*pax_cap*IF(B181="South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Korea",korea_mid_revleg,revleg_mid)),0))*VLOOKUP(B181,country_opex,3,FALSE))+Z181+AA181+AB181+AC181+AD181)))</f>
        <v/>
      </c>
      <c r="BA181" s="54">
        <f>IF(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&lt;=0,"",VLOOKUP(B181,country_opex,7,FALSE)/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)</f>
        <v/>
      </c>
      <c r="BB181" s="40" t="inlineStr">
        <is>
          <t xml:space="preserve">[LB-255 PREMIUM RE-FARE: subsidized comparable $2.5 lifted to premium on-demand floor $18.0] </t>
        </is>
      </c>
      <c r="BC181" s="40" t="n"/>
      <c r="BD181" s="43" t="inlineStr">
        <is>
          <t>rn-46a91df66302</t>
        </is>
      </c>
    </row>
    <row r="182">
      <c r="A182" s="38" t="inlineStr">
        <is>
          <t>India Andaman Rapido</t>
        </is>
      </c>
      <c r="B182" s="38" t="inlineStr">
        <is>
          <t>India</t>
        </is>
      </c>
      <c r="C182" s="39" t="inlineStr">
        <is>
          <t>Fisheries Jetty → BookMyBoat Andaman Ferry Booking</t>
        </is>
      </c>
      <c r="D182" s="38" t="inlineStr">
        <is>
          <t>rapido</t>
        </is>
      </c>
      <c r="E182" s="40" t="inlineStr">
        <is>
          <t>india-andaman-ola, india-andaman-rapido</t>
        </is>
      </c>
      <c r="F182" s="41" t="n">
        <v>2</v>
      </c>
      <c r="G182" s="42" t="n">
        <v>1.8</v>
      </c>
      <c r="H182" s="35" t="n">
        <v>22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IF(B182="South Korea",G182/korea_charge_range_nm*korea_full_range_charge_min,0)</f>
        <v/>
      </c>
      <c r="N182" s="44">
        <f>IF(B182="South Korea",L182+korea_turn_min+korea_dwell_min+M182,L182+turn_min+dwell_min)</f>
        <v/>
      </c>
      <c r="O182" s="45">
        <f>IF(B182="South Korea",FLOOR(60*korea_service_hr/N182,1),MIN(15,FLOOR(60*service_hr/N182,1)))</f>
        <v/>
      </c>
      <c r="P182" s="45">
        <f>IF(ABS(MOD(ABS((365*mech_uptime*K182)),1)-0.5)&lt;1E-9,2*ROUND((365*mech_uptime*K182)/2,0),ROUND((365*mech_uptime*K182),0))</f>
        <v/>
      </c>
      <c r="Q182" s="46">
        <f>mech_uptime</f>
        <v/>
      </c>
      <c r="R182" s="46">
        <f>IF(AND(B182="South Korea",scenario="MID"),korea_mid_revleg,revleg_sel)</f>
        <v/>
      </c>
      <c r="S182" s="45">
        <f>IF(ABS(MOD(ABS((O182*P182*R182)),1)-0.5)&lt;1E-9,2*ROUND((O182*P182*R182)/2,0),ROUND((O182*P182*R182),0))</f>
        <v/>
      </c>
      <c r="T182" s="46">
        <f>IF(AND(B182="South Korea",scenario="MID"),korea_mid_load,load_sel)</f>
        <v/>
      </c>
      <c r="U182" s="47">
        <f>pax_cap*T182</f>
        <v/>
      </c>
      <c r="V182" s="45">
        <f>U182*S182</f>
        <v/>
      </c>
      <c r="W182" s="48">
        <f>H182*discount</f>
        <v/>
      </c>
      <c r="X182" s="49">
        <f>W182*V182</f>
        <v/>
      </c>
      <c r="Y182" s="49">
        <f>(battery/range_nm)*G182*S182*VLOOKUP(B182,country_opex,3,FALSE)</f>
        <v/>
      </c>
      <c r="Z182" s="49">
        <f>VLOOKUP(B182,country_opex,2,FALSE)*crew_factor</f>
        <v/>
      </c>
      <c r="AA182" s="49">
        <f>VLOOKUP(B182,country_opex,5,FALSE)</f>
        <v/>
      </c>
      <c r="AB182" s="49">
        <f>maint</f>
        <v/>
      </c>
      <c r="AC182" s="49">
        <f>VLOOKUP(B182,country_opex,7,FALSE)*ins_pct</f>
        <v/>
      </c>
      <c r="AD182" s="49">
        <f>charge_berth</f>
        <v/>
      </c>
      <c r="AE182" s="49">
        <f>Y182+Z182+AA182+AB182+AC182+AD182</f>
        <v/>
      </c>
      <c r="AF182" s="49">
        <f>VLOOKUP(B182,country_opex,7,FALSE)/dep_years</f>
        <v/>
      </c>
      <c r="AG182" s="49">
        <f>X182-AE182</f>
        <v/>
      </c>
      <c r="AH182" s="46">
        <f>IF(X182=0,"",AG182/X182)</f>
        <v/>
      </c>
      <c r="AI182" s="47">
        <f>IF(AG182&lt;=0,"",VLOOKUP(B182,country_opex,7,FALSE)/AG182)</f>
        <v/>
      </c>
      <c r="AJ182" s="44">
        <f>((G182*S182/diesel_nmpg)*diesel_co2pg-(battery/range_nm)*G182*S182*VLOOKUP(B182,country_opex,4,FALSE))/1000</f>
        <v/>
      </c>
      <c r="AK182" s="42" t="n">
        <v>5000</v>
      </c>
      <c r="AL182" s="43" t="inlineStr">
        <is>
          <t>T3</t>
        </is>
      </c>
      <c r="AM182" s="43" t="inlineStr">
        <is>
          <t>med-low</t>
        </is>
      </c>
      <c r="AN182" s="50" t="n">
        <v>0.1</v>
      </c>
      <c r="AO182" s="45">
        <f>IF(AK182="","",AK182*AN182)</f>
        <v/>
      </c>
      <c r="AP182" s="45">
        <f>IF(OR(AK182="",V182=0),"",MIN(IF(AX182="",9.9E+99,AX182),FLOOR(AO182/V182,1)))</f>
        <v/>
      </c>
      <c r="AQ182" s="49">
        <f>IF(AP182="","",AP182*IF(ABS(MOD(ABS((X182)),1)-0.5)&lt;1E-9,2*ROUND((X182)/2,0),ROUND((X182),0)))</f>
        <v/>
      </c>
      <c r="AR182" s="47">
        <f>IF(OR(AK182="",V182=0),"",MIN(IF(AX182="",9.9E+99,AX182),AO182/V182))</f>
        <v/>
      </c>
      <c r="AS182" s="49">
        <f>IF(AR182="","",AR182*IF(B182="South Korea",IF(ABS(MOD(ABS((X182)),1)-0.5)&lt;1E-9,2*ROUND((X182)/2,0),ROUND((X182),0)),X182))</f>
        <v/>
      </c>
      <c r="AT182" s="51" t="n"/>
      <c r="AU182" s="43" t="inlineStr">
        <is>
          <t>Grounded</t>
        </is>
      </c>
      <c r="AV182" s="52" t="n"/>
      <c r="AW182" s="52" t="n"/>
      <c r="AX182" s="53" t="n"/>
      <c r="AY182" s="54">
        <f>IF(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&lt;=0,"",VLOOKUP(B182,country_opex,7,FALSE)/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)</f>
        <v/>
      </c>
      <c r="AZ182" s="54">
        <f>IF(((W182*pax_cap*IF(B182="South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Korea",korea_mid_revleg,revleg_mid)),0))*VLOOKUP(B182,country_opex,3,FALSE))+Z182+AA182+AB182+AC182+AD182))&lt;=0,"",VLOOKUP(B182,country_opex,7,FALSE)/((W182*pax_cap*IF(B182="South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Korea",korea_mid_revleg,revleg_mid)),0))*VLOOKUP(B182,country_opex,3,FALSE))+Z182+AA182+AB182+AC182+AD182)))</f>
        <v/>
      </c>
      <c r="BA182" s="54">
        <f>IF(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&lt;=0,"",VLOOKUP(B182,country_opex,7,FALSE)/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)</f>
        <v/>
      </c>
      <c r="BB182" s="40" t="inlineStr">
        <is>
          <t>handoff/INDIA-ECONOMICS-SIDECAR-V0-2026-06-20.json (andaman)</t>
        </is>
      </c>
      <c r="BC182" s="40" t="inlineStr">
        <is>
          <t>handoff/INDIA-ECONOMICS-SIDECAR-V0-2026-06-20.json (andaman)</t>
        </is>
      </c>
      <c r="BD182" s="43" t="inlineStr">
        <is>
          <t>rn-78629e4e7f6a</t>
        </is>
      </c>
    </row>
    <row r="183">
      <c r="A183" s="38" t="inlineStr">
        <is>
          <t>India Andaman Rapido</t>
        </is>
      </c>
      <c r="B183" s="38" t="inlineStr">
        <is>
          <t>India</t>
        </is>
      </c>
      <c r="C183" s="39" t="inlineStr">
        <is>
          <t>Fisheries Jetty → Gamefishing Asia</t>
        </is>
      </c>
      <c r="D183" s="38" t="inlineStr">
        <is>
          <t>rapido</t>
        </is>
      </c>
      <c r="E183" s="40" t="inlineStr">
        <is>
          <t>india-andaman-ola, india-andaman-rapido</t>
        </is>
      </c>
      <c r="F183" s="41" t="n">
        <v>2</v>
      </c>
      <c r="G183" s="42" t="n">
        <v>2</v>
      </c>
      <c r="H183" s="35" t="n">
        <v>22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IF(B183="South Korea",G183/korea_charge_range_nm*korea_full_range_charge_min,0)</f>
        <v/>
      </c>
      <c r="N183" s="44">
        <f>IF(B183="South Korea",L183+korea_turn_min+korea_dwell_min+M183,L183+turn_min+dwell_min)</f>
        <v/>
      </c>
      <c r="O183" s="45">
        <f>IF(B183="South Korea",FLOOR(60*korea_service_hr/N183,1),MIN(15,FLOOR(60*service_hr/N183,1)))</f>
        <v/>
      </c>
      <c r="P183" s="45">
        <f>IF(ABS(MOD(ABS((365*mech_uptime*K183)),1)-0.5)&lt;1E-9,2*ROUND((365*mech_uptime*K183)/2,0),ROUND((365*mech_uptime*K183),0))</f>
        <v/>
      </c>
      <c r="Q183" s="46">
        <f>mech_uptime</f>
        <v/>
      </c>
      <c r="R183" s="46">
        <f>IF(AND(B183="South Korea",scenario="MID"),korea_mid_revleg,revleg_sel)</f>
        <v/>
      </c>
      <c r="S183" s="45">
        <f>IF(ABS(MOD(ABS((O183*P183*R183)),1)-0.5)&lt;1E-9,2*ROUND((O183*P183*R183)/2,0),ROUND((O183*P183*R183),0))</f>
        <v/>
      </c>
      <c r="T183" s="46">
        <f>IF(AND(B183="South Korea",scenario="MID"),korea_mid_load,load_sel)</f>
        <v/>
      </c>
      <c r="U183" s="47">
        <f>pax_cap*T183</f>
        <v/>
      </c>
      <c r="V183" s="45">
        <f>U183*S183</f>
        <v/>
      </c>
      <c r="W183" s="48">
        <f>H183*discount</f>
        <v/>
      </c>
      <c r="X183" s="49">
        <f>W183*V183</f>
        <v/>
      </c>
      <c r="Y183" s="49">
        <f>(battery/range_nm)*G183*S183*VLOOKUP(B183,country_opex,3,FALSE)</f>
        <v/>
      </c>
      <c r="Z183" s="49">
        <f>VLOOKUP(B183,country_opex,2,FALSE)*crew_factor</f>
        <v/>
      </c>
      <c r="AA183" s="49">
        <f>VLOOKUP(B183,country_opex,5,FALSE)</f>
        <v/>
      </c>
      <c r="AB183" s="49">
        <f>maint</f>
        <v/>
      </c>
      <c r="AC183" s="49">
        <f>VLOOKUP(B183,country_opex,7,FALSE)*ins_pct</f>
        <v/>
      </c>
      <c r="AD183" s="49">
        <f>charge_berth</f>
        <v/>
      </c>
      <c r="AE183" s="49">
        <f>Y183+Z183+AA183+AB183+AC183+AD183</f>
        <v/>
      </c>
      <c r="AF183" s="49">
        <f>VLOOKUP(B183,country_opex,7,FALSE)/dep_years</f>
        <v/>
      </c>
      <c r="AG183" s="49">
        <f>X183-AE183</f>
        <v/>
      </c>
      <c r="AH183" s="46">
        <f>IF(X183=0,"",AG183/X183)</f>
        <v/>
      </c>
      <c r="AI183" s="47">
        <f>IF(AG183&lt;=0,"",VLOOKUP(B183,country_opex,7,FALSE)/AG183)</f>
        <v/>
      </c>
      <c r="AJ183" s="44">
        <f>((G183*S183/diesel_nmpg)*diesel_co2pg-(battery/range_nm)*G183*S183*VLOOKUP(B183,country_opex,4,FALSE))/1000</f>
        <v/>
      </c>
      <c r="AK183" s="42" t="n">
        <v>5000</v>
      </c>
      <c r="AL183" s="43" t="inlineStr">
        <is>
          <t>T3</t>
        </is>
      </c>
      <c r="AM183" s="43" t="inlineStr">
        <is>
          <t>med-low</t>
        </is>
      </c>
      <c r="AN183" s="50" t="n">
        <v>0.1</v>
      </c>
      <c r="AO183" s="45">
        <f>IF(AK183="","",AK183*AN183)</f>
        <v/>
      </c>
      <c r="AP183" s="45">
        <f>IF(OR(AK183="",V183=0),"",MIN(IF(AX183="",9.9E+99,AX183),FLOOR(AO183/V183,1)))</f>
        <v/>
      </c>
      <c r="AQ183" s="49">
        <f>IF(AP183="","",AP183*IF(ABS(MOD(ABS((X183)),1)-0.5)&lt;1E-9,2*ROUND((X183)/2,0),ROUND((X183),0)))</f>
        <v/>
      </c>
      <c r="AR183" s="47">
        <f>IF(OR(AK183="",V183=0),"",MIN(IF(AX183="",9.9E+99,AX183),AO183/V183))</f>
        <v/>
      </c>
      <c r="AS183" s="49">
        <f>IF(AR183="","",AR183*IF(B183="South Korea",IF(ABS(MOD(ABS((X183)),1)-0.5)&lt;1E-9,2*ROUND((X183)/2,0),ROUND((X183),0)),X183))</f>
        <v/>
      </c>
      <c r="AT183" s="51" t="n"/>
      <c r="AU183" s="43" t="inlineStr">
        <is>
          <t>Grounded</t>
        </is>
      </c>
      <c r="AV183" s="52" t="n"/>
      <c r="AW183" s="52" t="n"/>
      <c r="AX183" s="53" t="n"/>
      <c r="AY183" s="54">
        <f>IF(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&lt;=0,"",VLOOKUP(B183,country_opex,7,FALSE)/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)</f>
        <v/>
      </c>
      <c r="AZ183" s="54">
        <f>IF(((W183*pax_cap*IF(B183="South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Korea",korea_mid_revleg,revleg_mid)),0))*VLOOKUP(B183,country_opex,3,FALSE))+Z183+AA183+AB183+AC183+AD183))&lt;=0,"",VLOOKUP(B183,country_opex,7,FALSE)/((W183*pax_cap*IF(B183="South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Korea",korea_mid_revleg,revleg_mid)),0))*VLOOKUP(B183,country_opex,3,FALSE))+Z183+AA183+AB183+AC183+AD183)))</f>
        <v/>
      </c>
      <c r="BA183" s="54">
        <f>IF(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&lt;=0,"",VLOOKUP(B183,country_opex,7,FALSE)/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)</f>
        <v/>
      </c>
      <c r="BB183" s="40" t="inlineStr">
        <is>
          <t>handoff/INDIA-ECONOMICS-SIDECAR-V0-2026-06-20.json (andaman)</t>
        </is>
      </c>
      <c r="BC183" s="40" t="inlineStr">
        <is>
          <t>handoff/INDIA-ECONOMICS-SIDECAR-V0-2026-06-20.json (andaman)</t>
        </is>
      </c>
      <c r="BD183" s="43" t="inlineStr">
        <is>
          <t>rn-4b9beacac5d3</t>
        </is>
      </c>
    </row>
    <row r="184">
      <c r="A184" s="38" t="inlineStr">
        <is>
          <t>India Andaman Rapido</t>
        </is>
      </c>
      <c r="B184" s="38" t="inlineStr">
        <is>
          <t>India</t>
        </is>
      </c>
      <c r="C184" s="39" t="inlineStr">
        <is>
          <t>Panighat Ferry Jetty → Chatham Harbour</t>
        </is>
      </c>
      <c r="D184" s="38" t="inlineStr">
        <is>
          <t>rapido</t>
        </is>
      </c>
      <c r="E184" s="40" t="inlineStr">
        <is>
          <t>india-andaman-ola, india-andaman-rapido</t>
        </is>
      </c>
      <c r="F184" s="41" t="n">
        <v>2</v>
      </c>
      <c r="G184" s="42" t="n">
        <v>2</v>
      </c>
      <c r="H184" s="35" t="n">
        <v>22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IF(B184="South Korea",G184/korea_charge_range_nm*korea_full_range_charge_min,0)</f>
        <v/>
      </c>
      <c r="N184" s="44">
        <f>IF(B184="South Korea",L184+korea_turn_min+korea_dwell_min+M184,L184+turn_min+dwell_min)</f>
        <v/>
      </c>
      <c r="O184" s="45">
        <f>IF(B184="South Korea",FLOOR(60*korea_service_hr/N184,1),MIN(15,FLOOR(60*service_hr/N184,1)))</f>
        <v/>
      </c>
      <c r="P184" s="45">
        <f>IF(ABS(MOD(ABS((365*mech_uptime*K184)),1)-0.5)&lt;1E-9,2*ROUND((365*mech_uptime*K184)/2,0),ROUND((365*mech_uptime*K184),0))</f>
        <v/>
      </c>
      <c r="Q184" s="46">
        <f>mech_uptime</f>
        <v/>
      </c>
      <c r="R184" s="46">
        <f>IF(AND(B184="South Korea",scenario="MID"),korea_mid_revleg,revleg_sel)</f>
        <v/>
      </c>
      <c r="S184" s="45">
        <f>IF(ABS(MOD(ABS((O184*P184*R184)),1)-0.5)&lt;1E-9,2*ROUND((O184*P184*R184)/2,0),ROUND((O184*P184*R184),0))</f>
        <v/>
      </c>
      <c r="T184" s="46">
        <f>IF(AND(B184="South Korea",scenario="MID"),korea_mid_load,load_sel)</f>
        <v/>
      </c>
      <c r="U184" s="47">
        <f>pax_cap*T184</f>
        <v/>
      </c>
      <c r="V184" s="45">
        <f>U184*S184</f>
        <v/>
      </c>
      <c r="W184" s="48">
        <f>H184*discount</f>
        <v/>
      </c>
      <c r="X184" s="49">
        <f>W184*V184</f>
        <v/>
      </c>
      <c r="Y184" s="49">
        <f>(battery/range_nm)*G184*S184*VLOOKUP(B184,country_opex,3,FALSE)</f>
        <v/>
      </c>
      <c r="Z184" s="49">
        <f>VLOOKUP(B184,country_opex,2,FALSE)*crew_factor</f>
        <v/>
      </c>
      <c r="AA184" s="49">
        <f>VLOOKUP(B184,country_opex,5,FALSE)</f>
        <v/>
      </c>
      <c r="AB184" s="49">
        <f>maint</f>
        <v/>
      </c>
      <c r="AC184" s="49">
        <f>VLOOKUP(B184,country_opex,7,FALSE)*ins_pct</f>
        <v/>
      </c>
      <c r="AD184" s="49">
        <f>charge_berth</f>
        <v/>
      </c>
      <c r="AE184" s="49">
        <f>Y184+Z184+AA184+AB184+AC184+AD184</f>
        <v/>
      </c>
      <c r="AF184" s="49">
        <f>VLOOKUP(B184,country_opex,7,FALSE)/dep_years</f>
        <v/>
      </c>
      <c r="AG184" s="49">
        <f>X184-AE184</f>
        <v/>
      </c>
      <c r="AH184" s="46">
        <f>IF(X184=0,"",AG184/X184)</f>
        <v/>
      </c>
      <c r="AI184" s="47">
        <f>IF(AG184&lt;=0,"",VLOOKUP(B184,country_opex,7,FALSE)/AG184)</f>
        <v/>
      </c>
      <c r="AJ184" s="44">
        <f>((G184*S184/diesel_nmpg)*diesel_co2pg-(battery/range_nm)*G184*S184*VLOOKUP(B184,country_opex,4,FALSE))/1000</f>
        <v/>
      </c>
      <c r="AK184" s="42" t="n">
        <v>5000</v>
      </c>
      <c r="AL184" s="43" t="inlineStr">
        <is>
          <t>T3</t>
        </is>
      </c>
      <c r="AM184" s="43" t="inlineStr">
        <is>
          <t>med-low</t>
        </is>
      </c>
      <c r="AN184" s="50" t="n">
        <v>0.1</v>
      </c>
      <c r="AO184" s="45">
        <f>IF(AK184="","",AK184*AN184)</f>
        <v/>
      </c>
      <c r="AP184" s="45">
        <f>IF(OR(AK184="",V184=0),"",MIN(IF(AX184="",9.9E+99,AX184),FLOOR(AO184/V184,1)))</f>
        <v/>
      </c>
      <c r="AQ184" s="49">
        <f>IF(AP184="","",AP184*IF(ABS(MOD(ABS((X184)),1)-0.5)&lt;1E-9,2*ROUND((X184)/2,0),ROUND((X184),0)))</f>
        <v/>
      </c>
      <c r="AR184" s="47">
        <f>IF(OR(AK184="",V184=0),"",MIN(IF(AX184="",9.9E+99,AX184),AO184/V184))</f>
        <v/>
      </c>
      <c r="AS184" s="49">
        <f>IF(AR184="","",AR184*IF(B184="South Korea",IF(ABS(MOD(ABS((X184)),1)-0.5)&lt;1E-9,2*ROUND((X184)/2,0),ROUND((X184),0)),X184))</f>
        <v/>
      </c>
      <c r="AT184" s="51" t="n"/>
      <c r="AU184" s="43" t="inlineStr">
        <is>
          <t>Grounded</t>
        </is>
      </c>
      <c r="AV184" s="52" t="n"/>
      <c r="AW184" s="52" t="n"/>
      <c r="AX184" s="53" t="n"/>
      <c r="AY184" s="54">
        <f>IF(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&lt;=0,"",VLOOKUP(B184,country_opex,7,FALSE)/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)</f>
        <v/>
      </c>
      <c r="AZ184" s="54">
        <f>IF(((W184*pax_cap*IF(B184="South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Korea",korea_mid_revleg,revleg_mid)),0))*VLOOKUP(B184,country_opex,3,FALSE))+Z184+AA184+AB184+AC184+AD184))&lt;=0,"",VLOOKUP(B184,country_opex,7,FALSE)/((W184*pax_cap*IF(B184="South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Korea",korea_mid_revleg,revleg_mid)),0))*VLOOKUP(B184,country_opex,3,FALSE))+Z184+AA184+AB184+AC184+AD184)))</f>
        <v/>
      </c>
      <c r="BA184" s="54">
        <f>IF(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&lt;=0,"",VLOOKUP(B184,country_opex,7,FALSE)/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)</f>
        <v/>
      </c>
      <c r="BB184" s="40" t="inlineStr">
        <is>
          <t>handoff/INDIA-ECONOMICS-SIDECAR-V0-2026-06-20.json (andaman)</t>
        </is>
      </c>
      <c r="BC184" s="40" t="inlineStr">
        <is>
          <t>handoff/INDIA-ECONOMICS-SIDECAR-V0-2026-06-20.json (andaman)</t>
        </is>
      </c>
      <c r="BD184" s="43" t="inlineStr">
        <is>
          <t>rn-8e0d146c17b5</t>
        </is>
      </c>
    </row>
    <row r="185">
      <c r="A185" s="38" t="inlineStr">
        <is>
          <t>India Goa Rapido</t>
        </is>
      </c>
      <c r="B185" s="38" t="inlineStr">
        <is>
          <t>India</t>
        </is>
      </c>
      <c r="C185" s="39" t="inlineStr">
        <is>
          <t>Panaji Jetty → Goa</t>
        </is>
      </c>
      <c r="D185" s="38" t="inlineStr">
        <is>
          <t>rapido</t>
        </is>
      </c>
      <c r="E185" s="40" t="inlineStr">
        <is>
          <t>india-goa-ola, india-goa-rapido</t>
        </is>
      </c>
      <c r="F185" s="41" t="n">
        <v>2</v>
      </c>
      <c r="G185" s="42" t="n">
        <v>2.1</v>
      </c>
      <c r="H185" s="35" t="n">
        <v>8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IF(B185="South Korea",G185/korea_charge_range_nm*korea_full_range_charge_min,0)</f>
        <v/>
      </c>
      <c r="N185" s="44">
        <f>IF(B185="South Korea",L185+korea_turn_min+korea_dwell_min+M185,L185+turn_min+dwell_min)</f>
        <v/>
      </c>
      <c r="O185" s="45">
        <f>IF(B185="South Korea",FLOOR(60*korea_service_hr/N185,1),MIN(15,FLOOR(60*service_hr/N185,1)))</f>
        <v/>
      </c>
      <c r="P185" s="45">
        <f>IF(ABS(MOD(ABS((365*mech_uptime*K185)),1)-0.5)&lt;1E-9,2*ROUND((365*mech_uptime*K185)/2,0),ROUND((365*mech_uptime*K185),0))</f>
        <v/>
      </c>
      <c r="Q185" s="46">
        <f>mech_uptime</f>
        <v/>
      </c>
      <c r="R185" s="46">
        <f>IF(AND(B185="South Korea",scenario="MID"),korea_mid_revleg,revleg_sel)</f>
        <v/>
      </c>
      <c r="S185" s="45">
        <f>IF(ABS(MOD(ABS((O185*P185*R185)),1)-0.5)&lt;1E-9,2*ROUND((O185*P185*R185)/2,0),ROUND((O185*P185*R185),0))</f>
        <v/>
      </c>
      <c r="T185" s="46">
        <f>IF(AND(B185="South Korea",scenario="MID"),korea_mid_load,load_sel)</f>
        <v/>
      </c>
      <c r="U185" s="47">
        <f>pax_cap*T185</f>
        <v/>
      </c>
      <c r="V185" s="45">
        <f>U185*S185</f>
        <v/>
      </c>
      <c r="W185" s="48">
        <f>H185*discount</f>
        <v/>
      </c>
      <c r="X185" s="49">
        <f>W185*V185</f>
        <v/>
      </c>
      <c r="Y185" s="49">
        <f>(battery/range_nm)*G185*S185*VLOOKUP(B185,country_opex,3,FALSE)</f>
        <v/>
      </c>
      <c r="Z185" s="49">
        <f>VLOOKUP(B185,country_opex,2,FALSE)*crew_factor</f>
        <v/>
      </c>
      <c r="AA185" s="49">
        <f>VLOOKUP(B185,country_opex,5,FALSE)</f>
        <v/>
      </c>
      <c r="AB185" s="49">
        <f>maint</f>
        <v/>
      </c>
      <c r="AC185" s="49">
        <f>VLOOKUP(B185,country_opex,7,FALSE)*ins_pct</f>
        <v/>
      </c>
      <c r="AD185" s="49">
        <f>charge_berth</f>
        <v/>
      </c>
      <c r="AE185" s="49">
        <f>Y185+Z185+AA185+AB185+AC185+AD185</f>
        <v/>
      </c>
      <c r="AF185" s="49">
        <f>VLOOKUP(B185,country_opex,7,FALSE)/dep_years</f>
        <v/>
      </c>
      <c r="AG185" s="49">
        <f>X185-AE185</f>
        <v/>
      </c>
      <c r="AH185" s="46">
        <f>IF(X185=0,"",AG185/X185)</f>
        <v/>
      </c>
      <c r="AI185" s="47">
        <f>IF(AG185&lt;=0,"",VLOOKUP(B185,country_opex,7,FALSE)/AG185)</f>
        <v/>
      </c>
      <c r="AJ185" s="44">
        <f>((G185*S185/diesel_nmpg)*diesel_co2pg-(battery/range_nm)*G185*S185*VLOOKUP(B185,country_opex,4,FALSE))/1000</f>
        <v/>
      </c>
      <c r="AK185" s="42" t="n">
        <v>11250</v>
      </c>
      <c r="AL185" s="43" t="inlineStr">
        <is>
          <t>T3</t>
        </is>
      </c>
      <c r="AM185" s="43" t="inlineStr">
        <is>
          <t>med-low</t>
        </is>
      </c>
      <c r="AN185" s="50" t="n">
        <v>0.1</v>
      </c>
      <c r="AO185" s="45">
        <f>IF(AK185="","",AK185*AN185)</f>
        <v/>
      </c>
      <c r="AP185" s="45">
        <f>IF(OR(AK185="",V185=0),"",MIN(IF(AX185="",9.9E+99,AX185),FLOOR(AO185/V185,1)))</f>
        <v/>
      </c>
      <c r="AQ185" s="49">
        <f>IF(AP185="","",AP185*IF(ABS(MOD(ABS((X185)),1)-0.5)&lt;1E-9,2*ROUND((X185)/2,0),ROUND((X185),0)))</f>
        <v/>
      </c>
      <c r="AR185" s="47">
        <f>IF(OR(AK185="",V185=0),"",MIN(IF(AX185="",9.9E+99,AX185),AO185/V185))</f>
        <v/>
      </c>
      <c r="AS185" s="49">
        <f>IF(AR185="","",AR185*IF(B185="South Korea",IF(ABS(MOD(ABS((X185)),1)-0.5)&lt;1E-9,2*ROUND((X185)/2,0),ROUND((X185),0)),X185))</f>
        <v/>
      </c>
      <c r="AT185" s="51" t="n"/>
      <c r="AU185" s="43" t="inlineStr">
        <is>
          <t>Grounded</t>
        </is>
      </c>
      <c r="AV185" s="52" t="n"/>
      <c r="AW185" s="52" t="n"/>
      <c r="AX185" s="53" t="n"/>
      <c r="AY185" s="54">
        <f>IF(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&lt;=0,"",VLOOKUP(B185,country_opex,7,FALSE)/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)</f>
        <v/>
      </c>
      <c r="AZ185" s="54">
        <f>IF(((W185*pax_cap*IF(B185="South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Korea",korea_mid_revleg,revleg_mid)),0))*VLOOKUP(B185,country_opex,3,FALSE))+Z185+AA185+AB185+AC185+AD185))&lt;=0,"",VLOOKUP(B185,country_opex,7,FALSE)/((W185*pax_cap*IF(B185="South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Korea",korea_mid_revleg,revleg_mid)),0))*VLOOKUP(B185,country_opex,3,FALSE))+Z185+AA185+AB185+AC185+AD185)))</f>
        <v/>
      </c>
      <c r="BA185" s="54">
        <f>IF(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&lt;=0,"",VLOOKUP(B185,country_opex,7,FALSE)/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)</f>
        <v/>
      </c>
      <c r="BB185" s="40" t="inlineStr">
        <is>
          <t>handoff/INDIA-ECONOMICS-SIDECAR-V0-2026-06-20.json (goa)</t>
        </is>
      </c>
      <c r="BC185" s="40" t="inlineStr">
        <is>
          <t>handoff/INDIA-ECONOMICS-SIDECAR-V0-2026-06-20.json (goa)</t>
        </is>
      </c>
      <c r="BD185" s="43" t="inlineStr">
        <is>
          <t>ics-30e7ae3007</t>
        </is>
      </c>
    </row>
    <row r="186">
      <c r="A186" s="38" t="inlineStr">
        <is>
          <t>India Kerala Rapido</t>
        </is>
      </c>
      <c r="B186" s="38" t="inlineStr">
        <is>
          <t>India</t>
        </is>
      </c>
      <c r="C186" s="39" t="inlineStr">
        <is>
          <t>Kochi International Marina KTDC → Martins Harbour</t>
        </is>
      </c>
      <c r="D186" s="38" t="inlineStr">
        <is>
          <t>rapido</t>
        </is>
      </c>
      <c r="E186" s="40" t="inlineStr">
        <is>
          <t>india-kerala-ola, india-kerala-rapido</t>
        </is>
      </c>
      <c r="F186" s="41" t="n">
        <v>2</v>
      </c>
      <c r="G186" s="42" t="n">
        <v>2.1</v>
      </c>
      <c r="H186" s="35" t="n">
        <v>18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IF(B186="South Korea",G186/korea_charge_range_nm*korea_full_range_charge_min,0)</f>
        <v/>
      </c>
      <c r="N186" s="44">
        <f>IF(B186="South Korea",L186+korea_turn_min+korea_dwell_min+M186,L186+turn_min+dwell_min)</f>
        <v/>
      </c>
      <c r="O186" s="45">
        <f>IF(B186="South Korea",FLOOR(60*korea_service_hr/N186,1),MIN(15,FLOOR(60*service_hr/N186,1)))</f>
        <v/>
      </c>
      <c r="P186" s="45">
        <f>IF(ABS(MOD(ABS((365*mech_uptime*K186)),1)-0.5)&lt;1E-9,2*ROUND((365*mech_uptime*K186)/2,0),ROUND((365*mech_uptime*K186),0))</f>
        <v/>
      </c>
      <c r="Q186" s="46">
        <f>mech_uptime</f>
        <v/>
      </c>
      <c r="R186" s="46">
        <f>IF(AND(B186="South Korea",scenario="MID"),korea_mid_revleg,revleg_sel)</f>
        <v/>
      </c>
      <c r="S186" s="45">
        <f>IF(ABS(MOD(ABS((O186*P186*R186)),1)-0.5)&lt;1E-9,2*ROUND((O186*P186*R186)/2,0),ROUND((O186*P186*R186),0))</f>
        <v/>
      </c>
      <c r="T186" s="46">
        <f>IF(AND(B186="South Korea",scenario="MID"),korea_mid_load,load_sel)</f>
        <v/>
      </c>
      <c r="U186" s="47">
        <f>pax_cap*T186</f>
        <v/>
      </c>
      <c r="V186" s="45">
        <f>U186*S186</f>
        <v/>
      </c>
      <c r="W186" s="48">
        <f>H186*discount</f>
        <v/>
      </c>
      <c r="X186" s="49">
        <f>W186*V186</f>
        <v/>
      </c>
      <c r="Y186" s="49">
        <f>(battery/range_nm)*G186*S186*VLOOKUP(B186,country_opex,3,FALSE)</f>
        <v/>
      </c>
      <c r="Z186" s="49">
        <f>VLOOKUP(B186,country_opex,2,FALSE)*crew_factor</f>
        <v/>
      </c>
      <c r="AA186" s="49">
        <f>VLOOKUP(B186,country_opex,5,FALSE)</f>
        <v/>
      </c>
      <c r="AB186" s="49">
        <f>maint</f>
        <v/>
      </c>
      <c r="AC186" s="49">
        <f>VLOOKUP(B186,country_opex,7,FALSE)*ins_pct</f>
        <v/>
      </c>
      <c r="AD186" s="49">
        <f>charge_berth</f>
        <v/>
      </c>
      <c r="AE186" s="49">
        <f>Y186+Z186+AA186+AB186+AC186+AD186</f>
        <v/>
      </c>
      <c r="AF186" s="49">
        <f>VLOOKUP(B186,country_opex,7,FALSE)/dep_years</f>
        <v/>
      </c>
      <c r="AG186" s="49">
        <f>X186-AE186</f>
        <v/>
      </c>
      <c r="AH186" s="46">
        <f>IF(X186=0,"",AG186/X186)</f>
        <v/>
      </c>
      <c r="AI186" s="47">
        <f>IF(AG186&lt;=0,"",VLOOKUP(B186,country_opex,7,FALSE)/AG186)</f>
        <v/>
      </c>
      <c r="AJ186" s="44">
        <f>((G186*S186/diesel_nmpg)*diesel_co2pg-(battery/range_nm)*G186*S186*VLOOKUP(B186,country_opex,4,FALSE))/1000</f>
        <v/>
      </c>
      <c r="AK186" s="42" t="n">
        <v>29166</v>
      </c>
      <c r="AL186" s="43" t="inlineStr">
        <is>
          <t>T3</t>
        </is>
      </c>
      <c r="AM186" s="43" t="inlineStr">
        <is>
          <t>med-low</t>
        </is>
      </c>
      <c r="AN186" s="50" t="n">
        <v>0.1</v>
      </c>
      <c r="AO186" s="45">
        <f>IF(AK186="","",AK186*AN186)</f>
        <v/>
      </c>
      <c r="AP186" s="45">
        <f>IF(OR(AK186="",V186=0),"",MIN(IF(AX186="",9.9E+99,AX186),FLOOR(AO186/V186,1)))</f>
        <v/>
      </c>
      <c r="AQ186" s="49">
        <f>IF(AP186="","",AP186*IF(ABS(MOD(ABS((X186)),1)-0.5)&lt;1E-9,2*ROUND((X186)/2,0),ROUND((X186),0)))</f>
        <v/>
      </c>
      <c r="AR186" s="47">
        <f>IF(OR(AK186="",V186=0),"",MIN(IF(AX186="",9.9E+99,AX186),AO186/V186))</f>
        <v/>
      </c>
      <c r="AS186" s="49">
        <f>IF(AR186="","",AR186*IF(B186="South Korea",IF(ABS(MOD(ABS((X186)),1)-0.5)&lt;1E-9,2*ROUND((X186)/2,0),ROUND((X186),0)),X186))</f>
        <v/>
      </c>
      <c r="AT186" s="51" t="n"/>
      <c r="AU186" s="43" t="inlineStr">
        <is>
          <t>Grounded</t>
        </is>
      </c>
      <c r="AV186" s="52" t="n"/>
      <c r="AW186" s="52" t="n"/>
      <c r="AX186" s="53" t="n"/>
      <c r="AY186" s="54">
        <f>IF(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&lt;=0,"",VLOOKUP(B186,country_opex,7,FALSE)/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)</f>
        <v/>
      </c>
      <c r="AZ186" s="54">
        <f>IF(((W186*pax_cap*IF(B186="South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Korea",korea_mid_revleg,revleg_mid)),0))*VLOOKUP(B186,country_opex,3,FALSE))+Z186+AA186+AB186+AC186+AD186))&lt;=0,"",VLOOKUP(B186,country_opex,7,FALSE)/((W186*pax_cap*IF(B186="South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Korea",korea_mid_revleg,revleg_mid)),0))*VLOOKUP(B186,country_opex,3,FALSE))+Z186+AA186+AB186+AC186+AD186)))</f>
        <v/>
      </c>
      <c r="BA186" s="54">
        <f>IF(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&lt;=0,"",VLOOKUP(B186,country_opex,7,FALSE)/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)</f>
        <v/>
      </c>
      <c r="BB186" s="40" t="inlineStr">
        <is>
          <t>[LB-255 PREMIUM RE-FARE: subsidized comparable $3.5 lifted to premium on-demand floor $18.0] handoff/INDIA-ECONOMICS-SIDECAR-V0-2026-06-20.json (kerala)</t>
        </is>
      </c>
      <c r="BC186" s="40" t="inlineStr">
        <is>
          <t>handoff/INDIA-ECONOMICS-SIDECAR-V0-2026-06-20.json (kerala)</t>
        </is>
      </c>
      <c r="BD186" s="43" t="inlineStr">
        <is>
          <t>ics-8404d09d86</t>
        </is>
      </c>
    </row>
    <row r="187">
      <c r="A187" s="38" t="inlineStr">
        <is>
          <t>India Kerala Rapido</t>
        </is>
      </c>
      <c r="B187" s="38" t="inlineStr">
        <is>
          <t>India</t>
        </is>
      </c>
      <c r="C187" s="39" t="inlineStr">
        <is>
          <t>Marina One, Kochi → Harbour Roof Garden</t>
        </is>
      </c>
      <c r="D187" s="38" t="inlineStr">
        <is>
          <t>rapido</t>
        </is>
      </c>
      <c r="E187" s="40" t="inlineStr">
        <is>
          <t>india-kerala-ola, india-kerala-rapido</t>
        </is>
      </c>
      <c r="F187" s="41" t="n">
        <v>2</v>
      </c>
      <c r="G187" s="42" t="n">
        <v>2.1</v>
      </c>
      <c r="H187" s="35" t="n">
        <v>18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IF(B187="South Korea",G187/korea_charge_range_nm*korea_full_range_charge_min,0)</f>
        <v/>
      </c>
      <c r="N187" s="44">
        <f>IF(B187="South Korea",L187+korea_turn_min+korea_dwell_min+M187,L187+turn_min+dwell_min)</f>
        <v/>
      </c>
      <c r="O187" s="45">
        <f>IF(B187="South Korea",FLOOR(60*korea_service_hr/N187,1),MIN(15,FLOOR(60*service_hr/N187,1)))</f>
        <v/>
      </c>
      <c r="P187" s="45">
        <f>IF(ABS(MOD(ABS((365*mech_uptime*K187)),1)-0.5)&lt;1E-9,2*ROUND((365*mech_uptime*K187)/2,0),ROUND((365*mech_uptime*K187),0))</f>
        <v/>
      </c>
      <c r="Q187" s="46">
        <f>mech_uptime</f>
        <v/>
      </c>
      <c r="R187" s="46">
        <f>IF(AND(B187="South Korea",scenario="MID"),korea_mid_revleg,revleg_sel)</f>
        <v/>
      </c>
      <c r="S187" s="45">
        <f>IF(ABS(MOD(ABS((O187*P187*R187)),1)-0.5)&lt;1E-9,2*ROUND((O187*P187*R187)/2,0),ROUND((O187*P187*R187),0))</f>
        <v/>
      </c>
      <c r="T187" s="46">
        <f>IF(AND(B187="South Korea",scenario="MID"),korea_mid_load,load_sel)</f>
        <v/>
      </c>
      <c r="U187" s="47">
        <f>pax_cap*T187</f>
        <v/>
      </c>
      <c r="V187" s="45">
        <f>U187*S187</f>
        <v/>
      </c>
      <c r="W187" s="48">
        <f>H187*discount</f>
        <v/>
      </c>
      <c r="X187" s="49">
        <f>W187*V187</f>
        <v/>
      </c>
      <c r="Y187" s="49">
        <f>(battery/range_nm)*G187*S187*VLOOKUP(B187,country_opex,3,FALSE)</f>
        <v/>
      </c>
      <c r="Z187" s="49">
        <f>VLOOKUP(B187,country_opex,2,FALSE)*crew_factor</f>
        <v/>
      </c>
      <c r="AA187" s="49">
        <f>VLOOKUP(B187,country_opex,5,FALSE)</f>
        <v/>
      </c>
      <c r="AB187" s="49">
        <f>maint</f>
        <v/>
      </c>
      <c r="AC187" s="49">
        <f>VLOOKUP(B187,country_opex,7,FALSE)*ins_pct</f>
        <v/>
      </c>
      <c r="AD187" s="49">
        <f>charge_berth</f>
        <v/>
      </c>
      <c r="AE187" s="49">
        <f>Y187+Z187+AA187+AB187+AC187+AD187</f>
        <v/>
      </c>
      <c r="AF187" s="49">
        <f>VLOOKUP(B187,country_opex,7,FALSE)/dep_years</f>
        <v/>
      </c>
      <c r="AG187" s="49">
        <f>X187-AE187</f>
        <v/>
      </c>
      <c r="AH187" s="46">
        <f>IF(X187=0,"",AG187/X187)</f>
        <v/>
      </c>
      <c r="AI187" s="47">
        <f>IF(AG187&lt;=0,"",VLOOKUP(B187,country_opex,7,FALSE)/AG187)</f>
        <v/>
      </c>
      <c r="AJ187" s="44">
        <f>((G187*S187/diesel_nmpg)*diesel_co2pg-(battery/range_nm)*G187*S187*VLOOKUP(B187,country_opex,4,FALSE))/1000</f>
        <v/>
      </c>
      <c r="AK187" s="42" t="n">
        <v>29166</v>
      </c>
      <c r="AL187" s="43" t="inlineStr">
        <is>
          <t>T3</t>
        </is>
      </c>
      <c r="AM187" s="43" t="inlineStr">
        <is>
          <t>med-low</t>
        </is>
      </c>
      <c r="AN187" s="50" t="n">
        <v>0.1</v>
      </c>
      <c r="AO187" s="45">
        <f>IF(AK187="","",AK187*AN187)</f>
        <v/>
      </c>
      <c r="AP187" s="45">
        <f>IF(OR(AK187="",V187=0),"",MIN(IF(AX187="",9.9E+99,AX187),FLOOR(AO187/V187,1)))</f>
        <v/>
      </c>
      <c r="AQ187" s="49">
        <f>IF(AP187="","",AP187*IF(ABS(MOD(ABS((X187)),1)-0.5)&lt;1E-9,2*ROUND((X187)/2,0),ROUND((X187),0)))</f>
        <v/>
      </c>
      <c r="AR187" s="47">
        <f>IF(OR(AK187="",V187=0),"",MIN(IF(AX187="",9.9E+99,AX187),AO187/V187))</f>
        <v/>
      </c>
      <c r="AS187" s="49">
        <f>IF(AR187="","",AR187*IF(B187="South Korea",IF(ABS(MOD(ABS((X187)),1)-0.5)&lt;1E-9,2*ROUND((X187)/2,0),ROUND((X187),0)),X187))</f>
        <v/>
      </c>
      <c r="AT187" s="51" t="n"/>
      <c r="AU187" s="43" t="inlineStr">
        <is>
          <t>Grounded</t>
        </is>
      </c>
      <c r="AV187" s="52" t="n"/>
      <c r="AW187" s="52" t="n"/>
      <c r="AX187" s="53" t="n"/>
      <c r="AY187" s="54">
        <f>IF(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&lt;=0,"",VLOOKUP(B187,country_opex,7,FALSE)/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)</f>
        <v/>
      </c>
      <c r="AZ187" s="54">
        <f>IF(((W187*pax_cap*IF(B187="South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Korea",korea_mid_revleg,revleg_mid)),0))*VLOOKUP(B187,country_opex,3,FALSE))+Z187+AA187+AB187+AC187+AD187))&lt;=0,"",VLOOKUP(B187,country_opex,7,FALSE)/((W187*pax_cap*IF(B187="South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Korea",korea_mid_revleg,revleg_mid)),0))*VLOOKUP(B187,country_opex,3,FALSE))+Z187+AA187+AB187+AC187+AD187)))</f>
        <v/>
      </c>
      <c r="BA187" s="54">
        <f>IF(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&lt;=0,"",VLOOKUP(B187,country_opex,7,FALSE)/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)</f>
        <v/>
      </c>
      <c r="BB187" s="40" t="inlineStr">
        <is>
          <t>[LB-255 PREMIUM RE-FARE: subsidized comparable $3.5 lifted to premium on-demand floor $18.0] handoff/INDIA-ECONOMICS-SIDECAR-V0-2026-06-20.json (kerala)</t>
        </is>
      </c>
      <c r="BC187" s="40" t="inlineStr">
        <is>
          <t>handoff/INDIA-ECONOMICS-SIDECAR-V0-2026-06-20.json (kerala)</t>
        </is>
      </c>
      <c r="BD187" s="43" t="inlineStr">
        <is>
          <t>ics-518c914828</t>
        </is>
      </c>
    </row>
    <row r="188">
      <c r="A188" s="38" t="inlineStr">
        <is>
          <t>India Kerala Rapido</t>
        </is>
      </c>
      <c r="B188" s="38" t="inlineStr">
        <is>
          <t>India</t>
        </is>
      </c>
      <c r="C188" s="39" t="inlineStr">
        <is>
          <t>Water Wolf Speed Boat - Boating Kadamakudy → Ferry Terminal</t>
        </is>
      </c>
      <c r="D188" s="38" t="inlineStr">
        <is>
          <t>rapido</t>
        </is>
      </c>
      <c r="E188" s="40" t="inlineStr">
        <is>
          <t>india-kerala-ola, india-kerala-rapido</t>
        </is>
      </c>
      <c r="F188" s="41" t="n">
        <v>2</v>
      </c>
      <c r="G188" s="42" t="n">
        <v>2.1</v>
      </c>
      <c r="H188" s="35" t="n">
        <v>18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IF(B188="South Korea",G188/korea_charge_range_nm*korea_full_range_charge_min,0)</f>
        <v/>
      </c>
      <c r="N188" s="44">
        <f>IF(B188="South Korea",L188+korea_turn_min+korea_dwell_min+M188,L188+turn_min+dwell_min)</f>
        <v/>
      </c>
      <c r="O188" s="45">
        <f>IF(B188="South Korea",FLOOR(60*korea_service_hr/N188,1),MIN(15,FLOOR(60*service_hr/N188,1)))</f>
        <v/>
      </c>
      <c r="P188" s="45">
        <f>IF(ABS(MOD(ABS((365*mech_uptime*K188)),1)-0.5)&lt;1E-9,2*ROUND((365*mech_uptime*K188)/2,0),ROUND((365*mech_uptime*K188),0))</f>
        <v/>
      </c>
      <c r="Q188" s="46">
        <f>mech_uptime</f>
        <v/>
      </c>
      <c r="R188" s="46">
        <f>IF(AND(B188="South Korea",scenario="MID"),korea_mid_revleg,revleg_sel)</f>
        <v/>
      </c>
      <c r="S188" s="45">
        <f>IF(ABS(MOD(ABS((O188*P188*R188)),1)-0.5)&lt;1E-9,2*ROUND((O188*P188*R188)/2,0),ROUND((O188*P188*R188),0))</f>
        <v/>
      </c>
      <c r="T188" s="46">
        <f>IF(AND(B188="South Korea",scenario="MID"),korea_mid_load,load_sel)</f>
        <v/>
      </c>
      <c r="U188" s="47">
        <f>pax_cap*T188</f>
        <v/>
      </c>
      <c r="V188" s="45">
        <f>U188*S188</f>
        <v/>
      </c>
      <c r="W188" s="48">
        <f>H188*discount</f>
        <v/>
      </c>
      <c r="X188" s="49">
        <f>W188*V188</f>
        <v/>
      </c>
      <c r="Y188" s="49">
        <f>(battery/range_nm)*G188*S188*VLOOKUP(B188,country_opex,3,FALSE)</f>
        <v/>
      </c>
      <c r="Z188" s="49">
        <f>VLOOKUP(B188,country_opex,2,FALSE)*crew_factor</f>
        <v/>
      </c>
      <c r="AA188" s="49">
        <f>VLOOKUP(B188,country_opex,5,FALSE)</f>
        <v/>
      </c>
      <c r="AB188" s="49">
        <f>maint</f>
        <v/>
      </c>
      <c r="AC188" s="49">
        <f>VLOOKUP(B188,country_opex,7,FALSE)*ins_pct</f>
        <v/>
      </c>
      <c r="AD188" s="49">
        <f>charge_berth</f>
        <v/>
      </c>
      <c r="AE188" s="49">
        <f>Y188+Z188+AA188+AB188+AC188+AD188</f>
        <v/>
      </c>
      <c r="AF188" s="49">
        <f>VLOOKUP(B188,country_opex,7,FALSE)/dep_years</f>
        <v/>
      </c>
      <c r="AG188" s="49">
        <f>X188-AE188</f>
        <v/>
      </c>
      <c r="AH188" s="46">
        <f>IF(X188=0,"",AG188/X188)</f>
        <v/>
      </c>
      <c r="AI188" s="47">
        <f>IF(AG188&lt;=0,"",VLOOKUP(B188,country_opex,7,FALSE)/AG188)</f>
        <v/>
      </c>
      <c r="AJ188" s="44">
        <f>((G188*S188/diesel_nmpg)*diesel_co2pg-(battery/range_nm)*G188*S188*VLOOKUP(B188,country_opex,4,FALSE))/1000</f>
        <v/>
      </c>
      <c r="AK188" s="42" t="n">
        <v>29166</v>
      </c>
      <c r="AL188" s="43" t="inlineStr">
        <is>
          <t>T3</t>
        </is>
      </c>
      <c r="AM188" s="43" t="inlineStr">
        <is>
          <t>med-low</t>
        </is>
      </c>
      <c r="AN188" s="50" t="n">
        <v>0.1</v>
      </c>
      <c r="AO188" s="45">
        <f>IF(AK188="","",AK188*AN188)</f>
        <v/>
      </c>
      <c r="AP188" s="45">
        <f>IF(OR(AK188="",V188=0),"",MIN(IF(AX188="",9.9E+99,AX188),FLOOR(AO188/V188,1)))</f>
        <v/>
      </c>
      <c r="AQ188" s="49">
        <f>IF(AP188="","",AP188*IF(ABS(MOD(ABS((X188)),1)-0.5)&lt;1E-9,2*ROUND((X188)/2,0),ROUND((X188),0)))</f>
        <v/>
      </c>
      <c r="AR188" s="47">
        <f>IF(OR(AK188="",V188=0),"",MIN(IF(AX188="",9.9E+99,AX188),AO188/V188))</f>
        <v/>
      </c>
      <c r="AS188" s="49">
        <f>IF(AR188="","",AR188*IF(B188="South Korea",IF(ABS(MOD(ABS((X188)),1)-0.5)&lt;1E-9,2*ROUND((X188)/2,0),ROUND((X188),0)),X188))</f>
        <v/>
      </c>
      <c r="AT188" s="51" t="n"/>
      <c r="AU188" s="43" t="inlineStr">
        <is>
          <t>Grounded</t>
        </is>
      </c>
      <c r="AV188" s="52" t="n"/>
      <c r="AW188" s="52" t="n"/>
      <c r="AX188" s="53" t="n"/>
      <c r="AY188" s="54">
        <f>IF(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&lt;=0,"",VLOOKUP(B188,country_opex,7,FALSE)/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)</f>
        <v/>
      </c>
      <c r="AZ188" s="54">
        <f>IF(((W188*pax_cap*IF(B188="South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Korea",korea_mid_revleg,revleg_mid)),0))*VLOOKUP(B188,country_opex,3,FALSE))+Z188+AA188+AB188+AC188+AD188))&lt;=0,"",VLOOKUP(B188,country_opex,7,FALSE)/((W188*pax_cap*IF(B188="South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Korea",korea_mid_revleg,revleg_mid)),0))*VLOOKUP(B188,country_opex,3,FALSE))+Z188+AA188+AB188+AC188+AD188)))</f>
        <v/>
      </c>
      <c r="BA188" s="54">
        <f>IF(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&lt;=0,"",VLOOKUP(B188,country_opex,7,FALSE)/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)</f>
        <v/>
      </c>
      <c r="BB188" s="40" t="inlineStr">
        <is>
          <t>[LB-255 PREMIUM RE-FARE: subsidized comparable $3.5 lifted to premium on-demand floor $18.0] handoff/INDIA-ECONOMICS-SIDECAR-V0-2026-06-20.json (kerala)</t>
        </is>
      </c>
      <c r="BC188" s="40" t="inlineStr">
        <is>
          <t>handoff/INDIA-ECONOMICS-SIDECAR-V0-2026-06-20.json (kerala)</t>
        </is>
      </c>
      <c r="BD188" s="43" t="inlineStr">
        <is>
          <t>ics-573ebe09cb</t>
        </is>
      </c>
    </row>
    <row r="189">
      <c r="A189" s="38" t="inlineStr">
        <is>
          <t>India Andaman Rapido</t>
        </is>
      </c>
      <c r="B189" s="38" t="inlineStr">
        <is>
          <t>India</t>
        </is>
      </c>
      <c r="C189" s="39" t="inlineStr">
        <is>
          <t>Andaman → Game Fishing In Andaman | Bite Me Charter | Best Sport fishing in Andaman Islands</t>
        </is>
      </c>
      <c r="D189" s="38" t="inlineStr">
        <is>
          <t>rapido</t>
        </is>
      </c>
      <c r="E189" s="40" t="inlineStr">
        <is>
          <t>india-andaman-ola, india-andaman-rapido</t>
        </is>
      </c>
      <c r="F189" s="41" t="n">
        <v>2</v>
      </c>
      <c r="G189" s="42" t="n">
        <v>2.1</v>
      </c>
      <c r="H189" s="35" t="n">
        <v>22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IF(B189="South Korea",G189/korea_charge_range_nm*korea_full_range_charge_min,0)</f>
        <v/>
      </c>
      <c r="N189" s="44">
        <f>IF(B189="South Korea",L189+korea_turn_min+korea_dwell_min+M189,L189+turn_min+dwell_min)</f>
        <v/>
      </c>
      <c r="O189" s="45">
        <f>IF(B189="South Korea",FLOOR(60*korea_service_hr/N189,1),MIN(15,FLOOR(60*service_hr/N189,1)))</f>
        <v/>
      </c>
      <c r="P189" s="45">
        <f>IF(ABS(MOD(ABS((365*mech_uptime*K189)),1)-0.5)&lt;1E-9,2*ROUND((365*mech_uptime*K189)/2,0),ROUND((365*mech_uptime*K189),0))</f>
        <v/>
      </c>
      <c r="Q189" s="46">
        <f>mech_uptime</f>
        <v/>
      </c>
      <c r="R189" s="46">
        <f>IF(AND(B189="South Korea",scenario="MID"),korea_mid_revleg,revleg_sel)</f>
        <v/>
      </c>
      <c r="S189" s="45">
        <f>IF(ABS(MOD(ABS((O189*P189*R189)),1)-0.5)&lt;1E-9,2*ROUND((O189*P189*R189)/2,0),ROUND((O189*P189*R189),0))</f>
        <v/>
      </c>
      <c r="T189" s="46">
        <f>IF(AND(B189="South Korea",scenario="MID"),korea_mid_load,load_sel)</f>
        <v/>
      </c>
      <c r="U189" s="47">
        <f>pax_cap*T189</f>
        <v/>
      </c>
      <c r="V189" s="45">
        <f>U189*S189</f>
        <v/>
      </c>
      <c r="W189" s="48">
        <f>H189*discount</f>
        <v/>
      </c>
      <c r="X189" s="49">
        <f>W189*V189</f>
        <v/>
      </c>
      <c r="Y189" s="49">
        <f>(battery/range_nm)*G189*S189*VLOOKUP(B189,country_opex,3,FALSE)</f>
        <v/>
      </c>
      <c r="Z189" s="49">
        <f>VLOOKUP(B189,country_opex,2,FALSE)*crew_factor</f>
        <v/>
      </c>
      <c r="AA189" s="49">
        <f>VLOOKUP(B189,country_opex,5,FALSE)</f>
        <v/>
      </c>
      <c r="AB189" s="49">
        <f>maint</f>
        <v/>
      </c>
      <c r="AC189" s="49">
        <f>VLOOKUP(B189,country_opex,7,FALSE)*ins_pct</f>
        <v/>
      </c>
      <c r="AD189" s="49">
        <f>charge_berth</f>
        <v/>
      </c>
      <c r="AE189" s="49">
        <f>Y189+Z189+AA189+AB189+AC189+AD189</f>
        <v/>
      </c>
      <c r="AF189" s="49">
        <f>VLOOKUP(B189,country_opex,7,FALSE)/dep_years</f>
        <v/>
      </c>
      <c r="AG189" s="49">
        <f>X189-AE189</f>
        <v/>
      </c>
      <c r="AH189" s="46">
        <f>IF(X189=0,"",AG189/X189)</f>
        <v/>
      </c>
      <c r="AI189" s="47">
        <f>IF(AG189&lt;=0,"",VLOOKUP(B189,country_opex,7,FALSE)/AG189)</f>
        <v/>
      </c>
      <c r="AJ189" s="44">
        <f>((G189*S189/diesel_nmpg)*diesel_co2pg-(battery/range_nm)*G189*S189*VLOOKUP(B189,country_opex,4,FALSE))/1000</f>
        <v/>
      </c>
      <c r="AK189" s="42" t="n">
        <v>5000</v>
      </c>
      <c r="AL189" s="43" t="inlineStr">
        <is>
          <t>T3</t>
        </is>
      </c>
      <c r="AM189" s="43" t="inlineStr">
        <is>
          <t>med-low</t>
        </is>
      </c>
      <c r="AN189" s="50" t="n">
        <v>0.1</v>
      </c>
      <c r="AO189" s="45">
        <f>IF(AK189="","",AK189*AN189)</f>
        <v/>
      </c>
      <c r="AP189" s="45">
        <f>IF(OR(AK189="",V189=0),"",MIN(IF(AX189="",9.9E+99,AX189),FLOOR(AO189/V189,1)))</f>
        <v/>
      </c>
      <c r="AQ189" s="49">
        <f>IF(AP189="","",AP189*IF(ABS(MOD(ABS((X189)),1)-0.5)&lt;1E-9,2*ROUND((X189)/2,0),ROUND((X189),0)))</f>
        <v/>
      </c>
      <c r="AR189" s="47">
        <f>IF(OR(AK189="",V189=0),"",MIN(IF(AX189="",9.9E+99,AX189),AO189/V189))</f>
        <v/>
      </c>
      <c r="AS189" s="49">
        <f>IF(AR189="","",AR189*IF(B189="South Korea",IF(ABS(MOD(ABS((X189)),1)-0.5)&lt;1E-9,2*ROUND((X189)/2,0),ROUND((X189),0)),X189))</f>
        <v/>
      </c>
      <c r="AT189" s="51" t="n"/>
      <c r="AU189" s="43" t="inlineStr">
        <is>
          <t>Grounded</t>
        </is>
      </c>
      <c r="AV189" s="52" t="n"/>
      <c r="AW189" s="52" t="n"/>
      <c r="AX189" s="53" t="n"/>
      <c r="AY189" s="54">
        <f>IF(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&lt;=0,"",VLOOKUP(B189,country_opex,7,FALSE)/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)</f>
        <v/>
      </c>
      <c r="AZ189" s="54">
        <f>IF(((W189*pax_cap*IF(B189="South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Korea",korea_mid_revleg,revleg_mid)),0))*VLOOKUP(B189,country_opex,3,FALSE))+Z189+AA189+AB189+AC189+AD189))&lt;=0,"",VLOOKUP(B189,country_opex,7,FALSE)/((W189*pax_cap*IF(B189="South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Korea",korea_mid_revleg,revleg_mid)),0))*VLOOKUP(B189,country_opex,3,FALSE))+Z189+AA189+AB189+AC189+AD189)))</f>
        <v/>
      </c>
      <c r="BA189" s="54">
        <f>IF(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&lt;=0,"",VLOOKUP(B189,country_opex,7,FALSE)/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)</f>
        <v/>
      </c>
      <c r="BB189" s="40" t="inlineStr">
        <is>
          <t>handoff/INDIA-ECONOMICS-SIDECAR-V0-2026-06-20.json (andaman)</t>
        </is>
      </c>
      <c r="BC189" s="40" t="inlineStr">
        <is>
          <t>handoff/INDIA-ECONOMICS-SIDECAR-V0-2026-06-20.json (andaman)</t>
        </is>
      </c>
      <c r="BD189" s="43" t="inlineStr">
        <is>
          <t>rn-d10abbe5d36a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Game Fishing In Andaman | Bite Me Charter | Best Sport fishing in Andaman Islands → Junglighat Jetty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2.1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IF(B190="South Korea",G190/korea_charge_range_nm*korea_full_range_charge_min,0)</f>
        <v/>
      </c>
      <c r="N190" s="44">
        <f>IF(B190="South Korea",L190+korea_turn_min+korea_dwell_min+M190,L190+turn_min+dwell_min)</f>
        <v/>
      </c>
      <c r="O190" s="45">
        <f>IF(B190="South Korea",FLOOR(60*korea_service_hr/N190,1),MIN(15,FLOOR(60*service_hr/N190,1)))</f>
        <v/>
      </c>
      <c r="P190" s="45">
        <f>IF(ABS(MOD(ABS((365*mech_uptime*K190)),1)-0.5)&lt;1E-9,2*ROUND((365*mech_uptime*K190)/2,0),ROUND((365*mech_uptime*K190),0))</f>
        <v/>
      </c>
      <c r="Q190" s="46">
        <f>mech_uptime</f>
        <v/>
      </c>
      <c r="R190" s="46">
        <f>IF(AND(B190="South Korea",scenario="MID"),korea_mid_revleg,revleg_sel)</f>
        <v/>
      </c>
      <c r="S190" s="45">
        <f>IF(ABS(MOD(ABS((O190*P190*R190)),1)-0.5)&lt;1E-9,2*ROUND((O190*P190*R190)/2,0),ROUND((O190*P190*R190),0))</f>
        <v/>
      </c>
      <c r="T190" s="46">
        <f>IF(AND(B190="South Korea",scenario="MID"),korea_mid_load,load_sel)</f>
        <v/>
      </c>
      <c r="U190" s="47">
        <f>pax_cap*T190</f>
        <v/>
      </c>
      <c r="V190" s="45">
        <f>U190*S190</f>
        <v/>
      </c>
      <c r="W190" s="48">
        <f>H190*discount</f>
        <v/>
      </c>
      <c r="X190" s="49">
        <f>W190*V190</f>
        <v/>
      </c>
      <c r="Y190" s="49">
        <f>(battery/range_nm)*G190*S190*VLOOKUP(B190,country_opex,3,FALSE)</f>
        <v/>
      </c>
      <c r="Z190" s="49">
        <f>VLOOKUP(B190,country_opex,2,FALSE)*crew_factor</f>
        <v/>
      </c>
      <c r="AA190" s="49">
        <f>VLOOKUP(B190,country_opex,5,FALSE)</f>
        <v/>
      </c>
      <c r="AB190" s="49">
        <f>maint</f>
        <v/>
      </c>
      <c r="AC190" s="49">
        <f>VLOOKUP(B190,country_opex,7,FALSE)*ins_pct</f>
        <v/>
      </c>
      <c r="AD190" s="49">
        <f>charge_berth</f>
        <v/>
      </c>
      <c r="AE190" s="49">
        <f>Y190+Z190+AA190+AB190+AC190+AD190</f>
        <v/>
      </c>
      <c r="AF190" s="49">
        <f>VLOOKUP(B190,country_opex,7,FALSE)/dep_years</f>
        <v/>
      </c>
      <c r="AG190" s="49">
        <f>X190-AE190</f>
        <v/>
      </c>
      <c r="AH190" s="46">
        <f>IF(X190=0,"",AG190/X190)</f>
        <v/>
      </c>
      <c r="AI190" s="47">
        <f>IF(AG190&lt;=0,"",VLOOKUP(B190,country_opex,7,FALSE)/AG190)</f>
        <v/>
      </c>
      <c r="AJ190" s="44">
        <f>((G190*S190/diesel_nmpg)*diesel_co2pg-(battery/range_nm)*G190*S190*VLOOKUP(B190,country_opex,4,FALSE))/1000</f>
        <v/>
      </c>
      <c r="AK190" s="42" t="n">
        <v>5000</v>
      </c>
      <c r="AL190" s="43" t="inlineStr">
        <is>
          <t>T3</t>
        </is>
      </c>
      <c r="AM190" s="43" t="inlineStr">
        <is>
          <t>med-low</t>
        </is>
      </c>
      <c r="AN190" s="50" t="n">
        <v>0.1</v>
      </c>
      <c r="AO190" s="45">
        <f>IF(AK190="","",AK190*AN190)</f>
        <v/>
      </c>
      <c r="AP190" s="45">
        <f>IF(OR(AK190="",V190=0),"",MIN(IF(AX190="",9.9E+99,AX190),FLOOR(AO190/V190,1)))</f>
        <v/>
      </c>
      <c r="AQ190" s="49">
        <f>IF(AP190="","",AP190*IF(ABS(MOD(ABS((X190)),1)-0.5)&lt;1E-9,2*ROUND((X190)/2,0),ROUND((X190),0)))</f>
        <v/>
      </c>
      <c r="AR190" s="47">
        <f>IF(OR(AK190="",V190=0),"",MIN(IF(AX190="",9.9E+99,AX190),AO190/V190))</f>
        <v/>
      </c>
      <c r="AS190" s="49">
        <f>IF(AR190="","",AR190*IF(B190="South Korea",IF(ABS(MOD(ABS((X190)),1)-0.5)&lt;1E-9,2*ROUND((X190)/2,0),ROUND((X190),0)),X190))</f>
        <v/>
      </c>
      <c r="AT190" s="51" t="n"/>
      <c r="AU190" s="43" t="inlineStr">
        <is>
          <t>Grounded</t>
        </is>
      </c>
      <c r="AV190" s="52" t="n"/>
      <c r="AW190" s="52" t="n"/>
      <c r="AX190" s="53" t="n"/>
      <c r="AY190" s="54">
        <f>IF(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&lt;=0,"",VLOOKUP(B190,country_opex,7,FALSE)/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)</f>
        <v/>
      </c>
      <c r="AZ190" s="54">
        <f>IF(((W190*pax_cap*IF(B190="South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Korea",korea_mid_revleg,revleg_mid)),0))*VLOOKUP(B190,country_opex,3,FALSE))+Z190+AA190+AB190+AC190+AD190))&lt;=0,"",VLOOKUP(B190,country_opex,7,FALSE)/((W190*pax_cap*IF(B190="South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Korea",korea_mid_revleg,revleg_mid)),0))*VLOOKUP(B190,country_opex,3,FALSE))+Z190+AA190+AB190+AC190+AD190)))</f>
        <v/>
      </c>
      <c r="BA190" s="54">
        <f>IF(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&lt;=0,"",VLOOKUP(B190,country_opex,7,FALSE)/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)</f>
        <v/>
      </c>
      <c r="BB190" s="40" t="inlineStr">
        <is>
          <t>handoff/INDIA-ECONOMICS-SIDECAR-V0-2026-06-20.json (andaman)</t>
        </is>
      </c>
      <c r="BC190" s="40" t="inlineStr">
        <is>
          <t>handoff/INDIA-ECONOMICS-SIDECAR-V0-2026-06-20.json (andaman)</t>
        </is>
      </c>
      <c r="BD190" s="43" t="inlineStr">
        <is>
          <t>rn-40d432afeaa7</t>
        </is>
      </c>
    </row>
    <row r="191">
      <c r="A191" s="38" t="inlineStr">
        <is>
          <t>India Andaman Rapido</t>
        </is>
      </c>
      <c r="B191" s="38" t="inlineStr">
        <is>
          <t>India</t>
        </is>
      </c>
      <c r="C191" s="39" t="inlineStr">
        <is>
          <t>Andaman → Marina Park</t>
        </is>
      </c>
      <c r="D191" s="38" t="inlineStr">
        <is>
          <t>rapido</t>
        </is>
      </c>
      <c r="E191" s="40" t="inlineStr">
        <is>
          <t>india-andaman-ola, india-andaman-rapido</t>
        </is>
      </c>
      <c r="F191" s="41" t="n">
        <v>2</v>
      </c>
      <c r="G191" s="42" t="n">
        <v>2.2</v>
      </c>
      <c r="H191" s="35" t="n">
        <v>22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IF(B191="South Korea",G191/korea_charge_range_nm*korea_full_range_charge_min,0)</f>
        <v/>
      </c>
      <c r="N191" s="44">
        <f>IF(B191="South Korea",L191+korea_turn_min+korea_dwell_min+M191,L191+turn_min+dwell_min)</f>
        <v/>
      </c>
      <c r="O191" s="45">
        <f>IF(B191="South Korea",FLOOR(60*korea_service_hr/N191,1),MIN(15,FLOOR(60*service_hr/N191,1)))</f>
        <v/>
      </c>
      <c r="P191" s="45">
        <f>IF(ABS(MOD(ABS((365*mech_uptime*K191)),1)-0.5)&lt;1E-9,2*ROUND((365*mech_uptime*K191)/2,0),ROUND((365*mech_uptime*K191),0))</f>
        <v/>
      </c>
      <c r="Q191" s="46">
        <f>mech_uptime</f>
        <v/>
      </c>
      <c r="R191" s="46">
        <f>IF(AND(B191="South Korea",scenario="MID"),korea_mid_revleg,revleg_sel)</f>
        <v/>
      </c>
      <c r="S191" s="45">
        <f>IF(ABS(MOD(ABS((O191*P191*R191)),1)-0.5)&lt;1E-9,2*ROUND((O191*P191*R191)/2,0),ROUND((O191*P191*R191),0))</f>
        <v/>
      </c>
      <c r="T191" s="46">
        <f>IF(AND(B191="South Korea",scenario="MID"),korea_mid_load,load_sel)</f>
        <v/>
      </c>
      <c r="U191" s="47">
        <f>pax_cap*T191</f>
        <v/>
      </c>
      <c r="V191" s="45">
        <f>U191*S191</f>
        <v/>
      </c>
      <c r="W191" s="48">
        <f>H191*discount</f>
        <v/>
      </c>
      <c r="X191" s="49">
        <f>W191*V191</f>
        <v/>
      </c>
      <c r="Y191" s="49">
        <f>(battery/range_nm)*G191*S191*VLOOKUP(B191,country_opex,3,FALSE)</f>
        <v/>
      </c>
      <c r="Z191" s="49">
        <f>VLOOKUP(B191,country_opex,2,FALSE)*crew_factor</f>
        <v/>
      </c>
      <c r="AA191" s="49">
        <f>VLOOKUP(B191,country_opex,5,FALSE)</f>
        <v/>
      </c>
      <c r="AB191" s="49">
        <f>maint</f>
        <v/>
      </c>
      <c r="AC191" s="49">
        <f>VLOOKUP(B191,country_opex,7,FALSE)*ins_pct</f>
        <v/>
      </c>
      <c r="AD191" s="49">
        <f>charge_berth</f>
        <v/>
      </c>
      <c r="AE191" s="49">
        <f>Y191+Z191+AA191+AB191+AC191+AD191</f>
        <v/>
      </c>
      <c r="AF191" s="49">
        <f>VLOOKUP(B191,country_opex,7,FALSE)/dep_years</f>
        <v/>
      </c>
      <c r="AG191" s="49">
        <f>X191-AE191</f>
        <v/>
      </c>
      <c r="AH191" s="46">
        <f>IF(X191=0,"",AG191/X191)</f>
        <v/>
      </c>
      <c r="AI191" s="47">
        <f>IF(AG191&lt;=0,"",VLOOKUP(B191,country_opex,7,FALSE)/AG191)</f>
        <v/>
      </c>
      <c r="AJ191" s="44">
        <f>((G191*S191/diesel_nmpg)*diesel_co2pg-(battery/range_nm)*G191*S191*VLOOKUP(B191,country_opex,4,FALSE))/1000</f>
        <v/>
      </c>
      <c r="AK191" s="42" t="n">
        <v>5000</v>
      </c>
      <c r="AL191" s="43" t="inlineStr">
        <is>
          <t>T3</t>
        </is>
      </c>
      <c r="AM191" s="43" t="inlineStr">
        <is>
          <t>med-low</t>
        </is>
      </c>
      <c r="AN191" s="50" t="n">
        <v>0.1</v>
      </c>
      <c r="AO191" s="45">
        <f>IF(AK191="","",AK191*AN191)</f>
        <v/>
      </c>
      <c r="AP191" s="45">
        <f>IF(OR(AK191="",V191=0),"",MIN(IF(AX191="",9.9E+99,AX191),FLOOR(AO191/V191,1)))</f>
        <v/>
      </c>
      <c r="AQ191" s="49">
        <f>IF(AP191="","",AP191*IF(ABS(MOD(ABS((X191)),1)-0.5)&lt;1E-9,2*ROUND((X191)/2,0),ROUND((X191),0)))</f>
        <v/>
      </c>
      <c r="AR191" s="47">
        <f>IF(OR(AK191="",V191=0),"",MIN(IF(AX191="",9.9E+99,AX191),AO191/V191))</f>
        <v/>
      </c>
      <c r="AS191" s="49">
        <f>IF(AR191="","",AR191*IF(B191="South Korea",IF(ABS(MOD(ABS((X191)),1)-0.5)&lt;1E-9,2*ROUND((X191)/2,0),ROUND((X191),0)),X191))</f>
        <v/>
      </c>
      <c r="AT191" s="51" t="n"/>
      <c r="AU191" s="43" t="inlineStr">
        <is>
          <t>Grounded</t>
        </is>
      </c>
      <c r="AV191" s="52" t="n"/>
      <c r="AW191" s="52" t="n"/>
      <c r="AX191" s="53" t="n"/>
      <c r="AY191" s="54">
        <f>IF(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&lt;=0,"",VLOOKUP(B191,country_opex,7,FALSE)/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)</f>
        <v/>
      </c>
      <c r="AZ191" s="54">
        <f>IF(((W191*pax_cap*IF(B191="South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Korea",korea_mid_revleg,revleg_mid)),0))*VLOOKUP(B191,country_opex,3,FALSE))+Z191+AA191+AB191+AC191+AD191))&lt;=0,"",VLOOKUP(B191,country_opex,7,FALSE)/((W191*pax_cap*IF(B191="South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Korea",korea_mid_revleg,revleg_mid)),0))*VLOOKUP(B191,country_opex,3,FALSE))+Z191+AA191+AB191+AC191+AD191)))</f>
        <v/>
      </c>
      <c r="BA191" s="54">
        <f>IF(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&lt;=0,"",VLOOKUP(B191,country_opex,7,FALSE)/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)</f>
        <v/>
      </c>
      <c r="BB191" s="40" t="inlineStr">
        <is>
          <t>handoff/INDIA-ECONOMICS-SIDECAR-V0-2026-06-20.json (andaman)</t>
        </is>
      </c>
      <c r="BC191" s="40" t="inlineStr">
        <is>
          <t>handoff/INDIA-ECONOMICS-SIDECAR-V0-2026-06-20.json (andaman)</t>
        </is>
      </c>
      <c r="BD191" s="43" t="inlineStr">
        <is>
          <t>rn-1e732d528d88</t>
        </is>
      </c>
    </row>
    <row r="192">
      <c r="A192" s="38" t="inlineStr">
        <is>
          <t>India Andaman Rapido</t>
        </is>
      </c>
      <c r="B192" s="38" t="inlineStr">
        <is>
          <t>India</t>
        </is>
      </c>
      <c r="C192" s="39" t="inlineStr">
        <is>
          <t>Panighat Ferry Jetty → Chatham Jetty</t>
        </is>
      </c>
      <c r="D192" s="38" t="inlineStr">
        <is>
          <t>rapido</t>
        </is>
      </c>
      <c r="E192" s="40" t="inlineStr">
        <is>
          <t>india-andaman-ola, india-andaman-rapido</t>
        </is>
      </c>
      <c r="F192" s="41" t="n">
        <v>2</v>
      </c>
      <c r="G192" s="42" t="n">
        <v>2.2</v>
      </c>
      <c r="H192" s="35" t="n">
        <v>22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IF(B192="South Korea",G192/korea_charge_range_nm*korea_full_range_charge_min,0)</f>
        <v/>
      </c>
      <c r="N192" s="44">
        <f>IF(B192="South Korea",L192+korea_turn_min+korea_dwell_min+M192,L192+turn_min+dwell_min)</f>
        <v/>
      </c>
      <c r="O192" s="45">
        <f>IF(B192="South Korea",FLOOR(60*korea_service_hr/N192,1),MIN(15,FLOOR(60*service_hr/N192,1)))</f>
        <v/>
      </c>
      <c r="P192" s="45">
        <f>IF(ABS(MOD(ABS((365*mech_uptime*K192)),1)-0.5)&lt;1E-9,2*ROUND((365*mech_uptime*K192)/2,0),ROUND((365*mech_uptime*K192),0))</f>
        <v/>
      </c>
      <c r="Q192" s="46">
        <f>mech_uptime</f>
        <v/>
      </c>
      <c r="R192" s="46">
        <f>IF(AND(B192="South Korea",scenario="MID"),korea_mid_revleg,revleg_sel)</f>
        <v/>
      </c>
      <c r="S192" s="45">
        <f>IF(ABS(MOD(ABS((O192*P192*R192)),1)-0.5)&lt;1E-9,2*ROUND((O192*P192*R192)/2,0),ROUND((O192*P192*R192),0))</f>
        <v/>
      </c>
      <c r="T192" s="46">
        <f>IF(AND(B192="South Korea",scenario="MID"),korea_mid_load,load_sel)</f>
        <v/>
      </c>
      <c r="U192" s="47">
        <f>pax_cap*T192</f>
        <v/>
      </c>
      <c r="V192" s="45">
        <f>U192*S192</f>
        <v/>
      </c>
      <c r="W192" s="48">
        <f>H192*discount</f>
        <v/>
      </c>
      <c r="X192" s="49">
        <f>W192*V192</f>
        <v/>
      </c>
      <c r="Y192" s="49">
        <f>(battery/range_nm)*G192*S192*VLOOKUP(B192,country_opex,3,FALSE)</f>
        <v/>
      </c>
      <c r="Z192" s="49">
        <f>VLOOKUP(B192,country_opex,2,FALSE)*crew_factor</f>
        <v/>
      </c>
      <c r="AA192" s="49">
        <f>VLOOKUP(B192,country_opex,5,FALSE)</f>
        <v/>
      </c>
      <c r="AB192" s="49">
        <f>maint</f>
        <v/>
      </c>
      <c r="AC192" s="49">
        <f>VLOOKUP(B192,country_opex,7,FALSE)*ins_pct</f>
        <v/>
      </c>
      <c r="AD192" s="49">
        <f>charge_berth</f>
        <v/>
      </c>
      <c r="AE192" s="49">
        <f>Y192+Z192+AA192+AB192+AC192+AD192</f>
        <v/>
      </c>
      <c r="AF192" s="49">
        <f>VLOOKUP(B192,country_opex,7,FALSE)/dep_years</f>
        <v/>
      </c>
      <c r="AG192" s="49">
        <f>X192-AE192</f>
        <v/>
      </c>
      <c r="AH192" s="46">
        <f>IF(X192=0,"",AG192/X192)</f>
        <v/>
      </c>
      <c r="AI192" s="47">
        <f>IF(AG192&lt;=0,"",VLOOKUP(B192,country_opex,7,FALSE)/AG192)</f>
        <v/>
      </c>
      <c r="AJ192" s="44">
        <f>((G192*S192/diesel_nmpg)*diesel_co2pg-(battery/range_nm)*G192*S192*VLOOKUP(B192,country_opex,4,FALSE))/1000</f>
        <v/>
      </c>
      <c r="AK192" s="42" t="n">
        <v>5000</v>
      </c>
      <c r="AL192" s="43" t="inlineStr">
        <is>
          <t>T3</t>
        </is>
      </c>
      <c r="AM192" s="43" t="inlineStr">
        <is>
          <t>med-low</t>
        </is>
      </c>
      <c r="AN192" s="50" t="n">
        <v>0.1</v>
      </c>
      <c r="AO192" s="45">
        <f>IF(AK192="","",AK192*AN192)</f>
        <v/>
      </c>
      <c r="AP192" s="45">
        <f>IF(OR(AK192="",V192=0),"",MIN(IF(AX192="",9.9E+99,AX192),FLOOR(AO192/V192,1)))</f>
        <v/>
      </c>
      <c r="AQ192" s="49">
        <f>IF(AP192="","",AP192*IF(ABS(MOD(ABS((X192)),1)-0.5)&lt;1E-9,2*ROUND((X192)/2,0),ROUND((X192),0)))</f>
        <v/>
      </c>
      <c r="AR192" s="47">
        <f>IF(OR(AK192="",V192=0),"",MIN(IF(AX192="",9.9E+99,AX192),AO192/V192))</f>
        <v/>
      </c>
      <c r="AS192" s="49">
        <f>IF(AR192="","",AR192*IF(B192="South Korea",IF(ABS(MOD(ABS((X192)),1)-0.5)&lt;1E-9,2*ROUND((X192)/2,0),ROUND((X192),0)),X192))</f>
        <v/>
      </c>
      <c r="AT192" s="51" t="n"/>
      <c r="AU192" s="43" t="inlineStr">
        <is>
          <t>Grounded</t>
        </is>
      </c>
      <c r="AV192" s="52" t="n"/>
      <c r="AW192" s="52" t="n"/>
      <c r="AX192" s="53" t="n"/>
      <c r="AY192" s="54">
        <f>IF(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&lt;=0,"",VLOOKUP(B192,country_opex,7,FALSE)/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)</f>
        <v/>
      </c>
      <c r="AZ192" s="54">
        <f>IF(((W192*pax_cap*IF(B192="South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Korea",korea_mid_revleg,revleg_mid)),0))*VLOOKUP(B192,country_opex,3,FALSE))+Z192+AA192+AB192+AC192+AD192))&lt;=0,"",VLOOKUP(B192,country_opex,7,FALSE)/((W192*pax_cap*IF(B192="South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Korea",korea_mid_revleg,revleg_mid)),0))*VLOOKUP(B192,country_opex,3,FALSE))+Z192+AA192+AB192+AC192+AD192)))</f>
        <v/>
      </c>
      <c r="BA192" s="54">
        <f>IF(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&lt;=0,"",VLOOKUP(B192,country_opex,7,FALSE)/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)</f>
        <v/>
      </c>
      <c r="BB192" s="40" t="inlineStr">
        <is>
          <t>handoff/INDIA-ECONOMICS-SIDECAR-V0-2026-06-20.json (andaman)</t>
        </is>
      </c>
      <c r="BC192" s="40" t="inlineStr">
        <is>
          <t>handoff/INDIA-ECONOMICS-SIDECAR-V0-2026-06-20.json (andaman)</t>
        </is>
      </c>
      <c r="BD192" s="43" t="inlineStr">
        <is>
          <t>rn-8c984e5e4f2f</t>
        </is>
      </c>
    </row>
    <row r="193">
      <c r="A193" s="38" t="inlineStr">
        <is>
          <t>India Goa Rapido</t>
        </is>
      </c>
      <c r="B193" s="38" t="inlineStr">
        <is>
          <t>India</t>
        </is>
      </c>
      <c r="C193" s="39" t="inlineStr">
        <is>
          <t>Chorao Ferry Terminal → Piedade Ferry Terminal</t>
        </is>
      </c>
      <c r="D193" s="38" t="inlineStr">
        <is>
          <t>rapido</t>
        </is>
      </c>
      <c r="E193" s="40" t="inlineStr">
        <is>
          <t>india-goa-ola, india-goa-rapido</t>
        </is>
      </c>
      <c r="F193" s="41" t="n">
        <v>2</v>
      </c>
      <c r="G193" s="42" t="n">
        <v>2.4</v>
      </c>
      <c r="H193" s="35" t="n">
        <v>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IF(B193="South Korea",G193/korea_charge_range_nm*korea_full_range_charge_min,0)</f>
        <v/>
      </c>
      <c r="N193" s="44">
        <f>IF(B193="South Korea",L193+korea_turn_min+korea_dwell_min+M193,L193+turn_min+dwell_min)</f>
        <v/>
      </c>
      <c r="O193" s="45">
        <f>IF(B193="South Korea",FLOOR(60*korea_service_hr/N193,1),MIN(15,FLOOR(60*service_hr/N193,1)))</f>
        <v/>
      </c>
      <c r="P193" s="45">
        <f>IF(ABS(MOD(ABS((365*mech_uptime*K193)),1)-0.5)&lt;1E-9,2*ROUND((365*mech_uptime*K193)/2,0),ROUND((365*mech_uptime*K193),0))</f>
        <v/>
      </c>
      <c r="Q193" s="46">
        <f>mech_uptime</f>
        <v/>
      </c>
      <c r="R193" s="46">
        <f>IF(AND(B193="South Korea",scenario="MID"),korea_mid_revleg,revleg_sel)</f>
        <v/>
      </c>
      <c r="S193" s="45">
        <f>IF(ABS(MOD(ABS((O193*P193*R193)),1)-0.5)&lt;1E-9,2*ROUND((O193*P193*R193)/2,0),ROUND((O193*P193*R193),0))</f>
        <v/>
      </c>
      <c r="T193" s="46">
        <f>IF(AND(B193="South Korea",scenario="MID"),korea_mid_load,load_sel)</f>
        <v/>
      </c>
      <c r="U193" s="47">
        <f>pax_cap*T193</f>
        <v/>
      </c>
      <c r="V193" s="45">
        <f>U193*S193</f>
        <v/>
      </c>
      <c r="W193" s="48">
        <f>H193*discount</f>
        <v/>
      </c>
      <c r="X193" s="49">
        <f>W193*V193</f>
        <v/>
      </c>
      <c r="Y193" s="49">
        <f>(battery/range_nm)*G193*S193*VLOOKUP(B193,country_opex,3,FALSE)</f>
        <v/>
      </c>
      <c r="Z193" s="49">
        <f>VLOOKUP(B193,country_opex,2,FALSE)*crew_factor</f>
        <v/>
      </c>
      <c r="AA193" s="49">
        <f>VLOOKUP(B193,country_opex,5,FALSE)</f>
        <v/>
      </c>
      <c r="AB193" s="49">
        <f>maint</f>
        <v/>
      </c>
      <c r="AC193" s="49">
        <f>VLOOKUP(B193,country_opex,7,FALSE)*ins_pct</f>
        <v/>
      </c>
      <c r="AD193" s="49">
        <f>charge_berth</f>
        <v/>
      </c>
      <c r="AE193" s="49">
        <f>Y193+Z193+AA193+AB193+AC193+AD193</f>
        <v/>
      </c>
      <c r="AF193" s="49">
        <f>VLOOKUP(B193,country_opex,7,FALSE)/dep_years</f>
        <v/>
      </c>
      <c r="AG193" s="49">
        <f>X193-AE193</f>
        <v/>
      </c>
      <c r="AH193" s="46">
        <f>IF(X193=0,"",AG193/X193)</f>
        <v/>
      </c>
      <c r="AI193" s="47">
        <f>IF(AG193&lt;=0,"",VLOOKUP(B193,country_opex,7,FALSE)/AG193)</f>
        <v/>
      </c>
      <c r="AJ193" s="44">
        <f>((G193*S193/diesel_nmpg)*diesel_co2pg-(battery/range_nm)*G193*S193*VLOOKUP(B193,country_opex,4,FALSE))/1000</f>
        <v/>
      </c>
      <c r="AK193" s="42" t="n">
        <v>11250</v>
      </c>
      <c r="AL193" s="43" t="inlineStr">
        <is>
          <t>T3</t>
        </is>
      </c>
      <c r="AM193" s="43" t="inlineStr">
        <is>
          <t>med-low</t>
        </is>
      </c>
      <c r="AN193" s="50" t="n">
        <v>0.1</v>
      </c>
      <c r="AO193" s="45">
        <f>IF(AK193="","",AK193*AN193)</f>
        <v/>
      </c>
      <c r="AP193" s="45">
        <f>IF(OR(AK193="",V193=0),"",MIN(IF(AX193="",9.9E+99,AX193),FLOOR(AO193/V193,1)))</f>
        <v/>
      </c>
      <c r="AQ193" s="49">
        <f>IF(AP193="","",AP193*IF(ABS(MOD(ABS((X193)),1)-0.5)&lt;1E-9,2*ROUND((X193)/2,0),ROUND((X193),0)))</f>
        <v/>
      </c>
      <c r="AR193" s="47">
        <f>IF(OR(AK193="",V193=0),"",MIN(IF(AX193="",9.9E+99,AX193),AO193/V193))</f>
        <v/>
      </c>
      <c r="AS193" s="49">
        <f>IF(AR193="","",AR193*IF(B193="South Korea",IF(ABS(MOD(ABS((X193)),1)-0.5)&lt;1E-9,2*ROUND((X193)/2,0),ROUND((X193),0)),X193))</f>
        <v/>
      </c>
      <c r="AT193" s="51" t="n"/>
      <c r="AU193" s="43" t="inlineStr">
        <is>
          <t>Grounded</t>
        </is>
      </c>
      <c r="AV193" s="52" t="n"/>
      <c r="AW193" s="52" t="n"/>
      <c r="AX193" s="53" t="n"/>
      <c r="AY193" s="54">
        <f>IF(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&lt;=0,"",VLOOKUP(B193,country_opex,7,FALSE)/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)</f>
        <v/>
      </c>
      <c r="AZ193" s="54">
        <f>IF(((W193*pax_cap*IF(B193="South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Korea",korea_mid_revleg,revleg_mid)),0))*VLOOKUP(B193,country_opex,3,FALSE))+Z193+AA193+AB193+AC193+AD193))&lt;=0,"",VLOOKUP(B193,country_opex,7,FALSE)/((W193*pax_cap*IF(B193="South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Korea",korea_mid_revleg,revleg_mid)),0))*VLOOKUP(B193,country_opex,3,FALSE))+Z193+AA193+AB193+AC193+AD193)))</f>
        <v/>
      </c>
      <c r="BA193" s="54">
        <f>IF(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&lt;=0,"",VLOOKUP(B193,country_opex,7,FALSE)/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)</f>
        <v/>
      </c>
      <c r="BB193" s="40" t="inlineStr">
        <is>
          <t>handoff/INDIA-ECONOMICS-SIDECAR-V0-2026-06-20.json (goa)</t>
        </is>
      </c>
      <c r="BC193" s="40" t="inlineStr">
        <is>
          <t>handoff/INDIA-ECONOMICS-SIDECAR-V0-2026-06-20.json (goa)</t>
        </is>
      </c>
      <c r="BD193" s="43" t="inlineStr">
        <is>
          <t>ics-42a0d7f5d0</t>
        </is>
      </c>
    </row>
    <row r="194">
      <c r="A194" s="38" t="inlineStr">
        <is>
          <t>India Andaman Rapido</t>
        </is>
      </c>
      <c r="B194" s="38" t="inlineStr">
        <is>
          <t>India</t>
        </is>
      </c>
      <c r="C194" s="39" t="inlineStr">
        <is>
          <t>Andaman → Fisheries Jetty</t>
        </is>
      </c>
      <c r="D194" s="38" t="inlineStr">
        <is>
          <t>rapido</t>
        </is>
      </c>
      <c r="E194" s="40" t="inlineStr">
        <is>
          <t>india-andaman-ola, india-andaman-rapido</t>
        </is>
      </c>
      <c r="F194" s="41" t="n">
        <v>2</v>
      </c>
      <c r="G194" s="42" t="n">
        <v>2.4</v>
      </c>
      <c r="H194" s="35" t="n">
        <v>22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IF(B194="South Korea",G194/korea_charge_range_nm*korea_full_range_charge_min,0)</f>
        <v/>
      </c>
      <c r="N194" s="44">
        <f>IF(B194="South Korea",L194+korea_turn_min+korea_dwell_min+M194,L194+turn_min+dwell_min)</f>
        <v/>
      </c>
      <c r="O194" s="45">
        <f>IF(B194="South Korea",FLOOR(60*korea_service_hr/N194,1),MIN(15,FLOOR(60*service_hr/N194,1)))</f>
        <v/>
      </c>
      <c r="P194" s="45">
        <f>IF(ABS(MOD(ABS((365*mech_uptime*K194)),1)-0.5)&lt;1E-9,2*ROUND((365*mech_uptime*K194)/2,0),ROUND((365*mech_uptime*K194),0))</f>
        <v/>
      </c>
      <c r="Q194" s="46">
        <f>mech_uptime</f>
        <v/>
      </c>
      <c r="R194" s="46">
        <f>IF(AND(B194="South Korea",scenario="MID"),korea_mid_revleg,revleg_sel)</f>
        <v/>
      </c>
      <c r="S194" s="45">
        <f>IF(ABS(MOD(ABS((O194*P194*R194)),1)-0.5)&lt;1E-9,2*ROUND((O194*P194*R194)/2,0),ROUND((O194*P194*R194),0))</f>
        <v/>
      </c>
      <c r="T194" s="46">
        <f>IF(AND(B194="South Korea",scenario="MID"),korea_mid_load,load_sel)</f>
        <v/>
      </c>
      <c r="U194" s="47">
        <f>pax_cap*T194</f>
        <v/>
      </c>
      <c r="V194" s="45">
        <f>U194*S194</f>
        <v/>
      </c>
      <c r="W194" s="48">
        <f>H194*discount</f>
        <v/>
      </c>
      <c r="X194" s="49">
        <f>W194*V194</f>
        <v/>
      </c>
      <c r="Y194" s="49">
        <f>(battery/range_nm)*G194*S194*VLOOKUP(B194,country_opex,3,FALSE)</f>
        <v/>
      </c>
      <c r="Z194" s="49">
        <f>VLOOKUP(B194,country_opex,2,FALSE)*crew_factor</f>
        <v/>
      </c>
      <c r="AA194" s="49">
        <f>VLOOKUP(B194,country_opex,5,FALSE)</f>
        <v/>
      </c>
      <c r="AB194" s="49">
        <f>maint</f>
        <v/>
      </c>
      <c r="AC194" s="49">
        <f>VLOOKUP(B194,country_opex,7,FALSE)*ins_pct</f>
        <v/>
      </c>
      <c r="AD194" s="49">
        <f>charge_berth</f>
        <v/>
      </c>
      <c r="AE194" s="49">
        <f>Y194+Z194+AA194+AB194+AC194+AD194</f>
        <v/>
      </c>
      <c r="AF194" s="49">
        <f>VLOOKUP(B194,country_opex,7,FALSE)/dep_years</f>
        <v/>
      </c>
      <c r="AG194" s="49">
        <f>X194-AE194</f>
        <v/>
      </c>
      <c r="AH194" s="46">
        <f>IF(X194=0,"",AG194/X194)</f>
        <v/>
      </c>
      <c r="AI194" s="47">
        <f>IF(AG194&lt;=0,"",VLOOKUP(B194,country_opex,7,FALSE)/AG194)</f>
        <v/>
      </c>
      <c r="AJ194" s="44">
        <f>((G194*S194/diesel_nmpg)*diesel_co2pg-(battery/range_nm)*G194*S194*VLOOKUP(B194,country_opex,4,FALSE))/1000</f>
        <v/>
      </c>
      <c r="AK194" s="42" t="n">
        <v>5000</v>
      </c>
      <c r="AL194" s="43" t="inlineStr">
        <is>
          <t>T3</t>
        </is>
      </c>
      <c r="AM194" s="43" t="inlineStr">
        <is>
          <t>med-low</t>
        </is>
      </c>
      <c r="AN194" s="50" t="n">
        <v>0.1</v>
      </c>
      <c r="AO194" s="45">
        <f>IF(AK194="","",AK194*AN194)</f>
        <v/>
      </c>
      <c r="AP194" s="45">
        <f>IF(OR(AK194="",V194=0),"",MIN(IF(AX194="",9.9E+99,AX194),FLOOR(AO194/V194,1)))</f>
        <v/>
      </c>
      <c r="AQ194" s="49">
        <f>IF(AP194="","",AP194*IF(ABS(MOD(ABS((X194)),1)-0.5)&lt;1E-9,2*ROUND((X194)/2,0),ROUND((X194),0)))</f>
        <v/>
      </c>
      <c r="AR194" s="47">
        <f>IF(OR(AK194="",V194=0),"",MIN(IF(AX194="",9.9E+99,AX194),AO194/V194))</f>
        <v/>
      </c>
      <c r="AS194" s="49">
        <f>IF(AR194="","",AR194*IF(B194="South Korea",IF(ABS(MOD(ABS((X194)),1)-0.5)&lt;1E-9,2*ROUND((X194)/2,0),ROUND((X194),0)),X194))</f>
        <v/>
      </c>
      <c r="AT194" s="51" t="n"/>
      <c r="AU194" s="43" t="inlineStr">
        <is>
          <t>Grounded</t>
        </is>
      </c>
      <c r="AV194" s="52" t="n"/>
      <c r="AW194" s="52" t="n"/>
      <c r="AX194" s="53" t="n"/>
      <c r="AY194" s="54">
        <f>IF(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&lt;=0,"",VLOOKUP(B194,country_opex,7,FALSE)/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)</f>
        <v/>
      </c>
      <c r="AZ194" s="54">
        <f>IF(((W194*pax_cap*IF(B194="South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Korea",korea_mid_revleg,revleg_mid)),0))*VLOOKUP(B194,country_opex,3,FALSE))+Z194+AA194+AB194+AC194+AD194))&lt;=0,"",VLOOKUP(B194,country_opex,7,FALSE)/((W194*pax_cap*IF(B194="South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Korea",korea_mid_revleg,revleg_mid)),0))*VLOOKUP(B194,country_opex,3,FALSE))+Z194+AA194+AB194+AC194+AD194)))</f>
        <v/>
      </c>
      <c r="BA194" s="54">
        <f>IF(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&lt;=0,"",VLOOKUP(B194,country_opex,7,FALSE)/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)</f>
        <v/>
      </c>
      <c r="BB194" s="40" t="inlineStr">
        <is>
          <t>handoff/INDIA-ECONOMICS-SIDECAR-V0-2026-06-20.json (andaman)</t>
        </is>
      </c>
      <c r="BC194" s="40" t="inlineStr">
        <is>
          <t>handoff/INDIA-ECONOMICS-SIDECAR-V0-2026-06-20.json (andaman)</t>
        </is>
      </c>
      <c r="BD194" s="43" t="inlineStr">
        <is>
          <t>rn-51a11297ea15</t>
        </is>
      </c>
    </row>
    <row r="195">
      <c r="A195" s="38" t="inlineStr">
        <is>
          <t>India Andaman Rapido</t>
        </is>
      </c>
      <c r="B195" s="38" t="inlineStr">
        <is>
          <t>India</t>
        </is>
      </c>
      <c r="C195" s="39" t="inlineStr">
        <is>
          <t>Chatham Jetty → Chatham Harbour</t>
        </is>
      </c>
      <c r="D195" s="38" t="inlineStr">
        <is>
          <t>rapido</t>
        </is>
      </c>
      <c r="E195" s="40" t="inlineStr">
        <is>
          <t>india-andaman-ola, india-andaman-rapido</t>
        </is>
      </c>
      <c r="F195" s="41" t="n">
        <v>2</v>
      </c>
      <c r="G195" s="42" t="n">
        <v>2.4</v>
      </c>
      <c r="H195" s="35" t="n">
        <v>22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IF(B195="South Korea",G195/korea_charge_range_nm*korea_full_range_charge_min,0)</f>
        <v/>
      </c>
      <c r="N195" s="44">
        <f>IF(B195="South Korea",L195+korea_turn_min+korea_dwell_min+M195,L195+turn_min+dwell_min)</f>
        <v/>
      </c>
      <c r="O195" s="45">
        <f>IF(B195="South Korea",FLOOR(60*korea_service_hr/N195,1),MIN(15,FLOOR(60*service_hr/N195,1)))</f>
        <v/>
      </c>
      <c r="P195" s="45">
        <f>IF(ABS(MOD(ABS((365*mech_uptime*K195)),1)-0.5)&lt;1E-9,2*ROUND((365*mech_uptime*K195)/2,0),ROUND((365*mech_uptime*K195),0))</f>
        <v/>
      </c>
      <c r="Q195" s="46">
        <f>mech_uptime</f>
        <v/>
      </c>
      <c r="R195" s="46">
        <f>IF(AND(B195="South Korea",scenario="MID"),korea_mid_revleg,revleg_sel)</f>
        <v/>
      </c>
      <c r="S195" s="45">
        <f>IF(ABS(MOD(ABS((O195*P195*R195)),1)-0.5)&lt;1E-9,2*ROUND((O195*P195*R195)/2,0),ROUND((O195*P195*R195),0))</f>
        <v/>
      </c>
      <c r="T195" s="46">
        <f>IF(AND(B195="South Korea",scenario="MID"),korea_mid_load,load_sel)</f>
        <v/>
      </c>
      <c r="U195" s="47">
        <f>pax_cap*T195</f>
        <v/>
      </c>
      <c r="V195" s="45">
        <f>U195*S195</f>
        <v/>
      </c>
      <c r="W195" s="48">
        <f>H195*discount</f>
        <v/>
      </c>
      <c r="X195" s="49">
        <f>W195*V195</f>
        <v/>
      </c>
      <c r="Y195" s="49">
        <f>(battery/range_nm)*G195*S195*VLOOKUP(B195,country_opex,3,FALSE)</f>
        <v/>
      </c>
      <c r="Z195" s="49">
        <f>VLOOKUP(B195,country_opex,2,FALSE)*crew_factor</f>
        <v/>
      </c>
      <c r="AA195" s="49">
        <f>VLOOKUP(B195,country_opex,5,FALSE)</f>
        <v/>
      </c>
      <c r="AB195" s="49">
        <f>maint</f>
        <v/>
      </c>
      <c r="AC195" s="49">
        <f>VLOOKUP(B195,country_opex,7,FALSE)*ins_pct</f>
        <v/>
      </c>
      <c r="AD195" s="49">
        <f>charge_berth</f>
        <v/>
      </c>
      <c r="AE195" s="49">
        <f>Y195+Z195+AA195+AB195+AC195+AD195</f>
        <v/>
      </c>
      <c r="AF195" s="49">
        <f>VLOOKUP(B195,country_opex,7,FALSE)/dep_years</f>
        <v/>
      </c>
      <c r="AG195" s="49">
        <f>X195-AE195</f>
        <v/>
      </c>
      <c r="AH195" s="46">
        <f>IF(X195=0,"",AG195/X195)</f>
        <v/>
      </c>
      <c r="AI195" s="47">
        <f>IF(AG195&lt;=0,"",VLOOKUP(B195,country_opex,7,FALSE)/AG195)</f>
        <v/>
      </c>
      <c r="AJ195" s="44">
        <f>((G195*S195/diesel_nmpg)*diesel_co2pg-(battery/range_nm)*G195*S195*VLOOKUP(B195,country_opex,4,FALSE))/1000</f>
        <v/>
      </c>
      <c r="AK195" s="42" t="n">
        <v>5000</v>
      </c>
      <c r="AL195" s="43" t="inlineStr">
        <is>
          <t>T3</t>
        </is>
      </c>
      <c r="AM195" s="43" t="inlineStr">
        <is>
          <t>med-low</t>
        </is>
      </c>
      <c r="AN195" s="50" t="n">
        <v>0.1</v>
      </c>
      <c r="AO195" s="45">
        <f>IF(AK195="","",AK195*AN195)</f>
        <v/>
      </c>
      <c r="AP195" s="45">
        <f>IF(OR(AK195="",V195=0),"",MIN(IF(AX195="",9.9E+99,AX195),FLOOR(AO195/V195,1)))</f>
        <v/>
      </c>
      <c r="AQ195" s="49">
        <f>IF(AP195="","",AP195*IF(ABS(MOD(ABS((X195)),1)-0.5)&lt;1E-9,2*ROUND((X195)/2,0),ROUND((X195),0)))</f>
        <v/>
      </c>
      <c r="AR195" s="47">
        <f>IF(OR(AK195="",V195=0),"",MIN(IF(AX195="",9.9E+99,AX195),AO195/V195))</f>
        <v/>
      </c>
      <c r="AS195" s="49">
        <f>IF(AR195="","",AR195*IF(B195="South Korea",IF(ABS(MOD(ABS((X195)),1)-0.5)&lt;1E-9,2*ROUND((X195)/2,0),ROUND((X195),0)),X195))</f>
        <v/>
      </c>
      <c r="AT195" s="51" t="n"/>
      <c r="AU195" s="43" t="inlineStr">
        <is>
          <t>Grounded</t>
        </is>
      </c>
      <c r="AV195" s="52" t="n"/>
      <c r="AW195" s="52" t="n"/>
      <c r="AX195" s="53" t="n"/>
      <c r="AY195" s="54">
        <f>IF(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&lt;=0,"",VLOOKUP(B195,country_opex,7,FALSE)/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)</f>
        <v/>
      </c>
      <c r="AZ195" s="54">
        <f>IF(((W195*pax_cap*IF(B195="South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Korea",korea_mid_revleg,revleg_mid)),0))*VLOOKUP(B195,country_opex,3,FALSE))+Z195+AA195+AB195+AC195+AD195))&lt;=0,"",VLOOKUP(B195,country_opex,7,FALSE)/((W195*pax_cap*IF(B195="South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Korea",korea_mid_revleg,revleg_mid)),0))*VLOOKUP(B195,country_opex,3,FALSE))+Z195+AA195+AB195+AC195+AD195)))</f>
        <v/>
      </c>
      <c r="BA195" s="54">
        <f>IF(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&lt;=0,"",VLOOKUP(B195,country_opex,7,FALSE)/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)</f>
        <v/>
      </c>
      <c r="BB195" s="40" t="inlineStr">
        <is>
          <t>handoff/INDIA-ECONOMICS-SIDECAR-V0-2026-06-20.json (andaman)</t>
        </is>
      </c>
      <c r="BC195" s="40" t="inlineStr">
        <is>
          <t>handoff/INDIA-ECONOMICS-SIDECAR-V0-2026-06-20.json (andaman)</t>
        </is>
      </c>
      <c r="BD195" s="43" t="inlineStr">
        <is>
          <t>rn-15552c4c4484</t>
        </is>
      </c>
    </row>
    <row r="196">
      <c r="A196" s="38" t="inlineStr">
        <is>
          <t>India Mumbai Rapido</t>
        </is>
      </c>
      <c r="B196" s="38" t="inlineStr">
        <is>
          <t>India</t>
        </is>
      </c>
      <c r="C196" s="39" t="inlineStr">
        <is>
          <t>Bhaucha Dhakka → Cordelia Cruises</t>
        </is>
      </c>
      <c r="D196" s="38" t="inlineStr">
        <is>
          <t>rapido</t>
        </is>
      </c>
      <c r="E196" s="40" t="inlineStr">
        <is>
          <t>india-mumbai-ola, india-mumbai-rapido</t>
        </is>
      </c>
      <c r="F196" s="41" t="n">
        <v>2</v>
      </c>
      <c r="G196" s="42" t="n">
        <v>2.5</v>
      </c>
      <c r="H196" s="35" t="n">
        <v>18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IF(B196="South Korea",G196/korea_charge_range_nm*korea_full_range_charge_min,0)</f>
        <v/>
      </c>
      <c r="N196" s="44">
        <f>IF(B196="South Korea",L196+korea_turn_min+korea_dwell_min+M196,L196+turn_min+dwell_min)</f>
        <v/>
      </c>
      <c r="O196" s="45">
        <f>IF(B196="South Korea",FLOOR(60*korea_service_hr/N196,1),MIN(15,FLOOR(60*service_hr/N196,1)))</f>
        <v/>
      </c>
      <c r="P196" s="45">
        <f>IF(ABS(MOD(ABS((365*mech_uptime*K196)),1)-0.5)&lt;1E-9,2*ROUND((365*mech_uptime*K196)/2,0),ROUND((365*mech_uptime*K196),0))</f>
        <v/>
      </c>
      <c r="Q196" s="46">
        <f>mech_uptime</f>
        <v/>
      </c>
      <c r="R196" s="46">
        <f>IF(AND(B196="South Korea",scenario="MID"),korea_mid_revleg,revleg_sel)</f>
        <v/>
      </c>
      <c r="S196" s="45">
        <f>IF(ABS(MOD(ABS((O196*P196*R196)),1)-0.5)&lt;1E-9,2*ROUND((O196*P196*R196)/2,0),ROUND((O196*P196*R196),0))</f>
        <v/>
      </c>
      <c r="T196" s="46">
        <f>IF(AND(B196="South Korea",scenario="MID"),korea_mid_load,load_sel)</f>
        <v/>
      </c>
      <c r="U196" s="47">
        <f>pax_cap*T196</f>
        <v/>
      </c>
      <c r="V196" s="45">
        <f>U196*S196</f>
        <v/>
      </c>
      <c r="W196" s="48">
        <f>H196*discount</f>
        <v/>
      </c>
      <c r="X196" s="49">
        <f>W196*V196</f>
        <v/>
      </c>
      <c r="Y196" s="49">
        <f>(battery/range_nm)*G196*S196*VLOOKUP(B196,country_opex,3,FALSE)</f>
        <v/>
      </c>
      <c r="Z196" s="49">
        <f>VLOOKUP(B196,country_opex,2,FALSE)*crew_factor</f>
        <v/>
      </c>
      <c r="AA196" s="49">
        <f>VLOOKUP(B196,country_opex,5,FALSE)</f>
        <v/>
      </c>
      <c r="AB196" s="49">
        <f>maint</f>
        <v/>
      </c>
      <c r="AC196" s="49">
        <f>VLOOKUP(B196,country_opex,7,FALSE)*ins_pct</f>
        <v/>
      </c>
      <c r="AD196" s="49">
        <f>charge_berth</f>
        <v/>
      </c>
      <c r="AE196" s="49">
        <f>Y196+Z196+AA196+AB196+AC196+AD196</f>
        <v/>
      </c>
      <c r="AF196" s="49">
        <f>VLOOKUP(B196,country_opex,7,FALSE)/dep_years</f>
        <v/>
      </c>
      <c r="AG196" s="49">
        <f>X196-AE196</f>
        <v/>
      </c>
      <c r="AH196" s="46">
        <f>IF(X196=0,"",AG196/X196)</f>
        <v/>
      </c>
      <c r="AI196" s="47">
        <f>IF(AG196&lt;=0,"",VLOOKUP(B196,country_opex,7,FALSE)/AG196)</f>
        <v/>
      </c>
      <c r="AJ196" s="44">
        <f>((G196*S196/diesel_nmpg)*diesel_co2pg-(battery/range_nm)*G196*S196*VLOOKUP(B196,country_opex,4,FALSE))/1000</f>
        <v/>
      </c>
      <c r="AK196" s="42" t="n">
        <v>5000</v>
      </c>
      <c r="AL196" s="43" t="inlineStr">
        <is>
          <t>T3</t>
        </is>
      </c>
      <c r="AM196" s="43" t="inlineStr">
        <is>
          <t>med-low</t>
        </is>
      </c>
      <c r="AN196" s="50" t="n">
        <v>0.1</v>
      </c>
      <c r="AO196" s="45">
        <f>IF(AK196="","",AK196*AN196)</f>
        <v/>
      </c>
      <c r="AP196" s="45">
        <f>IF(OR(AK196="",V196=0),"",MIN(IF(AX196="",9.9E+99,AX196),FLOOR(AO196/V196,1)))</f>
        <v/>
      </c>
      <c r="AQ196" s="49">
        <f>IF(AP196="","",AP196*IF(ABS(MOD(ABS((X196)),1)-0.5)&lt;1E-9,2*ROUND((X196)/2,0),ROUND((X196),0)))</f>
        <v/>
      </c>
      <c r="AR196" s="47">
        <f>IF(OR(AK196="",V196=0),"",MIN(IF(AX196="",9.9E+99,AX196),AO196/V196))</f>
        <v/>
      </c>
      <c r="AS196" s="49">
        <f>IF(AR196="","",AR196*IF(B196="South Korea",IF(ABS(MOD(ABS((X196)),1)-0.5)&lt;1E-9,2*ROUND((X196)/2,0),ROUND((X196),0)),X196))</f>
        <v/>
      </c>
      <c r="AT196" s="51" t="n"/>
      <c r="AU196" s="43" t="inlineStr">
        <is>
          <t>Grounded</t>
        </is>
      </c>
      <c r="AV196" s="52" t="n"/>
      <c r="AW196" s="52" t="n"/>
      <c r="AX196" s="53" t="n"/>
      <c r="AY196" s="54">
        <f>IF(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&lt;=0,"",VLOOKUP(B196,country_opex,7,FALSE)/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)</f>
        <v/>
      </c>
      <c r="AZ196" s="54">
        <f>IF(((W196*pax_cap*IF(B196="South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Korea",korea_mid_revleg,revleg_mid)),0))*VLOOKUP(B196,country_opex,3,FALSE))+Z196+AA196+AB196+AC196+AD196))&lt;=0,"",VLOOKUP(B196,country_opex,7,FALSE)/((W196*pax_cap*IF(B196="South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Korea",korea_mid_revleg,revleg_mid)),0))*VLOOKUP(B196,country_opex,3,FALSE))+Z196+AA196+AB196+AC196+AD196)))</f>
        <v/>
      </c>
      <c r="BA196" s="54">
        <f>IF(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&lt;=0,"",VLOOKUP(B196,country_opex,7,FALSE)/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)</f>
        <v/>
      </c>
      <c r="BB196" s="40" t="inlineStr">
        <is>
          <t>[LB-255 PREMIUM RE-FARE: subsidized comparable $5.5 lifted to premium on-demand floor $18.0] handoff/INDIA-ECONOMICS-SIDECAR-V0-2026-06-20.json (mumbai)</t>
        </is>
      </c>
      <c r="BC196" s="40" t="inlineStr">
        <is>
          <t>handoff/INDIA-ECONOMICS-SIDECAR-V0-2026-06-20.json (mumbai)</t>
        </is>
      </c>
      <c r="BD196" s="43" t="inlineStr">
        <is>
          <t>ics-180a4149b7</t>
        </is>
      </c>
    </row>
    <row r="197">
      <c r="A197" s="38" t="inlineStr">
        <is>
          <t>India Mumbai Rapido</t>
        </is>
      </c>
      <c r="B197" s="38" t="inlineStr">
        <is>
          <t>India</t>
        </is>
      </c>
      <c r="C197" s="39" t="inlineStr">
        <is>
          <t>Bhaucha Dhakka Ferry Boat Service → Cordelia Cruises</t>
        </is>
      </c>
      <c r="D197" s="38" t="inlineStr">
        <is>
          <t>rapido</t>
        </is>
      </c>
      <c r="E197" s="40" t="inlineStr">
        <is>
          <t>india-mumbai-ola, india-mumbai-rapido</t>
        </is>
      </c>
      <c r="F197" s="41" t="n">
        <v>2</v>
      </c>
      <c r="G197" s="42" t="n">
        <v>2.5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IF(B197="South Korea",G197/korea_charge_range_nm*korea_full_range_charge_min,0)</f>
        <v/>
      </c>
      <c r="N197" s="44">
        <f>IF(B197="South Korea",L197+korea_turn_min+korea_dwell_min+M197,L197+turn_min+dwell_min)</f>
        <v/>
      </c>
      <c r="O197" s="45">
        <f>IF(B197="South Korea",FLOOR(60*korea_service_hr/N197,1),MIN(15,FLOOR(60*service_hr/N197,1)))</f>
        <v/>
      </c>
      <c r="P197" s="45">
        <f>IF(ABS(MOD(ABS((365*mech_uptime*K197)),1)-0.5)&lt;1E-9,2*ROUND((365*mech_uptime*K197)/2,0),ROUND((365*mech_uptime*K197),0))</f>
        <v/>
      </c>
      <c r="Q197" s="46">
        <f>mech_uptime</f>
        <v/>
      </c>
      <c r="R197" s="46">
        <f>IF(AND(B197="South Korea",scenario="MID"),korea_mid_revleg,revleg_sel)</f>
        <v/>
      </c>
      <c r="S197" s="45">
        <f>IF(ABS(MOD(ABS((O197*P197*R197)),1)-0.5)&lt;1E-9,2*ROUND((O197*P197*R197)/2,0),ROUND((O197*P197*R197),0))</f>
        <v/>
      </c>
      <c r="T197" s="46">
        <f>IF(AND(B197="South Korea",scenario="MID"),korea_mid_load,load_sel)</f>
        <v/>
      </c>
      <c r="U197" s="47">
        <f>pax_cap*T197</f>
        <v/>
      </c>
      <c r="V197" s="45">
        <f>U197*S197</f>
        <v/>
      </c>
      <c r="W197" s="48">
        <f>H197*discount</f>
        <v/>
      </c>
      <c r="X197" s="49">
        <f>W197*V197</f>
        <v/>
      </c>
      <c r="Y197" s="49">
        <f>(battery/range_nm)*G197*S197*VLOOKUP(B197,country_opex,3,FALSE)</f>
        <v/>
      </c>
      <c r="Z197" s="49">
        <f>VLOOKUP(B197,country_opex,2,FALSE)*crew_factor</f>
        <v/>
      </c>
      <c r="AA197" s="49">
        <f>VLOOKUP(B197,country_opex,5,FALSE)</f>
        <v/>
      </c>
      <c r="AB197" s="49">
        <f>maint</f>
        <v/>
      </c>
      <c r="AC197" s="49">
        <f>VLOOKUP(B197,country_opex,7,FALSE)*ins_pct</f>
        <v/>
      </c>
      <c r="AD197" s="49">
        <f>charge_berth</f>
        <v/>
      </c>
      <c r="AE197" s="49">
        <f>Y197+Z197+AA197+AB197+AC197+AD197</f>
        <v/>
      </c>
      <c r="AF197" s="49">
        <f>VLOOKUP(B197,country_opex,7,FALSE)/dep_years</f>
        <v/>
      </c>
      <c r="AG197" s="49">
        <f>X197-AE197</f>
        <v/>
      </c>
      <c r="AH197" s="46">
        <f>IF(X197=0,"",AG197/X197)</f>
        <v/>
      </c>
      <c r="AI197" s="47">
        <f>IF(AG197&lt;=0,"",VLOOKUP(B197,country_opex,7,FALSE)/AG197)</f>
        <v/>
      </c>
      <c r="AJ197" s="44">
        <f>((G197*S197/diesel_nmpg)*diesel_co2pg-(battery/range_nm)*G197*S197*VLOOKUP(B197,country_opex,4,FALSE))/1000</f>
        <v/>
      </c>
      <c r="AK197" s="42" t="n">
        <v>5000</v>
      </c>
      <c r="AL197" s="43" t="inlineStr">
        <is>
          <t>T3</t>
        </is>
      </c>
      <c r="AM197" s="43" t="inlineStr">
        <is>
          <t>med-low</t>
        </is>
      </c>
      <c r="AN197" s="50" t="n">
        <v>0.1</v>
      </c>
      <c r="AO197" s="45">
        <f>IF(AK197="","",AK197*AN197)</f>
        <v/>
      </c>
      <c r="AP197" s="45">
        <f>IF(OR(AK197="",V197=0),"",MIN(IF(AX197="",9.9E+99,AX197),FLOOR(AO197/V197,1)))</f>
        <v/>
      </c>
      <c r="AQ197" s="49">
        <f>IF(AP197="","",AP197*IF(ABS(MOD(ABS((X197)),1)-0.5)&lt;1E-9,2*ROUND((X197)/2,0),ROUND((X197),0)))</f>
        <v/>
      </c>
      <c r="AR197" s="47">
        <f>IF(OR(AK197="",V197=0),"",MIN(IF(AX197="",9.9E+99,AX197),AO197/V197))</f>
        <v/>
      </c>
      <c r="AS197" s="49">
        <f>IF(AR197="","",AR197*IF(B197="South Korea",IF(ABS(MOD(ABS((X197)),1)-0.5)&lt;1E-9,2*ROUND((X197)/2,0),ROUND((X197),0)),X197))</f>
        <v/>
      </c>
      <c r="AT197" s="51" t="n"/>
      <c r="AU197" s="43" t="inlineStr">
        <is>
          <t>Grounded</t>
        </is>
      </c>
      <c r="AV197" s="52" t="n"/>
      <c r="AW197" s="52" t="n"/>
      <c r="AX197" s="53" t="n"/>
      <c r="AY197" s="54">
        <f>IF(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&lt;=0,"",VLOOKUP(B197,country_opex,7,FALSE)/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)</f>
        <v/>
      </c>
      <c r="AZ197" s="54">
        <f>IF(((W197*pax_cap*IF(B197="South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Korea",korea_mid_revleg,revleg_mid)),0))*VLOOKUP(B197,country_opex,3,FALSE))+Z197+AA197+AB197+AC197+AD197))&lt;=0,"",VLOOKUP(B197,country_opex,7,FALSE)/((W197*pax_cap*IF(B197="South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Korea",korea_mid_revleg,revleg_mid)),0))*VLOOKUP(B197,country_opex,3,FALSE))+Z197+AA197+AB197+AC197+AD197)))</f>
        <v/>
      </c>
      <c r="BA197" s="54">
        <f>IF(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&lt;=0,"",VLOOKUP(B197,country_opex,7,FALSE)/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)</f>
        <v/>
      </c>
      <c r="BB197" s="40" t="inlineStr">
        <is>
          <t>[LB-255 PREMIUM RE-FARE: subsidized comparable $5.5 lifted to premium on-demand floor $18.0] handoff/INDIA-ECONOMICS-SIDECAR-V0-2026-06-20.json (mumbai)</t>
        </is>
      </c>
      <c r="BC197" s="40" t="inlineStr">
        <is>
          <t>handoff/INDIA-ECONOMICS-SIDECAR-V0-2026-06-20.json (mumbai)</t>
        </is>
      </c>
      <c r="BD197" s="43" t="inlineStr">
        <is>
          <t>ics-a1d474035a</t>
        </is>
      </c>
    </row>
    <row r="198">
      <c r="A198" s="38" t="inlineStr">
        <is>
          <t>India Andaman Rapido</t>
        </is>
      </c>
      <c r="B198" s="38" t="inlineStr">
        <is>
          <t>India</t>
        </is>
      </c>
      <c r="C198" s="39" t="inlineStr">
        <is>
          <t>Gamefishing Asia → Haddo Jetty</t>
        </is>
      </c>
      <c r="D198" s="38" t="inlineStr">
        <is>
          <t>rapido</t>
        </is>
      </c>
      <c r="E198" s="40" t="inlineStr">
        <is>
          <t>india-andaman-ola, india-andaman-rapido</t>
        </is>
      </c>
      <c r="F198" s="41" t="n">
        <v>2</v>
      </c>
      <c r="G198" s="42" t="n">
        <v>2.5</v>
      </c>
      <c r="H198" s="35" t="n">
        <v>22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IF(B198="South Korea",G198/korea_charge_range_nm*korea_full_range_charge_min,0)</f>
        <v/>
      </c>
      <c r="N198" s="44">
        <f>IF(B198="South Korea",L198+korea_turn_min+korea_dwell_min+M198,L198+turn_min+dwell_min)</f>
        <v/>
      </c>
      <c r="O198" s="45">
        <f>IF(B198="South Korea",FLOOR(60*korea_service_hr/N198,1),MIN(15,FLOOR(60*service_hr/N198,1)))</f>
        <v/>
      </c>
      <c r="P198" s="45">
        <f>IF(ABS(MOD(ABS((365*mech_uptime*K198)),1)-0.5)&lt;1E-9,2*ROUND((365*mech_uptime*K198)/2,0),ROUND((365*mech_uptime*K198),0))</f>
        <v/>
      </c>
      <c r="Q198" s="46">
        <f>mech_uptime</f>
        <v/>
      </c>
      <c r="R198" s="46">
        <f>IF(AND(B198="South Korea",scenario="MID"),korea_mid_revleg,revleg_sel)</f>
        <v/>
      </c>
      <c r="S198" s="45">
        <f>IF(ABS(MOD(ABS((O198*P198*R198)),1)-0.5)&lt;1E-9,2*ROUND((O198*P198*R198)/2,0),ROUND((O198*P198*R198),0))</f>
        <v/>
      </c>
      <c r="T198" s="46">
        <f>IF(AND(B198="South Korea",scenario="MID"),korea_mid_load,load_sel)</f>
        <v/>
      </c>
      <c r="U198" s="47">
        <f>pax_cap*T198</f>
        <v/>
      </c>
      <c r="V198" s="45">
        <f>U198*S198</f>
        <v/>
      </c>
      <c r="W198" s="48">
        <f>H198*discount</f>
        <v/>
      </c>
      <c r="X198" s="49">
        <f>W198*V198</f>
        <v/>
      </c>
      <c r="Y198" s="49">
        <f>(battery/range_nm)*G198*S198*VLOOKUP(B198,country_opex,3,FALSE)</f>
        <v/>
      </c>
      <c r="Z198" s="49">
        <f>VLOOKUP(B198,country_opex,2,FALSE)*crew_factor</f>
        <v/>
      </c>
      <c r="AA198" s="49">
        <f>VLOOKUP(B198,country_opex,5,FALSE)</f>
        <v/>
      </c>
      <c r="AB198" s="49">
        <f>maint</f>
        <v/>
      </c>
      <c r="AC198" s="49">
        <f>VLOOKUP(B198,country_opex,7,FALSE)*ins_pct</f>
        <v/>
      </c>
      <c r="AD198" s="49">
        <f>charge_berth</f>
        <v/>
      </c>
      <c r="AE198" s="49">
        <f>Y198+Z198+AA198+AB198+AC198+AD198</f>
        <v/>
      </c>
      <c r="AF198" s="49">
        <f>VLOOKUP(B198,country_opex,7,FALSE)/dep_years</f>
        <v/>
      </c>
      <c r="AG198" s="49">
        <f>X198-AE198</f>
        <v/>
      </c>
      <c r="AH198" s="46">
        <f>IF(X198=0,"",AG198/X198)</f>
        <v/>
      </c>
      <c r="AI198" s="47">
        <f>IF(AG198&lt;=0,"",VLOOKUP(B198,country_opex,7,FALSE)/AG198)</f>
        <v/>
      </c>
      <c r="AJ198" s="44">
        <f>((G198*S198/diesel_nmpg)*diesel_co2pg-(battery/range_nm)*G198*S198*VLOOKUP(B198,country_opex,4,FALSE))/1000</f>
        <v/>
      </c>
      <c r="AK198" s="42" t="n">
        <v>5000</v>
      </c>
      <c r="AL198" s="43" t="inlineStr">
        <is>
          <t>T3</t>
        </is>
      </c>
      <c r="AM198" s="43" t="inlineStr">
        <is>
          <t>med-low</t>
        </is>
      </c>
      <c r="AN198" s="50" t="n">
        <v>0.1</v>
      </c>
      <c r="AO198" s="45">
        <f>IF(AK198="","",AK198*AN198)</f>
        <v/>
      </c>
      <c r="AP198" s="45">
        <f>IF(OR(AK198="",V198=0),"",MIN(IF(AX198="",9.9E+99,AX198),FLOOR(AO198/V198,1)))</f>
        <v/>
      </c>
      <c r="AQ198" s="49">
        <f>IF(AP198="","",AP198*IF(ABS(MOD(ABS((X198)),1)-0.5)&lt;1E-9,2*ROUND((X198)/2,0),ROUND((X198),0)))</f>
        <v/>
      </c>
      <c r="AR198" s="47">
        <f>IF(OR(AK198="",V198=0),"",MIN(IF(AX198="",9.9E+99,AX198),AO198/V198))</f>
        <v/>
      </c>
      <c r="AS198" s="49">
        <f>IF(AR198="","",AR198*IF(B198="South Korea",IF(ABS(MOD(ABS((X198)),1)-0.5)&lt;1E-9,2*ROUND((X198)/2,0),ROUND((X198),0)),X198))</f>
        <v/>
      </c>
      <c r="AT198" s="51" t="n"/>
      <c r="AU198" s="43" t="inlineStr">
        <is>
          <t>Grounded</t>
        </is>
      </c>
      <c r="AV198" s="52" t="n"/>
      <c r="AW198" s="52" t="n"/>
      <c r="AX198" s="53" t="n"/>
      <c r="AY198" s="54">
        <f>IF(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&lt;=0,"",VLOOKUP(B198,country_opex,7,FALSE)/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)</f>
        <v/>
      </c>
      <c r="AZ198" s="54">
        <f>IF(((W198*pax_cap*IF(B198="South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Korea",korea_mid_revleg,revleg_mid)),0))*VLOOKUP(B198,country_opex,3,FALSE))+Z198+AA198+AB198+AC198+AD198))&lt;=0,"",VLOOKUP(B198,country_opex,7,FALSE)/((W198*pax_cap*IF(B198="South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Korea",korea_mid_revleg,revleg_mid)),0))*VLOOKUP(B198,country_opex,3,FALSE))+Z198+AA198+AB198+AC198+AD198)))</f>
        <v/>
      </c>
      <c r="BA198" s="54">
        <f>IF(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&lt;=0,"",VLOOKUP(B198,country_opex,7,FALSE)/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)</f>
        <v/>
      </c>
      <c r="BB198" s="40" t="inlineStr">
        <is>
          <t>handoff/INDIA-ECONOMICS-SIDECAR-V0-2026-06-20.json (andaman)</t>
        </is>
      </c>
      <c r="BC198" s="40" t="inlineStr">
        <is>
          <t>handoff/INDIA-ECONOMICS-SIDECAR-V0-2026-06-20.json (andaman)</t>
        </is>
      </c>
      <c r="BD198" s="43" t="inlineStr">
        <is>
          <t>rn-cc6d070e6982</t>
        </is>
      </c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Haddo Jetty → Chatham Harbour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2.5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IF(B199="South Korea",G199/korea_charge_range_nm*korea_full_range_charge_min,0)</f>
        <v/>
      </c>
      <c r="N199" s="44">
        <f>IF(B199="South Korea",L199+korea_turn_min+korea_dwell_min+M199,L199+turn_min+dwell_min)</f>
        <v/>
      </c>
      <c r="O199" s="45">
        <f>IF(B199="South Korea",FLOOR(60*korea_service_hr/N199,1),MIN(15,FLOOR(60*service_hr/N199,1)))</f>
        <v/>
      </c>
      <c r="P199" s="45">
        <f>IF(ABS(MOD(ABS((365*mech_uptime*K199)),1)-0.5)&lt;1E-9,2*ROUND((365*mech_uptime*K199)/2,0),ROUND((365*mech_uptime*K199),0))</f>
        <v/>
      </c>
      <c r="Q199" s="46">
        <f>mech_uptime</f>
        <v/>
      </c>
      <c r="R199" s="46">
        <f>IF(AND(B199="South Korea",scenario="MID"),korea_mid_revleg,revleg_sel)</f>
        <v/>
      </c>
      <c r="S199" s="45">
        <f>IF(ABS(MOD(ABS((O199*P199*R199)),1)-0.5)&lt;1E-9,2*ROUND((O199*P199*R199)/2,0),ROUND((O199*P199*R199),0))</f>
        <v/>
      </c>
      <c r="T199" s="46">
        <f>IF(AND(B199="South Korea",scenario="MID"),korea_mid_load,load_sel)</f>
        <v/>
      </c>
      <c r="U199" s="47">
        <f>pax_cap*T199</f>
        <v/>
      </c>
      <c r="V199" s="45">
        <f>U199*S199</f>
        <v/>
      </c>
      <c r="W199" s="48">
        <f>H199*discount</f>
        <v/>
      </c>
      <c r="X199" s="49">
        <f>W199*V199</f>
        <v/>
      </c>
      <c r="Y199" s="49">
        <f>(battery/range_nm)*G199*S199*VLOOKUP(B199,country_opex,3,FALSE)</f>
        <v/>
      </c>
      <c r="Z199" s="49">
        <f>VLOOKUP(B199,country_opex,2,FALSE)*crew_factor</f>
        <v/>
      </c>
      <c r="AA199" s="49">
        <f>VLOOKUP(B199,country_opex,5,FALSE)</f>
        <v/>
      </c>
      <c r="AB199" s="49">
        <f>maint</f>
        <v/>
      </c>
      <c r="AC199" s="49">
        <f>VLOOKUP(B199,country_opex,7,FALSE)*ins_pct</f>
        <v/>
      </c>
      <c r="AD199" s="49">
        <f>charge_berth</f>
        <v/>
      </c>
      <c r="AE199" s="49">
        <f>Y199+Z199+AA199+AB199+AC199+AD199</f>
        <v/>
      </c>
      <c r="AF199" s="49">
        <f>VLOOKUP(B199,country_opex,7,FALSE)/dep_years</f>
        <v/>
      </c>
      <c r="AG199" s="49">
        <f>X199-AE199</f>
        <v/>
      </c>
      <c r="AH199" s="46">
        <f>IF(X199=0,"",AG199/X199)</f>
        <v/>
      </c>
      <c r="AI199" s="47">
        <f>IF(AG199&lt;=0,"",VLOOKUP(B199,country_opex,7,FALSE)/AG199)</f>
        <v/>
      </c>
      <c r="AJ199" s="44">
        <f>((G199*S199/diesel_nmpg)*diesel_co2pg-(battery/range_nm)*G199*S199*VLOOKUP(B199,country_opex,4,FALSE))/1000</f>
        <v/>
      </c>
      <c r="AK199" s="42" t="n">
        <v>5000</v>
      </c>
      <c r="AL199" s="43" t="inlineStr">
        <is>
          <t>T3</t>
        </is>
      </c>
      <c r="AM199" s="43" t="inlineStr">
        <is>
          <t>med-low</t>
        </is>
      </c>
      <c r="AN199" s="50" t="n">
        <v>0.1</v>
      </c>
      <c r="AO199" s="45">
        <f>IF(AK199="","",AK199*AN199)</f>
        <v/>
      </c>
      <c r="AP199" s="45">
        <f>IF(OR(AK199="",V199=0),"",MIN(IF(AX199="",9.9E+99,AX199),FLOOR(AO199/V199,1)))</f>
        <v/>
      </c>
      <c r="AQ199" s="49">
        <f>IF(AP199="","",AP199*IF(ABS(MOD(ABS((X199)),1)-0.5)&lt;1E-9,2*ROUND((X199)/2,0),ROUND((X199),0)))</f>
        <v/>
      </c>
      <c r="AR199" s="47">
        <f>IF(OR(AK199="",V199=0),"",MIN(IF(AX199="",9.9E+99,AX199),AO199/V199))</f>
        <v/>
      </c>
      <c r="AS199" s="49">
        <f>IF(AR199="","",AR199*IF(B199="South Korea",IF(ABS(MOD(ABS((X199)),1)-0.5)&lt;1E-9,2*ROUND((X199)/2,0),ROUND((X199),0)),X199))</f>
        <v/>
      </c>
      <c r="AT199" s="51" t="n"/>
      <c r="AU199" s="43" t="inlineStr">
        <is>
          <t>Grounded</t>
        </is>
      </c>
      <c r="AV199" s="52" t="n"/>
      <c r="AW199" s="52" t="n"/>
      <c r="AX199" s="53" t="n"/>
      <c r="AY199" s="54">
        <f>IF(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&lt;=0,"",VLOOKUP(B199,country_opex,7,FALSE)/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)</f>
        <v/>
      </c>
      <c r="AZ199" s="54">
        <f>IF(((W199*pax_cap*IF(B199="South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Korea",korea_mid_revleg,revleg_mid)),0))*VLOOKUP(B199,country_opex,3,FALSE))+Z199+AA199+AB199+AC199+AD199))&lt;=0,"",VLOOKUP(B199,country_opex,7,FALSE)/((W199*pax_cap*IF(B199="South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Korea",korea_mid_revleg,revleg_mid)),0))*VLOOKUP(B199,country_opex,3,FALSE))+Z199+AA199+AB199+AC199+AD199)))</f>
        <v/>
      </c>
      <c r="BA199" s="54">
        <f>IF(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&lt;=0,"",VLOOKUP(B199,country_opex,7,FALSE)/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)</f>
        <v/>
      </c>
      <c r="BB199" s="40" t="inlineStr">
        <is>
          <t>handoff/INDIA-ECONOMICS-SIDECAR-V0-2026-06-20.json (andaman)</t>
        </is>
      </c>
      <c r="BC199" s="40" t="inlineStr">
        <is>
          <t>handoff/INDIA-ECONOMICS-SIDECAR-V0-2026-06-20.json (andaman)</t>
        </is>
      </c>
      <c r="BD199" s="43" t="inlineStr">
        <is>
          <t>rn-c926851cad3f</t>
        </is>
      </c>
    </row>
    <row r="200">
      <c r="A200" s="38" t="inlineStr">
        <is>
          <t>India Mumbai Rapido</t>
        </is>
      </c>
      <c r="B200" s="38" t="inlineStr">
        <is>
          <t>India</t>
        </is>
      </c>
      <c r="C200" s="39" t="inlineStr">
        <is>
          <t>Battle Harbour Design Studio → Cordelia Cruises</t>
        </is>
      </c>
      <c r="D200" s="38" t="inlineStr">
        <is>
          <t>rapido</t>
        </is>
      </c>
      <c r="E200" s="40" t="inlineStr">
        <is>
          <t>india-mumbai-ola, india-mumbai-rapido</t>
        </is>
      </c>
      <c r="F200" s="41" t="n">
        <v>2</v>
      </c>
      <c r="G200" s="42" t="n">
        <v>2.6</v>
      </c>
      <c r="H200" s="35" t="n">
        <v>18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IF(B200="South Korea",G200/korea_charge_range_nm*korea_full_range_charge_min,0)</f>
        <v/>
      </c>
      <c r="N200" s="44">
        <f>IF(B200="South Korea",L200+korea_turn_min+korea_dwell_min+M200,L200+turn_min+dwell_min)</f>
        <v/>
      </c>
      <c r="O200" s="45">
        <f>IF(B200="South Korea",FLOOR(60*korea_service_hr/N200,1),MIN(15,FLOOR(60*service_hr/N200,1)))</f>
        <v/>
      </c>
      <c r="P200" s="45">
        <f>IF(ABS(MOD(ABS((365*mech_uptime*K200)),1)-0.5)&lt;1E-9,2*ROUND((365*mech_uptime*K200)/2,0),ROUND((365*mech_uptime*K200),0))</f>
        <v/>
      </c>
      <c r="Q200" s="46">
        <f>mech_uptime</f>
        <v/>
      </c>
      <c r="R200" s="46">
        <f>IF(AND(B200="South Korea",scenario="MID"),korea_mid_revleg,revleg_sel)</f>
        <v/>
      </c>
      <c r="S200" s="45">
        <f>IF(ABS(MOD(ABS((O200*P200*R200)),1)-0.5)&lt;1E-9,2*ROUND((O200*P200*R200)/2,0),ROUND((O200*P200*R200),0))</f>
        <v/>
      </c>
      <c r="T200" s="46">
        <f>IF(AND(B200="South Korea",scenario="MID"),korea_mid_load,load_sel)</f>
        <v/>
      </c>
      <c r="U200" s="47">
        <f>pax_cap*T200</f>
        <v/>
      </c>
      <c r="V200" s="45">
        <f>U200*S200</f>
        <v/>
      </c>
      <c r="W200" s="48">
        <f>H200*discount</f>
        <v/>
      </c>
      <c r="X200" s="49">
        <f>W200*V200</f>
        <v/>
      </c>
      <c r="Y200" s="49">
        <f>(battery/range_nm)*G200*S200*VLOOKUP(B200,country_opex,3,FALSE)</f>
        <v/>
      </c>
      <c r="Z200" s="49">
        <f>VLOOKUP(B200,country_opex,2,FALSE)*crew_factor</f>
        <v/>
      </c>
      <c r="AA200" s="49">
        <f>VLOOKUP(B200,country_opex,5,FALSE)</f>
        <v/>
      </c>
      <c r="AB200" s="49">
        <f>maint</f>
        <v/>
      </c>
      <c r="AC200" s="49">
        <f>VLOOKUP(B200,country_opex,7,FALSE)*ins_pct</f>
        <v/>
      </c>
      <c r="AD200" s="49">
        <f>charge_berth</f>
        <v/>
      </c>
      <c r="AE200" s="49">
        <f>Y200+Z200+AA200+AB200+AC200+AD200</f>
        <v/>
      </c>
      <c r="AF200" s="49">
        <f>VLOOKUP(B200,country_opex,7,FALSE)/dep_years</f>
        <v/>
      </c>
      <c r="AG200" s="49">
        <f>X200-AE200</f>
        <v/>
      </c>
      <c r="AH200" s="46">
        <f>IF(X200=0,"",AG200/X200)</f>
        <v/>
      </c>
      <c r="AI200" s="47">
        <f>IF(AG200&lt;=0,"",VLOOKUP(B200,country_opex,7,FALSE)/AG200)</f>
        <v/>
      </c>
      <c r="AJ200" s="44">
        <f>((G200*S200/diesel_nmpg)*diesel_co2pg-(battery/range_nm)*G200*S200*VLOOKUP(B200,country_opex,4,FALSE))/1000</f>
        <v/>
      </c>
      <c r="AK200" s="42" t="n">
        <v>5000</v>
      </c>
      <c r="AL200" s="43" t="inlineStr">
        <is>
          <t>T3</t>
        </is>
      </c>
      <c r="AM200" s="43" t="inlineStr">
        <is>
          <t>med-low</t>
        </is>
      </c>
      <c r="AN200" s="50" t="n">
        <v>0.1</v>
      </c>
      <c r="AO200" s="45">
        <f>IF(AK200="","",AK200*AN200)</f>
        <v/>
      </c>
      <c r="AP200" s="45">
        <f>IF(OR(AK200="",V200=0),"",MIN(IF(AX200="",9.9E+99,AX200),FLOOR(AO200/V200,1)))</f>
        <v/>
      </c>
      <c r="AQ200" s="49">
        <f>IF(AP200="","",AP200*IF(ABS(MOD(ABS((X200)),1)-0.5)&lt;1E-9,2*ROUND((X200)/2,0),ROUND((X200),0)))</f>
        <v/>
      </c>
      <c r="AR200" s="47">
        <f>IF(OR(AK200="",V200=0),"",MIN(IF(AX200="",9.9E+99,AX200),AO200/V200))</f>
        <v/>
      </c>
      <c r="AS200" s="49">
        <f>IF(AR200="","",AR200*IF(B200="South Korea",IF(ABS(MOD(ABS((X200)),1)-0.5)&lt;1E-9,2*ROUND((X200)/2,0),ROUND((X200),0)),X200))</f>
        <v/>
      </c>
      <c r="AT200" s="51" t="n"/>
      <c r="AU200" s="43" t="inlineStr">
        <is>
          <t>Grounded</t>
        </is>
      </c>
      <c r="AV200" s="52" t="n"/>
      <c r="AW200" s="52" t="n"/>
      <c r="AX200" s="53" t="n"/>
      <c r="AY200" s="54">
        <f>IF(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&lt;=0,"",VLOOKUP(B200,country_opex,7,FALSE)/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)</f>
        <v/>
      </c>
      <c r="AZ200" s="54">
        <f>IF(((W200*pax_cap*IF(B200="South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Korea",korea_mid_revleg,revleg_mid)),0))*VLOOKUP(B200,country_opex,3,FALSE))+Z200+AA200+AB200+AC200+AD200))&lt;=0,"",VLOOKUP(B200,country_opex,7,FALSE)/((W200*pax_cap*IF(B200="South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Korea",korea_mid_revleg,revleg_mid)),0))*VLOOKUP(B200,country_opex,3,FALSE))+Z200+AA200+AB200+AC200+AD200)))</f>
        <v/>
      </c>
      <c r="BA200" s="54">
        <f>IF(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&lt;=0,"",VLOOKUP(B200,country_opex,7,FALSE)/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)</f>
        <v/>
      </c>
      <c r="BB200" s="40" t="inlineStr">
        <is>
          <t>[LB-255 PREMIUM RE-FARE: subsidized comparable $5.5 lifted to premium on-demand floor $18.0] handoff/INDIA-ECONOMICS-SIDECAR-V0-2026-06-20.json (mumbai)</t>
        </is>
      </c>
      <c r="BC200" s="40" t="inlineStr">
        <is>
          <t>handoff/INDIA-ECONOMICS-SIDECAR-V0-2026-06-20.json (mumbai)</t>
        </is>
      </c>
      <c r="BD200" s="43" t="inlineStr">
        <is>
          <t>ics-b7c27f5d5f</t>
        </is>
      </c>
    </row>
    <row r="201">
      <c r="A201" s="38" t="inlineStr">
        <is>
          <t>India Mumbai Rapido</t>
        </is>
      </c>
      <c r="B201" s="38" t="inlineStr">
        <is>
          <t>India</t>
        </is>
      </c>
      <c r="C201" s="39" t="inlineStr">
        <is>
          <t>Bombay Harbour → Mora</t>
        </is>
      </c>
      <c r="D201" s="38" t="inlineStr">
        <is>
          <t>rapido</t>
        </is>
      </c>
      <c r="E201" s="40" t="inlineStr">
        <is>
          <t>india-mumbai-ola, india-mumbai-rapido</t>
        </is>
      </c>
      <c r="F201" s="41" t="n">
        <v>2</v>
      </c>
      <c r="G201" s="42" t="n">
        <v>2.6</v>
      </c>
      <c r="H201" s="35" t="n">
        <v>18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IF(B201="South Korea",G201/korea_charge_range_nm*korea_full_range_charge_min,0)</f>
        <v/>
      </c>
      <c r="N201" s="44">
        <f>IF(B201="South Korea",L201+korea_turn_min+korea_dwell_min+M201,L201+turn_min+dwell_min)</f>
        <v/>
      </c>
      <c r="O201" s="45">
        <f>IF(B201="South Korea",FLOOR(60*korea_service_hr/N201,1),MIN(15,FLOOR(60*service_hr/N201,1)))</f>
        <v/>
      </c>
      <c r="P201" s="45">
        <f>IF(ABS(MOD(ABS((365*mech_uptime*K201)),1)-0.5)&lt;1E-9,2*ROUND((365*mech_uptime*K201)/2,0),ROUND((365*mech_uptime*K201),0))</f>
        <v/>
      </c>
      <c r="Q201" s="46">
        <f>mech_uptime</f>
        <v/>
      </c>
      <c r="R201" s="46">
        <f>IF(AND(B201="South Korea",scenario="MID"),korea_mid_revleg,revleg_sel)</f>
        <v/>
      </c>
      <c r="S201" s="45">
        <f>IF(ABS(MOD(ABS((O201*P201*R201)),1)-0.5)&lt;1E-9,2*ROUND((O201*P201*R201)/2,0),ROUND((O201*P201*R201),0))</f>
        <v/>
      </c>
      <c r="T201" s="46">
        <f>IF(AND(B201="South Korea",scenario="MID"),korea_mid_load,load_sel)</f>
        <v/>
      </c>
      <c r="U201" s="47">
        <f>pax_cap*T201</f>
        <v/>
      </c>
      <c r="V201" s="45">
        <f>U201*S201</f>
        <v/>
      </c>
      <c r="W201" s="48">
        <f>H201*discount</f>
        <v/>
      </c>
      <c r="X201" s="49">
        <f>W201*V201</f>
        <v/>
      </c>
      <c r="Y201" s="49">
        <f>(battery/range_nm)*G201*S201*VLOOKUP(B201,country_opex,3,FALSE)</f>
        <v/>
      </c>
      <c r="Z201" s="49">
        <f>VLOOKUP(B201,country_opex,2,FALSE)*crew_factor</f>
        <v/>
      </c>
      <c r="AA201" s="49">
        <f>VLOOKUP(B201,country_opex,5,FALSE)</f>
        <v/>
      </c>
      <c r="AB201" s="49">
        <f>maint</f>
        <v/>
      </c>
      <c r="AC201" s="49">
        <f>VLOOKUP(B201,country_opex,7,FALSE)*ins_pct</f>
        <v/>
      </c>
      <c r="AD201" s="49">
        <f>charge_berth</f>
        <v/>
      </c>
      <c r="AE201" s="49">
        <f>Y201+Z201+AA201+AB201+AC201+AD201</f>
        <v/>
      </c>
      <c r="AF201" s="49">
        <f>VLOOKUP(B201,country_opex,7,FALSE)/dep_years</f>
        <v/>
      </c>
      <c r="AG201" s="49">
        <f>X201-AE201</f>
        <v/>
      </c>
      <c r="AH201" s="46">
        <f>IF(X201=0,"",AG201/X201)</f>
        <v/>
      </c>
      <c r="AI201" s="47">
        <f>IF(AG201&lt;=0,"",VLOOKUP(B201,country_opex,7,FALSE)/AG201)</f>
        <v/>
      </c>
      <c r="AJ201" s="44">
        <f>((G201*S201/diesel_nmpg)*diesel_co2pg-(battery/range_nm)*G201*S201*VLOOKUP(B201,country_opex,4,FALSE))/1000</f>
        <v/>
      </c>
      <c r="AK201" s="42" t="n">
        <v>5000</v>
      </c>
      <c r="AL201" s="43" t="inlineStr">
        <is>
          <t>T3</t>
        </is>
      </c>
      <c r="AM201" s="43" t="inlineStr">
        <is>
          <t>med-low</t>
        </is>
      </c>
      <c r="AN201" s="50" t="n">
        <v>0.1</v>
      </c>
      <c r="AO201" s="45">
        <f>IF(AK201="","",AK201*AN201)</f>
        <v/>
      </c>
      <c r="AP201" s="45">
        <f>IF(OR(AK201="",V201=0),"",MIN(IF(AX201="",9.9E+99,AX201),FLOOR(AO201/V201,1)))</f>
        <v/>
      </c>
      <c r="AQ201" s="49">
        <f>IF(AP201="","",AP201*IF(ABS(MOD(ABS((X201)),1)-0.5)&lt;1E-9,2*ROUND((X201)/2,0),ROUND((X201),0)))</f>
        <v/>
      </c>
      <c r="AR201" s="47">
        <f>IF(OR(AK201="",V201=0),"",MIN(IF(AX201="",9.9E+99,AX201),AO201/V201))</f>
        <v/>
      </c>
      <c r="AS201" s="49">
        <f>IF(AR201="","",AR201*IF(B201="South Korea",IF(ABS(MOD(ABS((X201)),1)-0.5)&lt;1E-9,2*ROUND((X201)/2,0),ROUND((X201),0)),X201))</f>
        <v/>
      </c>
      <c r="AT201" s="51" t="n"/>
      <c r="AU201" s="43" t="inlineStr">
        <is>
          <t>Grounded</t>
        </is>
      </c>
      <c r="AV201" s="52" t="n"/>
      <c r="AW201" s="52" t="n"/>
      <c r="AX201" s="53" t="n"/>
      <c r="AY201" s="54">
        <f>IF(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&lt;=0,"",VLOOKUP(B201,country_opex,7,FALSE)/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)</f>
        <v/>
      </c>
      <c r="AZ201" s="54">
        <f>IF(((W201*pax_cap*IF(B201="South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Korea",korea_mid_revleg,revleg_mid)),0))*VLOOKUP(B201,country_opex,3,FALSE))+Z201+AA201+AB201+AC201+AD201))&lt;=0,"",VLOOKUP(B201,country_opex,7,FALSE)/((W201*pax_cap*IF(B201="South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Korea",korea_mid_revleg,revleg_mid)),0))*VLOOKUP(B201,country_opex,3,FALSE))+Z201+AA201+AB201+AC201+AD201)))</f>
        <v/>
      </c>
      <c r="BA201" s="54">
        <f>IF(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&lt;=0,"",VLOOKUP(B201,country_opex,7,FALSE)/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)</f>
        <v/>
      </c>
      <c r="BB201" s="40" t="inlineStr">
        <is>
          <t>[LB-255 PREMIUM RE-FARE: subsidized comparable $5.5 lifted to premium on-demand floor $18.0] handoff/INDIA-ECONOMICS-SIDECAR-V0-2026-06-20.json (mumbai)</t>
        </is>
      </c>
      <c r="BC201" s="40" t="inlineStr">
        <is>
          <t>handoff/INDIA-ECONOMICS-SIDECAR-V0-2026-06-20.json (mumbai)</t>
        </is>
      </c>
      <c r="BD201" s="43" t="inlineStr">
        <is>
          <t>ics-aeaccdd535</t>
        </is>
      </c>
    </row>
    <row r="202">
      <c r="A202" s="38" t="inlineStr">
        <is>
          <t>India Kerala Rapido</t>
        </is>
      </c>
      <c r="B202" s="38" t="inlineStr">
        <is>
          <t>India</t>
        </is>
      </c>
      <c r="C202" s="39" t="inlineStr">
        <is>
          <t>Palette MG Road Ernakulam formerly Harbour View Residency → BLUEMARINE Backwaters</t>
        </is>
      </c>
      <c r="D202" s="38" t="inlineStr">
        <is>
          <t>rapido</t>
        </is>
      </c>
      <c r="E202" s="40" t="inlineStr">
        <is>
          <t>india-kerala-ola, india-kerala-rapido</t>
        </is>
      </c>
      <c r="F202" s="41" t="n">
        <v>2</v>
      </c>
      <c r="G202" s="42" t="n">
        <v>2.6</v>
      </c>
      <c r="H202" s="35" t="n">
        <v>18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IF(B202="South Korea",G202/korea_charge_range_nm*korea_full_range_charge_min,0)</f>
        <v/>
      </c>
      <c r="N202" s="44">
        <f>IF(B202="South Korea",L202+korea_turn_min+korea_dwell_min+M202,L202+turn_min+dwell_min)</f>
        <v/>
      </c>
      <c r="O202" s="45">
        <f>IF(B202="South Korea",FLOOR(60*korea_service_hr/N202,1),MIN(15,FLOOR(60*service_hr/N202,1)))</f>
        <v/>
      </c>
      <c r="P202" s="45">
        <f>IF(ABS(MOD(ABS((365*mech_uptime*K202)),1)-0.5)&lt;1E-9,2*ROUND((365*mech_uptime*K202)/2,0),ROUND((365*mech_uptime*K202),0))</f>
        <v/>
      </c>
      <c r="Q202" s="46">
        <f>mech_uptime</f>
        <v/>
      </c>
      <c r="R202" s="46">
        <f>IF(AND(B202="South Korea",scenario="MID"),korea_mid_revleg,revleg_sel)</f>
        <v/>
      </c>
      <c r="S202" s="45">
        <f>IF(ABS(MOD(ABS((O202*P202*R202)),1)-0.5)&lt;1E-9,2*ROUND((O202*P202*R202)/2,0),ROUND((O202*P202*R202),0))</f>
        <v/>
      </c>
      <c r="T202" s="46">
        <f>IF(AND(B202="South Korea",scenario="MID"),korea_mid_load,load_sel)</f>
        <v/>
      </c>
      <c r="U202" s="47">
        <f>pax_cap*T202</f>
        <v/>
      </c>
      <c r="V202" s="45">
        <f>U202*S202</f>
        <v/>
      </c>
      <c r="W202" s="48">
        <f>H202*discount</f>
        <v/>
      </c>
      <c r="X202" s="49">
        <f>W202*V202</f>
        <v/>
      </c>
      <c r="Y202" s="49">
        <f>(battery/range_nm)*G202*S202*VLOOKUP(B202,country_opex,3,FALSE)</f>
        <v/>
      </c>
      <c r="Z202" s="49">
        <f>VLOOKUP(B202,country_opex,2,FALSE)*crew_factor</f>
        <v/>
      </c>
      <c r="AA202" s="49">
        <f>VLOOKUP(B202,country_opex,5,FALSE)</f>
        <v/>
      </c>
      <c r="AB202" s="49">
        <f>maint</f>
        <v/>
      </c>
      <c r="AC202" s="49">
        <f>VLOOKUP(B202,country_opex,7,FALSE)*ins_pct</f>
        <v/>
      </c>
      <c r="AD202" s="49">
        <f>charge_berth</f>
        <v/>
      </c>
      <c r="AE202" s="49">
        <f>Y202+Z202+AA202+AB202+AC202+AD202</f>
        <v/>
      </c>
      <c r="AF202" s="49">
        <f>VLOOKUP(B202,country_opex,7,FALSE)/dep_years</f>
        <v/>
      </c>
      <c r="AG202" s="49">
        <f>X202-AE202</f>
        <v/>
      </c>
      <c r="AH202" s="46">
        <f>IF(X202=0,"",AG202/X202)</f>
        <v/>
      </c>
      <c r="AI202" s="47">
        <f>IF(AG202&lt;=0,"",VLOOKUP(B202,country_opex,7,FALSE)/AG202)</f>
        <v/>
      </c>
      <c r="AJ202" s="44">
        <f>((G202*S202/diesel_nmpg)*diesel_co2pg-(battery/range_nm)*G202*S202*VLOOKUP(B202,country_opex,4,FALSE))/1000</f>
        <v/>
      </c>
      <c r="AK202" s="42" t="n">
        <v>29166</v>
      </c>
      <c r="AL202" s="43" t="inlineStr">
        <is>
          <t>T3</t>
        </is>
      </c>
      <c r="AM202" s="43" t="inlineStr">
        <is>
          <t>med-low</t>
        </is>
      </c>
      <c r="AN202" s="50" t="n">
        <v>0.1</v>
      </c>
      <c r="AO202" s="45">
        <f>IF(AK202="","",AK202*AN202)</f>
        <v/>
      </c>
      <c r="AP202" s="45">
        <f>IF(OR(AK202="",V202=0),"",MIN(IF(AX202="",9.9E+99,AX202),FLOOR(AO202/V202,1)))</f>
        <v/>
      </c>
      <c r="AQ202" s="49">
        <f>IF(AP202="","",AP202*IF(ABS(MOD(ABS((X202)),1)-0.5)&lt;1E-9,2*ROUND((X202)/2,0),ROUND((X202),0)))</f>
        <v/>
      </c>
      <c r="AR202" s="47">
        <f>IF(OR(AK202="",V202=0),"",MIN(IF(AX202="",9.9E+99,AX202),AO202/V202))</f>
        <v/>
      </c>
      <c r="AS202" s="49">
        <f>IF(AR202="","",AR202*IF(B202="South Korea",IF(ABS(MOD(ABS((X202)),1)-0.5)&lt;1E-9,2*ROUND((X202)/2,0),ROUND((X202),0)),X202))</f>
        <v/>
      </c>
      <c r="AT202" s="51" t="n"/>
      <c r="AU202" s="43" t="inlineStr">
        <is>
          <t>Grounded</t>
        </is>
      </c>
      <c r="AV202" s="52" t="n"/>
      <c r="AW202" s="52" t="n"/>
      <c r="AX202" s="53" t="n"/>
      <c r="AY202" s="54">
        <f>IF(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&lt;=0,"",VLOOKUP(B202,country_opex,7,FALSE)/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)</f>
        <v/>
      </c>
      <c r="AZ202" s="54">
        <f>IF(((W202*pax_cap*IF(B202="South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Korea",korea_mid_revleg,revleg_mid)),0))*VLOOKUP(B202,country_opex,3,FALSE))+Z202+AA202+AB202+AC202+AD202))&lt;=0,"",VLOOKUP(B202,country_opex,7,FALSE)/((W202*pax_cap*IF(B202="South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Korea",korea_mid_revleg,revleg_mid)),0))*VLOOKUP(B202,country_opex,3,FALSE))+Z202+AA202+AB202+AC202+AD202)))</f>
        <v/>
      </c>
      <c r="BA202" s="54">
        <f>IF(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&lt;=0,"",VLOOKUP(B202,country_opex,7,FALSE)/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)</f>
        <v/>
      </c>
      <c r="BB202" s="40" t="inlineStr">
        <is>
          <t>[LB-255 PREMIUM RE-FARE: subsidized comparable $3.5 lifted to premium on-demand floor $18.0] handoff/INDIA-ECONOMICS-SIDECAR-V0-2026-06-20.json (kerala)</t>
        </is>
      </c>
      <c r="BC202" s="40" t="inlineStr">
        <is>
          <t>handoff/INDIA-ECONOMICS-SIDECAR-V0-2026-06-20.json (kerala)</t>
        </is>
      </c>
      <c r="BD202" s="43" t="inlineStr">
        <is>
          <t>ics-537ea74b43</t>
        </is>
      </c>
    </row>
    <row r="203">
      <c r="A203" s="38" t="inlineStr">
        <is>
          <t>India Andaman Rapido</t>
        </is>
      </c>
      <c r="B203" s="38" t="inlineStr">
        <is>
          <t>India</t>
        </is>
      </c>
      <c r="C203" s="39" t="inlineStr">
        <is>
          <t>Haddo Jetty → Chatham Jetty</t>
        </is>
      </c>
      <c r="D203" s="38" t="inlineStr">
        <is>
          <t>rapido</t>
        </is>
      </c>
      <c r="E203" s="40" t="inlineStr">
        <is>
          <t>india-andaman-ola, india-andaman-rapido</t>
        </is>
      </c>
      <c r="F203" s="41" t="n">
        <v>2</v>
      </c>
      <c r="G203" s="42" t="n">
        <v>2.6</v>
      </c>
      <c r="H203" s="35" t="n">
        <v>22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IF(B203="South Korea",G203/korea_charge_range_nm*korea_full_range_charge_min,0)</f>
        <v/>
      </c>
      <c r="N203" s="44">
        <f>IF(B203="South Korea",L203+korea_turn_min+korea_dwell_min+M203,L203+turn_min+dwell_min)</f>
        <v/>
      </c>
      <c r="O203" s="45">
        <f>IF(B203="South Korea",FLOOR(60*korea_service_hr/N203,1),MIN(15,FLOOR(60*service_hr/N203,1)))</f>
        <v/>
      </c>
      <c r="P203" s="45">
        <f>IF(ABS(MOD(ABS((365*mech_uptime*K203)),1)-0.5)&lt;1E-9,2*ROUND((365*mech_uptime*K203)/2,0),ROUND((365*mech_uptime*K203),0))</f>
        <v/>
      </c>
      <c r="Q203" s="46">
        <f>mech_uptime</f>
        <v/>
      </c>
      <c r="R203" s="46">
        <f>IF(AND(B203="South Korea",scenario="MID"),korea_mid_revleg,revleg_sel)</f>
        <v/>
      </c>
      <c r="S203" s="45">
        <f>IF(ABS(MOD(ABS((O203*P203*R203)),1)-0.5)&lt;1E-9,2*ROUND((O203*P203*R203)/2,0),ROUND((O203*P203*R203),0))</f>
        <v/>
      </c>
      <c r="T203" s="46">
        <f>IF(AND(B203="South Korea",scenario="MID"),korea_mid_load,load_sel)</f>
        <v/>
      </c>
      <c r="U203" s="47">
        <f>pax_cap*T203</f>
        <v/>
      </c>
      <c r="V203" s="45">
        <f>U203*S203</f>
        <v/>
      </c>
      <c r="W203" s="48">
        <f>H203*discount</f>
        <v/>
      </c>
      <c r="X203" s="49">
        <f>W203*V203</f>
        <v/>
      </c>
      <c r="Y203" s="49">
        <f>(battery/range_nm)*G203*S203*VLOOKUP(B203,country_opex,3,FALSE)</f>
        <v/>
      </c>
      <c r="Z203" s="49">
        <f>VLOOKUP(B203,country_opex,2,FALSE)*crew_factor</f>
        <v/>
      </c>
      <c r="AA203" s="49">
        <f>VLOOKUP(B203,country_opex,5,FALSE)</f>
        <v/>
      </c>
      <c r="AB203" s="49">
        <f>maint</f>
        <v/>
      </c>
      <c r="AC203" s="49">
        <f>VLOOKUP(B203,country_opex,7,FALSE)*ins_pct</f>
        <v/>
      </c>
      <c r="AD203" s="49">
        <f>charge_berth</f>
        <v/>
      </c>
      <c r="AE203" s="49">
        <f>Y203+Z203+AA203+AB203+AC203+AD203</f>
        <v/>
      </c>
      <c r="AF203" s="49">
        <f>VLOOKUP(B203,country_opex,7,FALSE)/dep_years</f>
        <v/>
      </c>
      <c r="AG203" s="49">
        <f>X203-AE203</f>
        <v/>
      </c>
      <c r="AH203" s="46">
        <f>IF(X203=0,"",AG203/X203)</f>
        <v/>
      </c>
      <c r="AI203" s="47">
        <f>IF(AG203&lt;=0,"",VLOOKUP(B203,country_opex,7,FALSE)/AG203)</f>
        <v/>
      </c>
      <c r="AJ203" s="44">
        <f>((G203*S203/diesel_nmpg)*diesel_co2pg-(battery/range_nm)*G203*S203*VLOOKUP(B203,country_opex,4,FALSE))/1000</f>
        <v/>
      </c>
      <c r="AK203" s="42" t="n">
        <v>5000</v>
      </c>
      <c r="AL203" s="43" t="inlineStr">
        <is>
          <t>T3</t>
        </is>
      </c>
      <c r="AM203" s="43" t="inlineStr">
        <is>
          <t>med-low</t>
        </is>
      </c>
      <c r="AN203" s="50" t="n">
        <v>0.1</v>
      </c>
      <c r="AO203" s="45">
        <f>IF(AK203="","",AK203*AN203)</f>
        <v/>
      </c>
      <c r="AP203" s="45">
        <f>IF(OR(AK203="",V203=0),"",MIN(IF(AX203="",9.9E+99,AX203),FLOOR(AO203/V203,1)))</f>
        <v/>
      </c>
      <c r="AQ203" s="49">
        <f>IF(AP203="","",AP203*IF(ABS(MOD(ABS((X203)),1)-0.5)&lt;1E-9,2*ROUND((X203)/2,0),ROUND((X203),0)))</f>
        <v/>
      </c>
      <c r="AR203" s="47">
        <f>IF(OR(AK203="",V203=0),"",MIN(IF(AX203="",9.9E+99,AX203),AO203/V203))</f>
        <v/>
      </c>
      <c r="AS203" s="49">
        <f>IF(AR203="","",AR203*IF(B203="South Korea",IF(ABS(MOD(ABS((X203)),1)-0.5)&lt;1E-9,2*ROUND((X203)/2,0),ROUND((X203),0)),X203))</f>
        <v/>
      </c>
      <c r="AT203" s="51" t="n"/>
      <c r="AU203" s="43" t="inlineStr">
        <is>
          <t>Grounded</t>
        </is>
      </c>
      <c r="AV203" s="52" t="n"/>
      <c r="AW203" s="52" t="n"/>
      <c r="AX203" s="53" t="n"/>
      <c r="AY203" s="54">
        <f>IF(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&lt;=0,"",VLOOKUP(B203,country_opex,7,FALSE)/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)</f>
        <v/>
      </c>
      <c r="AZ203" s="54">
        <f>IF(((W203*pax_cap*IF(B203="South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Korea",korea_mid_revleg,revleg_mid)),0))*VLOOKUP(B203,country_opex,3,FALSE))+Z203+AA203+AB203+AC203+AD203))&lt;=0,"",VLOOKUP(B203,country_opex,7,FALSE)/((W203*pax_cap*IF(B203="South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Korea",korea_mid_revleg,revleg_mid)),0))*VLOOKUP(B203,country_opex,3,FALSE))+Z203+AA203+AB203+AC203+AD203)))</f>
        <v/>
      </c>
      <c r="BA203" s="54">
        <f>IF(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&lt;=0,"",VLOOKUP(B203,country_opex,7,FALSE)/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)</f>
        <v/>
      </c>
      <c r="BB203" s="40" t="inlineStr">
        <is>
          <t>handoff/INDIA-ECONOMICS-SIDECAR-V0-2026-06-20.json (andaman)</t>
        </is>
      </c>
      <c r="BC203" s="40" t="inlineStr">
        <is>
          <t>handoff/INDIA-ECONOMICS-SIDECAR-V0-2026-06-20.json (andaman)</t>
        </is>
      </c>
      <c r="BD203" s="43" t="inlineStr">
        <is>
          <t>rn-7528a970565a</t>
        </is>
      </c>
    </row>
    <row r="204">
      <c r="A204" s="38" t="inlineStr">
        <is>
          <t>India Mumbai Rapido</t>
        </is>
      </c>
      <c r="B204" s="38" t="inlineStr">
        <is>
          <t>India</t>
        </is>
      </c>
      <c r="C204" s="39" t="inlineStr">
        <is>
          <t>Bhaucha Dhakka Ferry Boat Service → Bombay Harbour</t>
        </is>
      </c>
      <c r="D204" s="38" t="inlineStr">
        <is>
          <t>rapido</t>
        </is>
      </c>
      <c r="E204" s="40" t="inlineStr">
        <is>
          <t>india-mumbai-ola, india-mumbai-rapido</t>
        </is>
      </c>
      <c r="F204" s="41" t="n">
        <v>2</v>
      </c>
      <c r="G204" s="42" t="n">
        <v>2.7</v>
      </c>
      <c r="H204" s="35" t="n">
        <v>18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IF(B204="South Korea",G204/korea_charge_range_nm*korea_full_range_charge_min,0)</f>
        <v/>
      </c>
      <c r="N204" s="44">
        <f>IF(B204="South Korea",L204+korea_turn_min+korea_dwell_min+M204,L204+turn_min+dwell_min)</f>
        <v/>
      </c>
      <c r="O204" s="45">
        <f>IF(B204="South Korea",FLOOR(60*korea_service_hr/N204,1),MIN(15,FLOOR(60*service_hr/N204,1)))</f>
        <v/>
      </c>
      <c r="P204" s="45">
        <f>IF(ABS(MOD(ABS((365*mech_uptime*K204)),1)-0.5)&lt;1E-9,2*ROUND((365*mech_uptime*K204)/2,0),ROUND((365*mech_uptime*K204),0))</f>
        <v/>
      </c>
      <c r="Q204" s="46">
        <f>mech_uptime</f>
        <v/>
      </c>
      <c r="R204" s="46">
        <f>IF(AND(B204="South Korea",scenario="MID"),korea_mid_revleg,revleg_sel)</f>
        <v/>
      </c>
      <c r="S204" s="45">
        <f>IF(ABS(MOD(ABS((O204*P204*R204)),1)-0.5)&lt;1E-9,2*ROUND((O204*P204*R204)/2,0),ROUND((O204*P204*R204),0))</f>
        <v/>
      </c>
      <c r="T204" s="46">
        <f>IF(AND(B204="South Korea",scenario="MID"),korea_mid_load,load_sel)</f>
        <v/>
      </c>
      <c r="U204" s="47">
        <f>pax_cap*T204</f>
        <v/>
      </c>
      <c r="V204" s="45">
        <f>U204*S204</f>
        <v/>
      </c>
      <c r="W204" s="48">
        <f>H204*discount</f>
        <v/>
      </c>
      <c r="X204" s="49">
        <f>W204*V204</f>
        <v/>
      </c>
      <c r="Y204" s="49">
        <f>(battery/range_nm)*G204*S204*VLOOKUP(B204,country_opex,3,FALSE)</f>
        <v/>
      </c>
      <c r="Z204" s="49">
        <f>VLOOKUP(B204,country_opex,2,FALSE)*crew_factor</f>
        <v/>
      </c>
      <c r="AA204" s="49">
        <f>VLOOKUP(B204,country_opex,5,FALSE)</f>
        <v/>
      </c>
      <c r="AB204" s="49">
        <f>maint</f>
        <v/>
      </c>
      <c r="AC204" s="49">
        <f>VLOOKUP(B204,country_opex,7,FALSE)*ins_pct</f>
        <v/>
      </c>
      <c r="AD204" s="49">
        <f>charge_berth</f>
        <v/>
      </c>
      <c r="AE204" s="49">
        <f>Y204+Z204+AA204+AB204+AC204+AD204</f>
        <v/>
      </c>
      <c r="AF204" s="49">
        <f>VLOOKUP(B204,country_opex,7,FALSE)/dep_years</f>
        <v/>
      </c>
      <c r="AG204" s="49">
        <f>X204-AE204</f>
        <v/>
      </c>
      <c r="AH204" s="46">
        <f>IF(X204=0,"",AG204/X204)</f>
        <v/>
      </c>
      <c r="AI204" s="47">
        <f>IF(AG204&lt;=0,"",VLOOKUP(B204,country_opex,7,FALSE)/AG204)</f>
        <v/>
      </c>
      <c r="AJ204" s="44">
        <f>((G204*S204/diesel_nmpg)*diesel_co2pg-(battery/range_nm)*G204*S204*VLOOKUP(B204,country_opex,4,FALSE))/1000</f>
        <v/>
      </c>
      <c r="AK204" s="42" t="n">
        <v>5000</v>
      </c>
      <c r="AL204" s="43" t="inlineStr">
        <is>
          <t>T3</t>
        </is>
      </c>
      <c r="AM204" s="43" t="inlineStr">
        <is>
          <t>med-low</t>
        </is>
      </c>
      <c r="AN204" s="50" t="n">
        <v>0.1</v>
      </c>
      <c r="AO204" s="45">
        <f>IF(AK204="","",AK204*AN204)</f>
        <v/>
      </c>
      <c r="AP204" s="45">
        <f>IF(OR(AK204="",V204=0),"",MIN(IF(AX204="",9.9E+99,AX204),FLOOR(AO204/V204,1)))</f>
        <v/>
      </c>
      <c r="AQ204" s="49">
        <f>IF(AP204="","",AP204*IF(ABS(MOD(ABS((X204)),1)-0.5)&lt;1E-9,2*ROUND((X204)/2,0),ROUND((X204),0)))</f>
        <v/>
      </c>
      <c r="AR204" s="47">
        <f>IF(OR(AK204="",V204=0),"",MIN(IF(AX204="",9.9E+99,AX204),AO204/V204))</f>
        <v/>
      </c>
      <c r="AS204" s="49">
        <f>IF(AR204="","",AR204*IF(B204="South Korea",IF(ABS(MOD(ABS((X204)),1)-0.5)&lt;1E-9,2*ROUND((X204)/2,0),ROUND((X204),0)),X204))</f>
        <v/>
      </c>
      <c r="AT204" s="51" t="n"/>
      <c r="AU204" s="43" t="inlineStr">
        <is>
          <t>Grounded</t>
        </is>
      </c>
      <c r="AV204" s="52" t="n"/>
      <c r="AW204" s="52" t="n"/>
      <c r="AX204" s="53" t="n"/>
      <c r="AY204" s="54">
        <f>IF(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&lt;=0,"",VLOOKUP(B204,country_opex,7,FALSE)/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)</f>
        <v/>
      </c>
      <c r="AZ204" s="54">
        <f>IF(((W204*pax_cap*IF(B204="South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Korea",korea_mid_revleg,revleg_mid)),0))*VLOOKUP(B204,country_opex,3,FALSE))+Z204+AA204+AB204+AC204+AD204))&lt;=0,"",VLOOKUP(B204,country_opex,7,FALSE)/((W204*pax_cap*IF(B204="South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Korea",korea_mid_revleg,revleg_mid)),0))*VLOOKUP(B204,country_opex,3,FALSE))+Z204+AA204+AB204+AC204+AD204)))</f>
        <v/>
      </c>
      <c r="BA204" s="54">
        <f>IF(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&lt;=0,"",VLOOKUP(B204,country_opex,7,FALSE)/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)</f>
        <v/>
      </c>
      <c r="BB204" s="40" t="inlineStr">
        <is>
          <t>[LB-255 PREMIUM RE-FARE: subsidized comparable $5.5 lifted to premium on-demand floor $18.0] handoff/INDIA-ECONOMICS-SIDECAR-V0-2026-06-20.json (mumbai)</t>
        </is>
      </c>
      <c r="BC204" s="40" t="inlineStr">
        <is>
          <t>handoff/INDIA-ECONOMICS-SIDECAR-V0-2026-06-20.json (mumbai)</t>
        </is>
      </c>
      <c r="BD204" s="43" t="inlineStr">
        <is>
          <t>ics-db928c0f22</t>
        </is>
      </c>
    </row>
    <row r="205">
      <c r="A205" s="38" t="inlineStr">
        <is>
          <t>India Goa Rapido</t>
        </is>
      </c>
      <c r="B205" s="38" t="inlineStr">
        <is>
          <t>India</t>
        </is>
      </c>
      <c r="C205" s="39" t="inlineStr">
        <is>
          <t>Chorao Ferry Terminal → Pomburpa Ferry Terminal</t>
        </is>
      </c>
      <c r="D205" s="38" t="inlineStr">
        <is>
          <t>rapido</t>
        </is>
      </c>
      <c r="E205" s="40" t="inlineStr">
        <is>
          <t>india-goa-ola, india-goa-rapido</t>
        </is>
      </c>
      <c r="F205" s="41" t="n">
        <v>2</v>
      </c>
      <c r="G205" s="42" t="n">
        <v>2.7</v>
      </c>
      <c r="H205" s="35" t="n">
        <v>8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IF(B205="South Korea",G205/korea_charge_range_nm*korea_full_range_charge_min,0)</f>
        <v/>
      </c>
      <c r="N205" s="44">
        <f>IF(B205="South Korea",L205+korea_turn_min+korea_dwell_min+M205,L205+turn_min+dwell_min)</f>
        <v/>
      </c>
      <c r="O205" s="45">
        <f>IF(B205="South Korea",FLOOR(60*korea_service_hr/N205,1),MIN(15,FLOOR(60*service_hr/N205,1)))</f>
        <v/>
      </c>
      <c r="P205" s="45">
        <f>IF(ABS(MOD(ABS((365*mech_uptime*K205)),1)-0.5)&lt;1E-9,2*ROUND((365*mech_uptime*K205)/2,0),ROUND((365*mech_uptime*K205),0))</f>
        <v/>
      </c>
      <c r="Q205" s="46">
        <f>mech_uptime</f>
        <v/>
      </c>
      <c r="R205" s="46">
        <f>IF(AND(B205="South Korea",scenario="MID"),korea_mid_revleg,revleg_sel)</f>
        <v/>
      </c>
      <c r="S205" s="45">
        <f>IF(ABS(MOD(ABS((O205*P205*R205)),1)-0.5)&lt;1E-9,2*ROUND((O205*P205*R205)/2,0),ROUND((O205*P205*R205),0))</f>
        <v/>
      </c>
      <c r="T205" s="46">
        <f>IF(AND(B205="South Korea",scenario="MID"),korea_mid_load,load_sel)</f>
        <v/>
      </c>
      <c r="U205" s="47">
        <f>pax_cap*T205</f>
        <v/>
      </c>
      <c r="V205" s="45">
        <f>U205*S205</f>
        <v/>
      </c>
      <c r="W205" s="48">
        <f>H205*discount</f>
        <v/>
      </c>
      <c r="X205" s="49">
        <f>W205*V205</f>
        <v/>
      </c>
      <c r="Y205" s="49">
        <f>(battery/range_nm)*G205*S205*VLOOKUP(B205,country_opex,3,FALSE)</f>
        <v/>
      </c>
      <c r="Z205" s="49">
        <f>VLOOKUP(B205,country_opex,2,FALSE)*crew_factor</f>
        <v/>
      </c>
      <c r="AA205" s="49">
        <f>VLOOKUP(B205,country_opex,5,FALSE)</f>
        <v/>
      </c>
      <c r="AB205" s="49">
        <f>maint</f>
        <v/>
      </c>
      <c r="AC205" s="49">
        <f>VLOOKUP(B205,country_opex,7,FALSE)*ins_pct</f>
        <v/>
      </c>
      <c r="AD205" s="49">
        <f>charge_berth</f>
        <v/>
      </c>
      <c r="AE205" s="49">
        <f>Y205+Z205+AA205+AB205+AC205+AD205</f>
        <v/>
      </c>
      <c r="AF205" s="49">
        <f>VLOOKUP(B205,country_opex,7,FALSE)/dep_years</f>
        <v/>
      </c>
      <c r="AG205" s="49">
        <f>X205-AE205</f>
        <v/>
      </c>
      <c r="AH205" s="46">
        <f>IF(X205=0,"",AG205/X205)</f>
        <v/>
      </c>
      <c r="AI205" s="47">
        <f>IF(AG205&lt;=0,"",VLOOKUP(B205,country_opex,7,FALSE)/AG205)</f>
        <v/>
      </c>
      <c r="AJ205" s="44">
        <f>((G205*S205/diesel_nmpg)*diesel_co2pg-(battery/range_nm)*G205*S205*VLOOKUP(B205,country_opex,4,FALSE))/1000</f>
        <v/>
      </c>
      <c r="AK205" s="42" t="n">
        <v>11250</v>
      </c>
      <c r="AL205" s="43" t="inlineStr">
        <is>
          <t>T3</t>
        </is>
      </c>
      <c r="AM205" s="43" t="inlineStr">
        <is>
          <t>med-low</t>
        </is>
      </c>
      <c r="AN205" s="50" t="n">
        <v>0.1</v>
      </c>
      <c r="AO205" s="45">
        <f>IF(AK205="","",AK205*AN205)</f>
        <v/>
      </c>
      <c r="AP205" s="45">
        <f>IF(OR(AK205="",V205=0),"",MIN(IF(AX205="",9.9E+99,AX205),FLOOR(AO205/V205,1)))</f>
        <v/>
      </c>
      <c r="AQ205" s="49">
        <f>IF(AP205="","",AP205*IF(ABS(MOD(ABS((X205)),1)-0.5)&lt;1E-9,2*ROUND((X205)/2,0),ROUND((X205),0)))</f>
        <v/>
      </c>
      <c r="AR205" s="47">
        <f>IF(OR(AK205="",V205=0),"",MIN(IF(AX205="",9.9E+99,AX205),AO205/V205))</f>
        <v/>
      </c>
      <c r="AS205" s="49">
        <f>IF(AR205="","",AR205*IF(B205="South Korea",IF(ABS(MOD(ABS((X205)),1)-0.5)&lt;1E-9,2*ROUND((X205)/2,0),ROUND((X205),0)),X205))</f>
        <v/>
      </c>
      <c r="AT205" s="51" t="n"/>
      <c r="AU205" s="43" t="inlineStr">
        <is>
          <t>Grounded</t>
        </is>
      </c>
      <c r="AV205" s="52" t="n"/>
      <c r="AW205" s="52" t="n"/>
      <c r="AX205" s="53" t="n"/>
      <c r="AY205" s="54">
        <f>IF(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&lt;=0,"",VLOOKUP(B205,country_opex,7,FALSE)/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)</f>
        <v/>
      </c>
      <c r="AZ205" s="54">
        <f>IF(((W205*pax_cap*IF(B205="South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Korea",korea_mid_revleg,revleg_mid)),0))*VLOOKUP(B205,country_opex,3,FALSE))+Z205+AA205+AB205+AC205+AD205))&lt;=0,"",VLOOKUP(B205,country_opex,7,FALSE)/((W205*pax_cap*IF(B205="South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Korea",korea_mid_revleg,revleg_mid)),0))*VLOOKUP(B205,country_opex,3,FALSE))+Z205+AA205+AB205+AC205+AD205)))</f>
        <v/>
      </c>
      <c r="BA205" s="54">
        <f>IF(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&lt;=0,"",VLOOKUP(B205,country_opex,7,FALSE)/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)</f>
        <v/>
      </c>
      <c r="BB205" s="40" t="inlineStr">
        <is>
          <t>handoff/INDIA-ECONOMICS-SIDECAR-V0-2026-06-20.json (goa)</t>
        </is>
      </c>
      <c r="BC205" s="40" t="inlineStr">
        <is>
          <t>handoff/INDIA-ECONOMICS-SIDECAR-V0-2026-06-20.json (goa)</t>
        </is>
      </c>
      <c r="BD205" s="43" t="inlineStr">
        <is>
          <t>ics-2ada641ba1</t>
        </is>
      </c>
    </row>
    <row r="206">
      <c r="A206" s="38" t="inlineStr">
        <is>
          <t>India Goa Rapido</t>
        </is>
      </c>
      <c r="B206" s="38" t="inlineStr">
        <is>
          <t>India</t>
        </is>
      </c>
      <c r="C206" s="39" t="inlineStr">
        <is>
          <t>Goveia Marina → Camurlim Ferry Terminal</t>
        </is>
      </c>
      <c r="D206" s="38" t="inlineStr">
        <is>
          <t>rapido</t>
        </is>
      </c>
      <c r="E206" s="40" t="inlineStr">
        <is>
          <t>india-goa-ola, india-goa-rapido</t>
        </is>
      </c>
      <c r="F206" s="41" t="n">
        <v>2</v>
      </c>
      <c r="G206" s="42" t="n">
        <v>2.7</v>
      </c>
      <c r="H206" s="35" t="n">
        <v>8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IF(B206="South Korea",G206/korea_charge_range_nm*korea_full_range_charge_min,0)</f>
        <v/>
      </c>
      <c r="N206" s="44">
        <f>IF(B206="South Korea",L206+korea_turn_min+korea_dwell_min+M206,L206+turn_min+dwell_min)</f>
        <v/>
      </c>
      <c r="O206" s="45">
        <f>IF(B206="South Korea",FLOOR(60*korea_service_hr/N206,1),MIN(15,FLOOR(60*service_hr/N206,1)))</f>
        <v/>
      </c>
      <c r="P206" s="45">
        <f>IF(ABS(MOD(ABS((365*mech_uptime*K206)),1)-0.5)&lt;1E-9,2*ROUND((365*mech_uptime*K206)/2,0),ROUND((365*mech_uptime*K206),0))</f>
        <v/>
      </c>
      <c r="Q206" s="46">
        <f>mech_uptime</f>
        <v/>
      </c>
      <c r="R206" s="46">
        <f>IF(AND(B206="South Korea",scenario="MID"),korea_mid_revleg,revleg_sel)</f>
        <v/>
      </c>
      <c r="S206" s="45">
        <f>IF(ABS(MOD(ABS((O206*P206*R206)),1)-0.5)&lt;1E-9,2*ROUND((O206*P206*R206)/2,0),ROUND((O206*P206*R206),0))</f>
        <v/>
      </c>
      <c r="T206" s="46">
        <f>IF(AND(B206="South Korea",scenario="MID"),korea_mid_load,load_sel)</f>
        <v/>
      </c>
      <c r="U206" s="47">
        <f>pax_cap*T206</f>
        <v/>
      </c>
      <c r="V206" s="45">
        <f>U206*S206</f>
        <v/>
      </c>
      <c r="W206" s="48">
        <f>H206*discount</f>
        <v/>
      </c>
      <c r="X206" s="49">
        <f>W206*V206</f>
        <v/>
      </c>
      <c r="Y206" s="49">
        <f>(battery/range_nm)*G206*S206*VLOOKUP(B206,country_opex,3,FALSE)</f>
        <v/>
      </c>
      <c r="Z206" s="49">
        <f>VLOOKUP(B206,country_opex,2,FALSE)*crew_factor</f>
        <v/>
      </c>
      <c r="AA206" s="49">
        <f>VLOOKUP(B206,country_opex,5,FALSE)</f>
        <v/>
      </c>
      <c r="AB206" s="49">
        <f>maint</f>
        <v/>
      </c>
      <c r="AC206" s="49">
        <f>VLOOKUP(B206,country_opex,7,FALSE)*ins_pct</f>
        <v/>
      </c>
      <c r="AD206" s="49">
        <f>charge_berth</f>
        <v/>
      </c>
      <c r="AE206" s="49">
        <f>Y206+Z206+AA206+AB206+AC206+AD206</f>
        <v/>
      </c>
      <c r="AF206" s="49">
        <f>VLOOKUP(B206,country_opex,7,FALSE)/dep_years</f>
        <v/>
      </c>
      <c r="AG206" s="49">
        <f>X206-AE206</f>
        <v/>
      </c>
      <c r="AH206" s="46">
        <f>IF(X206=0,"",AG206/X206)</f>
        <v/>
      </c>
      <c r="AI206" s="47">
        <f>IF(AG206&lt;=0,"",VLOOKUP(B206,country_opex,7,FALSE)/AG206)</f>
        <v/>
      </c>
      <c r="AJ206" s="44">
        <f>((G206*S206/diesel_nmpg)*diesel_co2pg-(battery/range_nm)*G206*S206*VLOOKUP(B206,country_opex,4,FALSE))/1000</f>
        <v/>
      </c>
      <c r="AK206" s="42" t="n">
        <v>11250</v>
      </c>
      <c r="AL206" s="43" t="inlineStr">
        <is>
          <t>T3</t>
        </is>
      </c>
      <c r="AM206" s="43" t="inlineStr">
        <is>
          <t>med-low</t>
        </is>
      </c>
      <c r="AN206" s="50" t="n">
        <v>0.1</v>
      </c>
      <c r="AO206" s="45">
        <f>IF(AK206="","",AK206*AN206)</f>
        <v/>
      </c>
      <c r="AP206" s="45">
        <f>IF(OR(AK206="",V206=0),"",MIN(IF(AX206="",9.9E+99,AX206),FLOOR(AO206/V206,1)))</f>
        <v/>
      </c>
      <c r="AQ206" s="49">
        <f>IF(AP206="","",AP206*IF(ABS(MOD(ABS((X206)),1)-0.5)&lt;1E-9,2*ROUND((X206)/2,0),ROUND((X206),0)))</f>
        <v/>
      </c>
      <c r="AR206" s="47">
        <f>IF(OR(AK206="",V206=0),"",MIN(IF(AX206="",9.9E+99,AX206),AO206/V206))</f>
        <v/>
      </c>
      <c r="AS206" s="49">
        <f>IF(AR206="","",AR206*IF(B206="South Korea",IF(ABS(MOD(ABS((X206)),1)-0.5)&lt;1E-9,2*ROUND((X206)/2,0),ROUND((X206),0)),X206))</f>
        <v/>
      </c>
      <c r="AT206" s="51" t="n"/>
      <c r="AU206" s="43" t="inlineStr">
        <is>
          <t>Grounded</t>
        </is>
      </c>
      <c r="AV206" s="52" t="n"/>
      <c r="AW206" s="52" t="n"/>
      <c r="AX206" s="53" t="n"/>
      <c r="AY206" s="54">
        <f>IF(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&lt;=0,"",VLOOKUP(B206,country_opex,7,FALSE)/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)</f>
        <v/>
      </c>
      <c r="AZ206" s="54">
        <f>IF(((W206*pax_cap*IF(B206="South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Korea",korea_mid_revleg,revleg_mid)),0))*VLOOKUP(B206,country_opex,3,FALSE))+Z206+AA206+AB206+AC206+AD206))&lt;=0,"",VLOOKUP(B206,country_opex,7,FALSE)/((W206*pax_cap*IF(B206="South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Korea",korea_mid_revleg,revleg_mid)),0))*VLOOKUP(B206,country_opex,3,FALSE))+Z206+AA206+AB206+AC206+AD206)))</f>
        <v/>
      </c>
      <c r="BA206" s="54">
        <f>IF(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&lt;=0,"",VLOOKUP(B206,country_opex,7,FALSE)/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)</f>
        <v/>
      </c>
      <c r="BB206" s="40" t="inlineStr">
        <is>
          <t>handoff/INDIA-ECONOMICS-SIDECAR-V0-2026-06-20.json (goa)</t>
        </is>
      </c>
      <c r="BC206" s="40" t="inlineStr">
        <is>
          <t>handoff/INDIA-ECONOMICS-SIDECAR-V0-2026-06-20.json (goa)</t>
        </is>
      </c>
      <c r="BD206" s="43" t="inlineStr">
        <is>
          <t>ics-9de541dea2</t>
        </is>
      </c>
    </row>
    <row r="207">
      <c r="A207" s="38" t="inlineStr">
        <is>
          <t>India Kerala Rapido</t>
        </is>
      </c>
      <c r="B207" s="38" t="inlineStr">
        <is>
          <t>India</t>
        </is>
      </c>
      <c r="C207" s="39" t="inlineStr">
        <is>
          <t>BLUEMARINE Backwaters → Sailing Club House</t>
        </is>
      </c>
      <c r="D207" s="38" t="inlineStr">
        <is>
          <t>rapido</t>
        </is>
      </c>
      <c r="E207" s="40" t="inlineStr">
        <is>
          <t>india-kerala-ola, india-kerala-rapido</t>
        </is>
      </c>
      <c r="F207" s="41" t="n">
        <v>2</v>
      </c>
      <c r="G207" s="42" t="n">
        <v>2.7</v>
      </c>
      <c r="H207" s="35" t="n">
        <v>18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IF(B207="South Korea",G207/korea_charge_range_nm*korea_full_range_charge_min,0)</f>
        <v/>
      </c>
      <c r="N207" s="44">
        <f>IF(B207="South Korea",L207+korea_turn_min+korea_dwell_min+M207,L207+turn_min+dwell_min)</f>
        <v/>
      </c>
      <c r="O207" s="45">
        <f>IF(B207="South Korea",FLOOR(60*korea_service_hr/N207,1),MIN(15,FLOOR(60*service_hr/N207,1)))</f>
        <v/>
      </c>
      <c r="P207" s="45">
        <f>IF(ABS(MOD(ABS((365*mech_uptime*K207)),1)-0.5)&lt;1E-9,2*ROUND((365*mech_uptime*K207)/2,0),ROUND((365*mech_uptime*K207),0))</f>
        <v/>
      </c>
      <c r="Q207" s="46">
        <f>mech_uptime</f>
        <v/>
      </c>
      <c r="R207" s="46">
        <f>IF(AND(B207="South Korea",scenario="MID"),korea_mid_revleg,revleg_sel)</f>
        <v/>
      </c>
      <c r="S207" s="45">
        <f>IF(ABS(MOD(ABS((O207*P207*R207)),1)-0.5)&lt;1E-9,2*ROUND((O207*P207*R207)/2,0),ROUND((O207*P207*R207),0))</f>
        <v/>
      </c>
      <c r="T207" s="46">
        <f>IF(AND(B207="South Korea",scenario="MID"),korea_mid_load,load_sel)</f>
        <v/>
      </c>
      <c r="U207" s="47">
        <f>pax_cap*T207</f>
        <v/>
      </c>
      <c r="V207" s="45">
        <f>U207*S207</f>
        <v/>
      </c>
      <c r="W207" s="48">
        <f>H207*discount</f>
        <v/>
      </c>
      <c r="X207" s="49">
        <f>W207*V207</f>
        <v/>
      </c>
      <c r="Y207" s="49">
        <f>(battery/range_nm)*G207*S207*VLOOKUP(B207,country_opex,3,FALSE)</f>
        <v/>
      </c>
      <c r="Z207" s="49">
        <f>VLOOKUP(B207,country_opex,2,FALSE)*crew_factor</f>
        <v/>
      </c>
      <c r="AA207" s="49">
        <f>VLOOKUP(B207,country_opex,5,FALSE)</f>
        <v/>
      </c>
      <c r="AB207" s="49">
        <f>maint</f>
        <v/>
      </c>
      <c r="AC207" s="49">
        <f>VLOOKUP(B207,country_opex,7,FALSE)*ins_pct</f>
        <v/>
      </c>
      <c r="AD207" s="49">
        <f>charge_berth</f>
        <v/>
      </c>
      <c r="AE207" s="49">
        <f>Y207+Z207+AA207+AB207+AC207+AD207</f>
        <v/>
      </c>
      <c r="AF207" s="49">
        <f>VLOOKUP(B207,country_opex,7,FALSE)/dep_years</f>
        <v/>
      </c>
      <c r="AG207" s="49">
        <f>X207-AE207</f>
        <v/>
      </c>
      <c r="AH207" s="46">
        <f>IF(X207=0,"",AG207/X207)</f>
        <v/>
      </c>
      <c r="AI207" s="47">
        <f>IF(AG207&lt;=0,"",VLOOKUP(B207,country_opex,7,FALSE)/AG207)</f>
        <v/>
      </c>
      <c r="AJ207" s="44">
        <f>((G207*S207/diesel_nmpg)*diesel_co2pg-(battery/range_nm)*G207*S207*VLOOKUP(B207,country_opex,4,FALSE))/1000</f>
        <v/>
      </c>
      <c r="AK207" s="42" t="n">
        <v>29166</v>
      </c>
      <c r="AL207" s="43" t="inlineStr">
        <is>
          <t>T3</t>
        </is>
      </c>
      <c r="AM207" s="43" t="inlineStr">
        <is>
          <t>med-low</t>
        </is>
      </c>
      <c r="AN207" s="50" t="n">
        <v>0.1</v>
      </c>
      <c r="AO207" s="45">
        <f>IF(AK207="","",AK207*AN207)</f>
        <v/>
      </c>
      <c r="AP207" s="45">
        <f>IF(OR(AK207="",V207=0),"",MIN(IF(AX207="",9.9E+99,AX207),FLOOR(AO207/V207,1)))</f>
        <v/>
      </c>
      <c r="AQ207" s="49">
        <f>IF(AP207="","",AP207*IF(ABS(MOD(ABS((X207)),1)-0.5)&lt;1E-9,2*ROUND((X207)/2,0),ROUND((X207),0)))</f>
        <v/>
      </c>
      <c r="AR207" s="47">
        <f>IF(OR(AK207="",V207=0),"",MIN(IF(AX207="",9.9E+99,AX207),AO207/V207))</f>
        <v/>
      </c>
      <c r="AS207" s="49">
        <f>IF(AR207="","",AR207*IF(B207="South Korea",IF(ABS(MOD(ABS((X207)),1)-0.5)&lt;1E-9,2*ROUND((X207)/2,0),ROUND((X207),0)),X207))</f>
        <v/>
      </c>
      <c r="AT207" s="51" t="n"/>
      <c r="AU207" s="43" t="inlineStr">
        <is>
          <t>Grounded</t>
        </is>
      </c>
      <c r="AV207" s="52" t="n"/>
      <c r="AW207" s="52" t="n"/>
      <c r="AX207" s="53" t="n"/>
      <c r="AY207" s="54">
        <f>IF(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&lt;=0,"",VLOOKUP(B207,country_opex,7,FALSE)/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)</f>
        <v/>
      </c>
      <c r="AZ207" s="54">
        <f>IF(((W207*pax_cap*IF(B207="South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Korea",korea_mid_revleg,revleg_mid)),0))*VLOOKUP(B207,country_opex,3,FALSE))+Z207+AA207+AB207+AC207+AD207))&lt;=0,"",VLOOKUP(B207,country_opex,7,FALSE)/((W207*pax_cap*IF(B207="South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Korea",korea_mid_revleg,revleg_mid)),0))*VLOOKUP(B207,country_opex,3,FALSE))+Z207+AA207+AB207+AC207+AD207)))</f>
        <v/>
      </c>
      <c r="BA207" s="54">
        <f>IF(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&lt;=0,"",VLOOKUP(B207,country_opex,7,FALSE)/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)</f>
        <v/>
      </c>
      <c r="BB207" s="40" t="inlineStr">
        <is>
          <t>[LB-255 PREMIUM RE-FARE: subsidized comparable $3.5 lifted to premium on-demand floor $18.0] handoff/INDIA-ECONOMICS-SIDECAR-V0-2026-06-20.json (kerala)</t>
        </is>
      </c>
      <c r="BC207" s="40" t="inlineStr">
        <is>
          <t>handoff/INDIA-ECONOMICS-SIDECAR-V0-2026-06-20.json (kerala)</t>
        </is>
      </c>
      <c r="BD207" s="43" t="inlineStr">
        <is>
          <t>ics-40f9371e54</t>
        </is>
      </c>
    </row>
    <row r="208">
      <c r="A208" s="38" t="inlineStr">
        <is>
          <t>India Andaman Rapido</t>
        </is>
      </c>
      <c r="B208" s="38" t="inlineStr">
        <is>
          <t>India</t>
        </is>
      </c>
      <c r="C208" s="39" t="inlineStr">
        <is>
          <t>Gamefishing Asia → Chatham Jetty</t>
        </is>
      </c>
      <c r="D208" s="38" t="inlineStr">
        <is>
          <t>rapido</t>
        </is>
      </c>
      <c r="E208" s="40" t="inlineStr">
        <is>
          <t>india-andaman-ola, india-andaman-rapido</t>
        </is>
      </c>
      <c r="F208" s="41" t="n">
        <v>2</v>
      </c>
      <c r="G208" s="42" t="n">
        <v>2.7</v>
      </c>
      <c r="H208" s="35" t="n">
        <v>22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IF(B208="South Korea",G208/korea_charge_range_nm*korea_full_range_charge_min,0)</f>
        <v/>
      </c>
      <c r="N208" s="44">
        <f>IF(B208="South Korea",L208+korea_turn_min+korea_dwell_min+M208,L208+turn_min+dwell_min)</f>
        <v/>
      </c>
      <c r="O208" s="45">
        <f>IF(B208="South Korea",FLOOR(60*korea_service_hr/N208,1),MIN(15,FLOOR(60*service_hr/N208,1)))</f>
        <v/>
      </c>
      <c r="P208" s="45">
        <f>IF(ABS(MOD(ABS((365*mech_uptime*K208)),1)-0.5)&lt;1E-9,2*ROUND((365*mech_uptime*K208)/2,0),ROUND((365*mech_uptime*K208),0))</f>
        <v/>
      </c>
      <c r="Q208" s="46">
        <f>mech_uptime</f>
        <v/>
      </c>
      <c r="R208" s="46">
        <f>IF(AND(B208="South Korea",scenario="MID"),korea_mid_revleg,revleg_sel)</f>
        <v/>
      </c>
      <c r="S208" s="45">
        <f>IF(ABS(MOD(ABS((O208*P208*R208)),1)-0.5)&lt;1E-9,2*ROUND((O208*P208*R208)/2,0),ROUND((O208*P208*R208),0))</f>
        <v/>
      </c>
      <c r="T208" s="46">
        <f>IF(AND(B208="South Korea",scenario="MID"),korea_mid_load,load_sel)</f>
        <v/>
      </c>
      <c r="U208" s="47">
        <f>pax_cap*T208</f>
        <v/>
      </c>
      <c r="V208" s="45">
        <f>U208*S208</f>
        <v/>
      </c>
      <c r="W208" s="48">
        <f>H208*discount</f>
        <v/>
      </c>
      <c r="X208" s="49">
        <f>W208*V208</f>
        <v/>
      </c>
      <c r="Y208" s="49">
        <f>(battery/range_nm)*G208*S208*VLOOKUP(B208,country_opex,3,FALSE)</f>
        <v/>
      </c>
      <c r="Z208" s="49">
        <f>VLOOKUP(B208,country_opex,2,FALSE)*crew_factor</f>
        <v/>
      </c>
      <c r="AA208" s="49">
        <f>VLOOKUP(B208,country_opex,5,FALSE)</f>
        <v/>
      </c>
      <c r="AB208" s="49">
        <f>maint</f>
        <v/>
      </c>
      <c r="AC208" s="49">
        <f>VLOOKUP(B208,country_opex,7,FALSE)*ins_pct</f>
        <v/>
      </c>
      <c r="AD208" s="49">
        <f>charge_berth</f>
        <v/>
      </c>
      <c r="AE208" s="49">
        <f>Y208+Z208+AA208+AB208+AC208+AD208</f>
        <v/>
      </c>
      <c r="AF208" s="49">
        <f>VLOOKUP(B208,country_opex,7,FALSE)/dep_years</f>
        <v/>
      </c>
      <c r="AG208" s="49">
        <f>X208-AE208</f>
        <v/>
      </c>
      <c r="AH208" s="46">
        <f>IF(X208=0,"",AG208/X208)</f>
        <v/>
      </c>
      <c r="AI208" s="47">
        <f>IF(AG208&lt;=0,"",VLOOKUP(B208,country_opex,7,FALSE)/AG208)</f>
        <v/>
      </c>
      <c r="AJ208" s="44">
        <f>((G208*S208/diesel_nmpg)*diesel_co2pg-(battery/range_nm)*G208*S208*VLOOKUP(B208,country_opex,4,FALSE))/1000</f>
        <v/>
      </c>
      <c r="AK208" s="42" t="n">
        <v>5000</v>
      </c>
      <c r="AL208" s="43" t="inlineStr">
        <is>
          <t>T3</t>
        </is>
      </c>
      <c r="AM208" s="43" t="inlineStr">
        <is>
          <t>med-low</t>
        </is>
      </c>
      <c r="AN208" s="50" t="n">
        <v>0.1</v>
      </c>
      <c r="AO208" s="45">
        <f>IF(AK208="","",AK208*AN208)</f>
        <v/>
      </c>
      <c r="AP208" s="45">
        <f>IF(OR(AK208="",V208=0),"",MIN(IF(AX208="",9.9E+99,AX208),FLOOR(AO208/V208,1)))</f>
        <v/>
      </c>
      <c r="AQ208" s="49">
        <f>IF(AP208="","",AP208*IF(ABS(MOD(ABS((X208)),1)-0.5)&lt;1E-9,2*ROUND((X208)/2,0),ROUND((X208),0)))</f>
        <v/>
      </c>
      <c r="AR208" s="47">
        <f>IF(OR(AK208="",V208=0),"",MIN(IF(AX208="",9.9E+99,AX208),AO208/V208))</f>
        <v/>
      </c>
      <c r="AS208" s="49">
        <f>IF(AR208="","",AR208*IF(B208="South Korea",IF(ABS(MOD(ABS((X208)),1)-0.5)&lt;1E-9,2*ROUND((X208)/2,0),ROUND((X208),0)),X208))</f>
        <v/>
      </c>
      <c r="AT208" s="51" t="n"/>
      <c r="AU208" s="43" t="inlineStr">
        <is>
          <t>Grounded</t>
        </is>
      </c>
      <c r="AV208" s="52" t="n"/>
      <c r="AW208" s="52" t="n"/>
      <c r="AX208" s="53" t="n"/>
      <c r="AY208" s="54">
        <f>IF(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&lt;=0,"",VLOOKUP(B208,country_opex,7,FALSE)/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)</f>
        <v/>
      </c>
      <c r="AZ208" s="54">
        <f>IF(((W208*pax_cap*IF(B208="South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Korea",korea_mid_revleg,revleg_mid)),0))*VLOOKUP(B208,country_opex,3,FALSE))+Z208+AA208+AB208+AC208+AD208))&lt;=0,"",VLOOKUP(B208,country_opex,7,FALSE)/((W208*pax_cap*IF(B208="South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Korea",korea_mid_revleg,revleg_mid)),0))*VLOOKUP(B208,country_opex,3,FALSE))+Z208+AA208+AB208+AC208+AD208)))</f>
        <v/>
      </c>
      <c r="BA208" s="54">
        <f>IF(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&lt;=0,"",VLOOKUP(B208,country_opex,7,FALSE)/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)</f>
        <v/>
      </c>
      <c r="BB208" s="40" t="inlineStr">
        <is>
          <t>handoff/INDIA-ECONOMICS-SIDECAR-V0-2026-06-20.json (andaman)</t>
        </is>
      </c>
      <c r="BC208" s="40" t="inlineStr">
        <is>
          <t>handoff/INDIA-ECONOMICS-SIDECAR-V0-2026-06-20.json (andaman)</t>
        </is>
      </c>
      <c r="BD208" s="43" t="inlineStr">
        <is>
          <t>rn-37e30631f342</t>
        </is>
      </c>
    </row>
    <row r="209">
      <c r="A209" s="38" t="inlineStr">
        <is>
          <t>India Mumbai Rapido</t>
        </is>
      </c>
      <c r="B209" s="38" t="inlineStr">
        <is>
          <t>India</t>
        </is>
      </c>
      <c r="C209" s="39" t="inlineStr">
        <is>
          <t>Bhaucha Dhakka → Bombay Harbour</t>
        </is>
      </c>
      <c r="D209" s="38" t="inlineStr">
        <is>
          <t>rapido</t>
        </is>
      </c>
      <c r="E209" s="40" t="inlineStr">
        <is>
          <t>india-mumbai-ola, india-mumbai-rapido</t>
        </is>
      </c>
      <c r="F209" s="41" t="n">
        <v>2</v>
      </c>
      <c r="G209" s="42" t="n">
        <v>2.8</v>
      </c>
      <c r="H209" s="35" t="n">
        <v>18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IF(B209="South Korea",G209/korea_charge_range_nm*korea_full_range_charge_min,0)</f>
        <v/>
      </c>
      <c r="N209" s="44">
        <f>IF(B209="South Korea",L209+korea_turn_min+korea_dwell_min+M209,L209+turn_min+dwell_min)</f>
        <v/>
      </c>
      <c r="O209" s="45">
        <f>IF(B209="South Korea",FLOOR(60*korea_service_hr/N209,1),MIN(15,FLOOR(60*service_hr/N209,1)))</f>
        <v/>
      </c>
      <c r="P209" s="45">
        <f>IF(ABS(MOD(ABS((365*mech_uptime*K209)),1)-0.5)&lt;1E-9,2*ROUND((365*mech_uptime*K209)/2,0),ROUND((365*mech_uptime*K209),0))</f>
        <v/>
      </c>
      <c r="Q209" s="46">
        <f>mech_uptime</f>
        <v/>
      </c>
      <c r="R209" s="46">
        <f>IF(AND(B209="South Korea",scenario="MID"),korea_mid_revleg,revleg_sel)</f>
        <v/>
      </c>
      <c r="S209" s="45">
        <f>IF(ABS(MOD(ABS((O209*P209*R209)),1)-0.5)&lt;1E-9,2*ROUND((O209*P209*R209)/2,0),ROUND((O209*P209*R209),0))</f>
        <v/>
      </c>
      <c r="T209" s="46">
        <f>IF(AND(B209="South Korea",scenario="MID"),korea_mid_load,load_sel)</f>
        <v/>
      </c>
      <c r="U209" s="47">
        <f>pax_cap*T209</f>
        <v/>
      </c>
      <c r="V209" s="45">
        <f>U209*S209</f>
        <v/>
      </c>
      <c r="W209" s="48">
        <f>H209*discount</f>
        <v/>
      </c>
      <c r="X209" s="49">
        <f>W209*V209</f>
        <v/>
      </c>
      <c r="Y209" s="49">
        <f>(battery/range_nm)*G209*S209*VLOOKUP(B209,country_opex,3,FALSE)</f>
        <v/>
      </c>
      <c r="Z209" s="49">
        <f>VLOOKUP(B209,country_opex,2,FALSE)*crew_factor</f>
        <v/>
      </c>
      <c r="AA209" s="49">
        <f>VLOOKUP(B209,country_opex,5,FALSE)</f>
        <v/>
      </c>
      <c r="AB209" s="49">
        <f>maint</f>
        <v/>
      </c>
      <c r="AC209" s="49">
        <f>VLOOKUP(B209,country_opex,7,FALSE)*ins_pct</f>
        <v/>
      </c>
      <c r="AD209" s="49">
        <f>charge_berth</f>
        <v/>
      </c>
      <c r="AE209" s="49">
        <f>Y209+Z209+AA209+AB209+AC209+AD209</f>
        <v/>
      </c>
      <c r="AF209" s="49">
        <f>VLOOKUP(B209,country_opex,7,FALSE)/dep_years</f>
        <v/>
      </c>
      <c r="AG209" s="49">
        <f>X209-AE209</f>
        <v/>
      </c>
      <c r="AH209" s="46">
        <f>IF(X209=0,"",AG209/X209)</f>
        <v/>
      </c>
      <c r="AI209" s="47">
        <f>IF(AG209&lt;=0,"",VLOOKUP(B209,country_opex,7,FALSE)/AG209)</f>
        <v/>
      </c>
      <c r="AJ209" s="44">
        <f>((G209*S209/diesel_nmpg)*diesel_co2pg-(battery/range_nm)*G209*S209*VLOOKUP(B209,country_opex,4,FALSE))/1000</f>
        <v/>
      </c>
      <c r="AK209" s="42" t="n">
        <v>5000</v>
      </c>
      <c r="AL209" s="43" t="inlineStr">
        <is>
          <t>T3</t>
        </is>
      </c>
      <c r="AM209" s="43" t="inlineStr">
        <is>
          <t>med-low</t>
        </is>
      </c>
      <c r="AN209" s="50" t="n">
        <v>0.1</v>
      </c>
      <c r="AO209" s="45">
        <f>IF(AK209="","",AK209*AN209)</f>
        <v/>
      </c>
      <c r="AP209" s="45">
        <f>IF(OR(AK209="",V209=0),"",MIN(IF(AX209="",9.9E+99,AX209),FLOOR(AO209/V209,1)))</f>
        <v/>
      </c>
      <c r="AQ209" s="49">
        <f>IF(AP209="","",AP209*IF(ABS(MOD(ABS((X209)),1)-0.5)&lt;1E-9,2*ROUND((X209)/2,0),ROUND((X209),0)))</f>
        <v/>
      </c>
      <c r="AR209" s="47">
        <f>IF(OR(AK209="",V209=0),"",MIN(IF(AX209="",9.9E+99,AX209),AO209/V209))</f>
        <v/>
      </c>
      <c r="AS209" s="49">
        <f>IF(AR209="","",AR209*IF(B209="South Korea",IF(ABS(MOD(ABS((X209)),1)-0.5)&lt;1E-9,2*ROUND((X209)/2,0),ROUND((X209),0)),X209))</f>
        <v/>
      </c>
      <c r="AT209" s="51" t="n"/>
      <c r="AU209" s="43" t="inlineStr">
        <is>
          <t>Grounded</t>
        </is>
      </c>
      <c r="AV209" s="52" t="n"/>
      <c r="AW209" s="52" t="n"/>
      <c r="AX209" s="53" t="n"/>
      <c r="AY209" s="54">
        <f>IF(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&lt;=0,"",VLOOKUP(B209,country_opex,7,FALSE)/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)</f>
        <v/>
      </c>
      <c r="AZ209" s="54">
        <f>IF(((W209*pax_cap*IF(B209="South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Korea",korea_mid_revleg,revleg_mid)),0))*VLOOKUP(B209,country_opex,3,FALSE))+Z209+AA209+AB209+AC209+AD209))&lt;=0,"",VLOOKUP(B209,country_opex,7,FALSE)/((W209*pax_cap*IF(B209="South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Korea",korea_mid_revleg,revleg_mid)),0))*VLOOKUP(B209,country_opex,3,FALSE))+Z209+AA209+AB209+AC209+AD209)))</f>
        <v/>
      </c>
      <c r="BA209" s="54">
        <f>IF(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&lt;=0,"",VLOOKUP(B209,country_opex,7,FALSE)/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)</f>
        <v/>
      </c>
      <c r="BB209" s="40" t="inlineStr">
        <is>
          <t>[LB-255 PREMIUM RE-FARE: subsidized comparable $5.5 lifted to premium on-demand floor $18.0] handoff/INDIA-ECONOMICS-SIDECAR-V0-2026-06-20.json (mumbai)</t>
        </is>
      </c>
      <c r="BC209" s="40" t="inlineStr">
        <is>
          <t>handoff/INDIA-ECONOMICS-SIDECAR-V0-2026-06-20.json (mumbai)</t>
        </is>
      </c>
      <c r="BD209" s="43" t="inlineStr">
        <is>
          <t>ics-a474f665c3</t>
        </is>
      </c>
    </row>
    <row r="210">
      <c r="A210" s="38" t="inlineStr">
        <is>
          <t>India Goa Rapido</t>
        </is>
      </c>
      <c r="B210" s="38" t="inlineStr">
        <is>
          <t>India</t>
        </is>
      </c>
      <c r="C210" s="39" t="inlineStr">
        <is>
          <t>Goveia Marina → Tuem Ferry Terminal</t>
        </is>
      </c>
      <c r="D210" s="38" t="inlineStr">
        <is>
          <t>rapido</t>
        </is>
      </c>
      <c r="E210" s="40" t="inlineStr">
        <is>
          <t>india-goa-ola, india-goa-rapido</t>
        </is>
      </c>
      <c r="F210" s="41" t="n">
        <v>2</v>
      </c>
      <c r="G210" s="42" t="n">
        <v>2.8</v>
      </c>
      <c r="H210" s="35" t="n">
        <v>8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IF(B210="South Korea",G210/korea_charge_range_nm*korea_full_range_charge_min,0)</f>
        <v/>
      </c>
      <c r="N210" s="44">
        <f>IF(B210="South Korea",L210+korea_turn_min+korea_dwell_min+M210,L210+turn_min+dwell_min)</f>
        <v/>
      </c>
      <c r="O210" s="45">
        <f>IF(B210="South Korea",FLOOR(60*korea_service_hr/N210,1),MIN(15,FLOOR(60*service_hr/N210,1)))</f>
        <v/>
      </c>
      <c r="P210" s="45">
        <f>IF(ABS(MOD(ABS((365*mech_uptime*K210)),1)-0.5)&lt;1E-9,2*ROUND((365*mech_uptime*K210)/2,0),ROUND((365*mech_uptime*K210),0))</f>
        <v/>
      </c>
      <c r="Q210" s="46">
        <f>mech_uptime</f>
        <v/>
      </c>
      <c r="R210" s="46">
        <f>IF(AND(B210="South Korea",scenario="MID"),korea_mid_revleg,revleg_sel)</f>
        <v/>
      </c>
      <c r="S210" s="45">
        <f>IF(ABS(MOD(ABS((O210*P210*R210)),1)-0.5)&lt;1E-9,2*ROUND((O210*P210*R210)/2,0),ROUND((O210*P210*R210),0))</f>
        <v/>
      </c>
      <c r="T210" s="46">
        <f>IF(AND(B210="South Korea",scenario="MID"),korea_mid_load,load_sel)</f>
        <v/>
      </c>
      <c r="U210" s="47">
        <f>pax_cap*T210</f>
        <v/>
      </c>
      <c r="V210" s="45">
        <f>U210*S210</f>
        <v/>
      </c>
      <c r="W210" s="48">
        <f>H210*discount</f>
        <v/>
      </c>
      <c r="X210" s="49">
        <f>W210*V210</f>
        <v/>
      </c>
      <c r="Y210" s="49">
        <f>(battery/range_nm)*G210*S210*VLOOKUP(B210,country_opex,3,FALSE)</f>
        <v/>
      </c>
      <c r="Z210" s="49">
        <f>VLOOKUP(B210,country_opex,2,FALSE)*crew_factor</f>
        <v/>
      </c>
      <c r="AA210" s="49">
        <f>VLOOKUP(B210,country_opex,5,FALSE)</f>
        <v/>
      </c>
      <c r="AB210" s="49">
        <f>maint</f>
        <v/>
      </c>
      <c r="AC210" s="49">
        <f>VLOOKUP(B210,country_opex,7,FALSE)*ins_pct</f>
        <v/>
      </c>
      <c r="AD210" s="49">
        <f>charge_berth</f>
        <v/>
      </c>
      <c r="AE210" s="49">
        <f>Y210+Z210+AA210+AB210+AC210+AD210</f>
        <v/>
      </c>
      <c r="AF210" s="49">
        <f>VLOOKUP(B210,country_opex,7,FALSE)/dep_years</f>
        <v/>
      </c>
      <c r="AG210" s="49">
        <f>X210-AE210</f>
        <v/>
      </c>
      <c r="AH210" s="46">
        <f>IF(X210=0,"",AG210/X210)</f>
        <v/>
      </c>
      <c r="AI210" s="47">
        <f>IF(AG210&lt;=0,"",VLOOKUP(B210,country_opex,7,FALSE)/AG210)</f>
        <v/>
      </c>
      <c r="AJ210" s="44">
        <f>((G210*S210/diesel_nmpg)*diesel_co2pg-(battery/range_nm)*G210*S210*VLOOKUP(B210,country_opex,4,FALSE))/1000</f>
        <v/>
      </c>
      <c r="AK210" s="42" t="n">
        <v>11250</v>
      </c>
      <c r="AL210" s="43" t="inlineStr">
        <is>
          <t>T3</t>
        </is>
      </c>
      <c r="AM210" s="43" t="inlineStr">
        <is>
          <t>med-low</t>
        </is>
      </c>
      <c r="AN210" s="50" t="n">
        <v>0.1</v>
      </c>
      <c r="AO210" s="45">
        <f>IF(AK210="","",AK210*AN210)</f>
        <v/>
      </c>
      <c r="AP210" s="45">
        <f>IF(OR(AK210="",V210=0),"",MIN(IF(AX210="",9.9E+99,AX210),FLOOR(AO210/V210,1)))</f>
        <v/>
      </c>
      <c r="AQ210" s="49">
        <f>IF(AP210="","",AP210*IF(ABS(MOD(ABS((X210)),1)-0.5)&lt;1E-9,2*ROUND((X210)/2,0),ROUND((X210),0)))</f>
        <v/>
      </c>
      <c r="AR210" s="47">
        <f>IF(OR(AK210="",V210=0),"",MIN(IF(AX210="",9.9E+99,AX210),AO210/V210))</f>
        <v/>
      </c>
      <c r="AS210" s="49">
        <f>IF(AR210="","",AR210*IF(B210="South Korea",IF(ABS(MOD(ABS((X210)),1)-0.5)&lt;1E-9,2*ROUND((X210)/2,0),ROUND((X210),0)),X210))</f>
        <v/>
      </c>
      <c r="AT210" s="51" t="n"/>
      <c r="AU210" s="43" t="inlineStr">
        <is>
          <t>Grounded</t>
        </is>
      </c>
      <c r="AV210" s="52" t="n"/>
      <c r="AW210" s="52" t="n"/>
      <c r="AX210" s="53" t="n"/>
      <c r="AY210" s="54">
        <f>IF(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&lt;=0,"",VLOOKUP(B210,country_opex,7,FALSE)/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)</f>
        <v/>
      </c>
      <c r="AZ210" s="54">
        <f>IF(((W210*pax_cap*IF(B210="South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Korea",korea_mid_revleg,revleg_mid)),0))*VLOOKUP(B210,country_opex,3,FALSE))+Z210+AA210+AB210+AC210+AD210))&lt;=0,"",VLOOKUP(B210,country_opex,7,FALSE)/((W210*pax_cap*IF(B210="South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Korea",korea_mid_revleg,revleg_mid)),0))*VLOOKUP(B210,country_opex,3,FALSE))+Z210+AA210+AB210+AC210+AD210)))</f>
        <v/>
      </c>
      <c r="BA210" s="54">
        <f>IF(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&lt;=0,"",VLOOKUP(B210,country_opex,7,FALSE)/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)</f>
        <v/>
      </c>
      <c r="BB210" s="40" t="inlineStr">
        <is>
          <t>handoff/INDIA-ECONOMICS-SIDECAR-V0-2026-06-20.json (goa)</t>
        </is>
      </c>
      <c r="BC210" s="40" t="inlineStr">
        <is>
          <t>handoff/INDIA-ECONOMICS-SIDECAR-V0-2026-06-20.json (goa)</t>
        </is>
      </c>
      <c r="BD210" s="43" t="inlineStr">
        <is>
          <t>ics-3d9857288c</t>
        </is>
      </c>
    </row>
    <row r="211">
      <c r="A211" s="38" t="inlineStr">
        <is>
          <t>India Goa Rapido</t>
        </is>
      </c>
      <c r="B211" s="38" t="inlineStr">
        <is>
          <t>India</t>
        </is>
      </c>
      <c r="C211" s="39" t="inlineStr">
        <is>
          <t>Ribandar Ferry → Piedade Ferry Terminal</t>
        </is>
      </c>
      <c r="D211" s="38" t="inlineStr">
        <is>
          <t>rapido</t>
        </is>
      </c>
      <c r="E211" s="40" t="inlineStr">
        <is>
          <t>india-goa-ola, india-goa-rapido</t>
        </is>
      </c>
      <c r="F211" s="41" t="n">
        <v>2</v>
      </c>
      <c r="G211" s="42" t="n">
        <v>2.8</v>
      </c>
      <c r="H211" s="35" t="n">
        <v>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IF(B211="South Korea",G211/korea_charge_range_nm*korea_full_range_charge_min,0)</f>
        <v/>
      </c>
      <c r="N211" s="44">
        <f>IF(B211="South Korea",L211+korea_turn_min+korea_dwell_min+M211,L211+turn_min+dwell_min)</f>
        <v/>
      </c>
      <c r="O211" s="45">
        <f>IF(B211="South Korea",FLOOR(60*korea_service_hr/N211,1),MIN(15,FLOOR(60*service_hr/N211,1)))</f>
        <v/>
      </c>
      <c r="P211" s="45">
        <f>IF(ABS(MOD(ABS((365*mech_uptime*K211)),1)-0.5)&lt;1E-9,2*ROUND((365*mech_uptime*K211)/2,0),ROUND((365*mech_uptime*K211),0))</f>
        <v/>
      </c>
      <c r="Q211" s="46">
        <f>mech_uptime</f>
        <v/>
      </c>
      <c r="R211" s="46">
        <f>IF(AND(B211="South Korea",scenario="MID"),korea_mid_revleg,revleg_sel)</f>
        <v/>
      </c>
      <c r="S211" s="45">
        <f>IF(ABS(MOD(ABS((O211*P211*R211)),1)-0.5)&lt;1E-9,2*ROUND((O211*P211*R211)/2,0),ROUND((O211*P211*R211),0))</f>
        <v/>
      </c>
      <c r="T211" s="46">
        <f>IF(AND(B211="South Korea",scenario="MID"),korea_mid_load,load_sel)</f>
        <v/>
      </c>
      <c r="U211" s="47">
        <f>pax_cap*T211</f>
        <v/>
      </c>
      <c r="V211" s="45">
        <f>U211*S211</f>
        <v/>
      </c>
      <c r="W211" s="48">
        <f>H211*discount</f>
        <v/>
      </c>
      <c r="X211" s="49">
        <f>W211*V211</f>
        <v/>
      </c>
      <c r="Y211" s="49">
        <f>(battery/range_nm)*G211*S211*VLOOKUP(B211,country_opex,3,FALSE)</f>
        <v/>
      </c>
      <c r="Z211" s="49">
        <f>VLOOKUP(B211,country_opex,2,FALSE)*crew_factor</f>
        <v/>
      </c>
      <c r="AA211" s="49">
        <f>VLOOKUP(B211,country_opex,5,FALSE)</f>
        <v/>
      </c>
      <c r="AB211" s="49">
        <f>maint</f>
        <v/>
      </c>
      <c r="AC211" s="49">
        <f>VLOOKUP(B211,country_opex,7,FALSE)*ins_pct</f>
        <v/>
      </c>
      <c r="AD211" s="49">
        <f>charge_berth</f>
        <v/>
      </c>
      <c r="AE211" s="49">
        <f>Y211+Z211+AA211+AB211+AC211+AD211</f>
        <v/>
      </c>
      <c r="AF211" s="49">
        <f>VLOOKUP(B211,country_opex,7,FALSE)/dep_years</f>
        <v/>
      </c>
      <c r="AG211" s="49">
        <f>X211-AE211</f>
        <v/>
      </c>
      <c r="AH211" s="46">
        <f>IF(X211=0,"",AG211/X211)</f>
        <v/>
      </c>
      <c r="AI211" s="47">
        <f>IF(AG211&lt;=0,"",VLOOKUP(B211,country_opex,7,FALSE)/AG211)</f>
        <v/>
      </c>
      <c r="AJ211" s="44">
        <f>((G211*S211/diesel_nmpg)*diesel_co2pg-(battery/range_nm)*G211*S211*VLOOKUP(B211,country_opex,4,FALSE))/1000</f>
        <v/>
      </c>
      <c r="AK211" s="42" t="n">
        <v>11250</v>
      </c>
      <c r="AL211" s="43" t="inlineStr">
        <is>
          <t>T3</t>
        </is>
      </c>
      <c r="AM211" s="43" t="inlineStr">
        <is>
          <t>med-low</t>
        </is>
      </c>
      <c r="AN211" s="50" t="n">
        <v>0.1</v>
      </c>
      <c r="AO211" s="45">
        <f>IF(AK211="","",AK211*AN211)</f>
        <v/>
      </c>
      <c r="AP211" s="45">
        <f>IF(OR(AK211="",V211=0),"",MIN(IF(AX211="",9.9E+99,AX211),FLOOR(AO211/V211,1)))</f>
        <v/>
      </c>
      <c r="AQ211" s="49">
        <f>IF(AP211="","",AP211*IF(ABS(MOD(ABS((X211)),1)-0.5)&lt;1E-9,2*ROUND((X211)/2,0),ROUND((X211),0)))</f>
        <v/>
      </c>
      <c r="AR211" s="47">
        <f>IF(OR(AK211="",V211=0),"",MIN(IF(AX211="",9.9E+99,AX211),AO211/V211))</f>
        <v/>
      </c>
      <c r="AS211" s="49">
        <f>IF(AR211="","",AR211*IF(B211="South Korea",IF(ABS(MOD(ABS((X211)),1)-0.5)&lt;1E-9,2*ROUND((X211)/2,0),ROUND((X211),0)),X211))</f>
        <v/>
      </c>
      <c r="AT211" s="51" t="n"/>
      <c r="AU211" s="43" t="inlineStr">
        <is>
          <t>Grounded</t>
        </is>
      </c>
      <c r="AV211" s="52" t="n"/>
      <c r="AW211" s="52" t="n"/>
      <c r="AX211" s="53" t="n"/>
      <c r="AY211" s="54">
        <f>IF(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&lt;=0,"",VLOOKUP(B211,country_opex,7,FALSE)/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)</f>
        <v/>
      </c>
      <c r="AZ211" s="54">
        <f>IF(((W211*pax_cap*IF(B211="South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Korea",korea_mid_revleg,revleg_mid)),0))*VLOOKUP(B211,country_opex,3,FALSE))+Z211+AA211+AB211+AC211+AD211))&lt;=0,"",VLOOKUP(B211,country_opex,7,FALSE)/((W211*pax_cap*IF(B211="South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Korea",korea_mid_revleg,revleg_mid)),0))*VLOOKUP(B211,country_opex,3,FALSE))+Z211+AA211+AB211+AC211+AD211)))</f>
        <v/>
      </c>
      <c r="BA211" s="54">
        <f>IF(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&lt;=0,"",VLOOKUP(B211,country_opex,7,FALSE)/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)</f>
        <v/>
      </c>
      <c r="BB211" s="40" t="inlineStr">
        <is>
          <t>handoff/INDIA-ECONOMICS-SIDECAR-V0-2026-06-20.json (goa)</t>
        </is>
      </c>
      <c r="BC211" s="40" t="inlineStr">
        <is>
          <t>handoff/INDIA-ECONOMICS-SIDECAR-V0-2026-06-20.json (goa)</t>
        </is>
      </c>
      <c r="BD211" s="43" t="inlineStr">
        <is>
          <t>ics-844f5ae3b3</t>
        </is>
      </c>
    </row>
    <row r="212">
      <c r="A212" s="38" t="inlineStr">
        <is>
          <t>India Kerala Rapido</t>
        </is>
      </c>
      <c r="B212" s="38" t="inlineStr">
        <is>
          <t>India</t>
        </is>
      </c>
      <c r="C212" s="39" t="inlineStr">
        <is>
          <t>Keltron Ferry → Sailing Club House</t>
        </is>
      </c>
      <c r="D212" s="38" t="inlineStr">
        <is>
          <t>rapido</t>
        </is>
      </c>
      <c r="E212" s="40" t="inlineStr">
        <is>
          <t>india-kerala-ola, india-kerala-rapido</t>
        </is>
      </c>
      <c r="F212" s="41" t="n">
        <v>2</v>
      </c>
      <c r="G212" s="42" t="n">
        <v>2.8</v>
      </c>
      <c r="H212" s="35" t="n">
        <v>18</v>
      </c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IF(B212="South Korea",G212/korea_charge_range_nm*korea_full_range_charge_min,0)</f>
        <v/>
      </c>
      <c r="N212" s="44">
        <f>IF(B212="South Korea",L212+korea_turn_min+korea_dwell_min+M212,L212+turn_min+dwell_min)</f>
        <v/>
      </c>
      <c r="O212" s="45">
        <f>IF(B212="South Korea",FLOOR(60*korea_service_hr/N212,1),MIN(15,FLOOR(60*service_hr/N212,1)))</f>
        <v/>
      </c>
      <c r="P212" s="45">
        <f>IF(ABS(MOD(ABS((365*mech_uptime*K212)),1)-0.5)&lt;1E-9,2*ROUND((365*mech_uptime*K212)/2,0),ROUND((365*mech_uptime*K212),0))</f>
        <v/>
      </c>
      <c r="Q212" s="46">
        <f>mech_uptime</f>
        <v/>
      </c>
      <c r="R212" s="46">
        <f>IF(AND(B212="South Korea",scenario="MID"),korea_mid_revleg,revleg_sel)</f>
        <v/>
      </c>
      <c r="S212" s="45">
        <f>IF(ABS(MOD(ABS((O212*P212*R212)),1)-0.5)&lt;1E-9,2*ROUND((O212*P212*R212)/2,0),ROUND((O212*P212*R212),0))</f>
        <v/>
      </c>
      <c r="T212" s="46">
        <f>IF(AND(B212="South Korea",scenario="MID"),korea_mid_load,load_sel)</f>
        <v/>
      </c>
      <c r="U212" s="47">
        <f>pax_cap*T212</f>
        <v/>
      </c>
      <c r="V212" s="45">
        <f>U212*S212</f>
        <v/>
      </c>
      <c r="W212" s="48">
        <f>H212*discount</f>
        <v/>
      </c>
      <c r="X212" s="49">
        <f>W212*V212</f>
        <v/>
      </c>
      <c r="Y212" s="49">
        <f>(battery/range_nm)*G212*S212*VLOOKUP(B212,country_opex,3,FALSE)</f>
        <v/>
      </c>
      <c r="Z212" s="49">
        <f>VLOOKUP(B212,country_opex,2,FALSE)*crew_factor</f>
        <v/>
      </c>
      <c r="AA212" s="49">
        <f>VLOOKUP(B212,country_opex,5,FALSE)</f>
        <v/>
      </c>
      <c r="AB212" s="49">
        <f>maint</f>
        <v/>
      </c>
      <c r="AC212" s="49">
        <f>VLOOKUP(B212,country_opex,7,FALSE)*ins_pct</f>
        <v/>
      </c>
      <c r="AD212" s="49">
        <f>charge_berth</f>
        <v/>
      </c>
      <c r="AE212" s="49">
        <f>Y212+Z212+AA212+AB212+AC212+AD212</f>
        <v/>
      </c>
      <c r="AF212" s="49">
        <f>VLOOKUP(B212,country_opex,7,FALSE)/dep_years</f>
        <v/>
      </c>
      <c r="AG212" s="49">
        <f>X212-AE212</f>
        <v/>
      </c>
      <c r="AH212" s="46">
        <f>IF(X212=0,"",AG212/X212)</f>
        <v/>
      </c>
      <c r="AI212" s="47">
        <f>IF(AG212&lt;=0,"",VLOOKUP(B212,country_opex,7,FALSE)/AG212)</f>
        <v/>
      </c>
      <c r="AJ212" s="44">
        <f>((G212*S212/diesel_nmpg)*diesel_co2pg-(battery/range_nm)*G212*S212*VLOOKUP(B212,country_opex,4,FALSE))/1000</f>
        <v/>
      </c>
      <c r="AK212" s="42" t="n">
        <v>29166</v>
      </c>
      <c r="AL212" s="43" t="inlineStr">
        <is>
          <t>T3</t>
        </is>
      </c>
      <c r="AM212" s="43" t="inlineStr">
        <is>
          <t>med-low</t>
        </is>
      </c>
      <c r="AN212" s="50" t="n">
        <v>0.1</v>
      </c>
      <c r="AO212" s="45">
        <f>IF(AK212="","",AK212*AN212)</f>
        <v/>
      </c>
      <c r="AP212" s="45">
        <f>IF(OR(AK212="",V212=0),"",MIN(IF(AX212="",9.9E+99,AX212),FLOOR(AO212/V212,1)))</f>
        <v/>
      </c>
      <c r="AQ212" s="49">
        <f>IF(AP212="","",AP212*IF(ABS(MOD(ABS((X212)),1)-0.5)&lt;1E-9,2*ROUND((X212)/2,0),ROUND((X212),0)))</f>
        <v/>
      </c>
      <c r="AR212" s="47">
        <f>IF(OR(AK212="",V212=0),"",MIN(IF(AX212="",9.9E+99,AX212),AO212/V212))</f>
        <v/>
      </c>
      <c r="AS212" s="49">
        <f>IF(AR212="","",AR212*IF(B212="South Korea",IF(ABS(MOD(ABS((X212)),1)-0.5)&lt;1E-9,2*ROUND((X212)/2,0),ROUND((X212),0)),X212))</f>
        <v/>
      </c>
      <c r="AT212" s="51" t="n"/>
      <c r="AU212" s="43" t="inlineStr">
        <is>
          <t>Grounded</t>
        </is>
      </c>
      <c r="AV212" s="52" t="n"/>
      <c r="AW212" s="52" t="n"/>
      <c r="AX212" s="53" t="n"/>
      <c r="AY212" s="54">
        <f>IF(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&lt;=0,"",VLOOKUP(B212,country_opex,7,FALSE)/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)</f>
        <v/>
      </c>
      <c r="AZ212" s="54">
        <f>IF(((W212*pax_cap*IF(B212="South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Korea",korea_mid_revleg,revleg_mid)),0))*VLOOKUP(B212,country_opex,3,FALSE))+Z212+AA212+AB212+AC212+AD212))&lt;=0,"",VLOOKUP(B212,country_opex,7,FALSE)/((W212*pax_cap*IF(B212="South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Korea",korea_mid_revleg,revleg_mid)),0))*VLOOKUP(B212,country_opex,3,FALSE))+Z212+AA212+AB212+AC212+AD212)))</f>
        <v/>
      </c>
      <c r="BA212" s="54">
        <f>IF(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&lt;=0,"",VLOOKUP(B212,country_opex,7,FALSE)/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)</f>
        <v/>
      </c>
      <c r="BB212" s="40" t="inlineStr">
        <is>
          <t>[LB-255 PREMIUM RE-FARE: subsidized comparable $3.5 lifted to premium on-demand floor $18.0] handoff/INDIA-ECONOMICS-SIDECAR-V0-2026-06-20.json (kerala)</t>
        </is>
      </c>
      <c r="BC212" s="40" t="inlineStr">
        <is>
          <t>handoff/INDIA-ECONOMICS-SIDECAR-V0-2026-06-20.json (kerala)</t>
        </is>
      </c>
      <c r="BD212" s="43" t="inlineStr">
        <is>
          <t>ics-da5edb2dfd</t>
        </is>
      </c>
    </row>
    <row r="213">
      <c r="A213" s="38" t="inlineStr">
        <is>
          <t>India Andaman Rapido</t>
        </is>
      </c>
      <c r="B213" s="38" t="inlineStr">
        <is>
          <t>India</t>
        </is>
      </c>
      <c r="C213" s="39" t="inlineStr">
        <is>
          <t>Andaman → Andaman &amp; Nicobar Islands</t>
        </is>
      </c>
      <c r="D213" s="38" t="inlineStr">
        <is>
          <t>rapido</t>
        </is>
      </c>
      <c r="E213" s="40" t="inlineStr">
        <is>
          <t>india-andaman-ola, india-andaman-rapido</t>
        </is>
      </c>
      <c r="F213" s="41" t="n">
        <v>2</v>
      </c>
      <c r="G213" s="42" t="n">
        <v>2.8</v>
      </c>
      <c r="H213" s="35" t="n">
        <v>22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IF(B213="South Korea",G213/korea_charge_range_nm*korea_full_range_charge_min,0)</f>
        <v/>
      </c>
      <c r="N213" s="44">
        <f>IF(B213="South Korea",L213+korea_turn_min+korea_dwell_min+M213,L213+turn_min+dwell_min)</f>
        <v/>
      </c>
      <c r="O213" s="45">
        <f>IF(B213="South Korea",FLOOR(60*korea_service_hr/N213,1),MIN(15,FLOOR(60*service_hr/N213,1)))</f>
        <v/>
      </c>
      <c r="P213" s="45">
        <f>IF(ABS(MOD(ABS((365*mech_uptime*K213)),1)-0.5)&lt;1E-9,2*ROUND((365*mech_uptime*K213)/2,0),ROUND((365*mech_uptime*K213),0))</f>
        <v/>
      </c>
      <c r="Q213" s="46">
        <f>mech_uptime</f>
        <v/>
      </c>
      <c r="R213" s="46">
        <f>IF(AND(B213="South Korea",scenario="MID"),korea_mid_revleg,revleg_sel)</f>
        <v/>
      </c>
      <c r="S213" s="45">
        <f>IF(ABS(MOD(ABS((O213*P213*R213)),1)-0.5)&lt;1E-9,2*ROUND((O213*P213*R213)/2,0),ROUND((O213*P213*R213),0))</f>
        <v/>
      </c>
      <c r="T213" s="46">
        <f>IF(AND(B213="South Korea",scenario="MID"),korea_mid_load,load_sel)</f>
        <v/>
      </c>
      <c r="U213" s="47">
        <f>pax_cap*T213</f>
        <v/>
      </c>
      <c r="V213" s="45">
        <f>U213*S213</f>
        <v/>
      </c>
      <c r="W213" s="48">
        <f>H213*discount</f>
        <v/>
      </c>
      <c r="X213" s="49">
        <f>W213*V213</f>
        <v/>
      </c>
      <c r="Y213" s="49">
        <f>(battery/range_nm)*G213*S213*VLOOKUP(B213,country_opex,3,FALSE)</f>
        <v/>
      </c>
      <c r="Z213" s="49">
        <f>VLOOKUP(B213,country_opex,2,FALSE)*crew_factor</f>
        <v/>
      </c>
      <c r="AA213" s="49">
        <f>VLOOKUP(B213,country_opex,5,FALSE)</f>
        <v/>
      </c>
      <c r="AB213" s="49">
        <f>maint</f>
        <v/>
      </c>
      <c r="AC213" s="49">
        <f>VLOOKUP(B213,country_opex,7,FALSE)*ins_pct</f>
        <v/>
      </c>
      <c r="AD213" s="49">
        <f>charge_berth</f>
        <v/>
      </c>
      <c r="AE213" s="49">
        <f>Y213+Z213+AA213+AB213+AC213+AD213</f>
        <v/>
      </c>
      <c r="AF213" s="49">
        <f>VLOOKUP(B213,country_opex,7,FALSE)/dep_years</f>
        <v/>
      </c>
      <c r="AG213" s="49">
        <f>X213-AE213</f>
        <v/>
      </c>
      <c r="AH213" s="46">
        <f>IF(X213=0,"",AG213/X213)</f>
        <v/>
      </c>
      <c r="AI213" s="47">
        <f>IF(AG213&lt;=0,"",VLOOKUP(B213,country_opex,7,FALSE)/AG213)</f>
        <v/>
      </c>
      <c r="AJ213" s="44">
        <f>((G213*S213/diesel_nmpg)*diesel_co2pg-(battery/range_nm)*G213*S213*VLOOKUP(B213,country_opex,4,FALSE))/1000</f>
        <v/>
      </c>
      <c r="AK213" s="42" t="n">
        <v>5000</v>
      </c>
      <c r="AL213" s="43" t="inlineStr">
        <is>
          <t>T3</t>
        </is>
      </c>
      <c r="AM213" s="43" t="inlineStr">
        <is>
          <t>med-low</t>
        </is>
      </c>
      <c r="AN213" s="50" t="n">
        <v>0.1</v>
      </c>
      <c r="AO213" s="45">
        <f>IF(AK213="","",AK213*AN213)</f>
        <v/>
      </c>
      <c r="AP213" s="45">
        <f>IF(OR(AK213="",V213=0),"",MIN(IF(AX213="",9.9E+99,AX213),FLOOR(AO213/V213,1)))</f>
        <v/>
      </c>
      <c r="AQ213" s="49">
        <f>IF(AP213="","",AP213*IF(ABS(MOD(ABS((X213)),1)-0.5)&lt;1E-9,2*ROUND((X213)/2,0),ROUND((X213),0)))</f>
        <v/>
      </c>
      <c r="AR213" s="47">
        <f>IF(OR(AK213="",V213=0),"",MIN(IF(AX213="",9.9E+99,AX213),AO213/V213))</f>
        <v/>
      </c>
      <c r="AS213" s="49">
        <f>IF(AR213="","",AR213*IF(B213="South Korea",IF(ABS(MOD(ABS((X213)),1)-0.5)&lt;1E-9,2*ROUND((X213)/2,0),ROUND((X213),0)),X213))</f>
        <v/>
      </c>
      <c r="AT213" s="51" t="n"/>
      <c r="AU213" s="43" t="inlineStr">
        <is>
          <t>Grounded</t>
        </is>
      </c>
      <c r="AV213" s="52" t="n"/>
      <c r="AW213" s="52" t="n"/>
      <c r="AX213" s="53" t="n"/>
      <c r="AY213" s="54">
        <f>IF(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&lt;=0,"",VLOOKUP(B213,country_opex,7,FALSE)/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)</f>
        <v/>
      </c>
      <c r="AZ213" s="54">
        <f>IF(((W213*pax_cap*IF(B213="South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Korea",korea_mid_revleg,revleg_mid)),0))*VLOOKUP(B213,country_opex,3,FALSE))+Z213+AA213+AB213+AC213+AD213))&lt;=0,"",VLOOKUP(B213,country_opex,7,FALSE)/((W213*pax_cap*IF(B213="South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Korea",korea_mid_revleg,revleg_mid)),0))*VLOOKUP(B213,country_opex,3,FALSE))+Z213+AA213+AB213+AC213+AD213)))</f>
        <v/>
      </c>
      <c r="BA213" s="54">
        <f>IF(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&lt;=0,"",VLOOKUP(B213,country_opex,7,FALSE)/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)</f>
        <v/>
      </c>
      <c r="BB213" s="40" t="inlineStr">
        <is>
          <t>handoff/INDIA-ECONOMICS-SIDECAR-V0-2026-06-20.json (andaman)</t>
        </is>
      </c>
      <c r="BC213" s="40" t="inlineStr">
        <is>
          <t>handoff/INDIA-ECONOMICS-SIDECAR-V0-2026-06-20.json (andaman)</t>
        </is>
      </c>
      <c r="BD213" s="43" t="inlineStr">
        <is>
          <t>ics-0fa311bec3</t>
        </is>
      </c>
    </row>
    <row r="214">
      <c r="A214" s="38" t="inlineStr">
        <is>
          <t>India Andaman Rapido</t>
        </is>
      </c>
      <c r="B214" s="38" t="inlineStr">
        <is>
          <t>India</t>
        </is>
      </c>
      <c r="C214" s="39" t="inlineStr">
        <is>
          <t>Andaman → BookMyBoat Andaman Ferry Booking</t>
        </is>
      </c>
      <c r="D214" s="38" t="inlineStr">
        <is>
          <t>rapido</t>
        </is>
      </c>
      <c r="E214" s="40" t="inlineStr">
        <is>
          <t>india-andaman-ola, india-andaman-rapido</t>
        </is>
      </c>
      <c r="F214" s="41" t="n">
        <v>2</v>
      </c>
      <c r="G214" s="42" t="n">
        <v>2.8</v>
      </c>
      <c r="H214" s="35" t="n">
        <v>22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IF(B214="South Korea",G214/korea_charge_range_nm*korea_full_range_charge_min,0)</f>
        <v/>
      </c>
      <c r="N214" s="44">
        <f>IF(B214="South Korea",L214+korea_turn_min+korea_dwell_min+M214,L214+turn_min+dwell_min)</f>
        <v/>
      </c>
      <c r="O214" s="45">
        <f>IF(B214="South Korea",FLOOR(60*korea_service_hr/N214,1),MIN(15,FLOOR(60*service_hr/N214,1)))</f>
        <v/>
      </c>
      <c r="P214" s="45">
        <f>IF(ABS(MOD(ABS((365*mech_uptime*K214)),1)-0.5)&lt;1E-9,2*ROUND((365*mech_uptime*K214)/2,0),ROUND((365*mech_uptime*K214),0))</f>
        <v/>
      </c>
      <c r="Q214" s="46">
        <f>mech_uptime</f>
        <v/>
      </c>
      <c r="R214" s="46">
        <f>IF(AND(B214="South Korea",scenario="MID"),korea_mid_revleg,revleg_sel)</f>
        <v/>
      </c>
      <c r="S214" s="45">
        <f>IF(ABS(MOD(ABS((O214*P214*R214)),1)-0.5)&lt;1E-9,2*ROUND((O214*P214*R214)/2,0),ROUND((O214*P214*R214),0))</f>
        <v/>
      </c>
      <c r="T214" s="46">
        <f>IF(AND(B214="South Korea",scenario="MID"),korea_mid_load,load_sel)</f>
        <v/>
      </c>
      <c r="U214" s="47">
        <f>pax_cap*T214</f>
        <v/>
      </c>
      <c r="V214" s="45">
        <f>U214*S214</f>
        <v/>
      </c>
      <c r="W214" s="48">
        <f>H214*discount</f>
        <v/>
      </c>
      <c r="X214" s="49">
        <f>W214*V214</f>
        <v/>
      </c>
      <c r="Y214" s="49">
        <f>(battery/range_nm)*G214*S214*VLOOKUP(B214,country_opex,3,FALSE)</f>
        <v/>
      </c>
      <c r="Z214" s="49">
        <f>VLOOKUP(B214,country_opex,2,FALSE)*crew_factor</f>
        <v/>
      </c>
      <c r="AA214" s="49">
        <f>VLOOKUP(B214,country_opex,5,FALSE)</f>
        <v/>
      </c>
      <c r="AB214" s="49">
        <f>maint</f>
        <v/>
      </c>
      <c r="AC214" s="49">
        <f>VLOOKUP(B214,country_opex,7,FALSE)*ins_pct</f>
        <v/>
      </c>
      <c r="AD214" s="49">
        <f>charge_berth</f>
        <v/>
      </c>
      <c r="AE214" s="49">
        <f>Y214+Z214+AA214+AB214+AC214+AD214</f>
        <v/>
      </c>
      <c r="AF214" s="49">
        <f>VLOOKUP(B214,country_opex,7,FALSE)/dep_years</f>
        <v/>
      </c>
      <c r="AG214" s="49">
        <f>X214-AE214</f>
        <v/>
      </c>
      <c r="AH214" s="46">
        <f>IF(X214=0,"",AG214/X214)</f>
        <v/>
      </c>
      <c r="AI214" s="47">
        <f>IF(AG214&lt;=0,"",VLOOKUP(B214,country_opex,7,FALSE)/AG214)</f>
        <v/>
      </c>
      <c r="AJ214" s="44">
        <f>((G214*S214/diesel_nmpg)*diesel_co2pg-(battery/range_nm)*G214*S214*VLOOKUP(B214,country_opex,4,FALSE))/1000</f>
        <v/>
      </c>
      <c r="AK214" s="42" t="n">
        <v>5000</v>
      </c>
      <c r="AL214" s="43" t="inlineStr">
        <is>
          <t>T3</t>
        </is>
      </c>
      <c r="AM214" s="43" t="inlineStr">
        <is>
          <t>med-low</t>
        </is>
      </c>
      <c r="AN214" s="50" t="n">
        <v>0.1</v>
      </c>
      <c r="AO214" s="45">
        <f>IF(AK214="","",AK214*AN214)</f>
        <v/>
      </c>
      <c r="AP214" s="45">
        <f>IF(OR(AK214="",V214=0),"",MIN(IF(AX214="",9.9E+99,AX214),FLOOR(AO214/V214,1)))</f>
        <v/>
      </c>
      <c r="AQ214" s="49">
        <f>IF(AP214="","",AP214*IF(ABS(MOD(ABS((X214)),1)-0.5)&lt;1E-9,2*ROUND((X214)/2,0),ROUND((X214),0)))</f>
        <v/>
      </c>
      <c r="AR214" s="47">
        <f>IF(OR(AK214="",V214=0),"",MIN(IF(AX214="",9.9E+99,AX214),AO214/V214))</f>
        <v/>
      </c>
      <c r="AS214" s="49">
        <f>IF(AR214="","",AR214*IF(B214="South Korea",IF(ABS(MOD(ABS((X214)),1)-0.5)&lt;1E-9,2*ROUND((X214)/2,0),ROUND((X214),0)),X214))</f>
        <v/>
      </c>
      <c r="AT214" s="51" t="n"/>
      <c r="AU214" s="43" t="inlineStr">
        <is>
          <t>Grounded</t>
        </is>
      </c>
      <c r="AV214" s="52" t="n"/>
      <c r="AW214" s="52" t="n"/>
      <c r="AX214" s="53" t="n"/>
      <c r="AY214" s="54">
        <f>IF(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&lt;=0,"",VLOOKUP(B214,country_opex,7,FALSE)/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)</f>
        <v/>
      </c>
      <c r="AZ214" s="54">
        <f>IF(((W214*pax_cap*IF(B214="South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Korea",korea_mid_revleg,revleg_mid)),0))*VLOOKUP(B214,country_opex,3,FALSE))+Z214+AA214+AB214+AC214+AD214))&lt;=0,"",VLOOKUP(B214,country_opex,7,FALSE)/((W214*pax_cap*IF(B214="South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Korea",korea_mid_revleg,revleg_mid)),0))*VLOOKUP(B214,country_opex,3,FALSE))+Z214+AA214+AB214+AC214+AD214)))</f>
        <v/>
      </c>
      <c r="BA214" s="54">
        <f>IF(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&lt;=0,"",VLOOKUP(B214,country_opex,7,FALSE)/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)</f>
        <v/>
      </c>
      <c r="BB214" s="40" t="inlineStr">
        <is>
          <t>handoff/INDIA-ECONOMICS-SIDECAR-V0-2026-06-20.json (andaman)</t>
        </is>
      </c>
      <c r="BC214" s="40" t="inlineStr">
        <is>
          <t>handoff/INDIA-ECONOMICS-SIDECAR-V0-2026-06-20.json (andaman)</t>
        </is>
      </c>
      <c r="BD214" s="43" t="inlineStr">
        <is>
          <t>rn-0e50f4087bda</t>
        </is>
      </c>
    </row>
    <row r="215">
      <c r="A215" s="38" t="inlineStr">
        <is>
          <t>India Andaman Rapido</t>
        </is>
      </c>
      <c r="B215" s="38" t="inlineStr">
        <is>
          <t>India</t>
        </is>
      </c>
      <c r="C215" s="39" t="inlineStr">
        <is>
          <t>Junglighat Jetty → BookMyBoat Andaman Ferry Booking</t>
        </is>
      </c>
      <c r="D215" s="38" t="inlineStr">
        <is>
          <t>rapido</t>
        </is>
      </c>
      <c r="E215" s="40" t="inlineStr">
        <is>
          <t>india-andaman-ola, india-andaman-rapido</t>
        </is>
      </c>
      <c r="F215" s="41" t="n">
        <v>2</v>
      </c>
      <c r="G215" s="42" t="n">
        <v>2.8</v>
      </c>
      <c r="H215" s="35" t="n">
        <v>22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IF(B215="South Korea",G215/korea_charge_range_nm*korea_full_range_charge_min,0)</f>
        <v/>
      </c>
      <c r="N215" s="44">
        <f>IF(B215="South Korea",L215+korea_turn_min+korea_dwell_min+M215,L215+turn_min+dwell_min)</f>
        <v/>
      </c>
      <c r="O215" s="45">
        <f>IF(B215="South Korea",FLOOR(60*korea_service_hr/N215,1),MIN(15,FLOOR(60*service_hr/N215,1)))</f>
        <v/>
      </c>
      <c r="P215" s="45">
        <f>IF(ABS(MOD(ABS((365*mech_uptime*K215)),1)-0.5)&lt;1E-9,2*ROUND((365*mech_uptime*K215)/2,0),ROUND((365*mech_uptime*K215),0))</f>
        <v/>
      </c>
      <c r="Q215" s="46">
        <f>mech_uptime</f>
        <v/>
      </c>
      <c r="R215" s="46">
        <f>IF(AND(B215="South Korea",scenario="MID"),korea_mid_revleg,revleg_sel)</f>
        <v/>
      </c>
      <c r="S215" s="45">
        <f>IF(ABS(MOD(ABS((O215*P215*R215)),1)-0.5)&lt;1E-9,2*ROUND((O215*P215*R215)/2,0),ROUND((O215*P215*R215),0))</f>
        <v/>
      </c>
      <c r="T215" s="46">
        <f>IF(AND(B215="South Korea",scenario="MID"),korea_mid_load,load_sel)</f>
        <v/>
      </c>
      <c r="U215" s="47">
        <f>pax_cap*T215</f>
        <v/>
      </c>
      <c r="V215" s="45">
        <f>U215*S215</f>
        <v/>
      </c>
      <c r="W215" s="48">
        <f>H215*discount</f>
        <v/>
      </c>
      <c r="X215" s="49">
        <f>W215*V215</f>
        <v/>
      </c>
      <c r="Y215" s="49">
        <f>(battery/range_nm)*G215*S215*VLOOKUP(B215,country_opex,3,FALSE)</f>
        <v/>
      </c>
      <c r="Z215" s="49">
        <f>VLOOKUP(B215,country_opex,2,FALSE)*crew_factor</f>
        <v/>
      </c>
      <c r="AA215" s="49">
        <f>VLOOKUP(B215,country_opex,5,FALSE)</f>
        <v/>
      </c>
      <c r="AB215" s="49">
        <f>maint</f>
        <v/>
      </c>
      <c r="AC215" s="49">
        <f>VLOOKUP(B215,country_opex,7,FALSE)*ins_pct</f>
        <v/>
      </c>
      <c r="AD215" s="49">
        <f>charge_berth</f>
        <v/>
      </c>
      <c r="AE215" s="49">
        <f>Y215+Z215+AA215+AB215+AC215+AD215</f>
        <v/>
      </c>
      <c r="AF215" s="49">
        <f>VLOOKUP(B215,country_opex,7,FALSE)/dep_years</f>
        <v/>
      </c>
      <c r="AG215" s="49">
        <f>X215-AE215</f>
        <v/>
      </c>
      <c r="AH215" s="46">
        <f>IF(X215=0,"",AG215/X215)</f>
        <v/>
      </c>
      <c r="AI215" s="47">
        <f>IF(AG215&lt;=0,"",VLOOKUP(B215,country_opex,7,FALSE)/AG215)</f>
        <v/>
      </c>
      <c r="AJ215" s="44">
        <f>((G215*S215/diesel_nmpg)*diesel_co2pg-(battery/range_nm)*G215*S215*VLOOKUP(B215,country_opex,4,FALSE))/1000</f>
        <v/>
      </c>
      <c r="AK215" s="42" t="n">
        <v>5000</v>
      </c>
      <c r="AL215" s="43" t="inlineStr">
        <is>
          <t>T3</t>
        </is>
      </c>
      <c r="AM215" s="43" t="inlineStr">
        <is>
          <t>med-low</t>
        </is>
      </c>
      <c r="AN215" s="50" t="n">
        <v>0.1</v>
      </c>
      <c r="AO215" s="45">
        <f>IF(AK215="","",AK215*AN215)</f>
        <v/>
      </c>
      <c r="AP215" s="45">
        <f>IF(OR(AK215="",V215=0),"",MIN(IF(AX215="",9.9E+99,AX215),FLOOR(AO215/V215,1)))</f>
        <v/>
      </c>
      <c r="AQ215" s="49">
        <f>IF(AP215="","",AP215*IF(ABS(MOD(ABS((X215)),1)-0.5)&lt;1E-9,2*ROUND((X215)/2,0),ROUND((X215),0)))</f>
        <v/>
      </c>
      <c r="AR215" s="47">
        <f>IF(OR(AK215="",V215=0),"",MIN(IF(AX215="",9.9E+99,AX215),AO215/V215))</f>
        <v/>
      </c>
      <c r="AS215" s="49">
        <f>IF(AR215="","",AR215*IF(B215="South Korea",IF(ABS(MOD(ABS((X215)),1)-0.5)&lt;1E-9,2*ROUND((X215)/2,0),ROUND((X215),0)),X215))</f>
        <v/>
      </c>
      <c r="AT215" s="51" t="n"/>
      <c r="AU215" s="43" t="inlineStr">
        <is>
          <t>Grounded</t>
        </is>
      </c>
      <c r="AV215" s="52" t="n"/>
      <c r="AW215" s="52" t="n"/>
      <c r="AX215" s="53" t="n"/>
      <c r="AY215" s="54">
        <f>IF(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&lt;=0,"",VLOOKUP(B215,country_opex,7,FALSE)/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)</f>
        <v/>
      </c>
      <c r="AZ215" s="54">
        <f>IF(((W215*pax_cap*IF(B215="South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Korea",korea_mid_revleg,revleg_mid)),0))*VLOOKUP(B215,country_opex,3,FALSE))+Z215+AA215+AB215+AC215+AD215))&lt;=0,"",VLOOKUP(B215,country_opex,7,FALSE)/((W215*pax_cap*IF(B215="South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Korea",korea_mid_revleg,revleg_mid)),0))*VLOOKUP(B215,country_opex,3,FALSE))+Z215+AA215+AB215+AC215+AD215)))</f>
        <v/>
      </c>
      <c r="BA215" s="54">
        <f>IF(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&lt;=0,"",VLOOKUP(B215,country_opex,7,FALSE)/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)</f>
        <v/>
      </c>
      <c r="BB215" s="40" t="inlineStr">
        <is>
          <t>handoff/INDIA-ECONOMICS-SIDECAR-V0-2026-06-20.json (andaman)</t>
        </is>
      </c>
      <c r="BC215" s="40" t="inlineStr">
        <is>
          <t>handoff/INDIA-ECONOMICS-SIDECAR-V0-2026-06-20.json (andaman)</t>
        </is>
      </c>
      <c r="BD215" s="43" t="inlineStr">
        <is>
          <t>rn-cc3bf1c851a3</t>
        </is>
      </c>
    </row>
    <row r="216">
      <c r="A216" s="38" t="inlineStr">
        <is>
          <t>India Andaman Rapido</t>
        </is>
      </c>
      <c r="B216" s="38" t="inlineStr">
        <is>
          <t>India</t>
        </is>
      </c>
      <c r="C216" s="39" t="inlineStr">
        <is>
          <t>Port Blair → BookMyBoat Andaman Ferry Booking</t>
        </is>
      </c>
      <c r="D216" s="38" t="inlineStr">
        <is>
          <t>rapido</t>
        </is>
      </c>
      <c r="E216" s="40" t="inlineStr">
        <is>
          <t>india-andaman-ola, india-andaman-rapido</t>
        </is>
      </c>
      <c r="F216" s="41" t="n">
        <v>2</v>
      </c>
      <c r="G216" s="42" t="n">
        <v>2.8</v>
      </c>
      <c r="H216" s="35" t="n">
        <v>22</v>
      </c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IF(B216="South Korea",G216/korea_charge_range_nm*korea_full_range_charge_min,0)</f>
        <v/>
      </c>
      <c r="N216" s="44">
        <f>IF(B216="South Korea",L216+korea_turn_min+korea_dwell_min+M216,L216+turn_min+dwell_min)</f>
        <v/>
      </c>
      <c r="O216" s="45">
        <f>IF(B216="South Korea",FLOOR(60*korea_service_hr/N216,1),MIN(15,FLOOR(60*service_hr/N216,1)))</f>
        <v/>
      </c>
      <c r="P216" s="45">
        <f>IF(ABS(MOD(ABS((365*mech_uptime*K216)),1)-0.5)&lt;1E-9,2*ROUND((365*mech_uptime*K216)/2,0),ROUND((365*mech_uptime*K216),0))</f>
        <v/>
      </c>
      <c r="Q216" s="46">
        <f>mech_uptime</f>
        <v/>
      </c>
      <c r="R216" s="46">
        <f>IF(AND(B216="South Korea",scenario="MID"),korea_mid_revleg,revleg_sel)</f>
        <v/>
      </c>
      <c r="S216" s="45">
        <f>IF(ABS(MOD(ABS((O216*P216*R216)),1)-0.5)&lt;1E-9,2*ROUND((O216*P216*R216)/2,0),ROUND((O216*P216*R216),0))</f>
        <v/>
      </c>
      <c r="T216" s="46">
        <f>IF(AND(B216="South Korea",scenario="MID"),korea_mid_load,load_sel)</f>
        <v/>
      </c>
      <c r="U216" s="47">
        <f>pax_cap*T216</f>
        <v/>
      </c>
      <c r="V216" s="45">
        <f>U216*S216</f>
        <v/>
      </c>
      <c r="W216" s="48">
        <f>H216*discount</f>
        <v/>
      </c>
      <c r="X216" s="49">
        <f>W216*V216</f>
        <v/>
      </c>
      <c r="Y216" s="49">
        <f>(battery/range_nm)*G216*S216*VLOOKUP(B216,country_opex,3,FALSE)</f>
        <v/>
      </c>
      <c r="Z216" s="49">
        <f>VLOOKUP(B216,country_opex,2,FALSE)*crew_factor</f>
        <v/>
      </c>
      <c r="AA216" s="49">
        <f>VLOOKUP(B216,country_opex,5,FALSE)</f>
        <v/>
      </c>
      <c r="AB216" s="49">
        <f>maint</f>
        <v/>
      </c>
      <c r="AC216" s="49">
        <f>VLOOKUP(B216,country_opex,7,FALSE)*ins_pct</f>
        <v/>
      </c>
      <c r="AD216" s="49">
        <f>charge_berth</f>
        <v/>
      </c>
      <c r="AE216" s="49">
        <f>Y216+Z216+AA216+AB216+AC216+AD216</f>
        <v/>
      </c>
      <c r="AF216" s="49">
        <f>VLOOKUP(B216,country_opex,7,FALSE)/dep_years</f>
        <v/>
      </c>
      <c r="AG216" s="49">
        <f>X216-AE216</f>
        <v/>
      </c>
      <c r="AH216" s="46">
        <f>IF(X216=0,"",AG216/X216)</f>
        <v/>
      </c>
      <c r="AI216" s="47">
        <f>IF(AG216&lt;=0,"",VLOOKUP(B216,country_opex,7,FALSE)/AG216)</f>
        <v/>
      </c>
      <c r="AJ216" s="44">
        <f>((G216*S216/diesel_nmpg)*diesel_co2pg-(battery/range_nm)*G216*S216*VLOOKUP(B216,country_opex,4,FALSE))/1000</f>
        <v/>
      </c>
      <c r="AK216" s="42" t="n">
        <v>5000</v>
      </c>
      <c r="AL216" s="43" t="inlineStr">
        <is>
          <t>T3</t>
        </is>
      </c>
      <c r="AM216" s="43" t="inlineStr">
        <is>
          <t>med-low</t>
        </is>
      </c>
      <c r="AN216" s="50" t="n">
        <v>0.1</v>
      </c>
      <c r="AO216" s="45">
        <f>IF(AK216="","",AK216*AN216)</f>
        <v/>
      </c>
      <c r="AP216" s="45">
        <f>IF(OR(AK216="",V216=0),"",MIN(IF(AX216="",9.9E+99,AX216),FLOOR(AO216/V216,1)))</f>
        <v/>
      </c>
      <c r="AQ216" s="49">
        <f>IF(AP216="","",AP216*IF(ABS(MOD(ABS((X216)),1)-0.5)&lt;1E-9,2*ROUND((X216)/2,0),ROUND((X216),0)))</f>
        <v/>
      </c>
      <c r="AR216" s="47">
        <f>IF(OR(AK216="",V216=0),"",MIN(IF(AX216="",9.9E+99,AX216),AO216/V216))</f>
        <v/>
      </c>
      <c r="AS216" s="49">
        <f>IF(AR216="","",AR216*IF(B216="South Korea",IF(ABS(MOD(ABS((X216)),1)-0.5)&lt;1E-9,2*ROUND((X216)/2,0),ROUND((X216),0)),X216))</f>
        <v/>
      </c>
      <c r="AT216" s="51" t="n"/>
      <c r="AU216" s="43" t="inlineStr">
        <is>
          <t>Grounded</t>
        </is>
      </c>
      <c r="AV216" s="52" t="n"/>
      <c r="AW216" s="52" t="n"/>
      <c r="AX216" s="53" t="n"/>
      <c r="AY216" s="54">
        <f>IF(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&lt;=0,"",VLOOKUP(B216,country_opex,7,FALSE)/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)</f>
        <v/>
      </c>
      <c r="AZ216" s="54">
        <f>IF(((W216*pax_cap*IF(B216="South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Korea",korea_mid_revleg,revleg_mid)),0))*VLOOKUP(B216,country_opex,3,FALSE))+Z216+AA216+AB216+AC216+AD216))&lt;=0,"",VLOOKUP(B216,country_opex,7,FALSE)/((W216*pax_cap*IF(B216="South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Korea",korea_mid_revleg,revleg_mid)),0))*VLOOKUP(B216,country_opex,3,FALSE))+Z216+AA216+AB216+AC216+AD216)))</f>
        <v/>
      </c>
      <c r="BA216" s="54">
        <f>IF(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&lt;=0,"",VLOOKUP(B216,country_opex,7,FALSE)/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)</f>
        <v/>
      </c>
      <c r="BB216" s="40" t="inlineStr">
        <is>
          <t>handoff/INDIA-ECONOMICS-SIDECAR-V0-2026-06-20.json (andaman)</t>
        </is>
      </c>
      <c r="BC216" s="40" t="inlineStr">
        <is>
          <t>handoff/INDIA-ECONOMICS-SIDECAR-V0-2026-06-20.json (andaman)</t>
        </is>
      </c>
      <c r="BD216" s="43" t="inlineStr">
        <is>
          <t>rn-98d8f63617ee</t>
        </is>
      </c>
    </row>
    <row r="217">
      <c r="A217" s="38" t="inlineStr">
        <is>
          <t>India Mumbai Rapido</t>
        </is>
      </c>
      <c r="B217" s="38" t="inlineStr">
        <is>
          <t>India</t>
        </is>
      </c>
      <c r="C217" s="39" t="inlineStr">
        <is>
          <t>Pirpau Jetty → JNPT Ferry Service</t>
        </is>
      </c>
      <c r="D217" s="38" t="inlineStr">
        <is>
          <t>rapido</t>
        </is>
      </c>
      <c r="E217" s="40" t="inlineStr">
        <is>
          <t>india-mumbai-ola, india-mumbai-rapido</t>
        </is>
      </c>
      <c r="F217" s="41" t="n">
        <v>2</v>
      </c>
      <c r="G217" s="42" t="n">
        <v>2.9</v>
      </c>
      <c r="H217" s="35" t="n">
        <v>18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IF(B217="South Korea",G217/korea_charge_range_nm*korea_full_range_charge_min,0)</f>
        <v/>
      </c>
      <c r="N217" s="44">
        <f>IF(B217="South Korea",L217+korea_turn_min+korea_dwell_min+M217,L217+turn_min+dwell_min)</f>
        <v/>
      </c>
      <c r="O217" s="45">
        <f>IF(B217="South Korea",FLOOR(60*korea_service_hr/N217,1),MIN(15,FLOOR(60*service_hr/N217,1)))</f>
        <v/>
      </c>
      <c r="P217" s="45">
        <f>IF(ABS(MOD(ABS((365*mech_uptime*K217)),1)-0.5)&lt;1E-9,2*ROUND((365*mech_uptime*K217)/2,0),ROUND((365*mech_uptime*K217),0))</f>
        <v/>
      </c>
      <c r="Q217" s="46">
        <f>mech_uptime</f>
        <v/>
      </c>
      <c r="R217" s="46">
        <f>IF(AND(B217="South Korea",scenario="MID"),korea_mid_revleg,revleg_sel)</f>
        <v/>
      </c>
      <c r="S217" s="45">
        <f>IF(ABS(MOD(ABS((O217*P217*R217)),1)-0.5)&lt;1E-9,2*ROUND((O217*P217*R217)/2,0),ROUND((O217*P217*R217),0))</f>
        <v/>
      </c>
      <c r="T217" s="46">
        <f>IF(AND(B217="South Korea",scenario="MID"),korea_mid_load,load_sel)</f>
        <v/>
      </c>
      <c r="U217" s="47">
        <f>pax_cap*T217</f>
        <v/>
      </c>
      <c r="V217" s="45">
        <f>U217*S217</f>
        <v/>
      </c>
      <c r="W217" s="48">
        <f>H217*discount</f>
        <v/>
      </c>
      <c r="X217" s="49">
        <f>W217*V217</f>
        <v/>
      </c>
      <c r="Y217" s="49">
        <f>(battery/range_nm)*G217*S217*VLOOKUP(B217,country_opex,3,FALSE)</f>
        <v/>
      </c>
      <c r="Z217" s="49">
        <f>VLOOKUP(B217,country_opex,2,FALSE)*crew_factor</f>
        <v/>
      </c>
      <c r="AA217" s="49">
        <f>VLOOKUP(B217,country_opex,5,FALSE)</f>
        <v/>
      </c>
      <c r="AB217" s="49">
        <f>maint</f>
        <v/>
      </c>
      <c r="AC217" s="49">
        <f>VLOOKUP(B217,country_opex,7,FALSE)*ins_pct</f>
        <v/>
      </c>
      <c r="AD217" s="49">
        <f>charge_berth</f>
        <v/>
      </c>
      <c r="AE217" s="49">
        <f>Y217+Z217+AA217+AB217+AC217+AD217</f>
        <v/>
      </c>
      <c r="AF217" s="49">
        <f>VLOOKUP(B217,country_opex,7,FALSE)/dep_years</f>
        <v/>
      </c>
      <c r="AG217" s="49">
        <f>X217-AE217</f>
        <v/>
      </c>
      <c r="AH217" s="46">
        <f>IF(X217=0,"",AG217/X217)</f>
        <v/>
      </c>
      <c r="AI217" s="47">
        <f>IF(AG217&lt;=0,"",VLOOKUP(B217,country_opex,7,FALSE)/AG217)</f>
        <v/>
      </c>
      <c r="AJ217" s="44">
        <f>((G217*S217/diesel_nmpg)*diesel_co2pg-(battery/range_nm)*G217*S217*VLOOKUP(B217,country_opex,4,FALSE))/1000</f>
        <v/>
      </c>
      <c r="AK217" s="42" t="n">
        <v>5000</v>
      </c>
      <c r="AL217" s="43" t="inlineStr">
        <is>
          <t>T3</t>
        </is>
      </c>
      <c r="AM217" s="43" t="inlineStr">
        <is>
          <t>med-low</t>
        </is>
      </c>
      <c r="AN217" s="50" t="n">
        <v>0.1</v>
      </c>
      <c r="AO217" s="45">
        <f>IF(AK217="","",AK217*AN217)</f>
        <v/>
      </c>
      <c r="AP217" s="45">
        <f>IF(OR(AK217="",V217=0),"",MIN(IF(AX217="",9.9E+99,AX217),FLOOR(AO217/V217,1)))</f>
        <v/>
      </c>
      <c r="AQ217" s="49">
        <f>IF(AP217="","",AP217*IF(ABS(MOD(ABS((X217)),1)-0.5)&lt;1E-9,2*ROUND((X217)/2,0),ROUND((X217),0)))</f>
        <v/>
      </c>
      <c r="AR217" s="47">
        <f>IF(OR(AK217="",V217=0),"",MIN(IF(AX217="",9.9E+99,AX217),AO217/V217))</f>
        <v/>
      </c>
      <c r="AS217" s="49">
        <f>IF(AR217="","",AR217*IF(B217="South Korea",IF(ABS(MOD(ABS((X217)),1)-0.5)&lt;1E-9,2*ROUND((X217)/2,0),ROUND((X217),0)),X217))</f>
        <v/>
      </c>
      <c r="AT217" s="51" t="n"/>
      <c r="AU217" s="43" t="inlineStr">
        <is>
          <t>Grounded</t>
        </is>
      </c>
      <c r="AV217" s="52" t="n"/>
      <c r="AW217" s="52" t="n"/>
      <c r="AX217" s="53" t="n"/>
      <c r="AY217" s="54">
        <f>IF(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&lt;=0,"",VLOOKUP(B217,country_opex,7,FALSE)/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)</f>
        <v/>
      </c>
      <c r="AZ217" s="54">
        <f>IF(((W217*pax_cap*IF(B217="South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Korea",korea_mid_revleg,revleg_mid)),0))*VLOOKUP(B217,country_opex,3,FALSE))+Z217+AA217+AB217+AC217+AD217))&lt;=0,"",VLOOKUP(B217,country_opex,7,FALSE)/((W217*pax_cap*IF(B217="South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Korea",korea_mid_revleg,revleg_mid)),0))*VLOOKUP(B217,country_opex,3,FALSE))+Z217+AA217+AB217+AC217+AD217)))</f>
        <v/>
      </c>
      <c r="BA217" s="54">
        <f>IF(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&lt;=0,"",VLOOKUP(B217,country_opex,7,FALSE)/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)</f>
        <v/>
      </c>
      <c r="BB217" s="40" t="inlineStr">
        <is>
          <t>[LB-255 PREMIUM RE-FARE: subsidized comparable $5.5 lifted to premium on-demand floor $18.0] handoff/INDIA-ECONOMICS-SIDECAR-V0-2026-06-20.json (mumbai)</t>
        </is>
      </c>
      <c r="BC217" s="40" t="inlineStr">
        <is>
          <t>handoff/INDIA-ECONOMICS-SIDECAR-V0-2026-06-20.json (mumbai)</t>
        </is>
      </c>
      <c r="BD217" s="43" t="inlineStr">
        <is>
          <t>ics-27f7e37228</t>
        </is>
      </c>
    </row>
    <row r="218">
      <c r="A218" s="38" t="inlineStr">
        <is>
          <t>India Andaman Rapido</t>
        </is>
      </c>
      <c r="B218" s="38" t="inlineStr">
        <is>
          <t>India</t>
        </is>
      </c>
      <c r="C218" s="39" t="inlineStr">
        <is>
          <t>Bambooflat Jetty → Panighat Ferry Jetty</t>
        </is>
      </c>
      <c r="D218" s="38" t="inlineStr">
        <is>
          <t>rapido</t>
        </is>
      </c>
      <c r="E218" s="40" t="inlineStr">
        <is>
          <t>india-andaman-ola, india-andaman-rapido</t>
        </is>
      </c>
      <c r="F218" s="41" t="n">
        <v>2</v>
      </c>
      <c r="G218" s="42" t="n">
        <v>3</v>
      </c>
      <c r="H218" s="35" t="n">
        <v>22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IF(B218="South Korea",G218/korea_charge_range_nm*korea_full_range_charge_min,0)</f>
        <v/>
      </c>
      <c r="N218" s="44">
        <f>IF(B218="South Korea",L218+korea_turn_min+korea_dwell_min+M218,L218+turn_min+dwell_min)</f>
        <v/>
      </c>
      <c r="O218" s="45">
        <f>IF(B218="South Korea",FLOOR(60*korea_service_hr/N218,1),MIN(15,FLOOR(60*service_hr/N218,1)))</f>
        <v/>
      </c>
      <c r="P218" s="45">
        <f>IF(ABS(MOD(ABS((365*mech_uptime*K218)),1)-0.5)&lt;1E-9,2*ROUND((365*mech_uptime*K218)/2,0),ROUND((365*mech_uptime*K218),0))</f>
        <v/>
      </c>
      <c r="Q218" s="46">
        <f>mech_uptime</f>
        <v/>
      </c>
      <c r="R218" s="46">
        <f>IF(AND(B218="South Korea",scenario="MID"),korea_mid_revleg,revleg_sel)</f>
        <v/>
      </c>
      <c r="S218" s="45">
        <f>IF(ABS(MOD(ABS((O218*P218*R218)),1)-0.5)&lt;1E-9,2*ROUND((O218*P218*R218)/2,0),ROUND((O218*P218*R218),0))</f>
        <v/>
      </c>
      <c r="T218" s="46">
        <f>IF(AND(B218="South Korea",scenario="MID"),korea_mid_load,load_sel)</f>
        <v/>
      </c>
      <c r="U218" s="47">
        <f>pax_cap*T218</f>
        <v/>
      </c>
      <c r="V218" s="45">
        <f>U218*S218</f>
        <v/>
      </c>
      <c r="W218" s="48">
        <f>H218*discount</f>
        <v/>
      </c>
      <c r="X218" s="49">
        <f>W218*V218</f>
        <v/>
      </c>
      <c r="Y218" s="49">
        <f>(battery/range_nm)*G218*S218*VLOOKUP(B218,country_opex,3,FALSE)</f>
        <v/>
      </c>
      <c r="Z218" s="49">
        <f>VLOOKUP(B218,country_opex,2,FALSE)*crew_factor</f>
        <v/>
      </c>
      <c r="AA218" s="49">
        <f>VLOOKUP(B218,country_opex,5,FALSE)</f>
        <v/>
      </c>
      <c r="AB218" s="49">
        <f>maint</f>
        <v/>
      </c>
      <c r="AC218" s="49">
        <f>VLOOKUP(B218,country_opex,7,FALSE)*ins_pct</f>
        <v/>
      </c>
      <c r="AD218" s="49">
        <f>charge_berth</f>
        <v/>
      </c>
      <c r="AE218" s="49">
        <f>Y218+Z218+AA218+AB218+AC218+AD218</f>
        <v/>
      </c>
      <c r="AF218" s="49">
        <f>VLOOKUP(B218,country_opex,7,FALSE)/dep_years</f>
        <v/>
      </c>
      <c r="AG218" s="49">
        <f>X218-AE218</f>
        <v/>
      </c>
      <c r="AH218" s="46">
        <f>IF(X218=0,"",AG218/X218)</f>
        <v/>
      </c>
      <c r="AI218" s="47">
        <f>IF(AG218&lt;=0,"",VLOOKUP(B218,country_opex,7,FALSE)/AG218)</f>
        <v/>
      </c>
      <c r="AJ218" s="44">
        <f>((G218*S218/diesel_nmpg)*diesel_co2pg-(battery/range_nm)*G218*S218*VLOOKUP(B218,country_opex,4,FALSE))/1000</f>
        <v/>
      </c>
      <c r="AK218" s="42" t="n">
        <v>5000</v>
      </c>
      <c r="AL218" s="43" t="inlineStr">
        <is>
          <t>T3</t>
        </is>
      </c>
      <c r="AM218" s="43" t="inlineStr">
        <is>
          <t>med-low</t>
        </is>
      </c>
      <c r="AN218" s="50" t="n">
        <v>0.1</v>
      </c>
      <c r="AO218" s="45">
        <f>IF(AK218="","",AK218*AN218)</f>
        <v/>
      </c>
      <c r="AP218" s="45">
        <f>IF(OR(AK218="",V218=0),"",MIN(IF(AX218="",9.9E+99,AX218),FLOOR(AO218/V218,1)))</f>
        <v/>
      </c>
      <c r="AQ218" s="49">
        <f>IF(AP218="","",AP218*IF(ABS(MOD(ABS((X218)),1)-0.5)&lt;1E-9,2*ROUND((X218)/2,0),ROUND((X218),0)))</f>
        <v/>
      </c>
      <c r="AR218" s="47">
        <f>IF(OR(AK218="",V218=0),"",MIN(IF(AX218="",9.9E+99,AX218),AO218/V218))</f>
        <v/>
      </c>
      <c r="AS218" s="49">
        <f>IF(AR218="","",AR218*IF(B218="South Korea",IF(ABS(MOD(ABS((X218)),1)-0.5)&lt;1E-9,2*ROUND((X218)/2,0),ROUND((X218),0)),X218))</f>
        <v/>
      </c>
      <c r="AT218" s="51" t="n"/>
      <c r="AU218" s="43" t="inlineStr">
        <is>
          <t>Grounded</t>
        </is>
      </c>
      <c r="AV218" s="52" t="n"/>
      <c r="AW218" s="52" t="n"/>
      <c r="AX218" s="53" t="n"/>
      <c r="AY218" s="54">
        <f>IF(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&lt;=0,"",VLOOKUP(B218,country_opex,7,FALSE)/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)</f>
        <v/>
      </c>
      <c r="AZ218" s="54">
        <f>IF(((W218*pax_cap*IF(B218="South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Korea",korea_mid_revleg,revleg_mid)),0))*VLOOKUP(B218,country_opex,3,FALSE))+Z218+AA218+AB218+AC218+AD218))&lt;=0,"",VLOOKUP(B218,country_opex,7,FALSE)/((W218*pax_cap*IF(B218="South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Korea",korea_mid_revleg,revleg_mid)),0))*VLOOKUP(B218,country_opex,3,FALSE))+Z218+AA218+AB218+AC218+AD218)))</f>
        <v/>
      </c>
      <c r="BA218" s="54">
        <f>IF(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&lt;=0,"",VLOOKUP(B218,country_opex,7,FALSE)/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)</f>
        <v/>
      </c>
      <c r="BB218" s="40" t="inlineStr">
        <is>
          <t>handoff/INDIA-ECONOMICS-SIDECAR-V0-2026-06-20.json (andaman)</t>
        </is>
      </c>
      <c r="BC218" s="40" t="inlineStr">
        <is>
          <t>handoff/INDIA-ECONOMICS-SIDECAR-V0-2026-06-20.json (andaman)</t>
        </is>
      </c>
      <c r="BD218" s="43" t="inlineStr">
        <is>
          <t>rn-9b537095b07d</t>
        </is>
      </c>
    </row>
    <row r="219">
      <c r="A219" s="38" t="inlineStr">
        <is>
          <t>India Goa Rapido</t>
        </is>
      </c>
      <c r="B219" s="38" t="inlineStr">
        <is>
          <t>India</t>
        </is>
      </c>
      <c r="C219" s="39" t="inlineStr">
        <is>
          <t>Yacht Life Goa → Camurlim Ferry Terminal</t>
        </is>
      </c>
      <c r="D219" s="38" t="inlineStr">
        <is>
          <t>rapido</t>
        </is>
      </c>
      <c r="E219" s="40" t="inlineStr">
        <is>
          <t>india-goa-ola, india-goa-rapido</t>
        </is>
      </c>
      <c r="F219" s="41" t="n">
        <v>2</v>
      </c>
      <c r="G219" s="42" t="n">
        <v>3.1</v>
      </c>
      <c r="H219" s="35" t="n">
        <v>8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IF(B219="South Korea",G219/korea_charge_range_nm*korea_full_range_charge_min,0)</f>
        <v/>
      </c>
      <c r="N219" s="44">
        <f>IF(B219="South Korea",L219+korea_turn_min+korea_dwell_min+M219,L219+turn_min+dwell_min)</f>
        <v/>
      </c>
      <c r="O219" s="45">
        <f>IF(B219="South Korea",FLOOR(60*korea_service_hr/N219,1),MIN(15,FLOOR(60*service_hr/N219,1)))</f>
        <v/>
      </c>
      <c r="P219" s="45">
        <f>IF(ABS(MOD(ABS((365*mech_uptime*K219)),1)-0.5)&lt;1E-9,2*ROUND((365*mech_uptime*K219)/2,0),ROUND((365*mech_uptime*K219),0))</f>
        <v/>
      </c>
      <c r="Q219" s="46">
        <f>mech_uptime</f>
        <v/>
      </c>
      <c r="R219" s="46">
        <f>IF(AND(B219="South Korea",scenario="MID"),korea_mid_revleg,revleg_sel)</f>
        <v/>
      </c>
      <c r="S219" s="45">
        <f>IF(ABS(MOD(ABS((O219*P219*R219)),1)-0.5)&lt;1E-9,2*ROUND((O219*P219*R219)/2,0),ROUND((O219*P219*R219),0))</f>
        <v/>
      </c>
      <c r="T219" s="46">
        <f>IF(AND(B219="South Korea",scenario="MID"),korea_mid_load,load_sel)</f>
        <v/>
      </c>
      <c r="U219" s="47">
        <f>pax_cap*T219</f>
        <v/>
      </c>
      <c r="V219" s="45">
        <f>U219*S219</f>
        <v/>
      </c>
      <c r="W219" s="48">
        <f>H219*discount</f>
        <v/>
      </c>
      <c r="X219" s="49">
        <f>W219*V219</f>
        <v/>
      </c>
      <c r="Y219" s="49">
        <f>(battery/range_nm)*G219*S219*VLOOKUP(B219,country_opex,3,FALSE)</f>
        <v/>
      </c>
      <c r="Z219" s="49">
        <f>VLOOKUP(B219,country_opex,2,FALSE)*crew_factor</f>
        <v/>
      </c>
      <c r="AA219" s="49">
        <f>VLOOKUP(B219,country_opex,5,FALSE)</f>
        <v/>
      </c>
      <c r="AB219" s="49">
        <f>maint</f>
        <v/>
      </c>
      <c r="AC219" s="49">
        <f>VLOOKUP(B219,country_opex,7,FALSE)*ins_pct</f>
        <v/>
      </c>
      <c r="AD219" s="49">
        <f>charge_berth</f>
        <v/>
      </c>
      <c r="AE219" s="49">
        <f>Y219+Z219+AA219+AB219+AC219+AD219</f>
        <v/>
      </c>
      <c r="AF219" s="49">
        <f>VLOOKUP(B219,country_opex,7,FALSE)/dep_years</f>
        <v/>
      </c>
      <c r="AG219" s="49">
        <f>X219-AE219</f>
        <v/>
      </c>
      <c r="AH219" s="46">
        <f>IF(X219=0,"",AG219/X219)</f>
        <v/>
      </c>
      <c r="AI219" s="47">
        <f>IF(AG219&lt;=0,"",VLOOKUP(B219,country_opex,7,FALSE)/AG219)</f>
        <v/>
      </c>
      <c r="AJ219" s="44">
        <f>((G219*S219/diesel_nmpg)*diesel_co2pg-(battery/range_nm)*G219*S219*VLOOKUP(B219,country_opex,4,FALSE))/1000</f>
        <v/>
      </c>
      <c r="AK219" s="42" t="n">
        <v>11250</v>
      </c>
      <c r="AL219" s="43" t="inlineStr">
        <is>
          <t>T3</t>
        </is>
      </c>
      <c r="AM219" s="43" t="inlineStr">
        <is>
          <t>med-low</t>
        </is>
      </c>
      <c r="AN219" s="50" t="n">
        <v>0.1</v>
      </c>
      <c r="AO219" s="45">
        <f>IF(AK219="","",AK219*AN219)</f>
        <v/>
      </c>
      <c r="AP219" s="45">
        <f>IF(OR(AK219="",V219=0),"",MIN(IF(AX219="",9.9E+99,AX219),FLOOR(AO219/V219,1)))</f>
        <v/>
      </c>
      <c r="AQ219" s="49">
        <f>IF(AP219="","",AP219*IF(ABS(MOD(ABS((X219)),1)-0.5)&lt;1E-9,2*ROUND((X219)/2,0),ROUND((X219),0)))</f>
        <v/>
      </c>
      <c r="AR219" s="47">
        <f>IF(OR(AK219="",V219=0),"",MIN(IF(AX219="",9.9E+99,AX219),AO219/V219))</f>
        <v/>
      </c>
      <c r="AS219" s="49">
        <f>IF(AR219="","",AR219*IF(B219="South Korea",IF(ABS(MOD(ABS((X219)),1)-0.5)&lt;1E-9,2*ROUND((X219)/2,0),ROUND((X219),0)),X219))</f>
        <v/>
      </c>
      <c r="AT219" s="51" t="n"/>
      <c r="AU219" s="43" t="inlineStr">
        <is>
          <t>Grounded</t>
        </is>
      </c>
      <c r="AV219" s="52" t="n"/>
      <c r="AW219" s="52" t="n"/>
      <c r="AX219" s="53" t="n"/>
      <c r="AY219" s="54">
        <f>IF(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&lt;=0,"",VLOOKUP(B219,country_opex,7,FALSE)/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)</f>
        <v/>
      </c>
      <c r="AZ219" s="54">
        <f>IF(((W219*pax_cap*IF(B219="South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Korea",korea_mid_revleg,revleg_mid)),0))*VLOOKUP(B219,country_opex,3,FALSE))+Z219+AA219+AB219+AC219+AD219))&lt;=0,"",VLOOKUP(B219,country_opex,7,FALSE)/((W219*pax_cap*IF(B219="South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Korea",korea_mid_revleg,revleg_mid)),0))*VLOOKUP(B219,country_opex,3,FALSE))+Z219+AA219+AB219+AC219+AD219)))</f>
        <v/>
      </c>
      <c r="BA219" s="54">
        <f>IF(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&lt;=0,"",VLOOKUP(B219,country_opex,7,FALSE)/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)</f>
        <v/>
      </c>
      <c r="BB219" s="40" t="inlineStr">
        <is>
          <t>handoff/INDIA-ECONOMICS-SIDECAR-V0-2026-06-20.json (goa)</t>
        </is>
      </c>
      <c r="BC219" s="40" t="inlineStr">
        <is>
          <t>handoff/INDIA-ECONOMICS-SIDECAR-V0-2026-06-20.json (goa)</t>
        </is>
      </c>
      <c r="BD219" s="43" t="inlineStr">
        <is>
          <t>ics-894d34e14d</t>
        </is>
      </c>
    </row>
    <row r="220">
      <c r="A220" s="38" t="inlineStr">
        <is>
          <t>India Goa Rapido</t>
        </is>
      </c>
      <c r="B220" s="38" t="inlineStr">
        <is>
          <t>India</t>
        </is>
      </c>
      <c r="C220" s="39" t="inlineStr">
        <is>
          <t>Yacht Life Goa → Tuem Ferry Terminal</t>
        </is>
      </c>
      <c r="D220" s="38" t="inlineStr">
        <is>
          <t>rapido</t>
        </is>
      </c>
      <c r="E220" s="40" t="inlineStr">
        <is>
          <t>india-goa-ola, india-goa-rapido</t>
        </is>
      </c>
      <c r="F220" s="41" t="n">
        <v>2</v>
      </c>
      <c r="G220" s="42" t="n">
        <v>3.1</v>
      </c>
      <c r="H220" s="35" t="n">
        <v>8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IF(B220="South Korea",G220/korea_charge_range_nm*korea_full_range_charge_min,0)</f>
        <v/>
      </c>
      <c r="N220" s="44">
        <f>IF(B220="South Korea",L220+korea_turn_min+korea_dwell_min+M220,L220+turn_min+dwell_min)</f>
        <v/>
      </c>
      <c r="O220" s="45">
        <f>IF(B220="South Korea",FLOOR(60*korea_service_hr/N220,1),MIN(15,FLOOR(60*service_hr/N220,1)))</f>
        <v/>
      </c>
      <c r="P220" s="45">
        <f>IF(ABS(MOD(ABS((365*mech_uptime*K220)),1)-0.5)&lt;1E-9,2*ROUND((365*mech_uptime*K220)/2,0),ROUND((365*mech_uptime*K220),0))</f>
        <v/>
      </c>
      <c r="Q220" s="46">
        <f>mech_uptime</f>
        <v/>
      </c>
      <c r="R220" s="46">
        <f>IF(AND(B220="South Korea",scenario="MID"),korea_mid_revleg,revleg_sel)</f>
        <v/>
      </c>
      <c r="S220" s="45">
        <f>IF(ABS(MOD(ABS((O220*P220*R220)),1)-0.5)&lt;1E-9,2*ROUND((O220*P220*R220)/2,0),ROUND((O220*P220*R220),0))</f>
        <v/>
      </c>
      <c r="T220" s="46">
        <f>IF(AND(B220="South Korea",scenario="MID"),korea_mid_load,load_sel)</f>
        <v/>
      </c>
      <c r="U220" s="47">
        <f>pax_cap*T220</f>
        <v/>
      </c>
      <c r="V220" s="45">
        <f>U220*S220</f>
        <v/>
      </c>
      <c r="W220" s="48">
        <f>H220*discount</f>
        <v/>
      </c>
      <c r="X220" s="49">
        <f>W220*V220</f>
        <v/>
      </c>
      <c r="Y220" s="49">
        <f>(battery/range_nm)*G220*S220*VLOOKUP(B220,country_opex,3,FALSE)</f>
        <v/>
      </c>
      <c r="Z220" s="49">
        <f>VLOOKUP(B220,country_opex,2,FALSE)*crew_factor</f>
        <v/>
      </c>
      <c r="AA220" s="49">
        <f>VLOOKUP(B220,country_opex,5,FALSE)</f>
        <v/>
      </c>
      <c r="AB220" s="49">
        <f>maint</f>
        <v/>
      </c>
      <c r="AC220" s="49">
        <f>VLOOKUP(B220,country_opex,7,FALSE)*ins_pct</f>
        <v/>
      </c>
      <c r="AD220" s="49">
        <f>charge_berth</f>
        <v/>
      </c>
      <c r="AE220" s="49">
        <f>Y220+Z220+AA220+AB220+AC220+AD220</f>
        <v/>
      </c>
      <c r="AF220" s="49">
        <f>VLOOKUP(B220,country_opex,7,FALSE)/dep_years</f>
        <v/>
      </c>
      <c r="AG220" s="49">
        <f>X220-AE220</f>
        <v/>
      </c>
      <c r="AH220" s="46">
        <f>IF(X220=0,"",AG220/X220)</f>
        <v/>
      </c>
      <c r="AI220" s="47">
        <f>IF(AG220&lt;=0,"",VLOOKUP(B220,country_opex,7,FALSE)/AG220)</f>
        <v/>
      </c>
      <c r="AJ220" s="44">
        <f>((G220*S220/diesel_nmpg)*diesel_co2pg-(battery/range_nm)*G220*S220*VLOOKUP(B220,country_opex,4,FALSE))/1000</f>
        <v/>
      </c>
      <c r="AK220" s="42" t="n">
        <v>11250</v>
      </c>
      <c r="AL220" s="43" t="inlineStr">
        <is>
          <t>T3</t>
        </is>
      </c>
      <c r="AM220" s="43" t="inlineStr">
        <is>
          <t>med-low</t>
        </is>
      </c>
      <c r="AN220" s="50" t="n">
        <v>0.1</v>
      </c>
      <c r="AO220" s="45">
        <f>IF(AK220="","",AK220*AN220)</f>
        <v/>
      </c>
      <c r="AP220" s="45">
        <f>IF(OR(AK220="",V220=0),"",MIN(IF(AX220="",9.9E+99,AX220),FLOOR(AO220/V220,1)))</f>
        <v/>
      </c>
      <c r="AQ220" s="49">
        <f>IF(AP220="","",AP220*IF(ABS(MOD(ABS((X220)),1)-0.5)&lt;1E-9,2*ROUND((X220)/2,0),ROUND((X220),0)))</f>
        <v/>
      </c>
      <c r="AR220" s="47">
        <f>IF(OR(AK220="",V220=0),"",MIN(IF(AX220="",9.9E+99,AX220),AO220/V220))</f>
        <v/>
      </c>
      <c r="AS220" s="49">
        <f>IF(AR220="","",AR220*IF(B220="South Korea",IF(ABS(MOD(ABS((X220)),1)-0.5)&lt;1E-9,2*ROUND((X220)/2,0),ROUND((X220),0)),X220))</f>
        <v/>
      </c>
      <c r="AT220" s="51" t="n"/>
      <c r="AU220" s="43" t="inlineStr">
        <is>
          <t>Grounded</t>
        </is>
      </c>
      <c r="AV220" s="52" t="n"/>
      <c r="AW220" s="52" t="n"/>
      <c r="AX220" s="53" t="n"/>
      <c r="AY220" s="54">
        <f>IF(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&lt;=0,"",VLOOKUP(B220,country_opex,7,FALSE)/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)</f>
        <v/>
      </c>
      <c r="AZ220" s="54">
        <f>IF(((W220*pax_cap*IF(B220="South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Korea",korea_mid_revleg,revleg_mid)),0))*VLOOKUP(B220,country_opex,3,FALSE))+Z220+AA220+AB220+AC220+AD220))&lt;=0,"",VLOOKUP(B220,country_opex,7,FALSE)/((W220*pax_cap*IF(B220="South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Korea",korea_mid_revleg,revleg_mid)),0))*VLOOKUP(B220,country_opex,3,FALSE))+Z220+AA220+AB220+AC220+AD220)))</f>
        <v/>
      </c>
      <c r="BA220" s="54">
        <f>IF(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&lt;=0,"",VLOOKUP(B220,country_opex,7,FALSE)/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)</f>
        <v/>
      </c>
      <c r="BB220" s="40" t="inlineStr">
        <is>
          <t>handoff/INDIA-ECONOMICS-SIDECAR-V0-2026-06-20.json (goa)</t>
        </is>
      </c>
      <c r="BC220" s="40" t="inlineStr">
        <is>
          <t>handoff/INDIA-ECONOMICS-SIDECAR-V0-2026-06-20.json (goa)</t>
        </is>
      </c>
      <c r="BD220" s="43" t="inlineStr">
        <is>
          <t>ics-a53a6e7900</t>
        </is>
      </c>
    </row>
    <row r="221">
      <c r="A221" s="38" t="inlineStr">
        <is>
          <t>India Kerala Rapido</t>
        </is>
      </c>
      <c r="B221" s="38" t="inlineStr">
        <is>
          <t>India</t>
        </is>
      </c>
      <c r="C221" s="39" t="inlineStr">
        <is>
          <t>Martins Harbour → Kakkanad Ferry Terminal</t>
        </is>
      </c>
      <c r="D221" s="38" t="inlineStr">
        <is>
          <t>rapido</t>
        </is>
      </c>
      <c r="E221" s="40" t="inlineStr">
        <is>
          <t>india-kerala-ola, india-kerala-rapido</t>
        </is>
      </c>
      <c r="F221" s="41" t="n">
        <v>2</v>
      </c>
      <c r="G221" s="42" t="n">
        <v>3.1</v>
      </c>
      <c r="H221" s="35" t="n">
        <v>18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IF(B221="South Korea",G221/korea_charge_range_nm*korea_full_range_charge_min,0)</f>
        <v/>
      </c>
      <c r="N221" s="44">
        <f>IF(B221="South Korea",L221+korea_turn_min+korea_dwell_min+M221,L221+turn_min+dwell_min)</f>
        <v/>
      </c>
      <c r="O221" s="45">
        <f>IF(B221="South Korea",FLOOR(60*korea_service_hr/N221,1),MIN(15,FLOOR(60*service_hr/N221,1)))</f>
        <v/>
      </c>
      <c r="P221" s="45">
        <f>IF(ABS(MOD(ABS((365*mech_uptime*K221)),1)-0.5)&lt;1E-9,2*ROUND((365*mech_uptime*K221)/2,0),ROUND((365*mech_uptime*K221),0))</f>
        <v/>
      </c>
      <c r="Q221" s="46">
        <f>mech_uptime</f>
        <v/>
      </c>
      <c r="R221" s="46">
        <f>IF(AND(B221="South Korea",scenario="MID"),korea_mid_revleg,revleg_sel)</f>
        <v/>
      </c>
      <c r="S221" s="45">
        <f>IF(ABS(MOD(ABS((O221*P221*R221)),1)-0.5)&lt;1E-9,2*ROUND((O221*P221*R221)/2,0),ROUND((O221*P221*R221),0))</f>
        <v/>
      </c>
      <c r="T221" s="46">
        <f>IF(AND(B221="South Korea",scenario="MID"),korea_mid_load,load_sel)</f>
        <v/>
      </c>
      <c r="U221" s="47">
        <f>pax_cap*T221</f>
        <v/>
      </c>
      <c r="V221" s="45">
        <f>U221*S221</f>
        <v/>
      </c>
      <c r="W221" s="48">
        <f>H221*discount</f>
        <v/>
      </c>
      <c r="X221" s="49">
        <f>W221*V221</f>
        <v/>
      </c>
      <c r="Y221" s="49">
        <f>(battery/range_nm)*G221*S221*VLOOKUP(B221,country_opex,3,FALSE)</f>
        <v/>
      </c>
      <c r="Z221" s="49">
        <f>VLOOKUP(B221,country_opex,2,FALSE)*crew_factor</f>
        <v/>
      </c>
      <c r="AA221" s="49">
        <f>VLOOKUP(B221,country_opex,5,FALSE)</f>
        <v/>
      </c>
      <c r="AB221" s="49">
        <f>maint</f>
        <v/>
      </c>
      <c r="AC221" s="49">
        <f>VLOOKUP(B221,country_opex,7,FALSE)*ins_pct</f>
        <v/>
      </c>
      <c r="AD221" s="49">
        <f>charge_berth</f>
        <v/>
      </c>
      <c r="AE221" s="49">
        <f>Y221+Z221+AA221+AB221+AC221+AD221</f>
        <v/>
      </c>
      <c r="AF221" s="49">
        <f>VLOOKUP(B221,country_opex,7,FALSE)/dep_years</f>
        <v/>
      </c>
      <c r="AG221" s="49">
        <f>X221-AE221</f>
        <v/>
      </c>
      <c r="AH221" s="46">
        <f>IF(X221=0,"",AG221/X221)</f>
        <v/>
      </c>
      <c r="AI221" s="47">
        <f>IF(AG221&lt;=0,"",VLOOKUP(B221,country_opex,7,FALSE)/AG221)</f>
        <v/>
      </c>
      <c r="AJ221" s="44">
        <f>((G221*S221/diesel_nmpg)*diesel_co2pg-(battery/range_nm)*G221*S221*VLOOKUP(B221,country_opex,4,FALSE))/1000</f>
        <v/>
      </c>
      <c r="AK221" s="42" t="n">
        <v>29166</v>
      </c>
      <c r="AL221" s="43" t="inlineStr">
        <is>
          <t>T3</t>
        </is>
      </c>
      <c r="AM221" s="43" t="inlineStr">
        <is>
          <t>med-low</t>
        </is>
      </c>
      <c r="AN221" s="50" t="n">
        <v>0.1</v>
      </c>
      <c r="AO221" s="45">
        <f>IF(AK221="","",AK221*AN221)</f>
        <v/>
      </c>
      <c r="AP221" s="45">
        <f>IF(OR(AK221="",V221=0),"",MIN(IF(AX221="",9.9E+99,AX221),FLOOR(AO221/V221,1)))</f>
        <v/>
      </c>
      <c r="AQ221" s="49">
        <f>IF(AP221="","",AP221*IF(ABS(MOD(ABS((X221)),1)-0.5)&lt;1E-9,2*ROUND((X221)/2,0),ROUND((X221),0)))</f>
        <v/>
      </c>
      <c r="AR221" s="47">
        <f>IF(OR(AK221="",V221=0),"",MIN(IF(AX221="",9.9E+99,AX221),AO221/V221))</f>
        <v/>
      </c>
      <c r="AS221" s="49">
        <f>IF(AR221="","",AR221*IF(B221="South Korea",IF(ABS(MOD(ABS((X221)),1)-0.5)&lt;1E-9,2*ROUND((X221)/2,0),ROUND((X221),0)),X221))</f>
        <v/>
      </c>
      <c r="AT221" s="51" t="n"/>
      <c r="AU221" s="43" t="inlineStr">
        <is>
          <t>Grounded</t>
        </is>
      </c>
      <c r="AV221" s="52" t="n"/>
      <c r="AW221" s="52" t="n"/>
      <c r="AX221" s="53" t="n"/>
      <c r="AY221" s="54">
        <f>IF(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&lt;=0,"",VLOOKUP(B221,country_opex,7,FALSE)/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)</f>
        <v/>
      </c>
      <c r="AZ221" s="54">
        <f>IF(((W221*pax_cap*IF(B221="South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Korea",korea_mid_revleg,revleg_mid)),0))*VLOOKUP(B221,country_opex,3,FALSE))+Z221+AA221+AB221+AC221+AD221))&lt;=0,"",VLOOKUP(B221,country_opex,7,FALSE)/((W221*pax_cap*IF(B221="South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Korea",korea_mid_revleg,revleg_mid)),0))*VLOOKUP(B221,country_opex,3,FALSE))+Z221+AA221+AB221+AC221+AD221)))</f>
        <v/>
      </c>
      <c r="BA221" s="54">
        <f>IF(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&lt;=0,"",VLOOKUP(B221,country_opex,7,FALSE)/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)</f>
        <v/>
      </c>
      <c r="BB221" s="40" t="inlineStr">
        <is>
          <t>[LB-255 PREMIUM RE-FARE: subsidized comparable $3.5 lifted to premium on-demand floor $18.0] handoff/INDIA-ECONOMICS-SIDECAR-V0-2026-06-20.json (kerala)</t>
        </is>
      </c>
      <c r="BC221" s="40" t="inlineStr">
        <is>
          <t>handoff/INDIA-ECONOMICS-SIDECAR-V0-2026-06-20.json (kerala)</t>
        </is>
      </c>
      <c r="BD221" s="43" t="inlineStr">
        <is>
          <t>ics-24cd3f4a9e</t>
        </is>
      </c>
    </row>
    <row r="222">
      <c r="A222" s="38" t="inlineStr">
        <is>
          <t>Ola Mumbai</t>
        </is>
      </c>
      <c r="B222" s="38" t="inlineStr">
        <is>
          <t>India</t>
        </is>
      </c>
      <c r="C222" s="39" t="inlineStr">
        <is>
          <t>Bombay Harbour → Elephanta Caves</t>
        </is>
      </c>
      <c r="D222" s="38" t="inlineStr">
        <is>
          <t>rapido</t>
        </is>
      </c>
      <c r="E222" s="40" t="inlineStr">
        <is>
          <t>india-mumbai-ola, india-mumbai-rapido, ola-mumbai, rapido-mumbai, uber-mumbai</t>
        </is>
      </c>
      <c r="F222" s="41" t="n">
        <v>5</v>
      </c>
      <c r="G222" s="42" t="n">
        <v>3.2</v>
      </c>
      <c r="H222" s="35" t="n"/>
      <c r="I222" s="43" t="n"/>
      <c r="J222" s="43" t="n"/>
      <c r="K222" s="29" t="n">
        <v>1</v>
      </c>
      <c r="L222" s="44">
        <f>60*G222/cruise_kt</f>
        <v/>
      </c>
      <c r="M222" s="44">
        <f>IF(B222="South Korea",G222/korea_charge_range_nm*korea_full_range_charge_min,0)</f>
        <v/>
      </c>
      <c r="N222" s="44">
        <f>IF(B222="South Korea",L222+korea_turn_min+korea_dwell_min+M222,L222+turn_min+dwell_min)</f>
        <v/>
      </c>
      <c r="O222" s="45">
        <f>IF(B222="South Korea",FLOOR(60*korea_service_hr/N222,1),MIN(15,FLOOR(60*service_hr/N222,1)))</f>
        <v/>
      </c>
      <c r="P222" s="45">
        <f>IF(ABS(MOD(ABS((365*mech_uptime*K222)),1)-0.5)&lt;1E-9,2*ROUND((365*mech_uptime*K222)/2,0),ROUND((365*mech_uptime*K222),0))</f>
        <v/>
      </c>
      <c r="Q222" s="46">
        <f>mech_uptime</f>
        <v/>
      </c>
      <c r="R222" s="46">
        <f>IF(AND(B222="South Korea",scenario="MID"),korea_mid_revleg,revleg_sel)</f>
        <v/>
      </c>
      <c r="S222" s="45">
        <f>IF(ABS(MOD(ABS((O222*P222*R222)),1)-0.5)&lt;1E-9,2*ROUND((O222*P222*R222)/2,0),ROUND((O222*P222*R222),0))</f>
        <v/>
      </c>
      <c r="T222" s="46">
        <f>IF(AND(B222="South Korea",scenario="MID"),korea_mid_load,load_sel)</f>
        <v/>
      </c>
      <c r="U222" s="47">
        <f>pax_cap*T222</f>
        <v/>
      </c>
      <c r="V222" s="45">
        <f>U222*S222</f>
        <v/>
      </c>
      <c r="W222" s="48">
        <f>H222*discount</f>
        <v/>
      </c>
      <c r="X222" s="49">
        <f>W222*V222</f>
        <v/>
      </c>
      <c r="Y222" s="49">
        <f>(battery/range_nm)*G222*S222*VLOOKUP(B222,country_opex,3,FALSE)</f>
        <v/>
      </c>
      <c r="Z222" s="49">
        <f>VLOOKUP(B222,country_opex,2,FALSE)*crew_factor</f>
        <v/>
      </c>
      <c r="AA222" s="49">
        <f>VLOOKUP(B222,country_opex,5,FALSE)</f>
        <v/>
      </c>
      <c r="AB222" s="49">
        <f>maint</f>
        <v/>
      </c>
      <c r="AC222" s="49">
        <f>VLOOKUP(B222,country_opex,7,FALSE)*ins_pct</f>
        <v/>
      </c>
      <c r="AD222" s="49">
        <f>charge_berth</f>
        <v/>
      </c>
      <c r="AE222" s="49">
        <f>Y222+Z222+AA222+AB222+AC222+AD222</f>
        <v/>
      </c>
      <c r="AF222" s="49">
        <f>VLOOKUP(B222,country_opex,7,FALSE)/dep_years</f>
        <v/>
      </c>
      <c r="AG222" s="49">
        <f>X222-AE222</f>
        <v/>
      </c>
      <c r="AH222" s="46">
        <f>IF(X222=0,"",AG222/X222)</f>
        <v/>
      </c>
      <c r="AI222" s="47">
        <f>IF(AG222&lt;=0,"",VLOOKUP(B222,country_opex,7,FALSE)/AG222)</f>
        <v/>
      </c>
      <c r="AJ222" s="44">
        <f>((G222*S222/diesel_nmpg)*diesel_co2pg-(battery/range_nm)*G222*S222*VLOOKUP(B222,country_opex,4,FALSE))/1000</f>
        <v/>
      </c>
      <c r="AK222" s="42" t="n"/>
      <c r="AL222" s="43" t="n"/>
      <c r="AM222" s="43" t="n"/>
      <c r="AN222" s="50" t="n">
        <v>0.1</v>
      </c>
      <c r="AO222" s="45">
        <f>IF(AK222="","",AK222*AN222)</f>
        <v/>
      </c>
      <c r="AP222" s="45">
        <f>IF(OR(AK222="",V222=0),"",MIN(IF(AX222="",9.9E+99,AX222),FLOOR(AO222/V222,1)))</f>
        <v/>
      </c>
      <c r="AQ222" s="49">
        <f>IF(AP222="","",AP222*IF(ABS(MOD(ABS((X222)),1)-0.5)&lt;1E-9,2*ROUND((X222)/2,0),ROUND((X222),0)))</f>
        <v/>
      </c>
      <c r="AR222" s="47">
        <f>IF(OR(AK222="",V222=0),"",MIN(IF(AX222="",9.9E+99,AX222),AO222/V222))</f>
        <v/>
      </c>
      <c r="AS222" s="49">
        <f>IF(AR222="","",AR222*IF(B222="South Korea",IF(ABS(MOD(ABS((X222)),1)-0.5)&lt;1E-9,2*ROUND((X222)/2,0),ROUND((X222),0)),X222))</f>
        <v/>
      </c>
      <c r="AT222" s="51" t="n"/>
      <c r="AU222" s="43" t="inlineStr">
        <is>
          <t>Upside tier</t>
        </is>
      </c>
      <c r="AV222" s="52" t="n"/>
      <c r="AW222" s="52" t="inlineStr">
        <is>
          <t>experience_upside</t>
        </is>
      </c>
      <c r="AX222" s="53" t="n"/>
      <c r="AY222" s="54">
        <f>IF(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&lt;=0,"",VLOOKUP(B222,country_opex,7,FALSE)/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)</f>
        <v/>
      </c>
      <c r="AZ222" s="54">
        <f>IF(((W222*pax_cap*IF(B222="South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Korea",korea_mid_revleg,revleg_mid)),0))*VLOOKUP(B222,country_opex,3,FALSE))+Z222+AA222+AB222+AC222+AD222))&lt;=0,"",VLOOKUP(B222,country_opex,7,FALSE)/((W222*pax_cap*IF(B222="South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Korea",korea_mid_revleg,revleg_mid)),0))*VLOOKUP(B222,country_opex,3,FALSE))+Z222+AA222+AB222+AC222+AD222)))</f>
        <v/>
      </c>
      <c r="BA222" s="54">
        <f>IF(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&lt;=0,"",VLOOKUP(B222,country_opex,7,FALSE)/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)</f>
        <v/>
      </c>
      <c r="BB222" s="40" t="n"/>
      <c r="BC222" s="40" t="n"/>
      <c r="BD222" s="43" t="inlineStr">
        <is>
          <t>ics-d1cada0928</t>
        </is>
      </c>
    </row>
    <row r="223">
      <c r="A223" s="38" t="inlineStr">
        <is>
          <t>India Goa Rapido</t>
        </is>
      </c>
      <c r="B223" s="38" t="inlineStr">
        <is>
          <t>India</t>
        </is>
      </c>
      <c r="C223" s="39" t="inlineStr">
        <is>
          <t>Ribandar Ferry → Pomburpa Ferry Terminal</t>
        </is>
      </c>
      <c r="D223" s="38" t="inlineStr">
        <is>
          <t>rapido</t>
        </is>
      </c>
      <c r="E223" s="40" t="inlineStr">
        <is>
          <t>india-goa-ola, india-goa-rapido</t>
        </is>
      </c>
      <c r="F223" s="41" t="n">
        <v>2</v>
      </c>
      <c r="G223" s="42" t="n">
        <v>3.2</v>
      </c>
      <c r="H223" s="35" t="n">
        <v>8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IF(B223="South Korea",G223/korea_charge_range_nm*korea_full_range_charge_min,0)</f>
        <v/>
      </c>
      <c r="N223" s="44">
        <f>IF(B223="South Korea",L223+korea_turn_min+korea_dwell_min+M223,L223+turn_min+dwell_min)</f>
        <v/>
      </c>
      <c r="O223" s="45">
        <f>IF(B223="South Korea",FLOOR(60*korea_service_hr/N223,1),MIN(15,FLOOR(60*service_hr/N223,1)))</f>
        <v/>
      </c>
      <c r="P223" s="45">
        <f>IF(ABS(MOD(ABS((365*mech_uptime*K223)),1)-0.5)&lt;1E-9,2*ROUND((365*mech_uptime*K223)/2,0),ROUND((365*mech_uptime*K223),0))</f>
        <v/>
      </c>
      <c r="Q223" s="46">
        <f>mech_uptime</f>
        <v/>
      </c>
      <c r="R223" s="46">
        <f>IF(AND(B223="South Korea",scenario="MID"),korea_mid_revleg,revleg_sel)</f>
        <v/>
      </c>
      <c r="S223" s="45">
        <f>IF(ABS(MOD(ABS((O223*P223*R223)),1)-0.5)&lt;1E-9,2*ROUND((O223*P223*R223)/2,0),ROUND((O223*P223*R223),0))</f>
        <v/>
      </c>
      <c r="T223" s="46">
        <f>IF(AND(B223="South Korea",scenario="MID"),korea_mid_load,load_sel)</f>
        <v/>
      </c>
      <c r="U223" s="47">
        <f>pax_cap*T223</f>
        <v/>
      </c>
      <c r="V223" s="45">
        <f>U223*S223</f>
        <v/>
      </c>
      <c r="W223" s="48">
        <f>H223*discount</f>
        <v/>
      </c>
      <c r="X223" s="49">
        <f>W223*V223</f>
        <v/>
      </c>
      <c r="Y223" s="49">
        <f>(battery/range_nm)*G223*S223*VLOOKUP(B223,country_opex,3,FALSE)</f>
        <v/>
      </c>
      <c r="Z223" s="49">
        <f>VLOOKUP(B223,country_opex,2,FALSE)*crew_factor</f>
        <v/>
      </c>
      <c r="AA223" s="49">
        <f>VLOOKUP(B223,country_opex,5,FALSE)</f>
        <v/>
      </c>
      <c r="AB223" s="49">
        <f>maint</f>
        <v/>
      </c>
      <c r="AC223" s="49">
        <f>VLOOKUP(B223,country_opex,7,FALSE)*ins_pct</f>
        <v/>
      </c>
      <c r="AD223" s="49">
        <f>charge_berth</f>
        <v/>
      </c>
      <c r="AE223" s="49">
        <f>Y223+Z223+AA223+AB223+AC223+AD223</f>
        <v/>
      </c>
      <c r="AF223" s="49">
        <f>VLOOKUP(B223,country_opex,7,FALSE)/dep_years</f>
        <v/>
      </c>
      <c r="AG223" s="49">
        <f>X223-AE223</f>
        <v/>
      </c>
      <c r="AH223" s="46">
        <f>IF(X223=0,"",AG223/X223)</f>
        <v/>
      </c>
      <c r="AI223" s="47">
        <f>IF(AG223&lt;=0,"",VLOOKUP(B223,country_opex,7,FALSE)/AG223)</f>
        <v/>
      </c>
      <c r="AJ223" s="44">
        <f>((G223*S223/diesel_nmpg)*diesel_co2pg-(battery/range_nm)*G223*S223*VLOOKUP(B223,country_opex,4,FALSE))/1000</f>
        <v/>
      </c>
      <c r="AK223" s="42" t="n">
        <v>11250</v>
      </c>
      <c r="AL223" s="43" t="inlineStr">
        <is>
          <t>T3</t>
        </is>
      </c>
      <c r="AM223" s="43" t="inlineStr">
        <is>
          <t>med-low</t>
        </is>
      </c>
      <c r="AN223" s="50" t="n">
        <v>0.1</v>
      </c>
      <c r="AO223" s="45">
        <f>IF(AK223="","",AK223*AN223)</f>
        <v/>
      </c>
      <c r="AP223" s="45">
        <f>IF(OR(AK223="",V223=0),"",MIN(IF(AX223="",9.9E+99,AX223),FLOOR(AO223/V223,1)))</f>
        <v/>
      </c>
      <c r="AQ223" s="49">
        <f>IF(AP223="","",AP223*IF(ABS(MOD(ABS((X223)),1)-0.5)&lt;1E-9,2*ROUND((X223)/2,0),ROUND((X223),0)))</f>
        <v/>
      </c>
      <c r="AR223" s="47">
        <f>IF(OR(AK223="",V223=0),"",MIN(IF(AX223="",9.9E+99,AX223),AO223/V223))</f>
        <v/>
      </c>
      <c r="AS223" s="49">
        <f>IF(AR223="","",AR223*IF(B223="South Korea",IF(ABS(MOD(ABS((X223)),1)-0.5)&lt;1E-9,2*ROUND((X223)/2,0),ROUND((X223),0)),X223))</f>
        <v/>
      </c>
      <c r="AT223" s="51" t="n"/>
      <c r="AU223" s="43" t="inlineStr">
        <is>
          <t>Grounded</t>
        </is>
      </c>
      <c r="AV223" s="52" t="n"/>
      <c r="AW223" s="52" t="n"/>
      <c r="AX223" s="53" t="n"/>
      <c r="AY223" s="54">
        <f>IF(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&lt;=0,"",VLOOKUP(B223,country_opex,7,FALSE)/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)</f>
        <v/>
      </c>
      <c r="AZ223" s="54">
        <f>IF(((W223*pax_cap*IF(B223="South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Korea",korea_mid_revleg,revleg_mid)),0))*VLOOKUP(B223,country_opex,3,FALSE))+Z223+AA223+AB223+AC223+AD223))&lt;=0,"",VLOOKUP(B223,country_opex,7,FALSE)/((W223*pax_cap*IF(B223="South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Korea",korea_mid_revleg,revleg_mid)),0))*VLOOKUP(B223,country_opex,3,FALSE))+Z223+AA223+AB223+AC223+AD223)))</f>
        <v/>
      </c>
      <c r="BA223" s="54">
        <f>IF(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&lt;=0,"",VLOOKUP(B223,country_opex,7,FALSE)/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)</f>
        <v/>
      </c>
      <c r="BB223" s="40" t="inlineStr">
        <is>
          <t>handoff/INDIA-ECONOMICS-SIDECAR-V0-2026-06-20.json (goa)</t>
        </is>
      </c>
      <c r="BC223" s="40" t="inlineStr">
        <is>
          <t>handoff/INDIA-ECONOMICS-SIDECAR-V0-2026-06-20.json (goa)</t>
        </is>
      </c>
      <c r="BD223" s="43" t="inlineStr">
        <is>
          <t>ics-16c8b53ed0</t>
        </is>
      </c>
    </row>
    <row r="224">
      <c r="A224" s="38" t="inlineStr">
        <is>
          <t>India Kerala Rapido</t>
        </is>
      </c>
      <c r="B224" s="38" t="inlineStr">
        <is>
          <t>India</t>
        </is>
      </c>
      <c r="C224" s="39" t="inlineStr">
        <is>
          <t>Thevara Ferry → Sailing Club House</t>
        </is>
      </c>
      <c r="D224" s="38" t="inlineStr">
        <is>
          <t>rapido</t>
        </is>
      </c>
      <c r="E224" s="40" t="inlineStr">
        <is>
          <t>india-kerala-ola, india-kerala-rapido</t>
        </is>
      </c>
      <c r="F224" s="41" t="n">
        <v>2</v>
      </c>
      <c r="G224" s="42" t="n">
        <v>3.2</v>
      </c>
      <c r="H224" s="35" t="n">
        <v>18</v>
      </c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IF(B224="South Korea",G224/korea_charge_range_nm*korea_full_range_charge_min,0)</f>
        <v/>
      </c>
      <c r="N224" s="44">
        <f>IF(B224="South Korea",L224+korea_turn_min+korea_dwell_min+M224,L224+turn_min+dwell_min)</f>
        <v/>
      </c>
      <c r="O224" s="45">
        <f>IF(B224="South Korea",FLOOR(60*korea_service_hr/N224,1),MIN(15,FLOOR(60*service_hr/N224,1)))</f>
        <v/>
      </c>
      <c r="P224" s="45">
        <f>IF(ABS(MOD(ABS((365*mech_uptime*K224)),1)-0.5)&lt;1E-9,2*ROUND((365*mech_uptime*K224)/2,0),ROUND((365*mech_uptime*K224),0))</f>
        <v/>
      </c>
      <c r="Q224" s="46">
        <f>mech_uptime</f>
        <v/>
      </c>
      <c r="R224" s="46">
        <f>IF(AND(B224="South Korea",scenario="MID"),korea_mid_revleg,revleg_sel)</f>
        <v/>
      </c>
      <c r="S224" s="45">
        <f>IF(ABS(MOD(ABS((O224*P224*R224)),1)-0.5)&lt;1E-9,2*ROUND((O224*P224*R224)/2,0),ROUND((O224*P224*R224),0))</f>
        <v/>
      </c>
      <c r="T224" s="46">
        <f>IF(AND(B224="South Korea",scenario="MID"),korea_mid_load,load_sel)</f>
        <v/>
      </c>
      <c r="U224" s="47">
        <f>pax_cap*T224</f>
        <v/>
      </c>
      <c r="V224" s="45">
        <f>U224*S224</f>
        <v/>
      </c>
      <c r="W224" s="48">
        <f>H224*discount</f>
        <v/>
      </c>
      <c r="X224" s="49">
        <f>W224*V224</f>
        <v/>
      </c>
      <c r="Y224" s="49">
        <f>(battery/range_nm)*G224*S224*VLOOKUP(B224,country_opex,3,FALSE)</f>
        <v/>
      </c>
      <c r="Z224" s="49">
        <f>VLOOKUP(B224,country_opex,2,FALSE)*crew_factor</f>
        <v/>
      </c>
      <c r="AA224" s="49">
        <f>VLOOKUP(B224,country_opex,5,FALSE)</f>
        <v/>
      </c>
      <c r="AB224" s="49">
        <f>maint</f>
        <v/>
      </c>
      <c r="AC224" s="49">
        <f>VLOOKUP(B224,country_opex,7,FALSE)*ins_pct</f>
        <v/>
      </c>
      <c r="AD224" s="49">
        <f>charge_berth</f>
        <v/>
      </c>
      <c r="AE224" s="49">
        <f>Y224+Z224+AA224+AB224+AC224+AD224</f>
        <v/>
      </c>
      <c r="AF224" s="49">
        <f>VLOOKUP(B224,country_opex,7,FALSE)/dep_years</f>
        <v/>
      </c>
      <c r="AG224" s="49">
        <f>X224-AE224</f>
        <v/>
      </c>
      <c r="AH224" s="46">
        <f>IF(X224=0,"",AG224/X224)</f>
        <v/>
      </c>
      <c r="AI224" s="47">
        <f>IF(AG224&lt;=0,"",VLOOKUP(B224,country_opex,7,FALSE)/AG224)</f>
        <v/>
      </c>
      <c r="AJ224" s="44">
        <f>((G224*S224/diesel_nmpg)*diesel_co2pg-(battery/range_nm)*G224*S224*VLOOKUP(B224,country_opex,4,FALSE))/1000</f>
        <v/>
      </c>
      <c r="AK224" s="42" t="n">
        <v>29166</v>
      </c>
      <c r="AL224" s="43" t="inlineStr">
        <is>
          <t>T3</t>
        </is>
      </c>
      <c r="AM224" s="43" t="inlineStr">
        <is>
          <t>med-low</t>
        </is>
      </c>
      <c r="AN224" s="50" t="n">
        <v>0.1</v>
      </c>
      <c r="AO224" s="45">
        <f>IF(AK224="","",AK224*AN224)</f>
        <v/>
      </c>
      <c r="AP224" s="45">
        <f>IF(OR(AK224="",V224=0),"",MIN(IF(AX224="",9.9E+99,AX224),FLOOR(AO224/V224,1)))</f>
        <v/>
      </c>
      <c r="AQ224" s="49">
        <f>IF(AP224="","",AP224*IF(ABS(MOD(ABS((X224)),1)-0.5)&lt;1E-9,2*ROUND((X224)/2,0),ROUND((X224),0)))</f>
        <v/>
      </c>
      <c r="AR224" s="47">
        <f>IF(OR(AK224="",V224=0),"",MIN(IF(AX224="",9.9E+99,AX224),AO224/V224))</f>
        <v/>
      </c>
      <c r="AS224" s="49">
        <f>IF(AR224="","",AR224*IF(B224="South Korea",IF(ABS(MOD(ABS((X224)),1)-0.5)&lt;1E-9,2*ROUND((X224)/2,0),ROUND((X224),0)),X224))</f>
        <v/>
      </c>
      <c r="AT224" s="51" t="n"/>
      <c r="AU224" s="43" t="inlineStr">
        <is>
          <t>Grounded</t>
        </is>
      </c>
      <c r="AV224" s="52" t="n"/>
      <c r="AW224" s="52" t="n"/>
      <c r="AX224" s="53" t="n"/>
      <c r="AY224" s="54">
        <f>IF(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&lt;=0,"",VLOOKUP(B224,country_opex,7,FALSE)/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)</f>
        <v/>
      </c>
      <c r="AZ224" s="54">
        <f>IF(((W224*pax_cap*IF(B224="South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Korea",korea_mid_revleg,revleg_mid)),0))*VLOOKUP(B224,country_opex,3,FALSE))+Z224+AA224+AB224+AC224+AD224))&lt;=0,"",VLOOKUP(B224,country_opex,7,FALSE)/((W224*pax_cap*IF(B224="South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Korea",korea_mid_revleg,revleg_mid)),0))*VLOOKUP(B224,country_opex,3,FALSE))+Z224+AA224+AB224+AC224+AD224)))</f>
        <v/>
      </c>
      <c r="BA224" s="54">
        <f>IF(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&lt;=0,"",VLOOKUP(B224,country_opex,7,FALSE)/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)</f>
        <v/>
      </c>
      <c r="BB224" s="40" t="inlineStr">
        <is>
          <t>[LB-255 PREMIUM RE-FARE: subsidized comparable $3.5 lifted to premium on-demand floor $18.0] handoff/INDIA-ECONOMICS-SIDECAR-V0-2026-06-20.json (kerala)</t>
        </is>
      </c>
      <c r="BC224" s="40" t="inlineStr">
        <is>
          <t>handoff/INDIA-ECONOMICS-SIDECAR-V0-2026-06-20.json (kerala)</t>
        </is>
      </c>
      <c r="BD224" s="43" t="inlineStr">
        <is>
          <t>ics-ae7c59f30b</t>
        </is>
      </c>
    </row>
    <row r="225">
      <c r="A225" s="38" t="inlineStr">
        <is>
          <t>India Andaman Rapido</t>
        </is>
      </c>
      <c r="B225" s="38" t="inlineStr">
        <is>
          <t>India</t>
        </is>
      </c>
      <c r="C225" s="39" t="inlineStr">
        <is>
          <t>Andaman → Panighat Ferry Jetty</t>
        </is>
      </c>
      <c r="D225" s="38" t="inlineStr">
        <is>
          <t>rapido</t>
        </is>
      </c>
      <c r="E225" s="40" t="inlineStr">
        <is>
          <t>india-andaman-ola, india-andaman-rapido</t>
        </is>
      </c>
      <c r="F225" s="41" t="n">
        <v>2</v>
      </c>
      <c r="G225" s="42" t="n">
        <v>3.2</v>
      </c>
      <c r="H225" s="35" t="n">
        <v>22</v>
      </c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IF(B225="South Korea",G225/korea_charge_range_nm*korea_full_range_charge_min,0)</f>
        <v/>
      </c>
      <c r="N225" s="44">
        <f>IF(B225="South Korea",L225+korea_turn_min+korea_dwell_min+M225,L225+turn_min+dwell_min)</f>
        <v/>
      </c>
      <c r="O225" s="45">
        <f>IF(B225="South Korea",FLOOR(60*korea_service_hr/N225,1),MIN(15,FLOOR(60*service_hr/N225,1)))</f>
        <v/>
      </c>
      <c r="P225" s="45">
        <f>IF(ABS(MOD(ABS((365*mech_uptime*K225)),1)-0.5)&lt;1E-9,2*ROUND((365*mech_uptime*K225)/2,0),ROUND((365*mech_uptime*K225),0))</f>
        <v/>
      </c>
      <c r="Q225" s="46">
        <f>mech_uptime</f>
        <v/>
      </c>
      <c r="R225" s="46">
        <f>IF(AND(B225="South Korea",scenario="MID"),korea_mid_revleg,revleg_sel)</f>
        <v/>
      </c>
      <c r="S225" s="45">
        <f>IF(ABS(MOD(ABS((O225*P225*R225)),1)-0.5)&lt;1E-9,2*ROUND((O225*P225*R225)/2,0),ROUND((O225*P225*R225),0))</f>
        <v/>
      </c>
      <c r="T225" s="46">
        <f>IF(AND(B225="South Korea",scenario="MID"),korea_mid_load,load_sel)</f>
        <v/>
      </c>
      <c r="U225" s="47">
        <f>pax_cap*T225</f>
        <v/>
      </c>
      <c r="V225" s="45">
        <f>U225*S225</f>
        <v/>
      </c>
      <c r="W225" s="48">
        <f>H225*discount</f>
        <v/>
      </c>
      <c r="X225" s="49">
        <f>W225*V225</f>
        <v/>
      </c>
      <c r="Y225" s="49">
        <f>(battery/range_nm)*G225*S225*VLOOKUP(B225,country_opex,3,FALSE)</f>
        <v/>
      </c>
      <c r="Z225" s="49">
        <f>VLOOKUP(B225,country_opex,2,FALSE)*crew_factor</f>
        <v/>
      </c>
      <c r="AA225" s="49">
        <f>VLOOKUP(B225,country_opex,5,FALSE)</f>
        <v/>
      </c>
      <c r="AB225" s="49">
        <f>maint</f>
        <v/>
      </c>
      <c r="AC225" s="49">
        <f>VLOOKUP(B225,country_opex,7,FALSE)*ins_pct</f>
        <v/>
      </c>
      <c r="AD225" s="49">
        <f>charge_berth</f>
        <v/>
      </c>
      <c r="AE225" s="49">
        <f>Y225+Z225+AA225+AB225+AC225+AD225</f>
        <v/>
      </c>
      <c r="AF225" s="49">
        <f>VLOOKUP(B225,country_opex,7,FALSE)/dep_years</f>
        <v/>
      </c>
      <c r="AG225" s="49">
        <f>X225-AE225</f>
        <v/>
      </c>
      <c r="AH225" s="46">
        <f>IF(X225=0,"",AG225/X225)</f>
        <v/>
      </c>
      <c r="AI225" s="47">
        <f>IF(AG225&lt;=0,"",VLOOKUP(B225,country_opex,7,FALSE)/AG225)</f>
        <v/>
      </c>
      <c r="AJ225" s="44">
        <f>((G225*S225/diesel_nmpg)*diesel_co2pg-(battery/range_nm)*G225*S225*VLOOKUP(B225,country_opex,4,FALSE))/1000</f>
        <v/>
      </c>
      <c r="AK225" s="42" t="n">
        <v>5000</v>
      </c>
      <c r="AL225" s="43" t="inlineStr">
        <is>
          <t>T3</t>
        </is>
      </c>
      <c r="AM225" s="43" t="inlineStr">
        <is>
          <t>med-low</t>
        </is>
      </c>
      <c r="AN225" s="50" t="n">
        <v>0.1</v>
      </c>
      <c r="AO225" s="45">
        <f>IF(AK225="","",AK225*AN225)</f>
        <v/>
      </c>
      <c r="AP225" s="45">
        <f>IF(OR(AK225="",V225=0),"",MIN(IF(AX225="",9.9E+99,AX225),FLOOR(AO225/V225,1)))</f>
        <v/>
      </c>
      <c r="AQ225" s="49">
        <f>IF(AP225="","",AP225*IF(ABS(MOD(ABS((X225)),1)-0.5)&lt;1E-9,2*ROUND((X225)/2,0),ROUND((X225),0)))</f>
        <v/>
      </c>
      <c r="AR225" s="47">
        <f>IF(OR(AK225="",V225=0),"",MIN(IF(AX225="",9.9E+99,AX225),AO225/V225))</f>
        <v/>
      </c>
      <c r="AS225" s="49">
        <f>IF(AR225="","",AR225*IF(B225="South Korea",IF(ABS(MOD(ABS((X225)),1)-0.5)&lt;1E-9,2*ROUND((X225)/2,0),ROUND((X225),0)),X225))</f>
        <v/>
      </c>
      <c r="AT225" s="51" t="n"/>
      <c r="AU225" s="43" t="inlineStr">
        <is>
          <t>Grounded</t>
        </is>
      </c>
      <c r="AV225" s="52" t="n"/>
      <c r="AW225" s="52" t="n"/>
      <c r="AX225" s="53" t="n"/>
      <c r="AY225" s="54">
        <f>IF(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&lt;=0,"",VLOOKUP(B225,country_opex,7,FALSE)/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)</f>
        <v/>
      </c>
      <c r="AZ225" s="54">
        <f>IF(((W225*pax_cap*IF(B225="South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Korea",korea_mid_revleg,revleg_mid)),0))*VLOOKUP(B225,country_opex,3,FALSE))+Z225+AA225+AB225+AC225+AD225))&lt;=0,"",VLOOKUP(B225,country_opex,7,FALSE)/((W225*pax_cap*IF(B225="South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Korea",korea_mid_revleg,revleg_mid)),0))*VLOOKUP(B225,country_opex,3,FALSE))+Z225+AA225+AB225+AC225+AD225)))</f>
        <v/>
      </c>
      <c r="BA225" s="54">
        <f>IF(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&lt;=0,"",VLOOKUP(B225,country_opex,7,FALSE)/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)</f>
        <v/>
      </c>
      <c r="BB225" s="40" t="inlineStr">
        <is>
          <t>handoff/INDIA-ECONOMICS-SIDECAR-V0-2026-06-20.json (andaman)</t>
        </is>
      </c>
      <c r="BC225" s="40" t="inlineStr">
        <is>
          <t>handoff/INDIA-ECONOMICS-SIDECAR-V0-2026-06-20.json (andaman)</t>
        </is>
      </c>
      <c r="BD225" s="43" t="inlineStr">
        <is>
          <t>rn-fe7e29ef7f1b</t>
        </is>
      </c>
    </row>
    <row r="226">
      <c r="A226" s="38" t="inlineStr">
        <is>
          <t>India Chennai Rapido</t>
        </is>
      </c>
      <c r="B226" s="38" t="inlineStr">
        <is>
          <t>India</t>
        </is>
      </c>
      <c r="C226" s="39" t="inlineStr">
        <is>
          <t>Chennai Port WQIV Cruise Terminal → Marina Beach Waterfront</t>
        </is>
      </c>
      <c r="D226" s="38" t="inlineStr">
        <is>
          <t>rapido</t>
        </is>
      </c>
      <c r="E226" s="40" t="inlineStr">
        <is>
          <t>india-chennai-ola, india-chennai-rapido, india-chennai-uber-india</t>
        </is>
      </c>
      <c r="F226" s="41" t="n">
        <v>3</v>
      </c>
      <c r="G226" s="42" t="n">
        <v>3.2</v>
      </c>
      <c r="H226" s="35" t="n">
        <v>12</v>
      </c>
      <c r="I226" s="43" t="n"/>
      <c r="J226" s="43" t="n"/>
      <c r="K226" s="29" t="n">
        <v>1</v>
      </c>
      <c r="L226" s="44">
        <f>60*G226/cruise_kt</f>
        <v/>
      </c>
      <c r="M226" s="44">
        <f>IF(B226="South Korea",G226/korea_charge_range_nm*korea_full_range_charge_min,0)</f>
        <v/>
      </c>
      <c r="N226" s="44">
        <f>IF(B226="South Korea",L226+korea_turn_min+korea_dwell_min+M226,L226+turn_min+dwell_min)</f>
        <v/>
      </c>
      <c r="O226" s="45">
        <f>IF(B226="South Korea",FLOOR(60*korea_service_hr/N226,1),MIN(15,FLOOR(60*service_hr/N226,1)))</f>
        <v/>
      </c>
      <c r="P226" s="45">
        <f>IF(ABS(MOD(ABS((365*mech_uptime*K226)),1)-0.5)&lt;1E-9,2*ROUND((365*mech_uptime*K226)/2,0),ROUND((365*mech_uptime*K226),0))</f>
        <v/>
      </c>
      <c r="Q226" s="46">
        <f>mech_uptime</f>
        <v/>
      </c>
      <c r="R226" s="46">
        <f>IF(AND(B226="South Korea",scenario="MID"),korea_mid_revleg,revleg_sel)</f>
        <v/>
      </c>
      <c r="S226" s="45">
        <f>IF(ABS(MOD(ABS((O226*P226*R226)),1)-0.5)&lt;1E-9,2*ROUND((O226*P226*R226)/2,0),ROUND((O226*P226*R226),0))</f>
        <v/>
      </c>
      <c r="T226" s="46">
        <f>IF(AND(B226="South Korea",scenario="MID"),korea_mid_load,load_sel)</f>
        <v/>
      </c>
      <c r="U226" s="47">
        <f>pax_cap*T226</f>
        <v/>
      </c>
      <c r="V226" s="45">
        <f>U226*S226</f>
        <v/>
      </c>
      <c r="W226" s="48">
        <f>H226*discount</f>
        <v/>
      </c>
      <c r="X226" s="49">
        <f>W226*V226</f>
        <v/>
      </c>
      <c r="Y226" s="49">
        <f>(battery/range_nm)*G226*S226*VLOOKUP(B226,country_opex,3,FALSE)</f>
        <v/>
      </c>
      <c r="Z226" s="49">
        <f>VLOOKUP(B226,country_opex,2,FALSE)*crew_factor</f>
        <v/>
      </c>
      <c r="AA226" s="49">
        <f>VLOOKUP(B226,country_opex,5,FALSE)</f>
        <v/>
      </c>
      <c r="AB226" s="49">
        <f>maint</f>
        <v/>
      </c>
      <c r="AC226" s="49">
        <f>VLOOKUP(B226,country_opex,7,FALSE)*ins_pct</f>
        <v/>
      </c>
      <c r="AD226" s="49">
        <f>charge_berth</f>
        <v/>
      </c>
      <c r="AE226" s="49">
        <f>Y226+Z226+AA226+AB226+AC226+AD226</f>
        <v/>
      </c>
      <c r="AF226" s="49">
        <f>VLOOKUP(B226,country_opex,7,FALSE)/dep_years</f>
        <v/>
      </c>
      <c r="AG226" s="49">
        <f>X226-AE226</f>
        <v/>
      </c>
      <c r="AH226" s="46">
        <f>IF(X226=0,"",AG226/X226)</f>
        <v/>
      </c>
      <c r="AI226" s="47">
        <f>IF(AG226&lt;=0,"",VLOOKUP(B226,country_opex,7,FALSE)/AG226)</f>
        <v/>
      </c>
      <c r="AJ226" s="44">
        <f>((G226*S226/diesel_nmpg)*diesel_co2pg-(battery/range_nm)*G226*S226*VLOOKUP(B226,country_opex,4,FALSE))/1000</f>
        <v/>
      </c>
      <c r="AK226" s="42" t="n">
        <v>400000</v>
      </c>
      <c r="AL226" s="43" t="n"/>
      <c r="AM226" s="43" t="n"/>
      <c r="AN226" s="50" t="n">
        <v>0.1</v>
      </c>
      <c r="AO226" s="45">
        <f>IF(AK226="","",AK226*AN226)</f>
        <v/>
      </c>
      <c r="AP226" s="45">
        <f>IF(OR(AK226="",V226=0),"",MIN(IF(AX226="",9.9E+99,AX226),FLOOR(AO226/V226,1)))</f>
        <v/>
      </c>
      <c r="AQ226" s="49">
        <f>IF(AP226="","",AP226*IF(ABS(MOD(ABS((X226)),1)-0.5)&lt;1E-9,2*ROUND((X226)/2,0),ROUND((X226),0)))</f>
        <v/>
      </c>
      <c r="AR226" s="47">
        <f>IF(OR(AK226="",V226=0),"",MIN(IF(AX226="",9.9E+99,AX226),AO226/V226))</f>
        <v/>
      </c>
      <c r="AS226" s="49">
        <f>IF(AR226="","",AR226*IF(B226="South Korea",IF(ABS(MOD(ABS((X226)),1)-0.5)&lt;1E-9,2*ROUND((X226)/2,0),ROUND((X226),0)),X226))</f>
        <v/>
      </c>
      <c r="AT226" s="51" t="n"/>
      <c r="AU226" s="43" t="inlineStr">
        <is>
          <t>Grounded</t>
        </is>
      </c>
      <c r="AV226" s="52" t="n"/>
      <c r="AW226" s="52" t="n"/>
      <c r="AX226" s="53" t="n"/>
      <c r="AY226" s="54">
        <f>IF(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&lt;=0,"",VLOOKUP(B226,country_opex,7,FALSE)/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)</f>
        <v/>
      </c>
      <c r="AZ226" s="54">
        <f>IF(((W226*pax_cap*IF(B226="South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Korea",korea_mid_revleg,revleg_mid)),0))*VLOOKUP(B226,country_opex,3,FALSE))+Z226+AA226+AB226+AC226+AD226))&lt;=0,"",VLOOKUP(B226,country_opex,7,FALSE)/((W226*pax_cap*IF(B226="South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Korea",korea_mid_revleg,revleg_mid)),0))*VLOOKUP(B226,country_opex,3,FALSE))+Z226+AA226+AB226+AC226+AD226)))</f>
        <v/>
      </c>
      <c r="BA226" s="54">
        <f>IF(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&lt;=0,"",VLOOKUP(B226,country_opex,7,FALSE)/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)</f>
        <v/>
      </c>
      <c r="BB226" s="40" t="n"/>
      <c r="BC226" s="40" t="n"/>
      <c r="BD226" s="43" t="inlineStr">
        <is>
          <t>rn-6e53a9fad2f1</t>
        </is>
      </c>
    </row>
    <row r="227">
      <c r="A227" s="38" t="inlineStr">
        <is>
          <t>India Andaman Rapido</t>
        </is>
      </c>
      <c r="B227" s="38" t="inlineStr">
        <is>
          <t>India</t>
        </is>
      </c>
      <c r="C227" s="39" t="inlineStr">
        <is>
          <t>Andaman → Chatham Harbour</t>
        </is>
      </c>
      <c r="D227" s="38" t="inlineStr">
        <is>
          <t>rapido</t>
        </is>
      </c>
      <c r="E227" s="40" t="inlineStr">
        <is>
          <t>india-andaman-ola, india-andaman-rapido</t>
        </is>
      </c>
      <c r="F227" s="41" t="n">
        <v>2</v>
      </c>
      <c r="G227" s="42" t="n">
        <v>3.3</v>
      </c>
      <c r="H227" s="35" t="n">
        <v>22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IF(B227="South Korea",G227/korea_charge_range_nm*korea_full_range_charge_min,0)</f>
        <v/>
      </c>
      <c r="N227" s="44">
        <f>IF(B227="South Korea",L227+korea_turn_min+korea_dwell_min+M227,L227+turn_min+dwell_min)</f>
        <v/>
      </c>
      <c r="O227" s="45">
        <f>IF(B227="South Korea",FLOOR(60*korea_service_hr/N227,1),MIN(15,FLOOR(60*service_hr/N227,1)))</f>
        <v/>
      </c>
      <c r="P227" s="45">
        <f>IF(ABS(MOD(ABS((365*mech_uptime*K227)),1)-0.5)&lt;1E-9,2*ROUND((365*mech_uptime*K227)/2,0),ROUND((365*mech_uptime*K227),0))</f>
        <v/>
      </c>
      <c r="Q227" s="46">
        <f>mech_uptime</f>
        <v/>
      </c>
      <c r="R227" s="46">
        <f>IF(AND(B227="South Korea",scenario="MID"),korea_mid_revleg,revleg_sel)</f>
        <v/>
      </c>
      <c r="S227" s="45">
        <f>IF(ABS(MOD(ABS((O227*P227*R227)),1)-0.5)&lt;1E-9,2*ROUND((O227*P227*R227)/2,0),ROUND((O227*P227*R227),0))</f>
        <v/>
      </c>
      <c r="T227" s="46">
        <f>IF(AND(B227="South Korea",scenario="MID"),korea_mid_load,load_sel)</f>
        <v/>
      </c>
      <c r="U227" s="47">
        <f>pax_cap*T227</f>
        <v/>
      </c>
      <c r="V227" s="45">
        <f>U227*S227</f>
        <v/>
      </c>
      <c r="W227" s="48">
        <f>H227*discount</f>
        <v/>
      </c>
      <c r="X227" s="49">
        <f>W227*V227</f>
        <v/>
      </c>
      <c r="Y227" s="49">
        <f>(battery/range_nm)*G227*S227*VLOOKUP(B227,country_opex,3,FALSE)</f>
        <v/>
      </c>
      <c r="Z227" s="49">
        <f>VLOOKUP(B227,country_opex,2,FALSE)*crew_factor</f>
        <v/>
      </c>
      <c r="AA227" s="49">
        <f>VLOOKUP(B227,country_opex,5,FALSE)</f>
        <v/>
      </c>
      <c r="AB227" s="49">
        <f>maint</f>
        <v/>
      </c>
      <c r="AC227" s="49">
        <f>VLOOKUP(B227,country_opex,7,FALSE)*ins_pct</f>
        <v/>
      </c>
      <c r="AD227" s="49">
        <f>charge_berth</f>
        <v/>
      </c>
      <c r="AE227" s="49">
        <f>Y227+Z227+AA227+AB227+AC227+AD227</f>
        <v/>
      </c>
      <c r="AF227" s="49">
        <f>VLOOKUP(B227,country_opex,7,FALSE)/dep_years</f>
        <v/>
      </c>
      <c r="AG227" s="49">
        <f>X227-AE227</f>
        <v/>
      </c>
      <c r="AH227" s="46">
        <f>IF(X227=0,"",AG227/X227)</f>
        <v/>
      </c>
      <c r="AI227" s="47">
        <f>IF(AG227&lt;=0,"",VLOOKUP(B227,country_opex,7,FALSE)/AG227)</f>
        <v/>
      </c>
      <c r="AJ227" s="44">
        <f>((G227*S227/diesel_nmpg)*diesel_co2pg-(battery/range_nm)*G227*S227*VLOOKUP(B227,country_opex,4,FALSE))/1000</f>
        <v/>
      </c>
      <c r="AK227" s="42" t="n">
        <v>5000</v>
      </c>
      <c r="AL227" s="43" t="inlineStr">
        <is>
          <t>T3</t>
        </is>
      </c>
      <c r="AM227" s="43" t="inlineStr">
        <is>
          <t>med-low</t>
        </is>
      </c>
      <c r="AN227" s="50" t="n">
        <v>0.1</v>
      </c>
      <c r="AO227" s="45">
        <f>IF(AK227="","",AK227*AN227)</f>
        <v/>
      </c>
      <c r="AP227" s="45">
        <f>IF(OR(AK227="",V227=0),"",MIN(IF(AX227="",9.9E+99,AX227),FLOOR(AO227/V227,1)))</f>
        <v/>
      </c>
      <c r="AQ227" s="49">
        <f>IF(AP227="","",AP227*IF(ABS(MOD(ABS((X227)),1)-0.5)&lt;1E-9,2*ROUND((X227)/2,0),ROUND((X227),0)))</f>
        <v/>
      </c>
      <c r="AR227" s="47">
        <f>IF(OR(AK227="",V227=0),"",MIN(IF(AX227="",9.9E+99,AX227),AO227/V227))</f>
        <v/>
      </c>
      <c r="AS227" s="49">
        <f>IF(AR227="","",AR227*IF(B227="South Korea",IF(ABS(MOD(ABS((X227)),1)-0.5)&lt;1E-9,2*ROUND((X227)/2,0),ROUND((X227),0)),X227))</f>
        <v/>
      </c>
      <c r="AT227" s="51" t="n"/>
      <c r="AU227" s="43" t="inlineStr">
        <is>
          <t>Grounded</t>
        </is>
      </c>
      <c r="AV227" s="52" t="n"/>
      <c r="AW227" s="52" t="n"/>
      <c r="AX227" s="53" t="n"/>
      <c r="AY227" s="54">
        <f>IF(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&lt;=0,"",VLOOKUP(B227,country_opex,7,FALSE)/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)</f>
        <v/>
      </c>
      <c r="AZ227" s="54">
        <f>IF(((W227*pax_cap*IF(B227="South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Korea",korea_mid_revleg,revleg_mid)),0))*VLOOKUP(B227,country_opex,3,FALSE))+Z227+AA227+AB227+AC227+AD227))&lt;=0,"",VLOOKUP(B227,country_opex,7,FALSE)/((W227*pax_cap*IF(B227="South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Korea",korea_mid_revleg,revleg_mid)),0))*VLOOKUP(B227,country_opex,3,FALSE))+Z227+AA227+AB227+AC227+AD227)))</f>
        <v/>
      </c>
      <c r="BA227" s="54">
        <f>IF(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&lt;=0,"",VLOOKUP(B227,country_opex,7,FALSE)/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)</f>
        <v/>
      </c>
      <c r="BB227" s="40" t="inlineStr">
        <is>
          <t>handoff/INDIA-ECONOMICS-SIDECAR-V0-2026-06-20.json (andaman)</t>
        </is>
      </c>
      <c r="BC227" s="40" t="inlineStr">
        <is>
          <t>handoff/INDIA-ECONOMICS-SIDECAR-V0-2026-06-20.json (andaman)</t>
        </is>
      </c>
      <c r="BD227" s="43" t="inlineStr">
        <is>
          <t>rn-563208250ce0</t>
        </is>
      </c>
    </row>
    <row r="228">
      <c r="A228" s="38" t="inlineStr">
        <is>
          <t>India Andaman Rapido</t>
        </is>
      </c>
      <c r="B228" s="38" t="inlineStr">
        <is>
          <t>India</t>
        </is>
      </c>
      <c r="C228" s="39" t="inlineStr">
        <is>
          <t>Andaman → Haddo Jetty</t>
        </is>
      </c>
      <c r="D228" s="38" t="inlineStr">
        <is>
          <t>rapido</t>
        </is>
      </c>
      <c r="E228" s="40" t="inlineStr">
        <is>
          <t>india-andaman-ola, india-andaman-rapido</t>
        </is>
      </c>
      <c r="F228" s="41" t="n">
        <v>2</v>
      </c>
      <c r="G228" s="42" t="n">
        <v>3.3</v>
      </c>
      <c r="H228" s="35" t="n">
        <v>22</v>
      </c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IF(B228="South Korea",G228/korea_charge_range_nm*korea_full_range_charge_min,0)</f>
        <v/>
      </c>
      <c r="N228" s="44">
        <f>IF(B228="South Korea",L228+korea_turn_min+korea_dwell_min+M228,L228+turn_min+dwell_min)</f>
        <v/>
      </c>
      <c r="O228" s="45">
        <f>IF(B228="South Korea",FLOOR(60*korea_service_hr/N228,1),MIN(15,FLOOR(60*service_hr/N228,1)))</f>
        <v/>
      </c>
      <c r="P228" s="45">
        <f>IF(ABS(MOD(ABS((365*mech_uptime*K228)),1)-0.5)&lt;1E-9,2*ROUND((365*mech_uptime*K228)/2,0),ROUND((365*mech_uptime*K228),0))</f>
        <v/>
      </c>
      <c r="Q228" s="46">
        <f>mech_uptime</f>
        <v/>
      </c>
      <c r="R228" s="46">
        <f>IF(AND(B228="South Korea",scenario="MID"),korea_mid_revleg,revleg_sel)</f>
        <v/>
      </c>
      <c r="S228" s="45">
        <f>IF(ABS(MOD(ABS((O228*P228*R228)),1)-0.5)&lt;1E-9,2*ROUND((O228*P228*R228)/2,0),ROUND((O228*P228*R228),0))</f>
        <v/>
      </c>
      <c r="T228" s="46">
        <f>IF(AND(B228="South Korea",scenario="MID"),korea_mid_load,load_sel)</f>
        <v/>
      </c>
      <c r="U228" s="47">
        <f>pax_cap*T228</f>
        <v/>
      </c>
      <c r="V228" s="45">
        <f>U228*S228</f>
        <v/>
      </c>
      <c r="W228" s="48">
        <f>H228*discount</f>
        <v/>
      </c>
      <c r="X228" s="49">
        <f>W228*V228</f>
        <v/>
      </c>
      <c r="Y228" s="49">
        <f>(battery/range_nm)*G228*S228*VLOOKUP(B228,country_opex,3,FALSE)</f>
        <v/>
      </c>
      <c r="Z228" s="49">
        <f>VLOOKUP(B228,country_opex,2,FALSE)*crew_factor</f>
        <v/>
      </c>
      <c r="AA228" s="49">
        <f>VLOOKUP(B228,country_opex,5,FALSE)</f>
        <v/>
      </c>
      <c r="AB228" s="49">
        <f>maint</f>
        <v/>
      </c>
      <c r="AC228" s="49">
        <f>VLOOKUP(B228,country_opex,7,FALSE)*ins_pct</f>
        <v/>
      </c>
      <c r="AD228" s="49">
        <f>charge_berth</f>
        <v/>
      </c>
      <c r="AE228" s="49">
        <f>Y228+Z228+AA228+AB228+AC228+AD228</f>
        <v/>
      </c>
      <c r="AF228" s="49">
        <f>VLOOKUP(B228,country_opex,7,FALSE)/dep_years</f>
        <v/>
      </c>
      <c r="AG228" s="49">
        <f>X228-AE228</f>
        <v/>
      </c>
      <c r="AH228" s="46">
        <f>IF(X228=0,"",AG228/X228)</f>
        <v/>
      </c>
      <c r="AI228" s="47">
        <f>IF(AG228&lt;=0,"",VLOOKUP(B228,country_opex,7,FALSE)/AG228)</f>
        <v/>
      </c>
      <c r="AJ228" s="44">
        <f>((G228*S228/diesel_nmpg)*diesel_co2pg-(battery/range_nm)*G228*S228*VLOOKUP(B228,country_opex,4,FALSE))/1000</f>
        <v/>
      </c>
      <c r="AK228" s="42" t="n">
        <v>5000</v>
      </c>
      <c r="AL228" s="43" t="inlineStr">
        <is>
          <t>T3</t>
        </is>
      </c>
      <c r="AM228" s="43" t="inlineStr">
        <is>
          <t>med-low</t>
        </is>
      </c>
      <c r="AN228" s="50" t="n">
        <v>0.1</v>
      </c>
      <c r="AO228" s="45">
        <f>IF(AK228="","",AK228*AN228)</f>
        <v/>
      </c>
      <c r="AP228" s="45">
        <f>IF(OR(AK228="",V228=0),"",MIN(IF(AX228="",9.9E+99,AX228),FLOOR(AO228/V228,1)))</f>
        <v/>
      </c>
      <c r="AQ228" s="49">
        <f>IF(AP228="","",AP228*IF(ABS(MOD(ABS((X228)),1)-0.5)&lt;1E-9,2*ROUND((X228)/2,0),ROUND((X228),0)))</f>
        <v/>
      </c>
      <c r="AR228" s="47">
        <f>IF(OR(AK228="",V228=0),"",MIN(IF(AX228="",9.9E+99,AX228),AO228/V228))</f>
        <v/>
      </c>
      <c r="AS228" s="49">
        <f>IF(AR228="","",AR228*IF(B228="South Korea",IF(ABS(MOD(ABS((X228)),1)-0.5)&lt;1E-9,2*ROUND((X228)/2,0),ROUND((X228),0)),X228))</f>
        <v/>
      </c>
      <c r="AT228" s="51" t="n"/>
      <c r="AU228" s="43" t="inlineStr">
        <is>
          <t>Grounded</t>
        </is>
      </c>
      <c r="AV228" s="52" t="n"/>
      <c r="AW228" s="52" t="n"/>
      <c r="AX228" s="53" t="n"/>
      <c r="AY228" s="54">
        <f>IF(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&lt;=0,"",VLOOKUP(B228,country_opex,7,FALSE)/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)</f>
        <v/>
      </c>
      <c r="AZ228" s="54">
        <f>IF(((W228*pax_cap*IF(B228="South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Korea",korea_mid_revleg,revleg_mid)),0))*VLOOKUP(B228,country_opex,3,FALSE))+Z228+AA228+AB228+AC228+AD228))&lt;=0,"",VLOOKUP(B228,country_opex,7,FALSE)/((W228*pax_cap*IF(B228="South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Korea",korea_mid_revleg,revleg_mid)),0))*VLOOKUP(B228,country_opex,3,FALSE))+Z228+AA228+AB228+AC228+AD228)))</f>
        <v/>
      </c>
      <c r="BA228" s="54">
        <f>IF(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&lt;=0,"",VLOOKUP(B228,country_opex,7,FALSE)/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)</f>
        <v/>
      </c>
      <c r="BB228" s="40" t="inlineStr">
        <is>
          <t>handoff/INDIA-ECONOMICS-SIDECAR-V0-2026-06-20.json (andaman)</t>
        </is>
      </c>
      <c r="BC228" s="40" t="inlineStr">
        <is>
          <t>handoff/INDIA-ECONOMICS-SIDECAR-V0-2026-06-20.json (andaman)</t>
        </is>
      </c>
      <c r="BD228" s="43" t="inlineStr">
        <is>
          <t>rn-5a699fd1ba01</t>
        </is>
      </c>
    </row>
    <row r="229">
      <c r="A229" s="38" t="inlineStr">
        <is>
          <t>India Andaman Rapido</t>
        </is>
      </c>
      <c r="B229" s="38" t="inlineStr">
        <is>
          <t>India</t>
        </is>
      </c>
      <c r="C229" s="39" t="inlineStr">
        <is>
          <t>Bambooflat Jetty → Chatham Jetty</t>
        </is>
      </c>
      <c r="D229" s="38" t="inlineStr">
        <is>
          <t>rapido</t>
        </is>
      </c>
      <c r="E229" s="40" t="inlineStr">
        <is>
          <t>india-andaman-ola, india-andaman-rapido</t>
        </is>
      </c>
      <c r="F229" s="41" t="n">
        <v>2</v>
      </c>
      <c r="G229" s="42" t="n">
        <v>3.3</v>
      </c>
      <c r="H229" s="35" t="n">
        <v>22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IF(B229="South Korea",G229/korea_charge_range_nm*korea_full_range_charge_min,0)</f>
        <v/>
      </c>
      <c r="N229" s="44">
        <f>IF(B229="South Korea",L229+korea_turn_min+korea_dwell_min+M229,L229+turn_min+dwell_min)</f>
        <v/>
      </c>
      <c r="O229" s="45">
        <f>IF(B229="South Korea",FLOOR(60*korea_service_hr/N229,1),MIN(15,FLOOR(60*service_hr/N229,1)))</f>
        <v/>
      </c>
      <c r="P229" s="45">
        <f>IF(ABS(MOD(ABS((365*mech_uptime*K229)),1)-0.5)&lt;1E-9,2*ROUND((365*mech_uptime*K229)/2,0),ROUND((365*mech_uptime*K229),0))</f>
        <v/>
      </c>
      <c r="Q229" s="46">
        <f>mech_uptime</f>
        <v/>
      </c>
      <c r="R229" s="46">
        <f>IF(AND(B229="South Korea",scenario="MID"),korea_mid_revleg,revleg_sel)</f>
        <v/>
      </c>
      <c r="S229" s="45">
        <f>IF(ABS(MOD(ABS((O229*P229*R229)),1)-0.5)&lt;1E-9,2*ROUND((O229*P229*R229)/2,0),ROUND((O229*P229*R229),0))</f>
        <v/>
      </c>
      <c r="T229" s="46">
        <f>IF(AND(B229="South Korea",scenario="MID"),korea_mid_load,load_sel)</f>
        <v/>
      </c>
      <c r="U229" s="47">
        <f>pax_cap*T229</f>
        <v/>
      </c>
      <c r="V229" s="45">
        <f>U229*S229</f>
        <v/>
      </c>
      <c r="W229" s="48">
        <f>H229*discount</f>
        <v/>
      </c>
      <c r="X229" s="49">
        <f>W229*V229</f>
        <v/>
      </c>
      <c r="Y229" s="49">
        <f>(battery/range_nm)*G229*S229*VLOOKUP(B229,country_opex,3,FALSE)</f>
        <v/>
      </c>
      <c r="Z229" s="49">
        <f>VLOOKUP(B229,country_opex,2,FALSE)*crew_factor</f>
        <v/>
      </c>
      <c r="AA229" s="49">
        <f>VLOOKUP(B229,country_opex,5,FALSE)</f>
        <v/>
      </c>
      <c r="AB229" s="49">
        <f>maint</f>
        <v/>
      </c>
      <c r="AC229" s="49">
        <f>VLOOKUP(B229,country_opex,7,FALSE)*ins_pct</f>
        <v/>
      </c>
      <c r="AD229" s="49">
        <f>charge_berth</f>
        <v/>
      </c>
      <c r="AE229" s="49">
        <f>Y229+Z229+AA229+AB229+AC229+AD229</f>
        <v/>
      </c>
      <c r="AF229" s="49">
        <f>VLOOKUP(B229,country_opex,7,FALSE)/dep_years</f>
        <v/>
      </c>
      <c r="AG229" s="49">
        <f>X229-AE229</f>
        <v/>
      </c>
      <c r="AH229" s="46">
        <f>IF(X229=0,"",AG229/X229)</f>
        <v/>
      </c>
      <c r="AI229" s="47">
        <f>IF(AG229&lt;=0,"",VLOOKUP(B229,country_opex,7,FALSE)/AG229)</f>
        <v/>
      </c>
      <c r="AJ229" s="44">
        <f>((G229*S229/diesel_nmpg)*diesel_co2pg-(battery/range_nm)*G229*S229*VLOOKUP(B229,country_opex,4,FALSE))/1000</f>
        <v/>
      </c>
      <c r="AK229" s="42" t="n">
        <v>5000</v>
      </c>
      <c r="AL229" s="43" t="inlineStr">
        <is>
          <t>T3</t>
        </is>
      </c>
      <c r="AM229" s="43" t="inlineStr">
        <is>
          <t>med-low</t>
        </is>
      </c>
      <c r="AN229" s="50" t="n">
        <v>0.1</v>
      </c>
      <c r="AO229" s="45">
        <f>IF(AK229="","",AK229*AN229)</f>
        <v/>
      </c>
      <c r="AP229" s="45">
        <f>IF(OR(AK229="",V229=0),"",MIN(IF(AX229="",9.9E+99,AX229),FLOOR(AO229/V229,1)))</f>
        <v/>
      </c>
      <c r="AQ229" s="49">
        <f>IF(AP229="","",AP229*IF(ABS(MOD(ABS((X229)),1)-0.5)&lt;1E-9,2*ROUND((X229)/2,0),ROUND((X229),0)))</f>
        <v/>
      </c>
      <c r="AR229" s="47">
        <f>IF(OR(AK229="",V229=0),"",MIN(IF(AX229="",9.9E+99,AX229),AO229/V229))</f>
        <v/>
      </c>
      <c r="AS229" s="49">
        <f>IF(AR229="","",AR229*IF(B229="South Korea",IF(ABS(MOD(ABS((X229)),1)-0.5)&lt;1E-9,2*ROUND((X229)/2,0),ROUND((X229),0)),X229))</f>
        <v/>
      </c>
      <c r="AT229" s="51" t="n"/>
      <c r="AU229" s="43" t="inlineStr">
        <is>
          <t>Grounded</t>
        </is>
      </c>
      <c r="AV229" s="52" t="n"/>
      <c r="AW229" s="52" t="n"/>
      <c r="AX229" s="53" t="n"/>
      <c r="AY229" s="54">
        <f>IF(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&lt;=0,"",VLOOKUP(B229,country_opex,7,FALSE)/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)</f>
        <v/>
      </c>
      <c r="AZ229" s="54">
        <f>IF(((W229*pax_cap*IF(B229="South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Korea",korea_mid_revleg,revleg_mid)),0))*VLOOKUP(B229,country_opex,3,FALSE))+Z229+AA229+AB229+AC229+AD229))&lt;=0,"",VLOOKUP(B229,country_opex,7,FALSE)/((W229*pax_cap*IF(B229="South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Korea",korea_mid_revleg,revleg_mid)),0))*VLOOKUP(B229,country_opex,3,FALSE))+Z229+AA229+AB229+AC229+AD229)))</f>
        <v/>
      </c>
      <c r="BA229" s="54">
        <f>IF(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&lt;=0,"",VLOOKUP(B229,country_opex,7,FALSE)/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)</f>
        <v/>
      </c>
      <c r="BB229" s="40" t="inlineStr">
        <is>
          <t>handoff/INDIA-ECONOMICS-SIDECAR-V0-2026-06-20.json (andaman)</t>
        </is>
      </c>
      <c r="BC229" s="40" t="inlineStr">
        <is>
          <t>handoff/INDIA-ECONOMICS-SIDECAR-V0-2026-06-20.json (andaman)</t>
        </is>
      </c>
      <c r="BD229" s="43" t="inlineStr">
        <is>
          <t>rn-c284d7280e25</t>
        </is>
      </c>
    </row>
    <row r="230">
      <c r="A230" s="38" t="inlineStr">
        <is>
          <t>India Mumbai Rapido</t>
        </is>
      </c>
      <c r="B230" s="38" t="inlineStr">
        <is>
          <t>India</t>
        </is>
      </c>
      <c r="C230" s="39" t="inlineStr">
        <is>
          <t>Bombay Harbour → Pirpau Jetty</t>
        </is>
      </c>
      <c r="D230" s="38" t="inlineStr">
        <is>
          <t>rapido</t>
        </is>
      </c>
      <c r="E230" s="40" t="inlineStr">
        <is>
          <t>india-mumbai-ola, india-mumbai-rapido</t>
        </is>
      </c>
      <c r="F230" s="41" t="n">
        <v>2</v>
      </c>
      <c r="G230" s="42" t="n">
        <v>3.4</v>
      </c>
      <c r="H230" s="35" t="n">
        <v>18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IF(B230="South Korea",G230/korea_charge_range_nm*korea_full_range_charge_min,0)</f>
        <v/>
      </c>
      <c r="N230" s="44">
        <f>IF(B230="South Korea",L230+korea_turn_min+korea_dwell_min+M230,L230+turn_min+dwell_min)</f>
        <v/>
      </c>
      <c r="O230" s="45">
        <f>IF(B230="South Korea",FLOOR(60*korea_service_hr/N230,1),MIN(15,FLOOR(60*service_hr/N230,1)))</f>
        <v/>
      </c>
      <c r="P230" s="45">
        <f>IF(ABS(MOD(ABS((365*mech_uptime*K230)),1)-0.5)&lt;1E-9,2*ROUND((365*mech_uptime*K230)/2,0),ROUND((365*mech_uptime*K230),0))</f>
        <v/>
      </c>
      <c r="Q230" s="46">
        <f>mech_uptime</f>
        <v/>
      </c>
      <c r="R230" s="46">
        <f>IF(AND(B230="South Korea",scenario="MID"),korea_mid_revleg,revleg_sel)</f>
        <v/>
      </c>
      <c r="S230" s="45">
        <f>IF(ABS(MOD(ABS((O230*P230*R230)),1)-0.5)&lt;1E-9,2*ROUND((O230*P230*R230)/2,0),ROUND((O230*P230*R230),0))</f>
        <v/>
      </c>
      <c r="T230" s="46">
        <f>IF(AND(B230="South Korea",scenario="MID"),korea_mid_load,load_sel)</f>
        <v/>
      </c>
      <c r="U230" s="47">
        <f>pax_cap*T230</f>
        <v/>
      </c>
      <c r="V230" s="45">
        <f>U230*S230</f>
        <v/>
      </c>
      <c r="W230" s="48">
        <f>H230*discount</f>
        <v/>
      </c>
      <c r="X230" s="49">
        <f>W230*V230</f>
        <v/>
      </c>
      <c r="Y230" s="49">
        <f>(battery/range_nm)*G230*S230*VLOOKUP(B230,country_opex,3,FALSE)</f>
        <v/>
      </c>
      <c r="Z230" s="49">
        <f>VLOOKUP(B230,country_opex,2,FALSE)*crew_factor</f>
        <v/>
      </c>
      <c r="AA230" s="49">
        <f>VLOOKUP(B230,country_opex,5,FALSE)</f>
        <v/>
      </c>
      <c r="AB230" s="49">
        <f>maint</f>
        <v/>
      </c>
      <c r="AC230" s="49">
        <f>VLOOKUP(B230,country_opex,7,FALSE)*ins_pct</f>
        <v/>
      </c>
      <c r="AD230" s="49">
        <f>charge_berth</f>
        <v/>
      </c>
      <c r="AE230" s="49">
        <f>Y230+Z230+AA230+AB230+AC230+AD230</f>
        <v/>
      </c>
      <c r="AF230" s="49">
        <f>VLOOKUP(B230,country_opex,7,FALSE)/dep_years</f>
        <v/>
      </c>
      <c r="AG230" s="49">
        <f>X230-AE230</f>
        <v/>
      </c>
      <c r="AH230" s="46">
        <f>IF(X230=0,"",AG230/X230)</f>
        <v/>
      </c>
      <c r="AI230" s="47">
        <f>IF(AG230&lt;=0,"",VLOOKUP(B230,country_opex,7,FALSE)/AG230)</f>
        <v/>
      </c>
      <c r="AJ230" s="44">
        <f>((G230*S230/diesel_nmpg)*diesel_co2pg-(battery/range_nm)*G230*S230*VLOOKUP(B230,country_opex,4,FALSE))/1000</f>
        <v/>
      </c>
      <c r="AK230" s="42" t="n">
        <v>5000</v>
      </c>
      <c r="AL230" s="43" t="inlineStr">
        <is>
          <t>T3</t>
        </is>
      </c>
      <c r="AM230" s="43" t="inlineStr">
        <is>
          <t>med-low</t>
        </is>
      </c>
      <c r="AN230" s="50" t="n">
        <v>0.1</v>
      </c>
      <c r="AO230" s="45">
        <f>IF(AK230="","",AK230*AN230)</f>
        <v/>
      </c>
      <c r="AP230" s="45">
        <f>IF(OR(AK230="",V230=0),"",MIN(IF(AX230="",9.9E+99,AX230),FLOOR(AO230/V230,1)))</f>
        <v/>
      </c>
      <c r="AQ230" s="49">
        <f>IF(AP230="","",AP230*IF(ABS(MOD(ABS((X230)),1)-0.5)&lt;1E-9,2*ROUND((X230)/2,0),ROUND((X230),0)))</f>
        <v/>
      </c>
      <c r="AR230" s="47">
        <f>IF(OR(AK230="",V230=0),"",MIN(IF(AX230="",9.9E+99,AX230),AO230/V230))</f>
        <v/>
      </c>
      <c r="AS230" s="49">
        <f>IF(AR230="","",AR230*IF(B230="South Korea",IF(ABS(MOD(ABS((X230)),1)-0.5)&lt;1E-9,2*ROUND((X230)/2,0),ROUND((X230),0)),X230))</f>
        <v/>
      </c>
      <c r="AT230" s="51" t="n"/>
      <c r="AU230" s="43" t="inlineStr">
        <is>
          <t>Grounded</t>
        </is>
      </c>
      <c r="AV230" s="52" t="n"/>
      <c r="AW230" s="52" t="n"/>
      <c r="AX230" s="53" t="n"/>
      <c r="AY230" s="54">
        <f>IF(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&lt;=0,"",VLOOKUP(B230,country_opex,7,FALSE)/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)</f>
        <v/>
      </c>
      <c r="AZ230" s="54">
        <f>IF(((W230*pax_cap*IF(B230="South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Korea",korea_mid_revleg,revleg_mid)),0))*VLOOKUP(B230,country_opex,3,FALSE))+Z230+AA230+AB230+AC230+AD230))&lt;=0,"",VLOOKUP(B230,country_opex,7,FALSE)/((W230*pax_cap*IF(B230="South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Korea",korea_mid_revleg,revleg_mid)),0))*VLOOKUP(B230,country_opex,3,FALSE))+Z230+AA230+AB230+AC230+AD230)))</f>
        <v/>
      </c>
      <c r="BA230" s="54">
        <f>IF(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&lt;=0,"",VLOOKUP(B230,country_opex,7,FALSE)/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)</f>
        <v/>
      </c>
      <c r="BB230" s="40" t="inlineStr">
        <is>
          <t>[LB-255 PREMIUM RE-FARE: subsidized comparable $5.5 lifted to premium on-demand floor $18.0] handoff/INDIA-ECONOMICS-SIDECAR-V0-2026-06-20.json (mumbai)</t>
        </is>
      </c>
      <c r="BC230" s="40" t="inlineStr">
        <is>
          <t>handoff/INDIA-ECONOMICS-SIDECAR-V0-2026-06-20.json (mumbai)</t>
        </is>
      </c>
      <c r="BD230" s="43" t="inlineStr">
        <is>
          <t>ics-7c71ca3169</t>
        </is>
      </c>
    </row>
    <row r="231">
      <c r="A231" s="38" t="inlineStr">
        <is>
          <t>Ola Mumbai</t>
        </is>
      </c>
      <c r="B231" s="38" t="inlineStr">
        <is>
          <t>India</t>
        </is>
      </c>
      <c r="C231" s="39" t="inlineStr">
        <is>
          <t>Gateway of India → Mumbai Harbour</t>
        </is>
      </c>
      <c r="D231" s="38" t="inlineStr">
        <is>
          <t>rapido</t>
        </is>
      </c>
      <c r="E231" s="40" t="inlineStr">
        <is>
          <t>india-mumbai-ola, india-mumbai-rapido, ola-mumbai, rapido-mumbai, uber-mumbai</t>
        </is>
      </c>
      <c r="F231" s="41" t="n">
        <v>5</v>
      </c>
      <c r="G231" s="42" t="n">
        <v>3.5</v>
      </c>
      <c r="H231" s="35" t="n"/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IF(B231="South Korea",G231/korea_charge_range_nm*korea_full_range_charge_min,0)</f>
        <v/>
      </c>
      <c r="N231" s="44">
        <f>IF(B231="South Korea",L231+korea_turn_min+korea_dwell_min+M231,L231+turn_min+dwell_min)</f>
        <v/>
      </c>
      <c r="O231" s="45">
        <f>IF(B231="South Korea",FLOOR(60*korea_service_hr/N231,1),MIN(15,FLOOR(60*service_hr/N231,1)))</f>
        <v/>
      </c>
      <c r="P231" s="45">
        <f>IF(ABS(MOD(ABS((365*mech_uptime*K231)),1)-0.5)&lt;1E-9,2*ROUND((365*mech_uptime*K231)/2,0),ROUND((365*mech_uptime*K231),0))</f>
        <v/>
      </c>
      <c r="Q231" s="46">
        <f>mech_uptime</f>
        <v/>
      </c>
      <c r="R231" s="46">
        <f>IF(AND(B231="South Korea",scenario="MID"),korea_mid_revleg,revleg_sel)</f>
        <v/>
      </c>
      <c r="S231" s="45">
        <f>IF(ABS(MOD(ABS((O231*P231*R231)),1)-0.5)&lt;1E-9,2*ROUND((O231*P231*R231)/2,0),ROUND((O231*P231*R231),0))</f>
        <v/>
      </c>
      <c r="T231" s="46">
        <f>IF(AND(B231="South Korea",scenario="MID"),korea_mid_load,load_sel)</f>
        <v/>
      </c>
      <c r="U231" s="47">
        <f>pax_cap*T231</f>
        <v/>
      </c>
      <c r="V231" s="45">
        <f>U231*S231</f>
        <v/>
      </c>
      <c r="W231" s="48">
        <f>H231*discount</f>
        <v/>
      </c>
      <c r="X231" s="49">
        <f>W231*V231</f>
        <v/>
      </c>
      <c r="Y231" s="49">
        <f>(battery/range_nm)*G231*S231*VLOOKUP(B231,country_opex,3,FALSE)</f>
        <v/>
      </c>
      <c r="Z231" s="49">
        <f>VLOOKUP(B231,country_opex,2,FALSE)*crew_factor</f>
        <v/>
      </c>
      <c r="AA231" s="49">
        <f>VLOOKUP(B231,country_opex,5,FALSE)</f>
        <v/>
      </c>
      <c r="AB231" s="49">
        <f>maint</f>
        <v/>
      </c>
      <c r="AC231" s="49">
        <f>VLOOKUP(B231,country_opex,7,FALSE)*ins_pct</f>
        <v/>
      </c>
      <c r="AD231" s="49">
        <f>charge_berth</f>
        <v/>
      </c>
      <c r="AE231" s="49">
        <f>Y231+Z231+AA231+AB231+AC231+AD231</f>
        <v/>
      </c>
      <c r="AF231" s="49">
        <f>VLOOKUP(B231,country_opex,7,FALSE)/dep_years</f>
        <v/>
      </c>
      <c r="AG231" s="49">
        <f>X231-AE231</f>
        <v/>
      </c>
      <c r="AH231" s="46">
        <f>IF(X231=0,"",AG231/X231)</f>
        <v/>
      </c>
      <c r="AI231" s="47">
        <f>IF(AG231&lt;=0,"",VLOOKUP(B231,country_opex,7,FALSE)/AG231)</f>
        <v/>
      </c>
      <c r="AJ231" s="44">
        <f>((G231*S231/diesel_nmpg)*diesel_co2pg-(battery/range_nm)*G231*S231*VLOOKUP(B231,country_opex,4,FALSE))/1000</f>
        <v/>
      </c>
      <c r="AK231" s="42" t="n">
        <v>10909</v>
      </c>
      <c r="AL231" s="43" t="inlineStr">
        <is>
          <t>T3</t>
        </is>
      </c>
      <c r="AM231" s="43" t="inlineStr">
        <is>
          <t>med-low</t>
        </is>
      </c>
      <c r="AN231" s="50" t="n">
        <v>0.1</v>
      </c>
      <c r="AO231" s="45">
        <f>IF(AK231="","",AK231*AN231)</f>
        <v/>
      </c>
      <c r="AP231" s="45">
        <f>IF(OR(AK231="",V231=0),"",MIN(IF(AX231="",9.9E+99,AX231),FLOOR(AO231/V231,1)))</f>
        <v/>
      </c>
      <c r="AQ231" s="49">
        <f>IF(AP231="","",AP231*IF(ABS(MOD(ABS((X231)),1)-0.5)&lt;1E-9,2*ROUND((X231)/2,0),ROUND((X231),0)))</f>
        <v/>
      </c>
      <c r="AR231" s="47">
        <f>IF(OR(AK231="",V231=0),"",MIN(IF(AX231="",9.9E+99,AX231),AO231/V231))</f>
        <v/>
      </c>
      <c r="AS231" s="49">
        <f>IF(AR231="","",AR231*IF(B231="South Korea",IF(ABS(MOD(ABS((X231)),1)-0.5)&lt;1E-9,2*ROUND((X231)/2,0),ROUND((X231),0)),X231))</f>
        <v/>
      </c>
      <c r="AT231" s="51" t="n"/>
      <c r="AU231" s="43" t="inlineStr">
        <is>
          <t>Upside tier</t>
        </is>
      </c>
      <c r="AV231" s="52" t="n"/>
      <c r="AW231" s="52" t="inlineStr">
        <is>
          <t>experience_upside</t>
        </is>
      </c>
      <c r="AX231" s="53" t="n"/>
      <c r="AY231" s="54">
        <f>IF(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&lt;=0,"",VLOOKUP(B231,country_opex,7,FALSE)/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)</f>
        <v/>
      </c>
      <c r="AZ231" s="54">
        <f>IF(((W231*pax_cap*IF(B231="South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Korea",korea_mid_revleg,revleg_mid)),0))*VLOOKUP(B231,country_opex,3,FALSE))+Z231+AA231+AB231+AC231+AD231))&lt;=0,"",VLOOKUP(B231,country_opex,7,FALSE)/((W231*pax_cap*IF(B231="South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Korea",korea_mid_revleg,revleg_mid)),0))*VLOOKUP(B231,country_opex,3,FALSE))+Z231+AA231+AB231+AC231+AD231)))</f>
        <v/>
      </c>
      <c r="BA231" s="54">
        <f>IF(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&lt;=0,"",VLOOKUP(B231,country_opex,7,FALSE)/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)</f>
        <v/>
      </c>
      <c r="BB23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1" s="40" t="inlineStr">
        <is>
          <t>PR #58 Mumbai spine route-count split (11 sealed rows × anchor 120,000 pax/yr)</t>
        </is>
      </c>
      <c r="BD231" s="43" t="inlineStr">
        <is>
          <t>ics-3964e5583e</t>
        </is>
      </c>
    </row>
    <row r="232">
      <c r="A232" s="38" t="inlineStr">
        <is>
          <t>India Andaman Rapido</t>
        </is>
      </c>
      <c r="B232" s="38" t="inlineStr">
        <is>
          <t>India</t>
        </is>
      </c>
      <c r="C232" s="39" t="inlineStr">
        <is>
          <t>Andaman → Chatham Jetty</t>
        </is>
      </c>
      <c r="D232" s="38" t="inlineStr">
        <is>
          <t>rapido</t>
        </is>
      </c>
      <c r="E232" s="40" t="inlineStr">
        <is>
          <t>india-andaman-ola, india-andaman-rapido</t>
        </is>
      </c>
      <c r="F232" s="41" t="n">
        <v>2</v>
      </c>
      <c r="G232" s="42" t="n">
        <v>3.5</v>
      </c>
      <c r="H232" s="35" t="n">
        <v>22</v>
      </c>
      <c r="I232" s="43" t="inlineStr">
        <is>
          <t>T3</t>
        </is>
      </c>
      <c r="J232" s="43" t="inlineStr">
        <is>
          <t>med-low</t>
        </is>
      </c>
      <c r="K232" s="29" t="n">
        <v>1</v>
      </c>
      <c r="L232" s="44">
        <f>60*G232/cruise_kt</f>
        <v/>
      </c>
      <c r="M232" s="44">
        <f>IF(B232="South Korea",G232/korea_charge_range_nm*korea_full_range_charge_min,0)</f>
        <v/>
      </c>
      <c r="N232" s="44">
        <f>IF(B232="South Korea",L232+korea_turn_min+korea_dwell_min+M232,L232+turn_min+dwell_min)</f>
        <v/>
      </c>
      <c r="O232" s="45">
        <f>IF(B232="South Korea",FLOOR(60*korea_service_hr/N232,1),MIN(15,FLOOR(60*service_hr/N232,1)))</f>
        <v/>
      </c>
      <c r="P232" s="45">
        <f>IF(ABS(MOD(ABS((365*mech_uptime*K232)),1)-0.5)&lt;1E-9,2*ROUND((365*mech_uptime*K232)/2,0),ROUND((365*mech_uptime*K232),0))</f>
        <v/>
      </c>
      <c r="Q232" s="46">
        <f>mech_uptime</f>
        <v/>
      </c>
      <c r="R232" s="46">
        <f>IF(AND(B232="South Korea",scenario="MID"),korea_mid_revleg,revleg_sel)</f>
        <v/>
      </c>
      <c r="S232" s="45">
        <f>IF(ABS(MOD(ABS((O232*P232*R232)),1)-0.5)&lt;1E-9,2*ROUND((O232*P232*R232)/2,0),ROUND((O232*P232*R232),0))</f>
        <v/>
      </c>
      <c r="T232" s="46">
        <f>IF(AND(B232="South Korea",scenario="MID"),korea_mid_load,load_sel)</f>
        <v/>
      </c>
      <c r="U232" s="47">
        <f>pax_cap*T232</f>
        <v/>
      </c>
      <c r="V232" s="45">
        <f>U232*S232</f>
        <v/>
      </c>
      <c r="W232" s="48">
        <f>H232*discount</f>
        <v/>
      </c>
      <c r="X232" s="49">
        <f>W232*V232</f>
        <v/>
      </c>
      <c r="Y232" s="49">
        <f>(battery/range_nm)*G232*S232*VLOOKUP(B232,country_opex,3,FALSE)</f>
        <v/>
      </c>
      <c r="Z232" s="49">
        <f>VLOOKUP(B232,country_opex,2,FALSE)*crew_factor</f>
        <v/>
      </c>
      <c r="AA232" s="49">
        <f>VLOOKUP(B232,country_opex,5,FALSE)</f>
        <v/>
      </c>
      <c r="AB232" s="49">
        <f>maint</f>
        <v/>
      </c>
      <c r="AC232" s="49">
        <f>VLOOKUP(B232,country_opex,7,FALSE)*ins_pct</f>
        <v/>
      </c>
      <c r="AD232" s="49">
        <f>charge_berth</f>
        <v/>
      </c>
      <c r="AE232" s="49">
        <f>Y232+Z232+AA232+AB232+AC232+AD232</f>
        <v/>
      </c>
      <c r="AF232" s="49">
        <f>VLOOKUP(B232,country_opex,7,FALSE)/dep_years</f>
        <v/>
      </c>
      <c r="AG232" s="49">
        <f>X232-AE232</f>
        <v/>
      </c>
      <c r="AH232" s="46">
        <f>IF(X232=0,"",AG232/X232)</f>
        <v/>
      </c>
      <c r="AI232" s="47">
        <f>IF(AG232&lt;=0,"",VLOOKUP(B232,country_opex,7,FALSE)/AG232)</f>
        <v/>
      </c>
      <c r="AJ232" s="44">
        <f>((G232*S232/diesel_nmpg)*diesel_co2pg-(battery/range_nm)*G232*S232*VLOOKUP(B232,country_opex,4,FALSE))/1000</f>
        <v/>
      </c>
      <c r="AK232" s="42" t="n">
        <v>5000</v>
      </c>
      <c r="AL232" s="43" t="inlineStr">
        <is>
          <t>T3</t>
        </is>
      </c>
      <c r="AM232" s="43" t="inlineStr">
        <is>
          <t>med-low</t>
        </is>
      </c>
      <c r="AN232" s="50" t="n">
        <v>0.1</v>
      </c>
      <c r="AO232" s="45">
        <f>IF(AK232="","",AK232*AN232)</f>
        <v/>
      </c>
      <c r="AP232" s="45">
        <f>IF(OR(AK232="",V232=0),"",MIN(IF(AX232="",9.9E+99,AX232),FLOOR(AO232/V232,1)))</f>
        <v/>
      </c>
      <c r="AQ232" s="49">
        <f>IF(AP232="","",AP232*IF(ABS(MOD(ABS((X232)),1)-0.5)&lt;1E-9,2*ROUND((X232)/2,0),ROUND((X232),0)))</f>
        <v/>
      </c>
      <c r="AR232" s="47">
        <f>IF(OR(AK232="",V232=0),"",MIN(IF(AX232="",9.9E+99,AX232),AO232/V232))</f>
        <v/>
      </c>
      <c r="AS232" s="49">
        <f>IF(AR232="","",AR232*IF(B232="South Korea",IF(ABS(MOD(ABS((X232)),1)-0.5)&lt;1E-9,2*ROUND((X232)/2,0),ROUND((X232),0)),X232))</f>
        <v/>
      </c>
      <c r="AT232" s="51" t="n"/>
      <c r="AU232" s="43" t="inlineStr">
        <is>
          <t>Grounded</t>
        </is>
      </c>
      <c r="AV232" s="52" t="n"/>
      <c r="AW232" s="52" t="n"/>
      <c r="AX232" s="53" t="n"/>
      <c r="AY232" s="54">
        <f>IF(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&lt;=0,"",VLOOKUP(B232,country_opex,7,FALSE)/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)</f>
        <v/>
      </c>
      <c r="AZ232" s="54">
        <f>IF(((W232*pax_cap*IF(B232="South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Korea",korea_mid_revleg,revleg_mid)),0))*VLOOKUP(B232,country_opex,3,FALSE))+Z232+AA232+AB232+AC232+AD232))&lt;=0,"",VLOOKUP(B232,country_opex,7,FALSE)/((W232*pax_cap*IF(B232="South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Korea",korea_mid_revleg,revleg_mid)),0))*VLOOKUP(B232,country_opex,3,FALSE))+Z232+AA232+AB232+AC232+AD232)))</f>
        <v/>
      </c>
      <c r="BA232" s="54">
        <f>IF(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&lt;=0,"",VLOOKUP(B232,country_opex,7,FALSE)/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)</f>
        <v/>
      </c>
      <c r="BB232" s="40" t="inlineStr">
        <is>
          <t>handoff/INDIA-ECONOMICS-SIDECAR-V0-2026-06-20.json (andaman)</t>
        </is>
      </c>
      <c r="BC232" s="40" t="inlineStr">
        <is>
          <t>handoff/INDIA-ECONOMICS-SIDECAR-V0-2026-06-20.json (andaman)</t>
        </is>
      </c>
      <c r="BD232" s="43" t="inlineStr">
        <is>
          <t>rn-dd995893582c</t>
        </is>
      </c>
    </row>
    <row r="233">
      <c r="A233" s="38" t="inlineStr">
        <is>
          <t>India Andaman Rapido</t>
        </is>
      </c>
      <c r="B233" s="38" t="inlineStr">
        <is>
          <t>India</t>
        </is>
      </c>
      <c r="C233" s="39" t="inlineStr">
        <is>
          <t>Middle Strait Jetty → NK Cruise Terminal</t>
        </is>
      </c>
      <c r="D233" s="38" t="inlineStr">
        <is>
          <t>rapido</t>
        </is>
      </c>
      <c r="E233" s="40" t="inlineStr">
        <is>
          <t>india-andaman-ola, india-andaman-rapido</t>
        </is>
      </c>
      <c r="F233" s="41" t="n">
        <v>2</v>
      </c>
      <c r="G233" s="42" t="n">
        <v>3.7</v>
      </c>
      <c r="H233" s="35" t="n">
        <v>22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IF(B233="South Korea",G233/korea_charge_range_nm*korea_full_range_charge_min,0)</f>
        <v/>
      </c>
      <c r="N233" s="44">
        <f>IF(B233="South Korea",L233+korea_turn_min+korea_dwell_min+M233,L233+turn_min+dwell_min)</f>
        <v/>
      </c>
      <c r="O233" s="45">
        <f>IF(B233="South Korea",FLOOR(60*korea_service_hr/N233,1),MIN(15,FLOOR(60*service_hr/N233,1)))</f>
        <v/>
      </c>
      <c r="P233" s="45">
        <f>IF(ABS(MOD(ABS((365*mech_uptime*K233)),1)-0.5)&lt;1E-9,2*ROUND((365*mech_uptime*K233)/2,0),ROUND((365*mech_uptime*K233),0))</f>
        <v/>
      </c>
      <c r="Q233" s="46">
        <f>mech_uptime</f>
        <v/>
      </c>
      <c r="R233" s="46">
        <f>IF(AND(B233="South Korea",scenario="MID"),korea_mid_revleg,revleg_sel)</f>
        <v/>
      </c>
      <c r="S233" s="45">
        <f>IF(ABS(MOD(ABS((O233*P233*R233)),1)-0.5)&lt;1E-9,2*ROUND((O233*P233*R233)/2,0),ROUND((O233*P233*R233),0))</f>
        <v/>
      </c>
      <c r="T233" s="46">
        <f>IF(AND(B233="South Korea",scenario="MID"),korea_mid_load,load_sel)</f>
        <v/>
      </c>
      <c r="U233" s="47">
        <f>pax_cap*T233</f>
        <v/>
      </c>
      <c r="V233" s="45">
        <f>U233*S233</f>
        <v/>
      </c>
      <c r="W233" s="48">
        <f>H233*discount</f>
        <v/>
      </c>
      <c r="X233" s="49">
        <f>W233*V233</f>
        <v/>
      </c>
      <c r="Y233" s="49">
        <f>(battery/range_nm)*G233*S233*VLOOKUP(B233,country_opex,3,FALSE)</f>
        <v/>
      </c>
      <c r="Z233" s="49">
        <f>VLOOKUP(B233,country_opex,2,FALSE)*crew_factor</f>
        <v/>
      </c>
      <c r="AA233" s="49">
        <f>VLOOKUP(B233,country_opex,5,FALSE)</f>
        <v/>
      </c>
      <c r="AB233" s="49">
        <f>maint</f>
        <v/>
      </c>
      <c r="AC233" s="49">
        <f>VLOOKUP(B233,country_opex,7,FALSE)*ins_pct</f>
        <v/>
      </c>
      <c r="AD233" s="49">
        <f>charge_berth</f>
        <v/>
      </c>
      <c r="AE233" s="49">
        <f>Y233+Z233+AA233+AB233+AC233+AD233</f>
        <v/>
      </c>
      <c r="AF233" s="49">
        <f>VLOOKUP(B233,country_opex,7,FALSE)/dep_years</f>
        <v/>
      </c>
      <c r="AG233" s="49">
        <f>X233-AE233</f>
        <v/>
      </c>
      <c r="AH233" s="46">
        <f>IF(X233=0,"",AG233/X233)</f>
        <v/>
      </c>
      <c r="AI233" s="47">
        <f>IF(AG233&lt;=0,"",VLOOKUP(B233,country_opex,7,FALSE)/AG233)</f>
        <v/>
      </c>
      <c r="AJ233" s="44">
        <f>((G233*S233/diesel_nmpg)*diesel_co2pg-(battery/range_nm)*G233*S233*VLOOKUP(B233,country_opex,4,FALSE))/1000</f>
        <v/>
      </c>
      <c r="AK233" s="42" t="n">
        <v>5000</v>
      </c>
      <c r="AL233" s="43" t="inlineStr">
        <is>
          <t>T3</t>
        </is>
      </c>
      <c r="AM233" s="43" t="inlineStr">
        <is>
          <t>med-low</t>
        </is>
      </c>
      <c r="AN233" s="50" t="n">
        <v>0.1</v>
      </c>
      <c r="AO233" s="45">
        <f>IF(AK233="","",AK233*AN233)</f>
        <v/>
      </c>
      <c r="AP233" s="45">
        <f>IF(OR(AK233="",V233=0),"",MIN(IF(AX233="",9.9E+99,AX233),FLOOR(AO233/V233,1)))</f>
        <v/>
      </c>
      <c r="AQ233" s="49">
        <f>IF(AP233="","",AP233*IF(ABS(MOD(ABS((X233)),1)-0.5)&lt;1E-9,2*ROUND((X233)/2,0),ROUND((X233),0)))</f>
        <v/>
      </c>
      <c r="AR233" s="47">
        <f>IF(OR(AK233="",V233=0),"",MIN(IF(AX233="",9.9E+99,AX233),AO233/V233))</f>
        <v/>
      </c>
      <c r="AS233" s="49">
        <f>IF(AR233="","",AR233*IF(B233="South Korea",IF(ABS(MOD(ABS((X233)),1)-0.5)&lt;1E-9,2*ROUND((X233)/2,0),ROUND((X233),0)),X233))</f>
        <v/>
      </c>
      <c r="AT233" s="51" t="n"/>
      <c r="AU233" s="43" t="inlineStr">
        <is>
          <t>Grounded</t>
        </is>
      </c>
      <c r="AV233" s="52" t="n"/>
      <c r="AW233" s="52" t="n"/>
      <c r="AX233" s="53" t="n"/>
      <c r="AY233" s="54">
        <f>IF(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&lt;=0,"",VLOOKUP(B233,country_opex,7,FALSE)/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)</f>
        <v/>
      </c>
      <c r="AZ233" s="54">
        <f>IF(((W233*pax_cap*IF(B233="South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Korea",korea_mid_revleg,revleg_mid)),0))*VLOOKUP(B233,country_opex,3,FALSE))+Z233+AA233+AB233+AC233+AD233))&lt;=0,"",VLOOKUP(B233,country_opex,7,FALSE)/((W233*pax_cap*IF(B233="South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Korea",korea_mid_revleg,revleg_mid)),0))*VLOOKUP(B233,country_opex,3,FALSE))+Z233+AA233+AB233+AC233+AD233)))</f>
        <v/>
      </c>
      <c r="BA233" s="54">
        <f>IF(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&lt;=0,"",VLOOKUP(B233,country_opex,7,FALSE)/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)</f>
        <v/>
      </c>
      <c r="BB233" s="40" t="inlineStr">
        <is>
          <t>handoff/INDIA-ECONOMICS-SIDECAR-V0-2026-06-20.json (andaman)</t>
        </is>
      </c>
      <c r="BC233" s="40" t="inlineStr">
        <is>
          <t>handoff/INDIA-ECONOMICS-SIDECAR-V0-2026-06-20.json (andaman)</t>
        </is>
      </c>
      <c r="BD233" s="43" t="inlineStr">
        <is>
          <t>rn-36d70e918caa</t>
        </is>
      </c>
    </row>
    <row r="234">
      <c r="A234" s="38" t="inlineStr">
        <is>
          <t>Ola Mumbai</t>
        </is>
      </c>
      <c r="B234" s="38" t="inlineStr">
        <is>
          <t>India</t>
        </is>
      </c>
      <c r="C234" s="39" t="inlineStr">
        <is>
          <t>Mora → Elephanta Caves</t>
        </is>
      </c>
      <c r="D234" s="38" t="inlineStr">
        <is>
          <t>rapido</t>
        </is>
      </c>
      <c r="E234" s="40" t="inlineStr">
        <is>
          <t>india-mumbai-ola, india-mumbai-rapido, ola-mumbai, rapido-mumbai, uber-mumbai</t>
        </is>
      </c>
      <c r="F234" s="41" t="n">
        <v>5</v>
      </c>
      <c r="G234" s="42" t="n">
        <v>3.8</v>
      </c>
      <c r="H234" s="35" t="n"/>
      <c r="I234" s="43" t="n"/>
      <c r="J234" s="43" t="n"/>
      <c r="K234" s="29" t="n">
        <v>1</v>
      </c>
      <c r="L234" s="44">
        <f>60*G234/cruise_kt</f>
        <v/>
      </c>
      <c r="M234" s="44">
        <f>IF(B234="South Korea",G234/korea_charge_range_nm*korea_full_range_charge_min,0)</f>
        <v/>
      </c>
      <c r="N234" s="44">
        <f>IF(B234="South Korea",L234+korea_turn_min+korea_dwell_min+M234,L234+turn_min+dwell_min)</f>
        <v/>
      </c>
      <c r="O234" s="45">
        <f>IF(B234="South Korea",FLOOR(60*korea_service_hr/N234,1),MIN(15,FLOOR(60*service_hr/N234,1)))</f>
        <v/>
      </c>
      <c r="P234" s="45">
        <f>IF(ABS(MOD(ABS((365*mech_uptime*K234)),1)-0.5)&lt;1E-9,2*ROUND((365*mech_uptime*K234)/2,0),ROUND((365*mech_uptime*K234),0))</f>
        <v/>
      </c>
      <c r="Q234" s="46">
        <f>mech_uptime</f>
        <v/>
      </c>
      <c r="R234" s="46">
        <f>IF(AND(B234="South Korea",scenario="MID"),korea_mid_revleg,revleg_sel)</f>
        <v/>
      </c>
      <c r="S234" s="45">
        <f>IF(ABS(MOD(ABS((O234*P234*R234)),1)-0.5)&lt;1E-9,2*ROUND((O234*P234*R234)/2,0),ROUND((O234*P234*R234),0))</f>
        <v/>
      </c>
      <c r="T234" s="46">
        <f>IF(AND(B234="South Korea",scenario="MID"),korea_mid_load,load_sel)</f>
        <v/>
      </c>
      <c r="U234" s="47">
        <f>pax_cap*T234</f>
        <v/>
      </c>
      <c r="V234" s="45">
        <f>U234*S234</f>
        <v/>
      </c>
      <c r="W234" s="48">
        <f>H234*discount</f>
        <v/>
      </c>
      <c r="X234" s="49">
        <f>W234*V234</f>
        <v/>
      </c>
      <c r="Y234" s="49">
        <f>(battery/range_nm)*G234*S234*VLOOKUP(B234,country_opex,3,FALSE)</f>
        <v/>
      </c>
      <c r="Z234" s="49">
        <f>VLOOKUP(B234,country_opex,2,FALSE)*crew_factor</f>
        <v/>
      </c>
      <c r="AA234" s="49">
        <f>VLOOKUP(B234,country_opex,5,FALSE)</f>
        <v/>
      </c>
      <c r="AB234" s="49">
        <f>maint</f>
        <v/>
      </c>
      <c r="AC234" s="49">
        <f>VLOOKUP(B234,country_opex,7,FALSE)*ins_pct</f>
        <v/>
      </c>
      <c r="AD234" s="49">
        <f>charge_berth</f>
        <v/>
      </c>
      <c r="AE234" s="49">
        <f>Y234+Z234+AA234+AB234+AC234+AD234</f>
        <v/>
      </c>
      <c r="AF234" s="49">
        <f>VLOOKUP(B234,country_opex,7,FALSE)/dep_years</f>
        <v/>
      </c>
      <c r="AG234" s="49">
        <f>X234-AE234</f>
        <v/>
      </c>
      <c r="AH234" s="46">
        <f>IF(X234=0,"",AG234/X234)</f>
        <v/>
      </c>
      <c r="AI234" s="47">
        <f>IF(AG234&lt;=0,"",VLOOKUP(B234,country_opex,7,FALSE)/AG234)</f>
        <v/>
      </c>
      <c r="AJ234" s="44">
        <f>((G234*S234/diesel_nmpg)*diesel_co2pg-(battery/range_nm)*G234*S234*VLOOKUP(B234,country_opex,4,FALSE))/1000</f>
        <v/>
      </c>
      <c r="AK234" s="42" t="n"/>
      <c r="AL234" s="43" t="n"/>
      <c r="AM234" s="43" t="n"/>
      <c r="AN234" s="50" t="n">
        <v>0.1</v>
      </c>
      <c r="AO234" s="45">
        <f>IF(AK234="","",AK234*AN234)</f>
        <v/>
      </c>
      <c r="AP234" s="45">
        <f>IF(OR(AK234="",V234=0),"",MIN(IF(AX234="",9.9E+99,AX234),FLOOR(AO234/V234,1)))</f>
        <v/>
      </c>
      <c r="AQ234" s="49">
        <f>IF(AP234="","",AP234*IF(ABS(MOD(ABS((X234)),1)-0.5)&lt;1E-9,2*ROUND((X234)/2,0),ROUND((X234),0)))</f>
        <v/>
      </c>
      <c r="AR234" s="47">
        <f>IF(OR(AK234="",V234=0),"",MIN(IF(AX234="",9.9E+99,AX234),AO234/V234))</f>
        <v/>
      </c>
      <c r="AS234" s="49">
        <f>IF(AR234="","",AR234*IF(B234="South Korea",IF(ABS(MOD(ABS((X234)),1)-0.5)&lt;1E-9,2*ROUND((X234)/2,0),ROUND((X234),0)),X234))</f>
        <v/>
      </c>
      <c r="AT234" s="51" t="n"/>
      <c r="AU234" s="43" t="inlineStr">
        <is>
          <t>Upside tier</t>
        </is>
      </c>
      <c r="AV234" s="52" t="n"/>
      <c r="AW234" s="52" t="inlineStr">
        <is>
          <t>experience_upside</t>
        </is>
      </c>
      <c r="AX234" s="53" t="n"/>
      <c r="AY234" s="54">
        <f>IF(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&lt;=0,"",VLOOKUP(B234,country_opex,7,FALSE)/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)</f>
        <v/>
      </c>
      <c r="AZ234" s="54">
        <f>IF(((W234*pax_cap*IF(B234="South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Korea",korea_mid_revleg,revleg_mid)),0))*VLOOKUP(B234,country_opex,3,FALSE))+Z234+AA234+AB234+AC234+AD234))&lt;=0,"",VLOOKUP(B234,country_opex,7,FALSE)/((W234*pax_cap*IF(B234="South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Korea",korea_mid_revleg,revleg_mid)),0))*VLOOKUP(B234,country_opex,3,FALSE))+Z234+AA234+AB234+AC234+AD234)))</f>
        <v/>
      </c>
      <c r="BA234" s="54">
        <f>IF(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&lt;=0,"",VLOOKUP(B234,country_opex,7,FALSE)/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)</f>
        <v/>
      </c>
      <c r="BB234" s="40" t="n"/>
      <c r="BC234" s="40" t="n"/>
      <c r="BD234" s="43" t="inlineStr">
        <is>
          <t>ics-997116ff5d</t>
        </is>
      </c>
    </row>
    <row r="235">
      <c r="A235" s="38" t="inlineStr">
        <is>
          <t>India Andaman Rapido</t>
        </is>
      </c>
      <c r="B235" s="38" t="inlineStr">
        <is>
          <t>India</t>
        </is>
      </c>
      <c r="C235" s="39" t="inlineStr">
        <is>
          <t>Andaman → Bambooflat Jetty</t>
        </is>
      </c>
      <c r="D235" s="38" t="inlineStr">
        <is>
          <t>rapido</t>
        </is>
      </c>
      <c r="E235" s="40" t="inlineStr">
        <is>
          <t>india-andaman-ola, india-andaman-rapido</t>
        </is>
      </c>
      <c r="F235" s="41" t="n">
        <v>2</v>
      </c>
      <c r="G235" s="42" t="n">
        <v>4.2</v>
      </c>
      <c r="H235" s="35" t="n">
        <v>22</v>
      </c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IF(B235="South Korea",G235/korea_charge_range_nm*korea_full_range_charge_min,0)</f>
        <v/>
      </c>
      <c r="N235" s="44">
        <f>IF(B235="South Korea",L235+korea_turn_min+korea_dwell_min+M235,L235+turn_min+dwell_min)</f>
        <v/>
      </c>
      <c r="O235" s="45">
        <f>IF(B235="South Korea",FLOOR(60*korea_service_hr/N235,1),MIN(15,FLOOR(60*service_hr/N235,1)))</f>
        <v/>
      </c>
      <c r="P235" s="45">
        <f>IF(ABS(MOD(ABS((365*mech_uptime*K235)),1)-0.5)&lt;1E-9,2*ROUND((365*mech_uptime*K235)/2,0),ROUND((365*mech_uptime*K235),0))</f>
        <v/>
      </c>
      <c r="Q235" s="46">
        <f>mech_uptime</f>
        <v/>
      </c>
      <c r="R235" s="46">
        <f>IF(AND(B235="South Korea",scenario="MID"),korea_mid_revleg,revleg_sel)</f>
        <v/>
      </c>
      <c r="S235" s="45">
        <f>IF(ABS(MOD(ABS((O235*P235*R235)),1)-0.5)&lt;1E-9,2*ROUND((O235*P235*R235)/2,0),ROUND((O235*P235*R235),0))</f>
        <v/>
      </c>
      <c r="T235" s="46">
        <f>IF(AND(B235="South Korea",scenario="MID"),korea_mid_load,load_sel)</f>
        <v/>
      </c>
      <c r="U235" s="47">
        <f>pax_cap*T235</f>
        <v/>
      </c>
      <c r="V235" s="45">
        <f>U235*S235</f>
        <v/>
      </c>
      <c r="W235" s="48">
        <f>H235*discount</f>
        <v/>
      </c>
      <c r="X235" s="49">
        <f>W235*V235</f>
        <v/>
      </c>
      <c r="Y235" s="49">
        <f>(battery/range_nm)*G235*S235*VLOOKUP(B235,country_opex,3,FALSE)</f>
        <v/>
      </c>
      <c r="Z235" s="49">
        <f>VLOOKUP(B235,country_opex,2,FALSE)*crew_factor</f>
        <v/>
      </c>
      <c r="AA235" s="49">
        <f>VLOOKUP(B235,country_opex,5,FALSE)</f>
        <v/>
      </c>
      <c r="AB235" s="49">
        <f>maint</f>
        <v/>
      </c>
      <c r="AC235" s="49">
        <f>VLOOKUP(B235,country_opex,7,FALSE)*ins_pct</f>
        <v/>
      </c>
      <c r="AD235" s="49">
        <f>charge_berth</f>
        <v/>
      </c>
      <c r="AE235" s="49">
        <f>Y235+Z235+AA235+AB235+AC235+AD235</f>
        <v/>
      </c>
      <c r="AF235" s="49">
        <f>VLOOKUP(B235,country_opex,7,FALSE)/dep_years</f>
        <v/>
      </c>
      <c r="AG235" s="49">
        <f>X235-AE235</f>
        <v/>
      </c>
      <c r="AH235" s="46">
        <f>IF(X235=0,"",AG235/X235)</f>
        <v/>
      </c>
      <c r="AI235" s="47">
        <f>IF(AG235&lt;=0,"",VLOOKUP(B235,country_opex,7,FALSE)/AG235)</f>
        <v/>
      </c>
      <c r="AJ235" s="44">
        <f>((G235*S235/diesel_nmpg)*diesel_co2pg-(battery/range_nm)*G235*S235*VLOOKUP(B235,country_opex,4,FALSE))/1000</f>
        <v/>
      </c>
      <c r="AK235" s="42" t="n">
        <v>5000</v>
      </c>
      <c r="AL235" s="43" t="inlineStr">
        <is>
          <t>T3</t>
        </is>
      </c>
      <c r="AM235" s="43" t="inlineStr">
        <is>
          <t>med-low</t>
        </is>
      </c>
      <c r="AN235" s="50" t="n">
        <v>0.1</v>
      </c>
      <c r="AO235" s="45">
        <f>IF(AK235="","",AK235*AN235)</f>
        <v/>
      </c>
      <c r="AP235" s="45">
        <f>IF(OR(AK235="",V235=0),"",MIN(IF(AX235="",9.9E+99,AX235),FLOOR(AO235/V235,1)))</f>
        <v/>
      </c>
      <c r="AQ235" s="49">
        <f>IF(AP235="","",AP235*IF(ABS(MOD(ABS((X235)),1)-0.5)&lt;1E-9,2*ROUND((X235)/2,0),ROUND((X235),0)))</f>
        <v/>
      </c>
      <c r="AR235" s="47">
        <f>IF(OR(AK235="",V235=0),"",MIN(IF(AX235="",9.9E+99,AX235),AO235/V235))</f>
        <v/>
      </c>
      <c r="AS235" s="49">
        <f>IF(AR235="","",AR235*IF(B235="South Korea",IF(ABS(MOD(ABS((X235)),1)-0.5)&lt;1E-9,2*ROUND((X235)/2,0),ROUND((X235),0)),X235))</f>
        <v/>
      </c>
      <c r="AT235" s="51" t="n"/>
      <c r="AU235" s="43" t="inlineStr">
        <is>
          <t>Grounded</t>
        </is>
      </c>
      <c r="AV235" s="52" t="n"/>
      <c r="AW235" s="52" t="n"/>
      <c r="AX235" s="53" t="n"/>
      <c r="AY235" s="54">
        <f>IF(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&lt;=0,"",VLOOKUP(B235,country_opex,7,FALSE)/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)</f>
        <v/>
      </c>
      <c r="AZ235" s="54">
        <f>IF(((W235*pax_cap*IF(B235="South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Korea",korea_mid_revleg,revleg_mid)),0))*VLOOKUP(B235,country_opex,3,FALSE))+Z235+AA235+AB235+AC235+AD235))&lt;=0,"",VLOOKUP(B235,country_opex,7,FALSE)/((W235*pax_cap*IF(B235="South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Korea",korea_mid_revleg,revleg_mid)),0))*VLOOKUP(B235,country_opex,3,FALSE))+Z235+AA235+AB235+AC235+AD235)))</f>
        <v/>
      </c>
      <c r="BA235" s="54">
        <f>IF(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&lt;=0,"",VLOOKUP(B235,country_opex,7,FALSE)/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)</f>
        <v/>
      </c>
      <c r="BB235" s="40" t="inlineStr">
        <is>
          <t>handoff/INDIA-ECONOMICS-SIDECAR-V0-2026-06-20.json (andaman)</t>
        </is>
      </c>
      <c r="BC235" s="40" t="inlineStr">
        <is>
          <t>handoff/INDIA-ECONOMICS-SIDECAR-V0-2026-06-20.json (andaman)</t>
        </is>
      </c>
      <c r="BD235" s="43" t="inlineStr">
        <is>
          <t>rn-c3fdccaf140d</t>
        </is>
      </c>
    </row>
    <row r="236">
      <c r="A236" s="38" t="inlineStr">
        <is>
          <t>Ola Mumbai</t>
        </is>
      </c>
      <c r="B236" s="38" t="inlineStr">
        <is>
          <t>India</t>
        </is>
      </c>
      <c r="C236" s="39" t="inlineStr">
        <is>
          <t>BSA Mandwa → Marina Bay Bistro @KARANJA Fishing Dock</t>
        </is>
      </c>
      <c r="D236" s="38" t="inlineStr">
        <is>
          <t>rapido</t>
        </is>
      </c>
      <c r="E236" s="40" t="inlineStr">
        <is>
          <t>india-mumbai-ola, india-mumbai-rapido, ola-mumbai, rapido-mumbai, uber-mumbai</t>
        </is>
      </c>
      <c r="F236" s="41" t="n">
        <v>5</v>
      </c>
      <c r="G236" s="42" t="n">
        <v>4.5</v>
      </c>
      <c r="H236" s="35" t="n"/>
      <c r="I236" s="43" t="inlineStr">
        <is>
          <t>T3</t>
        </is>
      </c>
      <c r="J236" s="43" t="inlineStr">
        <is>
          <t>med-low</t>
        </is>
      </c>
      <c r="K236" s="29" t="n">
        <v>1</v>
      </c>
      <c r="L236" s="44">
        <f>60*G236/cruise_kt</f>
        <v/>
      </c>
      <c r="M236" s="44">
        <f>IF(B236="South Korea",G236/korea_charge_range_nm*korea_full_range_charge_min,0)</f>
        <v/>
      </c>
      <c r="N236" s="44">
        <f>IF(B236="South Korea",L236+korea_turn_min+korea_dwell_min+M236,L236+turn_min+dwell_min)</f>
        <v/>
      </c>
      <c r="O236" s="45">
        <f>IF(B236="South Korea",FLOOR(60*korea_service_hr/N236,1),MIN(15,FLOOR(60*service_hr/N236,1)))</f>
        <v/>
      </c>
      <c r="P236" s="45">
        <f>IF(ABS(MOD(ABS((365*mech_uptime*K236)),1)-0.5)&lt;1E-9,2*ROUND((365*mech_uptime*K236)/2,0),ROUND((365*mech_uptime*K236),0))</f>
        <v/>
      </c>
      <c r="Q236" s="46">
        <f>mech_uptime</f>
        <v/>
      </c>
      <c r="R236" s="46">
        <f>IF(AND(B236="South Korea",scenario="MID"),korea_mid_revleg,revleg_sel)</f>
        <v/>
      </c>
      <c r="S236" s="45">
        <f>IF(ABS(MOD(ABS((O236*P236*R236)),1)-0.5)&lt;1E-9,2*ROUND((O236*P236*R236)/2,0),ROUND((O236*P236*R236),0))</f>
        <v/>
      </c>
      <c r="T236" s="46">
        <f>IF(AND(B236="South Korea",scenario="MID"),korea_mid_load,load_sel)</f>
        <v/>
      </c>
      <c r="U236" s="47">
        <f>pax_cap*T236</f>
        <v/>
      </c>
      <c r="V236" s="45">
        <f>U236*S236</f>
        <v/>
      </c>
      <c r="W236" s="48">
        <f>H236*discount</f>
        <v/>
      </c>
      <c r="X236" s="49">
        <f>W236*V236</f>
        <v/>
      </c>
      <c r="Y236" s="49">
        <f>(battery/range_nm)*G236*S236*VLOOKUP(B236,country_opex,3,FALSE)</f>
        <v/>
      </c>
      <c r="Z236" s="49">
        <f>VLOOKUP(B236,country_opex,2,FALSE)*crew_factor</f>
        <v/>
      </c>
      <c r="AA236" s="49">
        <f>VLOOKUP(B236,country_opex,5,FALSE)</f>
        <v/>
      </c>
      <c r="AB236" s="49">
        <f>maint</f>
        <v/>
      </c>
      <c r="AC236" s="49">
        <f>VLOOKUP(B236,country_opex,7,FALSE)*ins_pct</f>
        <v/>
      </c>
      <c r="AD236" s="49">
        <f>charge_berth</f>
        <v/>
      </c>
      <c r="AE236" s="49">
        <f>Y236+Z236+AA236+AB236+AC236+AD236</f>
        <v/>
      </c>
      <c r="AF236" s="49">
        <f>VLOOKUP(B236,country_opex,7,FALSE)/dep_years</f>
        <v/>
      </c>
      <c r="AG236" s="49">
        <f>X236-AE236</f>
        <v/>
      </c>
      <c r="AH236" s="46">
        <f>IF(X236=0,"",AG236/X236)</f>
        <v/>
      </c>
      <c r="AI236" s="47">
        <f>IF(AG236&lt;=0,"",VLOOKUP(B236,country_opex,7,FALSE)/AG236)</f>
        <v/>
      </c>
      <c r="AJ236" s="44">
        <f>((G236*S236/diesel_nmpg)*diesel_co2pg-(battery/range_nm)*G236*S236*VLOOKUP(B236,country_opex,4,FALSE))/1000</f>
        <v/>
      </c>
      <c r="AK236" s="42" t="n">
        <v>10909</v>
      </c>
      <c r="AL236" s="43" t="inlineStr">
        <is>
          <t>T3</t>
        </is>
      </c>
      <c r="AM236" s="43" t="inlineStr">
        <is>
          <t>med-low</t>
        </is>
      </c>
      <c r="AN236" s="50" t="n">
        <v>0.1</v>
      </c>
      <c r="AO236" s="45">
        <f>IF(AK236="","",AK236*AN236)</f>
        <v/>
      </c>
      <c r="AP236" s="45">
        <f>IF(OR(AK236="",V236=0),"",MIN(IF(AX236="",9.9E+99,AX236),FLOOR(AO236/V236,1)))</f>
        <v/>
      </c>
      <c r="AQ236" s="49">
        <f>IF(AP236="","",AP236*IF(ABS(MOD(ABS((X236)),1)-0.5)&lt;1E-9,2*ROUND((X236)/2,0),ROUND((X236),0)))</f>
        <v/>
      </c>
      <c r="AR236" s="47">
        <f>IF(OR(AK236="",V236=0),"",MIN(IF(AX236="",9.9E+99,AX236),AO236/V236))</f>
        <v/>
      </c>
      <c r="AS236" s="49">
        <f>IF(AR236="","",AR236*IF(B236="South Korea",IF(ABS(MOD(ABS((X236)),1)-0.5)&lt;1E-9,2*ROUND((X236)/2,0),ROUND((X236),0)),X236))</f>
        <v/>
      </c>
      <c r="AT236" s="51" t="n"/>
      <c r="AU236" s="43" t="inlineStr">
        <is>
          <t>Upside tier</t>
        </is>
      </c>
      <c r="AV236" s="52" t="n"/>
      <c r="AW236" s="52" t="inlineStr">
        <is>
          <t>experience_upside</t>
        </is>
      </c>
      <c r="AX236" s="53" t="n"/>
      <c r="AY236" s="54">
        <f>IF(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&lt;=0,"",VLOOKUP(B236,country_opex,7,FALSE)/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)</f>
        <v/>
      </c>
      <c r="AZ236" s="54">
        <f>IF(((W236*pax_cap*IF(B236="South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Korea",korea_mid_revleg,revleg_mid)),0))*VLOOKUP(B236,country_opex,3,FALSE))+Z236+AA236+AB236+AC236+AD236))&lt;=0,"",VLOOKUP(B236,country_opex,7,FALSE)/((W236*pax_cap*IF(B236="South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Korea",korea_mid_revleg,revleg_mid)),0))*VLOOKUP(B236,country_opex,3,FALSE))+Z236+AA236+AB236+AC236+AD236)))</f>
        <v/>
      </c>
      <c r="BA236" s="54">
        <f>IF(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&lt;=0,"",VLOOKUP(B236,country_opex,7,FALSE)/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)</f>
        <v/>
      </c>
      <c r="BB23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6" s="40" t="inlineStr">
        <is>
          <t>PR #58 Mumbai spine route-count split (11 sealed rows × anchor 120,000 pax/yr)</t>
        </is>
      </c>
      <c r="BD236" s="43" t="inlineStr">
        <is>
          <t>ics-91a8902d18</t>
        </is>
      </c>
    </row>
    <row r="237">
      <c r="A237" s="38" t="inlineStr">
        <is>
          <t>Ola Mumbai</t>
        </is>
      </c>
      <c r="B237" s="38" t="inlineStr">
        <is>
          <t>India</t>
        </is>
      </c>
      <c r="C237" s="39" t="inlineStr">
        <is>
          <t>Mandwa Jetty → Mumbai Harbour</t>
        </is>
      </c>
      <c r="D237" s="38" t="inlineStr">
        <is>
          <t>rapido</t>
        </is>
      </c>
      <c r="E237" s="40" t="inlineStr">
        <is>
          <t>india-mumbai-ola, india-mumbai-rapido, ola-mumbai, rapido-mumbai, uber-mumbai</t>
        </is>
      </c>
      <c r="F237" s="41" t="n">
        <v>5</v>
      </c>
      <c r="G237" s="42" t="n">
        <v>4.6</v>
      </c>
      <c r="H237" s="35" t="n"/>
      <c r="I237" s="43" t="inlineStr">
        <is>
          <t>T3</t>
        </is>
      </c>
      <c r="J237" s="43" t="inlineStr">
        <is>
          <t>med-low</t>
        </is>
      </c>
      <c r="K237" s="29" t="n">
        <v>1</v>
      </c>
      <c r="L237" s="44">
        <f>60*G237/cruise_kt</f>
        <v/>
      </c>
      <c r="M237" s="44">
        <f>IF(B237="South Korea",G237/korea_charge_range_nm*korea_full_range_charge_min,0)</f>
        <v/>
      </c>
      <c r="N237" s="44">
        <f>IF(B237="South Korea",L237+korea_turn_min+korea_dwell_min+M237,L237+turn_min+dwell_min)</f>
        <v/>
      </c>
      <c r="O237" s="45">
        <f>IF(B237="South Korea",FLOOR(60*korea_service_hr/N237,1),MIN(15,FLOOR(60*service_hr/N237,1)))</f>
        <v/>
      </c>
      <c r="P237" s="45">
        <f>IF(ABS(MOD(ABS((365*mech_uptime*K237)),1)-0.5)&lt;1E-9,2*ROUND((365*mech_uptime*K237)/2,0),ROUND((365*mech_uptime*K237),0))</f>
        <v/>
      </c>
      <c r="Q237" s="46">
        <f>mech_uptime</f>
        <v/>
      </c>
      <c r="R237" s="46">
        <f>IF(AND(B237="South Korea",scenario="MID"),korea_mid_revleg,revleg_sel)</f>
        <v/>
      </c>
      <c r="S237" s="45">
        <f>IF(ABS(MOD(ABS((O237*P237*R237)),1)-0.5)&lt;1E-9,2*ROUND((O237*P237*R237)/2,0),ROUND((O237*P237*R237),0))</f>
        <v/>
      </c>
      <c r="T237" s="46">
        <f>IF(AND(B237="South Korea",scenario="MID"),korea_mid_load,load_sel)</f>
        <v/>
      </c>
      <c r="U237" s="47">
        <f>pax_cap*T237</f>
        <v/>
      </c>
      <c r="V237" s="45">
        <f>U237*S237</f>
        <v/>
      </c>
      <c r="W237" s="48">
        <f>H237*discount</f>
        <v/>
      </c>
      <c r="X237" s="49">
        <f>W237*V237</f>
        <v/>
      </c>
      <c r="Y237" s="49">
        <f>(battery/range_nm)*G237*S237*VLOOKUP(B237,country_opex,3,FALSE)</f>
        <v/>
      </c>
      <c r="Z237" s="49">
        <f>VLOOKUP(B237,country_opex,2,FALSE)*crew_factor</f>
        <v/>
      </c>
      <c r="AA237" s="49">
        <f>VLOOKUP(B237,country_opex,5,FALSE)</f>
        <v/>
      </c>
      <c r="AB237" s="49">
        <f>maint</f>
        <v/>
      </c>
      <c r="AC237" s="49">
        <f>VLOOKUP(B237,country_opex,7,FALSE)*ins_pct</f>
        <v/>
      </c>
      <c r="AD237" s="49">
        <f>charge_berth</f>
        <v/>
      </c>
      <c r="AE237" s="49">
        <f>Y237+Z237+AA237+AB237+AC237+AD237</f>
        <v/>
      </c>
      <c r="AF237" s="49">
        <f>VLOOKUP(B237,country_opex,7,FALSE)/dep_years</f>
        <v/>
      </c>
      <c r="AG237" s="49">
        <f>X237-AE237</f>
        <v/>
      </c>
      <c r="AH237" s="46">
        <f>IF(X237=0,"",AG237/X237)</f>
        <v/>
      </c>
      <c r="AI237" s="47">
        <f>IF(AG237&lt;=0,"",VLOOKUP(B237,country_opex,7,FALSE)/AG237)</f>
        <v/>
      </c>
      <c r="AJ237" s="44">
        <f>((G237*S237/diesel_nmpg)*diesel_co2pg-(battery/range_nm)*G237*S237*VLOOKUP(B237,country_opex,4,FALSE))/1000</f>
        <v/>
      </c>
      <c r="AK237" s="42" t="n">
        <v>10909</v>
      </c>
      <c r="AL237" s="43" t="inlineStr">
        <is>
          <t>T3</t>
        </is>
      </c>
      <c r="AM237" s="43" t="inlineStr">
        <is>
          <t>med-low</t>
        </is>
      </c>
      <c r="AN237" s="50" t="n">
        <v>0.1</v>
      </c>
      <c r="AO237" s="45">
        <f>IF(AK237="","",AK237*AN237)</f>
        <v/>
      </c>
      <c r="AP237" s="45">
        <f>IF(OR(AK237="",V237=0),"",MIN(IF(AX237="",9.9E+99,AX237),FLOOR(AO237/V237,1)))</f>
        <v/>
      </c>
      <c r="AQ237" s="49">
        <f>IF(AP237="","",AP237*IF(ABS(MOD(ABS((X237)),1)-0.5)&lt;1E-9,2*ROUND((X237)/2,0),ROUND((X237),0)))</f>
        <v/>
      </c>
      <c r="AR237" s="47">
        <f>IF(OR(AK237="",V237=0),"",MIN(IF(AX237="",9.9E+99,AX237),AO237/V237))</f>
        <v/>
      </c>
      <c r="AS237" s="49">
        <f>IF(AR237="","",AR237*IF(B237="South Korea",IF(ABS(MOD(ABS((X237)),1)-0.5)&lt;1E-9,2*ROUND((X237)/2,0),ROUND((X237),0)),X237))</f>
        <v/>
      </c>
      <c r="AT237" s="51" t="n"/>
      <c r="AU237" s="43" t="inlineStr">
        <is>
          <t>Upside tier</t>
        </is>
      </c>
      <c r="AV237" s="52" t="n"/>
      <c r="AW237" s="52" t="inlineStr">
        <is>
          <t>experience_upside</t>
        </is>
      </c>
      <c r="AX237" s="53" t="n"/>
      <c r="AY237" s="54">
        <f>IF(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&lt;=0,"",VLOOKUP(B237,country_opex,7,FALSE)/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)</f>
        <v/>
      </c>
      <c r="AZ237" s="54">
        <f>IF(((W237*pax_cap*IF(B237="South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Korea",korea_mid_revleg,revleg_mid)),0))*VLOOKUP(B237,country_opex,3,FALSE))+Z237+AA237+AB237+AC237+AD237))&lt;=0,"",VLOOKUP(B237,country_opex,7,FALSE)/((W237*pax_cap*IF(B237="South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Korea",korea_mid_revleg,revleg_mid)),0))*VLOOKUP(B237,country_opex,3,FALSE))+Z237+AA237+AB237+AC237+AD237)))</f>
        <v/>
      </c>
      <c r="BA237" s="54">
        <f>IF(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&lt;=0,"",VLOOKUP(B237,country_opex,7,FALSE)/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)</f>
        <v/>
      </c>
      <c r="BB23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7" s="40" t="inlineStr">
        <is>
          <t>PR #58 Mumbai spine route-count split (11 sealed rows × anchor 120,000 pax/yr)</t>
        </is>
      </c>
      <c r="BD237" s="43" t="inlineStr">
        <is>
          <t>ics-10990b64b9</t>
        </is>
      </c>
    </row>
    <row r="238">
      <c r="A238" s="38" t="inlineStr">
        <is>
          <t>India Goa Rapido</t>
        </is>
      </c>
      <c r="B238" s="38" t="inlineStr">
        <is>
          <t>India</t>
        </is>
      </c>
      <c r="C238" s="39" t="inlineStr">
        <is>
          <t>Villa Marina → Mole</t>
        </is>
      </c>
      <c r="D238" s="38" t="inlineStr">
        <is>
          <t>rapido</t>
        </is>
      </c>
      <c r="E238" s="40" t="inlineStr">
        <is>
          <t>india-goa-ola, india-goa-rapido</t>
        </is>
      </c>
      <c r="F238" s="41" t="n">
        <v>2</v>
      </c>
      <c r="G238" s="42" t="n">
        <v>4.9</v>
      </c>
      <c r="H238" s="35" t="n">
        <v>8</v>
      </c>
      <c r="I238" s="43" t="inlineStr">
        <is>
          <t>T3</t>
        </is>
      </c>
      <c r="J238" s="43" t="inlineStr">
        <is>
          <t>med-low</t>
        </is>
      </c>
      <c r="K238" s="29" t="n">
        <v>1</v>
      </c>
      <c r="L238" s="44">
        <f>60*G238/cruise_kt</f>
        <v/>
      </c>
      <c r="M238" s="44">
        <f>IF(B238="South Korea",G238/korea_charge_range_nm*korea_full_range_charge_min,0)</f>
        <v/>
      </c>
      <c r="N238" s="44">
        <f>IF(B238="South Korea",L238+korea_turn_min+korea_dwell_min+M238,L238+turn_min+dwell_min)</f>
        <v/>
      </c>
      <c r="O238" s="45">
        <f>IF(B238="South Korea",FLOOR(60*korea_service_hr/N238,1),MIN(15,FLOOR(60*service_hr/N238,1)))</f>
        <v/>
      </c>
      <c r="P238" s="45">
        <f>IF(ABS(MOD(ABS((365*mech_uptime*K238)),1)-0.5)&lt;1E-9,2*ROUND((365*mech_uptime*K238)/2,0),ROUND((365*mech_uptime*K238),0))</f>
        <v/>
      </c>
      <c r="Q238" s="46">
        <f>mech_uptime</f>
        <v/>
      </c>
      <c r="R238" s="46">
        <f>IF(AND(B238="South Korea",scenario="MID"),korea_mid_revleg,revleg_sel)</f>
        <v/>
      </c>
      <c r="S238" s="45">
        <f>IF(ABS(MOD(ABS((O238*P238*R238)),1)-0.5)&lt;1E-9,2*ROUND((O238*P238*R238)/2,0),ROUND((O238*P238*R238),0))</f>
        <v/>
      </c>
      <c r="T238" s="46">
        <f>IF(AND(B238="South Korea",scenario="MID"),korea_mid_load,load_sel)</f>
        <v/>
      </c>
      <c r="U238" s="47">
        <f>pax_cap*T238</f>
        <v/>
      </c>
      <c r="V238" s="45">
        <f>U238*S238</f>
        <v/>
      </c>
      <c r="W238" s="48">
        <f>H238*discount</f>
        <v/>
      </c>
      <c r="X238" s="49">
        <f>W238*V238</f>
        <v/>
      </c>
      <c r="Y238" s="49">
        <f>(battery/range_nm)*G238*S238*VLOOKUP(B238,country_opex,3,FALSE)</f>
        <v/>
      </c>
      <c r="Z238" s="49">
        <f>VLOOKUP(B238,country_opex,2,FALSE)*crew_factor</f>
        <v/>
      </c>
      <c r="AA238" s="49">
        <f>VLOOKUP(B238,country_opex,5,FALSE)</f>
        <v/>
      </c>
      <c r="AB238" s="49">
        <f>maint</f>
        <v/>
      </c>
      <c r="AC238" s="49">
        <f>VLOOKUP(B238,country_opex,7,FALSE)*ins_pct</f>
        <v/>
      </c>
      <c r="AD238" s="49">
        <f>charge_berth</f>
        <v/>
      </c>
      <c r="AE238" s="49">
        <f>Y238+Z238+AA238+AB238+AC238+AD238</f>
        <v/>
      </c>
      <c r="AF238" s="49">
        <f>VLOOKUP(B238,country_opex,7,FALSE)/dep_years</f>
        <v/>
      </c>
      <c r="AG238" s="49">
        <f>X238-AE238</f>
        <v/>
      </c>
      <c r="AH238" s="46">
        <f>IF(X238=0,"",AG238/X238)</f>
        <v/>
      </c>
      <c r="AI238" s="47">
        <f>IF(AG238&lt;=0,"",VLOOKUP(B238,country_opex,7,FALSE)/AG238)</f>
        <v/>
      </c>
      <c r="AJ238" s="44">
        <f>((G238*S238/diesel_nmpg)*diesel_co2pg-(battery/range_nm)*G238*S238*VLOOKUP(B238,country_opex,4,FALSE))/1000</f>
        <v/>
      </c>
      <c r="AK238" s="42" t="n">
        <v>11250</v>
      </c>
      <c r="AL238" s="43" t="inlineStr">
        <is>
          <t>T3</t>
        </is>
      </c>
      <c r="AM238" s="43" t="inlineStr">
        <is>
          <t>med-low</t>
        </is>
      </c>
      <c r="AN238" s="50" t="n">
        <v>0.1</v>
      </c>
      <c r="AO238" s="45">
        <f>IF(AK238="","",AK238*AN238)</f>
        <v/>
      </c>
      <c r="AP238" s="45">
        <f>IF(OR(AK238="",V238=0),"",MIN(IF(AX238="",9.9E+99,AX238),FLOOR(AO238/V238,1)))</f>
        <v/>
      </c>
      <c r="AQ238" s="49">
        <f>IF(AP238="","",AP238*IF(ABS(MOD(ABS((X238)),1)-0.5)&lt;1E-9,2*ROUND((X238)/2,0),ROUND((X238),0)))</f>
        <v/>
      </c>
      <c r="AR238" s="47">
        <f>IF(OR(AK238="",V238=0),"",MIN(IF(AX238="",9.9E+99,AX238),AO238/V238))</f>
        <v/>
      </c>
      <c r="AS238" s="49">
        <f>IF(AR238="","",AR238*IF(B238="South Korea",IF(ABS(MOD(ABS((X238)),1)-0.5)&lt;1E-9,2*ROUND((X238)/2,0),ROUND((X238),0)),X238))</f>
        <v/>
      </c>
      <c r="AT238" s="51" t="n"/>
      <c r="AU238" s="43" t="inlineStr">
        <is>
          <t>Grounded</t>
        </is>
      </c>
      <c r="AV238" s="52" t="n"/>
      <c r="AW238" s="52" t="n"/>
      <c r="AX238" s="53" t="n"/>
      <c r="AY238" s="54">
        <f>IF(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&lt;=0,"",VLOOKUP(B238,country_opex,7,FALSE)/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)</f>
        <v/>
      </c>
      <c r="AZ238" s="54">
        <f>IF(((W238*pax_cap*IF(B238="South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Korea",korea_mid_revleg,revleg_mid)),0))*VLOOKUP(B238,country_opex,3,FALSE))+Z238+AA238+AB238+AC238+AD238))&lt;=0,"",VLOOKUP(B238,country_opex,7,FALSE)/((W238*pax_cap*IF(B238="South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Korea",korea_mid_revleg,revleg_mid)),0))*VLOOKUP(B238,country_opex,3,FALSE))+Z238+AA238+AB238+AC238+AD238)))</f>
        <v/>
      </c>
      <c r="BA238" s="54">
        <f>IF(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&lt;=0,"",VLOOKUP(B238,country_opex,7,FALSE)/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)</f>
        <v/>
      </c>
      <c r="BB238" s="40" t="inlineStr">
        <is>
          <t>handoff/INDIA-ECONOMICS-SIDECAR-V0-2026-06-20.json (goa)</t>
        </is>
      </c>
      <c r="BC238" s="40" t="inlineStr">
        <is>
          <t>handoff/INDIA-ECONOMICS-SIDECAR-V0-2026-06-20.json (goa)</t>
        </is>
      </c>
      <c r="BD238" s="43" t="inlineStr">
        <is>
          <t>ics-2f4731dd0a</t>
        </is>
      </c>
    </row>
    <row r="239">
      <c r="A239" s="38" t="inlineStr">
        <is>
          <t>India Mumbai Rapido</t>
        </is>
      </c>
      <c r="B239" s="38" t="inlineStr">
        <is>
          <t>India</t>
        </is>
      </c>
      <c r="C239" s="39" t="inlineStr">
        <is>
          <t>Marina Bay Bistro @KARANJA Fishing Dock → Harbour view villa by 29 bungalow</t>
        </is>
      </c>
      <c r="D239" s="38" t="inlineStr">
        <is>
          <t>rapido</t>
        </is>
      </c>
      <c r="E239" s="40" t="inlineStr">
        <is>
          <t>india-mumbai-ola, india-mumbai-rapido</t>
        </is>
      </c>
      <c r="F239" s="41" t="n">
        <v>2</v>
      </c>
      <c r="G239" s="42" t="n">
        <v>5.4</v>
      </c>
      <c r="H239" s="35" t="n">
        <v>18</v>
      </c>
      <c r="I239" s="43" t="inlineStr">
        <is>
          <t>T3</t>
        </is>
      </c>
      <c r="J239" s="43" t="inlineStr">
        <is>
          <t>med-low</t>
        </is>
      </c>
      <c r="K239" s="29" t="n">
        <v>1</v>
      </c>
      <c r="L239" s="44">
        <f>60*G239/cruise_kt</f>
        <v/>
      </c>
      <c r="M239" s="44">
        <f>IF(B239="South Korea",G239/korea_charge_range_nm*korea_full_range_charge_min,0)</f>
        <v/>
      </c>
      <c r="N239" s="44">
        <f>IF(B239="South Korea",L239+korea_turn_min+korea_dwell_min+M239,L239+turn_min+dwell_min)</f>
        <v/>
      </c>
      <c r="O239" s="45">
        <f>IF(B239="South Korea",FLOOR(60*korea_service_hr/N239,1),MIN(15,FLOOR(60*service_hr/N239,1)))</f>
        <v/>
      </c>
      <c r="P239" s="45">
        <f>IF(ABS(MOD(ABS((365*mech_uptime*K239)),1)-0.5)&lt;1E-9,2*ROUND((365*mech_uptime*K239)/2,0),ROUND((365*mech_uptime*K239),0))</f>
        <v/>
      </c>
      <c r="Q239" s="46">
        <f>mech_uptime</f>
        <v/>
      </c>
      <c r="R239" s="46">
        <f>IF(AND(B239="South Korea",scenario="MID"),korea_mid_revleg,revleg_sel)</f>
        <v/>
      </c>
      <c r="S239" s="45">
        <f>IF(ABS(MOD(ABS((O239*P239*R239)),1)-0.5)&lt;1E-9,2*ROUND((O239*P239*R239)/2,0),ROUND((O239*P239*R239),0))</f>
        <v/>
      </c>
      <c r="T239" s="46">
        <f>IF(AND(B239="South Korea",scenario="MID"),korea_mid_load,load_sel)</f>
        <v/>
      </c>
      <c r="U239" s="47">
        <f>pax_cap*T239</f>
        <v/>
      </c>
      <c r="V239" s="45">
        <f>U239*S239</f>
        <v/>
      </c>
      <c r="W239" s="48">
        <f>H239*discount</f>
        <v/>
      </c>
      <c r="X239" s="49">
        <f>W239*V239</f>
        <v/>
      </c>
      <c r="Y239" s="49">
        <f>(battery/range_nm)*G239*S239*VLOOKUP(B239,country_opex,3,FALSE)</f>
        <v/>
      </c>
      <c r="Z239" s="49">
        <f>VLOOKUP(B239,country_opex,2,FALSE)*crew_factor</f>
        <v/>
      </c>
      <c r="AA239" s="49">
        <f>VLOOKUP(B239,country_opex,5,FALSE)</f>
        <v/>
      </c>
      <c r="AB239" s="49">
        <f>maint</f>
        <v/>
      </c>
      <c r="AC239" s="49">
        <f>VLOOKUP(B239,country_opex,7,FALSE)*ins_pct</f>
        <v/>
      </c>
      <c r="AD239" s="49">
        <f>charge_berth</f>
        <v/>
      </c>
      <c r="AE239" s="49">
        <f>Y239+Z239+AA239+AB239+AC239+AD239</f>
        <v/>
      </c>
      <c r="AF239" s="49">
        <f>VLOOKUP(B239,country_opex,7,FALSE)/dep_years</f>
        <v/>
      </c>
      <c r="AG239" s="49">
        <f>X239-AE239</f>
        <v/>
      </c>
      <c r="AH239" s="46">
        <f>IF(X239=0,"",AG239/X239)</f>
        <v/>
      </c>
      <c r="AI239" s="47">
        <f>IF(AG239&lt;=0,"",VLOOKUP(B239,country_opex,7,FALSE)/AG239)</f>
        <v/>
      </c>
      <c r="AJ239" s="44">
        <f>((G239*S239/diesel_nmpg)*diesel_co2pg-(battery/range_nm)*G239*S239*VLOOKUP(B239,country_opex,4,FALSE))/1000</f>
        <v/>
      </c>
      <c r="AK239" s="42" t="n">
        <v>5000</v>
      </c>
      <c r="AL239" s="43" t="inlineStr">
        <is>
          <t>T3</t>
        </is>
      </c>
      <c r="AM239" s="43" t="inlineStr">
        <is>
          <t>med-low</t>
        </is>
      </c>
      <c r="AN239" s="50" t="n">
        <v>0.1</v>
      </c>
      <c r="AO239" s="45">
        <f>IF(AK239="","",AK239*AN239)</f>
        <v/>
      </c>
      <c r="AP239" s="45">
        <f>IF(OR(AK239="",V239=0),"",MIN(IF(AX239="",9.9E+99,AX239),FLOOR(AO239/V239,1)))</f>
        <v/>
      </c>
      <c r="AQ239" s="49">
        <f>IF(AP239="","",AP239*IF(ABS(MOD(ABS((X239)),1)-0.5)&lt;1E-9,2*ROUND((X239)/2,0),ROUND((X239),0)))</f>
        <v/>
      </c>
      <c r="AR239" s="47">
        <f>IF(OR(AK239="",V239=0),"",MIN(IF(AX239="",9.9E+99,AX239),AO239/V239))</f>
        <v/>
      </c>
      <c r="AS239" s="49">
        <f>IF(AR239="","",AR239*IF(B239="South Korea",IF(ABS(MOD(ABS((X239)),1)-0.5)&lt;1E-9,2*ROUND((X239)/2,0),ROUND((X239),0)),X239))</f>
        <v/>
      </c>
      <c r="AT239" s="51" t="n"/>
      <c r="AU239" s="43" t="inlineStr">
        <is>
          <t>Grounded</t>
        </is>
      </c>
      <c r="AV239" s="52" t="n"/>
      <c r="AW239" s="52" t="n"/>
      <c r="AX239" s="53" t="n"/>
      <c r="AY239" s="54">
        <f>IF(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&lt;=0,"",VLOOKUP(B239,country_opex,7,FALSE)/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)</f>
        <v/>
      </c>
      <c r="AZ239" s="54">
        <f>IF(((W239*pax_cap*IF(B239="South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Korea",korea_mid_revleg,revleg_mid)),0))*VLOOKUP(B239,country_opex,3,FALSE))+Z239+AA239+AB239+AC239+AD239))&lt;=0,"",VLOOKUP(B239,country_opex,7,FALSE)/((W239*pax_cap*IF(B239="South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Korea",korea_mid_revleg,revleg_mid)),0))*VLOOKUP(B239,country_opex,3,FALSE))+Z239+AA239+AB239+AC239+AD239)))</f>
        <v/>
      </c>
      <c r="BA239" s="54">
        <f>IF(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&lt;=0,"",VLOOKUP(B239,country_opex,7,FALSE)/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)</f>
        <v/>
      </c>
      <c r="BB239" s="40" t="inlineStr">
        <is>
          <t>[LB-255 PREMIUM RE-FARE: subsidized comparable $5.5 lifted to premium on-demand floor $18.0] handoff/INDIA-ECONOMICS-SIDECAR-V0-2026-06-20.json (mumbai)</t>
        </is>
      </c>
      <c r="BC239" s="40" t="inlineStr">
        <is>
          <t>handoff/INDIA-ECONOMICS-SIDECAR-V0-2026-06-20.json (mumbai)</t>
        </is>
      </c>
      <c r="BD239" s="43" t="inlineStr">
        <is>
          <t>ics-f926b881cc</t>
        </is>
      </c>
    </row>
    <row r="240">
      <c r="A240" s="38" t="inlineStr">
        <is>
          <t>Ola Mumbai</t>
        </is>
      </c>
      <c r="B240" s="38" t="inlineStr">
        <is>
          <t>India</t>
        </is>
      </c>
      <c r="C240" s="39" t="inlineStr">
        <is>
          <t>Elephanta Caves → Mumbai Trans-Harbour Navi Mumbai Toll Plaza</t>
        </is>
      </c>
      <c r="D240" s="38" t="inlineStr">
        <is>
          <t>rapido</t>
        </is>
      </c>
      <c r="E240" s="40" t="inlineStr">
        <is>
          <t>india-mumbai-ola, india-mumbai-rapido, ola-mumbai, rapido-mumbai, uber-mumbai</t>
        </is>
      </c>
      <c r="F240" s="41" t="n">
        <v>5</v>
      </c>
      <c r="G240" s="42" t="n">
        <v>5.6</v>
      </c>
      <c r="H240" s="35" t="n"/>
      <c r="I240" s="43" t="inlineStr">
        <is>
          <t>T3</t>
        </is>
      </c>
      <c r="J240" s="43" t="inlineStr">
        <is>
          <t>med-low</t>
        </is>
      </c>
      <c r="K240" s="29" t="n">
        <v>1</v>
      </c>
      <c r="L240" s="44">
        <f>60*G240/cruise_kt</f>
        <v/>
      </c>
      <c r="M240" s="44">
        <f>IF(B240="South Korea",G240/korea_charge_range_nm*korea_full_range_charge_min,0)</f>
        <v/>
      </c>
      <c r="N240" s="44">
        <f>IF(B240="South Korea",L240+korea_turn_min+korea_dwell_min+M240,L240+turn_min+dwell_min)</f>
        <v/>
      </c>
      <c r="O240" s="45">
        <f>IF(B240="South Korea",FLOOR(60*korea_service_hr/N240,1),MIN(15,FLOOR(60*service_hr/N240,1)))</f>
        <v/>
      </c>
      <c r="P240" s="45">
        <f>IF(ABS(MOD(ABS((365*mech_uptime*K240)),1)-0.5)&lt;1E-9,2*ROUND((365*mech_uptime*K240)/2,0),ROUND((365*mech_uptime*K240),0))</f>
        <v/>
      </c>
      <c r="Q240" s="46">
        <f>mech_uptime</f>
        <v/>
      </c>
      <c r="R240" s="46">
        <f>IF(AND(B240="South Korea",scenario="MID"),korea_mid_revleg,revleg_sel)</f>
        <v/>
      </c>
      <c r="S240" s="45">
        <f>IF(ABS(MOD(ABS((O240*P240*R240)),1)-0.5)&lt;1E-9,2*ROUND((O240*P240*R240)/2,0),ROUND((O240*P240*R240),0))</f>
        <v/>
      </c>
      <c r="T240" s="46">
        <f>IF(AND(B240="South Korea",scenario="MID"),korea_mid_load,load_sel)</f>
        <v/>
      </c>
      <c r="U240" s="47">
        <f>pax_cap*T240</f>
        <v/>
      </c>
      <c r="V240" s="45">
        <f>U240*S240</f>
        <v/>
      </c>
      <c r="W240" s="48">
        <f>H240*discount</f>
        <v/>
      </c>
      <c r="X240" s="49">
        <f>W240*V240</f>
        <v/>
      </c>
      <c r="Y240" s="49">
        <f>(battery/range_nm)*G240*S240*VLOOKUP(B240,country_opex,3,FALSE)</f>
        <v/>
      </c>
      <c r="Z240" s="49">
        <f>VLOOKUP(B240,country_opex,2,FALSE)*crew_factor</f>
        <v/>
      </c>
      <c r="AA240" s="49">
        <f>VLOOKUP(B240,country_opex,5,FALSE)</f>
        <v/>
      </c>
      <c r="AB240" s="49">
        <f>maint</f>
        <v/>
      </c>
      <c r="AC240" s="49">
        <f>VLOOKUP(B240,country_opex,7,FALSE)*ins_pct</f>
        <v/>
      </c>
      <c r="AD240" s="49">
        <f>charge_berth</f>
        <v/>
      </c>
      <c r="AE240" s="49">
        <f>Y240+Z240+AA240+AB240+AC240+AD240</f>
        <v/>
      </c>
      <c r="AF240" s="49">
        <f>VLOOKUP(B240,country_opex,7,FALSE)/dep_years</f>
        <v/>
      </c>
      <c r="AG240" s="49">
        <f>X240-AE240</f>
        <v/>
      </c>
      <c r="AH240" s="46">
        <f>IF(X240=0,"",AG240/X240)</f>
        <v/>
      </c>
      <c r="AI240" s="47">
        <f>IF(AG240&lt;=0,"",VLOOKUP(B240,country_opex,7,FALSE)/AG240)</f>
        <v/>
      </c>
      <c r="AJ240" s="44">
        <f>((G240*S240/diesel_nmpg)*diesel_co2pg-(battery/range_nm)*G240*S240*VLOOKUP(B240,country_opex,4,FALSE))/1000</f>
        <v/>
      </c>
      <c r="AK240" s="42" t="n">
        <v>10909</v>
      </c>
      <c r="AL240" s="43" t="inlineStr">
        <is>
          <t>T3</t>
        </is>
      </c>
      <c r="AM240" s="43" t="inlineStr">
        <is>
          <t>med-low</t>
        </is>
      </c>
      <c r="AN240" s="50" t="n">
        <v>0.1</v>
      </c>
      <c r="AO240" s="45">
        <f>IF(AK240="","",AK240*AN240)</f>
        <v/>
      </c>
      <c r="AP240" s="45">
        <f>IF(OR(AK240="",V240=0),"",MIN(IF(AX240="",9.9E+99,AX240),FLOOR(AO240/V240,1)))</f>
        <v/>
      </c>
      <c r="AQ240" s="49">
        <f>IF(AP240="","",AP240*IF(ABS(MOD(ABS((X240)),1)-0.5)&lt;1E-9,2*ROUND((X240)/2,0),ROUND((X240),0)))</f>
        <v/>
      </c>
      <c r="AR240" s="47">
        <f>IF(OR(AK240="",V240=0),"",MIN(IF(AX240="",9.9E+99,AX240),AO240/V240))</f>
        <v/>
      </c>
      <c r="AS240" s="49">
        <f>IF(AR240="","",AR240*IF(B240="South Korea",IF(ABS(MOD(ABS((X240)),1)-0.5)&lt;1E-9,2*ROUND((X240)/2,0),ROUND((X240),0)),X240))</f>
        <v/>
      </c>
      <c r="AT240" s="51" t="n"/>
      <c r="AU240" s="43" t="inlineStr">
        <is>
          <t>Upside tier</t>
        </is>
      </c>
      <c r="AV240" s="52" t="n"/>
      <c r="AW240" s="52" t="inlineStr">
        <is>
          <t>experience_upside</t>
        </is>
      </c>
      <c r="AX240" s="53" t="n"/>
      <c r="AY240" s="54">
        <f>IF(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&lt;=0,"",VLOOKUP(B240,country_opex,7,FALSE)/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)</f>
        <v/>
      </c>
      <c r="AZ240" s="54">
        <f>IF(((W240*pax_cap*IF(B240="South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Korea",korea_mid_revleg,revleg_mid)),0))*VLOOKUP(B240,country_opex,3,FALSE))+Z240+AA240+AB240+AC240+AD240))&lt;=0,"",VLOOKUP(B240,country_opex,7,FALSE)/((W240*pax_cap*IF(B240="South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Korea",korea_mid_revleg,revleg_mid)),0))*VLOOKUP(B240,country_opex,3,FALSE))+Z240+AA240+AB240+AC240+AD240)))</f>
        <v/>
      </c>
      <c r="BA240" s="54">
        <f>IF(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&lt;=0,"",VLOOKUP(B240,country_opex,7,FALSE)/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)</f>
        <v/>
      </c>
      <c r="BB24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0" s="40" t="inlineStr">
        <is>
          <t>PR #58 Mumbai spine route-count split (11 sealed rows × anchor 120,000 pax/yr)</t>
        </is>
      </c>
      <c r="BD240" s="43" t="inlineStr">
        <is>
          <t>ics-6a150e9b8e</t>
        </is>
      </c>
    </row>
    <row r="241">
      <c r="A241" s="38" t="inlineStr">
        <is>
          <t>India Goa Rapido</t>
        </is>
      </c>
      <c r="B241" s="38" t="inlineStr">
        <is>
          <t>India</t>
        </is>
      </c>
      <c r="C241" s="39" t="inlineStr">
        <is>
          <t>Goveia Marina → LifeOnYachts Goa</t>
        </is>
      </c>
      <c r="D241" s="38" t="inlineStr">
        <is>
          <t>rapido</t>
        </is>
      </c>
      <c r="E241" s="40" t="inlineStr">
        <is>
          <t>india-goa-ola, india-goa-rapido</t>
        </is>
      </c>
      <c r="F241" s="41" t="n">
        <v>2</v>
      </c>
      <c r="G241" s="42" t="n">
        <v>5.8</v>
      </c>
      <c r="H241" s="35" t="n">
        <v>8</v>
      </c>
      <c r="I241" s="43" t="inlineStr">
        <is>
          <t>T3</t>
        </is>
      </c>
      <c r="J241" s="43" t="inlineStr">
        <is>
          <t>med-low</t>
        </is>
      </c>
      <c r="K241" s="29" t="n">
        <v>1</v>
      </c>
      <c r="L241" s="44">
        <f>60*G241/cruise_kt</f>
        <v/>
      </c>
      <c r="M241" s="44">
        <f>IF(B241="South Korea",G241/korea_charge_range_nm*korea_full_range_charge_min,0)</f>
        <v/>
      </c>
      <c r="N241" s="44">
        <f>IF(B241="South Korea",L241+korea_turn_min+korea_dwell_min+M241,L241+turn_min+dwell_min)</f>
        <v/>
      </c>
      <c r="O241" s="45">
        <f>IF(B241="South Korea",FLOOR(60*korea_service_hr/N241,1),MIN(15,FLOOR(60*service_hr/N241,1)))</f>
        <v/>
      </c>
      <c r="P241" s="45">
        <f>IF(ABS(MOD(ABS((365*mech_uptime*K241)),1)-0.5)&lt;1E-9,2*ROUND((365*mech_uptime*K241)/2,0),ROUND((365*mech_uptime*K241),0))</f>
        <v/>
      </c>
      <c r="Q241" s="46">
        <f>mech_uptime</f>
        <v/>
      </c>
      <c r="R241" s="46">
        <f>IF(AND(B241="South Korea",scenario="MID"),korea_mid_revleg,revleg_sel)</f>
        <v/>
      </c>
      <c r="S241" s="45">
        <f>IF(ABS(MOD(ABS((O241*P241*R241)),1)-0.5)&lt;1E-9,2*ROUND((O241*P241*R241)/2,0),ROUND((O241*P241*R241),0))</f>
        <v/>
      </c>
      <c r="T241" s="46">
        <f>IF(AND(B241="South Korea",scenario="MID"),korea_mid_load,load_sel)</f>
        <v/>
      </c>
      <c r="U241" s="47">
        <f>pax_cap*T241</f>
        <v/>
      </c>
      <c r="V241" s="45">
        <f>U241*S241</f>
        <v/>
      </c>
      <c r="W241" s="48">
        <f>H241*discount</f>
        <v/>
      </c>
      <c r="X241" s="49">
        <f>W241*V241</f>
        <v/>
      </c>
      <c r="Y241" s="49">
        <f>(battery/range_nm)*G241*S241*VLOOKUP(B241,country_opex,3,FALSE)</f>
        <v/>
      </c>
      <c r="Z241" s="49">
        <f>VLOOKUP(B241,country_opex,2,FALSE)*crew_factor</f>
        <v/>
      </c>
      <c r="AA241" s="49">
        <f>VLOOKUP(B241,country_opex,5,FALSE)</f>
        <v/>
      </c>
      <c r="AB241" s="49">
        <f>maint</f>
        <v/>
      </c>
      <c r="AC241" s="49">
        <f>VLOOKUP(B241,country_opex,7,FALSE)*ins_pct</f>
        <v/>
      </c>
      <c r="AD241" s="49">
        <f>charge_berth</f>
        <v/>
      </c>
      <c r="AE241" s="49">
        <f>Y241+Z241+AA241+AB241+AC241+AD241</f>
        <v/>
      </c>
      <c r="AF241" s="49">
        <f>VLOOKUP(B241,country_opex,7,FALSE)/dep_years</f>
        <v/>
      </c>
      <c r="AG241" s="49">
        <f>X241-AE241</f>
        <v/>
      </c>
      <c r="AH241" s="46">
        <f>IF(X241=0,"",AG241/X241)</f>
        <v/>
      </c>
      <c r="AI241" s="47">
        <f>IF(AG241&lt;=0,"",VLOOKUP(B241,country_opex,7,FALSE)/AG241)</f>
        <v/>
      </c>
      <c r="AJ241" s="44">
        <f>((G241*S241/diesel_nmpg)*diesel_co2pg-(battery/range_nm)*G241*S241*VLOOKUP(B241,country_opex,4,FALSE))/1000</f>
        <v/>
      </c>
      <c r="AK241" s="42" t="n">
        <v>11250</v>
      </c>
      <c r="AL241" s="43" t="inlineStr">
        <is>
          <t>T3</t>
        </is>
      </c>
      <c r="AM241" s="43" t="inlineStr">
        <is>
          <t>med-low</t>
        </is>
      </c>
      <c r="AN241" s="50" t="n">
        <v>0.1</v>
      </c>
      <c r="AO241" s="45">
        <f>IF(AK241="","",AK241*AN241)</f>
        <v/>
      </c>
      <c r="AP241" s="45">
        <f>IF(OR(AK241="",V241=0),"",MIN(IF(AX241="",9.9E+99,AX241),FLOOR(AO241/V241,1)))</f>
        <v/>
      </c>
      <c r="AQ241" s="49">
        <f>IF(AP241="","",AP241*IF(ABS(MOD(ABS((X241)),1)-0.5)&lt;1E-9,2*ROUND((X241)/2,0),ROUND((X241),0)))</f>
        <v/>
      </c>
      <c r="AR241" s="47">
        <f>IF(OR(AK241="",V241=0),"",MIN(IF(AX241="",9.9E+99,AX241),AO241/V241))</f>
        <v/>
      </c>
      <c r="AS241" s="49">
        <f>IF(AR241="","",AR241*IF(B241="South Korea",IF(ABS(MOD(ABS((X241)),1)-0.5)&lt;1E-9,2*ROUND((X241)/2,0),ROUND((X241),0)),X241))</f>
        <v/>
      </c>
      <c r="AT241" s="51" t="n"/>
      <c r="AU241" s="43" t="inlineStr">
        <is>
          <t>Grounded</t>
        </is>
      </c>
      <c r="AV241" s="52" t="n"/>
      <c r="AW241" s="52" t="n"/>
      <c r="AX241" s="53" t="n"/>
      <c r="AY241" s="54">
        <f>IF(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&lt;=0,"",VLOOKUP(B241,country_opex,7,FALSE)/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)</f>
        <v/>
      </c>
      <c r="AZ241" s="54">
        <f>IF(((W241*pax_cap*IF(B241="South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Korea",korea_mid_revleg,revleg_mid)),0))*VLOOKUP(B241,country_opex,3,FALSE))+Z241+AA241+AB241+AC241+AD241))&lt;=0,"",VLOOKUP(B241,country_opex,7,FALSE)/((W241*pax_cap*IF(B241="South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Korea",korea_mid_revleg,revleg_mid)),0))*VLOOKUP(B241,country_opex,3,FALSE))+Z241+AA241+AB241+AC241+AD241)))</f>
        <v/>
      </c>
      <c r="BA241" s="54">
        <f>IF(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&lt;=0,"",VLOOKUP(B241,country_opex,7,FALSE)/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)</f>
        <v/>
      </c>
      <c r="BB241" s="40" t="inlineStr">
        <is>
          <t>handoff/INDIA-ECONOMICS-SIDECAR-V0-2026-06-20.json (goa)</t>
        </is>
      </c>
      <c r="BC241" s="40" t="inlineStr">
        <is>
          <t>handoff/INDIA-ECONOMICS-SIDECAR-V0-2026-06-20.json (goa)</t>
        </is>
      </c>
      <c r="BD241" s="43" t="inlineStr">
        <is>
          <t>ics-b61d127eb2</t>
        </is>
      </c>
    </row>
    <row r="242">
      <c r="A242" s="38" t="inlineStr">
        <is>
          <t>India Kerala Rapido</t>
        </is>
      </c>
      <c r="B242" s="38" t="inlineStr">
        <is>
          <t>India</t>
        </is>
      </c>
      <c r="C242" s="39" t="inlineStr">
        <is>
          <t>Keltron Ferry → Chellanam Harbour Kochi</t>
        </is>
      </c>
      <c r="D242" s="38" t="inlineStr">
        <is>
          <t>rapido</t>
        </is>
      </c>
      <c r="E242" s="40" t="inlineStr">
        <is>
          <t>india-kerala-ola, india-kerala-rapido</t>
        </is>
      </c>
      <c r="F242" s="41" t="n">
        <v>2</v>
      </c>
      <c r="G242" s="42" t="n">
        <v>5.8</v>
      </c>
      <c r="H242" s="35" t="n">
        <v>18</v>
      </c>
      <c r="I242" s="43" t="inlineStr">
        <is>
          <t>T3</t>
        </is>
      </c>
      <c r="J242" s="43" t="inlineStr">
        <is>
          <t>med-low</t>
        </is>
      </c>
      <c r="K242" s="29" t="n">
        <v>1</v>
      </c>
      <c r="L242" s="44">
        <f>60*G242/cruise_kt</f>
        <v/>
      </c>
      <c r="M242" s="44">
        <f>IF(B242="South Korea",G242/korea_charge_range_nm*korea_full_range_charge_min,0)</f>
        <v/>
      </c>
      <c r="N242" s="44">
        <f>IF(B242="South Korea",L242+korea_turn_min+korea_dwell_min+M242,L242+turn_min+dwell_min)</f>
        <v/>
      </c>
      <c r="O242" s="45">
        <f>IF(B242="South Korea",FLOOR(60*korea_service_hr/N242,1),MIN(15,FLOOR(60*service_hr/N242,1)))</f>
        <v/>
      </c>
      <c r="P242" s="45">
        <f>IF(ABS(MOD(ABS((365*mech_uptime*K242)),1)-0.5)&lt;1E-9,2*ROUND((365*mech_uptime*K242)/2,0),ROUND((365*mech_uptime*K242),0))</f>
        <v/>
      </c>
      <c r="Q242" s="46">
        <f>mech_uptime</f>
        <v/>
      </c>
      <c r="R242" s="46">
        <f>IF(AND(B242="South Korea",scenario="MID"),korea_mid_revleg,revleg_sel)</f>
        <v/>
      </c>
      <c r="S242" s="45">
        <f>IF(ABS(MOD(ABS((O242*P242*R242)),1)-0.5)&lt;1E-9,2*ROUND((O242*P242*R242)/2,0),ROUND((O242*P242*R242),0))</f>
        <v/>
      </c>
      <c r="T242" s="46">
        <f>IF(AND(B242="South Korea",scenario="MID"),korea_mid_load,load_sel)</f>
        <v/>
      </c>
      <c r="U242" s="47">
        <f>pax_cap*T242</f>
        <v/>
      </c>
      <c r="V242" s="45">
        <f>U242*S242</f>
        <v/>
      </c>
      <c r="W242" s="48">
        <f>H242*discount</f>
        <v/>
      </c>
      <c r="X242" s="49">
        <f>W242*V242</f>
        <v/>
      </c>
      <c r="Y242" s="49">
        <f>(battery/range_nm)*G242*S242*VLOOKUP(B242,country_opex,3,FALSE)</f>
        <v/>
      </c>
      <c r="Z242" s="49">
        <f>VLOOKUP(B242,country_opex,2,FALSE)*crew_factor</f>
        <v/>
      </c>
      <c r="AA242" s="49">
        <f>VLOOKUP(B242,country_opex,5,FALSE)</f>
        <v/>
      </c>
      <c r="AB242" s="49">
        <f>maint</f>
        <v/>
      </c>
      <c r="AC242" s="49">
        <f>VLOOKUP(B242,country_opex,7,FALSE)*ins_pct</f>
        <v/>
      </c>
      <c r="AD242" s="49">
        <f>charge_berth</f>
        <v/>
      </c>
      <c r="AE242" s="49">
        <f>Y242+Z242+AA242+AB242+AC242+AD242</f>
        <v/>
      </c>
      <c r="AF242" s="49">
        <f>VLOOKUP(B242,country_opex,7,FALSE)/dep_years</f>
        <v/>
      </c>
      <c r="AG242" s="49">
        <f>X242-AE242</f>
        <v/>
      </c>
      <c r="AH242" s="46">
        <f>IF(X242=0,"",AG242/X242)</f>
        <v/>
      </c>
      <c r="AI242" s="47">
        <f>IF(AG242&lt;=0,"",VLOOKUP(B242,country_opex,7,FALSE)/AG242)</f>
        <v/>
      </c>
      <c r="AJ242" s="44">
        <f>((G242*S242/diesel_nmpg)*diesel_co2pg-(battery/range_nm)*G242*S242*VLOOKUP(B242,country_opex,4,FALSE))/1000</f>
        <v/>
      </c>
      <c r="AK242" s="42" t="n">
        <v>29166</v>
      </c>
      <c r="AL242" s="43" t="inlineStr">
        <is>
          <t>T3</t>
        </is>
      </c>
      <c r="AM242" s="43" t="inlineStr">
        <is>
          <t>med-low</t>
        </is>
      </c>
      <c r="AN242" s="50" t="n">
        <v>0.1</v>
      </c>
      <c r="AO242" s="45">
        <f>IF(AK242="","",AK242*AN242)</f>
        <v/>
      </c>
      <c r="AP242" s="45">
        <f>IF(OR(AK242="",V242=0),"",MIN(IF(AX242="",9.9E+99,AX242),FLOOR(AO242/V242,1)))</f>
        <v/>
      </c>
      <c r="AQ242" s="49">
        <f>IF(AP242="","",AP242*IF(ABS(MOD(ABS((X242)),1)-0.5)&lt;1E-9,2*ROUND((X242)/2,0),ROUND((X242),0)))</f>
        <v/>
      </c>
      <c r="AR242" s="47">
        <f>IF(OR(AK242="",V242=0),"",MIN(IF(AX242="",9.9E+99,AX242),AO242/V242))</f>
        <v/>
      </c>
      <c r="AS242" s="49">
        <f>IF(AR242="","",AR242*IF(B242="South Korea",IF(ABS(MOD(ABS((X242)),1)-0.5)&lt;1E-9,2*ROUND((X242)/2,0),ROUND((X242),0)),X242))</f>
        <v/>
      </c>
      <c r="AT242" s="51" t="n"/>
      <c r="AU242" s="43" t="inlineStr">
        <is>
          <t>Grounded</t>
        </is>
      </c>
      <c r="AV242" s="52" t="n"/>
      <c r="AW242" s="52" t="n"/>
      <c r="AX242" s="53" t="n"/>
      <c r="AY242" s="54">
        <f>IF(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&lt;=0,"",VLOOKUP(B242,country_opex,7,FALSE)/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)</f>
        <v/>
      </c>
      <c r="AZ242" s="54">
        <f>IF(((W242*pax_cap*IF(B242="South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Korea",korea_mid_revleg,revleg_mid)),0))*VLOOKUP(B242,country_opex,3,FALSE))+Z242+AA242+AB242+AC242+AD242))&lt;=0,"",VLOOKUP(B242,country_opex,7,FALSE)/((W242*pax_cap*IF(B242="South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Korea",korea_mid_revleg,revleg_mid)),0))*VLOOKUP(B242,country_opex,3,FALSE))+Z242+AA242+AB242+AC242+AD242)))</f>
        <v/>
      </c>
      <c r="BA242" s="54">
        <f>IF(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&lt;=0,"",VLOOKUP(B242,country_opex,7,FALSE)/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)</f>
        <v/>
      </c>
      <c r="BB242" s="40" t="inlineStr">
        <is>
          <t>[LB-255 PREMIUM RE-FARE: subsidized comparable $3.5 lifted to premium on-demand floor $18.0] handoff/INDIA-ECONOMICS-SIDECAR-V0-2026-06-20.json (kerala)</t>
        </is>
      </c>
      <c r="BC242" s="40" t="inlineStr">
        <is>
          <t>handoff/INDIA-ECONOMICS-SIDECAR-V0-2026-06-20.json (kerala)</t>
        </is>
      </c>
      <c r="BD242" s="43" t="inlineStr">
        <is>
          <t>ics-248e023645</t>
        </is>
      </c>
    </row>
    <row r="243">
      <c r="A243" s="38" t="inlineStr">
        <is>
          <t>Ola Mumbai</t>
        </is>
      </c>
      <c r="B243" s="38" t="inlineStr">
        <is>
          <t>India</t>
        </is>
      </c>
      <c r="C243" s="39" t="inlineStr">
        <is>
          <t>JNPT Ferry Service → Mumbai Trans-Harbour Navi Mumbai Toll Plaza</t>
        </is>
      </c>
      <c r="D243" s="38" t="inlineStr">
        <is>
          <t>rapido</t>
        </is>
      </c>
      <c r="E243" s="40" t="inlineStr">
        <is>
          <t>india-mumbai-ola, india-mumbai-rapido, ola-mumbai, rapido-mumbai, uber-mumbai</t>
        </is>
      </c>
      <c r="F243" s="41" t="n">
        <v>5</v>
      </c>
      <c r="G243" s="42" t="n">
        <v>5.9</v>
      </c>
      <c r="H243" s="35" t="n"/>
      <c r="I243" s="43" t="inlineStr">
        <is>
          <t>T3</t>
        </is>
      </c>
      <c r="J243" s="43" t="inlineStr">
        <is>
          <t>med-low</t>
        </is>
      </c>
      <c r="K243" s="29" t="n">
        <v>1</v>
      </c>
      <c r="L243" s="44">
        <f>60*G243/cruise_kt</f>
        <v/>
      </c>
      <c r="M243" s="44">
        <f>IF(B243="South Korea",G243/korea_charge_range_nm*korea_full_range_charge_min,0)</f>
        <v/>
      </c>
      <c r="N243" s="44">
        <f>IF(B243="South Korea",L243+korea_turn_min+korea_dwell_min+M243,L243+turn_min+dwell_min)</f>
        <v/>
      </c>
      <c r="O243" s="45">
        <f>IF(B243="South Korea",FLOOR(60*korea_service_hr/N243,1),MIN(15,FLOOR(60*service_hr/N243,1)))</f>
        <v/>
      </c>
      <c r="P243" s="45">
        <f>IF(ABS(MOD(ABS((365*mech_uptime*K243)),1)-0.5)&lt;1E-9,2*ROUND((365*mech_uptime*K243)/2,0),ROUND((365*mech_uptime*K243),0))</f>
        <v/>
      </c>
      <c r="Q243" s="46">
        <f>mech_uptime</f>
        <v/>
      </c>
      <c r="R243" s="46">
        <f>IF(AND(B243="South Korea",scenario="MID"),korea_mid_revleg,revleg_sel)</f>
        <v/>
      </c>
      <c r="S243" s="45">
        <f>IF(ABS(MOD(ABS((O243*P243*R243)),1)-0.5)&lt;1E-9,2*ROUND((O243*P243*R243)/2,0),ROUND((O243*P243*R243),0))</f>
        <v/>
      </c>
      <c r="T243" s="46">
        <f>IF(AND(B243="South Korea",scenario="MID"),korea_mid_load,load_sel)</f>
        <v/>
      </c>
      <c r="U243" s="47">
        <f>pax_cap*T243</f>
        <v/>
      </c>
      <c r="V243" s="45">
        <f>U243*S243</f>
        <v/>
      </c>
      <c r="W243" s="48">
        <f>H243*discount</f>
        <v/>
      </c>
      <c r="X243" s="49">
        <f>W243*V243</f>
        <v/>
      </c>
      <c r="Y243" s="49">
        <f>(battery/range_nm)*G243*S243*VLOOKUP(B243,country_opex,3,FALSE)</f>
        <v/>
      </c>
      <c r="Z243" s="49">
        <f>VLOOKUP(B243,country_opex,2,FALSE)*crew_factor</f>
        <v/>
      </c>
      <c r="AA243" s="49">
        <f>VLOOKUP(B243,country_opex,5,FALSE)</f>
        <v/>
      </c>
      <c r="AB243" s="49">
        <f>maint</f>
        <v/>
      </c>
      <c r="AC243" s="49">
        <f>VLOOKUP(B243,country_opex,7,FALSE)*ins_pct</f>
        <v/>
      </c>
      <c r="AD243" s="49">
        <f>charge_berth</f>
        <v/>
      </c>
      <c r="AE243" s="49">
        <f>Y243+Z243+AA243+AB243+AC243+AD243</f>
        <v/>
      </c>
      <c r="AF243" s="49">
        <f>VLOOKUP(B243,country_opex,7,FALSE)/dep_years</f>
        <v/>
      </c>
      <c r="AG243" s="49">
        <f>X243-AE243</f>
        <v/>
      </c>
      <c r="AH243" s="46">
        <f>IF(X243=0,"",AG243/X243)</f>
        <v/>
      </c>
      <c r="AI243" s="47">
        <f>IF(AG243&lt;=0,"",VLOOKUP(B243,country_opex,7,FALSE)/AG243)</f>
        <v/>
      </c>
      <c r="AJ243" s="44">
        <f>((G243*S243/diesel_nmpg)*diesel_co2pg-(battery/range_nm)*G243*S243*VLOOKUP(B243,country_opex,4,FALSE))/1000</f>
        <v/>
      </c>
      <c r="AK243" s="42" t="n">
        <v>10909</v>
      </c>
      <c r="AL243" s="43" t="inlineStr">
        <is>
          <t>T3</t>
        </is>
      </c>
      <c r="AM243" s="43" t="inlineStr">
        <is>
          <t>med-low</t>
        </is>
      </c>
      <c r="AN243" s="50" t="n">
        <v>0.1</v>
      </c>
      <c r="AO243" s="45">
        <f>IF(AK243="","",AK243*AN243)</f>
        <v/>
      </c>
      <c r="AP243" s="45">
        <f>IF(OR(AK243="",V243=0),"",MIN(IF(AX243="",9.9E+99,AX243),FLOOR(AO243/V243,1)))</f>
        <v/>
      </c>
      <c r="AQ243" s="49">
        <f>IF(AP243="","",AP243*IF(ABS(MOD(ABS((X243)),1)-0.5)&lt;1E-9,2*ROUND((X243)/2,0),ROUND((X243),0)))</f>
        <v/>
      </c>
      <c r="AR243" s="47">
        <f>IF(OR(AK243="",V243=0),"",MIN(IF(AX243="",9.9E+99,AX243),AO243/V243))</f>
        <v/>
      </c>
      <c r="AS243" s="49">
        <f>IF(AR243="","",AR243*IF(B243="South Korea",IF(ABS(MOD(ABS((X243)),1)-0.5)&lt;1E-9,2*ROUND((X243)/2,0),ROUND((X243),0)),X243))</f>
        <v/>
      </c>
      <c r="AT243" s="51" t="n"/>
      <c r="AU243" s="43" t="inlineStr">
        <is>
          <t>Upside tier</t>
        </is>
      </c>
      <c r="AV243" s="52" t="n"/>
      <c r="AW243" s="52" t="inlineStr">
        <is>
          <t>experience_upside</t>
        </is>
      </c>
      <c r="AX243" s="53" t="n"/>
      <c r="AY243" s="54">
        <f>IF(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&lt;=0,"",VLOOKUP(B243,country_opex,7,FALSE)/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)</f>
        <v/>
      </c>
      <c r="AZ243" s="54">
        <f>IF(((W243*pax_cap*IF(B243="South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Korea",korea_mid_revleg,revleg_mid)),0))*VLOOKUP(B243,country_opex,3,FALSE))+Z243+AA243+AB243+AC243+AD243))&lt;=0,"",VLOOKUP(B243,country_opex,7,FALSE)/((W243*pax_cap*IF(B243="South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Korea",korea_mid_revleg,revleg_mid)),0))*VLOOKUP(B243,country_opex,3,FALSE))+Z243+AA243+AB243+AC243+AD243)))</f>
        <v/>
      </c>
      <c r="BA243" s="54">
        <f>IF(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&lt;=0,"",VLOOKUP(B243,country_opex,7,FALSE)/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)</f>
        <v/>
      </c>
      <c r="BB24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3" s="40" t="inlineStr">
        <is>
          <t>PR #58 Mumbai spine route-count split (11 sealed rows × anchor 120,000 pax/yr)</t>
        </is>
      </c>
      <c r="BD243" s="43" t="inlineStr">
        <is>
          <t>ics-971049e54f</t>
        </is>
      </c>
    </row>
    <row r="244">
      <c r="A244" s="38" t="inlineStr">
        <is>
          <t>Ola Mumbai</t>
        </is>
      </c>
      <c r="B244" s="38" t="inlineStr">
        <is>
          <t>India</t>
        </is>
      </c>
      <c r="C244" s="39" t="inlineStr">
        <is>
          <t>Pirpau Jetty → Mumbai Trans-Harbour Navi Mumbai Toll Plaza</t>
        </is>
      </c>
      <c r="D244" s="38" t="inlineStr">
        <is>
          <t>rapido</t>
        </is>
      </c>
      <c r="E244" s="40" t="inlineStr">
        <is>
          <t>india-mumbai-ola, india-mumbai-rapido, ola-mumbai, rapido-mumbai, uber-mumbai</t>
        </is>
      </c>
      <c r="F244" s="41" t="n">
        <v>5</v>
      </c>
      <c r="G244" s="42" t="n">
        <v>6.2</v>
      </c>
      <c r="H244" s="35" t="n"/>
      <c r="I244" s="43" t="inlineStr">
        <is>
          <t>T3</t>
        </is>
      </c>
      <c r="J244" s="43" t="inlineStr">
        <is>
          <t>med-low</t>
        </is>
      </c>
      <c r="K244" s="29" t="n">
        <v>1</v>
      </c>
      <c r="L244" s="44">
        <f>60*G244/cruise_kt</f>
        <v/>
      </c>
      <c r="M244" s="44">
        <f>IF(B244="South Korea",G244/korea_charge_range_nm*korea_full_range_charge_min,0)</f>
        <v/>
      </c>
      <c r="N244" s="44">
        <f>IF(B244="South Korea",L244+korea_turn_min+korea_dwell_min+M244,L244+turn_min+dwell_min)</f>
        <v/>
      </c>
      <c r="O244" s="45">
        <f>IF(B244="South Korea",FLOOR(60*korea_service_hr/N244,1),MIN(15,FLOOR(60*service_hr/N244,1)))</f>
        <v/>
      </c>
      <c r="P244" s="45">
        <f>IF(ABS(MOD(ABS((365*mech_uptime*K244)),1)-0.5)&lt;1E-9,2*ROUND((365*mech_uptime*K244)/2,0),ROUND((365*mech_uptime*K244),0))</f>
        <v/>
      </c>
      <c r="Q244" s="46">
        <f>mech_uptime</f>
        <v/>
      </c>
      <c r="R244" s="46">
        <f>IF(AND(B244="South Korea",scenario="MID"),korea_mid_revleg,revleg_sel)</f>
        <v/>
      </c>
      <c r="S244" s="45">
        <f>IF(ABS(MOD(ABS((O244*P244*R244)),1)-0.5)&lt;1E-9,2*ROUND((O244*P244*R244)/2,0),ROUND((O244*P244*R244),0))</f>
        <v/>
      </c>
      <c r="T244" s="46">
        <f>IF(AND(B244="South Korea",scenario="MID"),korea_mid_load,load_sel)</f>
        <v/>
      </c>
      <c r="U244" s="47">
        <f>pax_cap*T244</f>
        <v/>
      </c>
      <c r="V244" s="45">
        <f>U244*S244</f>
        <v/>
      </c>
      <c r="W244" s="48">
        <f>H244*discount</f>
        <v/>
      </c>
      <c r="X244" s="49">
        <f>W244*V244</f>
        <v/>
      </c>
      <c r="Y244" s="49">
        <f>(battery/range_nm)*G244*S244*VLOOKUP(B244,country_opex,3,FALSE)</f>
        <v/>
      </c>
      <c r="Z244" s="49">
        <f>VLOOKUP(B244,country_opex,2,FALSE)*crew_factor</f>
        <v/>
      </c>
      <c r="AA244" s="49">
        <f>VLOOKUP(B244,country_opex,5,FALSE)</f>
        <v/>
      </c>
      <c r="AB244" s="49">
        <f>maint</f>
        <v/>
      </c>
      <c r="AC244" s="49">
        <f>VLOOKUP(B244,country_opex,7,FALSE)*ins_pct</f>
        <v/>
      </c>
      <c r="AD244" s="49">
        <f>charge_berth</f>
        <v/>
      </c>
      <c r="AE244" s="49">
        <f>Y244+Z244+AA244+AB244+AC244+AD244</f>
        <v/>
      </c>
      <c r="AF244" s="49">
        <f>VLOOKUP(B244,country_opex,7,FALSE)/dep_years</f>
        <v/>
      </c>
      <c r="AG244" s="49">
        <f>X244-AE244</f>
        <v/>
      </c>
      <c r="AH244" s="46">
        <f>IF(X244=0,"",AG244/X244)</f>
        <v/>
      </c>
      <c r="AI244" s="47">
        <f>IF(AG244&lt;=0,"",VLOOKUP(B244,country_opex,7,FALSE)/AG244)</f>
        <v/>
      </c>
      <c r="AJ244" s="44">
        <f>((G244*S244/diesel_nmpg)*diesel_co2pg-(battery/range_nm)*G244*S244*VLOOKUP(B244,country_opex,4,FALSE))/1000</f>
        <v/>
      </c>
      <c r="AK244" s="42" t="n">
        <v>10909</v>
      </c>
      <c r="AL244" s="43" t="inlineStr">
        <is>
          <t>T3</t>
        </is>
      </c>
      <c r="AM244" s="43" t="inlineStr">
        <is>
          <t>med-low</t>
        </is>
      </c>
      <c r="AN244" s="50" t="n">
        <v>0.1</v>
      </c>
      <c r="AO244" s="45">
        <f>IF(AK244="","",AK244*AN244)</f>
        <v/>
      </c>
      <c r="AP244" s="45">
        <f>IF(OR(AK244="",V244=0),"",MIN(IF(AX244="",9.9E+99,AX244),FLOOR(AO244/V244,1)))</f>
        <v/>
      </c>
      <c r="AQ244" s="49">
        <f>IF(AP244="","",AP244*IF(ABS(MOD(ABS((X244)),1)-0.5)&lt;1E-9,2*ROUND((X244)/2,0),ROUND((X244),0)))</f>
        <v/>
      </c>
      <c r="AR244" s="47">
        <f>IF(OR(AK244="",V244=0),"",MIN(IF(AX244="",9.9E+99,AX244),AO244/V244))</f>
        <v/>
      </c>
      <c r="AS244" s="49">
        <f>IF(AR244="","",AR244*IF(B244="South Korea",IF(ABS(MOD(ABS((X244)),1)-0.5)&lt;1E-9,2*ROUND((X244)/2,0),ROUND((X244),0)),X244))</f>
        <v/>
      </c>
      <c r="AT244" s="51" t="n"/>
      <c r="AU244" s="43" t="inlineStr">
        <is>
          <t>Upside tier</t>
        </is>
      </c>
      <c r="AV244" s="52" t="n"/>
      <c r="AW244" s="52" t="inlineStr">
        <is>
          <t>experience_upside</t>
        </is>
      </c>
      <c r="AX244" s="53" t="n"/>
      <c r="AY244" s="54">
        <f>IF(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&lt;=0,"",VLOOKUP(B244,country_opex,7,FALSE)/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)</f>
        <v/>
      </c>
      <c r="AZ244" s="54">
        <f>IF(((W244*pax_cap*IF(B244="South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Korea",korea_mid_revleg,revleg_mid)),0))*VLOOKUP(B244,country_opex,3,FALSE))+Z244+AA244+AB244+AC244+AD244))&lt;=0,"",VLOOKUP(B244,country_opex,7,FALSE)/((W244*pax_cap*IF(B244="South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Korea",korea_mid_revleg,revleg_mid)),0))*VLOOKUP(B244,country_opex,3,FALSE))+Z244+AA244+AB244+AC244+AD244)))</f>
        <v/>
      </c>
      <c r="BA244" s="54">
        <f>IF(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&lt;=0,"",VLOOKUP(B244,country_opex,7,FALSE)/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)</f>
        <v/>
      </c>
      <c r="BB24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4" s="40" t="inlineStr">
        <is>
          <t>PR #58 Mumbai spine route-count split (11 sealed rows × anchor 120,000 pax/yr)</t>
        </is>
      </c>
      <c r="BD244" s="43" t="inlineStr">
        <is>
          <t>ics-ed747a4789</t>
        </is>
      </c>
    </row>
    <row r="245">
      <c r="A245" s="38" t="inlineStr">
        <is>
          <t>India Mumbai Rapido</t>
        </is>
      </c>
      <c r="B245" s="38" t="inlineStr">
        <is>
          <t>India</t>
        </is>
      </c>
      <c r="C245" s="39" t="inlineStr">
        <is>
          <t>Mora → Marina Bay Bistro @KARANJA Fishing Dock</t>
        </is>
      </c>
      <c r="D245" s="38" t="inlineStr">
        <is>
          <t>rapido</t>
        </is>
      </c>
      <c r="E245" s="40" t="inlineStr">
        <is>
          <t>india-mumbai-ola, india-mumbai-rapido</t>
        </is>
      </c>
      <c r="F245" s="41" t="n">
        <v>2</v>
      </c>
      <c r="G245" s="42" t="n">
        <v>6.7</v>
      </c>
      <c r="H245" s="35" t="n">
        <v>18</v>
      </c>
      <c r="I245" s="43" t="inlineStr">
        <is>
          <t>T3</t>
        </is>
      </c>
      <c r="J245" s="43" t="inlineStr">
        <is>
          <t>med-low</t>
        </is>
      </c>
      <c r="K245" s="29" t="n">
        <v>1</v>
      </c>
      <c r="L245" s="44">
        <f>60*G245/cruise_kt</f>
        <v/>
      </c>
      <c r="M245" s="44">
        <f>IF(B245="South Korea",G245/korea_charge_range_nm*korea_full_range_charge_min,0)</f>
        <v/>
      </c>
      <c r="N245" s="44">
        <f>IF(B245="South Korea",L245+korea_turn_min+korea_dwell_min+M245,L245+turn_min+dwell_min)</f>
        <v/>
      </c>
      <c r="O245" s="45">
        <f>IF(B245="South Korea",FLOOR(60*korea_service_hr/N245,1),MIN(15,FLOOR(60*service_hr/N245,1)))</f>
        <v/>
      </c>
      <c r="P245" s="45">
        <f>IF(ABS(MOD(ABS((365*mech_uptime*K245)),1)-0.5)&lt;1E-9,2*ROUND((365*mech_uptime*K245)/2,0),ROUND((365*mech_uptime*K245),0))</f>
        <v/>
      </c>
      <c r="Q245" s="46">
        <f>mech_uptime</f>
        <v/>
      </c>
      <c r="R245" s="46">
        <f>IF(AND(B245="South Korea",scenario="MID"),korea_mid_revleg,revleg_sel)</f>
        <v/>
      </c>
      <c r="S245" s="45">
        <f>IF(ABS(MOD(ABS((O245*P245*R245)),1)-0.5)&lt;1E-9,2*ROUND((O245*P245*R245)/2,0),ROUND((O245*P245*R245),0))</f>
        <v/>
      </c>
      <c r="T245" s="46">
        <f>IF(AND(B245="South Korea",scenario="MID"),korea_mid_load,load_sel)</f>
        <v/>
      </c>
      <c r="U245" s="47">
        <f>pax_cap*T245</f>
        <v/>
      </c>
      <c r="V245" s="45">
        <f>U245*S245</f>
        <v/>
      </c>
      <c r="W245" s="48">
        <f>H245*discount</f>
        <v/>
      </c>
      <c r="X245" s="49">
        <f>W245*V245</f>
        <v/>
      </c>
      <c r="Y245" s="49">
        <f>(battery/range_nm)*G245*S245*VLOOKUP(B245,country_opex,3,FALSE)</f>
        <v/>
      </c>
      <c r="Z245" s="49">
        <f>VLOOKUP(B245,country_opex,2,FALSE)*crew_factor</f>
        <v/>
      </c>
      <c r="AA245" s="49">
        <f>VLOOKUP(B245,country_opex,5,FALSE)</f>
        <v/>
      </c>
      <c r="AB245" s="49">
        <f>maint</f>
        <v/>
      </c>
      <c r="AC245" s="49">
        <f>VLOOKUP(B245,country_opex,7,FALSE)*ins_pct</f>
        <v/>
      </c>
      <c r="AD245" s="49">
        <f>charge_berth</f>
        <v/>
      </c>
      <c r="AE245" s="49">
        <f>Y245+Z245+AA245+AB245+AC245+AD245</f>
        <v/>
      </c>
      <c r="AF245" s="49">
        <f>VLOOKUP(B245,country_opex,7,FALSE)/dep_years</f>
        <v/>
      </c>
      <c r="AG245" s="49">
        <f>X245-AE245</f>
        <v/>
      </c>
      <c r="AH245" s="46">
        <f>IF(X245=0,"",AG245/X245)</f>
        <v/>
      </c>
      <c r="AI245" s="47">
        <f>IF(AG245&lt;=0,"",VLOOKUP(B245,country_opex,7,FALSE)/AG245)</f>
        <v/>
      </c>
      <c r="AJ245" s="44">
        <f>((G245*S245/diesel_nmpg)*diesel_co2pg-(battery/range_nm)*G245*S245*VLOOKUP(B245,country_opex,4,FALSE))/1000</f>
        <v/>
      </c>
      <c r="AK245" s="42" t="n">
        <v>5000</v>
      </c>
      <c r="AL245" s="43" t="inlineStr">
        <is>
          <t>T3</t>
        </is>
      </c>
      <c r="AM245" s="43" t="inlineStr">
        <is>
          <t>med-low</t>
        </is>
      </c>
      <c r="AN245" s="50" t="n">
        <v>0.1</v>
      </c>
      <c r="AO245" s="45">
        <f>IF(AK245="","",AK245*AN245)</f>
        <v/>
      </c>
      <c r="AP245" s="45">
        <f>IF(OR(AK245="",V245=0),"",MIN(IF(AX245="",9.9E+99,AX245),FLOOR(AO245/V245,1)))</f>
        <v/>
      </c>
      <c r="AQ245" s="49">
        <f>IF(AP245="","",AP245*IF(ABS(MOD(ABS((X245)),1)-0.5)&lt;1E-9,2*ROUND((X245)/2,0),ROUND((X245),0)))</f>
        <v/>
      </c>
      <c r="AR245" s="47">
        <f>IF(OR(AK245="",V245=0),"",MIN(IF(AX245="",9.9E+99,AX245),AO245/V245))</f>
        <v/>
      </c>
      <c r="AS245" s="49">
        <f>IF(AR245="","",AR245*IF(B245="South Korea",IF(ABS(MOD(ABS((X245)),1)-0.5)&lt;1E-9,2*ROUND((X245)/2,0),ROUND((X245),0)),X245))</f>
        <v/>
      </c>
      <c r="AT245" s="51" t="n"/>
      <c r="AU245" s="43" t="inlineStr">
        <is>
          <t>Grounded</t>
        </is>
      </c>
      <c r="AV245" s="52" t="n"/>
      <c r="AW245" s="52" t="n"/>
      <c r="AX245" s="53" t="n"/>
      <c r="AY245" s="54">
        <f>IF(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&lt;=0,"",VLOOKUP(B245,country_opex,7,FALSE)/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)</f>
        <v/>
      </c>
      <c r="AZ245" s="54">
        <f>IF(((W245*pax_cap*IF(B245="South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Korea",korea_mid_revleg,revleg_mid)),0))*VLOOKUP(B245,country_opex,3,FALSE))+Z245+AA245+AB245+AC245+AD245))&lt;=0,"",VLOOKUP(B245,country_opex,7,FALSE)/((W245*pax_cap*IF(B245="South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Korea",korea_mid_revleg,revleg_mid)),0))*VLOOKUP(B245,country_opex,3,FALSE))+Z245+AA245+AB245+AC245+AD245)))</f>
        <v/>
      </c>
      <c r="BA245" s="54">
        <f>IF(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&lt;=0,"",VLOOKUP(B245,country_opex,7,FALSE)/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)</f>
        <v/>
      </c>
      <c r="BB245" s="40" t="inlineStr">
        <is>
          <t>[LB-255 PREMIUM RE-FARE: subsidized comparable $5.5 lifted to premium on-demand floor $18.0] handoff/INDIA-ECONOMICS-SIDECAR-V0-2026-06-20.json (mumbai)</t>
        </is>
      </c>
      <c r="BC245" s="40" t="inlineStr">
        <is>
          <t>handoff/INDIA-ECONOMICS-SIDECAR-V0-2026-06-20.json (mumbai)</t>
        </is>
      </c>
      <c r="BD245" s="43" t="inlineStr">
        <is>
          <t>ics-51a838a8ef</t>
        </is>
      </c>
    </row>
    <row r="246">
      <c r="A246" s="38" t="inlineStr">
        <is>
          <t>India Goa Rapido</t>
        </is>
      </c>
      <c r="B246" s="38" t="inlineStr">
        <is>
          <t>India</t>
        </is>
      </c>
      <c r="C246" s="39" t="inlineStr">
        <is>
          <t>Villa Marina → Marina Russian B2B Thai Spa Service near me</t>
        </is>
      </c>
      <c r="D246" s="38" t="inlineStr">
        <is>
          <t>rapido</t>
        </is>
      </c>
      <c r="E246" s="40" t="inlineStr">
        <is>
          <t>india-goa-ola, india-goa-rapido</t>
        </is>
      </c>
      <c r="F246" s="41" t="n">
        <v>2</v>
      </c>
      <c r="G246" s="42" t="n">
        <v>6.7</v>
      </c>
      <c r="H246" s="35" t="n">
        <v>8</v>
      </c>
      <c r="I246" s="43" t="inlineStr">
        <is>
          <t>T3</t>
        </is>
      </c>
      <c r="J246" s="43" t="inlineStr">
        <is>
          <t>med-low</t>
        </is>
      </c>
      <c r="K246" s="29" t="n">
        <v>1</v>
      </c>
      <c r="L246" s="44">
        <f>60*G246/cruise_kt</f>
        <v/>
      </c>
      <c r="M246" s="44">
        <f>IF(B246="South Korea",G246/korea_charge_range_nm*korea_full_range_charge_min,0)</f>
        <v/>
      </c>
      <c r="N246" s="44">
        <f>IF(B246="South Korea",L246+korea_turn_min+korea_dwell_min+M246,L246+turn_min+dwell_min)</f>
        <v/>
      </c>
      <c r="O246" s="45">
        <f>IF(B246="South Korea",FLOOR(60*korea_service_hr/N246,1),MIN(15,FLOOR(60*service_hr/N246,1)))</f>
        <v/>
      </c>
      <c r="P246" s="45">
        <f>IF(ABS(MOD(ABS((365*mech_uptime*K246)),1)-0.5)&lt;1E-9,2*ROUND((365*mech_uptime*K246)/2,0),ROUND((365*mech_uptime*K246),0))</f>
        <v/>
      </c>
      <c r="Q246" s="46">
        <f>mech_uptime</f>
        <v/>
      </c>
      <c r="R246" s="46">
        <f>IF(AND(B246="South Korea",scenario="MID"),korea_mid_revleg,revleg_sel)</f>
        <v/>
      </c>
      <c r="S246" s="45">
        <f>IF(ABS(MOD(ABS((O246*P246*R246)),1)-0.5)&lt;1E-9,2*ROUND((O246*P246*R246)/2,0),ROUND((O246*P246*R246),0))</f>
        <v/>
      </c>
      <c r="T246" s="46">
        <f>IF(AND(B246="South Korea",scenario="MID"),korea_mid_load,load_sel)</f>
        <v/>
      </c>
      <c r="U246" s="47">
        <f>pax_cap*T246</f>
        <v/>
      </c>
      <c r="V246" s="45">
        <f>U246*S246</f>
        <v/>
      </c>
      <c r="W246" s="48">
        <f>H246*discount</f>
        <v/>
      </c>
      <c r="X246" s="49">
        <f>W246*V246</f>
        <v/>
      </c>
      <c r="Y246" s="49">
        <f>(battery/range_nm)*G246*S246*VLOOKUP(B246,country_opex,3,FALSE)</f>
        <v/>
      </c>
      <c r="Z246" s="49">
        <f>VLOOKUP(B246,country_opex,2,FALSE)*crew_factor</f>
        <v/>
      </c>
      <c r="AA246" s="49">
        <f>VLOOKUP(B246,country_opex,5,FALSE)</f>
        <v/>
      </c>
      <c r="AB246" s="49">
        <f>maint</f>
        <v/>
      </c>
      <c r="AC246" s="49">
        <f>VLOOKUP(B246,country_opex,7,FALSE)*ins_pct</f>
        <v/>
      </c>
      <c r="AD246" s="49">
        <f>charge_berth</f>
        <v/>
      </c>
      <c r="AE246" s="49">
        <f>Y246+Z246+AA246+AB246+AC246+AD246</f>
        <v/>
      </c>
      <c r="AF246" s="49">
        <f>VLOOKUP(B246,country_opex,7,FALSE)/dep_years</f>
        <v/>
      </c>
      <c r="AG246" s="49">
        <f>X246-AE246</f>
        <v/>
      </c>
      <c r="AH246" s="46">
        <f>IF(X246=0,"",AG246/X246)</f>
        <v/>
      </c>
      <c r="AI246" s="47">
        <f>IF(AG246&lt;=0,"",VLOOKUP(B246,country_opex,7,FALSE)/AG246)</f>
        <v/>
      </c>
      <c r="AJ246" s="44">
        <f>((G246*S246/diesel_nmpg)*diesel_co2pg-(battery/range_nm)*G246*S246*VLOOKUP(B246,country_opex,4,FALSE))/1000</f>
        <v/>
      </c>
      <c r="AK246" s="42" t="n">
        <v>11250</v>
      </c>
      <c r="AL246" s="43" t="inlineStr">
        <is>
          <t>T3</t>
        </is>
      </c>
      <c r="AM246" s="43" t="inlineStr">
        <is>
          <t>med-low</t>
        </is>
      </c>
      <c r="AN246" s="50" t="n">
        <v>0.1</v>
      </c>
      <c r="AO246" s="45">
        <f>IF(AK246="","",AK246*AN246)</f>
        <v/>
      </c>
      <c r="AP246" s="45">
        <f>IF(OR(AK246="",V246=0),"",MIN(IF(AX246="",9.9E+99,AX246),FLOOR(AO246/V246,1)))</f>
        <v/>
      </c>
      <c r="AQ246" s="49">
        <f>IF(AP246="","",AP246*IF(ABS(MOD(ABS((X246)),1)-0.5)&lt;1E-9,2*ROUND((X246)/2,0),ROUND((X246),0)))</f>
        <v/>
      </c>
      <c r="AR246" s="47">
        <f>IF(OR(AK246="",V246=0),"",MIN(IF(AX246="",9.9E+99,AX246),AO246/V246))</f>
        <v/>
      </c>
      <c r="AS246" s="49">
        <f>IF(AR246="","",AR246*IF(B246="South Korea",IF(ABS(MOD(ABS((X246)),1)-0.5)&lt;1E-9,2*ROUND((X246)/2,0),ROUND((X246),0)),X246))</f>
        <v/>
      </c>
      <c r="AT246" s="51" t="n"/>
      <c r="AU246" s="43" t="inlineStr">
        <is>
          <t>Grounded</t>
        </is>
      </c>
      <c r="AV246" s="52" t="n"/>
      <c r="AW246" s="52" t="n"/>
      <c r="AX246" s="53" t="n"/>
      <c r="AY246" s="54">
        <f>IF(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&lt;=0,"",VLOOKUP(B246,country_opex,7,FALSE)/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)</f>
        <v/>
      </c>
      <c r="AZ246" s="54">
        <f>IF(((W246*pax_cap*IF(B246="South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Korea",korea_mid_revleg,revleg_mid)),0))*VLOOKUP(B246,country_opex,3,FALSE))+Z246+AA246+AB246+AC246+AD246))&lt;=0,"",VLOOKUP(B246,country_opex,7,FALSE)/((W246*pax_cap*IF(B246="South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Korea",korea_mid_revleg,revleg_mid)),0))*VLOOKUP(B246,country_opex,3,FALSE))+Z246+AA246+AB246+AC246+AD246)))</f>
        <v/>
      </c>
      <c r="BA246" s="54">
        <f>IF(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&lt;=0,"",VLOOKUP(B246,country_opex,7,FALSE)/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)</f>
        <v/>
      </c>
      <c r="BB246" s="40" t="inlineStr">
        <is>
          <t>handoff/INDIA-ECONOMICS-SIDECAR-V0-2026-06-20.json (goa)</t>
        </is>
      </c>
      <c r="BC246" s="40" t="inlineStr">
        <is>
          <t>handoff/INDIA-ECONOMICS-SIDECAR-V0-2026-06-20.json (goa)</t>
        </is>
      </c>
      <c r="BD246" s="43" t="inlineStr">
        <is>
          <t>ics-f2a351abb5</t>
        </is>
      </c>
    </row>
    <row r="247">
      <c r="A247" s="38" t="inlineStr">
        <is>
          <t>India Kerala Rapido</t>
        </is>
      </c>
      <c r="B247" s="38" t="inlineStr">
        <is>
          <t>India</t>
        </is>
      </c>
      <c r="C247" s="39" t="inlineStr">
        <is>
          <t>Willingdon Island → Kerala Backwaters &amp; Kochi</t>
        </is>
      </c>
      <c r="D247" s="38" t="inlineStr">
        <is>
          <t>rapido</t>
        </is>
      </c>
      <c r="E247" s="40" t="inlineStr">
        <is>
          <t>india-kerala-ola, india-kerala-rapido</t>
        </is>
      </c>
      <c r="F247" s="41" t="n">
        <v>2</v>
      </c>
      <c r="G247" s="42" t="n">
        <v>6.8</v>
      </c>
      <c r="H247" s="35" t="n">
        <v>18</v>
      </c>
      <c r="I247" s="43" t="inlineStr">
        <is>
          <t>T3</t>
        </is>
      </c>
      <c r="J247" s="43" t="inlineStr">
        <is>
          <t>med-low</t>
        </is>
      </c>
      <c r="K247" s="29" t="n">
        <v>1</v>
      </c>
      <c r="L247" s="44">
        <f>60*G247/cruise_kt</f>
        <v/>
      </c>
      <c r="M247" s="44">
        <f>IF(B247="South Korea",G247/korea_charge_range_nm*korea_full_range_charge_min,0)</f>
        <v/>
      </c>
      <c r="N247" s="44">
        <f>IF(B247="South Korea",L247+korea_turn_min+korea_dwell_min+M247,L247+turn_min+dwell_min)</f>
        <v/>
      </c>
      <c r="O247" s="45">
        <f>IF(B247="South Korea",FLOOR(60*korea_service_hr/N247,1),MIN(15,FLOOR(60*service_hr/N247,1)))</f>
        <v/>
      </c>
      <c r="P247" s="45">
        <f>IF(ABS(MOD(ABS((365*mech_uptime*K247)),1)-0.5)&lt;1E-9,2*ROUND((365*mech_uptime*K247)/2,0),ROUND((365*mech_uptime*K247),0))</f>
        <v/>
      </c>
      <c r="Q247" s="46">
        <f>mech_uptime</f>
        <v/>
      </c>
      <c r="R247" s="46">
        <f>IF(AND(B247="South Korea",scenario="MID"),korea_mid_revleg,revleg_sel)</f>
        <v/>
      </c>
      <c r="S247" s="45">
        <f>IF(ABS(MOD(ABS((O247*P247*R247)),1)-0.5)&lt;1E-9,2*ROUND((O247*P247*R247)/2,0),ROUND((O247*P247*R247),0))</f>
        <v/>
      </c>
      <c r="T247" s="46">
        <f>IF(AND(B247="South Korea",scenario="MID"),korea_mid_load,load_sel)</f>
        <v/>
      </c>
      <c r="U247" s="47">
        <f>pax_cap*T247</f>
        <v/>
      </c>
      <c r="V247" s="45">
        <f>U247*S247</f>
        <v/>
      </c>
      <c r="W247" s="48">
        <f>H247*discount</f>
        <v/>
      </c>
      <c r="X247" s="49">
        <f>W247*V247</f>
        <v/>
      </c>
      <c r="Y247" s="49">
        <f>(battery/range_nm)*G247*S247*VLOOKUP(B247,country_opex,3,FALSE)</f>
        <v/>
      </c>
      <c r="Z247" s="49">
        <f>VLOOKUP(B247,country_opex,2,FALSE)*crew_factor</f>
        <v/>
      </c>
      <c r="AA247" s="49">
        <f>VLOOKUP(B247,country_opex,5,FALSE)</f>
        <v/>
      </c>
      <c r="AB247" s="49">
        <f>maint</f>
        <v/>
      </c>
      <c r="AC247" s="49">
        <f>VLOOKUP(B247,country_opex,7,FALSE)*ins_pct</f>
        <v/>
      </c>
      <c r="AD247" s="49">
        <f>charge_berth</f>
        <v/>
      </c>
      <c r="AE247" s="49">
        <f>Y247+Z247+AA247+AB247+AC247+AD247</f>
        <v/>
      </c>
      <c r="AF247" s="49">
        <f>VLOOKUP(B247,country_opex,7,FALSE)/dep_years</f>
        <v/>
      </c>
      <c r="AG247" s="49">
        <f>X247-AE247</f>
        <v/>
      </c>
      <c r="AH247" s="46">
        <f>IF(X247=0,"",AG247/X247)</f>
        <v/>
      </c>
      <c r="AI247" s="47">
        <f>IF(AG247&lt;=0,"",VLOOKUP(B247,country_opex,7,FALSE)/AG247)</f>
        <v/>
      </c>
      <c r="AJ247" s="44">
        <f>((G247*S247/diesel_nmpg)*diesel_co2pg-(battery/range_nm)*G247*S247*VLOOKUP(B247,country_opex,4,FALSE))/1000</f>
        <v/>
      </c>
      <c r="AK247" s="42" t="n">
        <v>29166</v>
      </c>
      <c r="AL247" s="43" t="inlineStr">
        <is>
          <t>T3</t>
        </is>
      </c>
      <c r="AM247" s="43" t="inlineStr">
        <is>
          <t>med-low</t>
        </is>
      </c>
      <c r="AN247" s="50" t="n">
        <v>0.1</v>
      </c>
      <c r="AO247" s="45">
        <f>IF(AK247="","",AK247*AN247)</f>
        <v/>
      </c>
      <c r="AP247" s="45">
        <f>IF(OR(AK247="",V247=0),"",MIN(IF(AX247="",9.9E+99,AX247),FLOOR(AO247/V247,1)))</f>
        <v/>
      </c>
      <c r="AQ247" s="49">
        <f>IF(AP247="","",AP247*IF(ABS(MOD(ABS((X247)),1)-0.5)&lt;1E-9,2*ROUND((X247)/2,0),ROUND((X247),0)))</f>
        <v/>
      </c>
      <c r="AR247" s="47">
        <f>IF(OR(AK247="",V247=0),"",MIN(IF(AX247="",9.9E+99,AX247),AO247/V247))</f>
        <v/>
      </c>
      <c r="AS247" s="49">
        <f>IF(AR247="","",AR247*IF(B247="South Korea",IF(ABS(MOD(ABS((X247)),1)-0.5)&lt;1E-9,2*ROUND((X247)/2,0),ROUND((X247),0)),X247))</f>
        <v/>
      </c>
      <c r="AT247" s="51" t="n"/>
      <c r="AU247" s="43" t="inlineStr">
        <is>
          <t>Grounded</t>
        </is>
      </c>
      <c r="AV247" s="52" t="n"/>
      <c r="AW247" s="52" t="n"/>
      <c r="AX247" s="53" t="n"/>
      <c r="AY247" s="54">
        <f>IF(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&lt;=0,"",VLOOKUP(B247,country_opex,7,FALSE)/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)</f>
        <v/>
      </c>
      <c r="AZ247" s="54">
        <f>IF(((W247*pax_cap*IF(B247="South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Korea",korea_mid_revleg,revleg_mid)),0))*VLOOKUP(B247,country_opex,3,FALSE))+Z247+AA247+AB247+AC247+AD247))&lt;=0,"",VLOOKUP(B247,country_opex,7,FALSE)/((W247*pax_cap*IF(B247="South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Korea",korea_mid_revleg,revleg_mid)),0))*VLOOKUP(B247,country_opex,3,FALSE))+Z247+AA247+AB247+AC247+AD247)))</f>
        <v/>
      </c>
      <c r="BA247" s="54">
        <f>IF(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&lt;=0,"",VLOOKUP(B247,country_opex,7,FALSE)/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)</f>
        <v/>
      </c>
      <c r="BB247" s="40" t="inlineStr">
        <is>
          <t>[LB-255 PREMIUM RE-FARE: subsidized comparable $3.5 lifted to premium on-demand floor $18.0] handoff/INDIA-ECONOMICS-SIDECAR-V0-2026-06-20.json (kerala)</t>
        </is>
      </c>
      <c r="BC247" s="40" t="inlineStr">
        <is>
          <t>handoff/INDIA-ECONOMICS-SIDECAR-V0-2026-06-20.json (kerala)</t>
        </is>
      </c>
      <c r="BD247" s="43" t="inlineStr">
        <is>
          <t>ics-0091e0dcc0</t>
        </is>
      </c>
    </row>
    <row r="248">
      <c r="A248" s="38" t="inlineStr">
        <is>
          <t>India Goa Rapido</t>
        </is>
      </c>
      <c r="B248" s="38" t="inlineStr">
        <is>
          <t>India</t>
        </is>
      </c>
      <c r="C248" s="39" t="inlineStr">
        <is>
          <t>Marina Russian B2B Thai Spa Service near me → Goveia Marina</t>
        </is>
      </c>
      <c r="D248" s="38" t="inlineStr">
        <is>
          <t>rapido</t>
        </is>
      </c>
      <c r="E248" s="40" t="inlineStr">
        <is>
          <t>india-goa-ola, india-goa-rapido</t>
        </is>
      </c>
      <c r="F248" s="41" t="n">
        <v>2</v>
      </c>
      <c r="G248" s="42" t="n">
        <v>7.5</v>
      </c>
      <c r="H248" s="35" t="n">
        <v>8</v>
      </c>
      <c r="I248" s="43" t="inlineStr">
        <is>
          <t>T3</t>
        </is>
      </c>
      <c r="J248" s="43" t="inlineStr">
        <is>
          <t>med-low</t>
        </is>
      </c>
      <c r="K248" s="29" t="n">
        <v>1</v>
      </c>
      <c r="L248" s="44">
        <f>60*G248/cruise_kt</f>
        <v/>
      </c>
      <c r="M248" s="44">
        <f>IF(B248="South Korea",G248/korea_charge_range_nm*korea_full_range_charge_min,0)</f>
        <v/>
      </c>
      <c r="N248" s="44">
        <f>IF(B248="South Korea",L248+korea_turn_min+korea_dwell_min+M248,L248+turn_min+dwell_min)</f>
        <v/>
      </c>
      <c r="O248" s="45">
        <f>IF(B248="South Korea",FLOOR(60*korea_service_hr/N248,1),MIN(15,FLOOR(60*service_hr/N248,1)))</f>
        <v/>
      </c>
      <c r="P248" s="45">
        <f>IF(ABS(MOD(ABS((365*mech_uptime*K248)),1)-0.5)&lt;1E-9,2*ROUND((365*mech_uptime*K248)/2,0),ROUND((365*mech_uptime*K248),0))</f>
        <v/>
      </c>
      <c r="Q248" s="46">
        <f>mech_uptime</f>
        <v/>
      </c>
      <c r="R248" s="46">
        <f>IF(AND(B248="South Korea",scenario="MID"),korea_mid_revleg,revleg_sel)</f>
        <v/>
      </c>
      <c r="S248" s="45">
        <f>IF(ABS(MOD(ABS((O248*P248*R248)),1)-0.5)&lt;1E-9,2*ROUND((O248*P248*R248)/2,0),ROUND((O248*P248*R248),0))</f>
        <v/>
      </c>
      <c r="T248" s="46">
        <f>IF(AND(B248="South Korea",scenario="MID"),korea_mid_load,load_sel)</f>
        <v/>
      </c>
      <c r="U248" s="47">
        <f>pax_cap*T248</f>
        <v/>
      </c>
      <c r="V248" s="45">
        <f>U248*S248</f>
        <v/>
      </c>
      <c r="W248" s="48">
        <f>H248*discount</f>
        <v/>
      </c>
      <c r="X248" s="49">
        <f>W248*V248</f>
        <v/>
      </c>
      <c r="Y248" s="49">
        <f>(battery/range_nm)*G248*S248*VLOOKUP(B248,country_opex,3,FALSE)</f>
        <v/>
      </c>
      <c r="Z248" s="49">
        <f>VLOOKUP(B248,country_opex,2,FALSE)*crew_factor</f>
        <v/>
      </c>
      <c r="AA248" s="49">
        <f>VLOOKUP(B248,country_opex,5,FALSE)</f>
        <v/>
      </c>
      <c r="AB248" s="49">
        <f>maint</f>
        <v/>
      </c>
      <c r="AC248" s="49">
        <f>VLOOKUP(B248,country_opex,7,FALSE)*ins_pct</f>
        <v/>
      </c>
      <c r="AD248" s="49">
        <f>charge_berth</f>
        <v/>
      </c>
      <c r="AE248" s="49">
        <f>Y248+Z248+AA248+AB248+AC248+AD248</f>
        <v/>
      </c>
      <c r="AF248" s="49">
        <f>VLOOKUP(B248,country_opex,7,FALSE)/dep_years</f>
        <v/>
      </c>
      <c r="AG248" s="49">
        <f>X248-AE248</f>
        <v/>
      </c>
      <c r="AH248" s="46">
        <f>IF(X248=0,"",AG248/X248)</f>
        <v/>
      </c>
      <c r="AI248" s="47">
        <f>IF(AG248&lt;=0,"",VLOOKUP(B248,country_opex,7,FALSE)/AG248)</f>
        <v/>
      </c>
      <c r="AJ248" s="44">
        <f>((G248*S248/diesel_nmpg)*diesel_co2pg-(battery/range_nm)*G248*S248*VLOOKUP(B248,country_opex,4,FALSE))/1000</f>
        <v/>
      </c>
      <c r="AK248" s="42" t="n">
        <v>11250</v>
      </c>
      <c r="AL248" s="43" t="inlineStr">
        <is>
          <t>T3</t>
        </is>
      </c>
      <c r="AM248" s="43" t="inlineStr">
        <is>
          <t>med-low</t>
        </is>
      </c>
      <c r="AN248" s="50" t="n">
        <v>0.1</v>
      </c>
      <c r="AO248" s="45">
        <f>IF(AK248="","",AK248*AN248)</f>
        <v/>
      </c>
      <c r="AP248" s="45">
        <f>IF(OR(AK248="",V248=0),"",MIN(IF(AX248="",9.9E+99,AX248),FLOOR(AO248/V248,1)))</f>
        <v/>
      </c>
      <c r="AQ248" s="49">
        <f>IF(AP248="","",AP248*IF(ABS(MOD(ABS((X248)),1)-0.5)&lt;1E-9,2*ROUND((X248)/2,0),ROUND((X248),0)))</f>
        <v/>
      </c>
      <c r="AR248" s="47">
        <f>IF(OR(AK248="",V248=0),"",MIN(IF(AX248="",9.9E+99,AX248),AO248/V248))</f>
        <v/>
      </c>
      <c r="AS248" s="49">
        <f>IF(AR248="","",AR248*IF(B248="South Korea",IF(ABS(MOD(ABS((X248)),1)-0.5)&lt;1E-9,2*ROUND((X248)/2,0),ROUND((X248),0)),X248))</f>
        <v/>
      </c>
      <c r="AT248" s="51" t="n"/>
      <c r="AU248" s="43" t="inlineStr">
        <is>
          <t>Grounded</t>
        </is>
      </c>
      <c r="AV248" s="52" t="n"/>
      <c r="AW248" s="52" t="n"/>
      <c r="AX248" s="53" t="n"/>
      <c r="AY248" s="54">
        <f>IF(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&lt;=0,"",VLOOKUP(B248,country_opex,7,FALSE)/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)</f>
        <v/>
      </c>
      <c r="AZ248" s="54">
        <f>IF(((W248*pax_cap*IF(B248="South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Korea",korea_mid_revleg,revleg_mid)),0))*VLOOKUP(B248,country_opex,3,FALSE))+Z248+AA248+AB248+AC248+AD248))&lt;=0,"",VLOOKUP(B248,country_opex,7,FALSE)/((W248*pax_cap*IF(B248="South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Korea",korea_mid_revleg,revleg_mid)),0))*VLOOKUP(B248,country_opex,3,FALSE))+Z248+AA248+AB248+AC248+AD248)))</f>
        <v/>
      </c>
      <c r="BA248" s="54">
        <f>IF(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&lt;=0,"",VLOOKUP(B248,country_opex,7,FALSE)/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)</f>
        <v/>
      </c>
      <c r="BB248" s="40" t="inlineStr">
        <is>
          <t>handoff/INDIA-ECONOMICS-SIDECAR-V0-2026-06-20.json (goa)</t>
        </is>
      </c>
      <c r="BC248" s="40" t="inlineStr">
        <is>
          <t>handoff/INDIA-ECONOMICS-SIDECAR-V0-2026-06-20.json (goa)</t>
        </is>
      </c>
      <c r="BD248" s="43" t="inlineStr">
        <is>
          <t>ics-8c58eab067</t>
        </is>
      </c>
    </row>
    <row r="249">
      <c r="A249" s="38" t="inlineStr">
        <is>
          <t>Ola Mumbai</t>
        </is>
      </c>
      <c r="B249" s="38" t="inlineStr">
        <is>
          <t>India</t>
        </is>
      </c>
      <c r="C249" s="39" t="inlineStr">
        <is>
          <t>Mumbai Harbour → Mandwa Jetty</t>
        </is>
      </c>
      <c r="D249" s="38" t="inlineStr">
        <is>
          <t>rapido</t>
        </is>
      </c>
      <c r="E249" s="40" t="inlineStr">
        <is>
          <t>india-mumbai-ola, india-mumbai-rapido, ola-mumbai, rapido-mumbai, uber-mumbai</t>
        </is>
      </c>
      <c r="F249" s="41" t="n">
        <v>5</v>
      </c>
      <c r="G249" s="42" t="n">
        <v>7.9</v>
      </c>
      <c r="H249" s="35" t="n"/>
      <c r="I249" s="43" t="inlineStr">
        <is>
          <t>T3</t>
        </is>
      </c>
      <c r="J249" s="43" t="inlineStr">
        <is>
          <t>med-low</t>
        </is>
      </c>
      <c r="K249" s="29" t="n">
        <v>1</v>
      </c>
      <c r="L249" s="44">
        <f>60*G249/cruise_kt</f>
        <v/>
      </c>
      <c r="M249" s="44">
        <f>IF(B249="South Korea",G249/korea_charge_range_nm*korea_full_range_charge_min,0)</f>
        <v/>
      </c>
      <c r="N249" s="44">
        <f>IF(B249="South Korea",L249+korea_turn_min+korea_dwell_min+M249,L249+turn_min+dwell_min)</f>
        <v/>
      </c>
      <c r="O249" s="45">
        <f>IF(B249="South Korea",FLOOR(60*korea_service_hr/N249,1),MIN(15,FLOOR(60*service_hr/N249,1)))</f>
        <v/>
      </c>
      <c r="P249" s="45">
        <f>IF(ABS(MOD(ABS((365*mech_uptime*K249)),1)-0.5)&lt;1E-9,2*ROUND((365*mech_uptime*K249)/2,0),ROUND((365*mech_uptime*K249),0))</f>
        <v/>
      </c>
      <c r="Q249" s="46">
        <f>mech_uptime</f>
        <v/>
      </c>
      <c r="R249" s="46">
        <f>IF(AND(B249="South Korea",scenario="MID"),korea_mid_revleg,revleg_sel)</f>
        <v/>
      </c>
      <c r="S249" s="45">
        <f>IF(ABS(MOD(ABS((O249*P249*R249)),1)-0.5)&lt;1E-9,2*ROUND((O249*P249*R249)/2,0),ROUND((O249*P249*R249),0))</f>
        <v/>
      </c>
      <c r="T249" s="46">
        <f>IF(AND(B249="South Korea",scenario="MID"),korea_mid_load,load_sel)</f>
        <v/>
      </c>
      <c r="U249" s="47">
        <f>pax_cap*T249</f>
        <v/>
      </c>
      <c r="V249" s="45">
        <f>U249*S249</f>
        <v/>
      </c>
      <c r="W249" s="48">
        <f>H249*discount</f>
        <v/>
      </c>
      <c r="X249" s="49">
        <f>W249*V249</f>
        <v/>
      </c>
      <c r="Y249" s="49">
        <f>(battery/range_nm)*G249*S249*VLOOKUP(B249,country_opex,3,FALSE)</f>
        <v/>
      </c>
      <c r="Z249" s="49">
        <f>VLOOKUP(B249,country_opex,2,FALSE)*crew_factor</f>
        <v/>
      </c>
      <c r="AA249" s="49">
        <f>VLOOKUP(B249,country_opex,5,FALSE)</f>
        <v/>
      </c>
      <c r="AB249" s="49">
        <f>maint</f>
        <v/>
      </c>
      <c r="AC249" s="49">
        <f>VLOOKUP(B249,country_opex,7,FALSE)*ins_pct</f>
        <v/>
      </c>
      <c r="AD249" s="49">
        <f>charge_berth</f>
        <v/>
      </c>
      <c r="AE249" s="49">
        <f>Y249+Z249+AA249+AB249+AC249+AD249</f>
        <v/>
      </c>
      <c r="AF249" s="49">
        <f>VLOOKUP(B249,country_opex,7,FALSE)/dep_years</f>
        <v/>
      </c>
      <c r="AG249" s="49">
        <f>X249-AE249</f>
        <v/>
      </c>
      <c r="AH249" s="46">
        <f>IF(X249=0,"",AG249/X249)</f>
        <v/>
      </c>
      <c r="AI249" s="47">
        <f>IF(AG249&lt;=0,"",VLOOKUP(B249,country_opex,7,FALSE)/AG249)</f>
        <v/>
      </c>
      <c r="AJ249" s="44">
        <f>((G249*S249/diesel_nmpg)*diesel_co2pg-(battery/range_nm)*G249*S249*VLOOKUP(B249,country_opex,4,FALSE))/1000</f>
        <v/>
      </c>
      <c r="AK249" s="42" t="n">
        <v>10909</v>
      </c>
      <c r="AL249" s="43" t="inlineStr">
        <is>
          <t>T3</t>
        </is>
      </c>
      <c r="AM249" s="43" t="inlineStr">
        <is>
          <t>med-low</t>
        </is>
      </c>
      <c r="AN249" s="50" t="n">
        <v>0.1</v>
      </c>
      <c r="AO249" s="45">
        <f>IF(AK249="","",AK249*AN249)</f>
        <v/>
      </c>
      <c r="AP249" s="45">
        <f>IF(OR(AK249="",V249=0),"",MIN(IF(AX249="",9.9E+99,AX249),FLOOR(AO249/V249,1)))</f>
        <v/>
      </c>
      <c r="AQ249" s="49">
        <f>IF(AP249="","",AP249*IF(ABS(MOD(ABS((X249)),1)-0.5)&lt;1E-9,2*ROUND((X249)/2,0),ROUND((X249),0)))</f>
        <v/>
      </c>
      <c r="AR249" s="47">
        <f>IF(OR(AK249="",V249=0),"",MIN(IF(AX249="",9.9E+99,AX249),AO249/V249))</f>
        <v/>
      </c>
      <c r="AS249" s="49">
        <f>IF(AR249="","",AR249*IF(B249="South Korea",IF(ABS(MOD(ABS((X249)),1)-0.5)&lt;1E-9,2*ROUND((X249)/2,0),ROUND((X249),0)),X249))</f>
        <v/>
      </c>
      <c r="AT249" s="51" t="n"/>
      <c r="AU249" s="43" t="inlineStr">
        <is>
          <t>Upside tier</t>
        </is>
      </c>
      <c r="AV249" s="52" t="n"/>
      <c r="AW249" s="52" t="inlineStr">
        <is>
          <t>experience_upside</t>
        </is>
      </c>
      <c r="AX249" s="53" t="n"/>
      <c r="AY249" s="54">
        <f>IF(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&lt;=0,"",VLOOKUP(B249,country_opex,7,FALSE)/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)</f>
        <v/>
      </c>
      <c r="AZ249" s="54">
        <f>IF(((W249*pax_cap*IF(B249="South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Korea",korea_mid_revleg,revleg_mid)),0))*VLOOKUP(B249,country_opex,3,FALSE))+Z249+AA249+AB249+AC249+AD249))&lt;=0,"",VLOOKUP(B249,country_opex,7,FALSE)/((W249*pax_cap*IF(B249="South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Korea",korea_mid_revleg,revleg_mid)),0))*VLOOKUP(B249,country_opex,3,FALSE))+Z249+AA249+AB249+AC249+AD249)))</f>
        <v/>
      </c>
      <c r="BA249" s="54">
        <f>IF(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&lt;=0,"",VLOOKUP(B249,country_opex,7,FALSE)/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)</f>
        <v/>
      </c>
      <c r="BB24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9" s="40" t="inlineStr">
        <is>
          <t>PR #58 Mumbai spine route-count split (11 sealed rows × anchor 120,000 pax/yr)</t>
        </is>
      </c>
      <c r="BD249" s="43" t="inlineStr">
        <is>
          <t>ics-45ea784fef</t>
        </is>
      </c>
    </row>
    <row r="250">
      <c r="A250" s="38" t="inlineStr">
        <is>
          <t>India Andaman Rapido</t>
        </is>
      </c>
      <c r="B250" s="38" t="inlineStr">
        <is>
          <t>India</t>
        </is>
      </c>
      <c r="C250" s="39" t="inlineStr">
        <is>
          <t>Bambooflat Jetty → Game Fishing In Andaman | Bite Me Charter | Best Sport fishing in Andaman Islands</t>
        </is>
      </c>
      <c r="D250" s="38" t="inlineStr">
        <is>
          <t>rapido</t>
        </is>
      </c>
      <c r="E250" s="40" t="inlineStr">
        <is>
          <t>india-andaman-ola, india-andaman-rapido</t>
        </is>
      </c>
      <c r="F250" s="41" t="n">
        <v>2</v>
      </c>
      <c r="G250" s="42" t="n">
        <v>8.4</v>
      </c>
      <c r="H250" s="35" t="n">
        <v>22</v>
      </c>
      <c r="I250" s="43" t="inlineStr">
        <is>
          <t>T3</t>
        </is>
      </c>
      <c r="J250" s="43" t="inlineStr">
        <is>
          <t>med-low</t>
        </is>
      </c>
      <c r="K250" s="29" t="n">
        <v>1</v>
      </c>
      <c r="L250" s="44">
        <f>60*G250/cruise_kt</f>
        <v/>
      </c>
      <c r="M250" s="44">
        <f>IF(B250="South Korea",G250/korea_charge_range_nm*korea_full_range_charge_min,0)</f>
        <v/>
      </c>
      <c r="N250" s="44">
        <f>IF(B250="South Korea",L250+korea_turn_min+korea_dwell_min+M250,L250+turn_min+dwell_min)</f>
        <v/>
      </c>
      <c r="O250" s="45">
        <f>IF(B250="South Korea",FLOOR(60*korea_service_hr/N250,1),MIN(15,FLOOR(60*service_hr/N250,1)))</f>
        <v/>
      </c>
      <c r="P250" s="45">
        <f>IF(ABS(MOD(ABS((365*mech_uptime*K250)),1)-0.5)&lt;1E-9,2*ROUND((365*mech_uptime*K250)/2,0),ROUND((365*mech_uptime*K250),0))</f>
        <v/>
      </c>
      <c r="Q250" s="46">
        <f>mech_uptime</f>
        <v/>
      </c>
      <c r="R250" s="46">
        <f>IF(AND(B250="South Korea",scenario="MID"),korea_mid_revleg,revleg_sel)</f>
        <v/>
      </c>
      <c r="S250" s="45">
        <f>IF(ABS(MOD(ABS((O250*P250*R250)),1)-0.5)&lt;1E-9,2*ROUND((O250*P250*R250)/2,0),ROUND((O250*P250*R250),0))</f>
        <v/>
      </c>
      <c r="T250" s="46">
        <f>IF(AND(B250="South Korea",scenario="MID"),korea_mid_load,load_sel)</f>
        <v/>
      </c>
      <c r="U250" s="47">
        <f>pax_cap*T250</f>
        <v/>
      </c>
      <c r="V250" s="45">
        <f>U250*S250</f>
        <v/>
      </c>
      <c r="W250" s="48">
        <f>H250*discount</f>
        <v/>
      </c>
      <c r="X250" s="49">
        <f>W250*V250</f>
        <v/>
      </c>
      <c r="Y250" s="49">
        <f>(battery/range_nm)*G250*S250*VLOOKUP(B250,country_opex,3,FALSE)</f>
        <v/>
      </c>
      <c r="Z250" s="49">
        <f>VLOOKUP(B250,country_opex,2,FALSE)*crew_factor</f>
        <v/>
      </c>
      <c r="AA250" s="49">
        <f>VLOOKUP(B250,country_opex,5,FALSE)</f>
        <v/>
      </c>
      <c r="AB250" s="49">
        <f>maint</f>
        <v/>
      </c>
      <c r="AC250" s="49">
        <f>VLOOKUP(B250,country_opex,7,FALSE)*ins_pct</f>
        <v/>
      </c>
      <c r="AD250" s="49">
        <f>charge_berth</f>
        <v/>
      </c>
      <c r="AE250" s="49">
        <f>Y250+Z250+AA250+AB250+AC250+AD250</f>
        <v/>
      </c>
      <c r="AF250" s="49">
        <f>VLOOKUP(B250,country_opex,7,FALSE)/dep_years</f>
        <v/>
      </c>
      <c r="AG250" s="49">
        <f>X250-AE250</f>
        <v/>
      </c>
      <c r="AH250" s="46">
        <f>IF(X250=0,"",AG250/X250)</f>
        <v/>
      </c>
      <c r="AI250" s="47">
        <f>IF(AG250&lt;=0,"",VLOOKUP(B250,country_opex,7,FALSE)/AG250)</f>
        <v/>
      </c>
      <c r="AJ250" s="44">
        <f>((G250*S250/diesel_nmpg)*diesel_co2pg-(battery/range_nm)*G250*S250*VLOOKUP(B250,country_opex,4,FALSE))/1000</f>
        <v/>
      </c>
      <c r="AK250" s="42" t="n">
        <v>5000</v>
      </c>
      <c r="AL250" s="43" t="inlineStr">
        <is>
          <t>T3</t>
        </is>
      </c>
      <c r="AM250" s="43" t="inlineStr">
        <is>
          <t>med-low</t>
        </is>
      </c>
      <c r="AN250" s="50" t="n">
        <v>0.1</v>
      </c>
      <c r="AO250" s="45">
        <f>IF(AK250="","",AK250*AN250)</f>
        <v/>
      </c>
      <c r="AP250" s="45">
        <f>IF(OR(AK250="",V250=0),"",MIN(IF(AX250="",9.9E+99,AX250),FLOOR(AO250/V250,1)))</f>
        <v/>
      </c>
      <c r="AQ250" s="49">
        <f>IF(AP250="","",AP250*IF(ABS(MOD(ABS((X250)),1)-0.5)&lt;1E-9,2*ROUND((X250)/2,0),ROUND((X250),0)))</f>
        <v/>
      </c>
      <c r="AR250" s="47">
        <f>IF(OR(AK250="",V250=0),"",MIN(IF(AX250="",9.9E+99,AX250),AO250/V250))</f>
        <v/>
      </c>
      <c r="AS250" s="49">
        <f>IF(AR250="","",AR250*IF(B250="South Korea",IF(ABS(MOD(ABS((X250)),1)-0.5)&lt;1E-9,2*ROUND((X250)/2,0),ROUND((X250),0)),X250))</f>
        <v/>
      </c>
      <c r="AT250" s="51" t="n"/>
      <c r="AU250" s="43" t="inlineStr">
        <is>
          <t>Grounded</t>
        </is>
      </c>
      <c r="AV250" s="52" t="n"/>
      <c r="AW250" s="52" t="n"/>
      <c r="AX250" s="53" t="n"/>
      <c r="AY250" s="54">
        <f>IF(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&lt;=0,"",VLOOKUP(B250,country_opex,7,FALSE)/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)</f>
        <v/>
      </c>
      <c r="AZ250" s="54">
        <f>IF(((W250*pax_cap*IF(B250="South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Korea",korea_mid_revleg,revleg_mid)),0))*VLOOKUP(B250,country_opex,3,FALSE))+Z250+AA250+AB250+AC250+AD250))&lt;=0,"",VLOOKUP(B250,country_opex,7,FALSE)/((W250*pax_cap*IF(B250="South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Korea",korea_mid_revleg,revleg_mid)),0))*VLOOKUP(B250,country_opex,3,FALSE))+Z250+AA250+AB250+AC250+AD250)))</f>
        <v/>
      </c>
      <c r="BA250" s="54">
        <f>IF(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&lt;=0,"",VLOOKUP(B250,country_opex,7,FALSE)/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)</f>
        <v/>
      </c>
      <c r="BB250" s="40" t="inlineStr">
        <is>
          <t>handoff/INDIA-ECONOMICS-SIDECAR-V0-2026-06-20.json (andaman)</t>
        </is>
      </c>
      <c r="BC250" s="40" t="inlineStr">
        <is>
          <t>handoff/INDIA-ECONOMICS-SIDECAR-V0-2026-06-20.json (andaman)</t>
        </is>
      </c>
      <c r="BD250" s="43" t="inlineStr">
        <is>
          <t>ics-5c094f9b0f</t>
        </is>
      </c>
    </row>
    <row r="251">
      <c r="A251" s="38" t="inlineStr">
        <is>
          <t>India Mumbai Rapido</t>
        </is>
      </c>
      <c r="B251" s="38" t="inlineStr">
        <is>
          <t>India</t>
        </is>
      </c>
      <c r="C251" s="39" t="inlineStr">
        <is>
          <t>Cordelia Cruises → OLD HARBOR TEA &amp; COFFEE</t>
        </is>
      </c>
      <c r="D251" s="38" t="inlineStr">
        <is>
          <t>rapido</t>
        </is>
      </c>
      <c r="E251" s="40" t="inlineStr">
        <is>
          <t>india-mumbai-ola, india-mumbai-rapido</t>
        </is>
      </c>
      <c r="F251" s="41" t="n">
        <v>2</v>
      </c>
      <c r="G251" s="42" t="n">
        <v>8.5</v>
      </c>
      <c r="H251" s="35" t="n">
        <v>18</v>
      </c>
      <c r="I251" s="43" t="inlineStr">
        <is>
          <t>T3</t>
        </is>
      </c>
      <c r="J251" s="43" t="inlineStr">
        <is>
          <t>med-low</t>
        </is>
      </c>
      <c r="K251" s="29" t="n">
        <v>1</v>
      </c>
      <c r="L251" s="44">
        <f>60*G251/cruise_kt</f>
        <v/>
      </c>
      <c r="M251" s="44">
        <f>IF(B251="South Korea",G251/korea_charge_range_nm*korea_full_range_charge_min,0)</f>
        <v/>
      </c>
      <c r="N251" s="44">
        <f>IF(B251="South Korea",L251+korea_turn_min+korea_dwell_min+M251,L251+turn_min+dwell_min)</f>
        <v/>
      </c>
      <c r="O251" s="45">
        <f>IF(B251="South Korea",FLOOR(60*korea_service_hr/N251,1),MIN(15,FLOOR(60*service_hr/N251,1)))</f>
        <v/>
      </c>
      <c r="P251" s="45">
        <f>IF(ABS(MOD(ABS((365*mech_uptime*K251)),1)-0.5)&lt;1E-9,2*ROUND((365*mech_uptime*K251)/2,0),ROUND((365*mech_uptime*K251),0))</f>
        <v/>
      </c>
      <c r="Q251" s="46">
        <f>mech_uptime</f>
        <v/>
      </c>
      <c r="R251" s="46">
        <f>IF(AND(B251="South Korea",scenario="MID"),korea_mid_revleg,revleg_sel)</f>
        <v/>
      </c>
      <c r="S251" s="45">
        <f>IF(ABS(MOD(ABS((O251*P251*R251)),1)-0.5)&lt;1E-9,2*ROUND((O251*P251*R251)/2,0),ROUND((O251*P251*R251),0))</f>
        <v/>
      </c>
      <c r="T251" s="46">
        <f>IF(AND(B251="South Korea",scenario="MID"),korea_mid_load,load_sel)</f>
        <v/>
      </c>
      <c r="U251" s="47">
        <f>pax_cap*T251</f>
        <v/>
      </c>
      <c r="V251" s="45">
        <f>U251*S251</f>
        <v/>
      </c>
      <c r="W251" s="48">
        <f>H251*discount</f>
        <v/>
      </c>
      <c r="X251" s="49">
        <f>W251*V251</f>
        <v/>
      </c>
      <c r="Y251" s="49">
        <f>(battery/range_nm)*G251*S251*VLOOKUP(B251,country_opex,3,FALSE)</f>
        <v/>
      </c>
      <c r="Z251" s="49">
        <f>VLOOKUP(B251,country_opex,2,FALSE)*crew_factor</f>
        <v/>
      </c>
      <c r="AA251" s="49">
        <f>VLOOKUP(B251,country_opex,5,FALSE)</f>
        <v/>
      </c>
      <c r="AB251" s="49">
        <f>maint</f>
        <v/>
      </c>
      <c r="AC251" s="49">
        <f>VLOOKUP(B251,country_opex,7,FALSE)*ins_pct</f>
        <v/>
      </c>
      <c r="AD251" s="49">
        <f>charge_berth</f>
        <v/>
      </c>
      <c r="AE251" s="49">
        <f>Y251+Z251+AA251+AB251+AC251+AD251</f>
        <v/>
      </c>
      <c r="AF251" s="49">
        <f>VLOOKUP(B251,country_opex,7,FALSE)/dep_years</f>
        <v/>
      </c>
      <c r="AG251" s="49">
        <f>X251-AE251</f>
        <v/>
      </c>
      <c r="AH251" s="46">
        <f>IF(X251=0,"",AG251/X251)</f>
        <v/>
      </c>
      <c r="AI251" s="47">
        <f>IF(AG251&lt;=0,"",VLOOKUP(B251,country_opex,7,FALSE)/AG251)</f>
        <v/>
      </c>
      <c r="AJ251" s="44">
        <f>((G251*S251/diesel_nmpg)*diesel_co2pg-(battery/range_nm)*G251*S251*VLOOKUP(B251,country_opex,4,FALSE))/1000</f>
        <v/>
      </c>
      <c r="AK251" s="42" t="n">
        <v>5000</v>
      </c>
      <c r="AL251" s="43" t="inlineStr">
        <is>
          <t>T3</t>
        </is>
      </c>
      <c r="AM251" s="43" t="inlineStr">
        <is>
          <t>med-low</t>
        </is>
      </c>
      <c r="AN251" s="50" t="n">
        <v>0.1</v>
      </c>
      <c r="AO251" s="45">
        <f>IF(AK251="","",AK251*AN251)</f>
        <v/>
      </c>
      <c r="AP251" s="45">
        <f>IF(OR(AK251="",V251=0),"",MIN(IF(AX251="",9.9E+99,AX251),FLOOR(AO251/V251,1)))</f>
        <v/>
      </c>
      <c r="AQ251" s="49">
        <f>IF(AP251="","",AP251*IF(ABS(MOD(ABS((X251)),1)-0.5)&lt;1E-9,2*ROUND((X251)/2,0),ROUND((X251),0)))</f>
        <v/>
      </c>
      <c r="AR251" s="47">
        <f>IF(OR(AK251="",V251=0),"",MIN(IF(AX251="",9.9E+99,AX251),AO251/V251))</f>
        <v/>
      </c>
      <c r="AS251" s="49">
        <f>IF(AR251="","",AR251*IF(B251="South Korea",IF(ABS(MOD(ABS((X251)),1)-0.5)&lt;1E-9,2*ROUND((X251)/2,0),ROUND((X251),0)),X251))</f>
        <v/>
      </c>
      <c r="AT251" s="51" t="n"/>
      <c r="AU251" s="43" t="inlineStr">
        <is>
          <t>Grounded</t>
        </is>
      </c>
      <c r="AV251" s="52" t="n"/>
      <c r="AW251" s="52" t="n"/>
      <c r="AX251" s="53" t="n"/>
      <c r="AY251" s="54">
        <f>IF(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&lt;=0,"",VLOOKUP(B251,country_opex,7,FALSE)/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)</f>
        <v/>
      </c>
      <c r="AZ251" s="54">
        <f>IF(((W251*pax_cap*IF(B251="South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Korea",korea_mid_revleg,revleg_mid)),0))*VLOOKUP(B251,country_opex,3,FALSE))+Z251+AA251+AB251+AC251+AD251))&lt;=0,"",VLOOKUP(B251,country_opex,7,FALSE)/((W251*pax_cap*IF(B251="South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Korea",korea_mid_revleg,revleg_mid)),0))*VLOOKUP(B251,country_opex,3,FALSE))+Z251+AA251+AB251+AC251+AD251)))</f>
        <v/>
      </c>
      <c r="BA251" s="54">
        <f>IF(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&lt;=0,"",VLOOKUP(B251,country_opex,7,FALSE)/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)</f>
        <v/>
      </c>
      <c r="BB251" s="40" t="inlineStr">
        <is>
          <t>[LB-255 PREMIUM RE-FARE: subsidized comparable $5.5 lifted to premium on-demand floor $18.0] handoff/INDIA-ECONOMICS-SIDECAR-V0-2026-06-20.json (mumbai)</t>
        </is>
      </c>
      <c r="BC251" s="40" t="inlineStr">
        <is>
          <t>handoff/INDIA-ECONOMICS-SIDECAR-V0-2026-06-20.json (mumbai)</t>
        </is>
      </c>
      <c r="BD251" s="43" t="inlineStr">
        <is>
          <t>ics-4a68ca04da</t>
        </is>
      </c>
    </row>
    <row r="252">
      <c r="A252" s="38" t="inlineStr">
        <is>
          <t>Ola Mumbai</t>
        </is>
      </c>
      <c r="B252" s="38" t="inlineStr">
        <is>
          <t>India</t>
        </is>
      </c>
      <c r="C252" s="39" t="inlineStr">
        <is>
          <t>Versova Ferry Wharf → Gateway of India</t>
        </is>
      </c>
      <c r="D252" s="38" t="inlineStr">
        <is>
          <t>rapido</t>
        </is>
      </c>
      <c r="E252" s="40" t="inlineStr">
        <is>
          <t>india-mumbai-ola, india-mumbai-rapido, ola-mumbai, rapido-mumbai, uber-mumbai</t>
        </is>
      </c>
      <c r="F252" s="41" t="n">
        <v>5</v>
      </c>
      <c r="G252" s="42" t="n">
        <v>12.43</v>
      </c>
      <c r="H252" s="35" t="n"/>
      <c r="I252" s="43" t="inlineStr">
        <is>
          <t>T3</t>
        </is>
      </c>
      <c r="J252" s="43" t="inlineStr">
        <is>
          <t>med-low</t>
        </is>
      </c>
      <c r="K252" s="29" t="n">
        <v>1</v>
      </c>
      <c r="L252" s="44">
        <f>60*G252/cruise_kt</f>
        <v/>
      </c>
      <c r="M252" s="44">
        <f>IF(B252="South Korea",G252/korea_charge_range_nm*korea_full_range_charge_min,0)</f>
        <v/>
      </c>
      <c r="N252" s="44">
        <f>IF(B252="South Korea",L252+korea_turn_min+korea_dwell_min+M252,L252+turn_min+dwell_min)</f>
        <v/>
      </c>
      <c r="O252" s="45">
        <f>IF(B252="South Korea",FLOOR(60*korea_service_hr/N252,1),MIN(15,FLOOR(60*service_hr/N252,1)))</f>
        <v/>
      </c>
      <c r="P252" s="45">
        <f>IF(ABS(MOD(ABS((365*mech_uptime*K252)),1)-0.5)&lt;1E-9,2*ROUND((365*mech_uptime*K252)/2,0),ROUND((365*mech_uptime*K252),0))</f>
        <v/>
      </c>
      <c r="Q252" s="46">
        <f>mech_uptime</f>
        <v/>
      </c>
      <c r="R252" s="46">
        <f>IF(AND(B252="South Korea",scenario="MID"),korea_mid_revleg,revleg_sel)</f>
        <v/>
      </c>
      <c r="S252" s="45">
        <f>IF(ABS(MOD(ABS((O252*P252*R252)),1)-0.5)&lt;1E-9,2*ROUND((O252*P252*R252)/2,0),ROUND((O252*P252*R252),0))</f>
        <v/>
      </c>
      <c r="T252" s="46">
        <f>IF(AND(B252="South Korea",scenario="MID"),korea_mid_load,load_sel)</f>
        <v/>
      </c>
      <c r="U252" s="47">
        <f>pax_cap*T252</f>
        <v/>
      </c>
      <c r="V252" s="45">
        <f>U252*S252</f>
        <v/>
      </c>
      <c r="W252" s="48">
        <f>H252*discount</f>
        <v/>
      </c>
      <c r="X252" s="49">
        <f>W252*V252</f>
        <v/>
      </c>
      <c r="Y252" s="49">
        <f>(battery/range_nm)*G252*S252*VLOOKUP(B252,country_opex,3,FALSE)</f>
        <v/>
      </c>
      <c r="Z252" s="49">
        <f>VLOOKUP(B252,country_opex,2,FALSE)*crew_factor</f>
        <v/>
      </c>
      <c r="AA252" s="49">
        <f>VLOOKUP(B252,country_opex,5,FALSE)</f>
        <v/>
      </c>
      <c r="AB252" s="49">
        <f>maint</f>
        <v/>
      </c>
      <c r="AC252" s="49">
        <f>VLOOKUP(B252,country_opex,7,FALSE)*ins_pct</f>
        <v/>
      </c>
      <c r="AD252" s="49">
        <f>charge_berth</f>
        <v/>
      </c>
      <c r="AE252" s="49">
        <f>Y252+Z252+AA252+AB252+AC252+AD252</f>
        <v/>
      </c>
      <c r="AF252" s="49">
        <f>VLOOKUP(B252,country_opex,7,FALSE)/dep_years</f>
        <v/>
      </c>
      <c r="AG252" s="49">
        <f>X252-AE252</f>
        <v/>
      </c>
      <c r="AH252" s="46">
        <f>IF(X252=0,"",AG252/X252)</f>
        <v/>
      </c>
      <c r="AI252" s="47">
        <f>IF(AG252&lt;=0,"",VLOOKUP(B252,country_opex,7,FALSE)/AG252)</f>
        <v/>
      </c>
      <c r="AJ252" s="44">
        <f>((G252*S252/diesel_nmpg)*diesel_co2pg-(battery/range_nm)*G252*S252*VLOOKUP(B252,country_opex,4,FALSE))/1000</f>
        <v/>
      </c>
      <c r="AK252" s="42" t="n">
        <v>10909</v>
      </c>
      <c r="AL252" s="43" t="inlineStr">
        <is>
          <t>T3</t>
        </is>
      </c>
      <c r="AM252" s="43" t="inlineStr">
        <is>
          <t>med-low</t>
        </is>
      </c>
      <c r="AN252" s="50" t="n">
        <v>0.1</v>
      </c>
      <c r="AO252" s="45">
        <f>IF(AK252="","",AK252*AN252)</f>
        <v/>
      </c>
      <c r="AP252" s="45">
        <f>IF(OR(AK252="",V252=0),"",MIN(IF(AX252="",9.9E+99,AX252),FLOOR(AO252/V252,1)))</f>
        <v/>
      </c>
      <c r="AQ252" s="49">
        <f>IF(AP252="","",AP252*IF(ABS(MOD(ABS((X252)),1)-0.5)&lt;1E-9,2*ROUND((X252)/2,0),ROUND((X252),0)))</f>
        <v/>
      </c>
      <c r="AR252" s="47">
        <f>IF(OR(AK252="",V252=0),"",MIN(IF(AX252="",9.9E+99,AX252),AO252/V252))</f>
        <v/>
      </c>
      <c r="AS252" s="49">
        <f>IF(AR252="","",AR252*IF(B252="South Korea",IF(ABS(MOD(ABS((X252)),1)-0.5)&lt;1E-9,2*ROUND((X252)/2,0),ROUND((X252),0)),X252))</f>
        <v/>
      </c>
      <c r="AT252" s="51" t="n"/>
      <c r="AU252" s="43" t="inlineStr">
        <is>
          <t>Upside tier</t>
        </is>
      </c>
      <c r="AV252" s="52" t="n"/>
      <c r="AW252" s="52" t="inlineStr">
        <is>
          <t>experience_upside</t>
        </is>
      </c>
      <c r="AX252" s="53" t="n"/>
      <c r="AY252" s="54">
        <f>IF(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&lt;=0,"",VLOOKUP(B252,country_opex,7,FALSE)/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)</f>
        <v/>
      </c>
      <c r="AZ252" s="54">
        <f>IF(((W252*pax_cap*IF(B252="South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Korea",korea_mid_revleg,revleg_mid)),0))*VLOOKUP(B252,country_opex,3,FALSE))+Z252+AA252+AB252+AC252+AD252))&lt;=0,"",VLOOKUP(B252,country_opex,7,FALSE)/((W252*pax_cap*IF(B252="South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Korea",korea_mid_revleg,revleg_mid)),0))*VLOOKUP(B252,country_opex,3,FALSE))+Z252+AA252+AB252+AC252+AD252)))</f>
        <v/>
      </c>
      <c r="BA252" s="54">
        <f>IF(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&lt;=0,"",VLOOKUP(B252,country_opex,7,FALSE)/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)</f>
        <v/>
      </c>
      <c r="BB25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52" s="40" t="inlineStr">
        <is>
          <t>PR #58 Mumbai spine route-count split (11 sealed rows × anchor 120,000 pax/yr)</t>
        </is>
      </c>
      <c r="BD252" s="43" t="inlineStr">
        <is>
          <t>ics-mum-versova-gateway</t>
        </is>
      </c>
    </row>
    <row r="253">
      <c r="A253" s="38" t="inlineStr">
        <is>
          <t>India Mumbai Rapido</t>
        </is>
      </c>
      <c r="B253" s="38" t="inlineStr">
        <is>
          <t>India</t>
        </is>
      </c>
      <c r="C253" s="39" t="inlineStr">
        <is>
          <t>Gorai / Marve Jetty → Nariman Point Water-Taxi Jetty</t>
        </is>
      </c>
      <c r="D253" s="38" t="inlineStr">
        <is>
          <t>rapido</t>
        </is>
      </c>
      <c r="E253" s="40" t="inlineStr">
        <is>
          <t>india-mumbai-ola, india-mumbai-rapido</t>
        </is>
      </c>
      <c r="F253" s="41" t="n">
        <v>2</v>
      </c>
      <c r="G253" s="42" t="n">
        <v>13.45</v>
      </c>
      <c r="H253" s="35" t="n">
        <v>18</v>
      </c>
      <c r="I253" s="43" t="inlineStr">
        <is>
          <t>T3</t>
        </is>
      </c>
      <c r="J253" s="43" t="inlineStr">
        <is>
          <t>med-low</t>
        </is>
      </c>
      <c r="K253" s="29" t="n">
        <v>1</v>
      </c>
      <c r="L253" s="44">
        <f>60*G253/cruise_kt</f>
        <v/>
      </c>
      <c r="M253" s="44">
        <f>IF(B253="South Korea",G253/korea_charge_range_nm*korea_full_range_charge_min,0)</f>
        <v/>
      </c>
      <c r="N253" s="44">
        <f>IF(B253="South Korea",L253+korea_turn_min+korea_dwell_min+M253,L253+turn_min+dwell_min)</f>
        <v/>
      </c>
      <c r="O253" s="45">
        <f>IF(B253="South Korea",FLOOR(60*korea_service_hr/N253,1),MIN(15,FLOOR(60*service_hr/N253,1)))</f>
        <v/>
      </c>
      <c r="P253" s="45">
        <f>IF(ABS(MOD(ABS((365*mech_uptime*K253)),1)-0.5)&lt;1E-9,2*ROUND((365*mech_uptime*K253)/2,0),ROUND((365*mech_uptime*K253),0))</f>
        <v/>
      </c>
      <c r="Q253" s="46">
        <f>mech_uptime</f>
        <v/>
      </c>
      <c r="R253" s="46">
        <f>IF(AND(B253="South Korea",scenario="MID"),korea_mid_revleg,revleg_sel)</f>
        <v/>
      </c>
      <c r="S253" s="45">
        <f>IF(ABS(MOD(ABS((O253*P253*R253)),1)-0.5)&lt;1E-9,2*ROUND((O253*P253*R253)/2,0),ROUND((O253*P253*R253),0))</f>
        <v/>
      </c>
      <c r="T253" s="46">
        <f>IF(AND(B253="South Korea",scenario="MID"),korea_mid_load,load_sel)</f>
        <v/>
      </c>
      <c r="U253" s="47">
        <f>pax_cap*T253</f>
        <v/>
      </c>
      <c r="V253" s="45">
        <f>U253*S253</f>
        <v/>
      </c>
      <c r="W253" s="48">
        <f>H253*discount</f>
        <v/>
      </c>
      <c r="X253" s="49">
        <f>W253*V253</f>
        <v/>
      </c>
      <c r="Y253" s="49">
        <f>(battery/range_nm)*G253*S253*VLOOKUP(B253,country_opex,3,FALSE)</f>
        <v/>
      </c>
      <c r="Z253" s="49">
        <f>VLOOKUP(B253,country_opex,2,FALSE)*crew_factor</f>
        <v/>
      </c>
      <c r="AA253" s="49">
        <f>VLOOKUP(B253,country_opex,5,FALSE)</f>
        <v/>
      </c>
      <c r="AB253" s="49">
        <f>maint</f>
        <v/>
      </c>
      <c r="AC253" s="49">
        <f>VLOOKUP(B253,country_opex,7,FALSE)*ins_pct</f>
        <v/>
      </c>
      <c r="AD253" s="49">
        <f>charge_berth</f>
        <v/>
      </c>
      <c r="AE253" s="49">
        <f>Y253+Z253+AA253+AB253+AC253+AD253</f>
        <v/>
      </c>
      <c r="AF253" s="49">
        <f>VLOOKUP(B253,country_opex,7,FALSE)/dep_years</f>
        <v/>
      </c>
      <c r="AG253" s="49">
        <f>X253-AE253</f>
        <v/>
      </c>
      <c r="AH253" s="46">
        <f>IF(X253=0,"",AG253/X253)</f>
        <v/>
      </c>
      <c r="AI253" s="47">
        <f>IF(AG253&lt;=0,"",VLOOKUP(B253,country_opex,7,FALSE)/AG253)</f>
        <v/>
      </c>
      <c r="AJ253" s="44">
        <f>((G253*S253/diesel_nmpg)*diesel_co2pg-(battery/range_nm)*G253*S253*VLOOKUP(B253,country_opex,4,FALSE))/1000</f>
        <v/>
      </c>
      <c r="AK253" s="42" t="n">
        <v>5000</v>
      </c>
      <c r="AL253" s="43" t="inlineStr">
        <is>
          <t>T3</t>
        </is>
      </c>
      <c r="AM253" s="43" t="inlineStr">
        <is>
          <t>med-low</t>
        </is>
      </c>
      <c r="AN253" s="50" t="n">
        <v>0.1</v>
      </c>
      <c r="AO253" s="45">
        <f>IF(AK253="","",AK253*AN253)</f>
        <v/>
      </c>
      <c r="AP253" s="45">
        <f>IF(OR(AK253="",V253=0),"",MIN(IF(AX253="",9.9E+99,AX253),FLOOR(AO253/V253,1)))</f>
        <v/>
      </c>
      <c r="AQ253" s="49">
        <f>IF(AP253="","",AP253*IF(ABS(MOD(ABS((X253)),1)-0.5)&lt;1E-9,2*ROUND((X253)/2,0),ROUND((X253),0)))</f>
        <v/>
      </c>
      <c r="AR253" s="47">
        <f>IF(OR(AK253="",V253=0),"",MIN(IF(AX253="",9.9E+99,AX253),AO253/V253))</f>
        <v/>
      </c>
      <c r="AS253" s="49">
        <f>IF(AR253="","",AR253*IF(B253="South Korea",IF(ABS(MOD(ABS((X253)),1)-0.5)&lt;1E-9,2*ROUND((X253)/2,0),ROUND((X253),0)),X253))</f>
        <v/>
      </c>
      <c r="AT253" s="51" t="n"/>
      <c r="AU253" s="43" t="inlineStr">
        <is>
          <t>Grounded</t>
        </is>
      </c>
      <c r="AV253" s="52" t="n"/>
      <c r="AW253" s="52" t="n"/>
      <c r="AX253" s="53" t="n"/>
      <c r="AY253" s="54">
        <f>IF(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&lt;=0,"",VLOOKUP(B253,country_opex,7,FALSE)/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)</f>
        <v/>
      </c>
      <c r="AZ253" s="54">
        <f>IF(((W253*pax_cap*IF(B253="South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Korea",korea_mid_revleg,revleg_mid)),0))*VLOOKUP(B253,country_opex,3,FALSE))+Z253+AA253+AB253+AC253+AD253))&lt;=0,"",VLOOKUP(B253,country_opex,7,FALSE)/((W253*pax_cap*IF(B253="South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Korea",korea_mid_revleg,revleg_mid)),0))*VLOOKUP(B253,country_opex,3,FALSE))+Z253+AA253+AB253+AC253+AD253)))</f>
        <v/>
      </c>
      <c r="BA253" s="54">
        <f>IF(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&lt;=0,"",VLOOKUP(B253,country_opex,7,FALSE)/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)</f>
        <v/>
      </c>
      <c r="BB253" s="40" t="inlineStr">
        <is>
          <t>[LB-255 PREMIUM RE-FARE: subsidized comparable $5.5 lifted to premium on-demand floor $18.0] handoff/INDIA-ECONOMICS-SIDECAR-V0-2026-06-20.json (mumbai)</t>
        </is>
      </c>
      <c r="BC253" s="40" t="inlineStr">
        <is>
          <t>handoff/INDIA-ECONOMICS-SIDECAR-V0-2026-06-20.json (mumbai)</t>
        </is>
      </c>
      <c r="BD253" s="43" t="inlineStr">
        <is>
          <t>ics-mum-gorai-nariman</t>
        </is>
      </c>
    </row>
    <row r="254">
      <c r="A254" s="38" t="inlineStr">
        <is>
          <t>India Andaman Rapido</t>
        </is>
      </c>
      <c r="B254" s="38" t="inlineStr">
        <is>
          <t>India</t>
        </is>
      </c>
      <c r="C254" s="39" t="inlineStr">
        <is>
          <t>APARUPA SANDS MARINA → Shaheed Dweep Jetty</t>
        </is>
      </c>
      <c r="D254" s="38" t="inlineStr">
        <is>
          <t>rapido</t>
        </is>
      </c>
      <c r="E254" s="40" t="inlineStr">
        <is>
          <t>india-andaman-ola, india-andaman-rapido</t>
        </is>
      </c>
      <c r="F254" s="41" t="n">
        <v>2</v>
      </c>
      <c r="G254" s="42" t="n">
        <v>13.9</v>
      </c>
      <c r="H254" s="35" t="n">
        <v>22</v>
      </c>
      <c r="I254" s="43" t="inlineStr">
        <is>
          <t>T3</t>
        </is>
      </c>
      <c r="J254" s="43" t="inlineStr">
        <is>
          <t>med-low</t>
        </is>
      </c>
      <c r="K254" s="29" t="n">
        <v>1</v>
      </c>
      <c r="L254" s="44">
        <f>60*G254/cruise_kt</f>
        <v/>
      </c>
      <c r="M254" s="44">
        <f>IF(B254="South Korea",G254/korea_charge_range_nm*korea_full_range_charge_min,0)</f>
        <v/>
      </c>
      <c r="N254" s="44">
        <f>IF(B254="South Korea",L254+korea_turn_min+korea_dwell_min+M254,L254+turn_min+dwell_min)</f>
        <v/>
      </c>
      <c r="O254" s="45">
        <f>IF(B254="South Korea",FLOOR(60*korea_service_hr/N254,1),MIN(15,FLOOR(60*service_hr/N254,1)))</f>
        <v/>
      </c>
      <c r="P254" s="45">
        <f>IF(ABS(MOD(ABS((365*mech_uptime*K254)),1)-0.5)&lt;1E-9,2*ROUND((365*mech_uptime*K254)/2,0),ROUND((365*mech_uptime*K254),0))</f>
        <v/>
      </c>
      <c r="Q254" s="46">
        <f>mech_uptime</f>
        <v/>
      </c>
      <c r="R254" s="46">
        <f>IF(AND(B254="South Korea",scenario="MID"),korea_mid_revleg,revleg_sel)</f>
        <v/>
      </c>
      <c r="S254" s="45">
        <f>IF(ABS(MOD(ABS((O254*P254*R254)),1)-0.5)&lt;1E-9,2*ROUND((O254*P254*R254)/2,0),ROUND((O254*P254*R254),0))</f>
        <v/>
      </c>
      <c r="T254" s="46">
        <f>IF(AND(B254="South Korea",scenario="MID"),korea_mid_load,load_sel)</f>
        <v/>
      </c>
      <c r="U254" s="47">
        <f>pax_cap*T254</f>
        <v/>
      </c>
      <c r="V254" s="45">
        <f>U254*S254</f>
        <v/>
      </c>
      <c r="W254" s="48">
        <f>H254*discount</f>
        <v/>
      </c>
      <c r="X254" s="49">
        <f>W254*V254</f>
        <v/>
      </c>
      <c r="Y254" s="49">
        <f>(battery/range_nm)*G254*S254*VLOOKUP(B254,country_opex,3,FALSE)</f>
        <v/>
      </c>
      <c r="Z254" s="49">
        <f>VLOOKUP(B254,country_opex,2,FALSE)*crew_factor</f>
        <v/>
      </c>
      <c r="AA254" s="49">
        <f>VLOOKUP(B254,country_opex,5,FALSE)</f>
        <v/>
      </c>
      <c r="AB254" s="49">
        <f>maint</f>
        <v/>
      </c>
      <c r="AC254" s="49">
        <f>VLOOKUP(B254,country_opex,7,FALSE)*ins_pct</f>
        <v/>
      </c>
      <c r="AD254" s="49">
        <f>charge_berth</f>
        <v/>
      </c>
      <c r="AE254" s="49">
        <f>Y254+Z254+AA254+AB254+AC254+AD254</f>
        <v/>
      </c>
      <c r="AF254" s="49">
        <f>VLOOKUP(B254,country_opex,7,FALSE)/dep_years</f>
        <v/>
      </c>
      <c r="AG254" s="49">
        <f>X254-AE254</f>
        <v/>
      </c>
      <c r="AH254" s="46">
        <f>IF(X254=0,"",AG254/X254)</f>
        <v/>
      </c>
      <c r="AI254" s="47">
        <f>IF(AG254&lt;=0,"",VLOOKUP(B254,country_opex,7,FALSE)/AG254)</f>
        <v/>
      </c>
      <c r="AJ254" s="44">
        <f>((G254*S254/diesel_nmpg)*diesel_co2pg-(battery/range_nm)*G254*S254*VLOOKUP(B254,country_opex,4,FALSE))/1000</f>
        <v/>
      </c>
      <c r="AK254" s="42" t="n">
        <v>5000</v>
      </c>
      <c r="AL254" s="43" t="inlineStr">
        <is>
          <t>T3</t>
        </is>
      </c>
      <c r="AM254" s="43" t="inlineStr">
        <is>
          <t>med-low</t>
        </is>
      </c>
      <c r="AN254" s="50" t="n">
        <v>0.1</v>
      </c>
      <c r="AO254" s="45">
        <f>IF(AK254="","",AK254*AN254)</f>
        <v/>
      </c>
      <c r="AP254" s="45">
        <f>IF(OR(AK254="",V254=0),"",MIN(IF(AX254="",9.9E+99,AX254),FLOOR(AO254/V254,1)))</f>
        <v/>
      </c>
      <c r="AQ254" s="49">
        <f>IF(AP254="","",AP254*IF(ABS(MOD(ABS((X254)),1)-0.5)&lt;1E-9,2*ROUND((X254)/2,0),ROUND((X254),0)))</f>
        <v/>
      </c>
      <c r="AR254" s="47">
        <f>IF(OR(AK254="",V254=0),"",MIN(IF(AX254="",9.9E+99,AX254),AO254/V254))</f>
        <v/>
      </c>
      <c r="AS254" s="49">
        <f>IF(AR254="","",AR254*IF(B254="South Korea",IF(ABS(MOD(ABS((X254)),1)-0.5)&lt;1E-9,2*ROUND((X254)/2,0),ROUND((X254),0)),X254))</f>
        <v/>
      </c>
      <c r="AT254" s="51" t="n"/>
      <c r="AU254" s="43" t="inlineStr">
        <is>
          <t>Grounded</t>
        </is>
      </c>
      <c r="AV254" s="52" t="n"/>
      <c r="AW254" s="52" t="n"/>
      <c r="AX254" s="53" t="n"/>
      <c r="AY254" s="54">
        <f>IF(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&lt;=0,"",VLOOKUP(B254,country_opex,7,FALSE)/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)</f>
        <v/>
      </c>
      <c r="AZ254" s="54">
        <f>IF(((W254*pax_cap*IF(B254="South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Korea",korea_mid_revleg,revleg_mid)),0))*VLOOKUP(B254,country_opex,3,FALSE))+Z254+AA254+AB254+AC254+AD254))&lt;=0,"",VLOOKUP(B254,country_opex,7,FALSE)/((W254*pax_cap*IF(B254="South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Korea",korea_mid_revleg,revleg_mid)),0))*VLOOKUP(B254,country_opex,3,FALSE))+Z254+AA254+AB254+AC254+AD254)))</f>
        <v/>
      </c>
      <c r="BA254" s="54">
        <f>IF(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&lt;=0,"",VLOOKUP(B254,country_opex,7,FALSE)/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)</f>
        <v/>
      </c>
      <c r="BB254" s="40" t="inlineStr">
        <is>
          <t>handoff/INDIA-ECONOMICS-SIDECAR-V0-2026-06-20.json (andaman)</t>
        </is>
      </c>
      <c r="BC254" s="40" t="inlineStr">
        <is>
          <t>handoff/INDIA-ECONOMICS-SIDECAR-V0-2026-06-20.json (andaman)</t>
        </is>
      </c>
      <c r="BD254" s="43" t="inlineStr">
        <is>
          <t>rn-dd9246c547b7</t>
        </is>
      </c>
    </row>
    <row r="255">
      <c r="A255" s="38" t="inlineStr">
        <is>
          <t>India Andaman Rapido</t>
        </is>
      </c>
      <c r="B255" s="38" t="inlineStr">
        <is>
          <t>India</t>
        </is>
      </c>
      <c r="C255" s="39" t="inlineStr">
        <is>
          <t>Office Of Assistant Engineer Civil, Andaman Lakshdweep Harbour Work Havelock → Shaheed Dweep Jetty</t>
        </is>
      </c>
      <c r="D255" s="38" t="inlineStr">
        <is>
          <t>rapido</t>
        </is>
      </c>
      <c r="E255" s="40" t="inlineStr">
        <is>
          <t>india-andaman-ola, india-andaman-rapido</t>
        </is>
      </c>
      <c r="F255" s="41" t="n">
        <v>2</v>
      </c>
      <c r="G255" s="42" t="n">
        <v>15.2</v>
      </c>
      <c r="H255" s="35" t="n">
        <v>22</v>
      </c>
      <c r="I255" s="43" t="inlineStr">
        <is>
          <t>T3</t>
        </is>
      </c>
      <c r="J255" s="43" t="inlineStr">
        <is>
          <t>med-low</t>
        </is>
      </c>
      <c r="K255" s="29" t="n">
        <v>1</v>
      </c>
      <c r="L255" s="44">
        <f>60*G255/cruise_kt</f>
        <v/>
      </c>
      <c r="M255" s="44">
        <f>IF(B255="South Korea",G255/korea_charge_range_nm*korea_full_range_charge_min,0)</f>
        <v/>
      </c>
      <c r="N255" s="44">
        <f>IF(B255="South Korea",L255+korea_turn_min+korea_dwell_min+M255,L255+turn_min+dwell_min)</f>
        <v/>
      </c>
      <c r="O255" s="45">
        <f>IF(B255="South Korea",FLOOR(60*korea_service_hr/N255,1),MIN(15,FLOOR(60*service_hr/N255,1)))</f>
        <v/>
      </c>
      <c r="P255" s="45">
        <f>IF(ABS(MOD(ABS((365*mech_uptime*K255)),1)-0.5)&lt;1E-9,2*ROUND((365*mech_uptime*K255)/2,0),ROUND((365*mech_uptime*K255),0))</f>
        <v/>
      </c>
      <c r="Q255" s="46">
        <f>mech_uptime</f>
        <v/>
      </c>
      <c r="R255" s="46">
        <f>IF(AND(B255="South Korea",scenario="MID"),korea_mid_revleg,revleg_sel)</f>
        <v/>
      </c>
      <c r="S255" s="45">
        <f>IF(ABS(MOD(ABS((O255*P255*R255)),1)-0.5)&lt;1E-9,2*ROUND((O255*P255*R255)/2,0),ROUND((O255*P255*R255),0))</f>
        <v/>
      </c>
      <c r="T255" s="46">
        <f>IF(AND(B255="South Korea",scenario="MID"),korea_mid_load,load_sel)</f>
        <v/>
      </c>
      <c r="U255" s="47">
        <f>pax_cap*T255</f>
        <v/>
      </c>
      <c r="V255" s="45">
        <f>U255*S255</f>
        <v/>
      </c>
      <c r="W255" s="48">
        <f>H255*discount</f>
        <v/>
      </c>
      <c r="X255" s="49">
        <f>W255*V255</f>
        <v/>
      </c>
      <c r="Y255" s="49">
        <f>(battery/range_nm)*G255*S255*VLOOKUP(B255,country_opex,3,FALSE)</f>
        <v/>
      </c>
      <c r="Z255" s="49">
        <f>VLOOKUP(B255,country_opex,2,FALSE)*crew_factor</f>
        <v/>
      </c>
      <c r="AA255" s="49">
        <f>VLOOKUP(B255,country_opex,5,FALSE)</f>
        <v/>
      </c>
      <c r="AB255" s="49">
        <f>maint</f>
        <v/>
      </c>
      <c r="AC255" s="49">
        <f>VLOOKUP(B255,country_opex,7,FALSE)*ins_pct</f>
        <v/>
      </c>
      <c r="AD255" s="49">
        <f>charge_berth</f>
        <v/>
      </c>
      <c r="AE255" s="49">
        <f>Y255+Z255+AA255+AB255+AC255+AD255</f>
        <v/>
      </c>
      <c r="AF255" s="49">
        <f>VLOOKUP(B255,country_opex,7,FALSE)/dep_years</f>
        <v/>
      </c>
      <c r="AG255" s="49">
        <f>X255-AE255</f>
        <v/>
      </c>
      <c r="AH255" s="46">
        <f>IF(X255=0,"",AG255/X255)</f>
        <v/>
      </c>
      <c r="AI255" s="47">
        <f>IF(AG255&lt;=0,"",VLOOKUP(B255,country_opex,7,FALSE)/AG255)</f>
        <v/>
      </c>
      <c r="AJ255" s="44">
        <f>((G255*S255/diesel_nmpg)*diesel_co2pg-(battery/range_nm)*G255*S255*VLOOKUP(B255,country_opex,4,FALSE))/1000</f>
        <v/>
      </c>
      <c r="AK255" s="42" t="n">
        <v>5000</v>
      </c>
      <c r="AL255" s="43" t="inlineStr">
        <is>
          <t>T3</t>
        </is>
      </c>
      <c r="AM255" s="43" t="inlineStr">
        <is>
          <t>med-low</t>
        </is>
      </c>
      <c r="AN255" s="50" t="n">
        <v>0.1</v>
      </c>
      <c r="AO255" s="45">
        <f>IF(AK255="","",AK255*AN255)</f>
        <v/>
      </c>
      <c r="AP255" s="45">
        <f>IF(OR(AK255="",V255=0),"",MIN(IF(AX255="",9.9E+99,AX255),FLOOR(AO255/V255,1)))</f>
        <v/>
      </c>
      <c r="AQ255" s="49">
        <f>IF(AP255="","",AP255*IF(ABS(MOD(ABS((X255)),1)-0.5)&lt;1E-9,2*ROUND((X255)/2,0),ROUND((X255),0)))</f>
        <v/>
      </c>
      <c r="AR255" s="47">
        <f>IF(OR(AK255="",V255=0),"",MIN(IF(AX255="",9.9E+99,AX255),AO255/V255))</f>
        <v/>
      </c>
      <c r="AS255" s="49">
        <f>IF(AR255="","",AR255*IF(B255="South Korea",IF(ABS(MOD(ABS((X255)),1)-0.5)&lt;1E-9,2*ROUND((X255)/2,0),ROUND((X255),0)),X255))</f>
        <v/>
      </c>
      <c r="AT255" s="51" t="n"/>
      <c r="AU255" s="43" t="inlineStr">
        <is>
          <t>Grounded</t>
        </is>
      </c>
      <c r="AV255" s="52" t="n"/>
      <c r="AW255" s="52" t="n"/>
      <c r="AX255" s="53" t="n"/>
      <c r="AY255" s="54">
        <f>IF(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&lt;=0,"",VLOOKUP(B255,country_opex,7,FALSE)/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)</f>
        <v/>
      </c>
      <c r="AZ255" s="54">
        <f>IF(((W255*pax_cap*IF(B255="South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Korea",korea_mid_revleg,revleg_mid)),0))*VLOOKUP(B255,country_opex,3,FALSE))+Z255+AA255+AB255+AC255+AD255))&lt;=0,"",VLOOKUP(B255,country_opex,7,FALSE)/((W255*pax_cap*IF(B255="South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Korea",korea_mid_revleg,revleg_mid)),0))*VLOOKUP(B255,country_opex,3,FALSE))+Z255+AA255+AB255+AC255+AD255)))</f>
        <v/>
      </c>
      <c r="BA255" s="54">
        <f>IF(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&lt;=0,"",VLOOKUP(B255,country_opex,7,FALSE)/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)</f>
        <v/>
      </c>
      <c r="BB255" s="40" t="inlineStr">
        <is>
          <t>handoff/INDIA-ECONOMICS-SIDECAR-V0-2026-06-20.json (andaman)</t>
        </is>
      </c>
      <c r="BC255" s="40" t="inlineStr">
        <is>
          <t>handoff/INDIA-ECONOMICS-SIDECAR-V0-2026-06-20.json (andaman)</t>
        </is>
      </c>
      <c r="BD255" s="43" t="inlineStr">
        <is>
          <t>rn-fb4a3f74ce06</t>
        </is>
      </c>
    </row>
    <row r="256">
      <c r="A256" s="38" t="inlineStr">
        <is>
          <t>India Kolkata Rapido</t>
        </is>
      </c>
      <c r="B256" s="38" t="inlineStr">
        <is>
          <t>India</t>
        </is>
      </c>
      <c r="C256" s="39" t="inlineStr">
        <is>
          <t>Millennium Park Jetty → Chandannagar Riverfront</t>
        </is>
      </c>
      <c r="D256" s="38" t="inlineStr">
        <is>
          <t>rapido</t>
        </is>
      </c>
      <c r="E256" s="40" t="inlineStr">
        <is>
          <t>india-kolkata-ola, india-kolkata-rapido, india-kolkata-uber-india</t>
        </is>
      </c>
      <c r="F256" s="41" t="n">
        <v>3</v>
      </c>
      <c r="G256" s="42" t="n">
        <v>17.9</v>
      </c>
      <c r="H256" s="35" t="n">
        <v>18</v>
      </c>
      <c r="I256" s="43" t="n"/>
      <c r="J256" s="43" t="n"/>
      <c r="K256" s="29" t="n">
        <v>1</v>
      </c>
      <c r="L256" s="44">
        <f>60*G256/cruise_kt</f>
        <v/>
      </c>
      <c r="M256" s="44">
        <f>IF(B256="South Korea",G256/korea_charge_range_nm*korea_full_range_charge_min,0)</f>
        <v/>
      </c>
      <c r="N256" s="44">
        <f>IF(B256="South Korea",L256+korea_turn_min+korea_dwell_min+M256,L256+turn_min+dwell_min)</f>
        <v/>
      </c>
      <c r="O256" s="45">
        <f>IF(B256="South Korea",FLOOR(60*korea_service_hr/N256,1),MIN(15,FLOOR(60*service_hr/N256,1)))</f>
        <v/>
      </c>
      <c r="P256" s="45">
        <f>IF(ABS(MOD(ABS((365*mech_uptime*K256)),1)-0.5)&lt;1E-9,2*ROUND((365*mech_uptime*K256)/2,0),ROUND((365*mech_uptime*K256),0))</f>
        <v/>
      </c>
      <c r="Q256" s="46">
        <f>mech_uptime</f>
        <v/>
      </c>
      <c r="R256" s="46">
        <f>IF(AND(B256="South Korea",scenario="MID"),korea_mid_revleg,revleg_sel)</f>
        <v/>
      </c>
      <c r="S256" s="45">
        <f>IF(ABS(MOD(ABS((O256*P256*R256)),1)-0.5)&lt;1E-9,2*ROUND((O256*P256*R256)/2,0),ROUND((O256*P256*R256),0))</f>
        <v/>
      </c>
      <c r="T256" s="46">
        <f>IF(AND(B256="South Korea",scenario="MID"),korea_mid_load,load_sel)</f>
        <v/>
      </c>
      <c r="U256" s="47">
        <f>pax_cap*T256</f>
        <v/>
      </c>
      <c r="V256" s="45">
        <f>U256*S256</f>
        <v/>
      </c>
      <c r="W256" s="48">
        <f>H256*discount</f>
        <v/>
      </c>
      <c r="X256" s="49">
        <f>W256*V256</f>
        <v/>
      </c>
      <c r="Y256" s="49">
        <f>(battery/range_nm)*G256*S256*VLOOKUP(B256,country_opex,3,FALSE)</f>
        <v/>
      </c>
      <c r="Z256" s="49">
        <f>VLOOKUP(B256,country_opex,2,FALSE)*crew_factor</f>
        <v/>
      </c>
      <c r="AA256" s="49">
        <f>VLOOKUP(B256,country_opex,5,FALSE)</f>
        <v/>
      </c>
      <c r="AB256" s="49">
        <f>maint</f>
        <v/>
      </c>
      <c r="AC256" s="49">
        <f>VLOOKUP(B256,country_opex,7,FALSE)*ins_pct</f>
        <v/>
      </c>
      <c r="AD256" s="49">
        <f>charge_berth</f>
        <v/>
      </c>
      <c r="AE256" s="49">
        <f>Y256+Z256+AA256+AB256+AC256+AD256</f>
        <v/>
      </c>
      <c r="AF256" s="49">
        <f>VLOOKUP(B256,country_opex,7,FALSE)/dep_years</f>
        <v/>
      </c>
      <c r="AG256" s="49">
        <f>X256-AE256</f>
        <v/>
      </c>
      <c r="AH256" s="46">
        <f>IF(X256=0,"",AG256/X256)</f>
        <v/>
      </c>
      <c r="AI256" s="47">
        <f>IF(AG256&lt;=0,"",VLOOKUP(B256,country_opex,7,FALSE)/AG256)</f>
        <v/>
      </c>
      <c r="AJ256" s="44">
        <f>((G256*S256/diesel_nmpg)*diesel_co2pg-(battery/range_nm)*G256*S256*VLOOKUP(B256,country_opex,4,FALSE))/1000</f>
        <v/>
      </c>
      <c r="AK256" s="42" t="n">
        <v>1600000</v>
      </c>
      <c r="AL256" s="43" t="n"/>
      <c r="AM256" s="43" t="n"/>
      <c r="AN256" s="50" t="n">
        <v>0.1</v>
      </c>
      <c r="AO256" s="45">
        <f>IF(AK256="","",AK256*AN256)</f>
        <v/>
      </c>
      <c r="AP256" s="45">
        <f>IF(OR(AK256="",V256=0),"",MIN(IF(AX256="",9.9E+99,AX256),FLOOR(AO256/V256,1)))</f>
        <v/>
      </c>
      <c r="AQ256" s="49">
        <f>IF(AP256="","",AP256*IF(ABS(MOD(ABS((X256)),1)-0.5)&lt;1E-9,2*ROUND((X256)/2,0),ROUND((X256),0)))</f>
        <v/>
      </c>
      <c r="AR256" s="47">
        <f>IF(OR(AK256="",V256=0),"",MIN(IF(AX256="",9.9E+99,AX256),AO256/V256))</f>
        <v/>
      </c>
      <c r="AS256" s="49">
        <f>IF(AR256="","",AR256*IF(B256="South Korea",IF(ABS(MOD(ABS((X256)),1)-0.5)&lt;1E-9,2*ROUND((X256)/2,0),ROUND((X256),0)),X256))</f>
        <v/>
      </c>
      <c r="AT256" s="51" t="n"/>
      <c r="AU256" s="43" t="inlineStr">
        <is>
          <t>Grounded</t>
        </is>
      </c>
      <c r="AV256" s="52" t="n"/>
      <c r="AW256" s="52" t="n"/>
      <c r="AX256" s="53" t="n"/>
      <c r="AY256" s="54">
        <f>IF(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&lt;=0,"",VLOOKUP(B256,country_opex,7,FALSE)/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)</f>
        <v/>
      </c>
      <c r="AZ256" s="54">
        <f>IF(((W256*pax_cap*IF(B256="South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Korea",korea_mid_revleg,revleg_mid)),0))*VLOOKUP(B256,country_opex,3,FALSE))+Z256+AA256+AB256+AC256+AD256))&lt;=0,"",VLOOKUP(B256,country_opex,7,FALSE)/((W256*pax_cap*IF(B256="South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Korea",korea_mid_revleg,revleg_mid)),0))*VLOOKUP(B256,country_opex,3,FALSE))+Z256+AA256+AB256+AC256+AD256)))</f>
        <v/>
      </c>
      <c r="BA256" s="54">
        <f>IF(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&lt;=0,"",VLOOKUP(B256,country_opex,7,FALSE)/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)</f>
        <v/>
      </c>
      <c r="BB256" s="40" t="inlineStr">
        <is>
          <t xml:space="preserve">[LB-255 PREMIUM RE-FARE: subsidized comparable $2.5 lifted to premium on-demand floor $18.0] </t>
        </is>
      </c>
      <c r="BC256" s="40" t="n"/>
      <c r="BD256" s="43" t="inlineStr">
        <is>
          <t>rn-174af2f4a97c</t>
        </is>
      </c>
    </row>
    <row r="257">
      <c r="A257" s="38" t="inlineStr">
        <is>
          <t>India Andaman Rapido</t>
        </is>
      </c>
      <c r="B257" s="38" t="inlineStr">
        <is>
          <t>India</t>
        </is>
      </c>
      <c r="C257" s="39" t="inlineStr">
        <is>
          <t>Bambooflat Jetty → Shaheed Dweep Jetty</t>
        </is>
      </c>
      <c r="D257" s="38" t="inlineStr">
        <is>
          <t>rapido</t>
        </is>
      </c>
      <c r="E257" s="40" t="inlineStr">
        <is>
          <t>india-andaman-ola, india-andaman-rapido</t>
        </is>
      </c>
      <c r="F257" s="41" t="n">
        <v>2</v>
      </c>
      <c r="G257" s="42" t="n">
        <v>21.1</v>
      </c>
      <c r="H257" s="35" t="n">
        <v>22</v>
      </c>
      <c r="I257" s="43" t="inlineStr">
        <is>
          <t>T3</t>
        </is>
      </c>
      <c r="J257" s="43" t="inlineStr">
        <is>
          <t>med-low</t>
        </is>
      </c>
      <c r="K257" s="29" t="n">
        <v>1</v>
      </c>
      <c r="L257" s="44">
        <f>60*G257/cruise_kt</f>
        <v/>
      </c>
      <c r="M257" s="44">
        <f>IF(B257="South Korea",G257/korea_charge_range_nm*korea_full_range_charge_min,0)</f>
        <v/>
      </c>
      <c r="N257" s="44">
        <f>IF(B257="South Korea",L257+korea_turn_min+korea_dwell_min+M257,L257+turn_min+dwell_min)</f>
        <v/>
      </c>
      <c r="O257" s="45">
        <f>IF(B257="South Korea",FLOOR(60*korea_service_hr/N257,1),MIN(15,FLOOR(60*service_hr/N257,1)))</f>
        <v/>
      </c>
      <c r="P257" s="45">
        <f>IF(ABS(MOD(ABS((365*mech_uptime*K257)),1)-0.5)&lt;1E-9,2*ROUND((365*mech_uptime*K257)/2,0),ROUND((365*mech_uptime*K257),0))</f>
        <v/>
      </c>
      <c r="Q257" s="46">
        <f>mech_uptime</f>
        <v/>
      </c>
      <c r="R257" s="46">
        <f>IF(AND(B257="South Korea",scenario="MID"),korea_mid_revleg,revleg_sel)</f>
        <v/>
      </c>
      <c r="S257" s="45">
        <f>IF(ABS(MOD(ABS((O257*P257*R257)),1)-0.5)&lt;1E-9,2*ROUND((O257*P257*R257)/2,0),ROUND((O257*P257*R257),0))</f>
        <v/>
      </c>
      <c r="T257" s="46">
        <f>IF(AND(B257="South Korea",scenario="MID"),korea_mid_load,load_sel)</f>
        <v/>
      </c>
      <c r="U257" s="47">
        <f>pax_cap*T257</f>
        <v/>
      </c>
      <c r="V257" s="45">
        <f>U257*S257</f>
        <v/>
      </c>
      <c r="W257" s="48">
        <f>H257*discount</f>
        <v/>
      </c>
      <c r="X257" s="49">
        <f>W257*V257</f>
        <v/>
      </c>
      <c r="Y257" s="49">
        <f>(battery/range_nm)*G257*S257*VLOOKUP(B257,country_opex,3,FALSE)</f>
        <v/>
      </c>
      <c r="Z257" s="49">
        <f>VLOOKUP(B257,country_opex,2,FALSE)*crew_factor</f>
        <v/>
      </c>
      <c r="AA257" s="49">
        <f>VLOOKUP(B257,country_opex,5,FALSE)</f>
        <v/>
      </c>
      <c r="AB257" s="49">
        <f>maint</f>
        <v/>
      </c>
      <c r="AC257" s="49">
        <f>VLOOKUP(B257,country_opex,7,FALSE)*ins_pct</f>
        <v/>
      </c>
      <c r="AD257" s="49">
        <f>charge_berth</f>
        <v/>
      </c>
      <c r="AE257" s="49">
        <f>Y257+Z257+AA257+AB257+AC257+AD257</f>
        <v/>
      </c>
      <c r="AF257" s="49">
        <f>VLOOKUP(B257,country_opex,7,FALSE)/dep_years</f>
        <v/>
      </c>
      <c r="AG257" s="49">
        <f>X257-AE257</f>
        <v/>
      </c>
      <c r="AH257" s="46">
        <f>IF(X257=0,"",AG257/X257)</f>
        <v/>
      </c>
      <c r="AI257" s="47">
        <f>IF(AG257&lt;=0,"",VLOOKUP(B257,country_opex,7,FALSE)/AG257)</f>
        <v/>
      </c>
      <c r="AJ257" s="44">
        <f>((G257*S257/diesel_nmpg)*diesel_co2pg-(battery/range_nm)*G257*S257*VLOOKUP(B257,country_opex,4,FALSE))/1000</f>
        <v/>
      </c>
      <c r="AK257" s="42" t="n">
        <v>5000</v>
      </c>
      <c r="AL257" s="43" t="inlineStr">
        <is>
          <t>T3</t>
        </is>
      </c>
      <c r="AM257" s="43" t="inlineStr">
        <is>
          <t>med-low</t>
        </is>
      </c>
      <c r="AN257" s="50" t="n">
        <v>0.1</v>
      </c>
      <c r="AO257" s="45">
        <f>IF(AK257="","",AK257*AN257)</f>
        <v/>
      </c>
      <c r="AP257" s="45">
        <f>IF(OR(AK257="",V257=0),"",MIN(IF(AX257="",9.9E+99,AX257),FLOOR(AO257/V257,1)))</f>
        <v/>
      </c>
      <c r="AQ257" s="49">
        <f>IF(AP257="","",AP257*IF(ABS(MOD(ABS((X257)),1)-0.5)&lt;1E-9,2*ROUND((X257)/2,0),ROUND((X257),0)))</f>
        <v/>
      </c>
      <c r="AR257" s="47">
        <f>IF(OR(AK257="",V257=0),"",MIN(IF(AX257="",9.9E+99,AX257),AO257/V257))</f>
        <v/>
      </c>
      <c r="AS257" s="49">
        <f>IF(AR257="","",AR257*IF(B257="South Korea",IF(ABS(MOD(ABS((X257)),1)-0.5)&lt;1E-9,2*ROUND((X257)/2,0),ROUND((X257),0)),X257))</f>
        <v/>
      </c>
      <c r="AT257" s="51" t="n"/>
      <c r="AU257" s="43" t="inlineStr">
        <is>
          <t>Grounded</t>
        </is>
      </c>
      <c r="AV257" s="52" t="n"/>
      <c r="AW257" s="52" t="n"/>
      <c r="AX257" s="53" t="n"/>
      <c r="AY257" s="54">
        <f>IF(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&lt;=0,"",VLOOKUP(B257,country_opex,7,FALSE)/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)</f>
        <v/>
      </c>
      <c r="AZ257" s="54">
        <f>IF(((W257*pax_cap*IF(B257="South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Korea",korea_mid_revleg,revleg_mid)),0))*VLOOKUP(B257,country_opex,3,FALSE))+Z257+AA257+AB257+AC257+AD257))&lt;=0,"",VLOOKUP(B257,country_opex,7,FALSE)/((W257*pax_cap*IF(B257="South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Korea",korea_mid_revleg,revleg_mid)),0))*VLOOKUP(B257,country_opex,3,FALSE))+Z257+AA257+AB257+AC257+AD257)))</f>
        <v/>
      </c>
      <c r="BA257" s="54">
        <f>IF(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&lt;=0,"",VLOOKUP(B257,country_opex,7,FALSE)/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)</f>
        <v/>
      </c>
      <c r="BB257" s="40" t="inlineStr">
        <is>
          <t>handoff/INDIA-ECONOMICS-SIDECAR-V0-2026-06-20.json (andaman)</t>
        </is>
      </c>
      <c r="BC257" s="40" t="inlineStr">
        <is>
          <t>handoff/INDIA-ECONOMICS-SIDECAR-V0-2026-06-20.json (andaman)</t>
        </is>
      </c>
      <c r="BD257" s="43" t="inlineStr">
        <is>
          <t>ics-5b56f03a57</t>
        </is>
      </c>
    </row>
    <row r="258">
      <c r="A258" s="38" t="inlineStr">
        <is>
          <t>India Andaman Rapido</t>
        </is>
      </c>
      <c r="B258" s="38" t="inlineStr">
        <is>
          <t>India</t>
        </is>
      </c>
      <c r="C258" s="39" t="inlineStr">
        <is>
          <t>Andaman → Office Of Assistant Engineer Civil, Andaman Lakshdweep Harbour Work Havelock</t>
        </is>
      </c>
      <c r="D258" s="38" t="inlineStr">
        <is>
          <t>rapido</t>
        </is>
      </c>
      <c r="E258" s="40" t="inlineStr">
        <is>
          <t>india-andaman-ola, india-andaman-rapido</t>
        </is>
      </c>
      <c r="F258" s="41" t="n">
        <v>2</v>
      </c>
      <c r="G258" s="42" t="n">
        <v>28.2</v>
      </c>
      <c r="H258" s="35" t="n">
        <v>22</v>
      </c>
      <c r="I258" s="43" t="inlineStr">
        <is>
          <t>T3</t>
        </is>
      </c>
      <c r="J258" s="43" t="inlineStr">
        <is>
          <t>med-low</t>
        </is>
      </c>
      <c r="K258" s="29" t="n">
        <v>1</v>
      </c>
      <c r="L258" s="44">
        <f>60*G258/cruise_kt</f>
        <v/>
      </c>
      <c r="M258" s="44">
        <f>IF(B258="South Korea",G258/korea_charge_range_nm*korea_full_range_charge_min,0)</f>
        <v/>
      </c>
      <c r="N258" s="44">
        <f>IF(B258="South Korea",L258+korea_turn_min+korea_dwell_min+M258,L258+turn_min+dwell_min)</f>
        <v/>
      </c>
      <c r="O258" s="45">
        <f>IF(B258="South Korea",FLOOR(60*korea_service_hr/N258,1),MIN(15,FLOOR(60*service_hr/N258,1)))</f>
        <v/>
      </c>
      <c r="P258" s="45">
        <f>IF(ABS(MOD(ABS((365*mech_uptime*K258)),1)-0.5)&lt;1E-9,2*ROUND((365*mech_uptime*K258)/2,0),ROUND((365*mech_uptime*K258),0))</f>
        <v/>
      </c>
      <c r="Q258" s="46">
        <f>mech_uptime</f>
        <v/>
      </c>
      <c r="R258" s="46">
        <f>IF(AND(B258="South Korea",scenario="MID"),korea_mid_revleg,revleg_sel)</f>
        <v/>
      </c>
      <c r="S258" s="45">
        <f>IF(ABS(MOD(ABS((O258*P258*R258)),1)-0.5)&lt;1E-9,2*ROUND((O258*P258*R258)/2,0),ROUND((O258*P258*R258),0))</f>
        <v/>
      </c>
      <c r="T258" s="46">
        <f>IF(AND(B258="South Korea",scenario="MID"),korea_mid_load,load_sel)</f>
        <v/>
      </c>
      <c r="U258" s="47">
        <f>pax_cap*T258</f>
        <v/>
      </c>
      <c r="V258" s="45">
        <f>U258*S258</f>
        <v/>
      </c>
      <c r="W258" s="48">
        <f>H258*discount</f>
        <v/>
      </c>
      <c r="X258" s="49">
        <f>W258*V258</f>
        <v/>
      </c>
      <c r="Y258" s="49">
        <f>(battery/range_nm)*G258*S258*VLOOKUP(B258,country_opex,3,FALSE)</f>
        <v/>
      </c>
      <c r="Z258" s="49">
        <f>VLOOKUP(B258,country_opex,2,FALSE)*crew_factor</f>
        <v/>
      </c>
      <c r="AA258" s="49">
        <f>VLOOKUP(B258,country_opex,5,FALSE)</f>
        <v/>
      </c>
      <c r="AB258" s="49">
        <f>maint</f>
        <v/>
      </c>
      <c r="AC258" s="49">
        <f>VLOOKUP(B258,country_opex,7,FALSE)*ins_pct</f>
        <v/>
      </c>
      <c r="AD258" s="49">
        <f>charge_berth</f>
        <v/>
      </c>
      <c r="AE258" s="49">
        <f>Y258+Z258+AA258+AB258+AC258+AD258</f>
        <v/>
      </c>
      <c r="AF258" s="49">
        <f>VLOOKUP(B258,country_opex,7,FALSE)/dep_years</f>
        <v/>
      </c>
      <c r="AG258" s="49">
        <f>X258-AE258</f>
        <v/>
      </c>
      <c r="AH258" s="46">
        <f>IF(X258=0,"",AG258/X258)</f>
        <v/>
      </c>
      <c r="AI258" s="47">
        <f>IF(AG258&lt;=0,"",VLOOKUP(B258,country_opex,7,FALSE)/AG258)</f>
        <v/>
      </c>
      <c r="AJ258" s="44">
        <f>((G258*S258/diesel_nmpg)*diesel_co2pg-(battery/range_nm)*G258*S258*VLOOKUP(B258,country_opex,4,FALSE))/1000</f>
        <v/>
      </c>
      <c r="AK258" s="42" t="n">
        <v>5000</v>
      </c>
      <c r="AL258" s="43" t="inlineStr">
        <is>
          <t>T3</t>
        </is>
      </c>
      <c r="AM258" s="43" t="inlineStr">
        <is>
          <t>med-low</t>
        </is>
      </c>
      <c r="AN258" s="50" t="n">
        <v>0.1</v>
      </c>
      <c r="AO258" s="45">
        <f>IF(AK258="","",AK258*AN258)</f>
        <v/>
      </c>
      <c r="AP258" s="45">
        <f>IF(OR(AK258="",V258=0),"",MIN(IF(AX258="",9.9E+99,AX258),FLOOR(AO258/V258,1)))</f>
        <v/>
      </c>
      <c r="AQ258" s="49">
        <f>IF(AP258="","",AP258*IF(ABS(MOD(ABS((X258)),1)-0.5)&lt;1E-9,2*ROUND((X258)/2,0),ROUND((X258),0)))</f>
        <v/>
      </c>
      <c r="AR258" s="47">
        <f>IF(OR(AK258="",V258=0),"",MIN(IF(AX258="",9.9E+99,AX258),AO258/V258))</f>
        <v/>
      </c>
      <c r="AS258" s="49">
        <f>IF(AR258="","",AR258*IF(B258="South Korea",IF(ABS(MOD(ABS((X258)),1)-0.5)&lt;1E-9,2*ROUND((X258)/2,0),ROUND((X258),0)),X258))</f>
        <v/>
      </c>
      <c r="AT258" s="51" t="n"/>
      <c r="AU258" s="43" t="inlineStr">
        <is>
          <t>Grounded</t>
        </is>
      </c>
      <c r="AV258" s="52" t="n"/>
      <c r="AW258" s="52" t="n"/>
      <c r="AX258" s="53" t="n"/>
      <c r="AY258" s="54">
        <f>IF(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&lt;=0,"",VLOOKUP(B258,country_opex,7,FALSE)/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)</f>
        <v/>
      </c>
      <c r="AZ258" s="54">
        <f>IF(((W258*pax_cap*IF(B258="South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Korea",korea_mid_revleg,revleg_mid)),0))*VLOOKUP(B258,country_opex,3,FALSE))+Z258+AA258+AB258+AC258+AD258))&lt;=0,"",VLOOKUP(B258,country_opex,7,FALSE)/((W258*pax_cap*IF(B258="South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Korea",korea_mid_revleg,revleg_mid)),0))*VLOOKUP(B258,country_opex,3,FALSE))+Z258+AA258+AB258+AC258+AD258)))</f>
        <v/>
      </c>
      <c r="BA258" s="54">
        <f>IF(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&lt;=0,"",VLOOKUP(B258,country_opex,7,FALSE)/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)</f>
        <v/>
      </c>
      <c r="BB258" s="40" t="inlineStr">
        <is>
          <t>handoff/INDIA-ECONOMICS-SIDECAR-V0-2026-06-20.json (andaman)</t>
        </is>
      </c>
      <c r="BC258" s="40" t="inlineStr">
        <is>
          <t>handoff/INDIA-ECONOMICS-SIDECAR-V0-2026-06-20.json (andaman)</t>
        </is>
      </c>
      <c r="BD258" s="43" t="inlineStr">
        <is>
          <t>rn-15b477252a2a</t>
        </is>
      </c>
    </row>
    <row r="259">
      <c r="A259" s="38" t="inlineStr">
        <is>
          <t>India Andaman Rapido</t>
        </is>
      </c>
      <c r="B259" s="38" t="inlineStr">
        <is>
          <t>India</t>
        </is>
      </c>
      <c r="C259" s="39" t="inlineStr">
        <is>
          <t>Andaman → APARUPA SANDS MARINA</t>
        </is>
      </c>
      <c r="D259" s="38" t="inlineStr">
        <is>
          <t>rapido</t>
        </is>
      </c>
      <c r="E259" s="40" t="inlineStr">
        <is>
          <t>india-andaman-ola, india-andaman-rapido</t>
        </is>
      </c>
      <c r="F259" s="41" t="n">
        <v>2</v>
      </c>
      <c r="G259" s="42" t="n">
        <v>29.4</v>
      </c>
      <c r="H259" s="35" t="n">
        <v>22</v>
      </c>
      <c r="I259" s="43" t="inlineStr">
        <is>
          <t>T3</t>
        </is>
      </c>
      <c r="J259" s="43" t="inlineStr">
        <is>
          <t>med-low</t>
        </is>
      </c>
      <c r="K259" s="29" t="n">
        <v>1</v>
      </c>
      <c r="L259" s="44">
        <f>60*G259/cruise_kt</f>
        <v/>
      </c>
      <c r="M259" s="44">
        <f>IF(B259="South Korea",G259/korea_charge_range_nm*korea_full_range_charge_min,0)</f>
        <v/>
      </c>
      <c r="N259" s="44">
        <f>IF(B259="South Korea",L259+korea_turn_min+korea_dwell_min+M259,L259+turn_min+dwell_min)</f>
        <v/>
      </c>
      <c r="O259" s="45">
        <f>IF(B259="South Korea",FLOOR(60*korea_service_hr/N259,1),MIN(15,FLOOR(60*service_hr/N259,1)))</f>
        <v/>
      </c>
      <c r="P259" s="45">
        <f>IF(ABS(MOD(ABS((365*mech_uptime*K259)),1)-0.5)&lt;1E-9,2*ROUND((365*mech_uptime*K259)/2,0),ROUND((365*mech_uptime*K259),0))</f>
        <v/>
      </c>
      <c r="Q259" s="46">
        <f>mech_uptime</f>
        <v/>
      </c>
      <c r="R259" s="46">
        <f>IF(AND(B259="South Korea",scenario="MID"),korea_mid_revleg,revleg_sel)</f>
        <v/>
      </c>
      <c r="S259" s="45">
        <f>IF(ABS(MOD(ABS((O259*P259*R259)),1)-0.5)&lt;1E-9,2*ROUND((O259*P259*R259)/2,0),ROUND((O259*P259*R259),0))</f>
        <v/>
      </c>
      <c r="T259" s="46">
        <f>IF(AND(B259="South Korea",scenario="MID"),korea_mid_load,load_sel)</f>
        <v/>
      </c>
      <c r="U259" s="47">
        <f>pax_cap*T259</f>
        <v/>
      </c>
      <c r="V259" s="45">
        <f>U259*S259</f>
        <v/>
      </c>
      <c r="W259" s="48">
        <f>H259*discount</f>
        <v/>
      </c>
      <c r="X259" s="49">
        <f>W259*V259</f>
        <v/>
      </c>
      <c r="Y259" s="49">
        <f>(battery/range_nm)*G259*S259*VLOOKUP(B259,country_opex,3,FALSE)</f>
        <v/>
      </c>
      <c r="Z259" s="49">
        <f>VLOOKUP(B259,country_opex,2,FALSE)*crew_factor</f>
        <v/>
      </c>
      <c r="AA259" s="49">
        <f>VLOOKUP(B259,country_opex,5,FALSE)</f>
        <v/>
      </c>
      <c r="AB259" s="49">
        <f>maint</f>
        <v/>
      </c>
      <c r="AC259" s="49">
        <f>VLOOKUP(B259,country_opex,7,FALSE)*ins_pct</f>
        <v/>
      </c>
      <c r="AD259" s="49">
        <f>charge_berth</f>
        <v/>
      </c>
      <c r="AE259" s="49">
        <f>Y259+Z259+AA259+AB259+AC259+AD259</f>
        <v/>
      </c>
      <c r="AF259" s="49">
        <f>VLOOKUP(B259,country_opex,7,FALSE)/dep_years</f>
        <v/>
      </c>
      <c r="AG259" s="49">
        <f>X259-AE259</f>
        <v/>
      </c>
      <c r="AH259" s="46">
        <f>IF(X259=0,"",AG259/X259)</f>
        <v/>
      </c>
      <c r="AI259" s="47">
        <f>IF(AG259&lt;=0,"",VLOOKUP(B259,country_opex,7,FALSE)/AG259)</f>
        <v/>
      </c>
      <c r="AJ259" s="44">
        <f>((G259*S259/diesel_nmpg)*diesel_co2pg-(battery/range_nm)*G259*S259*VLOOKUP(B259,country_opex,4,FALSE))/1000</f>
        <v/>
      </c>
      <c r="AK259" s="42" t="n">
        <v>5000</v>
      </c>
      <c r="AL259" s="43" t="inlineStr">
        <is>
          <t>T3</t>
        </is>
      </c>
      <c r="AM259" s="43" t="inlineStr">
        <is>
          <t>med-low</t>
        </is>
      </c>
      <c r="AN259" s="50" t="n">
        <v>0.1</v>
      </c>
      <c r="AO259" s="45">
        <f>IF(AK259="","",AK259*AN259)</f>
        <v/>
      </c>
      <c r="AP259" s="45">
        <f>IF(OR(AK259="",V259=0),"",MIN(IF(AX259="",9.9E+99,AX259),FLOOR(AO259/V259,1)))</f>
        <v/>
      </c>
      <c r="AQ259" s="49">
        <f>IF(AP259="","",AP259*IF(ABS(MOD(ABS((X259)),1)-0.5)&lt;1E-9,2*ROUND((X259)/2,0),ROUND((X259),0)))</f>
        <v/>
      </c>
      <c r="AR259" s="47">
        <f>IF(OR(AK259="",V259=0),"",MIN(IF(AX259="",9.9E+99,AX259),AO259/V259))</f>
        <v/>
      </c>
      <c r="AS259" s="49">
        <f>IF(AR259="","",AR259*IF(B259="South Korea",IF(ABS(MOD(ABS((X259)),1)-0.5)&lt;1E-9,2*ROUND((X259)/2,0),ROUND((X259),0)),X259))</f>
        <v/>
      </c>
      <c r="AT259" s="51" t="n"/>
      <c r="AU259" s="43" t="inlineStr">
        <is>
          <t>Grounded</t>
        </is>
      </c>
      <c r="AV259" s="52" t="n"/>
      <c r="AW259" s="52" t="n"/>
      <c r="AX259" s="53" t="n"/>
      <c r="AY259" s="54">
        <f>IF(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&lt;=0,"",VLOOKUP(B259,country_opex,7,FALSE)/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)</f>
        <v/>
      </c>
      <c r="AZ259" s="54">
        <f>IF(((W259*pax_cap*IF(B259="South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Korea",korea_mid_revleg,revleg_mid)),0))*VLOOKUP(B259,country_opex,3,FALSE))+Z259+AA259+AB259+AC259+AD259))&lt;=0,"",VLOOKUP(B259,country_opex,7,FALSE)/((W259*pax_cap*IF(B259="South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Korea",korea_mid_revleg,revleg_mid)),0))*VLOOKUP(B259,country_opex,3,FALSE))+Z259+AA259+AB259+AC259+AD259)))</f>
        <v/>
      </c>
      <c r="BA259" s="54">
        <f>IF(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&lt;=0,"",VLOOKUP(B259,country_opex,7,FALSE)/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)</f>
        <v/>
      </c>
      <c r="BB259" s="40" t="inlineStr">
        <is>
          <t>handoff/INDIA-ECONOMICS-SIDECAR-V0-2026-06-20.json (andaman)</t>
        </is>
      </c>
      <c r="BC259" s="40" t="inlineStr">
        <is>
          <t>handoff/INDIA-ECONOMICS-SIDECAR-V0-2026-06-20.json (andaman)</t>
        </is>
      </c>
      <c r="BD259" s="43" t="inlineStr">
        <is>
          <t>rn-0b6f7d5d73e2</t>
        </is>
      </c>
    </row>
    <row r="260">
      <c r="A260" s="38" t="inlineStr">
        <is>
          <t>Komodo Flores</t>
        </is>
      </c>
      <c r="B260" s="38" t="inlineStr">
        <is>
          <t>Indonesia</t>
        </is>
      </c>
      <c r="C260" s="39" t="inlineStr">
        <is>
          <t>Komodo → Pelabuhan Labuan Bajo</t>
        </is>
      </c>
      <c r="D260" s="38" t="inlineStr">
        <is>
          <t>grab</t>
        </is>
      </c>
      <c r="E260" s="40" t="inlineStr">
        <is>
          <t>komodo-flores</t>
        </is>
      </c>
      <c r="F260" s="41" t="n">
        <v>1</v>
      </c>
      <c r="G260" s="42" t="n">
        <v>1.4</v>
      </c>
      <c r="H260" s="35" t="n">
        <v>50</v>
      </c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IF(B260="South Korea",G260/korea_charge_range_nm*korea_full_range_charge_min,0)</f>
        <v/>
      </c>
      <c r="N260" s="44">
        <f>IF(B260="South Korea",L260+korea_turn_min+korea_dwell_min+M260,L260+turn_min+dwell_min)</f>
        <v/>
      </c>
      <c r="O260" s="45">
        <f>IF(B260="South Korea",FLOOR(60*korea_service_hr/N260,1),MIN(24,FLOOR(60*service_hr/N260,1)))</f>
        <v/>
      </c>
      <c r="P260" s="45">
        <f>IF(ABS(MOD(ABS((365*mech_uptime*K260)),1)-0.5)&lt;1E-9,2*ROUND((365*mech_uptime*K260)/2,0),ROUND((365*mech_uptime*K260),0))</f>
        <v/>
      </c>
      <c r="Q260" s="46">
        <f>mech_uptime</f>
        <v/>
      </c>
      <c r="R260" s="46">
        <f>IF(AND(B260="South Korea",scenario="MID"),korea_mid_revleg,revleg_sel)</f>
        <v/>
      </c>
      <c r="S260" s="45">
        <f>IF(ABS(MOD(ABS((O260*P260*R260)),1)-0.5)&lt;1E-9,2*ROUND((O260*P260*R260)/2,0),ROUND((O260*P260*R260),0))</f>
        <v/>
      </c>
      <c r="T260" s="46">
        <f>IF(AND(B260="South Korea",scenario="MID"),korea_mid_load,load_sel)</f>
        <v/>
      </c>
      <c r="U260" s="47">
        <f>pax_cap*T260</f>
        <v/>
      </c>
      <c r="V260" s="45">
        <f>U260*S260</f>
        <v/>
      </c>
      <c r="W260" s="48">
        <f>H260*discount</f>
        <v/>
      </c>
      <c r="X260" s="49">
        <f>W260*V260</f>
        <v/>
      </c>
      <c r="Y260" s="49">
        <f>(battery/range_nm)*G260*S260*VLOOKUP(B260,country_opex,3,FALSE)</f>
        <v/>
      </c>
      <c r="Z260" s="49">
        <f>VLOOKUP(B260,country_opex,2,FALSE)*crew_factor</f>
        <v/>
      </c>
      <c r="AA260" s="49">
        <f>VLOOKUP(B260,country_opex,5,FALSE)</f>
        <v/>
      </c>
      <c r="AB260" s="49">
        <f>maint</f>
        <v/>
      </c>
      <c r="AC260" s="49">
        <f>VLOOKUP(B260,country_opex,7,FALSE)*ins_pct</f>
        <v/>
      </c>
      <c r="AD260" s="49">
        <f>charge_berth</f>
        <v/>
      </c>
      <c r="AE260" s="49">
        <f>Y260+Z260+AA260+AB260+AC260+AD260</f>
        <v/>
      </c>
      <c r="AF260" s="49">
        <f>VLOOKUP(B260,country_opex,7,FALSE)/dep_years</f>
        <v/>
      </c>
      <c r="AG260" s="49">
        <f>X260-AE260</f>
        <v/>
      </c>
      <c r="AH260" s="46">
        <f>IF(X260=0,"",AG260/X260)</f>
        <v/>
      </c>
      <c r="AI260" s="47">
        <f>IF(AG260&lt;=0,"",VLOOKUP(B260,country_opex,7,FALSE)/AG260)</f>
        <v/>
      </c>
      <c r="AJ260" s="44">
        <f>((G260*S260/diesel_nmpg)*diesel_co2pg-(battery/range_nm)*G260*S260*VLOOKUP(B260,country_opex,4,FALSE))/1000</f>
        <v/>
      </c>
      <c r="AK260" s="42" t="n">
        <v>5000</v>
      </c>
      <c r="AL260" s="43" t="inlineStr">
        <is>
          <t>T3</t>
        </is>
      </c>
      <c r="AM260" s="43" t="inlineStr">
        <is>
          <t>med</t>
        </is>
      </c>
      <c r="AN260" s="50" t="n">
        <v>0.1</v>
      </c>
      <c r="AO260" s="45">
        <f>IF(AK260="","",AK260*AN260)</f>
        <v/>
      </c>
      <c r="AP260" s="45">
        <f>IF(OR(AK260="",V260=0),"",MIN(IF(AX260="",9.9E+99,AX260),FLOOR(AO260/V260,1)))</f>
        <v/>
      </c>
      <c r="AQ260" s="49">
        <f>IF(AP260="","",AP260*IF(ABS(MOD(ABS((X260)),1)-0.5)&lt;1E-9,2*ROUND((X260)/2,0),ROUND((X260),0)))</f>
        <v/>
      </c>
      <c r="AR260" s="47">
        <f>IF(OR(AK260="",V260=0),"",MIN(IF(AX260="",9.9E+99,AX260),AO260/V260))</f>
        <v/>
      </c>
      <c r="AS260" s="49">
        <f>IF(AR260="","",AR260*IF(B260="South Korea",IF(ABS(MOD(ABS((X260)),1)-0.5)&lt;1E-9,2*ROUND((X260)/2,0),ROUND((X260),0)),X260))</f>
        <v/>
      </c>
      <c r="AT260" s="51" t="n"/>
      <c r="AU260" s="43" t="inlineStr">
        <is>
          <t>Grounded</t>
        </is>
      </c>
      <c r="AV260" s="52" t="n"/>
      <c r="AW260" s="52" t="n"/>
      <c r="AX260" s="53" t="n"/>
      <c r="AY260" s="54">
        <f>IF(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&lt;=0,"",VLOOKUP(B260,country_opex,7,FALSE)/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)</f>
        <v/>
      </c>
      <c r="AZ260" s="54">
        <f>IF(((W260*pax_cap*IF(B260="South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Korea",korea_mid_revleg,revleg_mid)),0))*VLOOKUP(B260,country_opex,3,FALSE))+Z260+AA260+AB260+AC260+AD260))&lt;=0,"",VLOOKUP(B260,country_opex,7,FALSE)/((W260*pax_cap*IF(B260="South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Korea",korea_mid_revleg,revleg_mid)),0))*VLOOKUP(B260,country_opex,3,FALSE))+Z260+AA260+AB260+AC260+AD260)))</f>
        <v/>
      </c>
      <c r="BA260" s="54">
        <f>IF(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&lt;=0,"",VLOOKUP(B260,country_opex,7,FALSE)/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)</f>
        <v/>
      </c>
      <c r="BB260" s="40" t="inlineStr">
        <is>
          <t>economics_by_route_id.json</t>
        </is>
      </c>
      <c r="BC260" s="40" t="inlineStr">
        <is>
          <t>gojek-127/route+economics</t>
        </is>
      </c>
      <c r="BD260" s="43" t="inlineStr">
        <is>
          <t>rn-1f3002dd00e5</t>
        </is>
      </c>
    </row>
    <row r="261">
      <c r="A261" s="38" t="inlineStr">
        <is>
          <t>Komodo Flores</t>
        </is>
      </c>
      <c r="B261" s="38" t="inlineStr">
        <is>
          <t>Indonesia</t>
        </is>
      </c>
      <c r="C261" s="39" t="inlineStr">
        <is>
          <t>Komodo → Meruorah Komodo Labuan Bajo</t>
        </is>
      </c>
      <c r="D261" s="38" t="inlineStr">
        <is>
          <t>grab</t>
        </is>
      </c>
      <c r="E261" s="40" t="inlineStr">
        <is>
          <t>komodo-flores</t>
        </is>
      </c>
      <c r="F261" s="41" t="n">
        <v>1</v>
      </c>
      <c r="G261" s="42" t="n">
        <v>1.5</v>
      </c>
      <c r="H261" s="35" t="n">
        <v>50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IF(B261="South Korea",G261/korea_charge_range_nm*korea_full_range_charge_min,0)</f>
        <v/>
      </c>
      <c r="N261" s="44">
        <f>IF(B261="South Korea",L261+korea_turn_min+korea_dwell_min+M261,L261+turn_min+dwell_min)</f>
        <v/>
      </c>
      <c r="O261" s="45">
        <f>IF(B261="South Korea",FLOOR(60*korea_service_hr/N261,1),MIN(24,FLOOR(60*service_hr/N261,1)))</f>
        <v/>
      </c>
      <c r="P261" s="45">
        <f>IF(ABS(MOD(ABS((365*mech_uptime*K261)),1)-0.5)&lt;1E-9,2*ROUND((365*mech_uptime*K261)/2,0),ROUND((365*mech_uptime*K261),0))</f>
        <v/>
      </c>
      <c r="Q261" s="46">
        <f>mech_uptime</f>
        <v/>
      </c>
      <c r="R261" s="46">
        <f>IF(AND(B261="South Korea",scenario="MID"),korea_mid_revleg,revleg_sel)</f>
        <v/>
      </c>
      <c r="S261" s="45">
        <f>IF(ABS(MOD(ABS((O261*P261*R261)),1)-0.5)&lt;1E-9,2*ROUND((O261*P261*R261)/2,0),ROUND((O261*P261*R261),0))</f>
        <v/>
      </c>
      <c r="T261" s="46">
        <f>IF(AND(B261="South Korea",scenario="MID"),korea_mid_load,load_sel)</f>
        <v/>
      </c>
      <c r="U261" s="47">
        <f>pax_cap*T261</f>
        <v/>
      </c>
      <c r="V261" s="45">
        <f>U261*S261</f>
        <v/>
      </c>
      <c r="W261" s="48">
        <f>H261*discount</f>
        <v/>
      </c>
      <c r="X261" s="49">
        <f>W261*V261</f>
        <v/>
      </c>
      <c r="Y261" s="49">
        <f>(battery/range_nm)*G261*S261*VLOOKUP(B261,country_opex,3,FALSE)</f>
        <v/>
      </c>
      <c r="Z261" s="49">
        <f>VLOOKUP(B261,country_opex,2,FALSE)*crew_factor</f>
        <v/>
      </c>
      <c r="AA261" s="49">
        <f>VLOOKUP(B261,country_opex,5,FALSE)</f>
        <v/>
      </c>
      <c r="AB261" s="49">
        <f>maint</f>
        <v/>
      </c>
      <c r="AC261" s="49">
        <f>VLOOKUP(B261,country_opex,7,FALSE)*ins_pct</f>
        <v/>
      </c>
      <c r="AD261" s="49">
        <f>charge_berth</f>
        <v/>
      </c>
      <c r="AE261" s="49">
        <f>Y261+Z261+AA261+AB261+AC261+AD261</f>
        <v/>
      </c>
      <c r="AF261" s="49">
        <f>VLOOKUP(B261,country_opex,7,FALSE)/dep_years</f>
        <v/>
      </c>
      <c r="AG261" s="49">
        <f>X261-AE261</f>
        <v/>
      </c>
      <c r="AH261" s="46">
        <f>IF(X261=0,"",AG261/X261)</f>
        <v/>
      </c>
      <c r="AI261" s="47">
        <f>IF(AG261&lt;=0,"",VLOOKUP(B261,country_opex,7,FALSE)/AG261)</f>
        <v/>
      </c>
      <c r="AJ261" s="44">
        <f>((G261*S261/diesel_nmpg)*diesel_co2pg-(battery/range_nm)*G261*S261*VLOOKUP(B261,country_opex,4,FALSE))/1000</f>
        <v/>
      </c>
      <c r="AK261" s="42" t="n">
        <v>5000</v>
      </c>
      <c r="AL261" s="43" t="inlineStr">
        <is>
          <t>T3</t>
        </is>
      </c>
      <c r="AM261" s="43" t="inlineStr">
        <is>
          <t>med</t>
        </is>
      </c>
      <c r="AN261" s="50" t="n">
        <v>0.1</v>
      </c>
      <c r="AO261" s="45">
        <f>IF(AK261="","",AK261*AN261)</f>
        <v/>
      </c>
      <c r="AP261" s="45">
        <f>IF(OR(AK261="",V261=0),"",MIN(IF(AX261="",9.9E+99,AX261),FLOOR(AO261/V261,1)))</f>
        <v/>
      </c>
      <c r="AQ261" s="49">
        <f>IF(AP261="","",AP261*IF(ABS(MOD(ABS((X261)),1)-0.5)&lt;1E-9,2*ROUND((X261)/2,0),ROUND((X261),0)))</f>
        <v/>
      </c>
      <c r="AR261" s="47">
        <f>IF(OR(AK261="",V261=0),"",MIN(IF(AX261="",9.9E+99,AX261),AO261/V261))</f>
        <v/>
      </c>
      <c r="AS261" s="49">
        <f>IF(AR261="","",AR261*IF(B261="South Korea",IF(ABS(MOD(ABS((X261)),1)-0.5)&lt;1E-9,2*ROUND((X261)/2,0),ROUND((X261),0)),X261))</f>
        <v/>
      </c>
      <c r="AT261" s="51" t="n"/>
      <c r="AU261" s="43" t="inlineStr">
        <is>
          <t>Grounded</t>
        </is>
      </c>
      <c r="AV261" s="52" t="n"/>
      <c r="AW261" s="52" t="n"/>
      <c r="AX261" s="53" t="n"/>
      <c r="AY261" s="54">
        <f>IF(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&lt;=0,"",VLOOKUP(B261,country_opex,7,FALSE)/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)</f>
        <v/>
      </c>
      <c r="AZ261" s="54">
        <f>IF(((W261*pax_cap*IF(B261="South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Korea",korea_mid_revleg,revleg_mid)),0))*VLOOKUP(B261,country_opex,3,FALSE))+Z261+AA261+AB261+AC261+AD261))&lt;=0,"",VLOOKUP(B261,country_opex,7,FALSE)/((W261*pax_cap*IF(B261="South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Korea",korea_mid_revleg,revleg_mid)),0))*VLOOKUP(B261,country_opex,3,FALSE))+Z261+AA261+AB261+AC261+AD261)))</f>
        <v/>
      </c>
      <c r="BA261" s="54">
        <f>IF(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&lt;=0,"",VLOOKUP(B261,country_opex,7,FALSE)/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)</f>
        <v/>
      </c>
      <c r="BB261" s="40" t="inlineStr">
        <is>
          <t>economics_by_route_id.json</t>
        </is>
      </c>
      <c r="BC261" s="40" t="inlineStr">
        <is>
          <t>gojek-127/route+economics</t>
        </is>
      </c>
      <c r="BD261" s="43" t="inlineStr">
        <is>
          <t>rn-871e5ff3b6a7</t>
        </is>
      </c>
    </row>
    <row r="262">
      <c r="A262" s="38" t="inlineStr">
        <is>
          <t>Bali</t>
        </is>
      </c>
      <c r="B262" s="38" t="inlineStr">
        <is>
          <t>Indonesia</t>
        </is>
      </c>
      <c r="C262" s="39" t="inlineStr">
        <is>
          <t>Gili Meno Harbour → Ferry Terminal Gili Trawangan</t>
        </is>
      </c>
      <c r="D262" s="38" t="inlineStr">
        <is>
          <t>grab</t>
        </is>
      </c>
      <c r="E262" s="40" t="inlineStr">
        <is>
          <t>bali</t>
        </is>
      </c>
      <c r="F262" s="41" t="n">
        <v>1</v>
      </c>
      <c r="G262" s="42" t="n">
        <v>2</v>
      </c>
      <c r="H262" s="35" t="n">
        <v>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IF(B262="South Korea",G262/korea_charge_range_nm*korea_full_range_charge_min,0)</f>
        <v/>
      </c>
      <c r="N262" s="44">
        <f>IF(B262="South Korea",L262+korea_turn_min+korea_dwell_min+M262,L262+turn_min+dwell_min)</f>
        <v/>
      </c>
      <c r="O262" s="45">
        <f>IF(B262="South Korea",FLOOR(60*korea_service_hr/N262,1),MIN(24,FLOOR(60*service_hr/N262,1)))</f>
        <v/>
      </c>
      <c r="P262" s="45">
        <f>IF(ABS(MOD(ABS((365*mech_uptime*K262)),1)-0.5)&lt;1E-9,2*ROUND((365*mech_uptime*K262)/2,0),ROUND((365*mech_uptime*K262),0))</f>
        <v/>
      </c>
      <c r="Q262" s="46">
        <f>mech_uptime</f>
        <v/>
      </c>
      <c r="R262" s="46">
        <f>IF(AND(B262="South Korea",scenario="MID"),korea_mid_revleg,revleg_sel)</f>
        <v/>
      </c>
      <c r="S262" s="45">
        <f>IF(ABS(MOD(ABS((O262*P262*R262)),1)-0.5)&lt;1E-9,2*ROUND((O262*P262*R262)/2,0),ROUND((O262*P262*R262),0))</f>
        <v/>
      </c>
      <c r="T262" s="46">
        <f>IF(AND(B262="South Korea",scenario="MID"),korea_mid_load,load_sel)</f>
        <v/>
      </c>
      <c r="U262" s="47">
        <f>pax_cap*T262</f>
        <v/>
      </c>
      <c r="V262" s="45">
        <f>U262*S262</f>
        <v/>
      </c>
      <c r="W262" s="48">
        <f>H262*discount</f>
        <v/>
      </c>
      <c r="X262" s="49">
        <f>W262*V262</f>
        <v/>
      </c>
      <c r="Y262" s="49">
        <f>(battery/range_nm)*G262*S262*VLOOKUP(B262,country_opex,3,FALSE)</f>
        <v/>
      </c>
      <c r="Z262" s="49">
        <f>VLOOKUP(B262,country_opex,2,FALSE)*crew_factor</f>
        <v/>
      </c>
      <c r="AA262" s="49">
        <f>VLOOKUP(B262,country_opex,5,FALSE)</f>
        <v/>
      </c>
      <c r="AB262" s="49">
        <f>maint</f>
        <v/>
      </c>
      <c r="AC262" s="49">
        <f>VLOOKUP(B262,country_opex,7,FALSE)*ins_pct</f>
        <v/>
      </c>
      <c r="AD262" s="49">
        <f>charge_berth</f>
        <v/>
      </c>
      <c r="AE262" s="49">
        <f>Y262+Z262+AA262+AB262+AC262+AD262</f>
        <v/>
      </c>
      <c r="AF262" s="49">
        <f>VLOOKUP(B262,country_opex,7,FALSE)/dep_years</f>
        <v/>
      </c>
      <c r="AG262" s="49">
        <f>X262-AE262</f>
        <v/>
      </c>
      <c r="AH262" s="46">
        <f>IF(X262=0,"",AG262/X262)</f>
        <v/>
      </c>
      <c r="AI262" s="47">
        <f>IF(AG262&lt;=0,"",VLOOKUP(B262,country_opex,7,FALSE)/AG262)</f>
        <v/>
      </c>
      <c r="AJ262" s="44">
        <f>((G262*S262/diesel_nmpg)*diesel_co2pg-(battery/range_nm)*G262*S262*VLOOKUP(B262,country_opex,4,FALSE))/1000</f>
        <v/>
      </c>
      <c r="AK262" s="42" t="n">
        <v>5000</v>
      </c>
      <c r="AL262" s="43" t="inlineStr">
        <is>
          <t>T3</t>
        </is>
      </c>
      <c r="AM262" s="43" t="inlineStr">
        <is>
          <t>med</t>
        </is>
      </c>
      <c r="AN262" s="50" t="n">
        <v>0.1</v>
      </c>
      <c r="AO262" s="45">
        <f>IF(AK262="","",AK262*AN262)</f>
        <v/>
      </c>
      <c r="AP262" s="45">
        <f>IF(OR(AK262="",V262=0),"",MIN(IF(AX262="",9.9E+99,AX262),FLOOR(AO262/V262,1)))</f>
        <v/>
      </c>
      <c r="AQ262" s="49">
        <f>IF(AP262="","",AP262*IF(ABS(MOD(ABS((X262)),1)-0.5)&lt;1E-9,2*ROUND((X262)/2,0),ROUND((X262),0)))</f>
        <v/>
      </c>
      <c r="AR262" s="47">
        <f>IF(OR(AK262="",V262=0),"",MIN(IF(AX262="",9.9E+99,AX262),AO262/V262))</f>
        <v/>
      </c>
      <c r="AS262" s="49">
        <f>IF(AR262="","",AR262*IF(B262="South Korea",IF(ABS(MOD(ABS((X262)),1)-0.5)&lt;1E-9,2*ROUND((X262)/2,0),ROUND((X262),0)),X262))</f>
        <v/>
      </c>
      <c r="AT262" s="51" t="n"/>
      <c r="AU262" s="43" t="inlineStr">
        <is>
          <t>Grounded</t>
        </is>
      </c>
      <c r="AV262" s="52" t="n"/>
      <c r="AW262" s="52" t="n"/>
      <c r="AX262" s="53" t="n"/>
      <c r="AY262" s="54">
        <f>IF(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&lt;=0,"",VLOOKUP(B262,country_opex,7,FALSE)/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)</f>
        <v/>
      </c>
      <c r="AZ262" s="54">
        <f>IF(((W262*pax_cap*IF(B262="South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Korea",korea_mid_revleg,revleg_mid)),0))*VLOOKUP(B262,country_opex,3,FALSE))+Z262+AA262+AB262+AC262+AD262))&lt;=0,"",VLOOKUP(B262,country_opex,7,FALSE)/((W262*pax_cap*IF(B262="South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Korea",korea_mid_revleg,revleg_mid)),0))*VLOOKUP(B262,country_opex,3,FALSE))+Z262+AA262+AB262+AC262+AD262)))</f>
        <v/>
      </c>
      <c r="BA262" s="54">
        <f>IF(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&lt;=0,"",VLOOKUP(B262,country_opex,7,FALSE)/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)</f>
        <v/>
      </c>
      <c r="BB262" s="40" t="inlineStr">
        <is>
          <t>economics_by_route_id.json</t>
        </is>
      </c>
      <c r="BC262" s="40" t="inlineStr">
        <is>
          <t>gojek-127/route+economics</t>
        </is>
      </c>
      <c r="BD262" s="43" t="inlineStr">
        <is>
          <t>rn-cf0b8fa978b0</t>
        </is>
      </c>
    </row>
    <row r="263">
      <c r="A263" s="38" t="inlineStr">
        <is>
          <t>Jakarta</t>
        </is>
      </c>
      <c r="B263" s="38" t="inlineStr">
        <is>
          <t>Indonesia</t>
        </is>
      </c>
      <c r="C263" s="39" t="inlineStr">
        <is>
          <t>Pantai Laguna (Ancol Taman Impian) → Pantai Laguna (Ancol Taman Impian)</t>
        </is>
      </c>
      <c r="D263" s="38" t="inlineStr">
        <is>
          <t>grab</t>
        </is>
      </c>
      <c r="E263" s="40" t="inlineStr">
        <is>
          <t>jakarta</t>
        </is>
      </c>
      <c r="F263" s="41" t="n">
        <v>1</v>
      </c>
      <c r="G263" s="42" t="n">
        <v>2</v>
      </c>
      <c r="H263" s="35" t="n">
        <v>18</v>
      </c>
      <c r="I263" s="43" t="inlineStr">
        <is>
          <t>T1</t>
        </is>
      </c>
      <c r="J263" s="43" t="inlineStr">
        <is>
          <t>high</t>
        </is>
      </c>
      <c r="K263" s="29" t="n">
        <v>1</v>
      </c>
      <c r="L263" s="44">
        <f>60*G263/cruise_kt</f>
        <v/>
      </c>
      <c r="M263" s="44">
        <f>IF(B263="South Korea",G263/korea_charge_range_nm*korea_full_range_charge_min,0)</f>
        <v/>
      </c>
      <c r="N263" s="44">
        <f>IF(B263="South Korea",L263+korea_turn_min+korea_dwell_min+M263,L263+turn_min+dwell_min)</f>
        <v/>
      </c>
      <c r="O263" s="45">
        <f>IF(B263="South Korea",FLOOR(60*korea_service_hr/N263,1),MIN(15,FLOOR(60*service_hr/N263,1)))</f>
        <v/>
      </c>
      <c r="P263" s="45">
        <f>IF(ABS(MOD(ABS((365*mech_uptime*K263)),1)-0.5)&lt;1E-9,2*ROUND((365*mech_uptime*K263)/2,0),ROUND((365*mech_uptime*K263),0))</f>
        <v/>
      </c>
      <c r="Q263" s="46">
        <f>mech_uptime</f>
        <v/>
      </c>
      <c r="R263" s="46">
        <f>IF(AND(B263="South Korea",scenario="MID"),korea_mid_revleg,revleg_sel)</f>
        <v/>
      </c>
      <c r="S263" s="45">
        <f>IF(ABS(MOD(ABS((O263*P263*R263)),1)-0.5)&lt;1E-9,2*ROUND((O263*P263*R263)/2,0),ROUND((O263*P263*R263),0))</f>
        <v/>
      </c>
      <c r="T263" s="46">
        <f>IF(AND(B263="South Korea",scenario="MID"),korea_mid_load,load_sel)</f>
        <v/>
      </c>
      <c r="U263" s="47">
        <f>pax_cap*T263</f>
        <v/>
      </c>
      <c r="V263" s="45">
        <f>U263*S263</f>
        <v/>
      </c>
      <c r="W263" s="48">
        <f>H263*discount</f>
        <v/>
      </c>
      <c r="X263" s="49">
        <f>W263*V263</f>
        <v/>
      </c>
      <c r="Y263" s="49">
        <f>(battery/range_nm)*G263*S263*VLOOKUP(B263,country_opex,3,FALSE)</f>
        <v/>
      </c>
      <c r="Z263" s="49">
        <f>VLOOKUP(B263,country_opex,2,FALSE)*crew_factor</f>
        <v/>
      </c>
      <c r="AA263" s="49">
        <f>VLOOKUP(B263,country_opex,5,FALSE)</f>
        <v/>
      </c>
      <c r="AB263" s="49">
        <f>maint</f>
        <v/>
      </c>
      <c r="AC263" s="49">
        <f>VLOOKUP(B263,country_opex,7,FALSE)*ins_pct</f>
        <v/>
      </c>
      <c r="AD263" s="49">
        <f>charge_berth</f>
        <v/>
      </c>
      <c r="AE263" s="49">
        <f>Y263+Z263+AA263+AB263+AC263+AD263</f>
        <v/>
      </c>
      <c r="AF263" s="49">
        <f>VLOOKUP(B263,country_opex,7,FALSE)/dep_years</f>
        <v/>
      </c>
      <c r="AG263" s="49">
        <f>X263-AE263</f>
        <v/>
      </c>
      <c r="AH263" s="46">
        <f>IF(X263=0,"",AG263/X263)</f>
        <v/>
      </c>
      <c r="AI263" s="47">
        <f>IF(AG263&lt;=0,"",VLOOKUP(B263,country_opex,7,FALSE)/AG263)</f>
        <v/>
      </c>
      <c r="AJ263" s="44">
        <f>((G263*S263/diesel_nmpg)*diesel_co2pg-(battery/range_nm)*G263*S263*VLOOKUP(B263,country_opex,4,FALSE))/1000</f>
        <v/>
      </c>
      <c r="AK263" s="42" t="n">
        <v>200000</v>
      </c>
      <c r="AL263" s="43" t="n"/>
      <c r="AM263" s="43" t="n"/>
      <c r="AN263" s="50" t="n">
        <v>0.1</v>
      </c>
      <c r="AO263" s="45">
        <f>IF(AK263="","",AK263*AN263)</f>
        <v/>
      </c>
      <c r="AP263" s="45">
        <f>IF(OR(AK263="",V263=0),"",MIN(IF(AX263="",9.9E+99,AX263),FLOOR(AO263/V263,1)))</f>
        <v/>
      </c>
      <c r="AQ263" s="49">
        <f>IF(AP263="","",AP263*IF(ABS(MOD(ABS((X263)),1)-0.5)&lt;1E-9,2*ROUND((X263)/2,0),ROUND((X263),0)))</f>
        <v/>
      </c>
      <c r="AR263" s="47">
        <f>IF(OR(AK263="",V263=0),"",MIN(IF(AX263="",9.9E+99,AX263),AO263/V263))</f>
        <v/>
      </c>
      <c r="AS263" s="49">
        <f>IF(AR263="","",AR263*IF(B263="South Korea",IF(ABS(MOD(ABS((X263)),1)-0.5)&lt;1E-9,2*ROUND((X263)/2,0),ROUND((X263),0)),X263))</f>
        <v/>
      </c>
      <c r="AT263" s="51" t="n"/>
      <c r="AU263" s="43" t="inlineStr">
        <is>
          <t>Grounded</t>
        </is>
      </c>
      <c r="AV263" s="52" t="n"/>
      <c r="AW263" s="52" t="n"/>
      <c r="AX263" s="53" t="n"/>
      <c r="AY263" s="54">
        <f>IF(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&lt;=0,"",VLOOKUP(B263,country_opex,7,FALSE)/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)</f>
        <v/>
      </c>
      <c r="AZ263" s="54">
        <f>IF(((W263*pax_cap*IF(B263="South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Korea",korea_mid_revleg,revleg_mid)),0))*VLOOKUP(B263,country_opex,3,FALSE))+Z263+AA263+AB263+AC263+AD263))&lt;=0,"",VLOOKUP(B263,country_opex,7,FALSE)/((W263*pax_cap*IF(B263="South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Korea",korea_mid_revleg,revleg_mid)),0))*VLOOKUP(B263,country_opex,3,FALSE))+Z263+AA263+AB263+AC263+AD263)))</f>
        <v/>
      </c>
      <c r="BA263" s="54">
        <f>IF(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&lt;=0,"",VLOOKUP(B263,country_opex,7,FALSE)/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)</f>
        <v/>
      </c>
      <c r="BB263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C263" s="40" t="n"/>
      <c r="BD263" s="43" t="n"/>
    </row>
    <row r="264">
      <c r="A264" s="38" t="inlineStr">
        <is>
          <t>Bali</t>
        </is>
      </c>
      <c r="B264" s="38" t="inlineStr">
        <is>
          <t>Indonesia</t>
        </is>
      </c>
      <c r="C264" s="39" t="inlineStr">
        <is>
          <t>Jalan Crystal Bay → Nusa Bahari Lembongan</t>
        </is>
      </c>
      <c r="D264" s="38" t="inlineStr">
        <is>
          <t>grab</t>
        </is>
      </c>
      <c r="E264" s="40" t="inlineStr">
        <is>
          <t>bali</t>
        </is>
      </c>
      <c r="F264" s="41" t="n">
        <v>1</v>
      </c>
      <c r="G264" s="42" t="n">
        <v>2.9</v>
      </c>
      <c r="H264" s="35" t="n">
        <v>50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IF(B264="South Korea",G264/korea_charge_range_nm*korea_full_range_charge_min,0)</f>
        <v/>
      </c>
      <c r="N264" s="44">
        <f>IF(B264="South Korea",L264+korea_turn_min+korea_dwell_min+M264,L264+turn_min+dwell_min)</f>
        <v/>
      </c>
      <c r="O264" s="45">
        <f>IF(B264="South Korea",FLOOR(60*korea_service_hr/N264,1),MIN(24,FLOOR(60*service_hr/N264,1)))</f>
        <v/>
      </c>
      <c r="P264" s="45">
        <f>IF(ABS(MOD(ABS((365*mech_uptime*K264)),1)-0.5)&lt;1E-9,2*ROUND((365*mech_uptime*K264)/2,0),ROUND((365*mech_uptime*K264),0))</f>
        <v/>
      </c>
      <c r="Q264" s="46">
        <f>mech_uptime</f>
        <v/>
      </c>
      <c r="R264" s="46">
        <f>IF(AND(B264="South Korea",scenario="MID"),korea_mid_revleg,revleg_sel)</f>
        <v/>
      </c>
      <c r="S264" s="45">
        <f>IF(ABS(MOD(ABS((O264*P264*R264)),1)-0.5)&lt;1E-9,2*ROUND((O264*P264*R264)/2,0),ROUND((O264*P264*R264),0))</f>
        <v/>
      </c>
      <c r="T264" s="46">
        <f>IF(AND(B264="South Korea",scenario="MID"),korea_mid_load,load_sel)</f>
        <v/>
      </c>
      <c r="U264" s="47">
        <f>pax_cap*T264</f>
        <v/>
      </c>
      <c r="V264" s="45">
        <f>U264*S264</f>
        <v/>
      </c>
      <c r="W264" s="48">
        <f>H264*discount</f>
        <v/>
      </c>
      <c r="X264" s="49">
        <f>W264*V264</f>
        <v/>
      </c>
      <c r="Y264" s="49">
        <f>(battery/range_nm)*G264*S264*VLOOKUP(B264,country_opex,3,FALSE)</f>
        <v/>
      </c>
      <c r="Z264" s="49">
        <f>VLOOKUP(B264,country_opex,2,FALSE)*crew_factor</f>
        <v/>
      </c>
      <c r="AA264" s="49">
        <f>VLOOKUP(B264,country_opex,5,FALSE)</f>
        <v/>
      </c>
      <c r="AB264" s="49">
        <f>maint</f>
        <v/>
      </c>
      <c r="AC264" s="49">
        <f>VLOOKUP(B264,country_opex,7,FALSE)*ins_pct</f>
        <v/>
      </c>
      <c r="AD264" s="49">
        <f>charge_berth</f>
        <v/>
      </c>
      <c r="AE264" s="49">
        <f>Y264+Z264+AA264+AB264+AC264+AD264</f>
        <v/>
      </c>
      <c r="AF264" s="49">
        <f>VLOOKUP(B264,country_opex,7,FALSE)/dep_years</f>
        <v/>
      </c>
      <c r="AG264" s="49">
        <f>X264-AE264</f>
        <v/>
      </c>
      <c r="AH264" s="46">
        <f>IF(X264=0,"",AG264/X264)</f>
        <v/>
      </c>
      <c r="AI264" s="47">
        <f>IF(AG264&lt;=0,"",VLOOKUP(B264,country_opex,7,FALSE)/AG264)</f>
        <v/>
      </c>
      <c r="AJ264" s="44">
        <f>((G264*S264/diesel_nmpg)*diesel_co2pg-(battery/range_nm)*G264*S264*VLOOKUP(B264,country_opex,4,FALSE))/1000</f>
        <v/>
      </c>
      <c r="AK264" s="42" t="n">
        <v>5000</v>
      </c>
      <c r="AL264" s="43" t="inlineStr">
        <is>
          <t>T3</t>
        </is>
      </c>
      <c r="AM264" s="43" t="inlineStr">
        <is>
          <t>med</t>
        </is>
      </c>
      <c r="AN264" s="50" t="n">
        <v>0.1</v>
      </c>
      <c r="AO264" s="45">
        <f>IF(AK264="","",AK264*AN264)</f>
        <v/>
      </c>
      <c r="AP264" s="45">
        <f>IF(OR(AK264="",V264=0),"",MIN(IF(AX264="",9.9E+99,AX264),FLOOR(AO264/V264,1)))</f>
        <v/>
      </c>
      <c r="AQ264" s="49">
        <f>IF(AP264="","",AP264*IF(ABS(MOD(ABS((X264)),1)-0.5)&lt;1E-9,2*ROUND((X264)/2,0),ROUND((X264),0)))</f>
        <v/>
      </c>
      <c r="AR264" s="47">
        <f>IF(OR(AK264="",V264=0),"",MIN(IF(AX264="",9.9E+99,AX264),AO264/V264))</f>
        <v/>
      </c>
      <c r="AS264" s="49">
        <f>IF(AR264="","",AR264*IF(B264="South Korea",IF(ABS(MOD(ABS((X264)),1)-0.5)&lt;1E-9,2*ROUND((X264)/2,0),ROUND((X264),0)),X264))</f>
        <v/>
      </c>
      <c r="AT264" s="51" t="n"/>
      <c r="AU264" s="43" t="inlineStr">
        <is>
          <t>Grounded</t>
        </is>
      </c>
      <c r="AV264" s="52" t="n"/>
      <c r="AW264" s="52" t="n"/>
      <c r="AX264" s="53" t="n"/>
      <c r="AY264" s="54">
        <f>IF(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&lt;=0,"",VLOOKUP(B264,country_opex,7,FALSE)/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)</f>
        <v/>
      </c>
      <c r="AZ264" s="54">
        <f>IF(((W264*pax_cap*IF(B264="South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Korea",korea_mid_revleg,revleg_mid)),0))*VLOOKUP(B264,country_opex,3,FALSE))+Z264+AA264+AB264+AC264+AD264))&lt;=0,"",VLOOKUP(B264,country_opex,7,FALSE)/((W264*pax_cap*IF(B264="South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Korea",korea_mid_revleg,revleg_mid)),0))*VLOOKUP(B264,country_opex,3,FALSE))+Z264+AA264+AB264+AC264+AD264)))</f>
        <v/>
      </c>
      <c r="BA264" s="54">
        <f>IF(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&lt;=0,"",VLOOKUP(B264,country_opex,7,FALSE)/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)</f>
        <v/>
      </c>
      <c r="BB264" s="40" t="inlineStr">
        <is>
          <t>economics_by_route_id.json</t>
        </is>
      </c>
      <c r="BC264" s="40" t="inlineStr">
        <is>
          <t>gojek-127/route+economics</t>
        </is>
      </c>
      <c r="BD264" s="43" t="inlineStr">
        <is>
          <t>rn-606b21464c26</t>
        </is>
      </c>
    </row>
    <row r="265">
      <c r="A265" s="38" t="inlineStr">
        <is>
          <t>Eastern Indonesia</t>
        </is>
      </c>
      <c r="B265" s="38" t="inlineStr">
        <is>
          <t>Indonesia</t>
        </is>
      </c>
      <c r="C265" s="39" t="inlineStr">
        <is>
          <t>Likupang / Manado / Bunaken, North Sulawesi, Indonesia → Likupang North Sulawesi Indonesia</t>
        </is>
      </c>
      <c r="D265" s="38" t="inlineStr">
        <is>
          <t>grab</t>
        </is>
      </c>
      <c r="E265" s="40" t="inlineStr">
        <is>
          <t>eastern-indonesia</t>
        </is>
      </c>
      <c r="F265" s="41" t="n">
        <v>3</v>
      </c>
      <c r="G265" s="42" t="n">
        <v>3</v>
      </c>
      <c r="H265" s="35" t="n">
        <v>50</v>
      </c>
      <c r="I265" s="43" t="inlineStr">
        <is>
          <t>T3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IF(B265="South Korea",G265/korea_charge_range_nm*korea_full_range_charge_min,0)</f>
        <v/>
      </c>
      <c r="N265" s="44">
        <f>IF(B265="South Korea",L265+korea_turn_min+korea_dwell_min+M265,L265+turn_min+dwell_min)</f>
        <v/>
      </c>
      <c r="O265" s="45">
        <f>IF(B265="South Korea",FLOOR(60*korea_service_hr/N265,1),MIN(24,FLOOR(60*service_hr/N265,1)))</f>
        <v/>
      </c>
      <c r="P265" s="45">
        <f>IF(ABS(MOD(ABS((365*mech_uptime*K265)),1)-0.5)&lt;1E-9,2*ROUND((365*mech_uptime*K265)/2,0),ROUND((365*mech_uptime*K265),0))</f>
        <v/>
      </c>
      <c r="Q265" s="46">
        <f>mech_uptime</f>
        <v/>
      </c>
      <c r="R265" s="46">
        <f>IF(AND(B265="South Korea",scenario="MID"),korea_mid_revleg,revleg_sel)</f>
        <v/>
      </c>
      <c r="S265" s="45">
        <f>IF(ABS(MOD(ABS((O265*P265*R265)),1)-0.5)&lt;1E-9,2*ROUND((O265*P265*R265)/2,0),ROUND((O265*P265*R265),0))</f>
        <v/>
      </c>
      <c r="T265" s="46">
        <f>IF(AND(B265="South Korea",scenario="MID"),korea_mid_load,load_sel)</f>
        <v/>
      </c>
      <c r="U265" s="47">
        <f>pax_cap*T265</f>
        <v/>
      </c>
      <c r="V265" s="45">
        <f>U265*S265</f>
        <v/>
      </c>
      <c r="W265" s="48">
        <f>H265*discount</f>
        <v/>
      </c>
      <c r="X265" s="49">
        <f>W265*V265</f>
        <v/>
      </c>
      <c r="Y265" s="49">
        <f>(battery/range_nm)*G265*S265*VLOOKUP(B265,country_opex,3,FALSE)</f>
        <v/>
      </c>
      <c r="Z265" s="49">
        <f>VLOOKUP(B265,country_opex,2,FALSE)*crew_factor</f>
        <v/>
      </c>
      <c r="AA265" s="49">
        <f>VLOOKUP(B265,country_opex,5,FALSE)</f>
        <v/>
      </c>
      <c r="AB265" s="49">
        <f>maint</f>
        <v/>
      </c>
      <c r="AC265" s="49">
        <f>VLOOKUP(B265,country_opex,7,FALSE)*ins_pct</f>
        <v/>
      </c>
      <c r="AD265" s="49">
        <f>charge_berth</f>
        <v/>
      </c>
      <c r="AE265" s="49">
        <f>Y265+Z265+AA265+AB265+AC265+AD265</f>
        <v/>
      </c>
      <c r="AF265" s="49">
        <f>VLOOKUP(B265,country_opex,7,FALSE)/dep_years</f>
        <v/>
      </c>
      <c r="AG265" s="49">
        <f>X265-AE265</f>
        <v/>
      </c>
      <c r="AH265" s="46">
        <f>IF(X265=0,"",AG265/X265)</f>
        <v/>
      </c>
      <c r="AI265" s="47">
        <f>IF(AG265&lt;=0,"",VLOOKUP(B265,country_opex,7,FALSE)/AG265)</f>
        <v/>
      </c>
      <c r="AJ265" s="44">
        <f>((G265*S265/diesel_nmpg)*diesel_co2pg-(battery/range_nm)*G265*S265*VLOOKUP(B265,country_opex,4,FALSE))/1000</f>
        <v/>
      </c>
      <c r="AK265" s="42" t="n">
        <v>5000</v>
      </c>
      <c r="AL265" s="43" t="inlineStr">
        <is>
          <t>T3</t>
        </is>
      </c>
      <c r="AM265" s="43" t="inlineStr">
        <is>
          <t>med</t>
        </is>
      </c>
      <c r="AN265" s="50" t="n">
        <v>0.1</v>
      </c>
      <c r="AO265" s="45">
        <f>IF(AK265="","",AK265*AN265)</f>
        <v/>
      </c>
      <c r="AP265" s="45">
        <f>IF(OR(AK265="",V265=0),"",MIN(IF(AX265="",9.9E+99,AX265),FLOOR(AO265/V265,1)))</f>
        <v/>
      </c>
      <c r="AQ265" s="49">
        <f>IF(AP265="","",AP265*IF(ABS(MOD(ABS((X265)),1)-0.5)&lt;1E-9,2*ROUND((X265)/2,0),ROUND((X265),0)))</f>
        <v/>
      </c>
      <c r="AR265" s="47">
        <f>IF(OR(AK265="",V265=0),"",MIN(IF(AX265="",9.9E+99,AX265),AO265/V265))</f>
        <v/>
      </c>
      <c r="AS265" s="49">
        <f>IF(AR265="","",AR265*IF(B265="South Korea",IF(ABS(MOD(ABS((X265)),1)-0.5)&lt;1E-9,2*ROUND((X265)/2,0),ROUND((X265),0)),X265))</f>
        <v/>
      </c>
      <c r="AT265" s="51" t="n"/>
      <c r="AU265" s="43" t="inlineStr">
        <is>
          <t>Grounded</t>
        </is>
      </c>
      <c r="AV265" s="52" t="n"/>
      <c r="AW265" s="52" t="n"/>
      <c r="AX265" s="53" t="n"/>
      <c r="AY265" s="54">
        <f>IF(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&lt;=0,"",VLOOKUP(B265,country_opex,7,FALSE)/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)</f>
        <v/>
      </c>
      <c r="AZ265" s="54">
        <f>IF(((W265*pax_cap*IF(B265="South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Korea",korea_mid_revleg,revleg_mid)),0))*VLOOKUP(B265,country_opex,3,FALSE))+Z265+AA265+AB265+AC265+AD265))&lt;=0,"",VLOOKUP(B265,country_opex,7,FALSE)/((W265*pax_cap*IF(B265="South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Korea",korea_mid_revleg,revleg_mid)),0))*VLOOKUP(B265,country_opex,3,FALSE))+Z265+AA265+AB265+AC265+AD265)))</f>
        <v/>
      </c>
      <c r="BA265" s="54">
        <f>IF(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&lt;=0,"",VLOOKUP(B265,country_opex,7,FALSE)/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)</f>
        <v/>
      </c>
      <c r="BB265" s="40" t="inlineStr">
        <is>
          <t>economics_by_route_id.json</t>
        </is>
      </c>
      <c r="BC265" s="40" t="inlineStr">
        <is>
          <t>gojek-127/route+economics</t>
        </is>
      </c>
      <c r="BD265" s="43" t="inlineStr">
        <is>
          <t>ics-60c865429d</t>
        </is>
      </c>
    </row>
    <row r="266">
      <c r="A266" s="38" t="inlineStr">
        <is>
          <t>Bali</t>
        </is>
      </c>
      <c r="B266" s="38" t="inlineStr">
        <is>
          <t>Indonesia</t>
        </is>
      </c>
      <c r="C266" s="39" t="inlineStr">
        <is>
          <t>Benoa Harbour Cruise Terminal → Benoa Harbour Cruise Terminal</t>
        </is>
      </c>
      <c r="D266" s="38" t="inlineStr">
        <is>
          <t>grab</t>
        </is>
      </c>
      <c r="E266" s="40" t="inlineStr">
        <is>
          <t>bali</t>
        </is>
      </c>
      <c r="F266" s="41" t="n">
        <v>1</v>
      </c>
      <c r="G266" s="42" t="n">
        <v>5</v>
      </c>
      <c r="H266" s="35" t="n">
        <v>85</v>
      </c>
      <c r="I266" s="43" t="inlineStr">
        <is>
          <t>T1</t>
        </is>
      </c>
      <c r="J266" s="43" t="inlineStr">
        <is>
          <t>high</t>
        </is>
      </c>
      <c r="K266" s="29" t="n">
        <v>1</v>
      </c>
      <c r="L266" s="44">
        <f>60*G266/cruise_kt</f>
        <v/>
      </c>
      <c r="M266" s="44">
        <f>IF(B266="South Korea",G266/korea_charge_range_nm*korea_full_range_charge_min,0)</f>
        <v/>
      </c>
      <c r="N266" s="44">
        <f>IF(B266="South Korea",L266+korea_turn_min+korea_dwell_min+M266,L266+turn_min+dwell_min)</f>
        <v/>
      </c>
      <c r="O266" s="45">
        <f>IF(B266="South Korea",FLOOR(60*korea_service_hr/N266,1),MIN(15,FLOOR(60*service_hr/N266,1)))</f>
        <v/>
      </c>
      <c r="P266" s="45">
        <f>IF(ABS(MOD(ABS((365*mech_uptime*K266)),1)-0.5)&lt;1E-9,2*ROUND((365*mech_uptime*K266)/2,0),ROUND((365*mech_uptime*K266),0))</f>
        <v/>
      </c>
      <c r="Q266" s="46">
        <f>mech_uptime</f>
        <v/>
      </c>
      <c r="R266" s="46">
        <f>IF(AND(B266="South Korea",scenario="MID"),korea_mid_revleg,revleg_sel)</f>
        <v/>
      </c>
      <c r="S266" s="45">
        <f>IF(ABS(MOD(ABS((O266*P266*R266)),1)-0.5)&lt;1E-9,2*ROUND((O266*P266*R266)/2,0),ROUND((O266*P266*R266),0))</f>
        <v/>
      </c>
      <c r="T266" s="46">
        <f>IF(AND(B266="South Korea",scenario="MID"),korea_mid_load,load_sel)</f>
        <v/>
      </c>
      <c r="U266" s="47">
        <f>pax_cap*T266</f>
        <v/>
      </c>
      <c r="V266" s="45">
        <f>U266*S266</f>
        <v/>
      </c>
      <c r="W266" s="48">
        <f>H266*discount</f>
        <v/>
      </c>
      <c r="X266" s="49">
        <f>W266*V266</f>
        <v/>
      </c>
      <c r="Y266" s="49">
        <f>(battery/range_nm)*G266*S266*VLOOKUP(B266,country_opex,3,FALSE)</f>
        <v/>
      </c>
      <c r="Z266" s="49">
        <f>VLOOKUP(B266,country_opex,2,FALSE)*crew_factor</f>
        <v/>
      </c>
      <c r="AA266" s="49">
        <f>VLOOKUP(B266,country_opex,5,FALSE)</f>
        <v/>
      </c>
      <c r="AB266" s="49">
        <f>maint</f>
        <v/>
      </c>
      <c r="AC266" s="49">
        <f>VLOOKUP(B266,country_opex,7,FALSE)*ins_pct</f>
        <v/>
      </c>
      <c r="AD266" s="49">
        <f>charge_berth</f>
        <v/>
      </c>
      <c r="AE266" s="49">
        <f>Y266+Z266+AA266+AB266+AC266+AD266</f>
        <v/>
      </c>
      <c r="AF266" s="49">
        <f>VLOOKUP(B266,country_opex,7,FALSE)/dep_years</f>
        <v/>
      </c>
      <c r="AG266" s="49">
        <f>X266-AE266</f>
        <v/>
      </c>
      <c r="AH266" s="46">
        <f>IF(X266=0,"",AG266/X266)</f>
        <v/>
      </c>
      <c r="AI266" s="47">
        <f>IF(AG266&lt;=0,"",VLOOKUP(B266,country_opex,7,FALSE)/AG266)</f>
        <v/>
      </c>
      <c r="AJ266" s="44">
        <f>((G266*S266/diesel_nmpg)*diesel_co2pg-(battery/range_nm)*G266*S266*VLOOKUP(B266,country_opex,4,FALSE))/1000</f>
        <v/>
      </c>
      <c r="AK266" s="42" t="n">
        <v>85000</v>
      </c>
      <c r="AL266" s="43" t="n"/>
      <c r="AM266" s="43" t="n"/>
      <c r="AN266" s="50" t="n">
        <v>0.1</v>
      </c>
      <c r="AO266" s="45">
        <f>IF(AK266="","",AK266*AN266)</f>
        <v/>
      </c>
      <c r="AP266" s="45">
        <f>IF(OR(AK266="",V266=0),"",MIN(IF(AX266="",9.9E+99,AX266),FLOOR(AO266/V266,1)))</f>
        <v/>
      </c>
      <c r="AQ266" s="49">
        <f>IF(AP266="","",AP266*IF(ABS(MOD(ABS((X266)),1)-0.5)&lt;1E-9,2*ROUND((X266)/2,0),ROUND((X266),0)))</f>
        <v/>
      </c>
      <c r="AR266" s="47">
        <f>IF(OR(AK266="",V266=0),"",MIN(IF(AX266="",9.9E+99,AX266),AO266/V266))</f>
        <v/>
      </c>
      <c r="AS266" s="49">
        <f>IF(AR266="","",AR266*IF(B266="South Korea",IF(ABS(MOD(ABS((X266)),1)-0.5)&lt;1E-9,2*ROUND((X266)/2,0),ROUND((X266),0)),X266))</f>
        <v/>
      </c>
      <c r="AT266" s="51" t="n"/>
      <c r="AU266" s="43" t="inlineStr">
        <is>
          <t>Grounded</t>
        </is>
      </c>
      <c r="AV266" s="52" t="n"/>
      <c r="AW266" s="52" t="n"/>
      <c r="AX266" s="53" t="n"/>
      <c r="AY266" s="54">
        <f>IF(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&lt;=0,"",VLOOKUP(B266,country_opex,7,FALSE)/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)</f>
        <v/>
      </c>
      <c r="AZ266" s="54">
        <f>IF(((W266*pax_cap*IF(B266="South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Korea",korea_mid_revleg,revleg_mid)),0))*VLOOKUP(B266,country_opex,3,FALSE))+Z266+AA266+AB266+AC266+AD266))&lt;=0,"",VLOOKUP(B266,country_opex,7,FALSE)/((W266*pax_cap*IF(B266="South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Korea",korea_mid_revleg,revleg_mid)),0))*VLOOKUP(B266,country_opex,3,FALSE))+Z266+AA266+AB266+AC266+AD266)))</f>
        <v/>
      </c>
      <c r="BA266" s="54">
        <f>IF(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&lt;=0,"",VLOOKUP(B266,country_opex,7,FALSE)/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)</f>
        <v/>
      </c>
      <c r="BB266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C266" s="40" t="n"/>
      <c r="BD266" s="43" t="inlineStr">
        <is>
          <t>gcn-15e4814ff9-shared</t>
        </is>
      </c>
    </row>
    <row r="267">
      <c r="A267" s="38" t="inlineStr">
        <is>
          <t>Bali</t>
        </is>
      </c>
      <c r="B267" s="38" t="inlineStr">
        <is>
          <t>Indonesia</t>
        </is>
      </c>
      <c r="C267" s="39" t="inlineStr">
        <is>
          <t>Sampalan Harbour → Maruti Port - Nusa Penida</t>
        </is>
      </c>
      <c r="D267" s="38" t="inlineStr">
        <is>
          <t>grab</t>
        </is>
      </c>
      <c r="E267" s="40" t="inlineStr">
        <is>
          <t>bali</t>
        </is>
      </c>
      <c r="F267" s="41" t="n">
        <v>1</v>
      </c>
      <c r="G267" s="42" t="n">
        <v>5.6</v>
      </c>
      <c r="H267" s="35" t="n">
        <v>50</v>
      </c>
      <c r="I267" s="43" t="inlineStr">
        <is>
          <t>T3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IF(B267="South Korea",G267/korea_charge_range_nm*korea_full_range_charge_min,0)</f>
        <v/>
      </c>
      <c r="N267" s="44">
        <f>IF(B267="South Korea",L267+korea_turn_min+korea_dwell_min+M267,L267+turn_min+dwell_min)</f>
        <v/>
      </c>
      <c r="O267" s="45">
        <f>IF(B267="South Korea",FLOOR(60*korea_service_hr/N267,1),MIN(24,FLOOR(60*service_hr/N267,1)))</f>
        <v/>
      </c>
      <c r="P267" s="45">
        <f>IF(ABS(MOD(ABS((365*mech_uptime*K267)),1)-0.5)&lt;1E-9,2*ROUND((365*mech_uptime*K267)/2,0),ROUND((365*mech_uptime*K267),0))</f>
        <v/>
      </c>
      <c r="Q267" s="46">
        <f>mech_uptime</f>
        <v/>
      </c>
      <c r="R267" s="46">
        <f>IF(AND(B267="South Korea",scenario="MID"),korea_mid_revleg,revleg_sel)</f>
        <v/>
      </c>
      <c r="S267" s="45">
        <f>IF(ABS(MOD(ABS((O267*P267*R267)),1)-0.5)&lt;1E-9,2*ROUND((O267*P267*R267)/2,0),ROUND((O267*P267*R267),0))</f>
        <v/>
      </c>
      <c r="T267" s="46">
        <f>IF(AND(B267="South Korea",scenario="MID"),korea_mid_load,load_sel)</f>
        <v/>
      </c>
      <c r="U267" s="47">
        <f>pax_cap*T267</f>
        <v/>
      </c>
      <c r="V267" s="45">
        <f>U267*S267</f>
        <v/>
      </c>
      <c r="W267" s="48">
        <f>H267*discount</f>
        <v/>
      </c>
      <c r="X267" s="49">
        <f>W267*V267</f>
        <v/>
      </c>
      <c r="Y267" s="49">
        <f>(battery/range_nm)*G267*S267*VLOOKUP(B267,country_opex,3,FALSE)</f>
        <v/>
      </c>
      <c r="Z267" s="49">
        <f>VLOOKUP(B267,country_opex,2,FALSE)*crew_factor</f>
        <v/>
      </c>
      <c r="AA267" s="49">
        <f>VLOOKUP(B267,country_opex,5,FALSE)</f>
        <v/>
      </c>
      <c r="AB267" s="49">
        <f>maint</f>
        <v/>
      </c>
      <c r="AC267" s="49">
        <f>VLOOKUP(B267,country_opex,7,FALSE)*ins_pct</f>
        <v/>
      </c>
      <c r="AD267" s="49">
        <f>charge_berth</f>
        <v/>
      </c>
      <c r="AE267" s="49">
        <f>Y267+Z267+AA267+AB267+AC267+AD267</f>
        <v/>
      </c>
      <c r="AF267" s="49">
        <f>VLOOKUP(B267,country_opex,7,FALSE)/dep_years</f>
        <v/>
      </c>
      <c r="AG267" s="49">
        <f>X267-AE267</f>
        <v/>
      </c>
      <c r="AH267" s="46">
        <f>IF(X267=0,"",AG267/X267)</f>
        <v/>
      </c>
      <c r="AI267" s="47">
        <f>IF(AG267&lt;=0,"",VLOOKUP(B267,country_opex,7,FALSE)/AG267)</f>
        <v/>
      </c>
      <c r="AJ267" s="44">
        <f>((G267*S267/diesel_nmpg)*diesel_co2pg-(battery/range_nm)*G267*S267*VLOOKUP(B267,country_opex,4,FALSE))/1000</f>
        <v/>
      </c>
      <c r="AK267" s="42" t="n">
        <v>5000</v>
      </c>
      <c r="AL267" s="43" t="inlineStr">
        <is>
          <t>T3</t>
        </is>
      </c>
      <c r="AM267" s="43" t="inlineStr">
        <is>
          <t>med</t>
        </is>
      </c>
      <c r="AN267" s="50" t="n">
        <v>0.1</v>
      </c>
      <c r="AO267" s="45">
        <f>IF(AK267="","",AK267*AN267)</f>
        <v/>
      </c>
      <c r="AP267" s="45">
        <f>IF(OR(AK267="",V267=0),"",MIN(IF(AX267="",9.9E+99,AX267),FLOOR(AO267/V267,1)))</f>
        <v/>
      </c>
      <c r="AQ267" s="49">
        <f>IF(AP267="","",AP267*IF(ABS(MOD(ABS((X267)),1)-0.5)&lt;1E-9,2*ROUND((X267)/2,0),ROUND((X267),0)))</f>
        <v/>
      </c>
      <c r="AR267" s="47">
        <f>IF(OR(AK267="",V267=0),"",MIN(IF(AX267="",9.9E+99,AX267),AO267/V267))</f>
        <v/>
      </c>
      <c r="AS267" s="49">
        <f>IF(AR267="","",AR267*IF(B267="South Korea",IF(ABS(MOD(ABS((X267)),1)-0.5)&lt;1E-9,2*ROUND((X267)/2,0),ROUND((X267),0)),X267))</f>
        <v/>
      </c>
      <c r="AT267" s="51" t="n"/>
      <c r="AU267" s="43" t="inlineStr">
        <is>
          <t>Grounded</t>
        </is>
      </c>
      <c r="AV267" s="52" t="n"/>
      <c r="AW267" s="52" t="n"/>
      <c r="AX267" s="53" t="n"/>
      <c r="AY267" s="54">
        <f>IF(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&lt;=0,"",VLOOKUP(B267,country_opex,7,FALSE)/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)</f>
        <v/>
      </c>
      <c r="AZ267" s="54">
        <f>IF(((W267*pax_cap*IF(B267="South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Korea",korea_mid_revleg,revleg_mid)),0))*VLOOKUP(B267,country_opex,3,FALSE))+Z267+AA267+AB267+AC267+AD267))&lt;=0,"",VLOOKUP(B267,country_opex,7,FALSE)/((W267*pax_cap*IF(B267="South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Korea",korea_mid_revleg,revleg_mid)),0))*VLOOKUP(B267,country_opex,3,FALSE))+Z267+AA267+AB267+AC267+AD267)))</f>
        <v/>
      </c>
      <c r="BA267" s="54">
        <f>IF(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&lt;=0,"",VLOOKUP(B267,country_opex,7,FALSE)/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)</f>
        <v/>
      </c>
      <c r="BB267" s="40" t="inlineStr">
        <is>
          <t>economics_by_route_id.json</t>
        </is>
      </c>
      <c r="BC267" s="40" t="inlineStr">
        <is>
          <t>gojek-127/route+economics</t>
        </is>
      </c>
      <c r="BD267" s="43" t="inlineStr">
        <is>
          <t>rn-5f35cc1efa05</t>
        </is>
      </c>
    </row>
    <row r="268">
      <c r="A268" s="38" t="inlineStr">
        <is>
          <t>Eastern Indonesia</t>
        </is>
      </c>
      <c r="B268" s="38" t="inlineStr">
        <is>
          <t>Indonesia</t>
        </is>
      </c>
      <c r="C268" s="39" t="inlineStr">
        <is>
          <t>Mall → Likupang / Manado / Bunaken, North Sulawesi, Indonesia</t>
        </is>
      </c>
      <c r="D268" s="38" t="inlineStr">
        <is>
          <t>grab</t>
        </is>
      </c>
      <c r="E268" s="40" t="inlineStr">
        <is>
          <t>eastern-indonesia</t>
        </is>
      </c>
      <c r="F268" s="41" t="n">
        <v>2</v>
      </c>
      <c r="G268" s="42" t="n">
        <v>7.1</v>
      </c>
      <c r="H268" s="35" t="n">
        <v>50</v>
      </c>
      <c r="I268" s="43" t="inlineStr">
        <is>
          <t>T3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IF(B268="South Korea",G268/korea_charge_range_nm*korea_full_range_charge_min,0)</f>
        <v/>
      </c>
      <c r="N268" s="44">
        <f>IF(B268="South Korea",L268+korea_turn_min+korea_dwell_min+M268,L268+turn_min+dwell_min)</f>
        <v/>
      </c>
      <c r="O268" s="45">
        <f>IF(B268="South Korea",FLOOR(60*korea_service_hr/N268,1),MIN(24,FLOOR(60*service_hr/N268,1)))</f>
        <v/>
      </c>
      <c r="P268" s="45">
        <f>IF(ABS(MOD(ABS((365*mech_uptime*K268)),1)-0.5)&lt;1E-9,2*ROUND((365*mech_uptime*K268)/2,0),ROUND((365*mech_uptime*K268),0))</f>
        <v/>
      </c>
      <c r="Q268" s="46">
        <f>mech_uptime</f>
        <v/>
      </c>
      <c r="R268" s="46">
        <f>IF(AND(B268="South Korea",scenario="MID"),korea_mid_revleg,revleg_sel)</f>
        <v/>
      </c>
      <c r="S268" s="45">
        <f>IF(ABS(MOD(ABS((O268*P268*R268)),1)-0.5)&lt;1E-9,2*ROUND((O268*P268*R268)/2,0),ROUND((O268*P268*R268),0))</f>
        <v/>
      </c>
      <c r="T268" s="46">
        <f>IF(AND(B268="South Korea",scenario="MID"),korea_mid_load,load_sel)</f>
        <v/>
      </c>
      <c r="U268" s="47">
        <f>pax_cap*T268</f>
        <v/>
      </c>
      <c r="V268" s="45">
        <f>U268*S268</f>
        <v/>
      </c>
      <c r="W268" s="48">
        <f>H268*discount</f>
        <v/>
      </c>
      <c r="X268" s="49">
        <f>W268*V268</f>
        <v/>
      </c>
      <c r="Y268" s="49">
        <f>(battery/range_nm)*G268*S268*VLOOKUP(B268,country_opex,3,FALSE)</f>
        <v/>
      </c>
      <c r="Z268" s="49">
        <f>VLOOKUP(B268,country_opex,2,FALSE)*crew_factor</f>
        <v/>
      </c>
      <c r="AA268" s="49">
        <f>VLOOKUP(B268,country_opex,5,FALSE)</f>
        <v/>
      </c>
      <c r="AB268" s="49">
        <f>maint</f>
        <v/>
      </c>
      <c r="AC268" s="49">
        <f>VLOOKUP(B268,country_opex,7,FALSE)*ins_pct</f>
        <v/>
      </c>
      <c r="AD268" s="49">
        <f>charge_berth</f>
        <v/>
      </c>
      <c r="AE268" s="49">
        <f>Y268+Z268+AA268+AB268+AC268+AD268</f>
        <v/>
      </c>
      <c r="AF268" s="49">
        <f>VLOOKUP(B268,country_opex,7,FALSE)/dep_years</f>
        <v/>
      </c>
      <c r="AG268" s="49">
        <f>X268-AE268</f>
        <v/>
      </c>
      <c r="AH268" s="46">
        <f>IF(X268=0,"",AG268/X268)</f>
        <v/>
      </c>
      <c r="AI268" s="47">
        <f>IF(AG268&lt;=0,"",VLOOKUP(B268,country_opex,7,FALSE)/AG268)</f>
        <v/>
      </c>
      <c r="AJ268" s="44">
        <f>((G268*S268/diesel_nmpg)*diesel_co2pg-(battery/range_nm)*G268*S268*VLOOKUP(B268,country_opex,4,FALSE))/1000</f>
        <v/>
      </c>
      <c r="AK268" s="42" t="n">
        <v>5000</v>
      </c>
      <c r="AL268" s="43" t="inlineStr">
        <is>
          <t>T3</t>
        </is>
      </c>
      <c r="AM268" s="43" t="inlineStr">
        <is>
          <t>med</t>
        </is>
      </c>
      <c r="AN268" s="50" t="n">
        <v>0.1</v>
      </c>
      <c r="AO268" s="45">
        <f>IF(AK268="","",AK268*AN268)</f>
        <v/>
      </c>
      <c r="AP268" s="45">
        <f>IF(OR(AK268="",V268=0),"",MIN(IF(AX268="",9.9E+99,AX268),FLOOR(AO268/V268,1)))</f>
        <v/>
      </c>
      <c r="AQ268" s="49">
        <f>IF(AP268="","",AP268*IF(ABS(MOD(ABS((X268)),1)-0.5)&lt;1E-9,2*ROUND((X268)/2,0),ROUND((X268),0)))</f>
        <v/>
      </c>
      <c r="AR268" s="47">
        <f>IF(OR(AK268="",V268=0),"",MIN(IF(AX268="",9.9E+99,AX268),AO268/V268))</f>
        <v/>
      </c>
      <c r="AS268" s="49">
        <f>IF(AR268="","",AR268*IF(B268="South Korea",IF(ABS(MOD(ABS((X268)),1)-0.5)&lt;1E-9,2*ROUND((X268)/2,0),ROUND((X268),0)),X268))</f>
        <v/>
      </c>
      <c r="AT268" s="51" t="n"/>
      <c r="AU268" s="43" t="inlineStr">
        <is>
          <t>Grounded</t>
        </is>
      </c>
      <c r="AV268" s="52" t="n"/>
      <c r="AW268" s="52" t="n"/>
      <c r="AX268" s="53" t="n"/>
      <c r="AY268" s="54">
        <f>IF(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&lt;=0,"",VLOOKUP(B268,country_opex,7,FALSE)/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)</f>
        <v/>
      </c>
      <c r="AZ268" s="54">
        <f>IF(((W268*pax_cap*IF(B268="South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Korea",korea_mid_revleg,revleg_mid)),0))*VLOOKUP(B268,country_opex,3,FALSE))+Z268+AA268+AB268+AC268+AD268))&lt;=0,"",VLOOKUP(B268,country_opex,7,FALSE)/((W268*pax_cap*IF(B268="South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Korea",korea_mid_revleg,revleg_mid)),0))*VLOOKUP(B268,country_opex,3,FALSE))+Z268+AA268+AB268+AC268+AD268)))</f>
        <v/>
      </c>
      <c r="BA268" s="54">
        <f>IF(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&lt;=0,"",VLOOKUP(B268,country_opex,7,FALSE)/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)</f>
        <v/>
      </c>
      <c r="BB268" s="40" t="inlineStr">
        <is>
          <t>economics_by_route_id.json</t>
        </is>
      </c>
      <c r="BC268" s="40" t="inlineStr">
        <is>
          <t>gojek-127/route+economics</t>
        </is>
      </c>
      <c r="BD268" s="43" t="inlineStr">
        <is>
          <t>ics-ab1b7a224c</t>
        </is>
      </c>
    </row>
    <row r="269">
      <c r="A269" s="38" t="inlineStr">
        <is>
          <t>Jakarta</t>
        </is>
      </c>
      <c r="B269" s="38" t="inlineStr">
        <is>
          <t>Indonesia</t>
        </is>
      </c>
      <c r="C269" s="39" t="inlineStr">
        <is>
          <t>Marina Ancol → Thousand Islands — inner ring (Bidadari / Ayer / Onrust)</t>
        </is>
      </c>
      <c r="D269" s="38" t="inlineStr">
        <is>
          <t>grab</t>
        </is>
      </c>
      <c r="E269" s="40" t="inlineStr">
        <is>
          <t>jakarta</t>
        </is>
      </c>
      <c r="F269" s="41" t="n">
        <v>1</v>
      </c>
      <c r="G269" s="42" t="n">
        <v>7.4</v>
      </c>
      <c r="H269" s="35" t="n">
        <v>11.7</v>
      </c>
      <c r="I269" s="43" t="inlineStr">
        <is>
          <t>T2/T3</t>
        </is>
      </c>
      <c r="J269" s="43" t="inlineStr">
        <is>
          <t>med-high</t>
        </is>
      </c>
      <c r="K269" s="29" t="n">
        <v>1</v>
      </c>
      <c r="L269" s="44">
        <f>60*G269/cruise_kt</f>
        <v/>
      </c>
      <c r="M269" s="44">
        <f>IF(B269="South Korea",G269/korea_charge_range_nm*korea_full_range_charge_min,0)</f>
        <v/>
      </c>
      <c r="N269" s="44">
        <f>IF(B269="South Korea",L269+korea_turn_min+korea_dwell_min+M269,L269+turn_min+dwell_min)</f>
        <v/>
      </c>
      <c r="O269" s="45">
        <f>IF(B269="South Korea",FLOOR(60*korea_service_hr/N269,1),MIN(15,FLOOR(60*service_hr/N269,1)))</f>
        <v/>
      </c>
      <c r="P269" s="45">
        <f>IF(ABS(MOD(ABS((365*mech_uptime*K269)),1)-0.5)&lt;1E-9,2*ROUND((365*mech_uptime*K269)/2,0),ROUND((365*mech_uptime*K269),0))</f>
        <v/>
      </c>
      <c r="Q269" s="46">
        <f>mech_uptime</f>
        <v/>
      </c>
      <c r="R269" s="46">
        <f>IF(AND(B269="South Korea",scenario="MID"),korea_mid_revleg,revleg_sel)</f>
        <v/>
      </c>
      <c r="S269" s="45">
        <f>IF(ABS(MOD(ABS((O269*P269*R269)),1)-0.5)&lt;1E-9,2*ROUND((O269*P269*R269)/2,0),ROUND((O269*P269*R269),0))</f>
        <v/>
      </c>
      <c r="T269" s="46">
        <f>IF(AND(B269="South Korea",scenario="MID"),korea_mid_load,load_sel)</f>
        <v/>
      </c>
      <c r="U269" s="47">
        <f>pax_cap*T269</f>
        <v/>
      </c>
      <c r="V269" s="45">
        <f>U269*S269</f>
        <v/>
      </c>
      <c r="W269" s="48">
        <f>H269*discount</f>
        <v/>
      </c>
      <c r="X269" s="49">
        <f>W269*V269</f>
        <v/>
      </c>
      <c r="Y269" s="49">
        <f>(battery/range_nm)*G269*S269*VLOOKUP(B269,country_opex,3,FALSE)</f>
        <v/>
      </c>
      <c r="Z269" s="49">
        <f>VLOOKUP(B269,country_opex,2,FALSE)*crew_factor</f>
        <v/>
      </c>
      <c r="AA269" s="49">
        <f>VLOOKUP(B269,country_opex,5,FALSE)</f>
        <v/>
      </c>
      <c r="AB269" s="49">
        <f>maint</f>
        <v/>
      </c>
      <c r="AC269" s="49">
        <f>VLOOKUP(B269,country_opex,7,FALSE)*ins_pct</f>
        <v/>
      </c>
      <c r="AD269" s="49">
        <f>charge_berth</f>
        <v/>
      </c>
      <c r="AE269" s="49">
        <f>Y269+Z269+AA269+AB269+AC269+AD269</f>
        <v/>
      </c>
      <c r="AF269" s="49">
        <f>VLOOKUP(B269,country_opex,7,FALSE)/dep_years</f>
        <v/>
      </c>
      <c r="AG269" s="49">
        <f>X269-AE269</f>
        <v/>
      </c>
      <c r="AH269" s="46">
        <f>IF(X269=0,"",AG269/X269)</f>
        <v/>
      </c>
      <c r="AI269" s="47">
        <f>IF(AG269&lt;=0,"",VLOOKUP(B269,country_opex,7,FALSE)/AG269)</f>
        <v/>
      </c>
      <c r="AJ269" s="44">
        <f>((G269*S269/diesel_nmpg)*diesel_co2pg-(battery/range_nm)*G269*S269*VLOOKUP(B269,country_opex,4,FALSE))/1000</f>
        <v/>
      </c>
      <c r="AK269" s="42" t="n">
        <v>10000</v>
      </c>
      <c r="AL269" s="43" t="inlineStr">
        <is>
          <t>T2</t>
        </is>
      </c>
      <c r="AM269" s="43" t="inlineStr">
        <is>
          <t>med</t>
        </is>
      </c>
      <c r="AN269" s="50" t="n">
        <v>0.1</v>
      </c>
      <c r="AO269" s="45">
        <f>IF(AK269="","",AK269*AN269)</f>
        <v/>
      </c>
      <c r="AP269" s="45">
        <f>IF(OR(AK269="",V269=0),"",MIN(IF(AX269="",9.9E+99,AX269),FLOOR(AO269/V269,1)))</f>
        <v/>
      </c>
      <c r="AQ269" s="49">
        <f>IF(AP269="","",AP269*IF(ABS(MOD(ABS((X269)),1)-0.5)&lt;1E-9,2*ROUND((X269)/2,0),ROUND((X269),0)))</f>
        <v/>
      </c>
      <c r="AR269" s="47">
        <f>IF(OR(AK269="",V269=0),"",MIN(IF(AX269="",9.9E+99,AX269),AO269/V269))</f>
        <v/>
      </c>
      <c r="AS269" s="49">
        <f>IF(AR269="","",AR269*IF(B269="South Korea",IF(ABS(MOD(ABS((X269)),1)-0.5)&lt;1E-9,2*ROUND((X269)/2,0),ROUND((X269),0)),X269))</f>
        <v/>
      </c>
      <c r="AT269" s="51" t="n"/>
      <c r="AU269" s="43" t="inlineStr">
        <is>
          <t>Grounded</t>
        </is>
      </c>
      <c r="AV269" s="52" t="n"/>
      <c r="AW269" s="52" t="n"/>
      <c r="AX269" s="53" t="n"/>
      <c r="AY269" s="54">
        <f>IF(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&lt;=0,"",VLOOKUP(B269,country_opex,7,FALSE)/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)</f>
        <v/>
      </c>
      <c r="AZ269" s="54">
        <f>IF(((W269*pax_cap*IF(B269="South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Korea",korea_mid_revleg,revleg_mid)),0))*VLOOKUP(B269,country_opex,3,FALSE))+Z269+AA269+AB269+AC269+AD269))&lt;=0,"",VLOOKUP(B269,country_opex,7,FALSE)/((W269*pax_cap*IF(B269="South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Korea",korea_mid_revleg,revleg_mid)),0))*VLOOKUP(B269,country_opex,3,FALSE))+Z269+AA269+AB269+AC269+AD269)))</f>
        <v/>
      </c>
      <c r="BA269" s="54">
        <f>IF(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&lt;=0,"",VLOOKUP(B269,country_opex,7,FALSE)/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)</f>
        <v/>
      </c>
      <c r="BB269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C269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  <c r="BD269" s="43" t="inlineStr">
        <is>
          <t>ics-9e59ba5c5c</t>
        </is>
      </c>
    </row>
    <row r="270">
      <c r="A270" s="38" t="inlineStr">
        <is>
          <t>Bali</t>
        </is>
      </c>
      <c r="B270" s="38" t="inlineStr">
        <is>
          <t>Indonesia</t>
        </is>
      </c>
      <c r="C270" s="39" t="inlineStr">
        <is>
          <t>Sanur Beach Fast Boat Terminal → GoBoat.id - Nelayan Beach Canggu</t>
        </is>
      </c>
      <c r="D270" s="38" t="inlineStr">
        <is>
          <t>grab</t>
        </is>
      </c>
      <c r="E270" s="40" t="inlineStr">
        <is>
          <t>bali</t>
        </is>
      </c>
      <c r="F270" s="41" t="n">
        <v>1</v>
      </c>
      <c r="G270" s="42" t="n">
        <v>7.6</v>
      </c>
      <c r="H270" s="35" t="n">
        <v>85</v>
      </c>
      <c r="I270" s="43" t="inlineStr">
        <is>
          <t>T2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IF(B270="South Korea",G270/korea_charge_range_nm*korea_full_range_charge_min,0)</f>
        <v/>
      </c>
      <c r="N270" s="44">
        <f>IF(B270="South Korea",L270+korea_turn_min+korea_dwell_min+M270,L270+turn_min+dwell_min)</f>
        <v/>
      </c>
      <c r="O270" s="45">
        <f>IF(B270="South Korea",FLOOR(60*korea_service_hr/N270,1),MIN(15,FLOOR(60*service_hr/N270,1)))</f>
        <v/>
      </c>
      <c r="P270" s="45">
        <f>IF(ABS(MOD(ABS((365*mech_uptime*K270)),1)-0.5)&lt;1E-9,2*ROUND((365*mech_uptime*K270)/2,0),ROUND((365*mech_uptime*K270),0))</f>
        <v/>
      </c>
      <c r="Q270" s="46">
        <f>mech_uptime</f>
        <v/>
      </c>
      <c r="R270" s="46">
        <f>IF(AND(B270="South Korea",scenario="MID"),korea_mid_revleg,revleg_sel)</f>
        <v/>
      </c>
      <c r="S270" s="45">
        <f>IF(ABS(MOD(ABS((O270*P270*R270)),1)-0.5)&lt;1E-9,2*ROUND((O270*P270*R270)/2,0),ROUND((O270*P270*R270),0))</f>
        <v/>
      </c>
      <c r="T270" s="46">
        <f>IF(AND(B270="South Korea",scenario="MID"),korea_mid_load,load_sel)</f>
        <v/>
      </c>
      <c r="U270" s="47">
        <f>pax_cap*T270</f>
        <v/>
      </c>
      <c r="V270" s="45">
        <f>U270*S270</f>
        <v/>
      </c>
      <c r="W270" s="48">
        <f>H270*discount</f>
        <v/>
      </c>
      <c r="X270" s="49">
        <f>W270*V270</f>
        <v/>
      </c>
      <c r="Y270" s="49">
        <f>(battery/range_nm)*G270*S270*VLOOKUP(B270,country_opex,3,FALSE)</f>
        <v/>
      </c>
      <c r="Z270" s="49">
        <f>VLOOKUP(B270,country_opex,2,FALSE)*crew_factor</f>
        <v/>
      </c>
      <c r="AA270" s="49">
        <f>VLOOKUP(B270,country_opex,5,FALSE)</f>
        <v/>
      </c>
      <c r="AB270" s="49">
        <f>maint</f>
        <v/>
      </c>
      <c r="AC270" s="49">
        <f>VLOOKUP(B270,country_opex,7,FALSE)*ins_pct</f>
        <v/>
      </c>
      <c r="AD270" s="49">
        <f>charge_berth</f>
        <v/>
      </c>
      <c r="AE270" s="49">
        <f>Y270+Z270+AA270+AB270+AC270+AD270</f>
        <v/>
      </c>
      <c r="AF270" s="49">
        <f>VLOOKUP(B270,country_opex,7,FALSE)/dep_years</f>
        <v/>
      </c>
      <c r="AG270" s="49">
        <f>X270-AE270</f>
        <v/>
      </c>
      <c r="AH270" s="46">
        <f>IF(X270=0,"",AG270/X270)</f>
        <v/>
      </c>
      <c r="AI270" s="47">
        <f>IF(AG270&lt;=0,"",VLOOKUP(B270,country_opex,7,FALSE)/AG270)</f>
        <v/>
      </c>
      <c r="AJ270" s="44">
        <f>((G270*S270/diesel_nmpg)*diesel_co2pg-(battery/range_nm)*G270*S270*VLOOKUP(B270,country_opex,4,FALSE))/1000</f>
        <v/>
      </c>
      <c r="AK270" s="42" t="n">
        <v>2900</v>
      </c>
      <c r="AL270" s="43" t="inlineStr">
        <is>
          <t>T2</t>
        </is>
      </c>
      <c r="AM270" s="43" t="inlineStr">
        <is>
          <t>med</t>
        </is>
      </c>
      <c r="AN270" s="50" t="n">
        <v>0.9</v>
      </c>
      <c r="AO270" s="45">
        <f>IF(AK270="","",AK270*AN270)</f>
        <v/>
      </c>
      <c r="AP270" s="45">
        <f>IF(OR(AK270="",V270=0),"",MIN(IF(AX270="",9.9E+99,AX270),FLOOR(AO270/V270,1)))</f>
        <v/>
      </c>
      <c r="AQ270" s="49">
        <f>IF(AP270="","",AP270*IF(ABS(MOD(ABS((X270)),1)-0.5)&lt;1E-9,2*ROUND((X270)/2,0),ROUND((X270),0)))</f>
        <v/>
      </c>
      <c r="AR270" s="47">
        <f>IF(OR(AK270="",V270=0),"",MIN(IF(AX270="",9.9E+99,AX270),AO270/V270))</f>
        <v/>
      </c>
      <c r="AS270" s="49">
        <f>IF(AR270="","",AR270*IF(B270="South Korea",IF(ABS(MOD(ABS((X270)),1)-0.5)&lt;1E-9,2*ROUND((X270)/2,0),ROUND((X270),0)),X270))</f>
        <v/>
      </c>
      <c r="AT270" s="51" t="n"/>
      <c r="AU270" s="43" t="inlineStr">
        <is>
          <t>Grounded</t>
        </is>
      </c>
      <c r="AV270" s="52" t="n"/>
      <c r="AW270" s="52" t="n"/>
      <c r="AX270" s="53" t="n"/>
      <c r="AY270" s="54">
        <f>IF(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&lt;=0,"",VLOOKUP(B270,country_opex,7,FALSE)/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)</f>
        <v/>
      </c>
      <c r="AZ270" s="54">
        <f>IF(((W270*pax_cap*IF(B270="South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Korea",korea_mid_revleg,revleg_mid)),0))*VLOOKUP(B270,country_opex,3,FALSE))+Z270+AA270+AB270+AC270+AD270))&lt;=0,"",VLOOKUP(B270,country_opex,7,FALSE)/((W270*pax_cap*IF(B270="South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Korea",korea_mid_revleg,revleg_mid)),0))*VLOOKUP(B270,country_opex,3,FALSE))+Z270+AA270+AB270+AC270+AD270)))</f>
        <v/>
      </c>
      <c r="BA270" s="54">
        <f>IF(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&lt;=0,"",VLOOKUP(B270,country_opex,7,FALSE)/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)</f>
        <v/>
      </c>
      <c r="BB270" s="40" t="inlineStr">
        <is>
          <t>Minor Hotels captive gateway — Avani Seminyak coastal transfer.</t>
        </is>
      </c>
      <c r="BC270" s="40" t="inlineStr">
        <is>
          <t>minor-hotels-bali-flagship-economics-DRAFT.json — Seminyak gateway pool</t>
        </is>
      </c>
      <c r="BD270" s="43" t="inlineStr">
        <is>
          <t>rn-488fcf2617fe</t>
        </is>
      </c>
    </row>
    <row r="271">
      <c r="A271" s="38" t="inlineStr">
        <is>
          <t>Bali</t>
        </is>
      </c>
      <c r="B271" s="38" t="inlineStr">
        <is>
          <t>Indonesia</t>
        </is>
      </c>
      <c r="C271" s="39" t="inlineStr">
        <is>
          <t>Bali Marina (Benoa) → Six Senses Uluwatu</t>
        </is>
      </c>
      <c r="D271" s="38" t="inlineStr">
        <is>
          <t>grab</t>
        </is>
      </c>
      <c r="E271" s="40" t="inlineStr">
        <is>
          <t>bali</t>
        </is>
      </c>
      <c r="F271" s="41" t="n">
        <v>1</v>
      </c>
      <c r="G271" s="42" t="n">
        <v>7.7</v>
      </c>
      <c r="H271" s="35" t="n">
        <v>85</v>
      </c>
      <c r="I271" s="43" t="inlineStr">
        <is>
          <t>T2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IF(B271="South Korea",G271/korea_charge_range_nm*korea_full_range_charge_min,0)</f>
        <v/>
      </c>
      <c r="N271" s="44">
        <f>IF(B271="South Korea",L271+korea_turn_min+korea_dwell_min+M271,L271+turn_min+dwell_min)</f>
        <v/>
      </c>
      <c r="O271" s="45">
        <f>IF(B271="South Korea",FLOOR(60*korea_service_hr/N271,1),MIN(15,FLOOR(60*service_hr/N271,1)))</f>
        <v/>
      </c>
      <c r="P271" s="45">
        <f>IF(ABS(MOD(ABS((365*mech_uptime*K271)),1)-0.5)&lt;1E-9,2*ROUND((365*mech_uptime*K271)/2,0),ROUND((365*mech_uptime*K271),0))</f>
        <v/>
      </c>
      <c r="Q271" s="46">
        <f>mech_uptime</f>
        <v/>
      </c>
      <c r="R271" s="46">
        <f>IF(AND(B271="South Korea",scenario="MID"),korea_mid_revleg,revleg_sel)</f>
        <v/>
      </c>
      <c r="S271" s="45">
        <f>IF(ABS(MOD(ABS((O271*P271*R271)),1)-0.5)&lt;1E-9,2*ROUND((O271*P271*R271)/2,0),ROUND((O271*P271*R271),0))</f>
        <v/>
      </c>
      <c r="T271" s="46">
        <f>IF(AND(B271="South Korea",scenario="MID"),korea_mid_load,load_sel)</f>
        <v/>
      </c>
      <c r="U271" s="47">
        <f>pax_cap*T271</f>
        <v/>
      </c>
      <c r="V271" s="45">
        <f>U271*S271</f>
        <v/>
      </c>
      <c r="W271" s="48">
        <f>H271*discount</f>
        <v/>
      </c>
      <c r="X271" s="49">
        <f>W271*V271</f>
        <v/>
      </c>
      <c r="Y271" s="49">
        <f>(battery/range_nm)*G271*S271*VLOOKUP(B271,country_opex,3,FALSE)</f>
        <v/>
      </c>
      <c r="Z271" s="49">
        <f>VLOOKUP(B271,country_opex,2,FALSE)*crew_factor</f>
        <v/>
      </c>
      <c r="AA271" s="49">
        <f>VLOOKUP(B271,country_opex,5,FALSE)</f>
        <v/>
      </c>
      <c r="AB271" s="49">
        <f>maint</f>
        <v/>
      </c>
      <c r="AC271" s="49">
        <f>VLOOKUP(B271,country_opex,7,FALSE)*ins_pct</f>
        <v/>
      </c>
      <c r="AD271" s="49">
        <f>charge_berth</f>
        <v/>
      </c>
      <c r="AE271" s="49">
        <f>Y271+Z271+AA271+AB271+AC271+AD271</f>
        <v/>
      </c>
      <c r="AF271" s="49">
        <f>VLOOKUP(B271,country_opex,7,FALSE)/dep_years</f>
        <v/>
      </c>
      <c r="AG271" s="49">
        <f>X271-AE271</f>
        <v/>
      </c>
      <c r="AH271" s="46">
        <f>IF(X271=0,"",AG271/X271)</f>
        <v/>
      </c>
      <c r="AI271" s="47">
        <f>IF(AG271&lt;=0,"",VLOOKUP(B271,country_opex,7,FALSE)/AG271)</f>
        <v/>
      </c>
      <c r="AJ271" s="44">
        <f>((G271*S271/diesel_nmpg)*diesel_co2pg-(battery/range_nm)*G271*S271*VLOOKUP(B271,country_opex,4,FALSE))/1000</f>
        <v/>
      </c>
      <c r="AK271" s="42" t="n">
        <v>2900</v>
      </c>
      <c r="AL271" s="43" t="inlineStr">
        <is>
          <t>T2</t>
        </is>
      </c>
      <c r="AM271" s="43" t="inlineStr">
        <is>
          <t>med</t>
        </is>
      </c>
      <c r="AN271" s="50" t="n">
        <v>0.9</v>
      </c>
      <c r="AO271" s="45">
        <f>IF(AK271="","",AK271*AN271)</f>
        <v/>
      </c>
      <c r="AP271" s="45">
        <f>IF(OR(AK271="",V271=0),"",MIN(IF(AX271="",9.9E+99,AX271),FLOOR(AO271/V271,1)))</f>
        <v/>
      </c>
      <c r="AQ271" s="49">
        <f>IF(AP271="","",AP271*IF(ABS(MOD(ABS((X271)),1)-0.5)&lt;1E-9,2*ROUND((X271)/2,0),ROUND((X271),0)))</f>
        <v/>
      </c>
      <c r="AR271" s="47">
        <f>IF(OR(AK271="",V271=0),"",MIN(IF(AX271="",9.9E+99,AX271),AO271/V271))</f>
        <v/>
      </c>
      <c r="AS271" s="49">
        <f>IF(AR271="","",AR271*IF(B271="South Korea",IF(ABS(MOD(ABS((X271)),1)-0.5)&lt;1E-9,2*ROUND((X271)/2,0),ROUND((X271),0)),X271))</f>
        <v/>
      </c>
      <c r="AT271" s="51" t="n"/>
      <c r="AU271" s="43" t="inlineStr">
        <is>
          <t>Grounded</t>
        </is>
      </c>
      <c r="AV271" s="52" t="n"/>
      <c r="AW271" s="52" t="n"/>
      <c r="AX271" s="53" t="n"/>
      <c r="AY271" s="54">
        <f>IF(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&lt;=0,"",VLOOKUP(B271,country_opex,7,FALSE)/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)</f>
        <v/>
      </c>
      <c r="AZ271" s="54">
        <f>IF(((W271*pax_cap*IF(B271="South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Korea",korea_mid_revleg,revleg_mid)),0))*VLOOKUP(B271,country_opex,3,FALSE))+Z271+AA271+AB271+AC271+AD271))&lt;=0,"",VLOOKUP(B271,country_opex,7,FALSE)/((W271*pax_cap*IF(B271="South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Korea",korea_mid_revleg,revleg_mid)),0))*VLOOKUP(B271,country_opex,3,FALSE))+Z271+AA271+AB271+AC271+AD271)))</f>
        <v/>
      </c>
      <c r="BA271" s="54">
        <f>IF(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&lt;=0,"",VLOOKUP(B271,country_opex,7,FALSE)/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)</f>
        <v/>
      </c>
      <c r="BB271" s="40" t="inlineStr">
        <is>
          <t>Minor Hotels captive gateway — Anantara Uluwatu Benoa marina transfer.</t>
        </is>
      </c>
      <c r="BC271" s="40" t="inlineStr">
        <is>
          <t>minor-hotels-bali-flagship-economics-DRAFT.json — Uluwatu gateway pool</t>
        </is>
      </c>
      <c r="BD271" s="43" t="inlineStr">
        <is>
          <t>rn-c256a044c8be</t>
        </is>
      </c>
    </row>
    <row r="272">
      <c r="A272" s="38" t="inlineStr">
        <is>
          <t>Jakarta</t>
        </is>
      </c>
      <c r="B272" s="38" t="inlineStr">
        <is>
          <t>Indonesia</t>
        </is>
      </c>
      <c r="C272" s="39" t="inlineStr">
        <is>
          <t>Batavia Marina (Sunda Kelapa) → Batavia Marina (Sunda Kelapa)</t>
        </is>
      </c>
      <c r="D272" s="38" t="inlineStr">
        <is>
          <t>grab</t>
        </is>
      </c>
      <c r="E272" s="40" t="inlineStr">
        <is>
          <t>jakarta</t>
        </is>
      </c>
      <c r="F272" s="41" t="n">
        <v>1</v>
      </c>
      <c r="G272" s="42" t="n">
        <v>8</v>
      </c>
      <c r="H272" s="35" t="n">
        <v>35</v>
      </c>
      <c r="I272" s="43" t="inlineStr">
        <is>
          <t>T1</t>
        </is>
      </c>
      <c r="J272" s="43" t="inlineStr">
        <is>
          <t>high</t>
        </is>
      </c>
      <c r="K272" s="29" t="n">
        <v>1</v>
      </c>
      <c r="L272" s="44">
        <f>60*G272/cruise_kt</f>
        <v/>
      </c>
      <c r="M272" s="44">
        <f>IF(B272="South Korea",G272/korea_charge_range_nm*korea_full_range_charge_min,0)</f>
        <v/>
      </c>
      <c r="N272" s="44">
        <f>IF(B272="South Korea",L272+korea_turn_min+korea_dwell_min+M272,L272+turn_min+dwell_min)</f>
        <v/>
      </c>
      <c r="O272" s="45">
        <f>IF(B272="South Korea",FLOOR(60*korea_service_hr/N272,1),MIN(15,FLOOR(60*service_hr/N272,1)))</f>
        <v/>
      </c>
      <c r="P272" s="45">
        <f>IF(ABS(MOD(ABS((365*mech_uptime*K272)),1)-0.5)&lt;1E-9,2*ROUND((365*mech_uptime*K272)/2,0),ROUND((365*mech_uptime*K272),0))</f>
        <v/>
      </c>
      <c r="Q272" s="46">
        <f>mech_uptime</f>
        <v/>
      </c>
      <c r="R272" s="46">
        <f>IF(AND(B272="South Korea",scenario="MID"),korea_mid_revleg,revleg_sel)</f>
        <v/>
      </c>
      <c r="S272" s="45">
        <f>IF(ABS(MOD(ABS((O272*P272*R272)),1)-0.5)&lt;1E-9,2*ROUND((O272*P272*R272)/2,0),ROUND((O272*P272*R272),0))</f>
        <v/>
      </c>
      <c r="T272" s="46">
        <f>IF(AND(B272="South Korea",scenario="MID"),korea_mid_load,load_sel)</f>
        <v/>
      </c>
      <c r="U272" s="47">
        <f>pax_cap*T272</f>
        <v/>
      </c>
      <c r="V272" s="45">
        <f>U272*S272</f>
        <v/>
      </c>
      <c r="W272" s="48">
        <f>H272*discount</f>
        <v/>
      </c>
      <c r="X272" s="49">
        <f>W272*V272</f>
        <v/>
      </c>
      <c r="Y272" s="49">
        <f>(battery/range_nm)*G272*S272*VLOOKUP(B272,country_opex,3,FALSE)</f>
        <v/>
      </c>
      <c r="Z272" s="49">
        <f>VLOOKUP(B272,country_opex,2,FALSE)*crew_factor</f>
        <v/>
      </c>
      <c r="AA272" s="49">
        <f>VLOOKUP(B272,country_opex,5,FALSE)</f>
        <v/>
      </c>
      <c r="AB272" s="49">
        <f>maint</f>
        <v/>
      </c>
      <c r="AC272" s="49">
        <f>VLOOKUP(B272,country_opex,7,FALSE)*ins_pct</f>
        <v/>
      </c>
      <c r="AD272" s="49">
        <f>charge_berth</f>
        <v/>
      </c>
      <c r="AE272" s="49">
        <f>Y272+Z272+AA272+AB272+AC272+AD272</f>
        <v/>
      </c>
      <c r="AF272" s="49">
        <f>VLOOKUP(B272,country_opex,7,FALSE)/dep_years</f>
        <v/>
      </c>
      <c r="AG272" s="49">
        <f>X272-AE272</f>
        <v/>
      </c>
      <c r="AH272" s="46">
        <f>IF(X272=0,"",AG272/X272)</f>
        <v/>
      </c>
      <c r="AI272" s="47">
        <f>IF(AG272&lt;=0,"",VLOOKUP(B272,country_opex,7,FALSE)/AG272)</f>
        <v/>
      </c>
      <c r="AJ272" s="44">
        <f>((G272*S272/diesel_nmpg)*diesel_co2pg-(battery/range_nm)*G272*S272*VLOOKUP(B272,country_opex,4,FALSE))/1000</f>
        <v/>
      </c>
      <c r="AK272" s="42" t="n">
        <v>10000</v>
      </c>
      <c r="AL272" s="43" t="n"/>
      <c r="AM272" s="43" t="n"/>
      <c r="AN272" s="50" t="n">
        <v>0.1</v>
      </c>
      <c r="AO272" s="45">
        <f>IF(AK272="","",AK272*AN272)</f>
        <v/>
      </c>
      <c r="AP272" s="45">
        <f>IF(OR(AK272="",V272=0),"",MIN(IF(AX272="",9.9E+99,AX272),FLOOR(AO272/V272,1)))</f>
        <v/>
      </c>
      <c r="AQ272" s="49">
        <f>IF(AP272="","",AP272*IF(ABS(MOD(ABS((X272)),1)-0.5)&lt;1E-9,2*ROUND((X272)/2,0),ROUND((X272),0)))</f>
        <v/>
      </c>
      <c r="AR272" s="47">
        <f>IF(OR(AK272="",V272=0),"",MIN(IF(AX272="",9.9E+99,AX272),AO272/V272))</f>
        <v/>
      </c>
      <c r="AS272" s="49">
        <f>IF(AR272="","",AR272*IF(B272="South Korea",IF(ABS(MOD(ABS((X272)),1)-0.5)&lt;1E-9,2*ROUND((X272)/2,0),ROUND((X272),0)),X272))</f>
        <v/>
      </c>
      <c r="AT272" s="51" t="n"/>
      <c r="AU272" s="43" t="inlineStr">
        <is>
          <t>Grounded</t>
        </is>
      </c>
      <c r="AV272" s="52" t="n"/>
      <c r="AW272" s="52" t="n"/>
      <c r="AX272" s="53" t="n"/>
      <c r="AY272" s="54">
        <f>IF(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&lt;=0,"",VLOOKUP(B272,country_opex,7,FALSE)/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)</f>
        <v/>
      </c>
      <c r="AZ272" s="54">
        <f>IF(((W272*pax_cap*IF(B272="South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Korea",korea_mid_revleg,revleg_mid)),0))*VLOOKUP(B272,country_opex,3,FALSE))+Z272+AA272+AB272+AC272+AD272))&lt;=0,"",VLOOKUP(B272,country_opex,7,FALSE)/((W272*pax_cap*IF(B272="South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Korea",korea_mid_revleg,revleg_mid)),0))*VLOOKUP(B272,country_opex,3,FALSE))+Z272+AA272+AB272+AC272+AD272)))</f>
        <v/>
      </c>
      <c r="BA272" s="54">
        <f>IF(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&lt;=0,"",VLOOKUP(B272,country_opex,7,FALSE)/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)</f>
        <v/>
      </c>
      <c r="BB272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C272" s="40" t="n"/>
      <c r="BD272" s="43" t="n"/>
    </row>
    <row r="273">
      <c r="A273" s="38" t="inlineStr">
        <is>
          <t>Singapore</t>
        </is>
      </c>
      <c r="B273" s="38" t="inlineStr">
        <is>
          <t>Indonesia</t>
        </is>
      </c>
      <c r="C273" s="39" t="inlineStr">
        <is>
          <t>ONE°15 Marina Sentosa Cove → Harbour Bay</t>
        </is>
      </c>
      <c r="D273" s="38" t="inlineStr">
        <is>
          <t>grab</t>
        </is>
      </c>
      <c r="E273" s="40" t="inlineStr">
        <is>
          <t>singapore</t>
        </is>
      </c>
      <c r="F273" s="41" t="n">
        <v>1</v>
      </c>
      <c r="G273" s="42" t="n">
        <v>11.2</v>
      </c>
      <c r="H273" s="35" t="n">
        <v>50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IF(B273="South Korea",G273/korea_charge_range_nm*korea_full_range_charge_min,0)</f>
        <v/>
      </c>
      <c r="N273" s="44">
        <f>IF(B273="South Korea",L273+korea_turn_min+korea_dwell_min+M273,L273+turn_min+dwell_min)</f>
        <v/>
      </c>
      <c r="O273" s="45">
        <f>IF(B273="South Korea",FLOOR(60*korea_service_hr/N273,1),MIN(24,FLOOR(60*service_hr/N273,1)))</f>
        <v/>
      </c>
      <c r="P273" s="45">
        <f>IF(ABS(MOD(ABS((365*mech_uptime*K273)),1)-0.5)&lt;1E-9,2*ROUND((365*mech_uptime*K273)/2,0),ROUND((365*mech_uptime*K273),0))</f>
        <v/>
      </c>
      <c r="Q273" s="46">
        <f>mech_uptime</f>
        <v/>
      </c>
      <c r="R273" s="46">
        <f>IF(AND(B273="South Korea",scenario="MID"),korea_mid_revleg,revleg_sel)</f>
        <v/>
      </c>
      <c r="S273" s="45">
        <f>IF(ABS(MOD(ABS((O273*P273*R273)),1)-0.5)&lt;1E-9,2*ROUND((O273*P273*R273)/2,0),ROUND((O273*P273*R273),0))</f>
        <v/>
      </c>
      <c r="T273" s="46">
        <f>IF(AND(B273="South Korea",scenario="MID"),korea_mid_load,load_sel)</f>
        <v/>
      </c>
      <c r="U273" s="47">
        <f>pax_cap*T273</f>
        <v/>
      </c>
      <c r="V273" s="45">
        <f>U273*S273</f>
        <v/>
      </c>
      <c r="W273" s="48">
        <f>H273*discount</f>
        <v/>
      </c>
      <c r="X273" s="49">
        <f>W273*V273</f>
        <v/>
      </c>
      <c r="Y273" s="49">
        <f>(battery/range_nm)*G273*S273*VLOOKUP(B273,country_opex,3,FALSE)</f>
        <v/>
      </c>
      <c r="Z273" s="49">
        <f>VLOOKUP(B273,country_opex,2,FALSE)*crew_factor</f>
        <v/>
      </c>
      <c r="AA273" s="49">
        <f>VLOOKUP(B273,country_opex,5,FALSE)</f>
        <v/>
      </c>
      <c r="AB273" s="49">
        <f>maint</f>
        <v/>
      </c>
      <c r="AC273" s="49">
        <f>VLOOKUP(B273,country_opex,7,FALSE)*ins_pct</f>
        <v/>
      </c>
      <c r="AD273" s="49">
        <f>charge_berth</f>
        <v/>
      </c>
      <c r="AE273" s="49">
        <f>Y273+Z273+AA273+AB273+AC273+AD273</f>
        <v/>
      </c>
      <c r="AF273" s="49">
        <f>VLOOKUP(B273,country_opex,7,FALSE)/dep_years</f>
        <v/>
      </c>
      <c r="AG273" s="49">
        <f>X273-AE273</f>
        <v/>
      </c>
      <c r="AH273" s="46">
        <f>IF(X273=0,"",AG273/X273)</f>
        <v/>
      </c>
      <c r="AI273" s="47">
        <f>IF(AG273&lt;=0,"",VLOOKUP(B273,country_opex,7,FALSE)/AG273)</f>
        <v/>
      </c>
      <c r="AJ273" s="44">
        <f>((G273*S273/diesel_nmpg)*diesel_co2pg-(battery/range_nm)*G273*S273*VLOOKUP(B273,country_opex,4,FALSE))/1000</f>
        <v/>
      </c>
      <c r="AK273" s="42" t="n">
        <v>5000</v>
      </c>
      <c r="AL273" s="43" t="inlineStr">
        <is>
          <t>T3</t>
        </is>
      </c>
      <c r="AM273" s="43" t="inlineStr">
        <is>
          <t>med</t>
        </is>
      </c>
      <c r="AN273" s="50" t="n">
        <v>0.1</v>
      </c>
      <c r="AO273" s="45">
        <f>IF(AK273="","",AK273*AN273)</f>
        <v/>
      </c>
      <c r="AP273" s="45">
        <f>IF(OR(AK273="",V273=0),"",MIN(IF(AX273="",9.9E+99,AX273),FLOOR(AO273/V273,1)))</f>
        <v/>
      </c>
      <c r="AQ273" s="49">
        <f>IF(AP273="","",AP273*IF(ABS(MOD(ABS((X273)),1)-0.5)&lt;1E-9,2*ROUND((X273)/2,0),ROUND((X273),0)))</f>
        <v/>
      </c>
      <c r="AR273" s="47">
        <f>IF(OR(AK273="",V273=0),"",MIN(IF(AX273="",9.9E+99,AX273),AO273/V273))</f>
        <v/>
      </c>
      <c r="AS273" s="49">
        <f>IF(AR273="","",AR273*IF(B273="South Korea",IF(ABS(MOD(ABS((X273)),1)-0.5)&lt;1E-9,2*ROUND((X273)/2,0),ROUND((X273),0)),X273))</f>
        <v/>
      </c>
      <c r="AT273" s="51" t="n"/>
      <c r="AU273" s="43" t="inlineStr">
        <is>
          <t>Grounded</t>
        </is>
      </c>
      <c r="AV273" s="52" t="n"/>
      <c r="AW273" s="52" t="n"/>
      <c r="AX273" s="53" t="n"/>
      <c r="AY273" s="54">
        <f>IF(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&lt;=0,"",VLOOKUP(B273,country_opex,7,FALSE)/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)</f>
        <v/>
      </c>
      <c r="AZ273" s="54">
        <f>IF(((W273*pax_cap*IF(B273="South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Korea",korea_mid_revleg,revleg_mid)),0))*VLOOKUP(B273,country_opex,3,FALSE))+Z273+AA273+AB273+AC273+AD273))&lt;=0,"",VLOOKUP(B273,country_opex,7,FALSE)/((W273*pax_cap*IF(B273="South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Korea",korea_mid_revleg,revleg_mid)),0))*VLOOKUP(B273,country_opex,3,FALSE))+Z273+AA273+AB273+AC273+AD273)))</f>
        <v/>
      </c>
      <c r="BA273" s="54">
        <f>IF(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&lt;=0,"",VLOOKUP(B273,country_opex,7,FALSE)/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)</f>
        <v/>
      </c>
      <c r="BB273" s="40" t="inlineStr">
        <is>
          <t>economics_by_route_id.json</t>
        </is>
      </c>
      <c r="BC273" s="40" t="inlineStr">
        <is>
          <t>gojek-127/route+economics</t>
        </is>
      </c>
      <c r="BD273" s="43" t="inlineStr">
        <is>
          <t>rn-76264638fa6b</t>
        </is>
      </c>
    </row>
    <row r="274">
      <c r="A274" s="38" t="inlineStr">
        <is>
          <t>Singapore</t>
        </is>
      </c>
      <c r="B274" s="38" t="inlineStr">
        <is>
          <t>Indonesia</t>
        </is>
      </c>
      <c r="C274" s="39" t="inlineStr">
        <is>
          <t>Riau Islands → ONE°15 Marina Sentosa Cove Singapore</t>
        </is>
      </c>
      <c r="D274" s="38" t="inlineStr">
        <is>
          <t>grab</t>
        </is>
      </c>
      <c r="E274" s="40" t="inlineStr">
        <is>
          <t>cross-border, singapore</t>
        </is>
      </c>
      <c r="F274" s="41" t="n">
        <v>2</v>
      </c>
      <c r="G274" s="42" t="n">
        <v>11.9</v>
      </c>
      <c r="H274" s="35" t="n">
        <v>50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IF(B274="South Korea",G274/korea_charge_range_nm*korea_full_range_charge_min,0)</f>
        <v/>
      </c>
      <c r="N274" s="44">
        <f>IF(B274="South Korea",L274+korea_turn_min+korea_dwell_min+M274,L274+turn_min+dwell_min)</f>
        <v/>
      </c>
      <c r="O274" s="45">
        <f>IF(B274="South Korea",FLOOR(60*korea_service_hr/N274,1),MIN(24,FLOOR(60*service_hr/N274,1)))</f>
        <v/>
      </c>
      <c r="P274" s="45">
        <f>IF(ABS(MOD(ABS((365*mech_uptime*K274)),1)-0.5)&lt;1E-9,2*ROUND((365*mech_uptime*K274)/2,0),ROUND((365*mech_uptime*K274),0))</f>
        <v/>
      </c>
      <c r="Q274" s="46">
        <f>mech_uptime</f>
        <v/>
      </c>
      <c r="R274" s="46">
        <f>IF(AND(B274="South Korea",scenario="MID"),korea_mid_revleg,revleg_sel)</f>
        <v/>
      </c>
      <c r="S274" s="45">
        <f>IF(ABS(MOD(ABS((O274*P274*R274)),1)-0.5)&lt;1E-9,2*ROUND((O274*P274*R274)/2,0),ROUND((O274*P274*R274),0))</f>
        <v/>
      </c>
      <c r="T274" s="46">
        <f>IF(AND(B274="South Korea",scenario="MID"),korea_mid_load,load_sel)</f>
        <v/>
      </c>
      <c r="U274" s="47">
        <f>pax_cap*T274</f>
        <v/>
      </c>
      <c r="V274" s="45">
        <f>U274*S274</f>
        <v/>
      </c>
      <c r="W274" s="48">
        <f>H274*discount</f>
        <v/>
      </c>
      <c r="X274" s="49">
        <f>W274*V274</f>
        <v/>
      </c>
      <c r="Y274" s="49">
        <f>(battery/range_nm)*G274*S274*VLOOKUP(B274,country_opex,3,FALSE)</f>
        <v/>
      </c>
      <c r="Z274" s="49">
        <f>VLOOKUP(B274,country_opex,2,FALSE)*crew_factor</f>
        <v/>
      </c>
      <c r="AA274" s="49">
        <f>VLOOKUP(B274,country_opex,5,FALSE)</f>
        <v/>
      </c>
      <c r="AB274" s="49">
        <f>maint</f>
        <v/>
      </c>
      <c r="AC274" s="49">
        <f>VLOOKUP(B274,country_opex,7,FALSE)*ins_pct</f>
        <v/>
      </c>
      <c r="AD274" s="49">
        <f>charge_berth</f>
        <v/>
      </c>
      <c r="AE274" s="49">
        <f>Y274+Z274+AA274+AB274+AC274+AD274</f>
        <v/>
      </c>
      <c r="AF274" s="49">
        <f>VLOOKUP(B274,country_opex,7,FALSE)/dep_years</f>
        <v/>
      </c>
      <c r="AG274" s="49">
        <f>X274-AE274</f>
        <v/>
      </c>
      <c r="AH274" s="46">
        <f>IF(X274=0,"",AG274/X274)</f>
        <v/>
      </c>
      <c r="AI274" s="47">
        <f>IF(AG274&lt;=0,"",VLOOKUP(B274,country_opex,7,FALSE)/AG274)</f>
        <v/>
      </c>
      <c r="AJ274" s="44">
        <f>((G274*S274/diesel_nmpg)*diesel_co2pg-(battery/range_nm)*G274*S274*VLOOKUP(B274,country_opex,4,FALSE))/1000</f>
        <v/>
      </c>
      <c r="AK274" s="42" t="n">
        <v>5000</v>
      </c>
      <c r="AL274" s="43" t="inlineStr">
        <is>
          <t>T3</t>
        </is>
      </c>
      <c r="AM274" s="43" t="inlineStr">
        <is>
          <t>med</t>
        </is>
      </c>
      <c r="AN274" s="50" t="n">
        <v>0.1</v>
      </c>
      <c r="AO274" s="45">
        <f>IF(AK274="","",AK274*AN274)</f>
        <v/>
      </c>
      <c r="AP274" s="45">
        <f>IF(OR(AK274="",V274=0),"",MIN(IF(AX274="",9.9E+99,AX274),FLOOR(AO274/V274,1)))</f>
        <v/>
      </c>
      <c r="AQ274" s="49">
        <f>IF(AP274="","",AP274*IF(ABS(MOD(ABS((X274)),1)-0.5)&lt;1E-9,2*ROUND((X274)/2,0),ROUND((X274),0)))</f>
        <v/>
      </c>
      <c r="AR274" s="47">
        <f>IF(OR(AK274="",V274=0),"",MIN(IF(AX274="",9.9E+99,AX274),AO274/V274))</f>
        <v/>
      </c>
      <c r="AS274" s="49">
        <f>IF(AR274="","",AR274*IF(B274="South Korea",IF(ABS(MOD(ABS((X274)),1)-0.5)&lt;1E-9,2*ROUND((X274)/2,0),ROUND((X274),0)),X274))</f>
        <v/>
      </c>
      <c r="AT274" s="51" t="n"/>
      <c r="AU274" s="43" t="inlineStr">
        <is>
          <t>Grounded</t>
        </is>
      </c>
      <c r="AV274" s="52" t="n"/>
      <c r="AW274" s="52" t="n"/>
      <c r="AX274" s="53" t="n"/>
      <c r="AY274" s="54">
        <f>IF(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&lt;=0,"",VLOOKUP(B274,country_opex,7,FALSE)/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)</f>
        <v/>
      </c>
      <c r="AZ274" s="54">
        <f>IF(((W274*pax_cap*IF(B274="South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Korea",korea_mid_revleg,revleg_mid)),0))*VLOOKUP(B274,country_opex,3,FALSE))+Z274+AA274+AB274+AC274+AD274))&lt;=0,"",VLOOKUP(B274,country_opex,7,FALSE)/((W274*pax_cap*IF(B274="South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Korea",korea_mid_revleg,revleg_mid)),0))*VLOOKUP(B274,country_opex,3,FALSE))+Z274+AA274+AB274+AC274+AD274)))</f>
        <v/>
      </c>
      <c r="BA274" s="54">
        <f>IF(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&lt;=0,"",VLOOKUP(B274,country_opex,7,FALSE)/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)</f>
        <v/>
      </c>
      <c r="BB274" s="40" t="inlineStr">
        <is>
          <t>economics_by_route_id.json</t>
        </is>
      </c>
      <c r="BC274" s="40" t="inlineStr">
        <is>
          <t>gojek-127/route+economics</t>
        </is>
      </c>
      <c r="BD274" s="43" t="inlineStr">
        <is>
          <t>rn-2568d40ee060</t>
        </is>
      </c>
    </row>
    <row r="275">
      <c r="A275" s="38" t="inlineStr">
        <is>
          <t>Bali</t>
        </is>
      </c>
      <c r="B275" s="38" t="inlineStr">
        <is>
          <t>Indonesia</t>
        </is>
      </c>
      <c r="C275" s="39" t="inlineStr">
        <is>
          <t>Bali (Benoa / Sanur) → Nusa Penida / Lembongan</t>
        </is>
      </c>
      <c r="D275" s="38" t="inlineStr">
        <is>
          <t>grab</t>
        </is>
      </c>
      <c r="E275" s="40" t="inlineStr">
        <is>
          <t>bali</t>
        </is>
      </c>
      <c r="F275" s="41" t="n">
        <v>1</v>
      </c>
      <c r="G275" s="42" t="n">
        <v>13.5</v>
      </c>
      <c r="H275" s="35" t="n">
        <v>60</v>
      </c>
      <c r="I275" s="43" t="inlineStr">
        <is>
          <t>T3</t>
        </is>
      </c>
      <c r="J275" s="43" t="inlineStr">
        <is>
          <t>med-high</t>
        </is>
      </c>
      <c r="K275" s="29" t="n">
        <v>1</v>
      </c>
      <c r="L275" s="44">
        <f>60*G275/cruise_kt</f>
        <v/>
      </c>
      <c r="M275" s="44">
        <f>IF(B275="South Korea",G275/korea_charge_range_nm*korea_full_range_charge_min,0)</f>
        <v/>
      </c>
      <c r="N275" s="44">
        <f>IF(B275="South Korea",L275+korea_turn_min+korea_dwell_min+M275,L275+turn_min+dwell_min)</f>
        <v/>
      </c>
      <c r="O275" s="45">
        <f>IF(B275="South Korea",FLOOR(60*korea_service_hr/N275,1),MIN(15,FLOOR(60*service_hr/N275,1)))</f>
        <v/>
      </c>
      <c r="P275" s="45">
        <f>IF(ABS(MOD(ABS((365*mech_uptime*K275)),1)-0.5)&lt;1E-9,2*ROUND((365*mech_uptime*K275)/2,0),ROUND((365*mech_uptime*K275),0))</f>
        <v/>
      </c>
      <c r="Q275" s="46">
        <f>mech_uptime</f>
        <v/>
      </c>
      <c r="R275" s="46">
        <f>IF(AND(B275="South Korea",scenario="MID"),korea_mid_revleg,revleg_sel)</f>
        <v/>
      </c>
      <c r="S275" s="45">
        <f>IF(ABS(MOD(ABS((O275*P275*R275)),1)-0.5)&lt;1E-9,2*ROUND((O275*P275*R275)/2,0),ROUND((O275*P275*R275),0))</f>
        <v/>
      </c>
      <c r="T275" s="46">
        <f>IF(AND(B275="South Korea",scenario="MID"),korea_mid_load,load_sel)</f>
        <v/>
      </c>
      <c r="U275" s="47">
        <f>pax_cap*T275</f>
        <v/>
      </c>
      <c r="V275" s="45">
        <f>U275*S275</f>
        <v/>
      </c>
      <c r="W275" s="48">
        <f>H275*discount</f>
        <v/>
      </c>
      <c r="X275" s="49">
        <f>W275*V275</f>
        <v/>
      </c>
      <c r="Y275" s="49">
        <f>(battery/range_nm)*G275*S275*VLOOKUP(B275,country_opex,3,FALSE)</f>
        <v/>
      </c>
      <c r="Z275" s="49">
        <f>VLOOKUP(B275,country_opex,2,FALSE)*crew_factor</f>
        <v/>
      </c>
      <c r="AA275" s="49">
        <f>VLOOKUP(B275,country_opex,5,FALSE)</f>
        <v/>
      </c>
      <c r="AB275" s="49">
        <f>maint</f>
        <v/>
      </c>
      <c r="AC275" s="49">
        <f>VLOOKUP(B275,country_opex,7,FALSE)*ins_pct</f>
        <v/>
      </c>
      <c r="AD275" s="49">
        <f>charge_berth</f>
        <v/>
      </c>
      <c r="AE275" s="49">
        <f>Y275+Z275+AA275+AB275+AC275+AD275</f>
        <v/>
      </c>
      <c r="AF275" s="49">
        <f>VLOOKUP(B275,country_opex,7,FALSE)/dep_years</f>
        <v/>
      </c>
      <c r="AG275" s="49">
        <f>X275-AE275</f>
        <v/>
      </c>
      <c r="AH275" s="46">
        <f>IF(X275=0,"",AG275/X275)</f>
        <v/>
      </c>
      <c r="AI275" s="47">
        <f>IF(AG275&lt;=0,"",VLOOKUP(B275,country_opex,7,FALSE)/AG275)</f>
        <v/>
      </c>
      <c r="AJ275" s="44">
        <f>((G275*S275/diesel_nmpg)*diesel_co2pg-(battery/range_nm)*G275*S275*VLOOKUP(B275,country_opex,4,FALSE))/1000</f>
        <v/>
      </c>
      <c r="AK275" s="42" t="n">
        <v>1500000</v>
      </c>
      <c r="AL275" s="43" t="inlineStr">
        <is>
          <t>T2</t>
        </is>
      </c>
      <c r="AM275" s="43" t="inlineStr">
        <is>
          <t>med-high</t>
        </is>
      </c>
      <c r="AN275" s="50" t="n">
        <v>0.1</v>
      </c>
      <c r="AO275" s="45">
        <f>IF(AK275="","",AK275*AN275)</f>
        <v/>
      </c>
      <c r="AP275" s="45">
        <f>IF(OR(AK275="",V275=0),"",MIN(IF(AX275="",9.9E+99,AX275),FLOOR(AO275/V275,1)))</f>
        <v/>
      </c>
      <c r="AQ275" s="49">
        <f>IF(AP275="","",AP275*IF(ABS(MOD(ABS((X275)),1)-0.5)&lt;1E-9,2*ROUND((X275)/2,0),ROUND((X275),0)))</f>
        <v/>
      </c>
      <c r="AR275" s="47">
        <f>IF(OR(AK275="",V275=0),"",MIN(IF(AX275="",9.9E+99,AX275),AO275/V275))</f>
        <v/>
      </c>
      <c r="AS275" s="49">
        <f>IF(AR275="","",AR275*IF(B275="South Korea",IF(ABS(MOD(ABS((X275)),1)-0.5)&lt;1E-9,2*ROUND((X275)/2,0),ROUND((X275),0)),X275))</f>
        <v/>
      </c>
      <c r="AT275" s="51" t="n"/>
      <c r="AU275" s="43" t="inlineStr">
        <is>
          <t>Grounded</t>
        </is>
      </c>
      <c r="AV275" s="52" t="n"/>
      <c r="AW275" s="52" t="n"/>
      <c r="AX275" s="53" t="n"/>
      <c r="AY275" s="54">
        <f>IF(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&lt;=0,"",VLOOKUP(B275,country_opex,7,FALSE)/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)</f>
        <v/>
      </c>
      <c r="AZ275" s="54">
        <f>IF(((W275*pax_cap*IF(B275="South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Korea",korea_mid_revleg,revleg_mid)),0))*VLOOKUP(B275,country_opex,3,FALSE))+Z275+AA275+AB275+AC275+AD275))&lt;=0,"",VLOOKUP(B275,country_opex,7,FALSE)/((W275*pax_cap*IF(B275="South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Korea",korea_mid_revleg,revleg_mid)),0))*VLOOKUP(B275,country_opex,3,FALSE))+Z275+AA275+AB275+AC275+AD275)))</f>
        <v/>
      </c>
      <c r="BA275" s="54">
        <f>IF(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&lt;=0,"",VLOOKUP(B275,country_opex,7,FALSE)/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)</f>
        <v/>
      </c>
      <c r="BB275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C275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  <c r="BD275" s="43" t="inlineStr">
        <is>
          <t>gcn-3d7809869d-shared</t>
        </is>
      </c>
    </row>
    <row r="276">
      <c r="A276" s="38" t="inlineStr">
        <is>
          <t>Bali</t>
        </is>
      </c>
      <c r="B276" s="38" t="inlineStr">
        <is>
          <t>Indonesia</t>
        </is>
      </c>
      <c r="C276" s="39" t="inlineStr">
        <is>
          <t>Sanur Beach Fast Boat Terminal → Nusa Penida (Toyapakeh / Banjar Nyuh harbour)</t>
        </is>
      </c>
      <c r="D276" s="38" t="inlineStr">
        <is>
          <t>grab</t>
        </is>
      </c>
      <c r="E276" s="40" t="inlineStr">
        <is>
          <t>bali</t>
        </is>
      </c>
      <c r="F276" s="41" t="n">
        <v>1</v>
      </c>
      <c r="G276" s="42" t="n">
        <v>13.5</v>
      </c>
      <c r="H276" s="35" t="n">
        <v>50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IF(B276="South Korea",G276/korea_charge_range_nm*korea_full_range_charge_min,0)</f>
        <v/>
      </c>
      <c r="N276" s="44">
        <f>IF(B276="South Korea",L276+korea_turn_min+korea_dwell_min+M276,L276+turn_min+dwell_min)</f>
        <v/>
      </c>
      <c r="O276" s="45">
        <f>IF(B276="South Korea",FLOOR(60*korea_service_hr/N276,1),MIN(24,FLOOR(60*service_hr/N276,1)))</f>
        <v/>
      </c>
      <c r="P276" s="45">
        <f>IF(ABS(MOD(ABS((365*mech_uptime*K276)),1)-0.5)&lt;1E-9,2*ROUND((365*mech_uptime*K276)/2,0),ROUND((365*mech_uptime*K276),0))</f>
        <v/>
      </c>
      <c r="Q276" s="46">
        <f>mech_uptime</f>
        <v/>
      </c>
      <c r="R276" s="46">
        <f>IF(AND(B276="South Korea",scenario="MID"),korea_mid_revleg,revleg_sel)</f>
        <v/>
      </c>
      <c r="S276" s="45">
        <f>IF(ABS(MOD(ABS((O276*P276*R276)),1)-0.5)&lt;1E-9,2*ROUND((O276*P276*R276)/2,0),ROUND((O276*P276*R276),0))</f>
        <v/>
      </c>
      <c r="T276" s="46">
        <f>IF(AND(B276="South Korea",scenario="MID"),korea_mid_load,load_sel)</f>
        <v/>
      </c>
      <c r="U276" s="47">
        <f>pax_cap*T276</f>
        <v/>
      </c>
      <c r="V276" s="45">
        <f>U276*S276</f>
        <v/>
      </c>
      <c r="W276" s="48">
        <f>H276*discount</f>
        <v/>
      </c>
      <c r="X276" s="49">
        <f>W276*V276</f>
        <v/>
      </c>
      <c r="Y276" s="49">
        <f>(battery/range_nm)*G276*S276*VLOOKUP(B276,country_opex,3,FALSE)</f>
        <v/>
      </c>
      <c r="Z276" s="49">
        <f>VLOOKUP(B276,country_opex,2,FALSE)*crew_factor</f>
        <v/>
      </c>
      <c r="AA276" s="49">
        <f>VLOOKUP(B276,country_opex,5,FALSE)</f>
        <v/>
      </c>
      <c r="AB276" s="49">
        <f>maint</f>
        <v/>
      </c>
      <c r="AC276" s="49">
        <f>VLOOKUP(B276,country_opex,7,FALSE)*ins_pct</f>
        <v/>
      </c>
      <c r="AD276" s="49">
        <f>charge_berth</f>
        <v/>
      </c>
      <c r="AE276" s="49">
        <f>Y276+Z276+AA276+AB276+AC276+AD276</f>
        <v/>
      </c>
      <c r="AF276" s="49">
        <f>VLOOKUP(B276,country_opex,7,FALSE)/dep_years</f>
        <v/>
      </c>
      <c r="AG276" s="49">
        <f>X276-AE276</f>
        <v/>
      </c>
      <c r="AH276" s="46">
        <f>IF(X276=0,"",AG276/X276)</f>
        <v/>
      </c>
      <c r="AI276" s="47">
        <f>IF(AG276&lt;=0,"",VLOOKUP(B276,country_opex,7,FALSE)/AG276)</f>
        <v/>
      </c>
      <c r="AJ276" s="44">
        <f>((G276*S276/diesel_nmpg)*diesel_co2pg-(battery/range_nm)*G276*S276*VLOOKUP(B276,country_opex,4,FALSE))/1000</f>
        <v/>
      </c>
      <c r="AK276" s="42" t="n">
        <v>5000</v>
      </c>
      <c r="AL276" s="43" t="inlineStr">
        <is>
          <t>T3</t>
        </is>
      </c>
      <c r="AM276" s="43" t="inlineStr">
        <is>
          <t>med</t>
        </is>
      </c>
      <c r="AN276" s="50" t="n">
        <v>0.1</v>
      </c>
      <c r="AO276" s="45">
        <f>IF(AK276="","",AK276*AN276)</f>
        <v/>
      </c>
      <c r="AP276" s="45">
        <f>IF(OR(AK276="",V276=0),"",MIN(IF(AX276="",9.9E+99,AX276),FLOOR(AO276/V276,1)))</f>
        <v/>
      </c>
      <c r="AQ276" s="49">
        <f>IF(AP276="","",AP276*IF(ABS(MOD(ABS((X276)),1)-0.5)&lt;1E-9,2*ROUND((X276)/2,0),ROUND((X276),0)))</f>
        <v/>
      </c>
      <c r="AR276" s="47">
        <f>IF(OR(AK276="",V276=0),"",MIN(IF(AX276="",9.9E+99,AX276),AO276/V276))</f>
        <v/>
      </c>
      <c r="AS276" s="49">
        <f>IF(AR276="","",AR276*IF(B276="South Korea",IF(ABS(MOD(ABS((X276)),1)-0.5)&lt;1E-9,2*ROUND((X276)/2,0),ROUND((X276),0)),X276))</f>
        <v/>
      </c>
      <c r="AT276" s="51" t="n"/>
      <c r="AU276" s="43" t="inlineStr">
        <is>
          <t>Grounded</t>
        </is>
      </c>
      <c r="AV276" s="52" t="n"/>
      <c r="AW276" s="52" t="n"/>
      <c r="AX276" s="53" t="n"/>
      <c r="AY276" s="54">
        <f>IF(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&lt;=0,"",VLOOKUP(B276,country_opex,7,FALSE)/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)</f>
        <v/>
      </c>
      <c r="AZ276" s="54">
        <f>IF(((W276*pax_cap*IF(B276="South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Korea",korea_mid_revleg,revleg_mid)),0))*VLOOKUP(B276,country_opex,3,FALSE))+Z276+AA276+AB276+AC276+AD276))&lt;=0,"",VLOOKUP(B276,country_opex,7,FALSE)/((W276*pax_cap*IF(B276="South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Korea",korea_mid_revleg,revleg_mid)),0))*VLOOKUP(B276,country_opex,3,FALSE))+Z276+AA276+AB276+AC276+AD276)))</f>
        <v/>
      </c>
      <c r="BA276" s="54">
        <f>IF(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&lt;=0,"",VLOOKUP(B276,country_opex,7,FALSE)/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)</f>
        <v/>
      </c>
      <c r="BB276" s="40" t="inlineStr">
        <is>
          <t>economics_by_route_id.json</t>
        </is>
      </c>
      <c r="BC276" s="40" t="inlineStr">
        <is>
          <t>gojek-127/route+economics</t>
        </is>
      </c>
      <c r="BD276" s="43" t="inlineStr">
        <is>
          <t>ics-2c1d5b96c1</t>
        </is>
      </c>
    </row>
    <row r="277">
      <c r="A277" s="38" t="inlineStr">
        <is>
          <t>Bali</t>
        </is>
      </c>
      <c r="B277" s="38" t="inlineStr">
        <is>
          <t>Indonesia</t>
        </is>
      </c>
      <c r="C277" s="39" t="inlineStr">
        <is>
          <t>Benoa Harbour Cruise Terminal → Mushroom Bay pontoon / Beach Club (Nusa Lembongan)</t>
        </is>
      </c>
      <c r="D277" s="38" t="inlineStr">
        <is>
          <t>grab</t>
        </is>
      </c>
      <c r="E277" s="40" t="inlineStr">
        <is>
          <t>bali</t>
        </is>
      </c>
      <c r="F277" s="41" t="n">
        <v>1</v>
      </c>
      <c r="G277" s="42" t="n">
        <v>13.6</v>
      </c>
      <c r="H277" s="35" t="n">
        <v>95</v>
      </c>
      <c r="I277" s="43" t="inlineStr">
        <is>
          <t>T1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IF(B277="South Korea",G277/korea_charge_range_nm*korea_full_range_charge_min,0)</f>
        <v/>
      </c>
      <c r="N277" s="44">
        <f>IF(B277="South Korea",L277+korea_turn_min+korea_dwell_min+M277,L277+turn_min+dwell_min)</f>
        <v/>
      </c>
      <c r="O277" s="45">
        <f>IF(B277="South Korea",FLOOR(60*korea_service_hr/N277,1),MIN(15,FLOOR(60*service_hr/N277,1)))</f>
        <v/>
      </c>
      <c r="P277" s="45">
        <f>IF(ABS(MOD(ABS((365*mech_uptime*K277)),1)-0.5)&lt;1E-9,2*ROUND((365*mech_uptime*K277)/2,0),ROUND((365*mech_uptime*K277),0))</f>
        <v/>
      </c>
      <c r="Q277" s="46">
        <f>mech_uptime</f>
        <v/>
      </c>
      <c r="R277" s="46">
        <f>IF(AND(B277="South Korea",scenario="MID"),korea_mid_revleg,revleg_sel)</f>
        <v/>
      </c>
      <c r="S277" s="45">
        <f>IF(ABS(MOD(ABS((O277*P277*R277)),1)-0.5)&lt;1E-9,2*ROUND((O277*P277*R277)/2,0),ROUND((O277*P277*R277),0))</f>
        <v/>
      </c>
      <c r="T277" s="46">
        <f>IF(AND(B277="South Korea",scenario="MID"),korea_mid_load,load_sel)</f>
        <v/>
      </c>
      <c r="U277" s="47">
        <f>pax_cap*T277</f>
        <v/>
      </c>
      <c r="V277" s="45">
        <f>U277*S277</f>
        <v/>
      </c>
      <c r="W277" s="48">
        <f>H277*discount</f>
        <v/>
      </c>
      <c r="X277" s="49">
        <f>W277*V277</f>
        <v/>
      </c>
      <c r="Y277" s="49">
        <f>(battery/range_nm)*G277*S277*VLOOKUP(B277,country_opex,3,FALSE)</f>
        <v/>
      </c>
      <c r="Z277" s="49">
        <f>VLOOKUP(B277,country_opex,2,FALSE)*crew_factor</f>
        <v/>
      </c>
      <c r="AA277" s="49">
        <f>VLOOKUP(B277,country_opex,5,FALSE)</f>
        <v/>
      </c>
      <c r="AB277" s="49">
        <f>maint</f>
        <v/>
      </c>
      <c r="AC277" s="49">
        <f>VLOOKUP(B277,country_opex,7,FALSE)*ins_pct</f>
        <v/>
      </c>
      <c r="AD277" s="49">
        <f>charge_berth</f>
        <v/>
      </c>
      <c r="AE277" s="49">
        <f>Y277+Z277+AA277+AB277+AC277+AD277</f>
        <v/>
      </c>
      <c r="AF277" s="49">
        <f>VLOOKUP(B277,country_opex,7,FALSE)/dep_years</f>
        <v/>
      </c>
      <c r="AG277" s="49">
        <f>X277-AE277</f>
        <v/>
      </c>
      <c r="AH277" s="46">
        <f>IF(X277=0,"",AG277/X277)</f>
        <v/>
      </c>
      <c r="AI277" s="47">
        <f>IF(AG277&lt;=0,"",VLOOKUP(B277,country_opex,7,FALSE)/AG277)</f>
        <v/>
      </c>
      <c r="AJ277" s="44">
        <f>((G277*S277/diesel_nmpg)*diesel_co2pg-(battery/range_nm)*G277*S277*VLOOKUP(B277,country_opex,4,FALSE))/1000</f>
        <v/>
      </c>
      <c r="AK277" s="42" t="n">
        <v>165000</v>
      </c>
      <c r="AL277" s="43" t="n"/>
      <c r="AM277" s="43" t="n"/>
      <c r="AN277" s="50" t="n">
        <v>0.1</v>
      </c>
      <c r="AO277" s="45">
        <f>IF(AK277="","",AK277*AN277)</f>
        <v/>
      </c>
      <c r="AP277" s="45">
        <f>IF(OR(AK277="",V277=0),"",MIN(IF(AX277="",9.9E+99,AX277),FLOOR(AO277/V277,1)))</f>
        <v/>
      </c>
      <c r="AQ277" s="49">
        <f>IF(AP277="","",AP277*IF(ABS(MOD(ABS((X277)),1)-0.5)&lt;1E-9,2*ROUND((X277)/2,0),ROUND((X277),0)))</f>
        <v/>
      </c>
      <c r="AR277" s="47">
        <f>IF(OR(AK277="",V277=0),"",MIN(IF(AX277="",9.9E+99,AX277),AO277/V277))</f>
        <v/>
      </c>
      <c r="AS277" s="49">
        <f>IF(AR277="","",AR277*IF(B277="South Korea",IF(ABS(MOD(ABS((X277)),1)-0.5)&lt;1E-9,2*ROUND((X277)/2,0),ROUND((X277),0)),X277))</f>
        <v/>
      </c>
      <c r="AT277" s="51" t="n"/>
      <c r="AU277" s="43" t="inlineStr">
        <is>
          <t>Grounded</t>
        </is>
      </c>
      <c r="AV277" s="52" t="n"/>
      <c r="AW277" s="52" t="n"/>
      <c r="AX277" s="53" t="n"/>
      <c r="AY277" s="54">
        <f>IF(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&lt;=0,"",VLOOKUP(B277,country_opex,7,FALSE)/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)</f>
        <v/>
      </c>
      <c r="AZ277" s="54">
        <f>IF(((W277*pax_cap*IF(B277="South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Korea",korea_mid_revleg,revleg_mid)),0))*VLOOKUP(B277,country_opex,3,FALSE))+Z277+AA277+AB277+AC277+AD277))&lt;=0,"",VLOOKUP(B277,country_opex,7,FALSE)/((W277*pax_cap*IF(B277="South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Korea",korea_mid_revleg,revleg_mid)),0))*VLOOKUP(B277,country_opex,3,FALSE))+Z277+AA277+AB277+AC277+AD277)))</f>
        <v/>
      </c>
      <c r="BA277" s="54">
        <f>IF(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&lt;=0,"",VLOOKUP(B277,country_opex,7,FALSE)/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)</f>
        <v/>
      </c>
      <c r="BB277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C277" s="40" t="n"/>
      <c r="BD277" s="43" t="inlineStr">
        <is>
          <t>gcn-8a4dee2f56-shared</t>
        </is>
      </c>
    </row>
    <row r="278">
      <c r="A278" s="38" t="inlineStr">
        <is>
          <t>Bali</t>
        </is>
      </c>
      <c r="B278" s="38" t="inlineStr">
        <is>
          <t>Indonesia</t>
        </is>
      </c>
      <c r="C278" s="39" t="inlineStr">
        <is>
          <t>Bali (Canggu) → Uluwatu / Bukit</t>
        </is>
      </c>
      <c r="D278" s="38" t="inlineStr">
        <is>
          <t>grab</t>
        </is>
      </c>
      <c r="E278" s="40" t="inlineStr">
        <is>
          <t>bali</t>
        </is>
      </c>
      <c r="F278" s="41" t="n">
        <v>1</v>
      </c>
      <c r="G278" s="42" t="n">
        <v>16</v>
      </c>
      <c r="H278" s="35" t="n">
        <v>16</v>
      </c>
      <c r="I278" s="43" t="inlineStr">
        <is>
          <t>T1</t>
        </is>
      </c>
      <c r="J278" s="43" t="inlineStr">
        <is>
          <t>med-high</t>
        </is>
      </c>
      <c r="K278" s="29" t="n">
        <v>1</v>
      </c>
      <c r="L278" s="44">
        <f>60*G278/cruise_kt</f>
        <v/>
      </c>
      <c r="M278" s="44">
        <f>IF(B278="South Korea",G278/korea_charge_range_nm*korea_full_range_charge_min,0)</f>
        <v/>
      </c>
      <c r="N278" s="44">
        <f>IF(B278="South Korea",L278+korea_turn_min+korea_dwell_min+M278,L278+turn_min+dwell_min)</f>
        <v/>
      </c>
      <c r="O278" s="45">
        <f>IF(B278="South Korea",FLOOR(60*korea_service_hr/N278,1),MIN(15,FLOOR(60*service_hr/N278,1)))</f>
        <v/>
      </c>
      <c r="P278" s="45">
        <f>IF(ABS(MOD(ABS((365*mech_uptime*K278)),1)-0.5)&lt;1E-9,2*ROUND((365*mech_uptime*K278)/2,0),ROUND((365*mech_uptime*K278),0))</f>
        <v/>
      </c>
      <c r="Q278" s="46">
        <f>mech_uptime</f>
        <v/>
      </c>
      <c r="R278" s="46">
        <f>IF(AND(B278="South Korea",scenario="MID"),korea_mid_revleg,revleg_sel)</f>
        <v/>
      </c>
      <c r="S278" s="45">
        <f>IF(ABS(MOD(ABS((O278*P278*R278)),1)-0.5)&lt;1E-9,2*ROUND((O278*P278*R278)/2,0),ROUND((O278*P278*R278),0))</f>
        <v/>
      </c>
      <c r="T278" s="46">
        <f>IF(AND(B278="South Korea",scenario="MID"),korea_mid_load,load_sel)</f>
        <v/>
      </c>
      <c r="U278" s="47">
        <f>pax_cap*T278</f>
        <v/>
      </c>
      <c r="V278" s="45">
        <f>U278*S278</f>
        <v/>
      </c>
      <c r="W278" s="48">
        <f>H278*discount</f>
        <v/>
      </c>
      <c r="X278" s="49">
        <f>W278*V278</f>
        <v/>
      </c>
      <c r="Y278" s="49">
        <f>(battery/range_nm)*G278*S278*VLOOKUP(B278,country_opex,3,FALSE)</f>
        <v/>
      </c>
      <c r="Z278" s="49">
        <f>VLOOKUP(B278,country_opex,2,FALSE)*crew_factor</f>
        <v/>
      </c>
      <c r="AA278" s="49">
        <f>VLOOKUP(B278,country_opex,5,FALSE)</f>
        <v/>
      </c>
      <c r="AB278" s="49">
        <f>maint</f>
        <v/>
      </c>
      <c r="AC278" s="49">
        <f>VLOOKUP(B278,country_opex,7,FALSE)*ins_pct</f>
        <v/>
      </c>
      <c r="AD278" s="49">
        <f>charge_berth</f>
        <v/>
      </c>
      <c r="AE278" s="49">
        <f>Y278+Z278+AA278+AB278+AC278+AD278</f>
        <v/>
      </c>
      <c r="AF278" s="49">
        <f>VLOOKUP(B278,country_opex,7,FALSE)/dep_years</f>
        <v/>
      </c>
      <c r="AG278" s="49">
        <f>X278-AE278</f>
        <v/>
      </c>
      <c r="AH278" s="46">
        <f>IF(X278=0,"",AG278/X278)</f>
        <v/>
      </c>
      <c r="AI278" s="47">
        <f>IF(AG278&lt;=0,"",VLOOKUP(B278,country_opex,7,FALSE)/AG278)</f>
        <v/>
      </c>
      <c r="AJ278" s="44">
        <f>((G278*S278/diesel_nmpg)*diesel_co2pg-(battery/range_nm)*G278*S278*VLOOKUP(B278,country_opex,4,FALSE))/1000</f>
        <v/>
      </c>
      <c r="AK278" s="42" t="n"/>
      <c r="AL278" s="43" t="inlineStr">
        <is>
          <t>T5</t>
        </is>
      </c>
      <c r="AM278" s="43" t="inlineStr">
        <is>
          <t>low</t>
        </is>
      </c>
      <c r="AN278" s="50" t="n">
        <v>0.1</v>
      </c>
      <c r="AO278" s="45">
        <f>IF(AK278="","",AK278*AN278)</f>
        <v/>
      </c>
      <c r="AP278" s="45">
        <f>IF(OR(AK278="",V278=0),"",MIN(IF(AX278="",9.9E+99,AX278),FLOOR(AO278/V278,1)))</f>
        <v/>
      </c>
      <c r="AQ278" s="49">
        <f>IF(AP278="","",AP278*IF(ABS(MOD(ABS((X278)),1)-0.5)&lt;1E-9,2*ROUND((X278)/2,0),ROUND((X278),0)))</f>
        <v/>
      </c>
      <c r="AR278" s="47">
        <f>IF(OR(AK278="",V278=0),"",MIN(IF(AX278="",9.9E+99,AX278),AO278/V278))</f>
        <v/>
      </c>
      <c r="AS278" s="49">
        <f>IF(AR278="","",AR278*IF(B278="South Korea",IF(ABS(MOD(ABS((X278)),1)-0.5)&lt;1E-9,2*ROUND((X278)/2,0),ROUND((X278),0)),X278))</f>
        <v/>
      </c>
      <c r="AT278" s="51" t="n"/>
      <c r="AU278" s="43" t="inlineStr">
        <is>
          <t>Estimated</t>
        </is>
      </c>
      <c r="AV278" s="52" t="n"/>
      <c r="AW278" s="52" t="n"/>
      <c r="AX278" s="53" t="n"/>
      <c r="AY278" s="54">
        <f>IF(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&lt;=0,"",VLOOKUP(B278,country_opex,7,FALSE)/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)</f>
        <v/>
      </c>
      <c r="AZ278" s="54">
        <f>IF(((W278*pax_cap*IF(B278="South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Korea",korea_mid_revleg,revleg_mid)),0))*VLOOKUP(B278,country_opex,3,FALSE))+Z278+AA278+AB278+AC278+AD278))&lt;=0,"",VLOOKUP(B278,country_opex,7,FALSE)/((W278*pax_cap*IF(B278="South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Korea",korea_mid_revleg,revleg_mid)),0))*VLOOKUP(B278,country_opex,3,FALSE))+Z278+AA278+AB278+AC278+AD278)))</f>
        <v/>
      </c>
      <c r="BA278" s="54">
        <f>IF(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&lt;=0,"",VLOOKUP(B278,country_opex,7,FALSE)/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)</f>
        <v/>
      </c>
      <c r="BB278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C278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  <c r="BD278" s="43" t="inlineStr">
        <is>
          <t>gcn-5b73241bd2-shared</t>
        </is>
      </c>
    </row>
    <row r="279">
      <c r="A279" s="38" t="inlineStr">
        <is>
          <t>Komodo Flores</t>
        </is>
      </c>
      <c r="B279" s="38" t="inlineStr">
        <is>
          <t>Indonesia</t>
        </is>
      </c>
      <c r="C279" s="39" t="inlineStr">
        <is>
          <t>Komodo → Pink Beach / Pantai Merah anchorage</t>
        </is>
      </c>
      <c r="D279" s="38" t="inlineStr">
        <is>
          <t>grab</t>
        </is>
      </c>
      <c r="E279" s="40" t="inlineStr">
        <is>
          <t>komodo-flores</t>
        </is>
      </c>
      <c r="F279" s="41" t="n">
        <v>1</v>
      </c>
      <c r="G279" s="42" t="n">
        <v>23.9</v>
      </c>
      <c r="H279" s="35" t="n">
        <v>50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IF(B279="South Korea",G279/korea_charge_range_nm*korea_full_range_charge_min,0)</f>
        <v/>
      </c>
      <c r="N279" s="44">
        <f>IF(B279="South Korea",L279+korea_turn_min+korea_dwell_min+M279,L279+turn_min+dwell_min)</f>
        <v/>
      </c>
      <c r="O279" s="45">
        <f>IF(B279="South Korea",FLOOR(60*korea_service_hr/N279,1),MIN(24,FLOOR(60*service_hr/N279,1)))</f>
        <v/>
      </c>
      <c r="P279" s="45">
        <f>IF(ABS(MOD(ABS((365*mech_uptime*K279)),1)-0.5)&lt;1E-9,2*ROUND((365*mech_uptime*K279)/2,0),ROUND((365*mech_uptime*K279),0))</f>
        <v/>
      </c>
      <c r="Q279" s="46">
        <f>mech_uptime</f>
        <v/>
      </c>
      <c r="R279" s="46">
        <f>IF(AND(B279="South Korea",scenario="MID"),korea_mid_revleg,revleg_sel)</f>
        <v/>
      </c>
      <c r="S279" s="45">
        <f>IF(ABS(MOD(ABS((O279*P279*R279)),1)-0.5)&lt;1E-9,2*ROUND((O279*P279*R279)/2,0),ROUND((O279*P279*R279),0))</f>
        <v/>
      </c>
      <c r="T279" s="46">
        <f>IF(AND(B279="South Korea",scenario="MID"),korea_mid_load,load_sel)</f>
        <v/>
      </c>
      <c r="U279" s="47">
        <f>pax_cap*T279</f>
        <v/>
      </c>
      <c r="V279" s="45">
        <f>U279*S279</f>
        <v/>
      </c>
      <c r="W279" s="48">
        <f>H279*discount</f>
        <v/>
      </c>
      <c r="X279" s="49">
        <f>W279*V279</f>
        <v/>
      </c>
      <c r="Y279" s="49">
        <f>(battery/range_nm)*G279*S279*VLOOKUP(B279,country_opex,3,FALSE)</f>
        <v/>
      </c>
      <c r="Z279" s="49">
        <f>VLOOKUP(B279,country_opex,2,FALSE)*crew_factor</f>
        <v/>
      </c>
      <c r="AA279" s="49">
        <f>VLOOKUP(B279,country_opex,5,FALSE)</f>
        <v/>
      </c>
      <c r="AB279" s="49">
        <f>maint</f>
        <v/>
      </c>
      <c r="AC279" s="49">
        <f>VLOOKUP(B279,country_opex,7,FALSE)*ins_pct</f>
        <v/>
      </c>
      <c r="AD279" s="49">
        <f>charge_berth</f>
        <v/>
      </c>
      <c r="AE279" s="49">
        <f>Y279+Z279+AA279+AB279+AC279+AD279</f>
        <v/>
      </c>
      <c r="AF279" s="49">
        <f>VLOOKUP(B279,country_opex,7,FALSE)/dep_years</f>
        <v/>
      </c>
      <c r="AG279" s="49">
        <f>X279-AE279</f>
        <v/>
      </c>
      <c r="AH279" s="46">
        <f>IF(X279=0,"",AG279/X279)</f>
        <v/>
      </c>
      <c r="AI279" s="47">
        <f>IF(AG279&lt;=0,"",VLOOKUP(B279,country_opex,7,FALSE)/AG279)</f>
        <v/>
      </c>
      <c r="AJ279" s="44">
        <f>((G279*S279/diesel_nmpg)*diesel_co2pg-(battery/range_nm)*G279*S279*VLOOKUP(B279,country_opex,4,FALSE))/1000</f>
        <v/>
      </c>
      <c r="AK279" s="42" t="n">
        <v>5000</v>
      </c>
      <c r="AL279" s="43" t="inlineStr">
        <is>
          <t>T3</t>
        </is>
      </c>
      <c r="AM279" s="43" t="inlineStr">
        <is>
          <t>med</t>
        </is>
      </c>
      <c r="AN279" s="50" t="n">
        <v>0.1</v>
      </c>
      <c r="AO279" s="45">
        <f>IF(AK279="","",AK279*AN279)</f>
        <v/>
      </c>
      <c r="AP279" s="45">
        <f>IF(OR(AK279="",V279=0),"",MIN(IF(AX279="",9.9E+99,AX279),FLOOR(AO279/V279,1)))</f>
        <v/>
      </c>
      <c r="AQ279" s="49">
        <f>IF(AP279="","",AP279*IF(ABS(MOD(ABS((X279)),1)-0.5)&lt;1E-9,2*ROUND((X279)/2,0),ROUND((X279),0)))</f>
        <v/>
      </c>
      <c r="AR279" s="47">
        <f>IF(OR(AK279="",V279=0),"",MIN(IF(AX279="",9.9E+99,AX279),AO279/V279))</f>
        <v/>
      </c>
      <c r="AS279" s="49">
        <f>IF(AR279="","",AR279*IF(B279="South Korea",IF(ABS(MOD(ABS((X279)),1)-0.5)&lt;1E-9,2*ROUND((X279)/2,0),ROUND((X279),0)),X279))</f>
        <v/>
      </c>
      <c r="AT279" s="51" t="n"/>
      <c r="AU279" s="43" t="inlineStr">
        <is>
          <t>Grounded</t>
        </is>
      </c>
      <c r="AV279" s="52" t="n"/>
      <c r="AW279" s="52" t="n"/>
      <c r="AX279" s="53" t="n"/>
      <c r="AY279" s="54">
        <f>IF(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&lt;=0,"",VLOOKUP(B279,country_opex,7,FALSE)/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)</f>
        <v/>
      </c>
      <c r="AZ279" s="54">
        <f>IF(((W279*pax_cap*IF(B279="South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Korea",korea_mid_revleg,revleg_mid)),0))*VLOOKUP(B279,country_opex,3,FALSE))+Z279+AA279+AB279+AC279+AD279))&lt;=0,"",VLOOKUP(B279,country_opex,7,FALSE)/((W279*pax_cap*IF(B279="South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Korea",korea_mid_revleg,revleg_mid)),0))*VLOOKUP(B279,country_opex,3,FALSE))+Z279+AA279+AB279+AC279+AD279)))</f>
        <v/>
      </c>
      <c r="BA279" s="54">
        <f>IF(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&lt;=0,"",VLOOKUP(B279,country_opex,7,FALSE)/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)</f>
        <v/>
      </c>
      <c r="BB279" s="40" t="inlineStr">
        <is>
          <t>economics_by_route_id.json</t>
        </is>
      </c>
      <c r="BC279" s="40" t="inlineStr">
        <is>
          <t>gojek-127/route+economics</t>
        </is>
      </c>
      <c r="BD279" s="43" t="inlineStr">
        <is>
          <t>rn-453a25f98ad9</t>
        </is>
      </c>
    </row>
    <row r="280">
      <c r="A280" s="38" t="inlineStr">
        <is>
          <t>Komodo Flores</t>
        </is>
      </c>
      <c r="B280" s="38" t="inlineStr">
        <is>
          <t>Indonesia</t>
        </is>
      </c>
      <c r="C280" s="39" t="inlineStr">
        <is>
          <t>Komodo → Padar Island Viewing-Platform Pier</t>
        </is>
      </c>
      <c r="D280" s="38" t="inlineStr">
        <is>
          <t>grab</t>
        </is>
      </c>
      <c r="E280" s="40" t="inlineStr">
        <is>
          <t>komodo-flores</t>
        </is>
      </c>
      <c r="F280" s="41" t="n">
        <v>1</v>
      </c>
      <c r="G280" s="42" t="n">
        <v>24.4</v>
      </c>
      <c r="H280" s="35" t="n">
        <v>50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IF(B280="South Korea",G280/korea_charge_range_nm*korea_full_range_charge_min,0)</f>
        <v/>
      </c>
      <c r="N280" s="44">
        <f>IF(B280="South Korea",L280+korea_turn_min+korea_dwell_min+M280,L280+turn_min+dwell_min)</f>
        <v/>
      </c>
      <c r="O280" s="45">
        <f>IF(B280="South Korea",FLOOR(60*korea_service_hr/N280,1),MIN(24,FLOOR(60*service_hr/N280,1)))</f>
        <v/>
      </c>
      <c r="P280" s="45">
        <f>IF(ABS(MOD(ABS((365*mech_uptime*K280)),1)-0.5)&lt;1E-9,2*ROUND((365*mech_uptime*K280)/2,0),ROUND((365*mech_uptime*K280),0))</f>
        <v/>
      </c>
      <c r="Q280" s="46">
        <f>mech_uptime</f>
        <v/>
      </c>
      <c r="R280" s="46">
        <f>IF(AND(B280="South Korea",scenario="MID"),korea_mid_revleg,revleg_sel)</f>
        <v/>
      </c>
      <c r="S280" s="45">
        <f>IF(ABS(MOD(ABS((O280*P280*R280)),1)-0.5)&lt;1E-9,2*ROUND((O280*P280*R280)/2,0),ROUND((O280*P280*R280),0))</f>
        <v/>
      </c>
      <c r="T280" s="46">
        <f>IF(AND(B280="South Korea",scenario="MID"),korea_mid_load,load_sel)</f>
        <v/>
      </c>
      <c r="U280" s="47">
        <f>pax_cap*T280</f>
        <v/>
      </c>
      <c r="V280" s="45">
        <f>U280*S280</f>
        <v/>
      </c>
      <c r="W280" s="48">
        <f>H280*discount</f>
        <v/>
      </c>
      <c r="X280" s="49">
        <f>W280*V280</f>
        <v/>
      </c>
      <c r="Y280" s="49">
        <f>(battery/range_nm)*G280*S280*VLOOKUP(B280,country_opex,3,FALSE)</f>
        <v/>
      </c>
      <c r="Z280" s="49">
        <f>VLOOKUP(B280,country_opex,2,FALSE)*crew_factor</f>
        <v/>
      </c>
      <c r="AA280" s="49">
        <f>VLOOKUP(B280,country_opex,5,FALSE)</f>
        <v/>
      </c>
      <c r="AB280" s="49">
        <f>maint</f>
        <v/>
      </c>
      <c r="AC280" s="49">
        <f>VLOOKUP(B280,country_opex,7,FALSE)*ins_pct</f>
        <v/>
      </c>
      <c r="AD280" s="49">
        <f>charge_berth</f>
        <v/>
      </c>
      <c r="AE280" s="49">
        <f>Y280+Z280+AA280+AB280+AC280+AD280</f>
        <v/>
      </c>
      <c r="AF280" s="49">
        <f>VLOOKUP(B280,country_opex,7,FALSE)/dep_years</f>
        <v/>
      </c>
      <c r="AG280" s="49">
        <f>X280-AE280</f>
        <v/>
      </c>
      <c r="AH280" s="46">
        <f>IF(X280=0,"",AG280/X280)</f>
        <v/>
      </c>
      <c r="AI280" s="47">
        <f>IF(AG280&lt;=0,"",VLOOKUP(B280,country_opex,7,FALSE)/AG280)</f>
        <v/>
      </c>
      <c r="AJ280" s="44">
        <f>((G280*S280/diesel_nmpg)*diesel_co2pg-(battery/range_nm)*G280*S280*VLOOKUP(B280,country_opex,4,FALSE))/1000</f>
        <v/>
      </c>
      <c r="AK280" s="42" t="n">
        <v>5000</v>
      </c>
      <c r="AL280" s="43" t="inlineStr">
        <is>
          <t>T3</t>
        </is>
      </c>
      <c r="AM280" s="43" t="inlineStr">
        <is>
          <t>med</t>
        </is>
      </c>
      <c r="AN280" s="50" t="n">
        <v>0.1</v>
      </c>
      <c r="AO280" s="45">
        <f>IF(AK280="","",AK280*AN280)</f>
        <v/>
      </c>
      <c r="AP280" s="45">
        <f>IF(OR(AK280="",V280=0),"",MIN(IF(AX280="",9.9E+99,AX280),FLOOR(AO280/V280,1)))</f>
        <v/>
      </c>
      <c r="AQ280" s="49">
        <f>IF(AP280="","",AP280*IF(ABS(MOD(ABS((X280)),1)-0.5)&lt;1E-9,2*ROUND((X280)/2,0),ROUND((X280),0)))</f>
        <v/>
      </c>
      <c r="AR280" s="47">
        <f>IF(OR(AK280="",V280=0),"",MIN(IF(AX280="",9.9E+99,AX280),AO280/V280))</f>
        <v/>
      </c>
      <c r="AS280" s="49">
        <f>IF(AR280="","",AR280*IF(B280="South Korea",IF(ABS(MOD(ABS((X280)),1)-0.5)&lt;1E-9,2*ROUND((X280)/2,0),ROUND((X280),0)),X280))</f>
        <v/>
      </c>
      <c r="AT280" s="51" t="n"/>
      <c r="AU280" s="43" t="inlineStr">
        <is>
          <t>Grounded</t>
        </is>
      </c>
      <c r="AV280" s="52" t="n"/>
      <c r="AW280" s="52" t="n"/>
      <c r="AX280" s="53" t="n"/>
      <c r="AY280" s="54">
        <f>IF(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&lt;=0,"",VLOOKUP(B280,country_opex,7,FALSE)/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)</f>
        <v/>
      </c>
      <c r="AZ280" s="54">
        <f>IF(((W280*pax_cap*IF(B280="South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Korea",korea_mid_revleg,revleg_mid)),0))*VLOOKUP(B280,country_opex,3,FALSE))+Z280+AA280+AB280+AC280+AD280))&lt;=0,"",VLOOKUP(B280,country_opex,7,FALSE)/((W280*pax_cap*IF(B280="South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Korea",korea_mid_revleg,revleg_mid)),0))*VLOOKUP(B280,country_opex,3,FALSE))+Z280+AA280+AB280+AC280+AD280)))</f>
        <v/>
      </c>
      <c r="BA280" s="54">
        <f>IF(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&lt;=0,"",VLOOKUP(B280,country_opex,7,FALSE)/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)</f>
        <v/>
      </c>
      <c r="BB280" s="40" t="inlineStr">
        <is>
          <t>economics_by_route_id.json</t>
        </is>
      </c>
      <c r="BC280" s="40" t="inlineStr">
        <is>
          <t>gojek-127/route+economics</t>
        </is>
      </c>
      <c r="BD280" s="43" t="inlineStr">
        <is>
          <t>rn-c5978b9ec0b4</t>
        </is>
      </c>
    </row>
    <row r="281">
      <c r="A281" s="38" t="inlineStr">
        <is>
          <t>Komodo Flores</t>
        </is>
      </c>
      <c r="B281" s="38" t="inlineStr">
        <is>
          <t>Indonesia</t>
        </is>
      </c>
      <c r="C281" s="39" t="inlineStr">
        <is>
          <t>Komodo → Komodo Island — Ata Modo village</t>
        </is>
      </c>
      <c r="D281" s="38" t="inlineStr">
        <is>
          <t>grab</t>
        </is>
      </c>
      <c r="E281" s="40" t="inlineStr">
        <is>
          <t>komodo-flores</t>
        </is>
      </c>
      <c r="F281" s="41" t="n">
        <v>1</v>
      </c>
      <c r="G281" s="42" t="n">
        <v>24.8</v>
      </c>
      <c r="H281" s="35" t="n">
        <v>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IF(B281="South Korea",G281/korea_charge_range_nm*korea_full_range_charge_min,0)</f>
        <v/>
      </c>
      <c r="N281" s="44">
        <f>IF(B281="South Korea",L281+korea_turn_min+korea_dwell_min+M281,L281+turn_min+dwell_min)</f>
        <v/>
      </c>
      <c r="O281" s="45">
        <f>IF(B281="South Korea",FLOOR(60*korea_service_hr/N281,1),MIN(24,FLOOR(60*service_hr/N281,1)))</f>
        <v/>
      </c>
      <c r="P281" s="45">
        <f>IF(ABS(MOD(ABS((365*mech_uptime*K281)),1)-0.5)&lt;1E-9,2*ROUND((365*mech_uptime*K281)/2,0),ROUND((365*mech_uptime*K281),0))</f>
        <v/>
      </c>
      <c r="Q281" s="46">
        <f>mech_uptime</f>
        <v/>
      </c>
      <c r="R281" s="46">
        <f>IF(AND(B281="South Korea",scenario="MID"),korea_mid_revleg,revleg_sel)</f>
        <v/>
      </c>
      <c r="S281" s="45">
        <f>IF(ABS(MOD(ABS((O281*P281*R281)),1)-0.5)&lt;1E-9,2*ROUND((O281*P281*R281)/2,0),ROUND((O281*P281*R281),0))</f>
        <v/>
      </c>
      <c r="T281" s="46">
        <f>IF(AND(B281="South Korea",scenario="MID"),korea_mid_load,load_sel)</f>
        <v/>
      </c>
      <c r="U281" s="47">
        <f>pax_cap*T281</f>
        <v/>
      </c>
      <c r="V281" s="45">
        <f>U281*S281</f>
        <v/>
      </c>
      <c r="W281" s="48">
        <f>H281*discount</f>
        <v/>
      </c>
      <c r="X281" s="49">
        <f>W281*V281</f>
        <v/>
      </c>
      <c r="Y281" s="49">
        <f>(battery/range_nm)*G281*S281*VLOOKUP(B281,country_opex,3,FALSE)</f>
        <v/>
      </c>
      <c r="Z281" s="49">
        <f>VLOOKUP(B281,country_opex,2,FALSE)*crew_factor</f>
        <v/>
      </c>
      <c r="AA281" s="49">
        <f>VLOOKUP(B281,country_opex,5,FALSE)</f>
        <v/>
      </c>
      <c r="AB281" s="49">
        <f>maint</f>
        <v/>
      </c>
      <c r="AC281" s="49">
        <f>VLOOKUP(B281,country_opex,7,FALSE)*ins_pct</f>
        <v/>
      </c>
      <c r="AD281" s="49">
        <f>charge_berth</f>
        <v/>
      </c>
      <c r="AE281" s="49">
        <f>Y281+Z281+AA281+AB281+AC281+AD281</f>
        <v/>
      </c>
      <c r="AF281" s="49">
        <f>VLOOKUP(B281,country_opex,7,FALSE)/dep_years</f>
        <v/>
      </c>
      <c r="AG281" s="49">
        <f>X281-AE281</f>
        <v/>
      </c>
      <c r="AH281" s="46">
        <f>IF(X281=0,"",AG281/X281)</f>
        <v/>
      </c>
      <c r="AI281" s="47">
        <f>IF(AG281&lt;=0,"",VLOOKUP(B281,country_opex,7,FALSE)/AG281)</f>
        <v/>
      </c>
      <c r="AJ281" s="44">
        <f>((G281*S281/diesel_nmpg)*diesel_co2pg-(battery/range_nm)*G281*S281*VLOOKUP(B281,country_opex,4,FALSE))/1000</f>
        <v/>
      </c>
      <c r="AK281" s="42" t="n">
        <v>5000</v>
      </c>
      <c r="AL281" s="43" t="inlineStr">
        <is>
          <t>T3</t>
        </is>
      </c>
      <c r="AM281" s="43" t="inlineStr">
        <is>
          <t>med</t>
        </is>
      </c>
      <c r="AN281" s="50" t="n">
        <v>0.1</v>
      </c>
      <c r="AO281" s="45">
        <f>IF(AK281="","",AK281*AN281)</f>
        <v/>
      </c>
      <c r="AP281" s="45">
        <f>IF(OR(AK281="",V281=0),"",MIN(IF(AX281="",9.9E+99,AX281),FLOOR(AO281/V281,1)))</f>
        <v/>
      </c>
      <c r="AQ281" s="49">
        <f>IF(AP281="","",AP281*IF(ABS(MOD(ABS((X281)),1)-0.5)&lt;1E-9,2*ROUND((X281)/2,0),ROUND((X281),0)))</f>
        <v/>
      </c>
      <c r="AR281" s="47">
        <f>IF(OR(AK281="",V281=0),"",MIN(IF(AX281="",9.9E+99,AX281),AO281/V281))</f>
        <v/>
      </c>
      <c r="AS281" s="49">
        <f>IF(AR281="","",AR281*IF(B281="South Korea",IF(ABS(MOD(ABS((X281)),1)-0.5)&lt;1E-9,2*ROUND((X281)/2,0),ROUND((X281),0)),X281))</f>
        <v/>
      </c>
      <c r="AT281" s="51" t="n"/>
      <c r="AU281" s="43" t="inlineStr">
        <is>
          <t>Grounded</t>
        </is>
      </c>
      <c r="AV281" s="52" t="n"/>
      <c r="AW281" s="52" t="n"/>
      <c r="AX281" s="53" t="n"/>
      <c r="AY281" s="54">
        <f>IF(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&lt;=0,"",VLOOKUP(B281,country_opex,7,FALSE)/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)</f>
        <v/>
      </c>
      <c r="AZ281" s="54">
        <f>IF(((W281*pax_cap*IF(B281="South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Korea",korea_mid_revleg,revleg_mid)),0))*VLOOKUP(B281,country_opex,3,FALSE))+Z281+AA281+AB281+AC281+AD281))&lt;=0,"",VLOOKUP(B281,country_opex,7,FALSE)/((W281*pax_cap*IF(B281="South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Korea",korea_mid_revleg,revleg_mid)),0))*VLOOKUP(B281,country_opex,3,FALSE))+Z281+AA281+AB281+AC281+AD281)))</f>
        <v/>
      </c>
      <c r="BA281" s="54">
        <f>IF(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&lt;=0,"",VLOOKUP(B281,country_opex,7,FALSE)/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)</f>
        <v/>
      </c>
      <c r="BB281" s="40" t="inlineStr">
        <is>
          <t>economics_by_route_id.json</t>
        </is>
      </c>
      <c r="BC281" s="40" t="inlineStr">
        <is>
          <t>gojek-127/route+economics</t>
        </is>
      </c>
      <c r="BD281" s="43" t="inlineStr">
        <is>
          <t>rn-4f204600cf23</t>
        </is>
      </c>
    </row>
    <row r="282">
      <c r="A282" s="38" t="inlineStr">
        <is>
          <t>Jakarta</t>
        </is>
      </c>
      <c r="B282" s="38" t="inlineStr">
        <is>
          <t>Indonesia</t>
        </is>
      </c>
      <c r="C282" s="39" t="inlineStr">
        <is>
          <t>Thousand Islands — inner ring → Thousand Islands — outer ring</t>
        </is>
      </c>
      <c r="D282" s="38" t="inlineStr">
        <is>
          <t>grab</t>
        </is>
      </c>
      <c r="E282" s="40" t="inlineStr">
        <is>
          <t>jakarta</t>
        </is>
      </c>
      <c r="F282" s="41" t="n">
        <v>1</v>
      </c>
      <c r="G282" s="42" t="n">
        <v>28.9</v>
      </c>
      <c r="H282" s="35" t="n">
        <v>16.6</v>
      </c>
      <c r="I282" s="43" t="inlineStr">
        <is>
          <t>T5</t>
        </is>
      </c>
      <c r="J282" s="43" t="inlineStr">
        <is>
          <t>low</t>
        </is>
      </c>
      <c r="K282" s="29" t="n">
        <v>1</v>
      </c>
      <c r="L282" s="44">
        <f>60*G282/cruise_kt</f>
        <v/>
      </c>
      <c r="M282" s="44">
        <f>IF(B282="South Korea",G282/korea_charge_range_nm*korea_full_range_charge_min,0)</f>
        <v/>
      </c>
      <c r="N282" s="44">
        <f>IF(B282="South Korea",L282+korea_turn_min+korea_dwell_min+M282,L282+turn_min+dwell_min)</f>
        <v/>
      </c>
      <c r="O282" s="45">
        <f>IF(B282="South Korea",FLOOR(60*korea_service_hr/N282,1),MIN(15,FLOOR(60*service_hr/N282,1)))</f>
        <v/>
      </c>
      <c r="P282" s="45">
        <f>IF(ABS(MOD(ABS((365*mech_uptime*K282)),1)-0.5)&lt;1E-9,2*ROUND((365*mech_uptime*K282)/2,0),ROUND((365*mech_uptime*K282),0))</f>
        <v/>
      </c>
      <c r="Q282" s="46">
        <f>mech_uptime</f>
        <v/>
      </c>
      <c r="R282" s="46">
        <f>IF(AND(B282="South Korea",scenario="MID"),korea_mid_revleg,revleg_sel)</f>
        <v/>
      </c>
      <c r="S282" s="45">
        <f>IF(ABS(MOD(ABS((O282*P282*R282)),1)-0.5)&lt;1E-9,2*ROUND((O282*P282*R282)/2,0),ROUND((O282*P282*R282),0))</f>
        <v/>
      </c>
      <c r="T282" s="46">
        <f>IF(AND(B282="South Korea",scenario="MID"),korea_mid_load,load_sel)</f>
        <v/>
      </c>
      <c r="U282" s="47">
        <f>pax_cap*T282</f>
        <v/>
      </c>
      <c r="V282" s="45">
        <f>U282*S282</f>
        <v/>
      </c>
      <c r="W282" s="48">
        <f>H282*discount</f>
        <v/>
      </c>
      <c r="X282" s="49">
        <f>W282*V282</f>
        <v/>
      </c>
      <c r="Y282" s="49">
        <f>(battery/range_nm)*G282*S282*VLOOKUP(B282,country_opex,3,FALSE)</f>
        <v/>
      </c>
      <c r="Z282" s="49">
        <f>VLOOKUP(B282,country_opex,2,FALSE)*crew_factor</f>
        <v/>
      </c>
      <c r="AA282" s="49">
        <f>VLOOKUP(B282,country_opex,5,FALSE)</f>
        <v/>
      </c>
      <c r="AB282" s="49">
        <f>maint</f>
        <v/>
      </c>
      <c r="AC282" s="49">
        <f>VLOOKUP(B282,country_opex,7,FALSE)*ins_pct</f>
        <v/>
      </c>
      <c r="AD282" s="49">
        <f>charge_berth</f>
        <v/>
      </c>
      <c r="AE282" s="49">
        <f>Y282+Z282+AA282+AB282+AC282+AD282</f>
        <v/>
      </c>
      <c r="AF282" s="49">
        <f>VLOOKUP(B282,country_opex,7,FALSE)/dep_years</f>
        <v/>
      </c>
      <c r="AG282" s="49">
        <f>X282-AE282</f>
        <v/>
      </c>
      <c r="AH282" s="46">
        <f>IF(X282=0,"",AG282/X282)</f>
        <v/>
      </c>
      <c r="AI282" s="47">
        <f>IF(AG282&lt;=0,"",VLOOKUP(B282,country_opex,7,FALSE)/AG282)</f>
        <v/>
      </c>
      <c r="AJ282" s="44">
        <f>((G282*S282/diesel_nmpg)*diesel_co2pg-(battery/range_nm)*G282*S282*VLOOKUP(B282,country_opex,4,FALSE))/1000</f>
        <v/>
      </c>
      <c r="AK282" s="42" t="n"/>
      <c r="AL282" s="43" t="inlineStr">
        <is>
          <t>T5</t>
        </is>
      </c>
      <c r="AM282" s="43" t="inlineStr">
        <is>
          <t>low</t>
        </is>
      </c>
      <c r="AN282" s="50" t="n">
        <v>0.1</v>
      </c>
      <c r="AO282" s="45">
        <f>IF(AK282="","",AK282*AN282)</f>
        <v/>
      </c>
      <c r="AP282" s="45">
        <f>IF(OR(AK282="",V282=0),"",MIN(IF(AX282="",9.9E+99,AX282),FLOOR(AO282/V282,1)))</f>
        <v/>
      </c>
      <c r="AQ282" s="49">
        <f>IF(AP282="","",AP282*IF(ABS(MOD(ABS((X282)),1)-0.5)&lt;1E-9,2*ROUND((X282)/2,0),ROUND((X282),0)))</f>
        <v/>
      </c>
      <c r="AR282" s="47">
        <f>IF(OR(AK282="",V282=0),"",MIN(IF(AX282="",9.9E+99,AX282),AO282/V282))</f>
        <v/>
      </c>
      <c r="AS282" s="49">
        <f>IF(AR282="","",AR282*IF(B282="South Korea",IF(ABS(MOD(ABS((X282)),1)-0.5)&lt;1E-9,2*ROUND((X282)/2,0),ROUND((X282),0)),X282))</f>
        <v/>
      </c>
      <c r="AT282" s="51" t="n"/>
      <c r="AU282" s="43" t="inlineStr">
        <is>
          <t>Estimated</t>
        </is>
      </c>
      <c r="AV282" s="52" t="n"/>
      <c r="AW282" s="52" t="n"/>
      <c r="AX282" s="53" t="n"/>
      <c r="AY282" s="54">
        <f>IF(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&lt;=0,"",VLOOKUP(B282,country_opex,7,FALSE)/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)</f>
        <v/>
      </c>
      <c r="AZ282" s="54">
        <f>IF(((W282*pax_cap*IF(B282="South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Korea",korea_mid_revleg,revleg_mid)),0))*VLOOKUP(B282,country_opex,3,FALSE))+Z282+AA282+AB282+AC282+AD282))&lt;=0,"",VLOOKUP(B282,country_opex,7,FALSE)/((W282*pax_cap*IF(B282="South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Korea",korea_mid_revleg,revleg_mid)),0))*VLOOKUP(B282,country_opex,3,FALSE))+Z282+AA282+AB282+AC282+AD282)))</f>
        <v/>
      </c>
      <c r="BA282" s="54">
        <f>IF(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&lt;=0,"",VLOOKUP(B282,country_opex,7,FALSE)/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)</f>
        <v/>
      </c>
      <c r="BB282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C282" s="40" t="inlineStr">
        <is>
          <t>No published count for inter-ring (inner-&gt;outer) crossings. Visitors transit mainland&lt;-&gt;island; scheduled inner-to-outer island-hopping service does not exist as a counted route.</t>
        </is>
      </c>
      <c r="BD282" s="43" t="inlineStr">
        <is>
          <t>ics-62e1590af9</t>
        </is>
      </c>
    </row>
    <row r="283">
      <c r="A283" s="38" t="inlineStr">
        <is>
          <t>Jakarta</t>
        </is>
      </c>
      <c r="B283" s="38" t="inlineStr">
        <is>
          <t>Indonesia</t>
        </is>
      </c>
      <c r="C283" s="39" t="inlineStr">
        <is>
          <t>Marina Ancol → Thousand Islands — outer ring (Macan / Pelangi / Putri / Sepa)</t>
        </is>
      </c>
      <c r="D283" s="38" t="inlineStr">
        <is>
          <t>grab</t>
        </is>
      </c>
      <c r="E283" s="40" t="inlineStr">
        <is>
          <t>jakarta</t>
        </is>
      </c>
      <c r="F283" s="41" t="n">
        <v>1</v>
      </c>
      <c r="G283" s="42" t="n">
        <v>35.9</v>
      </c>
      <c r="H283" s="35" t="n">
        <v>24.5</v>
      </c>
      <c r="I283" s="43" t="inlineStr">
        <is>
          <t>T2/T3</t>
        </is>
      </c>
      <c r="J283" s="43" t="inlineStr">
        <is>
          <t>high</t>
        </is>
      </c>
      <c r="K283" s="29" t="n">
        <v>1</v>
      </c>
      <c r="L283" s="44">
        <f>60*G283/cruise_kt</f>
        <v/>
      </c>
      <c r="M283" s="44">
        <f>IF(B283="South Korea",G283/korea_charge_range_nm*korea_full_range_charge_min,0)</f>
        <v/>
      </c>
      <c r="N283" s="44">
        <f>IF(B283="South Korea",L283+korea_turn_min+korea_dwell_min+M283,L283+turn_min+dwell_min)</f>
        <v/>
      </c>
      <c r="O283" s="45">
        <f>IF(B283="South Korea",FLOOR(60*korea_service_hr/N283,1),MIN(15,FLOOR(60*service_hr/N283,1)))</f>
        <v/>
      </c>
      <c r="P283" s="45">
        <f>IF(ABS(MOD(ABS((365*mech_uptime*K283)),1)-0.5)&lt;1E-9,2*ROUND((365*mech_uptime*K283)/2,0),ROUND((365*mech_uptime*K283),0))</f>
        <v/>
      </c>
      <c r="Q283" s="46">
        <f>mech_uptime</f>
        <v/>
      </c>
      <c r="R283" s="46">
        <f>IF(AND(B283="South Korea",scenario="MID"),korea_mid_revleg,revleg_sel)</f>
        <v/>
      </c>
      <c r="S283" s="45">
        <f>IF(ABS(MOD(ABS((O283*P283*R283)),1)-0.5)&lt;1E-9,2*ROUND((O283*P283*R283)/2,0),ROUND((O283*P283*R283),0))</f>
        <v/>
      </c>
      <c r="T283" s="46">
        <f>IF(AND(B283="South Korea",scenario="MID"),korea_mid_load,load_sel)</f>
        <v/>
      </c>
      <c r="U283" s="47">
        <f>pax_cap*T283</f>
        <v/>
      </c>
      <c r="V283" s="45">
        <f>U283*S283</f>
        <v/>
      </c>
      <c r="W283" s="48">
        <f>H283*discount</f>
        <v/>
      </c>
      <c r="X283" s="49">
        <f>W283*V283</f>
        <v/>
      </c>
      <c r="Y283" s="49">
        <f>(battery/range_nm)*G283*S283*VLOOKUP(B283,country_opex,3,FALSE)</f>
        <v/>
      </c>
      <c r="Z283" s="49">
        <f>VLOOKUP(B283,country_opex,2,FALSE)*crew_factor</f>
        <v/>
      </c>
      <c r="AA283" s="49">
        <f>VLOOKUP(B283,country_opex,5,FALSE)</f>
        <v/>
      </c>
      <c r="AB283" s="49">
        <f>maint</f>
        <v/>
      </c>
      <c r="AC283" s="49">
        <f>VLOOKUP(B283,country_opex,7,FALSE)*ins_pct</f>
        <v/>
      </c>
      <c r="AD283" s="49">
        <f>charge_berth</f>
        <v/>
      </c>
      <c r="AE283" s="49">
        <f>Y283+Z283+AA283+AB283+AC283+AD283</f>
        <v/>
      </c>
      <c r="AF283" s="49">
        <f>VLOOKUP(B283,country_opex,7,FALSE)/dep_years</f>
        <v/>
      </c>
      <c r="AG283" s="49">
        <f>X283-AE283</f>
        <v/>
      </c>
      <c r="AH283" s="46">
        <f>IF(X283=0,"",AG283/X283)</f>
        <v/>
      </c>
      <c r="AI283" s="47">
        <f>IF(AG283&lt;=0,"",VLOOKUP(B283,country_opex,7,FALSE)/AG283)</f>
        <v/>
      </c>
      <c r="AJ283" s="44">
        <f>((G283*S283/diesel_nmpg)*diesel_co2pg-(battery/range_nm)*G283*S283*VLOOKUP(B283,country_opex,4,FALSE))/1000</f>
        <v/>
      </c>
      <c r="AK283" s="42" t="n">
        <v>7000</v>
      </c>
      <c r="AL283" s="43" t="inlineStr">
        <is>
          <t>T2</t>
        </is>
      </c>
      <c r="AM283" s="43" t="inlineStr">
        <is>
          <t>med</t>
        </is>
      </c>
      <c r="AN283" s="50" t="n">
        <v>0.1</v>
      </c>
      <c r="AO283" s="45">
        <f>IF(AK283="","",AK283*AN283)</f>
        <v/>
      </c>
      <c r="AP283" s="45">
        <f>IF(OR(AK283="",V283=0),"",MIN(IF(AX283="",9.9E+99,AX283),FLOOR(AO283/V283,1)))</f>
        <v/>
      </c>
      <c r="AQ283" s="49">
        <f>IF(AP283="","",AP283*IF(ABS(MOD(ABS((X283)),1)-0.5)&lt;1E-9,2*ROUND((X283)/2,0),ROUND((X283),0)))</f>
        <v/>
      </c>
      <c r="AR283" s="47">
        <f>IF(OR(AK283="",V283=0),"",MIN(IF(AX283="",9.9E+99,AX283),AO283/V283))</f>
        <v/>
      </c>
      <c r="AS283" s="49">
        <f>IF(AR283="","",AR283*IF(B283="South Korea",IF(ABS(MOD(ABS((X283)),1)-0.5)&lt;1E-9,2*ROUND((X283)/2,0),ROUND((X283),0)),X283))</f>
        <v/>
      </c>
      <c r="AT283" s="51" t="n"/>
      <c r="AU283" s="43" t="inlineStr">
        <is>
          <t>Grounded</t>
        </is>
      </c>
      <c r="AV283" s="52" t="n"/>
      <c r="AW283" s="52" t="n"/>
      <c r="AX283" s="53" t="n"/>
      <c r="AY283" s="54">
        <f>IF(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&lt;=0,"",VLOOKUP(B283,country_opex,7,FALSE)/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)</f>
        <v/>
      </c>
      <c r="AZ283" s="54">
        <f>IF(((W283*pax_cap*IF(B283="South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Korea",korea_mid_revleg,revleg_mid)),0))*VLOOKUP(B283,country_opex,3,FALSE))+Z283+AA283+AB283+AC283+AD283))&lt;=0,"",VLOOKUP(B283,country_opex,7,FALSE)/((W283*pax_cap*IF(B283="South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Korea",korea_mid_revleg,revleg_mid)),0))*VLOOKUP(B283,country_opex,3,FALSE))+Z283+AA283+AB283+AC283+AD283)))</f>
        <v/>
      </c>
      <c r="BA283" s="54">
        <f>IF(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&lt;=0,"",VLOOKUP(B283,country_opex,7,FALSE)/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)</f>
        <v/>
      </c>
      <c r="BB283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C283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  <c r="BD283" s="43" t="inlineStr">
        <is>
          <t>ics-fe31c28f2c</t>
        </is>
      </c>
    </row>
    <row r="284">
      <c r="A284" s="38" t="inlineStr">
        <is>
          <t>Eastern Indonesia</t>
        </is>
      </c>
      <c r="B284" s="38" t="inlineStr">
        <is>
          <t>Indonesia</t>
        </is>
      </c>
      <c r="C284" s="39" t="inlineStr">
        <is>
          <t>Raja Ampat → Waisai Waterfront</t>
        </is>
      </c>
      <c r="D284" s="38" t="inlineStr">
        <is>
          <t>grab</t>
        </is>
      </c>
      <c r="E284" s="40" t="inlineStr">
        <is>
          <t>eastern-indonesia</t>
        </is>
      </c>
      <c r="F284" s="41" t="n">
        <v>1</v>
      </c>
      <c r="G284" s="42" t="n">
        <v>38.7</v>
      </c>
      <c r="H284" s="35" t="n">
        <v>50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IF(B284="South Korea",G284/korea_charge_range_nm*korea_full_range_charge_min,0)</f>
        <v/>
      </c>
      <c r="N284" s="44">
        <f>IF(B284="South Korea",L284+korea_turn_min+korea_dwell_min+M284,L284+turn_min+dwell_min)</f>
        <v/>
      </c>
      <c r="O284" s="45">
        <f>IF(B284="South Korea",FLOOR(60*korea_service_hr/N284,1),MIN(15,FLOOR(60*service_hr/N284,1)))</f>
        <v/>
      </c>
      <c r="P284" s="45">
        <f>IF(ABS(MOD(ABS((365*mech_uptime*K284)),1)-0.5)&lt;1E-9,2*ROUND((365*mech_uptime*K284)/2,0),ROUND((365*mech_uptime*K284),0))</f>
        <v/>
      </c>
      <c r="Q284" s="46">
        <f>mech_uptime</f>
        <v/>
      </c>
      <c r="R284" s="46">
        <f>IF(AND(B284="South Korea",scenario="MID"),korea_mid_revleg,revleg_sel)</f>
        <v/>
      </c>
      <c r="S284" s="45">
        <f>IF(ABS(MOD(ABS((O284*P284*R284)),1)-0.5)&lt;1E-9,2*ROUND((O284*P284*R284)/2,0),ROUND((O284*P284*R284),0))</f>
        <v/>
      </c>
      <c r="T284" s="46">
        <f>IF(AND(B284="South Korea",scenario="MID"),korea_mid_load,load_sel)</f>
        <v/>
      </c>
      <c r="U284" s="47">
        <f>pax_cap*T284</f>
        <v/>
      </c>
      <c r="V284" s="45">
        <f>U284*S284</f>
        <v/>
      </c>
      <c r="W284" s="48">
        <f>H284*discount</f>
        <v/>
      </c>
      <c r="X284" s="49">
        <f>W284*V284</f>
        <v/>
      </c>
      <c r="Y284" s="49">
        <f>(battery/range_nm)*G284*S284*VLOOKUP(B284,country_opex,3,FALSE)</f>
        <v/>
      </c>
      <c r="Z284" s="49">
        <f>VLOOKUP(B284,country_opex,2,FALSE)*crew_factor</f>
        <v/>
      </c>
      <c r="AA284" s="49">
        <f>VLOOKUP(B284,country_opex,5,FALSE)</f>
        <v/>
      </c>
      <c r="AB284" s="49">
        <f>maint</f>
        <v/>
      </c>
      <c r="AC284" s="49">
        <f>VLOOKUP(B284,country_opex,7,FALSE)*ins_pct</f>
        <v/>
      </c>
      <c r="AD284" s="49">
        <f>charge_berth</f>
        <v/>
      </c>
      <c r="AE284" s="49">
        <f>Y284+Z284+AA284+AB284+AC284+AD284</f>
        <v/>
      </c>
      <c r="AF284" s="49">
        <f>VLOOKUP(B284,country_opex,7,FALSE)/dep_years</f>
        <v/>
      </c>
      <c r="AG284" s="49">
        <f>X284-AE284</f>
        <v/>
      </c>
      <c r="AH284" s="46">
        <f>IF(X284=0,"",AG284/X284)</f>
        <v/>
      </c>
      <c r="AI284" s="47">
        <f>IF(AG284&lt;=0,"",VLOOKUP(B284,country_opex,7,FALSE)/AG284)</f>
        <v/>
      </c>
      <c r="AJ284" s="44">
        <f>((G284*S284/diesel_nmpg)*diesel_co2pg-(battery/range_nm)*G284*S284*VLOOKUP(B284,country_opex,4,FALSE))/1000</f>
        <v/>
      </c>
      <c r="AK284" s="42" t="n">
        <v>5000</v>
      </c>
      <c r="AL284" s="43" t="inlineStr">
        <is>
          <t>T3</t>
        </is>
      </c>
      <c r="AM284" s="43" t="inlineStr">
        <is>
          <t>med</t>
        </is>
      </c>
      <c r="AN284" s="50" t="n">
        <v>0.1</v>
      </c>
      <c r="AO284" s="45">
        <f>IF(AK284="","",AK284*AN284)</f>
        <v/>
      </c>
      <c r="AP284" s="45">
        <f>IF(OR(AK284="",V284=0),"",MIN(IF(AX284="",9.9E+99,AX284),FLOOR(AO284/V284,1)))</f>
        <v/>
      </c>
      <c r="AQ284" s="49">
        <f>IF(AP284="","",AP284*IF(ABS(MOD(ABS((X284)),1)-0.5)&lt;1E-9,2*ROUND((X284)/2,0),ROUND((X284),0)))</f>
        <v/>
      </c>
      <c r="AR284" s="47">
        <f>IF(OR(AK284="",V284=0),"",MIN(IF(AX284="",9.9E+99,AX284),AO284/V284))</f>
        <v/>
      </c>
      <c r="AS284" s="49">
        <f>IF(AR284="","",AR284*IF(B284="South Korea",IF(ABS(MOD(ABS((X284)),1)-0.5)&lt;1E-9,2*ROUND((X284)/2,0),ROUND((X284),0)),X284))</f>
        <v/>
      </c>
      <c r="AT284" s="51" t="n"/>
      <c r="AU284" s="43" t="inlineStr">
        <is>
          <t>Grounded</t>
        </is>
      </c>
      <c r="AV284" s="52" t="n"/>
      <c r="AW284" s="52" t="n"/>
      <c r="AX284" s="53" t="n"/>
      <c r="AY284" s="54">
        <f>IF(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&lt;=0,"",VLOOKUP(B284,country_opex,7,FALSE)/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)</f>
        <v/>
      </c>
      <c r="AZ284" s="54">
        <f>IF(((W284*pax_cap*IF(B284="South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Korea",korea_mid_revleg,revleg_mid)),0))*VLOOKUP(B284,country_opex,3,FALSE))+Z284+AA284+AB284+AC284+AD284))&lt;=0,"",VLOOKUP(B284,country_opex,7,FALSE)/((W284*pax_cap*IF(B284="South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Korea",korea_mid_revleg,revleg_mid)),0))*VLOOKUP(B284,country_opex,3,FALSE))+Z284+AA284+AB284+AC284+AD284)))</f>
        <v/>
      </c>
      <c r="BA284" s="54">
        <f>IF(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&lt;=0,"",VLOOKUP(B284,country_opex,7,FALSE)/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)</f>
        <v/>
      </c>
      <c r="BB284" s="40" t="inlineStr">
        <is>
          <t>economics_by_route_id.json</t>
        </is>
      </c>
      <c r="BC284" s="40" t="inlineStr">
        <is>
          <t>gojek-127/route+economics</t>
        </is>
      </c>
      <c r="BD284" s="43" t="inlineStr">
        <is>
          <t>ics-90f2ce57d8</t>
        </is>
      </c>
    </row>
    <row r="285">
      <c r="A285" s="38" t="inlineStr">
        <is>
          <t>Eastern Indonesia</t>
        </is>
      </c>
      <c r="B285" s="38" t="inlineStr">
        <is>
          <t>Indonesia</t>
        </is>
      </c>
      <c r="C285" s="39" t="inlineStr">
        <is>
          <t>Raja Ampat → Mioskon Islet</t>
        </is>
      </c>
      <c r="D285" s="38" t="inlineStr">
        <is>
          <t>grab</t>
        </is>
      </c>
      <c r="E285" s="40" t="inlineStr">
        <is>
          <t>eastern-indonesia</t>
        </is>
      </c>
      <c r="F285" s="41" t="n">
        <v>1</v>
      </c>
      <c r="G285" s="42" t="n">
        <v>40</v>
      </c>
      <c r="H285" s="35" t="n">
        <v>50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IF(B285="South Korea",G285/korea_charge_range_nm*korea_full_range_charge_min,0)</f>
        <v/>
      </c>
      <c r="N285" s="44">
        <f>IF(B285="South Korea",L285+korea_turn_min+korea_dwell_min+M285,L285+turn_min+dwell_min)</f>
        <v/>
      </c>
      <c r="O285" s="45">
        <f>IF(B285="South Korea",FLOOR(60*korea_service_hr/N285,1),MIN(15,FLOOR(60*service_hr/N285,1)))</f>
        <v/>
      </c>
      <c r="P285" s="45">
        <f>IF(ABS(MOD(ABS((365*mech_uptime*K285)),1)-0.5)&lt;1E-9,2*ROUND((365*mech_uptime*K285)/2,0),ROUND((365*mech_uptime*K285),0))</f>
        <v/>
      </c>
      <c r="Q285" s="46">
        <f>mech_uptime</f>
        <v/>
      </c>
      <c r="R285" s="46">
        <f>IF(AND(B285="South Korea",scenario="MID"),korea_mid_revleg,revleg_sel)</f>
        <v/>
      </c>
      <c r="S285" s="45">
        <f>IF(ABS(MOD(ABS((O285*P285*R285)),1)-0.5)&lt;1E-9,2*ROUND((O285*P285*R285)/2,0),ROUND((O285*P285*R285),0))</f>
        <v/>
      </c>
      <c r="T285" s="46">
        <f>IF(AND(B285="South Korea",scenario="MID"),korea_mid_load,load_sel)</f>
        <v/>
      </c>
      <c r="U285" s="47">
        <f>pax_cap*T285</f>
        <v/>
      </c>
      <c r="V285" s="45">
        <f>U285*S285</f>
        <v/>
      </c>
      <c r="W285" s="48">
        <f>H285*discount</f>
        <v/>
      </c>
      <c r="X285" s="49">
        <f>W285*V285</f>
        <v/>
      </c>
      <c r="Y285" s="49">
        <f>(battery/range_nm)*G285*S285*VLOOKUP(B285,country_opex,3,FALSE)</f>
        <v/>
      </c>
      <c r="Z285" s="49">
        <f>VLOOKUP(B285,country_opex,2,FALSE)*crew_factor</f>
        <v/>
      </c>
      <c r="AA285" s="49">
        <f>VLOOKUP(B285,country_opex,5,FALSE)</f>
        <v/>
      </c>
      <c r="AB285" s="49">
        <f>maint</f>
        <v/>
      </c>
      <c r="AC285" s="49">
        <f>VLOOKUP(B285,country_opex,7,FALSE)*ins_pct</f>
        <v/>
      </c>
      <c r="AD285" s="49">
        <f>charge_berth</f>
        <v/>
      </c>
      <c r="AE285" s="49">
        <f>Y285+Z285+AA285+AB285+AC285+AD285</f>
        <v/>
      </c>
      <c r="AF285" s="49">
        <f>VLOOKUP(B285,country_opex,7,FALSE)/dep_years</f>
        <v/>
      </c>
      <c r="AG285" s="49">
        <f>X285-AE285</f>
        <v/>
      </c>
      <c r="AH285" s="46">
        <f>IF(X285=0,"",AG285/X285)</f>
        <v/>
      </c>
      <c r="AI285" s="47">
        <f>IF(AG285&lt;=0,"",VLOOKUP(B285,country_opex,7,FALSE)/AG285)</f>
        <v/>
      </c>
      <c r="AJ285" s="44">
        <f>((G285*S285/diesel_nmpg)*diesel_co2pg-(battery/range_nm)*G285*S285*VLOOKUP(B285,country_opex,4,FALSE))/1000</f>
        <v/>
      </c>
      <c r="AK285" s="42" t="n">
        <v>5000</v>
      </c>
      <c r="AL285" s="43" t="inlineStr">
        <is>
          <t>T3</t>
        </is>
      </c>
      <c r="AM285" s="43" t="inlineStr">
        <is>
          <t>med</t>
        </is>
      </c>
      <c r="AN285" s="50" t="n">
        <v>0.1</v>
      </c>
      <c r="AO285" s="45">
        <f>IF(AK285="","",AK285*AN285)</f>
        <v/>
      </c>
      <c r="AP285" s="45">
        <f>IF(OR(AK285="",V285=0),"",MIN(IF(AX285="",9.9E+99,AX285),FLOOR(AO285/V285,1)))</f>
        <v/>
      </c>
      <c r="AQ285" s="49">
        <f>IF(AP285="","",AP285*IF(ABS(MOD(ABS((X285)),1)-0.5)&lt;1E-9,2*ROUND((X285)/2,0),ROUND((X285),0)))</f>
        <v/>
      </c>
      <c r="AR285" s="47">
        <f>IF(OR(AK285="",V285=0),"",MIN(IF(AX285="",9.9E+99,AX285),AO285/V285))</f>
        <v/>
      </c>
      <c r="AS285" s="49">
        <f>IF(AR285="","",AR285*IF(B285="South Korea",IF(ABS(MOD(ABS((X285)),1)-0.5)&lt;1E-9,2*ROUND((X285)/2,0),ROUND((X285),0)),X285))</f>
        <v/>
      </c>
      <c r="AT285" s="51" t="n"/>
      <c r="AU285" s="43" t="inlineStr">
        <is>
          <t>Grounded</t>
        </is>
      </c>
      <c r="AV285" s="52" t="n"/>
      <c r="AW285" s="52" t="n"/>
      <c r="AX285" s="53" t="n"/>
      <c r="AY285" s="54">
        <f>IF(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&lt;=0,"",VLOOKUP(B285,country_opex,7,FALSE)/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)</f>
        <v/>
      </c>
      <c r="AZ285" s="54">
        <f>IF(((W285*pax_cap*IF(B285="South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Korea",korea_mid_revleg,revleg_mid)),0))*VLOOKUP(B285,country_opex,3,FALSE))+Z285+AA285+AB285+AC285+AD285))&lt;=0,"",VLOOKUP(B285,country_opex,7,FALSE)/((W285*pax_cap*IF(B285="South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Korea",korea_mid_revleg,revleg_mid)),0))*VLOOKUP(B285,country_opex,3,FALSE))+Z285+AA285+AB285+AC285+AD285)))</f>
        <v/>
      </c>
      <c r="BA285" s="54">
        <f>IF(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&lt;=0,"",VLOOKUP(B285,country_opex,7,FALSE)/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)</f>
        <v/>
      </c>
      <c r="BB285" s="40" t="inlineStr">
        <is>
          <t>economics_by_route_id.json</t>
        </is>
      </c>
      <c r="BC285" s="40" t="inlineStr">
        <is>
          <t>gojek-127/route+economics</t>
        </is>
      </c>
      <c r="BD285" s="43" t="inlineStr">
        <is>
          <t>ics-71281cdfb5</t>
        </is>
      </c>
    </row>
    <row r="286">
      <c r="A286" s="38" t="inlineStr">
        <is>
          <t>Eastern Indonesia</t>
        </is>
      </c>
      <c r="B286" s="38" t="inlineStr">
        <is>
          <t>Indonesia</t>
        </is>
      </c>
      <c r="C286" s="39" t="inlineStr">
        <is>
          <t>Raja Ampat → Mansuar Island South</t>
        </is>
      </c>
      <c r="D286" s="38" t="inlineStr">
        <is>
          <t>grab</t>
        </is>
      </c>
      <c r="E286" s="40" t="inlineStr">
        <is>
          <t>eastern-indonesia</t>
        </is>
      </c>
      <c r="F286" s="41" t="n">
        <v>1</v>
      </c>
      <c r="G286" s="42" t="n">
        <v>41.2</v>
      </c>
      <c r="H286" s="35" t="n">
        <v>50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IF(B286="South Korea",G286/korea_charge_range_nm*korea_full_range_charge_min,0)</f>
        <v/>
      </c>
      <c r="N286" s="44">
        <f>IF(B286="South Korea",L286+korea_turn_min+korea_dwell_min+M286,L286+turn_min+dwell_min)</f>
        <v/>
      </c>
      <c r="O286" s="45">
        <f>IF(B286="South Korea",FLOOR(60*korea_service_hr/N286,1),MIN(15,FLOOR(60*service_hr/N286,1)))</f>
        <v/>
      </c>
      <c r="P286" s="45">
        <f>IF(ABS(MOD(ABS((365*mech_uptime*K286)),1)-0.5)&lt;1E-9,2*ROUND((365*mech_uptime*K286)/2,0),ROUND((365*mech_uptime*K286),0))</f>
        <v/>
      </c>
      <c r="Q286" s="46">
        <f>mech_uptime</f>
        <v/>
      </c>
      <c r="R286" s="46">
        <f>IF(AND(B286="South Korea",scenario="MID"),korea_mid_revleg,revleg_sel)</f>
        <v/>
      </c>
      <c r="S286" s="45">
        <f>IF(ABS(MOD(ABS((O286*P286*R286)),1)-0.5)&lt;1E-9,2*ROUND((O286*P286*R286)/2,0),ROUND((O286*P286*R286),0))</f>
        <v/>
      </c>
      <c r="T286" s="46">
        <f>IF(AND(B286="South Korea",scenario="MID"),korea_mid_load,load_sel)</f>
        <v/>
      </c>
      <c r="U286" s="47">
        <f>pax_cap*T286</f>
        <v/>
      </c>
      <c r="V286" s="45">
        <f>U286*S286</f>
        <v/>
      </c>
      <c r="W286" s="48">
        <f>H286*discount</f>
        <v/>
      </c>
      <c r="X286" s="49">
        <f>W286*V286</f>
        <v/>
      </c>
      <c r="Y286" s="49">
        <f>(battery/range_nm)*G286*S286*VLOOKUP(B286,country_opex,3,FALSE)</f>
        <v/>
      </c>
      <c r="Z286" s="49">
        <f>VLOOKUP(B286,country_opex,2,FALSE)*crew_factor</f>
        <v/>
      </c>
      <c r="AA286" s="49">
        <f>VLOOKUP(B286,country_opex,5,FALSE)</f>
        <v/>
      </c>
      <c r="AB286" s="49">
        <f>maint</f>
        <v/>
      </c>
      <c r="AC286" s="49">
        <f>VLOOKUP(B286,country_opex,7,FALSE)*ins_pct</f>
        <v/>
      </c>
      <c r="AD286" s="49">
        <f>charge_berth</f>
        <v/>
      </c>
      <c r="AE286" s="49">
        <f>Y286+Z286+AA286+AB286+AC286+AD286</f>
        <v/>
      </c>
      <c r="AF286" s="49">
        <f>VLOOKUP(B286,country_opex,7,FALSE)/dep_years</f>
        <v/>
      </c>
      <c r="AG286" s="49">
        <f>X286-AE286</f>
        <v/>
      </c>
      <c r="AH286" s="46">
        <f>IF(X286=0,"",AG286/X286)</f>
        <v/>
      </c>
      <c r="AI286" s="47">
        <f>IF(AG286&lt;=0,"",VLOOKUP(B286,country_opex,7,FALSE)/AG286)</f>
        <v/>
      </c>
      <c r="AJ286" s="44">
        <f>((G286*S286/diesel_nmpg)*diesel_co2pg-(battery/range_nm)*G286*S286*VLOOKUP(B286,country_opex,4,FALSE))/1000</f>
        <v/>
      </c>
      <c r="AK286" s="42" t="n">
        <v>5000</v>
      </c>
      <c r="AL286" s="43" t="inlineStr">
        <is>
          <t>T3</t>
        </is>
      </c>
      <c r="AM286" s="43" t="inlineStr">
        <is>
          <t>med</t>
        </is>
      </c>
      <c r="AN286" s="50" t="n">
        <v>0.1</v>
      </c>
      <c r="AO286" s="45">
        <f>IF(AK286="","",AK286*AN286)</f>
        <v/>
      </c>
      <c r="AP286" s="45">
        <f>IF(OR(AK286="",V286=0),"",MIN(IF(AX286="",9.9E+99,AX286),FLOOR(AO286/V286,1)))</f>
        <v/>
      </c>
      <c r="AQ286" s="49">
        <f>IF(AP286="","",AP286*IF(ABS(MOD(ABS((X286)),1)-0.5)&lt;1E-9,2*ROUND((X286)/2,0),ROUND((X286),0)))</f>
        <v/>
      </c>
      <c r="AR286" s="47">
        <f>IF(OR(AK286="",V286=0),"",MIN(IF(AX286="",9.9E+99,AX286),AO286/V286))</f>
        <v/>
      </c>
      <c r="AS286" s="49">
        <f>IF(AR286="","",AR286*IF(B286="South Korea",IF(ABS(MOD(ABS((X286)),1)-0.5)&lt;1E-9,2*ROUND((X286)/2,0),ROUND((X286),0)),X286))</f>
        <v/>
      </c>
      <c r="AT286" s="51" t="n"/>
      <c r="AU286" s="43" t="inlineStr">
        <is>
          <t>Grounded</t>
        </is>
      </c>
      <c r="AV286" s="52" t="n"/>
      <c r="AW286" s="52" t="n"/>
      <c r="AX286" s="53" t="n"/>
      <c r="AY286" s="54">
        <f>IF(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&lt;=0,"",VLOOKUP(B286,country_opex,7,FALSE)/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)</f>
        <v/>
      </c>
      <c r="AZ286" s="54">
        <f>IF(((W286*pax_cap*IF(B286="South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Korea",korea_mid_revleg,revleg_mid)),0))*VLOOKUP(B286,country_opex,3,FALSE))+Z286+AA286+AB286+AC286+AD286))&lt;=0,"",VLOOKUP(B286,country_opex,7,FALSE)/((W286*pax_cap*IF(B286="South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Korea",korea_mid_revleg,revleg_mid)),0))*VLOOKUP(B286,country_opex,3,FALSE))+Z286+AA286+AB286+AC286+AD286)))</f>
        <v/>
      </c>
      <c r="BA286" s="54">
        <f>IF(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&lt;=0,"",VLOOKUP(B286,country_opex,7,FALSE)/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)</f>
        <v/>
      </c>
      <c r="BB286" s="40" t="inlineStr">
        <is>
          <t>economics_by_route_id.json</t>
        </is>
      </c>
      <c r="BC286" s="40" t="inlineStr">
        <is>
          <t>gojek-127/route+economics</t>
        </is>
      </c>
      <c r="BD286" s="43" t="inlineStr">
        <is>
          <t>ics-da5220fd24</t>
        </is>
      </c>
    </row>
    <row r="287">
      <c r="A287" s="38" t="inlineStr">
        <is>
          <t>Bali</t>
        </is>
      </c>
      <c r="B287" s="38" t="inlineStr">
        <is>
          <t>Indonesia</t>
        </is>
      </c>
      <c r="C287" s="39" t="inlineStr">
        <is>
          <t>Bali → Gili Islands / Lombok</t>
        </is>
      </c>
      <c r="D287" s="38" t="inlineStr">
        <is>
          <t>grab</t>
        </is>
      </c>
      <c r="E287" s="40" t="inlineStr">
        <is>
          <t>bali</t>
        </is>
      </c>
      <c r="F287" s="41" t="n">
        <v>1</v>
      </c>
      <c r="G287" s="42" t="n">
        <v>45</v>
      </c>
      <c r="H287" s="35" t="n">
        <v>64</v>
      </c>
      <c r="I287" s="43" t="inlineStr">
        <is>
          <t>T3</t>
        </is>
      </c>
      <c r="J287" s="43" t="inlineStr">
        <is>
          <t>med-high</t>
        </is>
      </c>
      <c r="K287" s="29" t="n">
        <v>1</v>
      </c>
      <c r="L287" s="44">
        <f>60*G287/cruise_kt</f>
        <v/>
      </c>
      <c r="M287" s="44">
        <f>IF(B287="South Korea",G287/korea_charge_range_nm*korea_full_range_charge_min,0)</f>
        <v/>
      </c>
      <c r="N287" s="44">
        <f>IF(B287="South Korea",L287+korea_turn_min+korea_dwell_min+M287,L287+turn_min+dwell_min)</f>
        <v/>
      </c>
      <c r="O287" s="45">
        <f>IF(B287="South Korea",FLOOR(60*korea_service_hr/N287,1),MIN(15,FLOOR(60*service_hr/N287,1)))</f>
        <v/>
      </c>
      <c r="P287" s="45">
        <f>IF(ABS(MOD(ABS((365*mech_uptime*K287)),1)-0.5)&lt;1E-9,2*ROUND((365*mech_uptime*K287)/2,0),ROUND((365*mech_uptime*K287),0))</f>
        <v/>
      </c>
      <c r="Q287" s="46">
        <f>mech_uptime</f>
        <v/>
      </c>
      <c r="R287" s="46">
        <f>IF(AND(B287="South Korea",scenario="MID"),korea_mid_revleg,revleg_sel)</f>
        <v/>
      </c>
      <c r="S287" s="45">
        <f>IF(ABS(MOD(ABS((O287*P287*R287)),1)-0.5)&lt;1E-9,2*ROUND((O287*P287*R287)/2,0),ROUND((O287*P287*R287),0))</f>
        <v/>
      </c>
      <c r="T287" s="46">
        <f>IF(AND(B287="South Korea",scenario="MID"),korea_mid_load,load_sel)</f>
        <v/>
      </c>
      <c r="U287" s="47">
        <f>pax_cap*T287</f>
        <v/>
      </c>
      <c r="V287" s="45">
        <f>U287*S287</f>
        <v/>
      </c>
      <c r="W287" s="48">
        <f>H287*discount</f>
        <v/>
      </c>
      <c r="X287" s="49">
        <f>W287*V287</f>
        <v/>
      </c>
      <c r="Y287" s="49">
        <f>(battery/range_nm)*G287*S287*VLOOKUP(B287,country_opex,3,FALSE)</f>
        <v/>
      </c>
      <c r="Z287" s="49">
        <f>VLOOKUP(B287,country_opex,2,FALSE)*crew_factor</f>
        <v/>
      </c>
      <c r="AA287" s="49">
        <f>VLOOKUP(B287,country_opex,5,FALSE)</f>
        <v/>
      </c>
      <c r="AB287" s="49">
        <f>maint</f>
        <v/>
      </c>
      <c r="AC287" s="49">
        <f>VLOOKUP(B287,country_opex,7,FALSE)*ins_pct</f>
        <v/>
      </c>
      <c r="AD287" s="49">
        <f>charge_berth</f>
        <v/>
      </c>
      <c r="AE287" s="49">
        <f>Y287+Z287+AA287+AB287+AC287+AD287</f>
        <v/>
      </c>
      <c r="AF287" s="49">
        <f>VLOOKUP(B287,country_opex,7,FALSE)/dep_years</f>
        <v/>
      </c>
      <c r="AG287" s="49">
        <f>X287-AE287</f>
        <v/>
      </c>
      <c r="AH287" s="46">
        <f>IF(X287=0,"",AG287/X287)</f>
        <v/>
      </c>
      <c r="AI287" s="47">
        <f>IF(AG287&lt;=0,"",VLOOKUP(B287,country_opex,7,FALSE)/AG287)</f>
        <v/>
      </c>
      <c r="AJ287" s="44">
        <f>((G287*S287/diesel_nmpg)*diesel_co2pg-(battery/range_nm)*G287*S287*VLOOKUP(B287,country_opex,4,FALSE))/1000</f>
        <v/>
      </c>
      <c r="AK287" s="42" t="n">
        <v>600000</v>
      </c>
      <c r="AL287" s="43" t="inlineStr">
        <is>
          <t>T5</t>
        </is>
      </c>
      <c r="AM287" s="43" t="inlineStr">
        <is>
          <t>low-med</t>
        </is>
      </c>
      <c r="AN287" s="50" t="n">
        <v>0.1</v>
      </c>
      <c r="AO287" s="45">
        <f>IF(AK287="","",AK287*AN287)</f>
        <v/>
      </c>
      <c r="AP287" s="45">
        <f>IF(OR(AK287="",V287=0),"",MIN(IF(AX287="",9.9E+99,AX287),FLOOR(AO287/V287,1)))</f>
        <v/>
      </c>
      <c r="AQ287" s="49">
        <f>IF(AP287="","",AP287*IF(ABS(MOD(ABS((X287)),1)-0.5)&lt;1E-9,2*ROUND((X287)/2,0),ROUND((X287),0)))</f>
        <v/>
      </c>
      <c r="AR287" s="47">
        <f>IF(OR(AK287="",V287=0),"",MIN(IF(AX287="",9.9E+99,AX287),AO287/V287))</f>
        <v/>
      </c>
      <c r="AS287" s="49">
        <f>IF(AR287="","",AR287*IF(B287="South Korea",IF(ABS(MOD(ABS((X287)),1)-0.5)&lt;1E-9,2*ROUND((X287)/2,0),ROUND((X287),0)),X287))</f>
        <v/>
      </c>
      <c r="AT287" s="51" t="n"/>
      <c r="AU287" s="43" t="inlineStr">
        <is>
          <t>Grounded</t>
        </is>
      </c>
      <c r="AV287" s="52" t="n"/>
      <c r="AW287" s="52" t="n"/>
      <c r="AX287" s="53" t="n"/>
      <c r="AY287" s="54">
        <f>IF(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&lt;=0,"",VLOOKUP(B287,country_opex,7,FALSE)/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)</f>
        <v/>
      </c>
      <c r="AZ287" s="54">
        <f>IF(((W287*pax_cap*IF(B287="South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Korea",korea_mid_revleg,revleg_mid)),0))*VLOOKUP(B287,country_opex,3,FALSE))+Z287+AA287+AB287+AC287+AD287))&lt;=0,"",VLOOKUP(B287,country_opex,7,FALSE)/((W287*pax_cap*IF(B287="South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Korea",korea_mid_revleg,revleg_mid)),0))*VLOOKUP(B287,country_opex,3,FALSE))+Z287+AA287+AB287+AC287+AD287)))</f>
        <v/>
      </c>
      <c r="BA287" s="54">
        <f>IF(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&lt;=0,"",VLOOKUP(B287,country_opex,7,FALSE)/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)</f>
        <v/>
      </c>
      <c r="BB287" s="40" t="inlineStr">
        <is>
          <t>Premium transfer tier, Bali-&gt;Gili Trawangan. Tripadvisor 'Luxury Speedboat Transfer' $64; standard $28-42; budget ~$20; whole-boat private $500-1200.</t>
        </is>
      </c>
      <c r="BC287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  <c r="BD287" s="43" t="inlineStr">
        <is>
          <t>gcn-869b9d144c-shared</t>
        </is>
      </c>
    </row>
    <row r="288">
      <c r="A288" s="38" t="inlineStr">
        <is>
          <t>Bali</t>
        </is>
      </c>
      <c r="B288" s="38" t="inlineStr">
        <is>
          <t>Indonesia</t>
        </is>
      </c>
      <c r="C288" s="39" t="inlineStr">
        <is>
          <t>Bali → Lombok</t>
        </is>
      </c>
      <c r="D288" s="38" t="inlineStr">
        <is>
          <t>grab</t>
        </is>
      </c>
      <c r="E288" s="40" t="inlineStr">
        <is>
          <t>bali</t>
        </is>
      </c>
      <c r="F288" s="41" t="n">
        <v>2</v>
      </c>
      <c r="G288" s="42" t="n">
        <v>52.7</v>
      </c>
      <c r="H288" s="35" t="n">
        <v>50</v>
      </c>
      <c r="I288" s="43" t="inlineStr">
        <is>
          <t>T3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IF(B288="South Korea",G288/korea_charge_range_nm*korea_full_range_charge_min,0)</f>
        <v/>
      </c>
      <c r="N288" s="44">
        <f>IF(B288="South Korea",L288+korea_turn_min+korea_dwell_min+M288,L288+turn_min+dwell_min)</f>
        <v/>
      </c>
      <c r="O288" s="45">
        <f>IF(B288="South Korea",FLOOR(60*korea_service_hr/N288,1),MIN(15,FLOOR(60*service_hr/N288,1)))</f>
        <v/>
      </c>
      <c r="P288" s="45">
        <f>IF(ABS(MOD(ABS((365*mech_uptime*K288)),1)-0.5)&lt;1E-9,2*ROUND((365*mech_uptime*K288)/2,0),ROUND((365*mech_uptime*K288),0))</f>
        <v/>
      </c>
      <c r="Q288" s="46">
        <f>mech_uptime</f>
        <v/>
      </c>
      <c r="R288" s="46">
        <f>IF(AND(B288="South Korea",scenario="MID"),korea_mid_revleg,revleg_sel)</f>
        <v/>
      </c>
      <c r="S288" s="45">
        <f>IF(ABS(MOD(ABS((O288*P288*R288)),1)-0.5)&lt;1E-9,2*ROUND((O288*P288*R288)/2,0),ROUND((O288*P288*R288),0))</f>
        <v/>
      </c>
      <c r="T288" s="46">
        <f>IF(AND(B288="South Korea",scenario="MID"),korea_mid_load,load_sel)</f>
        <v/>
      </c>
      <c r="U288" s="47">
        <f>pax_cap*T288</f>
        <v/>
      </c>
      <c r="V288" s="45">
        <f>U288*S288</f>
        <v/>
      </c>
      <c r="W288" s="48">
        <f>H288*discount</f>
        <v/>
      </c>
      <c r="X288" s="49">
        <f>W288*V288</f>
        <v/>
      </c>
      <c r="Y288" s="49">
        <f>(battery/range_nm)*G288*S288*VLOOKUP(B288,country_opex,3,FALSE)</f>
        <v/>
      </c>
      <c r="Z288" s="49">
        <f>VLOOKUP(B288,country_opex,2,FALSE)*crew_factor</f>
        <v/>
      </c>
      <c r="AA288" s="49">
        <f>VLOOKUP(B288,country_opex,5,FALSE)</f>
        <v/>
      </c>
      <c r="AB288" s="49">
        <f>maint</f>
        <v/>
      </c>
      <c r="AC288" s="49">
        <f>VLOOKUP(B288,country_opex,7,FALSE)*ins_pct</f>
        <v/>
      </c>
      <c r="AD288" s="49">
        <f>charge_berth</f>
        <v/>
      </c>
      <c r="AE288" s="49">
        <f>Y288+Z288+AA288+AB288+AC288+AD288</f>
        <v/>
      </c>
      <c r="AF288" s="49">
        <f>VLOOKUP(B288,country_opex,7,FALSE)/dep_years</f>
        <v/>
      </c>
      <c r="AG288" s="49">
        <f>X288-AE288</f>
        <v/>
      </c>
      <c r="AH288" s="46">
        <f>IF(X288=0,"",AG288/X288)</f>
        <v/>
      </c>
      <c r="AI288" s="47">
        <f>IF(AG288&lt;=0,"",VLOOKUP(B288,country_opex,7,FALSE)/AG288)</f>
        <v/>
      </c>
      <c r="AJ288" s="44">
        <f>((G288*S288/diesel_nmpg)*diesel_co2pg-(battery/range_nm)*G288*S288*VLOOKUP(B288,country_opex,4,FALSE))/1000</f>
        <v/>
      </c>
      <c r="AK288" s="42" t="n">
        <v>5000</v>
      </c>
      <c r="AL288" s="43" t="inlineStr">
        <is>
          <t>T3</t>
        </is>
      </c>
      <c r="AM288" s="43" t="inlineStr">
        <is>
          <t>med</t>
        </is>
      </c>
      <c r="AN288" s="50" t="n">
        <v>0.1</v>
      </c>
      <c r="AO288" s="45">
        <f>IF(AK288="","",AK288*AN288)</f>
        <v/>
      </c>
      <c r="AP288" s="45">
        <f>IF(OR(AK288="",V288=0),"",MIN(IF(AX288="",9.9E+99,AX288),FLOOR(AO288/V288,1)))</f>
        <v/>
      </c>
      <c r="AQ288" s="49">
        <f>IF(AP288="","",AP288*IF(ABS(MOD(ABS((X288)),1)-0.5)&lt;1E-9,2*ROUND((X288)/2,0),ROUND((X288),0)))</f>
        <v/>
      </c>
      <c r="AR288" s="47">
        <f>IF(OR(AK288="",V288=0),"",MIN(IF(AX288="",9.9E+99,AX288),AO288/V288))</f>
        <v/>
      </c>
      <c r="AS288" s="49">
        <f>IF(AR288="","",AR288*IF(B288="South Korea",IF(ABS(MOD(ABS((X288)),1)-0.5)&lt;1E-9,2*ROUND((X288)/2,0),ROUND((X288),0)),X288))</f>
        <v/>
      </c>
      <c r="AT288" s="51" t="n"/>
      <c r="AU288" s="43" t="inlineStr">
        <is>
          <t>Grounded</t>
        </is>
      </c>
      <c r="AV288" s="52" t="n"/>
      <c r="AW288" s="52" t="n"/>
      <c r="AX288" s="53" t="n"/>
      <c r="AY288" s="54">
        <f>IF(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&lt;=0,"",VLOOKUP(B288,country_opex,7,FALSE)/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)</f>
        <v/>
      </c>
      <c r="AZ288" s="54">
        <f>IF(((W288*pax_cap*IF(B288="South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Korea",korea_mid_revleg,revleg_mid)),0))*VLOOKUP(B288,country_opex,3,FALSE))+Z288+AA288+AB288+AC288+AD288))&lt;=0,"",VLOOKUP(B288,country_opex,7,FALSE)/((W288*pax_cap*IF(B288="South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Korea",korea_mid_revleg,revleg_mid)),0))*VLOOKUP(B288,country_opex,3,FALSE))+Z288+AA288+AB288+AC288+AD288)))</f>
        <v/>
      </c>
      <c r="BA288" s="54">
        <f>IF(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&lt;=0,"",VLOOKUP(B288,country_opex,7,FALSE)/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)</f>
        <v/>
      </c>
      <c r="BB288" s="40" t="inlineStr">
        <is>
          <t>economics_by_route_id.json</t>
        </is>
      </c>
      <c r="BC288" s="40" t="inlineStr">
        <is>
          <t>gojek-127/route+economics</t>
        </is>
      </c>
      <c r="BD288" s="43" t="inlineStr">
        <is>
          <t>rn-91e276ba733c</t>
        </is>
      </c>
    </row>
    <row r="289">
      <c r="A289" s="38" t="inlineStr">
        <is>
          <t>Bali</t>
        </is>
      </c>
      <c r="B289" s="38" t="inlineStr">
        <is>
          <t>Indonesia</t>
        </is>
      </c>
      <c r="C289" s="39" t="inlineStr">
        <is>
          <t>Lombok → Gili Trawangan main jetty</t>
        </is>
      </c>
      <c r="D289" s="38" t="inlineStr">
        <is>
          <t>grab</t>
        </is>
      </c>
      <c r="E289" s="40" t="inlineStr">
        <is>
          <t>bali</t>
        </is>
      </c>
      <c r="F289" s="41" t="n">
        <v>1</v>
      </c>
      <c r="G289" s="42" t="n">
        <v>62.6</v>
      </c>
      <c r="H289" s="35" t="n">
        <v>50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IF(B289="South Korea",G289/korea_charge_range_nm*korea_full_range_charge_min,0)</f>
        <v/>
      </c>
      <c r="N289" s="44">
        <f>IF(B289="South Korea",L289+korea_turn_min+korea_dwell_min+M289,L289+turn_min+dwell_min)</f>
        <v/>
      </c>
      <c r="O289" s="45">
        <f>IF(B289="South Korea",FLOOR(60*korea_service_hr/N289,1),MIN(15,FLOOR(60*service_hr/N289,1)))</f>
        <v/>
      </c>
      <c r="P289" s="45">
        <f>IF(ABS(MOD(ABS((365*mech_uptime*K289)),1)-0.5)&lt;1E-9,2*ROUND((365*mech_uptime*K289)/2,0),ROUND((365*mech_uptime*K289),0))</f>
        <v/>
      </c>
      <c r="Q289" s="46">
        <f>mech_uptime</f>
        <v/>
      </c>
      <c r="R289" s="46">
        <f>IF(AND(B289="South Korea",scenario="MID"),korea_mid_revleg,revleg_sel)</f>
        <v/>
      </c>
      <c r="S289" s="45">
        <f>IF(ABS(MOD(ABS((O289*P289*R289)),1)-0.5)&lt;1E-9,2*ROUND((O289*P289*R289)/2,0),ROUND((O289*P289*R289),0))</f>
        <v/>
      </c>
      <c r="T289" s="46">
        <f>IF(AND(B289="South Korea",scenario="MID"),korea_mid_load,load_sel)</f>
        <v/>
      </c>
      <c r="U289" s="47">
        <f>pax_cap*T289</f>
        <v/>
      </c>
      <c r="V289" s="45">
        <f>U289*S289</f>
        <v/>
      </c>
      <c r="W289" s="48">
        <f>H289*discount</f>
        <v/>
      </c>
      <c r="X289" s="49">
        <f>W289*V289</f>
        <v/>
      </c>
      <c r="Y289" s="49">
        <f>(battery/range_nm)*G289*S289*VLOOKUP(B289,country_opex,3,FALSE)</f>
        <v/>
      </c>
      <c r="Z289" s="49">
        <f>VLOOKUP(B289,country_opex,2,FALSE)*crew_factor</f>
        <v/>
      </c>
      <c r="AA289" s="49">
        <f>VLOOKUP(B289,country_opex,5,FALSE)</f>
        <v/>
      </c>
      <c r="AB289" s="49">
        <f>maint</f>
        <v/>
      </c>
      <c r="AC289" s="49">
        <f>VLOOKUP(B289,country_opex,7,FALSE)*ins_pct</f>
        <v/>
      </c>
      <c r="AD289" s="49">
        <f>charge_berth</f>
        <v/>
      </c>
      <c r="AE289" s="49">
        <f>Y289+Z289+AA289+AB289+AC289+AD289</f>
        <v/>
      </c>
      <c r="AF289" s="49">
        <f>VLOOKUP(B289,country_opex,7,FALSE)/dep_years</f>
        <v/>
      </c>
      <c r="AG289" s="49">
        <f>X289-AE289</f>
        <v/>
      </c>
      <c r="AH289" s="46">
        <f>IF(X289=0,"",AG289/X289)</f>
        <v/>
      </c>
      <c r="AI289" s="47">
        <f>IF(AG289&lt;=0,"",VLOOKUP(B289,country_opex,7,FALSE)/AG289)</f>
        <v/>
      </c>
      <c r="AJ289" s="44">
        <f>((G289*S289/diesel_nmpg)*diesel_co2pg-(battery/range_nm)*G289*S289*VLOOKUP(B289,country_opex,4,FALSE))/1000</f>
        <v/>
      </c>
      <c r="AK289" s="42" t="n">
        <v>5000</v>
      </c>
      <c r="AL289" s="43" t="inlineStr">
        <is>
          <t>T3</t>
        </is>
      </c>
      <c r="AM289" s="43" t="inlineStr">
        <is>
          <t>med</t>
        </is>
      </c>
      <c r="AN289" s="50" t="n">
        <v>0.1</v>
      </c>
      <c r="AO289" s="45">
        <f>IF(AK289="","",AK289*AN289)</f>
        <v/>
      </c>
      <c r="AP289" s="45">
        <f>IF(OR(AK289="",V289=0),"",MIN(IF(AX289="",9.9E+99,AX289),FLOOR(AO289/V289,1)))</f>
        <v/>
      </c>
      <c r="AQ289" s="49">
        <f>IF(AP289="","",AP289*IF(ABS(MOD(ABS((X289)),1)-0.5)&lt;1E-9,2*ROUND((X289)/2,0),ROUND((X289),0)))</f>
        <v/>
      </c>
      <c r="AR289" s="47">
        <f>IF(OR(AK289="",V289=0),"",MIN(IF(AX289="",9.9E+99,AX289),AO289/V289))</f>
        <v/>
      </c>
      <c r="AS289" s="49">
        <f>IF(AR289="","",AR289*IF(B289="South Korea",IF(ABS(MOD(ABS((X289)),1)-0.5)&lt;1E-9,2*ROUND((X289)/2,0),ROUND((X289),0)),X289))</f>
        <v/>
      </c>
      <c r="AT289" s="51" t="n"/>
      <c r="AU289" s="43" t="inlineStr">
        <is>
          <t>Grounded</t>
        </is>
      </c>
      <c r="AV289" s="52" t="n"/>
      <c r="AW289" s="52" t="n"/>
      <c r="AX289" s="53" t="n"/>
      <c r="AY289" s="54">
        <f>IF(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&lt;=0,"",VLOOKUP(B289,country_opex,7,FALSE)/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)</f>
        <v/>
      </c>
      <c r="AZ289" s="54">
        <f>IF(((W289*pax_cap*IF(B289="South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Korea",korea_mid_revleg,revleg_mid)),0))*VLOOKUP(B289,country_opex,3,FALSE))+Z289+AA289+AB289+AC289+AD289))&lt;=0,"",VLOOKUP(B289,country_opex,7,FALSE)/((W289*pax_cap*IF(B289="South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Korea",korea_mid_revleg,revleg_mid)),0))*VLOOKUP(B289,country_opex,3,FALSE))+Z289+AA289+AB289+AC289+AD289)))</f>
        <v/>
      </c>
      <c r="BA289" s="54">
        <f>IF(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&lt;=0,"",VLOOKUP(B289,country_opex,7,FALSE)/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)</f>
        <v/>
      </c>
      <c r="BB289" s="40" t="inlineStr">
        <is>
          <t>economics_by_route_id.json</t>
        </is>
      </c>
      <c r="BC289" s="40" t="inlineStr">
        <is>
          <t>gojek-127/route+economics</t>
        </is>
      </c>
      <c r="BD289" s="43" t="inlineStr">
        <is>
          <t>rn-14140e408593</t>
        </is>
      </c>
    </row>
    <row r="290">
      <c r="A290" s="38" t="inlineStr">
        <is>
          <t>Bali</t>
        </is>
      </c>
      <c r="B290" s="38" t="inlineStr">
        <is>
          <t>Indonesia</t>
        </is>
      </c>
      <c r="C290" s="39" t="inlineStr">
        <is>
          <t>Lombok → Gili Air main jetty</t>
        </is>
      </c>
      <c r="D290" s="38" t="inlineStr">
        <is>
          <t>grab</t>
        </is>
      </c>
      <c r="E290" s="40" t="inlineStr">
        <is>
          <t>bali</t>
        </is>
      </c>
      <c r="F290" s="41" t="n">
        <v>1</v>
      </c>
      <c r="G290" s="42" t="n">
        <v>63.1</v>
      </c>
      <c r="H290" s="35" t="n">
        <v>50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IF(B290="South Korea",G290/korea_charge_range_nm*korea_full_range_charge_min,0)</f>
        <v/>
      </c>
      <c r="N290" s="44">
        <f>IF(B290="South Korea",L290+korea_turn_min+korea_dwell_min+M290,L290+turn_min+dwell_min)</f>
        <v/>
      </c>
      <c r="O290" s="45">
        <f>IF(B290="South Korea",FLOOR(60*korea_service_hr/N290,1),MIN(15,FLOOR(60*service_hr/N290,1)))</f>
        <v/>
      </c>
      <c r="P290" s="45">
        <f>IF(ABS(MOD(ABS((365*mech_uptime*K290)),1)-0.5)&lt;1E-9,2*ROUND((365*mech_uptime*K290)/2,0),ROUND((365*mech_uptime*K290),0))</f>
        <v/>
      </c>
      <c r="Q290" s="46">
        <f>mech_uptime</f>
        <v/>
      </c>
      <c r="R290" s="46">
        <f>IF(AND(B290="South Korea",scenario="MID"),korea_mid_revleg,revleg_sel)</f>
        <v/>
      </c>
      <c r="S290" s="45">
        <f>IF(ABS(MOD(ABS((O290*P290*R290)),1)-0.5)&lt;1E-9,2*ROUND((O290*P290*R290)/2,0),ROUND((O290*P290*R290),0))</f>
        <v/>
      </c>
      <c r="T290" s="46">
        <f>IF(AND(B290="South Korea",scenario="MID"),korea_mid_load,load_sel)</f>
        <v/>
      </c>
      <c r="U290" s="47">
        <f>pax_cap*T290</f>
        <v/>
      </c>
      <c r="V290" s="45">
        <f>U290*S290</f>
        <v/>
      </c>
      <c r="W290" s="48">
        <f>H290*discount</f>
        <v/>
      </c>
      <c r="X290" s="49">
        <f>W290*V290</f>
        <v/>
      </c>
      <c r="Y290" s="49">
        <f>(battery/range_nm)*G290*S290*VLOOKUP(B290,country_opex,3,FALSE)</f>
        <v/>
      </c>
      <c r="Z290" s="49">
        <f>VLOOKUP(B290,country_opex,2,FALSE)*crew_factor</f>
        <v/>
      </c>
      <c r="AA290" s="49">
        <f>VLOOKUP(B290,country_opex,5,FALSE)</f>
        <v/>
      </c>
      <c r="AB290" s="49">
        <f>maint</f>
        <v/>
      </c>
      <c r="AC290" s="49">
        <f>VLOOKUP(B290,country_opex,7,FALSE)*ins_pct</f>
        <v/>
      </c>
      <c r="AD290" s="49">
        <f>charge_berth</f>
        <v/>
      </c>
      <c r="AE290" s="49">
        <f>Y290+Z290+AA290+AB290+AC290+AD290</f>
        <v/>
      </c>
      <c r="AF290" s="49">
        <f>VLOOKUP(B290,country_opex,7,FALSE)/dep_years</f>
        <v/>
      </c>
      <c r="AG290" s="49">
        <f>X290-AE290</f>
        <v/>
      </c>
      <c r="AH290" s="46">
        <f>IF(X290=0,"",AG290/X290)</f>
        <v/>
      </c>
      <c r="AI290" s="47">
        <f>IF(AG290&lt;=0,"",VLOOKUP(B290,country_opex,7,FALSE)/AG290)</f>
        <v/>
      </c>
      <c r="AJ290" s="44">
        <f>((G290*S290/diesel_nmpg)*diesel_co2pg-(battery/range_nm)*G290*S290*VLOOKUP(B290,country_opex,4,FALSE))/1000</f>
        <v/>
      </c>
      <c r="AK290" s="42" t="n">
        <v>5000</v>
      </c>
      <c r="AL290" s="43" t="inlineStr">
        <is>
          <t>T3</t>
        </is>
      </c>
      <c r="AM290" s="43" t="inlineStr">
        <is>
          <t>med</t>
        </is>
      </c>
      <c r="AN290" s="50" t="n">
        <v>0.1</v>
      </c>
      <c r="AO290" s="45">
        <f>IF(AK290="","",AK290*AN290)</f>
        <v/>
      </c>
      <c r="AP290" s="45">
        <f>IF(OR(AK290="",V290=0),"",MIN(IF(AX290="",9.9E+99,AX290),FLOOR(AO290/V290,1)))</f>
        <v/>
      </c>
      <c r="AQ290" s="49">
        <f>IF(AP290="","",AP290*IF(ABS(MOD(ABS((X290)),1)-0.5)&lt;1E-9,2*ROUND((X290)/2,0),ROUND((X290),0)))</f>
        <v/>
      </c>
      <c r="AR290" s="47">
        <f>IF(OR(AK290="",V290=0),"",MIN(IF(AX290="",9.9E+99,AX290),AO290/V290))</f>
        <v/>
      </c>
      <c r="AS290" s="49">
        <f>IF(AR290="","",AR290*IF(B290="South Korea",IF(ABS(MOD(ABS((X290)),1)-0.5)&lt;1E-9,2*ROUND((X290)/2,0),ROUND((X290),0)),X290))</f>
        <v/>
      </c>
      <c r="AT290" s="51" t="n"/>
      <c r="AU290" s="43" t="inlineStr">
        <is>
          <t>Grounded</t>
        </is>
      </c>
      <c r="AV290" s="52" t="n"/>
      <c r="AW290" s="52" t="n"/>
      <c r="AX290" s="53" t="n"/>
      <c r="AY290" s="54">
        <f>IF(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&lt;=0,"",VLOOKUP(B290,country_opex,7,FALSE)/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)</f>
        <v/>
      </c>
      <c r="AZ290" s="54">
        <f>IF(((W290*pax_cap*IF(B290="South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Korea",korea_mid_revleg,revleg_mid)),0))*VLOOKUP(B290,country_opex,3,FALSE))+Z290+AA290+AB290+AC290+AD290))&lt;=0,"",VLOOKUP(B290,country_opex,7,FALSE)/((W290*pax_cap*IF(B290="South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Korea",korea_mid_revleg,revleg_mid)),0))*VLOOKUP(B290,country_opex,3,FALSE))+Z290+AA290+AB290+AC290+AD290)))</f>
        <v/>
      </c>
      <c r="BA290" s="54">
        <f>IF(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&lt;=0,"",VLOOKUP(B290,country_opex,7,FALSE)/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)</f>
        <v/>
      </c>
      <c r="BB290" s="40" t="inlineStr">
        <is>
          <t>economics_by_route_id.json</t>
        </is>
      </c>
      <c r="BC290" s="40" t="inlineStr">
        <is>
          <t>gojek-127/route+economics</t>
        </is>
      </c>
      <c r="BD290" s="43" t="inlineStr">
        <is>
          <t>rn-56e10fe5aab7</t>
        </is>
      </c>
    </row>
    <row r="291">
      <c r="A291" s="38" t="inlineStr">
        <is>
          <t>Bolt Ireland</t>
        </is>
      </c>
      <c r="B291" s="38" t="inlineStr">
        <is>
          <t>Ireland</t>
        </is>
      </c>
      <c r="C291" s="39" t="inlineStr">
        <is>
          <t>Dalkey → Dalkey Island</t>
        </is>
      </c>
      <c r="D291" s="38" t="inlineStr">
        <is>
          <t>bolt</t>
        </is>
      </c>
      <c r="E291" s="40" t="inlineStr">
        <is>
          <t>bolt-ireland</t>
        </is>
      </c>
      <c r="F291" s="41" t="n">
        <v>1</v>
      </c>
      <c r="G291" s="42" t="n">
        <v>0.3</v>
      </c>
      <c r="H291" s="35" t="n">
        <v>10.8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IF(B291="South Korea",G291/korea_charge_range_nm*korea_full_range_charge_min,0)</f>
        <v/>
      </c>
      <c r="N291" s="44">
        <f>IF(B291="South Korea",L291+korea_turn_min+korea_dwell_min+M291,L291+turn_min+dwell_min)</f>
        <v/>
      </c>
      <c r="O291" s="45">
        <f>IF(B291="South Korea",FLOOR(60*korea_service_hr/N291,1),MIN(15,FLOOR(60*service_hr/N291,1)))</f>
        <v/>
      </c>
      <c r="P291" s="45">
        <f>IF(ABS(MOD(ABS((365*mech_uptime*K291)),1)-0.5)&lt;1E-9,2*ROUND((365*mech_uptime*K291)/2,0),ROUND((365*mech_uptime*K291),0))</f>
        <v/>
      </c>
      <c r="Q291" s="46">
        <f>mech_uptime</f>
        <v/>
      </c>
      <c r="R291" s="46">
        <f>IF(AND(B291="South Korea",scenario="MID"),korea_mid_revleg,revleg_sel)</f>
        <v/>
      </c>
      <c r="S291" s="45">
        <f>IF(ABS(MOD(ABS((O291*P291*R291)),1)-0.5)&lt;1E-9,2*ROUND((O291*P291*R291)/2,0),ROUND((O291*P291*R291),0))</f>
        <v/>
      </c>
      <c r="T291" s="46">
        <f>IF(AND(B291="South Korea",scenario="MID"),korea_mid_load,load_sel)</f>
        <v/>
      </c>
      <c r="U291" s="47">
        <f>pax_cap*T291</f>
        <v/>
      </c>
      <c r="V291" s="45">
        <f>U291*S291</f>
        <v/>
      </c>
      <c r="W291" s="48">
        <f>H291*discount</f>
        <v/>
      </c>
      <c r="X291" s="49">
        <f>W291*V291</f>
        <v/>
      </c>
      <c r="Y291" s="49">
        <f>(battery/range_nm)*G291*S291*VLOOKUP(B291,country_opex,3,FALSE)</f>
        <v/>
      </c>
      <c r="Z291" s="49">
        <f>VLOOKUP(B291,country_opex,2,FALSE)*crew_factor</f>
        <v/>
      </c>
      <c r="AA291" s="49">
        <f>VLOOKUP(B291,country_opex,5,FALSE)</f>
        <v/>
      </c>
      <c r="AB291" s="49">
        <f>maint</f>
        <v/>
      </c>
      <c r="AC291" s="49">
        <f>VLOOKUP(B291,country_opex,7,FALSE)*ins_pct</f>
        <v/>
      </c>
      <c r="AD291" s="49">
        <f>charge_berth</f>
        <v/>
      </c>
      <c r="AE291" s="49">
        <f>Y291+Z291+AA291+AB291+AC291+AD291</f>
        <v/>
      </c>
      <c r="AF291" s="49">
        <f>VLOOKUP(B291,country_opex,7,FALSE)/dep_years</f>
        <v/>
      </c>
      <c r="AG291" s="49">
        <f>X291-AE291</f>
        <v/>
      </c>
      <c r="AH291" s="46">
        <f>IF(X291=0,"",AG291/X291)</f>
        <v/>
      </c>
      <c r="AI291" s="47">
        <f>IF(AG291&lt;=0,"",VLOOKUP(B291,country_opex,7,FALSE)/AG291)</f>
        <v/>
      </c>
      <c r="AJ291" s="44">
        <f>((G291*S291/diesel_nmpg)*diesel_co2pg-(battery/range_nm)*G291*S291*VLOOKUP(B291,country_opex,4,FALSE))/1000</f>
        <v/>
      </c>
      <c r="AK291" s="42" t="n"/>
      <c r="AL291" s="43" t="n"/>
      <c r="AM291" s="43" t="n"/>
      <c r="AN291" s="50" t="n">
        <v>0.1</v>
      </c>
      <c r="AO291" s="45">
        <f>IF(AK291="","",AK291*AN291)</f>
        <v/>
      </c>
      <c r="AP291" s="45">
        <f>IF(OR(AK291="",V291=0),"",MIN(IF(AX291="",9.9E+99,AX291),FLOOR(AO291/V291,1)))</f>
        <v/>
      </c>
      <c r="AQ291" s="49">
        <f>IF(AP291="","",AP291*IF(ABS(MOD(ABS((X291)),1)-0.5)&lt;1E-9,2*ROUND((X291)/2,0),ROUND((X291),0)))</f>
        <v/>
      </c>
      <c r="AR291" s="47">
        <f>IF(OR(AK291="",V291=0),"",MIN(IF(AX291="",9.9E+99,AX291),AO291/V291))</f>
        <v/>
      </c>
      <c r="AS291" s="49">
        <f>IF(AR291="","",AR291*IF(B291="South Korea",IF(ABS(MOD(ABS((X291)),1)-0.5)&lt;1E-9,2*ROUND((X291)/2,0),ROUND((X291),0)),X291))</f>
        <v/>
      </c>
      <c r="AT291" s="51" t="n"/>
      <c r="AU291" s="43" t="inlineStr">
        <is>
          <t>Estimated</t>
        </is>
      </c>
      <c r="AV291" s="52" t="n"/>
      <c r="AW291" s="52" t="n"/>
      <c r="AX291" s="53" t="n"/>
      <c r="AY291" s="54">
        <f>IF(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&lt;=0,"",VLOOKUP(B291,country_opex,7,FALSE)/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)</f>
        <v/>
      </c>
      <c r="AZ291" s="54">
        <f>IF(((W291*pax_cap*IF(B291="South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Korea",korea_mid_revleg,revleg_mid)),0))*VLOOKUP(B291,country_opex,3,FALSE))+Z291+AA291+AB291+AC291+AD291))&lt;=0,"",VLOOKUP(B291,country_opex,7,FALSE)/((W291*pax_cap*IF(B291="South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Korea",korea_mid_revleg,revleg_mid)),0))*VLOOKUP(B291,country_opex,3,FALSE))+Z291+AA291+AB291+AC291+AD291)))</f>
        <v/>
      </c>
      <c r="BA291" s="54">
        <f>IF(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&lt;=0,"",VLOOKUP(B291,country_opex,7,FALSE)/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)</f>
        <v/>
      </c>
      <c r="BB291" s="40" t="inlineStr">
        <is>
          <t>Ken the Ferryman EUR 10 per person (the operating fare to Dalkey Island). EUR 10 x 1.08 = $10.80.</t>
        </is>
      </c>
      <c r="BC291" s="40" t="n"/>
      <c r="BD291" s="43" t="n"/>
    </row>
    <row r="292">
      <c r="A292" s="38" t="inlineStr">
        <is>
          <t>Bolt Ireland</t>
        </is>
      </c>
      <c r="B292" s="38" t="inlineStr">
        <is>
          <t>Ireland</t>
        </is>
      </c>
      <c r="C292" s="39" t="inlineStr">
        <is>
          <t>Howth → Ireland's Eye</t>
        </is>
      </c>
      <c r="D292" s="38" t="inlineStr">
        <is>
          <t>bolt</t>
        </is>
      </c>
      <c r="E292" s="40" t="inlineStr">
        <is>
          <t>bolt-ireland</t>
        </is>
      </c>
      <c r="F292" s="41" t="n">
        <v>1</v>
      </c>
      <c r="G292" s="42" t="n">
        <v>1</v>
      </c>
      <c r="H292" s="35" t="n">
        <v>32.4</v>
      </c>
      <c r="I292" s="43" t="inlineStr">
        <is>
          <t>T2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IF(B292="South Korea",G292/korea_charge_range_nm*korea_full_range_charge_min,0)</f>
        <v/>
      </c>
      <c r="N292" s="44">
        <f>IF(B292="South Korea",L292+korea_turn_min+korea_dwell_min+M292,L292+turn_min+dwell_min)</f>
        <v/>
      </c>
      <c r="O292" s="45">
        <f>IF(B292="South Korea",FLOOR(60*korea_service_hr/N292,1),MIN(15,FLOOR(60*service_hr/N292,1)))</f>
        <v/>
      </c>
      <c r="P292" s="45">
        <f>IF(ABS(MOD(ABS((365*mech_uptime*K292)),1)-0.5)&lt;1E-9,2*ROUND((365*mech_uptime*K292)/2,0),ROUND((365*mech_uptime*K292),0))</f>
        <v/>
      </c>
      <c r="Q292" s="46">
        <f>mech_uptime</f>
        <v/>
      </c>
      <c r="R292" s="46">
        <f>IF(AND(B292="South Korea",scenario="MID"),korea_mid_revleg,revleg_sel)</f>
        <v/>
      </c>
      <c r="S292" s="45">
        <f>IF(ABS(MOD(ABS((O292*P292*R292)),1)-0.5)&lt;1E-9,2*ROUND((O292*P292*R292)/2,0),ROUND((O292*P292*R292),0))</f>
        <v/>
      </c>
      <c r="T292" s="46">
        <f>IF(AND(B292="South Korea",scenario="MID"),korea_mid_load,load_sel)</f>
        <v/>
      </c>
      <c r="U292" s="47">
        <f>pax_cap*T292</f>
        <v/>
      </c>
      <c r="V292" s="45">
        <f>U292*S292</f>
        <v/>
      </c>
      <c r="W292" s="48">
        <f>H292*discount</f>
        <v/>
      </c>
      <c r="X292" s="49">
        <f>W292*V292</f>
        <v/>
      </c>
      <c r="Y292" s="49">
        <f>(battery/range_nm)*G292*S292*VLOOKUP(B292,country_opex,3,FALSE)</f>
        <v/>
      </c>
      <c r="Z292" s="49">
        <f>VLOOKUP(B292,country_opex,2,FALSE)*crew_factor</f>
        <v/>
      </c>
      <c r="AA292" s="49">
        <f>VLOOKUP(B292,country_opex,5,FALSE)</f>
        <v/>
      </c>
      <c r="AB292" s="49">
        <f>maint</f>
        <v/>
      </c>
      <c r="AC292" s="49">
        <f>VLOOKUP(B292,country_opex,7,FALSE)*ins_pct</f>
        <v/>
      </c>
      <c r="AD292" s="49">
        <f>charge_berth</f>
        <v/>
      </c>
      <c r="AE292" s="49">
        <f>Y292+Z292+AA292+AB292+AC292+AD292</f>
        <v/>
      </c>
      <c r="AF292" s="49">
        <f>VLOOKUP(B292,country_opex,7,FALSE)/dep_years</f>
        <v/>
      </c>
      <c r="AG292" s="49">
        <f>X292-AE292</f>
        <v/>
      </c>
      <c r="AH292" s="46">
        <f>IF(X292=0,"",AG292/X292)</f>
        <v/>
      </c>
      <c r="AI292" s="47">
        <f>IF(AG292&lt;=0,"",VLOOKUP(B292,country_opex,7,FALSE)/AG292)</f>
        <v/>
      </c>
      <c r="AJ292" s="44">
        <f>((G292*S292/diesel_nmpg)*diesel_co2pg-(battery/range_nm)*G292*S292*VLOOKUP(B292,country_opex,4,FALSE))/1000</f>
        <v/>
      </c>
      <c r="AK292" s="42" t="n"/>
      <c r="AL292" s="43" t="n"/>
      <c r="AM292" s="43" t="n"/>
      <c r="AN292" s="50" t="n">
        <v>0.1</v>
      </c>
      <c r="AO292" s="45">
        <f>IF(AK292="","",AK292*AN292)</f>
        <v/>
      </c>
      <c r="AP292" s="45">
        <f>IF(OR(AK292="",V292=0),"",MIN(IF(AX292="",9.9E+99,AX292),FLOOR(AO292/V292,1)))</f>
        <v/>
      </c>
      <c r="AQ292" s="49">
        <f>IF(AP292="","",AP292*IF(ABS(MOD(ABS((X292)),1)-0.5)&lt;1E-9,2*ROUND((X292)/2,0),ROUND((X292),0)))</f>
        <v/>
      </c>
      <c r="AR292" s="47">
        <f>IF(OR(AK292="",V292=0),"",MIN(IF(AX292="",9.9E+99,AX292),AO292/V292))</f>
        <v/>
      </c>
      <c r="AS292" s="49">
        <f>IF(AR292="","",AR292*IF(B292="South Korea",IF(ABS(MOD(ABS((X292)),1)-0.5)&lt;1E-9,2*ROUND((X292)/2,0),ROUND((X292),0)),X292))</f>
        <v/>
      </c>
      <c r="AT292" s="51" t="n"/>
      <c r="AU292" s="43" t="inlineStr">
        <is>
          <t>Estimated</t>
        </is>
      </c>
      <c r="AV292" s="52" t="n"/>
      <c r="AW292" s="52" t="n"/>
      <c r="AX292" s="53" t="n"/>
      <c r="AY292" s="54">
        <f>IF(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&lt;=0,"",VLOOKUP(B292,country_opex,7,FALSE)/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)</f>
        <v/>
      </c>
      <c r="AZ292" s="54">
        <f>IF(((W292*pax_cap*IF(B292="South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Korea",korea_mid_revleg,revleg_mid)),0))*VLOOKUP(B292,country_opex,3,FALSE))+Z292+AA292+AB292+AC292+AD292))&lt;=0,"",VLOOKUP(B292,country_opex,7,FALSE)/((W292*pax_cap*IF(B292="South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Korea",korea_mid_revleg,revleg_mid)),0))*VLOOKUP(B292,country_opex,3,FALSE))+Z292+AA292+AB292+AC292+AD292)))</f>
        <v/>
      </c>
      <c r="BA292" s="54">
        <f>IF(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&lt;=0,"",VLOOKUP(B292,country_opex,7,FALSE)/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)</f>
        <v/>
      </c>
      <c r="BB292" s="40" t="inlineStr">
        <is>
          <t>Ireland's Eye Ferries / Howth Cliff Cruises adult EUR 30 return incl. island landing (the operating product). EUR 30 x 1.08 = $32.40. One-way equivalent ~$16.20.</t>
        </is>
      </c>
      <c r="BC292" s="40" t="n"/>
      <c r="BD292" s="43" t="n"/>
    </row>
    <row r="293">
      <c r="A293" s="38" t="inlineStr">
        <is>
          <t>Bolt Ireland</t>
        </is>
      </c>
      <c r="B293" s="38" t="inlineStr">
        <is>
          <t>Ireland</t>
        </is>
      </c>
      <c r="C293" s="39" t="inlineStr">
        <is>
          <t>Dublin Docklands → Dún Laoghaire</t>
        </is>
      </c>
      <c r="D293" s="38" t="inlineStr">
        <is>
          <t>bolt</t>
        </is>
      </c>
      <c r="E293" s="40" t="inlineStr">
        <is>
          <t>bolt-ireland</t>
        </is>
      </c>
      <c r="F293" s="41" t="n">
        <v>1</v>
      </c>
      <c r="G293" s="42" t="n">
        <v>6.5</v>
      </c>
      <c r="H293" s="35" t="n">
        <v>32.4</v>
      </c>
      <c r="I293" s="43" t="inlineStr">
        <is>
          <t>T2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IF(B293="South Korea",G293/korea_charge_range_nm*korea_full_range_charge_min,0)</f>
        <v/>
      </c>
      <c r="N293" s="44">
        <f>IF(B293="South Korea",L293+korea_turn_min+korea_dwell_min+M293,L293+turn_min+dwell_min)</f>
        <v/>
      </c>
      <c r="O293" s="45">
        <f>IF(B293="South Korea",FLOOR(60*korea_service_hr/N293,1),MIN(24,FLOOR(60*service_hr/N293,1)))</f>
        <v/>
      </c>
      <c r="P293" s="45">
        <f>IF(ABS(MOD(ABS((365*mech_uptime*K293)),1)-0.5)&lt;1E-9,2*ROUND((365*mech_uptime*K293)/2,0),ROUND((365*mech_uptime*K293),0))</f>
        <v/>
      </c>
      <c r="Q293" s="46">
        <f>mech_uptime</f>
        <v/>
      </c>
      <c r="R293" s="46">
        <f>IF(AND(B293="South Korea",scenario="MID"),korea_mid_revleg,revleg_sel)</f>
        <v/>
      </c>
      <c r="S293" s="45">
        <f>IF(ABS(MOD(ABS((O293*P293*R293)),1)-0.5)&lt;1E-9,2*ROUND((O293*P293*R293)/2,0),ROUND((O293*P293*R293),0))</f>
        <v/>
      </c>
      <c r="T293" s="46">
        <f>IF(AND(B293="South Korea",scenario="MID"),korea_mid_load,load_sel)</f>
        <v/>
      </c>
      <c r="U293" s="47">
        <f>pax_cap*T293</f>
        <v/>
      </c>
      <c r="V293" s="45">
        <f>U293*S293</f>
        <v/>
      </c>
      <c r="W293" s="48">
        <f>H293*discount</f>
        <v/>
      </c>
      <c r="X293" s="49">
        <f>W293*V293</f>
        <v/>
      </c>
      <c r="Y293" s="49">
        <f>(battery/range_nm)*G293*S293*VLOOKUP(B293,country_opex,3,FALSE)</f>
        <v/>
      </c>
      <c r="Z293" s="49">
        <f>VLOOKUP(B293,country_opex,2,FALSE)*crew_factor</f>
        <v/>
      </c>
      <c r="AA293" s="49">
        <f>VLOOKUP(B293,country_opex,5,FALSE)</f>
        <v/>
      </c>
      <c r="AB293" s="49">
        <f>maint</f>
        <v/>
      </c>
      <c r="AC293" s="49">
        <f>VLOOKUP(B293,country_opex,7,FALSE)*ins_pct</f>
        <v/>
      </c>
      <c r="AD293" s="49">
        <f>charge_berth</f>
        <v/>
      </c>
      <c r="AE293" s="49">
        <f>Y293+Z293+AA293+AB293+AC293+AD293</f>
        <v/>
      </c>
      <c r="AF293" s="49">
        <f>VLOOKUP(B293,country_opex,7,FALSE)/dep_years</f>
        <v/>
      </c>
      <c r="AG293" s="49">
        <f>X293-AE293</f>
        <v/>
      </c>
      <c r="AH293" s="46">
        <f>IF(X293=0,"",AG293/X293)</f>
        <v/>
      </c>
      <c r="AI293" s="47">
        <f>IF(AG293&lt;=0,"",VLOOKUP(B293,country_opex,7,FALSE)/AG293)</f>
        <v/>
      </c>
      <c r="AJ293" s="44">
        <f>((G293*S293/diesel_nmpg)*diesel_co2pg-(battery/range_nm)*G293*S293*VLOOKUP(B293,country_opex,4,FALSE))/1000</f>
        <v/>
      </c>
      <c r="AK293" s="42" t="n">
        <v>50000</v>
      </c>
      <c r="AL293" s="43" t="n"/>
      <c r="AM293" s="43" t="n"/>
      <c r="AN293" s="50" t="n">
        <v>0.1</v>
      </c>
      <c r="AO293" s="45">
        <f>IF(AK293="","",AK293*AN293)</f>
        <v/>
      </c>
      <c r="AP293" s="45">
        <f>IF(OR(AK293="",V293=0),"",MIN(IF(AX293="",9.9E+99,AX293),FLOOR(AO293/V293,1)))</f>
        <v/>
      </c>
      <c r="AQ293" s="49">
        <f>IF(AP293="","",AP293*IF(ABS(MOD(ABS((X293)),1)-0.5)&lt;1E-9,2*ROUND((X293)/2,0),ROUND((X293),0)))</f>
        <v/>
      </c>
      <c r="AR293" s="47">
        <f>IF(OR(AK293="",V293=0),"",MIN(IF(AX293="",9.9E+99,AX293),AO293/V293))</f>
        <v/>
      </c>
      <c r="AS293" s="49">
        <f>IF(AR293="","",AR293*IF(B293="South Korea",IF(ABS(MOD(ABS((X293)),1)-0.5)&lt;1E-9,2*ROUND((X293)/2,0),ROUND((X293),0)),X293))</f>
        <v/>
      </c>
      <c r="AT293" s="51" t="n"/>
      <c r="AU293" s="43" t="inlineStr">
        <is>
          <t>Estimated</t>
        </is>
      </c>
      <c r="AV293" s="52" t="n"/>
      <c r="AW293" s="52" t="n"/>
      <c r="AX293" s="53" t="n"/>
      <c r="AY293" s="54">
        <f>IF(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&lt;=0,"",VLOOKUP(B293,country_opex,7,FALSE)/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)</f>
        <v/>
      </c>
      <c r="AZ293" s="54">
        <f>IF(((W293*pax_cap*IF(B293="South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Korea",korea_mid_revleg,revleg_mid)),0))*VLOOKUP(B293,country_opex,3,FALSE))+Z293+AA293+AB293+AC293+AD293))&lt;=0,"",VLOOKUP(B293,country_opex,7,FALSE)/((W293*pax_cap*IF(B293="South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Korea",korea_mid_revleg,revleg_mid)),0))*VLOOKUP(B293,country_opex,3,FALSE))+Z293+AA293+AB293+AC293+AD293)))</f>
        <v/>
      </c>
      <c r="BA293" s="54">
        <f>IF(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&lt;=0,"",VLOOKUP(B293,country_opex,7,FALSE)/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)</f>
        <v/>
      </c>
      <c r="BB293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C293" s="40" t="n"/>
      <c r="BD293" s="43" t="n"/>
    </row>
    <row r="294">
      <c r="A294" s="38" t="inlineStr">
        <is>
          <t>Bolt Ireland</t>
        </is>
      </c>
      <c r="B294" s="38" t="inlineStr">
        <is>
          <t>Ireland</t>
        </is>
      </c>
      <c r="C294" s="39" t="inlineStr">
        <is>
          <t>Dublin City (Docklands) → Howth</t>
        </is>
      </c>
      <c r="D294" s="38" t="inlineStr">
        <is>
          <t>bolt</t>
        </is>
      </c>
      <c r="E294" s="40" t="inlineStr">
        <is>
          <t>bolt-ireland</t>
        </is>
      </c>
      <c r="F294" s="41" t="n">
        <v>1</v>
      </c>
      <c r="G294" s="42" t="n">
        <v>7</v>
      </c>
      <c r="H294" s="35" t="n">
        <v>43.2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IF(B294="South Korea",G294/korea_charge_range_nm*korea_full_range_charge_min,0)</f>
        <v/>
      </c>
      <c r="N294" s="44">
        <f>IF(B294="South Korea",L294+korea_turn_min+korea_dwell_min+M294,L294+turn_min+dwell_min)</f>
        <v/>
      </c>
      <c r="O294" s="45">
        <f>IF(B294="South Korea",FLOOR(60*korea_service_hr/N294,1),MIN(24,FLOOR(60*service_hr/N294,1)))</f>
        <v/>
      </c>
      <c r="P294" s="45">
        <f>IF(ABS(MOD(ABS((365*mech_uptime*K294)),1)-0.5)&lt;1E-9,2*ROUND((365*mech_uptime*K294)/2,0),ROUND((365*mech_uptime*K294),0))</f>
        <v/>
      </c>
      <c r="Q294" s="46">
        <f>mech_uptime</f>
        <v/>
      </c>
      <c r="R294" s="46">
        <f>IF(AND(B294="South Korea",scenario="MID"),korea_mid_revleg,revleg_sel)</f>
        <v/>
      </c>
      <c r="S294" s="45">
        <f>IF(ABS(MOD(ABS((O294*P294*R294)),1)-0.5)&lt;1E-9,2*ROUND((O294*P294*R294)/2,0),ROUND((O294*P294*R294),0))</f>
        <v/>
      </c>
      <c r="T294" s="46">
        <f>IF(AND(B294="South Korea",scenario="MID"),korea_mid_load,load_sel)</f>
        <v/>
      </c>
      <c r="U294" s="47">
        <f>pax_cap*T294</f>
        <v/>
      </c>
      <c r="V294" s="45">
        <f>U294*S294</f>
        <v/>
      </c>
      <c r="W294" s="48">
        <f>H294*discount</f>
        <v/>
      </c>
      <c r="X294" s="49">
        <f>W294*V294</f>
        <v/>
      </c>
      <c r="Y294" s="49">
        <f>(battery/range_nm)*G294*S294*VLOOKUP(B294,country_opex,3,FALSE)</f>
        <v/>
      </c>
      <c r="Z294" s="49">
        <f>VLOOKUP(B294,country_opex,2,FALSE)*crew_factor</f>
        <v/>
      </c>
      <c r="AA294" s="49">
        <f>VLOOKUP(B294,country_opex,5,FALSE)</f>
        <v/>
      </c>
      <c r="AB294" s="49">
        <f>maint</f>
        <v/>
      </c>
      <c r="AC294" s="49">
        <f>VLOOKUP(B294,country_opex,7,FALSE)*ins_pct</f>
        <v/>
      </c>
      <c r="AD294" s="49">
        <f>charge_berth</f>
        <v/>
      </c>
      <c r="AE294" s="49">
        <f>Y294+Z294+AA294+AB294+AC294+AD294</f>
        <v/>
      </c>
      <c r="AF294" s="49">
        <f>VLOOKUP(B294,country_opex,7,FALSE)/dep_years</f>
        <v/>
      </c>
      <c r="AG294" s="49">
        <f>X294-AE294</f>
        <v/>
      </c>
      <c r="AH294" s="46">
        <f>IF(X294=0,"",AG294/X294)</f>
        <v/>
      </c>
      <c r="AI294" s="47">
        <f>IF(AG294&lt;=0,"",VLOOKUP(B294,country_opex,7,FALSE)/AG294)</f>
        <v/>
      </c>
      <c r="AJ294" s="44">
        <f>((G294*S294/diesel_nmpg)*diesel_co2pg-(battery/range_nm)*G294*S294*VLOOKUP(B294,country_opex,4,FALSE))/1000</f>
        <v/>
      </c>
      <c r="AK294" s="42" t="n">
        <v>46800</v>
      </c>
      <c r="AL294" s="43" t="n"/>
      <c r="AM294" s="43" t="n"/>
      <c r="AN294" s="50" t="n">
        <v>0.1</v>
      </c>
      <c r="AO294" s="45">
        <f>IF(AK294="","",AK294*AN294)</f>
        <v/>
      </c>
      <c r="AP294" s="45">
        <f>IF(OR(AK294="",V294=0),"",MIN(IF(AX294="",9.9E+99,AX294),FLOOR(AO294/V294,1)))</f>
        <v/>
      </c>
      <c r="AQ294" s="49">
        <f>IF(AP294="","",AP294*IF(ABS(MOD(ABS((X294)),1)-0.5)&lt;1E-9,2*ROUND((X294)/2,0),ROUND((X294),0)))</f>
        <v/>
      </c>
      <c r="AR294" s="47">
        <f>IF(OR(AK294="",V294=0),"",MIN(IF(AX294="",9.9E+99,AX294),AO294/V294))</f>
        <v/>
      </c>
      <c r="AS294" s="49">
        <f>IF(AR294="","",AR294*IF(B294="South Korea",IF(ABS(MOD(ABS((X294)),1)-0.5)&lt;1E-9,2*ROUND((X294)/2,0),ROUND((X294),0)),X294))</f>
        <v/>
      </c>
      <c r="AT294" s="51" t="n"/>
      <c r="AU294" s="43" t="inlineStr">
        <is>
          <t>Estimated</t>
        </is>
      </c>
      <c r="AV294" s="52" t="n"/>
      <c r="AW294" s="52" t="n"/>
      <c r="AX294" s="53" t="n"/>
      <c r="AY294" s="54">
        <f>IF(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&lt;=0,"",VLOOKUP(B294,country_opex,7,FALSE)/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)</f>
        <v/>
      </c>
      <c r="AZ294" s="54">
        <f>IF(((W294*pax_cap*IF(B294="South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Korea",korea_mid_revleg,revleg_mid)),0))*VLOOKUP(B294,country_opex,3,FALSE))+Z294+AA294+AB294+AC294+AD294))&lt;=0,"",VLOOKUP(B294,country_opex,7,FALSE)/((W294*pax_cap*IF(B294="South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Korea",korea_mid_revleg,revleg_mid)),0))*VLOOKUP(B294,country_opex,3,FALSE))+Z294+AA294+AB294+AC294+AD294)))</f>
        <v/>
      </c>
      <c r="BA294" s="54">
        <f>IF(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&lt;=0,"",VLOOKUP(B294,country_opex,7,FALSE)/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)</f>
        <v/>
      </c>
      <c r="BB294" s="40" t="inlineStr">
        <is>
          <t>Dublin Bay Cruises one-way Dublin City-&gt;Howth (via Dun Laoghaire) EUR 40 (premium scheduled water tier). EUR 40 x 1.08 = $43.20.</t>
        </is>
      </c>
      <c r="BC294" s="40" t="n"/>
      <c r="BD294" s="43" t="n"/>
    </row>
    <row r="295">
      <c r="A295" s="38" t="inlineStr">
        <is>
          <t>Bolt Ireland</t>
        </is>
      </c>
      <c r="B295" s="38" t="inlineStr">
        <is>
          <t>Ireland</t>
        </is>
      </c>
      <c r="C295" s="39" t="inlineStr">
        <is>
          <t>Dun Laoghaire → Howth</t>
        </is>
      </c>
      <c r="D295" s="38" t="inlineStr">
        <is>
          <t>bolt</t>
        </is>
      </c>
      <c r="E295" s="40" t="inlineStr">
        <is>
          <t>bolt-ireland</t>
        </is>
      </c>
      <c r="F295" s="41" t="n">
        <v>1</v>
      </c>
      <c r="G295" s="42" t="n">
        <v>7</v>
      </c>
      <c r="H295" s="35" t="n">
        <v>30.24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IF(B295="South Korea",G295/korea_charge_range_nm*korea_full_range_charge_min,0)</f>
        <v/>
      </c>
      <c r="N295" s="44">
        <f>IF(B295="South Korea",L295+korea_turn_min+korea_dwell_min+M295,L295+turn_min+dwell_min)</f>
        <v/>
      </c>
      <c r="O295" s="45">
        <f>IF(B295="South Korea",FLOOR(60*korea_service_hr/N295,1),MIN(24,FLOOR(60*service_hr/N295,1)))</f>
        <v/>
      </c>
      <c r="P295" s="45">
        <f>IF(ABS(MOD(ABS((365*mech_uptime*K295)),1)-0.5)&lt;1E-9,2*ROUND((365*mech_uptime*K295)/2,0),ROUND((365*mech_uptime*K295),0))</f>
        <v/>
      </c>
      <c r="Q295" s="46">
        <f>mech_uptime</f>
        <v/>
      </c>
      <c r="R295" s="46">
        <f>IF(AND(B295="South Korea",scenario="MID"),korea_mid_revleg,revleg_sel)</f>
        <v/>
      </c>
      <c r="S295" s="45">
        <f>IF(ABS(MOD(ABS((O295*P295*R295)),1)-0.5)&lt;1E-9,2*ROUND((O295*P295*R295)/2,0),ROUND((O295*P295*R295),0))</f>
        <v/>
      </c>
      <c r="T295" s="46">
        <f>IF(AND(B295="South Korea",scenario="MID"),korea_mid_load,load_sel)</f>
        <v/>
      </c>
      <c r="U295" s="47">
        <f>pax_cap*T295</f>
        <v/>
      </c>
      <c r="V295" s="45">
        <f>U295*S295</f>
        <v/>
      </c>
      <c r="W295" s="48">
        <f>H295*discount</f>
        <v/>
      </c>
      <c r="X295" s="49">
        <f>W295*V295</f>
        <v/>
      </c>
      <c r="Y295" s="49">
        <f>(battery/range_nm)*G295*S295*VLOOKUP(B295,country_opex,3,FALSE)</f>
        <v/>
      </c>
      <c r="Z295" s="49">
        <f>VLOOKUP(B295,country_opex,2,FALSE)*crew_factor</f>
        <v/>
      </c>
      <c r="AA295" s="49">
        <f>VLOOKUP(B295,country_opex,5,FALSE)</f>
        <v/>
      </c>
      <c r="AB295" s="49">
        <f>maint</f>
        <v/>
      </c>
      <c r="AC295" s="49">
        <f>VLOOKUP(B295,country_opex,7,FALSE)*ins_pct</f>
        <v/>
      </c>
      <c r="AD295" s="49">
        <f>charge_berth</f>
        <v/>
      </c>
      <c r="AE295" s="49">
        <f>Y295+Z295+AA295+AB295+AC295+AD295</f>
        <v/>
      </c>
      <c r="AF295" s="49">
        <f>VLOOKUP(B295,country_opex,7,FALSE)/dep_years</f>
        <v/>
      </c>
      <c r="AG295" s="49">
        <f>X295-AE295</f>
        <v/>
      </c>
      <c r="AH295" s="46">
        <f>IF(X295=0,"",AG295/X295)</f>
        <v/>
      </c>
      <c r="AI295" s="47">
        <f>IF(AG295&lt;=0,"",VLOOKUP(B295,country_opex,7,FALSE)/AG295)</f>
        <v/>
      </c>
      <c r="AJ295" s="44">
        <f>((G295*S295/diesel_nmpg)*diesel_co2pg-(battery/range_nm)*G295*S295*VLOOKUP(B295,country_opex,4,FALSE))/1000</f>
        <v/>
      </c>
      <c r="AK295" s="42" t="n"/>
      <c r="AL295" s="43" t="n"/>
      <c r="AM295" s="43" t="n"/>
      <c r="AN295" s="50" t="n">
        <v>0.1</v>
      </c>
      <c r="AO295" s="45">
        <f>IF(AK295="","",AK295*AN295)</f>
        <v/>
      </c>
      <c r="AP295" s="45">
        <f>IF(OR(AK295="",V295=0),"",MIN(IF(AX295="",9.9E+99,AX295),FLOOR(AO295/V295,1)))</f>
        <v/>
      </c>
      <c r="AQ295" s="49">
        <f>IF(AP295="","",AP295*IF(ABS(MOD(ABS((X295)),1)-0.5)&lt;1E-9,2*ROUND((X295)/2,0),ROUND((X295),0)))</f>
        <v/>
      </c>
      <c r="AR295" s="47">
        <f>IF(OR(AK295="",V295=0),"",MIN(IF(AX295="",9.9E+99,AX295),AO295/V295))</f>
        <v/>
      </c>
      <c r="AS295" s="49">
        <f>IF(AR295="","",AR295*IF(B295="South Korea",IF(ABS(MOD(ABS((X295)),1)-0.5)&lt;1E-9,2*ROUND((X295)/2,0),ROUND((X295),0)),X295))</f>
        <v/>
      </c>
      <c r="AT295" s="51" t="n"/>
      <c r="AU295" s="43" t="inlineStr">
        <is>
          <t>Estimated</t>
        </is>
      </c>
      <c r="AV295" s="52" t="n"/>
      <c r="AW295" s="52" t="n"/>
      <c r="AX295" s="53" t="n"/>
      <c r="AY295" s="54">
        <f>IF(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&lt;=0,"",VLOOKUP(B295,country_opex,7,FALSE)/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)</f>
        <v/>
      </c>
      <c r="AZ295" s="54">
        <f>IF(((W295*pax_cap*IF(B295="South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Korea",korea_mid_revleg,revleg_mid)),0))*VLOOKUP(B295,country_opex,3,FALSE))+Z295+AA295+AB295+AC295+AD295))&lt;=0,"",VLOOKUP(B295,country_opex,7,FALSE)/((W295*pax_cap*IF(B295="South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Korea",korea_mid_revleg,revleg_mid)),0))*VLOOKUP(B295,country_opex,3,FALSE))+Z295+AA295+AB295+AC295+AD295)))</f>
        <v/>
      </c>
      <c r="BA295" s="54">
        <f>IF(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&lt;=0,"",VLOOKUP(B295,country_opex,7,FALSE)/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)</f>
        <v/>
      </c>
      <c r="BB295" s="40" t="inlineStr">
        <is>
          <t>Dublin Bay Cruises one-way Dun Laoghaire&lt;-&gt;Howth EUR 28 per seat (scheduled scenic water tier). EUR 28 x 1.08 = $30.24.</t>
        </is>
      </c>
      <c r="BC295" s="40" t="n"/>
      <c r="BD295" s="43" t="n"/>
    </row>
    <row r="296">
      <c r="A296" s="38" t="inlineStr">
        <is>
          <t>Bolt Ireland</t>
        </is>
      </c>
      <c r="B296" s="38" t="inlineStr">
        <is>
          <t>Ireland</t>
        </is>
      </c>
      <c r="C296" s="39" t="inlineStr">
        <is>
          <t>Dublin City (Docklands) → Dalkey / Killiney</t>
        </is>
      </c>
      <c r="D296" s="38" t="inlineStr">
        <is>
          <t>bolt</t>
        </is>
      </c>
      <c r="E296" s="40" t="inlineStr">
        <is>
          <t>bolt-ireland</t>
        </is>
      </c>
      <c r="F296" s="41" t="n">
        <v>1</v>
      </c>
      <c r="G296" s="42" t="n">
        <v>9</v>
      </c>
      <c r="H296" s="35" t="n">
        <v>32.4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IF(B296="South Korea",G296/korea_charge_range_nm*korea_full_range_charge_min,0)</f>
        <v/>
      </c>
      <c r="N296" s="44">
        <f>IF(B296="South Korea",L296+korea_turn_min+korea_dwell_min+M296,L296+turn_min+dwell_min)</f>
        <v/>
      </c>
      <c r="O296" s="45">
        <f>IF(B296="South Korea",FLOOR(60*korea_service_hr/N296,1),MIN(24,FLOOR(60*service_hr/N296,1)))</f>
        <v/>
      </c>
      <c r="P296" s="45">
        <f>IF(ABS(MOD(ABS((365*mech_uptime*K296)),1)-0.5)&lt;1E-9,2*ROUND((365*mech_uptime*K296)/2,0),ROUND((365*mech_uptime*K296),0))</f>
        <v/>
      </c>
      <c r="Q296" s="46">
        <f>mech_uptime</f>
        <v/>
      </c>
      <c r="R296" s="46">
        <f>IF(AND(B296="South Korea",scenario="MID"),korea_mid_revleg,revleg_sel)</f>
        <v/>
      </c>
      <c r="S296" s="45">
        <f>IF(ABS(MOD(ABS((O296*P296*R296)),1)-0.5)&lt;1E-9,2*ROUND((O296*P296*R296)/2,0),ROUND((O296*P296*R296),0))</f>
        <v/>
      </c>
      <c r="T296" s="46">
        <f>IF(AND(B296="South Korea",scenario="MID"),korea_mid_load,load_sel)</f>
        <v/>
      </c>
      <c r="U296" s="47">
        <f>pax_cap*T296</f>
        <v/>
      </c>
      <c r="V296" s="45">
        <f>U296*S296</f>
        <v/>
      </c>
      <c r="W296" s="48">
        <f>H296*discount</f>
        <v/>
      </c>
      <c r="X296" s="49">
        <f>W296*V296</f>
        <v/>
      </c>
      <c r="Y296" s="49">
        <f>(battery/range_nm)*G296*S296*VLOOKUP(B296,country_opex,3,FALSE)</f>
        <v/>
      </c>
      <c r="Z296" s="49">
        <f>VLOOKUP(B296,country_opex,2,FALSE)*crew_factor</f>
        <v/>
      </c>
      <c r="AA296" s="49">
        <f>VLOOKUP(B296,country_opex,5,FALSE)</f>
        <v/>
      </c>
      <c r="AB296" s="49">
        <f>maint</f>
        <v/>
      </c>
      <c r="AC296" s="49">
        <f>VLOOKUP(B296,country_opex,7,FALSE)*ins_pct</f>
        <v/>
      </c>
      <c r="AD296" s="49">
        <f>charge_berth</f>
        <v/>
      </c>
      <c r="AE296" s="49">
        <f>Y296+Z296+AA296+AB296+AC296+AD296</f>
        <v/>
      </c>
      <c r="AF296" s="49">
        <f>VLOOKUP(B296,country_opex,7,FALSE)/dep_years</f>
        <v/>
      </c>
      <c r="AG296" s="49">
        <f>X296-AE296</f>
        <v/>
      </c>
      <c r="AH296" s="46">
        <f>IF(X296=0,"",AG296/X296)</f>
        <v/>
      </c>
      <c r="AI296" s="47">
        <f>IF(AG296&lt;=0,"",VLOOKUP(B296,country_opex,7,FALSE)/AG296)</f>
        <v/>
      </c>
      <c r="AJ296" s="44">
        <f>((G296*S296/diesel_nmpg)*diesel_co2pg-(battery/range_nm)*G296*S296*VLOOKUP(B296,country_opex,4,FALSE))/1000</f>
        <v/>
      </c>
      <c r="AK296" s="42" t="n"/>
      <c r="AL296" s="43" t="n"/>
      <c r="AM296" s="43" t="n"/>
      <c r="AN296" s="50" t="n">
        <v>0.1</v>
      </c>
      <c r="AO296" s="45">
        <f>IF(AK296="","",AK296*AN296)</f>
        <v/>
      </c>
      <c r="AP296" s="45">
        <f>IF(OR(AK296="",V296=0),"",MIN(IF(AX296="",9.9E+99,AX296),FLOOR(AO296/V296,1)))</f>
        <v/>
      </c>
      <c r="AQ296" s="49">
        <f>IF(AP296="","",AP296*IF(ABS(MOD(ABS((X296)),1)-0.5)&lt;1E-9,2*ROUND((X296)/2,0),ROUND((X296),0)))</f>
        <v/>
      </c>
      <c r="AR296" s="47">
        <f>IF(OR(AK296="",V296=0),"",MIN(IF(AX296="",9.9E+99,AX296),AO296/V296))</f>
        <v/>
      </c>
      <c r="AS296" s="49">
        <f>IF(AR296="","",AR296*IF(B296="South Korea",IF(ABS(MOD(ABS((X296)),1)-0.5)&lt;1E-9,2*ROUND((X296)/2,0),ROUND((X296),0)),X296))</f>
        <v/>
      </c>
      <c r="AT296" s="51" t="n"/>
      <c r="AU296" s="43" t="inlineStr">
        <is>
          <t>Estimated</t>
        </is>
      </c>
      <c r="AV296" s="52" t="n"/>
      <c r="AW296" s="52" t="n"/>
      <c r="AX296" s="53" t="n"/>
      <c r="AY296" s="54">
        <f>IF(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&lt;=0,"",VLOOKUP(B296,country_opex,7,FALSE)/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)</f>
        <v/>
      </c>
      <c r="AZ296" s="54">
        <f>IF(((W296*pax_cap*IF(B296="South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Korea",korea_mid_revleg,revleg_mid)),0))*VLOOKUP(B296,country_opex,3,FALSE))+Z296+AA296+AB296+AC296+AD296))&lt;=0,"",VLOOKUP(B296,country_opex,7,FALSE)/((W296*pax_cap*IF(B296="South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Korea",korea_mid_revleg,revleg_mid)),0))*VLOOKUP(B296,country_opex,3,FALSE))+Z296+AA296+AB296+AC296+AD296)))</f>
        <v/>
      </c>
      <c r="BA296" s="54">
        <f>IF(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&lt;=0,"",VLOOKUP(B296,country_opex,7,FALSE)/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)</f>
        <v/>
      </c>
      <c r="BB296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C296" s="40" t="n"/>
      <c r="BD296" s="43" t="n"/>
    </row>
    <row r="297">
      <c r="A297" s="38" t="inlineStr">
        <is>
          <t>Bolt Ireland</t>
        </is>
      </c>
      <c r="B297" s="38" t="inlineStr">
        <is>
          <t>Ireland</t>
        </is>
      </c>
      <c r="C297" s="39" t="inlineStr">
        <is>
          <t>Dublin Port → Holyhead (Wales)</t>
        </is>
      </c>
      <c r="D297" s="38" t="inlineStr">
        <is>
          <t>bolt</t>
        </is>
      </c>
      <c r="E297" s="40" t="inlineStr">
        <is>
          <t>bolt-ireland</t>
        </is>
      </c>
      <c r="F297" s="41" t="n">
        <v>1</v>
      </c>
      <c r="G297" s="42" t="n">
        <v>67</v>
      </c>
      <c r="H297" s="35" t="n">
        <v>48.6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IF(B297="South Korea",G297/korea_charge_range_nm*korea_full_range_charge_min,0)</f>
        <v/>
      </c>
      <c r="N297" s="44">
        <f>IF(B297="South Korea",L297+korea_turn_min+korea_dwell_min+M297,L297+turn_min+dwell_min)</f>
        <v/>
      </c>
      <c r="O297" s="45">
        <f>IF(B297="South Korea",FLOOR(60*korea_service_hr/N297,1),MIN(15,FLOOR(60*service_hr/N297,1)))</f>
        <v/>
      </c>
      <c r="P297" s="45">
        <f>IF(ABS(MOD(ABS((365*mech_uptime*K297)),1)-0.5)&lt;1E-9,2*ROUND((365*mech_uptime*K297)/2,0),ROUND((365*mech_uptime*K297),0))</f>
        <v/>
      </c>
      <c r="Q297" s="46">
        <f>mech_uptime</f>
        <v/>
      </c>
      <c r="R297" s="46">
        <f>IF(AND(B297="South Korea",scenario="MID"),korea_mid_revleg,revleg_sel)</f>
        <v/>
      </c>
      <c r="S297" s="45">
        <f>IF(ABS(MOD(ABS((O297*P297*R297)),1)-0.5)&lt;1E-9,2*ROUND((O297*P297*R297)/2,0),ROUND((O297*P297*R297),0))</f>
        <v/>
      </c>
      <c r="T297" s="46">
        <f>IF(AND(B297="South Korea",scenario="MID"),korea_mid_load,load_sel)</f>
        <v/>
      </c>
      <c r="U297" s="47">
        <f>pax_cap*T297</f>
        <v/>
      </c>
      <c r="V297" s="45">
        <f>U297*S297</f>
        <v/>
      </c>
      <c r="W297" s="48">
        <f>H297*discount</f>
        <v/>
      </c>
      <c r="X297" s="49">
        <f>W297*V297</f>
        <v/>
      </c>
      <c r="Y297" s="49">
        <f>(battery/range_nm)*G297*S297*VLOOKUP(B297,country_opex,3,FALSE)</f>
        <v/>
      </c>
      <c r="Z297" s="49">
        <f>VLOOKUP(B297,country_opex,2,FALSE)*crew_factor</f>
        <v/>
      </c>
      <c r="AA297" s="49">
        <f>VLOOKUP(B297,country_opex,5,FALSE)</f>
        <v/>
      </c>
      <c r="AB297" s="49">
        <f>maint</f>
        <v/>
      </c>
      <c r="AC297" s="49">
        <f>VLOOKUP(B297,country_opex,7,FALSE)*ins_pct</f>
        <v/>
      </c>
      <c r="AD297" s="49">
        <f>charge_berth</f>
        <v/>
      </c>
      <c r="AE297" s="49">
        <f>Y297+Z297+AA297+AB297+AC297+AD297</f>
        <v/>
      </c>
      <c r="AF297" s="49">
        <f>VLOOKUP(B297,country_opex,7,FALSE)/dep_years</f>
        <v/>
      </c>
      <c r="AG297" s="49">
        <f>X297-AE297</f>
        <v/>
      </c>
      <c r="AH297" s="46">
        <f>IF(X297=0,"",AG297/X297)</f>
        <v/>
      </c>
      <c r="AI297" s="47">
        <f>IF(AG297&lt;=0,"",VLOOKUP(B297,country_opex,7,FALSE)/AG297)</f>
        <v/>
      </c>
      <c r="AJ297" s="44">
        <f>((G297*S297/diesel_nmpg)*diesel_co2pg-(battery/range_nm)*G297*S297*VLOOKUP(B297,country_opex,4,FALSE))/1000</f>
        <v/>
      </c>
      <c r="AK297" s="42" t="n"/>
      <c r="AL297" s="43" t="n"/>
      <c r="AM297" s="43" t="n"/>
      <c r="AN297" s="50" t="n">
        <v>0.1</v>
      </c>
      <c r="AO297" s="45">
        <f>IF(AK297="","",AK297*AN297)</f>
        <v/>
      </c>
      <c r="AP297" s="45">
        <f>IF(OR(AK297="",V297=0),"",MIN(IF(AX297="",9.9E+99,AX297),FLOOR(AO297/V297,1)))</f>
        <v/>
      </c>
      <c r="AQ297" s="49">
        <f>IF(AP297="","",AP297*IF(ABS(MOD(ABS((X297)),1)-0.5)&lt;1E-9,2*ROUND((X297)/2,0),ROUND((X297),0)))</f>
        <v/>
      </c>
      <c r="AR297" s="47">
        <f>IF(OR(AK297="",V297=0),"",MIN(IF(AX297="",9.9E+99,AX297),AO297/V297))</f>
        <v/>
      </c>
      <c r="AS297" s="49">
        <f>IF(AR297="","",AR297*IF(B297="South Korea",IF(ABS(MOD(ABS((X297)),1)-0.5)&lt;1E-9,2*ROUND((X297)/2,0),ROUND((X297),0)),X297))</f>
        <v/>
      </c>
      <c r="AT297" s="51" t="n"/>
      <c r="AU297" s="43" t="inlineStr">
        <is>
          <t>Estimated</t>
        </is>
      </c>
      <c r="AV297" s="52" t="n"/>
      <c r="AW297" s="52" t="n"/>
      <c r="AX297" s="53" t="n"/>
      <c r="AY297" s="54">
        <f>IF(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&lt;=0,"",VLOOKUP(B297,country_opex,7,FALSE)/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)</f>
        <v/>
      </c>
      <c r="AZ297" s="54">
        <f>IF(((W297*pax_cap*IF(B297="South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Korea",korea_mid_revleg,revleg_mid)),0))*VLOOKUP(B297,country_opex,3,FALSE))+Z297+AA297+AB297+AC297+AD297))&lt;=0,"",VLOOKUP(B297,country_opex,7,FALSE)/((W297*pax_cap*IF(B297="South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Korea",korea_mid_revleg,revleg_mid)),0))*VLOOKUP(B297,country_opex,3,FALSE))+Z297+AA297+AB297+AC297+AD297)))</f>
        <v/>
      </c>
      <c r="BA297" s="54">
        <f>IF(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&lt;=0,"",VLOOKUP(B297,country_opex,7,FALSE)/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)</f>
        <v/>
      </c>
      <c r="BB297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C297" s="40" t="n"/>
      <c r="BD297" s="43" t="n"/>
    </row>
    <row r="298">
      <c r="A298" s="38" t="inlineStr">
        <is>
          <t>Bolt Israel</t>
        </is>
      </c>
      <c r="B298" s="38" t="inlineStr">
        <is>
          <t>Israel</t>
        </is>
      </c>
      <c r="C298" s="39" t="inlineStr">
        <is>
          <t>Tel Aviv → Jaffa (Old Jaffa Port)</t>
        </is>
      </c>
      <c r="D298" s="38" t="inlineStr">
        <is>
          <t>bolt</t>
        </is>
      </c>
      <c r="E298" s="40" t="inlineStr">
        <is>
          <t>bolt-israel</t>
        </is>
      </c>
      <c r="F298" s="41" t="n">
        <v>1</v>
      </c>
      <c r="G298" s="42" t="n">
        <v>2.2</v>
      </c>
      <c r="H298" s="35" t="n">
        <v>130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IF(B298="South Korea",G298/korea_charge_range_nm*korea_full_range_charge_min,0)</f>
        <v/>
      </c>
      <c r="N298" s="44">
        <f>IF(B298="South Korea",L298+korea_turn_min+korea_dwell_min+M298,L298+turn_min+dwell_min)</f>
        <v/>
      </c>
      <c r="O298" s="45">
        <f>IF(B298="South Korea",FLOOR(60*korea_service_hr/N298,1),MIN(24,FLOOR(60*service_hr/N298,1)))</f>
        <v/>
      </c>
      <c r="P298" s="45">
        <f>IF(ABS(MOD(ABS((365*mech_uptime*K298)),1)-0.5)&lt;1E-9,2*ROUND((365*mech_uptime*K298)/2,0),ROUND((365*mech_uptime*K298),0))</f>
        <v/>
      </c>
      <c r="Q298" s="46">
        <f>mech_uptime</f>
        <v/>
      </c>
      <c r="R298" s="46">
        <f>IF(AND(B298="South Korea",scenario="MID"),korea_mid_revleg,revleg_sel)</f>
        <v/>
      </c>
      <c r="S298" s="45">
        <f>IF(ABS(MOD(ABS((O298*P298*R298)),1)-0.5)&lt;1E-9,2*ROUND((O298*P298*R298)/2,0),ROUND((O298*P298*R298),0))</f>
        <v/>
      </c>
      <c r="T298" s="46">
        <f>IF(AND(B298="South Korea",scenario="MID"),korea_mid_load,load_sel)</f>
        <v/>
      </c>
      <c r="U298" s="47">
        <f>pax_cap*T298</f>
        <v/>
      </c>
      <c r="V298" s="45">
        <f>U298*S298</f>
        <v/>
      </c>
      <c r="W298" s="48">
        <f>H298*discount</f>
        <v/>
      </c>
      <c r="X298" s="49">
        <f>W298*V298</f>
        <v/>
      </c>
      <c r="Y298" s="49">
        <f>(battery/range_nm)*G298*S298*VLOOKUP(B298,country_opex,3,FALSE)</f>
        <v/>
      </c>
      <c r="Z298" s="49">
        <f>VLOOKUP(B298,country_opex,2,FALSE)*crew_factor</f>
        <v/>
      </c>
      <c r="AA298" s="49">
        <f>VLOOKUP(B298,country_opex,5,FALSE)</f>
        <v/>
      </c>
      <c r="AB298" s="49">
        <f>maint</f>
        <v/>
      </c>
      <c r="AC298" s="49">
        <f>VLOOKUP(B298,country_opex,7,FALSE)*ins_pct</f>
        <v/>
      </c>
      <c r="AD298" s="49">
        <f>charge_berth</f>
        <v/>
      </c>
      <c r="AE298" s="49">
        <f>Y298+Z298+AA298+AB298+AC298+AD298</f>
        <v/>
      </c>
      <c r="AF298" s="49">
        <f>VLOOKUP(B298,country_opex,7,FALSE)/dep_years</f>
        <v/>
      </c>
      <c r="AG298" s="49">
        <f>X298-AE298</f>
        <v/>
      </c>
      <c r="AH298" s="46">
        <f>IF(X298=0,"",AG298/X298)</f>
        <v/>
      </c>
      <c r="AI298" s="47">
        <f>IF(AG298&lt;=0,"",VLOOKUP(B298,country_opex,7,FALSE)/AG298)</f>
        <v/>
      </c>
      <c r="AJ298" s="44">
        <f>((G298*S298/diesel_nmpg)*diesel_co2pg-(battery/range_nm)*G298*S298*VLOOKUP(B298,country_opex,4,FALSE))/1000</f>
        <v/>
      </c>
      <c r="AK298" s="42" t="n"/>
      <c r="AL298" s="43" t="n"/>
      <c r="AM298" s="43" t="n"/>
      <c r="AN298" s="50" t="n">
        <v>0.1</v>
      </c>
      <c r="AO298" s="45">
        <f>IF(AK298="","",AK298*AN298)</f>
        <v/>
      </c>
      <c r="AP298" s="45">
        <f>IF(OR(AK298="",V298=0),"",MIN(IF(AX298="",9.9E+99,AX298),FLOOR(AO298/V298,1)))</f>
        <v/>
      </c>
      <c r="AQ298" s="49">
        <f>IF(AP298="","",AP298*IF(ABS(MOD(ABS((X298)),1)-0.5)&lt;1E-9,2*ROUND((X298)/2,0),ROUND((X298),0)))</f>
        <v/>
      </c>
      <c r="AR298" s="47">
        <f>IF(OR(AK298="",V298=0),"",MIN(IF(AX298="",9.9E+99,AX298),AO298/V298))</f>
        <v/>
      </c>
      <c r="AS298" s="49">
        <f>IF(AR298="","",AR298*IF(B298="South Korea",IF(ABS(MOD(ABS((X298)),1)-0.5)&lt;1E-9,2*ROUND((X298)/2,0),ROUND((X298),0)),X298))</f>
        <v/>
      </c>
      <c r="AT298" s="51" t="n"/>
      <c r="AU298" s="43" t="inlineStr">
        <is>
          <t>Estimated</t>
        </is>
      </c>
      <c r="AV298" s="52" t="n"/>
      <c r="AW298" s="52" t="n"/>
      <c r="AX298" s="53" t="n"/>
      <c r="AY298" s="54">
        <f>IF(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&lt;=0,"",VLOOKUP(B298,country_opex,7,FALSE)/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)</f>
        <v/>
      </c>
      <c r="AZ298" s="54">
        <f>IF(((W298*pax_cap*IF(B298="South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Korea",korea_mid_revleg,revleg_mid)),0))*VLOOKUP(B298,country_opex,3,FALSE))+Z298+AA298+AB298+AC298+AD298))&lt;=0,"",VLOOKUP(B298,country_opex,7,FALSE)/((W298*pax_cap*IF(B298="South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Korea",korea_mid_revleg,revleg_mid)),0))*VLOOKUP(B298,country_opex,3,FALSE))+Z298+AA298+AB298+AC298+AD298)))</f>
        <v/>
      </c>
      <c r="BA298" s="54">
        <f>IF(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&lt;=0,"",VLOOKUP(B298,country_opex,7,FALSE)/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)</f>
        <v/>
      </c>
      <c r="BB298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C298" s="40" t="n"/>
      <c r="BD298" s="43" t="n"/>
    </row>
    <row r="299">
      <c r="A299" s="38" t="inlineStr">
        <is>
          <t>Bolt Israel</t>
        </is>
      </c>
      <c r="B299" s="38" t="inlineStr">
        <is>
          <t>Israel</t>
        </is>
      </c>
      <c r="C299" s="39" t="inlineStr">
        <is>
          <t>Haifa → Akko (Acre)</t>
        </is>
      </c>
      <c r="D299" s="38" t="inlineStr">
        <is>
          <t>bolt</t>
        </is>
      </c>
      <c r="E299" s="40" t="inlineStr">
        <is>
          <t>bolt-israel</t>
        </is>
      </c>
      <c r="F299" s="41" t="n">
        <v>1</v>
      </c>
      <c r="G299" s="42" t="n">
        <v>6.8</v>
      </c>
      <c r="H299" s="35" t="n">
        <v>11</v>
      </c>
      <c r="I299" s="43" t="inlineStr">
        <is>
          <t>T2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IF(B299="South Korea",G299/korea_charge_range_nm*korea_full_range_charge_min,0)</f>
        <v/>
      </c>
      <c r="N299" s="44">
        <f>IF(B299="South Korea",L299+korea_turn_min+korea_dwell_min+M299,L299+turn_min+dwell_min)</f>
        <v/>
      </c>
      <c r="O299" s="45">
        <f>IF(B299="South Korea",FLOOR(60*korea_service_hr/N299,1),MIN(15,FLOOR(60*service_hr/N299,1)))</f>
        <v/>
      </c>
      <c r="P299" s="45">
        <f>IF(ABS(MOD(ABS((365*mech_uptime*K299)),1)-0.5)&lt;1E-9,2*ROUND((365*mech_uptime*K299)/2,0),ROUND((365*mech_uptime*K299),0))</f>
        <v/>
      </c>
      <c r="Q299" s="46">
        <f>mech_uptime</f>
        <v/>
      </c>
      <c r="R299" s="46">
        <f>IF(AND(B299="South Korea",scenario="MID"),korea_mid_revleg,revleg_sel)</f>
        <v/>
      </c>
      <c r="S299" s="45">
        <f>IF(ABS(MOD(ABS((O299*P299*R299)),1)-0.5)&lt;1E-9,2*ROUND((O299*P299*R299)/2,0),ROUND((O299*P299*R299),0))</f>
        <v/>
      </c>
      <c r="T299" s="46">
        <f>IF(AND(B299="South Korea",scenario="MID"),korea_mid_load,load_sel)</f>
        <v/>
      </c>
      <c r="U299" s="47">
        <f>pax_cap*T299</f>
        <v/>
      </c>
      <c r="V299" s="45">
        <f>U299*S299</f>
        <v/>
      </c>
      <c r="W299" s="48">
        <f>H299*discount</f>
        <v/>
      </c>
      <c r="X299" s="49">
        <f>W299*V299</f>
        <v/>
      </c>
      <c r="Y299" s="49">
        <f>(battery/range_nm)*G299*S299*VLOOKUP(B299,country_opex,3,FALSE)</f>
        <v/>
      </c>
      <c r="Z299" s="49">
        <f>VLOOKUP(B299,country_opex,2,FALSE)*crew_factor</f>
        <v/>
      </c>
      <c r="AA299" s="49">
        <f>VLOOKUP(B299,country_opex,5,FALSE)</f>
        <v/>
      </c>
      <c r="AB299" s="49">
        <f>maint</f>
        <v/>
      </c>
      <c r="AC299" s="49">
        <f>VLOOKUP(B299,country_opex,7,FALSE)*ins_pct</f>
        <v/>
      </c>
      <c r="AD299" s="49">
        <f>charge_berth</f>
        <v/>
      </c>
      <c r="AE299" s="49">
        <f>Y299+Z299+AA299+AB299+AC299+AD299</f>
        <v/>
      </c>
      <c r="AF299" s="49">
        <f>VLOOKUP(B299,country_opex,7,FALSE)/dep_years</f>
        <v/>
      </c>
      <c r="AG299" s="49">
        <f>X299-AE299</f>
        <v/>
      </c>
      <c r="AH299" s="46">
        <f>IF(X299=0,"",AG299/X299)</f>
        <v/>
      </c>
      <c r="AI299" s="47">
        <f>IF(AG299&lt;=0,"",VLOOKUP(B299,country_opex,7,FALSE)/AG299)</f>
        <v/>
      </c>
      <c r="AJ299" s="44">
        <f>((G299*S299/diesel_nmpg)*diesel_co2pg-(battery/range_nm)*G299*S299*VLOOKUP(B299,country_opex,4,FALSE))/1000</f>
        <v/>
      </c>
      <c r="AK299" s="42" t="n">
        <v>1500000</v>
      </c>
      <c r="AL299" s="43" t="n"/>
      <c r="AM299" s="43" t="n"/>
      <c r="AN299" s="50" t="n">
        <v>0.1</v>
      </c>
      <c r="AO299" s="45">
        <f>IF(AK299="","",AK299*AN299)</f>
        <v/>
      </c>
      <c r="AP299" s="45">
        <f>IF(OR(AK299="",V299=0),"",MIN(IF(AX299="",9.9E+99,AX299),FLOOR(AO299/V299,1)))</f>
        <v/>
      </c>
      <c r="AQ299" s="49">
        <f>IF(AP299="","",AP299*IF(ABS(MOD(ABS((X299)),1)-0.5)&lt;1E-9,2*ROUND((X299)/2,0),ROUND((X299),0)))</f>
        <v/>
      </c>
      <c r="AR299" s="47">
        <f>IF(OR(AK299="",V299=0),"",MIN(IF(AX299="",9.9E+99,AX299),AO299/V299))</f>
        <v/>
      </c>
      <c r="AS299" s="49">
        <f>IF(AR299="","",AR299*IF(B299="South Korea",IF(ABS(MOD(ABS((X299)),1)-0.5)&lt;1E-9,2*ROUND((X299)/2,0),ROUND((X299),0)),X299))</f>
        <v/>
      </c>
      <c r="AT299" s="51" t="n"/>
      <c r="AU299" s="43" t="inlineStr">
        <is>
          <t>Grounded</t>
        </is>
      </c>
      <c r="AV299" s="52" t="n"/>
      <c r="AW299" s="52" t="n"/>
      <c r="AX299" s="53" t="n"/>
      <c r="AY299" s="54">
        <f>IF(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&lt;=0,"",VLOOKUP(B299,country_opex,7,FALSE)/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)</f>
        <v/>
      </c>
      <c r="AZ299" s="54">
        <f>IF(((W299*pax_cap*IF(B299="South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Korea",korea_mid_revleg,revleg_mid)),0))*VLOOKUP(B299,country_opex,3,FALSE))+Z299+AA299+AB299+AC299+AD299))&lt;=0,"",VLOOKUP(B299,country_opex,7,FALSE)/((W299*pax_cap*IF(B299="South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Korea",korea_mid_revleg,revleg_mid)),0))*VLOOKUP(B299,country_opex,3,FALSE))+Z299+AA299+AB299+AC299+AD299)))</f>
        <v/>
      </c>
      <c r="BA299" s="54">
        <f>IF(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&lt;=0,"",VLOOKUP(B299,country_opex,7,FALSE)/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)</f>
        <v/>
      </c>
      <c r="BB299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C299" s="40" t="n"/>
      <c r="BD299" s="43" t="n"/>
    </row>
    <row r="300">
      <c r="A300" s="38" t="inlineStr">
        <is>
          <t>Bolt Israel</t>
        </is>
      </c>
      <c r="B300" s="38" t="inlineStr">
        <is>
          <t>Israel</t>
        </is>
      </c>
      <c r="C300" s="39" t="inlineStr">
        <is>
          <t>Tel Aviv Marina → Herzliya Marina</t>
        </is>
      </c>
      <c r="D300" s="38" t="inlineStr">
        <is>
          <t>bolt</t>
        </is>
      </c>
      <c r="E300" s="40" t="inlineStr">
        <is>
          <t>bolt-israel</t>
        </is>
      </c>
      <c r="F300" s="41" t="n">
        <v>1</v>
      </c>
      <c r="G300" s="42" t="n">
        <v>7</v>
      </c>
      <c r="H300" s="35" t="n">
        <v>130</v>
      </c>
      <c r="I300" s="43" t="inlineStr">
        <is>
          <t>T2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IF(B300="South Korea",G300/korea_charge_range_nm*korea_full_range_charge_min,0)</f>
        <v/>
      </c>
      <c r="N300" s="44">
        <f>IF(B300="South Korea",L300+korea_turn_min+korea_dwell_min+M300,L300+turn_min+dwell_min)</f>
        <v/>
      </c>
      <c r="O300" s="45">
        <f>IF(B300="South Korea",FLOOR(60*korea_service_hr/N300,1),MIN(15,FLOOR(60*service_hr/N300,1)))</f>
        <v/>
      </c>
      <c r="P300" s="45">
        <f>IF(ABS(MOD(ABS((365*mech_uptime*K300)),1)-0.5)&lt;1E-9,2*ROUND((365*mech_uptime*K300)/2,0),ROUND((365*mech_uptime*K300),0))</f>
        <v/>
      </c>
      <c r="Q300" s="46">
        <f>mech_uptime</f>
        <v/>
      </c>
      <c r="R300" s="46">
        <f>IF(AND(B300="South Korea",scenario="MID"),korea_mid_revleg,revleg_sel)</f>
        <v/>
      </c>
      <c r="S300" s="45">
        <f>IF(ABS(MOD(ABS((O300*P300*R300)),1)-0.5)&lt;1E-9,2*ROUND((O300*P300*R300)/2,0),ROUND((O300*P300*R300),0))</f>
        <v/>
      </c>
      <c r="T300" s="46">
        <f>IF(AND(B300="South Korea",scenario="MID"),korea_mid_load,load_sel)</f>
        <v/>
      </c>
      <c r="U300" s="47">
        <f>pax_cap*T300</f>
        <v/>
      </c>
      <c r="V300" s="45">
        <f>U300*S300</f>
        <v/>
      </c>
      <c r="W300" s="48">
        <f>H300*discount</f>
        <v/>
      </c>
      <c r="X300" s="49">
        <f>W300*V300</f>
        <v/>
      </c>
      <c r="Y300" s="49">
        <f>(battery/range_nm)*G300*S300*VLOOKUP(B300,country_opex,3,FALSE)</f>
        <v/>
      </c>
      <c r="Z300" s="49">
        <f>VLOOKUP(B300,country_opex,2,FALSE)*crew_factor</f>
        <v/>
      </c>
      <c r="AA300" s="49">
        <f>VLOOKUP(B300,country_opex,5,FALSE)</f>
        <v/>
      </c>
      <c r="AB300" s="49">
        <f>maint</f>
        <v/>
      </c>
      <c r="AC300" s="49">
        <f>VLOOKUP(B300,country_opex,7,FALSE)*ins_pct</f>
        <v/>
      </c>
      <c r="AD300" s="49">
        <f>charge_berth</f>
        <v/>
      </c>
      <c r="AE300" s="49">
        <f>Y300+Z300+AA300+AB300+AC300+AD300</f>
        <v/>
      </c>
      <c r="AF300" s="49">
        <f>VLOOKUP(B300,country_opex,7,FALSE)/dep_years</f>
        <v/>
      </c>
      <c r="AG300" s="49">
        <f>X300-AE300</f>
        <v/>
      </c>
      <c r="AH300" s="46">
        <f>IF(X300=0,"",AG300/X300)</f>
        <v/>
      </c>
      <c r="AI300" s="47">
        <f>IF(AG300&lt;=0,"",VLOOKUP(B300,country_opex,7,FALSE)/AG300)</f>
        <v/>
      </c>
      <c r="AJ300" s="44">
        <f>((G300*S300/diesel_nmpg)*diesel_co2pg-(battery/range_nm)*G300*S300*VLOOKUP(B300,country_opex,4,FALSE))/1000</f>
        <v/>
      </c>
      <c r="AK300" s="42" t="n">
        <v>234753</v>
      </c>
      <c r="AL300" s="43" t="n"/>
      <c r="AM300" s="43" t="n"/>
      <c r="AN300" s="50" t="n">
        <v>0.1</v>
      </c>
      <c r="AO300" s="45">
        <f>IF(AK300="","",AK300*AN300)</f>
        <v/>
      </c>
      <c r="AP300" s="45">
        <f>IF(OR(AK300="",V300=0),"",MIN(IF(AX300="",9.9E+99,AX300),FLOOR(AO300/V300,1)))</f>
        <v/>
      </c>
      <c r="AQ300" s="49">
        <f>IF(AP300="","",AP300*IF(ABS(MOD(ABS((X300)),1)-0.5)&lt;1E-9,2*ROUND((X300)/2,0),ROUND((X300),0)))</f>
        <v/>
      </c>
      <c r="AR300" s="47">
        <f>IF(OR(AK300="",V300=0),"",MIN(IF(AX300="",9.9E+99,AX300),AO300/V300))</f>
        <v/>
      </c>
      <c r="AS300" s="49">
        <f>IF(AR300="","",AR300*IF(B300="South Korea",IF(ABS(MOD(ABS((X300)),1)-0.5)&lt;1E-9,2*ROUND((X300)/2,0),ROUND((X300),0)),X300))</f>
        <v/>
      </c>
      <c r="AT300" s="51" t="n"/>
      <c r="AU300" s="43" t="inlineStr">
        <is>
          <t>Grounded</t>
        </is>
      </c>
      <c r="AV300" s="52" t="n"/>
      <c r="AW300" s="52" t="n"/>
      <c r="AX300" s="53" t="n"/>
      <c r="AY300" s="54">
        <f>IF(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&lt;=0,"",VLOOKUP(B300,country_opex,7,FALSE)/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)</f>
        <v/>
      </c>
      <c r="AZ300" s="54">
        <f>IF(((W300*pax_cap*IF(B300="South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Korea",korea_mid_revleg,revleg_mid)),0))*VLOOKUP(B300,country_opex,3,FALSE))+Z300+AA300+AB300+AC300+AD300))&lt;=0,"",VLOOKUP(B300,country_opex,7,FALSE)/((W300*pax_cap*IF(B300="South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Korea",korea_mid_revleg,revleg_mid)),0))*VLOOKUP(B300,country_opex,3,FALSE))+Z300+AA300+AB300+AC300+AD300)))</f>
        <v/>
      </c>
      <c r="BA300" s="54">
        <f>IF(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&lt;=0,"",VLOOKUP(B300,country_opex,7,FALSE)/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)</f>
        <v/>
      </c>
      <c r="BB300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C300" s="40" t="n"/>
      <c r="BD300" s="43" t="n"/>
    </row>
    <row r="301">
      <c r="A301" s="38" t="inlineStr">
        <is>
          <t>Bolt Israel</t>
        </is>
      </c>
      <c r="B301" s="38" t="inlineStr">
        <is>
          <t>Israel</t>
        </is>
      </c>
      <c r="C301" s="39" t="inlineStr">
        <is>
          <t>Herzliya → Netanya</t>
        </is>
      </c>
      <c r="D301" s="38" t="inlineStr">
        <is>
          <t>bolt</t>
        </is>
      </c>
      <c r="E301" s="40" t="inlineStr">
        <is>
          <t>bolt-israel</t>
        </is>
      </c>
      <c r="F301" s="41" t="n">
        <v>1</v>
      </c>
      <c r="G301" s="42" t="n">
        <v>10.4</v>
      </c>
      <c r="H301" s="35" t="n">
        <v>130</v>
      </c>
      <c r="I301" s="43" t="inlineStr">
        <is>
          <t>T2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IF(B301="South Korea",G301/korea_charge_range_nm*korea_full_range_charge_min,0)</f>
        <v/>
      </c>
      <c r="N301" s="44">
        <f>IF(B301="South Korea",L301+korea_turn_min+korea_dwell_min+M301,L301+turn_min+dwell_min)</f>
        <v/>
      </c>
      <c r="O301" s="45">
        <f>IF(B301="South Korea",FLOOR(60*korea_service_hr/N301,1),MIN(24,FLOOR(60*service_hr/N301,1)))</f>
        <v/>
      </c>
      <c r="P301" s="45">
        <f>IF(ABS(MOD(ABS((365*mech_uptime*K301)),1)-0.5)&lt;1E-9,2*ROUND((365*mech_uptime*K301)/2,0),ROUND((365*mech_uptime*K301),0))</f>
        <v/>
      </c>
      <c r="Q301" s="46">
        <f>mech_uptime</f>
        <v/>
      </c>
      <c r="R301" s="46">
        <f>IF(AND(B301="South Korea",scenario="MID"),korea_mid_revleg,revleg_sel)</f>
        <v/>
      </c>
      <c r="S301" s="45">
        <f>IF(ABS(MOD(ABS((O301*P301*R301)),1)-0.5)&lt;1E-9,2*ROUND((O301*P301*R301)/2,0),ROUND((O301*P301*R301),0))</f>
        <v/>
      </c>
      <c r="T301" s="46">
        <f>IF(AND(B301="South Korea",scenario="MID"),korea_mid_load,load_sel)</f>
        <v/>
      </c>
      <c r="U301" s="47">
        <f>pax_cap*T301</f>
        <v/>
      </c>
      <c r="V301" s="45">
        <f>U301*S301</f>
        <v/>
      </c>
      <c r="W301" s="48">
        <f>H301*discount</f>
        <v/>
      </c>
      <c r="X301" s="49">
        <f>W301*V301</f>
        <v/>
      </c>
      <c r="Y301" s="49">
        <f>(battery/range_nm)*G301*S301*VLOOKUP(B301,country_opex,3,FALSE)</f>
        <v/>
      </c>
      <c r="Z301" s="49">
        <f>VLOOKUP(B301,country_opex,2,FALSE)*crew_factor</f>
        <v/>
      </c>
      <c r="AA301" s="49">
        <f>VLOOKUP(B301,country_opex,5,FALSE)</f>
        <v/>
      </c>
      <c r="AB301" s="49">
        <f>maint</f>
        <v/>
      </c>
      <c r="AC301" s="49">
        <f>VLOOKUP(B301,country_opex,7,FALSE)*ins_pct</f>
        <v/>
      </c>
      <c r="AD301" s="49">
        <f>charge_berth</f>
        <v/>
      </c>
      <c r="AE301" s="49">
        <f>Y301+Z301+AA301+AB301+AC301+AD301</f>
        <v/>
      </c>
      <c r="AF301" s="49">
        <f>VLOOKUP(B301,country_opex,7,FALSE)/dep_years</f>
        <v/>
      </c>
      <c r="AG301" s="49">
        <f>X301-AE301</f>
        <v/>
      </c>
      <c r="AH301" s="46">
        <f>IF(X301=0,"",AG301/X301)</f>
        <v/>
      </c>
      <c r="AI301" s="47">
        <f>IF(AG301&lt;=0,"",VLOOKUP(B301,country_opex,7,FALSE)/AG301)</f>
        <v/>
      </c>
      <c r="AJ301" s="44">
        <f>((G301*S301/diesel_nmpg)*diesel_co2pg-(battery/range_nm)*G301*S301*VLOOKUP(B301,country_opex,4,FALSE))/1000</f>
        <v/>
      </c>
      <c r="AK301" s="42" t="n"/>
      <c r="AL301" s="43" t="n"/>
      <c r="AM301" s="43" t="n"/>
      <c r="AN301" s="50" t="n">
        <v>0.1</v>
      </c>
      <c r="AO301" s="45">
        <f>IF(AK301="","",AK301*AN301)</f>
        <v/>
      </c>
      <c r="AP301" s="45">
        <f>IF(OR(AK301="",V301=0),"",MIN(IF(AX301="",9.9E+99,AX301),FLOOR(AO301/V301,1)))</f>
        <v/>
      </c>
      <c r="AQ301" s="49">
        <f>IF(AP301="","",AP301*IF(ABS(MOD(ABS((X301)),1)-0.5)&lt;1E-9,2*ROUND((X301)/2,0),ROUND((X301),0)))</f>
        <v/>
      </c>
      <c r="AR301" s="47">
        <f>IF(OR(AK301="",V301=0),"",MIN(IF(AX301="",9.9E+99,AX301),AO301/V301))</f>
        <v/>
      </c>
      <c r="AS301" s="49">
        <f>IF(AR301="","",AR301*IF(B301="South Korea",IF(ABS(MOD(ABS((X301)),1)-0.5)&lt;1E-9,2*ROUND((X301)/2,0),ROUND((X301),0)),X301))</f>
        <v/>
      </c>
      <c r="AT301" s="51" t="n"/>
      <c r="AU301" s="43" t="inlineStr">
        <is>
          <t>Estimated</t>
        </is>
      </c>
      <c r="AV301" s="52" t="n"/>
      <c r="AW301" s="52" t="n"/>
      <c r="AX301" s="53" t="n"/>
      <c r="AY301" s="54">
        <f>IF(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&lt;=0,"",VLOOKUP(B301,country_opex,7,FALSE)/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)</f>
        <v/>
      </c>
      <c r="AZ301" s="54">
        <f>IF(((W301*pax_cap*IF(B301="South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Korea",korea_mid_revleg,revleg_mid)),0))*VLOOKUP(B301,country_opex,3,FALSE))+Z301+AA301+AB301+AC301+AD301))&lt;=0,"",VLOOKUP(B301,country_opex,7,FALSE)/((W301*pax_cap*IF(B301="South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Korea",korea_mid_revleg,revleg_mid)),0))*VLOOKUP(B301,country_opex,3,FALSE))+Z301+AA301+AB301+AC301+AD301)))</f>
        <v/>
      </c>
      <c r="BA301" s="54">
        <f>IF(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&lt;=0,"",VLOOKUP(B301,country_opex,7,FALSE)/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)</f>
        <v/>
      </c>
      <c r="BB301" s="40" t="inlineStr">
        <is>
          <t>PREMIUM/excursion proxy: Tel Aviv-area shared skyline cruise ~$130/person (GetYourGuide, 2026); no scheduled service on this leg.</t>
        </is>
      </c>
      <c r="BC301" s="40" t="n"/>
      <c r="BD301" s="43" t="n"/>
    </row>
    <row r="302">
      <c r="A302" s="38" t="inlineStr">
        <is>
          <t>Bolt Israel</t>
        </is>
      </c>
      <c r="B302" s="38" t="inlineStr">
        <is>
          <t>Israel</t>
        </is>
      </c>
      <c r="C302" s="39" t="inlineStr">
        <is>
          <t>Ashdod → Ashkelon</t>
        </is>
      </c>
      <c r="D302" s="38" t="inlineStr">
        <is>
          <t>bolt</t>
        </is>
      </c>
      <c r="E302" s="40" t="inlineStr">
        <is>
          <t>bolt-israel</t>
        </is>
      </c>
      <c r="F302" s="41" t="n">
        <v>1</v>
      </c>
      <c r="G302" s="42" t="n">
        <v>10.4</v>
      </c>
      <c r="H302" s="35" t="n"/>
      <c r="I302" s="43" t="n"/>
      <c r="J302" s="43" t="n"/>
      <c r="K302" s="29" t="n">
        <v>1</v>
      </c>
      <c r="L302" s="44">
        <f>60*G302/cruise_kt</f>
        <v/>
      </c>
      <c r="M302" s="44">
        <f>IF(B302="South Korea",G302/korea_charge_range_nm*korea_full_range_charge_min,0)</f>
        <v/>
      </c>
      <c r="N302" s="44">
        <f>IF(B302="South Korea",L302+korea_turn_min+korea_dwell_min+M302,L302+turn_min+dwell_min)</f>
        <v/>
      </c>
      <c r="O302" s="45">
        <f>IF(B302="South Korea",FLOOR(60*korea_service_hr/N302,1),MIN(24,FLOOR(60*service_hr/N302,1)))</f>
        <v/>
      </c>
      <c r="P302" s="45">
        <f>IF(ABS(MOD(ABS((365*mech_uptime*K302)),1)-0.5)&lt;1E-9,2*ROUND((365*mech_uptime*K302)/2,0),ROUND((365*mech_uptime*K302),0))</f>
        <v/>
      </c>
      <c r="Q302" s="46">
        <f>mech_uptime</f>
        <v/>
      </c>
      <c r="R302" s="46">
        <f>IF(AND(B302="South Korea",scenario="MID"),korea_mid_revleg,revleg_sel)</f>
        <v/>
      </c>
      <c r="S302" s="45">
        <f>IF(ABS(MOD(ABS((O302*P302*R302)),1)-0.5)&lt;1E-9,2*ROUND((O302*P302*R302)/2,0),ROUND((O302*P302*R302),0))</f>
        <v/>
      </c>
      <c r="T302" s="46">
        <f>IF(AND(B302="South Korea",scenario="MID"),korea_mid_load,load_sel)</f>
        <v/>
      </c>
      <c r="U302" s="47">
        <f>pax_cap*T302</f>
        <v/>
      </c>
      <c r="V302" s="45">
        <f>U302*S302</f>
        <v/>
      </c>
      <c r="W302" s="48">
        <f>H302*discount</f>
        <v/>
      </c>
      <c r="X302" s="49">
        <f>W302*V302</f>
        <v/>
      </c>
      <c r="Y302" s="49">
        <f>(battery/range_nm)*G302*S302*VLOOKUP(B302,country_opex,3,FALSE)</f>
        <v/>
      </c>
      <c r="Z302" s="49">
        <f>VLOOKUP(B302,country_opex,2,FALSE)*crew_factor</f>
        <v/>
      </c>
      <c r="AA302" s="49">
        <f>VLOOKUP(B302,country_opex,5,FALSE)</f>
        <v/>
      </c>
      <c r="AB302" s="49">
        <f>maint</f>
        <v/>
      </c>
      <c r="AC302" s="49">
        <f>VLOOKUP(B302,country_opex,7,FALSE)*ins_pct</f>
        <v/>
      </c>
      <c r="AD302" s="49">
        <f>charge_berth</f>
        <v/>
      </c>
      <c r="AE302" s="49">
        <f>Y302+Z302+AA302+AB302+AC302+AD302</f>
        <v/>
      </c>
      <c r="AF302" s="49">
        <f>VLOOKUP(B302,country_opex,7,FALSE)/dep_years</f>
        <v/>
      </c>
      <c r="AG302" s="49">
        <f>X302-AE302</f>
        <v/>
      </c>
      <c r="AH302" s="46">
        <f>IF(X302=0,"",AG302/X302)</f>
        <v/>
      </c>
      <c r="AI302" s="47">
        <f>IF(AG302&lt;=0,"",VLOOKUP(B302,country_opex,7,FALSE)/AG302)</f>
        <v/>
      </c>
      <c r="AJ302" s="44">
        <f>((G302*S302/diesel_nmpg)*diesel_co2pg-(battery/range_nm)*G302*S302*VLOOKUP(B302,country_opex,4,FALSE))/1000</f>
        <v/>
      </c>
      <c r="AK302" s="42" t="n">
        <v>142310</v>
      </c>
      <c r="AL302" s="43" t="n"/>
      <c r="AM302" s="43" t="n"/>
      <c r="AN302" s="50" t="n">
        <v>0.1</v>
      </c>
      <c r="AO302" s="45">
        <f>IF(AK302="","",AK302*AN302)</f>
        <v/>
      </c>
      <c r="AP302" s="45">
        <f>IF(OR(AK302="",V302=0),"",MIN(IF(AX302="",9.9E+99,AX302),FLOOR(AO302/V302,1)))</f>
        <v/>
      </c>
      <c r="AQ302" s="49">
        <f>IF(AP302="","",AP302*IF(ABS(MOD(ABS((X302)),1)-0.5)&lt;1E-9,2*ROUND((X302)/2,0),ROUND((X302),0)))</f>
        <v/>
      </c>
      <c r="AR302" s="47">
        <f>IF(OR(AK302="",V302=0),"",MIN(IF(AX302="",9.9E+99,AX302),AO302/V302))</f>
        <v/>
      </c>
      <c r="AS302" s="49">
        <f>IF(AR302="","",AR302*IF(B302="South Korea",IF(ABS(MOD(ABS((X302)),1)-0.5)&lt;1E-9,2*ROUND((X302)/2,0),ROUND((X302),0)),X302))</f>
        <v/>
      </c>
      <c r="AT302" s="51" t="n"/>
      <c r="AU302" s="43" t="inlineStr">
        <is>
          <t>Estimated</t>
        </is>
      </c>
      <c r="AV302" s="52" t="n"/>
      <c r="AW302" s="52" t="n"/>
      <c r="AX302" s="53" t="n"/>
      <c r="AY302" s="54">
        <f>IF(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&lt;=0,"",VLOOKUP(B302,country_opex,7,FALSE)/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)</f>
        <v/>
      </c>
      <c r="AZ302" s="54">
        <f>IF(((W302*pax_cap*IF(B302="South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Korea",korea_mid_revleg,revleg_mid)),0))*VLOOKUP(B302,country_opex,3,FALSE))+Z302+AA302+AB302+AC302+AD302))&lt;=0,"",VLOOKUP(B302,country_opex,7,FALSE)/((W302*pax_cap*IF(B302="South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Korea",korea_mid_revleg,revleg_mid)),0))*VLOOKUP(B302,country_opex,3,FALSE))+Z302+AA302+AB302+AC302+AD302)))</f>
        <v/>
      </c>
      <c r="BA302" s="54">
        <f>IF(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&lt;=0,"",VLOOKUP(B302,country_opex,7,FALSE)/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)</f>
        <v/>
      </c>
      <c r="BB302" s="40" t="n"/>
      <c r="BC302" s="40" t="n"/>
      <c r="BD302" s="43" t="n"/>
    </row>
    <row r="303">
      <c r="A303" s="38" t="inlineStr">
        <is>
          <t>Bolt Israel</t>
        </is>
      </c>
      <c r="B303" s="38" t="inlineStr">
        <is>
          <t>Israel</t>
        </is>
      </c>
      <c r="C303" s="39" t="inlineStr">
        <is>
          <t>Tel Aviv → Netanya</t>
        </is>
      </c>
      <c r="D303" s="38" t="inlineStr">
        <is>
          <t>bolt</t>
        </is>
      </c>
      <c r="E303" s="40" t="inlineStr">
        <is>
          <t>bolt-israel</t>
        </is>
      </c>
      <c r="F303" s="41" t="n">
        <v>1</v>
      </c>
      <c r="G303" s="42" t="n">
        <v>15.1</v>
      </c>
      <c r="H303" s="35" t="n">
        <v>130</v>
      </c>
      <c r="I303" s="43" t="inlineStr">
        <is>
          <t>T2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IF(B303="South Korea",G303/korea_charge_range_nm*korea_full_range_charge_min,0)</f>
        <v/>
      </c>
      <c r="N303" s="44">
        <f>IF(B303="South Korea",L303+korea_turn_min+korea_dwell_min+M303,L303+turn_min+dwell_min)</f>
        <v/>
      </c>
      <c r="O303" s="45">
        <f>IF(B303="South Korea",FLOOR(60*korea_service_hr/N303,1),MIN(24,FLOOR(60*service_hr/N303,1)))</f>
        <v/>
      </c>
      <c r="P303" s="45">
        <f>IF(ABS(MOD(ABS((365*mech_uptime*K303)),1)-0.5)&lt;1E-9,2*ROUND((365*mech_uptime*K303)/2,0),ROUND((365*mech_uptime*K303),0))</f>
        <v/>
      </c>
      <c r="Q303" s="46">
        <f>mech_uptime</f>
        <v/>
      </c>
      <c r="R303" s="46">
        <f>IF(AND(B303="South Korea",scenario="MID"),korea_mid_revleg,revleg_sel)</f>
        <v/>
      </c>
      <c r="S303" s="45">
        <f>IF(ABS(MOD(ABS((O303*P303*R303)),1)-0.5)&lt;1E-9,2*ROUND((O303*P303*R303)/2,0),ROUND((O303*P303*R303),0))</f>
        <v/>
      </c>
      <c r="T303" s="46">
        <f>IF(AND(B303="South Korea",scenario="MID"),korea_mid_load,load_sel)</f>
        <v/>
      </c>
      <c r="U303" s="47">
        <f>pax_cap*T303</f>
        <v/>
      </c>
      <c r="V303" s="45">
        <f>U303*S303</f>
        <v/>
      </c>
      <c r="W303" s="48">
        <f>H303*discount</f>
        <v/>
      </c>
      <c r="X303" s="49">
        <f>W303*V303</f>
        <v/>
      </c>
      <c r="Y303" s="49">
        <f>(battery/range_nm)*G303*S303*VLOOKUP(B303,country_opex,3,FALSE)</f>
        <v/>
      </c>
      <c r="Z303" s="49">
        <f>VLOOKUP(B303,country_opex,2,FALSE)*crew_factor</f>
        <v/>
      </c>
      <c r="AA303" s="49">
        <f>VLOOKUP(B303,country_opex,5,FALSE)</f>
        <v/>
      </c>
      <c r="AB303" s="49">
        <f>maint</f>
        <v/>
      </c>
      <c r="AC303" s="49">
        <f>VLOOKUP(B303,country_opex,7,FALSE)*ins_pct</f>
        <v/>
      </c>
      <c r="AD303" s="49">
        <f>charge_berth</f>
        <v/>
      </c>
      <c r="AE303" s="49">
        <f>Y303+Z303+AA303+AB303+AC303+AD303</f>
        <v/>
      </c>
      <c r="AF303" s="49">
        <f>VLOOKUP(B303,country_opex,7,FALSE)/dep_years</f>
        <v/>
      </c>
      <c r="AG303" s="49">
        <f>X303-AE303</f>
        <v/>
      </c>
      <c r="AH303" s="46">
        <f>IF(X303=0,"",AG303/X303)</f>
        <v/>
      </c>
      <c r="AI303" s="47">
        <f>IF(AG303&lt;=0,"",VLOOKUP(B303,country_opex,7,FALSE)/AG303)</f>
        <v/>
      </c>
      <c r="AJ303" s="44">
        <f>((G303*S303/diesel_nmpg)*diesel_co2pg-(battery/range_nm)*G303*S303*VLOOKUP(B303,country_opex,4,FALSE))/1000</f>
        <v/>
      </c>
      <c r="AK303" s="42" t="n">
        <v>168015</v>
      </c>
      <c r="AL303" s="43" t="n"/>
      <c r="AM303" s="43" t="n"/>
      <c r="AN303" s="50" t="n">
        <v>0.1</v>
      </c>
      <c r="AO303" s="45">
        <f>IF(AK303="","",AK303*AN303)</f>
        <v/>
      </c>
      <c r="AP303" s="45">
        <f>IF(OR(AK303="",V303=0),"",MIN(IF(AX303="",9.9E+99,AX303),FLOOR(AO303/V303,1)))</f>
        <v/>
      </c>
      <c r="AQ303" s="49">
        <f>IF(AP303="","",AP303*IF(ABS(MOD(ABS((X303)),1)-0.5)&lt;1E-9,2*ROUND((X303)/2,0),ROUND((X303),0)))</f>
        <v/>
      </c>
      <c r="AR303" s="47">
        <f>IF(OR(AK303="",V303=0),"",MIN(IF(AX303="",9.9E+99,AX303),AO303/V303))</f>
        <v/>
      </c>
      <c r="AS303" s="49">
        <f>IF(AR303="","",AR303*IF(B303="South Korea",IF(ABS(MOD(ABS((X303)),1)-0.5)&lt;1E-9,2*ROUND((X303)/2,0),ROUND((X303),0)),X303))</f>
        <v/>
      </c>
      <c r="AT303" s="51" t="n"/>
      <c r="AU303" s="43" t="inlineStr">
        <is>
          <t>Grounded</t>
        </is>
      </c>
      <c r="AV303" s="52" t="n"/>
      <c r="AW303" s="52" t="n"/>
      <c r="AX303" s="53" t="n"/>
      <c r="AY303" s="54">
        <f>IF(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&lt;=0,"",VLOOKUP(B303,country_opex,7,FALSE)/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)</f>
        <v/>
      </c>
      <c r="AZ303" s="54">
        <f>IF(((W303*pax_cap*IF(B303="South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Korea",korea_mid_revleg,revleg_mid)),0))*VLOOKUP(B303,country_opex,3,FALSE))+Z303+AA303+AB303+AC303+AD303))&lt;=0,"",VLOOKUP(B303,country_opex,7,FALSE)/((W303*pax_cap*IF(B303="South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Korea",korea_mid_revleg,revleg_mid)),0))*VLOOKUP(B303,country_opex,3,FALSE))+Z303+AA303+AB303+AC303+AD303)))</f>
        <v/>
      </c>
      <c r="BA303" s="54">
        <f>IF(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&lt;=0,"",VLOOKUP(B303,country_opex,7,FALSE)/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)</f>
        <v/>
      </c>
      <c r="BB303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C303" s="40" t="n"/>
      <c r="BD303" s="43" t="n"/>
    </row>
    <row r="304">
      <c r="A304" s="38" t="inlineStr">
        <is>
          <t>Bolt Israel</t>
        </is>
      </c>
      <c r="B304" s="38" t="inlineStr">
        <is>
          <t>Israel</t>
        </is>
      </c>
      <c r="C304" s="39" t="inlineStr">
        <is>
          <t>Tel Aviv → Ashdod</t>
        </is>
      </c>
      <c r="D304" s="38" t="inlineStr">
        <is>
          <t>bolt</t>
        </is>
      </c>
      <c r="E304" s="40" t="inlineStr">
        <is>
          <t>bolt-israel</t>
        </is>
      </c>
      <c r="F304" s="41" t="n">
        <v>1</v>
      </c>
      <c r="G304" s="42" t="n">
        <v>16.9</v>
      </c>
      <c r="H304" s="35" t="n">
        <v>130</v>
      </c>
      <c r="I304" s="43" t="inlineStr">
        <is>
          <t>T2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IF(B304="South Korea",G304/korea_charge_range_nm*korea_full_range_charge_min,0)</f>
        <v/>
      </c>
      <c r="N304" s="44">
        <f>IF(B304="South Korea",L304+korea_turn_min+korea_dwell_min+M304,L304+turn_min+dwell_min)</f>
        <v/>
      </c>
      <c r="O304" s="45">
        <f>IF(B304="South Korea",FLOOR(60*korea_service_hr/N304,1),MIN(24,FLOOR(60*service_hr/N304,1)))</f>
        <v/>
      </c>
      <c r="P304" s="45">
        <f>IF(ABS(MOD(ABS((365*mech_uptime*K304)),1)-0.5)&lt;1E-9,2*ROUND((365*mech_uptime*K304)/2,0),ROUND((365*mech_uptime*K304),0))</f>
        <v/>
      </c>
      <c r="Q304" s="46">
        <f>mech_uptime</f>
        <v/>
      </c>
      <c r="R304" s="46">
        <f>IF(AND(B304="South Korea",scenario="MID"),korea_mid_revleg,revleg_sel)</f>
        <v/>
      </c>
      <c r="S304" s="45">
        <f>IF(ABS(MOD(ABS((O304*P304*R304)),1)-0.5)&lt;1E-9,2*ROUND((O304*P304*R304)/2,0),ROUND((O304*P304*R304),0))</f>
        <v/>
      </c>
      <c r="T304" s="46">
        <f>IF(AND(B304="South Korea",scenario="MID"),korea_mid_load,load_sel)</f>
        <v/>
      </c>
      <c r="U304" s="47">
        <f>pax_cap*T304</f>
        <v/>
      </c>
      <c r="V304" s="45">
        <f>U304*S304</f>
        <v/>
      </c>
      <c r="W304" s="48">
        <f>H304*discount</f>
        <v/>
      </c>
      <c r="X304" s="49">
        <f>W304*V304</f>
        <v/>
      </c>
      <c r="Y304" s="49">
        <f>(battery/range_nm)*G304*S304*VLOOKUP(B304,country_opex,3,FALSE)</f>
        <v/>
      </c>
      <c r="Z304" s="49">
        <f>VLOOKUP(B304,country_opex,2,FALSE)*crew_factor</f>
        <v/>
      </c>
      <c r="AA304" s="49">
        <f>VLOOKUP(B304,country_opex,5,FALSE)</f>
        <v/>
      </c>
      <c r="AB304" s="49">
        <f>maint</f>
        <v/>
      </c>
      <c r="AC304" s="49">
        <f>VLOOKUP(B304,country_opex,7,FALSE)*ins_pct</f>
        <v/>
      </c>
      <c r="AD304" s="49">
        <f>charge_berth</f>
        <v/>
      </c>
      <c r="AE304" s="49">
        <f>Y304+Z304+AA304+AB304+AC304+AD304</f>
        <v/>
      </c>
      <c r="AF304" s="49">
        <f>VLOOKUP(B304,country_opex,7,FALSE)/dep_years</f>
        <v/>
      </c>
      <c r="AG304" s="49">
        <f>X304-AE304</f>
        <v/>
      </c>
      <c r="AH304" s="46">
        <f>IF(X304=0,"",AG304/X304)</f>
        <v/>
      </c>
      <c r="AI304" s="47">
        <f>IF(AG304&lt;=0,"",VLOOKUP(B304,country_opex,7,FALSE)/AG304)</f>
        <v/>
      </c>
      <c r="AJ304" s="44">
        <f>((G304*S304/diesel_nmpg)*diesel_co2pg-(battery/range_nm)*G304*S304*VLOOKUP(B304,country_opex,4,FALSE))/1000</f>
        <v/>
      </c>
      <c r="AK304" s="42" t="n">
        <v>143443</v>
      </c>
      <c r="AL304" s="43" t="n"/>
      <c r="AM304" s="43" t="n"/>
      <c r="AN304" s="50" t="n">
        <v>0.1</v>
      </c>
      <c r="AO304" s="45">
        <f>IF(AK304="","",AK304*AN304)</f>
        <v/>
      </c>
      <c r="AP304" s="45">
        <f>IF(OR(AK304="",V304=0),"",MIN(IF(AX304="",9.9E+99,AX304),FLOOR(AO304/V304,1)))</f>
        <v/>
      </c>
      <c r="AQ304" s="49">
        <f>IF(AP304="","",AP304*IF(ABS(MOD(ABS((X304)),1)-0.5)&lt;1E-9,2*ROUND((X304)/2,0),ROUND((X304),0)))</f>
        <v/>
      </c>
      <c r="AR304" s="47">
        <f>IF(OR(AK304="",V304=0),"",MIN(IF(AX304="",9.9E+99,AX304),AO304/V304))</f>
        <v/>
      </c>
      <c r="AS304" s="49">
        <f>IF(AR304="","",AR304*IF(B304="South Korea",IF(ABS(MOD(ABS((X304)),1)-0.5)&lt;1E-9,2*ROUND((X304)/2,0),ROUND((X304),0)),X304))</f>
        <v/>
      </c>
      <c r="AT304" s="51" t="n"/>
      <c r="AU304" s="43" t="inlineStr">
        <is>
          <t>Grounded</t>
        </is>
      </c>
      <c r="AV304" s="52" t="n"/>
      <c r="AW304" s="52" t="n"/>
      <c r="AX304" s="53" t="n"/>
      <c r="AY304" s="54">
        <f>IF(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&lt;=0,"",VLOOKUP(B304,country_opex,7,FALSE)/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)</f>
        <v/>
      </c>
      <c r="AZ304" s="54">
        <f>IF(((W304*pax_cap*IF(B304="South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Korea",korea_mid_revleg,revleg_mid)),0))*VLOOKUP(B304,country_opex,3,FALSE))+Z304+AA304+AB304+AC304+AD304))&lt;=0,"",VLOOKUP(B304,country_opex,7,FALSE)/((W304*pax_cap*IF(B304="South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Korea",korea_mid_revleg,revleg_mid)),0))*VLOOKUP(B304,country_opex,3,FALSE))+Z304+AA304+AB304+AC304+AD304)))</f>
        <v/>
      </c>
      <c r="BA304" s="54">
        <f>IF(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&lt;=0,"",VLOOKUP(B304,country_opex,7,FALSE)/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)</f>
        <v/>
      </c>
      <c r="BB304" s="40" t="inlineStr">
        <is>
          <t>PREMIUM/excursion proxy: Tel Aviv Marina shared skyline cruise ~$130/person (GetYourGuide, 2026). No scheduled TLV-Ashdod water service.</t>
        </is>
      </c>
      <c r="BC304" s="40" t="n"/>
      <c r="BD304" s="43" t="n"/>
    </row>
    <row r="305">
      <c r="A305" s="38" t="inlineStr">
        <is>
          <t>Bolt Israel</t>
        </is>
      </c>
      <c r="B305" s="38" t="inlineStr">
        <is>
          <t>Israel</t>
        </is>
      </c>
      <c r="C305" s="39" t="inlineStr">
        <is>
          <t>Tel Aviv → Haifa</t>
        </is>
      </c>
      <c r="D305" s="38" t="inlineStr">
        <is>
          <t>bolt</t>
        </is>
      </c>
      <c r="E305" s="40" t="inlineStr">
        <is>
          <t>bolt-israel</t>
        </is>
      </c>
      <c r="F305" s="41" t="n">
        <v>1</v>
      </c>
      <c r="G305" s="42" t="n">
        <v>45.6</v>
      </c>
      <c r="H305" s="35" t="n">
        <v>130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IF(B305="South Korea",G305/korea_charge_range_nm*korea_full_range_charge_min,0)</f>
        <v/>
      </c>
      <c r="N305" s="44">
        <f>IF(B305="South Korea",L305+korea_turn_min+korea_dwell_min+M305,L305+turn_min+dwell_min)</f>
        <v/>
      </c>
      <c r="O305" s="45">
        <f>IF(B305="South Korea",FLOOR(60*korea_service_hr/N305,1),MIN(24,FLOOR(60*service_hr/N305,1)))</f>
        <v/>
      </c>
      <c r="P305" s="45">
        <f>IF(ABS(MOD(ABS((365*mech_uptime*K305)),1)-0.5)&lt;1E-9,2*ROUND((365*mech_uptime*K305)/2,0),ROUND((365*mech_uptime*K305),0))</f>
        <v/>
      </c>
      <c r="Q305" s="46">
        <f>mech_uptime</f>
        <v/>
      </c>
      <c r="R305" s="46">
        <f>IF(AND(B305="South Korea",scenario="MID"),korea_mid_revleg,revleg_sel)</f>
        <v/>
      </c>
      <c r="S305" s="45">
        <f>IF(ABS(MOD(ABS((O305*P305*R305)),1)-0.5)&lt;1E-9,2*ROUND((O305*P305*R305)/2,0),ROUND((O305*P305*R305),0))</f>
        <v/>
      </c>
      <c r="T305" s="46">
        <f>IF(AND(B305="South Korea",scenario="MID"),korea_mid_load,load_sel)</f>
        <v/>
      </c>
      <c r="U305" s="47">
        <f>pax_cap*T305</f>
        <v/>
      </c>
      <c r="V305" s="45">
        <f>U305*S305</f>
        <v/>
      </c>
      <c r="W305" s="48">
        <f>H305*discount</f>
        <v/>
      </c>
      <c r="X305" s="49">
        <f>W305*V305</f>
        <v/>
      </c>
      <c r="Y305" s="49">
        <f>(battery/range_nm)*G305*S305*VLOOKUP(B305,country_opex,3,FALSE)</f>
        <v/>
      </c>
      <c r="Z305" s="49">
        <f>VLOOKUP(B305,country_opex,2,FALSE)*crew_factor</f>
        <v/>
      </c>
      <c r="AA305" s="49">
        <f>VLOOKUP(B305,country_opex,5,FALSE)</f>
        <v/>
      </c>
      <c r="AB305" s="49">
        <f>maint</f>
        <v/>
      </c>
      <c r="AC305" s="49">
        <f>VLOOKUP(B305,country_opex,7,FALSE)*ins_pct</f>
        <v/>
      </c>
      <c r="AD305" s="49">
        <f>charge_berth</f>
        <v/>
      </c>
      <c r="AE305" s="49">
        <f>Y305+Z305+AA305+AB305+AC305+AD305</f>
        <v/>
      </c>
      <c r="AF305" s="49">
        <f>VLOOKUP(B305,country_opex,7,FALSE)/dep_years</f>
        <v/>
      </c>
      <c r="AG305" s="49">
        <f>X305-AE305</f>
        <v/>
      </c>
      <c r="AH305" s="46">
        <f>IF(X305=0,"",AG305/X305)</f>
        <v/>
      </c>
      <c r="AI305" s="47">
        <f>IF(AG305&lt;=0,"",VLOOKUP(B305,country_opex,7,FALSE)/AG305)</f>
        <v/>
      </c>
      <c r="AJ305" s="44">
        <f>((G305*S305/diesel_nmpg)*diesel_co2pg-(battery/range_nm)*G305*S305*VLOOKUP(B305,country_opex,4,FALSE))/1000</f>
        <v/>
      </c>
      <c r="AK305" s="42" t="n">
        <v>201092</v>
      </c>
      <c r="AL305" s="43" t="n"/>
      <c r="AM305" s="43" t="n"/>
      <c r="AN305" s="50" t="n">
        <v>0.1</v>
      </c>
      <c r="AO305" s="45">
        <f>IF(AK305="","",AK305*AN305)</f>
        <v/>
      </c>
      <c r="AP305" s="45">
        <f>IF(OR(AK305="",V305=0),"",MIN(IF(AX305="",9.9E+99,AX305),FLOOR(AO305/V305,1)))</f>
        <v/>
      </c>
      <c r="AQ305" s="49">
        <f>IF(AP305="","",AP305*IF(ABS(MOD(ABS((X305)),1)-0.5)&lt;1E-9,2*ROUND((X305)/2,0),ROUND((X305),0)))</f>
        <v/>
      </c>
      <c r="AR305" s="47">
        <f>IF(OR(AK305="",V305=0),"",MIN(IF(AX305="",9.9E+99,AX305),AO305/V305))</f>
        <v/>
      </c>
      <c r="AS305" s="49">
        <f>IF(AR305="","",AR305*IF(B305="South Korea",IF(ABS(MOD(ABS((X305)),1)-0.5)&lt;1E-9,2*ROUND((X305)/2,0),ROUND((X305),0)),X305))</f>
        <v/>
      </c>
      <c r="AT305" s="51" t="n"/>
      <c r="AU305" s="43" t="inlineStr">
        <is>
          <t>Grounded</t>
        </is>
      </c>
      <c r="AV305" s="52" t="n"/>
      <c r="AW305" s="52" t="n"/>
      <c r="AX305" s="53" t="n"/>
      <c r="AY305" s="54">
        <f>IF(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&lt;=0,"",VLOOKUP(B305,country_opex,7,FALSE)/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)</f>
        <v/>
      </c>
      <c r="AZ305" s="54">
        <f>IF(((W305*pax_cap*IF(B305="South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Korea",korea_mid_revleg,revleg_mid)),0))*VLOOKUP(B305,country_opex,3,FALSE))+Z305+AA305+AB305+AC305+AD305))&lt;=0,"",VLOOKUP(B305,country_opex,7,FALSE)/((W305*pax_cap*IF(B305="South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Korea",korea_mid_revleg,revleg_mid)),0))*VLOOKUP(B305,country_opex,3,FALSE))+Z305+AA305+AB305+AC305+AD305)))</f>
        <v/>
      </c>
      <c r="BA305" s="54">
        <f>IF(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&lt;=0,"",VLOOKUP(B305,country_opex,7,FALSE)/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)</f>
        <v/>
      </c>
      <c r="BB305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C305" s="40" t="n"/>
      <c r="BD305" s="43" t="n"/>
    </row>
    <row r="306">
      <c r="A306" s="38" t="inlineStr">
        <is>
          <t>Bolt Italy</t>
        </is>
      </c>
      <c r="B306" s="38" t="inlineStr">
        <is>
          <t>Italy</t>
        </is>
      </c>
      <c r="C306" s="39" t="inlineStr">
        <is>
          <t>Venice → Lido</t>
        </is>
      </c>
      <c r="D306" s="38" t="inlineStr">
        <is>
          <t>bolt</t>
        </is>
      </c>
      <c r="E306" s="40" t="inlineStr">
        <is>
          <t>bolt-italy</t>
        </is>
      </c>
      <c r="F306" s="41" t="n">
        <v>1</v>
      </c>
      <c r="G306" s="42" t="n">
        <v>1.5</v>
      </c>
      <c r="H306" s="35" t="n">
        <v>27</v>
      </c>
      <c r="I306" s="43" t="inlineStr">
        <is>
          <t>T2</t>
        </is>
      </c>
      <c r="J306" s="43" t="inlineStr">
        <is>
          <t>med</t>
        </is>
      </c>
      <c r="K306" s="29" t="n">
        <v>1</v>
      </c>
      <c r="L306" s="44">
        <f>60*G306/cruise_kt</f>
        <v/>
      </c>
      <c r="M306" s="44">
        <f>IF(B306="South Korea",G306/korea_charge_range_nm*korea_full_range_charge_min,0)</f>
        <v/>
      </c>
      <c r="N306" s="44">
        <f>IF(B306="South Korea",L306+korea_turn_min+korea_dwell_min+M306,L306+turn_min+dwell_min)</f>
        <v/>
      </c>
      <c r="O306" s="45">
        <f>IF(B306="South Korea",FLOOR(60*korea_service_hr/N306,1),MIN(15,FLOOR(60*service_hr/N306,1)))</f>
        <v/>
      </c>
      <c r="P306" s="45">
        <f>IF(ABS(MOD(ABS((365*mech_uptime*K306)),1)-0.5)&lt;1E-9,2*ROUND((365*mech_uptime*K306)/2,0),ROUND((365*mech_uptime*K306),0))</f>
        <v/>
      </c>
      <c r="Q306" s="46">
        <f>mech_uptime</f>
        <v/>
      </c>
      <c r="R306" s="46">
        <f>IF(AND(B306="South Korea",scenario="MID"),korea_mid_revleg,revleg_sel)</f>
        <v/>
      </c>
      <c r="S306" s="45">
        <f>IF(ABS(MOD(ABS((O306*P306*R306)),1)-0.5)&lt;1E-9,2*ROUND((O306*P306*R306)/2,0),ROUND((O306*P306*R306),0))</f>
        <v/>
      </c>
      <c r="T306" s="46">
        <f>IF(AND(B306="South Korea",scenario="MID"),korea_mid_load,load_sel)</f>
        <v/>
      </c>
      <c r="U306" s="47">
        <f>pax_cap*T306</f>
        <v/>
      </c>
      <c r="V306" s="45">
        <f>U306*S306</f>
        <v/>
      </c>
      <c r="W306" s="48">
        <f>H306*discount</f>
        <v/>
      </c>
      <c r="X306" s="49">
        <f>W306*V306</f>
        <v/>
      </c>
      <c r="Y306" s="49">
        <f>(battery/range_nm)*G306*S306*VLOOKUP(B306,country_opex,3,FALSE)</f>
        <v/>
      </c>
      <c r="Z306" s="49">
        <f>VLOOKUP(B306,country_opex,2,FALSE)*crew_factor</f>
        <v/>
      </c>
      <c r="AA306" s="49">
        <f>VLOOKUP(B306,country_opex,5,FALSE)</f>
        <v/>
      </c>
      <c r="AB306" s="49">
        <f>maint</f>
        <v/>
      </c>
      <c r="AC306" s="49">
        <f>VLOOKUP(B306,country_opex,7,FALSE)*ins_pct</f>
        <v/>
      </c>
      <c r="AD306" s="49">
        <f>charge_berth</f>
        <v/>
      </c>
      <c r="AE306" s="49">
        <f>Y306+Z306+AA306+AB306+AC306+AD306</f>
        <v/>
      </c>
      <c r="AF306" s="49">
        <f>VLOOKUP(B306,country_opex,7,FALSE)/dep_years</f>
        <v/>
      </c>
      <c r="AG306" s="49">
        <f>X306-AE306</f>
        <v/>
      </c>
      <c r="AH306" s="46">
        <f>IF(X306=0,"",AG306/X306)</f>
        <v/>
      </c>
      <c r="AI306" s="47">
        <f>IF(AG306&lt;=0,"",VLOOKUP(B306,country_opex,7,FALSE)/AG306)</f>
        <v/>
      </c>
      <c r="AJ306" s="44">
        <f>((G306*S306/diesel_nmpg)*diesel_co2pg-(battery/range_nm)*G306*S306*VLOOKUP(B306,country_opex,4,FALSE))/1000</f>
        <v/>
      </c>
      <c r="AK306" s="42" t="n"/>
      <c r="AL306" s="43" t="n"/>
      <c r="AM306" s="43" t="n"/>
      <c r="AN306" s="50" t="n">
        <v>0.1</v>
      </c>
      <c r="AO306" s="45">
        <f>IF(AK306="","",AK306*AN306)</f>
        <v/>
      </c>
      <c r="AP306" s="45">
        <f>IF(OR(AK306="",V306=0),"",MIN(IF(AX306="",9.9E+99,AX306),FLOOR(AO306/V306,1)))</f>
        <v/>
      </c>
      <c r="AQ306" s="49">
        <f>IF(AP306="","",AP306*IF(ABS(MOD(ABS((X306)),1)-0.5)&lt;1E-9,2*ROUND((X306)/2,0),ROUND((X306),0)))</f>
        <v/>
      </c>
      <c r="AR306" s="47">
        <f>IF(OR(AK306="",V306=0),"",MIN(IF(AX306="",9.9E+99,AX306),AO306/V306))</f>
        <v/>
      </c>
      <c r="AS306" s="49">
        <f>IF(AR306="","",AR306*IF(B306="South Korea",IF(ABS(MOD(ABS((X306)),1)-0.5)&lt;1E-9,2*ROUND((X306)/2,0),ROUND((X306),0)),X306))</f>
        <v/>
      </c>
      <c r="AT306" s="51" t="n"/>
      <c r="AU306" s="43" t="inlineStr">
        <is>
          <t>Estimated</t>
        </is>
      </c>
      <c r="AV306" s="52" t="n"/>
      <c r="AW306" s="52" t="n"/>
      <c r="AX306" s="53" t="n"/>
      <c r="AY306" s="54">
        <f>IF(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&lt;=0,"",VLOOKUP(B306,country_opex,7,FALSE)/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)</f>
        <v/>
      </c>
      <c r="AZ306" s="54">
        <f>IF(((W306*pax_cap*IF(B306="South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Korea",korea_mid_revleg,revleg_mid)),0))*VLOOKUP(B306,country_opex,3,FALSE))+Z306+AA306+AB306+AC306+AD306))&lt;=0,"",VLOOKUP(B306,country_opex,7,FALSE)/((W306*pax_cap*IF(B306="South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Korea",korea_mid_revleg,revleg_mid)),0))*VLOOKUP(B306,country_opex,3,FALSE))+Z306+AA306+AB306+AC306+AD306)))</f>
        <v/>
      </c>
      <c r="BA306" s="54">
        <f>IF(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&lt;=0,"",VLOOKUP(B306,country_opex,7,FALSE)/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)</f>
        <v/>
      </c>
      <c r="BB306" s="40" t="inlineStr">
        <is>
          <t>PREMIUM tourist tier = ACTV day travelcard EUR 25 (~$27) (covers the Lido lines); premium water-taxi tier higher. Navier models the premium tier, not the EUR 9.50 single.</t>
        </is>
      </c>
      <c r="BC306" s="40" t="n"/>
      <c r="BD306" s="43" t="n"/>
    </row>
    <row r="307">
      <c r="A307" s="38" t="inlineStr">
        <is>
          <t>Bolt Italy</t>
        </is>
      </c>
      <c r="B307" s="38" t="inlineStr">
        <is>
          <t>Italy</t>
        </is>
      </c>
      <c r="C307" s="39" t="inlineStr">
        <is>
          <t>San Marco → Murano / Burano</t>
        </is>
      </c>
      <c r="D307" s="38" t="inlineStr">
        <is>
          <t>bolt</t>
        </is>
      </c>
      <c r="E307" s="40" t="inlineStr">
        <is>
          <t>bolt-italy</t>
        </is>
      </c>
      <c r="F307" s="41" t="n">
        <v>1</v>
      </c>
      <c r="G307" s="42" t="n">
        <v>2</v>
      </c>
      <c r="H307" s="35" t="n">
        <v>27</v>
      </c>
      <c r="I307" s="43" t="inlineStr">
        <is>
          <t>T2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IF(B307="South Korea",G307/korea_charge_range_nm*korea_full_range_charge_min,0)</f>
        <v/>
      </c>
      <c r="N307" s="44">
        <f>IF(B307="South Korea",L307+korea_turn_min+korea_dwell_min+M307,L307+turn_min+dwell_min)</f>
        <v/>
      </c>
      <c r="O307" s="45">
        <f>IF(B307="South Korea",FLOOR(60*korea_service_hr/N307,1),MIN(15,FLOOR(60*service_hr/N307,1)))</f>
        <v/>
      </c>
      <c r="P307" s="45">
        <f>IF(ABS(MOD(ABS((365*mech_uptime*K307)),1)-0.5)&lt;1E-9,2*ROUND((365*mech_uptime*K307)/2,0),ROUND((365*mech_uptime*K307),0))</f>
        <v/>
      </c>
      <c r="Q307" s="46">
        <f>mech_uptime</f>
        <v/>
      </c>
      <c r="R307" s="46">
        <f>IF(AND(B307="South Korea",scenario="MID"),korea_mid_revleg,revleg_sel)</f>
        <v/>
      </c>
      <c r="S307" s="45">
        <f>IF(ABS(MOD(ABS((O307*P307*R307)),1)-0.5)&lt;1E-9,2*ROUND((O307*P307*R307)/2,0),ROUND((O307*P307*R307),0))</f>
        <v/>
      </c>
      <c r="T307" s="46">
        <f>IF(AND(B307="South Korea",scenario="MID"),korea_mid_load,load_sel)</f>
        <v/>
      </c>
      <c r="U307" s="47">
        <f>pax_cap*T307</f>
        <v/>
      </c>
      <c r="V307" s="45">
        <f>U307*S307</f>
        <v/>
      </c>
      <c r="W307" s="48">
        <f>H307*discount</f>
        <v/>
      </c>
      <c r="X307" s="49">
        <f>W307*V307</f>
        <v/>
      </c>
      <c r="Y307" s="49">
        <f>(battery/range_nm)*G307*S307*VLOOKUP(B307,country_opex,3,FALSE)</f>
        <v/>
      </c>
      <c r="Z307" s="49">
        <f>VLOOKUP(B307,country_opex,2,FALSE)*crew_factor</f>
        <v/>
      </c>
      <c r="AA307" s="49">
        <f>VLOOKUP(B307,country_opex,5,FALSE)</f>
        <v/>
      </c>
      <c r="AB307" s="49">
        <f>maint</f>
        <v/>
      </c>
      <c r="AC307" s="49">
        <f>VLOOKUP(B307,country_opex,7,FALSE)*ins_pct</f>
        <v/>
      </c>
      <c r="AD307" s="49">
        <f>charge_berth</f>
        <v/>
      </c>
      <c r="AE307" s="49">
        <f>Y307+Z307+AA307+AB307+AC307+AD307</f>
        <v/>
      </c>
      <c r="AF307" s="49">
        <f>VLOOKUP(B307,country_opex,7,FALSE)/dep_years</f>
        <v/>
      </c>
      <c r="AG307" s="49">
        <f>X307-AE307</f>
        <v/>
      </c>
      <c r="AH307" s="46">
        <f>IF(X307=0,"",AG307/X307)</f>
        <v/>
      </c>
      <c r="AI307" s="47">
        <f>IF(AG307&lt;=0,"",VLOOKUP(B307,country_opex,7,FALSE)/AG307)</f>
        <v/>
      </c>
      <c r="AJ307" s="44">
        <f>((G307*S307/diesel_nmpg)*diesel_co2pg-(battery/range_nm)*G307*S307*VLOOKUP(B307,country_opex,4,FALSE))/1000</f>
        <v/>
      </c>
      <c r="AK307" s="42" t="n">
        <v>1500000</v>
      </c>
      <c r="AL307" s="43" t="n"/>
      <c r="AM307" s="43" t="n"/>
      <c r="AN307" s="50" t="n">
        <v>0.1</v>
      </c>
      <c r="AO307" s="45">
        <f>IF(AK307="","",AK307*AN307)</f>
        <v/>
      </c>
      <c r="AP307" s="45">
        <f>IF(OR(AK307="",V307=0),"",MIN(IF(AX307="",9.9E+99,AX307),FLOOR(AO307/V307,1)))</f>
        <v/>
      </c>
      <c r="AQ307" s="49">
        <f>IF(AP307="","",AP307*IF(ABS(MOD(ABS((X307)),1)-0.5)&lt;1E-9,2*ROUND((X307)/2,0),ROUND((X307),0)))</f>
        <v/>
      </c>
      <c r="AR307" s="47">
        <f>IF(OR(AK307="",V307=0),"",MIN(IF(AX307="",9.9E+99,AX307),AO307/V307))</f>
        <v/>
      </c>
      <c r="AS307" s="49">
        <f>IF(AR307="","",AR307*IF(B307="South Korea",IF(ABS(MOD(ABS((X307)),1)-0.5)&lt;1E-9,2*ROUND((X307)/2,0),ROUND((X307),0)),X307))</f>
        <v/>
      </c>
      <c r="AT307" s="51" t="n"/>
      <c r="AU307" s="43" t="inlineStr">
        <is>
          <t>Grounded</t>
        </is>
      </c>
      <c r="AV307" s="52" t="n"/>
      <c r="AW307" s="52" t="n"/>
      <c r="AX307" s="53" t="n"/>
      <c r="AY307" s="54">
        <f>IF(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&lt;=0,"",VLOOKUP(B307,country_opex,7,FALSE)/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)</f>
        <v/>
      </c>
      <c r="AZ307" s="54">
        <f>IF(((W307*pax_cap*IF(B307="South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Korea",korea_mid_revleg,revleg_mid)),0))*VLOOKUP(B307,country_opex,3,FALSE))+Z307+AA307+AB307+AC307+AD307))&lt;=0,"",VLOOKUP(B307,country_opex,7,FALSE)/((W307*pax_cap*IF(B307="South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Korea",korea_mid_revleg,revleg_mid)),0))*VLOOKUP(B307,country_opex,3,FALSE))+Z307+AA307+AB307+AC307+AD307)))</f>
        <v/>
      </c>
      <c r="BA307" s="54">
        <f>IF(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&lt;=0,"",VLOOKUP(B307,country_opex,7,FALSE)/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)</f>
        <v/>
      </c>
      <c r="BB307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C307" s="40" t="n"/>
      <c r="BD307" s="43" t="n"/>
    </row>
    <row r="308">
      <c r="A308" s="38" t="inlineStr">
        <is>
          <t>Bolt Italy</t>
        </is>
      </c>
      <c r="B308" s="38" t="inlineStr">
        <is>
          <t>Italy</t>
        </is>
      </c>
      <c r="C308" s="39" t="inlineStr">
        <is>
          <t>Santa Margherita Ligure → Portofino</t>
        </is>
      </c>
      <c r="D308" s="38" t="inlineStr">
        <is>
          <t>bolt</t>
        </is>
      </c>
      <c r="E308" s="40" t="inlineStr">
        <is>
          <t>bolt-italy</t>
        </is>
      </c>
      <c r="F308" s="41" t="n">
        <v>1</v>
      </c>
      <c r="G308" s="42" t="n">
        <v>2</v>
      </c>
      <c r="H308" s="35" t="n">
        <v>11.9</v>
      </c>
      <c r="I308" s="43" t="inlineStr">
        <is>
          <t>T2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IF(B308="South Korea",G308/korea_charge_range_nm*korea_full_range_charge_min,0)</f>
        <v/>
      </c>
      <c r="N308" s="44">
        <f>IF(B308="South Korea",L308+korea_turn_min+korea_dwell_min+M308,L308+turn_min+dwell_min)</f>
        <v/>
      </c>
      <c r="O308" s="45">
        <f>IF(B308="South Korea",FLOOR(60*korea_service_hr/N308,1),MIN(24,FLOOR(60*service_hr/N308,1)))</f>
        <v/>
      </c>
      <c r="P308" s="45">
        <f>IF(ABS(MOD(ABS((365*mech_uptime*K308)),1)-0.5)&lt;1E-9,2*ROUND((365*mech_uptime*K308)/2,0),ROUND((365*mech_uptime*K308),0))</f>
        <v/>
      </c>
      <c r="Q308" s="46">
        <f>mech_uptime</f>
        <v/>
      </c>
      <c r="R308" s="46">
        <f>IF(AND(B308="South Korea",scenario="MID"),korea_mid_revleg,revleg_sel)</f>
        <v/>
      </c>
      <c r="S308" s="45">
        <f>IF(ABS(MOD(ABS((O308*P308*R308)),1)-0.5)&lt;1E-9,2*ROUND((O308*P308*R308)/2,0),ROUND((O308*P308*R308),0))</f>
        <v/>
      </c>
      <c r="T308" s="46">
        <f>IF(AND(B308="South Korea",scenario="MID"),korea_mid_load,load_sel)</f>
        <v/>
      </c>
      <c r="U308" s="47">
        <f>pax_cap*T308</f>
        <v/>
      </c>
      <c r="V308" s="45">
        <f>U308*S308</f>
        <v/>
      </c>
      <c r="W308" s="48">
        <f>H308*discount</f>
        <v/>
      </c>
      <c r="X308" s="49">
        <f>W308*V308</f>
        <v/>
      </c>
      <c r="Y308" s="49">
        <f>(battery/range_nm)*G308*S308*VLOOKUP(B308,country_opex,3,FALSE)</f>
        <v/>
      </c>
      <c r="Z308" s="49">
        <f>VLOOKUP(B308,country_opex,2,FALSE)*crew_factor</f>
        <v/>
      </c>
      <c r="AA308" s="49">
        <f>VLOOKUP(B308,country_opex,5,FALSE)</f>
        <v/>
      </c>
      <c r="AB308" s="49">
        <f>maint</f>
        <v/>
      </c>
      <c r="AC308" s="49">
        <f>VLOOKUP(B308,country_opex,7,FALSE)*ins_pct</f>
        <v/>
      </c>
      <c r="AD308" s="49">
        <f>charge_berth</f>
        <v/>
      </c>
      <c r="AE308" s="49">
        <f>Y308+Z308+AA308+AB308+AC308+AD308</f>
        <v/>
      </c>
      <c r="AF308" s="49">
        <f>VLOOKUP(B308,country_opex,7,FALSE)/dep_years</f>
        <v/>
      </c>
      <c r="AG308" s="49">
        <f>X308-AE308</f>
        <v/>
      </c>
      <c r="AH308" s="46">
        <f>IF(X308=0,"",AG308/X308)</f>
        <v/>
      </c>
      <c r="AI308" s="47">
        <f>IF(AG308&lt;=0,"",VLOOKUP(B308,country_opex,7,FALSE)/AG308)</f>
        <v/>
      </c>
      <c r="AJ308" s="44">
        <f>((G308*S308/diesel_nmpg)*diesel_co2pg-(battery/range_nm)*G308*S308*VLOOKUP(B308,country_opex,4,FALSE))/1000</f>
        <v/>
      </c>
      <c r="AK308" s="42" t="n">
        <v>200000</v>
      </c>
      <c r="AL308" s="43" t="n"/>
      <c r="AM308" s="43" t="n"/>
      <c r="AN308" s="50" t="n">
        <v>0.1</v>
      </c>
      <c r="AO308" s="45">
        <f>IF(AK308="","",AK308*AN308)</f>
        <v/>
      </c>
      <c r="AP308" s="45">
        <f>IF(OR(AK308="",V308=0),"",MIN(IF(AX308="",9.9E+99,AX308),FLOOR(AO308/V308,1)))</f>
        <v/>
      </c>
      <c r="AQ308" s="49">
        <f>IF(AP308="","",AP308*IF(ABS(MOD(ABS((X308)),1)-0.5)&lt;1E-9,2*ROUND((X308)/2,0),ROUND((X308),0)))</f>
        <v/>
      </c>
      <c r="AR308" s="47">
        <f>IF(OR(AK308="",V308=0),"",MIN(IF(AX308="",9.9E+99,AX308),AO308/V308))</f>
        <v/>
      </c>
      <c r="AS308" s="49">
        <f>IF(AR308="","",AR308*IF(B308="South Korea",IF(ABS(MOD(ABS((X308)),1)-0.5)&lt;1E-9,2*ROUND((X308)/2,0),ROUND((X308),0)),X308))</f>
        <v/>
      </c>
      <c r="AT308" s="51" t="n"/>
      <c r="AU308" s="43" t="inlineStr">
        <is>
          <t>Grounded</t>
        </is>
      </c>
      <c r="AV308" s="52" t="n"/>
      <c r="AW308" s="52" t="n"/>
      <c r="AX308" s="53" t="n"/>
      <c r="AY308" s="54">
        <f>IF(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&lt;=0,"",VLOOKUP(B308,country_opex,7,FALSE)/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)</f>
        <v/>
      </c>
      <c r="AZ308" s="54">
        <f>IF(((W308*pax_cap*IF(B308="South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Korea",korea_mid_revleg,revleg_mid)),0))*VLOOKUP(B308,country_opex,3,FALSE))+Z308+AA308+AB308+AC308+AD308))&lt;=0,"",VLOOKUP(B308,country_opex,7,FALSE)/((W308*pax_cap*IF(B308="South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Korea",korea_mid_revleg,revleg_mid)),0))*VLOOKUP(B308,country_opex,3,FALSE))+Z308+AA308+AB308+AC308+AD308)))</f>
        <v/>
      </c>
      <c r="BA308" s="54">
        <f>IF(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&lt;=0,"",VLOOKUP(B308,country_opex,7,FALSE)/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)</f>
        <v/>
      </c>
      <c r="BB308" s="40" t="inlineStr">
        <is>
          <t>PREMIUM scheduled per-seat: Servizio Marittimo del Tigullio Santa Margherita-&gt;Portofino EUR 11 one-way (Rome2Rio) x 1.08 = ~$11.9. Short hop.</t>
        </is>
      </c>
      <c r="BC308" s="40" t="n"/>
      <c r="BD308" s="43" t="n"/>
    </row>
    <row r="309">
      <c r="A309" s="38" t="inlineStr">
        <is>
          <t>Bolt Italy</t>
        </is>
      </c>
      <c r="B309" s="38" t="inlineStr">
        <is>
          <t>Italy</t>
        </is>
      </c>
      <c r="C309" s="39" t="inlineStr">
        <is>
          <t>Positano → Amalfi</t>
        </is>
      </c>
      <c r="D309" s="38" t="inlineStr">
        <is>
          <t>bolt</t>
        </is>
      </c>
      <c r="E309" s="40" t="inlineStr">
        <is>
          <t>bolt-italy</t>
        </is>
      </c>
      <c r="F309" s="41" t="n">
        <v>1</v>
      </c>
      <c r="G309" s="42" t="n">
        <v>4</v>
      </c>
      <c r="H309" s="35" t="n">
        <v>11</v>
      </c>
      <c r="I309" s="43" t="inlineStr">
        <is>
          <t>T2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IF(B309="South Korea",G309/korea_charge_range_nm*korea_full_range_charge_min,0)</f>
        <v/>
      </c>
      <c r="N309" s="44">
        <f>IF(B309="South Korea",L309+korea_turn_min+korea_dwell_min+M309,L309+turn_min+dwell_min)</f>
        <v/>
      </c>
      <c r="O309" s="45">
        <f>IF(B309="South Korea",FLOOR(60*korea_service_hr/N309,1),MIN(24,FLOOR(60*service_hr/N309,1)))</f>
        <v/>
      </c>
      <c r="P309" s="45">
        <f>IF(ABS(MOD(ABS((365*mech_uptime*K309)),1)-0.5)&lt;1E-9,2*ROUND((365*mech_uptime*K309)/2,0),ROUND((365*mech_uptime*K309),0))</f>
        <v/>
      </c>
      <c r="Q309" s="46">
        <f>mech_uptime</f>
        <v/>
      </c>
      <c r="R309" s="46">
        <f>IF(AND(B309="South Korea",scenario="MID"),korea_mid_revleg,revleg_sel)</f>
        <v/>
      </c>
      <c r="S309" s="45">
        <f>IF(ABS(MOD(ABS((O309*P309*R309)),1)-0.5)&lt;1E-9,2*ROUND((O309*P309*R309)/2,0),ROUND((O309*P309*R309),0))</f>
        <v/>
      </c>
      <c r="T309" s="46">
        <f>IF(AND(B309="South Korea",scenario="MID"),korea_mid_load,load_sel)</f>
        <v/>
      </c>
      <c r="U309" s="47">
        <f>pax_cap*T309</f>
        <v/>
      </c>
      <c r="V309" s="45">
        <f>U309*S309</f>
        <v/>
      </c>
      <c r="W309" s="48">
        <f>H309*discount</f>
        <v/>
      </c>
      <c r="X309" s="49">
        <f>W309*V309</f>
        <v/>
      </c>
      <c r="Y309" s="49">
        <f>(battery/range_nm)*G309*S309*VLOOKUP(B309,country_opex,3,FALSE)</f>
        <v/>
      </c>
      <c r="Z309" s="49">
        <f>VLOOKUP(B309,country_opex,2,FALSE)*crew_factor</f>
        <v/>
      </c>
      <c r="AA309" s="49">
        <f>VLOOKUP(B309,country_opex,5,FALSE)</f>
        <v/>
      </c>
      <c r="AB309" s="49">
        <f>maint</f>
        <v/>
      </c>
      <c r="AC309" s="49">
        <f>VLOOKUP(B309,country_opex,7,FALSE)*ins_pct</f>
        <v/>
      </c>
      <c r="AD309" s="49">
        <f>charge_berth</f>
        <v/>
      </c>
      <c r="AE309" s="49">
        <f>Y309+Z309+AA309+AB309+AC309+AD309</f>
        <v/>
      </c>
      <c r="AF309" s="49">
        <f>VLOOKUP(B309,country_opex,7,FALSE)/dep_years</f>
        <v/>
      </c>
      <c r="AG309" s="49">
        <f>X309-AE309</f>
        <v/>
      </c>
      <c r="AH309" s="46">
        <f>IF(X309=0,"",AG309/X309)</f>
        <v/>
      </c>
      <c r="AI309" s="47">
        <f>IF(AG309&lt;=0,"",VLOOKUP(B309,country_opex,7,FALSE)/AG309)</f>
        <v/>
      </c>
      <c r="AJ309" s="44">
        <f>((G309*S309/diesel_nmpg)*diesel_co2pg-(battery/range_nm)*G309*S309*VLOOKUP(B309,country_opex,4,FALSE))/1000</f>
        <v/>
      </c>
      <c r="AK309" s="42" t="n">
        <v>200000</v>
      </c>
      <c r="AL309" s="43" t="n"/>
      <c r="AM309" s="43" t="n"/>
      <c r="AN309" s="50" t="n">
        <v>0.1</v>
      </c>
      <c r="AO309" s="45">
        <f>IF(AK309="","",AK309*AN309)</f>
        <v/>
      </c>
      <c r="AP309" s="45">
        <f>IF(OR(AK309="",V309=0),"",MIN(IF(AX309="",9.9E+99,AX309),FLOOR(AO309/V309,1)))</f>
        <v/>
      </c>
      <c r="AQ309" s="49">
        <f>IF(AP309="","",AP309*IF(ABS(MOD(ABS((X309)),1)-0.5)&lt;1E-9,2*ROUND((X309)/2,0),ROUND((X309),0)))</f>
        <v/>
      </c>
      <c r="AR309" s="47">
        <f>IF(OR(AK309="",V309=0),"",MIN(IF(AX309="",9.9E+99,AX309),AO309/V309))</f>
        <v/>
      </c>
      <c r="AS309" s="49">
        <f>IF(AR309="","",AR309*IF(B309="South Korea",IF(ABS(MOD(ABS((X309)),1)-0.5)&lt;1E-9,2*ROUND((X309)/2,0),ROUND((X309),0)),X309))</f>
        <v/>
      </c>
      <c r="AT309" s="51" t="n"/>
      <c r="AU309" s="43" t="inlineStr">
        <is>
          <t>Grounded</t>
        </is>
      </c>
      <c r="AV309" s="52" t="n"/>
      <c r="AW309" s="52" t="n"/>
      <c r="AX309" s="53" t="n"/>
      <c r="AY309" s="54">
        <f>IF(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&lt;=0,"",VLOOKUP(B309,country_opex,7,FALSE)/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)</f>
        <v/>
      </c>
      <c r="AZ309" s="54">
        <f>IF(((W309*pax_cap*IF(B309="South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Korea",korea_mid_revleg,revleg_mid)),0))*VLOOKUP(B309,country_opex,3,FALSE))+Z309+AA309+AB309+AC309+AD309))&lt;=0,"",VLOOKUP(B309,country_opex,7,FALSE)/((W309*pax_cap*IF(B309="South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Korea",korea_mid_revleg,revleg_mid)),0))*VLOOKUP(B309,country_opex,3,FALSE))+Z309+AA309+AB309+AC309+AD309)))</f>
        <v/>
      </c>
      <c r="BA309" s="54">
        <f>IF(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&lt;=0,"",VLOOKUP(B309,country_opex,7,FALSE)/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)</f>
        <v/>
      </c>
      <c r="BB309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C309" s="40" t="n"/>
      <c r="BD309" s="43" t="n"/>
    </row>
    <row r="310">
      <c r="A310" s="38" t="inlineStr">
        <is>
          <t>Bolt Italy</t>
        </is>
      </c>
      <c r="B310" s="38" t="inlineStr">
        <is>
          <t>Italy</t>
        </is>
      </c>
      <c r="C310" s="39" t="inlineStr">
        <is>
          <t>Venice Marco Polo → San Marco</t>
        </is>
      </c>
      <c r="D310" s="38" t="inlineStr">
        <is>
          <t>bolt</t>
        </is>
      </c>
      <c r="E310" s="40" t="inlineStr">
        <is>
          <t>bolt-italy</t>
        </is>
      </c>
      <c r="F310" s="41" t="n">
        <v>1</v>
      </c>
      <c r="G310" s="42" t="n">
        <v>4.2</v>
      </c>
      <c r="H310" s="35" t="n">
        <v>42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IF(B310="South Korea",G310/korea_charge_range_nm*korea_full_range_charge_min,0)</f>
        <v/>
      </c>
      <c r="N310" s="44">
        <f>IF(B310="South Korea",L310+korea_turn_min+korea_dwell_min+M310,L310+turn_min+dwell_min)</f>
        <v/>
      </c>
      <c r="O310" s="45">
        <f>IF(B310="South Korea",FLOOR(60*korea_service_hr/N310,1),MIN(15,FLOOR(60*service_hr/N310,1)))</f>
        <v/>
      </c>
      <c r="P310" s="45">
        <f>IF(ABS(MOD(ABS((365*mech_uptime*K310)),1)-0.5)&lt;1E-9,2*ROUND((365*mech_uptime*K310)/2,0),ROUND((365*mech_uptime*K310),0))</f>
        <v/>
      </c>
      <c r="Q310" s="46">
        <f>mech_uptime</f>
        <v/>
      </c>
      <c r="R310" s="46">
        <f>IF(AND(B310="South Korea",scenario="MID"),korea_mid_revleg,revleg_sel)</f>
        <v/>
      </c>
      <c r="S310" s="45">
        <f>IF(ABS(MOD(ABS((O310*P310*R310)),1)-0.5)&lt;1E-9,2*ROUND((O310*P310*R310)/2,0),ROUND((O310*P310*R310),0))</f>
        <v/>
      </c>
      <c r="T310" s="46">
        <f>IF(AND(B310="South Korea",scenario="MID"),korea_mid_load,load_sel)</f>
        <v/>
      </c>
      <c r="U310" s="47">
        <f>pax_cap*T310</f>
        <v/>
      </c>
      <c r="V310" s="45">
        <f>U310*S310</f>
        <v/>
      </c>
      <c r="W310" s="48">
        <f>H310*discount</f>
        <v/>
      </c>
      <c r="X310" s="49">
        <f>W310*V310</f>
        <v/>
      </c>
      <c r="Y310" s="49">
        <f>(battery/range_nm)*G310*S310*VLOOKUP(B310,country_opex,3,FALSE)</f>
        <v/>
      </c>
      <c r="Z310" s="49">
        <f>VLOOKUP(B310,country_opex,2,FALSE)*crew_factor</f>
        <v/>
      </c>
      <c r="AA310" s="49">
        <f>VLOOKUP(B310,country_opex,5,FALSE)</f>
        <v/>
      </c>
      <c r="AB310" s="49">
        <f>maint</f>
        <v/>
      </c>
      <c r="AC310" s="49">
        <f>VLOOKUP(B310,country_opex,7,FALSE)*ins_pct</f>
        <v/>
      </c>
      <c r="AD310" s="49">
        <f>charge_berth</f>
        <v/>
      </c>
      <c r="AE310" s="49">
        <f>Y310+Z310+AA310+AB310+AC310+AD310</f>
        <v/>
      </c>
      <c r="AF310" s="49">
        <f>VLOOKUP(B310,country_opex,7,FALSE)/dep_years</f>
        <v/>
      </c>
      <c r="AG310" s="49">
        <f>X310-AE310</f>
        <v/>
      </c>
      <c r="AH310" s="46">
        <f>IF(X310=0,"",AG310/X310)</f>
        <v/>
      </c>
      <c r="AI310" s="47">
        <f>IF(AG310&lt;=0,"",VLOOKUP(B310,country_opex,7,FALSE)/AG310)</f>
        <v/>
      </c>
      <c r="AJ310" s="44">
        <f>((G310*S310/diesel_nmpg)*diesel_co2pg-(battery/range_nm)*G310*S310*VLOOKUP(B310,country_opex,4,FALSE))/1000</f>
        <v/>
      </c>
      <c r="AK310" s="42" t="n">
        <v>1777500</v>
      </c>
      <c r="AL310" s="43" t="n"/>
      <c r="AM310" s="43" t="n"/>
      <c r="AN310" s="50" t="n">
        <v>0.1</v>
      </c>
      <c r="AO310" s="45">
        <f>IF(AK310="","",AK310*AN310)</f>
        <v/>
      </c>
      <c r="AP310" s="45">
        <f>IF(OR(AK310="",V310=0),"",MIN(IF(AX310="",9.9E+99,AX310),FLOOR(AO310/V310,1)))</f>
        <v/>
      </c>
      <c r="AQ310" s="49">
        <f>IF(AP310="","",AP310*IF(ABS(MOD(ABS((X310)),1)-0.5)&lt;1E-9,2*ROUND((X310)/2,0),ROUND((X310),0)))</f>
        <v/>
      </c>
      <c r="AR310" s="47">
        <f>IF(OR(AK310="",V310=0),"",MIN(IF(AX310="",9.9E+99,AX310),AO310/V310))</f>
        <v/>
      </c>
      <c r="AS310" s="49">
        <f>IF(AR310="","",AR310*IF(B310="South Korea",IF(ABS(MOD(ABS((X310)),1)-0.5)&lt;1E-9,2*ROUND((X310)/2,0),ROUND((X310),0)),X310))</f>
        <v/>
      </c>
      <c r="AT310" s="51" t="n"/>
      <c r="AU310" s="43" t="inlineStr">
        <is>
          <t>Grounded</t>
        </is>
      </c>
      <c r="AV310" s="52" t="n"/>
      <c r="AW310" s="52" t="n"/>
      <c r="AX310" s="53" t="n"/>
      <c r="AY310" s="54">
        <f>IF(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&lt;=0,"",VLOOKUP(B310,country_opex,7,FALSE)/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)</f>
        <v/>
      </c>
      <c r="AZ310" s="54">
        <f>IF(((W310*pax_cap*IF(B310="South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Korea",korea_mid_revleg,revleg_mid)),0))*VLOOKUP(B310,country_opex,3,FALSE))+Z310+AA310+AB310+AC310+AD310))&lt;=0,"",VLOOKUP(B310,country_opex,7,FALSE)/((W310*pax_cap*IF(B310="South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Korea",korea_mid_revleg,revleg_mid)),0))*VLOOKUP(B310,country_opex,3,FALSE))+Z310+AA310+AB310+AC310+AD310)))</f>
        <v/>
      </c>
      <c r="BA310" s="54">
        <f>IF(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&lt;=0,"",VLOOKUP(B310,country_opex,7,FALSE)/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)</f>
        <v/>
      </c>
      <c r="BB310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C310" s="40" t="n"/>
      <c r="BD310" s="43" t="n"/>
    </row>
    <row r="311">
      <c r="A311" s="38" t="inlineStr">
        <is>
          <t>Bolt Italy</t>
        </is>
      </c>
      <c r="B311" s="38" t="inlineStr">
        <is>
          <t>Italy</t>
        </is>
      </c>
      <c r="C311" s="39" t="inlineStr">
        <is>
          <t>Capri → Positano</t>
        </is>
      </c>
      <c r="D311" s="38" t="inlineStr">
        <is>
          <t>bolt</t>
        </is>
      </c>
      <c r="E311" s="40" t="inlineStr">
        <is>
          <t>bolt-italy</t>
        </is>
      </c>
      <c r="F311" s="41" t="n">
        <v>1</v>
      </c>
      <c r="G311" s="42" t="n">
        <v>9</v>
      </c>
      <c r="H311" s="35" t="n">
        <v>31</v>
      </c>
      <c r="I311" s="43" t="inlineStr">
        <is>
          <t>T2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IF(B311="South Korea",G311/korea_charge_range_nm*korea_full_range_charge_min,0)</f>
        <v/>
      </c>
      <c r="N311" s="44">
        <f>IF(B311="South Korea",L311+korea_turn_min+korea_dwell_min+M311,L311+turn_min+dwell_min)</f>
        <v/>
      </c>
      <c r="O311" s="45">
        <f>IF(B311="South Korea",FLOOR(60*korea_service_hr/N311,1),MIN(15,FLOOR(60*service_hr/N311,1)))</f>
        <v/>
      </c>
      <c r="P311" s="45">
        <f>IF(ABS(MOD(ABS((365*mech_uptime*K311)),1)-0.5)&lt;1E-9,2*ROUND((365*mech_uptime*K311)/2,0),ROUND((365*mech_uptime*K311),0))</f>
        <v/>
      </c>
      <c r="Q311" s="46">
        <f>mech_uptime</f>
        <v/>
      </c>
      <c r="R311" s="46">
        <f>IF(AND(B311="South Korea",scenario="MID"),korea_mid_revleg,revleg_sel)</f>
        <v/>
      </c>
      <c r="S311" s="45">
        <f>IF(ABS(MOD(ABS((O311*P311*R311)),1)-0.5)&lt;1E-9,2*ROUND((O311*P311*R311)/2,0),ROUND((O311*P311*R311),0))</f>
        <v/>
      </c>
      <c r="T311" s="46">
        <f>IF(AND(B311="South Korea",scenario="MID"),korea_mid_load,load_sel)</f>
        <v/>
      </c>
      <c r="U311" s="47">
        <f>pax_cap*T311</f>
        <v/>
      </c>
      <c r="V311" s="45">
        <f>U311*S311</f>
        <v/>
      </c>
      <c r="W311" s="48">
        <f>H311*discount</f>
        <v/>
      </c>
      <c r="X311" s="49">
        <f>W311*V311</f>
        <v/>
      </c>
      <c r="Y311" s="49">
        <f>(battery/range_nm)*G311*S311*VLOOKUP(B311,country_opex,3,FALSE)</f>
        <v/>
      </c>
      <c r="Z311" s="49">
        <f>VLOOKUP(B311,country_opex,2,FALSE)*crew_factor</f>
        <v/>
      </c>
      <c r="AA311" s="49">
        <f>VLOOKUP(B311,country_opex,5,FALSE)</f>
        <v/>
      </c>
      <c r="AB311" s="49">
        <f>maint</f>
        <v/>
      </c>
      <c r="AC311" s="49">
        <f>VLOOKUP(B311,country_opex,7,FALSE)*ins_pct</f>
        <v/>
      </c>
      <c r="AD311" s="49">
        <f>charge_berth</f>
        <v/>
      </c>
      <c r="AE311" s="49">
        <f>Y311+Z311+AA311+AB311+AC311+AD311</f>
        <v/>
      </c>
      <c r="AF311" s="49">
        <f>VLOOKUP(B311,country_opex,7,FALSE)/dep_years</f>
        <v/>
      </c>
      <c r="AG311" s="49">
        <f>X311-AE311</f>
        <v/>
      </c>
      <c r="AH311" s="46">
        <f>IF(X311=0,"",AG311/X311)</f>
        <v/>
      </c>
      <c r="AI311" s="47">
        <f>IF(AG311&lt;=0,"",VLOOKUP(B311,country_opex,7,FALSE)/AG311)</f>
        <v/>
      </c>
      <c r="AJ311" s="44">
        <f>((G311*S311/diesel_nmpg)*diesel_co2pg-(battery/range_nm)*G311*S311*VLOOKUP(B311,country_opex,4,FALSE))/1000</f>
        <v/>
      </c>
      <c r="AK311" s="42" t="n"/>
      <c r="AL311" s="43" t="n"/>
      <c r="AM311" s="43" t="n"/>
      <c r="AN311" s="50" t="n">
        <v>0.1</v>
      </c>
      <c r="AO311" s="45">
        <f>IF(AK311="","",AK311*AN311)</f>
        <v/>
      </c>
      <c r="AP311" s="45">
        <f>IF(OR(AK311="",V311=0),"",MIN(IF(AX311="",9.9E+99,AX311),FLOOR(AO311/V311,1)))</f>
        <v/>
      </c>
      <c r="AQ311" s="49">
        <f>IF(AP311="","",AP311*IF(ABS(MOD(ABS((X311)),1)-0.5)&lt;1E-9,2*ROUND((X311)/2,0),ROUND((X311),0)))</f>
        <v/>
      </c>
      <c r="AR311" s="47">
        <f>IF(OR(AK311="",V311=0),"",MIN(IF(AX311="",9.9E+99,AX311),AO311/V311))</f>
        <v/>
      </c>
      <c r="AS311" s="49">
        <f>IF(AR311="","",AR311*IF(B311="South Korea",IF(ABS(MOD(ABS((X311)),1)-0.5)&lt;1E-9,2*ROUND((X311)/2,0),ROUND((X311),0)),X311))</f>
        <v/>
      </c>
      <c r="AT311" s="51" t="n"/>
      <c r="AU311" s="43" t="inlineStr">
        <is>
          <t>Estimated</t>
        </is>
      </c>
      <c r="AV311" s="52" t="n"/>
      <c r="AW311" s="52" t="n"/>
      <c r="AX311" s="53" t="n"/>
      <c r="AY311" s="54">
        <f>IF(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&lt;=0,"",VLOOKUP(B311,country_opex,7,FALSE)/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)</f>
        <v/>
      </c>
      <c r="AZ311" s="54">
        <f>IF(((W311*pax_cap*IF(B311="South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Korea",korea_mid_revleg,revleg_mid)),0))*VLOOKUP(B311,country_opex,3,FALSE))+Z311+AA311+AB311+AC311+AD311))&lt;=0,"",VLOOKUP(B311,country_opex,7,FALSE)/((W311*pax_cap*IF(B311="South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Korea",korea_mid_revleg,revleg_mid)),0))*VLOOKUP(B311,country_opex,3,FALSE))+Z311+AA311+AB311+AC311+AD311)))</f>
        <v/>
      </c>
      <c r="BA311" s="54">
        <f>IF(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&lt;=0,"",VLOOKUP(B311,country_opex,7,FALSE)/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)</f>
        <v/>
      </c>
      <c r="BB311" s="40" t="inlineStr">
        <is>
          <t>PREMIUM scheduled per-seat: Capri-&gt;Positano fast ferry from ~EUR 28-29 one-way (positano.com / capri.com) x 1.08 = ~$31.</t>
        </is>
      </c>
      <c r="BC311" s="40" t="n"/>
      <c r="BD311" s="43" t="n"/>
    </row>
    <row r="312">
      <c r="A312" s="38" t="inlineStr">
        <is>
          <t>Bolt Italy</t>
        </is>
      </c>
      <c r="B312" s="38" t="inlineStr">
        <is>
          <t>Italy</t>
        </is>
      </c>
      <c r="C312" s="39" t="inlineStr">
        <is>
          <t>Sorrento → Capri</t>
        </is>
      </c>
      <c r="D312" s="38" t="inlineStr">
        <is>
          <t>bolt</t>
        </is>
      </c>
      <c r="E312" s="40" t="inlineStr">
        <is>
          <t>bolt-italy</t>
        </is>
      </c>
      <c r="F312" s="41" t="n">
        <v>1</v>
      </c>
      <c r="G312" s="42" t="n">
        <v>9.5</v>
      </c>
      <c r="H312" s="35" t="n">
        <v>28</v>
      </c>
      <c r="I312" s="43" t="inlineStr">
        <is>
          <t>T2</t>
        </is>
      </c>
      <c r="J312" s="43" t="inlineStr">
        <is>
          <t>med</t>
        </is>
      </c>
      <c r="K312" s="29" t="n">
        <v>1</v>
      </c>
      <c r="L312" s="44">
        <f>60*G312/cruise_kt</f>
        <v/>
      </c>
      <c r="M312" s="44">
        <f>IF(B312="South Korea",G312/korea_charge_range_nm*korea_full_range_charge_min,0)</f>
        <v/>
      </c>
      <c r="N312" s="44">
        <f>IF(B312="South Korea",L312+korea_turn_min+korea_dwell_min+M312,L312+turn_min+dwell_min)</f>
        <v/>
      </c>
      <c r="O312" s="45">
        <f>IF(B312="South Korea",FLOOR(60*korea_service_hr/N312,1),MIN(15,FLOOR(60*service_hr/N312,1)))</f>
        <v/>
      </c>
      <c r="P312" s="45">
        <f>IF(ABS(MOD(ABS((365*mech_uptime*K312)),1)-0.5)&lt;1E-9,2*ROUND((365*mech_uptime*K312)/2,0),ROUND((365*mech_uptime*K312),0))</f>
        <v/>
      </c>
      <c r="Q312" s="46">
        <f>mech_uptime</f>
        <v/>
      </c>
      <c r="R312" s="46">
        <f>IF(AND(B312="South Korea",scenario="MID"),korea_mid_revleg,revleg_sel)</f>
        <v/>
      </c>
      <c r="S312" s="45">
        <f>IF(ABS(MOD(ABS((O312*P312*R312)),1)-0.5)&lt;1E-9,2*ROUND((O312*P312*R312)/2,0),ROUND((O312*P312*R312),0))</f>
        <v/>
      </c>
      <c r="T312" s="46">
        <f>IF(AND(B312="South Korea",scenario="MID"),korea_mid_load,load_sel)</f>
        <v/>
      </c>
      <c r="U312" s="47">
        <f>pax_cap*T312</f>
        <v/>
      </c>
      <c r="V312" s="45">
        <f>U312*S312</f>
        <v/>
      </c>
      <c r="W312" s="48">
        <f>H312*discount</f>
        <v/>
      </c>
      <c r="X312" s="49">
        <f>W312*V312</f>
        <v/>
      </c>
      <c r="Y312" s="49">
        <f>(battery/range_nm)*G312*S312*VLOOKUP(B312,country_opex,3,FALSE)</f>
        <v/>
      </c>
      <c r="Z312" s="49">
        <f>VLOOKUP(B312,country_opex,2,FALSE)*crew_factor</f>
        <v/>
      </c>
      <c r="AA312" s="49">
        <f>VLOOKUP(B312,country_opex,5,FALSE)</f>
        <v/>
      </c>
      <c r="AB312" s="49">
        <f>maint</f>
        <v/>
      </c>
      <c r="AC312" s="49">
        <f>VLOOKUP(B312,country_opex,7,FALSE)*ins_pct</f>
        <v/>
      </c>
      <c r="AD312" s="49">
        <f>charge_berth</f>
        <v/>
      </c>
      <c r="AE312" s="49">
        <f>Y312+Z312+AA312+AB312+AC312+AD312</f>
        <v/>
      </c>
      <c r="AF312" s="49">
        <f>VLOOKUP(B312,country_opex,7,FALSE)/dep_years</f>
        <v/>
      </c>
      <c r="AG312" s="49">
        <f>X312-AE312</f>
        <v/>
      </c>
      <c r="AH312" s="46">
        <f>IF(X312=0,"",AG312/X312)</f>
        <v/>
      </c>
      <c r="AI312" s="47">
        <f>IF(AG312&lt;=0,"",VLOOKUP(B312,country_opex,7,FALSE)/AG312)</f>
        <v/>
      </c>
      <c r="AJ312" s="44">
        <f>((G312*S312/diesel_nmpg)*diesel_co2pg-(battery/range_nm)*G312*S312*VLOOKUP(B312,country_opex,4,FALSE))/1000</f>
        <v/>
      </c>
      <c r="AK312" s="42" t="n">
        <v>575000</v>
      </c>
      <c r="AL312" s="43" t="n"/>
      <c r="AM312" s="43" t="n"/>
      <c r="AN312" s="50" t="n">
        <v>0.1</v>
      </c>
      <c r="AO312" s="45">
        <f>IF(AK312="","",AK312*AN312)</f>
        <v/>
      </c>
      <c r="AP312" s="45">
        <f>IF(OR(AK312="",V312=0),"",MIN(IF(AX312="",9.9E+99,AX312),FLOOR(AO312/V312,1)))</f>
        <v/>
      </c>
      <c r="AQ312" s="49">
        <f>IF(AP312="","",AP312*IF(ABS(MOD(ABS((X312)),1)-0.5)&lt;1E-9,2*ROUND((X312)/2,0),ROUND((X312),0)))</f>
        <v/>
      </c>
      <c r="AR312" s="47">
        <f>IF(OR(AK312="",V312=0),"",MIN(IF(AX312="",9.9E+99,AX312),AO312/V312))</f>
        <v/>
      </c>
      <c r="AS312" s="49">
        <f>IF(AR312="","",AR312*IF(B312="South Korea",IF(ABS(MOD(ABS((X312)),1)-0.5)&lt;1E-9,2*ROUND((X312)/2,0),ROUND((X312),0)),X312))</f>
        <v/>
      </c>
      <c r="AT312" s="51" t="n"/>
      <c r="AU312" s="43" t="inlineStr">
        <is>
          <t>Grounded</t>
        </is>
      </c>
      <c r="AV312" s="52" t="n"/>
      <c r="AW312" s="52" t="n"/>
      <c r="AX312" s="53" t="n"/>
      <c r="AY312" s="54">
        <f>IF(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&lt;=0,"",VLOOKUP(B312,country_opex,7,FALSE)/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)</f>
        <v/>
      </c>
      <c r="AZ312" s="54">
        <f>IF(((W312*pax_cap*IF(B312="South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Korea",korea_mid_revleg,revleg_mid)),0))*VLOOKUP(B312,country_opex,3,FALSE))+Z312+AA312+AB312+AC312+AD312))&lt;=0,"",VLOOKUP(B312,country_opex,7,FALSE)/((W312*pax_cap*IF(B312="South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Korea",korea_mid_revleg,revleg_mid)),0))*VLOOKUP(B312,country_opex,3,FALSE))+Z312+AA312+AB312+AC312+AD312)))</f>
        <v/>
      </c>
      <c r="BA312" s="54">
        <f>IF(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&lt;=0,"",VLOOKUP(B312,country_opex,7,FALSE)/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)</f>
        <v/>
      </c>
      <c r="BB312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C312" s="40" t="n"/>
      <c r="BD312" s="43" t="n"/>
    </row>
    <row r="313">
      <c r="A313" s="38" t="inlineStr">
        <is>
          <t>Bolt Italy</t>
        </is>
      </c>
      <c r="B313" s="38" t="inlineStr">
        <is>
          <t>Italy</t>
        </is>
      </c>
      <c r="C313" s="39" t="inlineStr">
        <is>
          <t>Naples → Procida</t>
        </is>
      </c>
      <c r="D313" s="38" t="inlineStr">
        <is>
          <t>bolt</t>
        </is>
      </c>
      <c r="E313" s="40" t="inlineStr">
        <is>
          <t>bolt-italy</t>
        </is>
      </c>
      <c r="F313" s="41" t="n">
        <v>1</v>
      </c>
      <c r="G313" s="42" t="n">
        <v>12</v>
      </c>
      <c r="H313" s="35" t="n">
        <v>22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IF(B313="South Korea",G313/korea_charge_range_nm*korea_full_range_charge_min,0)</f>
        <v/>
      </c>
      <c r="N313" s="44">
        <f>IF(B313="South Korea",L313+korea_turn_min+korea_dwell_min+M313,L313+turn_min+dwell_min)</f>
        <v/>
      </c>
      <c r="O313" s="45">
        <f>IF(B313="South Korea",FLOOR(60*korea_service_hr/N313,1),MIN(15,FLOOR(60*service_hr/N313,1)))</f>
        <v/>
      </c>
      <c r="P313" s="45">
        <f>IF(ABS(MOD(ABS((365*mech_uptime*K313)),1)-0.5)&lt;1E-9,2*ROUND((365*mech_uptime*K313)/2,0),ROUND((365*mech_uptime*K313),0))</f>
        <v/>
      </c>
      <c r="Q313" s="46">
        <f>mech_uptime</f>
        <v/>
      </c>
      <c r="R313" s="46">
        <f>IF(AND(B313="South Korea",scenario="MID"),korea_mid_revleg,revleg_sel)</f>
        <v/>
      </c>
      <c r="S313" s="45">
        <f>IF(ABS(MOD(ABS((O313*P313*R313)),1)-0.5)&lt;1E-9,2*ROUND((O313*P313*R313)/2,0),ROUND((O313*P313*R313),0))</f>
        <v/>
      </c>
      <c r="T313" s="46">
        <f>IF(AND(B313="South Korea",scenario="MID"),korea_mid_load,load_sel)</f>
        <v/>
      </c>
      <c r="U313" s="47">
        <f>pax_cap*T313</f>
        <v/>
      </c>
      <c r="V313" s="45">
        <f>U313*S313</f>
        <v/>
      </c>
      <c r="W313" s="48">
        <f>H313*discount</f>
        <v/>
      </c>
      <c r="X313" s="49">
        <f>W313*V313</f>
        <v/>
      </c>
      <c r="Y313" s="49">
        <f>(battery/range_nm)*G313*S313*VLOOKUP(B313,country_opex,3,FALSE)</f>
        <v/>
      </c>
      <c r="Z313" s="49">
        <f>VLOOKUP(B313,country_opex,2,FALSE)*crew_factor</f>
        <v/>
      </c>
      <c r="AA313" s="49">
        <f>VLOOKUP(B313,country_opex,5,FALSE)</f>
        <v/>
      </c>
      <c r="AB313" s="49">
        <f>maint</f>
        <v/>
      </c>
      <c r="AC313" s="49">
        <f>VLOOKUP(B313,country_opex,7,FALSE)*ins_pct</f>
        <v/>
      </c>
      <c r="AD313" s="49">
        <f>charge_berth</f>
        <v/>
      </c>
      <c r="AE313" s="49">
        <f>Y313+Z313+AA313+AB313+AC313+AD313</f>
        <v/>
      </c>
      <c r="AF313" s="49">
        <f>VLOOKUP(B313,country_opex,7,FALSE)/dep_years</f>
        <v/>
      </c>
      <c r="AG313" s="49">
        <f>X313-AE313</f>
        <v/>
      </c>
      <c r="AH313" s="46">
        <f>IF(X313=0,"",AG313/X313)</f>
        <v/>
      </c>
      <c r="AI313" s="47">
        <f>IF(AG313&lt;=0,"",VLOOKUP(B313,country_opex,7,FALSE)/AG313)</f>
        <v/>
      </c>
      <c r="AJ313" s="44">
        <f>((G313*S313/diesel_nmpg)*diesel_co2pg-(battery/range_nm)*G313*S313*VLOOKUP(B313,country_opex,4,FALSE))/1000</f>
        <v/>
      </c>
      <c r="AK313" s="42" t="n">
        <v>240000</v>
      </c>
      <c r="AL313" s="43" t="n"/>
      <c r="AM313" s="43" t="n"/>
      <c r="AN313" s="50" t="n">
        <v>0.1</v>
      </c>
      <c r="AO313" s="45">
        <f>IF(AK313="","",AK313*AN313)</f>
        <v/>
      </c>
      <c r="AP313" s="45">
        <f>IF(OR(AK313="",V313=0),"",MIN(IF(AX313="",9.9E+99,AX313),FLOOR(AO313/V313,1)))</f>
        <v/>
      </c>
      <c r="AQ313" s="49">
        <f>IF(AP313="","",AP313*IF(ABS(MOD(ABS((X313)),1)-0.5)&lt;1E-9,2*ROUND((X313)/2,0),ROUND((X313),0)))</f>
        <v/>
      </c>
      <c r="AR313" s="47">
        <f>IF(OR(AK313="",V313=0),"",MIN(IF(AX313="",9.9E+99,AX313),AO313/V313))</f>
        <v/>
      </c>
      <c r="AS313" s="49">
        <f>IF(AR313="","",AR313*IF(B313="South Korea",IF(ABS(MOD(ABS((X313)),1)-0.5)&lt;1E-9,2*ROUND((X313)/2,0),ROUND((X313),0)),X313))</f>
        <v/>
      </c>
      <c r="AT313" s="51" t="n"/>
      <c r="AU313" s="43" t="inlineStr">
        <is>
          <t>Grounded</t>
        </is>
      </c>
      <c r="AV313" s="52" t="n"/>
      <c r="AW313" s="52" t="n"/>
      <c r="AX313" s="53" t="n"/>
      <c r="AY313" s="54">
        <f>IF(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&lt;=0,"",VLOOKUP(B313,country_opex,7,FALSE)/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)</f>
        <v/>
      </c>
      <c r="AZ313" s="54">
        <f>IF(((W313*pax_cap*IF(B313="South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Korea",korea_mid_revleg,revleg_mid)),0))*VLOOKUP(B313,country_opex,3,FALSE))+Z313+AA313+AB313+AC313+AD313))&lt;=0,"",VLOOKUP(B313,country_opex,7,FALSE)/((W313*pax_cap*IF(B313="South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Korea",korea_mid_revleg,revleg_mid)),0))*VLOOKUP(B313,country_opex,3,FALSE))+Z313+AA313+AB313+AC313+AD313)))</f>
        <v/>
      </c>
      <c r="BA313" s="54">
        <f>IF(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&lt;=0,"",VLOOKUP(B313,country_opex,7,FALSE)/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)</f>
        <v/>
      </c>
      <c r="BB313" s="40" t="inlineStr">
        <is>
          <t>PREMIUM scheduled per-seat = Caremar/SNAV hydrofoil Napoli(Beverello)-&gt;Procida ~EUR 19-22 one-way (visitprocida.com EUR 19-22; ferryhopper EUR 21.90) x 1.08 = ~$22.</t>
        </is>
      </c>
      <c r="BC313" s="40" t="n"/>
      <c r="BD313" s="43" t="n"/>
    </row>
    <row r="314">
      <c r="A314" s="38" t="inlineStr">
        <is>
          <t>Bolt Italy</t>
        </is>
      </c>
      <c r="B314" s="38" t="inlineStr">
        <is>
          <t>Italy</t>
        </is>
      </c>
      <c r="C314" s="39" t="inlineStr">
        <is>
          <t>Como → Bellagio</t>
        </is>
      </c>
      <c r="D314" s="38" t="inlineStr">
        <is>
          <t>bolt</t>
        </is>
      </c>
      <c r="E314" s="40" t="inlineStr">
        <is>
          <t>bolt-italy</t>
        </is>
      </c>
      <c r="F314" s="41" t="n">
        <v>1</v>
      </c>
      <c r="G314" s="42" t="n">
        <v>14</v>
      </c>
      <c r="H314" s="35" t="n">
        <v>13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IF(B314="South Korea",G314/korea_charge_range_nm*korea_full_range_charge_min,0)</f>
        <v/>
      </c>
      <c r="N314" s="44">
        <f>IF(B314="South Korea",L314+korea_turn_min+korea_dwell_min+M314,L314+turn_min+dwell_min)</f>
        <v/>
      </c>
      <c r="O314" s="45">
        <f>IF(B314="South Korea",FLOOR(60*korea_service_hr/N314,1),MIN(24,FLOOR(60*service_hr/N314,1)))</f>
        <v/>
      </c>
      <c r="P314" s="45">
        <f>IF(ABS(MOD(ABS((365*mech_uptime*K314)),1)-0.5)&lt;1E-9,2*ROUND((365*mech_uptime*K314)/2,0),ROUND((365*mech_uptime*K314),0))</f>
        <v/>
      </c>
      <c r="Q314" s="46">
        <f>mech_uptime</f>
        <v/>
      </c>
      <c r="R314" s="46">
        <f>IF(AND(B314="South Korea",scenario="MID"),korea_mid_revleg,revleg_sel)</f>
        <v/>
      </c>
      <c r="S314" s="45">
        <f>IF(ABS(MOD(ABS((O314*P314*R314)),1)-0.5)&lt;1E-9,2*ROUND((O314*P314*R314)/2,0),ROUND((O314*P314*R314),0))</f>
        <v/>
      </c>
      <c r="T314" s="46">
        <f>IF(AND(B314="South Korea",scenario="MID"),korea_mid_load,load_sel)</f>
        <v/>
      </c>
      <c r="U314" s="47">
        <f>pax_cap*T314</f>
        <v/>
      </c>
      <c r="V314" s="45">
        <f>U314*S314</f>
        <v/>
      </c>
      <c r="W314" s="48">
        <f>H314*discount</f>
        <v/>
      </c>
      <c r="X314" s="49">
        <f>W314*V314</f>
        <v/>
      </c>
      <c r="Y314" s="49">
        <f>(battery/range_nm)*G314*S314*VLOOKUP(B314,country_opex,3,FALSE)</f>
        <v/>
      </c>
      <c r="Z314" s="49">
        <f>VLOOKUP(B314,country_opex,2,FALSE)*crew_factor</f>
        <v/>
      </c>
      <c r="AA314" s="49">
        <f>VLOOKUP(B314,country_opex,5,FALSE)</f>
        <v/>
      </c>
      <c r="AB314" s="49">
        <f>maint</f>
        <v/>
      </c>
      <c r="AC314" s="49">
        <f>VLOOKUP(B314,country_opex,7,FALSE)*ins_pct</f>
        <v/>
      </c>
      <c r="AD314" s="49">
        <f>charge_berth</f>
        <v/>
      </c>
      <c r="AE314" s="49">
        <f>Y314+Z314+AA314+AB314+AC314+AD314</f>
        <v/>
      </c>
      <c r="AF314" s="49">
        <f>VLOOKUP(B314,country_opex,7,FALSE)/dep_years</f>
        <v/>
      </c>
      <c r="AG314" s="49">
        <f>X314-AE314</f>
        <v/>
      </c>
      <c r="AH314" s="46">
        <f>IF(X314=0,"",AG314/X314)</f>
        <v/>
      </c>
      <c r="AI314" s="47">
        <f>IF(AG314&lt;=0,"",VLOOKUP(B314,country_opex,7,FALSE)/AG314)</f>
        <v/>
      </c>
      <c r="AJ314" s="44">
        <f>((G314*S314/diesel_nmpg)*diesel_co2pg-(battery/range_nm)*G314*S314*VLOOKUP(B314,country_opex,4,FALSE))/1000</f>
        <v/>
      </c>
      <c r="AK314" s="42" t="n">
        <v>112000</v>
      </c>
      <c r="AL314" s="43" t="n"/>
      <c r="AM314" s="43" t="n"/>
      <c r="AN314" s="50" t="n">
        <v>0.1</v>
      </c>
      <c r="AO314" s="45">
        <f>IF(AK314="","",AK314*AN314)</f>
        <v/>
      </c>
      <c r="AP314" s="45">
        <f>IF(OR(AK314="",V314=0),"",MIN(IF(AX314="",9.9E+99,AX314),FLOOR(AO314/V314,1)))</f>
        <v/>
      </c>
      <c r="AQ314" s="49">
        <f>IF(AP314="","",AP314*IF(ABS(MOD(ABS((X314)),1)-0.5)&lt;1E-9,2*ROUND((X314)/2,0),ROUND((X314),0)))</f>
        <v/>
      </c>
      <c r="AR314" s="47">
        <f>IF(OR(AK314="",V314=0),"",MIN(IF(AX314="",9.9E+99,AX314),AO314/V314))</f>
        <v/>
      </c>
      <c r="AS314" s="49">
        <f>IF(AR314="","",AR314*IF(B314="South Korea",IF(ABS(MOD(ABS((X314)),1)-0.5)&lt;1E-9,2*ROUND((X314)/2,0),ROUND((X314),0)),X314))</f>
        <v/>
      </c>
      <c r="AT314" s="51" t="n"/>
      <c r="AU314" s="43" t="inlineStr">
        <is>
          <t>Grounded</t>
        </is>
      </c>
      <c r="AV314" s="52" t="n"/>
      <c r="AW314" s="52" t="n"/>
      <c r="AX314" s="53" t="n"/>
      <c r="AY314" s="54">
        <f>IF(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&lt;=0,"",VLOOKUP(B314,country_opex,7,FALSE)/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)</f>
        <v/>
      </c>
      <c r="AZ314" s="54">
        <f>IF(((W314*pax_cap*IF(B314="South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Korea",korea_mid_revleg,revleg_mid)),0))*VLOOKUP(B314,country_opex,3,FALSE))+Z314+AA314+AB314+AC314+AD314))&lt;=0,"",VLOOKUP(B314,country_opex,7,FALSE)/((W314*pax_cap*IF(B314="South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Korea",korea_mid_revleg,revleg_mid)),0))*VLOOKUP(B314,country_opex,3,FALSE))+Z314+AA314+AB314+AC314+AD314)))</f>
        <v/>
      </c>
      <c r="BA314" s="54">
        <f>IF(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&lt;=0,"",VLOOKUP(B314,country_opex,7,FALSE)/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)</f>
        <v/>
      </c>
      <c r="BB314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C314" s="40" t="n"/>
      <c r="BD314" s="43" t="n"/>
    </row>
    <row r="315">
      <c r="A315" s="38" t="inlineStr">
        <is>
          <t>Bolt Italy</t>
        </is>
      </c>
      <c r="B315" s="38" t="inlineStr">
        <is>
          <t>Italy</t>
        </is>
      </c>
      <c r="C315" s="39" t="inlineStr">
        <is>
          <t>Amalfi → Capri</t>
        </is>
      </c>
      <c r="D315" s="38" t="inlineStr">
        <is>
          <t>bolt</t>
        </is>
      </c>
      <c r="E315" s="40" t="inlineStr">
        <is>
          <t>bolt-italy</t>
        </is>
      </c>
      <c r="F315" s="41" t="n">
        <v>1</v>
      </c>
      <c r="G315" s="42" t="n">
        <v>16</v>
      </c>
      <c r="H315" s="35" t="n">
        <v>33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IF(B315="South Korea",G315/korea_charge_range_nm*korea_full_range_charge_min,0)</f>
        <v/>
      </c>
      <c r="N315" s="44">
        <f>IF(B315="South Korea",L315+korea_turn_min+korea_dwell_min+M315,L315+turn_min+dwell_min)</f>
        <v/>
      </c>
      <c r="O315" s="45">
        <f>IF(B315="South Korea",FLOOR(60*korea_service_hr/N315,1),MIN(15,FLOOR(60*service_hr/N315,1)))</f>
        <v/>
      </c>
      <c r="P315" s="45">
        <f>IF(ABS(MOD(ABS((365*mech_uptime*K315)),1)-0.5)&lt;1E-9,2*ROUND((365*mech_uptime*K315)/2,0),ROUND((365*mech_uptime*K315),0))</f>
        <v/>
      </c>
      <c r="Q315" s="46">
        <f>mech_uptime</f>
        <v/>
      </c>
      <c r="R315" s="46">
        <f>IF(AND(B315="South Korea",scenario="MID"),korea_mid_revleg,revleg_sel)</f>
        <v/>
      </c>
      <c r="S315" s="45">
        <f>IF(ABS(MOD(ABS((O315*P315*R315)),1)-0.5)&lt;1E-9,2*ROUND((O315*P315*R315)/2,0),ROUND((O315*P315*R315),0))</f>
        <v/>
      </c>
      <c r="T315" s="46">
        <f>IF(AND(B315="South Korea",scenario="MID"),korea_mid_load,load_sel)</f>
        <v/>
      </c>
      <c r="U315" s="47">
        <f>pax_cap*T315</f>
        <v/>
      </c>
      <c r="V315" s="45">
        <f>U315*S315</f>
        <v/>
      </c>
      <c r="W315" s="48">
        <f>H315*discount</f>
        <v/>
      </c>
      <c r="X315" s="49">
        <f>W315*V315</f>
        <v/>
      </c>
      <c r="Y315" s="49">
        <f>(battery/range_nm)*G315*S315*VLOOKUP(B315,country_opex,3,FALSE)</f>
        <v/>
      </c>
      <c r="Z315" s="49">
        <f>VLOOKUP(B315,country_opex,2,FALSE)*crew_factor</f>
        <v/>
      </c>
      <c r="AA315" s="49">
        <f>VLOOKUP(B315,country_opex,5,FALSE)</f>
        <v/>
      </c>
      <c r="AB315" s="49">
        <f>maint</f>
        <v/>
      </c>
      <c r="AC315" s="49">
        <f>VLOOKUP(B315,country_opex,7,FALSE)*ins_pct</f>
        <v/>
      </c>
      <c r="AD315" s="49">
        <f>charge_berth</f>
        <v/>
      </c>
      <c r="AE315" s="49">
        <f>Y315+Z315+AA315+AB315+AC315+AD315</f>
        <v/>
      </c>
      <c r="AF315" s="49">
        <f>VLOOKUP(B315,country_opex,7,FALSE)/dep_years</f>
        <v/>
      </c>
      <c r="AG315" s="49">
        <f>X315-AE315</f>
        <v/>
      </c>
      <c r="AH315" s="46">
        <f>IF(X315=0,"",AG315/X315)</f>
        <v/>
      </c>
      <c r="AI315" s="47">
        <f>IF(AG315&lt;=0,"",VLOOKUP(B315,country_opex,7,FALSE)/AG315)</f>
        <v/>
      </c>
      <c r="AJ315" s="44">
        <f>((G315*S315/diesel_nmpg)*diesel_co2pg-(battery/range_nm)*G315*S315*VLOOKUP(B315,country_opex,4,FALSE))/1000</f>
        <v/>
      </c>
      <c r="AK315" s="42" t="n">
        <v>138000</v>
      </c>
      <c r="AL315" s="43" t="n"/>
      <c r="AM315" s="43" t="n"/>
      <c r="AN315" s="50" t="n">
        <v>0.1</v>
      </c>
      <c r="AO315" s="45">
        <f>IF(AK315="","",AK315*AN315)</f>
        <v/>
      </c>
      <c r="AP315" s="45">
        <f>IF(OR(AK315="",V315=0),"",MIN(IF(AX315="",9.9E+99,AX315),FLOOR(AO315/V315,1)))</f>
        <v/>
      </c>
      <c r="AQ315" s="49">
        <f>IF(AP315="","",AP315*IF(ABS(MOD(ABS((X315)),1)-0.5)&lt;1E-9,2*ROUND((X315)/2,0),ROUND((X315),0)))</f>
        <v/>
      </c>
      <c r="AR315" s="47">
        <f>IF(OR(AK315="",V315=0),"",MIN(IF(AX315="",9.9E+99,AX315),AO315/V315))</f>
        <v/>
      </c>
      <c r="AS315" s="49">
        <f>IF(AR315="","",AR315*IF(B315="South Korea",IF(ABS(MOD(ABS((X315)),1)-0.5)&lt;1E-9,2*ROUND((X315)/2,0),ROUND((X315),0)),X315))</f>
        <v/>
      </c>
      <c r="AT315" s="51" t="n"/>
      <c r="AU315" s="43" t="inlineStr">
        <is>
          <t>Grounded</t>
        </is>
      </c>
      <c r="AV315" s="52" t="n"/>
      <c r="AW315" s="52" t="n"/>
      <c r="AX315" s="53" t="n"/>
      <c r="AY315" s="54">
        <f>IF(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&lt;=0,"",VLOOKUP(B315,country_opex,7,FALSE)/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)</f>
        <v/>
      </c>
      <c r="AZ315" s="54">
        <f>IF(((W315*pax_cap*IF(B315="South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Korea",korea_mid_revleg,revleg_mid)),0))*VLOOKUP(B315,country_opex,3,FALSE))+Z315+AA315+AB315+AC315+AD315))&lt;=0,"",VLOOKUP(B315,country_opex,7,FALSE)/((W315*pax_cap*IF(B315="South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Korea",korea_mid_revleg,revleg_mid)),0))*VLOOKUP(B315,country_opex,3,FALSE))+Z315+AA315+AB315+AC315+AD315)))</f>
        <v/>
      </c>
      <c r="BA315" s="54">
        <f>IF(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&lt;=0,"",VLOOKUP(B315,country_opex,7,FALSE)/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)</f>
        <v/>
      </c>
      <c r="BB315" s="40" t="inlineStr">
        <is>
          <t>PREMIUM scheduled per-seat: Amalfi-&gt;Capri fast ferry ~EUR 26-28 one-way (capri.com) + EUR 5 Capri landing = ~EUR 31-33 x 1.08 = ~$33.</t>
        </is>
      </c>
      <c r="BC315" s="40" t="n"/>
      <c r="BD315" s="43" t="n"/>
    </row>
    <row r="316">
      <c r="A316" s="38" t="inlineStr">
        <is>
          <t>Bolt Italy</t>
        </is>
      </c>
      <c r="B316" s="38" t="inlineStr">
        <is>
          <t>Italy</t>
        </is>
      </c>
      <c r="C316" s="39" t="inlineStr">
        <is>
          <t>Naples → Sorrento</t>
        </is>
      </c>
      <c r="D316" s="38" t="inlineStr">
        <is>
          <t>bolt</t>
        </is>
      </c>
      <c r="E316" s="40" t="inlineStr">
        <is>
          <t>bolt-italy</t>
        </is>
      </c>
      <c r="F316" s="41" t="n">
        <v>1</v>
      </c>
      <c r="G316" s="42" t="n">
        <v>16</v>
      </c>
      <c r="H316" s="35" t="n"/>
      <c r="I316" s="43" t="n"/>
      <c r="J316" s="43" t="n"/>
      <c r="K316" s="29" t="n">
        <v>1</v>
      </c>
      <c r="L316" s="44">
        <f>60*G316/cruise_kt</f>
        <v/>
      </c>
      <c r="M316" s="44">
        <f>IF(B316="South Korea",G316/korea_charge_range_nm*korea_full_range_charge_min,0)</f>
        <v/>
      </c>
      <c r="N316" s="44">
        <f>IF(B316="South Korea",L316+korea_turn_min+korea_dwell_min+M316,L316+turn_min+dwell_min)</f>
        <v/>
      </c>
      <c r="O316" s="45">
        <f>IF(B316="South Korea",FLOOR(60*korea_service_hr/N316,1),MIN(24,FLOOR(60*service_hr/N316,1)))</f>
        <v/>
      </c>
      <c r="P316" s="45">
        <f>IF(ABS(MOD(ABS((365*mech_uptime*K316)),1)-0.5)&lt;1E-9,2*ROUND((365*mech_uptime*K316)/2,0),ROUND((365*mech_uptime*K316),0))</f>
        <v/>
      </c>
      <c r="Q316" s="46">
        <f>mech_uptime</f>
        <v/>
      </c>
      <c r="R316" s="46">
        <f>IF(AND(B316="South Korea",scenario="MID"),korea_mid_revleg,revleg_sel)</f>
        <v/>
      </c>
      <c r="S316" s="45">
        <f>IF(ABS(MOD(ABS((O316*P316*R316)),1)-0.5)&lt;1E-9,2*ROUND((O316*P316*R316)/2,0),ROUND((O316*P316*R316),0))</f>
        <v/>
      </c>
      <c r="T316" s="46">
        <f>IF(AND(B316="South Korea",scenario="MID"),korea_mid_load,load_sel)</f>
        <v/>
      </c>
      <c r="U316" s="47">
        <f>pax_cap*T316</f>
        <v/>
      </c>
      <c r="V316" s="45">
        <f>U316*S316</f>
        <v/>
      </c>
      <c r="W316" s="48">
        <f>H316*discount</f>
        <v/>
      </c>
      <c r="X316" s="49">
        <f>W316*V316</f>
        <v/>
      </c>
      <c r="Y316" s="49">
        <f>(battery/range_nm)*G316*S316*VLOOKUP(B316,country_opex,3,FALSE)</f>
        <v/>
      </c>
      <c r="Z316" s="49">
        <f>VLOOKUP(B316,country_opex,2,FALSE)*crew_factor</f>
        <v/>
      </c>
      <c r="AA316" s="49">
        <f>VLOOKUP(B316,country_opex,5,FALSE)</f>
        <v/>
      </c>
      <c r="AB316" s="49">
        <f>maint</f>
        <v/>
      </c>
      <c r="AC316" s="49">
        <f>VLOOKUP(B316,country_opex,7,FALSE)*ins_pct</f>
        <v/>
      </c>
      <c r="AD316" s="49">
        <f>charge_berth</f>
        <v/>
      </c>
      <c r="AE316" s="49">
        <f>Y316+Z316+AA316+AB316+AC316+AD316</f>
        <v/>
      </c>
      <c r="AF316" s="49">
        <f>VLOOKUP(B316,country_opex,7,FALSE)/dep_years</f>
        <v/>
      </c>
      <c r="AG316" s="49">
        <f>X316-AE316</f>
        <v/>
      </c>
      <c r="AH316" s="46">
        <f>IF(X316=0,"",AG316/X316)</f>
        <v/>
      </c>
      <c r="AI316" s="47">
        <f>IF(AG316&lt;=0,"",VLOOKUP(B316,country_opex,7,FALSE)/AG316)</f>
        <v/>
      </c>
      <c r="AJ316" s="44">
        <f>((G316*S316/diesel_nmpg)*diesel_co2pg-(battery/range_nm)*G316*S316*VLOOKUP(B316,country_opex,4,FALSE))/1000</f>
        <v/>
      </c>
      <c r="AK316" s="42" t="n">
        <v>200000</v>
      </c>
      <c r="AL316" s="43" t="n"/>
      <c r="AM316" s="43" t="n"/>
      <c r="AN316" s="50" t="n">
        <v>0.1</v>
      </c>
      <c r="AO316" s="45">
        <f>IF(AK316="","",AK316*AN316)</f>
        <v/>
      </c>
      <c r="AP316" s="45">
        <f>IF(OR(AK316="",V316=0),"",MIN(IF(AX316="",9.9E+99,AX316),FLOOR(AO316/V316,1)))</f>
        <v/>
      </c>
      <c r="AQ316" s="49">
        <f>IF(AP316="","",AP316*IF(ABS(MOD(ABS((X316)),1)-0.5)&lt;1E-9,2*ROUND((X316)/2,0),ROUND((X316),0)))</f>
        <v/>
      </c>
      <c r="AR316" s="47">
        <f>IF(OR(AK316="",V316=0),"",MIN(IF(AX316="",9.9E+99,AX316),AO316/V316))</f>
        <v/>
      </c>
      <c r="AS316" s="49">
        <f>IF(AR316="","",AR316*IF(B316="South Korea",IF(ABS(MOD(ABS((X316)),1)-0.5)&lt;1E-9,2*ROUND((X316)/2,0),ROUND((X316),0)),X316))</f>
        <v/>
      </c>
      <c r="AT316" s="51" t="n"/>
      <c r="AU316" s="43" t="inlineStr">
        <is>
          <t>Estimated</t>
        </is>
      </c>
      <c r="AV316" s="52" t="n"/>
      <c r="AW316" s="52" t="n"/>
      <c r="AX316" s="53" t="n"/>
      <c r="AY316" s="54">
        <f>IF(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&lt;=0,"",VLOOKUP(B316,country_opex,7,FALSE)/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)</f>
        <v/>
      </c>
      <c r="AZ316" s="54">
        <f>IF(((W316*pax_cap*IF(B316="South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Korea",korea_mid_revleg,revleg_mid)),0))*VLOOKUP(B316,country_opex,3,FALSE))+Z316+AA316+AB316+AC316+AD316))&lt;=0,"",VLOOKUP(B316,country_opex,7,FALSE)/((W316*pax_cap*IF(B316="South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Korea",korea_mid_revleg,revleg_mid)),0))*VLOOKUP(B316,country_opex,3,FALSE))+Z316+AA316+AB316+AC316+AD316)))</f>
        <v/>
      </c>
      <c r="BA316" s="54">
        <f>IF(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&lt;=0,"",VLOOKUP(B316,country_opex,7,FALSE)/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)</f>
        <v/>
      </c>
      <c r="BB316" s="40" t="n"/>
      <c r="BC316" s="40" t="n"/>
      <c r="BD316" s="43" t="n"/>
    </row>
    <row r="317">
      <c r="A317" s="38" t="inlineStr">
        <is>
          <t>Bolt Italy</t>
        </is>
      </c>
      <c r="B317" s="38" t="inlineStr">
        <is>
          <t>Italy</t>
        </is>
      </c>
      <c r="C317" s="39" t="inlineStr">
        <is>
          <t>Naples → Capri</t>
        </is>
      </c>
      <c r="D317" s="38" t="inlineStr">
        <is>
          <t>bolt</t>
        </is>
      </c>
      <c r="E317" s="40" t="inlineStr">
        <is>
          <t>bolt-italy</t>
        </is>
      </c>
      <c r="F317" s="41" t="n">
        <v>1</v>
      </c>
      <c r="G317" s="42" t="n">
        <v>17</v>
      </c>
      <c r="H317" s="35" t="n">
        <v>32</v>
      </c>
      <c r="I317" s="43" t="inlineStr">
        <is>
          <t>T2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IF(B317="South Korea",G317/korea_charge_range_nm*korea_full_range_charge_min,0)</f>
        <v/>
      </c>
      <c r="N317" s="44">
        <f>IF(B317="South Korea",L317+korea_turn_min+korea_dwell_min+M317,L317+turn_min+dwell_min)</f>
        <v/>
      </c>
      <c r="O317" s="45">
        <f>IF(B317="South Korea",FLOOR(60*korea_service_hr/N317,1),MIN(15,FLOOR(60*service_hr/N317,1)))</f>
        <v/>
      </c>
      <c r="P317" s="45">
        <f>IF(ABS(MOD(ABS((365*mech_uptime*K317)),1)-0.5)&lt;1E-9,2*ROUND((365*mech_uptime*K317)/2,0),ROUND((365*mech_uptime*K317),0))</f>
        <v/>
      </c>
      <c r="Q317" s="46">
        <f>mech_uptime</f>
        <v/>
      </c>
      <c r="R317" s="46">
        <f>IF(AND(B317="South Korea",scenario="MID"),korea_mid_revleg,revleg_sel)</f>
        <v/>
      </c>
      <c r="S317" s="45">
        <f>IF(ABS(MOD(ABS((O317*P317*R317)),1)-0.5)&lt;1E-9,2*ROUND((O317*P317*R317)/2,0),ROUND((O317*P317*R317),0))</f>
        <v/>
      </c>
      <c r="T317" s="46">
        <f>IF(AND(B317="South Korea",scenario="MID"),korea_mid_load,load_sel)</f>
        <v/>
      </c>
      <c r="U317" s="47">
        <f>pax_cap*T317</f>
        <v/>
      </c>
      <c r="V317" s="45">
        <f>U317*S317</f>
        <v/>
      </c>
      <c r="W317" s="48">
        <f>H317*discount</f>
        <v/>
      </c>
      <c r="X317" s="49">
        <f>W317*V317</f>
        <v/>
      </c>
      <c r="Y317" s="49">
        <f>(battery/range_nm)*G317*S317*VLOOKUP(B317,country_opex,3,FALSE)</f>
        <v/>
      </c>
      <c r="Z317" s="49">
        <f>VLOOKUP(B317,country_opex,2,FALSE)*crew_factor</f>
        <v/>
      </c>
      <c r="AA317" s="49">
        <f>VLOOKUP(B317,country_opex,5,FALSE)</f>
        <v/>
      </c>
      <c r="AB317" s="49">
        <f>maint</f>
        <v/>
      </c>
      <c r="AC317" s="49">
        <f>VLOOKUP(B317,country_opex,7,FALSE)*ins_pct</f>
        <v/>
      </c>
      <c r="AD317" s="49">
        <f>charge_berth</f>
        <v/>
      </c>
      <c r="AE317" s="49">
        <f>Y317+Z317+AA317+AB317+AC317+AD317</f>
        <v/>
      </c>
      <c r="AF317" s="49">
        <f>VLOOKUP(B317,country_opex,7,FALSE)/dep_years</f>
        <v/>
      </c>
      <c r="AG317" s="49">
        <f>X317-AE317</f>
        <v/>
      </c>
      <c r="AH317" s="46">
        <f>IF(X317=0,"",AG317/X317)</f>
        <v/>
      </c>
      <c r="AI317" s="47">
        <f>IF(AG317&lt;=0,"",VLOOKUP(B317,country_opex,7,FALSE)/AG317)</f>
        <v/>
      </c>
      <c r="AJ317" s="44">
        <f>((G317*S317/diesel_nmpg)*diesel_co2pg-(battery/range_nm)*G317*S317*VLOOKUP(B317,country_opex,4,FALSE))/1000</f>
        <v/>
      </c>
      <c r="AK317" s="42" t="n">
        <v>1265000</v>
      </c>
      <c r="AL317" s="43" t="n"/>
      <c r="AM317" s="43" t="n"/>
      <c r="AN317" s="50" t="n">
        <v>0.1</v>
      </c>
      <c r="AO317" s="45">
        <f>IF(AK317="","",AK317*AN317)</f>
        <v/>
      </c>
      <c r="AP317" s="45">
        <f>IF(OR(AK317="",V317=0),"",MIN(IF(AX317="",9.9E+99,AX317),FLOOR(AO317/V317,1)))</f>
        <v/>
      </c>
      <c r="AQ317" s="49">
        <f>IF(AP317="","",AP317*IF(ABS(MOD(ABS((X317)),1)-0.5)&lt;1E-9,2*ROUND((X317)/2,0),ROUND((X317),0)))</f>
        <v/>
      </c>
      <c r="AR317" s="47">
        <f>IF(OR(AK317="",V317=0),"",MIN(IF(AX317="",9.9E+99,AX317),AO317/V317))</f>
        <v/>
      </c>
      <c r="AS317" s="49">
        <f>IF(AR317="","",AR317*IF(B317="South Korea",IF(ABS(MOD(ABS((X317)),1)-0.5)&lt;1E-9,2*ROUND((X317)/2,0),ROUND((X317),0)),X317))</f>
        <v/>
      </c>
      <c r="AT317" s="51" t="n"/>
      <c r="AU317" s="43" t="inlineStr">
        <is>
          <t>Grounded</t>
        </is>
      </c>
      <c r="AV317" s="52" t="n"/>
      <c r="AW317" s="52" t="n"/>
      <c r="AX317" s="53" t="n"/>
      <c r="AY317" s="54">
        <f>IF(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&lt;=0,"",VLOOKUP(B317,country_opex,7,FALSE)/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)</f>
        <v/>
      </c>
      <c r="AZ317" s="54">
        <f>IF(((W317*pax_cap*IF(B317="South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Korea",korea_mid_revleg,revleg_mid)),0))*VLOOKUP(B317,country_opex,3,FALSE))+Z317+AA317+AB317+AC317+AD317))&lt;=0,"",VLOOKUP(B317,country_opex,7,FALSE)/((W317*pax_cap*IF(B317="South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Korea",korea_mid_revleg,revleg_mid)),0))*VLOOKUP(B317,country_opex,3,FALSE))+Z317+AA317+AB317+AC317+AD317)))</f>
        <v/>
      </c>
      <c r="BA317" s="54">
        <f>IF(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&lt;=0,"",VLOOKUP(B317,country_opex,7,FALSE)/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)</f>
        <v/>
      </c>
      <c r="BB317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C317" s="40" t="n"/>
      <c r="BD317" s="43" t="n"/>
    </row>
    <row r="318">
      <c r="A318" s="38" t="inlineStr">
        <is>
          <t>Bolt Italy</t>
        </is>
      </c>
      <c r="B318" s="38" t="inlineStr">
        <is>
          <t>Italy</t>
        </is>
      </c>
      <c r="C318" s="39" t="inlineStr">
        <is>
          <t>Naples → Ischia</t>
        </is>
      </c>
      <c r="D318" s="38" t="inlineStr">
        <is>
          <t>bolt</t>
        </is>
      </c>
      <c r="E318" s="40" t="inlineStr">
        <is>
          <t>bolt-italy</t>
        </is>
      </c>
      <c r="F318" s="41" t="n">
        <v>1</v>
      </c>
      <c r="G318" s="42" t="n">
        <v>18</v>
      </c>
      <c r="H318" s="35" t="n">
        <v>25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IF(B318="South Korea",G318/korea_charge_range_nm*korea_full_range_charge_min,0)</f>
        <v/>
      </c>
      <c r="N318" s="44">
        <f>IF(B318="South Korea",L318+korea_turn_min+korea_dwell_min+M318,L318+turn_min+dwell_min)</f>
        <v/>
      </c>
      <c r="O318" s="45">
        <f>IF(B318="South Korea",FLOOR(60*korea_service_hr/N318,1),MIN(15,FLOOR(60*service_hr/N318,1)))</f>
        <v/>
      </c>
      <c r="P318" s="45">
        <f>IF(ABS(MOD(ABS((365*mech_uptime*K318)),1)-0.5)&lt;1E-9,2*ROUND((365*mech_uptime*K318)/2,0),ROUND((365*mech_uptime*K318),0))</f>
        <v/>
      </c>
      <c r="Q318" s="46">
        <f>mech_uptime</f>
        <v/>
      </c>
      <c r="R318" s="46">
        <f>IF(AND(B318="South Korea",scenario="MID"),korea_mid_revleg,revleg_sel)</f>
        <v/>
      </c>
      <c r="S318" s="45">
        <f>IF(ABS(MOD(ABS((O318*P318*R318)),1)-0.5)&lt;1E-9,2*ROUND((O318*P318*R318)/2,0),ROUND((O318*P318*R318),0))</f>
        <v/>
      </c>
      <c r="T318" s="46">
        <f>IF(AND(B318="South Korea",scenario="MID"),korea_mid_load,load_sel)</f>
        <v/>
      </c>
      <c r="U318" s="47">
        <f>pax_cap*T318</f>
        <v/>
      </c>
      <c r="V318" s="45">
        <f>U318*S318</f>
        <v/>
      </c>
      <c r="W318" s="48">
        <f>H318*discount</f>
        <v/>
      </c>
      <c r="X318" s="49">
        <f>W318*V318</f>
        <v/>
      </c>
      <c r="Y318" s="49">
        <f>(battery/range_nm)*G318*S318*VLOOKUP(B318,country_opex,3,FALSE)</f>
        <v/>
      </c>
      <c r="Z318" s="49">
        <f>VLOOKUP(B318,country_opex,2,FALSE)*crew_factor</f>
        <v/>
      </c>
      <c r="AA318" s="49">
        <f>VLOOKUP(B318,country_opex,5,FALSE)</f>
        <v/>
      </c>
      <c r="AB318" s="49">
        <f>maint</f>
        <v/>
      </c>
      <c r="AC318" s="49">
        <f>VLOOKUP(B318,country_opex,7,FALSE)*ins_pct</f>
        <v/>
      </c>
      <c r="AD318" s="49">
        <f>charge_berth</f>
        <v/>
      </c>
      <c r="AE318" s="49">
        <f>Y318+Z318+AA318+AB318+AC318+AD318</f>
        <v/>
      </c>
      <c r="AF318" s="49">
        <f>VLOOKUP(B318,country_opex,7,FALSE)/dep_years</f>
        <v/>
      </c>
      <c r="AG318" s="49">
        <f>X318-AE318</f>
        <v/>
      </c>
      <c r="AH318" s="46">
        <f>IF(X318=0,"",AG318/X318)</f>
        <v/>
      </c>
      <c r="AI318" s="47">
        <f>IF(AG318&lt;=0,"",VLOOKUP(B318,country_opex,7,FALSE)/AG318)</f>
        <v/>
      </c>
      <c r="AJ318" s="44">
        <f>((G318*S318/diesel_nmpg)*diesel_co2pg-(battery/range_nm)*G318*S318*VLOOKUP(B318,country_opex,4,FALSE))/1000</f>
        <v/>
      </c>
      <c r="AK318" s="42" t="n">
        <v>675000</v>
      </c>
      <c r="AL318" s="43" t="n"/>
      <c r="AM318" s="43" t="n"/>
      <c r="AN318" s="50" t="n">
        <v>0.1</v>
      </c>
      <c r="AO318" s="45">
        <f>IF(AK318="","",AK318*AN318)</f>
        <v/>
      </c>
      <c r="AP318" s="45">
        <f>IF(OR(AK318="",V318=0),"",MIN(IF(AX318="",9.9E+99,AX318),FLOOR(AO318/V318,1)))</f>
        <v/>
      </c>
      <c r="AQ318" s="49">
        <f>IF(AP318="","",AP318*IF(ABS(MOD(ABS((X318)),1)-0.5)&lt;1E-9,2*ROUND((X318)/2,0),ROUND((X318),0)))</f>
        <v/>
      </c>
      <c r="AR318" s="47">
        <f>IF(OR(AK318="",V318=0),"",MIN(IF(AX318="",9.9E+99,AX318),AO318/V318))</f>
        <v/>
      </c>
      <c r="AS318" s="49">
        <f>IF(AR318="","",AR318*IF(B318="South Korea",IF(ABS(MOD(ABS((X318)),1)-0.5)&lt;1E-9,2*ROUND((X318)/2,0),ROUND((X318),0)),X318))</f>
        <v/>
      </c>
      <c r="AT318" s="51" t="n"/>
      <c r="AU318" s="43" t="inlineStr">
        <is>
          <t>Grounded</t>
        </is>
      </c>
      <c r="AV318" s="52" t="n"/>
      <c r="AW318" s="52" t="n"/>
      <c r="AX318" s="53" t="n"/>
      <c r="AY318" s="54">
        <f>IF(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&lt;=0,"",VLOOKUP(B318,country_opex,7,FALSE)/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)</f>
        <v/>
      </c>
      <c r="AZ318" s="54">
        <f>IF(((W318*pax_cap*IF(B318="South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Korea",korea_mid_revleg,revleg_mid)),0))*VLOOKUP(B318,country_opex,3,FALSE))+Z318+AA318+AB318+AC318+AD318))&lt;=0,"",VLOOKUP(B318,country_opex,7,FALSE)/((W318*pax_cap*IF(B318="South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Korea",korea_mid_revleg,revleg_mid)),0))*VLOOKUP(B318,country_opex,3,FALSE))+Z318+AA318+AB318+AC318+AD318)))</f>
        <v/>
      </c>
      <c r="BA318" s="54">
        <f>IF(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&lt;=0,"",VLOOKUP(B318,country_opex,7,FALSE)/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)</f>
        <v/>
      </c>
      <c r="BB318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C318" s="40" t="n"/>
      <c r="BD318" s="43" t="n"/>
    </row>
    <row r="319">
      <c r="A319" s="38" t="inlineStr">
        <is>
          <t>Bolt Italy</t>
        </is>
      </c>
      <c r="B319" s="38" t="inlineStr">
        <is>
          <t>Italy</t>
        </is>
      </c>
      <c r="C319" s="39" t="inlineStr">
        <is>
          <t>Portofino → Cinque Terre</t>
        </is>
      </c>
      <c r="D319" s="38" t="inlineStr">
        <is>
          <t>bolt</t>
        </is>
      </c>
      <c r="E319" s="40" t="inlineStr">
        <is>
          <t>bolt-italy</t>
        </is>
      </c>
      <c r="F319" s="41" t="n">
        <v>1</v>
      </c>
      <c r="G319" s="42" t="n">
        <v>22</v>
      </c>
      <c r="H319" s="35" t="n">
        <v>37.8</v>
      </c>
      <c r="I319" s="43" t="inlineStr">
        <is>
          <t>T2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IF(B319="South Korea",G319/korea_charge_range_nm*korea_full_range_charge_min,0)</f>
        <v/>
      </c>
      <c r="N319" s="44">
        <f>IF(B319="South Korea",L319+korea_turn_min+korea_dwell_min+M319,L319+turn_min+dwell_min)</f>
        <v/>
      </c>
      <c r="O319" s="45">
        <f>IF(B319="South Korea",FLOOR(60*korea_service_hr/N319,1),MIN(15,FLOOR(60*service_hr/N319,1)))</f>
        <v/>
      </c>
      <c r="P319" s="45">
        <f>IF(ABS(MOD(ABS((365*mech_uptime*K319)),1)-0.5)&lt;1E-9,2*ROUND((365*mech_uptime*K319)/2,0),ROUND((365*mech_uptime*K319),0))</f>
        <v/>
      </c>
      <c r="Q319" s="46">
        <f>mech_uptime</f>
        <v/>
      </c>
      <c r="R319" s="46">
        <f>IF(AND(B319="South Korea",scenario="MID"),korea_mid_revleg,revleg_sel)</f>
        <v/>
      </c>
      <c r="S319" s="45">
        <f>IF(ABS(MOD(ABS((O319*P319*R319)),1)-0.5)&lt;1E-9,2*ROUND((O319*P319*R319)/2,0),ROUND((O319*P319*R319),0))</f>
        <v/>
      </c>
      <c r="T319" s="46">
        <f>IF(AND(B319="South Korea",scenario="MID"),korea_mid_load,load_sel)</f>
        <v/>
      </c>
      <c r="U319" s="47">
        <f>pax_cap*T319</f>
        <v/>
      </c>
      <c r="V319" s="45">
        <f>U319*S319</f>
        <v/>
      </c>
      <c r="W319" s="48">
        <f>H319*discount</f>
        <v/>
      </c>
      <c r="X319" s="49">
        <f>W319*V319</f>
        <v/>
      </c>
      <c r="Y319" s="49">
        <f>(battery/range_nm)*G319*S319*VLOOKUP(B319,country_opex,3,FALSE)</f>
        <v/>
      </c>
      <c r="Z319" s="49">
        <f>VLOOKUP(B319,country_opex,2,FALSE)*crew_factor</f>
        <v/>
      </c>
      <c r="AA319" s="49">
        <f>VLOOKUP(B319,country_opex,5,FALSE)</f>
        <v/>
      </c>
      <c r="AB319" s="49">
        <f>maint</f>
        <v/>
      </c>
      <c r="AC319" s="49">
        <f>VLOOKUP(B319,country_opex,7,FALSE)*ins_pct</f>
        <v/>
      </c>
      <c r="AD319" s="49">
        <f>charge_berth</f>
        <v/>
      </c>
      <c r="AE319" s="49">
        <f>Y319+Z319+AA319+AB319+AC319+AD319</f>
        <v/>
      </c>
      <c r="AF319" s="49">
        <f>VLOOKUP(B319,country_opex,7,FALSE)/dep_years</f>
        <v/>
      </c>
      <c r="AG319" s="49">
        <f>X319-AE319</f>
        <v/>
      </c>
      <c r="AH319" s="46">
        <f>IF(X319=0,"",AG319/X319)</f>
        <v/>
      </c>
      <c r="AI319" s="47">
        <f>IF(AG319&lt;=0,"",VLOOKUP(B319,country_opex,7,FALSE)/AG319)</f>
        <v/>
      </c>
      <c r="AJ319" s="44">
        <f>((G319*S319/diesel_nmpg)*diesel_co2pg-(battery/range_nm)*G319*S319*VLOOKUP(B319,country_opex,4,FALSE))/1000</f>
        <v/>
      </c>
      <c r="AK319" s="42" t="n">
        <v>40000</v>
      </c>
      <c r="AL319" s="43" t="n"/>
      <c r="AM319" s="43" t="n"/>
      <c r="AN319" s="50" t="n">
        <v>0.1</v>
      </c>
      <c r="AO319" s="45">
        <f>IF(AK319="","",AK319*AN319)</f>
        <v/>
      </c>
      <c r="AP319" s="45">
        <f>IF(OR(AK319="",V319=0),"",MIN(IF(AX319="",9.9E+99,AX319),FLOOR(AO319/V319,1)))</f>
        <v/>
      </c>
      <c r="AQ319" s="49">
        <f>IF(AP319="","",AP319*IF(ABS(MOD(ABS((X319)),1)-0.5)&lt;1E-9,2*ROUND((X319)/2,0),ROUND((X319),0)))</f>
        <v/>
      </c>
      <c r="AR319" s="47">
        <f>IF(OR(AK319="",V319=0),"",MIN(IF(AX319="",9.9E+99,AX319),AO319/V319))</f>
        <v/>
      </c>
      <c r="AS319" s="49">
        <f>IF(AR319="","",AR319*IF(B319="South Korea",IF(ABS(MOD(ABS((X319)),1)-0.5)&lt;1E-9,2*ROUND((X319)/2,0),ROUND((X319),0)),X319))</f>
        <v/>
      </c>
      <c r="AT319" s="51" t="n"/>
      <c r="AU319" s="43" t="inlineStr">
        <is>
          <t>Estimated</t>
        </is>
      </c>
      <c r="AV319" s="52" t="n"/>
      <c r="AW319" s="52" t="n"/>
      <c r="AX319" s="53" t="n"/>
      <c r="AY319" s="54">
        <f>IF(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&lt;=0,"",VLOOKUP(B319,country_opex,7,FALSE)/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)</f>
        <v/>
      </c>
      <c r="AZ319" s="54">
        <f>IF(((W319*pax_cap*IF(B319="South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Korea",korea_mid_revleg,revleg_mid)),0))*VLOOKUP(B319,country_opex,3,FALSE))+Z319+AA319+AB319+AC319+AD319))&lt;=0,"",VLOOKUP(B319,country_opex,7,FALSE)/((W319*pax_cap*IF(B319="South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Korea",korea_mid_revleg,revleg_mid)),0))*VLOOKUP(B319,country_opex,3,FALSE))+Z319+AA319+AB319+AC319+AD319)))</f>
        <v/>
      </c>
      <c r="BA319" s="54">
        <f>IF(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&lt;=0,"",VLOOKUP(B319,country_opex,7,FALSE)/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)</f>
        <v/>
      </c>
      <c r="BB319" s="40" t="inlineStr">
        <is>
          <t>PREMIUM scheduled per-seat: Golfo Paradiso Portofino-&gt;Cinque Terre EUR 35 one-way (A/R EUR 50) x 1.08 = ~$37.8.</t>
        </is>
      </c>
      <c r="BC319" s="40" t="n"/>
      <c r="BD319" s="43" t="n"/>
    </row>
    <row r="320">
      <c r="A320" s="38" t="inlineStr">
        <is>
          <t>Yango Caspian Kz</t>
        </is>
      </c>
      <c r="B320" s="38" t="inlineStr">
        <is>
          <t>Kazakhstan</t>
        </is>
      </c>
      <c r="C320" s="39" t="inlineStr">
        <is>
          <t>Aktau Port → Kuryk</t>
        </is>
      </c>
      <c r="D320" s="38" t="inlineStr">
        <is>
          <t>yango</t>
        </is>
      </c>
      <c r="E320" s="40" t="inlineStr">
        <is>
          <t>yango-caspian-kz</t>
        </is>
      </c>
      <c r="F320" s="41" t="n">
        <v>1</v>
      </c>
      <c r="G320" s="42" t="n">
        <v>35</v>
      </c>
      <c r="H320" s="35" t="n"/>
      <c r="I320" s="43" t="inlineStr">
        <is>
          <t>T5</t>
        </is>
      </c>
      <c r="J320" s="43" t="inlineStr">
        <is>
          <t>low</t>
        </is>
      </c>
      <c r="K320" s="29" t="n">
        <v>1</v>
      </c>
      <c r="L320" s="44">
        <f>60*G320/cruise_kt</f>
        <v/>
      </c>
      <c r="M320" s="44">
        <f>IF(B320="South Korea",G320/korea_charge_range_nm*korea_full_range_charge_min,0)</f>
        <v/>
      </c>
      <c r="N320" s="44">
        <f>IF(B320="South Korea",L320+korea_turn_min+korea_dwell_min+M320,L320+turn_min+dwell_min)</f>
        <v/>
      </c>
      <c r="O320" s="45">
        <f>IF(B320="South Korea",FLOOR(60*korea_service_hr/N320,1),MIN(15,FLOOR(60*service_hr/N320,1)))</f>
        <v/>
      </c>
      <c r="P320" s="45">
        <f>IF(ABS(MOD(ABS((365*mech_uptime*K320)),1)-0.5)&lt;1E-9,2*ROUND((365*mech_uptime*K320)/2,0),ROUND((365*mech_uptime*K320),0))</f>
        <v/>
      </c>
      <c r="Q320" s="46">
        <f>mech_uptime</f>
        <v/>
      </c>
      <c r="R320" s="46">
        <f>IF(AND(B320="South Korea",scenario="MID"),korea_mid_revleg,revleg_sel)</f>
        <v/>
      </c>
      <c r="S320" s="45">
        <f>IF(ABS(MOD(ABS((O320*P320*R320)),1)-0.5)&lt;1E-9,2*ROUND((O320*P320*R320)/2,0),ROUND((O320*P320*R320),0))</f>
        <v/>
      </c>
      <c r="T320" s="46">
        <f>IF(AND(B320="South Korea",scenario="MID"),korea_mid_load,load_sel)</f>
        <v/>
      </c>
      <c r="U320" s="47">
        <f>pax_cap*T320</f>
        <v/>
      </c>
      <c r="V320" s="45">
        <f>U320*S320</f>
        <v/>
      </c>
      <c r="W320" s="48">
        <f>H320*discount</f>
        <v/>
      </c>
      <c r="X320" s="49">
        <f>W320*V320</f>
        <v/>
      </c>
      <c r="Y320" s="49">
        <f>(battery/range_nm)*G320*S320*VLOOKUP(B320,country_opex,3,FALSE)</f>
        <v/>
      </c>
      <c r="Z320" s="49">
        <f>VLOOKUP(B320,country_opex,2,FALSE)*crew_factor</f>
        <v/>
      </c>
      <c r="AA320" s="49">
        <f>VLOOKUP(B320,country_opex,5,FALSE)</f>
        <v/>
      </c>
      <c r="AB320" s="49">
        <f>maint</f>
        <v/>
      </c>
      <c r="AC320" s="49">
        <f>VLOOKUP(B320,country_opex,7,FALSE)*ins_pct</f>
        <v/>
      </c>
      <c r="AD320" s="49">
        <f>charge_berth</f>
        <v/>
      </c>
      <c r="AE320" s="49">
        <f>Y320+Z320+AA320+AB320+AC320+AD320</f>
        <v/>
      </c>
      <c r="AF320" s="49">
        <f>VLOOKUP(B320,country_opex,7,FALSE)/dep_years</f>
        <v/>
      </c>
      <c r="AG320" s="49">
        <f>X320-AE320</f>
        <v/>
      </c>
      <c r="AH320" s="46">
        <f>IF(X320=0,"",AG320/X320)</f>
        <v/>
      </c>
      <c r="AI320" s="47">
        <f>IF(AG320&lt;=0,"",VLOOKUP(B320,country_opex,7,FALSE)/AG320)</f>
        <v/>
      </c>
      <c r="AJ320" s="44">
        <f>((G320*S320/diesel_nmpg)*diesel_co2pg-(battery/range_nm)*G320*S320*VLOOKUP(B320,country_opex,4,FALSE))/1000</f>
        <v/>
      </c>
      <c r="AK320" s="42" t="n"/>
      <c r="AL320" s="43" t="inlineStr">
        <is>
          <t>T5</t>
        </is>
      </c>
      <c r="AM320" s="43" t="inlineStr">
        <is>
          <t>low</t>
        </is>
      </c>
      <c r="AN320" s="50" t="n">
        <v>0.1</v>
      </c>
      <c r="AO320" s="45">
        <f>IF(AK320="","",AK320*AN320)</f>
        <v/>
      </c>
      <c r="AP320" s="45">
        <f>IF(OR(AK320="",V320=0),"",MIN(IF(AX320="",9.9E+99,AX320),FLOOR(AO320/V320,1)))</f>
        <v/>
      </c>
      <c r="AQ320" s="49">
        <f>IF(AP320="","",AP320*IF(ABS(MOD(ABS((X320)),1)-0.5)&lt;1E-9,2*ROUND((X320)/2,0),ROUND((X320),0)))</f>
        <v/>
      </c>
      <c r="AR320" s="47">
        <f>IF(OR(AK320="",V320=0),"",MIN(IF(AX320="",9.9E+99,AX320),AO320/V320))</f>
        <v/>
      </c>
      <c r="AS320" s="49">
        <f>IF(AR320="","",AR320*IF(B320="South Korea",IF(ABS(MOD(ABS((X320)),1)-0.5)&lt;1E-9,2*ROUND((X320)/2,0),ROUND((X320),0)),X320))</f>
        <v/>
      </c>
      <c r="AT320" s="51" t="n"/>
      <c r="AU320" s="43" t="inlineStr">
        <is>
          <t>Estimated</t>
        </is>
      </c>
      <c r="AV320" s="52" t="n"/>
      <c r="AW320" s="52" t="n"/>
      <c r="AX320" s="53" t="n"/>
      <c r="AY320" s="54">
        <f>IF(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&lt;=0,"",VLOOKUP(B320,country_opex,7,FALSE)/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)</f>
        <v/>
      </c>
      <c r="AZ320" s="54">
        <f>IF(((W320*pax_cap*IF(B320="South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Korea",korea_mid_revleg,revleg_mid)),0))*VLOOKUP(B320,country_opex,3,FALSE))+Z320+AA320+AB320+AC320+AD320))&lt;=0,"",VLOOKUP(B320,country_opex,7,FALSE)/((W320*pax_cap*IF(B320="South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Korea",korea_mid_revleg,revleg_mid)),0))*VLOOKUP(B320,country_opex,3,FALSE))+Z320+AA320+AB320+AC320+AD320)))</f>
        <v/>
      </c>
      <c r="BA320" s="54">
        <f>IF(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&lt;=0,"",VLOOKUP(B320,country_opex,7,FALSE)/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)</f>
        <v/>
      </c>
      <c r="BB320" s="40" t="inlineStr">
        <is>
          <t>TBD — Tier-B headline placeholder</t>
        </is>
      </c>
      <c r="BC320" s="40" t="inlineStr">
        <is>
          <t>TBD — Tier-B headline placeholder</t>
        </is>
      </c>
      <c r="BD320" s="43" t="inlineStr">
        <is>
          <t>rn-84e9fb31da5c</t>
        </is>
      </c>
    </row>
    <row r="321">
      <c r="A321" s="38" t="inlineStr">
        <is>
          <t>Yango Caspian Kz</t>
        </is>
      </c>
      <c r="B321" s="38" t="inlineStr">
        <is>
          <t>Kazakhstan</t>
        </is>
      </c>
      <c r="C321" s="39" t="inlineStr">
        <is>
          <t>Aktau (Aktau Sea Port / city seafront) → Bautino / Fort-Shevchenko (Tupkaragan peninsula)</t>
        </is>
      </c>
      <c r="D321" s="38" t="inlineStr">
        <is>
          <t>yango</t>
        </is>
      </c>
      <c r="E321" s="40" t="inlineStr">
        <is>
          <t>yango-caspian-kz</t>
        </is>
      </c>
      <c r="F321" s="41" t="n">
        <v>1</v>
      </c>
      <c r="G321" s="42" t="n">
        <v>55</v>
      </c>
      <c r="H321" s="35" t="n">
        <v>50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IF(B321="South Korea",G321/korea_charge_range_nm*korea_full_range_charge_min,0)</f>
        <v/>
      </c>
      <c r="N321" s="44">
        <f>IF(B321="South Korea",L321+korea_turn_min+korea_dwell_min+M321,L321+turn_min+dwell_min)</f>
        <v/>
      </c>
      <c r="O321" s="45">
        <f>IF(B321="South Korea",FLOOR(60*korea_service_hr/N321,1),MIN(24,FLOOR(60*service_hr/N321,1)))</f>
        <v/>
      </c>
      <c r="P321" s="45">
        <f>IF(ABS(MOD(ABS((365*mech_uptime*K321)),1)-0.5)&lt;1E-9,2*ROUND((365*mech_uptime*K321)/2,0),ROUND((365*mech_uptime*K321),0))</f>
        <v/>
      </c>
      <c r="Q321" s="46">
        <f>mech_uptime</f>
        <v/>
      </c>
      <c r="R321" s="46">
        <f>IF(AND(B321="South Korea",scenario="MID"),korea_mid_revleg,revleg_sel)</f>
        <v/>
      </c>
      <c r="S321" s="45">
        <f>IF(ABS(MOD(ABS((O321*P321*R321)),1)-0.5)&lt;1E-9,2*ROUND((O321*P321*R321)/2,0),ROUND((O321*P321*R321),0))</f>
        <v/>
      </c>
      <c r="T321" s="46">
        <f>IF(AND(B321="South Korea",scenario="MID"),korea_mid_load,load_sel)</f>
        <v/>
      </c>
      <c r="U321" s="47">
        <f>pax_cap*T321</f>
        <v/>
      </c>
      <c r="V321" s="45">
        <f>U321*S321</f>
        <v/>
      </c>
      <c r="W321" s="48">
        <f>H321*discount</f>
        <v/>
      </c>
      <c r="X321" s="49">
        <f>W321*V321</f>
        <v/>
      </c>
      <c r="Y321" s="49">
        <f>(battery/range_nm)*G321*S321*VLOOKUP(B321,country_opex,3,FALSE)</f>
        <v/>
      </c>
      <c r="Z321" s="49">
        <f>VLOOKUP(B321,country_opex,2,FALSE)*crew_factor</f>
        <v/>
      </c>
      <c r="AA321" s="49">
        <f>VLOOKUP(B321,country_opex,5,FALSE)</f>
        <v/>
      </c>
      <c r="AB321" s="49">
        <f>maint</f>
        <v/>
      </c>
      <c r="AC321" s="49">
        <f>VLOOKUP(B321,country_opex,7,FALSE)*ins_pct</f>
        <v/>
      </c>
      <c r="AD321" s="49">
        <f>charge_berth</f>
        <v/>
      </c>
      <c r="AE321" s="49">
        <f>Y321+Z321+AA321+AB321+AC321+AD321</f>
        <v/>
      </c>
      <c r="AF321" s="49">
        <f>VLOOKUP(B321,country_opex,7,FALSE)/dep_years</f>
        <v/>
      </c>
      <c r="AG321" s="49">
        <f>X321-AE321</f>
        <v/>
      </c>
      <c r="AH321" s="46">
        <f>IF(X321=0,"",AG321/X321)</f>
        <v/>
      </c>
      <c r="AI321" s="47">
        <f>IF(AG321&lt;=0,"",VLOOKUP(B321,country_opex,7,FALSE)/AG321)</f>
        <v/>
      </c>
      <c r="AJ321" s="44">
        <f>((G321*S321/diesel_nmpg)*diesel_co2pg-(battery/range_nm)*G321*S321*VLOOKUP(B321,country_opex,4,FALSE))/1000</f>
        <v/>
      </c>
      <c r="AK321" s="42" t="n"/>
      <c r="AL321" s="43" t="n"/>
      <c r="AM321" s="43" t="n"/>
      <c r="AN321" s="50" t="n">
        <v>0.1</v>
      </c>
      <c r="AO321" s="45">
        <f>IF(AK321="","",AK321*AN321)</f>
        <v/>
      </c>
      <c r="AP321" s="45">
        <f>IF(OR(AK321="",V321=0),"",MIN(IF(AX321="",9.9E+99,AX321),FLOOR(AO321/V321,1)))</f>
        <v/>
      </c>
      <c r="AQ321" s="49">
        <f>IF(AP321="","",AP321*IF(ABS(MOD(ABS((X321)),1)-0.5)&lt;1E-9,2*ROUND((X321)/2,0),ROUND((X321),0)))</f>
        <v/>
      </c>
      <c r="AR321" s="47">
        <f>IF(OR(AK321="",V321=0),"",MIN(IF(AX321="",9.9E+99,AX321),AO321/V321))</f>
        <v/>
      </c>
      <c r="AS321" s="49">
        <f>IF(AR321="","",AR321*IF(B321="South Korea",IF(ABS(MOD(ABS((X321)),1)-0.5)&lt;1E-9,2*ROUND((X321)/2,0),ROUND((X321),0)),X321))</f>
        <v/>
      </c>
      <c r="AT321" s="51" t="n"/>
      <c r="AU321" s="43" t="inlineStr">
        <is>
          <t>Estimated</t>
        </is>
      </c>
      <c r="AV321" s="52" t="n"/>
      <c r="AW321" s="52" t="n"/>
      <c r="AX321" s="53" t="n"/>
      <c r="AY321" s="54">
        <f>IF(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&lt;=0,"",VLOOKUP(B321,country_opex,7,FALSE)/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)</f>
        <v/>
      </c>
      <c r="AZ321" s="54">
        <f>IF(((W321*pax_cap*IF(B321="South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Korea",korea_mid_revleg,revleg_mid)),0))*VLOOKUP(B321,country_opex,3,FALSE))+Z321+AA321+AB321+AC321+AD321))&lt;=0,"",VLOOKUP(B321,country_opex,7,FALSE)/((W321*pax_cap*IF(B321="South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Korea",korea_mid_revleg,revleg_mid)),0))*VLOOKUP(B321,country_opex,3,FALSE))+Z321+AA321+AB321+AC321+AD321)))</f>
        <v/>
      </c>
      <c r="BA321" s="54">
        <f>IF(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&lt;=0,"",VLOOKUP(B321,country_opex,7,FALSE)/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)</f>
        <v/>
      </c>
      <c r="BB321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C321" s="40" t="n"/>
      <c r="BD321" s="43" t="n"/>
    </row>
    <row r="322">
      <c r="A322" s="38" t="inlineStr">
        <is>
          <t>Yango Caspian Kz</t>
        </is>
      </c>
      <c r="B322" s="38" t="inlineStr">
        <is>
          <t>Kazakhstan</t>
        </is>
      </c>
      <c r="C322" s="39" t="inlineStr">
        <is>
          <t>Aktau (Aktau Sea Port / city seafront) → Kenderli (Kenderli Bay resort zone)</t>
        </is>
      </c>
      <c r="D322" s="38" t="inlineStr">
        <is>
          <t>yango</t>
        </is>
      </c>
      <c r="E322" s="40" t="inlineStr">
        <is>
          <t>yango-caspian-kz</t>
        </is>
      </c>
      <c r="F322" s="41" t="n">
        <v>1</v>
      </c>
      <c r="G322" s="42" t="n">
        <v>65</v>
      </c>
      <c r="H322" s="35" t="n">
        <v>50</v>
      </c>
      <c r="I322" s="43" t="inlineStr">
        <is>
          <t>T2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IF(B322="South Korea",G322/korea_charge_range_nm*korea_full_range_charge_min,0)</f>
        <v/>
      </c>
      <c r="N322" s="44">
        <f>IF(B322="South Korea",L322+korea_turn_min+korea_dwell_min+M322,L322+turn_min+dwell_min)</f>
        <v/>
      </c>
      <c r="O322" s="45">
        <f>IF(B322="South Korea",FLOOR(60*korea_service_hr/N322,1),MIN(15,FLOOR(60*service_hr/N322,1)))</f>
        <v/>
      </c>
      <c r="P322" s="45">
        <f>IF(ABS(MOD(ABS((365*mech_uptime*K322)),1)-0.5)&lt;1E-9,2*ROUND((365*mech_uptime*K322)/2,0),ROUND((365*mech_uptime*K322),0))</f>
        <v/>
      </c>
      <c r="Q322" s="46">
        <f>mech_uptime</f>
        <v/>
      </c>
      <c r="R322" s="46">
        <f>IF(AND(B322="South Korea",scenario="MID"),korea_mid_revleg,revleg_sel)</f>
        <v/>
      </c>
      <c r="S322" s="45">
        <f>IF(ABS(MOD(ABS((O322*P322*R322)),1)-0.5)&lt;1E-9,2*ROUND((O322*P322*R322)/2,0),ROUND((O322*P322*R322),0))</f>
        <v/>
      </c>
      <c r="T322" s="46">
        <f>IF(AND(B322="South Korea",scenario="MID"),korea_mid_load,load_sel)</f>
        <v/>
      </c>
      <c r="U322" s="47">
        <f>pax_cap*T322</f>
        <v/>
      </c>
      <c r="V322" s="45">
        <f>U322*S322</f>
        <v/>
      </c>
      <c r="W322" s="48">
        <f>H322*discount</f>
        <v/>
      </c>
      <c r="X322" s="49">
        <f>W322*V322</f>
        <v/>
      </c>
      <c r="Y322" s="49">
        <f>(battery/range_nm)*G322*S322*VLOOKUP(B322,country_opex,3,FALSE)</f>
        <v/>
      </c>
      <c r="Z322" s="49">
        <f>VLOOKUP(B322,country_opex,2,FALSE)*crew_factor</f>
        <v/>
      </c>
      <c r="AA322" s="49">
        <f>VLOOKUP(B322,country_opex,5,FALSE)</f>
        <v/>
      </c>
      <c r="AB322" s="49">
        <f>maint</f>
        <v/>
      </c>
      <c r="AC322" s="49">
        <f>VLOOKUP(B322,country_opex,7,FALSE)*ins_pct</f>
        <v/>
      </c>
      <c r="AD322" s="49">
        <f>charge_berth</f>
        <v/>
      </c>
      <c r="AE322" s="49">
        <f>Y322+Z322+AA322+AB322+AC322+AD322</f>
        <v/>
      </c>
      <c r="AF322" s="49">
        <f>VLOOKUP(B322,country_opex,7,FALSE)/dep_years</f>
        <v/>
      </c>
      <c r="AG322" s="49">
        <f>X322-AE322</f>
        <v/>
      </c>
      <c r="AH322" s="46">
        <f>IF(X322=0,"",AG322/X322)</f>
        <v/>
      </c>
      <c r="AI322" s="47">
        <f>IF(AG322&lt;=0,"",VLOOKUP(B322,country_opex,7,FALSE)/AG322)</f>
        <v/>
      </c>
      <c r="AJ322" s="44">
        <f>((G322*S322/diesel_nmpg)*diesel_co2pg-(battery/range_nm)*G322*S322*VLOOKUP(B322,country_opex,4,FALSE))/1000</f>
        <v/>
      </c>
      <c r="AK322" s="42" t="n"/>
      <c r="AL322" s="43" t="n"/>
      <c r="AM322" s="43" t="n"/>
      <c r="AN322" s="50" t="n">
        <v>0.1</v>
      </c>
      <c r="AO322" s="45">
        <f>IF(AK322="","",AK322*AN322)</f>
        <v/>
      </c>
      <c r="AP322" s="45">
        <f>IF(OR(AK322="",V322=0),"",MIN(IF(AX322="",9.9E+99,AX322),FLOOR(AO322/V322,1)))</f>
        <v/>
      </c>
      <c r="AQ322" s="49">
        <f>IF(AP322="","",AP322*IF(ABS(MOD(ABS((X322)),1)-0.5)&lt;1E-9,2*ROUND((X322)/2,0),ROUND((X322),0)))</f>
        <v/>
      </c>
      <c r="AR322" s="47">
        <f>IF(OR(AK322="",V322=0),"",MIN(IF(AX322="",9.9E+99,AX322),AO322/V322))</f>
        <v/>
      </c>
      <c r="AS322" s="49">
        <f>IF(AR322="","",AR322*IF(B322="South Korea",IF(ABS(MOD(ABS((X322)),1)-0.5)&lt;1E-9,2*ROUND((X322)/2,0),ROUND((X322),0)),X322))</f>
        <v/>
      </c>
      <c r="AT322" s="51" t="n"/>
      <c r="AU322" s="43" t="inlineStr">
        <is>
          <t>Estimated</t>
        </is>
      </c>
      <c r="AV322" s="52" t="n"/>
      <c r="AW322" s="52" t="n"/>
      <c r="AX322" s="53" t="n"/>
      <c r="AY322" s="54">
        <f>IF(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&lt;=0,"",VLOOKUP(B322,country_opex,7,FALSE)/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)</f>
        <v/>
      </c>
      <c r="AZ322" s="54">
        <f>IF(((W322*pax_cap*IF(B322="South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Korea",korea_mid_revleg,revleg_mid)),0))*VLOOKUP(B322,country_opex,3,FALSE))+Z322+AA322+AB322+AC322+AD322))&lt;=0,"",VLOOKUP(B322,country_opex,7,FALSE)/((W322*pax_cap*IF(B322="South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Korea",korea_mid_revleg,revleg_mid)),0))*VLOOKUP(B322,country_opex,3,FALSE))+Z322+AA322+AB322+AC322+AD322)))</f>
        <v/>
      </c>
      <c r="BA322" s="54">
        <f>IF(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&lt;=0,"",VLOOKUP(B322,country_opex,7,FALSE)/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)</f>
        <v/>
      </c>
      <c r="BB322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C322" s="40" t="n"/>
      <c r="BD322" s="43" t="inlineStr">
        <is>
          <t>rn-04c7dc2ee73a</t>
        </is>
      </c>
    </row>
    <row r="323">
      <c r="A323" s="38" t="inlineStr">
        <is>
          <t>Bolt Lebanon</t>
        </is>
      </c>
      <c r="B323" s="38" t="inlineStr">
        <is>
          <t>Lebanon</t>
        </is>
      </c>
      <c r="C323" s="39" t="inlineStr">
        <is>
          <t>Jounieh → Byblos (Jbeil)</t>
        </is>
      </c>
      <c r="D323" s="38" t="inlineStr">
        <is>
          <t>bolt</t>
        </is>
      </c>
      <c r="E323" s="40" t="inlineStr">
        <is>
          <t>bolt-lebanon</t>
        </is>
      </c>
      <c r="F323" s="41" t="n">
        <v>1</v>
      </c>
      <c r="G323" s="42" t="n">
        <v>8.4</v>
      </c>
      <c r="H323" s="35" t="n">
        <v>55</v>
      </c>
      <c r="I323" s="43" t="inlineStr">
        <is>
          <t>T2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IF(B323="South Korea",G323/korea_charge_range_nm*korea_full_range_charge_min,0)</f>
        <v/>
      </c>
      <c r="N323" s="44">
        <f>IF(B323="South Korea",L323+korea_turn_min+korea_dwell_min+M323,L323+turn_min+dwell_min)</f>
        <v/>
      </c>
      <c r="O323" s="45">
        <f>IF(B323="South Korea",FLOOR(60*korea_service_hr/N323,1),MIN(24,FLOOR(60*service_hr/N323,1)))</f>
        <v/>
      </c>
      <c r="P323" s="45">
        <f>IF(ABS(MOD(ABS((365*mech_uptime*K323)),1)-0.5)&lt;1E-9,2*ROUND((365*mech_uptime*K323)/2,0),ROUND((365*mech_uptime*K323),0))</f>
        <v/>
      </c>
      <c r="Q323" s="46">
        <f>mech_uptime</f>
        <v/>
      </c>
      <c r="R323" s="46">
        <f>IF(AND(B323="South Korea",scenario="MID"),korea_mid_revleg,revleg_sel)</f>
        <v/>
      </c>
      <c r="S323" s="45">
        <f>IF(ABS(MOD(ABS((O323*P323*R323)),1)-0.5)&lt;1E-9,2*ROUND((O323*P323*R323)/2,0),ROUND((O323*P323*R323),0))</f>
        <v/>
      </c>
      <c r="T323" s="46">
        <f>IF(AND(B323="South Korea",scenario="MID"),korea_mid_load,load_sel)</f>
        <v/>
      </c>
      <c r="U323" s="47">
        <f>pax_cap*T323</f>
        <v/>
      </c>
      <c r="V323" s="45">
        <f>U323*S323</f>
        <v/>
      </c>
      <c r="W323" s="48">
        <f>H323*discount</f>
        <v/>
      </c>
      <c r="X323" s="49">
        <f>W323*V323</f>
        <v/>
      </c>
      <c r="Y323" s="49">
        <f>(battery/range_nm)*G323*S323*VLOOKUP(B323,country_opex,3,FALSE)</f>
        <v/>
      </c>
      <c r="Z323" s="49">
        <f>VLOOKUP(B323,country_opex,2,FALSE)*crew_factor</f>
        <v/>
      </c>
      <c r="AA323" s="49">
        <f>VLOOKUP(B323,country_opex,5,FALSE)</f>
        <v/>
      </c>
      <c r="AB323" s="49">
        <f>maint</f>
        <v/>
      </c>
      <c r="AC323" s="49">
        <f>VLOOKUP(B323,country_opex,7,FALSE)*ins_pct</f>
        <v/>
      </c>
      <c r="AD323" s="49">
        <f>charge_berth</f>
        <v/>
      </c>
      <c r="AE323" s="49">
        <f>Y323+Z323+AA323+AB323+AC323+AD323</f>
        <v/>
      </c>
      <c r="AF323" s="49">
        <f>VLOOKUP(B323,country_opex,7,FALSE)/dep_years</f>
        <v/>
      </c>
      <c r="AG323" s="49">
        <f>X323-AE323</f>
        <v/>
      </c>
      <c r="AH323" s="46">
        <f>IF(X323=0,"",AG323/X323)</f>
        <v/>
      </c>
      <c r="AI323" s="47">
        <f>IF(AG323&lt;=0,"",VLOOKUP(B323,country_opex,7,FALSE)/AG323)</f>
        <v/>
      </c>
      <c r="AJ323" s="44">
        <f>((G323*S323/diesel_nmpg)*diesel_co2pg-(battery/range_nm)*G323*S323*VLOOKUP(B323,country_opex,4,FALSE))/1000</f>
        <v/>
      </c>
      <c r="AK323" s="42" t="n"/>
      <c r="AL323" s="43" t="n"/>
      <c r="AM323" s="43" t="n"/>
      <c r="AN323" s="50" t="n">
        <v>0.1</v>
      </c>
      <c r="AO323" s="45">
        <f>IF(AK323="","",AK323*AN323)</f>
        <v/>
      </c>
      <c r="AP323" s="45">
        <f>IF(OR(AK323="",V323=0),"",MIN(IF(AX323="",9.9E+99,AX323),FLOOR(AO323/V323,1)))</f>
        <v/>
      </c>
      <c r="AQ323" s="49">
        <f>IF(AP323="","",AP323*IF(ABS(MOD(ABS((X323)),1)-0.5)&lt;1E-9,2*ROUND((X323)/2,0),ROUND((X323),0)))</f>
        <v/>
      </c>
      <c r="AR323" s="47">
        <f>IF(OR(AK323="",V323=0),"",MIN(IF(AX323="",9.9E+99,AX323),AO323/V323))</f>
        <v/>
      </c>
      <c r="AS323" s="49">
        <f>IF(AR323="","",AR323*IF(B323="South Korea",IF(ABS(MOD(ABS((X323)),1)-0.5)&lt;1E-9,2*ROUND((X323)/2,0),ROUND((X323),0)),X323))</f>
        <v/>
      </c>
      <c r="AT323" s="51" t="n"/>
      <c r="AU323" s="43" t="inlineStr">
        <is>
          <t>Estimated</t>
        </is>
      </c>
      <c r="AV323" s="52" t="n"/>
      <c r="AW323" s="52" t="n"/>
      <c r="AX323" s="53" t="n"/>
      <c r="AY323" s="54">
        <f>IF(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&lt;=0,"",VLOOKUP(B323,country_opex,7,FALSE)/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)</f>
        <v/>
      </c>
      <c r="AZ323" s="54">
        <f>IF(((W323*pax_cap*IF(B323="South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Korea",korea_mid_revleg,revleg_mid)),0))*VLOOKUP(B323,country_opex,3,FALSE))+Z323+AA323+AB323+AC323+AD323))&lt;=0,"",VLOOKUP(B323,country_opex,7,FALSE)/((W323*pax_cap*IF(B323="South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Korea",korea_mid_revleg,revleg_mid)),0))*VLOOKUP(B323,country_opex,3,FALSE))+Z323+AA323+AB323+AC323+AD323)))</f>
        <v/>
      </c>
      <c r="BA323" s="54">
        <f>IF(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&lt;=0,"",VLOOKUP(B323,country_opex,7,FALSE)/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)</f>
        <v/>
      </c>
      <c r="BB323" s="40" t="inlineStr">
        <is>
          <t>PREMIUM/excursion proxy: shared Lebanese-coast sea cruise ~$55/seat (Zingy Ride). No scheduled service.</t>
        </is>
      </c>
      <c r="BC323" s="40" t="n"/>
      <c r="BD323" s="43" t="n"/>
    </row>
    <row r="324">
      <c r="A324" s="38" t="inlineStr">
        <is>
          <t>Bolt Lebanon</t>
        </is>
      </c>
      <c r="B324" s="38" t="inlineStr">
        <is>
          <t>Lebanon</t>
        </is>
      </c>
      <c r="C324" s="39" t="inlineStr">
        <is>
          <t>Beirut Marina (Zaitunay Bay) → Jounieh</t>
        </is>
      </c>
      <c r="D324" s="38" t="inlineStr">
        <is>
          <t>bolt</t>
        </is>
      </c>
      <c r="E324" s="40" t="inlineStr">
        <is>
          <t>bolt-lebanon</t>
        </is>
      </c>
      <c r="F324" s="41" t="n">
        <v>1</v>
      </c>
      <c r="G324" s="42" t="n">
        <v>11</v>
      </c>
      <c r="H324" s="35" t="n">
        <v>55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IF(B324="South Korea",G324/korea_charge_range_nm*korea_full_range_charge_min,0)</f>
        <v/>
      </c>
      <c r="N324" s="44">
        <f>IF(B324="South Korea",L324+korea_turn_min+korea_dwell_min+M324,L324+turn_min+dwell_min)</f>
        <v/>
      </c>
      <c r="O324" s="45">
        <f>IF(B324="South Korea",FLOOR(60*korea_service_hr/N324,1),MIN(15,FLOOR(60*service_hr/N324,1)))</f>
        <v/>
      </c>
      <c r="P324" s="45">
        <f>IF(ABS(MOD(ABS((365*mech_uptime*K324)),1)-0.5)&lt;1E-9,2*ROUND((365*mech_uptime*K324)/2,0),ROUND((365*mech_uptime*K324),0))</f>
        <v/>
      </c>
      <c r="Q324" s="46">
        <f>mech_uptime</f>
        <v/>
      </c>
      <c r="R324" s="46">
        <f>IF(AND(B324="South Korea",scenario="MID"),korea_mid_revleg,revleg_sel)</f>
        <v/>
      </c>
      <c r="S324" s="45">
        <f>IF(ABS(MOD(ABS((O324*P324*R324)),1)-0.5)&lt;1E-9,2*ROUND((O324*P324*R324)/2,0),ROUND((O324*P324*R324),0))</f>
        <v/>
      </c>
      <c r="T324" s="46">
        <f>IF(AND(B324="South Korea",scenario="MID"),korea_mid_load,load_sel)</f>
        <v/>
      </c>
      <c r="U324" s="47">
        <f>pax_cap*T324</f>
        <v/>
      </c>
      <c r="V324" s="45">
        <f>U324*S324</f>
        <v/>
      </c>
      <c r="W324" s="48">
        <f>H324*discount</f>
        <v/>
      </c>
      <c r="X324" s="49">
        <f>W324*V324</f>
        <v/>
      </c>
      <c r="Y324" s="49">
        <f>(battery/range_nm)*G324*S324*VLOOKUP(B324,country_opex,3,FALSE)</f>
        <v/>
      </c>
      <c r="Z324" s="49">
        <f>VLOOKUP(B324,country_opex,2,FALSE)*crew_factor</f>
        <v/>
      </c>
      <c r="AA324" s="49">
        <f>VLOOKUP(B324,country_opex,5,FALSE)</f>
        <v/>
      </c>
      <c r="AB324" s="49">
        <f>maint</f>
        <v/>
      </c>
      <c r="AC324" s="49">
        <f>VLOOKUP(B324,country_opex,7,FALSE)*ins_pct</f>
        <v/>
      </c>
      <c r="AD324" s="49">
        <f>charge_berth</f>
        <v/>
      </c>
      <c r="AE324" s="49">
        <f>Y324+Z324+AA324+AB324+AC324+AD324</f>
        <v/>
      </c>
      <c r="AF324" s="49">
        <f>VLOOKUP(B324,country_opex,7,FALSE)/dep_years</f>
        <v/>
      </c>
      <c r="AG324" s="49">
        <f>X324-AE324</f>
        <v/>
      </c>
      <c r="AH324" s="46">
        <f>IF(X324=0,"",AG324/X324)</f>
        <v/>
      </c>
      <c r="AI324" s="47">
        <f>IF(AG324&lt;=0,"",VLOOKUP(B324,country_opex,7,FALSE)/AG324)</f>
        <v/>
      </c>
      <c r="AJ324" s="44">
        <f>((G324*S324/diesel_nmpg)*diesel_co2pg-(battery/range_nm)*G324*S324*VLOOKUP(B324,country_opex,4,FALSE))/1000</f>
        <v/>
      </c>
      <c r="AK324" s="42" t="n">
        <v>6132000</v>
      </c>
      <c r="AL324" s="43" t="n"/>
      <c r="AM324" s="43" t="n"/>
      <c r="AN324" s="50" t="n">
        <v>0.1</v>
      </c>
      <c r="AO324" s="45">
        <f>IF(AK324="","",AK324*AN324)</f>
        <v/>
      </c>
      <c r="AP324" s="45">
        <f>IF(OR(AK324="",V324=0),"",MIN(IF(AX324="",9.9E+99,AX324),FLOOR(AO324/V324,1)))</f>
        <v/>
      </c>
      <c r="AQ324" s="49">
        <f>IF(AP324="","",AP324*IF(ABS(MOD(ABS((X324)),1)-0.5)&lt;1E-9,2*ROUND((X324)/2,0),ROUND((X324),0)))</f>
        <v/>
      </c>
      <c r="AR324" s="47">
        <f>IF(OR(AK324="",V324=0),"",MIN(IF(AX324="",9.9E+99,AX324),AO324/V324))</f>
        <v/>
      </c>
      <c r="AS324" s="49">
        <f>IF(AR324="","",AR324*IF(B324="South Korea",IF(ABS(MOD(ABS((X324)),1)-0.5)&lt;1E-9,2*ROUND((X324)/2,0),ROUND((X324),0)),X324))</f>
        <v/>
      </c>
      <c r="AT324" s="51" t="n"/>
      <c r="AU324" s="43" t="inlineStr">
        <is>
          <t>Estimated</t>
        </is>
      </c>
      <c r="AV324" s="52" t="n"/>
      <c r="AW324" s="52" t="n"/>
      <c r="AX324" s="53" t="n"/>
      <c r="AY324" s="54">
        <f>IF(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&lt;=0,"",VLOOKUP(B324,country_opex,7,FALSE)/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)</f>
        <v/>
      </c>
      <c r="AZ324" s="54">
        <f>IF(((W324*pax_cap*IF(B324="South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Korea",korea_mid_revleg,revleg_mid)),0))*VLOOKUP(B324,country_opex,3,FALSE))+Z324+AA324+AB324+AC324+AD324))&lt;=0,"",VLOOKUP(B324,country_opex,7,FALSE)/((W324*pax_cap*IF(B324="South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Korea",korea_mid_revleg,revleg_mid)),0))*VLOOKUP(B324,country_opex,3,FALSE))+Z324+AA324+AB324+AC324+AD324)))</f>
        <v/>
      </c>
      <c r="BA324" s="54">
        <f>IF(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&lt;=0,"",VLOOKUP(B324,country_opex,7,FALSE)/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)</f>
        <v/>
      </c>
      <c r="BB324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C324" s="40" t="n"/>
      <c r="BD324" s="43" t="n"/>
    </row>
    <row r="325">
      <c r="A325" s="38" t="inlineStr">
        <is>
          <t>Bolt Lebanon</t>
        </is>
      </c>
      <c r="B325" s="38" t="inlineStr">
        <is>
          <t>Lebanon</t>
        </is>
      </c>
      <c r="C325" s="39" t="inlineStr">
        <is>
          <t>Beirut → Byblos (Jbeil)</t>
        </is>
      </c>
      <c r="D325" s="38" t="inlineStr">
        <is>
          <t>bolt</t>
        </is>
      </c>
      <c r="E325" s="40" t="inlineStr">
        <is>
          <t>bolt-lebanon</t>
        </is>
      </c>
      <c r="F325" s="41" t="n">
        <v>1</v>
      </c>
      <c r="G325" s="42" t="n">
        <v>15</v>
      </c>
      <c r="H325" s="35" t="n">
        <v>55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IF(B325="South Korea",G325/korea_charge_range_nm*korea_full_range_charge_min,0)</f>
        <v/>
      </c>
      <c r="N325" s="44">
        <f>IF(B325="South Korea",L325+korea_turn_min+korea_dwell_min+M325,L325+turn_min+dwell_min)</f>
        <v/>
      </c>
      <c r="O325" s="45">
        <f>IF(B325="South Korea",FLOOR(60*korea_service_hr/N325,1),MIN(24,FLOOR(60*service_hr/N325,1)))</f>
        <v/>
      </c>
      <c r="P325" s="45">
        <f>IF(ABS(MOD(ABS((365*mech_uptime*K325)),1)-0.5)&lt;1E-9,2*ROUND((365*mech_uptime*K325)/2,0),ROUND((365*mech_uptime*K325),0))</f>
        <v/>
      </c>
      <c r="Q325" s="46">
        <f>mech_uptime</f>
        <v/>
      </c>
      <c r="R325" s="46">
        <f>IF(AND(B325="South Korea",scenario="MID"),korea_mid_revleg,revleg_sel)</f>
        <v/>
      </c>
      <c r="S325" s="45">
        <f>IF(ABS(MOD(ABS((O325*P325*R325)),1)-0.5)&lt;1E-9,2*ROUND((O325*P325*R325)/2,0),ROUND((O325*P325*R325),0))</f>
        <v/>
      </c>
      <c r="T325" s="46">
        <f>IF(AND(B325="South Korea",scenario="MID"),korea_mid_load,load_sel)</f>
        <v/>
      </c>
      <c r="U325" s="47">
        <f>pax_cap*T325</f>
        <v/>
      </c>
      <c r="V325" s="45">
        <f>U325*S325</f>
        <v/>
      </c>
      <c r="W325" s="48">
        <f>H325*discount</f>
        <v/>
      </c>
      <c r="X325" s="49">
        <f>W325*V325</f>
        <v/>
      </c>
      <c r="Y325" s="49">
        <f>(battery/range_nm)*G325*S325*VLOOKUP(B325,country_opex,3,FALSE)</f>
        <v/>
      </c>
      <c r="Z325" s="49">
        <f>VLOOKUP(B325,country_opex,2,FALSE)*crew_factor</f>
        <v/>
      </c>
      <c r="AA325" s="49">
        <f>VLOOKUP(B325,country_opex,5,FALSE)</f>
        <v/>
      </c>
      <c r="AB325" s="49">
        <f>maint</f>
        <v/>
      </c>
      <c r="AC325" s="49">
        <f>VLOOKUP(B325,country_opex,7,FALSE)*ins_pct</f>
        <v/>
      </c>
      <c r="AD325" s="49">
        <f>charge_berth</f>
        <v/>
      </c>
      <c r="AE325" s="49">
        <f>Y325+Z325+AA325+AB325+AC325+AD325</f>
        <v/>
      </c>
      <c r="AF325" s="49">
        <f>VLOOKUP(B325,country_opex,7,FALSE)/dep_years</f>
        <v/>
      </c>
      <c r="AG325" s="49">
        <f>X325-AE325</f>
        <v/>
      </c>
      <c r="AH325" s="46">
        <f>IF(X325=0,"",AG325/X325)</f>
        <v/>
      </c>
      <c r="AI325" s="47">
        <f>IF(AG325&lt;=0,"",VLOOKUP(B325,country_opex,7,FALSE)/AG325)</f>
        <v/>
      </c>
      <c r="AJ325" s="44">
        <f>((G325*S325/diesel_nmpg)*diesel_co2pg-(battery/range_nm)*G325*S325*VLOOKUP(B325,country_opex,4,FALSE))/1000</f>
        <v/>
      </c>
      <c r="AK325" s="42" t="n"/>
      <c r="AL325" s="43" t="n"/>
      <c r="AM325" s="43" t="n"/>
      <c r="AN325" s="50" t="n">
        <v>0.1</v>
      </c>
      <c r="AO325" s="45">
        <f>IF(AK325="","",AK325*AN325)</f>
        <v/>
      </c>
      <c r="AP325" s="45">
        <f>IF(OR(AK325="",V325=0),"",MIN(IF(AX325="",9.9E+99,AX325),FLOOR(AO325/V325,1)))</f>
        <v/>
      </c>
      <c r="AQ325" s="49">
        <f>IF(AP325="","",AP325*IF(ABS(MOD(ABS((X325)),1)-0.5)&lt;1E-9,2*ROUND((X325)/2,0),ROUND((X325),0)))</f>
        <v/>
      </c>
      <c r="AR325" s="47">
        <f>IF(OR(AK325="",V325=0),"",MIN(IF(AX325="",9.9E+99,AX325),AO325/V325))</f>
        <v/>
      </c>
      <c r="AS325" s="49">
        <f>IF(AR325="","",AR325*IF(B325="South Korea",IF(ABS(MOD(ABS((X325)),1)-0.5)&lt;1E-9,2*ROUND((X325)/2,0),ROUND((X325),0)),X325))</f>
        <v/>
      </c>
      <c r="AT325" s="51" t="n"/>
      <c r="AU325" s="43" t="inlineStr">
        <is>
          <t>Estimated</t>
        </is>
      </c>
      <c r="AV325" s="52" t="n"/>
      <c r="AW325" s="52" t="n"/>
      <c r="AX325" s="53" t="n"/>
      <c r="AY325" s="54">
        <f>IF(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&lt;=0,"",VLOOKUP(B325,country_opex,7,FALSE)/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)</f>
        <v/>
      </c>
      <c r="AZ325" s="54">
        <f>IF(((W325*pax_cap*IF(B325="South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Korea",korea_mid_revleg,revleg_mid)),0))*VLOOKUP(B325,country_opex,3,FALSE))+Z325+AA325+AB325+AC325+AD325))&lt;=0,"",VLOOKUP(B325,country_opex,7,FALSE)/((W325*pax_cap*IF(B325="South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Korea",korea_mid_revleg,revleg_mid)),0))*VLOOKUP(B325,country_opex,3,FALSE))+Z325+AA325+AB325+AC325+AD325)))</f>
        <v/>
      </c>
      <c r="BA325" s="54">
        <f>IF(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&lt;=0,"",VLOOKUP(B325,country_opex,7,FALSE)/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)</f>
        <v/>
      </c>
      <c r="BB325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C325" s="40" t="n"/>
      <c r="BD325" s="43" t="n"/>
    </row>
    <row r="326">
      <c r="A326" s="38" t="inlineStr">
        <is>
          <t>Bolt Lebanon</t>
        </is>
      </c>
      <c r="B326" s="38" t="inlineStr">
        <is>
          <t>Lebanon</t>
        </is>
      </c>
      <c r="C326" s="39" t="inlineStr">
        <is>
          <t>Beirut → Sidon (Saida)</t>
        </is>
      </c>
      <c r="D326" s="38" t="inlineStr">
        <is>
          <t>bolt</t>
        </is>
      </c>
      <c r="E326" s="40" t="inlineStr">
        <is>
          <t>bolt-lebanon</t>
        </is>
      </c>
      <c r="F326" s="41" t="n">
        <v>1</v>
      </c>
      <c r="G326" s="42" t="n">
        <v>22</v>
      </c>
      <c r="H326" s="35" t="n">
        <v>55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IF(B326="South Korea",G326/korea_charge_range_nm*korea_full_range_charge_min,0)</f>
        <v/>
      </c>
      <c r="N326" s="44">
        <f>IF(B326="South Korea",L326+korea_turn_min+korea_dwell_min+M326,L326+turn_min+dwell_min)</f>
        <v/>
      </c>
      <c r="O326" s="45">
        <f>IF(B326="South Korea",FLOOR(60*korea_service_hr/N326,1),MIN(24,FLOOR(60*service_hr/N326,1)))</f>
        <v/>
      </c>
      <c r="P326" s="45">
        <f>IF(ABS(MOD(ABS((365*mech_uptime*K326)),1)-0.5)&lt;1E-9,2*ROUND((365*mech_uptime*K326)/2,0),ROUND((365*mech_uptime*K326),0))</f>
        <v/>
      </c>
      <c r="Q326" s="46">
        <f>mech_uptime</f>
        <v/>
      </c>
      <c r="R326" s="46">
        <f>IF(AND(B326="South Korea",scenario="MID"),korea_mid_revleg,revleg_sel)</f>
        <v/>
      </c>
      <c r="S326" s="45">
        <f>IF(ABS(MOD(ABS((O326*P326*R326)),1)-0.5)&lt;1E-9,2*ROUND((O326*P326*R326)/2,0),ROUND((O326*P326*R326),0))</f>
        <v/>
      </c>
      <c r="T326" s="46">
        <f>IF(AND(B326="South Korea",scenario="MID"),korea_mid_load,load_sel)</f>
        <v/>
      </c>
      <c r="U326" s="47">
        <f>pax_cap*T326</f>
        <v/>
      </c>
      <c r="V326" s="45">
        <f>U326*S326</f>
        <v/>
      </c>
      <c r="W326" s="48">
        <f>H326*discount</f>
        <v/>
      </c>
      <c r="X326" s="49">
        <f>W326*V326</f>
        <v/>
      </c>
      <c r="Y326" s="49">
        <f>(battery/range_nm)*G326*S326*VLOOKUP(B326,country_opex,3,FALSE)</f>
        <v/>
      </c>
      <c r="Z326" s="49">
        <f>VLOOKUP(B326,country_opex,2,FALSE)*crew_factor</f>
        <v/>
      </c>
      <c r="AA326" s="49">
        <f>VLOOKUP(B326,country_opex,5,FALSE)</f>
        <v/>
      </c>
      <c r="AB326" s="49">
        <f>maint</f>
        <v/>
      </c>
      <c r="AC326" s="49">
        <f>VLOOKUP(B326,country_opex,7,FALSE)*ins_pct</f>
        <v/>
      </c>
      <c r="AD326" s="49">
        <f>charge_berth</f>
        <v/>
      </c>
      <c r="AE326" s="49">
        <f>Y326+Z326+AA326+AB326+AC326+AD326</f>
        <v/>
      </c>
      <c r="AF326" s="49">
        <f>VLOOKUP(B326,country_opex,7,FALSE)/dep_years</f>
        <v/>
      </c>
      <c r="AG326" s="49">
        <f>X326-AE326</f>
        <v/>
      </c>
      <c r="AH326" s="46">
        <f>IF(X326=0,"",AG326/X326)</f>
        <v/>
      </c>
      <c r="AI326" s="47">
        <f>IF(AG326&lt;=0,"",VLOOKUP(B326,country_opex,7,FALSE)/AG326)</f>
        <v/>
      </c>
      <c r="AJ326" s="44">
        <f>((G326*S326/diesel_nmpg)*diesel_co2pg-(battery/range_nm)*G326*S326*VLOOKUP(B326,country_opex,4,FALSE))/1000</f>
        <v/>
      </c>
      <c r="AK326" s="42" t="n">
        <v>2207520</v>
      </c>
      <c r="AL326" s="43" t="n"/>
      <c r="AM326" s="43" t="n"/>
      <c r="AN326" s="50" t="n">
        <v>0.1</v>
      </c>
      <c r="AO326" s="45">
        <f>IF(AK326="","",AK326*AN326)</f>
        <v/>
      </c>
      <c r="AP326" s="45">
        <f>IF(OR(AK326="",V326=0),"",MIN(IF(AX326="",9.9E+99,AX326),FLOOR(AO326/V326,1)))</f>
        <v/>
      </c>
      <c r="AQ326" s="49">
        <f>IF(AP326="","",AP326*IF(ABS(MOD(ABS((X326)),1)-0.5)&lt;1E-9,2*ROUND((X326)/2,0),ROUND((X326),0)))</f>
        <v/>
      </c>
      <c r="AR326" s="47">
        <f>IF(OR(AK326="",V326=0),"",MIN(IF(AX326="",9.9E+99,AX326),AO326/V326))</f>
        <v/>
      </c>
      <c r="AS326" s="49">
        <f>IF(AR326="","",AR326*IF(B326="South Korea",IF(ABS(MOD(ABS((X326)),1)-0.5)&lt;1E-9,2*ROUND((X326)/2,0),ROUND((X326),0)),X326))</f>
        <v/>
      </c>
      <c r="AT326" s="51" t="n"/>
      <c r="AU326" s="43" t="inlineStr">
        <is>
          <t>Estimated</t>
        </is>
      </c>
      <c r="AV326" s="52" t="n"/>
      <c r="AW326" s="52" t="n"/>
      <c r="AX326" s="53" t="n"/>
      <c r="AY326" s="54">
        <f>IF(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&lt;=0,"",VLOOKUP(B326,country_opex,7,FALSE)/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)</f>
        <v/>
      </c>
      <c r="AZ326" s="54">
        <f>IF(((W326*pax_cap*IF(B326="South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Korea",korea_mid_revleg,revleg_mid)),0))*VLOOKUP(B326,country_opex,3,FALSE))+Z326+AA326+AB326+AC326+AD326))&lt;=0,"",VLOOKUP(B326,country_opex,7,FALSE)/((W326*pax_cap*IF(B326="South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Korea",korea_mid_revleg,revleg_mid)),0))*VLOOKUP(B326,country_opex,3,FALSE))+Z326+AA326+AB326+AC326+AD326)))</f>
        <v/>
      </c>
      <c r="BA326" s="54">
        <f>IF(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&lt;=0,"",VLOOKUP(B326,country_opex,7,FALSE)/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)</f>
        <v/>
      </c>
      <c r="BB326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C326" s="40" t="n"/>
      <c r="BD326" s="43" t="n"/>
    </row>
    <row r="327">
      <c r="A327" s="38" t="inlineStr">
        <is>
          <t>Bolt Lebanon</t>
        </is>
      </c>
      <c r="B327" s="38" t="inlineStr">
        <is>
          <t>Lebanon</t>
        </is>
      </c>
      <c r="C327" s="39" t="inlineStr">
        <is>
          <t>Beirut → Tripoli (El Mina)</t>
        </is>
      </c>
      <c r="D327" s="38" t="inlineStr">
        <is>
          <t>bolt</t>
        </is>
      </c>
      <c r="E327" s="40" t="inlineStr">
        <is>
          <t>bolt-lebanon</t>
        </is>
      </c>
      <c r="F327" s="41" t="n">
        <v>1</v>
      </c>
      <c r="G327" s="42" t="n">
        <v>36.5</v>
      </c>
      <c r="H327" s="35" t="n"/>
      <c r="I327" s="43" t="n"/>
      <c r="J327" s="43" t="n"/>
      <c r="K327" s="29" t="n">
        <v>1</v>
      </c>
      <c r="L327" s="44">
        <f>60*G327/cruise_kt</f>
        <v/>
      </c>
      <c r="M327" s="44">
        <f>IF(B327="South Korea",G327/korea_charge_range_nm*korea_full_range_charge_min,0)</f>
        <v/>
      </c>
      <c r="N327" s="44">
        <f>IF(B327="South Korea",L327+korea_turn_min+korea_dwell_min+M327,L327+turn_min+dwell_min)</f>
        <v/>
      </c>
      <c r="O327" s="45">
        <f>IF(B327="South Korea",FLOOR(60*korea_service_hr/N327,1),MIN(24,FLOOR(60*service_hr/N327,1)))</f>
        <v/>
      </c>
      <c r="P327" s="45">
        <f>IF(ABS(MOD(ABS((365*mech_uptime*K327)),1)-0.5)&lt;1E-9,2*ROUND((365*mech_uptime*K327)/2,0),ROUND((365*mech_uptime*K327),0))</f>
        <v/>
      </c>
      <c r="Q327" s="46">
        <f>mech_uptime</f>
        <v/>
      </c>
      <c r="R327" s="46">
        <f>IF(AND(B327="South Korea",scenario="MID"),korea_mid_revleg,revleg_sel)</f>
        <v/>
      </c>
      <c r="S327" s="45">
        <f>IF(ABS(MOD(ABS((O327*P327*R327)),1)-0.5)&lt;1E-9,2*ROUND((O327*P327*R327)/2,0),ROUND((O327*P327*R327),0))</f>
        <v/>
      </c>
      <c r="T327" s="46">
        <f>IF(AND(B327="South Korea",scenario="MID"),korea_mid_load,load_sel)</f>
        <v/>
      </c>
      <c r="U327" s="47">
        <f>pax_cap*T327</f>
        <v/>
      </c>
      <c r="V327" s="45">
        <f>U327*S327</f>
        <v/>
      </c>
      <c r="W327" s="48">
        <f>H327*discount</f>
        <v/>
      </c>
      <c r="X327" s="49">
        <f>W327*V327</f>
        <v/>
      </c>
      <c r="Y327" s="49">
        <f>(battery/range_nm)*G327*S327*VLOOKUP(B327,country_opex,3,FALSE)</f>
        <v/>
      </c>
      <c r="Z327" s="49">
        <f>VLOOKUP(B327,country_opex,2,FALSE)*crew_factor</f>
        <v/>
      </c>
      <c r="AA327" s="49">
        <f>VLOOKUP(B327,country_opex,5,FALSE)</f>
        <v/>
      </c>
      <c r="AB327" s="49">
        <f>maint</f>
        <v/>
      </c>
      <c r="AC327" s="49">
        <f>VLOOKUP(B327,country_opex,7,FALSE)*ins_pct</f>
        <v/>
      </c>
      <c r="AD327" s="49">
        <f>charge_berth</f>
        <v/>
      </c>
      <c r="AE327" s="49">
        <f>Y327+Z327+AA327+AB327+AC327+AD327</f>
        <v/>
      </c>
      <c r="AF327" s="49">
        <f>VLOOKUP(B327,country_opex,7,FALSE)/dep_years</f>
        <v/>
      </c>
      <c r="AG327" s="49">
        <f>X327-AE327</f>
        <v/>
      </c>
      <c r="AH327" s="46">
        <f>IF(X327=0,"",AG327/X327)</f>
        <v/>
      </c>
      <c r="AI327" s="47">
        <f>IF(AG327&lt;=0,"",VLOOKUP(B327,country_opex,7,FALSE)/AG327)</f>
        <v/>
      </c>
      <c r="AJ327" s="44">
        <f>((G327*S327/diesel_nmpg)*diesel_co2pg-(battery/range_nm)*G327*S327*VLOOKUP(B327,country_opex,4,FALSE))/1000</f>
        <v/>
      </c>
      <c r="AK327" s="42" t="n"/>
      <c r="AL327" s="43" t="n"/>
      <c r="AM327" s="43" t="n"/>
      <c r="AN327" s="50" t="n">
        <v>0.1</v>
      </c>
      <c r="AO327" s="45">
        <f>IF(AK327="","",AK327*AN327)</f>
        <v/>
      </c>
      <c r="AP327" s="45">
        <f>IF(OR(AK327="",V327=0),"",MIN(IF(AX327="",9.9E+99,AX327),FLOOR(AO327/V327,1)))</f>
        <v/>
      </c>
      <c r="AQ327" s="49">
        <f>IF(AP327="","",AP327*IF(ABS(MOD(ABS((X327)),1)-0.5)&lt;1E-9,2*ROUND((X327)/2,0),ROUND((X327),0)))</f>
        <v/>
      </c>
      <c r="AR327" s="47">
        <f>IF(OR(AK327="",V327=0),"",MIN(IF(AX327="",9.9E+99,AX327),AO327/V327))</f>
        <v/>
      </c>
      <c r="AS327" s="49">
        <f>IF(AR327="","",AR327*IF(B327="South Korea",IF(ABS(MOD(ABS((X327)),1)-0.5)&lt;1E-9,2*ROUND((X327)/2,0),ROUND((X327),0)),X327))</f>
        <v/>
      </c>
      <c r="AT327" s="51" t="n"/>
      <c r="AU327" s="43" t="inlineStr">
        <is>
          <t>Estimated</t>
        </is>
      </c>
      <c r="AV327" s="52" t="n"/>
      <c r="AW327" s="52" t="n"/>
      <c r="AX327" s="53" t="n"/>
      <c r="AY327" s="54">
        <f>IF(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&lt;=0,"",VLOOKUP(B327,country_opex,7,FALSE)/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)</f>
        <v/>
      </c>
      <c r="AZ327" s="54">
        <f>IF(((W327*pax_cap*IF(B327="South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Korea",korea_mid_revleg,revleg_mid)),0))*VLOOKUP(B327,country_opex,3,FALSE))+Z327+AA327+AB327+AC327+AD327))&lt;=0,"",VLOOKUP(B327,country_opex,7,FALSE)/((W327*pax_cap*IF(B327="South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Korea",korea_mid_revleg,revleg_mid)),0))*VLOOKUP(B327,country_opex,3,FALSE))+Z327+AA327+AB327+AC327+AD327)))</f>
        <v/>
      </c>
      <c r="BA327" s="54">
        <f>IF(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&lt;=0,"",VLOOKUP(B327,country_opex,7,FALSE)/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)</f>
        <v/>
      </c>
      <c r="BB327" s="40" t="n"/>
      <c r="BC327" s="40" t="n"/>
      <c r="BD327" s="43" t="n"/>
    </row>
    <row r="328">
      <c r="A328" s="38" t="inlineStr">
        <is>
          <t>Langkawi</t>
        </is>
      </c>
      <c r="B328" s="38" t="inlineStr">
        <is>
          <t>Malaysia</t>
        </is>
      </c>
      <c r="C328" s="39" t="inlineStr">
        <is>
          <t>George Town (Swettenham) → Butterworth (mainland)</t>
        </is>
      </c>
      <c r="D328" s="38" t="inlineStr">
        <is>
          <t>grab</t>
        </is>
      </c>
      <c r="E328" s="40" t="inlineStr">
        <is>
          <t>langkawi</t>
        </is>
      </c>
      <c r="F328" s="41" t="n">
        <v>1</v>
      </c>
      <c r="G328" s="42" t="n">
        <v>1.62</v>
      </c>
      <c r="H328" s="35" t="n"/>
      <c r="I328" s="43" t="inlineStr">
        <is>
          <t>T1</t>
        </is>
      </c>
      <c r="J328" s="43" t="inlineStr">
        <is>
          <t>high</t>
        </is>
      </c>
      <c r="K328" s="29" t="n">
        <v>1</v>
      </c>
      <c r="L328" s="44">
        <f>60*G328/cruise_kt</f>
        <v/>
      </c>
      <c r="M328" s="44">
        <f>IF(B328="South Korea",G328/korea_charge_range_nm*korea_full_range_charge_min,0)</f>
        <v/>
      </c>
      <c r="N328" s="44">
        <f>IF(B328="South Korea",L328+korea_turn_min+korea_dwell_min+M328,L328+turn_min+dwell_min)</f>
        <v/>
      </c>
      <c r="O328" s="45">
        <f>IF(B328="South Korea",FLOOR(60*korea_service_hr/N328,1),MIN(15,FLOOR(60*service_hr/N328,1)))</f>
        <v/>
      </c>
      <c r="P328" s="45">
        <f>IF(ABS(MOD(ABS((365*mech_uptime*K328)),1)-0.5)&lt;1E-9,2*ROUND((365*mech_uptime*K328)/2,0),ROUND((365*mech_uptime*K328),0))</f>
        <v/>
      </c>
      <c r="Q328" s="46">
        <f>mech_uptime</f>
        <v/>
      </c>
      <c r="R328" s="46">
        <f>IF(AND(B328="South Korea",scenario="MID"),korea_mid_revleg,revleg_sel)</f>
        <v/>
      </c>
      <c r="S328" s="45">
        <f>IF(ABS(MOD(ABS((O328*P328*R328)),1)-0.5)&lt;1E-9,2*ROUND((O328*P328*R328)/2,0),ROUND((O328*P328*R328),0))</f>
        <v/>
      </c>
      <c r="T328" s="46">
        <f>IF(AND(B328="South Korea",scenario="MID"),korea_mid_load,load_sel)</f>
        <v/>
      </c>
      <c r="U328" s="47">
        <f>pax_cap*T328</f>
        <v/>
      </c>
      <c r="V328" s="45">
        <f>U328*S328</f>
        <v/>
      </c>
      <c r="W328" s="48">
        <f>H328*discount</f>
        <v/>
      </c>
      <c r="X328" s="49">
        <f>W328*V328</f>
        <v/>
      </c>
      <c r="Y328" s="49">
        <f>(battery/range_nm)*G328*S328*VLOOKUP(B328,country_opex,3,FALSE)</f>
        <v/>
      </c>
      <c r="Z328" s="49">
        <f>VLOOKUP(B328,country_opex,2,FALSE)*crew_factor</f>
        <v/>
      </c>
      <c r="AA328" s="49">
        <f>VLOOKUP(B328,country_opex,5,FALSE)</f>
        <v/>
      </c>
      <c r="AB328" s="49">
        <f>maint</f>
        <v/>
      </c>
      <c r="AC328" s="49">
        <f>VLOOKUP(B328,country_opex,7,FALSE)*ins_pct</f>
        <v/>
      </c>
      <c r="AD328" s="49">
        <f>charge_berth</f>
        <v/>
      </c>
      <c r="AE328" s="49">
        <f>Y328+Z328+AA328+AB328+AC328+AD328</f>
        <v/>
      </c>
      <c r="AF328" s="49">
        <f>VLOOKUP(B328,country_opex,7,FALSE)/dep_years</f>
        <v/>
      </c>
      <c r="AG328" s="49">
        <f>X328-AE328</f>
        <v/>
      </c>
      <c r="AH328" s="46">
        <f>IF(X328=0,"",AG328/X328)</f>
        <v/>
      </c>
      <c r="AI328" s="47">
        <f>IF(AG328&lt;=0,"",VLOOKUP(B328,country_opex,7,FALSE)/AG328)</f>
        <v/>
      </c>
      <c r="AJ328" s="44">
        <f>((G328*S328/diesel_nmpg)*diesel_co2pg-(battery/range_nm)*G328*S328*VLOOKUP(B328,country_opex,4,FALSE))/1000</f>
        <v/>
      </c>
      <c r="AK328" s="42" t="n"/>
      <c r="AL328" s="43" t="inlineStr">
        <is>
          <t>T2</t>
        </is>
      </c>
      <c r="AM328" s="43" t="inlineStr">
        <is>
          <t>high</t>
        </is>
      </c>
      <c r="AN328" s="50" t="n">
        <v>0.1</v>
      </c>
      <c r="AO328" s="45">
        <f>IF(AK328="","",AK328*AN328)</f>
        <v/>
      </c>
      <c r="AP328" s="45">
        <f>IF(OR(AK328="",V328=0),"",MIN(IF(AX328="",9.9E+99,AX328),FLOOR(AO328/V328,1)))</f>
        <v/>
      </c>
      <c r="AQ328" s="49">
        <f>IF(AP328="","",AP328*IF(ABS(MOD(ABS((X328)),1)-0.5)&lt;1E-9,2*ROUND((X328)/2,0),ROUND((X328),0)))</f>
        <v/>
      </c>
      <c r="AR328" s="47">
        <f>IF(OR(AK328="",V328=0),"",MIN(IF(AX328="",9.9E+99,AX328),AO328/V328))</f>
        <v/>
      </c>
      <c r="AS328" s="49">
        <f>IF(AR328="","",AR328*IF(B328="South Korea",IF(ABS(MOD(ABS((X328)),1)-0.5)&lt;1E-9,2*ROUND((X328)/2,0),ROUND((X328),0)),X328))</f>
        <v/>
      </c>
      <c r="AT328" s="51" t="n"/>
      <c r="AU328" s="43" t="inlineStr">
        <is>
          <t>Estimated</t>
        </is>
      </c>
      <c r="AV328" s="52" t="n"/>
      <c r="AW328" s="52" t="n"/>
      <c r="AX328" s="53" t="n"/>
      <c r="AY328" s="54">
        <f>IF(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&lt;=0,"",VLOOKUP(B328,country_opex,7,FALSE)/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)</f>
        <v/>
      </c>
      <c r="AZ328" s="54">
        <f>IF(((W328*pax_cap*IF(B328="South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Korea",korea_mid_revleg,revleg_mid)),0))*VLOOKUP(B328,country_opex,3,FALSE))+Z328+AA328+AB328+AC328+AD328))&lt;=0,"",VLOOKUP(B328,country_opex,7,FALSE)/((W328*pax_cap*IF(B328="South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Korea",korea_mid_revleg,revleg_mid)),0))*VLOOKUP(B328,country_opex,3,FALSE))+Z328+AA328+AB328+AC328+AD328)))</f>
        <v/>
      </c>
      <c r="BA328" s="54">
        <f>IF(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&lt;=0,"",VLOOKUP(B328,country_opex,7,FALSE)/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)</f>
        <v/>
      </c>
      <c r="BB328" s="40" t="inlineStr">
        <is>
          <t>Penang Port public ferry (George Town&lt;-&gt;Butterworth) adult pedestrian fare RM2.00/way (RM1.00 under-12), per penangport.gov.my &amp; 2023 fare notice. RM2 @4.30 = $0.47.</t>
        </is>
      </c>
      <c r="BC328" s="40" t="inlineStr">
        <is>
          <t>Penang ferry service recorded 2.1 million passengers + 747,785 vehicles in 2024 (Wikipedia / Penang Port). New service hit 5M cumulative &lt;2yr (The Star, May 2025).</t>
        </is>
      </c>
      <c r="BD328" s="43" t="inlineStr">
        <is>
          <t>gcn-c46f3bf4b8-shared</t>
        </is>
      </c>
    </row>
    <row r="329">
      <c r="A329" s="38" t="inlineStr">
        <is>
          <t>Borneo</t>
        </is>
      </c>
      <c r="B329" s="38" t="inlineStr">
        <is>
          <t>Malaysia</t>
        </is>
      </c>
      <c r="C329" s="39" t="inlineStr">
        <is>
          <t>Kota Kinabalu (Jesselton Point) → Tunku Abdul Rahman park (Gaya / Manukan / Sapi)</t>
        </is>
      </c>
      <c r="D329" s="38" t="inlineStr">
        <is>
          <t>grab</t>
        </is>
      </c>
      <c r="E329" s="40" t="inlineStr">
        <is>
          <t>borneo, langkawi</t>
        </is>
      </c>
      <c r="F329" s="41" t="n">
        <v>2</v>
      </c>
      <c r="G329" s="42" t="n">
        <v>3.16</v>
      </c>
      <c r="H329" s="35" t="n"/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IF(B329="South Korea",G329/korea_charge_range_nm*korea_full_range_charge_min,0)</f>
        <v/>
      </c>
      <c r="N329" s="44">
        <f>IF(B329="South Korea",L329+korea_turn_min+korea_dwell_min+M329,L329+turn_min+dwell_min)</f>
        <v/>
      </c>
      <c r="O329" s="45">
        <f>IF(B329="South Korea",FLOOR(60*korea_service_hr/N329,1),MIN(15,FLOOR(60*service_hr/N329,1)))</f>
        <v/>
      </c>
      <c r="P329" s="45">
        <f>IF(ABS(MOD(ABS((365*mech_uptime*K329)),1)-0.5)&lt;1E-9,2*ROUND((365*mech_uptime*K329)/2,0),ROUND((365*mech_uptime*K329),0))</f>
        <v/>
      </c>
      <c r="Q329" s="46">
        <f>mech_uptime</f>
        <v/>
      </c>
      <c r="R329" s="46">
        <f>IF(AND(B329="South Korea",scenario="MID"),korea_mid_revleg,revleg_sel)</f>
        <v/>
      </c>
      <c r="S329" s="45">
        <f>IF(ABS(MOD(ABS((O329*P329*R329)),1)-0.5)&lt;1E-9,2*ROUND((O329*P329*R329)/2,0),ROUND((O329*P329*R329),0))</f>
        <v/>
      </c>
      <c r="T329" s="46">
        <f>IF(AND(B329="South Korea",scenario="MID"),korea_mid_load,load_sel)</f>
        <v/>
      </c>
      <c r="U329" s="47">
        <f>pax_cap*T329</f>
        <v/>
      </c>
      <c r="V329" s="45">
        <f>U329*S329</f>
        <v/>
      </c>
      <c r="W329" s="48">
        <f>H329*discount</f>
        <v/>
      </c>
      <c r="X329" s="49">
        <f>W329*V329</f>
        <v/>
      </c>
      <c r="Y329" s="49">
        <f>(battery/range_nm)*G329*S329*VLOOKUP(B329,country_opex,3,FALSE)</f>
        <v/>
      </c>
      <c r="Z329" s="49">
        <f>VLOOKUP(B329,country_opex,2,FALSE)*crew_factor</f>
        <v/>
      </c>
      <c r="AA329" s="49">
        <f>VLOOKUP(B329,country_opex,5,FALSE)</f>
        <v/>
      </c>
      <c r="AB329" s="49">
        <f>maint</f>
        <v/>
      </c>
      <c r="AC329" s="49">
        <f>VLOOKUP(B329,country_opex,7,FALSE)*ins_pct</f>
        <v/>
      </c>
      <c r="AD329" s="49">
        <f>charge_berth</f>
        <v/>
      </c>
      <c r="AE329" s="49">
        <f>Y329+Z329+AA329+AB329+AC329+AD329</f>
        <v/>
      </c>
      <c r="AF329" s="49">
        <f>VLOOKUP(B329,country_opex,7,FALSE)/dep_years</f>
        <v/>
      </c>
      <c r="AG329" s="49">
        <f>X329-AE329</f>
        <v/>
      </c>
      <c r="AH329" s="46">
        <f>IF(X329=0,"",AG329/X329)</f>
        <v/>
      </c>
      <c r="AI329" s="47">
        <f>IF(AG329&lt;=0,"",VLOOKUP(B329,country_opex,7,FALSE)/AG329)</f>
        <v/>
      </c>
      <c r="AJ329" s="44">
        <f>((G329*S329/diesel_nmpg)*diesel_co2pg-(battery/range_nm)*G329*S329*VLOOKUP(B329,country_opex,4,FALSE))/1000</f>
        <v/>
      </c>
      <c r="AK329" s="42" t="n"/>
      <c r="AL329" s="43" t="inlineStr">
        <is>
          <t>T2</t>
        </is>
      </c>
      <c r="AM329" s="43" t="inlineStr">
        <is>
          <t>high</t>
        </is>
      </c>
      <c r="AN329" s="50" t="n">
        <v>0.1</v>
      </c>
      <c r="AO329" s="45">
        <f>IF(AK329="","",AK329*AN329)</f>
        <v/>
      </c>
      <c r="AP329" s="45">
        <f>IF(OR(AK329="",V329=0),"",MIN(IF(AX329="",9.9E+99,AX329),FLOOR(AO329/V329,1)))</f>
        <v/>
      </c>
      <c r="AQ329" s="49">
        <f>IF(AP329="","",AP329*IF(ABS(MOD(ABS((X329)),1)-0.5)&lt;1E-9,2*ROUND((X329)/2,0),ROUND((X329),0)))</f>
        <v/>
      </c>
      <c r="AR329" s="47">
        <f>IF(OR(AK329="",V329=0),"",MIN(IF(AX329="",9.9E+99,AX329),AO329/V329))</f>
        <v/>
      </c>
      <c r="AS329" s="49">
        <f>IF(AR329="","",AR329*IF(B329="South Korea",IF(ABS(MOD(ABS((X329)),1)-0.5)&lt;1E-9,2*ROUND((X329)/2,0),ROUND((X329),0)),X329))</f>
        <v/>
      </c>
      <c r="AT329" s="51" t="n"/>
      <c r="AU329" s="43" t="inlineStr">
        <is>
          <t>Estimated</t>
        </is>
      </c>
      <c r="AV329" s="52" t="n"/>
      <c r="AW329" s="52" t="n"/>
      <c r="AX329" s="53" t="n"/>
      <c r="AY329" s="54">
        <f>IF(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&lt;=0,"",VLOOKUP(B329,country_opex,7,FALSE)/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)</f>
        <v/>
      </c>
      <c r="AZ329" s="54">
        <f>IF(((W329*pax_cap*IF(B329="South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Korea",korea_mid_revleg,revleg_mid)),0))*VLOOKUP(B329,country_opex,3,FALSE))+Z329+AA329+AB329+AC329+AD329))&lt;=0,"",VLOOKUP(B329,country_opex,7,FALSE)/((W329*pax_cap*IF(B329="South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Korea",korea_mid_revleg,revleg_mid)),0))*VLOOKUP(B329,country_opex,3,FALSE))+Z329+AA329+AB329+AC329+AD329)))</f>
        <v/>
      </c>
      <c r="BA329" s="54">
        <f>IF(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&lt;=0,"",VLOOKUP(B329,country_opex,7,FALSE)/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)</f>
        <v/>
      </c>
      <c r="BB329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C329" s="40" t="inlineStr">
        <is>
          <t>Sabah Parks Dashboard (dashboard.sabahparks.org.my): Tunku Abdul Rahman Park highest accumulated visitor volume 546,383 (2025); &gt;500k in 2019 (citympvtravel).</t>
        </is>
      </c>
      <c r="BD329" s="43" t="inlineStr">
        <is>
          <t>gcn-40abc82f4b-shared</t>
        </is>
      </c>
    </row>
    <row r="330">
      <c r="A330" s="38" t="inlineStr">
        <is>
          <t>Borneo</t>
        </is>
      </c>
      <c r="B330" s="38" t="inlineStr">
        <is>
          <t>Malaysia</t>
        </is>
      </c>
      <c r="C330" s="39" t="inlineStr">
        <is>
          <t>Kota Kinabalu (Sutera Harbour) → Gaya Island resorts</t>
        </is>
      </c>
      <c r="D330" s="38" t="inlineStr">
        <is>
          <t>grab</t>
        </is>
      </c>
      <c r="E330" s="40" t="inlineStr">
        <is>
          <t>borneo, langkawi</t>
        </is>
      </c>
      <c r="F330" s="41" t="n">
        <v>2</v>
      </c>
      <c r="G330" s="42" t="n">
        <v>4.29</v>
      </c>
      <c r="H330" s="35" t="n">
        <v>19</v>
      </c>
      <c r="I330" s="43" t="inlineStr">
        <is>
          <t>T1</t>
        </is>
      </c>
      <c r="J330" s="43" t="inlineStr">
        <is>
          <t>high</t>
        </is>
      </c>
      <c r="K330" s="29" t="n">
        <v>1</v>
      </c>
      <c r="L330" s="44">
        <f>60*G330/cruise_kt</f>
        <v/>
      </c>
      <c r="M330" s="44">
        <f>IF(B330="South Korea",G330/korea_charge_range_nm*korea_full_range_charge_min,0)</f>
        <v/>
      </c>
      <c r="N330" s="44">
        <f>IF(B330="South Korea",L330+korea_turn_min+korea_dwell_min+M330,L330+turn_min+dwell_min)</f>
        <v/>
      </c>
      <c r="O330" s="45">
        <f>IF(B330="South Korea",FLOOR(60*korea_service_hr/N330,1),MIN(15,FLOOR(60*service_hr/N330,1)))</f>
        <v/>
      </c>
      <c r="P330" s="45">
        <f>IF(ABS(MOD(ABS((365*mech_uptime*K330)),1)-0.5)&lt;1E-9,2*ROUND((365*mech_uptime*K330)/2,0),ROUND((365*mech_uptime*K330),0))</f>
        <v/>
      </c>
      <c r="Q330" s="46">
        <f>mech_uptime</f>
        <v/>
      </c>
      <c r="R330" s="46">
        <f>IF(AND(B330="South Korea",scenario="MID"),korea_mid_revleg,revleg_sel)</f>
        <v/>
      </c>
      <c r="S330" s="45">
        <f>IF(ABS(MOD(ABS((O330*P330*R330)),1)-0.5)&lt;1E-9,2*ROUND((O330*P330*R330)/2,0),ROUND((O330*P330*R330),0))</f>
        <v/>
      </c>
      <c r="T330" s="46">
        <f>IF(AND(B330="South Korea",scenario="MID"),korea_mid_load,load_sel)</f>
        <v/>
      </c>
      <c r="U330" s="47">
        <f>pax_cap*T330</f>
        <v/>
      </c>
      <c r="V330" s="45">
        <f>U330*S330</f>
        <v/>
      </c>
      <c r="W330" s="48">
        <f>H330*discount</f>
        <v/>
      </c>
      <c r="X330" s="49">
        <f>W330*V330</f>
        <v/>
      </c>
      <c r="Y330" s="49">
        <f>(battery/range_nm)*G330*S330*VLOOKUP(B330,country_opex,3,FALSE)</f>
        <v/>
      </c>
      <c r="Z330" s="49">
        <f>VLOOKUP(B330,country_opex,2,FALSE)*crew_factor</f>
        <v/>
      </c>
      <c r="AA330" s="49">
        <f>VLOOKUP(B330,country_opex,5,FALSE)</f>
        <v/>
      </c>
      <c r="AB330" s="49">
        <f>maint</f>
        <v/>
      </c>
      <c r="AC330" s="49">
        <f>VLOOKUP(B330,country_opex,7,FALSE)*ins_pct</f>
        <v/>
      </c>
      <c r="AD330" s="49">
        <f>charge_berth</f>
        <v/>
      </c>
      <c r="AE330" s="49">
        <f>Y330+Z330+AA330+AB330+AC330+AD330</f>
        <v/>
      </c>
      <c r="AF330" s="49">
        <f>VLOOKUP(B330,country_opex,7,FALSE)/dep_years</f>
        <v/>
      </c>
      <c r="AG330" s="49">
        <f>X330-AE330</f>
        <v/>
      </c>
      <c r="AH330" s="46">
        <f>IF(X330=0,"",AG330/X330)</f>
        <v/>
      </c>
      <c r="AI330" s="47">
        <f>IF(AG330&lt;=0,"",VLOOKUP(B330,country_opex,7,FALSE)/AG330)</f>
        <v/>
      </c>
      <c r="AJ330" s="44">
        <f>((G330*S330/diesel_nmpg)*diesel_co2pg-(battery/range_nm)*G330*S330*VLOOKUP(B330,country_opex,4,FALSE))/1000</f>
        <v/>
      </c>
      <c r="AK330" s="42" t="n">
        <v>45000</v>
      </c>
      <c r="AL330" s="43" t="inlineStr">
        <is>
          <t>T5</t>
        </is>
      </c>
      <c r="AM330" s="43" t="inlineStr">
        <is>
          <t>low</t>
        </is>
      </c>
      <c r="AN330" s="50" t="n">
        <v>0.1</v>
      </c>
      <c r="AO330" s="45">
        <f>IF(AK330="","",AK330*AN330)</f>
        <v/>
      </c>
      <c r="AP330" s="45">
        <f>IF(OR(AK330="",V330=0),"",MIN(IF(AX330="",9.9E+99,AX330),FLOOR(AO330/V330,1)))</f>
        <v/>
      </c>
      <c r="AQ330" s="49">
        <f>IF(AP330="","",AP330*IF(ABS(MOD(ABS((X330)),1)-0.5)&lt;1E-9,2*ROUND((X330)/2,0),ROUND((X330),0)))</f>
        <v/>
      </c>
      <c r="AR330" s="47">
        <f>IF(OR(AK330="",V330=0),"",MIN(IF(AX330="",9.9E+99,AX330),AO330/V330))</f>
        <v/>
      </c>
      <c r="AS330" s="49">
        <f>IF(AR330="","",AR330*IF(B330="South Korea",IF(ABS(MOD(ABS((X330)),1)-0.5)&lt;1E-9,2*ROUND((X330)/2,0),ROUND((X330),0)),X330))</f>
        <v/>
      </c>
      <c r="AT330" s="51" t="n"/>
      <c r="AU330" s="43" t="inlineStr">
        <is>
          <t>Grounded</t>
        </is>
      </c>
      <c r="AV330" s="52" t="n"/>
      <c r="AW330" s="52" t="n"/>
      <c r="AX330" s="53" t="n"/>
      <c r="AY330" s="54">
        <f>IF(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&lt;=0,"",VLOOKUP(B330,country_opex,7,FALSE)/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)</f>
        <v/>
      </c>
      <c r="AZ330" s="54">
        <f>IF(((W330*pax_cap*IF(B330="South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Korea",korea_mid_revleg,revleg_mid)),0))*VLOOKUP(B330,country_opex,3,FALSE))+Z330+AA330+AB330+AC330+AD330))&lt;=0,"",VLOOKUP(B330,country_opex,7,FALSE)/((W330*pax_cap*IF(B330="South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Korea",korea_mid_revleg,revleg_mid)),0))*VLOOKUP(B330,country_opex,3,FALSE))+Z330+AA330+AB330+AC330+AD330)))</f>
        <v/>
      </c>
      <c r="BA330" s="54">
        <f>IF(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&lt;=0,"",VLOOKUP(B330,country_opex,7,FALSE)/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)</f>
        <v/>
      </c>
      <c r="BB330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C330" s="40" t="inlineStr">
        <is>
          <t>Served Gaya luxury resorts (Gaya Island Resort, Bunga Raya, Gayana ~200 villas combined). Modeled guest arrivals ~45k/yr (occupancy x turns). Subset of TAR-park traffic via Sutera Marina.</t>
        </is>
      </c>
      <c r="BD330" s="43" t="inlineStr">
        <is>
          <t>gcn-b708b60165-shared</t>
        </is>
      </c>
    </row>
    <row r="331">
      <c r="A331" s="38" t="inlineStr">
        <is>
          <t>Penang</t>
        </is>
      </c>
      <c r="B331" s="38" t="inlineStr">
        <is>
          <t>Malaysia</t>
        </is>
      </c>
      <c r="C331" s="39" t="inlineStr">
        <is>
          <t>George Town → Batu Ferringhi resort strip</t>
        </is>
      </c>
      <c r="D331" s="38" t="inlineStr">
        <is>
          <t>grab</t>
        </is>
      </c>
      <c r="E331" s="40" t="inlineStr">
        <is>
          <t>langkawi, penang</t>
        </is>
      </c>
      <c r="F331" s="41" t="n">
        <v>2</v>
      </c>
      <c r="G331" s="42" t="n">
        <v>6.6</v>
      </c>
      <c r="H331" s="35" t="n">
        <v>30</v>
      </c>
      <c r="I331" s="43" t="inlineStr">
        <is>
          <t>T5</t>
        </is>
      </c>
      <c r="J331" s="43" t="inlineStr">
        <is>
          <t>low</t>
        </is>
      </c>
      <c r="K331" s="29" t="n">
        <v>1</v>
      </c>
      <c r="L331" s="44">
        <f>60*G331/cruise_kt</f>
        <v/>
      </c>
      <c r="M331" s="44">
        <f>IF(B331="South Korea",G331/korea_charge_range_nm*korea_full_range_charge_min,0)</f>
        <v/>
      </c>
      <c r="N331" s="44">
        <f>IF(B331="South Korea",L331+korea_turn_min+korea_dwell_min+M331,L331+turn_min+dwell_min)</f>
        <v/>
      </c>
      <c r="O331" s="45">
        <f>IF(B331="South Korea",FLOOR(60*korea_service_hr/N331,1),MIN(15,FLOOR(60*service_hr/N331,1)))</f>
        <v/>
      </c>
      <c r="P331" s="45">
        <f>IF(ABS(MOD(ABS((365*mech_uptime*K331)),1)-0.5)&lt;1E-9,2*ROUND((365*mech_uptime*K331)/2,0),ROUND((365*mech_uptime*K331),0))</f>
        <v/>
      </c>
      <c r="Q331" s="46">
        <f>mech_uptime</f>
        <v/>
      </c>
      <c r="R331" s="46">
        <f>IF(AND(B331="South Korea",scenario="MID"),korea_mid_revleg,revleg_sel)</f>
        <v/>
      </c>
      <c r="S331" s="45">
        <f>IF(ABS(MOD(ABS((O331*P331*R331)),1)-0.5)&lt;1E-9,2*ROUND((O331*P331*R331)/2,0),ROUND((O331*P331*R331),0))</f>
        <v/>
      </c>
      <c r="T331" s="46">
        <f>IF(AND(B331="South Korea",scenario="MID"),korea_mid_load,load_sel)</f>
        <v/>
      </c>
      <c r="U331" s="47">
        <f>pax_cap*T331</f>
        <v/>
      </c>
      <c r="V331" s="45">
        <f>U331*S331</f>
        <v/>
      </c>
      <c r="W331" s="48">
        <f>H331*discount</f>
        <v/>
      </c>
      <c r="X331" s="49">
        <f>W331*V331</f>
        <v/>
      </c>
      <c r="Y331" s="49">
        <f>(battery/range_nm)*G331*S331*VLOOKUP(B331,country_opex,3,FALSE)</f>
        <v/>
      </c>
      <c r="Z331" s="49">
        <f>VLOOKUP(B331,country_opex,2,FALSE)*crew_factor</f>
        <v/>
      </c>
      <c r="AA331" s="49">
        <f>VLOOKUP(B331,country_opex,5,FALSE)</f>
        <v/>
      </c>
      <c r="AB331" s="49">
        <f>maint</f>
        <v/>
      </c>
      <c r="AC331" s="49">
        <f>VLOOKUP(B331,country_opex,7,FALSE)*ins_pct</f>
        <v/>
      </c>
      <c r="AD331" s="49">
        <f>charge_berth</f>
        <v/>
      </c>
      <c r="AE331" s="49">
        <f>Y331+Z331+AA331+AB331+AC331+AD331</f>
        <v/>
      </c>
      <c r="AF331" s="49">
        <f>VLOOKUP(B331,country_opex,7,FALSE)/dep_years</f>
        <v/>
      </c>
      <c r="AG331" s="49">
        <f>X331-AE331</f>
        <v/>
      </c>
      <c r="AH331" s="46">
        <f>IF(X331=0,"",AG331/X331)</f>
        <v/>
      </c>
      <c r="AI331" s="47">
        <f>IF(AG331&lt;=0,"",VLOOKUP(B331,country_opex,7,FALSE)/AG331)</f>
        <v/>
      </c>
      <c r="AJ331" s="44">
        <f>((G331*S331/diesel_nmpg)*diesel_co2pg-(battery/range_nm)*G331*S331*VLOOKUP(B331,country_opex,4,FALSE))/1000</f>
        <v/>
      </c>
      <c r="AK331" s="42" t="n"/>
      <c r="AL331" s="43" t="inlineStr">
        <is>
          <t>T5</t>
        </is>
      </c>
      <c r="AM331" s="43" t="inlineStr">
        <is>
          <t>low</t>
        </is>
      </c>
      <c r="AN331" s="50" t="n">
        <v>0.1</v>
      </c>
      <c r="AO331" s="45">
        <f>IF(AK331="","",AK331*AN331)</f>
        <v/>
      </c>
      <c r="AP331" s="45">
        <f>IF(OR(AK331="",V331=0),"",MIN(IF(AX331="",9.9E+99,AX331),FLOOR(AO331/V331,1)))</f>
        <v/>
      </c>
      <c r="AQ331" s="49">
        <f>IF(AP331="","",AP331*IF(ABS(MOD(ABS((X331)),1)-0.5)&lt;1E-9,2*ROUND((X331)/2,0),ROUND((X331),0)))</f>
        <v/>
      </c>
      <c r="AR331" s="47">
        <f>IF(OR(AK331="",V331=0),"",MIN(IF(AX331="",9.9E+99,AX331),AO331/V331))</f>
        <v/>
      </c>
      <c r="AS331" s="49">
        <f>IF(AR331="","",AR331*IF(B331="South Korea",IF(ABS(MOD(ABS((X331)),1)-0.5)&lt;1E-9,2*ROUND((X331)/2,0),ROUND((X331),0)),X331))</f>
        <v/>
      </c>
      <c r="AT331" s="51" t="n"/>
      <c r="AU331" s="43" t="inlineStr">
        <is>
          <t>Estimated</t>
        </is>
      </c>
      <c r="AV331" s="52" t="n"/>
      <c r="AW331" s="52" t="n"/>
      <c r="AX331" s="53" t="n"/>
      <c r="AY331" s="54">
        <f>IF(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&lt;=0,"",VLOOKUP(B331,country_opex,7,FALSE)/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)</f>
        <v/>
      </c>
      <c r="AZ331" s="54">
        <f>IF(((W331*pax_cap*IF(B331="South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Korea",korea_mid_revleg,revleg_mid)),0))*VLOOKUP(B331,country_opex,3,FALSE))+Z331+AA331+AB331+AC331+AD331))&lt;=0,"",VLOOKUP(B331,country_opex,7,FALSE)/((W331*pax_cap*IF(B331="South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Korea",korea_mid_revleg,revleg_mid)),0))*VLOOKUP(B331,country_opex,3,FALSE))+Z331+AA331+AB331+AC331+AD331)))</f>
        <v/>
      </c>
      <c r="BA331" s="54">
        <f>IF(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&lt;=0,"",VLOOKUP(B331,country_opex,7,FALSE)/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)</f>
        <v/>
      </c>
      <c r="BB331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331" s="40" t="inlineStr">
        <is>
          <t>No boat crossing exists; Batu Ferringhi hotel-strip arrivals come by road. No credible on-water pax pool.</t>
        </is>
      </c>
      <c r="BD331" s="43" t="n"/>
    </row>
    <row r="332">
      <c r="A332" s="38" t="inlineStr">
        <is>
          <t>Penang</t>
        </is>
      </c>
      <c r="B332" s="38" t="inlineStr">
        <is>
          <t>Malaysia</t>
        </is>
      </c>
      <c r="C332" s="39" t="inlineStr">
        <is>
          <t>Kuah Jetty (Langkawi) → Langkawi geopark island-hop (Dayang Bunting / Payar)</t>
        </is>
      </c>
      <c r="D332" s="38" t="inlineStr">
        <is>
          <t>grab</t>
        </is>
      </c>
      <c r="E332" s="40" t="inlineStr">
        <is>
          <t>langkawi, penang</t>
        </is>
      </c>
      <c r="F332" s="41" t="n">
        <v>2</v>
      </c>
      <c r="G332" s="42" t="n">
        <v>10</v>
      </c>
      <c r="H332" s="35" t="n">
        <v>20</v>
      </c>
      <c r="I332" s="43" t="inlineStr">
        <is>
          <t>T3</t>
        </is>
      </c>
      <c r="J332" s="43" t="inlineStr">
        <is>
          <t>med-high</t>
        </is>
      </c>
      <c r="K332" s="29" t="n">
        <v>1</v>
      </c>
      <c r="L332" s="44">
        <f>60*G332/cruise_kt</f>
        <v/>
      </c>
      <c r="M332" s="44">
        <f>IF(B332="South Korea",G332/korea_charge_range_nm*korea_full_range_charge_min,0)</f>
        <v/>
      </c>
      <c r="N332" s="44">
        <f>IF(B332="South Korea",L332+korea_turn_min+korea_dwell_min+M332,L332+turn_min+dwell_min)</f>
        <v/>
      </c>
      <c r="O332" s="45">
        <f>IF(B332="South Korea",FLOOR(60*korea_service_hr/N332,1),MIN(15,FLOOR(60*service_hr/N332,1)))</f>
        <v/>
      </c>
      <c r="P332" s="45">
        <f>IF(ABS(MOD(ABS((365*mech_uptime*K332)),1)-0.5)&lt;1E-9,2*ROUND((365*mech_uptime*K332)/2,0),ROUND((365*mech_uptime*K332),0))</f>
        <v/>
      </c>
      <c r="Q332" s="46">
        <f>mech_uptime</f>
        <v/>
      </c>
      <c r="R332" s="46">
        <f>IF(AND(B332="South Korea",scenario="MID"),korea_mid_revleg,revleg_sel)</f>
        <v/>
      </c>
      <c r="S332" s="45">
        <f>IF(ABS(MOD(ABS((O332*P332*R332)),1)-0.5)&lt;1E-9,2*ROUND((O332*P332*R332)/2,0),ROUND((O332*P332*R332),0))</f>
        <v/>
      </c>
      <c r="T332" s="46">
        <f>IF(AND(B332="South Korea",scenario="MID"),korea_mid_load,load_sel)</f>
        <v/>
      </c>
      <c r="U332" s="47">
        <f>pax_cap*T332</f>
        <v/>
      </c>
      <c r="V332" s="45">
        <f>U332*S332</f>
        <v/>
      </c>
      <c r="W332" s="48">
        <f>H332*discount</f>
        <v/>
      </c>
      <c r="X332" s="49">
        <f>W332*V332</f>
        <v/>
      </c>
      <c r="Y332" s="49">
        <f>(battery/range_nm)*G332*S332*VLOOKUP(B332,country_opex,3,FALSE)</f>
        <v/>
      </c>
      <c r="Z332" s="49">
        <f>VLOOKUP(B332,country_opex,2,FALSE)*crew_factor</f>
        <v/>
      </c>
      <c r="AA332" s="49">
        <f>VLOOKUP(B332,country_opex,5,FALSE)</f>
        <v/>
      </c>
      <c r="AB332" s="49">
        <f>maint</f>
        <v/>
      </c>
      <c r="AC332" s="49">
        <f>VLOOKUP(B332,country_opex,7,FALSE)*ins_pct</f>
        <v/>
      </c>
      <c r="AD332" s="49">
        <f>charge_berth</f>
        <v/>
      </c>
      <c r="AE332" s="49">
        <f>Y332+Z332+AA332+AB332+AC332+AD332</f>
        <v/>
      </c>
      <c r="AF332" s="49">
        <f>VLOOKUP(B332,country_opex,7,FALSE)/dep_years</f>
        <v/>
      </c>
      <c r="AG332" s="49">
        <f>X332-AE332</f>
        <v/>
      </c>
      <c r="AH332" s="46">
        <f>IF(X332=0,"",AG332/X332)</f>
        <v/>
      </c>
      <c r="AI332" s="47">
        <f>IF(AG332&lt;=0,"",VLOOKUP(B332,country_opex,7,FALSE)/AG332)</f>
        <v/>
      </c>
      <c r="AJ332" s="44">
        <f>((G332*S332/diesel_nmpg)*diesel_co2pg-(battery/range_nm)*G332*S332*VLOOKUP(B332,country_opex,4,FALSE))/1000</f>
        <v/>
      </c>
      <c r="AK332" s="42" t="n">
        <v>400000</v>
      </c>
      <c r="AL332" s="43" t="inlineStr">
        <is>
          <t>T5</t>
        </is>
      </c>
      <c r="AM332" s="43" t="inlineStr">
        <is>
          <t>low</t>
        </is>
      </c>
      <c r="AN332" s="50" t="n">
        <v>0.1</v>
      </c>
      <c r="AO332" s="45">
        <f>IF(AK332="","",AK332*AN332)</f>
        <v/>
      </c>
      <c r="AP332" s="45">
        <f>IF(OR(AK332="",V332=0),"",MIN(IF(AX332="",9.9E+99,AX332),FLOOR(AO332/V332,1)))</f>
        <v/>
      </c>
      <c r="AQ332" s="49">
        <f>IF(AP332="","",AP332*IF(ABS(MOD(ABS((X332)),1)-0.5)&lt;1E-9,2*ROUND((X332)/2,0),ROUND((X332),0)))</f>
        <v/>
      </c>
      <c r="AR332" s="47">
        <f>IF(OR(AK332="",V332=0),"",MIN(IF(AX332="",9.9E+99,AX332),AO332/V332))</f>
        <v/>
      </c>
      <c r="AS332" s="49">
        <f>IF(AR332="","",AR332*IF(B332="South Korea",IF(ABS(MOD(ABS((X332)),1)-0.5)&lt;1E-9,2*ROUND((X332)/2,0),ROUND((X332),0)),X332))</f>
        <v/>
      </c>
      <c r="AT332" s="51" t="n"/>
      <c r="AU332" s="43" t="inlineStr">
        <is>
          <t>Grounded</t>
        </is>
      </c>
      <c r="AV332" s="52" t="n"/>
      <c r="AW332" s="52" t="n"/>
      <c r="AX332" s="53" t="n"/>
      <c r="AY332" s="54">
        <f>IF(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&lt;=0,"",VLOOKUP(B332,country_opex,7,FALSE)/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)</f>
        <v/>
      </c>
      <c r="AZ332" s="54">
        <f>IF(((W332*pax_cap*IF(B332="South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Korea",korea_mid_revleg,revleg_mid)),0))*VLOOKUP(B332,country_opex,3,FALSE))+Z332+AA332+AB332+AC332+AD332))&lt;=0,"",VLOOKUP(B332,country_opex,7,FALSE)/((W332*pax_cap*IF(B332="South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Korea",korea_mid_revleg,revleg_mid)),0))*VLOOKUP(B332,country_opex,3,FALSE))+Z332+AA332+AB332+AC332+AD332)))</f>
        <v/>
      </c>
      <c r="BA332" s="54">
        <f>IF(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&lt;=0,"",VLOOKUP(B332,country_opex,7,FALSE)/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)</f>
        <v/>
      </c>
      <c r="BB332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C332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  <c r="BD332" s="43" t="inlineStr">
        <is>
          <t>gcn-a9b962223c-shared</t>
        </is>
      </c>
    </row>
    <row r="333">
      <c r="A333" s="38" t="inlineStr">
        <is>
          <t>Penang</t>
        </is>
      </c>
      <c r="B333" s="38" t="inlineStr">
        <is>
          <t>Malaysia</t>
        </is>
      </c>
      <c r="C333" s="39" t="inlineStr">
        <is>
          <t>Kuah Jetty (Langkawi) → Kuala Perlis (mainland)</t>
        </is>
      </c>
      <c r="D333" s="38" t="inlineStr">
        <is>
          <t>grab</t>
        </is>
      </c>
      <c r="E333" s="40" t="inlineStr">
        <is>
          <t>langkawi, penang</t>
        </is>
      </c>
      <c r="F333" s="41" t="n">
        <v>2</v>
      </c>
      <c r="G333" s="42" t="n">
        <v>16.8</v>
      </c>
      <c r="H333" s="35" t="n">
        <v>10.5</v>
      </c>
      <c r="I333" s="43" t="inlineStr">
        <is>
          <t>T1</t>
        </is>
      </c>
      <c r="J333" s="43" t="inlineStr">
        <is>
          <t>med-high</t>
        </is>
      </c>
      <c r="K333" s="29" t="n">
        <v>1</v>
      </c>
      <c r="L333" s="44">
        <f>60*G333/cruise_kt</f>
        <v/>
      </c>
      <c r="M333" s="44">
        <f>IF(B333="South Korea",G333/korea_charge_range_nm*korea_full_range_charge_min,0)</f>
        <v/>
      </c>
      <c r="N333" s="44">
        <f>IF(B333="South Korea",L333+korea_turn_min+korea_dwell_min+M333,L333+turn_min+dwell_min)</f>
        <v/>
      </c>
      <c r="O333" s="45">
        <f>IF(B333="South Korea",FLOOR(60*korea_service_hr/N333,1),MIN(15,FLOOR(60*service_hr/N333,1)))</f>
        <v/>
      </c>
      <c r="P333" s="45">
        <f>IF(ABS(MOD(ABS((365*mech_uptime*K333)),1)-0.5)&lt;1E-9,2*ROUND((365*mech_uptime*K333)/2,0),ROUND((365*mech_uptime*K333),0))</f>
        <v/>
      </c>
      <c r="Q333" s="46">
        <f>mech_uptime</f>
        <v/>
      </c>
      <c r="R333" s="46">
        <f>IF(AND(B333="South Korea",scenario="MID"),korea_mid_revleg,revleg_sel)</f>
        <v/>
      </c>
      <c r="S333" s="45">
        <f>IF(ABS(MOD(ABS((O333*P333*R333)),1)-0.5)&lt;1E-9,2*ROUND((O333*P333*R333)/2,0),ROUND((O333*P333*R333),0))</f>
        <v/>
      </c>
      <c r="T333" s="46">
        <f>IF(AND(B333="South Korea",scenario="MID"),korea_mid_load,load_sel)</f>
        <v/>
      </c>
      <c r="U333" s="47">
        <f>pax_cap*T333</f>
        <v/>
      </c>
      <c r="V333" s="45">
        <f>U333*S333</f>
        <v/>
      </c>
      <c r="W333" s="48">
        <f>H333*discount</f>
        <v/>
      </c>
      <c r="X333" s="49">
        <f>W333*V333</f>
        <v/>
      </c>
      <c r="Y333" s="49">
        <f>(battery/range_nm)*G333*S333*VLOOKUP(B333,country_opex,3,FALSE)</f>
        <v/>
      </c>
      <c r="Z333" s="49">
        <f>VLOOKUP(B333,country_opex,2,FALSE)*crew_factor</f>
        <v/>
      </c>
      <c r="AA333" s="49">
        <f>VLOOKUP(B333,country_opex,5,FALSE)</f>
        <v/>
      </c>
      <c r="AB333" s="49">
        <f>maint</f>
        <v/>
      </c>
      <c r="AC333" s="49">
        <f>VLOOKUP(B333,country_opex,7,FALSE)*ins_pct</f>
        <v/>
      </c>
      <c r="AD333" s="49">
        <f>charge_berth</f>
        <v/>
      </c>
      <c r="AE333" s="49">
        <f>Y333+Z333+AA333+AB333+AC333+AD333</f>
        <v/>
      </c>
      <c r="AF333" s="49">
        <f>VLOOKUP(B333,country_opex,7,FALSE)/dep_years</f>
        <v/>
      </c>
      <c r="AG333" s="49">
        <f>X333-AE333</f>
        <v/>
      </c>
      <c r="AH333" s="46">
        <f>IF(X333=0,"",AG333/X333)</f>
        <v/>
      </c>
      <c r="AI333" s="47">
        <f>IF(AG333&lt;=0,"",VLOOKUP(B333,country_opex,7,FALSE)/AG333)</f>
        <v/>
      </c>
      <c r="AJ333" s="44">
        <f>((G333*S333/diesel_nmpg)*diesel_co2pg-(battery/range_nm)*G333*S333*VLOOKUP(B333,country_opex,4,FALSE))/1000</f>
        <v/>
      </c>
      <c r="AK333" s="42" t="n">
        <v>1600000</v>
      </c>
      <c r="AL333" s="43" t="inlineStr">
        <is>
          <t>T2</t>
        </is>
      </c>
      <c r="AM333" s="43" t="inlineStr">
        <is>
          <t>med</t>
        </is>
      </c>
      <c r="AN333" s="50" t="n">
        <v>0.1</v>
      </c>
      <c r="AO333" s="45">
        <f>IF(AK333="","",AK333*AN333)</f>
        <v/>
      </c>
      <c r="AP333" s="45">
        <f>IF(OR(AK333="",V333=0),"",MIN(IF(AX333="",9.9E+99,AX333),FLOOR(AO333/V333,1)))</f>
        <v/>
      </c>
      <c r="AQ333" s="49">
        <f>IF(AP333="","",AP333*IF(ABS(MOD(ABS((X333)),1)-0.5)&lt;1E-9,2*ROUND((X333)/2,0),ROUND((X333),0)))</f>
        <v/>
      </c>
      <c r="AR333" s="47">
        <f>IF(OR(AK333="",V333=0),"",MIN(IF(AX333="",9.9E+99,AX333),AO333/V333))</f>
        <v/>
      </c>
      <c r="AS333" s="49">
        <f>IF(AR333="","",AR333*IF(B333="South Korea",IF(ABS(MOD(ABS((X333)),1)-0.5)&lt;1E-9,2*ROUND((X333)/2,0),ROUND((X333),0)),X333))</f>
        <v/>
      </c>
      <c r="AT333" s="51" t="n"/>
      <c r="AU333" s="43" t="inlineStr">
        <is>
          <t>Grounded</t>
        </is>
      </c>
      <c r="AV333" s="52" t="n"/>
      <c r="AW333" s="52" t="n"/>
      <c r="AX333" s="53" t="n"/>
      <c r="AY333" s="54">
        <f>IF(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&lt;=0,"",VLOOKUP(B333,country_opex,7,FALSE)/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)</f>
        <v/>
      </c>
      <c r="AZ333" s="54">
        <f>IF(((W333*pax_cap*IF(B333="South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Korea",korea_mid_revleg,revleg_mid)),0))*VLOOKUP(B333,country_opex,3,FALSE))+Z333+AA333+AB333+AC333+AD333))&lt;=0,"",VLOOKUP(B333,country_opex,7,FALSE)/((W333*pax_cap*IF(B333="South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Korea",korea_mid_revleg,revleg_mid)),0))*VLOOKUP(B333,country_opex,3,FALSE))+Z333+AA333+AB333+AC333+AD333)))</f>
        <v/>
      </c>
      <c r="BA333" s="54">
        <f>IF(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&lt;=0,"",VLOOKUP(B333,country_opex,7,FALSE)/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)</f>
        <v/>
      </c>
      <c r="BB333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C333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  <c r="BD333" s="43" t="inlineStr">
        <is>
          <t>gcn-4ba5d765fa-shared</t>
        </is>
      </c>
    </row>
    <row r="334">
      <c r="A334" s="38" t="inlineStr">
        <is>
          <t>Penang</t>
        </is>
      </c>
      <c r="B334" s="38" t="inlineStr">
        <is>
          <t>Malaysia</t>
        </is>
      </c>
      <c r="C334" s="39" t="inlineStr">
        <is>
          <t>Telaga Harbour (Langkawi) → Koh Lipe (Thailand)</t>
        </is>
      </c>
      <c r="D334" s="38" t="inlineStr">
        <is>
          <t>grab</t>
        </is>
      </c>
      <c r="E334" s="40" t="inlineStr">
        <is>
          <t>langkawi, penang</t>
        </is>
      </c>
      <c r="F334" s="41" t="n">
        <v>2</v>
      </c>
      <c r="G334" s="42" t="n">
        <v>23</v>
      </c>
      <c r="H334" s="35" t="n">
        <v>41.9</v>
      </c>
      <c r="I334" s="43" t="inlineStr">
        <is>
          <t>T3</t>
        </is>
      </c>
      <c r="J334" s="43" t="inlineStr">
        <is>
          <t>high</t>
        </is>
      </c>
      <c r="K334" s="29" t="n">
        <v>1</v>
      </c>
      <c r="L334" s="44">
        <f>60*G334/cruise_kt</f>
        <v/>
      </c>
      <c r="M334" s="44">
        <f>IF(B334="South Korea",G334/korea_charge_range_nm*korea_full_range_charge_min,0)</f>
        <v/>
      </c>
      <c r="N334" s="44">
        <f>IF(B334="South Korea",L334+korea_turn_min+korea_dwell_min+M334,L334+turn_min+dwell_min)</f>
        <v/>
      </c>
      <c r="O334" s="45">
        <f>IF(B334="South Korea",FLOOR(60*korea_service_hr/N334,1),MIN(15,FLOOR(60*service_hr/N334,1)))</f>
        <v/>
      </c>
      <c r="P334" s="45">
        <f>IF(ABS(MOD(ABS((365*mech_uptime*K334)),1)-0.5)&lt;1E-9,2*ROUND((365*mech_uptime*K334)/2,0),ROUND((365*mech_uptime*K334),0))</f>
        <v/>
      </c>
      <c r="Q334" s="46">
        <f>mech_uptime</f>
        <v/>
      </c>
      <c r="R334" s="46">
        <f>IF(AND(B334="South Korea",scenario="MID"),korea_mid_revleg,revleg_sel)</f>
        <v/>
      </c>
      <c r="S334" s="45">
        <f>IF(ABS(MOD(ABS((O334*P334*R334)),1)-0.5)&lt;1E-9,2*ROUND((O334*P334*R334)/2,0),ROUND((O334*P334*R334),0))</f>
        <v/>
      </c>
      <c r="T334" s="46">
        <f>IF(AND(B334="South Korea",scenario="MID"),korea_mid_load,load_sel)</f>
        <v/>
      </c>
      <c r="U334" s="47">
        <f>pax_cap*T334</f>
        <v/>
      </c>
      <c r="V334" s="45">
        <f>U334*S334</f>
        <v/>
      </c>
      <c r="W334" s="48">
        <f>H334*discount</f>
        <v/>
      </c>
      <c r="X334" s="49">
        <f>W334*V334</f>
        <v/>
      </c>
      <c r="Y334" s="49">
        <f>(battery/range_nm)*G334*S334*VLOOKUP(B334,country_opex,3,FALSE)</f>
        <v/>
      </c>
      <c r="Z334" s="49">
        <f>VLOOKUP(B334,country_opex,2,FALSE)*crew_factor</f>
        <v/>
      </c>
      <c r="AA334" s="49">
        <f>VLOOKUP(B334,country_opex,5,FALSE)</f>
        <v/>
      </c>
      <c r="AB334" s="49">
        <f>maint</f>
        <v/>
      </c>
      <c r="AC334" s="49">
        <f>VLOOKUP(B334,country_opex,7,FALSE)*ins_pct</f>
        <v/>
      </c>
      <c r="AD334" s="49">
        <f>charge_berth</f>
        <v/>
      </c>
      <c r="AE334" s="49">
        <f>Y334+Z334+AA334+AB334+AC334+AD334</f>
        <v/>
      </c>
      <c r="AF334" s="49">
        <f>VLOOKUP(B334,country_opex,7,FALSE)/dep_years</f>
        <v/>
      </c>
      <c r="AG334" s="49">
        <f>X334-AE334</f>
        <v/>
      </c>
      <c r="AH334" s="46">
        <f>IF(X334=0,"",AG334/X334)</f>
        <v/>
      </c>
      <c r="AI334" s="47">
        <f>IF(AG334&lt;=0,"",VLOOKUP(B334,country_opex,7,FALSE)/AG334)</f>
        <v/>
      </c>
      <c r="AJ334" s="44">
        <f>((G334*S334/diesel_nmpg)*diesel_co2pg-(battery/range_nm)*G334*S334*VLOOKUP(B334,country_opex,4,FALSE))/1000</f>
        <v/>
      </c>
      <c r="AK334" s="42" t="n">
        <v>45000</v>
      </c>
      <c r="AL334" s="43" t="inlineStr">
        <is>
          <t>T5</t>
        </is>
      </c>
      <c r="AM334" s="43" t="inlineStr">
        <is>
          <t>med-low</t>
        </is>
      </c>
      <c r="AN334" s="50" t="n">
        <v>0.1</v>
      </c>
      <c r="AO334" s="45">
        <f>IF(AK334="","",AK334*AN334)</f>
        <v/>
      </c>
      <c r="AP334" s="45">
        <f>IF(OR(AK334="",V334=0),"",MIN(IF(AX334="",9.9E+99,AX334),FLOOR(AO334/V334,1)))</f>
        <v/>
      </c>
      <c r="AQ334" s="49">
        <f>IF(AP334="","",AP334*IF(ABS(MOD(ABS((X334)),1)-0.5)&lt;1E-9,2*ROUND((X334)/2,0),ROUND((X334),0)))</f>
        <v/>
      </c>
      <c r="AR334" s="47">
        <f>IF(OR(AK334="",V334=0),"",MIN(IF(AX334="",9.9E+99,AX334),AO334/V334))</f>
        <v/>
      </c>
      <c r="AS334" s="49">
        <f>IF(AR334="","",AR334*IF(B334="South Korea",IF(ABS(MOD(ABS((X334)),1)-0.5)&lt;1E-9,2*ROUND((X334)/2,0),ROUND((X334),0)),X334))</f>
        <v/>
      </c>
      <c r="AT334" s="51" t="n"/>
      <c r="AU334" s="43" t="inlineStr">
        <is>
          <t>Grounded</t>
        </is>
      </c>
      <c r="AV334" s="52" t="n"/>
      <c r="AW334" s="52" t="n"/>
      <c r="AX334" s="53" t="n"/>
      <c r="AY334" s="54">
        <f>IF(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&lt;=0,"",VLOOKUP(B334,country_opex,7,FALSE)/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)</f>
        <v/>
      </c>
      <c r="AZ334" s="54">
        <f>IF(((W334*pax_cap*IF(B334="South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Korea",korea_mid_revleg,revleg_mid)),0))*VLOOKUP(B334,country_opex,3,FALSE))+Z334+AA334+AB334+AC334+AD334))&lt;=0,"",VLOOKUP(B334,country_opex,7,FALSE)/((W334*pax_cap*IF(B334="South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Korea",korea_mid_revleg,revleg_mid)),0))*VLOOKUP(B334,country_opex,3,FALSE))+Z334+AA334+AB334+AC334+AD334)))</f>
        <v/>
      </c>
      <c r="BA334" s="54">
        <f>IF(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&lt;=0,"",VLOOKUP(B334,country_opex,7,FALSE)/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)</f>
        <v/>
      </c>
      <c r="BB334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C334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  <c r="BD334" s="43" t="inlineStr">
        <is>
          <t>gcn-b3d5523f36-shared</t>
        </is>
      </c>
    </row>
    <row r="335">
      <c r="A335" s="38" t="inlineStr">
        <is>
          <t>Penang</t>
        </is>
      </c>
      <c r="B335" s="38" t="inlineStr">
        <is>
          <t>Malaysia</t>
        </is>
      </c>
      <c r="C335" s="39" t="inlineStr">
        <is>
          <t>Langkawi → Koh Lipe (Thailand)</t>
        </is>
      </c>
      <c r="D335" s="38" t="inlineStr">
        <is>
          <t>grab</t>
        </is>
      </c>
      <c r="E335" s="40" t="inlineStr">
        <is>
          <t>langkawi, penang</t>
        </is>
      </c>
      <c r="F335" s="41" t="n">
        <v>2</v>
      </c>
      <c r="G335" s="42" t="n">
        <v>24.6</v>
      </c>
      <c r="H335" s="35" t="n">
        <v>37</v>
      </c>
      <c r="I335" s="43" t="inlineStr">
        <is>
          <t>T3</t>
        </is>
      </c>
      <c r="J335" s="43" t="inlineStr">
        <is>
          <t>high</t>
        </is>
      </c>
      <c r="K335" s="29" t="n">
        <v>1</v>
      </c>
      <c r="L335" s="44">
        <f>60*G335/cruise_kt</f>
        <v/>
      </c>
      <c r="M335" s="44">
        <f>IF(B335="South Korea",G335/korea_charge_range_nm*korea_full_range_charge_min,0)</f>
        <v/>
      </c>
      <c r="N335" s="44">
        <f>IF(B335="South Korea",L335+korea_turn_min+korea_dwell_min+M335,L335+turn_min+dwell_min)</f>
        <v/>
      </c>
      <c r="O335" s="45">
        <f>IF(B335="South Korea",FLOOR(60*korea_service_hr/N335,1),MIN(15,FLOOR(60*service_hr/N335,1)))</f>
        <v/>
      </c>
      <c r="P335" s="45">
        <f>IF(ABS(MOD(ABS((365*mech_uptime*K335)),1)-0.5)&lt;1E-9,2*ROUND((365*mech_uptime*K335)/2,0),ROUND((365*mech_uptime*K335),0))</f>
        <v/>
      </c>
      <c r="Q335" s="46">
        <f>mech_uptime</f>
        <v/>
      </c>
      <c r="R335" s="46">
        <f>IF(AND(B335="South Korea",scenario="MID"),korea_mid_revleg,revleg_sel)</f>
        <v/>
      </c>
      <c r="S335" s="45">
        <f>IF(ABS(MOD(ABS((O335*P335*R335)),1)-0.5)&lt;1E-9,2*ROUND((O335*P335*R335)/2,0),ROUND((O335*P335*R335),0))</f>
        <v/>
      </c>
      <c r="T335" s="46">
        <f>IF(AND(B335="South Korea",scenario="MID"),korea_mid_load,load_sel)</f>
        <v/>
      </c>
      <c r="U335" s="47">
        <f>pax_cap*T335</f>
        <v/>
      </c>
      <c r="V335" s="45">
        <f>U335*S335</f>
        <v/>
      </c>
      <c r="W335" s="48">
        <f>H335*discount</f>
        <v/>
      </c>
      <c r="X335" s="49">
        <f>W335*V335</f>
        <v/>
      </c>
      <c r="Y335" s="49">
        <f>(battery/range_nm)*G335*S335*VLOOKUP(B335,country_opex,3,FALSE)</f>
        <v/>
      </c>
      <c r="Z335" s="49">
        <f>VLOOKUP(B335,country_opex,2,FALSE)*crew_factor</f>
        <v/>
      </c>
      <c r="AA335" s="49">
        <f>VLOOKUP(B335,country_opex,5,FALSE)</f>
        <v/>
      </c>
      <c r="AB335" s="49">
        <f>maint</f>
        <v/>
      </c>
      <c r="AC335" s="49">
        <f>VLOOKUP(B335,country_opex,7,FALSE)*ins_pct</f>
        <v/>
      </c>
      <c r="AD335" s="49">
        <f>charge_berth</f>
        <v/>
      </c>
      <c r="AE335" s="49">
        <f>Y335+Z335+AA335+AB335+AC335+AD335</f>
        <v/>
      </c>
      <c r="AF335" s="49">
        <f>VLOOKUP(B335,country_opex,7,FALSE)/dep_years</f>
        <v/>
      </c>
      <c r="AG335" s="49">
        <f>X335-AE335</f>
        <v/>
      </c>
      <c r="AH335" s="46">
        <f>IF(X335=0,"",AG335/X335)</f>
        <v/>
      </c>
      <c r="AI335" s="47">
        <f>IF(AG335&lt;=0,"",VLOOKUP(B335,country_opex,7,FALSE)/AG335)</f>
        <v/>
      </c>
      <c r="AJ335" s="44">
        <f>((G335*S335/diesel_nmpg)*diesel_co2pg-(battery/range_nm)*G335*S335*VLOOKUP(B335,country_opex,4,FALSE))/1000</f>
        <v/>
      </c>
      <c r="AK335" s="42" t="n">
        <v>60000</v>
      </c>
      <c r="AL335" s="43" t="inlineStr">
        <is>
          <t>T5</t>
        </is>
      </c>
      <c r="AM335" s="43" t="inlineStr">
        <is>
          <t>low</t>
        </is>
      </c>
      <c r="AN335" s="50" t="n">
        <v>0.1</v>
      </c>
      <c r="AO335" s="45">
        <f>IF(AK335="","",AK335*AN335)</f>
        <v/>
      </c>
      <c r="AP335" s="45">
        <f>IF(OR(AK335="",V335=0),"",MIN(IF(AX335="",9.9E+99,AX335),FLOOR(AO335/V335,1)))</f>
        <v/>
      </c>
      <c r="AQ335" s="49">
        <f>IF(AP335="","",AP335*IF(ABS(MOD(ABS((X335)),1)-0.5)&lt;1E-9,2*ROUND((X335)/2,0),ROUND((X335),0)))</f>
        <v/>
      </c>
      <c r="AR335" s="47">
        <f>IF(OR(AK335="",V335=0),"",MIN(IF(AX335="",9.9E+99,AX335),AO335/V335))</f>
        <v/>
      </c>
      <c r="AS335" s="49">
        <f>IF(AR335="","",AR335*IF(B335="South Korea",IF(ABS(MOD(ABS((X335)),1)-0.5)&lt;1E-9,2*ROUND((X335)/2,0),ROUND((X335),0)),X335))</f>
        <v/>
      </c>
      <c r="AT335" s="51" t="n"/>
      <c r="AU335" s="43" t="inlineStr">
        <is>
          <t>Grounded</t>
        </is>
      </c>
      <c r="AV335" s="52" t="n"/>
      <c r="AW335" s="52" t="n"/>
      <c r="AX335" s="53" t="n"/>
      <c r="AY335" s="54">
        <f>IF(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&lt;=0,"",VLOOKUP(B335,country_opex,7,FALSE)/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)</f>
        <v/>
      </c>
      <c r="AZ335" s="54">
        <f>IF(((W335*pax_cap*IF(B335="South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Korea",korea_mid_revleg,revleg_mid)),0))*VLOOKUP(B335,country_opex,3,FALSE))+Z335+AA335+AB335+AC335+AD335))&lt;=0,"",VLOOKUP(B335,country_opex,7,FALSE)/((W335*pax_cap*IF(B335="South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Korea",korea_mid_revleg,revleg_mid)),0))*VLOOKUP(B335,country_opex,3,FALSE))+Z335+AA335+AB335+AC335+AD335)))</f>
        <v/>
      </c>
      <c r="BA335" s="54">
        <f>IF(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&lt;=0,"",VLOOKUP(B335,country_opex,7,FALSE)/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)</f>
        <v/>
      </c>
      <c r="BB335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C335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  <c r="BD335" s="43" t="inlineStr">
        <is>
          <t>rn-52d49854390c</t>
        </is>
      </c>
    </row>
    <row r="336">
      <c r="A336" s="38" t="inlineStr">
        <is>
          <t>Penang</t>
        </is>
      </c>
      <c r="B336" s="38" t="inlineStr">
        <is>
          <t>Malaysia</t>
        </is>
      </c>
      <c r="C336" s="39" t="inlineStr">
        <is>
          <t>Kuah Jetty (Langkawi) → Kuala Kedah (mainland)</t>
        </is>
      </c>
      <c r="D336" s="38" t="inlineStr">
        <is>
          <t>grab</t>
        </is>
      </c>
      <c r="E336" s="40" t="inlineStr">
        <is>
          <t>langkawi, penang</t>
        </is>
      </c>
      <c r="F336" s="41" t="n">
        <v>2</v>
      </c>
      <c r="G336" s="42" t="n">
        <v>27</v>
      </c>
      <c r="H336" s="35" t="n">
        <v>12.8</v>
      </c>
      <c r="I336" s="43" t="inlineStr">
        <is>
          <t>T1</t>
        </is>
      </c>
      <c r="J336" s="43" t="inlineStr">
        <is>
          <t>med-high</t>
        </is>
      </c>
      <c r="K336" s="29" t="n">
        <v>1</v>
      </c>
      <c r="L336" s="44">
        <f>60*G336/cruise_kt</f>
        <v/>
      </c>
      <c r="M336" s="44">
        <f>IF(B336="South Korea",G336/korea_charge_range_nm*korea_full_range_charge_min,0)</f>
        <v/>
      </c>
      <c r="N336" s="44">
        <f>IF(B336="South Korea",L336+korea_turn_min+korea_dwell_min+M336,L336+turn_min+dwell_min)</f>
        <v/>
      </c>
      <c r="O336" s="45">
        <f>IF(B336="South Korea",FLOOR(60*korea_service_hr/N336,1),MIN(15,FLOOR(60*service_hr/N336,1)))</f>
        <v/>
      </c>
      <c r="P336" s="45">
        <f>IF(ABS(MOD(ABS((365*mech_uptime*K336)),1)-0.5)&lt;1E-9,2*ROUND((365*mech_uptime*K336)/2,0),ROUND((365*mech_uptime*K336),0))</f>
        <v/>
      </c>
      <c r="Q336" s="46">
        <f>mech_uptime</f>
        <v/>
      </c>
      <c r="R336" s="46">
        <f>IF(AND(B336="South Korea",scenario="MID"),korea_mid_revleg,revleg_sel)</f>
        <v/>
      </c>
      <c r="S336" s="45">
        <f>IF(ABS(MOD(ABS((O336*P336*R336)),1)-0.5)&lt;1E-9,2*ROUND((O336*P336*R336)/2,0),ROUND((O336*P336*R336),0))</f>
        <v/>
      </c>
      <c r="T336" s="46">
        <f>IF(AND(B336="South Korea",scenario="MID"),korea_mid_load,load_sel)</f>
        <v/>
      </c>
      <c r="U336" s="47">
        <f>pax_cap*T336</f>
        <v/>
      </c>
      <c r="V336" s="45">
        <f>U336*S336</f>
        <v/>
      </c>
      <c r="W336" s="48">
        <f>H336*discount</f>
        <v/>
      </c>
      <c r="X336" s="49">
        <f>W336*V336</f>
        <v/>
      </c>
      <c r="Y336" s="49">
        <f>(battery/range_nm)*G336*S336*VLOOKUP(B336,country_opex,3,FALSE)</f>
        <v/>
      </c>
      <c r="Z336" s="49">
        <f>VLOOKUP(B336,country_opex,2,FALSE)*crew_factor</f>
        <v/>
      </c>
      <c r="AA336" s="49">
        <f>VLOOKUP(B336,country_opex,5,FALSE)</f>
        <v/>
      </c>
      <c r="AB336" s="49">
        <f>maint</f>
        <v/>
      </c>
      <c r="AC336" s="49">
        <f>VLOOKUP(B336,country_opex,7,FALSE)*ins_pct</f>
        <v/>
      </c>
      <c r="AD336" s="49">
        <f>charge_berth</f>
        <v/>
      </c>
      <c r="AE336" s="49">
        <f>Y336+Z336+AA336+AB336+AC336+AD336</f>
        <v/>
      </c>
      <c r="AF336" s="49">
        <f>VLOOKUP(B336,country_opex,7,FALSE)/dep_years</f>
        <v/>
      </c>
      <c r="AG336" s="49">
        <f>X336-AE336</f>
        <v/>
      </c>
      <c r="AH336" s="46">
        <f>IF(X336=0,"",AG336/X336)</f>
        <v/>
      </c>
      <c r="AI336" s="47">
        <f>IF(AG336&lt;=0,"",VLOOKUP(B336,country_opex,7,FALSE)/AG336)</f>
        <v/>
      </c>
      <c r="AJ336" s="44">
        <f>((G336*S336/diesel_nmpg)*diesel_co2pg-(battery/range_nm)*G336*S336*VLOOKUP(B336,country_opex,4,FALSE))/1000</f>
        <v/>
      </c>
      <c r="AK336" s="42" t="n">
        <v>1000000</v>
      </c>
      <c r="AL336" s="43" t="inlineStr">
        <is>
          <t>T2</t>
        </is>
      </c>
      <c r="AM336" s="43" t="inlineStr">
        <is>
          <t>med</t>
        </is>
      </c>
      <c r="AN336" s="50" t="n">
        <v>0.1</v>
      </c>
      <c r="AO336" s="45">
        <f>IF(AK336="","",AK336*AN336)</f>
        <v/>
      </c>
      <c r="AP336" s="45">
        <f>IF(OR(AK336="",V336=0),"",MIN(IF(AX336="",9.9E+99,AX336),FLOOR(AO336/V336,1)))</f>
        <v/>
      </c>
      <c r="AQ336" s="49">
        <f>IF(AP336="","",AP336*IF(ABS(MOD(ABS((X336)),1)-0.5)&lt;1E-9,2*ROUND((X336)/2,0),ROUND((X336),0)))</f>
        <v/>
      </c>
      <c r="AR336" s="47">
        <f>IF(OR(AK336="",V336=0),"",MIN(IF(AX336="",9.9E+99,AX336),AO336/V336))</f>
        <v/>
      </c>
      <c r="AS336" s="49">
        <f>IF(AR336="","",AR336*IF(B336="South Korea",IF(ABS(MOD(ABS((X336)),1)-0.5)&lt;1E-9,2*ROUND((X336)/2,0),ROUND((X336),0)),X336))</f>
        <v/>
      </c>
      <c r="AT336" s="51" t="n"/>
      <c r="AU336" s="43" t="inlineStr">
        <is>
          <t>Grounded</t>
        </is>
      </c>
      <c r="AV336" s="52" t="n"/>
      <c r="AW336" s="52" t="n"/>
      <c r="AX336" s="53" t="n"/>
      <c r="AY336" s="54">
        <f>IF(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&lt;=0,"",VLOOKUP(B336,country_opex,7,FALSE)/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)</f>
        <v/>
      </c>
      <c r="AZ336" s="54">
        <f>IF(((W336*pax_cap*IF(B336="South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Korea",korea_mid_revleg,revleg_mid)),0))*VLOOKUP(B336,country_opex,3,FALSE))+Z336+AA336+AB336+AC336+AD336))&lt;=0,"",VLOOKUP(B336,country_opex,7,FALSE)/((W336*pax_cap*IF(B336="South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Korea",korea_mid_revleg,revleg_mid)),0))*VLOOKUP(B336,country_opex,3,FALSE))+Z336+AA336+AB336+AC336+AD336)))</f>
        <v/>
      </c>
      <c r="BA336" s="54">
        <f>IF(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&lt;=0,"",VLOOKUP(B336,country_opex,7,FALSE)/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)</f>
        <v/>
      </c>
      <c r="BB336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C336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  <c r="BD336" s="43" t="inlineStr">
        <is>
          <t>gcn-5126df7a91-shared</t>
        </is>
      </c>
    </row>
    <row r="337">
      <c r="A337" s="38" t="inlineStr">
        <is>
          <t>Borneo</t>
        </is>
      </c>
      <c r="B337" s="38" t="inlineStr">
        <is>
          <t>Malaysia</t>
        </is>
      </c>
      <c r="C337" s="39" t="inlineStr">
        <is>
          <t>Kota Kinabalu → Mantanani Islands</t>
        </is>
      </c>
      <c r="D337" s="38" t="inlineStr">
        <is>
          <t>grab</t>
        </is>
      </c>
      <c r="E337" s="40" t="inlineStr">
        <is>
          <t>borneo, langkawi</t>
        </is>
      </c>
      <c r="F337" s="41" t="n">
        <v>2</v>
      </c>
      <c r="G337" s="42" t="n">
        <v>47.89</v>
      </c>
      <c r="H337" s="35" t="n">
        <v>26</v>
      </c>
      <c r="I337" s="43" t="inlineStr">
        <is>
          <t>T4</t>
        </is>
      </c>
      <c r="J337" s="43" t="inlineStr">
        <is>
          <t>low</t>
        </is>
      </c>
      <c r="K337" s="29" t="n">
        <v>1</v>
      </c>
      <c r="L337" s="44">
        <f>60*G337/cruise_kt</f>
        <v/>
      </c>
      <c r="M337" s="44">
        <f>IF(B337="South Korea",G337/korea_charge_range_nm*korea_full_range_charge_min,0)</f>
        <v/>
      </c>
      <c r="N337" s="44">
        <f>IF(B337="South Korea",L337+korea_turn_min+korea_dwell_min+M337,L337+turn_min+dwell_min)</f>
        <v/>
      </c>
      <c r="O337" s="45">
        <f>IF(B337="South Korea",FLOOR(60*korea_service_hr/N337,1),MIN(15,FLOOR(60*service_hr/N337,1)))</f>
        <v/>
      </c>
      <c r="P337" s="45">
        <f>IF(ABS(MOD(ABS((365*mech_uptime*K337)),1)-0.5)&lt;1E-9,2*ROUND((365*mech_uptime*K337)/2,0),ROUND((365*mech_uptime*K337),0))</f>
        <v/>
      </c>
      <c r="Q337" s="46">
        <f>mech_uptime</f>
        <v/>
      </c>
      <c r="R337" s="46">
        <f>IF(AND(B337="South Korea",scenario="MID"),korea_mid_revleg,revleg_sel)</f>
        <v/>
      </c>
      <c r="S337" s="45">
        <f>IF(ABS(MOD(ABS((O337*P337*R337)),1)-0.5)&lt;1E-9,2*ROUND((O337*P337*R337)/2,0),ROUND((O337*P337*R337),0))</f>
        <v/>
      </c>
      <c r="T337" s="46">
        <f>IF(AND(B337="South Korea",scenario="MID"),korea_mid_load,load_sel)</f>
        <v/>
      </c>
      <c r="U337" s="47">
        <f>pax_cap*T337</f>
        <v/>
      </c>
      <c r="V337" s="45">
        <f>U337*S337</f>
        <v/>
      </c>
      <c r="W337" s="48">
        <f>H337*discount</f>
        <v/>
      </c>
      <c r="X337" s="49">
        <f>W337*V337</f>
        <v/>
      </c>
      <c r="Y337" s="49">
        <f>(battery/range_nm)*G337*S337*VLOOKUP(B337,country_opex,3,FALSE)</f>
        <v/>
      </c>
      <c r="Z337" s="49">
        <f>VLOOKUP(B337,country_opex,2,FALSE)*crew_factor</f>
        <v/>
      </c>
      <c r="AA337" s="49">
        <f>VLOOKUP(B337,country_opex,5,FALSE)</f>
        <v/>
      </c>
      <c r="AB337" s="49">
        <f>maint</f>
        <v/>
      </c>
      <c r="AC337" s="49">
        <f>VLOOKUP(B337,country_opex,7,FALSE)*ins_pct</f>
        <v/>
      </c>
      <c r="AD337" s="49">
        <f>charge_berth</f>
        <v/>
      </c>
      <c r="AE337" s="49">
        <f>Y337+Z337+AA337+AB337+AC337+AD337</f>
        <v/>
      </c>
      <c r="AF337" s="49">
        <f>VLOOKUP(B337,country_opex,7,FALSE)/dep_years</f>
        <v/>
      </c>
      <c r="AG337" s="49">
        <f>X337-AE337</f>
        <v/>
      </c>
      <c r="AH337" s="46">
        <f>IF(X337=0,"",AG337/X337)</f>
        <v/>
      </c>
      <c r="AI337" s="47">
        <f>IF(AG337&lt;=0,"",VLOOKUP(B337,country_opex,7,FALSE)/AG337)</f>
        <v/>
      </c>
      <c r="AJ337" s="44">
        <f>((G337*S337/diesel_nmpg)*diesel_co2pg-(battery/range_nm)*G337*S337*VLOOKUP(B337,country_opex,4,FALSE))/1000</f>
        <v/>
      </c>
      <c r="AK337" s="42" t="n">
        <v>150000</v>
      </c>
      <c r="AL337" s="43" t="inlineStr">
        <is>
          <t>T2</t>
        </is>
      </c>
      <c r="AM337" s="43" t="inlineStr">
        <is>
          <t>low</t>
        </is>
      </c>
      <c r="AN337" s="50" t="n">
        <v>0.1</v>
      </c>
      <c r="AO337" s="45">
        <f>IF(AK337="","",AK337*AN337)</f>
        <v/>
      </c>
      <c r="AP337" s="45">
        <f>IF(OR(AK337="",V337=0),"",MIN(IF(AX337="",9.9E+99,AX337),FLOOR(AO337/V337,1)))</f>
        <v/>
      </c>
      <c r="AQ337" s="49">
        <f>IF(AP337="","",AP337*IF(ABS(MOD(ABS((X337)),1)-0.5)&lt;1E-9,2*ROUND((X337)/2,0),ROUND((X337),0)))</f>
        <v/>
      </c>
      <c r="AR337" s="47">
        <f>IF(OR(AK337="",V337=0),"",MIN(IF(AX337="",9.9E+99,AX337),AO337/V337))</f>
        <v/>
      </c>
      <c r="AS337" s="49">
        <f>IF(AR337="","",AR337*IF(B337="South Korea",IF(ABS(MOD(ABS((X337)),1)-0.5)&lt;1E-9,2*ROUND((X337)/2,0),ROUND((X337),0)),X337))</f>
        <v/>
      </c>
      <c r="AT337" s="51" t="n"/>
      <c r="AU337" s="43" t="inlineStr">
        <is>
          <t>Grounded</t>
        </is>
      </c>
      <c r="AV337" s="52" t="n"/>
      <c r="AW337" s="52" t="n"/>
      <c r="AX337" s="53" t="n"/>
      <c r="AY337" s="54">
        <f>IF(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&lt;=0,"",VLOOKUP(B337,country_opex,7,FALSE)/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)</f>
        <v/>
      </c>
      <c r="AZ337" s="54">
        <f>IF(((W337*pax_cap*IF(B337="South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Korea",korea_mid_revleg,revleg_mid)),0))*VLOOKUP(B337,country_opex,3,FALSE))+Z337+AA337+AB337+AC337+AD337))&lt;=0,"",VLOOKUP(B337,country_opex,7,FALSE)/((W337*pax_cap*IF(B337="South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Korea",korea_mid_revleg,revleg_mid)),0))*VLOOKUP(B337,country_opex,3,FALSE))+Z337+AA337+AB337+AC337+AD337)))</f>
        <v/>
      </c>
      <c r="BA337" s="54">
        <f>IF(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&lt;=0,"",VLOOKUP(B337,country_opex,7,FALSE)/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)</f>
        <v/>
      </c>
      <c r="BB337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C337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  <c r="BD337" s="43" t="inlineStr">
        <is>
          <t>gcn-b3165d242e-shared</t>
        </is>
      </c>
    </row>
    <row r="338">
      <c r="A338" s="38" t="inlineStr">
        <is>
          <t>Penang</t>
        </is>
      </c>
      <c r="B338" s="38" t="inlineStr">
        <is>
          <t>Malaysia</t>
        </is>
      </c>
      <c r="C338" s="39" t="inlineStr">
        <is>
          <t>Kuah Jetty (Langkawi) → George Town, Penang (Swettenham Pier)</t>
        </is>
      </c>
      <c r="D338" s="38" t="inlineStr">
        <is>
          <t>grab</t>
        </is>
      </c>
      <c r="E338" s="40" t="inlineStr">
        <is>
          <t>langkawi, penang</t>
        </is>
      </c>
      <c r="F338" s="41" t="n">
        <v>2</v>
      </c>
      <c r="G338" s="42" t="n">
        <v>62</v>
      </c>
      <c r="H338" s="35" t="n">
        <v>17.4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IF(B338="South Korea",G338/korea_charge_range_nm*korea_full_range_charge_min,0)</f>
        <v/>
      </c>
      <c r="N338" s="44">
        <f>IF(B338="South Korea",L338+korea_turn_min+korea_dwell_min+M338,L338+turn_min+dwell_min)</f>
        <v/>
      </c>
      <c r="O338" s="45">
        <f>IF(B338="South Korea",FLOOR(60*korea_service_hr/N338,1),MIN(15,FLOOR(60*service_hr/N338,1)))</f>
        <v/>
      </c>
      <c r="P338" s="45">
        <f>IF(ABS(MOD(ABS((365*mech_uptime*K338)),1)-0.5)&lt;1E-9,2*ROUND((365*mech_uptime*K338)/2,0),ROUND((365*mech_uptime*K338),0))</f>
        <v/>
      </c>
      <c r="Q338" s="46">
        <f>mech_uptime</f>
        <v/>
      </c>
      <c r="R338" s="46">
        <f>IF(AND(B338="South Korea",scenario="MID"),korea_mid_revleg,revleg_sel)</f>
        <v/>
      </c>
      <c r="S338" s="45">
        <f>IF(ABS(MOD(ABS((O338*P338*R338)),1)-0.5)&lt;1E-9,2*ROUND((O338*P338*R338)/2,0),ROUND((O338*P338*R338),0))</f>
        <v/>
      </c>
      <c r="T338" s="46">
        <f>IF(AND(B338="South Korea",scenario="MID"),korea_mid_load,load_sel)</f>
        <v/>
      </c>
      <c r="U338" s="47">
        <f>pax_cap*T338</f>
        <v/>
      </c>
      <c r="V338" s="45">
        <f>U338*S338</f>
        <v/>
      </c>
      <c r="W338" s="48">
        <f>H338*discount</f>
        <v/>
      </c>
      <c r="X338" s="49">
        <f>W338*V338</f>
        <v/>
      </c>
      <c r="Y338" s="49">
        <f>(battery/range_nm)*G338*S338*VLOOKUP(B338,country_opex,3,FALSE)</f>
        <v/>
      </c>
      <c r="Z338" s="49">
        <f>VLOOKUP(B338,country_opex,2,FALSE)*crew_factor</f>
        <v/>
      </c>
      <c r="AA338" s="49">
        <f>VLOOKUP(B338,country_opex,5,FALSE)</f>
        <v/>
      </c>
      <c r="AB338" s="49">
        <f>maint</f>
        <v/>
      </c>
      <c r="AC338" s="49">
        <f>VLOOKUP(B338,country_opex,7,FALSE)*ins_pct</f>
        <v/>
      </c>
      <c r="AD338" s="49">
        <f>charge_berth</f>
        <v/>
      </c>
      <c r="AE338" s="49">
        <f>Y338+Z338+AA338+AB338+AC338+AD338</f>
        <v/>
      </c>
      <c r="AF338" s="49">
        <f>VLOOKUP(B338,country_opex,7,FALSE)/dep_years</f>
        <v/>
      </c>
      <c r="AG338" s="49">
        <f>X338-AE338</f>
        <v/>
      </c>
      <c r="AH338" s="46">
        <f>IF(X338=0,"",AG338/X338)</f>
        <v/>
      </c>
      <c r="AI338" s="47">
        <f>IF(AG338&lt;=0,"",VLOOKUP(B338,country_opex,7,FALSE)/AG338)</f>
        <v/>
      </c>
      <c r="AJ338" s="44">
        <f>((G338*S338/diesel_nmpg)*diesel_co2pg-(battery/range_nm)*G338*S338*VLOOKUP(B338,country_opex,4,FALSE))/1000</f>
        <v/>
      </c>
      <c r="AK338" s="42" t="n"/>
      <c r="AL338" s="43" t="inlineStr">
        <is>
          <t>T5</t>
        </is>
      </c>
      <c r="AM338" s="43" t="inlineStr">
        <is>
          <t>low</t>
        </is>
      </c>
      <c r="AN338" s="50" t="n">
        <v>0.1</v>
      </c>
      <c r="AO338" s="45">
        <f>IF(AK338="","",AK338*AN338)</f>
        <v/>
      </c>
      <c r="AP338" s="45">
        <f>IF(OR(AK338="",V338=0),"",MIN(IF(AX338="",9.9E+99,AX338),FLOOR(AO338/V338,1)))</f>
        <v/>
      </c>
      <c r="AQ338" s="49">
        <f>IF(AP338="","",AP338*IF(ABS(MOD(ABS((X338)),1)-0.5)&lt;1E-9,2*ROUND((X338)/2,0),ROUND((X338),0)))</f>
        <v/>
      </c>
      <c r="AR338" s="47">
        <f>IF(OR(AK338="",V338=0),"",MIN(IF(AX338="",9.9E+99,AX338),AO338/V338))</f>
        <v/>
      </c>
      <c r="AS338" s="49">
        <f>IF(AR338="","",AR338*IF(B338="South Korea",IF(ABS(MOD(ABS((X338)),1)-0.5)&lt;1E-9,2*ROUND((X338)/2,0),ROUND((X338),0)),X338))</f>
        <v/>
      </c>
      <c r="AT338" s="51" t="n"/>
      <c r="AU338" s="43" t="inlineStr">
        <is>
          <t>Estimated</t>
        </is>
      </c>
      <c r="AV338" s="52" t="n"/>
      <c r="AW338" s="52" t="n"/>
      <c r="AX338" s="53" t="n"/>
      <c r="AY338" s="54">
        <f>IF(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&lt;=0,"",VLOOKUP(B338,country_opex,7,FALSE)/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)</f>
        <v/>
      </c>
      <c r="AZ338" s="54">
        <f>IF(((W338*pax_cap*IF(B338="South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Korea",korea_mid_revleg,revleg_mid)),0))*VLOOKUP(B338,country_opex,3,FALSE))+Z338+AA338+AB338+AC338+AD338))&lt;=0,"",VLOOKUP(B338,country_opex,7,FALSE)/((W338*pax_cap*IF(B338="South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Korea",korea_mid_revleg,revleg_mid)),0))*VLOOKUP(B338,country_opex,3,FALSE))+Z338+AA338+AB338+AC338+AD338)))</f>
        <v/>
      </c>
      <c r="BA338" s="54">
        <f>IF(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&lt;=0,"",VLOOKUP(B338,country_opex,7,FALSE)/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)</f>
        <v/>
      </c>
      <c r="BB338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C338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  <c r="BD338" s="43" t="inlineStr">
        <is>
          <t>gcn-5596b8c9ee-shared</t>
        </is>
      </c>
    </row>
    <row r="339">
      <c r="A339" s="38" t="inlineStr">
        <is>
          <t>Penang</t>
        </is>
      </c>
      <c r="B339" s="38" t="inlineStr">
        <is>
          <t>Malaysia</t>
        </is>
      </c>
      <c r="C339" s="39" t="inlineStr">
        <is>
          <t>Penang → Pangkor Island</t>
        </is>
      </c>
      <c r="D339" s="38" t="inlineStr">
        <is>
          <t>grab</t>
        </is>
      </c>
      <c r="E339" s="40" t="inlineStr">
        <is>
          <t>langkawi, penang</t>
        </is>
      </c>
      <c r="F339" s="41" t="n">
        <v>2</v>
      </c>
      <c r="G339" s="42" t="n">
        <v>66</v>
      </c>
      <c r="H339" s="35" t="n">
        <v>19</v>
      </c>
      <c r="I339" s="43" t="inlineStr">
        <is>
          <t>T1</t>
        </is>
      </c>
      <c r="J339" s="43" t="inlineStr">
        <is>
          <t>low</t>
        </is>
      </c>
      <c r="K339" s="29" t="n">
        <v>1</v>
      </c>
      <c r="L339" s="44">
        <f>60*G339/cruise_kt</f>
        <v/>
      </c>
      <c r="M339" s="44">
        <f>IF(B339="South Korea",G339/korea_charge_range_nm*korea_full_range_charge_min,0)</f>
        <v/>
      </c>
      <c r="N339" s="44">
        <f>IF(B339="South Korea",L339+korea_turn_min+korea_dwell_min+M339,L339+turn_min+dwell_min)</f>
        <v/>
      </c>
      <c r="O339" s="45">
        <f>IF(B339="South Korea",FLOOR(60*korea_service_hr/N339,1),MIN(15,FLOOR(60*service_hr/N339,1)))</f>
        <v/>
      </c>
      <c r="P339" s="45">
        <f>IF(ABS(MOD(ABS((365*mech_uptime*K339)),1)-0.5)&lt;1E-9,2*ROUND((365*mech_uptime*K339)/2,0),ROUND((365*mech_uptime*K339),0))</f>
        <v/>
      </c>
      <c r="Q339" s="46">
        <f>mech_uptime</f>
        <v/>
      </c>
      <c r="R339" s="46">
        <f>IF(AND(B339="South Korea",scenario="MID"),korea_mid_revleg,revleg_sel)</f>
        <v/>
      </c>
      <c r="S339" s="45">
        <f>IF(ABS(MOD(ABS((O339*P339*R339)),1)-0.5)&lt;1E-9,2*ROUND((O339*P339*R339)/2,0),ROUND((O339*P339*R339),0))</f>
        <v/>
      </c>
      <c r="T339" s="46">
        <f>IF(AND(B339="South Korea",scenario="MID"),korea_mid_load,load_sel)</f>
        <v/>
      </c>
      <c r="U339" s="47">
        <f>pax_cap*T339</f>
        <v/>
      </c>
      <c r="V339" s="45">
        <f>U339*S339</f>
        <v/>
      </c>
      <c r="W339" s="48">
        <f>H339*discount</f>
        <v/>
      </c>
      <c r="X339" s="49">
        <f>W339*V339</f>
        <v/>
      </c>
      <c r="Y339" s="49">
        <f>(battery/range_nm)*G339*S339*VLOOKUP(B339,country_opex,3,FALSE)</f>
        <v/>
      </c>
      <c r="Z339" s="49">
        <f>VLOOKUP(B339,country_opex,2,FALSE)*crew_factor</f>
        <v/>
      </c>
      <c r="AA339" s="49">
        <f>VLOOKUP(B339,country_opex,5,FALSE)</f>
        <v/>
      </c>
      <c r="AB339" s="49">
        <f>maint</f>
        <v/>
      </c>
      <c r="AC339" s="49">
        <f>VLOOKUP(B339,country_opex,7,FALSE)*ins_pct</f>
        <v/>
      </c>
      <c r="AD339" s="49">
        <f>charge_berth</f>
        <v/>
      </c>
      <c r="AE339" s="49">
        <f>Y339+Z339+AA339+AB339+AC339+AD339</f>
        <v/>
      </c>
      <c r="AF339" s="49">
        <f>VLOOKUP(B339,country_opex,7,FALSE)/dep_years</f>
        <v/>
      </c>
      <c r="AG339" s="49">
        <f>X339-AE339</f>
        <v/>
      </c>
      <c r="AH339" s="46">
        <f>IF(X339=0,"",AG339/X339)</f>
        <v/>
      </c>
      <c r="AI339" s="47">
        <f>IF(AG339&lt;=0,"",VLOOKUP(B339,country_opex,7,FALSE)/AG339)</f>
        <v/>
      </c>
      <c r="AJ339" s="44">
        <f>((G339*S339/diesel_nmpg)*diesel_co2pg-(battery/range_nm)*G339*S339*VLOOKUP(B339,country_opex,4,FALSE))/1000</f>
        <v/>
      </c>
      <c r="AK339" s="42" t="n"/>
      <c r="AL339" s="43" t="inlineStr">
        <is>
          <t>T4</t>
        </is>
      </c>
      <c r="AM339" s="43" t="inlineStr">
        <is>
          <t>low</t>
        </is>
      </c>
      <c r="AN339" s="50" t="n">
        <v>0.1</v>
      </c>
      <c r="AO339" s="45">
        <f>IF(AK339="","",AK339*AN339)</f>
        <v/>
      </c>
      <c r="AP339" s="45">
        <f>IF(OR(AK339="",V339=0),"",MIN(IF(AX339="",9.9E+99,AX339),FLOOR(AO339/V339,1)))</f>
        <v/>
      </c>
      <c r="AQ339" s="49">
        <f>IF(AP339="","",AP339*IF(ABS(MOD(ABS((X339)),1)-0.5)&lt;1E-9,2*ROUND((X339)/2,0),ROUND((X339),0)))</f>
        <v/>
      </c>
      <c r="AR339" s="47">
        <f>IF(OR(AK339="",V339=0),"",MIN(IF(AX339="",9.9E+99,AX339),AO339/V339))</f>
        <v/>
      </c>
      <c r="AS339" s="49">
        <f>IF(AR339="","",AR339*IF(B339="South Korea",IF(ABS(MOD(ABS((X339)),1)-0.5)&lt;1E-9,2*ROUND((X339)/2,0),ROUND((X339),0)),X339))</f>
        <v/>
      </c>
      <c r="AT339" s="51" t="n"/>
      <c r="AU339" s="43" t="inlineStr">
        <is>
          <t>Estimated</t>
        </is>
      </c>
      <c r="AV339" s="52" t="n"/>
      <c r="AW339" s="52" t="n"/>
      <c r="AX339" s="53" t="n"/>
      <c r="AY339" s="54">
        <f>IF(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&lt;=0,"",VLOOKUP(B339,country_opex,7,FALSE)/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)</f>
        <v/>
      </c>
      <c r="AZ339" s="54">
        <f>IF(((W339*pax_cap*IF(B339="South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Korea",korea_mid_revleg,revleg_mid)),0))*VLOOKUP(B339,country_opex,3,FALSE))+Z339+AA339+AB339+AC339+AD339))&lt;=0,"",VLOOKUP(B339,country_opex,7,FALSE)/((W339*pax_cap*IF(B339="South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Korea",korea_mid_revleg,revleg_mid)),0))*VLOOKUP(B339,country_opex,3,FALSE))+Z339+AA339+AB339+AC339+AD339)))</f>
        <v/>
      </c>
      <c r="BA339" s="54">
        <f>IF(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&lt;=0,"",VLOOKUP(B339,country_opex,7,FALSE)/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)</f>
        <v/>
      </c>
      <c r="BB339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C339" s="40" t="inlineStr">
        <is>
          <t>Pangkor receives sizeable visitor traffic but via the Lumut/Marina Island crossing, not from Penang (50nm). No direct-Penang pax pool exists.</t>
        </is>
      </c>
      <c r="BD339" s="43" t="n"/>
    </row>
    <row r="340">
      <c r="A340" s="38" t="inlineStr">
        <is>
          <t>Penang</t>
        </is>
      </c>
      <c r="B340" s="38" t="inlineStr">
        <is>
          <t>Malaysia</t>
        </is>
      </c>
      <c r="C340" s="39" t="inlineStr">
        <is>
          <t>Penang → Langkawi</t>
        </is>
      </c>
      <c r="D340" s="38" t="inlineStr">
        <is>
          <t>grab</t>
        </is>
      </c>
      <c r="E340" s="40" t="inlineStr">
        <is>
          <t>langkawi, penang</t>
        </is>
      </c>
      <c r="F340" s="41" t="n">
        <v>3</v>
      </c>
      <c r="G340" s="42" t="n">
        <v>66.40000000000001</v>
      </c>
      <c r="H340" s="35" t="n">
        <v>17</v>
      </c>
      <c r="I340" s="43" t="inlineStr">
        <is>
          <t>T4</t>
        </is>
      </c>
      <c r="J340" s="43" t="inlineStr">
        <is>
          <t>low</t>
        </is>
      </c>
      <c r="K340" s="29" t="n">
        <v>1</v>
      </c>
      <c r="L340" s="44">
        <f>60*G340/cruise_kt</f>
        <v/>
      </c>
      <c r="M340" s="44">
        <f>IF(B340="South Korea",G340/korea_charge_range_nm*korea_full_range_charge_min,0)</f>
        <v/>
      </c>
      <c r="N340" s="44">
        <f>IF(B340="South Korea",L340+korea_turn_min+korea_dwell_min+M340,L340+turn_min+dwell_min)</f>
        <v/>
      </c>
      <c r="O340" s="45">
        <f>IF(B340="South Korea",FLOOR(60*korea_service_hr/N340,1),MIN(15,FLOOR(60*service_hr/N340,1)))</f>
        <v/>
      </c>
      <c r="P340" s="45">
        <f>IF(ABS(MOD(ABS((365*mech_uptime*K340)),1)-0.5)&lt;1E-9,2*ROUND((365*mech_uptime*K340)/2,0),ROUND((365*mech_uptime*K340),0))</f>
        <v/>
      </c>
      <c r="Q340" s="46">
        <f>mech_uptime</f>
        <v/>
      </c>
      <c r="R340" s="46">
        <f>IF(AND(B340="South Korea",scenario="MID"),korea_mid_revleg,revleg_sel)</f>
        <v/>
      </c>
      <c r="S340" s="45">
        <f>IF(ABS(MOD(ABS((O340*P340*R340)),1)-0.5)&lt;1E-9,2*ROUND((O340*P340*R340)/2,0),ROUND((O340*P340*R340),0))</f>
        <v/>
      </c>
      <c r="T340" s="46">
        <f>IF(AND(B340="South Korea",scenario="MID"),korea_mid_load,load_sel)</f>
        <v/>
      </c>
      <c r="U340" s="47">
        <f>pax_cap*T340</f>
        <v/>
      </c>
      <c r="V340" s="45">
        <f>U340*S340</f>
        <v/>
      </c>
      <c r="W340" s="48">
        <f>H340*discount</f>
        <v/>
      </c>
      <c r="X340" s="49">
        <f>W340*V340</f>
        <v/>
      </c>
      <c r="Y340" s="49">
        <f>(battery/range_nm)*G340*S340*VLOOKUP(B340,country_opex,3,FALSE)</f>
        <v/>
      </c>
      <c r="Z340" s="49">
        <f>VLOOKUP(B340,country_opex,2,FALSE)*crew_factor</f>
        <v/>
      </c>
      <c r="AA340" s="49">
        <f>VLOOKUP(B340,country_opex,5,FALSE)</f>
        <v/>
      </c>
      <c r="AB340" s="49">
        <f>maint</f>
        <v/>
      </c>
      <c r="AC340" s="49">
        <f>VLOOKUP(B340,country_opex,7,FALSE)*ins_pct</f>
        <v/>
      </c>
      <c r="AD340" s="49">
        <f>charge_berth</f>
        <v/>
      </c>
      <c r="AE340" s="49">
        <f>Y340+Z340+AA340+AB340+AC340+AD340</f>
        <v/>
      </c>
      <c r="AF340" s="49">
        <f>VLOOKUP(B340,country_opex,7,FALSE)/dep_years</f>
        <v/>
      </c>
      <c r="AG340" s="49">
        <f>X340-AE340</f>
        <v/>
      </c>
      <c r="AH340" s="46">
        <f>IF(X340=0,"",AG340/X340)</f>
        <v/>
      </c>
      <c r="AI340" s="47">
        <f>IF(AG340&lt;=0,"",VLOOKUP(B340,country_opex,7,FALSE)/AG340)</f>
        <v/>
      </c>
      <c r="AJ340" s="44">
        <f>((G340*S340/diesel_nmpg)*diesel_co2pg-(battery/range_nm)*G340*S340*VLOOKUP(B340,country_opex,4,FALSE))/1000</f>
        <v/>
      </c>
      <c r="AK340" s="42" t="n"/>
      <c r="AL340" s="43" t="inlineStr">
        <is>
          <t>T4</t>
        </is>
      </c>
      <c r="AM340" s="43" t="inlineStr">
        <is>
          <t>low</t>
        </is>
      </c>
      <c r="AN340" s="50" t="n">
        <v>0.1</v>
      </c>
      <c r="AO340" s="45">
        <f>IF(AK340="","",AK340*AN340)</f>
        <v/>
      </c>
      <c r="AP340" s="45">
        <f>IF(OR(AK340="",V340=0),"",MIN(IF(AX340="",9.9E+99,AX340),FLOOR(AO340/V340,1)))</f>
        <v/>
      </c>
      <c r="AQ340" s="49">
        <f>IF(AP340="","",AP340*IF(ABS(MOD(ABS((X340)),1)-0.5)&lt;1E-9,2*ROUND((X340)/2,0),ROUND((X340),0)))</f>
        <v/>
      </c>
      <c r="AR340" s="47">
        <f>IF(OR(AK340="",V340=0),"",MIN(IF(AX340="",9.9E+99,AX340),AO340/V340))</f>
        <v/>
      </c>
      <c r="AS340" s="49">
        <f>IF(AR340="","",AR340*IF(B340="South Korea",IF(ABS(MOD(ABS((X340)),1)-0.5)&lt;1E-9,2*ROUND((X340)/2,0),ROUND((X340),0)),X340))</f>
        <v/>
      </c>
      <c r="AT340" s="51" t="n"/>
      <c r="AU340" s="43" t="inlineStr">
        <is>
          <t>Estimated</t>
        </is>
      </c>
      <c r="AV340" s="52" t="n"/>
      <c r="AW340" s="52" t="n"/>
      <c r="AX340" s="53" t="n"/>
      <c r="AY340" s="54">
        <f>IF(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&lt;=0,"",VLOOKUP(B340,country_opex,7,FALSE)/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)</f>
        <v/>
      </c>
      <c r="AZ340" s="54">
        <f>IF(((W340*pax_cap*IF(B340="South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Korea",korea_mid_revleg,revleg_mid)),0))*VLOOKUP(B340,country_opex,3,FALSE))+Z340+AA340+AB340+AC340+AD340))&lt;=0,"",VLOOKUP(B340,country_opex,7,FALSE)/((W340*pax_cap*IF(B340="South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Korea",korea_mid_revleg,revleg_mid)),0))*VLOOKUP(B340,country_opex,3,FALSE))+Z340+AA340+AB340+AC340+AD340)))</f>
        <v/>
      </c>
      <c r="BA340" s="54">
        <f>IF(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&lt;=0,"",VLOOKUP(B340,country_opex,7,FALSE)/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)</f>
        <v/>
      </c>
      <c r="BB340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C340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  <c r="BD340" s="43" t="n"/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Velana International Airport (MLE) Resort Speedboat Lounges → Kurumba Maldives (Vihamanafushi, North Malé)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2.1</v>
      </c>
      <c r="H341" s="35" t="n">
        <v>60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IF(B341="South Korea",G341/korea_charge_range_nm*korea_full_range_charge_min,0)</f>
        <v/>
      </c>
      <c r="N341" s="44">
        <f>IF(B341="South Korea",L341+korea_turn_min+korea_dwell_min+M341,L341+turn_min+dwell_min)</f>
        <v/>
      </c>
      <c r="O341" s="45">
        <f>IF(B341="South Korea",FLOOR(60*korea_service_hr/N341,1),MIN(15,FLOOR(60*service_hr/N341,1)))</f>
        <v/>
      </c>
      <c r="P341" s="45">
        <f>IF(ABS(MOD(ABS((365*mech_uptime*K341)),1)-0.5)&lt;1E-9,2*ROUND((365*mech_uptime*K341)/2,0),ROUND((365*mech_uptime*K341),0))</f>
        <v/>
      </c>
      <c r="Q341" s="46">
        <f>mech_uptime</f>
        <v/>
      </c>
      <c r="R341" s="46">
        <f>IF(AND(B341="South Korea",scenario="MID"),korea_mid_revleg,revleg_sel)</f>
        <v/>
      </c>
      <c r="S341" s="45">
        <f>IF(ABS(MOD(ABS((O341*P341*R341)),1)-0.5)&lt;1E-9,2*ROUND((O341*P341*R341)/2,0),ROUND((O341*P341*R341),0))</f>
        <v/>
      </c>
      <c r="T341" s="46">
        <f>IF(AND(B341="South Korea",scenario="MID"),korea_mid_load,load_sel)</f>
        <v/>
      </c>
      <c r="U341" s="47">
        <f>pax_cap*T341</f>
        <v/>
      </c>
      <c r="V341" s="45">
        <f>U341*S341</f>
        <v/>
      </c>
      <c r="W341" s="48">
        <f>H341*discount</f>
        <v/>
      </c>
      <c r="X341" s="49">
        <f>W341*V341</f>
        <v/>
      </c>
      <c r="Y341" s="49">
        <f>(battery/range_nm)*G341*S341*VLOOKUP(B341,country_opex,3,FALSE)</f>
        <v/>
      </c>
      <c r="Z341" s="49">
        <f>VLOOKUP(B341,country_opex,2,FALSE)*crew_factor</f>
        <v/>
      </c>
      <c r="AA341" s="49">
        <f>VLOOKUP(B341,country_opex,5,FALSE)</f>
        <v/>
      </c>
      <c r="AB341" s="49">
        <f>maint</f>
        <v/>
      </c>
      <c r="AC341" s="49">
        <f>VLOOKUP(B341,country_opex,7,FALSE)*ins_pct</f>
        <v/>
      </c>
      <c r="AD341" s="49">
        <f>charge_berth</f>
        <v/>
      </c>
      <c r="AE341" s="49">
        <f>Y341+Z341+AA341+AB341+AC341+AD341</f>
        <v/>
      </c>
      <c r="AF341" s="49">
        <f>VLOOKUP(B341,country_opex,7,FALSE)/dep_years</f>
        <v/>
      </c>
      <c r="AG341" s="49">
        <f>X341-AE341</f>
        <v/>
      </c>
      <c r="AH341" s="46">
        <f>IF(X341=0,"",AG341/X341)</f>
        <v/>
      </c>
      <c r="AI341" s="47">
        <f>IF(AG341&lt;=0,"",VLOOKUP(B341,country_opex,7,FALSE)/AG341)</f>
        <v/>
      </c>
      <c r="AJ341" s="44">
        <f>((G341*S341/diesel_nmpg)*diesel_co2pg-(battery/range_nm)*G341*S341*VLOOKUP(B341,country_opex,4,FALSE))/1000</f>
        <v/>
      </c>
      <c r="AK341" s="42" t="n">
        <v>28000</v>
      </c>
      <c r="AL341" s="43" t="inlineStr">
        <is>
          <t>T5</t>
        </is>
      </c>
      <c r="AM341" s="43" t="inlineStr">
        <is>
          <t>low-med</t>
        </is>
      </c>
      <c r="AN341" s="50" t="n">
        <v>0.9</v>
      </c>
      <c r="AO341" s="45">
        <f>IF(AK341="","",AK341*AN341)</f>
        <v/>
      </c>
      <c r="AP341" s="45">
        <f>IF(OR(AK341="",V341=0),"",MIN(IF(AX341="",9.9E+99,AX341),FLOOR(AO341/V341,1)))</f>
        <v/>
      </c>
      <c r="AQ341" s="49">
        <f>IF(AP341="","",AP341*IF(ABS(MOD(ABS((X341)),1)-0.5)&lt;1E-9,2*ROUND((X341)/2,0),ROUND((X341),0)))</f>
        <v/>
      </c>
      <c r="AR341" s="47">
        <f>IF(OR(AK341="",V341=0),"",MIN(IF(AX341="",9.9E+99,AX341),AO341/V341))</f>
        <v/>
      </c>
      <c r="AS341" s="49">
        <f>IF(AR341="","",AR341*IF(B341="South Korea",IF(ABS(MOD(ABS((X341)),1)-0.5)&lt;1E-9,2*ROUND((X341)/2,0),ROUND((X341),0)),X341))</f>
        <v/>
      </c>
      <c r="AT341" s="51" t="n"/>
      <c r="AU341" s="43" t="inlineStr">
        <is>
          <t>Grounded</t>
        </is>
      </c>
      <c r="AV341" s="52" t="n"/>
      <c r="AW341" s="52" t="n"/>
      <c r="AX341" s="53" t="n">
        <v>8</v>
      </c>
      <c r="AY341" s="54">
        <f>IF(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&lt;=0,"",VLOOKUP(B341,country_opex,7,FALSE)/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)</f>
        <v/>
      </c>
      <c r="AZ341" s="54">
        <f>IF(((W341*pax_cap*IF(B341="South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Korea",korea_mid_revleg,revleg_mid)),0))*VLOOKUP(B341,country_opex,3,FALSE))+Z341+AA341+AB341+AC341+AD341))&lt;=0,"",VLOOKUP(B341,country_opex,7,FALSE)/((W341*pax_cap*IF(B341="South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Korea",korea_mid_revleg,revleg_mid)),0))*VLOOKUP(B341,country_opex,3,FALSE))+Z341+AA341+AB341+AC341+AD341)))</f>
        <v/>
      </c>
      <c r="BA341" s="54">
        <f>IF(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&lt;=0,"",VLOOKUP(B341,country_opex,7,FALSE)/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)</f>
        <v/>
      </c>
      <c r="BB341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C341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  <c r="BD341" s="43" t="inlineStr">
        <is>
          <t>e__velana__westin-miriandhoo-jetty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Kuredu Island Resort (Lhaviyani) → Hurawalhi (Lhaviyani)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2.5</v>
      </c>
      <c r="H342" s="35" t="n">
        <v>150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IF(B342="South Korea",G342/korea_charge_range_nm*korea_full_range_charge_min,0)</f>
        <v/>
      </c>
      <c r="N342" s="44">
        <f>IF(B342="South Korea",L342+korea_turn_min+korea_dwell_min+M342,L342+turn_min+dwell_min)</f>
        <v/>
      </c>
      <c r="O342" s="45">
        <f>IF(B342="South Korea",FLOOR(60*korea_service_hr/N342,1),MIN(15,FLOOR(60*service_hr/N342,1)))</f>
        <v/>
      </c>
      <c r="P342" s="45">
        <f>IF(ABS(MOD(ABS((365*mech_uptime*K342)),1)-0.5)&lt;1E-9,2*ROUND((365*mech_uptime*K342)/2,0),ROUND((365*mech_uptime*K342),0))</f>
        <v/>
      </c>
      <c r="Q342" s="46">
        <f>mech_uptime</f>
        <v/>
      </c>
      <c r="R342" s="46">
        <f>IF(AND(B342="South Korea",scenario="MID"),korea_mid_revleg,revleg_sel)</f>
        <v/>
      </c>
      <c r="S342" s="45">
        <f>IF(ABS(MOD(ABS((O342*P342*R342)),1)-0.5)&lt;1E-9,2*ROUND((O342*P342*R342)/2,0),ROUND((O342*P342*R342),0))</f>
        <v/>
      </c>
      <c r="T342" s="46">
        <f>IF(AND(B342="South Korea",scenario="MID"),korea_mid_load,load_sel)</f>
        <v/>
      </c>
      <c r="U342" s="47">
        <f>pax_cap*T342</f>
        <v/>
      </c>
      <c r="V342" s="45">
        <f>U342*S342</f>
        <v/>
      </c>
      <c r="W342" s="48">
        <f>H342*discount</f>
        <v/>
      </c>
      <c r="X342" s="49">
        <f>W342*V342</f>
        <v/>
      </c>
      <c r="Y342" s="49">
        <f>(battery/range_nm)*G342*S342*VLOOKUP(B342,country_opex,3,FALSE)</f>
        <v/>
      </c>
      <c r="Z342" s="49">
        <f>VLOOKUP(B342,country_opex,2,FALSE)*crew_factor</f>
        <v/>
      </c>
      <c r="AA342" s="49">
        <f>VLOOKUP(B342,country_opex,5,FALSE)</f>
        <v/>
      </c>
      <c r="AB342" s="49">
        <f>maint</f>
        <v/>
      </c>
      <c r="AC342" s="49">
        <f>VLOOKUP(B342,country_opex,7,FALSE)*ins_pct</f>
        <v/>
      </c>
      <c r="AD342" s="49">
        <f>charge_berth</f>
        <v/>
      </c>
      <c r="AE342" s="49">
        <f>Y342+Z342+AA342+AB342+AC342+AD342</f>
        <v/>
      </c>
      <c r="AF342" s="49">
        <f>VLOOKUP(B342,country_opex,7,FALSE)/dep_years</f>
        <v/>
      </c>
      <c r="AG342" s="49">
        <f>X342-AE342</f>
        <v/>
      </c>
      <c r="AH342" s="46">
        <f>IF(X342=0,"",AG342/X342)</f>
        <v/>
      </c>
      <c r="AI342" s="47">
        <f>IF(AG342&lt;=0,"",VLOOKUP(B342,country_opex,7,FALSE)/AG342)</f>
        <v/>
      </c>
      <c r="AJ342" s="44">
        <f>((G342*S342/diesel_nmpg)*diesel_co2pg-(battery/range_nm)*G342*S342*VLOOKUP(B342,country_opex,4,FALSE))/1000</f>
        <v/>
      </c>
      <c r="AK342" s="42" t="n"/>
      <c r="AL342" s="43" t="n"/>
      <c r="AM342" s="43" t="inlineStr">
        <is>
          <t>null</t>
        </is>
      </c>
      <c r="AN342" s="50" t="n">
        <v>0.9</v>
      </c>
      <c r="AO342" s="45">
        <f>IF(AK342="","",AK342*AN342)</f>
        <v/>
      </c>
      <c r="AP342" s="45">
        <f>IF(OR(AK342="",V342=0),"",MIN(IF(AX342="",9.9E+99,AX342),FLOOR(AO342/V342,1)))</f>
        <v/>
      </c>
      <c r="AQ342" s="49">
        <f>IF(AP342="","",AP342*IF(ABS(MOD(ABS((X342)),1)-0.5)&lt;1E-9,2*ROUND((X342)/2,0),ROUND((X342),0)))</f>
        <v/>
      </c>
      <c r="AR342" s="47">
        <f>IF(OR(AK342="",V342=0),"",MIN(IF(AX342="",9.9E+99,AX342),AO342/V342))</f>
        <v/>
      </c>
      <c r="AS342" s="49">
        <f>IF(AR342="","",AR342*IF(B342="South Korea",IF(ABS(MOD(ABS((X342)),1)-0.5)&lt;1E-9,2*ROUND((X342)/2,0),ROUND((X342),0)),X342))</f>
        <v/>
      </c>
      <c r="AT342" s="51" t="n"/>
      <c r="AU342" s="43" t="inlineStr">
        <is>
          <t>Estimated</t>
        </is>
      </c>
      <c r="AV342" s="52" t="n"/>
      <c r="AW342" s="52" t="n"/>
      <c r="AX342" s="53" t="n"/>
      <c r="AY342" s="54">
        <f>IF(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&lt;=0,"",VLOOKUP(B342,country_opex,7,FALSE)/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)</f>
        <v/>
      </c>
      <c r="AZ342" s="54">
        <f>IF(((W342*pax_cap*IF(B342="South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Korea",korea_mid_revleg,revleg_mid)),0))*VLOOKUP(B342,country_opex,3,FALSE))+Z342+AA342+AB342+AC342+AD342))&lt;=0,"",VLOOKUP(B342,country_opex,7,FALSE)/((W342*pax_cap*IF(B342="South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Korea",korea_mid_revleg,revleg_mid)),0))*VLOOKUP(B342,country_opex,3,FALSE))+Z342+AA342+AB342+AC342+AD342)))</f>
        <v/>
      </c>
      <c r="BA342" s="54">
        <f>IF(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&lt;=0,"",VLOOKUP(B342,country_opex,7,FALSE)/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)</f>
        <v/>
      </c>
      <c r="BB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2" s="40" t="inlineStr">
        <is>
          <t>NULL — pure inter-resort island-hop; no grounded crossing pool (R2). Geometry only.</t>
        </is>
      </c>
      <c r="BD342" s="43" t="inlineStr">
        <is>
          <t>e__mald__1b65ddbf47b9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Gan International Airport, Addu → Shangri-La Villingili (Addu)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2.7</v>
      </c>
      <c r="H343" s="35" t="n">
        <v>150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IF(B343="South Korea",G343/korea_charge_range_nm*korea_full_range_charge_min,0)</f>
        <v/>
      </c>
      <c r="N343" s="44">
        <f>IF(B343="South Korea",L343+korea_turn_min+korea_dwell_min+M343,L343+turn_min+dwell_min)</f>
        <v/>
      </c>
      <c r="O343" s="45">
        <f>IF(B343="South Korea",FLOOR(60*korea_service_hr/N343,1),MIN(15,FLOOR(60*service_hr/N343,1)))</f>
        <v/>
      </c>
      <c r="P343" s="45">
        <f>IF(ABS(MOD(ABS((365*mech_uptime*K343)),1)-0.5)&lt;1E-9,2*ROUND((365*mech_uptime*K343)/2,0),ROUND((365*mech_uptime*K343),0))</f>
        <v/>
      </c>
      <c r="Q343" s="46">
        <f>mech_uptime</f>
        <v/>
      </c>
      <c r="R343" s="46">
        <f>IF(AND(B343="South Korea",scenario="MID"),korea_mid_revleg,revleg_sel)</f>
        <v/>
      </c>
      <c r="S343" s="45">
        <f>IF(ABS(MOD(ABS((O343*P343*R343)),1)-0.5)&lt;1E-9,2*ROUND((O343*P343*R343)/2,0),ROUND((O343*P343*R343),0))</f>
        <v/>
      </c>
      <c r="T343" s="46">
        <f>IF(AND(B343="South Korea",scenario="MID"),korea_mid_load,load_sel)</f>
        <v/>
      </c>
      <c r="U343" s="47">
        <f>pax_cap*T343</f>
        <v/>
      </c>
      <c r="V343" s="45">
        <f>U343*S343</f>
        <v/>
      </c>
      <c r="W343" s="48">
        <f>H343*discount</f>
        <v/>
      </c>
      <c r="X343" s="49">
        <f>W343*V343</f>
        <v/>
      </c>
      <c r="Y343" s="49">
        <f>(battery/range_nm)*G343*S343*VLOOKUP(B343,country_opex,3,FALSE)</f>
        <v/>
      </c>
      <c r="Z343" s="49">
        <f>VLOOKUP(B343,country_opex,2,FALSE)*crew_factor</f>
        <v/>
      </c>
      <c r="AA343" s="49">
        <f>VLOOKUP(B343,country_opex,5,FALSE)</f>
        <v/>
      </c>
      <c r="AB343" s="49">
        <f>maint</f>
        <v/>
      </c>
      <c r="AC343" s="49">
        <f>VLOOKUP(B343,country_opex,7,FALSE)*ins_pct</f>
        <v/>
      </c>
      <c r="AD343" s="49">
        <f>charge_berth</f>
        <v/>
      </c>
      <c r="AE343" s="49">
        <f>Y343+Z343+AA343+AB343+AC343+AD343</f>
        <v/>
      </c>
      <c r="AF343" s="49">
        <f>VLOOKUP(B343,country_opex,7,FALSE)/dep_years</f>
        <v/>
      </c>
      <c r="AG343" s="49">
        <f>X343-AE343</f>
        <v/>
      </c>
      <c r="AH343" s="46">
        <f>IF(X343=0,"",AG343/X343)</f>
        <v/>
      </c>
      <c r="AI343" s="47">
        <f>IF(AG343&lt;=0,"",VLOOKUP(B343,country_opex,7,FALSE)/AG343)</f>
        <v/>
      </c>
      <c r="AJ343" s="44">
        <f>((G343*S343/diesel_nmpg)*diesel_co2pg-(battery/range_nm)*G343*S343*VLOOKUP(B343,country_opex,4,FALSE))/1000</f>
        <v/>
      </c>
      <c r="AK343" s="42" t="n">
        <v>9858</v>
      </c>
      <c r="AL343" s="43" t="inlineStr">
        <is>
          <t>T5</t>
        </is>
      </c>
      <c r="AM343" s="43" t="inlineStr">
        <is>
          <t>med</t>
        </is>
      </c>
      <c r="AN343" s="50" t="n">
        <v>0.9</v>
      </c>
      <c r="AO343" s="45">
        <f>IF(AK343="","",AK343*AN343)</f>
        <v/>
      </c>
      <c r="AP343" s="45">
        <f>IF(OR(AK343="",V343=0),"",MIN(IF(AX343="",9.9E+99,AX343),FLOOR(AO343/V343,1)))</f>
        <v/>
      </c>
      <c r="AQ343" s="49">
        <f>IF(AP343="","",AP343*IF(ABS(MOD(ABS((X343)),1)-0.5)&lt;1E-9,2*ROUND((X343)/2,0),ROUND((X343),0)))</f>
        <v/>
      </c>
      <c r="AR343" s="47">
        <f>IF(OR(AK343="",V343=0),"",MIN(IF(AX343="",9.9E+99,AX343),AO343/V343))</f>
        <v/>
      </c>
      <c r="AS343" s="49">
        <f>IF(AR343="","",AR343*IF(B343="South Korea",IF(ABS(MOD(ABS((X343)),1)-0.5)&lt;1E-9,2*ROUND((X343)/2,0),ROUND((X343),0)),X343))</f>
        <v/>
      </c>
      <c r="AT343" s="51" t="n"/>
      <c r="AU343" s="43" t="inlineStr">
        <is>
          <t>Grounded</t>
        </is>
      </c>
      <c r="AV343" s="52" t="n"/>
      <c r="AW343" s="52" t="n"/>
      <c r="AX343" s="53" t="n">
        <v>6</v>
      </c>
      <c r="AY343" s="54">
        <f>IF(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&lt;=0,"",VLOOKUP(B343,country_opex,7,FALSE)/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)</f>
        <v/>
      </c>
      <c r="AZ343" s="54">
        <f>IF(((W343*pax_cap*IF(B343="South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Korea",korea_mid_revleg,revleg_mid)),0))*VLOOKUP(B343,country_opex,3,FALSE))+Z343+AA343+AB343+AC343+AD343))&lt;=0,"",VLOOKUP(B343,country_opex,7,FALSE)/((W343*pax_cap*IF(B343="South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Korea",korea_mid_revleg,revleg_mid)),0))*VLOOKUP(B343,country_opex,3,FALSE))+Z343+AA343+AB343+AC343+AD343)))</f>
        <v/>
      </c>
      <c r="BA343" s="54">
        <f>IF(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&lt;=0,"",VLOOKUP(B343,country_opex,7,FALSE)/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)</f>
        <v/>
      </c>
      <c r="BB34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3" s="43" t="inlineStr">
        <is>
          <t>e__mald__74ace969292c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Maamigili (Villa) Airport, South Ari → Sun Island Resort (Nalaguraidhoo)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3.2</v>
      </c>
      <c r="H344" s="35" t="n">
        <v>120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IF(B344="South Korea",G344/korea_charge_range_nm*korea_full_range_charge_min,0)</f>
        <v/>
      </c>
      <c r="N344" s="44">
        <f>IF(B344="South Korea",L344+korea_turn_min+korea_dwell_min+M344,L344+turn_min+dwell_min)</f>
        <v/>
      </c>
      <c r="O344" s="45">
        <f>IF(B344="South Korea",FLOOR(60*korea_service_hr/N344,1),MIN(15,FLOOR(60*service_hr/N344,1)))</f>
        <v/>
      </c>
      <c r="P344" s="45">
        <f>IF(ABS(MOD(ABS((365*mech_uptime*K344)),1)-0.5)&lt;1E-9,2*ROUND((365*mech_uptime*K344)/2,0),ROUND((365*mech_uptime*K344),0))</f>
        <v/>
      </c>
      <c r="Q344" s="46">
        <f>mech_uptime</f>
        <v/>
      </c>
      <c r="R344" s="46">
        <f>IF(AND(B344="South Korea",scenario="MID"),korea_mid_revleg,revleg_sel)</f>
        <v/>
      </c>
      <c r="S344" s="45">
        <f>IF(ABS(MOD(ABS((O344*P344*R344)),1)-0.5)&lt;1E-9,2*ROUND((O344*P344*R344)/2,0),ROUND((O344*P344*R344),0))</f>
        <v/>
      </c>
      <c r="T344" s="46">
        <f>IF(AND(B344="South Korea",scenario="MID"),korea_mid_load,load_sel)</f>
        <v/>
      </c>
      <c r="U344" s="47">
        <f>pax_cap*T344</f>
        <v/>
      </c>
      <c r="V344" s="45">
        <f>U344*S344</f>
        <v/>
      </c>
      <c r="W344" s="48">
        <f>H344*discount</f>
        <v/>
      </c>
      <c r="X344" s="49">
        <f>W344*V344</f>
        <v/>
      </c>
      <c r="Y344" s="49">
        <f>(battery/range_nm)*G344*S344*VLOOKUP(B344,country_opex,3,FALSE)</f>
        <v/>
      </c>
      <c r="Z344" s="49">
        <f>VLOOKUP(B344,country_opex,2,FALSE)*crew_factor</f>
        <v/>
      </c>
      <c r="AA344" s="49">
        <f>VLOOKUP(B344,country_opex,5,FALSE)</f>
        <v/>
      </c>
      <c r="AB344" s="49">
        <f>maint</f>
        <v/>
      </c>
      <c r="AC344" s="49">
        <f>VLOOKUP(B344,country_opex,7,FALSE)*ins_pct</f>
        <v/>
      </c>
      <c r="AD344" s="49">
        <f>charge_berth</f>
        <v/>
      </c>
      <c r="AE344" s="49">
        <f>Y344+Z344+AA344+AB344+AC344+AD344</f>
        <v/>
      </c>
      <c r="AF344" s="49">
        <f>VLOOKUP(B344,country_opex,7,FALSE)/dep_years</f>
        <v/>
      </c>
      <c r="AG344" s="49">
        <f>X344-AE344</f>
        <v/>
      </c>
      <c r="AH344" s="46">
        <f>IF(X344=0,"",AG344/X344)</f>
        <v/>
      </c>
      <c r="AI344" s="47">
        <f>IF(AG344&lt;=0,"",VLOOKUP(B344,country_opex,7,FALSE)/AG344)</f>
        <v/>
      </c>
      <c r="AJ344" s="44">
        <f>((G344*S344/diesel_nmpg)*diesel_co2pg-(battery/range_nm)*G344*S344*VLOOKUP(B344,country_opex,4,FALSE))/1000</f>
        <v/>
      </c>
      <c r="AK344" s="42" t="n">
        <v>34504</v>
      </c>
      <c r="AL344" s="43" t="inlineStr">
        <is>
          <t>T5</t>
        </is>
      </c>
      <c r="AM344" s="43" t="inlineStr">
        <is>
          <t>med</t>
        </is>
      </c>
      <c r="AN344" s="50" t="n">
        <v>0.9</v>
      </c>
      <c r="AO344" s="45">
        <f>IF(AK344="","",AK344*AN344)</f>
        <v/>
      </c>
      <c r="AP344" s="45">
        <f>IF(OR(AK344="",V344=0),"",MIN(IF(AX344="",9.9E+99,AX344),FLOOR(AO344/V344,1)))</f>
        <v/>
      </c>
      <c r="AQ344" s="49">
        <f>IF(AP344="","",AP344*IF(ABS(MOD(ABS((X344)),1)-0.5)&lt;1E-9,2*ROUND((X344)/2,0),ROUND((X344),0)))</f>
        <v/>
      </c>
      <c r="AR344" s="47">
        <f>IF(OR(AK344="",V344=0),"",MIN(IF(AX344="",9.9E+99,AX344),AO344/V344))</f>
        <v/>
      </c>
      <c r="AS344" s="49">
        <f>IF(AR344="","",AR344*IF(B344="South Korea",IF(ABS(MOD(ABS((X344)),1)-0.5)&lt;1E-9,2*ROUND((X344)/2,0),ROUND((X344),0)),X344))</f>
        <v/>
      </c>
      <c r="AT344" s="51" t="n"/>
      <c r="AU344" s="43" t="inlineStr">
        <is>
          <t>Grounded</t>
        </is>
      </c>
      <c r="AV344" s="52" t="n"/>
      <c r="AW344" s="52" t="n"/>
      <c r="AX344" s="53" t="n">
        <v>19</v>
      </c>
      <c r="AY344" s="54">
        <f>IF(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&lt;=0,"",VLOOKUP(B344,country_opex,7,FALSE)/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)</f>
        <v/>
      </c>
      <c r="AZ344" s="54">
        <f>IF(((W344*pax_cap*IF(B344="South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Korea",korea_mid_revleg,revleg_mid)),0))*VLOOKUP(B344,country_opex,3,FALSE))+Z344+AA344+AB344+AC344+AD344))&lt;=0,"",VLOOKUP(B344,country_opex,7,FALSE)/((W344*pax_cap*IF(B344="South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Korea",korea_mid_revleg,revleg_mid)),0))*VLOOKUP(B344,country_opex,3,FALSE))+Z344+AA344+AB344+AC344+AD344)))</f>
        <v/>
      </c>
      <c r="BA344" s="54">
        <f>IF(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&lt;=0,"",VLOOKUP(B344,country_opex,7,FALSE)/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)</f>
        <v/>
      </c>
      <c r="BB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4" s="43" t="inlineStr">
        <is>
          <t>e__mald__1192332c2139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Dharavandhoo Airport, Baa → Soneva Fushi (Kunfunadhoo, Baa)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4.4</v>
      </c>
      <c r="H345" s="35" t="n">
        <v>200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IF(B345="South Korea",G345/korea_charge_range_nm*korea_full_range_charge_min,0)</f>
        <v/>
      </c>
      <c r="N345" s="44">
        <f>IF(B345="South Korea",L345+korea_turn_min+korea_dwell_min+M345,L345+turn_min+dwell_min)</f>
        <v/>
      </c>
      <c r="O345" s="45">
        <f>IF(B345="South Korea",FLOOR(60*korea_service_hr/N345,1),MIN(15,FLOOR(60*service_hr/N345,1)))</f>
        <v/>
      </c>
      <c r="P345" s="45">
        <f>IF(ABS(MOD(ABS((365*mech_uptime*K345)),1)-0.5)&lt;1E-9,2*ROUND((365*mech_uptime*K345)/2,0),ROUND((365*mech_uptime*K345),0))</f>
        <v/>
      </c>
      <c r="Q345" s="46">
        <f>mech_uptime</f>
        <v/>
      </c>
      <c r="R345" s="46">
        <f>IF(AND(B345="South Korea",scenario="MID"),korea_mid_revleg,revleg_sel)</f>
        <v/>
      </c>
      <c r="S345" s="45">
        <f>IF(ABS(MOD(ABS((O345*P345*R345)),1)-0.5)&lt;1E-9,2*ROUND((O345*P345*R345)/2,0),ROUND((O345*P345*R345),0))</f>
        <v/>
      </c>
      <c r="T345" s="46">
        <f>IF(AND(B345="South Korea",scenario="MID"),korea_mid_load,load_sel)</f>
        <v/>
      </c>
      <c r="U345" s="47">
        <f>pax_cap*T345</f>
        <v/>
      </c>
      <c r="V345" s="45">
        <f>U345*S345</f>
        <v/>
      </c>
      <c r="W345" s="48">
        <f>H345*discount</f>
        <v/>
      </c>
      <c r="X345" s="49">
        <f>W345*V345</f>
        <v/>
      </c>
      <c r="Y345" s="49">
        <f>(battery/range_nm)*G345*S345*VLOOKUP(B345,country_opex,3,FALSE)</f>
        <v/>
      </c>
      <c r="Z345" s="49">
        <f>VLOOKUP(B345,country_opex,2,FALSE)*crew_factor</f>
        <v/>
      </c>
      <c r="AA345" s="49">
        <f>VLOOKUP(B345,country_opex,5,FALSE)</f>
        <v/>
      </c>
      <c r="AB345" s="49">
        <f>maint</f>
        <v/>
      </c>
      <c r="AC345" s="49">
        <f>VLOOKUP(B345,country_opex,7,FALSE)*ins_pct</f>
        <v/>
      </c>
      <c r="AD345" s="49">
        <f>charge_berth</f>
        <v/>
      </c>
      <c r="AE345" s="49">
        <f>Y345+Z345+AA345+AB345+AC345+AD345</f>
        <v/>
      </c>
      <c r="AF345" s="49">
        <f>VLOOKUP(B345,country_opex,7,FALSE)/dep_years</f>
        <v/>
      </c>
      <c r="AG345" s="49">
        <f>X345-AE345</f>
        <v/>
      </c>
      <c r="AH345" s="46">
        <f>IF(X345=0,"",AG345/X345)</f>
        <v/>
      </c>
      <c r="AI345" s="47">
        <f>IF(AG345&lt;=0,"",VLOOKUP(B345,country_opex,7,FALSE)/AG345)</f>
        <v/>
      </c>
      <c r="AJ345" s="44">
        <f>((G345*S345/diesel_nmpg)*diesel_co2pg-(battery/range_nm)*G345*S345*VLOOKUP(B345,country_opex,4,FALSE))/1000</f>
        <v/>
      </c>
      <c r="AK345" s="42" t="n">
        <v>4705</v>
      </c>
      <c r="AL345" s="43" t="inlineStr">
        <is>
          <t>T5</t>
        </is>
      </c>
      <c r="AM345" s="43" t="inlineStr">
        <is>
          <t>med</t>
        </is>
      </c>
      <c r="AN345" s="50" t="n">
        <v>0.9</v>
      </c>
      <c r="AO345" s="45">
        <f>IF(AK345="","",AK345*AN345)</f>
        <v/>
      </c>
      <c r="AP345" s="45">
        <f>IF(OR(AK345="",V345=0),"",MIN(IF(AX345="",9.9E+99,AX345),FLOOR(AO345/V345,1)))</f>
        <v/>
      </c>
      <c r="AQ345" s="49">
        <f>IF(AP345="","",AP345*IF(ABS(MOD(ABS((X345)),1)-0.5)&lt;1E-9,2*ROUND((X345)/2,0),ROUND((X345),0)))</f>
        <v/>
      </c>
      <c r="AR345" s="47">
        <f>IF(OR(AK345="",V345=0),"",MIN(IF(AX345="",9.9E+99,AX345),AO345/V345))</f>
        <v/>
      </c>
      <c r="AS345" s="49">
        <f>IF(AR345="","",AR345*IF(B345="South Korea",IF(ABS(MOD(ABS((X345)),1)-0.5)&lt;1E-9,2*ROUND((X345)/2,0),ROUND((X345),0)),X345))</f>
        <v/>
      </c>
      <c r="AT345" s="51" t="n"/>
      <c r="AU345" s="43" t="inlineStr">
        <is>
          <t>Grounded</t>
        </is>
      </c>
      <c r="AV345" s="52" t="n"/>
      <c r="AW345" s="52" t="n"/>
      <c r="AX345" s="53" t="n">
        <v>3</v>
      </c>
      <c r="AY345" s="54">
        <f>IF(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&lt;=0,"",VLOOKUP(B345,country_opex,7,FALSE)/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)</f>
        <v/>
      </c>
      <c r="AZ345" s="54">
        <f>IF(((W345*pax_cap*IF(B345="South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Korea",korea_mid_revleg,revleg_mid)),0))*VLOOKUP(B345,country_opex,3,FALSE))+Z345+AA345+AB345+AC345+AD345))&lt;=0,"",VLOOKUP(B345,country_opex,7,FALSE)/((W345*pax_cap*IF(B345="South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Korea",korea_mid_revleg,revleg_mid)),0))*VLOOKUP(B345,country_opex,3,FALSE))+Z345+AA345+AB345+AC345+AD345)))</f>
        <v/>
      </c>
      <c r="BA345" s="54">
        <f>IF(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&lt;=0,"",VLOOKUP(B345,country_opex,7,FALSE)/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)</f>
        <v/>
      </c>
      <c r="BB34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5" s="43" t="inlineStr">
        <is>
          <t>e__mald__d1ac7b91cb94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Kudahuvadhoo Airport, Dhaalu → Niyama Private Islands (Dhaalu)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4.7</v>
      </c>
      <c r="H346" s="35" t="n">
        <v>150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IF(B346="South Korea",G346/korea_charge_range_nm*korea_full_range_charge_min,0)</f>
        <v/>
      </c>
      <c r="N346" s="44">
        <f>IF(B346="South Korea",L346+korea_turn_min+korea_dwell_min+M346,L346+turn_min+dwell_min)</f>
        <v/>
      </c>
      <c r="O346" s="45">
        <f>IF(B346="South Korea",FLOOR(60*korea_service_hr/N346,1),MIN(15,FLOOR(60*service_hr/N346,1)))</f>
        <v/>
      </c>
      <c r="P346" s="45">
        <f>IF(ABS(MOD(ABS((365*mech_uptime*K346)),1)-0.5)&lt;1E-9,2*ROUND((365*mech_uptime*K346)/2,0),ROUND((365*mech_uptime*K346),0))</f>
        <v/>
      </c>
      <c r="Q346" s="46">
        <f>mech_uptime</f>
        <v/>
      </c>
      <c r="R346" s="46">
        <f>IF(AND(B346="South Korea",scenario="MID"),korea_mid_revleg,revleg_sel)</f>
        <v/>
      </c>
      <c r="S346" s="45">
        <f>IF(ABS(MOD(ABS((O346*P346*R346)),1)-0.5)&lt;1E-9,2*ROUND((O346*P346*R346)/2,0),ROUND((O346*P346*R346),0))</f>
        <v/>
      </c>
      <c r="T346" s="46">
        <f>IF(AND(B346="South Korea",scenario="MID"),korea_mid_load,load_sel)</f>
        <v/>
      </c>
      <c r="U346" s="47">
        <f>pax_cap*T346</f>
        <v/>
      </c>
      <c r="V346" s="45">
        <f>U346*S346</f>
        <v/>
      </c>
      <c r="W346" s="48">
        <f>H346*discount</f>
        <v/>
      </c>
      <c r="X346" s="49">
        <f>W346*V346</f>
        <v/>
      </c>
      <c r="Y346" s="49">
        <f>(battery/range_nm)*G346*S346*VLOOKUP(B346,country_opex,3,FALSE)</f>
        <v/>
      </c>
      <c r="Z346" s="49">
        <f>VLOOKUP(B346,country_opex,2,FALSE)*crew_factor</f>
        <v/>
      </c>
      <c r="AA346" s="49">
        <f>VLOOKUP(B346,country_opex,5,FALSE)</f>
        <v/>
      </c>
      <c r="AB346" s="49">
        <f>maint</f>
        <v/>
      </c>
      <c r="AC346" s="49">
        <f>VLOOKUP(B346,country_opex,7,FALSE)*ins_pct</f>
        <v/>
      </c>
      <c r="AD346" s="49">
        <f>charge_berth</f>
        <v/>
      </c>
      <c r="AE346" s="49">
        <f>Y346+Z346+AA346+AB346+AC346+AD346</f>
        <v/>
      </c>
      <c r="AF346" s="49">
        <f>VLOOKUP(B346,country_opex,7,FALSE)/dep_years</f>
        <v/>
      </c>
      <c r="AG346" s="49">
        <f>X346-AE346</f>
        <v/>
      </c>
      <c r="AH346" s="46">
        <f>IF(X346=0,"",AG346/X346)</f>
        <v/>
      </c>
      <c r="AI346" s="47">
        <f>IF(AG346&lt;=0,"",VLOOKUP(B346,country_opex,7,FALSE)/AG346)</f>
        <v/>
      </c>
      <c r="AJ346" s="44">
        <f>((G346*S346/diesel_nmpg)*diesel_co2pg-(battery/range_nm)*G346*S346*VLOOKUP(B346,country_opex,4,FALSE))/1000</f>
        <v/>
      </c>
      <c r="AK346" s="42" t="n">
        <v>10008</v>
      </c>
      <c r="AL346" s="43" t="inlineStr">
        <is>
          <t>T5</t>
        </is>
      </c>
      <c r="AM346" s="43" t="inlineStr">
        <is>
          <t>med</t>
        </is>
      </c>
      <c r="AN346" s="50" t="n">
        <v>0.9</v>
      </c>
      <c r="AO346" s="45">
        <f>IF(AK346="","",AK346*AN346)</f>
        <v/>
      </c>
      <c r="AP346" s="45">
        <f>IF(OR(AK346="",V346=0),"",MIN(IF(AX346="",9.9E+99,AX346),FLOOR(AO346/V346,1)))</f>
        <v/>
      </c>
      <c r="AQ346" s="49">
        <f>IF(AP346="","",AP346*IF(ABS(MOD(ABS((X346)),1)-0.5)&lt;1E-9,2*ROUND((X346)/2,0),ROUND((X346),0)))</f>
        <v/>
      </c>
      <c r="AR346" s="47">
        <f>IF(OR(AK346="",V346=0),"",MIN(IF(AX346="",9.9E+99,AX346),AO346/V346))</f>
        <v/>
      </c>
      <c r="AS346" s="49">
        <f>IF(AR346="","",AR346*IF(B346="South Korea",IF(ABS(MOD(ABS((X346)),1)-0.5)&lt;1E-9,2*ROUND((X346)/2,0),ROUND((X346),0)),X346))</f>
        <v/>
      </c>
      <c r="AT346" s="51" t="n"/>
      <c r="AU346" s="43" t="inlineStr">
        <is>
          <t>Grounded</t>
        </is>
      </c>
      <c r="AV346" s="52" t="n"/>
      <c r="AW346" s="52" t="n"/>
      <c r="AX346" s="53" t="n">
        <v>6</v>
      </c>
      <c r="AY346" s="54">
        <f>IF(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&lt;=0,"",VLOOKUP(B346,country_opex,7,FALSE)/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)</f>
        <v/>
      </c>
      <c r="AZ346" s="54">
        <f>IF(((W346*pax_cap*IF(B346="South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Korea",korea_mid_revleg,revleg_mid)),0))*VLOOKUP(B346,country_opex,3,FALSE))+Z346+AA346+AB346+AC346+AD346))&lt;=0,"",VLOOKUP(B346,country_opex,7,FALSE)/((W346*pax_cap*IF(B346="South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Korea",korea_mid_revleg,revleg_mid)),0))*VLOOKUP(B346,country_opex,3,FALSE))+Z346+AA346+AB346+AC346+AD346)))</f>
        <v/>
      </c>
      <c r="BA346" s="54">
        <f>IF(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&lt;=0,"",VLOOKUP(B346,country_opex,7,FALSE)/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)</f>
        <v/>
      </c>
      <c r="BB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6" s="43" t="inlineStr">
        <is>
          <t>e__mald__7b1ab039c8bc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Velana International Airport (MLE) Resort Speedboat Lounges → Gili Lankanfushi (North Malé)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6.4</v>
      </c>
      <c r="H347" s="35" t="n">
        <v>150</v>
      </c>
      <c r="I347" s="43" t="inlineStr">
        <is>
          <t>T3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IF(B347="South Korea",G347/korea_charge_range_nm*korea_full_range_charge_min,0)</f>
        <v/>
      </c>
      <c r="N347" s="44">
        <f>IF(B347="South Korea",L347+korea_turn_min+korea_dwell_min+M347,L347+turn_min+dwell_min)</f>
        <v/>
      </c>
      <c r="O347" s="45">
        <f>IF(B347="South Korea",FLOOR(60*korea_service_hr/N347,1),MIN(15,FLOOR(60*service_hr/N347,1)))</f>
        <v/>
      </c>
      <c r="P347" s="45">
        <f>IF(ABS(MOD(ABS((365*mech_uptime*K347)),1)-0.5)&lt;1E-9,2*ROUND((365*mech_uptime*K347)/2,0),ROUND((365*mech_uptime*K347),0))</f>
        <v/>
      </c>
      <c r="Q347" s="46">
        <f>mech_uptime</f>
        <v/>
      </c>
      <c r="R347" s="46">
        <f>IF(AND(B347="South Korea",scenario="MID"),korea_mid_revleg,revleg_sel)</f>
        <v/>
      </c>
      <c r="S347" s="45">
        <f>IF(ABS(MOD(ABS((O347*P347*R347)),1)-0.5)&lt;1E-9,2*ROUND((O347*P347*R347)/2,0),ROUND((O347*P347*R347),0))</f>
        <v/>
      </c>
      <c r="T347" s="46">
        <f>IF(AND(B347="South Korea",scenario="MID"),korea_mid_load,load_sel)</f>
        <v/>
      </c>
      <c r="U347" s="47">
        <f>pax_cap*T347</f>
        <v/>
      </c>
      <c r="V347" s="45">
        <f>U347*S347</f>
        <v/>
      </c>
      <c r="W347" s="48">
        <f>H347*discount</f>
        <v/>
      </c>
      <c r="X347" s="49">
        <f>W347*V347</f>
        <v/>
      </c>
      <c r="Y347" s="49">
        <f>(battery/range_nm)*G347*S347*VLOOKUP(B347,country_opex,3,FALSE)</f>
        <v/>
      </c>
      <c r="Z347" s="49">
        <f>VLOOKUP(B347,country_opex,2,FALSE)*crew_factor</f>
        <v/>
      </c>
      <c r="AA347" s="49">
        <f>VLOOKUP(B347,country_opex,5,FALSE)</f>
        <v/>
      </c>
      <c r="AB347" s="49">
        <f>maint</f>
        <v/>
      </c>
      <c r="AC347" s="49">
        <f>VLOOKUP(B347,country_opex,7,FALSE)*ins_pct</f>
        <v/>
      </c>
      <c r="AD347" s="49">
        <f>charge_berth</f>
        <v/>
      </c>
      <c r="AE347" s="49">
        <f>Y347+Z347+AA347+AB347+AC347+AD347</f>
        <v/>
      </c>
      <c r="AF347" s="49">
        <f>VLOOKUP(B347,country_opex,7,FALSE)/dep_years</f>
        <v/>
      </c>
      <c r="AG347" s="49">
        <f>X347-AE347</f>
        <v/>
      </c>
      <c r="AH347" s="46">
        <f>IF(X347=0,"",AG347/X347)</f>
        <v/>
      </c>
      <c r="AI347" s="47">
        <f>IF(AG347&lt;=0,"",VLOOKUP(B347,country_opex,7,FALSE)/AG347)</f>
        <v/>
      </c>
      <c r="AJ347" s="44">
        <f>((G347*S347/diesel_nmpg)*diesel_co2pg-(battery/range_nm)*G347*S347*VLOOKUP(B347,country_opex,4,FALSE))/1000</f>
        <v/>
      </c>
      <c r="AK347" s="42" t="n">
        <v>7000</v>
      </c>
      <c r="AL347" s="43" t="inlineStr">
        <is>
          <t>T5</t>
        </is>
      </c>
      <c r="AM347" s="43" t="inlineStr">
        <is>
          <t>low-med</t>
        </is>
      </c>
      <c r="AN347" s="50" t="n">
        <v>0.9</v>
      </c>
      <c r="AO347" s="45">
        <f>IF(AK347="","",AK347*AN347)</f>
        <v/>
      </c>
      <c r="AP347" s="45">
        <f>IF(OR(AK347="",V347=0),"",MIN(IF(AX347="",9.9E+99,AX347),FLOOR(AO347/V347,1)))</f>
        <v/>
      </c>
      <c r="AQ347" s="49">
        <f>IF(AP347="","",AP347*IF(ABS(MOD(ABS((X347)),1)-0.5)&lt;1E-9,2*ROUND((X347)/2,0),ROUND((X347),0)))</f>
        <v/>
      </c>
      <c r="AR347" s="47">
        <f>IF(OR(AK347="",V347=0),"",MIN(IF(AX347="",9.9E+99,AX347),AO347/V347))</f>
        <v/>
      </c>
      <c r="AS347" s="49">
        <f>IF(AR347="","",AR347*IF(B347="South Korea",IF(ABS(MOD(ABS((X347)),1)-0.5)&lt;1E-9,2*ROUND((X347)/2,0),ROUND((X347),0)),X347))</f>
        <v/>
      </c>
      <c r="AT347" s="51" t="n"/>
      <c r="AU347" s="43" t="inlineStr">
        <is>
          <t>Grounded</t>
        </is>
      </c>
      <c r="AV347" s="52" t="n"/>
      <c r="AW347" s="52" t="n"/>
      <c r="AX347" s="53" t="n">
        <v>2</v>
      </c>
      <c r="AY347" s="54">
        <f>IF(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&lt;=0,"",VLOOKUP(B347,country_opex,7,FALSE)/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)</f>
        <v/>
      </c>
      <c r="AZ347" s="54">
        <f>IF(((W347*pax_cap*IF(B347="South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Korea",korea_mid_revleg,revleg_mid)),0))*VLOOKUP(B347,country_opex,3,FALSE))+Z347+AA347+AB347+AC347+AD347))&lt;=0,"",VLOOKUP(B347,country_opex,7,FALSE)/((W347*pax_cap*IF(B347="South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Korea",korea_mid_revleg,revleg_mid)),0))*VLOOKUP(B347,country_opex,3,FALSE))+Z347+AA347+AB347+AC347+AD347)))</f>
        <v/>
      </c>
      <c r="BA347" s="54">
        <f>IF(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&lt;=0,"",VLOOKUP(B347,country_opex,7,FALSE)/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)</f>
        <v/>
      </c>
      <c r="BB347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C347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  <c r="BD347" s="43" t="inlineStr">
        <is>
          <t>e__velana__westin-miriandhoo-jetty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Joali Maldives (Muravandhoo, Raa) → Joali Being (Bodufushi, Raa)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6.5</v>
      </c>
      <c r="H348" s="35" t="n">
        <v>175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IF(B348="South Korea",G348/korea_charge_range_nm*korea_full_range_charge_min,0)</f>
        <v/>
      </c>
      <c r="N348" s="44">
        <f>IF(B348="South Korea",L348+korea_turn_min+korea_dwell_min+M348,L348+turn_min+dwell_min)</f>
        <v/>
      </c>
      <c r="O348" s="45">
        <f>IF(B348="South Korea",FLOOR(60*korea_service_hr/N348,1),MIN(15,FLOOR(60*service_hr/N348,1)))</f>
        <v/>
      </c>
      <c r="P348" s="45">
        <f>IF(ABS(MOD(ABS((365*mech_uptime*K348)),1)-0.5)&lt;1E-9,2*ROUND((365*mech_uptime*K348)/2,0),ROUND((365*mech_uptime*K348),0))</f>
        <v/>
      </c>
      <c r="Q348" s="46">
        <f>mech_uptime</f>
        <v/>
      </c>
      <c r="R348" s="46">
        <f>IF(AND(B348="South Korea",scenario="MID"),korea_mid_revleg,revleg_sel)</f>
        <v/>
      </c>
      <c r="S348" s="45">
        <f>IF(ABS(MOD(ABS((O348*P348*R348)),1)-0.5)&lt;1E-9,2*ROUND((O348*P348*R348)/2,0),ROUND((O348*P348*R348),0))</f>
        <v/>
      </c>
      <c r="T348" s="46">
        <f>IF(AND(B348="South Korea",scenario="MID"),korea_mid_load,load_sel)</f>
        <v/>
      </c>
      <c r="U348" s="47">
        <f>pax_cap*T348</f>
        <v/>
      </c>
      <c r="V348" s="45">
        <f>U348*S348</f>
        <v/>
      </c>
      <c r="W348" s="48">
        <f>H348*discount</f>
        <v/>
      </c>
      <c r="X348" s="49">
        <f>W348*V348</f>
        <v/>
      </c>
      <c r="Y348" s="49">
        <f>(battery/range_nm)*G348*S348*VLOOKUP(B348,country_opex,3,FALSE)</f>
        <v/>
      </c>
      <c r="Z348" s="49">
        <f>VLOOKUP(B348,country_opex,2,FALSE)*crew_factor</f>
        <v/>
      </c>
      <c r="AA348" s="49">
        <f>VLOOKUP(B348,country_opex,5,FALSE)</f>
        <v/>
      </c>
      <c r="AB348" s="49">
        <f>maint</f>
        <v/>
      </c>
      <c r="AC348" s="49">
        <f>VLOOKUP(B348,country_opex,7,FALSE)*ins_pct</f>
        <v/>
      </c>
      <c r="AD348" s="49">
        <f>charge_berth</f>
        <v/>
      </c>
      <c r="AE348" s="49">
        <f>Y348+Z348+AA348+AB348+AC348+AD348</f>
        <v/>
      </c>
      <c r="AF348" s="49">
        <f>VLOOKUP(B348,country_opex,7,FALSE)/dep_years</f>
        <v/>
      </c>
      <c r="AG348" s="49">
        <f>X348-AE348</f>
        <v/>
      </c>
      <c r="AH348" s="46">
        <f>IF(X348=0,"",AG348/X348)</f>
        <v/>
      </c>
      <c r="AI348" s="47">
        <f>IF(AG348&lt;=0,"",VLOOKUP(B348,country_opex,7,FALSE)/AG348)</f>
        <v/>
      </c>
      <c r="AJ348" s="44">
        <f>((G348*S348/diesel_nmpg)*diesel_co2pg-(battery/range_nm)*G348*S348*VLOOKUP(B348,country_opex,4,FALSE))/1000</f>
        <v/>
      </c>
      <c r="AK348" s="42" t="n"/>
      <c r="AL348" s="43" t="n"/>
      <c r="AM348" s="43" t="inlineStr">
        <is>
          <t>null</t>
        </is>
      </c>
      <c r="AN348" s="50" t="n">
        <v>0.9</v>
      </c>
      <c r="AO348" s="45">
        <f>IF(AK348="","",AK348*AN348)</f>
        <v/>
      </c>
      <c r="AP348" s="45">
        <f>IF(OR(AK348="",V348=0),"",MIN(IF(AX348="",9.9E+99,AX348),FLOOR(AO348/V348,1)))</f>
        <v/>
      </c>
      <c r="AQ348" s="49">
        <f>IF(AP348="","",AP348*IF(ABS(MOD(ABS((X348)),1)-0.5)&lt;1E-9,2*ROUND((X348)/2,0),ROUND((X348),0)))</f>
        <v/>
      </c>
      <c r="AR348" s="47">
        <f>IF(OR(AK348="",V348=0),"",MIN(IF(AX348="",9.9E+99,AX348),AO348/V348))</f>
        <v/>
      </c>
      <c r="AS348" s="49">
        <f>IF(AR348="","",AR348*IF(B348="South Korea",IF(ABS(MOD(ABS((X348)),1)-0.5)&lt;1E-9,2*ROUND((X348)/2,0),ROUND((X348),0)),X348))</f>
        <v/>
      </c>
      <c r="AT348" s="51" t="n"/>
      <c r="AU348" s="43" t="inlineStr">
        <is>
          <t>Estimated</t>
        </is>
      </c>
      <c r="AV348" s="52" t="n"/>
      <c r="AW348" s="52" t="n"/>
      <c r="AX348" s="53" t="n"/>
      <c r="AY348" s="54">
        <f>IF(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&lt;=0,"",VLOOKUP(B348,country_opex,7,FALSE)/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)</f>
        <v/>
      </c>
      <c r="AZ348" s="54">
        <f>IF(((W348*pax_cap*IF(B348="South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Korea",korea_mid_revleg,revleg_mid)),0))*VLOOKUP(B348,country_opex,3,FALSE))+Z348+AA348+AB348+AC348+AD348))&lt;=0,"",VLOOKUP(B348,country_opex,7,FALSE)/((W348*pax_cap*IF(B348="South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Korea",korea_mid_revleg,revleg_mid)),0))*VLOOKUP(B348,country_opex,3,FALSE))+Z348+AA348+AB348+AC348+AD348)))</f>
        <v/>
      </c>
      <c r="BA348" s="54">
        <f>IF(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&lt;=0,"",VLOOKUP(B348,country_opex,7,FALSE)/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)</f>
        <v/>
      </c>
      <c r="BB34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8" s="40" t="inlineStr">
        <is>
          <t>NULL — pure inter-resort island-hop; no grounded crossing pool (R2). Geometry only.</t>
        </is>
      </c>
      <c r="BD348" s="43" t="inlineStr">
        <is>
          <t>e__mald__65b15c050ea0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Maafaru Airport, Noonu → Soneva Jani (Medhufaru, Noonu)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7.6</v>
      </c>
      <c r="H349" s="35" t="n">
        <v>200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IF(B349="South Korea",G349/korea_charge_range_nm*korea_full_range_charge_min,0)</f>
        <v/>
      </c>
      <c r="N349" s="44">
        <f>IF(B349="South Korea",L349+korea_turn_min+korea_dwell_min+M349,L349+turn_min+dwell_min)</f>
        <v/>
      </c>
      <c r="O349" s="45">
        <f>IF(B349="South Korea",FLOOR(60*korea_service_hr/N349,1),MIN(15,FLOOR(60*service_hr/N349,1)))</f>
        <v/>
      </c>
      <c r="P349" s="45">
        <f>IF(ABS(MOD(ABS((365*mech_uptime*K349)),1)-0.5)&lt;1E-9,2*ROUND((365*mech_uptime*K349)/2,0),ROUND((365*mech_uptime*K349),0))</f>
        <v/>
      </c>
      <c r="Q349" s="46">
        <f>mech_uptime</f>
        <v/>
      </c>
      <c r="R349" s="46">
        <f>IF(AND(B349="South Korea",scenario="MID"),korea_mid_revleg,revleg_sel)</f>
        <v/>
      </c>
      <c r="S349" s="45">
        <f>IF(ABS(MOD(ABS((O349*P349*R349)),1)-0.5)&lt;1E-9,2*ROUND((O349*P349*R349)/2,0),ROUND((O349*P349*R349),0))</f>
        <v/>
      </c>
      <c r="T349" s="46">
        <f>IF(AND(B349="South Korea",scenario="MID"),korea_mid_load,load_sel)</f>
        <v/>
      </c>
      <c r="U349" s="47">
        <f>pax_cap*T349</f>
        <v/>
      </c>
      <c r="V349" s="45">
        <f>U349*S349</f>
        <v/>
      </c>
      <c r="W349" s="48">
        <f>H349*discount</f>
        <v/>
      </c>
      <c r="X349" s="49">
        <f>W349*V349</f>
        <v/>
      </c>
      <c r="Y349" s="49">
        <f>(battery/range_nm)*G349*S349*VLOOKUP(B349,country_opex,3,FALSE)</f>
        <v/>
      </c>
      <c r="Z349" s="49">
        <f>VLOOKUP(B349,country_opex,2,FALSE)*crew_factor</f>
        <v/>
      </c>
      <c r="AA349" s="49">
        <f>VLOOKUP(B349,country_opex,5,FALSE)</f>
        <v/>
      </c>
      <c r="AB349" s="49">
        <f>maint</f>
        <v/>
      </c>
      <c r="AC349" s="49">
        <f>VLOOKUP(B349,country_opex,7,FALSE)*ins_pct</f>
        <v/>
      </c>
      <c r="AD349" s="49">
        <f>charge_berth</f>
        <v/>
      </c>
      <c r="AE349" s="49">
        <f>Y349+Z349+AA349+AB349+AC349+AD349</f>
        <v/>
      </c>
      <c r="AF349" s="49">
        <f>VLOOKUP(B349,country_opex,7,FALSE)/dep_years</f>
        <v/>
      </c>
      <c r="AG349" s="49">
        <f>X349-AE349</f>
        <v/>
      </c>
      <c r="AH349" s="46">
        <f>IF(X349=0,"",AG349/X349)</f>
        <v/>
      </c>
      <c r="AI349" s="47">
        <f>IF(AG349&lt;=0,"",VLOOKUP(B349,country_opex,7,FALSE)/AG349)</f>
        <v/>
      </c>
      <c r="AJ349" s="44">
        <f>((G349*S349/diesel_nmpg)*diesel_co2pg-(battery/range_nm)*G349*S349*VLOOKUP(B349,country_opex,4,FALSE))/1000</f>
        <v/>
      </c>
      <c r="AK349" s="42" t="n">
        <v>3884</v>
      </c>
      <c r="AL349" s="43" t="inlineStr">
        <is>
          <t>T5</t>
        </is>
      </c>
      <c r="AM349" s="43" t="inlineStr">
        <is>
          <t>med</t>
        </is>
      </c>
      <c r="AN349" s="50" t="n">
        <v>0.9</v>
      </c>
      <c r="AO349" s="45">
        <f>IF(AK349="","",AK349*AN349)</f>
        <v/>
      </c>
      <c r="AP349" s="45">
        <f>IF(OR(AK349="",V349=0),"",MIN(IF(AX349="",9.9E+99,AX349),FLOOR(AO349/V349,1)))</f>
        <v/>
      </c>
      <c r="AQ349" s="49">
        <f>IF(AP349="","",AP349*IF(ABS(MOD(ABS((X349)),1)-0.5)&lt;1E-9,2*ROUND((X349)/2,0),ROUND((X349),0)))</f>
        <v/>
      </c>
      <c r="AR349" s="47">
        <f>IF(OR(AK349="",V349=0),"",MIN(IF(AX349="",9.9E+99,AX349),AO349/V349))</f>
        <v/>
      </c>
      <c r="AS349" s="49">
        <f>IF(AR349="","",AR349*IF(B349="South Korea",IF(ABS(MOD(ABS((X349)),1)-0.5)&lt;1E-9,2*ROUND((X349)/2,0),ROUND((X349),0)),X349))</f>
        <v/>
      </c>
      <c r="AT349" s="51" t="n"/>
      <c r="AU349" s="43" t="inlineStr">
        <is>
          <t>Grounded</t>
        </is>
      </c>
      <c r="AV349" s="52" t="n"/>
      <c r="AW349" s="52" t="n"/>
      <c r="AX349" s="53" t="n">
        <v>3</v>
      </c>
      <c r="AY349" s="54">
        <f>IF(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&lt;=0,"",VLOOKUP(B349,country_opex,7,FALSE)/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)</f>
        <v/>
      </c>
      <c r="AZ349" s="54">
        <f>IF(((W349*pax_cap*IF(B349="South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Korea",korea_mid_revleg,revleg_mid)),0))*VLOOKUP(B349,country_opex,3,FALSE))+Z349+AA349+AB349+AC349+AD349))&lt;=0,"",VLOOKUP(B349,country_opex,7,FALSE)/((W349*pax_cap*IF(B349="South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Korea",korea_mid_revleg,revleg_mid)),0))*VLOOKUP(B349,country_opex,3,FALSE))+Z349+AA349+AB349+AC349+AD349)))</f>
        <v/>
      </c>
      <c r="BA349" s="54">
        <f>IF(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&lt;=0,"",VLOOKUP(B349,country_opex,7,FALSE)/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)</f>
        <v/>
      </c>
      <c r="BB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9" s="43" t="inlineStr">
        <is>
          <t>e__mald__3227d7e5ee37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Kooddoo Airport, Gaafu Alif → Pullman Maldives Maamutaa (Gaafu)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7.7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IF(B350="South Korea",G350/korea_charge_range_nm*korea_full_range_charge_min,0)</f>
        <v/>
      </c>
      <c r="N350" s="44">
        <f>IF(B350="South Korea",L350+korea_turn_min+korea_dwell_min+M350,L350+turn_min+dwell_min)</f>
        <v/>
      </c>
      <c r="O350" s="45">
        <f>IF(B350="South Korea",FLOOR(60*korea_service_hr/N350,1),MIN(15,FLOOR(60*service_hr/N350,1)))</f>
        <v/>
      </c>
      <c r="P350" s="45">
        <f>IF(ABS(MOD(ABS((365*mech_uptime*K350)),1)-0.5)&lt;1E-9,2*ROUND((365*mech_uptime*K350)/2,0),ROUND((365*mech_uptime*K350),0))</f>
        <v/>
      </c>
      <c r="Q350" s="46">
        <f>mech_uptime</f>
        <v/>
      </c>
      <c r="R350" s="46">
        <f>IF(AND(B350="South Korea",scenario="MID"),korea_mid_revleg,revleg_sel)</f>
        <v/>
      </c>
      <c r="S350" s="45">
        <f>IF(ABS(MOD(ABS((O350*P350*R350)),1)-0.5)&lt;1E-9,2*ROUND((O350*P350*R350)/2,0),ROUND((O350*P350*R350),0))</f>
        <v/>
      </c>
      <c r="T350" s="46">
        <f>IF(AND(B350="South Korea",scenario="MID"),korea_mid_load,load_sel)</f>
        <v/>
      </c>
      <c r="U350" s="47">
        <f>pax_cap*T350</f>
        <v/>
      </c>
      <c r="V350" s="45">
        <f>U350*S350</f>
        <v/>
      </c>
      <c r="W350" s="48">
        <f>H350*discount</f>
        <v/>
      </c>
      <c r="X350" s="49">
        <f>W350*V350</f>
        <v/>
      </c>
      <c r="Y350" s="49">
        <f>(battery/range_nm)*G350*S350*VLOOKUP(B350,country_opex,3,FALSE)</f>
        <v/>
      </c>
      <c r="Z350" s="49">
        <f>VLOOKUP(B350,country_opex,2,FALSE)*crew_factor</f>
        <v/>
      </c>
      <c r="AA350" s="49">
        <f>VLOOKUP(B350,country_opex,5,FALSE)</f>
        <v/>
      </c>
      <c r="AB350" s="49">
        <f>maint</f>
        <v/>
      </c>
      <c r="AC350" s="49">
        <f>VLOOKUP(B350,country_opex,7,FALSE)*ins_pct</f>
        <v/>
      </c>
      <c r="AD350" s="49">
        <f>charge_berth</f>
        <v/>
      </c>
      <c r="AE350" s="49">
        <f>Y350+Z350+AA350+AB350+AC350+AD350</f>
        <v/>
      </c>
      <c r="AF350" s="49">
        <f>VLOOKUP(B350,country_opex,7,FALSE)/dep_years</f>
        <v/>
      </c>
      <c r="AG350" s="49">
        <f>X350-AE350</f>
        <v/>
      </c>
      <c r="AH350" s="46">
        <f>IF(X350=0,"",AG350/X350)</f>
        <v/>
      </c>
      <c r="AI350" s="47">
        <f>IF(AG350&lt;=0,"",VLOOKUP(B350,country_opex,7,FALSE)/AG350)</f>
        <v/>
      </c>
      <c r="AJ350" s="44">
        <f>((G350*S350/diesel_nmpg)*diesel_co2pg-(battery/range_nm)*G350*S350*VLOOKUP(B350,country_opex,4,FALSE))/1000</f>
        <v/>
      </c>
      <c r="AK350" s="42" t="n">
        <v>9112</v>
      </c>
      <c r="AL350" s="43" t="inlineStr">
        <is>
          <t>T5</t>
        </is>
      </c>
      <c r="AM350" s="43" t="inlineStr">
        <is>
          <t>med</t>
        </is>
      </c>
      <c r="AN350" s="50" t="n">
        <v>0.9</v>
      </c>
      <c r="AO350" s="45">
        <f>IF(AK350="","",AK350*AN350)</f>
        <v/>
      </c>
      <c r="AP350" s="45">
        <f>IF(OR(AK350="",V350=0),"",MIN(IF(AX350="",9.9E+99,AX350),FLOOR(AO350/V350,1)))</f>
        <v/>
      </c>
      <c r="AQ350" s="49">
        <f>IF(AP350="","",AP350*IF(ABS(MOD(ABS((X350)),1)-0.5)&lt;1E-9,2*ROUND((X350)/2,0),ROUND((X350),0)))</f>
        <v/>
      </c>
      <c r="AR350" s="47">
        <f>IF(OR(AK350="",V350=0),"",MIN(IF(AX350="",9.9E+99,AX350),AO350/V350))</f>
        <v/>
      </c>
      <c r="AS350" s="49">
        <f>IF(AR350="","",AR350*IF(B350="South Korea",IF(ABS(MOD(ABS((X350)),1)-0.5)&lt;1E-9,2*ROUND((X350)/2,0),ROUND((X350),0)),X350))</f>
        <v/>
      </c>
      <c r="AT350" s="51" t="n"/>
      <c r="AU350" s="43" t="inlineStr">
        <is>
          <t>Grounded</t>
        </is>
      </c>
      <c r="AV350" s="52" t="n"/>
      <c r="AW350" s="52" t="n"/>
      <c r="AX350" s="53" t="n">
        <v>5</v>
      </c>
      <c r="AY350" s="54">
        <f>IF(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&lt;=0,"",VLOOKUP(B350,country_opex,7,FALSE)/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)</f>
        <v/>
      </c>
      <c r="AZ350" s="54">
        <f>IF(((W350*pax_cap*IF(B350="South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Korea",korea_mid_revleg,revleg_mid)),0))*VLOOKUP(B350,country_opex,3,FALSE))+Z350+AA350+AB350+AC350+AD350))&lt;=0,"",VLOOKUP(B350,country_opex,7,FALSE)/((W350*pax_cap*IF(B350="South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Korea",korea_mid_revleg,revleg_mid)),0))*VLOOKUP(B350,country_opex,3,FALSE))+Z350+AA350+AB350+AC350+AD350)))</f>
        <v/>
      </c>
      <c r="BA350" s="54">
        <f>IF(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&lt;=0,"",VLOOKUP(B350,country_opex,7,FALSE)/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)</f>
        <v/>
      </c>
      <c r="BB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0" s="43" t="inlineStr">
        <is>
          <t>e__mald__ee1d9b719838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Kadhdhoo Airport, Laamu → Six Senses Laamu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7.8</v>
      </c>
      <c r="H351" s="35" t="n">
        <v>150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IF(B351="South Korea",G351/korea_charge_range_nm*korea_full_range_charge_min,0)</f>
        <v/>
      </c>
      <c r="N351" s="44">
        <f>IF(B351="South Korea",L351+korea_turn_min+korea_dwell_min+M351,L351+turn_min+dwell_min)</f>
        <v/>
      </c>
      <c r="O351" s="45">
        <f>IF(B351="South Korea",FLOOR(60*korea_service_hr/N351,1),MIN(15,FLOOR(60*service_hr/N351,1)))</f>
        <v/>
      </c>
      <c r="P351" s="45">
        <f>IF(ABS(MOD(ABS((365*mech_uptime*K351)),1)-0.5)&lt;1E-9,2*ROUND((365*mech_uptime*K351)/2,0),ROUND((365*mech_uptime*K351),0))</f>
        <v/>
      </c>
      <c r="Q351" s="46">
        <f>mech_uptime</f>
        <v/>
      </c>
      <c r="R351" s="46">
        <f>IF(AND(B351="South Korea",scenario="MID"),korea_mid_revleg,revleg_sel)</f>
        <v/>
      </c>
      <c r="S351" s="45">
        <f>IF(ABS(MOD(ABS((O351*P351*R351)),1)-0.5)&lt;1E-9,2*ROUND((O351*P351*R351)/2,0),ROUND((O351*P351*R351),0))</f>
        <v/>
      </c>
      <c r="T351" s="46">
        <f>IF(AND(B351="South Korea",scenario="MID"),korea_mid_load,load_sel)</f>
        <v/>
      </c>
      <c r="U351" s="47">
        <f>pax_cap*T351</f>
        <v/>
      </c>
      <c r="V351" s="45">
        <f>U351*S351</f>
        <v/>
      </c>
      <c r="W351" s="48">
        <f>H351*discount</f>
        <v/>
      </c>
      <c r="X351" s="49">
        <f>W351*V351</f>
        <v/>
      </c>
      <c r="Y351" s="49">
        <f>(battery/range_nm)*G351*S351*VLOOKUP(B351,country_opex,3,FALSE)</f>
        <v/>
      </c>
      <c r="Z351" s="49">
        <f>VLOOKUP(B351,country_opex,2,FALSE)*crew_factor</f>
        <v/>
      </c>
      <c r="AA351" s="49">
        <f>VLOOKUP(B351,country_opex,5,FALSE)</f>
        <v/>
      </c>
      <c r="AB351" s="49">
        <f>maint</f>
        <v/>
      </c>
      <c r="AC351" s="49">
        <f>VLOOKUP(B351,country_opex,7,FALSE)*ins_pct</f>
        <v/>
      </c>
      <c r="AD351" s="49">
        <f>charge_berth</f>
        <v/>
      </c>
      <c r="AE351" s="49">
        <f>Y351+Z351+AA351+AB351+AC351+AD351</f>
        <v/>
      </c>
      <c r="AF351" s="49">
        <f>VLOOKUP(B351,country_opex,7,FALSE)/dep_years</f>
        <v/>
      </c>
      <c r="AG351" s="49">
        <f>X351-AE351</f>
        <v/>
      </c>
      <c r="AH351" s="46">
        <f>IF(X351=0,"",AG351/X351)</f>
        <v/>
      </c>
      <c r="AI351" s="47">
        <f>IF(AG351&lt;=0,"",VLOOKUP(B351,country_opex,7,FALSE)/AG351)</f>
        <v/>
      </c>
      <c r="AJ351" s="44">
        <f>((G351*S351/diesel_nmpg)*diesel_co2pg-(battery/range_nm)*G351*S351*VLOOKUP(B351,country_opex,4,FALSE))/1000</f>
        <v/>
      </c>
      <c r="AK351" s="42" t="n">
        <v>7244</v>
      </c>
      <c r="AL351" s="43" t="inlineStr">
        <is>
          <t>T5</t>
        </is>
      </c>
      <c r="AM351" s="43" t="inlineStr">
        <is>
          <t>med</t>
        </is>
      </c>
      <c r="AN351" s="50" t="n">
        <v>0.9</v>
      </c>
      <c r="AO351" s="45">
        <f>IF(AK351="","",AK351*AN351)</f>
        <v/>
      </c>
      <c r="AP351" s="45">
        <f>IF(OR(AK351="",V351=0),"",MIN(IF(AX351="",9.9E+99,AX351),FLOOR(AO351/V351,1)))</f>
        <v/>
      </c>
      <c r="AQ351" s="49">
        <f>IF(AP351="","",AP351*IF(ABS(MOD(ABS((X351)),1)-0.5)&lt;1E-9,2*ROUND((X351)/2,0),ROUND((X351),0)))</f>
        <v/>
      </c>
      <c r="AR351" s="47">
        <f>IF(OR(AK351="",V351=0),"",MIN(IF(AX351="",9.9E+99,AX351),AO351/V351))</f>
        <v/>
      </c>
      <c r="AS351" s="49">
        <f>IF(AR351="","",AR351*IF(B351="South Korea",IF(ABS(MOD(ABS((X351)),1)-0.5)&lt;1E-9,2*ROUND((X351)/2,0),ROUND((X351),0)),X351))</f>
        <v/>
      </c>
      <c r="AT351" s="51" t="n"/>
      <c r="AU351" s="43" t="inlineStr">
        <is>
          <t>Grounded</t>
        </is>
      </c>
      <c r="AV351" s="52" t="n"/>
      <c r="AW351" s="52" t="n"/>
      <c r="AX351" s="53" t="n">
        <v>4</v>
      </c>
      <c r="AY351" s="54">
        <f>IF(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&lt;=0,"",VLOOKUP(B351,country_opex,7,FALSE)/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)</f>
        <v/>
      </c>
      <c r="AZ351" s="54">
        <f>IF(((W351*pax_cap*IF(B351="South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Korea",korea_mid_revleg,revleg_mid)),0))*VLOOKUP(B351,country_opex,3,FALSE))+Z351+AA351+AB351+AC351+AD351))&lt;=0,"",VLOOKUP(B351,country_opex,7,FALSE)/((W351*pax_cap*IF(B351="South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Korea",korea_mid_revleg,revleg_mid)),0))*VLOOKUP(B351,country_opex,3,FALSE))+Z351+AA351+AB351+AC351+AD351)))</f>
        <v/>
      </c>
      <c r="BA351" s="54">
        <f>IF(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&lt;=0,"",VLOOKUP(B351,country_opex,7,FALSE)/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)</f>
        <v/>
      </c>
      <c r="BB35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1" s="43" t="inlineStr">
        <is>
          <t>e__mald__b95e8093ec6d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Velana International Airport (MLE) Resort Speedboat Lounges → Baros Maldives (North Malé)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8.300000000000001</v>
      </c>
      <c r="H352" s="35" t="n">
        <v>120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IF(B352="South Korea",G352/korea_charge_range_nm*korea_full_range_charge_min,0)</f>
        <v/>
      </c>
      <c r="N352" s="44">
        <f>IF(B352="South Korea",L352+korea_turn_min+korea_dwell_min+M352,L352+turn_min+dwell_min)</f>
        <v/>
      </c>
      <c r="O352" s="45">
        <f>IF(B352="South Korea",FLOOR(60*korea_service_hr/N352,1),MIN(15,FLOOR(60*service_hr/N352,1)))</f>
        <v/>
      </c>
      <c r="P352" s="45">
        <f>IF(ABS(MOD(ABS((365*mech_uptime*K352)),1)-0.5)&lt;1E-9,2*ROUND((365*mech_uptime*K352)/2,0),ROUND((365*mech_uptime*K352),0))</f>
        <v/>
      </c>
      <c r="Q352" s="46">
        <f>mech_uptime</f>
        <v/>
      </c>
      <c r="R352" s="46">
        <f>IF(AND(B352="South Korea",scenario="MID"),korea_mid_revleg,revleg_sel)</f>
        <v/>
      </c>
      <c r="S352" s="45">
        <f>IF(ABS(MOD(ABS((O352*P352*R352)),1)-0.5)&lt;1E-9,2*ROUND((O352*P352*R352)/2,0),ROUND((O352*P352*R352),0))</f>
        <v/>
      </c>
      <c r="T352" s="46">
        <f>IF(AND(B352="South Korea",scenario="MID"),korea_mid_load,load_sel)</f>
        <v/>
      </c>
      <c r="U352" s="47">
        <f>pax_cap*T352</f>
        <v/>
      </c>
      <c r="V352" s="45">
        <f>U352*S352</f>
        <v/>
      </c>
      <c r="W352" s="48">
        <f>H352*discount</f>
        <v/>
      </c>
      <c r="X352" s="49">
        <f>W352*V352</f>
        <v/>
      </c>
      <c r="Y352" s="49">
        <f>(battery/range_nm)*G352*S352*VLOOKUP(B352,country_opex,3,FALSE)</f>
        <v/>
      </c>
      <c r="Z352" s="49">
        <f>VLOOKUP(B352,country_opex,2,FALSE)*crew_factor</f>
        <v/>
      </c>
      <c r="AA352" s="49">
        <f>VLOOKUP(B352,country_opex,5,FALSE)</f>
        <v/>
      </c>
      <c r="AB352" s="49">
        <f>maint</f>
        <v/>
      </c>
      <c r="AC352" s="49">
        <f>VLOOKUP(B352,country_opex,7,FALSE)*ins_pct</f>
        <v/>
      </c>
      <c r="AD352" s="49">
        <f>charge_berth</f>
        <v/>
      </c>
      <c r="AE352" s="49">
        <f>Y352+Z352+AA352+AB352+AC352+AD352</f>
        <v/>
      </c>
      <c r="AF352" s="49">
        <f>VLOOKUP(B352,country_opex,7,FALSE)/dep_years</f>
        <v/>
      </c>
      <c r="AG352" s="49">
        <f>X352-AE352</f>
        <v/>
      </c>
      <c r="AH352" s="46">
        <f>IF(X352=0,"",AG352/X352)</f>
        <v/>
      </c>
      <c r="AI352" s="47">
        <f>IF(AG352&lt;=0,"",VLOOKUP(B352,country_opex,7,FALSE)/AG352)</f>
        <v/>
      </c>
      <c r="AJ352" s="44">
        <f>((G352*S352/diesel_nmpg)*diesel_co2pg-(battery/range_nm)*G352*S352*VLOOKUP(B352,country_opex,4,FALSE))/1000</f>
        <v/>
      </c>
      <c r="AK352" s="42" t="n">
        <v>11700</v>
      </c>
      <c r="AL352" s="43" t="inlineStr">
        <is>
          <t>T5</t>
        </is>
      </c>
      <c r="AM352" s="43" t="inlineStr">
        <is>
          <t>low-med</t>
        </is>
      </c>
      <c r="AN352" s="50" t="n">
        <v>0.9</v>
      </c>
      <c r="AO352" s="45">
        <f>IF(AK352="","",AK352*AN352)</f>
        <v/>
      </c>
      <c r="AP352" s="45">
        <f>IF(OR(AK352="",V352=0),"",MIN(IF(AX352="",9.9E+99,AX352),FLOOR(AO352/V352,1)))</f>
        <v/>
      </c>
      <c r="AQ352" s="49">
        <f>IF(AP352="","",AP352*IF(ABS(MOD(ABS((X352)),1)-0.5)&lt;1E-9,2*ROUND((X352)/2,0),ROUND((X352),0)))</f>
        <v/>
      </c>
      <c r="AR352" s="47">
        <f>IF(OR(AK352="",V352=0),"",MIN(IF(AX352="",9.9E+99,AX352),AO352/V352))</f>
        <v/>
      </c>
      <c r="AS352" s="49">
        <f>IF(AR352="","",AR352*IF(B352="South Korea",IF(ABS(MOD(ABS((X352)),1)-0.5)&lt;1E-9,2*ROUND((X352)/2,0),ROUND((X352),0)),X352))</f>
        <v/>
      </c>
      <c r="AT352" s="51" t="n"/>
      <c r="AU352" s="43" t="inlineStr">
        <is>
          <t>Grounded</t>
        </is>
      </c>
      <c r="AV352" s="52" t="n"/>
      <c r="AW352" s="52" t="n"/>
      <c r="AX352" s="53" t="n">
        <v>3</v>
      </c>
      <c r="AY352" s="54">
        <f>IF(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&lt;=0,"",VLOOKUP(B352,country_opex,7,FALSE)/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)</f>
        <v/>
      </c>
      <c r="AZ352" s="54">
        <f>IF(((W352*pax_cap*IF(B352="South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Korea",korea_mid_revleg,revleg_mid)),0))*VLOOKUP(B352,country_opex,3,FALSE))+Z352+AA352+AB352+AC352+AD352))&lt;=0,"",VLOOKUP(B352,country_opex,7,FALSE)/((W352*pax_cap*IF(B352="South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Korea",korea_mid_revleg,revleg_mid)),0))*VLOOKUP(B352,country_opex,3,FALSE))+Z352+AA352+AB352+AC352+AD352)))</f>
        <v/>
      </c>
      <c r="BA352" s="54">
        <f>IF(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&lt;=0,"",VLOOKUP(B352,country_opex,7,FALSE)/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)</f>
        <v/>
      </c>
      <c r="BB352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C352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  <c r="BD352" s="43" t="inlineStr">
        <is>
          <t>e__velana__westin-miriandhoo-jetty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Dharavandhoo Airport, Baa → Milaidhoo (Baa)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8.4</v>
      </c>
      <c r="H353" s="35" t="n">
        <v>175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IF(B353="South Korea",G353/korea_charge_range_nm*korea_full_range_charge_min,0)</f>
        <v/>
      </c>
      <c r="N353" s="44">
        <f>IF(B353="South Korea",L353+korea_turn_min+korea_dwell_min+M353,L353+turn_min+dwell_min)</f>
        <v/>
      </c>
      <c r="O353" s="45">
        <f>IF(B353="South Korea",FLOOR(60*korea_service_hr/N353,1),MIN(15,FLOOR(60*service_hr/N353,1)))</f>
        <v/>
      </c>
      <c r="P353" s="45">
        <f>IF(ABS(MOD(ABS((365*mech_uptime*K353)),1)-0.5)&lt;1E-9,2*ROUND((365*mech_uptime*K353)/2,0),ROUND((365*mech_uptime*K353),0))</f>
        <v/>
      </c>
      <c r="Q353" s="46">
        <f>mech_uptime</f>
        <v/>
      </c>
      <c r="R353" s="46">
        <f>IF(AND(B353="South Korea",scenario="MID"),korea_mid_revleg,revleg_sel)</f>
        <v/>
      </c>
      <c r="S353" s="45">
        <f>IF(ABS(MOD(ABS((O353*P353*R353)),1)-0.5)&lt;1E-9,2*ROUND((O353*P353*R353)/2,0),ROUND((O353*P353*R353),0))</f>
        <v/>
      </c>
      <c r="T353" s="46">
        <f>IF(AND(B353="South Korea",scenario="MID"),korea_mid_load,load_sel)</f>
        <v/>
      </c>
      <c r="U353" s="47">
        <f>pax_cap*T353</f>
        <v/>
      </c>
      <c r="V353" s="45">
        <f>U353*S353</f>
        <v/>
      </c>
      <c r="W353" s="48">
        <f>H353*discount</f>
        <v/>
      </c>
      <c r="X353" s="49">
        <f>W353*V353</f>
        <v/>
      </c>
      <c r="Y353" s="49">
        <f>(battery/range_nm)*G353*S353*VLOOKUP(B353,country_opex,3,FALSE)</f>
        <v/>
      </c>
      <c r="Z353" s="49">
        <f>VLOOKUP(B353,country_opex,2,FALSE)*crew_factor</f>
        <v/>
      </c>
      <c r="AA353" s="49">
        <f>VLOOKUP(B353,country_opex,5,FALSE)</f>
        <v/>
      </c>
      <c r="AB353" s="49">
        <f>maint</f>
        <v/>
      </c>
      <c r="AC353" s="49">
        <f>VLOOKUP(B353,country_opex,7,FALSE)*ins_pct</f>
        <v/>
      </c>
      <c r="AD353" s="49">
        <f>charge_berth</f>
        <v/>
      </c>
      <c r="AE353" s="49">
        <f>Y353+Z353+AA353+AB353+AC353+AD353</f>
        <v/>
      </c>
      <c r="AF353" s="49">
        <f>VLOOKUP(B353,country_opex,7,FALSE)/dep_years</f>
        <v/>
      </c>
      <c r="AG353" s="49">
        <f>X353-AE353</f>
        <v/>
      </c>
      <c r="AH353" s="46">
        <f>IF(X353=0,"",AG353/X353)</f>
        <v/>
      </c>
      <c r="AI353" s="47">
        <f>IF(AG353&lt;=0,"",VLOOKUP(B353,country_opex,7,FALSE)/AG353)</f>
        <v/>
      </c>
      <c r="AJ353" s="44">
        <f>((G353*S353/diesel_nmpg)*diesel_co2pg-(battery/range_nm)*G353*S353*VLOOKUP(B353,country_opex,4,FALSE))/1000</f>
        <v/>
      </c>
      <c r="AK353" s="42" t="n">
        <v>3734</v>
      </c>
      <c r="AL353" s="43" t="inlineStr">
        <is>
          <t>T5</t>
        </is>
      </c>
      <c r="AM353" s="43" t="inlineStr">
        <is>
          <t>med</t>
        </is>
      </c>
      <c r="AN353" s="50" t="n">
        <v>0.9</v>
      </c>
      <c r="AO353" s="45">
        <f>IF(AK353="","",AK353*AN353)</f>
        <v/>
      </c>
      <c r="AP353" s="45">
        <f>IF(OR(AK353="",V353=0),"",MIN(IF(AX353="",9.9E+99,AX353),FLOOR(AO353/V353,1)))</f>
        <v/>
      </c>
      <c r="AQ353" s="49">
        <f>IF(AP353="","",AP353*IF(ABS(MOD(ABS((X353)),1)-0.5)&lt;1E-9,2*ROUND((X353)/2,0),ROUND((X353),0)))</f>
        <v/>
      </c>
      <c r="AR353" s="47">
        <f>IF(OR(AK353="",V353=0),"",MIN(IF(AX353="",9.9E+99,AX353),AO353/V353))</f>
        <v/>
      </c>
      <c r="AS353" s="49">
        <f>IF(AR353="","",AR353*IF(B353="South Korea",IF(ABS(MOD(ABS((X353)),1)-0.5)&lt;1E-9,2*ROUND((X353)/2,0),ROUND((X353),0)),X353))</f>
        <v/>
      </c>
      <c r="AT353" s="51" t="n"/>
      <c r="AU353" s="43" t="inlineStr">
        <is>
          <t>Grounded</t>
        </is>
      </c>
      <c r="AV353" s="52" t="n"/>
      <c r="AW353" s="52" t="n"/>
      <c r="AX353" s="53" t="n">
        <v>2</v>
      </c>
      <c r="AY353" s="54">
        <f>IF(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&lt;=0,"",VLOOKUP(B353,country_opex,7,FALSE)/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)</f>
        <v/>
      </c>
      <c r="AZ353" s="54">
        <f>IF(((W353*pax_cap*IF(B353="South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Korea",korea_mid_revleg,revleg_mid)),0))*VLOOKUP(B353,country_opex,3,FALSE))+Z353+AA353+AB353+AC353+AD353))&lt;=0,"",VLOOKUP(B353,country_opex,7,FALSE)/((W353*pax_cap*IF(B353="South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Korea",korea_mid_revleg,revleg_mid)),0))*VLOOKUP(B353,country_opex,3,FALSE))+Z353+AA353+AB353+AC353+AD353)))</f>
        <v/>
      </c>
      <c r="BA353" s="54">
        <f>IF(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&lt;=0,"",VLOOKUP(B353,country_opex,7,FALSE)/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)</f>
        <v/>
      </c>
      <c r="BB35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3" s="43" t="inlineStr">
        <is>
          <t>e__mald__a66fd74b4e3f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Ifuru Airport, Raa → Joali Maldives (Muravandhoo, Raa)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8.699999999999999</v>
      </c>
      <c r="H354" s="35" t="n">
        <v>200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IF(B354="South Korea",G354/korea_charge_range_nm*korea_full_range_charge_min,0)</f>
        <v/>
      </c>
      <c r="N354" s="44">
        <f>IF(B354="South Korea",L354+korea_turn_min+korea_dwell_min+M354,L354+turn_min+dwell_min)</f>
        <v/>
      </c>
      <c r="O354" s="45">
        <f>IF(B354="South Korea",FLOOR(60*korea_service_hr/N354,1),MIN(15,FLOOR(60*service_hr/N354,1)))</f>
        <v/>
      </c>
      <c r="P354" s="45">
        <f>IF(ABS(MOD(ABS((365*mech_uptime*K354)),1)-0.5)&lt;1E-9,2*ROUND((365*mech_uptime*K354)/2,0),ROUND((365*mech_uptime*K354),0))</f>
        <v/>
      </c>
      <c r="Q354" s="46">
        <f>mech_uptime</f>
        <v/>
      </c>
      <c r="R354" s="46">
        <f>IF(AND(B354="South Korea",scenario="MID"),korea_mid_revleg,revleg_sel)</f>
        <v/>
      </c>
      <c r="S354" s="45">
        <f>IF(ABS(MOD(ABS((O354*P354*R354)),1)-0.5)&lt;1E-9,2*ROUND((O354*P354*R354)/2,0),ROUND((O354*P354*R354),0))</f>
        <v/>
      </c>
      <c r="T354" s="46">
        <f>IF(AND(B354="South Korea",scenario="MID"),korea_mid_load,load_sel)</f>
        <v/>
      </c>
      <c r="U354" s="47">
        <f>pax_cap*T354</f>
        <v/>
      </c>
      <c r="V354" s="45">
        <f>U354*S354</f>
        <v/>
      </c>
      <c r="W354" s="48">
        <f>H354*discount</f>
        <v/>
      </c>
      <c r="X354" s="49">
        <f>W354*V354</f>
        <v/>
      </c>
      <c r="Y354" s="49">
        <f>(battery/range_nm)*G354*S354*VLOOKUP(B354,country_opex,3,FALSE)</f>
        <v/>
      </c>
      <c r="Z354" s="49">
        <f>VLOOKUP(B354,country_opex,2,FALSE)*crew_factor</f>
        <v/>
      </c>
      <c r="AA354" s="49">
        <f>VLOOKUP(B354,country_opex,5,FALSE)</f>
        <v/>
      </c>
      <c r="AB354" s="49">
        <f>maint</f>
        <v/>
      </c>
      <c r="AC354" s="49">
        <f>VLOOKUP(B354,country_opex,7,FALSE)*ins_pct</f>
        <v/>
      </c>
      <c r="AD354" s="49">
        <f>charge_berth</f>
        <v/>
      </c>
      <c r="AE354" s="49">
        <f>Y354+Z354+AA354+AB354+AC354+AD354</f>
        <v/>
      </c>
      <c r="AF354" s="49">
        <f>VLOOKUP(B354,country_opex,7,FALSE)/dep_years</f>
        <v/>
      </c>
      <c r="AG354" s="49">
        <f>X354-AE354</f>
        <v/>
      </c>
      <c r="AH354" s="46">
        <f>IF(X354=0,"",AG354/X354)</f>
        <v/>
      </c>
      <c r="AI354" s="47">
        <f>IF(AG354&lt;=0,"",VLOOKUP(B354,country_opex,7,FALSE)/AG354)</f>
        <v/>
      </c>
      <c r="AJ354" s="44">
        <f>((G354*S354/diesel_nmpg)*diesel_co2pg-(battery/range_nm)*G354*S354*VLOOKUP(B354,country_opex,4,FALSE))/1000</f>
        <v/>
      </c>
      <c r="AK354" s="42" t="n">
        <v>5452</v>
      </c>
      <c r="AL354" s="43" t="inlineStr">
        <is>
          <t>T5</t>
        </is>
      </c>
      <c r="AM354" s="43" t="inlineStr">
        <is>
          <t>med</t>
        </is>
      </c>
      <c r="AN354" s="50" t="n">
        <v>0.9</v>
      </c>
      <c r="AO354" s="45">
        <f>IF(AK354="","",AK354*AN354)</f>
        <v/>
      </c>
      <c r="AP354" s="45">
        <f>IF(OR(AK354="",V354=0),"",MIN(IF(AX354="",9.9E+99,AX354),FLOOR(AO354/V354,1)))</f>
        <v/>
      </c>
      <c r="AQ354" s="49">
        <f>IF(AP354="","",AP354*IF(ABS(MOD(ABS((X354)),1)-0.5)&lt;1E-9,2*ROUND((X354)/2,0),ROUND((X354),0)))</f>
        <v/>
      </c>
      <c r="AR354" s="47">
        <f>IF(OR(AK354="",V354=0),"",MIN(IF(AX354="",9.9E+99,AX354),AO354/V354))</f>
        <v/>
      </c>
      <c r="AS354" s="49">
        <f>IF(AR354="","",AR354*IF(B354="South Korea",IF(ABS(MOD(ABS((X354)),1)-0.5)&lt;1E-9,2*ROUND((X354)/2,0),ROUND((X354),0)),X354))</f>
        <v/>
      </c>
      <c r="AT354" s="51" t="n"/>
      <c r="AU354" s="43" t="inlineStr">
        <is>
          <t>Grounded</t>
        </is>
      </c>
      <c r="AV354" s="52" t="n"/>
      <c r="AW354" s="52" t="n"/>
      <c r="AX354" s="53" t="n">
        <v>3</v>
      </c>
      <c r="AY354" s="54">
        <f>IF(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&lt;=0,"",VLOOKUP(B354,country_opex,7,FALSE)/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)</f>
        <v/>
      </c>
      <c r="AZ354" s="54">
        <f>IF(((W354*pax_cap*IF(B354="South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Korea",korea_mid_revleg,revleg_mid)),0))*VLOOKUP(B354,country_opex,3,FALSE))+Z354+AA354+AB354+AC354+AD354))&lt;=0,"",VLOOKUP(B354,country_opex,7,FALSE)/((W354*pax_cap*IF(B354="South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Korea",korea_mid_revleg,revleg_mid)),0))*VLOOKUP(B354,country_opex,3,FALSE))+Z354+AA354+AB354+AC354+AD354)))</f>
        <v/>
      </c>
      <c r="BA354" s="54">
        <f>IF(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&lt;=0,"",VLOOKUP(B354,country_opex,7,FALSE)/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)</f>
        <v/>
      </c>
      <c r="BB35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4" s="43" t="inlineStr">
        <is>
          <t>e__mald__d5644e03d0f8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Dharavandhoo Airport, Baa → Four Seasons Landaa Giraavaru (Baa)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9.5</v>
      </c>
      <c r="H355" s="35" t="n">
        <v>200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IF(B355="South Korea",G355/korea_charge_range_nm*korea_full_range_charge_min,0)</f>
        <v/>
      </c>
      <c r="N355" s="44">
        <f>IF(B355="South Korea",L355+korea_turn_min+korea_dwell_min+M355,L355+turn_min+dwell_min)</f>
        <v/>
      </c>
      <c r="O355" s="45">
        <f>IF(B355="South Korea",FLOOR(60*korea_service_hr/N355,1),MIN(15,FLOOR(60*service_hr/N355,1)))</f>
        <v/>
      </c>
      <c r="P355" s="45">
        <f>IF(ABS(MOD(ABS((365*mech_uptime*K355)),1)-0.5)&lt;1E-9,2*ROUND((365*mech_uptime*K355)/2,0),ROUND((365*mech_uptime*K355),0))</f>
        <v/>
      </c>
      <c r="Q355" s="46">
        <f>mech_uptime</f>
        <v/>
      </c>
      <c r="R355" s="46">
        <f>IF(AND(B355="South Korea",scenario="MID"),korea_mid_revleg,revleg_sel)</f>
        <v/>
      </c>
      <c r="S355" s="45">
        <f>IF(ABS(MOD(ABS((O355*P355*R355)),1)-0.5)&lt;1E-9,2*ROUND((O355*P355*R355)/2,0),ROUND((O355*P355*R355),0))</f>
        <v/>
      </c>
      <c r="T355" s="46">
        <f>IF(AND(B355="South Korea",scenario="MID"),korea_mid_load,load_sel)</f>
        <v/>
      </c>
      <c r="U355" s="47">
        <f>pax_cap*T355</f>
        <v/>
      </c>
      <c r="V355" s="45">
        <f>U355*S355</f>
        <v/>
      </c>
      <c r="W355" s="48">
        <f>H355*discount</f>
        <v/>
      </c>
      <c r="X355" s="49">
        <f>W355*V355</f>
        <v/>
      </c>
      <c r="Y355" s="49">
        <f>(battery/range_nm)*G355*S355*VLOOKUP(B355,country_opex,3,FALSE)</f>
        <v/>
      </c>
      <c r="Z355" s="49">
        <f>VLOOKUP(B355,country_opex,2,FALSE)*crew_factor</f>
        <v/>
      </c>
      <c r="AA355" s="49">
        <f>VLOOKUP(B355,country_opex,5,FALSE)</f>
        <v/>
      </c>
      <c r="AB355" s="49">
        <f>maint</f>
        <v/>
      </c>
      <c r="AC355" s="49">
        <f>VLOOKUP(B355,country_opex,7,FALSE)*ins_pct</f>
        <v/>
      </c>
      <c r="AD355" s="49">
        <f>charge_berth</f>
        <v/>
      </c>
      <c r="AE355" s="49">
        <f>Y355+Z355+AA355+AB355+AC355+AD355</f>
        <v/>
      </c>
      <c r="AF355" s="49">
        <f>VLOOKUP(B355,country_opex,7,FALSE)/dep_years</f>
        <v/>
      </c>
      <c r="AG355" s="49">
        <f>X355-AE355</f>
        <v/>
      </c>
      <c r="AH355" s="46">
        <f>IF(X355=0,"",AG355/X355)</f>
        <v/>
      </c>
      <c r="AI355" s="47">
        <f>IF(AG355&lt;=0,"",VLOOKUP(B355,country_opex,7,FALSE)/AG355)</f>
        <v/>
      </c>
      <c r="AJ355" s="44">
        <f>((G355*S355/diesel_nmpg)*diesel_co2pg-(battery/range_nm)*G355*S355*VLOOKUP(B355,country_opex,4,FALSE))/1000</f>
        <v/>
      </c>
      <c r="AK355" s="42" t="n">
        <v>7693</v>
      </c>
      <c r="AL355" s="43" t="inlineStr">
        <is>
          <t>T5</t>
        </is>
      </c>
      <c r="AM355" s="43" t="inlineStr">
        <is>
          <t>med</t>
        </is>
      </c>
      <c r="AN355" s="50" t="n">
        <v>0.9</v>
      </c>
      <c r="AO355" s="45">
        <f>IF(AK355="","",AK355*AN355)</f>
        <v/>
      </c>
      <c r="AP355" s="45">
        <f>IF(OR(AK355="",V355=0),"",MIN(IF(AX355="",9.9E+99,AX355),FLOOR(AO355/V355,1)))</f>
        <v/>
      </c>
      <c r="AQ355" s="49">
        <f>IF(AP355="","",AP355*IF(ABS(MOD(ABS((X355)),1)-0.5)&lt;1E-9,2*ROUND((X355)/2,0),ROUND((X355),0)))</f>
        <v/>
      </c>
      <c r="AR355" s="47">
        <f>IF(OR(AK355="",V355=0),"",MIN(IF(AX355="",9.9E+99,AX355),AO355/V355))</f>
        <v/>
      </c>
      <c r="AS355" s="49">
        <f>IF(AR355="","",AR355*IF(B355="South Korea",IF(ABS(MOD(ABS((X355)),1)-0.5)&lt;1E-9,2*ROUND((X355)/2,0),ROUND((X355),0)),X355))</f>
        <v/>
      </c>
      <c r="AT355" s="51" t="n"/>
      <c r="AU355" s="43" t="inlineStr">
        <is>
          <t>Grounded</t>
        </is>
      </c>
      <c r="AV355" s="52" t="n"/>
      <c r="AW355" s="52" t="n"/>
      <c r="AX355" s="53" t="n">
        <v>5</v>
      </c>
      <c r="AY355" s="54">
        <f>IF(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&lt;=0,"",VLOOKUP(B355,country_opex,7,FALSE)/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)</f>
        <v/>
      </c>
      <c r="AZ355" s="54">
        <f>IF(((W355*pax_cap*IF(B355="South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Korea",korea_mid_revleg,revleg_mid)),0))*VLOOKUP(B355,country_opex,3,FALSE))+Z355+AA355+AB355+AC355+AD355))&lt;=0,"",VLOOKUP(B355,country_opex,7,FALSE)/((W355*pax_cap*IF(B355="South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Korea",korea_mid_revleg,revleg_mid)),0))*VLOOKUP(B355,country_opex,3,FALSE))+Z355+AA355+AB355+AC355+AD355)))</f>
        <v/>
      </c>
      <c r="BA355" s="54">
        <f>IF(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&lt;=0,"",VLOOKUP(B355,country_opex,7,FALSE)/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)</f>
        <v/>
      </c>
      <c r="BB35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5" s="43" t="inlineStr">
        <is>
          <t>e__mald__5108f439d6bc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Maafaru Airport, Noonu → Siyam World (Dhigurah, Noonu)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10</v>
      </c>
      <c r="H356" s="35" t="n">
        <v>150</v>
      </c>
      <c r="I356" s="43" t="inlineStr">
        <is>
          <t>T3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IF(B356="South Korea",G356/korea_charge_range_nm*korea_full_range_charge_min,0)</f>
        <v/>
      </c>
      <c r="N356" s="44">
        <f>IF(B356="South Korea",L356+korea_turn_min+korea_dwell_min+M356,L356+turn_min+dwell_min)</f>
        <v/>
      </c>
      <c r="O356" s="45">
        <f>IF(B356="South Korea",FLOOR(60*korea_service_hr/N356,1),MIN(15,FLOOR(60*service_hr/N356,1)))</f>
        <v/>
      </c>
      <c r="P356" s="45">
        <f>IF(ABS(MOD(ABS((365*mech_uptime*K356)),1)-0.5)&lt;1E-9,2*ROUND((365*mech_uptime*K356)/2,0),ROUND((365*mech_uptime*K356),0))</f>
        <v/>
      </c>
      <c r="Q356" s="46">
        <f>mech_uptime</f>
        <v/>
      </c>
      <c r="R356" s="46">
        <f>IF(AND(B356="South Korea",scenario="MID"),korea_mid_revleg,revleg_sel)</f>
        <v/>
      </c>
      <c r="S356" s="45">
        <f>IF(ABS(MOD(ABS((O356*P356*R356)),1)-0.5)&lt;1E-9,2*ROUND((O356*P356*R356)/2,0),ROUND((O356*P356*R356),0))</f>
        <v/>
      </c>
      <c r="T356" s="46">
        <f>IF(AND(B356="South Korea",scenario="MID"),korea_mid_load,load_sel)</f>
        <v/>
      </c>
      <c r="U356" s="47">
        <f>pax_cap*T356</f>
        <v/>
      </c>
      <c r="V356" s="45">
        <f>U356*S356</f>
        <v/>
      </c>
      <c r="W356" s="48">
        <f>H356*discount</f>
        <v/>
      </c>
      <c r="X356" s="49">
        <f>W356*V356</f>
        <v/>
      </c>
      <c r="Y356" s="49">
        <f>(battery/range_nm)*G356*S356*VLOOKUP(B356,country_opex,3,FALSE)</f>
        <v/>
      </c>
      <c r="Z356" s="49">
        <f>VLOOKUP(B356,country_opex,2,FALSE)*crew_factor</f>
        <v/>
      </c>
      <c r="AA356" s="49">
        <f>VLOOKUP(B356,country_opex,5,FALSE)</f>
        <v/>
      </c>
      <c r="AB356" s="49">
        <f>maint</f>
        <v/>
      </c>
      <c r="AC356" s="49">
        <f>VLOOKUP(B356,country_opex,7,FALSE)*ins_pct</f>
        <v/>
      </c>
      <c r="AD356" s="49">
        <f>charge_berth</f>
        <v/>
      </c>
      <c r="AE356" s="49">
        <f>Y356+Z356+AA356+AB356+AC356+AD356</f>
        <v/>
      </c>
      <c r="AF356" s="49">
        <f>VLOOKUP(B356,country_opex,7,FALSE)/dep_years</f>
        <v/>
      </c>
      <c r="AG356" s="49">
        <f>X356-AE356</f>
        <v/>
      </c>
      <c r="AH356" s="46">
        <f>IF(X356=0,"",AG356/X356)</f>
        <v/>
      </c>
      <c r="AI356" s="47">
        <f>IF(AG356&lt;=0,"",VLOOKUP(B356,country_opex,7,FALSE)/AG356)</f>
        <v/>
      </c>
      <c r="AJ356" s="44">
        <f>((G356*S356/diesel_nmpg)*diesel_co2pg-(battery/range_nm)*G356*S356*VLOOKUP(B356,country_opex,4,FALSE))/1000</f>
        <v/>
      </c>
      <c r="AK356" s="42" t="n">
        <v>39882</v>
      </c>
      <c r="AL356" s="43" t="inlineStr">
        <is>
          <t>T5</t>
        </is>
      </c>
      <c r="AM356" s="43" t="inlineStr">
        <is>
          <t>med</t>
        </is>
      </c>
      <c r="AN356" s="50" t="n">
        <v>0.9</v>
      </c>
      <c r="AO356" s="45">
        <f>IF(AK356="","",AK356*AN356)</f>
        <v/>
      </c>
      <c r="AP356" s="45">
        <f>IF(OR(AK356="",V356=0),"",MIN(IF(AX356="",9.9E+99,AX356),FLOOR(AO356/V356,1)))</f>
        <v/>
      </c>
      <c r="AQ356" s="49">
        <f>IF(AP356="","",AP356*IF(ABS(MOD(ABS((X356)),1)-0.5)&lt;1E-9,2*ROUND((X356)/2,0),ROUND((X356),0)))</f>
        <v/>
      </c>
      <c r="AR356" s="47">
        <f>IF(OR(AK356="",V356=0),"",MIN(IF(AX356="",9.9E+99,AX356),AO356/V356))</f>
        <v/>
      </c>
      <c r="AS356" s="49">
        <f>IF(AR356="","",AR356*IF(B356="South Korea",IF(ABS(MOD(ABS((X356)),1)-0.5)&lt;1E-9,2*ROUND((X356)/2,0),ROUND((X356),0)),X356))</f>
        <v/>
      </c>
      <c r="AT356" s="51" t="n"/>
      <c r="AU356" s="43" t="inlineStr">
        <is>
          <t>Grounded</t>
        </is>
      </c>
      <c r="AV356" s="52" t="n"/>
      <c r="AW356" s="52" t="n"/>
      <c r="AX356" s="53" t="n">
        <v>20</v>
      </c>
      <c r="AY356" s="54">
        <f>IF(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&lt;=0,"",VLOOKUP(B356,country_opex,7,FALSE)/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)</f>
        <v/>
      </c>
      <c r="AZ356" s="54">
        <f>IF(((W356*pax_cap*IF(B356="South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Korea",korea_mid_revleg,revleg_mid)),0))*VLOOKUP(B356,country_opex,3,FALSE))+Z356+AA356+AB356+AC356+AD356))&lt;=0,"",VLOOKUP(B356,country_opex,7,FALSE)/((W356*pax_cap*IF(B356="South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Korea",korea_mid_revleg,revleg_mid)),0))*VLOOKUP(B356,country_opex,3,FALSE))+Z356+AA356+AB356+AC356+AD356)))</f>
        <v/>
      </c>
      <c r="BA356" s="54">
        <f>IF(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&lt;=0,"",VLOOKUP(B356,country_opex,7,FALSE)/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)</f>
        <v/>
      </c>
      <c r="BB35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6" s="43" t="inlineStr">
        <is>
          <t>e__mald__9bf1ceb3c16f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Soneva Fushi (Kunfunadhoo, Baa) → Four Seasons Landaa Giraavaru (Baa)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11.7</v>
      </c>
      <c r="H357" s="35" t="n">
        <v>175</v>
      </c>
      <c r="I357" s="43" t="inlineStr">
        <is>
          <t>T3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IF(B357="South Korea",G357/korea_charge_range_nm*korea_full_range_charge_min,0)</f>
        <v/>
      </c>
      <c r="N357" s="44">
        <f>IF(B357="South Korea",L357+korea_turn_min+korea_dwell_min+M357,L357+turn_min+dwell_min)</f>
        <v/>
      </c>
      <c r="O357" s="45">
        <f>IF(B357="South Korea",FLOOR(60*korea_service_hr/N357,1),MIN(15,FLOOR(60*service_hr/N357,1)))</f>
        <v/>
      </c>
      <c r="P357" s="45">
        <f>IF(ABS(MOD(ABS((365*mech_uptime*K357)),1)-0.5)&lt;1E-9,2*ROUND((365*mech_uptime*K357)/2,0),ROUND((365*mech_uptime*K357),0))</f>
        <v/>
      </c>
      <c r="Q357" s="46">
        <f>mech_uptime</f>
        <v/>
      </c>
      <c r="R357" s="46">
        <f>IF(AND(B357="South Korea",scenario="MID"),korea_mid_revleg,revleg_sel)</f>
        <v/>
      </c>
      <c r="S357" s="45">
        <f>IF(ABS(MOD(ABS((O357*P357*R357)),1)-0.5)&lt;1E-9,2*ROUND((O357*P357*R357)/2,0),ROUND((O357*P357*R357),0))</f>
        <v/>
      </c>
      <c r="T357" s="46">
        <f>IF(AND(B357="South Korea",scenario="MID"),korea_mid_load,load_sel)</f>
        <v/>
      </c>
      <c r="U357" s="47">
        <f>pax_cap*T357</f>
        <v/>
      </c>
      <c r="V357" s="45">
        <f>U357*S357</f>
        <v/>
      </c>
      <c r="W357" s="48">
        <f>H357*discount</f>
        <v/>
      </c>
      <c r="X357" s="49">
        <f>W357*V357</f>
        <v/>
      </c>
      <c r="Y357" s="49">
        <f>(battery/range_nm)*G357*S357*VLOOKUP(B357,country_opex,3,FALSE)</f>
        <v/>
      </c>
      <c r="Z357" s="49">
        <f>VLOOKUP(B357,country_opex,2,FALSE)*crew_factor</f>
        <v/>
      </c>
      <c r="AA357" s="49">
        <f>VLOOKUP(B357,country_opex,5,FALSE)</f>
        <v/>
      </c>
      <c r="AB357" s="49">
        <f>maint</f>
        <v/>
      </c>
      <c r="AC357" s="49">
        <f>VLOOKUP(B357,country_opex,7,FALSE)*ins_pct</f>
        <v/>
      </c>
      <c r="AD357" s="49">
        <f>charge_berth</f>
        <v/>
      </c>
      <c r="AE357" s="49">
        <f>Y357+Z357+AA357+AB357+AC357+AD357</f>
        <v/>
      </c>
      <c r="AF357" s="49">
        <f>VLOOKUP(B357,country_opex,7,FALSE)/dep_years</f>
        <v/>
      </c>
      <c r="AG357" s="49">
        <f>X357-AE357</f>
        <v/>
      </c>
      <c r="AH357" s="46">
        <f>IF(X357=0,"",AG357/X357)</f>
        <v/>
      </c>
      <c r="AI357" s="47">
        <f>IF(AG357&lt;=0,"",VLOOKUP(B357,country_opex,7,FALSE)/AG357)</f>
        <v/>
      </c>
      <c r="AJ357" s="44">
        <f>((G357*S357/diesel_nmpg)*diesel_co2pg-(battery/range_nm)*G357*S357*VLOOKUP(B357,country_opex,4,FALSE))/1000</f>
        <v/>
      </c>
      <c r="AK357" s="42" t="n"/>
      <c r="AL357" s="43" t="n"/>
      <c r="AM357" s="43" t="inlineStr">
        <is>
          <t>null</t>
        </is>
      </c>
      <c r="AN357" s="50" t="n">
        <v>0.9</v>
      </c>
      <c r="AO357" s="45">
        <f>IF(AK357="","",AK357*AN357)</f>
        <v/>
      </c>
      <c r="AP357" s="45">
        <f>IF(OR(AK357="",V357=0),"",MIN(IF(AX357="",9.9E+99,AX357),FLOOR(AO357/V357,1)))</f>
        <v/>
      </c>
      <c r="AQ357" s="49">
        <f>IF(AP357="","",AP357*IF(ABS(MOD(ABS((X357)),1)-0.5)&lt;1E-9,2*ROUND((X357)/2,0),ROUND((X357),0)))</f>
        <v/>
      </c>
      <c r="AR357" s="47">
        <f>IF(OR(AK357="",V357=0),"",MIN(IF(AX357="",9.9E+99,AX357),AO357/V357))</f>
        <v/>
      </c>
      <c r="AS357" s="49">
        <f>IF(AR357="","",AR357*IF(B357="South Korea",IF(ABS(MOD(ABS((X357)),1)-0.5)&lt;1E-9,2*ROUND((X357)/2,0),ROUND((X357),0)),X357))</f>
        <v/>
      </c>
      <c r="AT357" s="51" t="n"/>
      <c r="AU357" s="43" t="inlineStr">
        <is>
          <t>Estimated</t>
        </is>
      </c>
      <c r="AV357" s="52" t="n"/>
      <c r="AW357" s="52" t="n"/>
      <c r="AX357" s="53" t="n"/>
      <c r="AY357" s="54">
        <f>IF(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&lt;=0,"",VLOOKUP(B357,country_opex,7,FALSE)/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)</f>
        <v/>
      </c>
      <c r="AZ357" s="54">
        <f>IF(((W357*pax_cap*IF(B357="South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Korea",korea_mid_revleg,revleg_mid)),0))*VLOOKUP(B357,country_opex,3,FALSE))+Z357+AA357+AB357+AC357+AD357))&lt;=0,"",VLOOKUP(B357,country_opex,7,FALSE)/((W357*pax_cap*IF(B357="South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Korea",korea_mid_revleg,revleg_mid)),0))*VLOOKUP(B357,country_opex,3,FALSE))+Z357+AA357+AB357+AC357+AD357)))</f>
        <v/>
      </c>
      <c r="BA357" s="54">
        <f>IF(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&lt;=0,"",VLOOKUP(B357,country_opex,7,FALSE)/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)</f>
        <v/>
      </c>
      <c r="BB35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7" s="40" t="inlineStr">
        <is>
          <t>NULL — pure inter-resort island-hop; no grounded crossing pool (R2). Geometry only.</t>
        </is>
      </c>
      <c r="BD357" s="43" t="inlineStr">
        <is>
          <t>e__mald__c960786903a0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Dharavandhoo Airport, Baa → Anantara Kihavah (Baa)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11.8</v>
      </c>
      <c r="H358" s="35" t="n">
        <v>200</v>
      </c>
      <c r="I358" s="43" t="inlineStr">
        <is>
          <t>T3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IF(B358="South Korea",G358/korea_charge_range_nm*korea_full_range_charge_min,0)</f>
        <v/>
      </c>
      <c r="N358" s="44">
        <f>IF(B358="South Korea",L358+korea_turn_min+korea_dwell_min+M358,L358+turn_min+dwell_min)</f>
        <v/>
      </c>
      <c r="O358" s="45">
        <f>IF(B358="South Korea",FLOOR(60*korea_service_hr/N358,1),MIN(15,FLOOR(60*service_hr/N358,1)))</f>
        <v/>
      </c>
      <c r="P358" s="45">
        <f>IF(ABS(MOD(ABS((365*mech_uptime*K358)),1)-0.5)&lt;1E-9,2*ROUND((365*mech_uptime*K358)/2,0),ROUND((365*mech_uptime*K358),0))</f>
        <v/>
      </c>
      <c r="Q358" s="46">
        <f>mech_uptime</f>
        <v/>
      </c>
      <c r="R358" s="46">
        <f>IF(AND(B358="South Korea",scenario="MID"),korea_mid_revleg,revleg_sel)</f>
        <v/>
      </c>
      <c r="S358" s="45">
        <f>IF(ABS(MOD(ABS((O358*P358*R358)),1)-0.5)&lt;1E-9,2*ROUND((O358*P358*R358)/2,0),ROUND((O358*P358*R358),0))</f>
        <v/>
      </c>
      <c r="T358" s="46">
        <f>IF(AND(B358="South Korea",scenario="MID"),korea_mid_load,load_sel)</f>
        <v/>
      </c>
      <c r="U358" s="47">
        <f>pax_cap*T358</f>
        <v/>
      </c>
      <c r="V358" s="45">
        <f>U358*S358</f>
        <v/>
      </c>
      <c r="W358" s="48">
        <f>H358*discount</f>
        <v/>
      </c>
      <c r="X358" s="49">
        <f>W358*V358</f>
        <v/>
      </c>
      <c r="Y358" s="49">
        <f>(battery/range_nm)*G358*S358*VLOOKUP(B358,country_opex,3,FALSE)</f>
        <v/>
      </c>
      <c r="Z358" s="49">
        <f>VLOOKUP(B358,country_opex,2,FALSE)*crew_factor</f>
        <v/>
      </c>
      <c r="AA358" s="49">
        <f>VLOOKUP(B358,country_opex,5,FALSE)</f>
        <v/>
      </c>
      <c r="AB358" s="49">
        <f>maint</f>
        <v/>
      </c>
      <c r="AC358" s="49">
        <f>VLOOKUP(B358,country_opex,7,FALSE)*ins_pct</f>
        <v/>
      </c>
      <c r="AD358" s="49">
        <f>charge_berth</f>
        <v/>
      </c>
      <c r="AE358" s="49">
        <f>Y358+Z358+AA358+AB358+AC358+AD358</f>
        <v/>
      </c>
      <c r="AF358" s="49">
        <f>VLOOKUP(B358,country_opex,7,FALSE)/dep_years</f>
        <v/>
      </c>
      <c r="AG358" s="49">
        <f>X358-AE358</f>
        <v/>
      </c>
      <c r="AH358" s="46">
        <f>IF(X358=0,"",AG358/X358)</f>
        <v/>
      </c>
      <c r="AI358" s="47">
        <f>IF(AG358&lt;=0,"",VLOOKUP(B358,country_opex,7,FALSE)/AG358)</f>
        <v/>
      </c>
      <c r="AJ358" s="44">
        <f>((G358*S358/diesel_nmpg)*diesel_co2pg-(battery/range_nm)*G358*S358*VLOOKUP(B358,country_opex,4,FALSE))/1000</f>
        <v/>
      </c>
      <c r="AK358" s="42" t="n">
        <v>5975</v>
      </c>
      <c r="AL358" s="43" t="inlineStr">
        <is>
          <t>T5</t>
        </is>
      </c>
      <c r="AM358" s="43" t="inlineStr">
        <is>
          <t>med</t>
        </is>
      </c>
      <c r="AN358" s="50" t="n">
        <v>0.9</v>
      </c>
      <c r="AO358" s="45">
        <f>IF(AK358="","",AK358*AN358)</f>
        <v/>
      </c>
      <c r="AP358" s="45">
        <f>IF(OR(AK358="",V358=0),"",MIN(IF(AX358="",9.9E+99,AX358),FLOOR(AO358/V358,1)))</f>
        <v/>
      </c>
      <c r="AQ358" s="49">
        <f>IF(AP358="","",AP358*IF(ABS(MOD(ABS((X358)),1)-0.5)&lt;1E-9,2*ROUND((X358)/2,0),ROUND((X358),0)))</f>
        <v/>
      </c>
      <c r="AR358" s="47">
        <f>IF(OR(AK358="",V358=0),"",MIN(IF(AX358="",9.9E+99,AX358),AO358/V358))</f>
        <v/>
      </c>
      <c r="AS358" s="49">
        <f>IF(AR358="","",AR358*IF(B358="South Korea",IF(ABS(MOD(ABS((X358)),1)-0.5)&lt;1E-9,2*ROUND((X358)/2,0),ROUND((X358),0)),X358))</f>
        <v/>
      </c>
      <c r="AT358" s="51" t="n"/>
      <c r="AU358" s="43" t="inlineStr">
        <is>
          <t>Grounded</t>
        </is>
      </c>
      <c r="AV358" s="52" t="n"/>
      <c r="AW358" s="52" t="n"/>
      <c r="AX358" s="53" t="n">
        <v>4</v>
      </c>
      <c r="AY358" s="54">
        <f>IF(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&lt;=0,"",VLOOKUP(B358,country_opex,7,FALSE)/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)</f>
        <v/>
      </c>
      <c r="AZ358" s="54">
        <f>IF(((W358*pax_cap*IF(B358="South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Korea",korea_mid_revleg,revleg_mid)),0))*VLOOKUP(B358,country_opex,3,FALSE))+Z358+AA358+AB358+AC358+AD358))&lt;=0,"",VLOOKUP(B358,country_opex,7,FALSE)/((W358*pax_cap*IF(B358="South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Korea",korea_mid_revleg,revleg_mid)),0))*VLOOKUP(B358,country_opex,3,FALSE))+Z358+AA358+AB358+AC358+AD358)))</f>
        <v/>
      </c>
      <c r="BA358" s="54">
        <f>IF(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&lt;=0,"",VLOOKUP(B358,country_opex,7,FALSE)/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)</f>
        <v/>
      </c>
      <c r="BB35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8" s="43" t="inlineStr">
        <is>
          <t>e__mald__ea26295ac460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Maamigili (Villa) Airport, South Ari → Lily Beach Resort (Huvahendhoo)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12.5</v>
      </c>
      <c r="H359" s="35" t="n">
        <v>150</v>
      </c>
      <c r="I359" s="43" t="inlineStr">
        <is>
          <t>T3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IF(B359="South Korea",G359/korea_charge_range_nm*korea_full_range_charge_min,0)</f>
        <v/>
      </c>
      <c r="N359" s="44">
        <f>IF(B359="South Korea",L359+korea_turn_min+korea_dwell_min+M359,L359+turn_min+dwell_min)</f>
        <v/>
      </c>
      <c r="O359" s="45">
        <f>IF(B359="South Korea",FLOOR(60*korea_service_hr/N359,1),MIN(15,FLOOR(60*service_hr/N359,1)))</f>
        <v/>
      </c>
      <c r="P359" s="45">
        <f>IF(ABS(MOD(ABS((365*mech_uptime*K359)),1)-0.5)&lt;1E-9,2*ROUND((365*mech_uptime*K359)/2,0),ROUND((365*mech_uptime*K359),0))</f>
        <v/>
      </c>
      <c r="Q359" s="46">
        <f>mech_uptime</f>
        <v/>
      </c>
      <c r="R359" s="46">
        <f>IF(AND(B359="South Korea",scenario="MID"),korea_mid_revleg,revleg_sel)</f>
        <v/>
      </c>
      <c r="S359" s="45">
        <f>IF(ABS(MOD(ABS((O359*P359*R359)),1)-0.5)&lt;1E-9,2*ROUND((O359*P359*R359)/2,0),ROUND((O359*P359*R359),0))</f>
        <v/>
      </c>
      <c r="T359" s="46">
        <f>IF(AND(B359="South Korea",scenario="MID"),korea_mid_load,load_sel)</f>
        <v/>
      </c>
      <c r="U359" s="47">
        <f>pax_cap*T359</f>
        <v/>
      </c>
      <c r="V359" s="45">
        <f>U359*S359</f>
        <v/>
      </c>
      <c r="W359" s="48">
        <f>H359*discount</f>
        <v/>
      </c>
      <c r="X359" s="49">
        <f>W359*V359</f>
        <v/>
      </c>
      <c r="Y359" s="49">
        <f>(battery/range_nm)*G359*S359*VLOOKUP(B359,country_opex,3,FALSE)</f>
        <v/>
      </c>
      <c r="Z359" s="49">
        <f>VLOOKUP(B359,country_opex,2,FALSE)*crew_factor</f>
        <v/>
      </c>
      <c r="AA359" s="49">
        <f>VLOOKUP(B359,country_opex,5,FALSE)</f>
        <v/>
      </c>
      <c r="AB359" s="49">
        <f>maint</f>
        <v/>
      </c>
      <c r="AC359" s="49">
        <f>VLOOKUP(B359,country_opex,7,FALSE)*ins_pct</f>
        <v/>
      </c>
      <c r="AD359" s="49">
        <f>charge_berth</f>
        <v/>
      </c>
      <c r="AE359" s="49">
        <f>Y359+Z359+AA359+AB359+AC359+AD359</f>
        <v/>
      </c>
      <c r="AF359" s="49">
        <f>VLOOKUP(B359,country_opex,7,FALSE)/dep_years</f>
        <v/>
      </c>
      <c r="AG359" s="49">
        <f>X359-AE359</f>
        <v/>
      </c>
      <c r="AH359" s="46">
        <f>IF(X359=0,"",AG359/X359)</f>
        <v/>
      </c>
      <c r="AI359" s="47">
        <f>IF(AG359&lt;=0,"",VLOOKUP(B359,country_opex,7,FALSE)/AG359)</f>
        <v/>
      </c>
      <c r="AJ359" s="44">
        <f>((G359*S359/diesel_nmpg)*diesel_co2pg-(battery/range_nm)*G359*S359*VLOOKUP(B359,country_opex,4,FALSE))/1000</f>
        <v/>
      </c>
      <c r="AK359" s="42" t="n">
        <v>9336</v>
      </c>
      <c r="AL359" s="43" t="inlineStr">
        <is>
          <t>T5</t>
        </is>
      </c>
      <c r="AM359" s="43" t="inlineStr">
        <is>
          <t>med</t>
        </is>
      </c>
      <c r="AN359" s="50" t="n">
        <v>0.9</v>
      </c>
      <c r="AO359" s="45">
        <f>IF(AK359="","",AK359*AN359)</f>
        <v/>
      </c>
      <c r="AP359" s="45">
        <f>IF(OR(AK359="",V359=0),"",MIN(IF(AX359="",9.9E+99,AX359),FLOOR(AO359/V359,1)))</f>
        <v/>
      </c>
      <c r="AQ359" s="49">
        <f>IF(AP359="","",AP359*IF(ABS(MOD(ABS((X359)),1)-0.5)&lt;1E-9,2*ROUND((X359)/2,0),ROUND((X359),0)))</f>
        <v/>
      </c>
      <c r="AR359" s="47">
        <f>IF(OR(AK359="",V359=0),"",MIN(IF(AX359="",9.9E+99,AX359),AO359/V359))</f>
        <v/>
      </c>
      <c r="AS359" s="49">
        <f>IF(AR359="","",AR359*IF(B359="South Korea",IF(ABS(MOD(ABS((X359)),1)-0.5)&lt;1E-9,2*ROUND((X359)/2,0),ROUND((X359),0)),X359))</f>
        <v/>
      </c>
      <c r="AT359" s="51" t="n"/>
      <c r="AU359" s="43" t="inlineStr">
        <is>
          <t>Grounded</t>
        </is>
      </c>
      <c r="AV359" s="52" t="n"/>
      <c r="AW359" s="52" t="n"/>
      <c r="AX359" s="53" t="n">
        <v>5</v>
      </c>
      <c r="AY359" s="54">
        <f>IF(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&lt;=0,"",VLOOKUP(B359,country_opex,7,FALSE)/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)</f>
        <v/>
      </c>
      <c r="AZ359" s="54">
        <f>IF(((W359*pax_cap*IF(B359="South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Korea",korea_mid_revleg,revleg_mid)),0))*VLOOKUP(B359,country_opex,3,FALSE))+Z359+AA359+AB359+AC359+AD359))&lt;=0,"",VLOOKUP(B359,country_opex,7,FALSE)/((W359*pax_cap*IF(B359="South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Korea",korea_mid_revleg,revleg_mid)),0))*VLOOKUP(B359,country_opex,3,FALSE))+Z359+AA359+AB359+AC359+AD359)))</f>
        <v/>
      </c>
      <c r="BA359" s="54">
        <f>IF(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&lt;=0,"",VLOOKUP(B359,country_opex,7,FALSE)/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)</f>
        <v/>
      </c>
      <c r="BB35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9" s="43" t="inlineStr">
        <is>
          <t>e__mald__6321f772bf07</t>
        </is>
      </c>
    </row>
    <row r="360">
      <c r="A360" s="38" t="inlineStr">
        <is>
          <t>Maldives (JIH)</t>
        </is>
      </c>
      <c r="B360" s="38" t="inlineStr">
        <is>
          <t>Maldives</t>
        </is>
      </c>
      <c r="C360" s="39" t="inlineStr">
        <is>
          <t>Maamigili (Villa) Airport, South Ari → Mirihi Island Resort</t>
        </is>
      </c>
      <c r="D360" s="38" t="inlineStr">
        <is>
          <t>jih-global</t>
        </is>
      </c>
      <c r="E360" s="40" t="inlineStr">
        <is>
          <t>maldives-jih</t>
        </is>
      </c>
      <c r="F360" s="41" t="n">
        <v>1</v>
      </c>
      <c r="G360" s="42" t="n">
        <v>12.9</v>
      </c>
      <c r="H360" s="35" t="n">
        <v>120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IF(B360="South Korea",G360/korea_charge_range_nm*korea_full_range_charge_min,0)</f>
        <v/>
      </c>
      <c r="N360" s="44">
        <f>IF(B360="South Korea",L360+korea_turn_min+korea_dwell_min+M360,L360+turn_min+dwell_min)</f>
        <v/>
      </c>
      <c r="O360" s="45">
        <f>IF(B360="South Korea",FLOOR(60*korea_service_hr/N360,1),MIN(15,FLOOR(60*service_hr/N360,1)))</f>
        <v/>
      </c>
      <c r="P360" s="45">
        <f>IF(ABS(MOD(ABS((365*mech_uptime*K360)),1)-0.5)&lt;1E-9,2*ROUND((365*mech_uptime*K360)/2,0),ROUND((365*mech_uptime*K360),0))</f>
        <v/>
      </c>
      <c r="Q360" s="46">
        <f>mech_uptime</f>
        <v/>
      </c>
      <c r="R360" s="46">
        <f>IF(AND(B360="South Korea",scenario="MID"),korea_mid_revleg,revleg_sel)</f>
        <v/>
      </c>
      <c r="S360" s="45">
        <f>IF(ABS(MOD(ABS((O360*P360*R360)),1)-0.5)&lt;1E-9,2*ROUND((O360*P360*R360)/2,0),ROUND((O360*P360*R360),0))</f>
        <v/>
      </c>
      <c r="T360" s="46">
        <f>IF(AND(B360="South Korea",scenario="MID"),korea_mid_load,load_sel)</f>
        <v/>
      </c>
      <c r="U360" s="47">
        <f>pax_cap*T360</f>
        <v/>
      </c>
      <c r="V360" s="45">
        <f>U360*S360</f>
        <v/>
      </c>
      <c r="W360" s="48">
        <f>H360*discount</f>
        <v/>
      </c>
      <c r="X360" s="49">
        <f>W360*V360</f>
        <v/>
      </c>
      <c r="Y360" s="49">
        <f>(battery/range_nm)*G360*S360*VLOOKUP(B360,country_opex,3,FALSE)</f>
        <v/>
      </c>
      <c r="Z360" s="49">
        <f>VLOOKUP(B360,country_opex,2,FALSE)*crew_factor</f>
        <v/>
      </c>
      <c r="AA360" s="49">
        <f>VLOOKUP(B360,country_opex,5,FALSE)</f>
        <v/>
      </c>
      <c r="AB360" s="49">
        <f>maint</f>
        <v/>
      </c>
      <c r="AC360" s="49">
        <f>VLOOKUP(B360,country_opex,7,FALSE)*ins_pct</f>
        <v/>
      </c>
      <c r="AD360" s="49">
        <f>charge_berth</f>
        <v/>
      </c>
      <c r="AE360" s="49">
        <f>Y360+Z360+AA360+AB360+AC360+AD360</f>
        <v/>
      </c>
      <c r="AF360" s="49">
        <f>VLOOKUP(B360,country_opex,7,FALSE)/dep_years</f>
        <v/>
      </c>
      <c r="AG360" s="49">
        <f>X360-AE360</f>
        <v/>
      </c>
      <c r="AH360" s="46">
        <f>IF(X360=0,"",AG360/X360)</f>
        <v/>
      </c>
      <c r="AI360" s="47">
        <f>IF(AG360&lt;=0,"",VLOOKUP(B360,country_opex,7,FALSE)/AG360)</f>
        <v/>
      </c>
      <c r="AJ360" s="44">
        <f>((G360*S360/diesel_nmpg)*diesel_co2pg-(battery/range_nm)*G360*S360*VLOOKUP(B360,country_opex,4,FALSE))/1000</f>
        <v/>
      </c>
      <c r="AK360" s="42" t="n">
        <v>2763</v>
      </c>
      <c r="AL360" s="43" t="inlineStr">
        <is>
          <t>T5</t>
        </is>
      </c>
      <c r="AM360" s="43" t="inlineStr">
        <is>
          <t>med</t>
        </is>
      </c>
      <c r="AN360" s="50" t="n">
        <v>0.9</v>
      </c>
      <c r="AO360" s="45">
        <f>IF(AK360="","",AK360*AN360)</f>
        <v/>
      </c>
      <c r="AP360" s="45">
        <f>IF(OR(AK360="",V360=0),"",MIN(IF(AX360="",9.9E+99,AX360),FLOOR(AO360/V360,1)))</f>
        <v/>
      </c>
      <c r="AQ360" s="49">
        <f>IF(AP360="","",AP360*IF(ABS(MOD(ABS((X360)),1)-0.5)&lt;1E-9,2*ROUND((X360)/2,0),ROUND((X360),0)))</f>
        <v/>
      </c>
      <c r="AR360" s="47">
        <f>IF(OR(AK360="",V360=0),"",MIN(IF(AX360="",9.9E+99,AX360),AO360/V360))</f>
        <v/>
      </c>
      <c r="AS360" s="49">
        <f>IF(AR360="","",AR360*IF(B360="South Korea",IF(ABS(MOD(ABS((X360)),1)-0.5)&lt;1E-9,2*ROUND((X360)/2,0),ROUND((X360),0)),X360))</f>
        <v/>
      </c>
      <c r="AT360" s="51" t="n"/>
      <c r="AU360" s="43" t="inlineStr">
        <is>
          <t>Grounded</t>
        </is>
      </c>
      <c r="AV360" s="52" t="n"/>
      <c r="AW360" s="52" t="n"/>
      <c r="AX360" s="53" t="n">
        <v>2</v>
      </c>
      <c r="AY360" s="54">
        <f>IF(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&lt;=0,"",VLOOKUP(B360,country_opex,7,FALSE)/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)</f>
        <v/>
      </c>
      <c r="AZ360" s="54">
        <f>IF(((W360*pax_cap*IF(B360="South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Korea",korea_mid_revleg,revleg_mid)),0))*VLOOKUP(B360,country_opex,3,FALSE))+Z360+AA360+AB360+AC360+AD360))&lt;=0,"",VLOOKUP(B360,country_opex,7,FALSE)/((W360*pax_cap*IF(B360="South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Korea",korea_mid_revleg,revleg_mid)),0))*VLOOKUP(B360,country_opex,3,FALSE))+Z360+AA360+AB360+AC360+AD360)))</f>
        <v/>
      </c>
      <c r="BA360" s="54">
        <f>IF(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&lt;=0,"",VLOOKUP(B360,country_opex,7,FALSE)/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)</f>
        <v/>
      </c>
      <c r="BB36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0" s="43" t="inlineStr">
        <is>
          <t>e__mald__668ae19f3441</t>
        </is>
      </c>
    </row>
    <row r="361">
      <c r="A361" s="38" t="inlineStr">
        <is>
          <t>Maldives (JIH)</t>
        </is>
      </c>
      <c r="B361" s="38" t="inlineStr">
        <is>
          <t>Maldives</t>
        </is>
      </c>
      <c r="C361" s="39" t="inlineStr">
        <is>
          <t>Maamigili (Villa) Airport, South Ari → Conrad Maldives Rangali Island</t>
        </is>
      </c>
      <c r="D361" s="38" t="inlineStr">
        <is>
          <t>jih-global</t>
        </is>
      </c>
      <c r="E361" s="40" t="inlineStr">
        <is>
          <t>maldives-jih</t>
        </is>
      </c>
      <c r="F361" s="41" t="n">
        <v>1</v>
      </c>
      <c r="G361" s="42" t="n">
        <v>13.1</v>
      </c>
      <c r="H361" s="35" t="n">
        <v>150</v>
      </c>
      <c r="I361" s="43" t="inlineStr">
        <is>
          <t>T3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IF(B361="South Korea",G361/korea_charge_range_nm*korea_full_range_charge_min,0)</f>
        <v/>
      </c>
      <c r="N361" s="44">
        <f>IF(B361="South Korea",L361+korea_turn_min+korea_dwell_min+M361,L361+turn_min+dwell_min)</f>
        <v/>
      </c>
      <c r="O361" s="45">
        <f>IF(B361="South Korea",FLOOR(60*korea_service_hr/N361,1),MIN(15,FLOOR(60*service_hr/N361,1)))</f>
        <v/>
      </c>
      <c r="P361" s="45">
        <f>IF(ABS(MOD(ABS((365*mech_uptime*K361)),1)-0.5)&lt;1E-9,2*ROUND((365*mech_uptime*K361)/2,0),ROUND((365*mech_uptime*K361),0))</f>
        <v/>
      </c>
      <c r="Q361" s="46">
        <f>mech_uptime</f>
        <v/>
      </c>
      <c r="R361" s="46">
        <f>IF(AND(B361="South Korea",scenario="MID"),korea_mid_revleg,revleg_sel)</f>
        <v/>
      </c>
      <c r="S361" s="45">
        <f>IF(ABS(MOD(ABS((O361*P361*R361)),1)-0.5)&lt;1E-9,2*ROUND((O361*P361*R361)/2,0),ROUND((O361*P361*R361),0))</f>
        <v/>
      </c>
      <c r="T361" s="46">
        <f>IF(AND(B361="South Korea",scenario="MID"),korea_mid_load,load_sel)</f>
        <v/>
      </c>
      <c r="U361" s="47">
        <f>pax_cap*T361</f>
        <v/>
      </c>
      <c r="V361" s="45">
        <f>U361*S361</f>
        <v/>
      </c>
      <c r="W361" s="48">
        <f>H361*discount</f>
        <v/>
      </c>
      <c r="X361" s="49">
        <f>W361*V361</f>
        <v/>
      </c>
      <c r="Y361" s="49">
        <f>(battery/range_nm)*G361*S361*VLOOKUP(B361,country_opex,3,FALSE)</f>
        <v/>
      </c>
      <c r="Z361" s="49">
        <f>VLOOKUP(B361,country_opex,2,FALSE)*crew_factor</f>
        <v/>
      </c>
      <c r="AA361" s="49">
        <f>VLOOKUP(B361,country_opex,5,FALSE)</f>
        <v/>
      </c>
      <c r="AB361" s="49">
        <f>maint</f>
        <v/>
      </c>
      <c r="AC361" s="49">
        <f>VLOOKUP(B361,country_opex,7,FALSE)*ins_pct</f>
        <v/>
      </c>
      <c r="AD361" s="49">
        <f>charge_berth</f>
        <v/>
      </c>
      <c r="AE361" s="49">
        <f>Y361+Z361+AA361+AB361+AC361+AD361</f>
        <v/>
      </c>
      <c r="AF361" s="49">
        <f>VLOOKUP(B361,country_opex,7,FALSE)/dep_years</f>
        <v/>
      </c>
      <c r="AG361" s="49">
        <f>X361-AE361</f>
        <v/>
      </c>
      <c r="AH361" s="46">
        <f>IF(X361=0,"",AG361/X361)</f>
        <v/>
      </c>
      <c r="AI361" s="47">
        <f>IF(AG361&lt;=0,"",VLOOKUP(B361,country_opex,7,FALSE)/AG361)</f>
        <v/>
      </c>
      <c r="AJ361" s="44">
        <f>((G361*S361/diesel_nmpg)*diesel_co2pg-(battery/range_nm)*G361*S361*VLOOKUP(B361,country_opex,4,FALSE))/1000</f>
        <v/>
      </c>
      <c r="AK361" s="42" t="n">
        <v>11203</v>
      </c>
      <c r="AL361" s="43" t="inlineStr">
        <is>
          <t>T5</t>
        </is>
      </c>
      <c r="AM361" s="43" t="inlineStr">
        <is>
          <t>med</t>
        </is>
      </c>
      <c r="AN361" s="50" t="n">
        <v>0.9</v>
      </c>
      <c r="AO361" s="45">
        <f>IF(AK361="","",AK361*AN361)</f>
        <v/>
      </c>
      <c r="AP361" s="45">
        <f>IF(OR(AK361="",V361=0),"",MIN(IF(AX361="",9.9E+99,AX361),FLOOR(AO361/V361,1)))</f>
        <v/>
      </c>
      <c r="AQ361" s="49">
        <f>IF(AP361="","",AP361*IF(ABS(MOD(ABS((X361)),1)-0.5)&lt;1E-9,2*ROUND((X361)/2,0),ROUND((X361),0)))</f>
        <v/>
      </c>
      <c r="AR361" s="47">
        <f>IF(OR(AK361="",V361=0),"",MIN(IF(AX361="",9.9E+99,AX361),AO361/V361))</f>
        <v/>
      </c>
      <c r="AS361" s="49">
        <f>IF(AR361="","",AR361*IF(B361="South Korea",IF(ABS(MOD(ABS((X361)),1)-0.5)&lt;1E-9,2*ROUND((X361)/2,0),ROUND((X361),0)),X361))</f>
        <v/>
      </c>
      <c r="AT361" s="51" t="n"/>
      <c r="AU361" s="43" t="inlineStr">
        <is>
          <t>Grounded</t>
        </is>
      </c>
      <c r="AV361" s="52" t="n"/>
      <c r="AW361" s="52" t="n"/>
      <c r="AX361" s="53" t="n">
        <v>6</v>
      </c>
      <c r="AY361" s="54">
        <f>IF(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&lt;=0,"",VLOOKUP(B361,country_opex,7,FALSE)/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)</f>
        <v/>
      </c>
      <c r="AZ361" s="54">
        <f>IF(((W361*pax_cap*IF(B361="South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Korea",korea_mid_revleg,revleg_mid)),0))*VLOOKUP(B361,country_opex,3,FALSE))+Z361+AA361+AB361+AC361+AD361))&lt;=0,"",VLOOKUP(B361,country_opex,7,FALSE)/((W361*pax_cap*IF(B361="South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Korea",korea_mid_revleg,revleg_mid)),0))*VLOOKUP(B361,country_opex,3,FALSE))+Z361+AA361+AB361+AC361+AD361)))</f>
        <v/>
      </c>
      <c r="BA361" s="54">
        <f>IF(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&lt;=0,"",VLOOKUP(B361,country_opex,7,FALSE)/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)</f>
        <v/>
      </c>
      <c r="BB36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1" s="43" t="inlineStr">
        <is>
          <t>e__mald__05cb62853a96</t>
        </is>
      </c>
    </row>
    <row r="362">
      <c r="A362" s="38" t="inlineStr">
        <is>
          <t>Maldives (JIH)</t>
        </is>
      </c>
      <c r="B362" s="38" t="inlineStr">
        <is>
          <t>Maldives</t>
        </is>
      </c>
      <c r="C362" s="39" t="inlineStr">
        <is>
          <t>Maafaru Airport, Noonu → Cheval Blanc Randheli (Noonu)</t>
        </is>
      </c>
      <c r="D362" s="38" t="inlineStr">
        <is>
          <t>jih-global</t>
        </is>
      </c>
      <c r="E362" s="40" t="inlineStr">
        <is>
          <t>maldives-jih</t>
        </is>
      </c>
      <c r="F362" s="41" t="n">
        <v>1</v>
      </c>
      <c r="G362" s="42" t="n">
        <v>13.1</v>
      </c>
      <c r="H362" s="35" t="n">
        <v>200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IF(B362="South Korea",G362/korea_charge_range_nm*korea_full_range_charge_min,0)</f>
        <v/>
      </c>
      <c r="N362" s="44">
        <f>IF(B362="South Korea",L362+korea_turn_min+korea_dwell_min+M362,L362+turn_min+dwell_min)</f>
        <v/>
      </c>
      <c r="O362" s="45">
        <f>IF(B362="South Korea",FLOOR(60*korea_service_hr/N362,1),MIN(15,FLOOR(60*service_hr/N362,1)))</f>
        <v/>
      </c>
      <c r="P362" s="45">
        <f>IF(ABS(MOD(ABS((365*mech_uptime*K362)),1)-0.5)&lt;1E-9,2*ROUND((365*mech_uptime*K362)/2,0),ROUND((365*mech_uptime*K362),0))</f>
        <v/>
      </c>
      <c r="Q362" s="46">
        <f>mech_uptime</f>
        <v/>
      </c>
      <c r="R362" s="46">
        <f>IF(AND(B362="South Korea",scenario="MID"),korea_mid_revleg,revleg_sel)</f>
        <v/>
      </c>
      <c r="S362" s="45">
        <f>IF(ABS(MOD(ABS((O362*P362*R362)),1)-0.5)&lt;1E-9,2*ROUND((O362*P362*R362)/2,0),ROUND((O362*P362*R362),0))</f>
        <v/>
      </c>
      <c r="T362" s="46">
        <f>IF(AND(B362="South Korea",scenario="MID"),korea_mid_load,load_sel)</f>
        <v/>
      </c>
      <c r="U362" s="47">
        <f>pax_cap*T362</f>
        <v/>
      </c>
      <c r="V362" s="45">
        <f>U362*S362</f>
        <v/>
      </c>
      <c r="W362" s="48">
        <f>H362*discount</f>
        <v/>
      </c>
      <c r="X362" s="49">
        <f>W362*V362</f>
        <v/>
      </c>
      <c r="Y362" s="49">
        <f>(battery/range_nm)*G362*S362*VLOOKUP(B362,country_opex,3,FALSE)</f>
        <v/>
      </c>
      <c r="Z362" s="49">
        <f>VLOOKUP(B362,country_opex,2,FALSE)*crew_factor</f>
        <v/>
      </c>
      <c r="AA362" s="49">
        <f>VLOOKUP(B362,country_opex,5,FALSE)</f>
        <v/>
      </c>
      <c r="AB362" s="49">
        <f>maint</f>
        <v/>
      </c>
      <c r="AC362" s="49">
        <f>VLOOKUP(B362,country_opex,7,FALSE)*ins_pct</f>
        <v/>
      </c>
      <c r="AD362" s="49">
        <f>charge_berth</f>
        <v/>
      </c>
      <c r="AE362" s="49">
        <f>Y362+Z362+AA362+AB362+AC362+AD362</f>
        <v/>
      </c>
      <c r="AF362" s="49">
        <f>VLOOKUP(B362,country_opex,7,FALSE)/dep_years</f>
        <v/>
      </c>
      <c r="AG362" s="49">
        <f>X362-AE362</f>
        <v/>
      </c>
      <c r="AH362" s="46">
        <f>IF(X362=0,"",AG362/X362)</f>
        <v/>
      </c>
      <c r="AI362" s="47">
        <f>IF(AG362&lt;=0,"",VLOOKUP(B362,country_opex,7,FALSE)/AG362)</f>
        <v/>
      </c>
      <c r="AJ362" s="44">
        <f>((G362*S362/diesel_nmpg)*diesel_co2pg-(battery/range_nm)*G362*S362*VLOOKUP(B362,country_opex,4,FALSE))/1000</f>
        <v/>
      </c>
      <c r="AK362" s="42" t="n">
        <v>3361</v>
      </c>
      <c r="AL362" s="43" t="inlineStr">
        <is>
          <t>T5</t>
        </is>
      </c>
      <c r="AM362" s="43" t="inlineStr">
        <is>
          <t>med</t>
        </is>
      </c>
      <c r="AN362" s="50" t="n">
        <v>0.9</v>
      </c>
      <c r="AO362" s="45">
        <f>IF(AK362="","",AK362*AN362)</f>
        <v/>
      </c>
      <c r="AP362" s="45">
        <f>IF(OR(AK362="",V362=0),"",MIN(IF(AX362="",9.9E+99,AX362),FLOOR(AO362/V362,1)))</f>
        <v/>
      </c>
      <c r="AQ362" s="49">
        <f>IF(AP362="","",AP362*IF(ABS(MOD(ABS((X362)),1)-0.5)&lt;1E-9,2*ROUND((X362)/2,0),ROUND((X362),0)))</f>
        <v/>
      </c>
      <c r="AR362" s="47">
        <f>IF(OR(AK362="",V362=0),"",MIN(IF(AX362="",9.9E+99,AX362),AO362/V362))</f>
        <v/>
      </c>
      <c r="AS362" s="49">
        <f>IF(AR362="","",AR362*IF(B362="South Korea",IF(ABS(MOD(ABS((X362)),1)-0.5)&lt;1E-9,2*ROUND((X362)/2,0),ROUND((X362),0)),X362))</f>
        <v/>
      </c>
      <c r="AT362" s="51" t="n"/>
      <c r="AU362" s="43" t="inlineStr">
        <is>
          <t>Grounded</t>
        </is>
      </c>
      <c r="AV362" s="52" t="n"/>
      <c r="AW362" s="52" t="n"/>
      <c r="AX362" s="53" t="n">
        <v>2</v>
      </c>
      <c r="AY362" s="54">
        <f>IF(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&lt;=0,"",VLOOKUP(B362,country_opex,7,FALSE)/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)</f>
        <v/>
      </c>
      <c r="AZ362" s="54">
        <f>IF(((W362*pax_cap*IF(B362="South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Korea",korea_mid_revleg,revleg_mid)),0))*VLOOKUP(B362,country_opex,3,FALSE))+Z362+AA362+AB362+AC362+AD362))&lt;=0,"",VLOOKUP(B362,country_opex,7,FALSE)/((W362*pax_cap*IF(B362="South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Korea",korea_mid_revleg,revleg_mid)),0))*VLOOKUP(B362,country_opex,3,FALSE))+Z362+AA362+AB362+AC362+AD362)))</f>
        <v/>
      </c>
      <c r="BA362" s="54">
        <f>IF(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&lt;=0,"",VLOOKUP(B362,country_opex,7,FALSE)/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)</f>
        <v/>
      </c>
      <c r="BB3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2" s="43" t="inlineStr">
        <is>
          <t>e__mald__cb9c1c10aa68</t>
        </is>
      </c>
    </row>
    <row r="363">
      <c r="A363" s="38" t="inlineStr">
        <is>
          <t>Maldives (JIH)</t>
        </is>
      </c>
      <c r="B363" s="38" t="inlineStr">
        <is>
          <t>Maldives</t>
        </is>
      </c>
      <c r="C363" s="39" t="inlineStr">
        <is>
          <t>Ifuru Airport, Raa → Joali Being (Bodufushi, Raa)</t>
        </is>
      </c>
      <c r="D363" s="38" t="inlineStr">
        <is>
          <t>jih-global</t>
        </is>
      </c>
      <c r="E363" s="40" t="inlineStr">
        <is>
          <t>maldives-jih</t>
        </is>
      </c>
      <c r="F363" s="41" t="n">
        <v>1</v>
      </c>
      <c r="G363" s="42" t="n">
        <v>13.2</v>
      </c>
      <c r="H363" s="35" t="n">
        <v>200</v>
      </c>
      <c r="I363" s="43" t="inlineStr">
        <is>
          <t>T3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IF(B363="South Korea",G363/korea_charge_range_nm*korea_full_range_charge_min,0)</f>
        <v/>
      </c>
      <c r="N363" s="44">
        <f>IF(B363="South Korea",L363+korea_turn_min+korea_dwell_min+M363,L363+turn_min+dwell_min)</f>
        <v/>
      </c>
      <c r="O363" s="45">
        <f>IF(B363="South Korea",FLOOR(60*korea_service_hr/N363,1),MIN(15,FLOOR(60*service_hr/N363,1)))</f>
        <v/>
      </c>
      <c r="P363" s="45">
        <f>IF(ABS(MOD(ABS((365*mech_uptime*K363)),1)-0.5)&lt;1E-9,2*ROUND((365*mech_uptime*K363)/2,0),ROUND((365*mech_uptime*K363),0))</f>
        <v/>
      </c>
      <c r="Q363" s="46">
        <f>mech_uptime</f>
        <v/>
      </c>
      <c r="R363" s="46">
        <f>IF(AND(B363="South Korea",scenario="MID"),korea_mid_revleg,revleg_sel)</f>
        <v/>
      </c>
      <c r="S363" s="45">
        <f>IF(ABS(MOD(ABS((O363*P363*R363)),1)-0.5)&lt;1E-9,2*ROUND((O363*P363*R363)/2,0),ROUND((O363*P363*R363),0))</f>
        <v/>
      </c>
      <c r="T363" s="46">
        <f>IF(AND(B363="South Korea",scenario="MID"),korea_mid_load,load_sel)</f>
        <v/>
      </c>
      <c r="U363" s="47">
        <f>pax_cap*T363</f>
        <v/>
      </c>
      <c r="V363" s="45">
        <f>U363*S363</f>
        <v/>
      </c>
      <c r="W363" s="48">
        <f>H363*discount</f>
        <v/>
      </c>
      <c r="X363" s="49">
        <f>W363*V363</f>
        <v/>
      </c>
      <c r="Y363" s="49">
        <f>(battery/range_nm)*G363*S363*VLOOKUP(B363,country_opex,3,FALSE)</f>
        <v/>
      </c>
      <c r="Z363" s="49">
        <f>VLOOKUP(B363,country_opex,2,FALSE)*crew_factor</f>
        <v/>
      </c>
      <c r="AA363" s="49">
        <f>VLOOKUP(B363,country_opex,5,FALSE)</f>
        <v/>
      </c>
      <c r="AB363" s="49">
        <f>maint</f>
        <v/>
      </c>
      <c r="AC363" s="49">
        <f>VLOOKUP(B363,country_opex,7,FALSE)*ins_pct</f>
        <v/>
      </c>
      <c r="AD363" s="49">
        <f>charge_berth</f>
        <v/>
      </c>
      <c r="AE363" s="49">
        <f>Y363+Z363+AA363+AB363+AC363+AD363</f>
        <v/>
      </c>
      <c r="AF363" s="49">
        <f>VLOOKUP(B363,country_opex,7,FALSE)/dep_years</f>
        <v/>
      </c>
      <c r="AG363" s="49">
        <f>X363-AE363</f>
        <v/>
      </c>
      <c r="AH363" s="46">
        <f>IF(X363=0,"",AG363/X363)</f>
        <v/>
      </c>
      <c r="AI363" s="47">
        <f>IF(AG363&lt;=0,"",VLOOKUP(B363,country_opex,7,FALSE)/AG363)</f>
        <v/>
      </c>
      <c r="AJ363" s="44">
        <f>((G363*S363/diesel_nmpg)*diesel_co2pg-(battery/range_nm)*G363*S363*VLOOKUP(B363,country_opex,4,FALSE))/1000</f>
        <v/>
      </c>
      <c r="AK363" s="42" t="n">
        <v>5079</v>
      </c>
      <c r="AL363" s="43" t="inlineStr">
        <is>
          <t>T5</t>
        </is>
      </c>
      <c r="AM363" s="43" t="inlineStr">
        <is>
          <t>med</t>
        </is>
      </c>
      <c r="AN363" s="50" t="n">
        <v>0.9</v>
      </c>
      <c r="AO363" s="45">
        <f>IF(AK363="","",AK363*AN363)</f>
        <v/>
      </c>
      <c r="AP363" s="45">
        <f>IF(OR(AK363="",V363=0),"",MIN(IF(AX363="",9.9E+99,AX363),FLOOR(AO363/V363,1)))</f>
        <v/>
      </c>
      <c r="AQ363" s="49">
        <f>IF(AP363="","",AP363*IF(ABS(MOD(ABS((X363)),1)-0.5)&lt;1E-9,2*ROUND((X363)/2,0),ROUND((X363),0)))</f>
        <v/>
      </c>
      <c r="AR363" s="47">
        <f>IF(OR(AK363="",V363=0),"",MIN(IF(AX363="",9.9E+99,AX363),AO363/V363))</f>
        <v/>
      </c>
      <c r="AS363" s="49">
        <f>IF(AR363="","",AR363*IF(B363="South Korea",IF(ABS(MOD(ABS((X363)),1)-0.5)&lt;1E-9,2*ROUND((X363)/2,0),ROUND((X363),0)),X363))</f>
        <v/>
      </c>
      <c r="AT363" s="51" t="n"/>
      <c r="AU363" s="43" t="inlineStr">
        <is>
          <t>Grounded</t>
        </is>
      </c>
      <c r="AV363" s="52" t="n"/>
      <c r="AW363" s="52" t="n"/>
      <c r="AX363" s="53" t="n">
        <v>3</v>
      </c>
      <c r="AY363" s="54">
        <f>IF(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&lt;=0,"",VLOOKUP(B363,country_opex,7,FALSE)/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)</f>
        <v/>
      </c>
      <c r="AZ363" s="54">
        <f>IF(((W363*pax_cap*IF(B363="South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Korea",korea_mid_revleg,revleg_mid)),0))*VLOOKUP(B363,country_opex,3,FALSE))+Z363+AA363+AB363+AC363+AD363))&lt;=0,"",VLOOKUP(B363,country_opex,7,FALSE)/((W363*pax_cap*IF(B363="South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Korea",korea_mid_revleg,revleg_mid)),0))*VLOOKUP(B363,country_opex,3,FALSE))+Z363+AA363+AB363+AC363+AD363)))</f>
        <v/>
      </c>
      <c r="BA363" s="54">
        <f>IF(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&lt;=0,"",VLOOKUP(B363,country_opex,7,FALSE)/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)</f>
        <v/>
      </c>
      <c r="BB3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3" s="43" t="inlineStr">
        <is>
          <t>e__mald__371b1d4b42bb</t>
        </is>
      </c>
    </row>
    <row r="364">
      <c r="A364" s="38" t="inlineStr">
        <is>
          <t>Maldives (JIH)</t>
        </is>
      </c>
      <c r="B364" s="38" t="inlineStr">
        <is>
          <t>Maldives</t>
        </is>
      </c>
      <c r="C364" s="39" t="inlineStr">
        <is>
          <t>Soneva Fushi (Kunfunadhoo, Baa) → Anantara Kihavah (Baa)</t>
        </is>
      </c>
      <c r="D364" s="38" t="inlineStr">
        <is>
          <t>jih-global</t>
        </is>
      </c>
      <c r="E364" s="40" t="inlineStr">
        <is>
          <t>maldives-jih</t>
        </is>
      </c>
      <c r="F364" s="41" t="n">
        <v>1</v>
      </c>
      <c r="G364" s="42" t="n">
        <v>13.3</v>
      </c>
      <c r="H364" s="35" t="n">
        <v>175</v>
      </c>
      <c r="I364" s="43" t="inlineStr">
        <is>
          <t>T3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IF(B364="South Korea",G364/korea_charge_range_nm*korea_full_range_charge_min,0)</f>
        <v/>
      </c>
      <c r="N364" s="44">
        <f>IF(B364="South Korea",L364+korea_turn_min+korea_dwell_min+M364,L364+turn_min+dwell_min)</f>
        <v/>
      </c>
      <c r="O364" s="45">
        <f>IF(B364="South Korea",FLOOR(60*korea_service_hr/N364,1),MIN(15,FLOOR(60*service_hr/N364,1)))</f>
        <v/>
      </c>
      <c r="P364" s="45">
        <f>IF(ABS(MOD(ABS((365*mech_uptime*K364)),1)-0.5)&lt;1E-9,2*ROUND((365*mech_uptime*K364)/2,0),ROUND((365*mech_uptime*K364),0))</f>
        <v/>
      </c>
      <c r="Q364" s="46">
        <f>mech_uptime</f>
        <v/>
      </c>
      <c r="R364" s="46">
        <f>IF(AND(B364="South Korea",scenario="MID"),korea_mid_revleg,revleg_sel)</f>
        <v/>
      </c>
      <c r="S364" s="45">
        <f>IF(ABS(MOD(ABS((O364*P364*R364)),1)-0.5)&lt;1E-9,2*ROUND((O364*P364*R364)/2,0),ROUND((O364*P364*R364),0))</f>
        <v/>
      </c>
      <c r="T364" s="46">
        <f>IF(AND(B364="South Korea",scenario="MID"),korea_mid_load,load_sel)</f>
        <v/>
      </c>
      <c r="U364" s="47">
        <f>pax_cap*T364</f>
        <v/>
      </c>
      <c r="V364" s="45">
        <f>U364*S364</f>
        <v/>
      </c>
      <c r="W364" s="48">
        <f>H364*discount</f>
        <v/>
      </c>
      <c r="X364" s="49">
        <f>W364*V364</f>
        <v/>
      </c>
      <c r="Y364" s="49">
        <f>(battery/range_nm)*G364*S364*VLOOKUP(B364,country_opex,3,FALSE)</f>
        <v/>
      </c>
      <c r="Z364" s="49">
        <f>VLOOKUP(B364,country_opex,2,FALSE)*crew_factor</f>
        <v/>
      </c>
      <c r="AA364" s="49">
        <f>VLOOKUP(B364,country_opex,5,FALSE)</f>
        <v/>
      </c>
      <c r="AB364" s="49">
        <f>maint</f>
        <v/>
      </c>
      <c r="AC364" s="49">
        <f>VLOOKUP(B364,country_opex,7,FALSE)*ins_pct</f>
        <v/>
      </c>
      <c r="AD364" s="49">
        <f>charge_berth</f>
        <v/>
      </c>
      <c r="AE364" s="49">
        <f>Y364+Z364+AA364+AB364+AC364+AD364</f>
        <v/>
      </c>
      <c r="AF364" s="49">
        <f>VLOOKUP(B364,country_opex,7,FALSE)/dep_years</f>
        <v/>
      </c>
      <c r="AG364" s="49">
        <f>X364-AE364</f>
        <v/>
      </c>
      <c r="AH364" s="46">
        <f>IF(X364=0,"",AG364/X364)</f>
        <v/>
      </c>
      <c r="AI364" s="47">
        <f>IF(AG364&lt;=0,"",VLOOKUP(B364,country_opex,7,FALSE)/AG364)</f>
        <v/>
      </c>
      <c r="AJ364" s="44">
        <f>((G364*S364/diesel_nmpg)*diesel_co2pg-(battery/range_nm)*G364*S364*VLOOKUP(B364,country_opex,4,FALSE))/1000</f>
        <v/>
      </c>
      <c r="AK364" s="42" t="n"/>
      <c r="AL364" s="43" t="n"/>
      <c r="AM364" s="43" t="inlineStr">
        <is>
          <t>null</t>
        </is>
      </c>
      <c r="AN364" s="50" t="n">
        <v>0.9</v>
      </c>
      <c r="AO364" s="45">
        <f>IF(AK364="","",AK364*AN364)</f>
        <v/>
      </c>
      <c r="AP364" s="45">
        <f>IF(OR(AK364="",V364=0),"",MIN(IF(AX364="",9.9E+99,AX364),FLOOR(AO364/V364,1)))</f>
        <v/>
      </c>
      <c r="AQ364" s="49">
        <f>IF(AP364="","",AP364*IF(ABS(MOD(ABS((X364)),1)-0.5)&lt;1E-9,2*ROUND((X364)/2,0),ROUND((X364),0)))</f>
        <v/>
      </c>
      <c r="AR364" s="47">
        <f>IF(OR(AK364="",V364=0),"",MIN(IF(AX364="",9.9E+99,AX364),AO364/V364))</f>
        <v/>
      </c>
      <c r="AS364" s="49">
        <f>IF(AR364="","",AR364*IF(B364="South Korea",IF(ABS(MOD(ABS((X364)),1)-0.5)&lt;1E-9,2*ROUND((X364)/2,0),ROUND((X364),0)),X364))</f>
        <v/>
      </c>
      <c r="AT364" s="51" t="n"/>
      <c r="AU364" s="43" t="inlineStr">
        <is>
          <t>Estimated</t>
        </is>
      </c>
      <c r="AV364" s="52" t="n"/>
      <c r="AW364" s="52" t="n"/>
      <c r="AX364" s="53" t="n"/>
      <c r="AY364" s="54">
        <f>IF(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&lt;=0,"",VLOOKUP(B364,country_opex,7,FALSE)/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)</f>
        <v/>
      </c>
      <c r="AZ364" s="54">
        <f>IF(((W364*pax_cap*IF(B364="South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Korea",korea_mid_revleg,revleg_mid)),0))*VLOOKUP(B364,country_opex,3,FALSE))+Z364+AA364+AB364+AC364+AD364))&lt;=0,"",VLOOKUP(B364,country_opex,7,FALSE)/((W364*pax_cap*IF(B364="South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Korea",korea_mid_revleg,revleg_mid)),0))*VLOOKUP(B364,country_opex,3,FALSE))+Z364+AA364+AB364+AC364+AD364)))</f>
        <v/>
      </c>
      <c r="BA364" s="54">
        <f>IF(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&lt;=0,"",VLOOKUP(B364,country_opex,7,FALSE)/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)</f>
        <v/>
      </c>
      <c r="BB36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4" s="40" t="inlineStr">
        <is>
          <t>NULL — pure inter-resort island-hop; no grounded crossing pool (R2). Geometry only.</t>
        </is>
      </c>
      <c r="BD364" s="43" t="inlineStr">
        <is>
          <t>e__mald__b6454c3fc24e</t>
        </is>
      </c>
    </row>
    <row r="365">
      <c r="A365" s="38" t="inlineStr">
        <is>
          <t>Maldives (JIH)</t>
        </is>
      </c>
      <c r="B365" s="38" t="inlineStr">
        <is>
          <t>Maldives</t>
        </is>
      </c>
      <c r="C365" s="39" t="inlineStr">
        <is>
          <t>Dharavandhoo Airport, Baa → Vakkaru Maldives (Baa)</t>
        </is>
      </c>
      <c r="D365" s="38" t="inlineStr">
        <is>
          <t>jih-global</t>
        </is>
      </c>
      <c r="E365" s="40" t="inlineStr">
        <is>
          <t>maldives-jih</t>
        </is>
      </c>
      <c r="F365" s="41" t="n">
        <v>1</v>
      </c>
      <c r="G365" s="42" t="n">
        <v>13.6</v>
      </c>
      <c r="H365" s="35" t="n">
        <v>175</v>
      </c>
      <c r="I365" s="43" t="inlineStr">
        <is>
          <t>T3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IF(B365="South Korea",G365/korea_charge_range_nm*korea_full_range_charge_min,0)</f>
        <v/>
      </c>
      <c r="N365" s="44">
        <f>IF(B365="South Korea",L365+korea_turn_min+korea_dwell_min+M365,L365+turn_min+dwell_min)</f>
        <v/>
      </c>
      <c r="O365" s="45">
        <f>IF(B365="South Korea",FLOOR(60*korea_service_hr/N365,1),MIN(15,FLOOR(60*service_hr/N365,1)))</f>
        <v/>
      </c>
      <c r="P365" s="45">
        <f>IF(ABS(MOD(ABS((365*mech_uptime*K365)),1)-0.5)&lt;1E-9,2*ROUND((365*mech_uptime*K365)/2,0),ROUND((365*mech_uptime*K365),0))</f>
        <v/>
      </c>
      <c r="Q365" s="46">
        <f>mech_uptime</f>
        <v/>
      </c>
      <c r="R365" s="46">
        <f>IF(AND(B365="South Korea",scenario="MID"),korea_mid_revleg,revleg_sel)</f>
        <v/>
      </c>
      <c r="S365" s="45">
        <f>IF(ABS(MOD(ABS((O365*P365*R365)),1)-0.5)&lt;1E-9,2*ROUND((O365*P365*R365)/2,0),ROUND((O365*P365*R365),0))</f>
        <v/>
      </c>
      <c r="T365" s="46">
        <f>IF(AND(B365="South Korea",scenario="MID"),korea_mid_load,load_sel)</f>
        <v/>
      </c>
      <c r="U365" s="47">
        <f>pax_cap*T365</f>
        <v/>
      </c>
      <c r="V365" s="45">
        <f>U365*S365</f>
        <v/>
      </c>
      <c r="W365" s="48">
        <f>H365*discount</f>
        <v/>
      </c>
      <c r="X365" s="49">
        <f>W365*V365</f>
        <v/>
      </c>
      <c r="Y365" s="49">
        <f>(battery/range_nm)*G365*S365*VLOOKUP(B365,country_opex,3,FALSE)</f>
        <v/>
      </c>
      <c r="Z365" s="49">
        <f>VLOOKUP(B365,country_opex,2,FALSE)*crew_factor</f>
        <v/>
      </c>
      <c r="AA365" s="49">
        <f>VLOOKUP(B365,country_opex,5,FALSE)</f>
        <v/>
      </c>
      <c r="AB365" s="49">
        <f>maint</f>
        <v/>
      </c>
      <c r="AC365" s="49">
        <f>VLOOKUP(B365,country_opex,7,FALSE)*ins_pct</f>
        <v/>
      </c>
      <c r="AD365" s="49">
        <f>charge_berth</f>
        <v/>
      </c>
      <c r="AE365" s="49">
        <f>Y365+Z365+AA365+AB365+AC365+AD365</f>
        <v/>
      </c>
      <c r="AF365" s="49">
        <f>VLOOKUP(B365,country_opex,7,FALSE)/dep_years</f>
        <v/>
      </c>
      <c r="AG365" s="49">
        <f>X365-AE365</f>
        <v/>
      </c>
      <c r="AH365" s="46">
        <f>IF(X365=0,"",AG365/X365)</f>
        <v/>
      </c>
      <c r="AI365" s="47">
        <f>IF(AG365&lt;=0,"",VLOOKUP(B365,country_opex,7,FALSE)/AG365)</f>
        <v/>
      </c>
      <c r="AJ365" s="44">
        <f>((G365*S365/diesel_nmpg)*diesel_co2pg-(battery/range_nm)*G365*S365*VLOOKUP(B365,country_opex,4,FALSE))/1000</f>
        <v/>
      </c>
      <c r="AK365" s="42" t="n">
        <v>9336</v>
      </c>
      <c r="AL365" s="43" t="inlineStr">
        <is>
          <t>T5</t>
        </is>
      </c>
      <c r="AM365" s="43" t="inlineStr">
        <is>
          <t>med</t>
        </is>
      </c>
      <c r="AN365" s="50" t="n">
        <v>0.9</v>
      </c>
      <c r="AO365" s="45">
        <f>IF(AK365="","",AK365*AN365)</f>
        <v/>
      </c>
      <c r="AP365" s="45">
        <f>IF(OR(AK365="",V365=0),"",MIN(IF(AX365="",9.9E+99,AX365),FLOOR(AO365/V365,1)))</f>
        <v/>
      </c>
      <c r="AQ365" s="49">
        <f>IF(AP365="","",AP365*IF(ABS(MOD(ABS((X365)),1)-0.5)&lt;1E-9,2*ROUND((X365)/2,0),ROUND((X365),0)))</f>
        <v/>
      </c>
      <c r="AR365" s="47">
        <f>IF(OR(AK365="",V365=0),"",MIN(IF(AX365="",9.9E+99,AX365),AO365/V365))</f>
        <v/>
      </c>
      <c r="AS365" s="49">
        <f>IF(AR365="","",AR365*IF(B365="South Korea",IF(ABS(MOD(ABS((X365)),1)-0.5)&lt;1E-9,2*ROUND((X365)/2,0),ROUND((X365),0)),X365))</f>
        <v/>
      </c>
      <c r="AT365" s="51" t="n"/>
      <c r="AU365" s="43" t="inlineStr">
        <is>
          <t>Grounded</t>
        </is>
      </c>
      <c r="AV365" s="52" t="n"/>
      <c r="AW365" s="52" t="n"/>
      <c r="AX365" s="53" t="n">
        <v>5</v>
      </c>
      <c r="AY365" s="54">
        <f>IF(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&lt;=0,"",VLOOKUP(B365,country_opex,7,FALSE)/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)</f>
        <v/>
      </c>
      <c r="AZ365" s="54">
        <f>IF(((W365*pax_cap*IF(B365="South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Korea",korea_mid_revleg,revleg_mid)),0))*VLOOKUP(B365,country_opex,3,FALSE))+Z365+AA365+AB365+AC365+AD365))&lt;=0,"",VLOOKUP(B365,country_opex,7,FALSE)/((W365*pax_cap*IF(B365="South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Korea",korea_mid_revleg,revleg_mid)),0))*VLOOKUP(B365,country_opex,3,FALSE))+Z365+AA365+AB365+AC365+AD365)))</f>
        <v/>
      </c>
      <c r="BA365" s="54">
        <f>IF(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&lt;=0,"",VLOOKUP(B365,country_opex,7,FALSE)/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)</f>
        <v/>
      </c>
      <c r="BB3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5" s="43" t="inlineStr">
        <is>
          <t>e__mald__6f893e9600de</t>
        </is>
      </c>
    </row>
    <row r="366">
      <c r="A366" s="38" t="inlineStr">
        <is>
          <t>Maldives (JIH)</t>
        </is>
      </c>
      <c r="B366" s="38" t="inlineStr">
        <is>
          <t>Maldives</t>
        </is>
      </c>
      <c r="C366" s="39" t="inlineStr">
        <is>
          <t>Dharavandhoo Airport, Baa → Finolhu (Baa)</t>
        </is>
      </c>
      <c r="D366" s="38" t="inlineStr">
        <is>
          <t>jih-global</t>
        </is>
      </c>
      <c r="E366" s="40" t="inlineStr">
        <is>
          <t>maldives-jih</t>
        </is>
      </c>
      <c r="F366" s="41" t="n">
        <v>1</v>
      </c>
      <c r="G366" s="42" t="n">
        <v>13.9</v>
      </c>
      <c r="H366" s="35" t="n">
        <v>150</v>
      </c>
      <c r="I366" s="43" t="inlineStr">
        <is>
          <t>T3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IF(B366="South Korea",G366/korea_charge_range_nm*korea_full_range_charge_min,0)</f>
        <v/>
      </c>
      <c r="N366" s="44">
        <f>IF(B366="South Korea",L366+korea_turn_min+korea_dwell_min+M366,L366+turn_min+dwell_min)</f>
        <v/>
      </c>
      <c r="O366" s="45">
        <f>IF(B366="South Korea",FLOOR(60*korea_service_hr/N366,1),MIN(15,FLOOR(60*service_hr/N366,1)))</f>
        <v/>
      </c>
      <c r="P366" s="45">
        <f>IF(ABS(MOD(ABS((365*mech_uptime*K366)),1)-0.5)&lt;1E-9,2*ROUND((365*mech_uptime*K366)/2,0),ROUND((365*mech_uptime*K366),0))</f>
        <v/>
      </c>
      <c r="Q366" s="46">
        <f>mech_uptime</f>
        <v/>
      </c>
      <c r="R366" s="46">
        <f>IF(AND(B366="South Korea",scenario="MID"),korea_mid_revleg,revleg_sel)</f>
        <v/>
      </c>
      <c r="S366" s="45">
        <f>IF(ABS(MOD(ABS((O366*P366*R366)),1)-0.5)&lt;1E-9,2*ROUND((O366*P366*R366)/2,0),ROUND((O366*P366*R366),0))</f>
        <v/>
      </c>
      <c r="T366" s="46">
        <f>IF(AND(B366="South Korea",scenario="MID"),korea_mid_load,load_sel)</f>
        <v/>
      </c>
      <c r="U366" s="47">
        <f>pax_cap*T366</f>
        <v/>
      </c>
      <c r="V366" s="45">
        <f>U366*S366</f>
        <v/>
      </c>
      <c r="W366" s="48">
        <f>H366*discount</f>
        <v/>
      </c>
      <c r="X366" s="49">
        <f>W366*V366</f>
        <v/>
      </c>
      <c r="Y366" s="49">
        <f>(battery/range_nm)*G366*S366*VLOOKUP(B366,country_opex,3,FALSE)</f>
        <v/>
      </c>
      <c r="Z366" s="49">
        <f>VLOOKUP(B366,country_opex,2,FALSE)*crew_factor</f>
        <v/>
      </c>
      <c r="AA366" s="49">
        <f>VLOOKUP(B366,country_opex,5,FALSE)</f>
        <v/>
      </c>
      <c r="AB366" s="49">
        <f>maint</f>
        <v/>
      </c>
      <c r="AC366" s="49">
        <f>VLOOKUP(B366,country_opex,7,FALSE)*ins_pct</f>
        <v/>
      </c>
      <c r="AD366" s="49">
        <f>charge_berth</f>
        <v/>
      </c>
      <c r="AE366" s="49">
        <f>Y366+Z366+AA366+AB366+AC366+AD366</f>
        <v/>
      </c>
      <c r="AF366" s="49">
        <f>VLOOKUP(B366,country_opex,7,FALSE)/dep_years</f>
        <v/>
      </c>
      <c r="AG366" s="49">
        <f>X366-AE366</f>
        <v/>
      </c>
      <c r="AH366" s="46">
        <f>IF(X366=0,"",AG366/X366)</f>
        <v/>
      </c>
      <c r="AI366" s="47">
        <f>IF(AG366&lt;=0,"",VLOOKUP(B366,country_opex,7,FALSE)/AG366)</f>
        <v/>
      </c>
      <c r="AJ366" s="44">
        <f>((G366*S366/diesel_nmpg)*diesel_co2pg-(battery/range_nm)*G366*S366*VLOOKUP(B366,country_opex,4,FALSE))/1000</f>
        <v/>
      </c>
      <c r="AK366" s="42" t="n">
        <v>9336</v>
      </c>
      <c r="AL366" s="43" t="inlineStr">
        <is>
          <t>T5</t>
        </is>
      </c>
      <c r="AM366" s="43" t="inlineStr">
        <is>
          <t>med</t>
        </is>
      </c>
      <c r="AN366" s="50" t="n">
        <v>0.9</v>
      </c>
      <c r="AO366" s="45">
        <f>IF(AK366="","",AK366*AN366)</f>
        <v/>
      </c>
      <c r="AP366" s="45">
        <f>IF(OR(AK366="",V366=0),"",MIN(IF(AX366="",9.9E+99,AX366),FLOOR(AO366/V366,1)))</f>
        <v/>
      </c>
      <c r="AQ366" s="49">
        <f>IF(AP366="","",AP366*IF(ABS(MOD(ABS((X366)),1)-0.5)&lt;1E-9,2*ROUND((X366)/2,0),ROUND((X366),0)))</f>
        <v/>
      </c>
      <c r="AR366" s="47">
        <f>IF(OR(AK366="",V366=0),"",MIN(IF(AX366="",9.9E+99,AX366),AO366/V366))</f>
        <v/>
      </c>
      <c r="AS366" s="49">
        <f>IF(AR366="","",AR366*IF(B366="South Korea",IF(ABS(MOD(ABS((X366)),1)-0.5)&lt;1E-9,2*ROUND((X366)/2,0),ROUND((X366),0)),X366))</f>
        <v/>
      </c>
      <c r="AT366" s="51" t="n"/>
      <c r="AU366" s="43" t="inlineStr">
        <is>
          <t>Grounded</t>
        </is>
      </c>
      <c r="AV366" s="52" t="n"/>
      <c r="AW366" s="52" t="n"/>
      <c r="AX366" s="53" t="n">
        <v>5</v>
      </c>
      <c r="AY366" s="54">
        <f>IF(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&lt;=0,"",VLOOKUP(B366,country_opex,7,FALSE)/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)</f>
        <v/>
      </c>
      <c r="AZ366" s="54">
        <f>IF(((W366*pax_cap*IF(B366="South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Korea",korea_mid_revleg,revleg_mid)),0))*VLOOKUP(B366,country_opex,3,FALSE))+Z366+AA366+AB366+AC366+AD366))&lt;=0,"",VLOOKUP(B366,country_opex,7,FALSE)/((W366*pax_cap*IF(B366="South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Korea",korea_mid_revleg,revleg_mid)),0))*VLOOKUP(B366,country_opex,3,FALSE))+Z366+AA366+AB366+AC366+AD366)))</f>
        <v/>
      </c>
      <c r="BA366" s="54">
        <f>IF(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&lt;=0,"",VLOOKUP(B366,country_opex,7,FALSE)/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)</f>
        <v/>
      </c>
      <c r="BB36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6" s="43" t="inlineStr">
        <is>
          <t>e__mald__ad763bd18d10</t>
        </is>
      </c>
    </row>
    <row r="367">
      <c r="A367" s="38" t="inlineStr">
        <is>
          <t>Maldives (JIH)</t>
        </is>
      </c>
      <c r="B367" s="38" t="inlineStr">
        <is>
          <t>Maldives</t>
        </is>
      </c>
      <c r="C367" s="39" t="inlineStr">
        <is>
          <t>Velana International Airport (MLE) Resort Speedboat Lounges → Waldorf Astoria Maldives Ithaafushi</t>
        </is>
      </c>
      <c r="D367" s="38" t="inlineStr">
        <is>
          <t>jih-global</t>
        </is>
      </c>
      <c r="E367" s="40" t="inlineStr">
        <is>
          <t>maldives-jih</t>
        </is>
      </c>
      <c r="F367" s="41" t="n">
        <v>1</v>
      </c>
      <c r="G367" s="42" t="n">
        <v>14.6</v>
      </c>
      <c r="H367" s="35" t="n">
        <v>400</v>
      </c>
      <c r="I367" s="43" t="inlineStr">
        <is>
          <t>T1</t>
        </is>
      </c>
      <c r="J367" s="43" t="inlineStr">
        <is>
          <t>med-high</t>
        </is>
      </c>
      <c r="K367" s="29" t="n">
        <v>1</v>
      </c>
      <c r="L367" s="44">
        <f>60*G367/cruise_kt</f>
        <v/>
      </c>
      <c r="M367" s="44">
        <f>IF(B367="South Korea",G367/korea_charge_range_nm*korea_full_range_charge_min,0)</f>
        <v/>
      </c>
      <c r="N367" s="44">
        <f>IF(B367="South Korea",L367+korea_turn_min+korea_dwell_min+M367,L367+turn_min+dwell_min)</f>
        <v/>
      </c>
      <c r="O367" s="45">
        <f>IF(B367="South Korea",FLOOR(60*korea_service_hr/N367,1),MIN(15,FLOOR(60*service_hr/N367,1)))</f>
        <v/>
      </c>
      <c r="P367" s="45">
        <f>IF(ABS(MOD(ABS((365*mech_uptime*K367)),1)-0.5)&lt;1E-9,2*ROUND((365*mech_uptime*K367)/2,0),ROUND((365*mech_uptime*K367),0))</f>
        <v/>
      </c>
      <c r="Q367" s="46">
        <f>mech_uptime</f>
        <v/>
      </c>
      <c r="R367" s="46">
        <f>IF(AND(B367="South Korea",scenario="MID"),korea_mid_revleg,revleg_sel)</f>
        <v/>
      </c>
      <c r="S367" s="45">
        <f>IF(ABS(MOD(ABS((O367*P367*R367)),1)-0.5)&lt;1E-9,2*ROUND((O367*P367*R367)/2,0),ROUND((O367*P367*R367),0))</f>
        <v/>
      </c>
      <c r="T367" s="46">
        <f>IF(AND(B367="South Korea",scenario="MID"),korea_mid_load,load_sel)</f>
        <v/>
      </c>
      <c r="U367" s="47">
        <f>pax_cap*T367</f>
        <v/>
      </c>
      <c r="V367" s="45">
        <f>U367*S367</f>
        <v/>
      </c>
      <c r="W367" s="48">
        <f>H367*discount</f>
        <v/>
      </c>
      <c r="X367" s="49">
        <f>W367*V367</f>
        <v/>
      </c>
      <c r="Y367" s="49">
        <f>(battery/range_nm)*G367*S367*VLOOKUP(B367,country_opex,3,FALSE)</f>
        <v/>
      </c>
      <c r="Z367" s="49">
        <f>VLOOKUP(B367,country_opex,2,FALSE)*crew_factor</f>
        <v/>
      </c>
      <c r="AA367" s="49">
        <f>VLOOKUP(B367,country_opex,5,FALSE)</f>
        <v/>
      </c>
      <c r="AB367" s="49">
        <f>maint</f>
        <v/>
      </c>
      <c r="AC367" s="49">
        <f>VLOOKUP(B367,country_opex,7,FALSE)*ins_pct</f>
        <v/>
      </c>
      <c r="AD367" s="49">
        <f>charge_berth</f>
        <v/>
      </c>
      <c r="AE367" s="49">
        <f>Y367+Z367+AA367+AB367+AC367+AD367</f>
        <v/>
      </c>
      <c r="AF367" s="49">
        <f>VLOOKUP(B367,country_opex,7,FALSE)/dep_years</f>
        <v/>
      </c>
      <c r="AG367" s="49">
        <f>X367-AE367</f>
        <v/>
      </c>
      <c r="AH367" s="46">
        <f>IF(X367=0,"",AG367/X367)</f>
        <v/>
      </c>
      <c r="AI367" s="47">
        <f>IF(AG367&lt;=0,"",VLOOKUP(B367,country_opex,7,FALSE)/AG367)</f>
        <v/>
      </c>
      <c r="AJ367" s="44">
        <f>((G367*S367/diesel_nmpg)*diesel_co2pg-(battery/range_nm)*G367*S367*VLOOKUP(B367,country_opex,4,FALSE))/1000</f>
        <v/>
      </c>
      <c r="AK367" s="42" t="n">
        <v>18800</v>
      </c>
      <c r="AL367" s="43" t="inlineStr">
        <is>
          <t>T5</t>
        </is>
      </c>
      <c r="AM367" s="43" t="inlineStr">
        <is>
          <t>low-med</t>
        </is>
      </c>
      <c r="AN367" s="50" t="n">
        <v>0.9</v>
      </c>
      <c r="AO367" s="45">
        <f>IF(AK367="","",AK367*AN367)</f>
        <v/>
      </c>
      <c r="AP367" s="45">
        <f>IF(OR(AK367="",V367=0),"",MIN(IF(AX367="",9.9E+99,AX367),FLOOR(AO367/V367,1)))</f>
        <v/>
      </c>
      <c r="AQ367" s="49">
        <f>IF(AP367="","",AP367*IF(ABS(MOD(ABS((X367)),1)-0.5)&lt;1E-9,2*ROUND((X367)/2,0),ROUND((X367),0)))</f>
        <v/>
      </c>
      <c r="AR367" s="47">
        <f>IF(OR(AK367="",V367=0),"",MIN(IF(AX367="",9.9E+99,AX367),AO367/V367))</f>
        <v/>
      </c>
      <c r="AS367" s="49">
        <f>IF(AR367="","",AR367*IF(B367="South Korea",IF(ABS(MOD(ABS((X367)),1)-0.5)&lt;1E-9,2*ROUND((X367)/2,0),ROUND((X367),0)),X367))</f>
        <v/>
      </c>
      <c r="AT367" s="51" t="n"/>
      <c r="AU367" s="43" t="inlineStr">
        <is>
          <t>Grounded</t>
        </is>
      </c>
      <c r="AV367" s="52" t="n"/>
      <c r="AW367" s="52" t="n"/>
      <c r="AX367" s="53" t="n">
        <v>5</v>
      </c>
      <c r="AY367" s="54">
        <f>IF(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&lt;=0,"",VLOOKUP(B367,country_opex,7,FALSE)/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)</f>
        <v/>
      </c>
      <c r="AZ367" s="54">
        <f>IF(((W367*pax_cap*IF(B367="South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Korea",korea_mid_revleg,revleg_mid)),0))*VLOOKUP(B367,country_opex,3,FALSE))+Z367+AA367+AB367+AC367+AD367))&lt;=0,"",VLOOKUP(B367,country_opex,7,FALSE)/((W367*pax_cap*IF(B367="South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Korea",korea_mid_revleg,revleg_mid)),0))*VLOOKUP(B367,country_opex,3,FALSE))+Z367+AA367+AB367+AC367+AD367)))</f>
        <v/>
      </c>
      <c r="BA367" s="54">
        <f>IF(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&lt;=0,"",VLOOKUP(B367,country_opex,7,FALSE)/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)</f>
        <v/>
      </c>
      <c r="BB367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C367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  <c r="BD367" s="43" t="inlineStr">
        <is>
          <t>e__velana__westin-miriandhoo-jetty</t>
        </is>
      </c>
    </row>
    <row r="368">
      <c r="A368" s="38" t="inlineStr">
        <is>
          <t>Maldives (JIH)</t>
        </is>
      </c>
      <c r="B368" s="38" t="inlineStr">
        <is>
          <t>Maldives</t>
        </is>
      </c>
      <c r="C368" s="39" t="inlineStr">
        <is>
          <t>Velana International Airport (MLE) Resort Speedboat Lounges → COMO Cocoa Island (Makunufushi, South Malé)</t>
        </is>
      </c>
      <c r="D368" s="38" t="inlineStr">
        <is>
          <t>jih-global</t>
        </is>
      </c>
      <c r="E368" s="40" t="inlineStr">
        <is>
          <t>maldives-jih</t>
        </is>
      </c>
      <c r="F368" s="41" t="n">
        <v>1</v>
      </c>
      <c r="G368" s="42" t="n">
        <v>15.9</v>
      </c>
      <c r="H368" s="35" t="n">
        <v>130</v>
      </c>
      <c r="I368" s="43" t="inlineStr">
        <is>
          <t>T1</t>
        </is>
      </c>
      <c r="J368" s="43" t="inlineStr">
        <is>
          <t>med-high</t>
        </is>
      </c>
      <c r="K368" s="29" t="n">
        <v>1</v>
      </c>
      <c r="L368" s="44">
        <f>60*G368/cruise_kt</f>
        <v/>
      </c>
      <c r="M368" s="44">
        <f>IF(B368="South Korea",G368/korea_charge_range_nm*korea_full_range_charge_min,0)</f>
        <v/>
      </c>
      <c r="N368" s="44">
        <f>IF(B368="South Korea",L368+korea_turn_min+korea_dwell_min+M368,L368+turn_min+dwell_min)</f>
        <v/>
      </c>
      <c r="O368" s="45">
        <f>IF(B368="South Korea",FLOOR(60*korea_service_hr/N368,1),MIN(15,FLOOR(60*service_hr/N368,1)))</f>
        <v/>
      </c>
      <c r="P368" s="45">
        <f>IF(ABS(MOD(ABS((365*mech_uptime*K368)),1)-0.5)&lt;1E-9,2*ROUND((365*mech_uptime*K368)/2,0),ROUND((365*mech_uptime*K368),0))</f>
        <v/>
      </c>
      <c r="Q368" s="46">
        <f>mech_uptime</f>
        <v/>
      </c>
      <c r="R368" s="46">
        <f>IF(AND(B368="South Korea",scenario="MID"),korea_mid_revleg,revleg_sel)</f>
        <v/>
      </c>
      <c r="S368" s="45">
        <f>IF(ABS(MOD(ABS((O368*P368*R368)),1)-0.5)&lt;1E-9,2*ROUND((O368*P368*R368)/2,0),ROUND((O368*P368*R368),0))</f>
        <v/>
      </c>
      <c r="T368" s="46">
        <f>IF(AND(B368="South Korea",scenario="MID"),korea_mid_load,load_sel)</f>
        <v/>
      </c>
      <c r="U368" s="47">
        <f>pax_cap*T368</f>
        <v/>
      </c>
      <c r="V368" s="45">
        <f>U368*S368</f>
        <v/>
      </c>
      <c r="W368" s="48">
        <f>H368*discount</f>
        <v/>
      </c>
      <c r="X368" s="49">
        <f>W368*V368</f>
        <v/>
      </c>
      <c r="Y368" s="49">
        <f>(battery/range_nm)*G368*S368*VLOOKUP(B368,country_opex,3,FALSE)</f>
        <v/>
      </c>
      <c r="Z368" s="49">
        <f>VLOOKUP(B368,country_opex,2,FALSE)*crew_factor</f>
        <v/>
      </c>
      <c r="AA368" s="49">
        <f>VLOOKUP(B368,country_opex,5,FALSE)</f>
        <v/>
      </c>
      <c r="AB368" s="49">
        <f>maint</f>
        <v/>
      </c>
      <c r="AC368" s="49">
        <f>VLOOKUP(B368,country_opex,7,FALSE)*ins_pct</f>
        <v/>
      </c>
      <c r="AD368" s="49">
        <f>charge_berth</f>
        <v/>
      </c>
      <c r="AE368" s="49">
        <f>Y368+Z368+AA368+AB368+AC368+AD368</f>
        <v/>
      </c>
      <c r="AF368" s="49">
        <f>VLOOKUP(B368,country_opex,7,FALSE)/dep_years</f>
        <v/>
      </c>
      <c r="AG368" s="49">
        <f>X368-AE368</f>
        <v/>
      </c>
      <c r="AH368" s="46">
        <f>IF(X368=0,"",AG368/X368)</f>
        <v/>
      </c>
      <c r="AI368" s="47">
        <f>IF(AG368&lt;=0,"",VLOOKUP(B368,country_opex,7,FALSE)/AG368)</f>
        <v/>
      </c>
      <c r="AJ368" s="44">
        <f>((G368*S368/diesel_nmpg)*diesel_co2pg-(battery/range_nm)*G368*S368*VLOOKUP(B368,country_opex,4,FALSE))/1000</f>
        <v/>
      </c>
      <c r="AK368" s="42" t="n">
        <v>5200</v>
      </c>
      <c r="AL368" s="43" t="inlineStr">
        <is>
          <t>T5</t>
        </is>
      </c>
      <c r="AM368" s="43" t="inlineStr">
        <is>
          <t>low-med</t>
        </is>
      </c>
      <c r="AN368" s="50" t="n">
        <v>0.9</v>
      </c>
      <c r="AO368" s="45">
        <f>IF(AK368="","",AK368*AN368)</f>
        <v/>
      </c>
      <c r="AP368" s="45">
        <f>IF(OR(AK368="",V368=0),"",MIN(IF(AX368="",9.9E+99,AX368),FLOOR(AO368/V368,1)))</f>
        <v/>
      </c>
      <c r="AQ368" s="49">
        <f>IF(AP368="","",AP368*IF(ABS(MOD(ABS((X368)),1)-0.5)&lt;1E-9,2*ROUND((X368)/2,0),ROUND((X368),0)))</f>
        <v/>
      </c>
      <c r="AR368" s="47">
        <f>IF(OR(AK368="",V368=0),"",MIN(IF(AX368="",9.9E+99,AX368),AO368/V368))</f>
        <v/>
      </c>
      <c r="AS368" s="49">
        <f>IF(AR368="","",AR368*IF(B368="South Korea",IF(ABS(MOD(ABS((X368)),1)-0.5)&lt;1E-9,2*ROUND((X368)/2,0),ROUND((X368),0)),X368))</f>
        <v/>
      </c>
      <c r="AT368" s="51" t="n"/>
      <c r="AU368" s="43" t="inlineStr">
        <is>
          <t>Grounded</t>
        </is>
      </c>
      <c r="AV368" s="52" t="n"/>
      <c r="AW368" s="52" t="n"/>
      <c r="AX368" s="53" t="n">
        <v>2</v>
      </c>
      <c r="AY368" s="54">
        <f>IF(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&lt;=0,"",VLOOKUP(B368,country_opex,7,FALSE)/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)</f>
        <v/>
      </c>
      <c r="AZ368" s="54">
        <f>IF(((W368*pax_cap*IF(B368="South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Korea",korea_mid_revleg,revleg_mid)),0))*VLOOKUP(B368,country_opex,3,FALSE))+Z368+AA368+AB368+AC368+AD368))&lt;=0,"",VLOOKUP(B368,country_opex,7,FALSE)/((W368*pax_cap*IF(B368="South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Korea",korea_mid_revleg,revleg_mid)),0))*VLOOKUP(B368,country_opex,3,FALSE))+Z368+AA368+AB368+AC368+AD368)))</f>
        <v/>
      </c>
      <c r="BA368" s="54">
        <f>IF(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&lt;=0,"",VLOOKUP(B368,country_opex,7,FALSE)/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)</f>
        <v/>
      </c>
      <c r="BB368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C368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  <c r="BD368" s="43" t="inlineStr">
        <is>
          <t>e__velana__como-cocoa-island-jetty</t>
        </is>
      </c>
    </row>
    <row r="369">
      <c r="A369" s="38" t="inlineStr">
        <is>
          <t>Maldives (JIH)</t>
        </is>
      </c>
      <c r="B369" s="38" t="inlineStr">
        <is>
          <t>Maldives</t>
        </is>
      </c>
      <c r="C369" s="39" t="inlineStr">
        <is>
          <t>Ifuru Airport, Raa → Emerald Maldives (Fasmendhoo, Raa)</t>
        </is>
      </c>
      <c r="D369" s="38" t="inlineStr">
        <is>
          <t>jih-global</t>
        </is>
      </c>
      <c r="E369" s="40" t="inlineStr">
        <is>
          <t>maldives-jih</t>
        </is>
      </c>
      <c r="F369" s="41" t="n">
        <v>1</v>
      </c>
      <c r="G369" s="42" t="n">
        <v>16.8</v>
      </c>
      <c r="H369" s="35" t="n">
        <v>150</v>
      </c>
      <c r="I369" s="43" t="inlineStr">
        <is>
          <t>T3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IF(B369="South Korea",G369/korea_charge_range_nm*korea_full_range_charge_min,0)</f>
        <v/>
      </c>
      <c r="N369" s="44">
        <f>IF(B369="South Korea",L369+korea_turn_min+korea_dwell_min+M369,L369+turn_min+dwell_min)</f>
        <v/>
      </c>
      <c r="O369" s="45">
        <f>IF(B369="South Korea",FLOOR(60*korea_service_hr/N369,1),MIN(15,FLOOR(60*service_hr/N369,1)))</f>
        <v/>
      </c>
      <c r="P369" s="45">
        <f>IF(ABS(MOD(ABS((365*mech_uptime*K369)),1)-0.5)&lt;1E-9,2*ROUND((365*mech_uptime*K369)/2,0),ROUND((365*mech_uptime*K369),0))</f>
        <v/>
      </c>
      <c r="Q369" s="46">
        <f>mech_uptime</f>
        <v/>
      </c>
      <c r="R369" s="46">
        <f>IF(AND(B369="South Korea",scenario="MID"),korea_mid_revleg,revleg_sel)</f>
        <v/>
      </c>
      <c r="S369" s="45">
        <f>IF(ABS(MOD(ABS((O369*P369*R369)),1)-0.5)&lt;1E-9,2*ROUND((O369*P369*R369)/2,0),ROUND((O369*P369*R369),0))</f>
        <v/>
      </c>
      <c r="T369" s="46">
        <f>IF(AND(B369="South Korea",scenario="MID"),korea_mid_load,load_sel)</f>
        <v/>
      </c>
      <c r="U369" s="47">
        <f>pax_cap*T369</f>
        <v/>
      </c>
      <c r="V369" s="45">
        <f>U369*S369</f>
        <v/>
      </c>
      <c r="W369" s="48">
        <f>H369*discount</f>
        <v/>
      </c>
      <c r="X369" s="49">
        <f>W369*V369</f>
        <v/>
      </c>
      <c r="Y369" s="49">
        <f>(battery/range_nm)*G369*S369*VLOOKUP(B369,country_opex,3,FALSE)</f>
        <v/>
      </c>
      <c r="Z369" s="49">
        <f>VLOOKUP(B369,country_opex,2,FALSE)*crew_factor</f>
        <v/>
      </c>
      <c r="AA369" s="49">
        <f>VLOOKUP(B369,country_opex,5,FALSE)</f>
        <v/>
      </c>
      <c r="AB369" s="49">
        <f>maint</f>
        <v/>
      </c>
      <c r="AC369" s="49">
        <f>VLOOKUP(B369,country_opex,7,FALSE)*ins_pct</f>
        <v/>
      </c>
      <c r="AD369" s="49">
        <f>charge_berth</f>
        <v/>
      </c>
      <c r="AE369" s="49">
        <f>Y369+Z369+AA369+AB369+AC369+AD369</f>
        <v/>
      </c>
      <c r="AF369" s="49">
        <f>VLOOKUP(B369,country_opex,7,FALSE)/dep_years</f>
        <v/>
      </c>
      <c r="AG369" s="49">
        <f>X369-AE369</f>
        <v/>
      </c>
      <c r="AH369" s="46">
        <f>IF(X369=0,"",AG369/X369)</f>
        <v/>
      </c>
      <c r="AI369" s="47">
        <f>IF(AG369&lt;=0,"",VLOOKUP(B369,country_opex,7,FALSE)/AG369)</f>
        <v/>
      </c>
      <c r="AJ369" s="44">
        <f>((G369*S369/diesel_nmpg)*diesel_co2pg-(battery/range_nm)*G369*S369*VLOOKUP(B369,country_opex,4,FALSE))/1000</f>
        <v/>
      </c>
      <c r="AK369" s="42" t="n">
        <v>8962</v>
      </c>
      <c r="AL369" s="43" t="inlineStr">
        <is>
          <t>T5</t>
        </is>
      </c>
      <c r="AM369" s="43" t="inlineStr">
        <is>
          <t>med</t>
        </is>
      </c>
      <c r="AN369" s="50" t="n">
        <v>0.9</v>
      </c>
      <c r="AO369" s="45">
        <f>IF(AK369="","",AK369*AN369)</f>
        <v/>
      </c>
      <c r="AP369" s="45">
        <f>IF(OR(AK369="",V369=0),"",MIN(IF(AX369="",9.9E+99,AX369),FLOOR(AO369/V369,1)))</f>
        <v/>
      </c>
      <c r="AQ369" s="49">
        <f>IF(AP369="","",AP369*IF(ABS(MOD(ABS((X369)),1)-0.5)&lt;1E-9,2*ROUND((X369)/2,0),ROUND((X369),0)))</f>
        <v/>
      </c>
      <c r="AR369" s="47">
        <f>IF(OR(AK369="",V369=0),"",MIN(IF(AX369="",9.9E+99,AX369),AO369/V369))</f>
        <v/>
      </c>
      <c r="AS369" s="49">
        <f>IF(AR369="","",AR369*IF(B369="South Korea",IF(ABS(MOD(ABS((X369)),1)-0.5)&lt;1E-9,2*ROUND((X369)/2,0),ROUND((X369),0)),X369))</f>
        <v/>
      </c>
      <c r="AT369" s="51" t="n"/>
      <c r="AU369" s="43" t="inlineStr">
        <is>
          <t>Grounded</t>
        </is>
      </c>
      <c r="AV369" s="52" t="n"/>
      <c r="AW369" s="52" t="n"/>
      <c r="AX369" s="53" t="n">
        <v>5</v>
      </c>
      <c r="AY369" s="54">
        <f>IF(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&lt;=0,"",VLOOKUP(B369,country_opex,7,FALSE)/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)</f>
        <v/>
      </c>
      <c r="AZ369" s="54">
        <f>IF(((W369*pax_cap*IF(B369="South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Korea",korea_mid_revleg,revleg_mid)),0))*VLOOKUP(B369,country_opex,3,FALSE))+Z369+AA369+AB369+AC369+AD369))&lt;=0,"",VLOOKUP(B369,country_opex,7,FALSE)/((W369*pax_cap*IF(B369="South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Korea",korea_mid_revleg,revleg_mid)),0))*VLOOKUP(B369,country_opex,3,FALSE))+Z369+AA369+AB369+AC369+AD369)))</f>
        <v/>
      </c>
      <c r="BA369" s="54">
        <f>IF(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&lt;=0,"",VLOOKUP(B369,country_opex,7,FALSE)/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)</f>
        <v/>
      </c>
      <c r="BB3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9" s="43" t="inlineStr">
        <is>
          <t>e__mald__cef2887c4a31</t>
        </is>
      </c>
    </row>
    <row r="370">
      <c r="A370" s="38" t="inlineStr">
        <is>
          <t>Maldives (JIH)</t>
        </is>
      </c>
      <c r="B370" s="38" t="inlineStr">
        <is>
          <t>Maldives</t>
        </is>
      </c>
      <c r="C370" s="39" t="inlineStr">
        <is>
          <t>Kudahuvadhoo Airport, Dhaalu → St. Regis Vommuli (Dhaalu)</t>
        </is>
      </c>
      <c r="D370" s="38" t="inlineStr">
        <is>
          <t>jih-global</t>
        </is>
      </c>
      <c r="E370" s="40" t="inlineStr">
        <is>
          <t>maldives-jih</t>
        </is>
      </c>
      <c r="F370" s="41" t="n">
        <v>1</v>
      </c>
      <c r="G370" s="42" t="n">
        <v>17</v>
      </c>
      <c r="H370" s="35" t="n">
        <v>175</v>
      </c>
      <c r="I370" s="43" t="inlineStr">
        <is>
          <t>T3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IF(B370="South Korea",G370/korea_charge_range_nm*korea_full_range_charge_min,0)</f>
        <v/>
      </c>
      <c r="N370" s="44">
        <f>IF(B370="South Korea",L370+korea_turn_min+korea_dwell_min+M370,L370+turn_min+dwell_min)</f>
        <v/>
      </c>
      <c r="O370" s="45">
        <f>IF(B370="South Korea",FLOOR(60*korea_service_hr/N370,1),MIN(15,FLOOR(60*service_hr/N370,1)))</f>
        <v/>
      </c>
      <c r="P370" s="45">
        <f>IF(ABS(MOD(ABS((365*mech_uptime*K370)),1)-0.5)&lt;1E-9,2*ROUND((365*mech_uptime*K370)/2,0),ROUND((365*mech_uptime*K370),0))</f>
        <v/>
      </c>
      <c r="Q370" s="46">
        <f>mech_uptime</f>
        <v/>
      </c>
      <c r="R370" s="46">
        <f>IF(AND(B370="South Korea",scenario="MID"),korea_mid_revleg,revleg_sel)</f>
        <v/>
      </c>
      <c r="S370" s="45">
        <f>IF(ABS(MOD(ABS((O370*P370*R370)),1)-0.5)&lt;1E-9,2*ROUND((O370*P370*R370)/2,0),ROUND((O370*P370*R370),0))</f>
        <v/>
      </c>
      <c r="T370" s="46">
        <f>IF(AND(B370="South Korea",scenario="MID"),korea_mid_load,load_sel)</f>
        <v/>
      </c>
      <c r="U370" s="47">
        <f>pax_cap*T370</f>
        <v/>
      </c>
      <c r="V370" s="45">
        <f>U370*S370</f>
        <v/>
      </c>
      <c r="W370" s="48">
        <f>H370*discount</f>
        <v/>
      </c>
      <c r="X370" s="49">
        <f>W370*V370</f>
        <v/>
      </c>
      <c r="Y370" s="49">
        <f>(battery/range_nm)*G370*S370*VLOOKUP(B370,country_opex,3,FALSE)</f>
        <v/>
      </c>
      <c r="Z370" s="49">
        <f>VLOOKUP(B370,country_opex,2,FALSE)*crew_factor</f>
        <v/>
      </c>
      <c r="AA370" s="49">
        <f>VLOOKUP(B370,country_opex,5,FALSE)</f>
        <v/>
      </c>
      <c r="AB370" s="49">
        <f>maint</f>
        <v/>
      </c>
      <c r="AC370" s="49">
        <f>VLOOKUP(B370,country_opex,7,FALSE)*ins_pct</f>
        <v/>
      </c>
      <c r="AD370" s="49">
        <f>charge_berth</f>
        <v/>
      </c>
      <c r="AE370" s="49">
        <f>Y370+Z370+AA370+AB370+AC370+AD370</f>
        <v/>
      </c>
      <c r="AF370" s="49">
        <f>VLOOKUP(B370,country_opex,7,FALSE)/dep_years</f>
        <v/>
      </c>
      <c r="AG370" s="49">
        <f>X370-AE370</f>
        <v/>
      </c>
      <c r="AH370" s="46">
        <f>IF(X370=0,"",AG370/X370)</f>
        <v/>
      </c>
      <c r="AI370" s="47">
        <f>IF(AG370&lt;=0,"",VLOOKUP(B370,country_opex,7,FALSE)/AG370)</f>
        <v/>
      </c>
      <c r="AJ370" s="44">
        <f>((G370*S370/diesel_nmpg)*diesel_co2pg-(battery/range_nm)*G370*S370*VLOOKUP(B370,country_opex,4,FALSE))/1000</f>
        <v/>
      </c>
      <c r="AK370" s="42" t="n">
        <v>5751</v>
      </c>
      <c r="AL370" s="43" t="inlineStr">
        <is>
          <t>T5</t>
        </is>
      </c>
      <c r="AM370" s="43" t="inlineStr">
        <is>
          <t>med</t>
        </is>
      </c>
      <c r="AN370" s="50" t="n">
        <v>0.9</v>
      </c>
      <c r="AO370" s="45">
        <f>IF(AK370="","",AK370*AN370)</f>
        <v/>
      </c>
      <c r="AP370" s="45">
        <f>IF(OR(AK370="",V370=0),"",MIN(IF(AX370="",9.9E+99,AX370),FLOOR(AO370/V370,1)))</f>
        <v/>
      </c>
      <c r="AQ370" s="49">
        <f>IF(AP370="","",AP370*IF(ABS(MOD(ABS((X370)),1)-0.5)&lt;1E-9,2*ROUND((X370)/2,0),ROUND((X370),0)))</f>
        <v/>
      </c>
      <c r="AR370" s="47">
        <f>IF(OR(AK370="",V370=0),"",MIN(IF(AX370="",9.9E+99,AX370),AO370/V370))</f>
        <v/>
      </c>
      <c r="AS370" s="49">
        <f>IF(AR370="","",AR370*IF(B370="South Korea",IF(ABS(MOD(ABS((X370)),1)-0.5)&lt;1E-9,2*ROUND((X370)/2,0),ROUND((X370),0)),X370))</f>
        <v/>
      </c>
      <c r="AT370" s="51" t="n"/>
      <c r="AU370" s="43" t="inlineStr">
        <is>
          <t>Grounded</t>
        </is>
      </c>
      <c r="AV370" s="52" t="n"/>
      <c r="AW370" s="52" t="n"/>
      <c r="AX370" s="53" t="n">
        <v>4</v>
      </c>
      <c r="AY370" s="54">
        <f>IF(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&lt;=0,"",VLOOKUP(B370,country_opex,7,FALSE)/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)</f>
        <v/>
      </c>
      <c r="AZ370" s="54">
        <f>IF(((W370*pax_cap*IF(B370="South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Korea",korea_mid_revleg,revleg_mid)),0))*VLOOKUP(B370,country_opex,3,FALSE))+Z370+AA370+AB370+AC370+AD370))&lt;=0,"",VLOOKUP(B370,country_opex,7,FALSE)/((W370*pax_cap*IF(B370="South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Korea",korea_mid_revleg,revleg_mid)),0))*VLOOKUP(B370,country_opex,3,FALSE))+Z370+AA370+AB370+AC370+AD370)))</f>
        <v/>
      </c>
      <c r="BA370" s="54">
        <f>IF(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&lt;=0,"",VLOOKUP(B370,country_opex,7,FALSE)/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)</f>
        <v/>
      </c>
      <c r="BB37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0" s="43" t="inlineStr">
        <is>
          <t>e__mald__d549db406b20</t>
        </is>
      </c>
    </row>
    <row r="371">
      <c r="A371" s="38" t="inlineStr">
        <is>
          <t>Maldives (JIH)</t>
        </is>
      </c>
      <c r="B371" s="38" t="inlineStr">
        <is>
          <t>Maldives</t>
        </is>
      </c>
      <c r="C371" s="39" t="inlineStr">
        <is>
          <t>Maafaru Airport, Noonu → Velaa Private Island (Noonu)</t>
        </is>
      </c>
      <c r="D371" s="38" t="inlineStr">
        <is>
          <t>jih-global</t>
        </is>
      </c>
      <c r="E371" s="40" t="inlineStr">
        <is>
          <t>maldives-jih</t>
        </is>
      </c>
      <c r="F371" s="41" t="n">
        <v>1</v>
      </c>
      <c r="G371" s="42" t="n">
        <v>17.1</v>
      </c>
      <c r="H371" s="35" t="n">
        <v>200</v>
      </c>
      <c r="I371" s="43" t="inlineStr">
        <is>
          <t>T3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IF(B371="South Korea",G371/korea_charge_range_nm*korea_full_range_charge_min,0)</f>
        <v/>
      </c>
      <c r="N371" s="44">
        <f>IF(B371="South Korea",L371+korea_turn_min+korea_dwell_min+M371,L371+turn_min+dwell_min)</f>
        <v/>
      </c>
      <c r="O371" s="45">
        <f>IF(B371="South Korea",FLOOR(60*korea_service_hr/N371,1),MIN(15,FLOOR(60*service_hr/N371,1)))</f>
        <v/>
      </c>
      <c r="P371" s="45">
        <f>IF(ABS(MOD(ABS((365*mech_uptime*K371)),1)-0.5)&lt;1E-9,2*ROUND((365*mech_uptime*K371)/2,0),ROUND((365*mech_uptime*K371),0))</f>
        <v/>
      </c>
      <c r="Q371" s="46">
        <f>mech_uptime</f>
        <v/>
      </c>
      <c r="R371" s="46">
        <f>IF(AND(B371="South Korea",scenario="MID"),korea_mid_revleg,revleg_sel)</f>
        <v/>
      </c>
      <c r="S371" s="45">
        <f>IF(ABS(MOD(ABS((O371*P371*R371)),1)-0.5)&lt;1E-9,2*ROUND((O371*P371*R371)/2,0),ROUND((O371*P371*R371),0))</f>
        <v/>
      </c>
      <c r="T371" s="46">
        <f>IF(AND(B371="South Korea",scenario="MID"),korea_mid_load,load_sel)</f>
        <v/>
      </c>
      <c r="U371" s="47">
        <f>pax_cap*T371</f>
        <v/>
      </c>
      <c r="V371" s="45">
        <f>U371*S371</f>
        <v/>
      </c>
      <c r="W371" s="48">
        <f>H371*discount</f>
        <v/>
      </c>
      <c r="X371" s="49">
        <f>W371*V371</f>
        <v/>
      </c>
      <c r="Y371" s="49">
        <f>(battery/range_nm)*G371*S371*VLOOKUP(B371,country_opex,3,FALSE)</f>
        <v/>
      </c>
      <c r="Z371" s="49">
        <f>VLOOKUP(B371,country_opex,2,FALSE)*crew_factor</f>
        <v/>
      </c>
      <c r="AA371" s="49">
        <f>VLOOKUP(B371,country_opex,5,FALSE)</f>
        <v/>
      </c>
      <c r="AB371" s="49">
        <f>maint</f>
        <v/>
      </c>
      <c r="AC371" s="49">
        <f>VLOOKUP(B371,country_opex,7,FALSE)*ins_pct</f>
        <v/>
      </c>
      <c r="AD371" s="49">
        <f>charge_berth</f>
        <v/>
      </c>
      <c r="AE371" s="49">
        <f>Y371+Z371+AA371+AB371+AC371+AD371</f>
        <v/>
      </c>
      <c r="AF371" s="49">
        <f>VLOOKUP(B371,country_opex,7,FALSE)/dep_years</f>
        <v/>
      </c>
      <c r="AG371" s="49">
        <f>X371-AE371</f>
        <v/>
      </c>
      <c r="AH371" s="46">
        <f>IF(X371=0,"",AG371/X371)</f>
        <v/>
      </c>
      <c r="AI371" s="47">
        <f>IF(AG371&lt;=0,"",VLOOKUP(B371,country_opex,7,FALSE)/AG371)</f>
        <v/>
      </c>
      <c r="AJ371" s="44">
        <f>((G371*S371/diesel_nmpg)*diesel_co2pg-(battery/range_nm)*G371*S371*VLOOKUP(B371,country_opex,4,FALSE))/1000</f>
        <v/>
      </c>
      <c r="AK371" s="42" t="n">
        <v>3510</v>
      </c>
      <c r="AL371" s="43" t="inlineStr">
        <is>
          <t>T5</t>
        </is>
      </c>
      <c r="AM371" s="43" t="inlineStr">
        <is>
          <t>med</t>
        </is>
      </c>
      <c r="AN371" s="50" t="n">
        <v>0.9</v>
      </c>
      <c r="AO371" s="45">
        <f>IF(AK371="","",AK371*AN371)</f>
        <v/>
      </c>
      <c r="AP371" s="45">
        <f>IF(OR(AK371="",V371=0),"",MIN(IF(AX371="",9.9E+99,AX371),FLOOR(AO371/V371,1)))</f>
        <v/>
      </c>
      <c r="AQ371" s="49">
        <f>IF(AP371="","",AP371*IF(ABS(MOD(ABS((X371)),1)-0.5)&lt;1E-9,2*ROUND((X371)/2,0),ROUND((X371),0)))</f>
        <v/>
      </c>
      <c r="AR371" s="47">
        <f>IF(OR(AK371="",V371=0),"",MIN(IF(AX371="",9.9E+99,AX371),AO371/V371))</f>
        <v/>
      </c>
      <c r="AS371" s="49">
        <f>IF(AR371="","",AR371*IF(B371="South Korea",IF(ABS(MOD(ABS((X371)),1)-0.5)&lt;1E-9,2*ROUND((X371)/2,0),ROUND((X371),0)),X371))</f>
        <v/>
      </c>
      <c r="AT371" s="51" t="n"/>
      <c r="AU371" s="43" t="inlineStr">
        <is>
          <t>Grounded</t>
        </is>
      </c>
      <c r="AV371" s="52" t="n"/>
      <c r="AW371" s="52" t="n"/>
      <c r="AX371" s="53" t="n">
        <v>2</v>
      </c>
      <c r="AY371" s="54">
        <f>IF(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&lt;=0,"",VLOOKUP(B371,country_opex,7,FALSE)/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)</f>
        <v/>
      </c>
      <c r="AZ371" s="54">
        <f>IF(((W371*pax_cap*IF(B371="South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Korea",korea_mid_revleg,revleg_mid)),0))*VLOOKUP(B371,country_opex,3,FALSE))+Z371+AA371+AB371+AC371+AD371))&lt;=0,"",VLOOKUP(B371,country_opex,7,FALSE)/((W371*pax_cap*IF(B371="South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Korea",korea_mid_revleg,revleg_mid)),0))*VLOOKUP(B371,country_opex,3,FALSE))+Z371+AA371+AB371+AC371+AD371)))</f>
        <v/>
      </c>
      <c r="BA371" s="54">
        <f>IF(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&lt;=0,"",VLOOKUP(B371,country_opex,7,FALSE)/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)</f>
        <v/>
      </c>
      <c r="BB3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1" s="43" t="inlineStr">
        <is>
          <t>e__mald__7daa80d2dca0</t>
        </is>
      </c>
    </row>
    <row r="372">
      <c r="A372" s="38" t="inlineStr">
        <is>
          <t>Maldives (JIH)</t>
        </is>
      </c>
      <c r="B372" s="38" t="inlineStr">
        <is>
          <t>Maldives</t>
        </is>
      </c>
      <c r="C372" s="39" t="inlineStr">
        <is>
          <t>Hurawalhi (Lhaviyani) → Le Meridien Maldives Thilamaafushi (Lhaviyani)</t>
        </is>
      </c>
      <c r="D372" s="38" t="inlineStr">
        <is>
          <t>jih-global</t>
        </is>
      </c>
      <c r="E372" s="40" t="inlineStr">
        <is>
          <t>maldives-jih</t>
        </is>
      </c>
      <c r="F372" s="41" t="n">
        <v>1</v>
      </c>
      <c r="G372" s="42" t="n">
        <v>19.8</v>
      </c>
      <c r="H372" s="35" t="n">
        <v>150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IF(B372="South Korea",G372/korea_charge_range_nm*korea_full_range_charge_min,0)</f>
        <v/>
      </c>
      <c r="N372" s="44">
        <f>IF(B372="South Korea",L372+korea_turn_min+korea_dwell_min+M372,L372+turn_min+dwell_min)</f>
        <v/>
      </c>
      <c r="O372" s="45">
        <f>IF(B372="South Korea",FLOOR(60*korea_service_hr/N372,1),MIN(15,FLOOR(60*service_hr/N372,1)))</f>
        <v/>
      </c>
      <c r="P372" s="45">
        <f>IF(ABS(MOD(ABS((365*mech_uptime*K372)),1)-0.5)&lt;1E-9,2*ROUND((365*mech_uptime*K372)/2,0),ROUND((365*mech_uptime*K372),0))</f>
        <v/>
      </c>
      <c r="Q372" s="46">
        <f>mech_uptime</f>
        <v/>
      </c>
      <c r="R372" s="46">
        <f>IF(AND(B372="South Korea",scenario="MID"),korea_mid_revleg,revleg_sel)</f>
        <v/>
      </c>
      <c r="S372" s="45">
        <f>IF(ABS(MOD(ABS((O372*P372*R372)),1)-0.5)&lt;1E-9,2*ROUND((O372*P372*R372)/2,0),ROUND((O372*P372*R372),0))</f>
        <v/>
      </c>
      <c r="T372" s="46">
        <f>IF(AND(B372="South Korea",scenario="MID"),korea_mid_load,load_sel)</f>
        <v/>
      </c>
      <c r="U372" s="47">
        <f>pax_cap*T372</f>
        <v/>
      </c>
      <c r="V372" s="45">
        <f>U372*S372</f>
        <v/>
      </c>
      <c r="W372" s="48">
        <f>H372*discount</f>
        <v/>
      </c>
      <c r="X372" s="49">
        <f>W372*V372</f>
        <v/>
      </c>
      <c r="Y372" s="49">
        <f>(battery/range_nm)*G372*S372*VLOOKUP(B372,country_opex,3,FALSE)</f>
        <v/>
      </c>
      <c r="Z372" s="49">
        <f>VLOOKUP(B372,country_opex,2,FALSE)*crew_factor</f>
        <v/>
      </c>
      <c r="AA372" s="49">
        <f>VLOOKUP(B372,country_opex,5,FALSE)</f>
        <v/>
      </c>
      <c r="AB372" s="49">
        <f>maint</f>
        <v/>
      </c>
      <c r="AC372" s="49">
        <f>VLOOKUP(B372,country_opex,7,FALSE)*ins_pct</f>
        <v/>
      </c>
      <c r="AD372" s="49">
        <f>charge_berth</f>
        <v/>
      </c>
      <c r="AE372" s="49">
        <f>Y372+Z372+AA372+AB372+AC372+AD372</f>
        <v/>
      </c>
      <c r="AF372" s="49">
        <f>VLOOKUP(B372,country_opex,7,FALSE)/dep_years</f>
        <v/>
      </c>
      <c r="AG372" s="49">
        <f>X372-AE372</f>
        <v/>
      </c>
      <c r="AH372" s="46">
        <f>IF(X372=0,"",AG372/X372)</f>
        <v/>
      </c>
      <c r="AI372" s="47">
        <f>IF(AG372&lt;=0,"",VLOOKUP(B372,country_opex,7,FALSE)/AG372)</f>
        <v/>
      </c>
      <c r="AJ372" s="44">
        <f>((G372*S372/diesel_nmpg)*diesel_co2pg-(battery/range_nm)*G372*S372*VLOOKUP(B372,country_opex,4,FALSE))/1000</f>
        <v/>
      </c>
      <c r="AK372" s="42" t="n"/>
      <c r="AL372" s="43" t="n"/>
      <c r="AM372" s="43" t="inlineStr">
        <is>
          <t>null</t>
        </is>
      </c>
      <c r="AN372" s="50" t="n">
        <v>0.9</v>
      </c>
      <c r="AO372" s="45">
        <f>IF(AK372="","",AK372*AN372)</f>
        <v/>
      </c>
      <c r="AP372" s="45">
        <f>IF(OR(AK372="",V372=0),"",MIN(IF(AX372="",9.9E+99,AX372),FLOOR(AO372/V372,1)))</f>
        <v/>
      </c>
      <c r="AQ372" s="49">
        <f>IF(AP372="","",AP372*IF(ABS(MOD(ABS((X372)),1)-0.5)&lt;1E-9,2*ROUND((X372)/2,0),ROUND((X372),0)))</f>
        <v/>
      </c>
      <c r="AR372" s="47">
        <f>IF(OR(AK372="",V372=0),"",MIN(IF(AX372="",9.9E+99,AX372),AO372/V372))</f>
        <v/>
      </c>
      <c r="AS372" s="49">
        <f>IF(AR372="","",AR372*IF(B372="South Korea",IF(ABS(MOD(ABS((X372)),1)-0.5)&lt;1E-9,2*ROUND((X372)/2,0),ROUND((X372),0)),X372))</f>
        <v/>
      </c>
      <c r="AT372" s="51" t="n"/>
      <c r="AU372" s="43" t="inlineStr">
        <is>
          <t>Estimated</t>
        </is>
      </c>
      <c r="AV372" s="52" t="n"/>
      <c r="AW372" s="52" t="n"/>
      <c r="AX372" s="53" t="n"/>
      <c r="AY372" s="54">
        <f>IF(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&lt;=0,"",VLOOKUP(B372,country_opex,7,FALSE)/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)</f>
        <v/>
      </c>
      <c r="AZ372" s="54">
        <f>IF(((W372*pax_cap*IF(B372="South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Korea",korea_mid_revleg,revleg_mid)),0))*VLOOKUP(B372,country_opex,3,FALSE))+Z372+AA372+AB372+AC372+AD372))&lt;=0,"",VLOOKUP(B372,country_opex,7,FALSE)/((W372*pax_cap*IF(B372="South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Korea",korea_mid_revleg,revleg_mid)),0))*VLOOKUP(B372,country_opex,3,FALSE))+Z372+AA372+AB372+AC372+AD372)))</f>
        <v/>
      </c>
      <c r="BA372" s="54">
        <f>IF(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&lt;=0,"",VLOOKUP(B372,country_opex,7,FALSE)/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)</f>
        <v/>
      </c>
      <c r="BB37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2" s="40" t="inlineStr">
        <is>
          <t>NULL — pure inter-resort island-hop; no grounded crossing pool (R2). Geometry only.</t>
        </is>
      </c>
      <c r="BD372" s="43" t="inlineStr">
        <is>
          <t>e__mald__213fc6446c15</t>
        </is>
      </c>
    </row>
    <row r="373">
      <c r="A373" s="38" t="inlineStr">
        <is>
          <t>Maldives (JIH)</t>
        </is>
      </c>
      <c r="B373" s="38" t="inlineStr">
        <is>
          <t>Maldives</t>
        </is>
      </c>
      <c r="C373" s="39" t="inlineStr">
        <is>
          <t>Velana International Airport (MLE) Resort Speedboat Lounges → One&amp;Only Reethi Rah</t>
        </is>
      </c>
      <c r="D373" s="38" t="inlineStr">
        <is>
          <t>jih-global</t>
        </is>
      </c>
      <c r="E373" s="40" t="inlineStr">
        <is>
          <t>maldives-jih</t>
        </is>
      </c>
      <c r="F373" s="41" t="n">
        <v>1</v>
      </c>
      <c r="G373" s="42" t="n">
        <v>22</v>
      </c>
      <c r="H373" s="35" t="n">
        <v>500</v>
      </c>
      <c r="I373" s="43" t="inlineStr">
        <is>
          <t>T3</t>
        </is>
      </c>
      <c r="J373" s="43" t="inlineStr">
        <is>
          <t>med</t>
        </is>
      </c>
      <c r="K373" s="29" t="n">
        <v>1</v>
      </c>
      <c r="L373" s="44">
        <f>60*G373/cruise_kt</f>
        <v/>
      </c>
      <c r="M373" s="44">
        <f>IF(B373="South Korea",G373/korea_charge_range_nm*korea_full_range_charge_min,0)</f>
        <v/>
      </c>
      <c r="N373" s="44">
        <f>IF(B373="South Korea",L373+korea_turn_min+korea_dwell_min+M373,L373+turn_min+dwell_min)</f>
        <v/>
      </c>
      <c r="O373" s="45">
        <f>IF(B373="South Korea",FLOOR(60*korea_service_hr/N373,1),MIN(15,FLOOR(60*service_hr/N373,1)))</f>
        <v/>
      </c>
      <c r="P373" s="45">
        <f>IF(ABS(MOD(ABS((365*mech_uptime*K373)),1)-0.5)&lt;1E-9,2*ROUND((365*mech_uptime*K373)/2,0),ROUND((365*mech_uptime*K373),0))</f>
        <v/>
      </c>
      <c r="Q373" s="46">
        <f>mech_uptime</f>
        <v/>
      </c>
      <c r="R373" s="46">
        <f>IF(AND(B373="South Korea",scenario="MID"),korea_mid_revleg,revleg_sel)</f>
        <v/>
      </c>
      <c r="S373" s="45">
        <f>IF(ABS(MOD(ABS((O373*P373*R373)),1)-0.5)&lt;1E-9,2*ROUND((O373*P373*R373)/2,0),ROUND((O373*P373*R373),0))</f>
        <v/>
      </c>
      <c r="T373" s="46">
        <f>IF(AND(B373="South Korea",scenario="MID"),korea_mid_load,load_sel)</f>
        <v/>
      </c>
      <c r="U373" s="47">
        <f>pax_cap*T373</f>
        <v/>
      </c>
      <c r="V373" s="45">
        <f>U373*S373</f>
        <v/>
      </c>
      <c r="W373" s="48">
        <f>H373*discount</f>
        <v/>
      </c>
      <c r="X373" s="49">
        <f>W373*V373</f>
        <v/>
      </c>
      <c r="Y373" s="49">
        <f>(battery/range_nm)*G373*S373*VLOOKUP(B373,country_opex,3,FALSE)</f>
        <v/>
      </c>
      <c r="Z373" s="49">
        <f>VLOOKUP(B373,country_opex,2,FALSE)*crew_factor</f>
        <v/>
      </c>
      <c r="AA373" s="49">
        <f>VLOOKUP(B373,country_opex,5,FALSE)</f>
        <v/>
      </c>
      <c r="AB373" s="49">
        <f>maint</f>
        <v/>
      </c>
      <c r="AC373" s="49">
        <f>VLOOKUP(B373,country_opex,7,FALSE)*ins_pct</f>
        <v/>
      </c>
      <c r="AD373" s="49">
        <f>charge_berth</f>
        <v/>
      </c>
      <c r="AE373" s="49">
        <f>Y373+Z373+AA373+AB373+AC373+AD373</f>
        <v/>
      </c>
      <c r="AF373" s="49">
        <f>VLOOKUP(B373,country_opex,7,FALSE)/dep_years</f>
        <v/>
      </c>
      <c r="AG373" s="49">
        <f>X373-AE373</f>
        <v/>
      </c>
      <c r="AH373" s="46">
        <f>IF(X373=0,"",AG373/X373)</f>
        <v/>
      </c>
      <c r="AI373" s="47">
        <f>IF(AG373&lt;=0,"",VLOOKUP(B373,country_opex,7,FALSE)/AG373)</f>
        <v/>
      </c>
      <c r="AJ373" s="44">
        <f>((G373*S373/diesel_nmpg)*diesel_co2pg-(battery/range_nm)*G373*S373*VLOOKUP(B373,country_opex,4,FALSE))/1000</f>
        <v/>
      </c>
      <c r="AK373" s="42" t="n">
        <v>20300</v>
      </c>
      <c r="AL373" s="43" t="inlineStr">
        <is>
          <t>T5</t>
        </is>
      </c>
      <c r="AM373" s="43" t="inlineStr">
        <is>
          <t>low-med</t>
        </is>
      </c>
      <c r="AN373" s="50" t="n">
        <v>0.9</v>
      </c>
      <c r="AO373" s="45">
        <f>IF(AK373="","",AK373*AN373)</f>
        <v/>
      </c>
      <c r="AP373" s="45">
        <f>IF(OR(AK373="",V373=0),"",MIN(IF(AX373="",9.9E+99,AX373),FLOOR(AO373/V373,1)))</f>
        <v/>
      </c>
      <c r="AQ373" s="49">
        <f>IF(AP373="","",AP373*IF(ABS(MOD(ABS((X373)),1)-0.5)&lt;1E-9,2*ROUND((X373)/2,0),ROUND((X373),0)))</f>
        <v/>
      </c>
      <c r="AR373" s="47">
        <f>IF(OR(AK373="",V373=0),"",MIN(IF(AX373="",9.9E+99,AX373),AO373/V373))</f>
        <v/>
      </c>
      <c r="AS373" s="49">
        <f>IF(AR373="","",AR373*IF(B373="South Korea",IF(ABS(MOD(ABS((X373)),1)-0.5)&lt;1E-9,2*ROUND((X373)/2,0),ROUND((X373),0)),X373))</f>
        <v/>
      </c>
      <c r="AT373" s="51" t="n"/>
      <c r="AU373" s="43" t="inlineStr">
        <is>
          <t>Grounded</t>
        </is>
      </c>
      <c r="AV373" s="52" t="n"/>
      <c r="AW373" s="52" t="n"/>
      <c r="AX373" s="53" t="n">
        <v>5</v>
      </c>
      <c r="AY373" s="54">
        <f>IF(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&lt;=0,"",VLOOKUP(B373,country_opex,7,FALSE)/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)</f>
        <v/>
      </c>
      <c r="AZ373" s="54">
        <f>IF(((W373*pax_cap*IF(B373="South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Korea",korea_mid_revleg,revleg_mid)),0))*VLOOKUP(B373,country_opex,3,FALSE))+Z373+AA373+AB373+AC373+AD373))&lt;=0,"",VLOOKUP(B373,country_opex,7,FALSE)/((W373*pax_cap*IF(B373="South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Korea",korea_mid_revleg,revleg_mid)),0))*VLOOKUP(B373,country_opex,3,FALSE))+Z373+AA373+AB373+AC373+AD373)))</f>
        <v/>
      </c>
      <c r="BA373" s="54">
        <f>IF(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&lt;=0,"",VLOOKUP(B373,country_opex,7,FALSE)/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)</f>
        <v/>
      </c>
      <c r="BB373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C373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  <c r="BD373" s="43" t="inlineStr">
        <is>
          <t>e__velana__westin-miriandhoo-jetty</t>
        </is>
      </c>
    </row>
    <row r="374">
      <c r="A374" s="38" t="inlineStr">
        <is>
          <t>Maldives (JIH)</t>
        </is>
      </c>
      <c r="B374" s="38" t="inlineStr">
        <is>
          <t>Maldives</t>
        </is>
      </c>
      <c r="C374" s="39" t="inlineStr">
        <is>
          <t>Ifuru Airport, Raa → InterContinental Maamunagau (Raa)</t>
        </is>
      </c>
      <c r="D374" s="38" t="inlineStr">
        <is>
          <t>jih-global</t>
        </is>
      </c>
      <c r="E374" s="40" t="inlineStr">
        <is>
          <t>maldives-jih</t>
        </is>
      </c>
      <c r="F374" s="41" t="n">
        <v>1</v>
      </c>
      <c r="G374" s="42" t="n">
        <v>23.1</v>
      </c>
      <c r="H374" s="35" t="n">
        <v>150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IF(B374="South Korea",G374/korea_charge_range_nm*korea_full_range_charge_min,0)</f>
        <v/>
      </c>
      <c r="N374" s="44">
        <f>IF(B374="South Korea",L374+korea_turn_min+korea_dwell_min+M374,L374+turn_min+dwell_min)</f>
        <v/>
      </c>
      <c r="O374" s="45">
        <f>IF(B374="South Korea",FLOOR(60*korea_service_hr/N374,1),MIN(15,FLOOR(60*service_hr/N374,1)))</f>
        <v/>
      </c>
      <c r="P374" s="45">
        <f>IF(ABS(MOD(ABS((365*mech_uptime*K374)),1)-0.5)&lt;1E-9,2*ROUND((365*mech_uptime*K374)/2,0),ROUND((365*mech_uptime*K374),0))</f>
        <v/>
      </c>
      <c r="Q374" s="46">
        <f>mech_uptime</f>
        <v/>
      </c>
      <c r="R374" s="46">
        <f>IF(AND(B374="South Korea",scenario="MID"),korea_mid_revleg,revleg_sel)</f>
        <v/>
      </c>
      <c r="S374" s="45">
        <f>IF(ABS(MOD(ABS((O374*P374*R374)),1)-0.5)&lt;1E-9,2*ROUND((O374*P374*R374)/2,0),ROUND((O374*P374*R374),0))</f>
        <v/>
      </c>
      <c r="T374" s="46">
        <f>IF(AND(B374="South Korea",scenario="MID"),korea_mid_load,load_sel)</f>
        <v/>
      </c>
      <c r="U374" s="47">
        <f>pax_cap*T374</f>
        <v/>
      </c>
      <c r="V374" s="45">
        <f>U374*S374</f>
        <v/>
      </c>
      <c r="W374" s="48">
        <f>H374*discount</f>
        <v/>
      </c>
      <c r="X374" s="49">
        <f>W374*V374</f>
        <v/>
      </c>
      <c r="Y374" s="49">
        <f>(battery/range_nm)*G374*S374*VLOOKUP(B374,country_opex,3,FALSE)</f>
        <v/>
      </c>
      <c r="Z374" s="49">
        <f>VLOOKUP(B374,country_opex,2,FALSE)*crew_factor</f>
        <v/>
      </c>
      <c r="AA374" s="49">
        <f>VLOOKUP(B374,country_opex,5,FALSE)</f>
        <v/>
      </c>
      <c r="AB374" s="49">
        <f>maint</f>
        <v/>
      </c>
      <c r="AC374" s="49">
        <f>VLOOKUP(B374,country_opex,7,FALSE)*ins_pct</f>
        <v/>
      </c>
      <c r="AD374" s="49">
        <f>charge_berth</f>
        <v/>
      </c>
      <c r="AE374" s="49">
        <f>Y374+Z374+AA374+AB374+AC374+AD374</f>
        <v/>
      </c>
      <c r="AF374" s="49">
        <f>VLOOKUP(B374,country_opex,7,FALSE)/dep_years</f>
        <v/>
      </c>
      <c r="AG374" s="49">
        <f>X374-AE374</f>
        <v/>
      </c>
      <c r="AH374" s="46">
        <f>IF(X374=0,"",AG374/X374)</f>
        <v/>
      </c>
      <c r="AI374" s="47">
        <f>IF(AG374&lt;=0,"",VLOOKUP(B374,country_opex,7,FALSE)/AG374)</f>
        <v/>
      </c>
      <c r="AJ374" s="44">
        <f>((G374*S374/diesel_nmpg)*diesel_co2pg-(battery/range_nm)*G374*S374*VLOOKUP(B374,country_opex,4,FALSE))/1000</f>
        <v/>
      </c>
      <c r="AK374" s="42" t="n">
        <v>6049</v>
      </c>
      <c r="AL374" s="43" t="inlineStr">
        <is>
          <t>T5</t>
        </is>
      </c>
      <c r="AM374" s="43" t="inlineStr">
        <is>
          <t>med</t>
        </is>
      </c>
      <c r="AN374" s="50" t="n">
        <v>0.9</v>
      </c>
      <c r="AO374" s="45">
        <f>IF(AK374="","",AK374*AN374)</f>
        <v/>
      </c>
      <c r="AP374" s="45">
        <f>IF(OR(AK374="",V374=0),"",MIN(IF(AX374="",9.9E+99,AX374),FLOOR(AO374/V374,1)))</f>
        <v/>
      </c>
      <c r="AQ374" s="49">
        <f>IF(AP374="","",AP374*IF(ABS(MOD(ABS((X374)),1)-0.5)&lt;1E-9,2*ROUND((X374)/2,0),ROUND((X374),0)))</f>
        <v/>
      </c>
      <c r="AR374" s="47">
        <f>IF(OR(AK374="",V374=0),"",MIN(IF(AX374="",9.9E+99,AX374),AO374/V374))</f>
        <v/>
      </c>
      <c r="AS374" s="49">
        <f>IF(AR374="","",AR374*IF(B374="South Korea",IF(ABS(MOD(ABS((X374)),1)-0.5)&lt;1E-9,2*ROUND((X374)/2,0),ROUND((X374),0)),X374))</f>
        <v/>
      </c>
      <c r="AT374" s="51" t="n"/>
      <c r="AU374" s="43" t="inlineStr">
        <is>
          <t>Grounded</t>
        </is>
      </c>
      <c r="AV374" s="52" t="n"/>
      <c r="AW374" s="52" t="n"/>
      <c r="AX374" s="53" t="n">
        <v>4</v>
      </c>
      <c r="AY374" s="54">
        <f>IF(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&lt;=0,"",VLOOKUP(B374,country_opex,7,FALSE)/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)</f>
        <v/>
      </c>
      <c r="AZ374" s="54">
        <f>IF(((W374*pax_cap*IF(B374="South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Korea",korea_mid_revleg,revleg_mid)),0))*VLOOKUP(B374,country_opex,3,FALSE))+Z374+AA374+AB374+AC374+AD374))&lt;=0,"",VLOOKUP(B374,country_opex,7,FALSE)/((W374*pax_cap*IF(B374="South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Korea",korea_mid_revleg,revleg_mid)),0))*VLOOKUP(B374,country_opex,3,FALSE))+Z374+AA374+AB374+AC374+AD374)))</f>
        <v/>
      </c>
      <c r="BA374" s="54">
        <f>IF(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&lt;=0,"",VLOOKUP(B374,country_opex,7,FALSE)/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)</f>
        <v/>
      </c>
      <c r="BB3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4" s="43" t="inlineStr">
        <is>
          <t>e__mald__ec4f42bb18cf</t>
        </is>
      </c>
    </row>
    <row r="375">
      <c r="A375" s="38" t="inlineStr">
        <is>
          <t>Maldives (JIH)</t>
        </is>
      </c>
      <c r="B375" s="38" t="inlineStr">
        <is>
          <t>Maldives</t>
        </is>
      </c>
      <c r="C375" s="39" t="inlineStr">
        <is>
          <t>Velana International Airport (MLE) Resort Speedboat Lounges → The Ritz-Carlton Maldives, Fari Islands</t>
        </is>
      </c>
      <c r="D375" s="38" t="inlineStr">
        <is>
          <t>jih-global</t>
        </is>
      </c>
      <c r="E375" s="40" t="inlineStr">
        <is>
          <t>maldives-jih</t>
        </is>
      </c>
      <c r="F375" s="41" t="n">
        <v>1</v>
      </c>
      <c r="G375" s="42" t="n">
        <v>26.5</v>
      </c>
      <c r="H375" s="35" t="n">
        <v>510</v>
      </c>
      <c r="I375" s="43" t="inlineStr">
        <is>
          <t>T1</t>
        </is>
      </c>
      <c r="J375" s="43" t="inlineStr">
        <is>
          <t>med-high</t>
        </is>
      </c>
      <c r="K375" s="29" t="n">
        <v>1</v>
      </c>
      <c r="L375" s="44">
        <f>60*G375/cruise_kt</f>
        <v/>
      </c>
      <c r="M375" s="44">
        <f>IF(B375="South Korea",G375/korea_charge_range_nm*korea_full_range_charge_min,0)</f>
        <v/>
      </c>
      <c r="N375" s="44">
        <f>IF(B375="South Korea",L375+korea_turn_min+korea_dwell_min+M375,L375+turn_min+dwell_min)</f>
        <v/>
      </c>
      <c r="O375" s="45">
        <f>IF(B375="South Korea",FLOOR(60*korea_service_hr/N375,1),MIN(15,FLOOR(60*service_hr/N375,1)))</f>
        <v/>
      </c>
      <c r="P375" s="45">
        <f>IF(ABS(MOD(ABS((365*mech_uptime*K375)),1)-0.5)&lt;1E-9,2*ROUND((365*mech_uptime*K375)/2,0),ROUND((365*mech_uptime*K375),0))</f>
        <v/>
      </c>
      <c r="Q375" s="46">
        <f>mech_uptime</f>
        <v/>
      </c>
      <c r="R375" s="46">
        <f>IF(AND(B375="South Korea",scenario="MID"),korea_mid_revleg,revleg_sel)</f>
        <v/>
      </c>
      <c r="S375" s="45">
        <f>IF(ABS(MOD(ABS((O375*P375*R375)),1)-0.5)&lt;1E-9,2*ROUND((O375*P375*R375)/2,0),ROUND((O375*P375*R375),0))</f>
        <v/>
      </c>
      <c r="T375" s="46">
        <f>IF(AND(B375="South Korea",scenario="MID"),korea_mid_load,load_sel)</f>
        <v/>
      </c>
      <c r="U375" s="47">
        <f>pax_cap*T375</f>
        <v/>
      </c>
      <c r="V375" s="45">
        <f>U375*S375</f>
        <v/>
      </c>
      <c r="W375" s="48">
        <f>H375*discount</f>
        <v/>
      </c>
      <c r="X375" s="49">
        <f>W375*V375</f>
        <v/>
      </c>
      <c r="Y375" s="49">
        <f>(battery/range_nm)*G375*S375*VLOOKUP(B375,country_opex,3,FALSE)</f>
        <v/>
      </c>
      <c r="Z375" s="49">
        <f>VLOOKUP(B375,country_opex,2,FALSE)*crew_factor</f>
        <v/>
      </c>
      <c r="AA375" s="49">
        <f>VLOOKUP(B375,country_opex,5,FALSE)</f>
        <v/>
      </c>
      <c r="AB375" s="49">
        <f>maint</f>
        <v/>
      </c>
      <c r="AC375" s="49">
        <f>VLOOKUP(B375,country_opex,7,FALSE)*ins_pct</f>
        <v/>
      </c>
      <c r="AD375" s="49">
        <f>charge_berth</f>
        <v/>
      </c>
      <c r="AE375" s="49">
        <f>Y375+Z375+AA375+AB375+AC375+AD375</f>
        <v/>
      </c>
      <c r="AF375" s="49">
        <f>VLOOKUP(B375,country_opex,7,FALSE)/dep_years</f>
        <v/>
      </c>
      <c r="AG375" s="49">
        <f>X375-AE375</f>
        <v/>
      </c>
      <c r="AH375" s="46">
        <f>IF(X375=0,"",AG375/X375)</f>
        <v/>
      </c>
      <c r="AI375" s="47">
        <f>IF(AG375&lt;=0,"",VLOOKUP(B375,country_opex,7,FALSE)/AG375)</f>
        <v/>
      </c>
      <c r="AJ375" s="44">
        <f>((G375*S375/diesel_nmpg)*diesel_co2pg-(battery/range_nm)*G375*S375*VLOOKUP(B375,country_opex,4,FALSE))/1000</f>
        <v/>
      </c>
      <c r="AK375" s="42" t="n">
        <v>15600</v>
      </c>
      <c r="AL375" s="43" t="inlineStr">
        <is>
          <t>T5</t>
        </is>
      </c>
      <c r="AM375" s="43" t="inlineStr">
        <is>
          <t>low-med</t>
        </is>
      </c>
      <c r="AN375" s="50" t="n">
        <v>0.9</v>
      </c>
      <c r="AO375" s="45">
        <f>IF(AK375="","",AK375*AN375)</f>
        <v/>
      </c>
      <c r="AP375" s="45">
        <f>IF(OR(AK375="",V375=0),"",MIN(IF(AX375="",9.9E+99,AX375),FLOOR(AO375/V375,1)))</f>
        <v/>
      </c>
      <c r="AQ375" s="49">
        <f>IF(AP375="","",AP375*IF(ABS(MOD(ABS((X375)),1)-0.5)&lt;1E-9,2*ROUND((X375)/2,0),ROUND((X375),0)))</f>
        <v/>
      </c>
      <c r="AR375" s="47">
        <f>IF(OR(AK375="",V375=0),"",MIN(IF(AX375="",9.9E+99,AX375),AO375/V375))</f>
        <v/>
      </c>
      <c r="AS375" s="49">
        <f>IF(AR375="","",AR375*IF(B375="South Korea",IF(ABS(MOD(ABS((X375)),1)-0.5)&lt;1E-9,2*ROUND((X375)/2,0),ROUND((X375),0)),X375))</f>
        <v/>
      </c>
      <c r="AT375" s="51" t="n"/>
      <c r="AU375" s="43" t="inlineStr">
        <is>
          <t>Grounded</t>
        </is>
      </c>
      <c r="AV375" s="52" t="n"/>
      <c r="AW375" s="52" t="n"/>
      <c r="AX375" s="53" t="n">
        <v>4</v>
      </c>
      <c r="AY375" s="54">
        <f>IF(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&lt;=0,"",VLOOKUP(B375,country_opex,7,FALSE)/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)</f>
        <v/>
      </c>
      <c r="AZ375" s="54">
        <f>IF(((W375*pax_cap*IF(B375="South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Korea",korea_mid_revleg,revleg_mid)),0))*VLOOKUP(B375,country_opex,3,FALSE))+Z375+AA375+AB375+AC375+AD375))&lt;=0,"",VLOOKUP(B375,country_opex,7,FALSE)/((W375*pax_cap*IF(B375="South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Korea",korea_mid_revleg,revleg_mid)),0))*VLOOKUP(B375,country_opex,3,FALSE))+Z375+AA375+AB375+AC375+AD375)))</f>
        <v/>
      </c>
      <c r="BA375" s="54">
        <f>IF(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&lt;=0,"",VLOOKUP(B375,country_opex,7,FALSE)/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)</f>
        <v/>
      </c>
      <c r="BB375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C375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  <c r="BD375" s="43" t="inlineStr">
        <is>
          <t>e__velana__westin-miriandhoo-jetty</t>
        </is>
      </c>
    </row>
    <row r="376">
      <c r="A376" s="38" t="inlineStr">
        <is>
          <t>Maldives (JIH)</t>
        </is>
      </c>
      <c r="B376" s="38" t="inlineStr">
        <is>
          <t>Maldives</t>
        </is>
      </c>
      <c r="C376" s="39" t="inlineStr">
        <is>
          <t>Velana International Airport (MLE) Resort Speedboat Lounges → Patina Maldives, Fari Islands</t>
        </is>
      </c>
      <c r="D376" s="38" t="inlineStr">
        <is>
          <t>jih-global</t>
        </is>
      </c>
      <c r="E376" s="40" t="inlineStr">
        <is>
          <t>maldives-jih</t>
        </is>
      </c>
      <c r="F376" s="41" t="n">
        <v>1</v>
      </c>
      <c r="G376" s="42" t="n">
        <v>27.4</v>
      </c>
      <c r="H376" s="35" t="n">
        <v>450</v>
      </c>
      <c r="I376" s="43" t="inlineStr">
        <is>
          <t>T3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IF(B376="South Korea",G376/korea_charge_range_nm*korea_full_range_charge_min,0)</f>
        <v/>
      </c>
      <c r="N376" s="44">
        <f>IF(B376="South Korea",L376+korea_turn_min+korea_dwell_min+M376,L376+turn_min+dwell_min)</f>
        <v/>
      </c>
      <c r="O376" s="45">
        <f>IF(B376="South Korea",FLOOR(60*korea_service_hr/N376,1),MIN(15,FLOOR(60*service_hr/N376,1)))</f>
        <v/>
      </c>
      <c r="P376" s="45">
        <f>IF(ABS(MOD(ABS((365*mech_uptime*K376)),1)-0.5)&lt;1E-9,2*ROUND((365*mech_uptime*K376)/2,0),ROUND((365*mech_uptime*K376),0))</f>
        <v/>
      </c>
      <c r="Q376" s="46">
        <f>mech_uptime</f>
        <v/>
      </c>
      <c r="R376" s="46">
        <f>IF(AND(B376="South Korea",scenario="MID"),korea_mid_revleg,revleg_sel)</f>
        <v/>
      </c>
      <c r="S376" s="45">
        <f>IF(ABS(MOD(ABS((O376*P376*R376)),1)-0.5)&lt;1E-9,2*ROUND((O376*P376*R376)/2,0),ROUND((O376*P376*R376),0))</f>
        <v/>
      </c>
      <c r="T376" s="46">
        <f>IF(AND(B376="South Korea",scenario="MID"),korea_mid_load,load_sel)</f>
        <v/>
      </c>
      <c r="U376" s="47">
        <f>pax_cap*T376</f>
        <v/>
      </c>
      <c r="V376" s="45">
        <f>U376*S376</f>
        <v/>
      </c>
      <c r="W376" s="48">
        <f>H376*discount</f>
        <v/>
      </c>
      <c r="X376" s="49">
        <f>W376*V376</f>
        <v/>
      </c>
      <c r="Y376" s="49">
        <f>(battery/range_nm)*G376*S376*VLOOKUP(B376,country_opex,3,FALSE)</f>
        <v/>
      </c>
      <c r="Z376" s="49">
        <f>VLOOKUP(B376,country_opex,2,FALSE)*crew_factor</f>
        <v/>
      </c>
      <c r="AA376" s="49">
        <f>VLOOKUP(B376,country_opex,5,FALSE)</f>
        <v/>
      </c>
      <c r="AB376" s="49">
        <f>maint</f>
        <v/>
      </c>
      <c r="AC376" s="49">
        <f>VLOOKUP(B376,country_opex,7,FALSE)*ins_pct</f>
        <v/>
      </c>
      <c r="AD376" s="49">
        <f>charge_berth</f>
        <v/>
      </c>
      <c r="AE376" s="49">
        <f>Y376+Z376+AA376+AB376+AC376+AD376</f>
        <v/>
      </c>
      <c r="AF376" s="49">
        <f>VLOOKUP(B376,country_opex,7,FALSE)/dep_years</f>
        <v/>
      </c>
      <c r="AG376" s="49">
        <f>X376-AE376</f>
        <v/>
      </c>
      <c r="AH376" s="46">
        <f>IF(X376=0,"",AG376/X376)</f>
        <v/>
      </c>
      <c r="AI376" s="47">
        <f>IF(AG376&lt;=0,"",VLOOKUP(B376,country_opex,7,FALSE)/AG376)</f>
        <v/>
      </c>
      <c r="AJ376" s="44">
        <f>((G376*S376/diesel_nmpg)*diesel_co2pg-(battery/range_nm)*G376*S376*VLOOKUP(B376,country_opex,4,FALSE))/1000</f>
        <v/>
      </c>
      <c r="AK376" s="42" t="n">
        <v>14100</v>
      </c>
      <c r="AL376" s="43" t="inlineStr">
        <is>
          <t>T5</t>
        </is>
      </c>
      <c r="AM376" s="43" t="inlineStr">
        <is>
          <t>low-med</t>
        </is>
      </c>
      <c r="AN376" s="50" t="n">
        <v>0.9</v>
      </c>
      <c r="AO376" s="45">
        <f>IF(AK376="","",AK376*AN376)</f>
        <v/>
      </c>
      <c r="AP376" s="45">
        <f>IF(OR(AK376="",V376=0),"",MIN(IF(AX376="",9.9E+99,AX376),FLOOR(AO376/V376,1)))</f>
        <v/>
      </c>
      <c r="AQ376" s="49">
        <f>IF(AP376="","",AP376*IF(ABS(MOD(ABS((X376)),1)-0.5)&lt;1E-9,2*ROUND((X376)/2,0),ROUND((X376),0)))</f>
        <v/>
      </c>
      <c r="AR376" s="47">
        <f>IF(OR(AK376="",V376=0),"",MIN(IF(AX376="",9.9E+99,AX376),AO376/V376))</f>
        <v/>
      </c>
      <c r="AS376" s="49">
        <f>IF(AR376="","",AR376*IF(B376="South Korea",IF(ABS(MOD(ABS((X376)),1)-0.5)&lt;1E-9,2*ROUND((X376)/2,0),ROUND((X376),0)),X376))</f>
        <v/>
      </c>
      <c r="AT376" s="51" t="n"/>
      <c r="AU376" s="43" t="inlineStr">
        <is>
          <t>Grounded</t>
        </is>
      </c>
      <c r="AV376" s="52" t="n"/>
      <c r="AW376" s="52" t="n"/>
      <c r="AX376" s="53" t="n">
        <v>4</v>
      </c>
      <c r="AY376" s="54">
        <f>IF(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&lt;=0,"",VLOOKUP(B376,country_opex,7,FALSE)/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)</f>
        <v/>
      </c>
      <c r="AZ376" s="54">
        <f>IF(((W376*pax_cap*IF(B376="South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Korea",korea_mid_revleg,revleg_mid)),0))*VLOOKUP(B376,country_opex,3,FALSE))+Z376+AA376+AB376+AC376+AD376))&lt;=0,"",VLOOKUP(B376,country_opex,7,FALSE)/((W376*pax_cap*IF(B376="South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Korea",korea_mid_revleg,revleg_mid)),0))*VLOOKUP(B376,country_opex,3,FALSE))+Z376+AA376+AB376+AC376+AD376)))</f>
        <v/>
      </c>
      <c r="BA376" s="54">
        <f>IF(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&lt;=0,"",VLOOKUP(B376,country_opex,7,FALSE)/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)</f>
        <v/>
      </c>
      <c r="BB376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C376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  <c r="BD376" s="43" t="inlineStr">
        <is>
          <t>e__velana__westin-miriandhoo-jetty</t>
        </is>
      </c>
    </row>
    <row r="377">
      <c r="A377" s="38" t="inlineStr">
        <is>
          <t>Maldives (JIH)</t>
        </is>
      </c>
      <c r="B377" s="38" t="inlineStr">
        <is>
          <t>Maldives</t>
        </is>
      </c>
      <c r="C377" s="39" t="inlineStr">
        <is>
          <t>Maamigili (Villa) Airport, South Ari → Constance Moofushi</t>
        </is>
      </c>
      <c r="D377" s="38" t="inlineStr">
        <is>
          <t>jih-global</t>
        </is>
      </c>
      <c r="E377" s="40" t="inlineStr">
        <is>
          <t>maldives-jih</t>
        </is>
      </c>
      <c r="F377" s="41" t="n">
        <v>1</v>
      </c>
      <c r="G377" s="42" t="n">
        <v>29</v>
      </c>
      <c r="H377" s="35" t="n">
        <v>150</v>
      </c>
      <c r="I377" s="43" t="inlineStr">
        <is>
          <t>T3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IF(B377="South Korea",G377/korea_charge_range_nm*korea_full_range_charge_min,0)</f>
        <v/>
      </c>
      <c r="N377" s="44">
        <f>IF(B377="South Korea",L377+korea_turn_min+korea_dwell_min+M377,L377+turn_min+dwell_min)</f>
        <v/>
      </c>
      <c r="O377" s="45">
        <f>IF(B377="South Korea",FLOOR(60*korea_service_hr/N377,1),MIN(15,FLOOR(60*service_hr/N377,1)))</f>
        <v/>
      </c>
      <c r="P377" s="45">
        <f>IF(ABS(MOD(ABS((365*mech_uptime*K377)),1)-0.5)&lt;1E-9,2*ROUND((365*mech_uptime*K377)/2,0),ROUND((365*mech_uptime*K377),0))</f>
        <v/>
      </c>
      <c r="Q377" s="46">
        <f>mech_uptime</f>
        <v/>
      </c>
      <c r="R377" s="46">
        <f>IF(AND(B377="South Korea",scenario="MID"),korea_mid_revleg,revleg_sel)</f>
        <v/>
      </c>
      <c r="S377" s="45">
        <f>IF(ABS(MOD(ABS((O377*P377*R377)),1)-0.5)&lt;1E-9,2*ROUND((O377*P377*R377)/2,0),ROUND((O377*P377*R377),0))</f>
        <v/>
      </c>
      <c r="T377" s="46">
        <f>IF(AND(B377="South Korea",scenario="MID"),korea_mid_load,load_sel)</f>
        <v/>
      </c>
      <c r="U377" s="47">
        <f>pax_cap*T377</f>
        <v/>
      </c>
      <c r="V377" s="45">
        <f>U377*S377</f>
        <v/>
      </c>
      <c r="W377" s="48">
        <f>H377*discount</f>
        <v/>
      </c>
      <c r="X377" s="49">
        <f>W377*V377</f>
        <v/>
      </c>
      <c r="Y377" s="49">
        <f>(battery/range_nm)*G377*S377*VLOOKUP(B377,country_opex,3,FALSE)</f>
        <v/>
      </c>
      <c r="Z377" s="49">
        <f>VLOOKUP(B377,country_opex,2,FALSE)*crew_factor</f>
        <v/>
      </c>
      <c r="AA377" s="49">
        <f>VLOOKUP(B377,country_opex,5,FALSE)</f>
        <v/>
      </c>
      <c r="AB377" s="49">
        <f>maint</f>
        <v/>
      </c>
      <c r="AC377" s="49">
        <f>VLOOKUP(B377,country_opex,7,FALSE)*ins_pct</f>
        <v/>
      </c>
      <c r="AD377" s="49">
        <f>charge_berth</f>
        <v/>
      </c>
      <c r="AE377" s="49">
        <f>Y377+Z377+AA377+AB377+AC377+AD377</f>
        <v/>
      </c>
      <c r="AF377" s="49">
        <f>VLOOKUP(B377,country_opex,7,FALSE)/dep_years</f>
        <v/>
      </c>
      <c r="AG377" s="49">
        <f>X377-AE377</f>
        <v/>
      </c>
      <c r="AH377" s="46">
        <f>IF(X377=0,"",AG377/X377)</f>
        <v/>
      </c>
      <c r="AI377" s="47">
        <f>IF(AG377&lt;=0,"",VLOOKUP(B377,country_opex,7,FALSE)/AG377)</f>
        <v/>
      </c>
      <c r="AJ377" s="44">
        <f>((G377*S377/diesel_nmpg)*diesel_co2pg-(battery/range_nm)*G377*S377*VLOOKUP(B377,country_opex,4,FALSE))/1000</f>
        <v/>
      </c>
      <c r="AK377" s="42" t="n">
        <v>8215</v>
      </c>
      <c r="AL377" s="43" t="inlineStr">
        <is>
          <t>T5</t>
        </is>
      </c>
      <c r="AM377" s="43" t="inlineStr">
        <is>
          <t>med</t>
        </is>
      </c>
      <c r="AN377" s="50" t="n">
        <v>0.9</v>
      </c>
      <c r="AO377" s="45">
        <f>IF(AK377="","",AK377*AN377)</f>
        <v/>
      </c>
      <c r="AP377" s="45">
        <f>IF(OR(AK377="",V377=0),"",MIN(IF(AX377="",9.9E+99,AX377),FLOOR(AO377/V377,1)))</f>
        <v/>
      </c>
      <c r="AQ377" s="49">
        <f>IF(AP377="","",AP377*IF(ABS(MOD(ABS((X377)),1)-0.5)&lt;1E-9,2*ROUND((X377)/2,0),ROUND((X377),0)))</f>
        <v/>
      </c>
      <c r="AR377" s="47">
        <f>IF(OR(AK377="",V377=0),"",MIN(IF(AX377="",9.9E+99,AX377),AO377/V377))</f>
        <v/>
      </c>
      <c r="AS377" s="49">
        <f>IF(AR377="","",AR377*IF(B377="South Korea",IF(ABS(MOD(ABS((X377)),1)-0.5)&lt;1E-9,2*ROUND((X377)/2,0),ROUND((X377),0)),X377))</f>
        <v/>
      </c>
      <c r="AT377" s="51" t="n"/>
      <c r="AU377" s="43" t="inlineStr">
        <is>
          <t>Grounded</t>
        </is>
      </c>
      <c r="AV377" s="52" t="n"/>
      <c r="AW377" s="52" t="n"/>
      <c r="AX377" s="53" t="n">
        <v>5</v>
      </c>
      <c r="AY377" s="54">
        <f>IF(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&lt;=0,"",VLOOKUP(B377,country_opex,7,FALSE)/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)</f>
        <v/>
      </c>
      <c r="AZ377" s="54">
        <f>IF(((W377*pax_cap*IF(B377="South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Korea",korea_mid_revleg,revleg_mid)),0))*VLOOKUP(B377,country_opex,3,FALSE))+Z377+AA377+AB377+AC377+AD377))&lt;=0,"",VLOOKUP(B377,country_opex,7,FALSE)/((W377*pax_cap*IF(B377="South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Korea",korea_mid_revleg,revleg_mid)),0))*VLOOKUP(B377,country_opex,3,FALSE))+Z377+AA377+AB377+AC377+AD377)))</f>
        <v/>
      </c>
      <c r="BA377" s="54">
        <f>IF(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&lt;=0,"",VLOOKUP(B377,country_opex,7,FALSE)/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)</f>
        <v/>
      </c>
      <c r="BB3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7" s="43" t="inlineStr">
        <is>
          <t>e__mald__cf81f3109b09</t>
        </is>
      </c>
    </row>
    <row r="378">
      <c r="A378" s="38" t="inlineStr">
        <is>
          <t>Maldives (JIH)</t>
        </is>
      </c>
      <c r="B378" s="38" t="inlineStr">
        <is>
          <t>Maldives</t>
        </is>
      </c>
      <c r="C378" s="39" t="inlineStr">
        <is>
          <t>Kooddoo Airport, Gaafu Alif → Ayada Maldives (Gaafu)</t>
        </is>
      </c>
      <c r="D378" s="38" t="inlineStr">
        <is>
          <t>jih-global</t>
        </is>
      </c>
      <c r="E378" s="40" t="inlineStr">
        <is>
          <t>maldives-jih</t>
        </is>
      </c>
      <c r="F378" s="41" t="n">
        <v>1</v>
      </c>
      <c r="G378" s="42" t="n">
        <v>29.6</v>
      </c>
      <c r="H378" s="35" t="n">
        <v>150</v>
      </c>
      <c r="I378" s="43" t="inlineStr">
        <is>
          <t>T3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IF(B378="South Korea",G378/korea_charge_range_nm*korea_full_range_charge_min,0)</f>
        <v/>
      </c>
      <c r="N378" s="44">
        <f>IF(B378="South Korea",L378+korea_turn_min+korea_dwell_min+M378,L378+turn_min+dwell_min)</f>
        <v/>
      </c>
      <c r="O378" s="45">
        <f>IF(B378="South Korea",FLOOR(60*korea_service_hr/N378,1),MIN(15,FLOOR(60*service_hr/N378,1)))</f>
        <v/>
      </c>
      <c r="P378" s="45">
        <f>IF(ABS(MOD(ABS((365*mech_uptime*K378)),1)-0.5)&lt;1E-9,2*ROUND((365*mech_uptime*K378)/2,0),ROUND((365*mech_uptime*K378),0))</f>
        <v/>
      </c>
      <c r="Q378" s="46">
        <f>mech_uptime</f>
        <v/>
      </c>
      <c r="R378" s="46">
        <f>IF(AND(B378="South Korea",scenario="MID"),korea_mid_revleg,revleg_sel)</f>
        <v/>
      </c>
      <c r="S378" s="45">
        <f>IF(ABS(MOD(ABS((O378*P378*R378)),1)-0.5)&lt;1E-9,2*ROUND((O378*P378*R378)/2,0),ROUND((O378*P378*R378),0))</f>
        <v/>
      </c>
      <c r="T378" s="46">
        <f>IF(AND(B378="South Korea",scenario="MID"),korea_mid_load,load_sel)</f>
        <v/>
      </c>
      <c r="U378" s="47">
        <f>pax_cap*T378</f>
        <v/>
      </c>
      <c r="V378" s="45">
        <f>U378*S378</f>
        <v/>
      </c>
      <c r="W378" s="48">
        <f>H378*discount</f>
        <v/>
      </c>
      <c r="X378" s="49">
        <f>W378*V378</f>
        <v/>
      </c>
      <c r="Y378" s="49">
        <f>(battery/range_nm)*G378*S378*VLOOKUP(B378,country_opex,3,FALSE)</f>
        <v/>
      </c>
      <c r="Z378" s="49">
        <f>VLOOKUP(B378,country_opex,2,FALSE)*crew_factor</f>
        <v/>
      </c>
      <c r="AA378" s="49">
        <f>VLOOKUP(B378,country_opex,5,FALSE)</f>
        <v/>
      </c>
      <c r="AB378" s="49">
        <f>maint</f>
        <v/>
      </c>
      <c r="AC378" s="49">
        <f>VLOOKUP(B378,country_opex,7,FALSE)*ins_pct</f>
        <v/>
      </c>
      <c r="AD378" s="49">
        <f>charge_berth</f>
        <v/>
      </c>
      <c r="AE378" s="49">
        <f>Y378+Z378+AA378+AB378+AC378+AD378</f>
        <v/>
      </c>
      <c r="AF378" s="49">
        <f>VLOOKUP(B378,country_opex,7,FALSE)/dep_years</f>
        <v/>
      </c>
      <c r="AG378" s="49">
        <f>X378-AE378</f>
        <v/>
      </c>
      <c r="AH378" s="46">
        <f>IF(X378=0,"",AG378/X378)</f>
        <v/>
      </c>
      <c r="AI378" s="47">
        <f>IF(AG378&lt;=0,"",VLOOKUP(B378,country_opex,7,FALSE)/AG378)</f>
        <v/>
      </c>
      <c r="AJ378" s="44">
        <f>((G378*S378/diesel_nmpg)*diesel_co2pg-(battery/range_nm)*G378*S378*VLOOKUP(B378,country_opex,4,FALSE))/1000</f>
        <v/>
      </c>
      <c r="AK378" s="42" t="n">
        <v>8365</v>
      </c>
      <c r="AL378" s="43" t="inlineStr">
        <is>
          <t>T5</t>
        </is>
      </c>
      <c r="AM378" s="43" t="inlineStr">
        <is>
          <t>med</t>
        </is>
      </c>
      <c r="AN378" s="50" t="n">
        <v>0.9</v>
      </c>
      <c r="AO378" s="45">
        <f>IF(AK378="","",AK378*AN378)</f>
        <v/>
      </c>
      <c r="AP378" s="45">
        <f>IF(OR(AK378="",V378=0),"",MIN(IF(AX378="",9.9E+99,AX378),FLOOR(AO378/V378,1)))</f>
        <v/>
      </c>
      <c r="AQ378" s="49">
        <f>IF(AP378="","",AP378*IF(ABS(MOD(ABS((X378)),1)-0.5)&lt;1E-9,2*ROUND((X378)/2,0),ROUND((X378),0)))</f>
        <v/>
      </c>
      <c r="AR378" s="47">
        <f>IF(OR(AK378="",V378=0),"",MIN(IF(AX378="",9.9E+99,AX378),AO378/V378))</f>
        <v/>
      </c>
      <c r="AS378" s="49">
        <f>IF(AR378="","",AR378*IF(B378="South Korea",IF(ABS(MOD(ABS((X378)),1)-0.5)&lt;1E-9,2*ROUND((X378)/2,0),ROUND((X378),0)),X378))</f>
        <v/>
      </c>
      <c r="AT378" s="51" t="n"/>
      <c r="AU378" s="43" t="inlineStr">
        <is>
          <t>Grounded</t>
        </is>
      </c>
      <c r="AV378" s="52" t="n"/>
      <c r="AW378" s="52" t="n"/>
      <c r="AX378" s="53" t="n">
        <v>5</v>
      </c>
      <c r="AY378" s="54">
        <f>IF(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&lt;=0,"",VLOOKUP(B378,country_opex,7,FALSE)/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)</f>
        <v/>
      </c>
      <c r="AZ378" s="54">
        <f>IF(((W378*pax_cap*IF(B378="South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Korea",korea_mid_revleg,revleg_mid)),0))*VLOOKUP(B378,country_opex,3,FALSE))+Z378+AA378+AB378+AC378+AD378))&lt;=0,"",VLOOKUP(B378,country_opex,7,FALSE)/((W378*pax_cap*IF(B378="South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Korea",korea_mid_revleg,revleg_mid)),0))*VLOOKUP(B378,country_opex,3,FALSE))+Z378+AA378+AB378+AC378+AD378)))</f>
        <v/>
      </c>
      <c r="BA378" s="54">
        <f>IF(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&lt;=0,"",VLOOKUP(B378,country_opex,7,FALSE)/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)</f>
        <v/>
      </c>
      <c r="BB37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8" s="43" t="inlineStr">
        <is>
          <t>e__mald__8d560d6ac726</t>
        </is>
      </c>
    </row>
    <row r="379">
      <c r="A379" s="38" t="inlineStr">
        <is>
          <t>Maldives (JIH)</t>
        </is>
      </c>
      <c r="B379" s="38" t="inlineStr">
        <is>
          <t>Maldives</t>
        </is>
      </c>
      <c r="C379" s="39" t="inlineStr">
        <is>
          <t>Velana International Airport (MLE) Resort Speedboat Lounges → Constance Halaveli (North Ari)</t>
        </is>
      </c>
      <c r="D379" s="38" t="inlineStr">
        <is>
          <t>jih-global</t>
        </is>
      </c>
      <c r="E379" s="40" t="inlineStr">
        <is>
          <t>maldives-jih</t>
        </is>
      </c>
      <c r="F379" s="41" t="n">
        <v>1</v>
      </c>
      <c r="G379" s="42" t="n">
        <v>37.7</v>
      </c>
      <c r="H379" s="35" t="n">
        <v>300</v>
      </c>
      <c r="I379" s="43" t="inlineStr">
        <is>
          <t>T3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IF(B379="South Korea",G379/korea_charge_range_nm*korea_full_range_charge_min,0)</f>
        <v/>
      </c>
      <c r="N379" s="44">
        <f>IF(B379="South Korea",L379+korea_turn_min+korea_dwell_min+M379,L379+turn_min+dwell_min)</f>
        <v/>
      </c>
      <c r="O379" s="45">
        <f>IF(B379="South Korea",FLOOR(60*korea_service_hr/N379,1),MIN(15,FLOOR(60*service_hr/N379,1)))</f>
        <v/>
      </c>
      <c r="P379" s="45">
        <f>IF(ABS(MOD(ABS((365*mech_uptime*K379)),1)-0.5)&lt;1E-9,2*ROUND((365*mech_uptime*K379)/2,0),ROUND((365*mech_uptime*K379),0))</f>
        <v/>
      </c>
      <c r="Q379" s="46">
        <f>mech_uptime</f>
        <v/>
      </c>
      <c r="R379" s="46">
        <f>IF(AND(B379="South Korea",scenario="MID"),korea_mid_revleg,revleg_sel)</f>
        <v/>
      </c>
      <c r="S379" s="45">
        <f>IF(ABS(MOD(ABS((O379*P379*R379)),1)-0.5)&lt;1E-9,2*ROUND((O379*P379*R379)/2,0),ROUND((O379*P379*R379),0))</f>
        <v/>
      </c>
      <c r="T379" s="46">
        <f>IF(AND(B379="South Korea",scenario="MID"),korea_mid_load,load_sel)</f>
        <v/>
      </c>
      <c r="U379" s="47">
        <f>pax_cap*T379</f>
        <v/>
      </c>
      <c r="V379" s="45">
        <f>U379*S379</f>
        <v/>
      </c>
      <c r="W379" s="48">
        <f>H379*discount</f>
        <v/>
      </c>
      <c r="X379" s="49">
        <f>W379*V379</f>
        <v/>
      </c>
      <c r="Y379" s="49">
        <f>(battery/range_nm)*G379*S379*VLOOKUP(B379,country_opex,3,FALSE)</f>
        <v/>
      </c>
      <c r="Z379" s="49">
        <f>VLOOKUP(B379,country_opex,2,FALSE)*crew_factor</f>
        <v/>
      </c>
      <c r="AA379" s="49">
        <f>VLOOKUP(B379,country_opex,5,FALSE)</f>
        <v/>
      </c>
      <c r="AB379" s="49">
        <f>maint</f>
        <v/>
      </c>
      <c r="AC379" s="49">
        <f>VLOOKUP(B379,country_opex,7,FALSE)*ins_pct</f>
        <v/>
      </c>
      <c r="AD379" s="49">
        <f>charge_berth</f>
        <v/>
      </c>
      <c r="AE379" s="49">
        <f>Y379+Z379+AA379+AB379+AC379+AD379</f>
        <v/>
      </c>
      <c r="AF379" s="49">
        <f>VLOOKUP(B379,country_opex,7,FALSE)/dep_years</f>
        <v/>
      </c>
      <c r="AG379" s="49">
        <f>X379-AE379</f>
        <v/>
      </c>
      <c r="AH379" s="46">
        <f>IF(X379=0,"",AG379/X379)</f>
        <v/>
      </c>
      <c r="AI379" s="47">
        <f>IF(AG379&lt;=0,"",VLOOKUP(B379,country_opex,7,FALSE)/AG379)</f>
        <v/>
      </c>
      <c r="AJ379" s="44">
        <f>((G379*S379/diesel_nmpg)*diesel_co2pg-(battery/range_nm)*G379*S379*VLOOKUP(B379,country_opex,4,FALSE))/1000</f>
        <v/>
      </c>
      <c r="AK379" s="42" t="n">
        <v>13400</v>
      </c>
      <c r="AL379" s="43" t="inlineStr">
        <is>
          <t>T5</t>
        </is>
      </c>
      <c r="AM379" s="43" t="inlineStr">
        <is>
          <t>low-med</t>
        </is>
      </c>
      <c r="AN379" s="50" t="n">
        <v>0.9</v>
      </c>
      <c r="AO379" s="45">
        <f>IF(AK379="","",AK379*AN379)</f>
        <v/>
      </c>
      <c r="AP379" s="45">
        <f>IF(OR(AK379="",V379=0),"",MIN(IF(AX379="",9.9E+99,AX379),FLOOR(AO379/V379,1)))</f>
        <v/>
      </c>
      <c r="AQ379" s="49">
        <f>IF(AP379="","",AP379*IF(ABS(MOD(ABS((X379)),1)-0.5)&lt;1E-9,2*ROUND((X379)/2,0),ROUND((X379),0)))</f>
        <v/>
      </c>
      <c r="AR379" s="47">
        <f>IF(OR(AK379="",V379=0),"",MIN(IF(AX379="",9.9E+99,AX379),AO379/V379))</f>
        <v/>
      </c>
      <c r="AS379" s="49">
        <f>IF(AR379="","",AR379*IF(B379="South Korea",IF(ABS(MOD(ABS((X379)),1)-0.5)&lt;1E-9,2*ROUND((X379)/2,0),ROUND((X379),0)),X379))</f>
        <v/>
      </c>
      <c r="AT379" s="51" t="n"/>
      <c r="AU379" s="43" t="inlineStr">
        <is>
          <t>Grounded</t>
        </is>
      </c>
      <c r="AV379" s="52" t="n"/>
      <c r="AW379" s="52" t="n"/>
      <c r="AX379" s="53" t="n">
        <v>4</v>
      </c>
      <c r="AY379" s="54">
        <f>IF(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&lt;=0,"",VLOOKUP(B379,country_opex,7,FALSE)/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)</f>
        <v/>
      </c>
      <c r="AZ379" s="54">
        <f>IF(((W379*pax_cap*IF(B379="South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Korea",korea_mid_revleg,revleg_mid)),0))*VLOOKUP(B379,country_opex,3,FALSE))+Z379+AA379+AB379+AC379+AD379))&lt;=0,"",VLOOKUP(B379,country_opex,7,FALSE)/((W379*pax_cap*IF(B379="South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Korea",korea_mid_revleg,revleg_mid)),0))*VLOOKUP(B379,country_opex,3,FALSE))+Z379+AA379+AB379+AC379+AD379)))</f>
        <v/>
      </c>
      <c r="BA379" s="54">
        <f>IF(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&lt;=0,"",VLOOKUP(B379,country_opex,7,FALSE)/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)</f>
        <v/>
      </c>
      <c r="BB379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C379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  <c r="BD379" s="43" t="inlineStr">
        <is>
          <t>e__velana__westin-miriandhoo-jetty</t>
        </is>
      </c>
    </row>
    <row r="380">
      <c r="A380" s="38" t="inlineStr">
        <is>
          <t>Maldives (JIH)</t>
        </is>
      </c>
      <c r="B380" s="38" t="inlineStr">
        <is>
          <t>Maldives</t>
        </is>
      </c>
      <c r="C380" s="39" t="inlineStr">
        <is>
          <t>Maafaru Airport, Noonu → The Standard Huruvalhi (Raa)</t>
        </is>
      </c>
      <c r="D380" s="38" t="inlineStr">
        <is>
          <t>jih-global</t>
        </is>
      </c>
      <c r="E380" s="40" t="inlineStr">
        <is>
          <t>maldives-jih</t>
        </is>
      </c>
      <c r="F380" s="41" t="n">
        <v>1</v>
      </c>
      <c r="G380" s="42" t="n">
        <v>40.4</v>
      </c>
      <c r="H380" s="35" t="n">
        <v>150</v>
      </c>
      <c r="I380" s="43" t="inlineStr">
        <is>
          <t>T3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IF(B380="South Korea",G380/korea_charge_range_nm*korea_full_range_charge_min,0)</f>
        <v/>
      </c>
      <c r="N380" s="44">
        <f>IF(B380="South Korea",L380+korea_turn_min+korea_dwell_min+M380,L380+turn_min+dwell_min)</f>
        <v/>
      </c>
      <c r="O380" s="45">
        <f>IF(B380="South Korea",FLOOR(60*korea_service_hr/N380,1),MIN(15,FLOOR(60*service_hr/N380,1)))</f>
        <v/>
      </c>
      <c r="P380" s="45">
        <f>IF(ABS(MOD(ABS((365*mech_uptime*K380)),1)-0.5)&lt;1E-9,2*ROUND((365*mech_uptime*K380)/2,0),ROUND((365*mech_uptime*K380),0))</f>
        <v/>
      </c>
      <c r="Q380" s="46">
        <f>mech_uptime</f>
        <v/>
      </c>
      <c r="R380" s="46">
        <f>IF(AND(B380="South Korea",scenario="MID"),korea_mid_revleg,revleg_sel)</f>
        <v/>
      </c>
      <c r="S380" s="45">
        <f>IF(ABS(MOD(ABS((O380*P380*R380)),1)-0.5)&lt;1E-9,2*ROUND((O380*P380*R380)/2,0),ROUND((O380*P380*R380),0))</f>
        <v/>
      </c>
      <c r="T380" s="46">
        <f>IF(AND(B380="South Korea",scenario="MID"),korea_mid_load,load_sel)</f>
        <v/>
      </c>
      <c r="U380" s="47">
        <f>pax_cap*T380</f>
        <v/>
      </c>
      <c r="V380" s="45">
        <f>U380*S380</f>
        <v/>
      </c>
      <c r="W380" s="48">
        <f>H380*discount</f>
        <v/>
      </c>
      <c r="X380" s="49">
        <f>W380*V380</f>
        <v/>
      </c>
      <c r="Y380" s="49">
        <f>(battery/range_nm)*G380*S380*VLOOKUP(B380,country_opex,3,FALSE)</f>
        <v/>
      </c>
      <c r="Z380" s="49">
        <f>VLOOKUP(B380,country_opex,2,FALSE)*crew_factor</f>
        <v/>
      </c>
      <c r="AA380" s="49">
        <f>VLOOKUP(B380,country_opex,5,FALSE)</f>
        <v/>
      </c>
      <c r="AB380" s="49">
        <f>maint</f>
        <v/>
      </c>
      <c r="AC380" s="49">
        <f>VLOOKUP(B380,country_opex,7,FALSE)*ins_pct</f>
        <v/>
      </c>
      <c r="AD380" s="49">
        <f>charge_berth</f>
        <v/>
      </c>
      <c r="AE380" s="49">
        <f>Y380+Z380+AA380+AB380+AC380+AD380</f>
        <v/>
      </c>
      <c r="AF380" s="49">
        <f>VLOOKUP(B380,country_opex,7,FALSE)/dep_years</f>
        <v/>
      </c>
      <c r="AG380" s="49">
        <f>X380-AE380</f>
        <v/>
      </c>
      <c r="AH380" s="46">
        <f>IF(X380=0,"",AG380/X380)</f>
        <v/>
      </c>
      <c r="AI380" s="47">
        <f>IF(AG380&lt;=0,"",VLOOKUP(B380,country_opex,7,FALSE)/AG380)</f>
        <v/>
      </c>
      <c r="AJ380" s="44">
        <f>((G380*S380/diesel_nmpg)*diesel_co2pg-(battery/range_nm)*G380*S380*VLOOKUP(B380,country_opex,4,FALSE))/1000</f>
        <v/>
      </c>
      <c r="AK380" s="42" t="n">
        <v>8589</v>
      </c>
      <c r="AL380" s="43" t="inlineStr">
        <is>
          <t>T5</t>
        </is>
      </c>
      <c r="AM380" s="43" t="inlineStr">
        <is>
          <t>med</t>
        </is>
      </c>
      <c r="AN380" s="50" t="n">
        <v>0.9</v>
      </c>
      <c r="AO380" s="45">
        <f>IF(AK380="","",AK380*AN380)</f>
        <v/>
      </c>
      <c r="AP380" s="45">
        <f>IF(OR(AK380="",V380=0),"",MIN(IF(AX380="",9.9E+99,AX380),FLOOR(AO380/V380,1)))</f>
        <v/>
      </c>
      <c r="AQ380" s="49">
        <f>IF(AP380="","",AP380*IF(ABS(MOD(ABS((X380)),1)-0.5)&lt;1E-9,2*ROUND((X380)/2,0),ROUND((X380),0)))</f>
        <v/>
      </c>
      <c r="AR380" s="47">
        <f>IF(OR(AK380="",V380=0),"",MIN(IF(AX380="",9.9E+99,AX380),AO380/V380))</f>
        <v/>
      </c>
      <c r="AS380" s="49">
        <f>IF(AR380="","",AR380*IF(B380="South Korea",IF(ABS(MOD(ABS((X380)),1)-0.5)&lt;1E-9,2*ROUND((X380)/2,0),ROUND((X380),0)),X380))</f>
        <v/>
      </c>
      <c r="AT380" s="51" t="n"/>
      <c r="AU380" s="43" t="inlineStr">
        <is>
          <t>Grounded</t>
        </is>
      </c>
      <c r="AV380" s="52" t="n"/>
      <c r="AW380" s="52" t="n"/>
      <c r="AX380" s="53" t="n">
        <v>5</v>
      </c>
      <c r="AY380" s="54">
        <f>IF(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&lt;=0,"",VLOOKUP(B380,country_opex,7,FALSE)/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)</f>
        <v/>
      </c>
      <c r="AZ380" s="54">
        <f>IF(((W380*pax_cap*IF(B380="South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Korea",korea_mid_revleg,revleg_mid)),0))*VLOOKUP(B380,country_opex,3,FALSE))+Z380+AA380+AB380+AC380+AD380))&lt;=0,"",VLOOKUP(B380,country_opex,7,FALSE)/((W380*pax_cap*IF(B380="South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Korea",korea_mid_revleg,revleg_mid)),0))*VLOOKUP(B380,country_opex,3,FALSE))+Z380+AA380+AB380+AC380+AD380)))</f>
        <v/>
      </c>
      <c r="BA380" s="54">
        <f>IF(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&lt;=0,"",VLOOKUP(B380,country_opex,7,FALSE)/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)</f>
        <v/>
      </c>
      <c r="BB3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80" s="43" t="inlineStr">
        <is>
          <t>e__mald__3c9b4106df59</t>
        </is>
      </c>
    </row>
    <row r="381">
      <c r="A381" s="38" t="inlineStr">
        <is>
          <t>Maldives (JIH)</t>
        </is>
      </c>
      <c r="B381" s="38" t="inlineStr">
        <is>
          <t>Maldives</t>
        </is>
      </c>
      <c r="C381" s="39" t="inlineStr">
        <is>
          <t>Velana International Airport (MLE) Resort Speedboat Lounges → Conrad Maldives Rangali Island (South Ari)</t>
        </is>
      </c>
      <c r="D381" s="38" t="inlineStr">
        <is>
          <t>jih-global</t>
        </is>
      </c>
      <c r="E381" s="40" t="inlineStr">
        <is>
          <t>maldives-jih</t>
        </is>
      </c>
      <c r="F381" s="41" t="n">
        <v>1</v>
      </c>
      <c r="G381" s="42" t="n">
        <v>59.3</v>
      </c>
      <c r="H381" s="35" t="n">
        <v>350</v>
      </c>
      <c r="I381" s="43" t="inlineStr">
        <is>
          <t>T1</t>
        </is>
      </c>
      <c r="J381" s="43" t="inlineStr">
        <is>
          <t>med-high</t>
        </is>
      </c>
      <c r="K381" s="29" t="n">
        <v>1</v>
      </c>
      <c r="L381" s="44">
        <f>60*G381/cruise_kt</f>
        <v/>
      </c>
      <c r="M381" s="44">
        <f>IF(B381="South Korea",G381/korea_charge_range_nm*korea_full_range_charge_min,0)</f>
        <v/>
      </c>
      <c r="N381" s="44">
        <f>IF(B381="South Korea",L381+korea_turn_min+korea_dwell_min+M381,L381+turn_min+dwell_min)</f>
        <v/>
      </c>
      <c r="O381" s="45">
        <f>IF(B381="South Korea",FLOOR(60*korea_service_hr/N381,1),MIN(15,FLOOR(60*service_hr/N381,1)))</f>
        <v/>
      </c>
      <c r="P381" s="45">
        <f>IF(ABS(MOD(ABS((365*mech_uptime*K381)),1)-0.5)&lt;1E-9,2*ROUND((365*mech_uptime*K381)/2,0),ROUND((365*mech_uptime*K381),0))</f>
        <v/>
      </c>
      <c r="Q381" s="46">
        <f>mech_uptime</f>
        <v/>
      </c>
      <c r="R381" s="46">
        <f>IF(AND(B381="South Korea",scenario="MID"),korea_mid_revleg,revleg_sel)</f>
        <v/>
      </c>
      <c r="S381" s="45">
        <f>IF(ABS(MOD(ABS((O381*P381*R381)),1)-0.5)&lt;1E-9,2*ROUND((O381*P381*R381)/2,0),ROUND((O381*P381*R381),0))</f>
        <v/>
      </c>
      <c r="T381" s="46">
        <f>IF(AND(B381="South Korea",scenario="MID"),korea_mid_load,load_sel)</f>
        <v/>
      </c>
      <c r="U381" s="47">
        <f>pax_cap*T381</f>
        <v/>
      </c>
      <c r="V381" s="45">
        <f>U381*S381</f>
        <v/>
      </c>
      <c r="W381" s="48">
        <f>H381*discount</f>
        <v/>
      </c>
      <c r="X381" s="49">
        <f>W381*V381</f>
        <v/>
      </c>
      <c r="Y381" s="49">
        <f>(battery/range_nm)*G381*S381*VLOOKUP(B381,country_opex,3,FALSE)</f>
        <v/>
      </c>
      <c r="Z381" s="49">
        <f>VLOOKUP(B381,country_opex,2,FALSE)*crew_factor</f>
        <v/>
      </c>
      <c r="AA381" s="49">
        <f>VLOOKUP(B381,country_opex,5,FALSE)</f>
        <v/>
      </c>
      <c r="AB381" s="49">
        <f>maint</f>
        <v/>
      </c>
      <c r="AC381" s="49">
        <f>VLOOKUP(B381,country_opex,7,FALSE)*ins_pct</f>
        <v/>
      </c>
      <c r="AD381" s="49">
        <f>charge_berth</f>
        <v/>
      </c>
      <c r="AE381" s="49">
        <f>Y381+Z381+AA381+AB381+AC381+AD381</f>
        <v/>
      </c>
      <c r="AF381" s="49">
        <f>VLOOKUP(B381,country_opex,7,FALSE)/dep_years</f>
        <v/>
      </c>
      <c r="AG381" s="49">
        <f>X381-AE381</f>
        <v/>
      </c>
      <c r="AH381" s="46">
        <f>IF(X381=0,"",AG381/X381)</f>
        <v/>
      </c>
      <c r="AI381" s="47">
        <f>IF(AG381&lt;=0,"",VLOOKUP(B381,country_opex,7,FALSE)/AG381)</f>
        <v/>
      </c>
      <c r="AJ381" s="44">
        <f>((G381*S381/diesel_nmpg)*diesel_co2pg-(battery/range_nm)*G381*S381*VLOOKUP(B381,country_opex,4,FALSE))/1000</f>
        <v/>
      </c>
      <c r="AK381" s="42" t="n">
        <v>23500</v>
      </c>
      <c r="AL381" s="43" t="inlineStr">
        <is>
          <t>T5</t>
        </is>
      </c>
      <c r="AM381" s="43" t="inlineStr">
        <is>
          <t>low-med</t>
        </is>
      </c>
      <c r="AN381" s="50" t="n">
        <v>0.9</v>
      </c>
      <c r="AO381" s="45">
        <f>IF(AK381="","",AK381*AN381)</f>
        <v/>
      </c>
      <c r="AP381" s="45">
        <f>IF(OR(AK381="",V381=0),"",MIN(IF(AX381="",9.9E+99,AX381),FLOOR(AO381/V381,1)))</f>
        <v/>
      </c>
      <c r="AQ381" s="49">
        <f>IF(AP381="","",AP381*IF(ABS(MOD(ABS((X381)),1)-0.5)&lt;1E-9,2*ROUND((X381)/2,0),ROUND((X381),0)))</f>
        <v/>
      </c>
      <c r="AR381" s="47">
        <f>IF(OR(AK381="",V381=0),"",MIN(IF(AX381="",9.9E+99,AX381),AO381/V381))</f>
        <v/>
      </c>
      <c r="AS381" s="49">
        <f>IF(AR381="","",AR381*IF(B381="South Korea",IF(ABS(MOD(ABS((X381)),1)-0.5)&lt;1E-9,2*ROUND((X381)/2,0),ROUND((X381),0)),X381))</f>
        <v/>
      </c>
      <c r="AT381" s="51" t="n"/>
      <c r="AU381" s="43" t="inlineStr">
        <is>
          <t>Grounded</t>
        </is>
      </c>
      <c r="AV381" s="52" t="n"/>
      <c r="AW381" s="52" t="n"/>
      <c r="AX381" s="53" t="n">
        <v>6</v>
      </c>
      <c r="AY381" s="54">
        <f>IF(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&lt;=0,"",VLOOKUP(B381,country_opex,7,FALSE)/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)</f>
        <v/>
      </c>
      <c r="AZ381" s="54">
        <f>IF(((W381*pax_cap*IF(B381="South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Korea",korea_mid_revleg,revleg_mid)),0))*VLOOKUP(B381,country_opex,3,FALSE))+Z381+AA381+AB381+AC381+AD381))&lt;=0,"",VLOOKUP(B381,country_opex,7,FALSE)/((W381*pax_cap*IF(B381="South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Korea",korea_mid_revleg,revleg_mid)),0))*VLOOKUP(B381,country_opex,3,FALSE))+Z381+AA381+AB381+AC381+AD381)))</f>
        <v/>
      </c>
      <c r="BA381" s="54">
        <f>IF(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&lt;=0,"",VLOOKUP(B381,country_opex,7,FALSE)/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)</f>
        <v/>
      </c>
      <c r="BB381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C381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  <c r="BD381" s="43" t="inlineStr">
        <is>
          <t>e__velana__westin-miriandhoo-jetty</t>
        </is>
      </c>
    </row>
    <row r="382">
      <c r="A382" s="38" t="inlineStr">
        <is>
          <t>Maldives (JIH)</t>
        </is>
      </c>
      <c r="B382" s="38" t="inlineStr">
        <is>
          <t>Maldives</t>
        </is>
      </c>
      <c r="C382" s="39" t="inlineStr">
        <is>
          <t>Velana International Airport (MLE) Resort Speedboat Lounges → The Westin Maldives Miriandhoo (Baa)</t>
        </is>
      </c>
      <c r="D382" s="38" t="inlineStr">
        <is>
          <t>jih-global</t>
        </is>
      </c>
      <c r="E382" s="40" t="inlineStr">
        <is>
          <t>maldives-jih</t>
        </is>
      </c>
      <c r="F382" s="41" t="n">
        <v>1</v>
      </c>
      <c r="G382" s="42" t="n">
        <v>61.4</v>
      </c>
      <c r="H382" s="35" t="n">
        <v>310</v>
      </c>
      <c r="I382" s="43" t="inlineStr">
        <is>
          <t>T1</t>
        </is>
      </c>
      <c r="J382" s="43" t="inlineStr">
        <is>
          <t>med-high</t>
        </is>
      </c>
      <c r="K382" s="29" t="n">
        <v>1</v>
      </c>
      <c r="L382" s="44">
        <f>60*G382/cruise_kt</f>
        <v/>
      </c>
      <c r="M382" s="44">
        <f>IF(B382="South Korea",G382/korea_charge_range_nm*korea_full_range_charge_min,0)</f>
        <v/>
      </c>
      <c r="N382" s="44">
        <f>IF(B382="South Korea",L382+korea_turn_min+korea_dwell_min+M382,L382+turn_min+dwell_min)</f>
        <v/>
      </c>
      <c r="O382" s="45">
        <f>IF(B382="South Korea",FLOOR(60*korea_service_hr/N382,1),MIN(15,FLOOR(60*service_hr/N382,1)))</f>
        <v/>
      </c>
      <c r="P382" s="45">
        <f>IF(ABS(MOD(ABS((365*mech_uptime*K382)),1)-0.5)&lt;1E-9,2*ROUND((365*mech_uptime*K382)/2,0),ROUND((365*mech_uptime*K382),0))</f>
        <v/>
      </c>
      <c r="Q382" s="46">
        <f>mech_uptime</f>
        <v/>
      </c>
      <c r="R382" s="46">
        <f>IF(AND(B382="South Korea",scenario="MID"),korea_mid_revleg,revleg_sel)</f>
        <v/>
      </c>
      <c r="S382" s="45">
        <f>IF(ABS(MOD(ABS((O382*P382*R382)),1)-0.5)&lt;1E-9,2*ROUND((O382*P382*R382)/2,0),ROUND((O382*P382*R382),0))</f>
        <v/>
      </c>
      <c r="T382" s="46">
        <f>IF(AND(B382="South Korea",scenario="MID"),korea_mid_load,load_sel)</f>
        <v/>
      </c>
      <c r="U382" s="47">
        <f>pax_cap*T382</f>
        <v/>
      </c>
      <c r="V382" s="45">
        <f>U382*S382</f>
        <v/>
      </c>
      <c r="W382" s="48">
        <f>H382*discount</f>
        <v/>
      </c>
      <c r="X382" s="49">
        <f>W382*V382</f>
        <v/>
      </c>
      <c r="Y382" s="49">
        <f>(battery/range_nm)*G382*S382*VLOOKUP(B382,country_opex,3,FALSE)</f>
        <v/>
      </c>
      <c r="Z382" s="49">
        <f>VLOOKUP(B382,country_opex,2,FALSE)*crew_factor</f>
        <v/>
      </c>
      <c r="AA382" s="49">
        <f>VLOOKUP(B382,country_opex,5,FALSE)</f>
        <v/>
      </c>
      <c r="AB382" s="49">
        <f>maint</f>
        <v/>
      </c>
      <c r="AC382" s="49">
        <f>VLOOKUP(B382,country_opex,7,FALSE)*ins_pct</f>
        <v/>
      </c>
      <c r="AD382" s="49">
        <f>charge_berth</f>
        <v/>
      </c>
      <c r="AE382" s="49">
        <f>Y382+Z382+AA382+AB382+AC382+AD382</f>
        <v/>
      </c>
      <c r="AF382" s="49">
        <f>VLOOKUP(B382,country_opex,7,FALSE)/dep_years</f>
        <v/>
      </c>
      <c r="AG382" s="49">
        <f>X382-AE382</f>
        <v/>
      </c>
      <c r="AH382" s="46">
        <f>IF(X382=0,"",AG382/X382)</f>
        <v/>
      </c>
      <c r="AI382" s="47">
        <f>IF(AG382&lt;=0,"",VLOOKUP(B382,country_opex,7,FALSE)/AG382)</f>
        <v/>
      </c>
      <c r="AJ382" s="44">
        <f>((G382*S382/diesel_nmpg)*diesel_co2pg-(battery/range_nm)*G382*S382*VLOOKUP(B382,country_opex,4,FALSE))/1000</f>
        <v/>
      </c>
      <c r="AK382" s="42" t="n">
        <v>10900</v>
      </c>
      <c r="AL382" s="43" t="inlineStr">
        <is>
          <t>T5</t>
        </is>
      </c>
      <c r="AM382" s="43" t="inlineStr">
        <is>
          <t>low-med</t>
        </is>
      </c>
      <c r="AN382" s="50" t="n">
        <v>0.9</v>
      </c>
      <c r="AO382" s="45">
        <f>IF(AK382="","",AK382*AN382)</f>
        <v/>
      </c>
      <c r="AP382" s="45">
        <f>IF(OR(AK382="",V382=0),"",MIN(IF(AX382="",9.9E+99,AX382),FLOOR(AO382/V382,1)))</f>
        <v/>
      </c>
      <c r="AQ382" s="49">
        <f>IF(AP382="","",AP382*IF(ABS(MOD(ABS((X382)),1)-0.5)&lt;1E-9,2*ROUND((X382)/2,0),ROUND((X382),0)))</f>
        <v/>
      </c>
      <c r="AR382" s="47">
        <f>IF(OR(AK382="",V382=0),"",MIN(IF(AX382="",9.9E+99,AX382),AO382/V382))</f>
        <v/>
      </c>
      <c r="AS382" s="49">
        <f>IF(AR382="","",AR382*IF(B382="South Korea",IF(ABS(MOD(ABS((X382)),1)-0.5)&lt;1E-9,2*ROUND((X382)/2,0),ROUND((X382),0)),X382))</f>
        <v/>
      </c>
      <c r="AT382" s="51" t="n"/>
      <c r="AU382" s="43" t="inlineStr">
        <is>
          <t>Grounded</t>
        </is>
      </c>
      <c r="AV382" s="52" t="n"/>
      <c r="AW382" s="52" t="n"/>
      <c r="AX382" s="53" t="n">
        <v>4</v>
      </c>
      <c r="AY382" s="54">
        <f>IF(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&lt;=0,"",VLOOKUP(B382,country_opex,7,FALSE)/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)</f>
        <v/>
      </c>
      <c r="AZ382" s="54">
        <f>IF(((W382*pax_cap*IF(B382="South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Korea",korea_mid_revleg,revleg_mid)),0))*VLOOKUP(B382,country_opex,3,FALSE))+Z382+AA382+AB382+AC382+AD382))&lt;=0,"",VLOOKUP(B382,country_opex,7,FALSE)/((W382*pax_cap*IF(B382="South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Korea",korea_mid_revleg,revleg_mid)),0))*VLOOKUP(B382,country_opex,3,FALSE))+Z382+AA382+AB382+AC382+AD382)))</f>
        <v/>
      </c>
      <c r="BA382" s="54">
        <f>IF(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&lt;=0,"",VLOOKUP(B382,country_opex,7,FALSE)/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)</f>
        <v/>
      </c>
      <c r="BB382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C382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  <c r="BD382" s="43" t="inlineStr">
        <is>
          <t>e__velana__westin-miriandhoo-jetty</t>
        </is>
      </c>
    </row>
    <row r="383">
      <c r="A383" s="38" t="inlineStr">
        <is>
          <t>Maldives (JIH)</t>
        </is>
      </c>
      <c r="B383" s="38" t="inlineStr">
        <is>
          <t>Maldives</t>
        </is>
      </c>
      <c r="C383" s="39" t="inlineStr">
        <is>
          <t>Velana International Airport (MLE) Resort Speedboat Lounges → Soneva Fushi (Kunfunadhoo, Baa)</t>
        </is>
      </c>
      <c r="D383" s="38" t="inlineStr">
        <is>
          <t>jih-global</t>
        </is>
      </c>
      <c r="E383" s="40" t="inlineStr">
        <is>
          <t>maldives-jih</t>
        </is>
      </c>
      <c r="F383" s="41" t="n">
        <v>1</v>
      </c>
      <c r="G383" s="42" t="n">
        <v>63.7</v>
      </c>
      <c r="H383" s="35" t="n">
        <v>650</v>
      </c>
      <c r="I383" s="43" t="inlineStr">
        <is>
          <t>T1</t>
        </is>
      </c>
      <c r="J383" s="43" t="inlineStr">
        <is>
          <t>med-high</t>
        </is>
      </c>
      <c r="K383" s="29" t="n">
        <v>1</v>
      </c>
      <c r="L383" s="44">
        <f>60*G383/cruise_kt</f>
        <v/>
      </c>
      <c r="M383" s="44">
        <f>IF(B383="South Korea",G383/korea_charge_range_nm*korea_full_range_charge_min,0)</f>
        <v/>
      </c>
      <c r="N383" s="44">
        <f>IF(B383="South Korea",L383+korea_turn_min+korea_dwell_min+M383,L383+turn_min+dwell_min)</f>
        <v/>
      </c>
      <c r="O383" s="45">
        <f>IF(B383="South Korea",FLOOR(60*korea_service_hr/N383,1),MIN(15,FLOOR(60*service_hr/N383,1)))</f>
        <v/>
      </c>
      <c r="P383" s="45">
        <f>IF(ABS(MOD(ABS((365*mech_uptime*K383)),1)-0.5)&lt;1E-9,2*ROUND((365*mech_uptime*K383)/2,0),ROUND((365*mech_uptime*K383),0))</f>
        <v/>
      </c>
      <c r="Q383" s="46">
        <f>mech_uptime</f>
        <v/>
      </c>
      <c r="R383" s="46">
        <f>IF(AND(B383="South Korea",scenario="MID"),korea_mid_revleg,revleg_sel)</f>
        <v/>
      </c>
      <c r="S383" s="45">
        <f>IF(ABS(MOD(ABS((O383*P383*R383)),1)-0.5)&lt;1E-9,2*ROUND((O383*P383*R383)/2,0),ROUND((O383*P383*R383),0))</f>
        <v/>
      </c>
      <c r="T383" s="46">
        <f>IF(AND(B383="South Korea",scenario="MID"),korea_mid_load,load_sel)</f>
        <v/>
      </c>
      <c r="U383" s="47">
        <f>pax_cap*T383</f>
        <v/>
      </c>
      <c r="V383" s="45">
        <f>U383*S383</f>
        <v/>
      </c>
      <c r="W383" s="48">
        <f>H383*discount</f>
        <v/>
      </c>
      <c r="X383" s="49">
        <f>W383*V383</f>
        <v/>
      </c>
      <c r="Y383" s="49">
        <f>(battery/range_nm)*G383*S383*VLOOKUP(B383,country_opex,3,FALSE)</f>
        <v/>
      </c>
      <c r="Z383" s="49">
        <f>VLOOKUP(B383,country_opex,2,FALSE)*crew_factor</f>
        <v/>
      </c>
      <c r="AA383" s="49">
        <f>VLOOKUP(B383,country_opex,5,FALSE)</f>
        <v/>
      </c>
      <c r="AB383" s="49">
        <f>maint</f>
        <v/>
      </c>
      <c r="AC383" s="49">
        <f>VLOOKUP(B383,country_opex,7,FALSE)*ins_pct</f>
        <v/>
      </c>
      <c r="AD383" s="49">
        <f>charge_berth</f>
        <v/>
      </c>
      <c r="AE383" s="49">
        <f>Y383+Z383+AA383+AB383+AC383+AD383</f>
        <v/>
      </c>
      <c r="AF383" s="49">
        <f>VLOOKUP(B383,country_opex,7,FALSE)/dep_years</f>
        <v/>
      </c>
      <c r="AG383" s="49">
        <f>X383-AE383</f>
        <v/>
      </c>
      <c r="AH383" s="46">
        <f>IF(X383=0,"",AG383/X383)</f>
        <v/>
      </c>
      <c r="AI383" s="47">
        <f>IF(AG383&lt;=0,"",VLOOKUP(B383,country_opex,7,FALSE)/AG383)</f>
        <v/>
      </c>
      <c r="AJ383" s="44">
        <f>((G383*S383/diesel_nmpg)*diesel_co2pg-(battery/range_nm)*G383*S383*VLOOKUP(B383,country_opex,4,FALSE))/1000</f>
        <v/>
      </c>
      <c r="AK383" s="42" t="n">
        <v>11100</v>
      </c>
      <c r="AL383" s="43" t="inlineStr">
        <is>
          <t>T5</t>
        </is>
      </c>
      <c r="AM383" s="43" t="inlineStr">
        <is>
          <t>low-med</t>
        </is>
      </c>
      <c r="AN383" s="50" t="n">
        <v>0.9</v>
      </c>
      <c r="AO383" s="45">
        <f>IF(AK383="","",AK383*AN383)</f>
        <v/>
      </c>
      <c r="AP383" s="45">
        <f>IF(OR(AK383="",V383=0),"",MIN(IF(AX383="",9.9E+99,AX383),FLOOR(AO383/V383,1)))</f>
        <v/>
      </c>
      <c r="AQ383" s="49">
        <f>IF(AP383="","",AP383*IF(ABS(MOD(ABS((X383)),1)-0.5)&lt;1E-9,2*ROUND((X383)/2,0),ROUND((X383),0)))</f>
        <v/>
      </c>
      <c r="AR383" s="47">
        <f>IF(OR(AK383="",V383=0),"",MIN(IF(AX383="",9.9E+99,AX383),AO383/V383))</f>
        <v/>
      </c>
      <c r="AS383" s="49">
        <f>IF(AR383="","",AR383*IF(B383="South Korea",IF(ABS(MOD(ABS((X383)),1)-0.5)&lt;1E-9,2*ROUND((X383)/2,0),ROUND((X383),0)),X383))</f>
        <v/>
      </c>
      <c r="AT383" s="51" t="n"/>
      <c r="AU383" s="43" t="inlineStr">
        <is>
          <t>Grounded</t>
        </is>
      </c>
      <c r="AV383" s="52" t="n"/>
      <c r="AW383" s="52" t="n"/>
      <c r="AX383" s="53" t="n">
        <v>3</v>
      </c>
      <c r="AY383" s="54">
        <f>IF(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&lt;=0,"",VLOOKUP(B383,country_opex,7,FALSE)/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)</f>
        <v/>
      </c>
      <c r="AZ383" s="54">
        <f>IF(((W383*pax_cap*IF(B383="South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Korea",korea_mid_revleg,revleg_mid)),0))*VLOOKUP(B383,country_opex,3,FALSE))+Z383+AA383+AB383+AC383+AD383))&lt;=0,"",VLOOKUP(B383,country_opex,7,FALSE)/((W383*pax_cap*IF(B383="South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Korea",korea_mid_revleg,revleg_mid)),0))*VLOOKUP(B383,country_opex,3,FALSE))+Z383+AA383+AB383+AC383+AD383)))</f>
        <v/>
      </c>
      <c r="BA383" s="54">
        <f>IF(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&lt;=0,"",VLOOKUP(B383,country_opex,7,FALSE)/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)</f>
        <v/>
      </c>
      <c r="BB383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C383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  <c r="BD383" s="43" t="inlineStr">
        <is>
          <t>e__velana__westin-miriandhoo-jetty</t>
        </is>
      </c>
    </row>
    <row r="384">
      <c r="A384" s="38" t="inlineStr">
        <is>
          <t>Mexico Caribbean</t>
        </is>
      </c>
      <c r="B384" s="38" t="inlineStr">
        <is>
          <t>Mexico</t>
        </is>
      </c>
      <c r="C384" s="39" t="inlineStr">
        <is>
          <t>Punta Sam ferry terminal → Terminal Martima De Isla Mujeres</t>
        </is>
      </c>
      <c r="D384" s="38" t="inlineStr">
        <is>
          <t>didi</t>
        </is>
      </c>
      <c r="E384" s="40" t="inlineStr">
        <is>
          <t>mexico-caribbean</t>
        </is>
      </c>
      <c r="F384" s="41" t="n">
        <v>1</v>
      </c>
      <c r="G384" s="42" t="n">
        <v>3.35</v>
      </c>
      <c r="H384" s="35" t="n">
        <v>30</v>
      </c>
      <c r="I384" s="43" t="inlineStr">
        <is>
          <t>T2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IF(B384="South Korea",G384/korea_charge_range_nm*korea_full_range_charge_min,0)</f>
        <v/>
      </c>
      <c r="N384" s="44">
        <f>IF(B384="South Korea",L384+korea_turn_min+korea_dwell_min+M384,L384+turn_min+dwell_min)</f>
        <v/>
      </c>
      <c r="O384" s="45">
        <f>IF(B384="South Korea",FLOOR(60*korea_service_hr/N384,1),MIN(15,FLOOR(60*service_hr/N384,1)))</f>
        <v/>
      </c>
      <c r="P384" s="45">
        <f>IF(ABS(MOD(ABS((365*mech_uptime*K384)),1)-0.5)&lt;1E-9,2*ROUND((365*mech_uptime*K384)/2,0),ROUND((365*mech_uptime*K384),0))</f>
        <v/>
      </c>
      <c r="Q384" s="46">
        <f>mech_uptime</f>
        <v/>
      </c>
      <c r="R384" s="46">
        <f>IF(AND(B384="South Korea",scenario="MID"),korea_mid_revleg,revleg_sel)</f>
        <v/>
      </c>
      <c r="S384" s="45">
        <f>IF(ABS(MOD(ABS((O384*P384*R384)),1)-0.5)&lt;1E-9,2*ROUND((O384*P384*R384)/2,0),ROUND((O384*P384*R384),0))</f>
        <v/>
      </c>
      <c r="T384" s="46">
        <f>IF(AND(B384="South Korea",scenario="MID"),korea_mid_load,load_sel)</f>
        <v/>
      </c>
      <c r="U384" s="47">
        <f>pax_cap*T384</f>
        <v/>
      </c>
      <c r="V384" s="45">
        <f>U384*S384</f>
        <v/>
      </c>
      <c r="W384" s="48">
        <f>H384*discount</f>
        <v/>
      </c>
      <c r="X384" s="49">
        <f>W384*V384</f>
        <v/>
      </c>
      <c r="Y384" s="49">
        <f>(battery/range_nm)*G384*S384*VLOOKUP(B384,country_opex,3,FALSE)</f>
        <v/>
      </c>
      <c r="Z384" s="49">
        <f>VLOOKUP(B384,country_opex,2,FALSE)*crew_factor</f>
        <v/>
      </c>
      <c r="AA384" s="49">
        <f>VLOOKUP(B384,country_opex,5,FALSE)</f>
        <v/>
      </c>
      <c r="AB384" s="49">
        <f>maint</f>
        <v/>
      </c>
      <c r="AC384" s="49">
        <f>VLOOKUP(B384,country_opex,7,FALSE)*ins_pct</f>
        <v/>
      </c>
      <c r="AD384" s="49">
        <f>charge_berth</f>
        <v/>
      </c>
      <c r="AE384" s="49">
        <f>Y384+Z384+AA384+AB384+AC384+AD384</f>
        <v/>
      </c>
      <c r="AF384" s="49">
        <f>VLOOKUP(B384,country_opex,7,FALSE)/dep_years</f>
        <v/>
      </c>
      <c r="AG384" s="49">
        <f>X384-AE384</f>
        <v/>
      </c>
      <c r="AH384" s="46">
        <f>IF(X384=0,"",AG384/X384)</f>
        <v/>
      </c>
      <c r="AI384" s="47">
        <f>IF(AG384&lt;=0,"",VLOOKUP(B384,country_opex,7,FALSE)/AG384)</f>
        <v/>
      </c>
      <c r="AJ384" s="44">
        <f>((G384*S384/diesel_nmpg)*diesel_co2pg-(battery/range_nm)*G384*S384*VLOOKUP(B384,country_opex,4,FALSE))/1000</f>
        <v/>
      </c>
      <c r="AK384" s="42" t="n">
        <v>238128</v>
      </c>
      <c r="AL384" s="43" t="inlineStr">
        <is>
          <t>T1</t>
        </is>
      </c>
      <c r="AM384" s="43" t="inlineStr">
        <is>
          <t>high</t>
        </is>
      </c>
      <c r="AN384" s="50" t="n">
        <v>0.1</v>
      </c>
      <c r="AO384" s="45">
        <f>IF(AK384="","",AK384*AN384)</f>
        <v/>
      </c>
      <c r="AP384" s="45">
        <f>IF(OR(AK384="",V384=0),"",MIN(IF(AX384="",9.9E+99,AX384),FLOOR(AO384/V384,1)))</f>
        <v/>
      </c>
      <c r="AQ384" s="49">
        <f>IF(AP384="","",AP384*IF(ABS(MOD(ABS((X384)),1)-0.5)&lt;1E-9,2*ROUND((X384)/2,0),ROUND((X384),0)))</f>
        <v/>
      </c>
      <c r="AR384" s="47">
        <f>IF(OR(AK384="",V384=0),"",MIN(IF(AX384="",9.9E+99,AX384),AO384/V384))</f>
        <v/>
      </c>
      <c r="AS384" s="49">
        <f>IF(AR384="","",AR384*IF(B384="South Korea",IF(ABS(MOD(ABS((X384)),1)-0.5)&lt;1E-9,2*ROUND((X384)/2,0),ROUND((X384),0)),X384))</f>
        <v/>
      </c>
      <c r="AT384" s="51" t="n"/>
      <c r="AU384" s="43" t="inlineStr">
        <is>
          <t>Grounded</t>
        </is>
      </c>
      <c r="AV384" s="52" t="n"/>
      <c r="AW384" s="52" t="n"/>
      <c r="AX384" s="53" t="n"/>
      <c r="AY384" s="54">
        <f>IF(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&lt;=0,"",VLOOKUP(B384,country_opex,7,FALSE)/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)</f>
        <v/>
      </c>
      <c r="AZ384" s="54">
        <f>IF(((W384*pax_cap*IF(B384="South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Korea",korea_mid_revleg,revleg_mid)),0))*VLOOKUP(B384,country_opex,3,FALSE))+Z384+AA384+AB384+AC384+AD384))&lt;=0,"",VLOOKUP(B384,country_opex,7,FALSE)/((W384*pax_cap*IF(B384="South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Korea",korea_mid_revleg,revleg_mid)),0))*VLOOKUP(B384,country_opex,3,FALSE))+Z384+AA384+AB384+AC384+AD384)))</f>
        <v/>
      </c>
      <c r="BA384" s="54">
        <f>IF(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&lt;=0,"",VLOOKUP(B384,country_opex,7,FALSE)/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)</f>
        <v/>
      </c>
      <c r="BB384" s="40" t="inlineStr">
        <is>
          <t>https://www.uber.com/mx/en/ride/uber-black/</t>
        </is>
      </c>
      <c r="BC384" s="40" t="inlineStr">
        <is>
          <t>https://servicios.apiqroo.com.mx/estadistica/datos/informeTransbordador.php?anio=2025</t>
        </is>
      </c>
      <c r="BD384" s="43" t="inlineStr">
        <is>
          <t>ics-aa6ff40d2d</t>
        </is>
      </c>
    </row>
    <row r="385">
      <c r="A385" s="38" t="inlineStr">
        <is>
          <t>Mexico Pacific</t>
        </is>
      </c>
      <c r="B385" s="38" t="inlineStr">
        <is>
          <t>Mexico</t>
        </is>
      </c>
      <c r="C385" s="39" t="inlineStr">
        <is>
          <t>Palmilla → San José Del Cabo Marina</t>
        </is>
      </c>
      <c r="D385" s="38" t="inlineStr">
        <is>
          <t>didi</t>
        </is>
      </c>
      <c r="E385" s="40" t="inlineStr">
        <is>
          <t>mexico-pacific</t>
        </is>
      </c>
      <c r="F385" s="41" t="n">
        <v>1</v>
      </c>
      <c r="G385" s="42" t="n">
        <v>3.4</v>
      </c>
      <c r="H385" s="35" t="n"/>
      <c r="I385" s="43" t="n"/>
      <c r="J385" s="43" t="n"/>
      <c r="K385" s="29" t="n">
        <v>1</v>
      </c>
      <c r="L385" s="44">
        <f>60*G385/cruise_kt</f>
        <v/>
      </c>
      <c r="M385" s="44">
        <f>IF(B385="South Korea",G385/korea_charge_range_nm*korea_full_range_charge_min,0)</f>
        <v/>
      </c>
      <c r="N385" s="44">
        <f>IF(B385="South Korea",L385+korea_turn_min+korea_dwell_min+M385,L385+turn_min+dwell_min)</f>
        <v/>
      </c>
      <c r="O385" s="45">
        <f>IF(B385="South Korea",FLOOR(60*korea_service_hr/N385,1),MIN(15,FLOOR(60*service_hr/N385,1)))</f>
        <v/>
      </c>
      <c r="P385" s="45">
        <f>IF(ABS(MOD(ABS((365*mech_uptime*K385)),1)-0.5)&lt;1E-9,2*ROUND((365*mech_uptime*K385)/2,0),ROUND((365*mech_uptime*K385),0))</f>
        <v/>
      </c>
      <c r="Q385" s="46">
        <f>mech_uptime</f>
        <v/>
      </c>
      <c r="R385" s="46">
        <f>IF(AND(B385="South Korea",scenario="MID"),korea_mid_revleg,revleg_sel)</f>
        <v/>
      </c>
      <c r="S385" s="45">
        <f>IF(ABS(MOD(ABS((O385*P385*R385)),1)-0.5)&lt;1E-9,2*ROUND((O385*P385*R385)/2,0),ROUND((O385*P385*R385),0))</f>
        <v/>
      </c>
      <c r="T385" s="46">
        <f>IF(AND(B385="South Korea",scenario="MID"),korea_mid_load,load_sel)</f>
        <v/>
      </c>
      <c r="U385" s="47">
        <f>pax_cap*T385</f>
        <v/>
      </c>
      <c r="V385" s="45">
        <f>U385*S385</f>
        <v/>
      </c>
      <c r="W385" s="48">
        <f>H385*discount</f>
        <v/>
      </c>
      <c r="X385" s="49">
        <f>W385*V385</f>
        <v/>
      </c>
      <c r="Y385" s="49">
        <f>(battery/range_nm)*G385*S385*VLOOKUP(B385,country_opex,3,FALSE)</f>
        <v/>
      </c>
      <c r="Z385" s="49">
        <f>VLOOKUP(B385,country_opex,2,FALSE)*crew_factor</f>
        <v/>
      </c>
      <c r="AA385" s="49">
        <f>VLOOKUP(B385,country_opex,5,FALSE)</f>
        <v/>
      </c>
      <c r="AB385" s="49">
        <f>maint</f>
        <v/>
      </c>
      <c r="AC385" s="49">
        <f>VLOOKUP(B385,country_opex,7,FALSE)*ins_pct</f>
        <v/>
      </c>
      <c r="AD385" s="49">
        <f>charge_berth</f>
        <v/>
      </c>
      <c r="AE385" s="49">
        <f>Y385+Z385+AA385+AB385+AC385+AD385</f>
        <v/>
      </c>
      <c r="AF385" s="49">
        <f>VLOOKUP(B385,country_opex,7,FALSE)/dep_years</f>
        <v/>
      </c>
      <c r="AG385" s="49">
        <f>X385-AE385</f>
        <v/>
      </c>
      <c r="AH385" s="46">
        <f>IF(X385=0,"",AG385/X385)</f>
        <v/>
      </c>
      <c r="AI385" s="47">
        <f>IF(AG385&lt;=0,"",VLOOKUP(B385,country_opex,7,FALSE)/AG385)</f>
        <v/>
      </c>
      <c r="AJ385" s="44">
        <f>((G385*S385/diesel_nmpg)*diesel_co2pg-(battery/range_nm)*G385*S385*VLOOKUP(B385,country_opex,4,FALSE))/1000</f>
        <v/>
      </c>
      <c r="AK385" s="42" t="n"/>
      <c r="AL385" s="43" t="n"/>
      <c r="AM385" s="43" t="n"/>
      <c r="AN385" s="50" t="n">
        <v>0.1</v>
      </c>
      <c r="AO385" s="45">
        <f>IF(AK385="","",AK385*AN385)</f>
        <v/>
      </c>
      <c r="AP385" s="45">
        <f>IF(OR(AK385="",V385=0),"",MIN(IF(AX385="",9.9E+99,AX385),FLOOR(AO385/V385,1)))</f>
        <v/>
      </c>
      <c r="AQ385" s="49">
        <f>IF(AP385="","",AP385*IF(ABS(MOD(ABS((X385)),1)-0.5)&lt;1E-9,2*ROUND((X385)/2,0),ROUND((X385),0)))</f>
        <v/>
      </c>
      <c r="AR385" s="47">
        <f>IF(OR(AK385="",V385=0),"",MIN(IF(AX385="",9.9E+99,AX385),AO385/V385))</f>
        <v/>
      </c>
      <c r="AS385" s="49">
        <f>IF(AR385="","",AR385*IF(B385="South Korea",IF(ABS(MOD(ABS((X385)),1)-0.5)&lt;1E-9,2*ROUND((X385)/2,0),ROUND((X385),0)),X385))</f>
        <v/>
      </c>
      <c r="AT385" s="51" t="n"/>
      <c r="AU385" s="43" t="inlineStr">
        <is>
          <t>Estimated</t>
        </is>
      </c>
      <c r="AV385" s="52" t="n"/>
      <c r="AW385" s="52" t="n"/>
      <c r="AX385" s="53" t="n"/>
      <c r="AY385" s="54">
        <f>IF(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&lt;=0,"",VLOOKUP(B385,country_opex,7,FALSE)/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)</f>
        <v/>
      </c>
      <c r="AZ385" s="54">
        <f>IF(((W385*pax_cap*IF(B385="South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Korea",korea_mid_revleg,revleg_mid)),0))*VLOOKUP(B385,country_opex,3,FALSE))+Z385+AA385+AB385+AC385+AD385))&lt;=0,"",VLOOKUP(B385,country_opex,7,FALSE)/((W385*pax_cap*IF(B385="South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Korea",korea_mid_revleg,revleg_mid)),0))*VLOOKUP(B385,country_opex,3,FALSE))+Z385+AA385+AB385+AC385+AD385)))</f>
        <v/>
      </c>
      <c r="BA385" s="54">
        <f>IF(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&lt;=0,"",VLOOKUP(B385,country_opex,7,FALSE)/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)</f>
        <v/>
      </c>
      <c r="BB385" s="40" t="n"/>
      <c r="BC385" s="40" t="n"/>
      <c r="BD385" s="43" t="inlineStr">
        <is>
          <t>ics-b5861451fb</t>
        </is>
      </c>
    </row>
    <row r="386">
      <c r="A386" s="38" t="inlineStr">
        <is>
          <t>Mexico Caribbean</t>
        </is>
      </c>
      <c r="B386" s="38" t="inlineStr">
        <is>
          <t>Mexico</t>
        </is>
      </c>
      <c r="C386" s="39" t="inlineStr">
        <is>
          <t>Terminal Maritima Puerto Juarez → Terminal Martima De Isla Mujeres</t>
        </is>
      </c>
      <c r="D386" s="38" t="inlineStr">
        <is>
          <t>didi</t>
        </is>
      </c>
      <c r="E386" s="40" t="inlineStr">
        <is>
          <t>mexico-caribbean</t>
        </is>
      </c>
      <c r="F386" s="41" t="n">
        <v>1</v>
      </c>
      <c r="G386" s="42" t="n">
        <v>5.27</v>
      </c>
      <c r="H386" s="35" t="n">
        <v>30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IF(B386="South Korea",G386/korea_charge_range_nm*korea_full_range_charge_min,0)</f>
        <v/>
      </c>
      <c r="N386" s="44">
        <f>IF(B386="South Korea",L386+korea_turn_min+korea_dwell_min+M386,L386+turn_min+dwell_min)</f>
        <v/>
      </c>
      <c r="O386" s="45">
        <f>IF(B386="South Korea",FLOOR(60*korea_service_hr/N386,1),MIN(15,FLOOR(60*service_hr/N386,1)))</f>
        <v/>
      </c>
      <c r="P386" s="45">
        <f>IF(ABS(MOD(ABS((365*mech_uptime*K386)),1)-0.5)&lt;1E-9,2*ROUND((365*mech_uptime*K386)/2,0),ROUND((365*mech_uptime*K386),0))</f>
        <v/>
      </c>
      <c r="Q386" s="46">
        <f>mech_uptime</f>
        <v/>
      </c>
      <c r="R386" s="46">
        <f>IF(AND(B386="South Korea",scenario="MID"),korea_mid_revleg,revleg_sel)</f>
        <v/>
      </c>
      <c r="S386" s="45">
        <f>IF(ABS(MOD(ABS((O386*P386*R386)),1)-0.5)&lt;1E-9,2*ROUND((O386*P386*R386)/2,0),ROUND((O386*P386*R386),0))</f>
        <v/>
      </c>
      <c r="T386" s="46">
        <f>IF(AND(B386="South Korea",scenario="MID"),korea_mid_load,load_sel)</f>
        <v/>
      </c>
      <c r="U386" s="47">
        <f>pax_cap*T386</f>
        <v/>
      </c>
      <c r="V386" s="45">
        <f>U386*S386</f>
        <v/>
      </c>
      <c r="W386" s="48">
        <f>H386*discount</f>
        <v/>
      </c>
      <c r="X386" s="49">
        <f>W386*V386</f>
        <v/>
      </c>
      <c r="Y386" s="49">
        <f>(battery/range_nm)*G386*S386*VLOOKUP(B386,country_opex,3,FALSE)</f>
        <v/>
      </c>
      <c r="Z386" s="49">
        <f>VLOOKUP(B386,country_opex,2,FALSE)*crew_factor</f>
        <v/>
      </c>
      <c r="AA386" s="49">
        <f>VLOOKUP(B386,country_opex,5,FALSE)</f>
        <v/>
      </c>
      <c r="AB386" s="49">
        <f>maint</f>
        <v/>
      </c>
      <c r="AC386" s="49">
        <f>VLOOKUP(B386,country_opex,7,FALSE)*ins_pct</f>
        <v/>
      </c>
      <c r="AD386" s="49">
        <f>charge_berth</f>
        <v/>
      </c>
      <c r="AE386" s="49">
        <f>Y386+Z386+AA386+AB386+AC386+AD386</f>
        <v/>
      </c>
      <c r="AF386" s="49">
        <f>VLOOKUP(B386,country_opex,7,FALSE)/dep_years</f>
        <v/>
      </c>
      <c r="AG386" s="49">
        <f>X386-AE386</f>
        <v/>
      </c>
      <c r="AH386" s="46">
        <f>IF(X386=0,"",AG386/X386)</f>
        <v/>
      </c>
      <c r="AI386" s="47">
        <f>IF(AG386&lt;=0,"",VLOOKUP(B386,country_opex,7,FALSE)/AG386)</f>
        <v/>
      </c>
      <c r="AJ386" s="44">
        <f>((G386*S386/diesel_nmpg)*diesel_co2pg-(battery/range_nm)*G386*S386*VLOOKUP(B386,country_opex,4,FALSE))/1000</f>
        <v/>
      </c>
      <c r="AK386" s="42" t="n">
        <v>5458304</v>
      </c>
      <c r="AL386" s="43" t="inlineStr">
        <is>
          <t>T1</t>
        </is>
      </c>
      <c r="AM386" s="43" t="inlineStr">
        <is>
          <t>high</t>
        </is>
      </c>
      <c r="AN386" s="50" t="n">
        <v>0.1</v>
      </c>
      <c r="AO386" s="45">
        <f>IF(AK386="","",AK386*AN386)</f>
        <v/>
      </c>
      <c r="AP386" s="45">
        <f>IF(OR(AK386="",V386=0),"",MIN(IF(AX386="",9.9E+99,AX386),FLOOR(AO386/V386,1)))</f>
        <v/>
      </c>
      <c r="AQ386" s="49">
        <f>IF(AP386="","",AP386*IF(ABS(MOD(ABS((X386)),1)-0.5)&lt;1E-9,2*ROUND((X386)/2,0),ROUND((X386),0)))</f>
        <v/>
      </c>
      <c r="AR386" s="47">
        <f>IF(OR(AK386="",V386=0),"",MIN(IF(AX386="",9.9E+99,AX386),AO386/V386))</f>
        <v/>
      </c>
      <c r="AS386" s="49">
        <f>IF(AR386="","",AR386*IF(B386="South Korea",IF(ABS(MOD(ABS((X386)),1)-0.5)&lt;1E-9,2*ROUND((X386)/2,0),ROUND((X386),0)),X386))</f>
        <v/>
      </c>
      <c r="AT386" s="51" t="n"/>
      <c r="AU386" s="43" t="inlineStr">
        <is>
          <t>Grounded</t>
        </is>
      </c>
      <c r="AV386" s="52" t="n"/>
      <c r="AW386" s="52" t="n"/>
      <c r="AX386" s="53" t="n"/>
      <c r="AY386" s="54">
        <f>IF(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&lt;=0,"",VLOOKUP(B386,country_opex,7,FALSE)/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)</f>
        <v/>
      </c>
      <c r="AZ386" s="54">
        <f>IF(((W386*pax_cap*IF(B386="South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Korea",korea_mid_revleg,revleg_mid)),0))*VLOOKUP(B386,country_opex,3,FALSE))+Z386+AA386+AB386+AC386+AD386))&lt;=0,"",VLOOKUP(B386,country_opex,7,FALSE)/((W386*pax_cap*IF(B386="South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Korea",korea_mid_revleg,revleg_mid)),0))*VLOOKUP(B386,country_opex,3,FALSE))+Z386+AA386+AB386+AC386+AD386)))</f>
        <v/>
      </c>
      <c r="BA386" s="54">
        <f>IF(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&lt;=0,"",VLOOKUP(B386,country_opex,7,FALSE)/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)</f>
        <v/>
      </c>
      <c r="BB386" s="40" t="inlineStr">
        <is>
          <t>https://www.uber.com/mx/en/ride/uber-black/</t>
        </is>
      </c>
      <c r="BC386" s="40" t="inlineStr">
        <is>
          <t>https://servicios.apiqroo.com.mx/estadistica/datos/informeRutaPasaje.php?anio=2025</t>
        </is>
      </c>
      <c r="BD386" s="43" t="inlineStr">
        <is>
          <t>ics-413f51cd44</t>
        </is>
      </c>
    </row>
    <row r="387">
      <c r="A387" s="38" t="inlineStr">
        <is>
          <t>Mexico Caribbean</t>
        </is>
      </c>
      <c r="B387" s="38" t="inlineStr">
        <is>
          <t>Mexico</t>
        </is>
      </c>
      <c r="C387" s="39" t="inlineStr">
        <is>
          <t>Ultramar → Terminal Martima De Isla Mujeres</t>
        </is>
      </c>
      <c r="D387" s="38" t="inlineStr">
        <is>
          <t>didi</t>
        </is>
      </c>
      <c r="E387" s="40" t="inlineStr">
        <is>
          <t>mexico-caribbean</t>
        </is>
      </c>
      <c r="F387" s="41" t="n">
        <v>1</v>
      </c>
      <c r="G387" s="42" t="n">
        <v>5.49</v>
      </c>
      <c r="H387" s="35" t="n"/>
      <c r="I387" s="43" t="n"/>
      <c r="J387" s="43" t="n"/>
      <c r="K387" s="29" t="n">
        <v>1</v>
      </c>
      <c r="L387" s="44">
        <f>60*G387/cruise_kt</f>
        <v/>
      </c>
      <c r="M387" s="44">
        <f>IF(B387="South Korea",G387/korea_charge_range_nm*korea_full_range_charge_min,0)</f>
        <v/>
      </c>
      <c r="N387" s="44">
        <f>IF(B387="South Korea",L387+korea_turn_min+korea_dwell_min+M387,L387+turn_min+dwell_min)</f>
        <v/>
      </c>
      <c r="O387" s="45">
        <f>IF(B387="South Korea",FLOOR(60*korea_service_hr/N387,1),MIN(15,FLOOR(60*service_hr/N387,1)))</f>
        <v/>
      </c>
      <c r="P387" s="45">
        <f>IF(ABS(MOD(ABS((365*mech_uptime*K387)),1)-0.5)&lt;1E-9,2*ROUND((365*mech_uptime*K387)/2,0),ROUND((365*mech_uptime*K387),0))</f>
        <v/>
      </c>
      <c r="Q387" s="46">
        <f>mech_uptime</f>
        <v/>
      </c>
      <c r="R387" s="46">
        <f>IF(AND(B387="South Korea",scenario="MID"),korea_mid_revleg,revleg_sel)</f>
        <v/>
      </c>
      <c r="S387" s="45">
        <f>IF(ABS(MOD(ABS((O387*P387*R387)),1)-0.5)&lt;1E-9,2*ROUND((O387*P387*R387)/2,0),ROUND((O387*P387*R387),0))</f>
        <v/>
      </c>
      <c r="T387" s="46">
        <f>IF(AND(B387="South Korea",scenario="MID"),korea_mid_load,load_sel)</f>
        <v/>
      </c>
      <c r="U387" s="47">
        <f>pax_cap*T387</f>
        <v/>
      </c>
      <c r="V387" s="45">
        <f>U387*S387</f>
        <v/>
      </c>
      <c r="W387" s="48">
        <f>H387*discount</f>
        <v/>
      </c>
      <c r="X387" s="49">
        <f>W387*V387</f>
        <v/>
      </c>
      <c r="Y387" s="49">
        <f>(battery/range_nm)*G387*S387*VLOOKUP(B387,country_opex,3,FALSE)</f>
        <v/>
      </c>
      <c r="Z387" s="49">
        <f>VLOOKUP(B387,country_opex,2,FALSE)*crew_factor</f>
        <v/>
      </c>
      <c r="AA387" s="49">
        <f>VLOOKUP(B387,country_opex,5,FALSE)</f>
        <v/>
      </c>
      <c r="AB387" s="49">
        <f>maint</f>
        <v/>
      </c>
      <c r="AC387" s="49">
        <f>VLOOKUP(B387,country_opex,7,FALSE)*ins_pct</f>
        <v/>
      </c>
      <c r="AD387" s="49">
        <f>charge_berth</f>
        <v/>
      </c>
      <c r="AE387" s="49">
        <f>Y387+Z387+AA387+AB387+AC387+AD387</f>
        <v/>
      </c>
      <c r="AF387" s="49">
        <f>VLOOKUP(B387,country_opex,7,FALSE)/dep_years</f>
        <v/>
      </c>
      <c r="AG387" s="49">
        <f>X387-AE387</f>
        <v/>
      </c>
      <c r="AH387" s="46">
        <f>IF(X387=0,"",AG387/X387)</f>
        <v/>
      </c>
      <c r="AI387" s="47">
        <f>IF(AG387&lt;=0,"",VLOOKUP(B387,country_opex,7,FALSE)/AG387)</f>
        <v/>
      </c>
      <c r="AJ387" s="44">
        <f>((G387*S387/diesel_nmpg)*diesel_co2pg-(battery/range_nm)*G387*S387*VLOOKUP(B387,country_opex,4,FALSE))/1000</f>
        <v/>
      </c>
      <c r="AK387" s="42" t="n"/>
      <c r="AL387" s="43" t="n"/>
      <c r="AM387" s="43" t="n"/>
      <c r="AN387" s="50" t="n">
        <v>0.1</v>
      </c>
      <c r="AO387" s="45">
        <f>IF(AK387="","",AK387*AN387)</f>
        <v/>
      </c>
      <c r="AP387" s="45">
        <f>IF(OR(AK387="",V387=0),"",MIN(IF(AX387="",9.9E+99,AX387),FLOOR(AO387/V387,1)))</f>
        <v/>
      </c>
      <c r="AQ387" s="49">
        <f>IF(AP387="","",AP387*IF(ABS(MOD(ABS((X387)),1)-0.5)&lt;1E-9,2*ROUND((X387)/2,0),ROUND((X387),0)))</f>
        <v/>
      </c>
      <c r="AR387" s="47">
        <f>IF(OR(AK387="",V387=0),"",MIN(IF(AX387="",9.9E+99,AX387),AO387/V387))</f>
        <v/>
      </c>
      <c r="AS387" s="49">
        <f>IF(AR387="","",AR387*IF(B387="South Korea",IF(ABS(MOD(ABS((X387)),1)-0.5)&lt;1E-9,2*ROUND((X387)/2,0),ROUND((X387),0)),X387))</f>
        <v/>
      </c>
      <c r="AT387" s="51" t="n"/>
      <c r="AU387" s="43" t="inlineStr">
        <is>
          <t>Estimated</t>
        </is>
      </c>
      <c r="AV387" s="52" t="n"/>
      <c r="AW387" s="52" t="n"/>
      <c r="AX387" s="53" t="n"/>
      <c r="AY387" s="54">
        <f>IF(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&lt;=0,"",VLOOKUP(B387,country_opex,7,FALSE)/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)</f>
        <v/>
      </c>
      <c r="AZ387" s="54">
        <f>IF(((W387*pax_cap*IF(B387="South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Korea",korea_mid_revleg,revleg_mid)),0))*VLOOKUP(B387,country_opex,3,FALSE))+Z387+AA387+AB387+AC387+AD387))&lt;=0,"",VLOOKUP(B387,country_opex,7,FALSE)/((W387*pax_cap*IF(B387="South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Korea",korea_mid_revleg,revleg_mid)),0))*VLOOKUP(B387,country_opex,3,FALSE))+Z387+AA387+AB387+AC387+AD387)))</f>
        <v/>
      </c>
      <c r="BA387" s="54">
        <f>IF(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&lt;=0,"",VLOOKUP(B387,country_opex,7,FALSE)/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)</f>
        <v/>
      </c>
      <c r="BB387" s="40" t="n"/>
      <c r="BC387" s="40" t="n"/>
      <c r="BD387" s="43" t="inlineStr">
        <is>
          <t>ics-03e3853317</t>
        </is>
      </c>
    </row>
    <row r="388">
      <c r="A388" s="38" t="inlineStr">
        <is>
          <t>Mexico Caribbean</t>
        </is>
      </c>
      <c r="B388" s="38" t="inlineStr">
        <is>
          <t>Mexico</t>
        </is>
      </c>
      <c r="C388" s="39" t="inlineStr">
        <is>
          <t>Muelle Fiscal Playa del Carmen → Passenger Ferry Ultramar Cozumel</t>
        </is>
      </c>
      <c r="D388" s="38" t="inlineStr">
        <is>
          <t>didi</t>
        </is>
      </c>
      <c r="E388" s="40" t="inlineStr">
        <is>
          <t>mexico-caribbean</t>
        </is>
      </c>
      <c r="F388" s="41" t="n">
        <v>1</v>
      </c>
      <c r="G388" s="42" t="n">
        <v>9.529999999999999</v>
      </c>
      <c r="H388" s="35" t="n">
        <v>30</v>
      </c>
      <c r="I388" s="43" t="inlineStr">
        <is>
          <t>T2</t>
        </is>
      </c>
      <c r="J388" s="43" t="inlineStr">
        <is>
          <t>med</t>
        </is>
      </c>
      <c r="K388" s="29" t="n">
        <v>1</v>
      </c>
      <c r="L388" s="44">
        <f>60*G388/cruise_kt</f>
        <v/>
      </c>
      <c r="M388" s="44">
        <f>IF(B388="South Korea",G388/korea_charge_range_nm*korea_full_range_charge_min,0)</f>
        <v/>
      </c>
      <c r="N388" s="44">
        <f>IF(B388="South Korea",L388+korea_turn_min+korea_dwell_min+M388,L388+turn_min+dwell_min)</f>
        <v/>
      </c>
      <c r="O388" s="45">
        <f>IF(B388="South Korea",FLOOR(60*korea_service_hr/N388,1),MIN(15,FLOOR(60*service_hr/N388,1)))</f>
        <v/>
      </c>
      <c r="P388" s="45">
        <f>IF(ABS(MOD(ABS((365*mech_uptime*K388)),1)-0.5)&lt;1E-9,2*ROUND((365*mech_uptime*K388)/2,0),ROUND((365*mech_uptime*K388),0))</f>
        <v/>
      </c>
      <c r="Q388" s="46">
        <f>mech_uptime</f>
        <v/>
      </c>
      <c r="R388" s="46">
        <f>IF(AND(B388="South Korea",scenario="MID"),korea_mid_revleg,revleg_sel)</f>
        <v/>
      </c>
      <c r="S388" s="45">
        <f>IF(ABS(MOD(ABS((O388*P388*R388)),1)-0.5)&lt;1E-9,2*ROUND((O388*P388*R388)/2,0),ROUND((O388*P388*R388),0))</f>
        <v/>
      </c>
      <c r="T388" s="46">
        <f>IF(AND(B388="South Korea",scenario="MID"),korea_mid_load,load_sel)</f>
        <v/>
      </c>
      <c r="U388" s="47">
        <f>pax_cap*T388</f>
        <v/>
      </c>
      <c r="V388" s="45">
        <f>U388*S388</f>
        <v/>
      </c>
      <c r="W388" s="48">
        <f>H388*discount</f>
        <v/>
      </c>
      <c r="X388" s="49">
        <f>W388*V388</f>
        <v/>
      </c>
      <c r="Y388" s="49">
        <f>(battery/range_nm)*G388*S388*VLOOKUP(B388,country_opex,3,FALSE)</f>
        <v/>
      </c>
      <c r="Z388" s="49">
        <f>VLOOKUP(B388,country_opex,2,FALSE)*crew_factor</f>
        <v/>
      </c>
      <c r="AA388" s="49">
        <f>VLOOKUP(B388,country_opex,5,FALSE)</f>
        <v/>
      </c>
      <c r="AB388" s="49">
        <f>maint</f>
        <v/>
      </c>
      <c r="AC388" s="49">
        <f>VLOOKUP(B388,country_opex,7,FALSE)*ins_pct</f>
        <v/>
      </c>
      <c r="AD388" s="49">
        <f>charge_berth</f>
        <v/>
      </c>
      <c r="AE388" s="49">
        <f>Y388+Z388+AA388+AB388+AC388+AD388</f>
        <v/>
      </c>
      <c r="AF388" s="49">
        <f>VLOOKUP(B388,country_opex,7,FALSE)/dep_years</f>
        <v/>
      </c>
      <c r="AG388" s="49">
        <f>X388-AE388</f>
        <v/>
      </c>
      <c r="AH388" s="46">
        <f>IF(X388=0,"",AG388/X388)</f>
        <v/>
      </c>
      <c r="AI388" s="47">
        <f>IF(AG388&lt;=0,"",VLOOKUP(B388,country_opex,7,FALSE)/AG388)</f>
        <v/>
      </c>
      <c r="AJ388" s="44">
        <f>((G388*S388/diesel_nmpg)*diesel_co2pg-(battery/range_nm)*G388*S388*VLOOKUP(B388,country_opex,4,FALSE))/1000</f>
        <v/>
      </c>
      <c r="AK388" s="42" t="n">
        <v>3853770</v>
      </c>
      <c r="AL388" s="43" t="inlineStr">
        <is>
          <t>T1</t>
        </is>
      </c>
      <c r="AM388" s="43" t="inlineStr">
        <is>
          <t>high</t>
        </is>
      </c>
      <c r="AN388" s="50" t="n">
        <v>0.1</v>
      </c>
      <c r="AO388" s="45">
        <f>IF(AK388="","",AK388*AN388)</f>
        <v/>
      </c>
      <c r="AP388" s="45">
        <f>IF(OR(AK388="",V388=0),"",MIN(IF(AX388="",9.9E+99,AX388),FLOOR(AO388/V388,1)))</f>
        <v/>
      </c>
      <c r="AQ388" s="49">
        <f>IF(AP388="","",AP388*IF(ABS(MOD(ABS((X388)),1)-0.5)&lt;1E-9,2*ROUND((X388)/2,0),ROUND((X388),0)))</f>
        <v/>
      </c>
      <c r="AR388" s="47">
        <f>IF(OR(AK388="",V388=0),"",MIN(IF(AX388="",9.9E+99,AX388),AO388/V388))</f>
        <v/>
      </c>
      <c r="AS388" s="49">
        <f>IF(AR388="","",AR388*IF(B388="South Korea",IF(ABS(MOD(ABS((X388)),1)-0.5)&lt;1E-9,2*ROUND((X388)/2,0),ROUND((X388),0)),X388))</f>
        <v/>
      </c>
      <c r="AT388" s="51" t="n"/>
      <c r="AU388" s="43" t="inlineStr">
        <is>
          <t>Grounded</t>
        </is>
      </c>
      <c r="AV388" s="52" t="n"/>
      <c r="AW388" s="52" t="n"/>
      <c r="AX388" s="53" t="n"/>
      <c r="AY388" s="54">
        <f>IF(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&lt;=0,"",VLOOKUP(B388,country_opex,7,FALSE)/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)</f>
        <v/>
      </c>
      <c r="AZ388" s="54">
        <f>IF(((W388*pax_cap*IF(B388="South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Korea",korea_mid_revleg,revleg_mid)),0))*VLOOKUP(B388,country_opex,3,FALSE))+Z388+AA388+AB388+AC388+AD388))&lt;=0,"",VLOOKUP(B388,country_opex,7,FALSE)/((W388*pax_cap*IF(B388="South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Korea",korea_mid_revleg,revleg_mid)),0))*VLOOKUP(B388,country_opex,3,FALSE))+Z388+AA388+AB388+AC388+AD388)))</f>
        <v/>
      </c>
      <c r="BA388" s="54">
        <f>IF(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&lt;=0,"",VLOOKUP(B388,country_opex,7,FALSE)/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)</f>
        <v/>
      </c>
      <c r="BB388" s="40" t="inlineStr">
        <is>
          <t>https://www.uber.com/mx/en/ride/uber-black/</t>
        </is>
      </c>
      <c r="BC388" s="40" t="inlineStr">
        <is>
          <t>https://servicios.apiqroo.com.mx/estadistica/datos/informeRutaPasaje.php?anio=2025</t>
        </is>
      </c>
      <c r="BD388" s="43" t="inlineStr">
        <is>
          <t>ics-dd1d814699</t>
        </is>
      </c>
    </row>
    <row r="389">
      <c r="A389" s="38" t="inlineStr">
        <is>
          <t>Mexico Pacific</t>
        </is>
      </c>
      <c r="B389" s="38" t="inlineStr">
        <is>
          <t>Mexico</t>
        </is>
      </c>
      <c r="C389" s="39" t="inlineStr">
        <is>
          <t>Puerto Vallarta &amp; Riviera Nayarit → Punta De Mita</t>
        </is>
      </c>
      <c r="D389" s="38" t="inlineStr">
        <is>
          <t>didi</t>
        </is>
      </c>
      <c r="E389" s="40" t="inlineStr">
        <is>
          <t>mexico-pacific</t>
        </is>
      </c>
      <c r="F389" s="41" t="n">
        <v>1</v>
      </c>
      <c r="G389" s="42" t="n">
        <v>9.9</v>
      </c>
      <c r="H389" s="35" t="n"/>
      <c r="I389" s="43" t="n"/>
      <c r="J389" s="43" t="n"/>
      <c r="K389" s="29" t="n">
        <v>1</v>
      </c>
      <c r="L389" s="44">
        <f>60*G389/cruise_kt</f>
        <v/>
      </c>
      <c r="M389" s="44">
        <f>IF(B389="South Korea",G389/korea_charge_range_nm*korea_full_range_charge_min,0)</f>
        <v/>
      </c>
      <c r="N389" s="44">
        <f>IF(B389="South Korea",L389+korea_turn_min+korea_dwell_min+M389,L389+turn_min+dwell_min)</f>
        <v/>
      </c>
      <c r="O389" s="45">
        <f>IF(B389="South Korea",FLOOR(60*korea_service_hr/N389,1),MIN(15,FLOOR(60*service_hr/N389,1)))</f>
        <v/>
      </c>
      <c r="P389" s="45">
        <f>IF(ABS(MOD(ABS((365*mech_uptime*K389)),1)-0.5)&lt;1E-9,2*ROUND((365*mech_uptime*K389)/2,0),ROUND((365*mech_uptime*K389),0))</f>
        <v/>
      </c>
      <c r="Q389" s="46">
        <f>mech_uptime</f>
        <v/>
      </c>
      <c r="R389" s="46">
        <f>IF(AND(B389="South Korea",scenario="MID"),korea_mid_revleg,revleg_sel)</f>
        <v/>
      </c>
      <c r="S389" s="45">
        <f>IF(ABS(MOD(ABS((O389*P389*R389)),1)-0.5)&lt;1E-9,2*ROUND((O389*P389*R389)/2,0),ROUND((O389*P389*R389),0))</f>
        <v/>
      </c>
      <c r="T389" s="46">
        <f>IF(AND(B389="South Korea",scenario="MID"),korea_mid_load,load_sel)</f>
        <v/>
      </c>
      <c r="U389" s="47">
        <f>pax_cap*T389</f>
        <v/>
      </c>
      <c r="V389" s="45">
        <f>U389*S389</f>
        <v/>
      </c>
      <c r="W389" s="48">
        <f>H389*discount</f>
        <v/>
      </c>
      <c r="X389" s="49">
        <f>W389*V389</f>
        <v/>
      </c>
      <c r="Y389" s="49">
        <f>(battery/range_nm)*G389*S389*VLOOKUP(B389,country_opex,3,FALSE)</f>
        <v/>
      </c>
      <c r="Z389" s="49">
        <f>VLOOKUP(B389,country_opex,2,FALSE)*crew_factor</f>
        <v/>
      </c>
      <c r="AA389" s="49">
        <f>VLOOKUP(B389,country_opex,5,FALSE)</f>
        <v/>
      </c>
      <c r="AB389" s="49">
        <f>maint</f>
        <v/>
      </c>
      <c r="AC389" s="49">
        <f>VLOOKUP(B389,country_opex,7,FALSE)*ins_pct</f>
        <v/>
      </c>
      <c r="AD389" s="49">
        <f>charge_berth</f>
        <v/>
      </c>
      <c r="AE389" s="49">
        <f>Y389+Z389+AA389+AB389+AC389+AD389</f>
        <v/>
      </c>
      <c r="AF389" s="49">
        <f>VLOOKUP(B389,country_opex,7,FALSE)/dep_years</f>
        <v/>
      </c>
      <c r="AG389" s="49">
        <f>X389-AE389</f>
        <v/>
      </c>
      <c r="AH389" s="46">
        <f>IF(X389=0,"",AG389/X389)</f>
        <v/>
      </c>
      <c r="AI389" s="47">
        <f>IF(AG389&lt;=0,"",VLOOKUP(B389,country_opex,7,FALSE)/AG389)</f>
        <v/>
      </c>
      <c r="AJ389" s="44">
        <f>((G389*S389/diesel_nmpg)*diesel_co2pg-(battery/range_nm)*G389*S389*VLOOKUP(B389,country_opex,4,FALSE))/1000</f>
        <v/>
      </c>
      <c r="AK389" s="42" t="n"/>
      <c r="AL389" s="43" t="n"/>
      <c r="AM389" s="43" t="n"/>
      <c r="AN389" s="50" t="n">
        <v>0.1</v>
      </c>
      <c r="AO389" s="45">
        <f>IF(AK389="","",AK389*AN389)</f>
        <v/>
      </c>
      <c r="AP389" s="45">
        <f>IF(OR(AK389="",V389=0),"",MIN(IF(AX389="",9.9E+99,AX389),FLOOR(AO389/V389,1)))</f>
        <v/>
      </c>
      <c r="AQ389" s="49">
        <f>IF(AP389="","",AP389*IF(ABS(MOD(ABS((X389)),1)-0.5)&lt;1E-9,2*ROUND((X389)/2,0),ROUND((X389),0)))</f>
        <v/>
      </c>
      <c r="AR389" s="47">
        <f>IF(OR(AK389="",V389=0),"",MIN(IF(AX389="",9.9E+99,AX389),AO389/V389))</f>
        <v/>
      </c>
      <c r="AS389" s="49">
        <f>IF(AR389="","",AR389*IF(B389="South Korea",IF(ABS(MOD(ABS((X389)),1)-0.5)&lt;1E-9,2*ROUND((X389)/2,0),ROUND((X389),0)),X389))</f>
        <v/>
      </c>
      <c r="AT389" s="51" t="n"/>
      <c r="AU389" s="43" t="inlineStr">
        <is>
          <t>Estimated</t>
        </is>
      </c>
      <c r="AV389" s="52" t="n"/>
      <c r="AW389" s="52" t="n"/>
      <c r="AX389" s="53" t="n"/>
      <c r="AY389" s="54">
        <f>IF(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&lt;=0,"",VLOOKUP(B389,country_opex,7,FALSE)/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)</f>
        <v/>
      </c>
      <c r="AZ389" s="54">
        <f>IF(((W389*pax_cap*IF(B389="South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Korea",korea_mid_revleg,revleg_mid)),0))*VLOOKUP(B389,country_opex,3,FALSE))+Z389+AA389+AB389+AC389+AD389))&lt;=0,"",VLOOKUP(B389,country_opex,7,FALSE)/((W389*pax_cap*IF(B389="South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Korea",korea_mid_revleg,revleg_mid)),0))*VLOOKUP(B389,country_opex,3,FALSE))+Z389+AA389+AB389+AC389+AD389)))</f>
        <v/>
      </c>
      <c r="BA389" s="54">
        <f>IF(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&lt;=0,"",VLOOKUP(B389,country_opex,7,FALSE)/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)</f>
        <v/>
      </c>
      <c r="BB389" s="40" t="n"/>
      <c r="BC389" s="40" t="n"/>
      <c r="BD389" s="43" t="inlineStr">
        <is>
          <t>ics-de6758216f</t>
        </is>
      </c>
    </row>
    <row r="390">
      <c r="A390" s="38" t="inlineStr">
        <is>
          <t>Mexico Pacific</t>
        </is>
      </c>
      <c r="B390" s="38" t="inlineStr">
        <is>
          <t>Mexico</t>
        </is>
      </c>
      <c r="C390" s="39" t="inlineStr">
        <is>
          <t>Puerto Vallarta &amp; Riviera Nayarit → Yelapa</t>
        </is>
      </c>
      <c r="D390" s="38" t="inlineStr">
        <is>
          <t>didi</t>
        </is>
      </c>
      <c r="E390" s="40" t="inlineStr">
        <is>
          <t>mexico-pacific</t>
        </is>
      </c>
      <c r="F390" s="41" t="n">
        <v>1</v>
      </c>
      <c r="G390" s="42" t="n">
        <v>14.5</v>
      </c>
      <c r="H390" s="35" t="n">
        <v>18.19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IF(B390="South Korea",G390/korea_charge_range_nm*korea_full_range_charge_min,0)</f>
        <v/>
      </c>
      <c r="N390" s="44">
        <f>IF(B390="South Korea",L390+korea_turn_min+korea_dwell_min+M390,L390+turn_min+dwell_min)</f>
        <v/>
      </c>
      <c r="O390" s="45">
        <f>IF(B390="South Korea",FLOOR(60*korea_service_hr/N390,1),MIN(15,FLOOR(60*service_hr/N390,1)))</f>
        <v/>
      </c>
      <c r="P390" s="45">
        <f>IF(ABS(MOD(ABS((365*mech_uptime*K390)),1)-0.5)&lt;1E-9,2*ROUND((365*mech_uptime*K390)/2,0),ROUND((365*mech_uptime*K390),0))</f>
        <v/>
      </c>
      <c r="Q390" s="46">
        <f>mech_uptime</f>
        <v/>
      </c>
      <c r="R390" s="46">
        <f>IF(AND(B390="South Korea",scenario="MID"),korea_mid_revleg,revleg_sel)</f>
        <v/>
      </c>
      <c r="S390" s="45">
        <f>IF(ABS(MOD(ABS((O390*P390*R390)),1)-0.5)&lt;1E-9,2*ROUND((O390*P390*R390)/2,0),ROUND((O390*P390*R390),0))</f>
        <v/>
      </c>
      <c r="T390" s="46">
        <f>IF(AND(B390="South Korea",scenario="MID"),korea_mid_load,load_sel)</f>
        <v/>
      </c>
      <c r="U390" s="47">
        <f>pax_cap*T390</f>
        <v/>
      </c>
      <c r="V390" s="45">
        <f>U390*S390</f>
        <v/>
      </c>
      <c r="W390" s="48">
        <f>H390*discount</f>
        <v/>
      </c>
      <c r="X390" s="49">
        <f>W390*V390</f>
        <v/>
      </c>
      <c r="Y390" s="49">
        <f>(battery/range_nm)*G390*S390*VLOOKUP(B390,country_opex,3,FALSE)</f>
        <v/>
      </c>
      <c r="Z390" s="49">
        <f>VLOOKUP(B390,country_opex,2,FALSE)*crew_factor</f>
        <v/>
      </c>
      <c r="AA390" s="49">
        <f>VLOOKUP(B390,country_opex,5,FALSE)</f>
        <v/>
      </c>
      <c r="AB390" s="49">
        <f>maint</f>
        <v/>
      </c>
      <c r="AC390" s="49">
        <f>VLOOKUP(B390,country_opex,7,FALSE)*ins_pct</f>
        <v/>
      </c>
      <c r="AD390" s="49">
        <f>charge_berth</f>
        <v/>
      </c>
      <c r="AE390" s="49">
        <f>Y390+Z390+AA390+AB390+AC390+AD390</f>
        <v/>
      </c>
      <c r="AF390" s="49">
        <f>VLOOKUP(B390,country_opex,7,FALSE)/dep_years</f>
        <v/>
      </c>
      <c r="AG390" s="49">
        <f>X390-AE390</f>
        <v/>
      </c>
      <c r="AH390" s="46">
        <f>IF(X390=0,"",AG390/X390)</f>
        <v/>
      </c>
      <c r="AI390" s="47">
        <f>IF(AG390&lt;=0,"",VLOOKUP(B390,country_opex,7,FALSE)/AG390)</f>
        <v/>
      </c>
      <c r="AJ390" s="44">
        <f>((G390*S390/diesel_nmpg)*diesel_co2pg-(battery/range_nm)*G390*S390*VLOOKUP(B390,country_opex,4,FALSE))/1000</f>
        <v/>
      </c>
      <c r="AK390" s="42" t="n"/>
      <c r="AL390" s="43" t="n"/>
      <c r="AM390" s="43" t="n"/>
      <c r="AN390" s="50" t="n">
        <v>0.1</v>
      </c>
      <c r="AO390" s="45">
        <f>IF(AK390="","",AK390*AN390)</f>
        <v/>
      </c>
      <c r="AP390" s="45">
        <f>IF(OR(AK390="",V390=0),"",MIN(IF(AX390="",9.9E+99,AX390),FLOOR(AO390/V390,1)))</f>
        <v/>
      </c>
      <c r="AQ390" s="49">
        <f>IF(AP390="","",AP390*IF(ABS(MOD(ABS((X390)),1)-0.5)&lt;1E-9,2*ROUND((X390)/2,0),ROUND((X390),0)))</f>
        <v/>
      </c>
      <c r="AR390" s="47">
        <f>IF(OR(AK390="",V390=0),"",MIN(IF(AX390="",9.9E+99,AX390),AO390/V390))</f>
        <v/>
      </c>
      <c r="AS390" s="49">
        <f>IF(AR390="","",AR390*IF(B390="South Korea",IF(ABS(MOD(ABS((X390)),1)-0.5)&lt;1E-9,2*ROUND((X390)/2,0),ROUND((X390),0)),X390))</f>
        <v/>
      </c>
      <c r="AT390" s="51" t="n"/>
      <c r="AU390" s="43" t="inlineStr">
        <is>
          <t>Estimated</t>
        </is>
      </c>
      <c r="AV390" s="52" t="n"/>
      <c r="AW390" s="52" t="n"/>
      <c r="AX390" s="53" t="n"/>
      <c r="AY390" s="54">
        <f>IF(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&lt;=0,"",VLOOKUP(B390,country_opex,7,FALSE)/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)</f>
        <v/>
      </c>
      <c r="AZ390" s="54">
        <f>IF(((W390*pax_cap*IF(B390="South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Korea",korea_mid_revleg,revleg_mid)),0))*VLOOKUP(B390,country_opex,3,FALSE))+Z390+AA390+AB390+AC390+AD390))&lt;=0,"",VLOOKUP(B390,country_opex,7,FALSE)/((W390*pax_cap*IF(B390="South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Korea",korea_mid_revleg,revleg_mid)),0))*VLOOKUP(B390,country_opex,3,FALSE))+Z390+AA390+AB390+AC390+AD390)))</f>
        <v/>
      </c>
      <c r="BA390" s="54">
        <f>IF(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&lt;=0,"",VLOOKUP(B390,country_opex,7,FALSE)/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)</f>
        <v/>
      </c>
      <c r="BB390" s="40" t="inlineStr">
        <is>
          <t>https://www.yelapa.info/transport1.html</t>
        </is>
      </c>
      <c r="BC390" s="40" t="n"/>
      <c r="BD390" s="43" t="inlineStr">
        <is>
          <t>ics-89a8844858</t>
        </is>
      </c>
    </row>
    <row r="391">
      <c r="A391" s="38" t="inlineStr">
        <is>
          <t>Mexico Pacific</t>
        </is>
      </c>
      <c r="B391" s="38" t="inlineStr">
        <is>
          <t>Mexico</t>
        </is>
      </c>
      <c r="C391" s="39" t="inlineStr">
        <is>
          <t>Cabo San Lucas Marina → Los Cabos, Baja Sur</t>
        </is>
      </c>
      <c r="D391" s="38" t="inlineStr">
        <is>
          <t>didi</t>
        </is>
      </c>
      <c r="E391" s="40" t="inlineStr">
        <is>
          <t>mexico-pacific</t>
        </is>
      </c>
      <c r="F391" s="41" t="n">
        <v>1</v>
      </c>
      <c r="G391" s="42" t="n">
        <v>17</v>
      </c>
      <c r="H391" s="35" t="n"/>
      <c r="I391" s="43" t="n"/>
      <c r="J391" s="43" t="n"/>
      <c r="K391" s="29" t="n">
        <v>1</v>
      </c>
      <c r="L391" s="44">
        <f>60*G391/cruise_kt</f>
        <v/>
      </c>
      <c r="M391" s="44">
        <f>IF(B391="South Korea",G391/korea_charge_range_nm*korea_full_range_charge_min,0)</f>
        <v/>
      </c>
      <c r="N391" s="44">
        <f>IF(B391="South Korea",L391+korea_turn_min+korea_dwell_min+M391,L391+turn_min+dwell_min)</f>
        <v/>
      </c>
      <c r="O391" s="45">
        <f>IF(B391="South Korea",FLOOR(60*korea_service_hr/N391,1),MIN(15,FLOOR(60*service_hr/N391,1)))</f>
        <v/>
      </c>
      <c r="P391" s="45">
        <f>IF(ABS(MOD(ABS((365*mech_uptime*K391)),1)-0.5)&lt;1E-9,2*ROUND((365*mech_uptime*K391)/2,0),ROUND((365*mech_uptime*K391),0))</f>
        <v/>
      </c>
      <c r="Q391" s="46">
        <f>mech_uptime</f>
        <v/>
      </c>
      <c r="R391" s="46">
        <f>IF(AND(B391="South Korea",scenario="MID"),korea_mid_revleg,revleg_sel)</f>
        <v/>
      </c>
      <c r="S391" s="45">
        <f>IF(ABS(MOD(ABS((O391*P391*R391)),1)-0.5)&lt;1E-9,2*ROUND((O391*P391*R391)/2,0),ROUND((O391*P391*R391),0))</f>
        <v/>
      </c>
      <c r="T391" s="46">
        <f>IF(AND(B391="South Korea",scenario="MID"),korea_mid_load,load_sel)</f>
        <v/>
      </c>
      <c r="U391" s="47">
        <f>pax_cap*T391</f>
        <v/>
      </c>
      <c r="V391" s="45">
        <f>U391*S391</f>
        <v/>
      </c>
      <c r="W391" s="48">
        <f>H391*discount</f>
        <v/>
      </c>
      <c r="X391" s="49">
        <f>W391*V391</f>
        <v/>
      </c>
      <c r="Y391" s="49">
        <f>(battery/range_nm)*G391*S391*VLOOKUP(B391,country_opex,3,FALSE)</f>
        <v/>
      </c>
      <c r="Z391" s="49">
        <f>VLOOKUP(B391,country_opex,2,FALSE)*crew_factor</f>
        <v/>
      </c>
      <c r="AA391" s="49">
        <f>VLOOKUP(B391,country_opex,5,FALSE)</f>
        <v/>
      </c>
      <c r="AB391" s="49">
        <f>maint</f>
        <v/>
      </c>
      <c r="AC391" s="49">
        <f>VLOOKUP(B391,country_opex,7,FALSE)*ins_pct</f>
        <v/>
      </c>
      <c r="AD391" s="49">
        <f>charge_berth</f>
        <v/>
      </c>
      <c r="AE391" s="49">
        <f>Y391+Z391+AA391+AB391+AC391+AD391</f>
        <v/>
      </c>
      <c r="AF391" s="49">
        <f>VLOOKUP(B391,country_opex,7,FALSE)/dep_years</f>
        <v/>
      </c>
      <c r="AG391" s="49">
        <f>X391-AE391</f>
        <v/>
      </c>
      <c r="AH391" s="46">
        <f>IF(X391=0,"",AG391/X391)</f>
        <v/>
      </c>
      <c r="AI391" s="47">
        <f>IF(AG391&lt;=0,"",VLOOKUP(B391,country_opex,7,FALSE)/AG391)</f>
        <v/>
      </c>
      <c r="AJ391" s="44">
        <f>((G391*S391/diesel_nmpg)*diesel_co2pg-(battery/range_nm)*G391*S391*VLOOKUP(B391,country_opex,4,FALSE))/1000</f>
        <v/>
      </c>
      <c r="AK391" s="42" t="n"/>
      <c r="AL391" s="43" t="n"/>
      <c r="AM391" s="43" t="n"/>
      <c r="AN391" s="50" t="n">
        <v>0.1</v>
      </c>
      <c r="AO391" s="45">
        <f>IF(AK391="","",AK391*AN391)</f>
        <v/>
      </c>
      <c r="AP391" s="45">
        <f>IF(OR(AK391="",V391=0),"",MIN(IF(AX391="",9.9E+99,AX391),FLOOR(AO391/V391,1)))</f>
        <v/>
      </c>
      <c r="AQ391" s="49">
        <f>IF(AP391="","",AP391*IF(ABS(MOD(ABS((X391)),1)-0.5)&lt;1E-9,2*ROUND((X391)/2,0),ROUND((X391),0)))</f>
        <v/>
      </c>
      <c r="AR391" s="47">
        <f>IF(OR(AK391="",V391=0),"",MIN(IF(AX391="",9.9E+99,AX391),AO391/V391))</f>
        <v/>
      </c>
      <c r="AS391" s="49">
        <f>IF(AR391="","",AR391*IF(B391="South Korea",IF(ABS(MOD(ABS((X391)),1)-0.5)&lt;1E-9,2*ROUND((X391)/2,0),ROUND((X391),0)),X391))</f>
        <v/>
      </c>
      <c r="AT391" s="51" t="n"/>
      <c r="AU391" s="43" t="inlineStr">
        <is>
          <t>Estimated</t>
        </is>
      </c>
      <c r="AV391" s="52" t="n"/>
      <c r="AW391" s="52" t="n"/>
      <c r="AX391" s="53" t="n"/>
      <c r="AY391" s="54">
        <f>IF(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&lt;=0,"",VLOOKUP(B391,country_opex,7,FALSE)/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)</f>
        <v/>
      </c>
      <c r="AZ391" s="54">
        <f>IF(((W391*pax_cap*IF(B391="South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Korea",korea_mid_revleg,revleg_mid)),0))*VLOOKUP(B391,country_opex,3,FALSE))+Z391+AA391+AB391+AC391+AD391))&lt;=0,"",VLOOKUP(B391,country_opex,7,FALSE)/((W391*pax_cap*IF(B391="South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Korea",korea_mid_revleg,revleg_mid)),0))*VLOOKUP(B391,country_opex,3,FALSE))+Z391+AA391+AB391+AC391+AD391)))</f>
        <v/>
      </c>
      <c r="BA391" s="54">
        <f>IF(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&lt;=0,"",VLOOKUP(B391,country_opex,7,FALSE)/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)</f>
        <v/>
      </c>
      <c r="BB391" s="40" t="n"/>
      <c r="BC391" s="40" t="n"/>
      <c r="BD391" s="43" t="inlineStr">
        <is>
          <t>ics-db0930d9d1</t>
        </is>
      </c>
    </row>
    <row r="392">
      <c r="A392" s="38" t="inlineStr">
        <is>
          <t>Yango Morocco</t>
        </is>
      </c>
      <c r="B392" s="38" t="inlineStr">
        <is>
          <t>Morocco</t>
        </is>
      </c>
      <c r="C392" s="39" t="inlineStr">
        <is>
          <t>Rabat → Sale</t>
        </is>
      </c>
      <c r="D392" s="38" t="inlineStr">
        <is>
          <t>yango</t>
        </is>
      </c>
      <c r="E392" s="40" t="inlineStr">
        <is>
          <t>yango-morocco, yassir-morocco</t>
        </is>
      </c>
      <c r="F392" s="41" t="n">
        <v>4</v>
      </c>
      <c r="G392" s="42" t="n">
        <v>0.5</v>
      </c>
      <c r="H392" s="35" t="n"/>
      <c r="I392" s="43" t="n"/>
      <c r="J392" s="43" t="n"/>
      <c r="K392" s="29" t="n">
        <v>1</v>
      </c>
      <c r="L392" s="44">
        <f>60*G392/cruise_kt</f>
        <v/>
      </c>
      <c r="M392" s="44">
        <f>IF(B392="South Korea",G392/korea_charge_range_nm*korea_full_range_charge_min,0)</f>
        <v/>
      </c>
      <c r="N392" s="44">
        <f>IF(B392="South Korea",L392+korea_turn_min+korea_dwell_min+M392,L392+turn_min+dwell_min)</f>
        <v/>
      </c>
      <c r="O392" s="45">
        <f>IF(B392="South Korea",FLOOR(60*korea_service_hr/N392,1),MIN(24,FLOOR(60*service_hr/N392,1)))</f>
        <v/>
      </c>
      <c r="P392" s="45">
        <f>IF(ABS(MOD(ABS((365*mech_uptime*K392)),1)-0.5)&lt;1E-9,2*ROUND((365*mech_uptime*K392)/2,0),ROUND((365*mech_uptime*K392),0))</f>
        <v/>
      </c>
      <c r="Q392" s="46">
        <f>mech_uptime</f>
        <v/>
      </c>
      <c r="R392" s="46">
        <f>IF(AND(B392="South Korea",scenario="MID"),korea_mid_revleg,revleg_sel)</f>
        <v/>
      </c>
      <c r="S392" s="45">
        <f>IF(ABS(MOD(ABS((O392*P392*R392)),1)-0.5)&lt;1E-9,2*ROUND((O392*P392*R392)/2,0),ROUND((O392*P392*R392),0))</f>
        <v/>
      </c>
      <c r="T392" s="46">
        <f>IF(AND(B392="South Korea",scenario="MID"),korea_mid_load,load_sel)</f>
        <v/>
      </c>
      <c r="U392" s="47">
        <f>pax_cap*T392</f>
        <v/>
      </c>
      <c r="V392" s="45">
        <f>U392*S392</f>
        <v/>
      </c>
      <c r="W392" s="48">
        <f>H392*discount</f>
        <v/>
      </c>
      <c r="X392" s="49">
        <f>W392*V392</f>
        <v/>
      </c>
      <c r="Y392" s="49">
        <f>(battery/range_nm)*G392*S392*VLOOKUP(B392,country_opex,3,FALSE)</f>
        <v/>
      </c>
      <c r="Z392" s="49">
        <f>VLOOKUP(B392,country_opex,2,FALSE)*crew_factor</f>
        <v/>
      </c>
      <c r="AA392" s="49">
        <f>VLOOKUP(B392,country_opex,5,FALSE)</f>
        <v/>
      </c>
      <c r="AB392" s="49">
        <f>maint</f>
        <v/>
      </c>
      <c r="AC392" s="49">
        <f>VLOOKUP(B392,country_opex,7,FALSE)*ins_pct</f>
        <v/>
      </c>
      <c r="AD392" s="49">
        <f>charge_berth</f>
        <v/>
      </c>
      <c r="AE392" s="49">
        <f>Y392+Z392+AA392+AB392+AC392+AD392</f>
        <v/>
      </c>
      <c r="AF392" s="49">
        <f>VLOOKUP(B392,country_opex,7,FALSE)/dep_years</f>
        <v/>
      </c>
      <c r="AG392" s="49">
        <f>X392-AE392</f>
        <v/>
      </c>
      <c r="AH392" s="46">
        <f>IF(X392=0,"",AG392/X392)</f>
        <v/>
      </c>
      <c r="AI392" s="47">
        <f>IF(AG392&lt;=0,"",VLOOKUP(B392,country_opex,7,FALSE)/AG392)</f>
        <v/>
      </c>
      <c r="AJ392" s="44">
        <f>((G392*S392/diesel_nmpg)*diesel_co2pg-(battery/range_nm)*G392*S392*VLOOKUP(B392,country_opex,4,FALSE))/1000</f>
        <v/>
      </c>
      <c r="AK392" s="42" t="n"/>
      <c r="AL392" s="43" t="n"/>
      <c r="AM392" s="43" t="n"/>
      <c r="AN392" s="50" t="n">
        <v>0.1</v>
      </c>
      <c r="AO392" s="45">
        <f>IF(AK392="","",AK392*AN392)</f>
        <v/>
      </c>
      <c r="AP392" s="45">
        <f>IF(OR(AK392="",V392=0),"",MIN(IF(AX392="",9.9E+99,AX392),FLOOR(AO392/V392,1)))</f>
        <v/>
      </c>
      <c r="AQ392" s="49">
        <f>IF(AP392="","",AP392*IF(ABS(MOD(ABS((X392)),1)-0.5)&lt;1E-9,2*ROUND((X392)/2,0),ROUND((X392),0)))</f>
        <v/>
      </c>
      <c r="AR392" s="47">
        <f>IF(OR(AK392="",V392=0),"",MIN(IF(AX392="",9.9E+99,AX392),AO392/V392))</f>
        <v/>
      </c>
      <c r="AS392" s="49">
        <f>IF(AR392="","",AR392*IF(B392="South Korea",IF(ABS(MOD(ABS((X392)),1)-0.5)&lt;1E-9,2*ROUND((X392)/2,0),ROUND((X392),0)),X392))</f>
        <v/>
      </c>
      <c r="AT392" s="51" t="n"/>
      <c r="AU392" s="43" t="inlineStr">
        <is>
          <t>Estimated</t>
        </is>
      </c>
      <c r="AV392" s="52" t="n"/>
      <c r="AW392" s="52" t="n"/>
      <c r="AX392" s="53" t="n"/>
      <c r="AY392" s="54">
        <f>IF(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&lt;=0,"",VLOOKUP(B392,country_opex,7,FALSE)/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)</f>
        <v/>
      </c>
      <c r="AZ392" s="54">
        <f>IF(((W392*pax_cap*IF(B392="South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Korea",korea_mid_revleg,revleg_mid)),0))*VLOOKUP(B392,country_opex,3,FALSE))+Z392+AA392+AB392+AC392+AD392))&lt;=0,"",VLOOKUP(B392,country_opex,7,FALSE)/((W392*pax_cap*IF(B392="South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Korea",korea_mid_revleg,revleg_mid)),0))*VLOOKUP(B392,country_opex,3,FALSE))+Z392+AA392+AB392+AC392+AD392)))</f>
        <v/>
      </c>
      <c r="BA392" s="54">
        <f>IF(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&lt;=0,"",VLOOKUP(B392,country_opex,7,FALSE)/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)</f>
        <v/>
      </c>
      <c r="BB392" s="40" t="n"/>
      <c r="BC392" s="40" t="n"/>
      <c r="BD392" s="43" t="n"/>
    </row>
    <row r="393">
      <c r="A393" s="38" t="inlineStr">
        <is>
          <t>Yango Morocco</t>
        </is>
      </c>
      <c r="B393" s="38" t="inlineStr">
        <is>
          <t>Morocco</t>
        </is>
      </c>
      <c r="C393" s="39" t="inlineStr">
        <is>
          <t>Tangier Marina Bay → Tarifa (cross-strait excluded)</t>
        </is>
      </c>
      <c r="D393" s="38" t="inlineStr">
        <is>
          <t>yango</t>
        </is>
      </c>
      <c r="E393" s="40" t="inlineStr">
        <is>
          <t>yango-morocco, yassir-morocco</t>
        </is>
      </c>
      <c r="F393" s="41" t="n">
        <v>2</v>
      </c>
      <c r="G393" s="42" t="n">
        <v>8</v>
      </c>
      <c r="H393" s="35" t="n">
        <v>43.5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IF(B393="South Korea",G393/korea_charge_range_nm*korea_full_range_charge_min,0)</f>
        <v/>
      </c>
      <c r="N393" s="44">
        <f>IF(B393="South Korea",L393+korea_turn_min+korea_dwell_min+M393,L393+turn_min+dwell_min)</f>
        <v/>
      </c>
      <c r="O393" s="45">
        <f>IF(B393="South Korea",FLOOR(60*korea_service_hr/N393,1),MIN(15,FLOOR(60*service_hr/N393,1)))</f>
        <v/>
      </c>
      <c r="P393" s="45">
        <f>IF(ABS(MOD(ABS((365*mech_uptime*K393)),1)-0.5)&lt;1E-9,2*ROUND((365*mech_uptime*K393)/2,0),ROUND((365*mech_uptime*K393),0))</f>
        <v/>
      </c>
      <c r="Q393" s="46">
        <f>mech_uptime</f>
        <v/>
      </c>
      <c r="R393" s="46">
        <f>IF(AND(B393="South Korea",scenario="MID"),korea_mid_revleg,revleg_sel)</f>
        <v/>
      </c>
      <c r="S393" s="45">
        <f>IF(ABS(MOD(ABS((O393*P393*R393)),1)-0.5)&lt;1E-9,2*ROUND((O393*P393*R393)/2,0),ROUND((O393*P393*R393),0))</f>
        <v/>
      </c>
      <c r="T393" s="46">
        <f>IF(AND(B393="South Korea",scenario="MID"),korea_mid_load,load_sel)</f>
        <v/>
      </c>
      <c r="U393" s="47">
        <f>pax_cap*T393</f>
        <v/>
      </c>
      <c r="V393" s="45">
        <f>U393*S393</f>
        <v/>
      </c>
      <c r="W393" s="48">
        <f>H393*discount</f>
        <v/>
      </c>
      <c r="X393" s="49">
        <f>W393*V393</f>
        <v/>
      </c>
      <c r="Y393" s="49">
        <f>(battery/range_nm)*G393*S393*VLOOKUP(B393,country_opex,3,FALSE)</f>
        <v/>
      </c>
      <c r="Z393" s="49">
        <f>VLOOKUP(B393,country_opex,2,FALSE)*crew_factor</f>
        <v/>
      </c>
      <c r="AA393" s="49">
        <f>VLOOKUP(B393,country_opex,5,FALSE)</f>
        <v/>
      </c>
      <c r="AB393" s="49">
        <f>maint</f>
        <v/>
      </c>
      <c r="AC393" s="49">
        <f>VLOOKUP(B393,country_opex,7,FALSE)*ins_pct</f>
        <v/>
      </c>
      <c r="AD393" s="49">
        <f>charge_berth</f>
        <v/>
      </c>
      <c r="AE393" s="49">
        <f>Y393+Z393+AA393+AB393+AC393+AD393</f>
        <v/>
      </c>
      <c r="AF393" s="49">
        <f>VLOOKUP(B393,country_opex,7,FALSE)/dep_years</f>
        <v/>
      </c>
      <c r="AG393" s="49">
        <f>X393-AE393</f>
        <v/>
      </c>
      <c r="AH393" s="46">
        <f>IF(X393=0,"",AG393/X393)</f>
        <v/>
      </c>
      <c r="AI393" s="47">
        <f>IF(AG393&lt;=0,"",VLOOKUP(B393,country_opex,7,FALSE)/AG393)</f>
        <v/>
      </c>
      <c r="AJ393" s="44">
        <f>((G393*S393/diesel_nmpg)*diesel_co2pg-(battery/range_nm)*G393*S393*VLOOKUP(B393,country_opex,4,FALSE))/1000</f>
        <v/>
      </c>
      <c r="AK393" s="42" t="n">
        <v>760778</v>
      </c>
      <c r="AL393" s="43" t="n"/>
      <c r="AM393" s="43" t="n"/>
      <c r="AN393" s="50" t="n">
        <v>0.1</v>
      </c>
      <c r="AO393" s="45">
        <f>IF(AK393="","",AK393*AN393)</f>
        <v/>
      </c>
      <c r="AP393" s="45">
        <f>IF(OR(AK393="",V393=0),"",MIN(IF(AX393="",9.9E+99,AX393),FLOOR(AO393/V393,1)))</f>
        <v/>
      </c>
      <c r="AQ393" s="49">
        <f>IF(AP393="","",AP393*IF(ABS(MOD(ABS((X393)),1)-0.5)&lt;1E-9,2*ROUND((X393)/2,0),ROUND((X393),0)))</f>
        <v/>
      </c>
      <c r="AR393" s="47">
        <f>IF(OR(AK393="",V393=0),"",MIN(IF(AX393="",9.9E+99,AX393),AO393/V393))</f>
        <v/>
      </c>
      <c r="AS393" s="49">
        <f>IF(AR393="","",AR393*IF(B393="South Korea",IF(ABS(MOD(ABS((X393)),1)-0.5)&lt;1E-9,2*ROUND((X393)/2,0),ROUND((X393),0)),X393))</f>
        <v/>
      </c>
      <c r="AT393" s="51" t="n"/>
      <c r="AU393" s="43" t="inlineStr">
        <is>
          <t>Grounded</t>
        </is>
      </c>
      <c r="AV393" s="52" t="n"/>
      <c r="AW393" s="52" t="n"/>
      <c r="AX393" s="53" t="n"/>
      <c r="AY393" s="54">
        <f>IF(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&lt;=0,"",VLOOKUP(B393,country_opex,7,FALSE)/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)</f>
        <v/>
      </c>
      <c r="AZ393" s="54">
        <f>IF(((W393*pax_cap*IF(B393="South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Korea",korea_mid_revleg,revleg_mid)),0))*VLOOKUP(B393,country_opex,3,FALSE))+Z393+AA393+AB393+AC393+AD393))&lt;=0,"",VLOOKUP(B393,country_opex,7,FALSE)/((W393*pax_cap*IF(B393="South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Korea",korea_mid_revleg,revleg_mid)),0))*VLOOKUP(B393,country_opex,3,FALSE))+Z393+AA393+AB393+AC393+AD393)))</f>
        <v/>
      </c>
      <c r="BA393" s="54">
        <f>IF(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&lt;=0,"",VLOOKUP(B393,country_opex,7,FALSE)/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)</f>
        <v/>
      </c>
      <c r="BB393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C393" s="40" t="n"/>
      <c r="BD393" s="43" t="n"/>
    </row>
    <row r="394">
      <c r="A394" s="38" t="inlineStr">
        <is>
          <t>Yango Morocco</t>
        </is>
      </c>
      <c r="B394" s="38" t="inlineStr">
        <is>
          <t>Morocco</t>
        </is>
      </c>
      <c r="C394" s="39" t="inlineStr">
        <is>
          <t>Agadir Marina → Taghazout</t>
        </is>
      </c>
      <c r="D394" s="38" t="inlineStr">
        <is>
          <t>yango</t>
        </is>
      </c>
      <c r="E394" s="40" t="inlineStr">
        <is>
          <t>yango-morocco, yassir-morocco</t>
        </is>
      </c>
      <c r="F394" s="41" t="n">
        <v>2</v>
      </c>
      <c r="G394" s="42" t="n">
        <v>9</v>
      </c>
      <c r="H394" s="35" t="n"/>
      <c r="I394" s="43" t="n"/>
      <c r="J394" s="43" t="n"/>
      <c r="K394" s="29" t="n">
        <v>1</v>
      </c>
      <c r="L394" s="44">
        <f>60*G394/cruise_kt</f>
        <v/>
      </c>
      <c r="M394" s="44">
        <f>IF(B394="South Korea",G394/korea_charge_range_nm*korea_full_range_charge_min,0)</f>
        <v/>
      </c>
      <c r="N394" s="44">
        <f>IF(B394="South Korea",L394+korea_turn_min+korea_dwell_min+M394,L394+turn_min+dwell_min)</f>
        <v/>
      </c>
      <c r="O394" s="45">
        <f>IF(B394="South Korea",FLOOR(60*korea_service_hr/N394,1),MIN(15,FLOOR(60*service_hr/N394,1)))</f>
        <v/>
      </c>
      <c r="P394" s="45">
        <f>IF(ABS(MOD(ABS((365*mech_uptime*K394)),1)-0.5)&lt;1E-9,2*ROUND((365*mech_uptime*K394)/2,0),ROUND((365*mech_uptime*K394),0))</f>
        <v/>
      </c>
      <c r="Q394" s="46">
        <f>mech_uptime</f>
        <v/>
      </c>
      <c r="R394" s="46">
        <f>IF(AND(B394="South Korea",scenario="MID"),korea_mid_revleg,revleg_sel)</f>
        <v/>
      </c>
      <c r="S394" s="45">
        <f>IF(ABS(MOD(ABS((O394*P394*R394)),1)-0.5)&lt;1E-9,2*ROUND((O394*P394*R394)/2,0),ROUND((O394*P394*R394),0))</f>
        <v/>
      </c>
      <c r="T394" s="46">
        <f>IF(AND(B394="South Korea",scenario="MID"),korea_mid_load,load_sel)</f>
        <v/>
      </c>
      <c r="U394" s="47">
        <f>pax_cap*T394</f>
        <v/>
      </c>
      <c r="V394" s="45">
        <f>U394*S394</f>
        <v/>
      </c>
      <c r="W394" s="48">
        <f>H394*discount</f>
        <v/>
      </c>
      <c r="X394" s="49">
        <f>W394*V394</f>
        <v/>
      </c>
      <c r="Y394" s="49">
        <f>(battery/range_nm)*G394*S394*VLOOKUP(B394,country_opex,3,FALSE)</f>
        <v/>
      </c>
      <c r="Z394" s="49">
        <f>VLOOKUP(B394,country_opex,2,FALSE)*crew_factor</f>
        <v/>
      </c>
      <c r="AA394" s="49">
        <f>VLOOKUP(B394,country_opex,5,FALSE)</f>
        <v/>
      </c>
      <c r="AB394" s="49">
        <f>maint</f>
        <v/>
      </c>
      <c r="AC394" s="49">
        <f>VLOOKUP(B394,country_opex,7,FALSE)*ins_pct</f>
        <v/>
      </c>
      <c r="AD394" s="49">
        <f>charge_berth</f>
        <v/>
      </c>
      <c r="AE394" s="49">
        <f>Y394+Z394+AA394+AB394+AC394+AD394</f>
        <v/>
      </c>
      <c r="AF394" s="49">
        <f>VLOOKUP(B394,country_opex,7,FALSE)/dep_years</f>
        <v/>
      </c>
      <c r="AG394" s="49">
        <f>X394-AE394</f>
        <v/>
      </c>
      <c r="AH394" s="46">
        <f>IF(X394=0,"",AG394/X394)</f>
        <v/>
      </c>
      <c r="AI394" s="47">
        <f>IF(AG394&lt;=0,"",VLOOKUP(B394,country_opex,7,FALSE)/AG394)</f>
        <v/>
      </c>
      <c r="AJ394" s="44">
        <f>((G394*S394/diesel_nmpg)*diesel_co2pg-(battery/range_nm)*G394*S394*VLOOKUP(B394,country_opex,4,FALSE))/1000</f>
        <v/>
      </c>
      <c r="AK394" s="42" t="n">
        <v>77500</v>
      </c>
      <c r="AL394" s="43" t="n"/>
      <c r="AM394" s="43" t="n"/>
      <c r="AN394" s="50" t="n">
        <v>0.1</v>
      </c>
      <c r="AO394" s="45">
        <f>IF(AK394="","",AK394*AN394)</f>
        <v/>
      </c>
      <c r="AP394" s="45">
        <f>IF(OR(AK394="",V394=0),"",MIN(IF(AX394="",9.9E+99,AX394),FLOOR(AO394/V394,1)))</f>
        <v/>
      </c>
      <c r="AQ394" s="49">
        <f>IF(AP394="","",AP394*IF(ABS(MOD(ABS((X394)),1)-0.5)&lt;1E-9,2*ROUND((X394)/2,0),ROUND((X394),0)))</f>
        <v/>
      </c>
      <c r="AR394" s="47">
        <f>IF(OR(AK394="",V394=0),"",MIN(IF(AX394="",9.9E+99,AX394),AO394/V394))</f>
        <v/>
      </c>
      <c r="AS394" s="49">
        <f>IF(AR394="","",AR394*IF(B394="South Korea",IF(ABS(MOD(ABS((X394)),1)-0.5)&lt;1E-9,2*ROUND((X394)/2,0),ROUND((X394),0)),X394))</f>
        <v/>
      </c>
      <c r="AT394" s="51" t="n"/>
      <c r="AU394" s="43" t="inlineStr">
        <is>
          <t>Estimated</t>
        </is>
      </c>
      <c r="AV394" s="52" t="n"/>
      <c r="AW394" s="52" t="n"/>
      <c r="AX394" s="53" t="n"/>
      <c r="AY394" s="54">
        <f>IF(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&lt;=0,"",VLOOKUP(B394,country_opex,7,FALSE)/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)</f>
        <v/>
      </c>
      <c r="AZ394" s="54">
        <f>IF(((W394*pax_cap*IF(B394="South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Korea",korea_mid_revleg,revleg_mid)),0))*VLOOKUP(B394,country_opex,3,FALSE))+Z394+AA394+AB394+AC394+AD394))&lt;=0,"",VLOOKUP(B394,country_opex,7,FALSE)/((W394*pax_cap*IF(B394="South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Korea",korea_mid_revleg,revleg_mid)),0))*VLOOKUP(B394,country_opex,3,FALSE))+Z394+AA394+AB394+AC394+AD394)))</f>
        <v/>
      </c>
      <c r="BA394" s="54">
        <f>IF(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&lt;=0,"",VLOOKUP(B394,country_opex,7,FALSE)/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)</f>
        <v/>
      </c>
      <c r="BB394" s="40" t="n"/>
      <c r="BC394" s="40" t="n"/>
      <c r="BD394" s="43" t="inlineStr">
        <is>
          <t>e__agadir-essaouira-morocco__agadir__agadir-essaouira-morocco__taghazout</t>
        </is>
      </c>
    </row>
    <row r="395">
      <c r="A395" s="38" t="inlineStr">
        <is>
          <t>Yango Morocco</t>
        </is>
      </c>
      <c r="B395" s="38" t="inlineStr">
        <is>
          <t>Morocco</t>
        </is>
      </c>
      <c r="C395" s="39" t="inlineStr">
        <is>
          <t>Casablanca → Mohammedia</t>
        </is>
      </c>
      <c r="D395" s="38" t="inlineStr">
        <is>
          <t>yango</t>
        </is>
      </c>
      <c r="E395" s="40" t="inlineStr">
        <is>
          <t>yango-morocco, yassir-morocco</t>
        </is>
      </c>
      <c r="F395" s="41" t="n">
        <v>2</v>
      </c>
      <c r="G395" s="42" t="n">
        <v>13</v>
      </c>
      <c r="H395" s="35" t="n"/>
      <c r="I395" s="43" t="n"/>
      <c r="J395" s="43" t="n"/>
      <c r="K395" s="29" t="n">
        <v>1</v>
      </c>
      <c r="L395" s="44">
        <f>60*G395/cruise_kt</f>
        <v/>
      </c>
      <c r="M395" s="44">
        <f>IF(B395="South Korea",G395/korea_charge_range_nm*korea_full_range_charge_min,0)</f>
        <v/>
      </c>
      <c r="N395" s="44">
        <f>IF(B395="South Korea",L395+korea_turn_min+korea_dwell_min+M395,L395+turn_min+dwell_min)</f>
        <v/>
      </c>
      <c r="O395" s="45">
        <f>IF(B395="South Korea",FLOOR(60*korea_service_hr/N395,1),MIN(24,FLOOR(60*service_hr/N395,1)))</f>
        <v/>
      </c>
      <c r="P395" s="45">
        <f>IF(ABS(MOD(ABS((365*mech_uptime*K395)),1)-0.5)&lt;1E-9,2*ROUND((365*mech_uptime*K395)/2,0),ROUND((365*mech_uptime*K395),0))</f>
        <v/>
      </c>
      <c r="Q395" s="46">
        <f>mech_uptime</f>
        <v/>
      </c>
      <c r="R395" s="46">
        <f>IF(AND(B395="South Korea",scenario="MID"),korea_mid_revleg,revleg_sel)</f>
        <v/>
      </c>
      <c r="S395" s="45">
        <f>IF(ABS(MOD(ABS((O395*P395*R395)),1)-0.5)&lt;1E-9,2*ROUND((O395*P395*R395)/2,0),ROUND((O395*P395*R395),0))</f>
        <v/>
      </c>
      <c r="T395" s="46">
        <f>IF(AND(B395="South Korea",scenario="MID"),korea_mid_load,load_sel)</f>
        <v/>
      </c>
      <c r="U395" s="47">
        <f>pax_cap*T395</f>
        <v/>
      </c>
      <c r="V395" s="45">
        <f>U395*S395</f>
        <v/>
      </c>
      <c r="W395" s="48">
        <f>H395*discount</f>
        <v/>
      </c>
      <c r="X395" s="49">
        <f>W395*V395</f>
        <v/>
      </c>
      <c r="Y395" s="49">
        <f>(battery/range_nm)*G395*S395*VLOOKUP(B395,country_opex,3,FALSE)</f>
        <v/>
      </c>
      <c r="Z395" s="49">
        <f>VLOOKUP(B395,country_opex,2,FALSE)*crew_factor</f>
        <v/>
      </c>
      <c r="AA395" s="49">
        <f>VLOOKUP(B395,country_opex,5,FALSE)</f>
        <v/>
      </c>
      <c r="AB395" s="49">
        <f>maint</f>
        <v/>
      </c>
      <c r="AC395" s="49">
        <f>VLOOKUP(B395,country_opex,7,FALSE)*ins_pct</f>
        <v/>
      </c>
      <c r="AD395" s="49">
        <f>charge_berth</f>
        <v/>
      </c>
      <c r="AE395" s="49">
        <f>Y395+Z395+AA395+AB395+AC395+AD395</f>
        <v/>
      </c>
      <c r="AF395" s="49">
        <f>VLOOKUP(B395,country_opex,7,FALSE)/dep_years</f>
        <v/>
      </c>
      <c r="AG395" s="49">
        <f>X395-AE395</f>
        <v/>
      </c>
      <c r="AH395" s="46">
        <f>IF(X395=0,"",AG395/X395)</f>
        <v/>
      </c>
      <c r="AI395" s="47">
        <f>IF(AG395&lt;=0,"",VLOOKUP(B395,country_opex,7,FALSE)/AG395)</f>
        <v/>
      </c>
      <c r="AJ395" s="44">
        <f>((G395*S395/diesel_nmpg)*diesel_co2pg-(battery/range_nm)*G395*S395*VLOOKUP(B395,country_opex,4,FALSE))/1000</f>
        <v/>
      </c>
      <c r="AK395" s="42" t="n"/>
      <c r="AL395" s="43" t="n"/>
      <c r="AM395" s="43" t="n"/>
      <c r="AN395" s="50" t="n">
        <v>0.1</v>
      </c>
      <c r="AO395" s="45">
        <f>IF(AK395="","",AK395*AN395)</f>
        <v/>
      </c>
      <c r="AP395" s="45">
        <f>IF(OR(AK395="",V395=0),"",MIN(IF(AX395="",9.9E+99,AX395),FLOOR(AO395/V395,1)))</f>
        <v/>
      </c>
      <c r="AQ395" s="49">
        <f>IF(AP395="","",AP395*IF(ABS(MOD(ABS((X395)),1)-0.5)&lt;1E-9,2*ROUND((X395)/2,0),ROUND((X395),0)))</f>
        <v/>
      </c>
      <c r="AR395" s="47">
        <f>IF(OR(AK395="",V395=0),"",MIN(IF(AX395="",9.9E+99,AX395),AO395/V395))</f>
        <v/>
      </c>
      <c r="AS395" s="49">
        <f>IF(AR395="","",AR395*IF(B395="South Korea",IF(ABS(MOD(ABS((X395)),1)-0.5)&lt;1E-9,2*ROUND((X395)/2,0),ROUND((X395),0)),X395))</f>
        <v/>
      </c>
      <c r="AT395" s="51" t="n"/>
      <c r="AU395" s="43" t="inlineStr">
        <is>
          <t>Estimated</t>
        </is>
      </c>
      <c r="AV395" s="52" t="n"/>
      <c r="AW395" s="52" t="n"/>
      <c r="AX395" s="53" t="n"/>
      <c r="AY395" s="54">
        <f>IF(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&lt;=0,"",VLOOKUP(B395,country_opex,7,FALSE)/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)</f>
        <v/>
      </c>
      <c r="AZ395" s="54">
        <f>IF(((W395*pax_cap*IF(B395="South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Korea",korea_mid_revleg,revleg_mid)),0))*VLOOKUP(B395,country_opex,3,FALSE))+Z395+AA395+AB395+AC395+AD395))&lt;=0,"",VLOOKUP(B395,country_opex,7,FALSE)/((W395*pax_cap*IF(B395="South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Korea",korea_mid_revleg,revleg_mid)),0))*VLOOKUP(B395,country_opex,3,FALSE))+Z395+AA395+AB395+AC395+AD395)))</f>
        <v/>
      </c>
      <c r="BA395" s="54">
        <f>IF(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&lt;=0,"",VLOOKUP(B395,country_opex,7,FALSE)/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)</f>
        <v/>
      </c>
      <c r="BB395" s="40" t="n"/>
      <c r="BC395" s="40" t="n"/>
      <c r="BD395" s="43" t="inlineStr">
        <is>
          <t>rn-967b688b5591</t>
        </is>
      </c>
    </row>
    <row r="396">
      <c r="A396" s="38" t="inlineStr">
        <is>
          <t>Yango Morocco</t>
        </is>
      </c>
      <c r="B396" s="38" t="inlineStr">
        <is>
          <t>Morocco</t>
        </is>
      </c>
      <c r="C396" s="39" t="inlineStr">
        <is>
          <t>Tanger Med (Ksar el Majaz) → Algeciras (Spain)</t>
        </is>
      </c>
      <c r="D396" s="38" t="inlineStr">
        <is>
          <t>yango</t>
        </is>
      </c>
      <c r="E396" s="40" t="inlineStr">
        <is>
          <t>yango-morocco, yassir-morocco</t>
        </is>
      </c>
      <c r="F396" s="41" t="n">
        <v>2</v>
      </c>
      <c r="G396" s="42" t="n">
        <v>13</v>
      </c>
      <c r="H396" s="35" t="n">
        <v>38</v>
      </c>
      <c r="I396" s="43" t="inlineStr">
        <is>
          <t>T2</t>
        </is>
      </c>
      <c r="J396" s="43" t="inlineStr">
        <is>
          <t>med</t>
        </is>
      </c>
      <c r="K396" s="29" t="n">
        <v>1</v>
      </c>
      <c r="L396" s="44">
        <f>60*G396/cruise_kt</f>
        <v/>
      </c>
      <c r="M396" s="44">
        <f>IF(B396="South Korea",G396/korea_charge_range_nm*korea_full_range_charge_min,0)</f>
        <v/>
      </c>
      <c r="N396" s="44">
        <f>IF(B396="South Korea",L396+korea_turn_min+korea_dwell_min+M396,L396+turn_min+dwell_min)</f>
        <v/>
      </c>
      <c r="O396" s="45">
        <f>IF(B396="South Korea",FLOOR(60*korea_service_hr/N396,1),MIN(15,FLOOR(60*service_hr/N396,1)))</f>
        <v/>
      </c>
      <c r="P396" s="45">
        <f>IF(ABS(MOD(ABS((365*mech_uptime*K396)),1)-0.5)&lt;1E-9,2*ROUND((365*mech_uptime*K396)/2,0),ROUND((365*mech_uptime*K396),0))</f>
        <v/>
      </c>
      <c r="Q396" s="46">
        <f>mech_uptime</f>
        <v/>
      </c>
      <c r="R396" s="46">
        <f>IF(AND(B396="South Korea",scenario="MID"),korea_mid_revleg,revleg_sel)</f>
        <v/>
      </c>
      <c r="S396" s="45">
        <f>IF(ABS(MOD(ABS((O396*P396*R396)),1)-0.5)&lt;1E-9,2*ROUND((O396*P396*R396)/2,0),ROUND((O396*P396*R396),0))</f>
        <v/>
      </c>
      <c r="T396" s="46">
        <f>IF(AND(B396="South Korea",scenario="MID"),korea_mid_load,load_sel)</f>
        <v/>
      </c>
      <c r="U396" s="47">
        <f>pax_cap*T396</f>
        <v/>
      </c>
      <c r="V396" s="45">
        <f>U396*S396</f>
        <v/>
      </c>
      <c r="W396" s="48">
        <f>H396*discount</f>
        <v/>
      </c>
      <c r="X396" s="49">
        <f>W396*V396</f>
        <v/>
      </c>
      <c r="Y396" s="49">
        <f>(battery/range_nm)*G396*S396*VLOOKUP(B396,country_opex,3,FALSE)</f>
        <v/>
      </c>
      <c r="Z396" s="49">
        <f>VLOOKUP(B396,country_opex,2,FALSE)*crew_factor</f>
        <v/>
      </c>
      <c r="AA396" s="49">
        <f>VLOOKUP(B396,country_opex,5,FALSE)</f>
        <v/>
      </c>
      <c r="AB396" s="49">
        <f>maint</f>
        <v/>
      </c>
      <c r="AC396" s="49">
        <f>VLOOKUP(B396,country_opex,7,FALSE)*ins_pct</f>
        <v/>
      </c>
      <c r="AD396" s="49">
        <f>charge_berth</f>
        <v/>
      </c>
      <c r="AE396" s="49">
        <f>Y396+Z396+AA396+AB396+AC396+AD396</f>
        <v/>
      </c>
      <c r="AF396" s="49">
        <f>VLOOKUP(B396,country_opex,7,FALSE)/dep_years</f>
        <v/>
      </c>
      <c r="AG396" s="49">
        <f>X396-AE396</f>
        <v/>
      </c>
      <c r="AH396" s="46">
        <f>IF(X396=0,"",AG396/X396)</f>
        <v/>
      </c>
      <c r="AI396" s="47">
        <f>IF(AG396&lt;=0,"",VLOOKUP(B396,country_opex,7,FALSE)/AG396)</f>
        <v/>
      </c>
      <c r="AJ396" s="44">
        <f>((G396*S396/diesel_nmpg)*diesel_co2pg-(battery/range_nm)*G396*S396*VLOOKUP(B396,country_opex,4,FALSE))/1000</f>
        <v/>
      </c>
      <c r="AK396" s="42" t="n">
        <v>1610211</v>
      </c>
      <c r="AL396" s="43" t="n"/>
      <c r="AM396" s="43" t="n"/>
      <c r="AN396" s="50" t="n">
        <v>0.1</v>
      </c>
      <c r="AO396" s="45">
        <f>IF(AK396="","",AK396*AN396)</f>
        <v/>
      </c>
      <c r="AP396" s="45">
        <f>IF(OR(AK396="",V396=0),"",MIN(IF(AX396="",9.9E+99,AX396),FLOOR(AO396/V396,1)))</f>
        <v/>
      </c>
      <c r="AQ396" s="49">
        <f>IF(AP396="","",AP396*IF(ABS(MOD(ABS((X396)),1)-0.5)&lt;1E-9,2*ROUND((X396)/2,0),ROUND((X396),0)))</f>
        <v/>
      </c>
      <c r="AR396" s="47">
        <f>IF(OR(AK396="",V396=0),"",MIN(IF(AX396="",9.9E+99,AX396),AO396/V396))</f>
        <v/>
      </c>
      <c r="AS396" s="49">
        <f>IF(AR396="","",AR396*IF(B396="South Korea",IF(ABS(MOD(ABS((X396)),1)-0.5)&lt;1E-9,2*ROUND((X396)/2,0),ROUND((X396),0)),X396))</f>
        <v/>
      </c>
      <c r="AT396" s="51" t="n"/>
      <c r="AU396" s="43" t="inlineStr">
        <is>
          <t>Grounded</t>
        </is>
      </c>
      <c r="AV396" s="52" t="n"/>
      <c r="AW396" s="52" t="n"/>
      <c r="AX396" s="53" t="n"/>
      <c r="AY396" s="54">
        <f>IF(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&lt;=0,"",VLOOKUP(B396,country_opex,7,FALSE)/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)</f>
        <v/>
      </c>
      <c r="AZ396" s="54">
        <f>IF(((W396*pax_cap*IF(B396="South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Korea",korea_mid_revleg,revleg_mid)),0))*VLOOKUP(B396,country_opex,3,FALSE))+Z396+AA396+AB396+AC396+AD396))&lt;=0,"",VLOOKUP(B396,country_opex,7,FALSE)/((W396*pax_cap*IF(B396="South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Korea",korea_mid_revleg,revleg_mid)),0))*VLOOKUP(B396,country_opex,3,FALSE))+Z396+AA396+AB396+AC396+AD396)))</f>
        <v/>
      </c>
      <c r="BA396" s="54">
        <f>IF(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&lt;=0,"",VLOOKUP(B396,country_opex,7,FALSE)/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)</f>
        <v/>
      </c>
      <c r="BB396" s="40" t="inlineStr">
        <is>
          <t>PREMIUM tier: standard adult FOOT-PASSENGER one-way Tanger Med&lt;-&gt;Algeciras ~EUR 35 x 1.08 = ~$38 (Strait fast-ferry foot fares cluster EUR 30-40).</t>
        </is>
      </c>
      <c r="BC396" s="40" t="n"/>
      <c r="BD396" s="43" t="inlineStr">
        <is>
          <t>rn-24c3aa4c2acf</t>
        </is>
      </c>
    </row>
    <row r="397">
      <c r="A397" s="38" t="inlineStr">
        <is>
          <t>Yango Morocco</t>
        </is>
      </c>
      <c r="B397" s="38" t="inlineStr">
        <is>
          <t>Morocco</t>
        </is>
      </c>
      <c r="C397" s="39" t="inlineStr">
        <is>
          <t>Al Hoceima → Cala Iris</t>
        </is>
      </c>
      <c r="D397" s="38" t="inlineStr">
        <is>
          <t>yango</t>
        </is>
      </c>
      <c r="E397" s="40" t="inlineStr">
        <is>
          <t>yango-morocco, yassir-morocco</t>
        </is>
      </c>
      <c r="F397" s="41" t="n">
        <v>2</v>
      </c>
      <c r="G397" s="42" t="n">
        <v>16</v>
      </c>
      <c r="H397" s="35" t="n"/>
      <c r="I397" s="43" t="n"/>
      <c r="J397" s="43" t="n"/>
      <c r="K397" s="29" t="n">
        <v>1</v>
      </c>
      <c r="L397" s="44">
        <f>60*G397/cruise_kt</f>
        <v/>
      </c>
      <c r="M397" s="44">
        <f>IF(B397="South Korea",G397/korea_charge_range_nm*korea_full_range_charge_min,0)</f>
        <v/>
      </c>
      <c r="N397" s="44">
        <f>IF(B397="South Korea",L397+korea_turn_min+korea_dwell_min+M397,L397+turn_min+dwell_min)</f>
        <v/>
      </c>
      <c r="O397" s="45">
        <f>IF(B397="South Korea",FLOOR(60*korea_service_hr/N397,1),MIN(24,FLOOR(60*service_hr/N397,1)))</f>
        <v/>
      </c>
      <c r="P397" s="45">
        <f>IF(ABS(MOD(ABS((365*mech_uptime*K397)),1)-0.5)&lt;1E-9,2*ROUND((365*mech_uptime*K397)/2,0),ROUND((365*mech_uptime*K397),0))</f>
        <v/>
      </c>
      <c r="Q397" s="46">
        <f>mech_uptime</f>
        <v/>
      </c>
      <c r="R397" s="46">
        <f>IF(AND(B397="South Korea",scenario="MID"),korea_mid_revleg,revleg_sel)</f>
        <v/>
      </c>
      <c r="S397" s="45">
        <f>IF(ABS(MOD(ABS((O397*P397*R397)),1)-0.5)&lt;1E-9,2*ROUND((O397*P397*R397)/2,0),ROUND((O397*P397*R397),0))</f>
        <v/>
      </c>
      <c r="T397" s="46">
        <f>IF(AND(B397="South Korea",scenario="MID"),korea_mid_load,load_sel)</f>
        <v/>
      </c>
      <c r="U397" s="47">
        <f>pax_cap*T397</f>
        <v/>
      </c>
      <c r="V397" s="45">
        <f>U397*S397</f>
        <v/>
      </c>
      <c r="W397" s="48">
        <f>H397*discount</f>
        <v/>
      </c>
      <c r="X397" s="49">
        <f>W397*V397</f>
        <v/>
      </c>
      <c r="Y397" s="49">
        <f>(battery/range_nm)*G397*S397*VLOOKUP(B397,country_opex,3,FALSE)</f>
        <v/>
      </c>
      <c r="Z397" s="49">
        <f>VLOOKUP(B397,country_opex,2,FALSE)*crew_factor</f>
        <v/>
      </c>
      <c r="AA397" s="49">
        <f>VLOOKUP(B397,country_opex,5,FALSE)</f>
        <v/>
      </c>
      <c r="AB397" s="49">
        <f>maint</f>
        <v/>
      </c>
      <c r="AC397" s="49">
        <f>VLOOKUP(B397,country_opex,7,FALSE)*ins_pct</f>
        <v/>
      </c>
      <c r="AD397" s="49">
        <f>charge_berth</f>
        <v/>
      </c>
      <c r="AE397" s="49">
        <f>Y397+Z397+AA397+AB397+AC397+AD397</f>
        <v/>
      </c>
      <c r="AF397" s="49">
        <f>VLOOKUP(B397,country_opex,7,FALSE)/dep_years</f>
        <v/>
      </c>
      <c r="AG397" s="49">
        <f>X397-AE397</f>
        <v/>
      </c>
      <c r="AH397" s="46">
        <f>IF(X397=0,"",AG397/X397)</f>
        <v/>
      </c>
      <c r="AI397" s="47">
        <f>IF(AG397&lt;=0,"",VLOOKUP(B397,country_opex,7,FALSE)/AG397)</f>
        <v/>
      </c>
      <c r="AJ397" s="44">
        <f>((G397*S397/diesel_nmpg)*diesel_co2pg-(battery/range_nm)*G397*S397*VLOOKUP(B397,country_opex,4,FALSE))/1000</f>
        <v/>
      </c>
      <c r="AK397" s="42" t="n"/>
      <c r="AL397" s="43" t="n"/>
      <c r="AM397" s="43" t="n"/>
      <c r="AN397" s="50" t="n">
        <v>0.1</v>
      </c>
      <c r="AO397" s="45">
        <f>IF(AK397="","",AK397*AN397)</f>
        <v/>
      </c>
      <c r="AP397" s="45">
        <f>IF(OR(AK397="",V397=0),"",MIN(IF(AX397="",9.9E+99,AX397),FLOOR(AO397/V397,1)))</f>
        <v/>
      </c>
      <c r="AQ397" s="49">
        <f>IF(AP397="","",AP397*IF(ABS(MOD(ABS((X397)),1)-0.5)&lt;1E-9,2*ROUND((X397)/2,0),ROUND((X397),0)))</f>
        <v/>
      </c>
      <c r="AR397" s="47">
        <f>IF(OR(AK397="",V397=0),"",MIN(IF(AX397="",9.9E+99,AX397),AO397/V397))</f>
        <v/>
      </c>
      <c r="AS397" s="49">
        <f>IF(AR397="","",AR397*IF(B397="South Korea",IF(ABS(MOD(ABS((X397)),1)-0.5)&lt;1E-9,2*ROUND((X397)/2,0),ROUND((X397),0)),X397))</f>
        <v/>
      </c>
      <c r="AT397" s="51" t="n"/>
      <c r="AU397" s="43" t="inlineStr">
        <is>
          <t>Estimated</t>
        </is>
      </c>
      <c r="AV397" s="52" t="n"/>
      <c r="AW397" s="52" t="n"/>
      <c r="AX397" s="53" t="n"/>
      <c r="AY397" s="54">
        <f>IF(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&lt;=0,"",VLOOKUP(B397,country_opex,7,FALSE)/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)</f>
        <v/>
      </c>
      <c r="AZ397" s="54">
        <f>IF(((W397*pax_cap*IF(B397="South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Korea",korea_mid_revleg,revleg_mid)),0))*VLOOKUP(B397,country_opex,3,FALSE))+Z397+AA397+AB397+AC397+AD397))&lt;=0,"",VLOOKUP(B397,country_opex,7,FALSE)/((W397*pax_cap*IF(B397="South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Korea",korea_mid_revleg,revleg_mid)),0))*VLOOKUP(B397,country_opex,3,FALSE))+Z397+AA397+AB397+AC397+AD397)))</f>
        <v/>
      </c>
      <c r="BA397" s="54">
        <f>IF(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&lt;=0,"",VLOOKUP(B397,country_opex,7,FALSE)/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)</f>
        <v/>
      </c>
      <c r="BB397" s="40" t="n"/>
      <c r="BC397" s="40" t="n"/>
      <c r="BD397" s="43" t="inlineStr">
        <is>
          <t>rn-e276542eff7d</t>
        </is>
      </c>
    </row>
    <row r="398">
      <c r="A398" s="38" t="inlineStr">
        <is>
          <t>Yango Morocco</t>
        </is>
      </c>
      <c r="B398" s="38" t="inlineStr">
        <is>
          <t>Morocco</t>
        </is>
      </c>
      <c r="C398" s="39" t="inlineStr">
        <is>
          <t>Tanger Med → Ceuta (Spanish enclave)</t>
        </is>
      </c>
      <c r="D398" s="38" t="inlineStr">
        <is>
          <t>yango</t>
        </is>
      </c>
      <c r="E398" s="40" t="inlineStr">
        <is>
          <t>yango-morocco, yassir-morocco</t>
        </is>
      </c>
      <c r="F398" s="41" t="n">
        <v>2</v>
      </c>
      <c r="G398" s="42" t="n">
        <v>22</v>
      </c>
      <c r="H398" s="35" t="n">
        <v>36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IF(B398="South Korea",G398/korea_charge_range_nm*korea_full_range_charge_min,0)</f>
        <v/>
      </c>
      <c r="N398" s="44">
        <f>IF(B398="South Korea",L398+korea_turn_min+korea_dwell_min+M398,L398+turn_min+dwell_min)</f>
        <v/>
      </c>
      <c r="O398" s="45">
        <f>IF(B398="South Korea",FLOOR(60*korea_service_hr/N398,1),MIN(15,FLOOR(60*service_hr/N398,1)))</f>
        <v/>
      </c>
      <c r="P398" s="45">
        <f>IF(ABS(MOD(ABS((365*mech_uptime*K398)),1)-0.5)&lt;1E-9,2*ROUND((365*mech_uptime*K398)/2,0),ROUND((365*mech_uptime*K398),0))</f>
        <v/>
      </c>
      <c r="Q398" s="46">
        <f>mech_uptime</f>
        <v/>
      </c>
      <c r="R398" s="46">
        <f>IF(AND(B398="South Korea",scenario="MID"),korea_mid_revleg,revleg_sel)</f>
        <v/>
      </c>
      <c r="S398" s="45">
        <f>IF(ABS(MOD(ABS((O398*P398*R398)),1)-0.5)&lt;1E-9,2*ROUND((O398*P398*R398)/2,0),ROUND((O398*P398*R398),0))</f>
        <v/>
      </c>
      <c r="T398" s="46">
        <f>IF(AND(B398="South Korea",scenario="MID"),korea_mid_load,load_sel)</f>
        <v/>
      </c>
      <c r="U398" s="47">
        <f>pax_cap*T398</f>
        <v/>
      </c>
      <c r="V398" s="45">
        <f>U398*S398</f>
        <v/>
      </c>
      <c r="W398" s="48">
        <f>H398*discount</f>
        <v/>
      </c>
      <c r="X398" s="49">
        <f>W398*V398</f>
        <v/>
      </c>
      <c r="Y398" s="49">
        <f>(battery/range_nm)*G398*S398*VLOOKUP(B398,country_opex,3,FALSE)</f>
        <v/>
      </c>
      <c r="Z398" s="49">
        <f>VLOOKUP(B398,country_opex,2,FALSE)*crew_factor</f>
        <v/>
      </c>
      <c r="AA398" s="49">
        <f>VLOOKUP(B398,country_opex,5,FALSE)</f>
        <v/>
      </c>
      <c r="AB398" s="49">
        <f>maint</f>
        <v/>
      </c>
      <c r="AC398" s="49">
        <f>VLOOKUP(B398,country_opex,7,FALSE)*ins_pct</f>
        <v/>
      </c>
      <c r="AD398" s="49">
        <f>charge_berth</f>
        <v/>
      </c>
      <c r="AE398" s="49">
        <f>Y398+Z398+AA398+AB398+AC398+AD398</f>
        <v/>
      </c>
      <c r="AF398" s="49">
        <f>VLOOKUP(B398,country_opex,7,FALSE)/dep_years</f>
        <v/>
      </c>
      <c r="AG398" s="49">
        <f>X398-AE398</f>
        <v/>
      </c>
      <c r="AH398" s="46">
        <f>IF(X398=0,"",AG398/X398)</f>
        <v/>
      </c>
      <c r="AI398" s="47">
        <f>IF(AG398&lt;=0,"",VLOOKUP(B398,country_opex,7,FALSE)/AG398)</f>
        <v/>
      </c>
      <c r="AJ398" s="44">
        <f>((G398*S398/diesel_nmpg)*diesel_co2pg-(battery/range_nm)*G398*S398*VLOOKUP(B398,country_opex,4,FALSE))/1000</f>
        <v/>
      </c>
      <c r="AK398" s="42" t="n"/>
      <c r="AL398" s="43" t="n"/>
      <c r="AM398" s="43" t="n"/>
      <c r="AN398" s="50" t="n">
        <v>0.1</v>
      </c>
      <c r="AO398" s="45">
        <f>IF(AK398="","",AK398*AN398)</f>
        <v/>
      </c>
      <c r="AP398" s="45">
        <f>IF(OR(AK398="",V398=0),"",MIN(IF(AX398="",9.9E+99,AX398),FLOOR(AO398/V398,1)))</f>
        <v/>
      </c>
      <c r="AQ398" s="49">
        <f>IF(AP398="","",AP398*IF(ABS(MOD(ABS((X398)),1)-0.5)&lt;1E-9,2*ROUND((X398)/2,0),ROUND((X398),0)))</f>
        <v/>
      </c>
      <c r="AR398" s="47">
        <f>IF(OR(AK398="",V398=0),"",MIN(IF(AX398="",9.9E+99,AX398),AO398/V398))</f>
        <v/>
      </c>
      <c r="AS398" s="49">
        <f>IF(AR398="","",AR398*IF(B398="South Korea",IF(ABS(MOD(ABS((X398)),1)-0.5)&lt;1E-9,2*ROUND((X398)/2,0),ROUND((X398),0)),X398))</f>
        <v/>
      </c>
      <c r="AT398" s="51" t="n"/>
      <c r="AU398" s="43" t="inlineStr">
        <is>
          <t>Estimated</t>
        </is>
      </c>
      <c r="AV398" s="52" t="n"/>
      <c r="AW398" s="52" t="n"/>
      <c r="AX398" s="53" t="n"/>
      <c r="AY398" s="54">
        <f>IF(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&lt;=0,"",VLOOKUP(B398,country_opex,7,FALSE)/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)</f>
        <v/>
      </c>
      <c r="AZ398" s="54">
        <f>IF(((W398*pax_cap*IF(B398="South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Korea",korea_mid_revleg,revleg_mid)),0))*VLOOKUP(B398,country_opex,3,FALSE))+Z398+AA398+AB398+AC398+AD398))&lt;=0,"",VLOOKUP(B398,country_opex,7,FALSE)/((W398*pax_cap*IF(B398="South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Korea",korea_mid_revleg,revleg_mid)),0))*VLOOKUP(B398,country_opex,3,FALSE))+Z398+AA398+AB398+AC398+AD398)))</f>
        <v/>
      </c>
      <c r="BA398" s="54">
        <f>IF(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&lt;=0,"",VLOOKUP(B398,country_opex,7,FALSE)/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)</f>
        <v/>
      </c>
      <c r="BB398" s="40" t="inlineStr">
        <is>
          <t>PREMIUM tier (nearest comparable = Algeciras&lt;-&gt;Ceuta fast ferry): avg foot-passenger fare ~EUR 33 x 1.08 ~= $36 (one-way ~EUR 25-35), 60 min fast ferry.</t>
        </is>
      </c>
      <c r="BC398" s="40" t="n"/>
      <c r="BD398" s="43" t="inlineStr">
        <is>
          <t>rn-24c3aa4c2acf</t>
        </is>
      </c>
    </row>
    <row r="399">
      <c r="A399" s="38" t="inlineStr">
        <is>
          <t>Yango Morocco</t>
        </is>
      </c>
      <c r="B399" s="38" t="inlineStr">
        <is>
          <t>Morocco</t>
        </is>
      </c>
      <c r="C399" s="39" t="inlineStr">
        <is>
          <t>Casablanca → Rabat</t>
        </is>
      </c>
      <c r="D399" s="38" t="inlineStr">
        <is>
          <t>yango</t>
        </is>
      </c>
      <c r="E399" s="40" t="inlineStr">
        <is>
          <t>yango-morocco, yassir-morocco</t>
        </is>
      </c>
      <c r="F399" s="41" t="n">
        <v>2</v>
      </c>
      <c r="G399" s="42" t="n">
        <v>46</v>
      </c>
      <c r="H399" s="35" t="n"/>
      <c r="I399" s="43" t="n"/>
      <c r="J399" s="43" t="n"/>
      <c r="K399" s="29" t="n">
        <v>1</v>
      </c>
      <c r="L399" s="44">
        <f>60*G399/cruise_kt</f>
        <v/>
      </c>
      <c r="M399" s="44">
        <f>IF(B399="South Korea",G399/korea_charge_range_nm*korea_full_range_charge_min,0)</f>
        <v/>
      </c>
      <c r="N399" s="44">
        <f>IF(B399="South Korea",L399+korea_turn_min+korea_dwell_min+M399,L399+turn_min+dwell_min)</f>
        <v/>
      </c>
      <c r="O399" s="45">
        <f>IF(B399="South Korea",FLOOR(60*korea_service_hr/N399,1),MIN(24,FLOOR(60*service_hr/N399,1)))</f>
        <v/>
      </c>
      <c r="P399" s="45">
        <f>IF(ABS(MOD(ABS((365*mech_uptime*K399)),1)-0.5)&lt;1E-9,2*ROUND((365*mech_uptime*K399)/2,0),ROUND((365*mech_uptime*K399),0))</f>
        <v/>
      </c>
      <c r="Q399" s="46">
        <f>mech_uptime</f>
        <v/>
      </c>
      <c r="R399" s="46">
        <f>IF(AND(B399="South Korea",scenario="MID"),korea_mid_revleg,revleg_sel)</f>
        <v/>
      </c>
      <c r="S399" s="45">
        <f>IF(ABS(MOD(ABS((O399*P399*R399)),1)-0.5)&lt;1E-9,2*ROUND((O399*P399*R399)/2,0),ROUND((O399*P399*R399),0))</f>
        <v/>
      </c>
      <c r="T399" s="46">
        <f>IF(AND(B399="South Korea",scenario="MID"),korea_mid_load,load_sel)</f>
        <v/>
      </c>
      <c r="U399" s="47">
        <f>pax_cap*T399</f>
        <v/>
      </c>
      <c r="V399" s="45">
        <f>U399*S399</f>
        <v/>
      </c>
      <c r="W399" s="48">
        <f>H399*discount</f>
        <v/>
      </c>
      <c r="X399" s="49">
        <f>W399*V399</f>
        <v/>
      </c>
      <c r="Y399" s="49">
        <f>(battery/range_nm)*G399*S399*VLOOKUP(B399,country_opex,3,FALSE)</f>
        <v/>
      </c>
      <c r="Z399" s="49">
        <f>VLOOKUP(B399,country_opex,2,FALSE)*crew_factor</f>
        <v/>
      </c>
      <c r="AA399" s="49">
        <f>VLOOKUP(B399,country_opex,5,FALSE)</f>
        <v/>
      </c>
      <c r="AB399" s="49">
        <f>maint</f>
        <v/>
      </c>
      <c r="AC399" s="49">
        <f>VLOOKUP(B399,country_opex,7,FALSE)*ins_pct</f>
        <v/>
      </c>
      <c r="AD399" s="49">
        <f>charge_berth</f>
        <v/>
      </c>
      <c r="AE399" s="49">
        <f>Y399+Z399+AA399+AB399+AC399+AD399</f>
        <v/>
      </c>
      <c r="AF399" s="49">
        <f>VLOOKUP(B399,country_opex,7,FALSE)/dep_years</f>
        <v/>
      </c>
      <c r="AG399" s="49">
        <f>X399-AE399</f>
        <v/>
      </c>
      <c r="AH399" s="46">
        <f>IF(X399=0,"",AG399/X399)</f>
        <v/>
      </c>
      <c r="AI399" s="47">
        <f>IF(AG399&lt;=0,"",VLOOKUP(B399,country_opex,7,FALSE)/AG399)</f>
        <v/>
      </c>
      <c r="AJ399" s="44">
        <f>((G399*S399/diesel_nmpg)*diesel_co2pg-(battery/range_nm)*G399*S399*VLOOKUP(B399,country_opex,4,FALSE))/1000</f>
        <v/>
      </c>
      <c r="AK399" s="42" t="n">
        <v>165000</v>
      </c>
      <c r="AL399" s="43" t="n"/>
      <c r="AM399" s="43" t="n"/>
      <c r="AN399" s="50" t="n">
        <v>0.1</v>
      </c>
      <c r="AO399" s="45">
        <f>IF(AK399="","",AK399*AN399)</f>
        <v/>
      </c>
      <c r="AP399" s="45">
        <f>IF(OR(AK399="",V399=0),"",MIN(IF(AX399="",9.9E+99,AX399),FLOOR(AO399/V399,1)))</f>
        <v/>
      </c>
      <c r="AQ399" s="49">
        <f>IF(AP399="","",AP399*IF(ABS(MOD(ABS((X399)),1)-0.5)&lt;1E-9,2*ROUND((X399)/2,0),ROUND((X399),0)))</f>
        <v/>
      </c>
      <c r="AR399" s="47">
        <f>IF(OR(AK399="",V399=0),"",MIN(IF(AX399="",9.9E+99,AX399),AO399/V399))</f>
        <v/>
      </c>
      <c r="AS399" s="49">
        <f>IF(AR399="","",AR399*IF(B399="South Korea",IF(ABS(MOD(ABS((X399)),1)-0.5)&lt;1E-9,2*ROUND((X399)/2,0),ROUND((X399),0)),X399))</f>
        <v/>
      </c>
      <c r="AT399" s="51" t="n"/>
      <c r="AU399" s="43" t="inlineStr">
        <is>
          <t>Estimated</t>
        </is>
      </c>
      <c r="AV399" s="52" t="n"/>
      <c r="AW399" s="52" t="n"/>
      <c r="AX399" s="53" t="n"/>
      <c r="AY399" s="54">
        <f>IF(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&lt;=0,"",VLOOKUP(B399,country_opex,7,FALSE)/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)</f>
        <v/>
      </c>
      <c r="AZ399" s="54">
        <f>IF(((W399*pax_cap*IF(B399="South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Korea",korea_mid_revleg,revleg_mid)),0))*VLOOKUP(B399,country_opex,3,FALSE))+Z399+AA399+AB399+AC399+AD399))&lt;=0,"",VLOOKUP(B399,country_opex,7,FALSE)/((W399*pax_cap*IF(B399="South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Korea",korea_mid_revleg,revleg_mid)),0))*VLOOKUP(B399,country_opex,3,FALSE))+Z399+AA399+AB399+AC399+AD399)))</f>
        <v/>
      </c>
      <c r="BA399" s="54">
        <f>IF(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&lt;=0,"",VLOOKUP(B399,country_opex,7,FALSE)/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)</f>
        <v/>
      </c>
      <c r="BB399" s="40" t="n"/>
      <c r="BC399" s="40" t="n"/>
      <c r="BD399" s="43" t="inlineStr">
        <is>
          <t>rn-a30214f88daf</t>
        </is>
      </c>
    </row>
    <row r="400">
      <c r="A400" s="38" t="inlineStr">
        <is>
          <t>Yango Mozambique</t>
        </is>
      </c>
      <c r="B400" s="38" t="inlineStr">
        <is>
          <t>Mozambique</t>
        </is>
      </c>
      <c r="C400" s="39" t="inlineStr">
        <is>
          <t>Maputo → Catembe</t>
        </is>
      </c>
      <c r="D400" s="38" t="inlineStr">
        <is>
          <t>yango</t>
        </is>
      </c>
      <c r="E400" s="40" t="inlineStr">
        <is>
          <t>yango-mozambique</t>
        </is>
      </c>
      <c r="F400" s="41" t="n">
        <v>1</v>
      </c>
      <c r="G400" s="42" t="n">
        <v>1.5</v>
      </c>
      <c r="H400" s="35" t="n"/>
      <c r="I400" s="43" t="inlineStr">
        <is>
          <t>T5</t>
        </is>
      </c>
      <c r="J400" s="43" t="inlineStr">
        <is>
          <t>low</t>
        </is>
      </c>
      <c r="K400" s="29" t="n">
        <v>1</v>
      </c>
      <c r="L400" s="44">
        <f>60*G400/cruise_kt</f>
        <v/>
      </c>
      <c r="M400" s="44">
        <f>IF(B400="South Korea",G400/korea_charge_range_nm*korea_full_range_charge_min,0)</f>
        <v/>
      </c>
      <c r="N400" s="44">
        <f>IF(B400="South Korea",L400+korea_turn_min+korea_dwell_min+M400,L400+turn_min+dwell_min)</f>
        <v/>
      </c>
      <c r="O400" s="45">
        <f>IF(B400="South Korea",FLOOR(60*korea_service_hr/N400,1),MIN(24,FLOOR(60*service_hr/N400,1)))</f>
        <v/>
      </c>
      <c r="P400" s="45">
        <f>IF(ABS(MOD(ABS((365*mech_uptime*K400)),1)-0.5)&lt;1E-9,2*ROUND((365*mech_uptime*K400)/2,0),ROUND((365*mech_uptime*K400),0))</f>
        <v/>
      </c>
      <c r="Q400" s="46">
        <f>mech_uptime</f>
        <v/>
      </c>
      <c r="R400" s="46">
        <f>IF(AND(B400="South Korea",scenario="MID"),korea_mid_revleg,revleg_sel)</f>
        <v/>
      </c>
      <c r="S400" s="45">
        <f>IF(ABS(MOD(ABS((O400*P400*R400)),1)-0.5)&lt;1E-9,2*ROUND((O400*P400*R400)/2,0),ROUND((O400*P400*R400),0))</f>
        <v/>
      </c>
      <c r="T400" s="46">
        <f>IF(AND(B400="South Korea",scenario="MID"),korea_mid_load,load_sel)</f>
        <v/>
      </c>
      <c r="U400" s="47">
        <f>pax_cap*T400</f>
        <v/>
      </c>
      <c r="V400" s="45">
        <f>U400*S400</f>
        <v/>
      </c>
      <c r="W400" s="48">
        <f>H400*discount</f>
        <v/>
      </c>
      <c r="X400" s="49">
        <f>W400*V400</f>
        <v/>
      </c>
      <c r="Y400" s="49">
        <f>(battery/range_nm)*G400*S400*VLOOKUP(B400,country_opex,3,FALSE)</f>
        <v/>
      </c>
      <c r="Z400" s="49">
        <f>VLOOKUP(B400,country_opex,2,FALSE)*crew_factor</f>
        <v/>
      </c>
      <c r="AA400" s="49">
        <f>VLOOKUP(B400,country_opex,5,FALSE)</f>
        <v/>
      </c>
      <c r="AB400" s="49">
        <f>maint</f>
        <v/>
      </c>
      <c r="AC400" s="49">
        <f>VLOOKUP(B400,country_opex,7,FALSE)*ins_pct</f>
        <v/>
      </c>
      <c r="AD400" s="49">
        <f>charge_berth</f>
        <v/>
      </c>
      <c r="AE400" s="49">
        <f>Y400+Z400+AA400+AB400+AC400+AD400</f>
        <v/>
      </c>
      <c r="AF400" s="49">
        <f>VLOOKUP(B400,country_opex,7,FALSE)/dep_years</f>
        <v/>
      </c>
      <c r="AG400" s="49">
        <f>X400-AE400</f>
        <v/>
      </c>
      <c r="AH400" s="46">
        <f>IF(X400=0,"",AG400/X400)</f>
        <v/>
      </c>
      <c r="AI400" s="47">
        <f>IF(AG400&lt;=0,"",VLOOKUP(B400,country_opex,7,FALSE)/AG400)</f>
        <v/>
      </c>
      <c r="AJ400" s="44">
        <f>((G400*S400/diesel_nmpg)*diesel_co2pg-(battery/range_nm)*G400*S400*VLOOKUP(B400,country_opex,4,FALSE))/1000</f>
        <v/>
      </c>
      <c r="AK400" s="42" t="n">
        <v>60000</v>
      </c>
      <c r="AL400" s="43" t="n"/>
      <c r="AM400" s="43" t="n"/>
      <c r="AN400" s="50" t="n">
        <v>0.1</v>
      </c>
      <c r="AO400" s="45">
        <f>IF(AK400="","",AK400*AN400)</f>
        <v/>
      </c>
      <c r="AP400" s="45">
        <f>IF(OR(AK400="",V400=0),"",MIN(IF(AX400="",9.9E+99,AX400),FLOOR(AO400/V400,1)))</f>
        <v/>
      </c>
      <c r="AQ400" s="49">
        <f>IF(AP400="","",AP400*IF(ABS(MOD(ABS((X400)),1)-0.5)&lt;1E-9,2*ROUND((X400)/2,0),ROUND((X400),0)))</f>
        <v/>
      </c>
      <c r="AR400" s="47">
        <f>IF(OR(AK400="",V400=0),"",MIN(IF(AX400="",9.9E+99,AX400),AO400/V400))</f>
        <v/>
      </c>
      <c r="AS400" s="49">
        <f>IF(AR400="","",AR400*IF(B400="South Korea",IF(ABS(MOD(ABS((X400)),1)-0.5)&lt;1E-9,2*ROUND((X400)/2,0),ROUND((X400),0)),X400))</f>
        <v/>
      </c>
      <c r="AT400" s="51" t="n"/>
      <c r="AU400" s="43" t="inlineStr">
        <is>
          <t>Estimated</t>
        </is>
      </c>
      <c r="AV400" s="52" t="n"/>
      <c r="AW400" s="52" t="n"/>
      <c r="AX400" s="53" t="n"/>
      <c r="AY400" s="54">
        <f>IF(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&lt;=0,"",VLOOKUP(B400,country_opex,7,FALSE)/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)</f>
        <v/>
      </c>
      <c r="AZ400" s="54">
        <f>IF(((W400*pax_cap*IF(B400="South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Korea",korea_mid_revleg,revleg_mid)),0))*VLOOKUP(B400,country_opex,3,FALSE))+Z400+AA400+AB400+AC400+AD400))&lt;=0,"",VLOOKUP(B400,country_opex,7,FALSE)/((W400*pax_cap*IF(B400="South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Korea",korea_mid_revleg,revleg_mid)),0))*VLOOKUP(B400,country_opex,3,FALSE))+Z400+AA400+AB400+AC400+AD400)))</f>
        <v/>
      </c>
      <c r="BA400" s="54">
        <f>IF(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&lt;=0,"",VLOOKUP(B400,country_opex,7,FALSE)/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)</f>
        <v/>
      </c>
      <c r="BB400" s="40" t="inlineStr">
        <is>
          <t>TBD — Tier-B headline placeholder</t>
        </is>
      </c>
      <c r="BC400" s="40" t="n"/>
      <c r="BD400" s="43" t="inlineStr">
        <is>
          <t>rn-4abcfb449176</t>
        </is>
      </c>
    </row>
    <row r="401">
      <c r="A401" s="38" t="inlineStr">
        <is>
          <t>Yango Mozambique</t>
        </is>
      </c>
      <c r="B401" s="38" t="inlineStr">
        <is>
          <t>Mozambique</t>
        </is>
      </c>
      <c r="C401" s="39" t="inlineStr">
        <is>
          <t>Inhambane (Inhambane city ferry pier) → Maxixe (Maxixe town jetty)</t>
        </is>
      </c>
      <c r="D401" s="38" t="inlineStr">
        <is>
          <t>yango</t>
        </is>
      </c>
      <c r="E401" s="40" t="inlineStr">
        <is>
          <t>yango-mozambique</t>
        </is>
      </c>
      <c r="F401" s="41" t="n">
        <v>1</v>
      </c>
      <c r="G401" s="42" t="n">
        <v>2.5</v>
      </c>
      <c r="H401" s="35" t="n">
        <v>18</v>
      </c>
      <c r="I401" s="43" t="inlineStr">
        <is>
          <t>T2</t>
        </is>
      </c>
      <c r="J401" s="43" t="inlineStr">
        <is>
          <t>med</t>
        </is>
      </c>
      <c r="K401" s="29" t="n">
        <v>1</v>
      </c>
      <c r="L401" s="44">
        <f>60*G401/cruise_kt</f>
        <v/>
      </c>
      <c r="M401" s="44">
        <f>IF(B401="South Korea",G401/korea_charge_range_nm*korea_full_range_charge_min,0)</f>
        <v/>
      </c>
      <c r="N401" s="44">
        <f>IF(B401="South Korea",L401+korea_turn_min+korea_dwell_min+M401,L401+turn_min+dwell_min)</f>
        <v/>
      </c>
      <c r="O401" s="45">
        <f>IF(B401="South Korea",FLOOR(60*korea_service_hr/N401,1),MIN(24,FLOOR(60*service_hr/N401,1)))</f>
        <v/>
      </c>
      <c r="P401" s="45">
        <f>IF(ABS(MOD(ABS((365*mech_uptime*K401)),1)-0.5)&lt;1E-9,2*ROUND((365*mech_uptime*K401)/2,0),ROUND((365*mech_uptime*K401),0))</f>
        <v/>
      </c>
      <c r="Q401" s="46">
        <f>mech_uptime</f>
        <v/>
      </c>
      <c r="R401" s="46">
        <f>IF(AND(B401="South Korea",scenario="MID"),korea_mid_revleg,revleg_sel)</f>
        <v/>
      </c>
      <c r="S401" s="45">
        <f>IF(ABS(MOD(ABS((O401*P401*R401)),1)-0.5)&lt;1E-9,2*ROUND((O401*P401*R401)/2,0),ROUND((O401*P401*R401),0))</f>
        <v/>
      </c>
      <c r="T401" s="46">
        <f>IF(AND(B401="South Korea",scenario="MID"),korea_mid_load,load_sel)</f>
        <v/>
      </c>
      <c r="U401" s="47">
        <f>pax_cap*T401</f>
        <v/>
      </c>
      <c r="V401" s="45">
        <f>U401*S401</f>
        <v/>
      </c>
      <c r="W401" s="48">
        <f>H401*discount</f>
        <v/>
      </c>
      <c r="X401" s="49">
        <f>W401*V401</f>
        <v/>
      </c>
      <c r="Y401" s="49">
        <f>(battery/range_nm)*G401*S401*VLOOKUP(B401,country_opex,3,FALSE)</f>
        <v/>
      </c>
      <c r="Z401" s="49">
        <f>VLOOKUP(B401,country_opex,2,FALSE)*crew_factor</f>
        <v/>
      </c>
      <c r="AA401" s="49">
        <f>VLOOKUP(B401,country_opex,5,FALSE)</f>
        <v/>
      </c>
      <c r="AB401" s="49">
        <f>maint</f>
        <v/>
      </c>
      <c r="AC401" s="49">
        <f>VLOOKUP(B401,country_opex,7,FALSE)*ins_pct</f>
        <v/>
      </c>
      <c r="AD401" s="49">
        <f>charge_berth</f>
        <v/>
      </c>
      <c r="AE401" s="49">
        <f>Y401+Z401+AA401+AB401+AC401+AD401</f>
        <v/>
      </c>
      <c r="AF401" s="49">
        <f>VLOOKUP(B401,country_opex,7,FALSE)/dep_years</f>
        <v/>
      </c>
      <c r="AG401" s="49">
        <f>X401-AE401</f>
        <v/>
      </c>
      <c r="AH401" s="46">
        <f>IF(X401=0,"",AG401/X401)</f>
        <v/>
      </c>
      <c r="AI401" s="47">
        <f>IF(AG401&lt;=0,"",VLOOKUP(B401,country_opex,7,FALSE)/AG401)</f>
        <v/>
      </c>
      <c r="AJ401" s="44">
        <f>((G401*S401/diesel_nmpg)*diesel_co2pg-(battery/range_nm)*G401*S401*VLOOKUP(B401,country_opex,4,FALSE))/1000</f>
        <v/>
      </c>
      <c r="AK401" s="42" t="n">
        <v>36500</v>
      </c>
      <c r="AL401" s="43" t="n"/>
      <c r="AM401" s="43" t="inlineStr">
        <is>
          <t>med</t>
        </is>
      </c>
      <c r="AN401" s="50" t="n">
        <v>0.25</v>
      </c>
      <c r="AO401" s="45">
        <f>IF(AK401="","",AK401*AN401)</f>
        <v/>
      </c>
      <c r="AP401" s="45">
        <f>IF(OR(AK401="",V401=0),"",MIN(IF(AX401="",9.9E+99,AX401),FLOOR(AO401/V401,1)))</f>
        <v/>
      </c>
      <c r="AQ401" s="49">
        <f>IF(AP401="","",AP401*IF(ABS(MOD(ABS((X401)),1)-0.5)&lt;1E-9,2*ROUND((X401)/2,0),ROUND((X401),0)))</f>
        <v/>
      </c>
      <c r="AR401" s="47">
        <f>IF(OR(AK401="",V401=0),"",MIN(IF(AX401="",9.9E+99,AX401),AO401/V401))</f>
        <v/>
      </c>
      <c r="AS401" s="49">
        <f>IF(AR401="","",AR401*IF(B401="South Korea",IF(ABS(MOD(ABS((X401)),1)-0.5)&lt;1E-9,2*ROUND((X401)/2,0),ROUND((X401),0)),X401))</f>
        <v/>
      </c>
      <c r="AT401" s="51" t="n"/>
      <c r="AU401" s="43" t="inlineStr">
        <is>
          <t>Estimated</t>
        </is>
      </c>
      <c r="AV401" s="52" t="n"/>
      <c r="AW401" s="52" t="n"/>
      <c r="AX401" s="53" t="n"/>
      <c r="AY401" s="54">
        <f>IF(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&lt;=0,"",VLOOKUP(B401,country_opex,7,FALSE)/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)</f>
        <v/>
      </c>
      <c r="AZ401" s="54">
        <f>IF(((W401*pax_cap*IF(B401="South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Korea",korea_mid_revleg,revleg_mid)),0))*VLOOKUP(B401,country_opex,3,FALSE))+Z401+AA401+AB401+AC401+AD401))&lt;=0,"",VLOOKUP(B401,country_opex,7,FALSE)/((W401*pax_cap*IF(B401="South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Korea",korea_mid_revleg,revleg_mid)),0))*VLOOKUP(B401,country_opex,3,FALSE))+Z401+AA401+AB401+AC401+AD401)))</f>
        <v/>
      </c>
      <c r="BA401" s="54">
        <f>IF(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&lt;=0,"",VLOOKUP(B401,country_opex,7,FALSE)/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)</f>
        <v/>
      </c>
      <c r="BB401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C401" s="40" t="n"/>
      <c r="BD401" s="43" t="inlineStr">
        <is>
          <t>rn-7982f3aa20da</t>
        </is>
      </c>
    </row>
    <row r="402">
      <c r="A402" s="38" t="inlineStr">
        <is>
          <t>Yango Mozambique</t>
        </is>
      </c>
      <c r="B402" s="38" t="inlineStr">
        <is>
          <t>Mozambique</t>
        </is>
      </c>
      <c r="C402" s="39" t="inlineStr">
        <is>
          <t>Vilankulo (Vilanculos beachfront / boat departure) → Bazaruto Archipelago National Park (Bazaruto / Benguerra / Magaruque islands)</t>
        </is>
      </c>
      <c r="D402" s="38" t="inlineStr">
        <is>
          <t>yango</t>
        </is>
      </c>
      <c r="E402" s="40" t="inlineStr">
        <is>
          <t>yango-mozambique</t>
        </is>
      </c>
      <c r="F402" s="41" t="n">
        <v>1</v>
      </c>
      <c r="G402" s="42" t="n">
        <v>16</v>
      </c>
      <c r="H402" s="35" t="n">
        <v>100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IF(B402="South Korea",G402/korea_charge_range_nm*korea_full_range_charge_min,0)</f>
        <v/>
      </c>
      <c r="N402" s="44">
        <f>IF(B402="South Korea",L402+korea_turn_min+korea_dwell_min+M402,L402+turn_min+dwell_min)</f>
        <v/>
      </c>
      <c r="O402" s="45">
        <f>IF(B402="South Korea",FLOOR(60*korea_service_hr/N402,1),MIN(15,FLOOR(60*service_hr/N402,1)))</f>
        <v/>
      </c>
      <c r="P402" s="45">
        <f>IF(ABS(MOD(ABS((365*mech_uptime*K402)),1)-0.5)&lt;1E-9,2*ROUND((365*mech_uptime*K402)/2,0),ROUND((365*mech_uptime*K402),0))</f>
        <v/>
      </c>
      <c r="Q402" s="46">
        <f>mech_uptime</f>
        <v/>
      </c>
      <c r="R402" s="46">
        <f>IF(AND(B402="South Korea",scenario="MID"),korea_mid_revleg,revleg_sel)</f>
        <v/>
      </c>
      <c r="S402" s="45">
        <f>IF(ABS(MOD(ABS((O402*P402*R402)),1)-0.5)&lt;1E-9,2*ROUND((O402*P402*R402)/2,0),ROUND((O402*P402*R402),0))</f>
        <v/>
      </c>
      <c r="T402" s="46">
        <f>IF(AND(B402="South Korea",scenario="MID"),korea_mid_load,load_sel)</f>
        <v/>
      </c>
      <c r="U402" s="47">
        <f>pax_cap*T402</f>
        <v/>
      </c>
      <c r="V402" s="45">
        <f>U402*S402</f>
        <v/>
      </c>
      <c r="W402" s="48">
        <f>H402*discount</f>
        <v/>
      </c>
      <c r="X402" s="49">
        <f>W402*V402</f>
        <v/>
      </c>
      <c r="Y402" s="49">
        <f>(battery/range_nm)*G402*S402*VLOOKUP(B402,country_opex,3,FALSE)</f>
        <v/>
      </c>
      <c r="Z402" s="49">
        <f>VLOOKUP(B402,country_opex,2,FALSE)*crew_factor</f>
        <v/>
      </c>
      <c r="AA402" s="49">
        <f>VLOOKUP(B402,country_opex,5,FALSE)</f>
        <v/>
      </c>
      <c r="AB402" s="49">
        <f>maint</f>
        <v/>
      </c>
      <c r="AC402" s="49">
        <f>VLOOKUP(B402,country_opex,7,FALSE)*ins_pct</f>
        <v/>
      </c>
      <c r="AD402" s="49">
        <f>charge_berth</f>
        <v/>
      </c>
      <c r="AE402" s="49">
        <f>Y402+Z402+AA402+AB402+AC402+AD402</f>
        <v/>
      </c>
      <c r="AF402" s="49">
        <f>VLOOKUP(B402,country_opex,7,FALSE)/dep_years</f>
        <v/>
      </c>
      <c r="AG402" s="49">
        <f>X402-AE402</f>
        <v/>
      </c>
      <c r="AH402" s="46">
        <f>IF(X402=0,"",AG402/X402)</f>
        <v/>
      </c>
      <c r="AI402" s="47">
        <f>IF(AG402&lt;=0,"",VLOOKUP(B402,country_opex,7,FALSE)/AG402)</f>
        <v/>
      </c>
      <c r="AJ402" s="44">
        <f>((G402*S402/diesel_nmpg)*diesel_co2pg-(battery/range_nm)*G402*S402*VLOOKUP(B402,country_opex,4,FALSE))/1000</f>
        <v/>
      </c>
      <c r="AK402" s="42" t="n">
        <v>30000</v>
      </c>
      <c r="AL402" s="43" t="n"/>
      <c r="AM402" s="43" t="n"/>
      <c r="AN402" s="50" t="n">
        <v>0.1</v>
      </c>
      <c r="AO402" s="45">
        <f>IF(AK402="","",AK402*AN402)</f>
        <v/>
      </c>
      <c r="AP402" s="45">
        <f>IF(OR(AK402="",V402=0),"",MIN(IF(AX402="",9.9E+99,AX402),FLOOR(AO402/V402,1)))</f>
        <v/>
      </c>
      <c r="AQ402" s="49">
        <f>IF(AP402="","",AP402*IF(ABS(MOD(ABS((X402)),1)-0.5)&lt;1E-9,2*ROUND((X402)/2,0),ROUND((X402),0)))</f>
        <v/>
      </c>
      <c r="AR402" s="47">
        <f>IF(OR(AK402="",V402=0),"",MIN(IF(AX402="",9.9E+99,AX402),AO402/V402))</f>
        <v/>
      </c>
      <c r="AS402" s="49">
        <f>IF(AR402="","",AR402*IF(B402="South Korea",IF(ABS(MOD(ABS((X402)),1)-0.5)&lt;1E-9,2*ROUND((X402)/2,0),ROUND((X402),0)),X402))</f>
        <v/>
      </c>
      <c r="AT402" s="51" t="n"/>
      <c r="AU402" s="43" t="inlineStr">
        <is>
          <t>Estimated</t>
        </is>
      </c>
      <c r="AV402" s="52" t="n"/>
      <c r="AW402" s="52" t="n"/>
      <c r="AX402" s="53" t="n"/>
      <c r="AY402" s="54">
        <f>IF(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&lt;=0,"",VLOOKUP(B402,country_opex,7,FALSE)/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)</f>
        <v/>
      </c>
      <c r="AZ402" s="54">
        <f>IF(((W402*pax_cap*IF(B402="South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Korea",korea_mid_revleg,revleg_mid)),0))*VLOOKUP(B402,country_opex,3,FALSE))+Z402+AA402+AB402+AC402+AD402))&lt;=0,"",VLOOKUP(B402,country_opex,7,FALSE)/((W402*pax_cap*IF(B402="South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Korea",korea_mid_revleg,revleg_mid)),0))*VLOOKUP(B402,country_opex,3,FALSE))+Z402+AA402+AB402+AC402+AD402)))</f>
        <v/>
      </c>
      <c r="BA402" s="54">
        <f>IF(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&lt;=0,"",VLOOKUP(B402,country_opex,7,FALSE)/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)</f>
        <v/>
      </c>
      <c r="BB402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C402" s="40" t="n"/>
      <c r="BD402" s="43" t="inlineStr">
        <is>
          <t>rn-fe70e3a123f1</t>
        </is>
      </c>
    </row>
    <row r="403">
      <c r="A403" s="38" t="inlineStr">
        <is>
          <t>Yango Mozambique</t>
        </is>
      </c>
      <c r="B403" s="38" t="inlineStr">
        <is>
          <t>Mozambique</t>
        </is>
      </c>
      <c r="C403" s="39" t="inlineStr">
        <is>
          <t>Maputo (Porto de Maputo / Catembe pier) → Ilha dos Portugueses (Portuguese Island) / Santa Maria</t>
        </is>
      </c>
      <c r="D403" s="38" t="inlineStr">
        <is>
          <t>yango</t>
        </is>
      </c>
      <c r="E403" s="40" t="inlineStr">
        <is>
          <t>yango-mozambique</t>
        </is>
      </c>
      <c r="F403" s="41" t="n">
        <v>1</v>
      </c>
      <c r="G403" s="42" t="n">
        <v>20</v>
      </c>
      <c r="H403" s="35" t="n">
        <v>110</v>
      </c>
      <c r="I403" s="43" t="inlineStr">
        <is>
          <t>T2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IF(B403="South Korea",G403/korea_charge_range_nm*korea_full_range_charge_min,0)</f>
        <v/>
      </c>
      <c r="N403" s="44">
        <f>IF(B403="South Korea",L403+korea_turn_min+korea_dwell_min+M403,L403+turn_min+dwell_min)</f>
        <v/>
      </c>
      <c r="O403" s="45">
        <f>IF(B403="South Korea",FLOOR(60*korea_service_hr/N403,1),MIN(15,FLOOR(60*service_hr/N403,1)))</f>
        <v/>
      </c>
      <c r="P403" s="45">
        <f>IF(ABS(MOD(ABS((365*mech_uptime*K403)),1)-0.5)&lt;1E-9,2*ROUND((365*mech_uptime*K403)/2,0),ROUND((365*mech_uptime*K403),0))</f>
        <v/>
      </c>
      <c r="Q403" s="46">
        <f>mech_uptime</f>
        <v/>
      </c>
      <c r="R403" s="46">
        <f>IF(AND(B403="South Korea",scenario="MID"),korea_mid_revleg,revleg_sel)</f>
        <v/>
      </c>
      <c r="S403" s="45">
        <f>IF(ABS(MOD(ABS((O403*P403*R403)),1)-0.5)&lt;1E-9,2*ROUND((O403*P403*R403)/2,0),ROUND((O403*P403*R403),0))</f>
        <v/>
      </c>
      <c r="T403" s="46">
        <f>IF(AND(B403="South Korea",scenario="MID"),korea_mid_load,load_sel)</f>
        <v/>
      </c>
      <c r="U403" s="47">
        <f>pax_cap*T403</f>
        <v/>
      </c>
      <c r="V403" s="45">
        <f>U403*S403</f>
        <v/>
      </c>
      <c r="W403" s="48">
        <f>H403*discount</f>
        <v/>
      </c>
      <c r="X403" s="49">
        <f>W403*V403</f>
        <v/>
      </c>
      <c r="Y403" s="49">
        <f>(battery/range_nm)*G403*S403*VLOOKUP(B403,country_opex,3,FALSE)</f>
        <v/>
      </c>
      <c r="Z403" s="49">
        <f>VLOOKUP(B403,country_opex,2,FALSE)*crew_factor</f>
        <v/>
      </c>
      <c r="AA403" s="49">
        <f>VLOOKUP(B403,country_opex,5,FALSE)</f>
        <v/>
      </c>
      <c r="AB403" s="49">
        <f>maint</f>
        <v/>
      </c>
      <c r="AC403" s="49">
        <f>VLOOKUP(B403,country_opex,7,FALSE)*ins_pct</f>
        <v/>
      </c>
      <c r="AD403" s="49">
        <f>charge_berth</f>
        <v/>
      </c>
      <c r="AE403" s="49">
        <f>Y403+Z403+AA403+AB403+AC403+AD403</f>
        <v/>
      </c>
      <c r="AF403" s="49">
        <f>VLOOKUP(B403,country_opex,7,FALSE)/dep_years</f>
        <v/>
      </c>
      <c r="AG403" s="49">
        <f>X403-AE403</f>
        <v/>
      </c>
      <c r="AH403" s="46">
        <f>IF(X403=0,"",AG403/X403)</f>
        <v/>
      </c>
      <c r="AI403" s="47">
        <f>IF(AG403&lt;=0,"",VLOOKUP(B403,country_opex,7,FALSE)/AG403)</f>
        <v/>
      </c>
      <c r="AJ403" s="44">
        <f>((G403*S403/diesel_nmpg)*diesel_co2pg-(battery/range_nm)*G403*S403*VLOOKUP(B403,country_opex,4,FALSE))/1000</f>
        <v/>
      </c>
      <c r="AK403" s="42" t="n"/>
      <c r="AL403" s="43" t="n"/>
      <c r="AM403" s="43" t="n"/>
      <c r="AN403" s="50" t="n">
        <v>0.1</v>
      </c>
      <c r="AO403" s="45">
        <f>IF(AK403="","",AK403*AN403)</f>
        <v/>
      </c>
      <c r="AP403" s="45">
        <f>IF(OR(AK403="",V403=0),"",MIN(IF(AX403="",9.9E+99,AX403),FLOOR(AO403/V403,1)))</f>
        <v/>
      </c>
      <c r="AQ403" s="49">
        <f>IF(AP403="","",AP403*IF(ABS(MOD(ABS((X403)),1)-0.5)&lt;1E-9,2*ROUND((X403)/2,0),ROUND((X403),0)))</f>
        <v/>
      </c>
      <c r="AR403" s="47">
        <f>IF(OR(AK403="",V403=0),"",MIN(IF(AX403="",9.9E+99,AX403),AO403/V403))</f>
        <v/>
      </c>
      <c r="AS403" s="49">
        <f>IF(AR403="","",AR403*IF(B403="South Korea",IF(ABS(MOD(ABS((X403)),1)-0.5)&lt;1E-9,2*ROUND((X403)/2,0),ROUND((X403),0)),X403))</f>
        <v/>
      </c>
      <c r="AT403" s="51" t="n"/>
      <c r="AU403" s="43" t="inlineStr">
        <is>
          <t>Estimated</t>
        </is>
      </c>
      <c r="AV403" s="52" t="n"/>
      <c r="AW403" s="52" t="n"/>
      <c r="AX403" s="53" t="n"/>
      <c r="AY403" s="54">
        <f>IF(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&lt;=0,"",VLOOKUP(B403,country_opex,7,FALSE)/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)</f>
        <v/>
      </c>
      <c r="AZ403" s="54">
        <f>IF(((W403*pax_cap*IF(B403="South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Korea",korea_mid_revleg,revleg_mid)),0))*VLOOKUP(B403,country_opex,3,FALSE))+Z403+AA403+AB403+AC403+AD403))&lt;=0,"",VLOOKUP(B403,country_opex,7,FALSE)/((W403*pax_cap*IF(B403="South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Korea",korea_mid_revleg,revleg_mid)),0))*VLOOKUP(B403,country_opex,3,FALSE))+Z403+AA403+AB403+AC403+AD403)))</f>
        <v/>
      </c>
      <c r="BA403" s="54">
        <f>IF(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&lt;=0,"",VLOOKUP(B403,country_opex,7,FALSE)/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)</f>
        <v/>
      </c>
      <c r="BB403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C403" s="40" t="n"/>
      <c r="BD403" s="43" t="inlineStr">
        <is>
          <t>rn-518248d2f686</t>
        </is>
      </c>
    </row>
    <row r="404">
      <c r="A404" s="38" t="inlineStr">
        <is>
          <t>Yango Mozambique</t>
        </is>
      </c>
      <c r="B404" s="38" t="inlineStr">
        <is>
          <t>Mozambique</t>
        </is>
      </c>
      <c r="C404" s="39" t="inlineStr">
        <is>
          <t>Maputo (Porto de Maputo / Catembe pier) → Inhaca Island (KaNyaka)</t>
        </is>
      </c>
      <c r="D404" s="38" t="inlineStr">
        <is>
          <t>yango</t>
        </is>
      </c>
      <c r="E404" s="40" t="inlineStr">
        <is>
          <t>yango-mozambique</t>
        </is>
      </c>
      <c r="F404" s="41" t="n">
        <v>1</v>
      </c>
      <c r="G404" s="42" t="n">
        <v>22</v>
      </c>
      <c r="H404" s="35" t="n">
        <v>36</v>
      </c>
      <c r="I404" s="43" t="inlineStr">
        <is>
          <t>T2</t>
        </is>
      </c>
      <c r="J404" s="43" t="inlineStr">
        <is>
          <t>med</t>
        </is>
      </c>
      <c r="K404" s="29" t="n">
        <v>1</v>
      </c>
      <c r="L404" s="44">
        <f>60*G404/cruise_kt</f>
        <v/>
      </c>
      <c r="M404" s="44">
        <f>IF(B404="South Korea",G404/korea_charge_range_nm*korea_full_range_charge_min,0)</f>
        <v/>
      </c>
      <c r="N404" s="44">
        <f>IF(B404="South Korea",L404+korea_turn_min+korea_dwell_min+M404,L404+turn_min+dwell_min)</f>
        <v/>
      </c>
      <c r="O404" s="45">
        <f>IF(B404="South Korea",FLOOR(60*korea_service_hr/N404,1),MIN(15,FLOOR(60*service_hr/N404,1)))</f>
        <v/>
      </c>
      <c r="P404" s="45">
        <f>IF(ABS(MOD(ABS((365*mech_uptime*K404)),1)-0.5)&lt;1E-9,2*ROUND((365*mech_uptime*K404)/2,0),ROUND((365*mech_uptime*K404),0))</f>
        <v/>
      </c>
      <c r="Q404" s="46">
        <f>mech_uptime</f>
        <v/>
      </c>
      <c r="R404" s="46">
        <f>IF(AND(B404="South Korea",scenario="MID"),korea_mid_revleg,revleg_sel)</f>
        <v/>
      </c>
      <c r="S404" s="45">
        <f>IF(ABS(MOD(ABS((O404*P404*R404)),1)-0.5)&lt;1E-9,2*ROUND((O404*P404*R404)/2,0),ROUND((O404*P404*R404),0))</f>
        <v/>
      </c>
      <c r="T404" s="46">
        <f>IF(AND(B404="South Korea",scenario="MID"),korea_mid_load,load_sel)</f>
        <v/>
      </c>
      <c r="U404" s="47">
        <f>pax_cap*T404</f>
        <v/>
      </c>
      <c r="V404" s="45">
        <f>U404*S404</f>
        <v/>
      </c>
      <c r="W404" s="48">
        <f>H404*discount</f>
        <v/>
      </c>
      <c r="X404" s="49">
        <f>W404*V404</f>
        <v/>
      </c>
      <c r="Y404" s="49">
        <f>(battery/range_nm)*G404*S404*VLOOKUP(B404,country_opex,3,FALSE)</f>
        <v/>
      </c>
      <c r="Z404" s="49">
        <f>VLOOKUP(B404,country_opex,2,FALSE)*crew_factor</f>
        <v/>
      </c>
      <c r="AA404" s="49">
        <f>VLOOKUP(B404,country_opex,5,FALSE)</f>
        <v/>
      </c>
      <c r="AB404" s="49">
        <f>maint</f>
        <v/>
      </c>
      <c r="AC404" s="49">
        <f>VLOOKUP(B404,country_opex,7,FALSE)*ins_pct</f>
        <v/>
      </c>
      <c r="AD404" s="49">
        <f>charge_berth</f>
        <v/>
      </c>
      <c r="AE404" s="49">
        <f>Y404+Z404+AA404+AB404+AC404+AD404</f>
        <v/>
      </c>
      <c r="AF404" s="49">
        <f>VLOOKUP(B404,country_opex,7,FALSE)/dep_years</f>
        <v/>
      </c>
      <c r="AG404" s="49">
        <f>X404-AE404</f>
        <v/>
      </c>
      <c r="AH404" s="46">
        <f>IF(X404=0,"",AG404/X404)</f>
        <v/>
      </c>
      <c r="AI404" s="47">
        <f>IF(AG404&lt;=0,"",VLOOKUP(B404,country_opex,7,FALSE)/AG404)</f>
        <v/>
      </c>
      <c r="AJ404" s="44">
        <f>((G404*S404/diesel_nmpg)*diesel_co2pg-(battery/range_nm)*G404*S404*VLOOKUP(B404,country_opex,4,FALSE))/1000</f>
        <v/>
      </c>
      <c r="AK404" s="42" t="n"/>
      <c r="AL404" s="43" t="n"/>
      <c r="AM404" s="43" t="n"/>
      <c r="AN404" s="50" t="n">
        <v>0.1</v>
      </c>
      <c r="AO404" s="45">
        <f>IF(AK404="","",AK404*AN404)</f>
        <v/>
      </c>
      <c r="AP404" s="45">
        <f>IF(OR(AK404="",V404=0),"",MIN(IF(AX404="",9.9E+99,AX404),FLOOR(AO404/V404,1)))</f>
        <v/>
      </c>
      <c r="AQ404" s="49">
        <f>IF(AP404="","",AP404*IF(ABS(MOD(ABS((X404)),1)-0.5)&lt;1E-9,2*ROUND((X404)/2,0),ROUND((X404),0)))</f>
        <v/>
      </c>
      <c r="AR404" s="47">
        <f>IF(OR(AK404="",V404=0),"",MIN(IF(AX404="",9.9E+99,AX404),AO404/V404))</f>
        <v/>
      </c>
      <c r="AS404" s="49">
        <f>IF(AR404="","",AR404*IF(B404="South Korea",IF(ABS(MOD(ABS((X404)),1)-0.5)&lt;1E-9,2*ROUND((X404)/2,0),ROUND((X404),0)),X404))</f>
        <v/>
      </c>
      <c r="AT404" s="51" t="n"/>
      <c r="AU404" s="43" t="inlineStr">
        <is>
          <t>Estimated</t>
        </is>
      </c>
      <c r="AV404" s="52" t="n"/>
      <c r="AW404" s="52" t="n"/>
      <c r="AX404" s="53" t="n"/>
      <c r="AY404" s="54">
        <f>IF(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&lt;=0,"",VLOOKUP(B404,country_opex,7,FALSE)/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)</f>
        <v/>
      </c>
      <c r="AZ404" s="54">
        <f>IF(((W404*pax_cap*IF(B404="South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Korea",korea_mid_revleg,revleg_mid)),0))*VLOOKUP(B404,country_opex,3,FALSE))+Z404+AA404+AB404+AC404+AD404))&lt;=0,"",VLOOKUP(B404,country_opex,7,FALSE)/((W404*pax_cap*IF(B404="South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Korea",korea_mid_revleg,revleg_mid)),0))*VLOOKUP(B404,country_opex,3,FALSE))+Z404+AA404+AB404+AC404+AD404)))</f>
        <v/>
      </c>
      <c r="BA404" s="54">
        <f>IF(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&lt;=0,"",VLOOKUP(B404,country_opex,7,FALSE)/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)</f>
        <v/>
      </c>
      <c r="BB404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C404" s="40" t="n"/>
      <c r="BD404" s="43" t="inlineStr">
        <is>
          <t>rn-1f7480508e4d</t>
        </is>
      </c>
    </row>
    <row r="405">
      <c r="A405" s="38" t="inlineStr">
        <is>
          <t>Yango Mozambique</t>
        </is>
      </c>
      <c r="B405" s="38" t="inlineStr">
        <is>
          <t>Mozambique</t>
        </is>
      </c>
      <c r="C405" s="39" t="inlineStr">
        <is>
          <t>Beira (Porto da Beira) → Buzi (Buzi town, Buzi/Pungwe estuary)</t>
        </is>
      </c>
      <c r="D405" s="38" t="inlineStr">
        <is>
          <t>yango</t>
        </is>
      </c>
      <c r="E405" s="40" t="inlineStr">
        <is>
          <t>yango-mozambique</t>
        </is>
      </c>
      <c r="F405" s="41" t="n">
        <v>1</v>
      </c>
      <c r="G405" s="42" t="n">
        <v>25</v>
      </c>
      <c r="H405" s="35" t="n"/>
      <c r="I405" s="43" t="n"/>
      <c r="J405" s="43" t="n"/>
      <c r="K405" s="29" t="n">
        <v>1</v>
      </c>
      <c r="L405" s="44">
        <f>60*G405/cruise_kt</f>
        <v/>
      </c>
      <c r="M405" s="44">
        <f>IF(B405="South Korea",G405/korea_charge_range_nm*korea_full_range_charge_min,0)</f>
        <v/>
      </c>
      <c r="N405" s="44">
        <f>IF(B405="South Korea",L405+korea_turn_min+korea_dwell_min+M405,L405+turn_min+dwell_min)</f>
        <v/>
      </c>
      <c r="O405" s="45">
        <f>IF(B405="South Korea",FLOOR(60*korea_service_hr/N405,1),MIN(24,FLOOR(60*service_hr/N405,1)))</f>
        <v/>
      </c>
      <c r="P405" s="45">
        <f>IF(ABS(MOD(ABS((365*mech_uptime*K405)),1)-0.5)&lt;1E-9,2*ROUND((365*mech_uptime*K405)/2,0),ROUND((365*mech_uptime*K405),0))</f>
        <v/>
      </c>
      <c r="Q405" s="46">
        <f>mech_uptime</f>
        <v/>
      </c>
      <c r="R405" s="46">
        <f>IF(AND(B405="South Korea",scenario="MID"),korea_mid_revleg,revleg_sel)</f>
        <v/>
      </c>
      <c r="S405" s="45">
        <f>IF(ABS(MOD(ABS((O405*P405*R405)),1)-0.5)&lt;1E-9,2*ROUND((O405*P405*R405)/2,0),ROUND((O405*P405*R405),0))</f>
        <v/>
      </c>
      <c r="T405" s="46">
        <f>IF(AND(B405="South Korea",scenario="MID"),korea_mid_load,load_sel)</f>
        <v/>
      </c>
      <c r="U405" s="47">
        <f>pax_cap*T405</f>
        <v/>
      </c>
      <c r="V405" s="45">
        <f>U405*S405</f>
        <v/>
      </c>
      <c r="W405" s="48">
        <f>H405*discount</f>
        <v/>
      </c>
      <c r="X405" s="49">
        <f>W405*V405</f>
        <v/>
      </c>
      <c r="Y405" s="49">
        <f>(battery/range_nm)*G405*S405*VLOOKUP(B405,country_opex,3,FALSE)</f>
        <v/>
      </c>
      <c r="Z405" s="49">
        <f>VLOOKUP(B405,country_opex,2,FALSE)*crew_factor</f>
        <v/>
      </c>
      <c r="AA405" s="49">
        <f>VLOOKUP(B405,country_opex,5,FALSE)</f>
        <v/>
      </c>
      <c r="AB405" s="49">
        <f>maint</f>
        <v/>
      </c>
      <c r="AC405" s="49">
        <f>VLOOKUP(B405,country_opex,7,FALSE)*ins_pct</f>
        <v/>
      </c>
      <c r="AD405" s="49">
        <f>charge_berth</f>
        <v/>
      </c>
      <c r="AE405" s="49">
        <f>Y405+Z405+AA405+AB405+AC405+AD405</f>
        <v/>
      </c>
      <c r="AF405" s="49">
        <f>VLOOKUP(B405,country_opex,7,FALSE)/dep_years</f>
        <v/>
      </c>
      <c r="AG405" s="49">
        <f>X405-AE405</f>
        <v/>
      </c>
      <c r="AH405" s="46">
        <f>IF(X405=0,"",AG405/X405)</f>
        <v/>
      </c>
      <c r="AI405" s="47">
        <f>IF(AG405&lt;=0,"",VLOOKUP(B405,country_opex,7,FALSE)/AG405)</f>
        <v/>
      </c>
      <c r="AJ405" s="44">
        <f>((G405*S405/diesel_nmpg)*diesel_co2pg-(battery/range_nm)*G405*S405*VLOOKUP(B405,country_opex,4,FALSE))/1000</f>
        <v/>
      </c>
      <c r="AK405" s="42" t="n"/>
      <c r="AL405" s="43" t="n"/>
      <c r="AM405" s="43" t="n"/>
      <c r="AN405" s="50" t="n">
        <v>0.1</v>
      </c>
      <c r="AO405" s="45">
        <f>IF(AK405="","",AK405*AN405)</f>
        <v/>
      </c>
      <c r="AP405" s="45">
        <f>IF(OR(AK405="",V405=0),"",MIN(IF(AX405="",9.9E+99,AX405),FLOOR(AO405/V405,1)))</f>
        <v/>
      </c>
      <c r="AQ405" s="49">
        <f>IF(AP405="","",AP405*IF(ABS(MOD(ABS((X405)),1)-0.5)&lt;1E-9,2*ROUND((X405)/2,0),ROUND((X405),0)))</f>
        <v/>
      </c>
      <c r="AR405" s="47">
        <f>IF(OR(AK405="",V405=0),"",MIN(IF(AX405="",9.9E+99,AX405),AO405/V405))</f>
        <v/>
      </c>
      <c r="AS405" s="49">
        <f>IF(AR405="","",AR405*IF(B405="South Korea",IF(ABS(MOD(ABS((X405)),1)-0.5)&lt;1E-9,2*ROUND((X405)/2,0),ROUND((X405),0)),X405))</f>
        <v/>
      </c>
      <c r="AT405" s="51" t="n"/>
      <c r="AU405" s="43" t="inlineStr">
        <is>
          <t>Estimated</t>
        </is>
      </c>
      <c r="AV405" s="52" t="n"/>
      <c r="AW405" s="52" t="n"/>
      <c r="AX405" s="53" t="n"/>
      <c r="AY405" s="54">
        <f>IF(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&lt;=0,"",VLOOKUP(B405,country_opex,7,FALSE)/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)</f>
        <v/>
      </c>
      <c r="AZ405" s="54">
        <f>IF(((W405*pax_cap*IF(B405="South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Korea",korea_mid_revleg,revleg_mid)),0))*VLOOKUP(B405,country_opex,3,FALSE))+Z405+AA405+AB405+AC405+AD405))&lt;=0,"",VLOOKUP(B405,country_opex,7,FALSE)/((W405*pax_cap*IF(B405="South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Korea",korea_mid_revleg,revleg_mid)),0))*VLOOKUP(B405,country_opex,3,FALSE))+Z405+AA405+AB405+AC405+AD405)))</f>
        <v/>
      </c>
      <c r="BA405" s="54">
        <f>IF(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&lt;=0,"",VLOOKUP(B405,country_opex,7,FALSE)/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)</f>
        <v/>
      </c>
      <c r="BB405" s="40" t="n"/>
      <c r="BC405" s="40" t="n"/>
      <c r="BD405" s="43" t="inlineStr">
        <is>
          <t>rn-5d3d57a25aca</t>
        </is>
      </c>
    </row>
    <row r="406">
      <c r="A406" s="38" t="inlineStr">
        <is>
          <t>Yango Mozambique</t>
        </is>
      </c>
      <c r="B406" s="38" t="inlineStr">
        <is>
          <t>Mozambique</t>
        </is>
      </c>
      <c r="C406" s="39" t="inlineStr">
        <is>
          <t>Pemba (Pemba Bay / Paquitequete) → Ibo Island (Quirimbas Archipelago)</t>
        </is>
      </c>
      <c r="D406" s="38" t="inlineStr">
        <is>
          <t>yango</t>
        </is>
      </c>
      <c r="E406" s="40" t="inlineStr">
        <is>
          <t>yango-mozambique</t>
        </is>
      </c>
      <c r="F406" s="41" t="n">
        <v>1</v>
      </c>
      <c r="G406" s="42" t="n">
        <v>27</v>
      </c>
      <c r="H406" s="35" t="n"/>
      <c r="I406" s="43" t="n"/>
      <c r="J406" s="43" t="n"/>
      <c r="K406" s="29" t="n">
        <v>1</v>
      </c>
      <c r="L406" s="44">
        <f>60*G406/cruise_kt</f>
        <v/>
      </c>
      <c r="M406" s="44">
        <f>IF(B406="South Korea",G406/korea_charge_range_nm*korea_full_range_charge_min,0)</f>
        <v/>
      </c>
      <c r="N406" s="44">
        <f>IF(B406="South Korea",L406+korea_turn_min+korea_dwell_min+M406,L406+turn_min+dwell_min)</f>
        <v/>
      </c>
      <c r="O406" s="45">
        <f>IF(B406="South Korea",FLOOR(60*korea_service_hr/N406,1),MIN(15,FLOOR(60*service_hr/N406,1)))</f>
        <v/>
      </c>
      <c r="P406" s="45">
        <f>IF(ABS(MOD(ABS((365*mech_uptime*K406)),1)-0.5)&lt;1E-9,2*ROUND((365*mech_uptime*K406)/2,0),ROUND((365*mech_uptime*K406),0))</f>
        <v/>
      </c>
      <c r="Q406" s="46">
        <f>mech_uptime</f>
        <v/>
      </c>
      <c r="R406" s="46">
        <f>IF(AND(B406="South Korea",scenario="MID"),korea_mid_revleg,revleg_sel)</f>
        <v/>
      </c>
      <c r="S406" s="45">
        <f>IF(ABS(MOD(ABS((O406*P406*R406)),1)-0.5)&lt;1E-9,2*ROUND((O406*P406*R406)/2,0),ROUND((O406*P406*R406),0))</f>
        <v/>
      </c>
      <c r="T406" s="46">
        <f>IF(AND(B406="South Korea",scenario="MID"),korea_mid_load,load_sel)</f>
        <v/>
      </c>
      <c r="U406" s="47">
        <f>pax_cap*T406</f>
        <v/>
      </c>
      <c r="V406" s="45">
        <f>U406*S406</f>
        <v/>
      </c>
      <c r="W406" s="48">
        <f>H406*discount</f>
        <v/>
      </c>
      <c r="X406" s="49">
        <f>W406*V406</f>
        <v/>
      </c>
      <c r="Y406" s="49">
        <f>(battery/range_nm)*G406*S406*VLOOKUP(B406,country_opex,3,FALSE)</f>
        <v/>
      </c>
      <c r="Z406" s="49">
        <f>VLOOKUP(B406,country_opex,2,FALSE)*crew_factor</f>
        <v/>
      </c>
      <c r="AA406" s="49">
        <f>VLOOKUP(B406,country_opex,5,FALSE)</f>
        <v/>
      </c>
      <c r="AB406" s="49">
        <f>maint</f>
        <v/>
      </c>
      <c r="AC406" s="49">
        <f>VLOOKUP(B406,country_opex,7,FALSE)*ins_pct</f>
        <v/>
      </c>
      <c r="AD406" s="49">
        <f>charge_berth</f>
        <v/>
      </c>
      <c r="AE406" s="49">
        <f>Y406+Z406+AA406+AB406+AC406+AD406</f>
        <v/>
      </c>
      <c r="AF406" s="49">
        <f>VLOOKUP(B406,country_opex,7,FALSE)/dep_years</f>
        <v/>
      </c>
      <c r="AG406" s="49">
        <f>X406-AE406</f>
        <v/>
      </c>
      <c r="AH406" s="46">
        <f>IF(X406=0,"",AG406/X406)</f>
        <v/>
      </c>
      <c r="AI406" s="47">
        <f>IF(AG406&lt;=0,"",VLOOKUP(B406,country_opex,7,FALSE)/AG406)</f>
        <v/>
      </c>
      <c r="AJ406" s="44">
        <f>((G406*S406/diesel_nmpg)*diesel_co2pg-(battery/range_nm)*G406*S406*VLOOKUP(B406,country_opex,4,FALSE))/1000</f>
        <v/>
      </c>
      <c r="AK406" s="42" t="n"/>
      <c r="AL406" s="43" t="n"/>
      <c r="AM406" s="43" t="n"/>
      <c r="AN406" s="50" t="n">
        <v>0.1</v>
      </c>
      <c r="AO406" s="45">
        <f>IF(AK406="","",AK406*AN406)</f>
        <v/>
      </c>
      <c r="AP406" s="45">
        <f>IF(OR(AK406="",V406=0),"",MIN(IF(AX406="",9.9E+99,AX406),FLOOR(AO406/V406,1)))</f>
        <v/>
      </c>
      <c r="AQ406" s="49">
        <f>IF(AP406="","",AP406*IF(ABS(MOD(ABS((X406)),1)-0.5)&lt;1E-9,2*ROUND((X406)/2,0),ROUND((X406),0)))</f>
        <v/>
      </c>
      <c r="AR406" s="47">
        <f>IF(OR(AK406="",V406=0),"",MIN(IF(AX406="",9.9E+99,AX406),AO406/V406))</f>
        <v/>
      </c>
      <c r="AS406" s="49">
        <f>IF(AR406="","",AR406*IF(B406="South Korea",IF(ABS(MOD(ABS((X406)),1)-0.5)&lt;1E-9,2*ROUND((X406)/2,0),ROUND((X406),0)),X406))</f>
        <v/>
      </c>
      <c r="AT406" s="51" t="n"/>
      <c r="AU406" s="43" t="inlineStr">
        <is>
          <t>Estimated</t>
        </is>
      </c>
      <c r="AV406" s="52" t="n"/>
      <c r="AW406" s="52" t="n"/>
      <c r="AX406" s="53" t="n"/>
      <c r="AY406" s="54">
        <f>IF(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&lt;=0,"",VLOOKUP(B406,country_opex,7,FALSE)/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)</f>
        <v/>
      </c>
      <c r="AZ406" s="54">
        <f>IF(((W406*pax_cap*IF(B406="South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Korea",korea_mid_revleg,revleg_mid)),0))*VLOOKUP(B406,country_opex,3,FALSE))+Z406+AA406+AB406+AC406+AD406))&lt;=0,"",VLOOKUP(B406,country_opex,7,FALSE)/((W406*pax_cap*IF(B406="South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Korea",korea_mid_revleg,revleg_mid)),0))*VLOOKUP(B406,country_opex,3,FALSE))+Z406+AA406+AB406+AC406+AD406)))</f>
        <v/>
      </c>
      <c r="BA406" s="54">
        <f>IF(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&lt;=0,"",VLOOKUP(B406,country_opex,7,FALSE)/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)</f>
        <v/>
      </c>
      <c r="BB406" s="40" t="n"/>
      <c r="BC406" s="40" t="n"/>
      <c r="BD406" s="43" t="inlineStr">
        <is>
          <t>rn-b3790c8e404e</t>
        </is>
      </c>
    </row>
    <row r="407">
      <c r="A407" s="38" t="inlineStr">
        <is>
          <t>Yango Namibia</t>
        </is>
      </c>
      <c r="B407" s="38" t="inlineStr">
        <is>
          <t>Namibia</t>
        </is>
      </c>
      <c r="C407" s="39" t="inlineStr">
        <is>
          <t>Walvis Bay Waterfront → Pelican Point</t>
        </is>
      </c>
      <c r="D407" s="38" t="inlineStr">
        <is>
          <t>yango</t>
        </is>
      </c>
      <c r="E407" s="40" t="inlineStr">
        <is>
          <t>yango-namibia</t>
        </is>
      </c>
      <c r="F407" s="41" t="n">
        <v>1</v>
      </c>
      <c r="G407" s="42" t="n">
        <v>6</v>
      </c>
      <c r="H407" s="35" t="n">
        <v>48</v>
      </c>
      <c r="I407" s="43" t="inlineStr">
        <is>
          <t>T2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IF(B407="South Korea",G407/korea_charge_range_nm*korea_full_range_charge_min,0)</f>
        <v/>
      </c>
      <c r="N407" s="44">
        <f>IF(B407="South Korea",L407+korea_turn_min+korea_dwell_min+M407,L407+turn_min+dwell_min)</f>
        <v/>
      </c>
      <c r="O407" s="45">
        <f>IF(B407="South Korea",FLOOR(60*korea_service_hr/N407,1),MIN(15,FLOOR(60*service_hr/N407,1)))</f>
        <v/>
      </c>
      <c r="P407" s="45">
        <f>IF(ABS(MOD(ABS((365*mech_uptime*K407)),1)-0.5)&lt;1E-9,2*ROUND((365*mech_uptime*K407)/2,0),ROUND((365*mech_uptime*K407),0))</f>
        <v/>
      </c>
      <c r="Q407" s="46">
        <f>mech_uptime</f>
        <v/>
      </c>
      <c r="R407" s="46">
        <f>IF(AND(B407="South Korea",scenario="MID"),korea_mid_revleg,revleg_sel)</f>
        <v/>
      </c>
      <c r="S407" s="45">
        <f>IF(ABS(MOD(ABS((O407*P407*R407)),1)-0.5)&lt;1E-9,2*ROUND((O407*P407*R407)/2,0),ROUND((O407*P407*R407),0))</f>
        <v/>
      </c>
      <c r="T407" s="46">
        <f>IF(AND(B407="South Korea",scenario="MID"),korea_mid_load,load_sel)</f>
        <v/>
      </c>
      <c r="U407" s="47">
        <f>pax_cap*T407</f>
        <v/>
      </c>
      <c r="V407" s="45">
        <f>U407*S407</f>
        <v/>
      </c>
      <c r="W407" s="48">
        <f>H407*discount</f>
        <v/>
      </c>
      <c r="X407" s="49">
        <f>W407*V407</f>
        <v/>
      </c>
      <c r="Y407" s="49">
        <f>(battery/range_nm)*G407*S407*VLOOKUP(B407,country_opex,3,FALSE)</f>
        <v/>
      </c>
      <c r="Z407" s="49">
        <f>VLOOKUP(B407,country_opex,2,FALSE)*crew_factor</f>
        <v/>
      </c>
      <c r="AA407" s="49">
        <f>VLOOKUP(B407,country_opex,5,FALSE)</f>
        <v/>
      </c>
      <c r="AB407" s="49">
        <f>maint</f>
        <v/>
      </c>
      <c r="AC407" s="49">
        <f>VLOOKUP(B407,country_opex,7,FALSE)*ins_pct</f>
        <v/>
      </c>
      <c r="AD407" s="49">
        <f>charge_berth</f>
        <v/>
      </c>
      <c r="AE407" s="49">
        <f>Y407+Z407+AA407+AB407+AC407+AD407</f>
        <v/>
      </c>
      <c r="AF407" s="49">
        <f>VLOOKUP(B407,country_opex,7,FALSE)/dep_years</f>
        <v/>
      </c>
      <c r="AG407" s="49">
        <f>X407-AE407</f>
        <v/>
      </c>
      <c r="AH407" s="46">
        <f>IF(X407=0,"",AG407/X407)</f>
        <v/>
      </c>
      <c r="AI407" s="47">
        <f>IF(AG407&lt;=0,"",VLOOKUP(B407,country_opex,7,FALSE)/AG407)</f>
        <v/>
      </c>
      <c r="AJ407" s="44">
        <f>((G407*S407/diesel_nmpg)*diesel_co2pg-(battery/range_nm)*G407*S407*VLOOKUP(B407,country_opex,4,FALSE))/1000</f>
        <v/>
      </c>
      <c r="AK407" s="42" t="n">
        <v>60000</v>
      </c>
      <c r="AL407" s="43" t="n"/>
      <c r="AM407" s="43" t="inlineStr">
        <is>
          <t>med</t>
        </is>
      </c>
      <c r="AN407" s="50" t="n">
        <v>0.25</v>
      </c>
      <c r="AO407" s="45">
        <f>IF(AK407="","",AK407*AN407)</f>
        <v/>
      </c>
      <c r="AP407" s="45">
        <f>IF(OR(AK407="",V407=0),"",MIN(IF(AX407="",9.9E+99,AX407),FLOOR(AO407/V407,1)))</f>
        <v/>
      </c>
      <c r="AQ407" s="49">
        <f>IF(AP407="","",AP407*IF(ABS(MOD(ABS((X407)),1)-0.5)&lt;1E-9,2*ROUND((X407)/2,0),ROUND((X407),0)))</f>
        <v/>
      </c>
      <c r="AR407" s="47">
        <f>IF(OR(AK407="",V407=0),"",MIN(IF(AX407="",9.9E+99,AX407),AO407/V407))</f>
        <v/>
      </c>
      <c r="AS407" s="49">
        <f>IF(AR407="","",AR407*IF(B407="South Korea",IF(ABS(MOD(ABS((X407)),1)-0.5)&lt;1E-9,2*ROUND((X407)/2,0),ROUND((X407),0)),X407))</f>
        <v/>
      </c>
      <c r="AT407" s="51" t="n"/>
      <c r="AU407" s="43" t="inlineStr">
        <is>
          <t>Grounded</t>
        </is>
      </c>
      <c r="AV407" s="52" t="n"/>
      <c r="AW407" s="52" t="n"/>
      <c r="AX407" s="53" t="n"/>
      <c r="AY407" s="54">
        <f>IF(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&lt;=0,"",VLOOKUP(B407,country_opex,7,FALSE)/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)</f>
        <v/>
      </c>
      <c r="AZ407" s="54">
        <f>IF(((W407*pax_cap*IF(B407="South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Korea",korea_mid_revleg,revleg_mid)),0))*VLOOKUP(B407,country_opex,3,FALSE))+Z407+AA407+AB407+AC407+AD407))&lt;=0,"",VLOOKUP(B407,country_opex,7,FALSE)/((W407*pax_cap*IF(B407="South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Korea",korea_mid_revleg,revleg_mid)),0))*VLOOKUP(B407,country_opex,3,FALSE))+Z407+AA407+AB407+AC407+AD407)))</f>
        <v/>
      </c>
      <c r="BA407" s="54">
        <f>IF(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&lt;=0,"",VLOOKUP(B407,country_opex,7,FALSE)/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)</f>
        <v/>
      </c>
      <c r="BB407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C407" s="40" t="n"/>
      <c r="BD407" s="43" t="n"/>
    </row>
    <row r="408">
      <c r="A408" s="38" t="inlineStr">
        <is>
          <t>Yango Namibia</t>
        </is>
      </c>
      <c r="B408" s="38" t="inlineStr">
        <is>
          <t>Namibia</t>
        </is>
      </c>
      <c r="C408" s="39" t="inlineStr">
        <is>
          <t>Walvis Bay Waterfront → Swakopmund</t>
        </is>
      </c>
      <c r="D408" s="38" t="inlineStr">
        <is>
          <t>yango</t>
        </is>
      </c>
      <c r="E408" s="40" t="inlineStr">
        <is>
          <t>yango-namibia</t>
        </is>
      </c>
      <c r="F408" s="41" t="n">
        <v>1</v>
      </c>
      <c r="G408" s="42" t="n">
        <v>17</v>
      </c>
      <c r="H408" s="35" t="n">
        <v>15</v>
      </c>
      <c r="I408" s="43" t="inlineStr">
        <is>
          <t>T4</t>
        </is>
      </c>
      <c r="J408" s="43" t="inlineStr">
        <is>
          <t>low</t>
        </is>
      </c>
      <c r="K408" s="29" t="n">
        <v>1</v>
      </c>
      <c r="L408" s="44">
        <f>60*G408/cruise_kt</f>
        <v/>
      </c>
      <c r="M408" s="44">
        <f>IF(B408="South Korea",G408/korea_charge_range_nm*korea_full_range_charge_min,0)</f>
        <v/>
      </c>
      <c r="N408" s="44">
        <f>IF(B408="South Korea",L408+korea_turn_min+korea_dwell_min+M408,L408+turn_min+dwell_min)</f>
        <v/>
      </c>
      <c r="O408" s="45">
        <f>IF(B408="South Korea",FLOOR(60*korea_service_hr/N408,1),MIN(24,FLOOR(60*service_hr/N408,1)))</f>
        <v/>
      </c>
      <c r="P408" s="45">
        <f>IF(ABS(MOD(ABS((365*mech_uptime*K408)),1)-0.5)&lt;1E-9,2*ROUND((365*mech_uptime*K408)/2,0),ROUND((365*mech_uptime*K408),0))</f>
        <v/>
      </c>
      <c r="Q408" s="46">
        <f>mech_uptime</f>
        <v/>
      </c>
      <c r="R408" s="46">
        <f>IF(AND(B408="South Korea",scenario="MID"),korea_mid_revleg,revleg_sel)</f>
        <v/>
      </c>
      <c r="S408" s="45">
        <f>IF(ABS(MOD(ABS((O408*P408*R408)),1)-0.5)&lt;1E-9,2*ROUND((O408*P408*R408)/2,0),ROUND((O408*P408*R408),0))</f>
        <v/>
      </c>
      <c r="T408" s="46">
        <f>IF(AND(B408="South Korea",scenario="MID"),korea_mid_load,load_sel)</f>
        <v/>
      </c>
      <c r="U408" s="47">
        <f>pax_cap*T408</f>
        <v/>
      </c>
      <c r="V408" s="45">
        <f>U408*S408</f>
        <v/>
      </c>
      <c r="W408" s="48">
        <f>H408*discount</f>
        <v/>
      </c>
      <c r="X408" s="49">
        <f>W408*V408</f>
        <v/>
      </c>
      <c r="Y408" s="49">
        <f>(battery/range_nm)*G408*S408*VLOOKUP(B408,country_opex,3,FALSE)</f>
        <v/>
      </c>
      <c r="Z408" s="49">
        <f>VLOOKUP(B408,country_opex,2,FALSE)*crew_factor</f>
        <v/>
      </c>
      <c r="AA408" s="49">
        <f>VLOOKUP(B408,country_opex,5,FALSE)</f>
        <v/>
      </c>
      <c r="AB408" s="49">
        <f>maint</f>
        <v/>
      </c>
      <c r="AC408" s="49">
        <f>VLOOKUP(B408,country_opex,7,FALSE)*ins_pct</f>
        <v/>
      </c>
      <c r="AD408" s="49">
        <f>charge_berth</f>
        <v/>
      </c>
      <c r="AE408" s="49">
        <f>Y408+Z408+AA408+AB408+AC408+AD408</f>
        <v/>
      </c>
      <c r="AF408" s="49">
        <f>VLOOKUP(B408,country_opex,7,FALSE)/dep_years</f>
        <v/>
      </c>
      <c r="AG408" s="49">
        <f>X408-AE408</f>
        <v/>
      </c>
      <c r="AH408" s="46">
        <f>IF(X408=0,"",AG408/X408)</f>
        <v/>
      </c>
      <c r="AI408" s="47">
        <f>IF(AG408&lt;=0,"",VLOOKUP(B408,country_opex,7,FALSE)/AG408)</f>
        <v/>
      </c>
      <c r="AJ408" s="44">
        <f>((G408*S408/diesel_nmpg)*diesel_co2pg-(battery/range_nm)*G408*S408*VLOOKUP(B408,country_opex,4,FALSE))/1000</f>
        <v/>
      </c>
      <c r="AK408" s="42" t="n">
        <v>20000</v>
      </c>
      <c r="AL408" s="43" t="n"/>
      <c r="AM408" s="43" t="inlineStr">
        <is>
          <t>low</t>
        </is>
      </c>
      <c r="AN408" s="50" t="n">
        <v>0.25</v>
      </c>
      <c r="AO408" s="45">
        <f>IF(AK408="","",AK408*AN408)</f>
        <v/>
      </c>
      <c r="AP408" s="45">
        <f>IF(OR(AK408="",V408=0),"",MIN(IF(AX408="",9.9E+99,AX408),FLOOR(AO408/V408,1)))</f>
        <v/>
      </c>
      <c r="AQ408" s="49">
        <f>IF(AP408="","",AP408*IF(ABS(MOD(ABS((X408)),1)-0.5)&lt;1E-9,2*ROUND((X408)/2,0),ROUND((X408),0)))</f>
        <v/>
      </c>
      <c r="AR408" s="47">
        <f>IF(OR(AK408="",V408=0),"",MIN(IF(AX408="",9.9E+99,AX408),AO408/V408))</f>
        <v/>
      </c>
      <c r="AS408" s="49">
        <f>IF(AR408="","",AR408*IF(B408="South Korea",IF(ABS(MOD(ABS((X408)),1)-0.5)&lt;1E-9,2*ROUND((X408)/2,0),ROUND((X408),0)),X408))</f>
        <v/>
      </c>
      <c r="AT408" s="51" t="n"/>
      <c r="AU408" s="43" t="inlineStr">
        <is>
          <t>Estimated</t>
        </is>
      </c>
      <c r="AV408" s="52" t="n"/>
      <c r="AW408" s="52" t="n"/>
      <c r="AX408" s="53" t="n"/>
      <c r="AY408" s="54">
        <f>IF(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&lt;=0,"",VLOOKUP(B408,country_opex,7,FALSE)/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)</f>
        <v/>
      </c>
      <c r="AZ408" s="54">
        <f>IF(((W408*pax_cap*IF(B408="South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Korea",korea_mid_revleg,revleg_mid)),0))*VLOOKUP(B408,country_opex,3,FALSE))+Z408+AA408+AB408+AC408+AD408))&lt;=0,"",VLOOKUP(B408,country_opex,7,FALSE)/((W408*pax_cap*IF(B408="South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Korea",korea_mid_revleg,revleg_mid)),0))*VLOOKUP(B408,country_opex,3,FALSE))+Z408+AA408+AB408+AC408+AD408)))</f>
        <v/>
      </c>
      <c r="BA408" s="54">
        <f>IF(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&lt;=0,"",VLOOKUP(B408,country_opex,7,FALSE)/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)</f>
        <v/>
      </c>
      <c r="BB408" s="40" t="inlineStr">
        <is>
          <t>Modeled commuter/leisure fare for a ~30 km coastal resort link; no incumbent water service.</t>
        </is>
      </c>
      <c r="BC408" s="40" t="n"/>
      <c r="BD408" s="43" t="n"/>
    </row>
    <row r="409">
      <c r="A409" s="38" t="inlineStr">
        <is>
          <t>Yango Namibia</t>
        </is>
      </c>
      <c r="B409" s="38" t="inlineStr">
        <is>
          <t>Namibia</t>
        </is>
      </c>
      <c r="C409" s="39" t="inlineStr">
        <is>
          <t>Walvis Bay Waterfront → Sandwich Harbour</t>
        </is>
      </c>
      <c r="D409" s="38" t="inlineStr">
        <is>
          <t>yango</t>
        </is>
      </c>
      <c r="E409" s="40" t="inlineStr">
        <is>
          <t>yango-namibia</t>
        </is>
      </c>
      <c r="F409" s="41" t="n">
        <v>1</v>
      </c>
      <c r="G409" s="42" t="n">
        <v>26</v>
      </c>
      <c r="H409" s="35" t="n">
        <v>140</v>
      </c>
      <c r="I409" s="43" t="inlineStr">
        <is>
          <t>T2</t>
        </is>
      </c>
      <c r="J409" s="43" t="inlineStr">
        <is>
          <t>med</t>
        </is>
      </c>
      <c r="K409" s="29" t="n">
        <v>1</v>
      </c>
      <c r="L409" s="44">
        <f>60*G409/cruise_kt</f>
        <v/>
      </c>
      <c r="M409" s="44">
        <f>IF(B409="South Korea",G409/korea_charge_range_nm*korea_full_range_charge_min,0)</f>
        <v/>
      </c>
      <c r="N409" s="44">
        <f>IF(B409="South Korea",L409+korea_turn_min+korea_dwell_min+M409,L409+turn_min+dwell_min)</f>
        <v/>
      </c>
      <c r="O409" s="45">
        <f>IF(B409="South Korea",FLOOR(60*korea_service_hr/N409,1),MIN(15,FLOOR(60*service_hr/N409,1)))</f>
        <v/>
      </c>
      <c r="P409" s="45">
        <f>IF(ABS(MOD(ABS((365*mech_uptime*K409)),1)-0.5)&lt;1E-9,2*ROUND((365*mech_uptime*K409)/2,0),ROUND((365*mech_uptime*K409),0))</f>
        <v/>
      </c>
      <c r="Q409" s="46">
        <f>mech_uptime</f>
        <v/>
      </c>
      <c r="R409" s="46">
        <f>IF(AND(B409="South Korea",scenario="MID"),korea_mid_revleg,revleg_sel)</f>
        <v/>
      </c>
      <c r="S409" s="45">
        <f>IF(ABS(MOD(ABS((O409*P409*R409)),1)-0.5)&lt;1E-9,2*ROUND((O409*P409*R409)/2,0),ROUND((O409*P409*R409),0))</f>
        <v/>
      </c>
      <c r="T409" s="46">
        <f>IF(AND(B409="South Korea",scenario="MID"),korea_mid_load,load_sel)</f>
        <v/>
      </c>
      <c r="U409" s="47">
        <f>pax_cap*T409</f>
        <v/>
      </c>
      <c r="V409" s="45">
        <f>U409*S409</f>
        <v/>
      </c>
      <c r="W409" s="48">
        <f>H409*discount</f>
        <v/>
      </c>
      <c r="X409" s="49">
        <f>W409*V409</f>
        <v/>
      </c>
      <c r="Y409" s="49">
        <f>(battery/range_nm)*G409*S409*VLOOKUP(B409,country_opex,3,FALSE)</f>
        <v/>
      </c>
      <c r="Z409" s="49">
        <f>VLOOKUP(B409,country_opex,2,FALSE)*crew_factor</f>
        <v/>
      </c>
      <c r="AA409" s="49">
        <f>VLOOKUP(B409,country_opex,5,FALSE)</f>
        <v/>
      </c>
      <c r="AB409" s="49">
        <f>maint</f>
        <v/>
      </c>
      <c r="AC409" s="49">
        <f>VLOOKUP(B409,country_opex,7,FALSE)*ins_pct</f>
        <v/>
      </c>
      <c r="AD409" s="49">
        <f>charge_berth</f>
        <v/>
      </c>
      <c r="AE409" s="49">
        <f>Y409+Z409+AA409+AB409+AC409+AD409</f>
        <v/>
      </c>
      <c r="AF409" s="49">
        <f>VLOOKUP(B409,country_opex,7,FALSE)/dep_years</f>
        <v/>
      </c>
      <c r="AG409" s="49">
        <f>X409-AE409</f>
        <v/>
      </c>
      <c r="AH409" s="46">
        <f>IF(X409=0,"",AG409/X409)</f>
        <v/>
      </c>
      <c r="AI409" s="47">
        <f>IF(AG409&lt;=0,"",VLOOKUP(B409,country_opex,7,FALSE)/AG409)</f>
        <v/>
      </c>
      <c r="AJ409" s="44">
        <f>((G409*S409/diesel_nmpg)*diesel_co2pg-(battery/range_nm)*G409*S409*VLOOKUP(B409,country_opex,4,FALSE))/1000</f>
        <v/>
      </c>
      <c r="AK409" s="42" t="n">
        <v>15000</v>
      </c>
      <c r="AL409" s="43" t="n"/>
      <c r="AM409" s="43" t="inlineStr">
        <is>
          <t>low</t>
        </is>
      </c>
      <c r="AN409" s="50" t="n">
        <v>0.25</v>
      </c>
      <c r="AO409" s="45">
        <f>IF(AK409="","",AK409*AN409)</f>
        <v/>
      </c>
      <c r="AP409" s="45">
        <f>IF(OR(AK409="",V409=0),"",MIN(IF(AX409="",9.9E+99,AX409),FLOOR(AO409/V409,1)))</f>
        <v/>
      </c>
      <c r="AQ409" s="49">
        <f>IF(AP409="","",AP409*IF(ABS(MOD(ABS((X409)),1)-0.5)&lt;1E-9,2*ROUND((X409)/2,0),ROUND((X409),0)))</f>
        <v/>
      </c>
      <c r="AR409" s="47">
        <f>IF(OR(AK409="",V409=0),"",MIN(IF(AX409="",9.9E+99,AX409),AO409/V409))</f>
        <v/>
      </c>
      <c r="AS409" s="49">
        <f>IF(AR409="","",AR409*IF(B409="South Korea",IF(ABS(MOD(ABS((X409)),1)-0.5)&lt;1E-9,2*ROUND((X409)/2,0),ROUND((X409),0)),X409))</f>
        <v/>
      </c>
      <c r="AT409" s="51" t="n"/>
      <c r="AU409" s="43" t="inlineStr">
        <is>
          <t>Estimated</t>
        </is>
      </c>
      <c r="AV409" s="52" t="n"/>
      <c r="AW409" s="52" t="n"/>
      <c r="AX409" s="53" t="n"/>
      <c r="AY409" s="54">
        <f>IF(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&lt;=0,"",VLOOKUP(B409,country_opex,7,FALSE)/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)</f>
        <v/>
      </c>
      <c r="AZ409" s="54">
        <f>IF(((W409*pax_cap*IF(B409="South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Korea",korea_mid_revleg,revleg_mid)),0))*VLOOKUP(B409,country_opex,3,FALSE))+Z409+AA409+AB409+AC409+AD409))&lt;=0,"",VLOOKUP(B409,country_opex,7,FALSE)/((W409*pax_cap*IF(B409="South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Korea",korea_mid_revleg,revleg_mid)),0))*VLOOKUP(B409,country_opex,3,FALSE))+Z409+AA409+AB409+AC409+AD409)))</f>
        <v/>
      </c>
      <c r="BA409" s="54">
        <f>IF(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&lt;=0,"",VLOOKUP(B409,country_opex,7,FALSE)/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)</f>
        <v/>
      </c>
      <c r="BB409" s="40" t="inlineStr">
        <is>
          <t>Sandwich Harbour full-day tour ~N$2500-2600 (~$140) per person, 2026 operator pricing (currently predominantly 4x4 access).</t>
        </is>
      </c>
      <c r="BC409" s="40" t="n"/>
      <c r="BD409" s="43" t="n"/>
    </row>
    <row r="410">
      <c r="A410" s="38" t="inlineStr">
        <is>
          <t>Yango Pakistan</t>
        </is>
      </c>
      <c r="B410" s="38" t="inlineStr">
        <is>
          <t>Pakistan</t>
        </is>
      </c>
      <c r="C410" s="39" t="inlineStr">
        <is>
          <t>Karachi Harbour (Native Jetty / Keamari) → Port Grand creek / mangrove backwaters</t>
        </is>
      </c>
      <c r="D410" s="38" t="inlineStr">
        <is>
          <t>yango</t>
        </is>
      </c>
      <c r="E410" s="40" t="inlineStr">
        <is>
          <t>yango-pakistan</t>
        </is>
      </c>
      <c r="F410" s="41" t="n">
        <v>1</v>
      </c>
      <c r="G410" s="42" t="n">
        <v>1</v>
      </c>
      <c r="H410" s="35" t="n">
        <v>18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IF(B410="South Korea",G410/korea_charge_range_nm*korea_full_range_charge_min,0)</f>
        <v/>
      </c>
      <c r="N410" s="44">
        <f>IF(B410="South Korea",L410+korea_turn_min+korea_dwell_min+M410,L410+turn_min+dwell_min)</f>
        <v/>
      </c>
      <c r="O410" s="45">
        <f>IF(B410="South Korea",FLOOR(60*korea_service_hr/N410,1),MIN(15,FLOOR(60*service_hr/N410,1)))</f>
        <v/>
      </c>
      <c r="P410" s="45">
        <f>IF(ABS(MOD(ABS((365*mech_uptime*K410)),1)-0.5)&lt;1E-9,2*ROUND((365*mech_uptime*K410)/2,0),ROUND((365*mech_uptime*K410),0))</f>
        <v/>
      </c>
      <c r="Q410" s="46">
        <f>mech_uptime</f>
        <v/>
      </c>
      <c r="R410" s="46">
        <f>IF(AND(B410="South Korea",scenario="MID"),korea_mid_revleg,revleg_sel)</f>
        <v/>
      </c>
      <c r="S410" s="45">
        <f>IF(ABS(MOD(ABS((O410*P410*R410)),1)-0.5)&lt;1E-9,2*ROUND((O410*P410*R410)/2,0),ROUND((O410*P410*R410),0))</f>
        <v/>
      </c>
      <c r="T410" s="46">
        <f>IF(AND(B410="South Korea",scenario="MID"),korea_mid_load,load_sel)</f>
        <v/>
      </c>
      <c r="U410" s="47">
        <f>pax_cap*T410</f>
        <v/>
      </c>
      <c r="V410" s="45">
        <f>U410*S410</f>
        <v/>
      </c>
      <c r="W410" s="48">
        <f>H410*discount</f>
        <v/>
      </c>
      <c r="X410" s="49">
        <f>W410*V410</f>
        <v/>
      </c>
      <c r="Y410" s="49">
        <f>(battery/range_nm)*G410*S410*VLOOKUP(B410,country_opex,3,FALSE)</f>
        <v/>
      </c>
      <c r="Z410" s="49">
        <f>VLOOKUP(B410,country_opex,2,FALSE)*crew_factor</f>
        <v/>
      </c>
      <c r="AA410" s="49">
        <f>VLOOKUP(B410,country_opex,5,FALSE)</f>
        <v/>
      </c>
      <c r="AB410" s="49">
        <f>maint</f>
        <v/>
      </c>
      <c r="AC410" s="49">
        <f>VLOOKUP(B410,country_opex,7,FALSE)*ins_pct</f>
        <v/>
      </c>
      <c r="AD410" s="49">
        <f>charge_berth</f>
        <v/>
      </c>
      <c r="AE410" s="49">
        <f>Y410+Z410+AA410+AB410+AC410+AD410</f>
        <v/>
      </c>
      <c r="AF410" s="49">
        <f>VLOOKUP(B410,country_opex,7,FALSE)/dep_years</f>
        <v/>
      </c>
      <c r="AG410" s="49">
        <f>X410-AE410</f>
        <v/>
      </c>
      <c r="AH410" s="46">
        <f>IF(X410=0,"",AG410/X410)</f>
        <v/>
      </c>
      <c r="AI410" s="47">
        <f>IF(AG410&lt;=0,"",VLOOKUP(B410,country_opex,7,FALSE)/AG410)</f>
        <v/>
      </c>
      <c r="AJ410" s="44">
        <f>((G410*S410/diesel_nmpg)*diesel_co2pg-(battery/range_nm)*G410*S410*VLOOKUP(B410,country_opex,4,FALSE))/1000</f>
        <v/>
      </c>
      <c r="AK410" s="42" t="n"/>
      <c r="AL410" s="43" t="n"/>
      <c r="AM410" s="43" t="n"/>
      <c r="AN410" s="50" t="n">
        <v>0.1</v>
      </c>
      <c r="AO410" s="45">
        <f>IF(AK410="","",AK410*AN410)</f>
        <v/>
      </c>
      <c r="AP410" s="45">
        <f>IF(OR(AK410="",V410=0),"",MIN(IF(AX410="",9.9E+99,AX410),FLOOR(AO410/V410,1)))</f>
        <v/>
      </c>
      <c r="AQ410" s="49">
        <f>IF(AP410="","",AP410*IF(ABS(MOD(ABS((X410)),1)-0.5)&lt;1E-9,2*ROUND((X410)/2,0),ROUND((X410),0)))</f>
        <v/>
      </c>
      <c r="AR410" s="47">
        <f>IF(OR(AK410="",V410=0),"",MIN(IF(AX410="",9.9E+99,AX410),AO410/V410))</f>
        <v/>
      </c>
      <c r="AS410" s="49">
        <f>IF(AR410="","",AR410*IF(B410="South Korea",IF(ABS(MOD(ABS((X410)),1)-0.5)&lt;1E-9,2*ROUND((X410)/2,0),ROUND((X410),0)),X410))</f>
        <v/>
      </c>
      <c r="AT410" s="51" t="n"/>
      <c r="AU410" s="43" t="inlineStr">
        <is>
          <t>Estimated</t>
        </is>
      </c>
      <c r="AV410" s="52" t="n"/>
      <c r="AW410" s="52" t="n"/>
      <c r="AX410" s="53" t="n"/>
      <c r="AY410" s="54">
        <f>IF(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&lt;=0,"",VLOOKUP(B410,country_opex,7,FALSE)/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)</f>
        <v/>
      </c>
      <c r="AZ410" s="54">
        <f>IF(((W410*pax_cap*IF(B410="South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Korea",korea_mid_revleg,revleg_mid)),0))*VLOOKUP(B410,country_opex,3,FALSE))+Z410+AA410+AB410+AC410+AD410))&lt;=0,"",VLOOKUP(B410,country_opex,7,FALSE)/((W410*pax_cap*IF(B410="South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Korea",korea_mid_revleg,revleg_mid)),0))*VLOOKUP(B410,country_opex,3,FALSE))+Z410+AA410+AB410+AC410+AD410)))</f>
        <v/>
      </c>
      <c r="BA410" s="54">
        <f>IF(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&lt;=0,"",VLOOKUP(B410,country_opex,7,FALSE)/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)</f>
        <v/>
      </c>
      <c r="BB410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C410" s="40" t="n"/>
      <c r="BD410" s="43" t="n"/>
    </row>
    <row r="411">
      <c r="A411" s="38" t="inlineStr">
        <is>
          <t>Yango Pakistan</t>
        </is>
      </c>
      <c r="B411" s="38" t="inlineStr">
        <is>
          <t>Pakistan</t>
        </is>
      </c>
      <c r="C411" s="39" t="inlineStr">
        <is>
          <t>Karachi (Keamari) → Manora</t>
        </is>
      </c>
      <c r="D411" s="38" t="inlineStr">
        <is>
          <t>yango</t>
        </is>
      </c>
      <c r="E411" s="40" t="inlineStr">
        <is>
          <t>yango-pakistan</t>
        </is>
      </c>
      <c r="F411" s="41" t="n">
        <v>1</v>
      </c>
      <c r="G411" s="42" t="n">
        <v>1.5</v>
      </c>
      <c r="H411" s="35" t="n">
        <v>23.2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IF(B411="South Korea",G411/korea_charge_range_nm*korea_full_range_charge_min,0)</f>
        <v/>
      </c>
      <c r="N411" s="44">
        <f>IF(B411="South Korea",L411+korea_turn_min+korea_dwell_min+M411,L411+turn_min+dwell_min)</f>
        <v/>
      </c>
      <c r="O411" s="45">
        <f>IF(B411="South Korea",FLOOR(60*korea_service_hr/N411,1),MIN(24,FLOOR(60*service_hr/N411,1)))</f>
        <v/>
      </c>
      <c r="P411" s="45">
        <f>IF(ABS(MOD(ABS((365*mech_uptime*K411)),1)-0.5)&lt;1E-9,2*ROUND((365*mech_uptime*K411)/2,0),ROUND((365*mech_uptime*K411),0))</f>
        <v/>
      </c>
      <c r="Q411" s="46">
        <f>mech_uptime</f>
        <v/>
      </c>
      <c r="R411" s="46">
        <f>IF(AND(B411="South Korea",scenario="MID"),korea_mid_revleg,revleg_sel)</f>
        <v/>
      </c>
      <c r="S411" s="45">
        <f>IF(ABS(MOD(ABS((O411*P411*R411)),1)-0.5)&lt;1E-9,2*ROUND((O411*P411*R411)/2,0),ROUND((O411*P411*R411),0))</f>
        <v/>
      </c>
      <c r="T411" s="46">
        <f>IF(AND(B411="South Korea",scenario="MID"),korea_mid_load,load_sel)</f>
        <v/>
      </c>
      <c r="U411" s="47">
        <f>pax_cap*T411</f>
        <v/>
      </c>
      <c r="V411" s="45">
        <f>U411*S411</f>
        <v/>
      </c>
      <c r="W411" s="48">
        <f>H411*discount</f>
        <v/>
      </c>
      <c r="X411" s="49">
        <f>W411*V411</f>
        <v/>
      </c>
      <c r="Y411" s="49">
        <f>(battery/range_nm)*G411*S411*VLOOKUP(B411,country_opex,3,FALSE)</f>
        <v/>
      </c>
      <c r="Z411" s="49">
        <f>VLOOKUP(B411,country_opex,2,FALSE)*crew_factor</f>
        <v/>
      </c>
      <c r="AA411" s="49">
        <f>VLOOKUP(B411,country_opex,5,FALSE)</f>
        <v/>
      </c>
      <c r="AB411" s="49">
        <f>maint</f>
        <v/>
      </c>
      <c r="AC411" s="49">
        <f>VLOOKUP(B411,country_opex,7,FALSE)*ins_pct</f>
        <v/>
      </c>
      <c r="AD411" s="49">
        <f>charge_berth</f>
        <v/>
      </c>
      <c r="AE411" s="49">
        <f>Y411+Z411+AA411+AB411+AC411+AD411</f>
        <v/>
      </c>
      <c r="AF411" s="49">
        <f>VLOOKUP(B411,country_opex,7,FALSE)/dep_years</f>
        <v/>
      </c>
      <c r="AG411" s="49">
        <f>X411-AE411</f>
        <v/>
      </c>
      <c r="AH411" s="46">
        <f>IF(X411=0,"",AG411/X411)</f>
        <v/>
      </c>
      <c r="AI411" s="47">
        <f>IF(AG411&lt;=0,"",VLOOKUP(B411,country_opex,7,FALSE)/AG411)</f>
        <v/>
      </c>
      <c r="AJ411" s="44">
        <f>((G411*S411/diesel_nmpg)*diesel_co2pg-(battery/range_nm)*G411*S411*VLOOKUP(B411,country_opex,4,FALSE))/1000</f>
        <v/>
      </c>
      <c r="AK411" s="42" t="n">
        <v>320000</v>
      </c>
      <c r="AL411" s="43" t="n"/>
      <c r="AM411" s="43" t="n"/>
      <c r="AN411" s="50" t="n">
        <v>0.1</v>
      </c>
      <c r="AO411" s="45">
        <f>IF(AK411="","",AK411*AN411)</f>
        <v/>
      </c>
      <c r="AP411" s="45">
        <f>IF(OR(AK411="",V411=0),"",MIN(IF(AX411="",9.9E+99,AX411),FLOOR(AO411/V411,1)))</f>
        <v/>
      </c>
      <c r="AQ411" s="49">
        <f>IF(AP411="","",AP411*IF(ABS(MOD(ABS((X411)),1)-0.5)&lt;1E-9,2*ROUND((X411)/2,0),ROUND((X411),0)))</f>
        <v/>
      </c>
      <c r="AR411" s="47">
        <f>IF(OR(AK411="",V411=0),"",MIN(IF(AX411="",9.9E+99,AX411),AO411/V411))</f>
        <v/>
      </c>
      <c r="AS411" s="49">
        <f>IF(AR411="","",AR411*IF(B411="South Korea",IF(ABS(MOD(ABS((X411)),1)-0.5)&lt;1E-9,2*ROUND((X411)/2,0),ROUND((X411),0)),X411))</f>
        <v/>
      </c>
      <c r="AT411" s="51" t="n"/>
      <c r="AU411" s="43" t="inlineStr">
        <is>
          <t>Grounded</t>
        </is>
      </c>
      <c r="AV411" s="52" t="n"/>
      <c r="AW411" s="52" t="n"/>
      <c r="AX411" s="53" t="n"/>
      <c r="AY411" s="54">
        <f>IF(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&lt;=0,"",VLOOKUP(B411,country_opex,7,FALSE)/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)</f>
        <v/>
      </c>
      <c r="AZ411" s="54">
        <f>IF(((W411*pax_cap*IF(B411="South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Korea",korea_mid_revleg,revleg_mid)),0))*VLOOKUP(B411,country_opex,3,FALSE))+Z411+AA411+AB411+AC411+AD411))&lt;=0,"",VLOOKUP(B411,country_opex,7,FALSE)/((W411*pax_cap*IF(B411="South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Korea",korea_mid_revleg,revleg_mid)),0))*VLOOKUP(B411,country_opex,3,FALSE))+Z411+AA411+AB411+AC411+AD411)))</f>
        <v/>
      </c>
      <c r="BA411" s="54">
        <f>IF(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&lt;=0,"",VLOOKUP(B411,country_opex,7,FALSE)/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)</f>
        <v/>
      </c>
      <c r="BB411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C411" s="40" t="n"/>
      <c r="BD411" s="43" t="inlineStr">
        <is>
          <t>rn-2ce5840c4e2d</t>
        </is>
      </c>
    </row>
    <row r="412">
      <c r="A412" s="38" t="inlineStr">
        <is>
          <t>Yango Pakistan</t>
        </is>
      </c>
      <c r="B412" s="38" t="inlineStr">
        <is>
          <t>Pakistan</t>
        </is>
      </c>
      <c r="C412" s="39" t="inlineStr">
        <is>
          <t>Keamari → Sandspit / Hawksbay</t>
        </is>
      </c>
      <c r="D412" s="38" t="inlineStr">
        <is>
          <t>yango</t>
        </is>
      </c>
      <c r="E412" s="40" t="inlineStr">
        <is>
          <t>yango-pakistan</t>
        </is>
      </c>
      <c r="F412" s="41" t="n">
        <v>1</v>
      </c>
      <c r="G412" s="42" t="n">
        <v>5</v>
      </c>
      <c r="H412" s="35" t="n"/>
      <c r="I412" s="43" t="n"/>
      <c r="J412" s="43" t="n"/>
      <c r="K412" s="29" t="n">
        <v>1</v>
      </c>
      <c r="L412" s="44">
        <f>60*G412/cruise_kt</f>
        <v/>
      </c>
      <c r="M412" s="44">
        <f>IF(B412="South Korea",G412/korea_charge_range_nm*korea_full_range_charge_min,0)</f>
        <v/>
      </c>
      <c r="N412" s="44">
        <f>IF(B412="South Korea",L412+korea_turn_min+korea_dwell_min+M412,L412+turn_min+dwell_min)</f>
        <v/>
      </c>
      <c r="O412" s="45">
        <f>IF(B412="South Korea",FLOOR(60*korea_service_hr/N412,1),MIN(24,FLOOR(60*service_hr/N412,1)))</f>
        <v/>
      </c>
      <c r="P412" s="45">
        <f>IF(ABS(MOD(ABS((365*mech_uptime*K412)),1)-0.5)&lt;1E-9,2*ROUND((365*mech_uptime*K412)/2,0),ROUND((365*mech_uptime*K412),0))</f>
        <v/>
      </c>
      <c r="Q412" s="46">
        <f>mech_uptime</f>
        <v/>
      </c>
      <c r="R412" s="46">
        <f>IF(AND(B412="South Korea",scenario="MID"),korea_mid_revleg,revleg_sel)</f>
        <v/>
      </c>
      <c r="S412" s="45">
        <f>IF(ABS(MOD(ABS((O412*P412*R412)),1)-0.5)&lt;1E-9,2*ROUND((O412*P412*R412)/2,0),ROUND((O412*P412*R412),0))</f>
        <v/>
      </c>
      <c r="T412" s="46">
        <f>IF(AND(B412="South Korea",scenario="MID"),korea_mid_load,load_sel)</f>
        <v/>
      </c>
      <c r="U412" s="47">
        <f>pax_cap*T412</f>
        <v/>
      </c>
      <c r="V412" s="45">
        <f>U412*S412</f>
        <v/>
      </c>
      <c r="W412" s="48">
        <f>H412*discount</f>
        <v/>
      </c>
      <c r="X412" s="49">
        <f>W412*V412</f>
        <v/>
      </c>
      <c r="Y412" s="49">
        <f>(battery/range_nm)*G412*S412*VLOOKUP(B412,country_opex,3,FALSE)</f>
        <v/>
      </c>
      <c r="Z412" s="49">
        <f>VLOOKUP(B412,country_opex,2,FALSE)*crew_factor</f>
        <v/>
      </c>
      <c r="AA412" s="49">
        <f>VLOOKUP(B412,country_opex,5,FALSE)</f>
        <v/>
      </c>
      <c r="AB412" s="49">
        <f>maint</f>
        <v/>
      </c>
      <c r="AC412" s="49">
        <f>VLOOKUP(B412,country_opex,7,FALSE)*ins_pct</f>
        <v/>
      </c>
      <c r="AD412" s="49">
        <f>charge_berth</f>
        <v/>
      </c>
      <c r="AE412" s="49">
        <f>Y412+Z412+AA412+AB412+AC412+AD412</f>
        <v/>
      </c>
      <c r="AF412" s="49">
        <f>VLOOKUP(B412,country_opex,7,FALSE)/dep_years</f>
        <v/>
      </c>
      <c r="AG412" s="49">
        <f>X412-AE412</f>
        <v/>
      </c>
      <c r="AH412" s="46">
        <f>IF(X412=0,"",AG412/X412)</f>
        <v/>
      </c>
      <c r="AI412" s="47">
        <f>IF(AG412&lt;=0,"",VLOOKUP(B412,country_opex,7,FALSE)/AG412)</f>
        <v/>
      </c>
      <c r="AJ412" s="44">
        <f>((G412*S412/diesel_nmpg)*diesel_co2pg-(battery/range_nm)*G412*S412*VLOOKUP(B412,country_opex,4,FALSE))/1000</f>
        <v/>
      </c>
      <c r="AK412" s="42" t="n"/>
      <c r="AL412" s="43" t="n"/>
      <c r="AM412" s="43" t="n"/>
      <c r="AN412" s="50" t="n">
        <v>0.1</v>
      </c>
      <c r="AO412" s="45">
        <f>IF(AK412="","",AK412*AN412)</f>
        <v/>
      </c>
      <c r="AP412" s="45">
        <f>IF(OR(AK412="",V412=0),"",MIN(IF(AX412="",9.9E+99,AX412),FLOOR(AO412/V412,1)))</f>
        <v/>
      </c>
      <c r="AQ412" s="49">
        <f>IF(AP412="","",AP412*IF(ABS(MOD(ABS((X412)),1)-0.5)&lt;1E-9,2*ROUND((X412)/2,0),ROUND((X412),0)))</f>
        <v/>
      </c>
      <c r="AR412" s="47">
        <f>IF(OR(AK412="",V412=0),"",MIN(IF(AX412="",9.9E+99,AX412),AO412/V412))</f>
        <v/>
      </c>
      <c r="AS412" s="49">
        <f>IF(AR412="","",AR412*IF(B412="South Korea",IF(ABS(MOD(ABS((X412)),1)-0.5)&lt;1E-9,2*ROUND((X412)/2,0),ROUND((X412),0)),X412))</f>
        <v/>
      </c>
      <c r="AT412" s="51" t="n"/>
      <c r="AU412" s="43" t="inlineStr">
        <is>
          <t>Estimated</t>
        </is>
      </c>
      <c r="AV412" s="52" t="n"/>
      <c r="AW412" s="52" t="n"/>
      <c r="AX412" s="53" t="n"/>
      <c r="AY412" s="54">
        <f>IF(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&lt;=0,"",VLOOKUP(B412,country_opex,7,FALSE)/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)</f>
        <v/>
      </c>
      <c r="AZ412" s="54">
        <f>IF(((W412*pax_cap*IF(B412="South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Korea",korea_mid_revleg,revleg_mid)),0))*VLOOKUP(B412,country_opex,3,FALSE))+Z412+AA412+AB412+AC412+AD412))&lt;=0,"",VLOOKUP(B412,country_opex,7,FALSE)/((W412*pax_cap*IF(B412="South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Korea",korea_mid_revleg,revleg_mid)),0))*VLOOKUP(B412,country_opex,3,FALSE))+Z412+AA412+AB412+AC412+AD412)))</f>
        <v/>
      </c>
      <c r="BA412" s="54">
        <f>IF(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&lt;=0,"",VLOOKUP(B412,country_opex,7,FALSE)/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)</f>
        <v/>
      </c>
      <c r="BB412" s="40" t="n"/>
      <c r="BC412" s="40" t="n"/>
      <c r="BD412" s="43" t="inlineStr">
        <is>
          <t>rn-08bcf42dc684</t>
        </is>
      </c>
    </row>
    <row r="413">
      <c r="A413" s="38" t="inlineStr">
        <is>
          <t>Yango Pakistan</t>
        </is>
      </c>
      <c r="B413" s="38" t="inlineStr">
        <is>
          <t>Pakistan</t>
        </is>
      </c>
      <c r="C413" s="39" t="inlineStr">
        <is>
          <t>Clifton / Sea View → DHA Phase 8 Creek (Marina Club / HMR Waterfront)</t>
        </is>
      </c>
      <c r="D413" s="38" t="inlineStr">
        <is>
          <t>yango</t>
        </is>
      </c>
      <c r="E413" s="40" t="inlineStr">
        <is>
          <t>yango-pakistan</t>
        </is>
      </c>
      <c r="F413" s="41" t="n">
        <v>1</v>
      </c>
      <c r="G413" s="42" t="n">
        <v>6</v>
      </c>
      <c r="H413" s="35" t="n"/>
      <c r="I413" s="43" t="n"/>
      <c r="J413" s="43" t="n"/>
      <c r="K413" s="29" t="n">
        <v>1</v>
      </c>
      <c r="L413" s="44">
        <f>60*G413/cruise_kt</f>
        <v/>
      </c>
      <c r="M413" s="44">
        <f>IF(B413="South Korea",G413/korea_charge_range_nm*korea_full_range_charge_min,0)</f>
        <v/>
      </c>
      <c r="N413" s="44">
        <f>IF(B413="South Korea",L413+korea_turn_min+korea_dwell_min+M413,L413+turn_min+dwell_min)</f>
        <v/>
      </c>
      <c r="O413" s="45">
        <f>IF(B413="South Korea",FLOOR(60*korea_service_hr/N413,1),MIN(24,FLOOR(60*service_hr/N413,1)))</f>
        <v/>
      </c>
      <c r="P413" s="45">
        <f>IF(ABS(MOD(ABS((365*mech_uptime*K413)),1)-0.5)&lt;1E-9,2*ROUND((365*mech_uptime*K413)/2,0),ROUND((365*mech_uptime*K413),0))</f>
        <v/>
      </c>
      <c r="Q413" s="46">
        <f>mech_uptime</f>
        <v/>
      </c>
      <c r="R413" s="46">
        <f>IF(AND(B413="South Korea",scenario="MID"),korea_mid_revleg,revleg_sel)</f>
        <v/>
      </c>
      <c r="S413" s="45">
        <f>IF(ABS(MOD(ABS((O413*P413*R413)),1)-0.5)&lt;1E-9,2*ROUND((O413*P413*R413)/2,0),ROUND((O413*P413*R413),0))</f>
        <v/>
      </c>
      <c r="T413" s="46">
        <f>IF(AND(B413="South Korea",scenario="MID"),korea_mid_load,load_sel)</f>
        <v/>
      </c>
      <c r="U413" s="47">
        <f>pax_cap*T413</f>
        <v/>
      </c>
      <c r="V413" s="45">
        <f>U413*S413</f>
        <v/>
      </c>
      <c r="W413" s="48">
        <f>H413*discount</f>
        <v/>
      </c>
      <c r="X413" s="49">
        <f>W413*V413</f>
        <v/>
      </c>
      <c r="Y413" s="49">
        <f>(battery/range_nm)*G413*S413*VLOOKUP(B413,country_opex,3,FALSE)</f>
        <v/>
      </c>
      <c r="Z413" s="49">
        <f>VLOOKUP(B413,country_opex,2,FALSE)*crew_factor</f>
        <v/>
      </c>
      <c r="AA413" s="49">
        <f>VLOOKUP(B413,country_opex,5,FALSE)</f>
        <v/>
      </c>
      <c r="AB413" s="49">
        <f>maint</f>
        <v/>
      </c>
      <c r="AC413" s="49">
        <f>VLOOKUP(B413,country_opex,7,FALSE)*ins_pct</f>
        <v/>
      </c>
      <c r="AD413" s="49">
        <f>charge_berth</f>
        <v/>
      </c>
      <c r="AE413" s="49">
        <f>Y413+Z413+AA413+AB413+AC413+AD413</f>
        <v/>
      </c>
      <c r="AF413" s="49">
        <f>VLOOKUP(B413,country_opex,7,FALSE)/dep_years</f>
        <v/>
      </c>
      <c r="AG413" s="49">
        <f>X413-AE413</f>
        <v/>
      </c>
      <c r="AH413" s="46">
        <f>IF(X413=0,"",AG413/X413)</f>
        <v/>
      </c>
      <c r="AI413" s="47">
        <f>IF(AG413&lt;=0,"",VLOOKUP(B413,country_opex,7,FALSE)/AG413)</f>
        <v/>
      </c>
      <c r="AJ413" s="44">
        <f>((G413*S413/diesel_nmpg)*diesel_co2pg-(battery/range_nm)*G413*S413*VLOOKUP(B413,country_opex,4,FALSE))/1000</f>
        <v/>
      </c>
      <c r="AK413" s="42" t="n"/>
      <c r="AL413" s="43" t="n"/>
      <c r="AM413" s="43" t="n"/>
      <c r="AN413" s="50" t="n">
        <v>0.1</v>
      </c>
      <c r="AO413" s="45">
        <f>IF(AK413="","",AK413*AN413)</f>
        <v/>
      </c>
      <c r="AP413" s="45">
        <f>IF(OR(AK413="",V413=0),"",MIN(IF(AX413="",9.9E+99,AX413),FLOOR(AO413/V413,1)))</f>
        <v/>
      </c>
      <c r="AQ413" s="49">
        <f>IF(AP413="","",AP413*IF(ABS(MOD(ABS((X413)),1)-0.5)&lt;1E-9,2*ROUND((X413)/2,0),ROUND((X413),0)))</f>
        <v/>
      </c>
      <c r="AR413" s="47">
        <f>IF(OR(AK413="",V413=0),"",MIN(IF(AX413="",9.9E+99,AX413),AO413/V413))</f>
        <v/>
      </c>
      <c r="AS413" s="49">
        <f>IF(AR413="","",AR413*IF(B413="South Korea",IF(ABS(MOD(ABS((X413)),1)-0.5)&lt;1E-9,2*ROUND((X413)/2,0),ROUND((X413),0)),X413))</f>
        <v/>
      </c>
      <c r="AT413" s="51" t="n"/>
      <c r="AU413" s="43" t="inlineStr">
        <is>
          <t>Estimated</t>
        </is>
      </c>
      <c r="AV413" s="52" t="n"/>
      <c r="AW413" s="52" t="n"/>
      <c r="AX413" s="53" t="n"/>
      <c r="AY413" s="54">
        <f>IF(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&lt;=0,"",VLOOKUP(B413,country_opex,7,FALSE)/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)</f>
        <v/>
      </c>
      <c r="AZ413" s="54">
        <f>IF(((W413*pax_cap*IF(B413="South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Korea",korea_mid_revleg,revleg_mid)),0))*VLOOKUP(B413,country_opex,3,FALSE))+Z413+AA413+AB413+AC413+AD413))&lt;=0,"",VLOOKUP(B413,country_opex,7,FALSE)/((W413*pax_cap*IF(B413="South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Korea",korea_mid_revleg,revleg_mid)),0))*VLOOKUP(B413,country_opex,3,FALSE))+Z413+AA413+AB413+AC413+AD413)))</f>
        <v/>
      </c>
      <c r="BA413" s="54">
        <f>IF(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&lt;=0,"",VLOOKUP(B413,country_opex,7,FALSE)/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)</f>
        <v/>
      </c>
      <c r="BB413" s="40" t="n"/>
      <c r="BC413" s="40" t="n"/>
      <c r="BD413" s="43" t="n"/>
    </row>
    <row r="414">
      <c r="A414" s="38" t="inlineStr">
        <is>
          <t>Yango Pakistan</t>
        </is>
      </c>
      <c r="B414" s="38" t="inlineStr">
        <is>
          <t>Pakistan</t>
        </is>
      </c>
      <c r="C414" s="39" t="inlineStr">
        <is>
          <t>Karachi Port (KPT) → Port Qasim</t>
        </is>
      </c>
      <c r="D414" s="38" t="inlineStr">
        <is>
          <t>yango</t>
        </is>
      </c>
      <c r="E414" s="40" t="inlineStr">
        <is>
          <t>yango-pakistan</t>
        </is>
      </c>
      <c r="F414" s="41" t="n">
        <v>1</v>
      </c>
      <c r="G414" s="42" t="n">
        <v>22</v>
      </c>
      <c r="H414" s="35" t="n"/>
      <c r="I414" s="43" t="n"/>
      <c r="J414" s="43" t="n"/>
      <c r="K414" s="29" t="n">
        <v>1</v>
      </c>
      <c r="L414" s="44">
        <f>60*G414/cruise_kt</f>
        <v/>
      </c>
      <c r="M414" s="44">
        <f>IF(B414="South Korea",G414/korea_charge_range_nm*korea_full_range_charge_min,0)</f>
        <v/>
      </c>
      <c r="N414" s="44">
        <f>IF(B414="South Korea",L414+korea_turn_min+korea_dwell_min+M414,L414+turn_min+dwell_min)</f>
        <v/>
      </c>
      <c r="O414" s="45">
        <f>IF(B414="South Korea",FLOOR(60*korea_service_hr/N414,1),MIN(24,FLOOR(60*service_hr/N414,1)))</f>
        <v/>
      </c>
      <c r="P414" s="45">
        <f>IF(ABS(MOD(ABS((365*mech_uptime*K414)),1)-0.5)&lt;1E-9,2*ROUND((365*mech_uptime*K414)/2,0),ROUND((365*mech_uptime*K414),0))</f>
        <v/>
      </c>
      <c r="Q414" s="46">
        <f>mech_uptime</f>
        <v/>
      </c>
      <c r="R414" s="46">
        <f>IF(AND(B414="South Korea",scenario="MID"),korea_mid_revleg,revleg_sel)</f>
        <v/>
      </c>
      <c r="S414" s="45">
        <f>IF(ABS(MOD(ABS((O414*P414*R414)),1)-0.5)&lt;1E-9,2*ROUND((O414*P414*R414)/2,0),ROUND((O414*P414*R414),0))</f>
        <v/>
      </c>
      <c r="T414" s="46">
        <f>IF(AND(B414="South Korea",scenario="MID"),korea_mid_load,load_sel)</f>
        <v/>
      </c>
      <c r="U414" s="47">
        <f>pax_cap*T414</f>
        <v/>
      </c>
      <c r="V414" s="45">
        <f>U414*S414</f>
        <v/>
      </c>
      <c r="W414" s="48">
        <f>H414*discount</f>
        <v/>
      </c>
      <c r="X414" s="49">
        <f>W414*V414</f>
        <v/>
      </c>
      <c r="Y414" s="49">
        <f>(battery/range_nm)*G414*S414*VLOOKUP(B414,country_opex,3,FALSE)</f>
        <v/>
      </c>
      <c r="Z414" s="49">
        <f>VLOOKUP(B414,country_opex,2,FALSE)*crew_factor</f>
        <v/>
      </c>
      <c r="AA414" s="49">
        <f>VLOOKUP(B414,country_opex,5,FALSE)</f>
        <v/>
      </c>
      <c r="AB414" s="49">
        <f>maint</f>
        <v/>
      </c>
      <c r="AC414" s="49">
        <f>VLOOKUP(B414,country_opex,7,FALSE)*ins_pct</f>
        <v/>
      </c>
      <c r="AD414" s="49">
        <f>charge_berth</f>
        <v/>
      </c>
      <c r="AE414" s="49">
        <f>Y414+Z414+AA414+AB414+AC414+AD414</f>
        <v/>
      </c>
      <c r="AF414" s="49">
        <f>VLOOKUP(B414,country_opex,7,FALSE)/dep_years</f>
        <v/>
      </c>
      <c r="AG414" s="49">
        <f>X414-AE414</f>
        <v/>
      </c>
      <c r="AH414" s="46">
        <f>IF(X414=0,"",AG414/X414)</f>
        <v/>
      </c>
      <c r="AI414" s="47">
        <f>IF(AG414&lt;=0,"",VLOOKUP(B414,country_opex,7,FALSE)/AG414)</f>
        <v/>
      </c>
      <c r="AJ414" s="44">
        <f>((G414*S414/diesel_nmpg)*diesel_co2pg-(battery/range_nm)*G414*S414*VLOOKUP(B414,country_opex,4,FALSE))/1000</f>
        <v/>
      </c>
      <c r="AK414" s="42" t="n"/>
      <c r="AL414" s="43" t="n"/>
      <c r="AM414" s="43" t="n"/>
      <c r="AN414" s="50" t="n">
        <v>0.1</v>
      </c>
      <c r="AO414" s="45">
        <f>IF(AK414="","",AK414*AN414)</f>
        <v/>
      </c>
      <c r="AP414" s="45">
        <f>IF(OR(AK414="",V414=0),"",MIN(IF(AX414="",9.9E+99,AX414),FLOOR(AO414/V414,1)))</f>
        <v/>
      </c>
      <c r="AQ414" s="49">
        <f>IF(AP414="","",AP414*IF(ABS(MOD(ABS((X414)),1)-0.5)&lt;1E-9,2*ROUND((X414)/2,0),ROUND((X414),0)))</f>
        <v/>
      </c>
      <c r="AR414" s="47">
        <f>IF(OR(AK414="",V414=0),"",MIN(IF(AX414="",9.9E+99,AX414),AO414/V414))</f>
        <v/>
      </c>
      <c r="AS414" s="49">
        <f>IF(AR414="","",AR414*IF(B414="South Korea",IF(ABS(MOD(ABS((X414)),1)-0.5)&lt;1E-9,2*ROUND((X414)/2,0),ROUND((X414),0)),X414))</f>
        <v/>
      </c>
      <c r="AT414" s="51" t="n"/>
      <c r="AU414" s="43" t="inlineStr">
        <is>
          <t>Estimated</t>
        </is>
      </c>
      <c r="AV414" s="52" t="n"/>
      <c r="AW414" s="52" t="n"/>
      <c r="AX414" s="53" t="n"/>
      <c r="AY414" s="54">
        <f>IF(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&lt;=0,"",VLOOKUP(B414,country_opex,7,FALSE)/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)</f>
        <v/>
      </c>
      <c r="AZ414" s="54">
        <f>IF(((W414*pax_cap*IF(B414="South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Korea",korea_mid_revleg,revleg_mid)),0))*VLOOKUP(B414,country_opex,3,FALSE))+Z414+AA414+AB414+AC414+AD414))&lt;=0,"",VLOOKUP(B414,country_opex,7,FALSE)/((W414*pax_cap*IF(B414="South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Korea",korea_mid_revleg,revleg_mid)),0))*VLOOKUP(B414,country_opex,3,FALSE))+Z414+AA414+AB414+AC414+AD414)))</f>
        <v/>
      </c>
      <c r="BA414" s="54">
        <f>IF(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&lt;=0,"",VLOOKUP(B414,country_opex,7,FALSE)/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)</f>
        <v/>
      </c>
      <c r="BB414" s="40" t="n"/>
      <c r="BC414" s="40" t="n"/>
      <c r="BD414" s="43" t="n"/>
    </row>
    <row r="415">
      <c r="A415" s="38" t="inlineStr">
        <is>
          <t>Yango Pakistan</t>
        </is>
      </c>
      <c r="B415" s="38" t="inlineStr">
        <is>
          <t>Pakistan</t>
        </is>
      </c>
      <c r="C415" s="39" t="inlineStr">
        <is>
          <t>Karachi (Mubarak Village / Keamari) → Churna Island</t>
        </is>
      </c>
      <c r="D415" s="38" t="inlineStr">
        <is>
          <t>yango</t>
        </is>
      </c>
      <c r="E415" s="40" t="inlineStr">
        <is>
          <t>yango-pakistan</t>
        </is>
      </c>
      <c r="F415" s="41" t="n">
        <v>1</v>
      </c>
      <c r="G415" s="42" t="n">
        <v>26</v>
      </c>
      <c r="H415" s="35" t="n">
        <v>25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IF(B415="South Korea",G415/korea_charge_range_nm*korea_full_range_charge_min,0)</f>
        <v/>
      </c>
      <c r="N415" s="44">
        <f>IF(B415="South Korea",L415+korea_turn_min+korea_dwell_min+M415,L415+turn_min+dwell_min)</f>
        <v/>
      </c>
      <c r="O415" s="45">
        <f>IF(B415="South Korea",FLOOR(60*korea_service_hr/N415,1),MIN(15,FLOOR(60*service_hr/N415,1)))</f>
        <v/>
      </c>
      <c r="P415" s="45">
        <f>IF(ABS(MOD(ABS((365*mech_uptime*K415)),1)-0.5)&lt;1E-9,2*ROUND((365*mech_uptime*K415)/2,0),ROUND((365*mech_uptime*K415),0))</f>
        <v/>
      </c>
      <c r="Q415" s="46">
        <f>mech_uptime</f>
        <v/>
      </c>
      <c r="R415" s="46">
        <f>IF(AND(B415="South Korea",scenario="MID"),korea_mid_revleg,revleg_sel)</f>
        <v/>
      </c>
      <c r="S415" s="45">
        <f>IF(ABS(MOD(ABS((O415*P415*R415)),1)-0.5)&lt;1E-9,2*ROUND((O415*P415*R415)/2,0),ROUND((O415*P415*R415),0))</f>
        <v/>
      </c>
      <c r="T415" s="46">
        <f>IF(AND(B415="South Korea",scenario="MID"),korea_mid_load,load_sel)</f>
        <v/>
      </c>
      <c r="U415" s="47">
        <f>pax_cap*T415</f>
        <v/>
      </c>
      <c r="V415" s="45">
        <f>U415*S415</f>
        <v/>
      </c>
      <c r="W415" s="48">
        <f>H415*discount</f>
        <v/>
      </c>
      <c r="X415" s="49">
        <f>W415*V415</f>
        <v/>
      </c>
      <c r="Y415" s="49">
        <f>(battery/range_nm)*G415*S415*VLOOKUP(B415,country_opex,3,FALSE)</f>
        <v/>
      </c>
      <c r="Z415" s="49">
        <f>VLOOKUP(B415,country_opex,2,FALSE)*crew_factor</f>
        <v/>
      </c>
      <c r="AA415" s="49">
        <f>VLOOKUP(B415,country_opex,5,FALSE)</f>
        <v/>
      </c>
      <c r="AB415" s="49">
        <f>maint</f>
        <v/>
      </c>
      <c r="AC415" s="49">
        <f>VLOOKUP(B415,country_opex,7,FALSE)*ins_pct</f>
        <v/>
      </c>
      <c r="AD415" s="49">
        <f>charge_berth</f>
        <v/>
      </c>
      <c r="AE415" s="49">
        <f>Y415+Z415+AA415+AB415+AC415+AD415</f>
        <v/>
      </c>
      <c r="AF415" s="49">
        <f>VLOOKUP(B415,country_opex,7,FALSE)/dep_years</f>
        <v/>
      </c>
      <c r="AG415" s="49">
        <f>X415-AE415</f>
        <v/>
      </c>
      <c r="AH415" s="46">
        <f>IF(X415=0,"",AG415/X415)</f>
        <v/>
      </c>
      <c r="AI415" s="47">
        <f>IF(AG415&lt;=0,"",VLOOKUP(B415,country_opex,7,FALSE)/AG415)</f>
        <v/>
      </c>
      <c r="AJ415" s="44">
        <f>((G415*S415/diesel_nmpg)*diesel_co2pg-(battery/range_nm)*G415*S415*VLOOKUP(B415,country_opex,4,FALSE))/1000</f>
        <v/>
      </c>
      <c r="AK415" s="42" t="n"/>
      <c r="AL415" s="43" t="n"/>
      <c r="AM415" s="43" t="n"/>
      <c r="AN415" s="50" t="n">
        <v>0.1</v>
      </c>
      <c r="AO415" s="45">
        <f>IF(AK415="","",AK415*AN415)</f>
        <v/>
      </c>
      <c r="AP415" s="45">
        <f>IF(OR(AK415="",V415=0),"",MIN(IF(AX415="",9.9E+99,AX415),FLOOR(AO415/V415,1)))</f>
        <v/>
      </c>
      <c r="AQ415" s="49">
        <f>IF(AP415="","",AP415*IF(ABS(MOD(ABS((X415)),1)-0.5)&lt;1E-9,2*ROUND((X415)/2,0),ROUND((X415),0)))</f>
        <v/>
      </c>
      <c r="AR415" s="47">
        <f>IF(OR(AK415="",V415=0),"",MIN(IF(AX415="",9.9E+99,AX415),AO415/V415))</f>
        <v/>
      </c>
      <c r="AS415" s="49">
        <f>IF(AR415="","",AR415*IF(B415="South Korea",IF(ABS(MOD(ABS((X415)),1)-0.5)&lt;1E-9,2*ROUND((X415)/2,0),ROUND((X415),0)),X415))</f>
        <v/>
      </c>
      <c r="AT415" s="51" t="n"/>
      <c r="AU415" s="43" t="inlineStr">
        <is>
          <t>Estimated</t>
        </is>
      </c>
      <c r="AV415" s="52" t="n"/>
      <c r="AW415" s="52" t="n"/>
      <c r="AX415" s="53" t="n"/>
      <c r="AY415" s="54">
        <f>IF(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&lt;=0,"",VLOOKUP(B415,country_opex,7,FALSE)/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)</f>
        <v/>
      </c>
      <c r="AZ415" s="54">
        <f>IF(((W415*pax_cap*IF(B415="South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Korea",korea_mid_revleg,revleg_mid)),0))*VLOOKUP(B415,country_opex,3,FALSE))+Z415+AA415+AB415+AC415+AD415))&lt;=0,"",VLOOKUP(B415,country_opex,7,FALSE)/((W415*pax_cap*IF(B415="South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Korea",korea_mid_revleg,revleg_mid)),0))*VLOOKUP(B415,country_opex,3,FALSE))+Z415+AA415+AB415+AC415+AD415)))</f>
        <v/>
      </c>
      <c r="BA415" s="54">
        <f>IF(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&lt;=0,"",VLOOKUP(B415,country_opex,7,FALSE)/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)</f>
        <v/>
      </c>
      <c r="BB415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C415" s="40" t="n"/>
      <c r="BD415" s="43" t="inlineStr">
        <is>
          <t>rn-a2dec8230818</t>
        </is>
      </c>
    </row>
    <row r="416">
      <c r="A416" s="38" t="inlineStr">
        <is>
          <t>Yango Peru</t>
        </is>
      </c>
      <c r="B416" s="38" t="inlineStr">
        <is>
          <t>Peru</t>
        </is>
      </c>
      <c r="C416" s="39" t="inlineStr">
        <is>
          <t>La Punta → Isla San Lorenzo</t>
        </is>
      </c>
      <c r="D416" s="38" t="inlineStr">
        <is>
          <t>yango</t>
        </is>
      </c>
      <c r="E416" s="40" t="inlineStr">
        <is>
          <t>yango-peru</t>
        </is>
      </c>
      <c r="F416" s="41" t="n">
        <v>1</v>
      </c>
      <c r="G416" s="42" t="n">
        <v>4</v>
      </c>
      <c r="H416" s="35" t="n">
        <v>30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IF(B416="South Korea",G416/korea_charge_range_nm*korea_full_range_charge_min,0)</f>
        <v/>
      </c>
      <c r="N416" s="44">
        <f>IF(B416="South Korea",L416+korea_turn_min+korea_dwell_min+M416,L416+turn_min+dwell_min)</f>
        <v/>
      </c>
      <c r="O416" s="45">
        <f>IF(B416="South Korea",FLOOR(60*korea_service_hr/N416,1),MIN(15,FLOOR(60*service_hr/N416,1)))</f>
        <v/>
      </c>
      <c r="P416" s="45">
        <f>IF(ABS(MOD(ABS((365*mech_uptime*K416)),1)-0.5)&lt;1E-9,2*ROUND((365*mech_uptime*K416)/2,0),ROUND((365*mech_uptime*K416),0))</f>
        <v/>
      </c>
      <c r="Q416" s="46">
        <f>mech_uptime</f>
        <v/>
      </c>
      <c r="R416" s="46">
        <f>IF(AND(B416="South Korea",scenario="MID"),korea_mid_revleg,revleg_sel)</f>
        <v/>
      </c>
      <c r="S416" s="45">
        <f>IF(ABS(MOD(ABS((O416*P416*R416)),1)-0.5)&lt;1E-9,2*ROUND((O416*P416*R416)/2,0),ROUND((O416*P416*R416),0))</f>
        <v/>
      </c>
      <c r="T416" s="46">
        <f>IF(AND(B416="South Korea",scenario="MID"),korea_mid_load,load_sel)</f>
        <v/>
      </c>
      <c r="U416" s="47">
        <f>pax_cap*T416</f>
        <v/>
      </c>
      <c r="V416" s="45">
        <f>U416*S416</f>
        <v/>
      </c>
      <c r="W416" s="48">
        <f>H416*discount</f>
        <v/>
      </c>
      <c r="X416" s="49">
        <f>W416*V416</f>
        <v/>
      </c>
      <c r="Y416" s="49">
        <f>(battery/range_nm)*G416*S416*VLOOKUP(B416,country_opex,3,FALSE)</f>
        <v/>
      </c>
      <c r="Z416" s="49">
        <f>VLOOKUP(B416,country_opex,2,FALSE)*crew_factor</f>
        <v/>
      </c>
      <c r="AA416" s="49">
        <f>VLOOKUP(B416,country_opex,5,FALSE)</f>
        <v/>
      </c>
      <c r="AB416" s="49">
        <f>maint</f>
        <v/>
      </c>
      <c r="AC416" s="49">
        <f>VLOOKUP(B416,country_opex,7,FALSE)*ins_pct</f>
        <v/>
      </c>
      <c r="AD416" s="49">
        <f>charge_berth</f>
        <v/>
      </c>
      <c r="AE416" s="49">
        <f>Y416+Z416+AA416+AB416+AC416+AD416</f>
        <v/>
      </c>
      <c r="AF416" s="49">
        <f>VLOOKUP(B416,country_opex,7,FALSE)/dep_years</f>
        <v/>
      </c>
      <c r="AG416" s="49">
        <f>X416-AE416</f>
        <v/>
      </c>
      <c r="AH416" s="46">
        <f>IF(X416=0,"",AG416/X416)</f>
        <v/>
      </c>
      <c r="AI416" s="47">
        <f>IF(AG416&lt;=0,"",VLOOKUP(B416,country_opex,7,FALSE)/AG416)</f>
        <v/>
      </c>
      <c r="AJ416" s="44">
        <f>((G416*S416/diesel_nmpg)*diesel_co2pg-(battery/range_nm)*G416*S416*VLOOKUP(B416,country_opex,4,FALSE))/1000</f>
        <v/>
      </c>
      <c r="AK416" s="42" t="n">
        <v>2000</v>
      </c>
      <c r="AL416" s="43" t="n"/>
      <c r="AM416" s="43" t="inlineStr">
        <is>
          <t>low</t>
        </is>
      </c>
      <c r="AN416" s="50" t="n">
        <v>0.25</v>
      </c>
      <c r="AO416" s="45">
        <f>IF(AK416="","",AK416*AN416)</f>
        <v/>
      </c>
      <c r="AP416" s="45">
        <f>IF(OR(AK416="",V416=0),"",MIN(IF(AX416="",9.9E+99,AX416),FLOOR(AO416/V416,1)))</f>
        <v/>
      </c>
      <c r="AQ416" s="49">
        <f>IF(AP416="","",AP416*IF(ABS(MOD(ABS((X416)),1)-0.5)&lt;1E-9,2*ROUND((X416)/2,0),ROUND((X416),0)))</f>
        <v/>
      </c>
      <c r="AR416" s="47">
        <f>IF(OR(AK416="",V416=0),"",MIN(IF(AX416="",9.9E+99,AX416),AO416/V416))</f>
        <v/>
      </c>
      <c r="AS416" s="49">
        <f>IF(AR416="","",AR416*IF(B416="South Korea",IF(ABS(MOD(ABS((X416)),1)-0.5)&lt;1E-9,2*ROUND((X416)/2,0),ROUND((X416),0)),X416))</f>
        <v/>
      </c>
      <c r="AT416" s="51" t="n"/>
      <c r="AU416" s="43" t="inlineStr">
        <is>
          <t>Estimated</t>
        </is>
      </c>
      <c r="AV416" s="52" t="n"/>
      <c r="AW416" s="52" t="n"/>
      <c r="AX416" s="53" t="n"/>
      <c r="AY416" s="54">
        <f>IF(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&lt;=0,"",VLOOKUP(B416,country_opex,7,FALSE)/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)</f>
        <v/>
      </c>
      <c r="AZ416" s="54">
        <f>IF(((W416*pax_cap*IF(B416="South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Korea",korea_mid_revleg,revleg_mid)),0))*VLOOKUP(B416,country_opex,3,FALSE))+Z416+AA416+AB416+AC416+AD416))&lt;=0,"",VLOOKUP(B416,country_opex,7,FALSE)/((W416*pax_cap*IF(B416="South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Korea",korea_mid_revleg,revleg_mid)),0))*VLOOKUP(B416,country_opex,3,FALSE))+Z416+AA416+AB416+AC416+AD416)))</f>
        <v/>
      </c>
      <c r="BA416" s="54">
        <f>IF(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&lt;=0,"",VLOOKUP(B416,country_opex,7,FALSE)/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)</f>
        <v/>
      </c>
      <c r="BB416" s="40" t="inlineStr">
        <is>
          <t>PREMIUM tier: Callao islands boat tour segment (San Lorenzo / El Fronton) ~ S/90-120 ~ $30 comparable per-seat.</t>
        </is>
      </c>
      <c r="BC416" s="40" t="n"/>
      <c r="BD416" s="43" t="n"/>
    </row>
    <row r="417">
      <c r="A417" s="38" t="inlineStr">
        <is>
          <t>Yango Peru</t>
        </is>
      </c>
      <c r="B417" s="38" t="inlineStr">
        <is>
          <t>Peru</t>
        </is>
      </c>
      <c r="C417" s="39" t="inlineStr">
        <is>
          <t>Callao / La Punta → Palomino Islands</t>
        </is>
      </c>
      <c r="D417" s="38" t="inlineStr">
        <is>
          <t>yango</t>
        </is>
      </c>
      <c r="E417" s="40" t="inlineStr">
        <is>
          <t>yango-peru</t>
        </is>
      </c>
      <c r="F417" s="41" t="n">
        <v>1</v>
      </c>
      <c r="G417" s="42" t="n">
        <v>8</v>
      </c>
      <c r="H417" s="35" t="n">
        <v>40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IF(B417="South Korea",G417/korea_charge_range_nm*korea_full_range_charge_min,0)</f>
        <v/>
      </c>
      <c r="N417" s="44">
        <f>IF(B417="South Korea",L417+korea_turn_min+korea_dwell_min+M417,L417+turn_min+dwell_min)</f>
        <v/>
      </c>
      <c r="O417" s="45">
        <f>IF(B417="South Korea",FLOOR(60*korea_service_hr/N417,1),MIN(15,FLOOR(60*service_hr/N417,1)))</f>
        <v/>
      </c>
      <c r="P417" s="45">
        <f>IF(ABS(MOD(ABS((365*mech_uptime*K417)),1)-0.5)&lt;1E-9,2*ROUND((365*mech_uptime*K417)/2,0),ROUND((365*mech_uptime*K417),0))</f>
        <v/>
      </c>
      <c r="Q417" s="46">
        <f>mech_uptime</f>
        <v/>
      </c>
      <c r="R417" s="46">
        <f>IF(AND(B417="South Korea",scenario="MID"),korea_mid_revleg,revleg_sel)</f>
        <v/>
      </c>
      <c r="S417" s="45">
        <f>IF(ABS(MOD(ABS((O417*P417*R417)),1)-0.5)&lt;1E-9,2*ROUND((O417*P417*R417)/2,0),ROUND((O417*P417*R417),0))</f>
        <v/>
      </c>
      <c r="T417" s="46">
        <f>IF(AND(B417="South Korea",scenario="MID"),korea_mid_load,load_sel)</f>
        <v/>
      </c>
      <c r="U417" s="47">
        <f>pax_cap*T417</f>
        <v/>
      </c>
      <c r="V417" s="45">
        <f>U417*S417</f>
        <v/>
      </c>
      <c r="W417" s="48">
        <f>H417*discount</f>
        <v/>
      </c>
      <c r="X417" s="49">
        <f>W417*V417</f>
        <v/>
      </c>
      <c r="Y417" s="49">
        <f>(battery/range_nm)*G417*S417*VLOOKUP(B417,country_opex,3,FALSE)</f>
        <v/>
      </c>
      <c r="Z417" s="49">
        <f>VLOOKUP(B417,country_opex,2,FALSE)*crew_factor</f>
        <v/>
      </c>
      <c r="AA417" s="49">
        <f>VLOOKUP(B417,country_opex,5,FALSE)</f>
        <v/>
      </c>
      <c r="AB417" s="49">
        <f>maint</f>
        <v/>
      </c>
      <c r="AC417" s="49">
        <f>VLOOKUP(B417,country_opex,7,FALSE)*ins_pct</f>
        <v/>
      </c>
      <c r="AD417" s="49">
        <f>charge_berth</f>
        <v/>
      </c>
      <c r="AE417" s="49">
        <f>Y417+Z417+AA417+AB417+AC417+AD417</f>
        <v/>
      </c>
      <c r="AF417" s="49">
        <f>VLOOKUP(B417,country_opex,7,FALSE)/dep_years</f>
        <v/>
      </c>
      <c r="AG417" s="49">
        <f>X417-AE417</f>
        <v/>
      </c>
      <c r="AH417" s="46">
        <f>IF(X417=0,"",AG417/X417)</f>
        <v/>
      </c>
      <c r="AI417" s="47">
        <f>IF(AG417&lt;=0,"",VLOOKUP(B417,country_opex,7,FALSE)/AG417)</f>
        <v/>
      </c>
      <c r="AJ417" s="44">
        <f>((G417*S417/diesel_nmpg)*diesel_co2pg-(battery/range_nm)*G417*S417*VLOOKUP(B417,country_opex,4,FALSE))/1000</f>
        <v/>
      </c>
      <c r="AK417" s="42" t="n">
        <v>5000</v>
      </c>
      <c r="AL417" s="43" t="n"/>
      <c r="AM417" s="43" t="inlineStr">
        <is>
          <t>med</t>
        </is>
      </c>
      <c r="AN417" s="50" t="n">
        <v>0.25</v>
      </c>
      <c r="AO417" s="45">
        <f>IF(AK417="","",AK417*AN417)</f>
        <v/>
      </c>
      <c r="AP417" s="45">
        <f>IF(OR(AK417="",V417=0),"",MIN(IF(AX417="",9.9E+99,AX417),FLOOR(AO417/V417,1)))</f>
        <v/>
      </c>
      <c r="AQ417" s="49">
        <f>IF(AP417="","",AP417*IF(ABS(MOD(ABS((X417)),1)-0.5)&lt;1E-9,2*ROUND((X417)/2,0),ROUND((X417),0)))</f>
        <v/>
      </c>
      <c r="AR417" s="47">
        <f>IF(OR(AK417="",V417=0),"",MIN(IF(AX417="",9.9E+99,AX417),AO417/V417))</f>
        <v/>
      </c>
      <c r="AS417" s="49">
        <f>IF(AR417="","",AR417*IF(B417="South Korea",IF(ABS(MOD(ABS((X417)),1)-0.5)&lt;1E-9,2*ROUND((X417)/2,0),ROUND((X417),0)),X417))</f>
        <v/>
      </c>
      <c r="AT417" s="51" t="n"/>
      <c r="AU417" s="43" t="inlineStr">
        <is>
          <t>Estimated</t>
        </is>
      </c>
      <c r="AV417" s="52" t="n"/>
      <c r="AW417" s="52" t="n"/>
      <c r="AX417" s="53" t="n"/>
      <c r="AY417" s="54">
        <f>IF(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&lt;=0,"",VLOOKUP(B417,country_opex,7,FALSE)/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)</f>
        <v/>
      </c>
      <c r="AZ417" s="54">
        <f>IF(((W417*pax_cap*IF(B417="South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Korea",korea_mid_revleg,revleg_mid)),0))*VLOOKUP(B417,country_opex,3,FALSE))+Z417+AA417+AB417+AC417+AD417))&lt;=0,"",VLOOKUP(B417,country_opex,7,FALSE)/((W417*pax_cap*IF(B417="South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Korea",korea_mid_revleg,revleg_mid)),0))*VLOOKUP(B417,country_opex,3,FALSE))+Z417+AA417+AB417+AC417+AD417)))</f>
        <v/>
      </c>
      <c r="BA417" s="54">
        <f>IF(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&lt;=0,"",VLOOKUP(B417,country_opex,7,FALSE)/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)</f>
        <v/>
      </c>
      <c r="BB417" s="40" t="inlineStr">
        <is>
          <t>PREMIUM tier: Palomino Islands sea-lion swim tour 120 soles ~ $40 (Machupicchu Terra / operators, 2026). Reserve entry S/11 ~ $4.</t>
        </is>
      </c>
      <c r="BC417" s="40" t="n"/>
      <c r="BD417" s="43" t="n"/>
    </row>
    <row r="418">
      <c r="A418" s="38" t="inlineStr">
        <is>
          <t>Yango Peru</t>
        </is>
      </c>
      <c r="B418" s="38" t="inlineStr">
        <is>
          <t>Peru</t>
        </is>
      </c>
      <c r="C418" s="39" t="inlineStr">
        <is>
          <t>Costa Verde (Chorrillos) → Callao / La Punta</t>
        </is>
      </c>
      <c r="D418" s="38" t="inlineStr">
        <is>
          <t>yango</t>
        </is>
      </c>
      <c r="E418" s="40" t="inlineStr">
        <is>
          <t>yango-peru</t>
        </is>
      </c>
      <c r="F418" s="41" t="n">
        <v>1</v>
      </c>
      <c r="G418" s="42" t="n">
        <v>9</v>
      </c>
      <c r="H418" s="35" t="n">
        <v>12</v>
      </c>
      <c r="I418" s="43" t="inlineStr">
        <is>
          <t>T2</t>
        </is>
      </c>
      <c r="J418" s="43" t="inlineStr">
        <is>
          <t>low</t>
        </is>
      </c>
      <c r="K418" s="29" t="n">
        <v>1</v>
      </c>
      <c r="L418" s="44">
        <f>60*G418/cruise_kt</f>
        <v/>
      </c>
      <c r="M418" s="44">
        <f>IF(B418="South Korea",G418/korea_charge_range_nm*korea_full_range_charge_min,0)</f>
        <v/>
      </c>
      <c r="N418" s="44">
        <f>IF(B418="South Korea",L418+korea_turn_min+korea_dwell_min+M418,L418+turn_min+dwell_min)</f>
        <v/>
      </c>
      <c r="O418" s="45">
        <f>IF(B418="South Korea",FLOOR(60*korea_service_hr/N418,1),MIN(24,FLOOR(60*service_hr/N418,1)))</f>
        <v/>
      </c>
      <c r="P418" s="45">
        <f>IF(ABS(MOD(ABS((365*mech_uptime*K418)),1)-0.5)&lt;1E-9,2*ROUND((365*mech_uptime*K418)/2,0),ROUND((365*mech_uptime*K418),0))</f>
        <v/>
      </c>
      <c r="Q418" s="46">
        <f>mech_uptime</f>
        <v/>
      </c>
      <c r="R418" s="46">
        <f>IF(AND(B418="South Korea",scenario="MID"),korea_mid_revleg,revleg_sel)</f>
        <v/>
      </c>
      <c r="S418" s="45">
        <f>IF(ABS(MOD(ABS((O418*P418*R418)),1)-0.5)&lt;1E-9,2*ROUND((O418*P418*R418)/2,0),ROUND((O418*P418*R418),0))</f>
        <v/>
      </c>
      <c r="T418" s="46">
        <f>IF(AND(B418="South Korea",scenario="MID"),korea_mid_load,load_sel)</f>
        <v/>
      </c>
      <c r="U418" s="47">
        <f>pax_cap*T418</f>
        <v/>
      </c>
      <c r="V418" s="45">
        <f>U418*S418</f>
        <v/>
      </c>
      <c r="W418" s="48">
        <f>H418*discount</f>
        <v/>
      </c>
      <c r="X418" s="49">
        <f>W418*V418</f>
        <v/>
      </c>
      <c r="Y418" s="49">
        <f>(battery/range_nm)*G418*S418*VLOOKUP(B418,country_opex,3,FALSE)</f>
        <v/>
      </c>
      <c r="Z418" s="49">
        <f>VLOOKUP(B418,country_opex,2,FALSE)*crew_factor</f>
        <v/>
      </c>
      <c r="AA418" s="49">
        <f>VLOOKUP(B418,country_opex,5,FALSE)</f>
        <v/>
      </c>
      <c r="AB418" s="49">
        <f>maint</f>
        <v/>
      </c>
      <c r="AC418" s="49">
        <f>VLOOKUP(B418,country_opex,7,FALSE)*ins_pct</f>
        <v/>
      </c>
      <c r="AD418" s="49">
        <f>charge_berth</f>
        <v/>
      </c>
      <c r="AE418" s="49">
        <f>Y418+Z418+AA418+AB418+AC418+AD418</f>
        <v/>
      </c>
      <c r="AF418" s="49">
        <f>VLOOKUP(B418,country_opex,7,FALSE)/dep_years</f>
        <v/>
      </c>
      <c r="AG418" s="49">
        <f>X418-AE418</f>
        <v/>
      </c>
      <c r="AH418" s="46">
        <f>IF(X418=0,"",AG418/X418)</f>
        <v/>
      </c>
      <c r="AI418" s="47">
        <f>IF(AG418&lt;=0,"",VLOOKUP(B418,country_opex,7,FALSE)/AG418)</f>
        <v/>
      </c>
      <c r="AJ418" s="44">
        <f>((G418*S418/diesel_nmpg)*diesel_co2pg-(battery/range_nm)*G418*S418*VLOOKUP(B418,country_opex,4,FALSE))/1000</f>
        <v/>
      </c>
      <c r="AK418" s="42" t="n">
        <v>6000</v>
      </c>
      <c r="AL418" s="43" t="n"/>
      <c r="AM418" s="43" t="inlineStr">
        <is>
          <t>low</t>
        </is>
      </c>
      <c r="AN418" s="50" t="n">
        <v>0.25</v>
      </c>
      <c r="AO418" s="45">
        <f>IF(AK418="","",AK418*AN418)</f>
        <v/>
      </c>
      <c r="AP418" s="45">
        <f>IF(OR(AK418="",V418=0),"",MIN(IF(AX418="",9.9E+99,AX418),FLOOR(AO418/V418,1)))</f>
        <v/>
      </c>
      <c r="AQ418" s="49">
        <f>IF(AP418="","",AP418*IF(ABS(MOD(ABS((X418)),1)-0.5)&lt;1E-9,2*ROUND((X418)/2,0),ROUND((X418),0)))</f>
        <v/>
      </c>
      <c r="AR418" s="47">
        <f>IF(OR(AK418="",V418=0),"",MIN(IF(AX418="",9.9E+99,AX418),AO418/V418))</f>
        <v/>
      </c>
      <c r="AS418" s="49">
        <f>IF(AR418="","",AR418*IF(B418="South Korea",IF(ABS(MOD(ABS((X418)),1)-0.5)&lt;1E-9,2*ROUND((X418)/2,0),ROUND((X418),0)),X418))</f>
        <v/>
      </c>
      <c r="AT418" s="51" t="n"/>
      <c r="AU418" s="43" t="inlineStr">
        <is>
          <t>Estimated</t>
        </is>
      </c>
      <c r="AV418" s="52" t="n"/>
      <c r="AW418" s="52" t="n"/>
      <c r="AX418" s="53" t="n"/>
      <c r="AY418" s="54">
        <f>IF(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&lt;=0,"",VLOOKUP(B418,country_opex,7,FALSE)/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)</f>
        <v/>
      </c>
      <c r="AZ418" s="54">
        <f>IF(((W418*pax_cap*IF(B418="South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Korea",korea_mid_revleg,revleg_mid)),0))*VLOOKUP(B418,country_opex,3,FALSE))+Z418+AA418+AB418+AC418+AD418))&lt;=0,"",VLOOKUP(B418,country_opex,7,FALSE)/((W418*pax_cap*IF(B418="South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Korea",korea_mid_revleg,revleg_mid)),0))*VLOOKUP(B418,country_opex,3,FALSE))+Z418+AA418+AB418+AC418+AD418)))</f>
        <v/>
      </c>
      <c r="BA418" s="54">
        <f>IF(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&lt;=0,"",VLOOKUP(B418,country_opex,7,FALSE)/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)</f>
        <v/>
      </c>
      <c r="BB418" s="40" t="inlineStr">
        <is>
          <t>No scheduled water-commute exists today (greenfield harbour run). Comparable = Lima premium leisure harbour transfer ~$12; commuter floor = Lima urban transit fare S/2.0 ~ $0.55.</t>
        </is>
      </c>
      <c r="BC418" s="40" t="n"/>
      <c r="BD418" s="43" t="n"/>
    </row>
    <row r="419">
      <c r="A419" s="38" t="inlineStr">
        <is>
          <t>Yango Peru</t>
        </is>
      </c>
      <c r="B419" s="38" t="inlineStr">
        <is>
          <t>Peru</t>
        </is>
      </c>
      <c r="C419" s="39" t="inlineStr">
        <is>
          <t>Paracas (El Chaco) → Ballestas Islands</t>
        </is>
      </c>
      <c r="D419" s="38" t="inlineStr">
        <is>
          <t>yango</t>
        </is>
      </c>
      <c r="E419" s="40" t="inlineStr">
        <is>
          <t>yango-peru</t>
        </is>
      </c>
      <c r="F419" s="41" t="n">
        <v>1</v>
      </c>
      <c r="G419" s="42" t="n">
        <v>9</v>
      </c>
      <c r="H419" s="35" t="n">
        <v>15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IF(B419="South Korea",G419/korea_charge_range_nm*korea_full_range_charge_min,0)</f>
        <v/>
      </c>
      <c r="N419" s="44">
        <f>IF(B419="South Korea",L419+korea_turn_min+korea_dwell_min+M419,L419+turn_min+dwell_min)</f>
        <v/>
      </c>
      <c r="O419" s="45">
        <f>IF(B419="South Korea",FLOOR(60*korea_service_hr/N419,1),MIN(15,FLOOR(60*service_hr/N419,1)))</f>
        <v/>
      </c>
      <c r="P419" s="45">
        <f>IF(ABS(MOD(ABS((365*mech_uptime*K419)),1)-0.5)&lt;1E-9,2*ROUND((365*mech_uptime*K419)/2,0),ROUND((365*mech_uptime*K419),0))</f>
        <v/>
      </c>
      <c r="Q419" s="46">
        <f>mech_uptime</f>
        <v/>
      </c>
      <c r="R419" s="46">
        <f>IF(AND(B419="South Korea",scenario="MID"),korea_mid_revleg,revleg_sel)</f>
        <v/>
      </c>
      <c r="S419" s="45">
        <f>IF(ABS(MOD(ABS((O419*P419*R419)),1)-0.5)&lt;1E-9,2*ROUND((O419*P419*R419)/2,0),ROUND((O419*P419*R419),0))</f>
        <v/>
      </c>
      <c r="T419" s="46">
        <f>IF(AND(B419="South Korea",scenario="MID"),korea_mid_load,load_sel)</f>
        <v/>
      </c>
      <c r="U419" s="47">
        <f>pax_cap*T419</f>
        <v/>
      </c>
      <c r="V419" s="45">
        <f>U419*S419</f>
        <v/>
      </c>
      <c r="W419" s="48">
        <f>H419*discount</f>
        <v/>
      </c>
      <c r="X419" s="49">
        <f>W419*V419</f>
        <v/>
      </c>
      <c r="Y419" s="49">
        <f>(battery/range_nm)*G419*S419*VLOOKUP(B419,country_opex,3,FALSE)</f>
        <v/>
      </c>
      <c r="Z419" s="49">
        <f>VLOOKUP(B419,country_opex,2,FALSE)*crew_factor</f>
        <v/>
      </c>
      <c r="AA419" s="49">
        <f>VLOOKUP(B419,country_opex,5,FALSE)</f>
        <v/>
      </c>
      <c r="AB419" s="49">
        <f>maint</f>
        <v/>
      </c>
      <c r="AC419" s="49">
        <f>VLOOKUP(B419,country_opex,7,FALSE)*ins_pct</f>
        <v/>
      </c>
      <c r="AD419" s="49">
        <f>charge_berth</f>
        <v/>
      </c>
      <c r="AE419" s="49">
        <f>Y419+Z419+AA419+AB419+AC419+AD419</f>
        <v/>
      </c>
      <c r="AF419" s="49">
        <f>VLOOKUP(B419,country_opex,7,FALSE)/dep_years</f>
        <v/>
      </c>
      <c r="AG419" s="49">
        <f>X419-AE419</f>
        <v/>
      </c>
      <c r="AH419" s="46">
        <f>IF(X419=0,"",AG419/X419)</f>
        <v/>
      </c>
      <c r="AI419" s="47">
        <f>IF(AG419&lt;=0,"",VLOOKUP(B419,country_opex,7,FALSE)/AG419)</f>
        <v/>
      </c>
      <c r="AJ419" s="44">
        <f>((G419*S419/diesel_nmpg)*diesel_co2pg-(battery/range_nm)*G419*S419*VLOOKUP(B419,country_opex,4,FALSE))/1000</f>
        <v/>
      </c>
      <c r="AK419" s="42" t="n">
        <v>15000</v>
      </c>
      <c r="AL419" s="43" t="n"/>
      <c r="AM419" s="43" t="inlineStr">
        <is>
          <t>med</t>
        </is>
      </c>
      <c r="AN419" s="50" t="n">
        <v>0.25</v>
      </c>
      <c r="AO419" s="45">
        <f>IF(AK419="","",AK419*AN419)</f>
        <v/>
      </c>
      <c r="AP419" s="45">
        <f>IF(OR(AK419="",V419=0),"",MIN(IF(AX419="",9.9E+99,AX419),FLOOR(AO419/V419,1)))</f>
        <v/>
      </c>
      <c r="AQ419" s="49">
        <f>IF(AP419="","",AP419*IF(ABS(MOD(ABS((X419)),1)-0.5)&lt;1E-9,2*ROUND((X419)/2,0),ROUND((X419),0)))</f>
        <v/>
      </c>
      <c r="AR419" s="47">
        <f>IF(OR(AK419="",V419=0),"",MIN(IF(AX419="",9.9E+99,AX419),AO419/V419))</f>
        <v/>
      </c>
      <c r="AS419" s="49">
        <f>IF(AR419="","",AR419*IF(B419="South Korea",IF(ABS(MOD(ABS((X419)),1)-0.5)&lt;1E-9,2*ROUND((X419)/2,0),ROUND((X419),0)),X419))</f>
        <v/>
      </c>
      <c r="AT419" s="51" t="n"/>
      <c r="AU419" s="43" t="inlineStr">
        <is>
          <t>Estimated</t>
        </is>
      </c>
      <c r="AV419" s="52" t="n"/>
      <c r="AW419" s="52" t="n"/>
      <c r="AX419" s="53" t="n"/>
      <c r="AY419" s="54">
        <f>IF(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&lt;=0,"",VLOOKUP(B419,country_opex,7,FALSE)/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)</f>
        <v/>
      </c>
      <c r="AZ419" s="54">
        <f>IF(((W419*pax_cap*IF(B419="South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Korea",korea_mid_revleg,revleg_mid)),0))*VLOOKUP(B419,country_opex,3,FALSE))+Z419+AA419+AB419+AC419+AD419))&lt;=0,"",VLOOKUP(B419,country_opex,7,FALSE)/((W419*pax_cap*IF(B419="South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Korea",korea_mid_revleg,revleg_mid)),0))*VLOOKUP(B419,country_opex,3,FALSE))+Z419+AA419+AB419+AC419+AD419)))</f>
        <v/>
      </c>
      <c r="BA419" s="54">
        <f>IF(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&lt;=0,"",VLOOKUP(B419,country_opex,7,FALSE)/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)</f>
        <v/>
      </c>
      <c r="BB419" s="40" t="inlineStr">
        <is>
          <t>PREMIUM tier: Islas Ballestas 2hr boat tour $13-15 (Paracas Explorer / operators, 2026); + Paracas National Reserve entry S/11 ~ $3.</t>
        </is>
      </c>
      <c r="BC419" s="40" t="n"/>
      <c r="BD419" s="43" t="n"/>
    </row>
    <row r="420">
      <c r="A420" s="38" t="inlineStr">
        <is>
          <t>Philippines</t>
        </is>
      </c>
      <c r="B420" s="38" t="inlineStr">
        <is>
          <t>Philippines</t>
        </is>
      </c>
      <c r="C420" s="39" t="inlineStr">
        <is>
          <t>Caticlan Jetty (Tabipan) → Boracay (Cagban Jetty)</t>
        </is>
      </c>
      <c r="D420" s="38" t="inlineStr">
        <is>
          <t>grab</t>
        </is>
      </c>
      <c r="E420" s="40" t="inlineStr">
        <is>
          <t>philippines</t>
        </is>
      </c>
      <c r="F420" s="41" t="n">
        <v>1</v>
      </c>
      <c r="G420" s="42" t="n">
        <v>0.9</v>
      </c>
      <c r="H420" s="35" t="n">
        <v>15</v>
      </c>
      <c r="I420" s="43" t="inlineStr">
        <is>
          <t>T3</t>
        </is>
      </c>
      <c r="J420" s="43" t="inlineStr">
        <is>
          <t>high</t>
        </is>
      </c>
      <c r="K420" s="29" t="n">
        <v>1</v>
      </c>
      <c r="L420" s="44">
        <f>60*G420/cruise_kt</f>
        <v/>
      </c>
      <c r="M420" s="44">
        <f>IF(B420="South Korea",G420/korea_charge_range_nm*korea_full_range_charge_min,0)</f>
        <v/>
      </c>
      <c r="N420" s="44">
        <f>IF(B420="South Korea",L420+korea_turn_min+korea_dwell_min+M420,L420+turn_min+dwell_min)</f>
        <v/>
      </c>
      <c r="O420" s="45">
        <f>IF(B420="South Korea",FLOOR(60*korea_service_hr/N420,1),MIN(15,FLOOR(60*service_hr/N420,1)))</f>
        <v/>
      </c>
      <c r="P420" s="45">
        <f>IF(ABS(MOD(ABS((365*mech_uptime*K420)),1)-0.5)&lt;1E-9,2*ROUND((365*mech_uptime*K420)/2,0),ROUND((365*mech_uptime*K420),0))</f>
        <v/>
      </c>
      <c r="Q420" s="46">
        <f>mech_uptime</f>
        <v/>
      </c>
      <c r="R420" s="46">
        <f>IF(AND(B420="South Korea",scenario="MID"),korea_mid_revleg,revleg_sel)</f>
        <v/>
      </c>
      <c r="S420" s="45">
        <f>IF(ABS(MOD(ABS((O420*P420*R420)),1)-0.5)&lt;1E-9,2*ROUND((O420*P420*R420)/2,0),ROUND((O420*P420*R420),0))</f>
        <v/>
      </c>
      <c r="T420" s="46">
        <f>IF(AND(B420="South Korea",scenario="MID"),korea_mid_load,load_sel)</f>
        <v/>
      </c>
      <c r="U420" s="47">
        <f>pax_cap*T420</f>
        <v/>
      </c>
      <c r="V420" s="45">
        <f>U420*S420</f>
        <v/>
      </c>
      <c r="W420" s="48">
        <f>H420*discount</f>
        <v/>
      </c>
      <c r="X420" s="49">
        <f>W420*V420</f>
        <v/>
      </c>
      <c r="Y420" s="49">
        <f>(battery/range_nm)*G420*S420*VLOOKUP(B420,country_opex,3,FALSE)</f>
        <v/>
      </c>
      <c r="Z420" s="49">
        <f>VLOOKUP(B420,country_opex,2,FALSE)*crew_factor</f>
        <v/>
      </c>
      <c r="AA420" s="49">
        <f>VLOOKUP(B420,country_opex,5,FALSE)</f>
        <v/>
      </c>
      <c r="AB420" s="49">
        <f>maint</f>
        <v/>
      </c>
      <c r="AC420" s="49">
        <f>VLOOKUP(B420,country_opex,7,FALSE)*ins_pct</f>
        <v/>
      </c>
      <c r="AD420" s="49">
        <f>charge_berth</f>
        <v/>
      </c>
      <c r="AE420" s="49">
        <f>Y420+Z420+AA420+AB420+AC420+AD420</f>
        <v/>
      </c>
      <c r="AF420" s="49">
        <f>VLOOKUP(B420,country_opex,7,FALSE)/dep_years</f>
        <v/>
      </c>
      <c r="AG420" s="49">
        <f>X420-AE420</f>
        <v/>
      </c>
      <c r="AH420" s="46">
        <f>IF(X420=0,"",AG420/X420)</f>
        <v/>
      </c>
      <c r="AI420" s="47">
        <f>IF(AG420&lt;=0,"",VLOOKUP(B420,country_opex,7,FALSE)/AG420)</f>
        <v/>
      </c>
      <c r="AJ420" s="44">
        <f>((G420*S420/diesel_nmpg)*diesel_co2pg-(battery/range_nm)*G420*S420*VLOOKUP(B420,country_opex,4,FALSE))/1000</f>
        <v/>
      </c>
      <c r="AK420" s="42" t="n">
        <v>4000000</v>
      </c>
      <c r="AL420" s="43" t="inlineStr">
        <is>
          <t>T2</t>
        </is>
      </c>
      <c r="AM420" s="43" t="inlineStr">
        <is>
          <t>high</t>
        </is>
      </c>
      <c r="AN420" s="50" t="n">
        <v>0.1</v>
      </c>
      <c r="AO420" s="45">
        <f>IF(AK420="","",AK420*AN420)</f>
        <v/>
      </c>
      <c r="AP420" s="45">
        <f>IF(OR(AK420="",V420=0),"",MIN(IF(AX420="",9.9E+99,AX420),FLOOR(AO420/V420,1)))</f>
        <v/>
      </c>
      <c r="AQ420" s="49">
        <f>IF(AP420="","",AP420*IF(ABS(MOD(ABS((X420)),1)-0.5)&lt;1E-9,2*ROUND((X420)/2,0),ROUND((X420),0)))</f>
        <v/>
      </c>
      <c r="AR420" s="47">
        <f>IF(OR(AK420="",V420=0),"",MIN(IF(AX420="",9.9E+99,AX420),AO420/V420))</f>
        <v/>
      </c>
      <c r="AS420" s="49">
        <f>IF(AR420="","",AR420*IF(B420="South Korea",IF(ABS(MOD(ABS((X420)),1)-0.5)&lt;1E-9,2*ROUND((X420)/2,0),ROUND((X420),0)),X420))</f>
        <v/>
      </c>
      <c r="AT420" s="51" t="n"/>
      <c r="AU420" s="43" t="inlineStr">
        <is>
          <t>Grounded</t>
        </is>
      </c>
      <c r="AV420" s="52" t="n"/>
      <c r="AW420" s="52" t="n"/>
      <c r="AX420" s="53" t="n"/>
      <c r="AY420" s="54">
        <f>IF(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&lt;=0,"",VLOOKUP(B420,country_opex,7,FALSE)/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)</f>
        <v/>
      </c>
      <c r="AZ420" s="54">
        <f>IF(((W420*pax_cap*IF(B420="South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Korea",korea_mid_revleg,revleg_mid)),0))*VLOOKUP(B420,country_opex,3,FALSE))+Z420+AA420+AB420+AC420+AD420))&lt;=0,"",VLOOKUP(B420,country_opex,7,FALSE)/((W420*pax_cap*IF(B420="South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Korea",korea_mid_revleg,revleg_mid)),0))*VLOOKUP(B420,country_opex,3,FALSE))+Z420+AA420+AB420+AC420+AD420)))</f>
        <v/>
      </c>
      <c r="BA420" s="54">
        <f>IF(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&lt;=0,"",VLOOKUP(B420,country_opex,7,FALSE)/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)</f>
        <v/>
      </c>
      <c r="BB420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C420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  <c r="BD420" s="43" t="n"/>
    </row>
    <row r="421">
      <c r="A421" s="38" t="inlineStr">
        <is>
          <t>Philippines</t>
        </is>
      </c>
      <c r="B421" s="38" t="inlineStr">
        <is>
          <t>Philippines</t>
        </is>
      </c>
      <c r="C421" s="39" t="inlineStr">
        <is>
          <t>Boracay (Cagban) → Carabao Island (Lanas Beach)</t>
        </is>
      </c>
      <c r="D421" s="38" t="inlineStr">
        <is>
          <t>grab</t>
        </is>
      </c>
      <c r="E421" s="40" t="inlineStr">
        <is>
          <t>philippines</t>
        </is>
      </c>
      <c r="F421" s="41" t="n">
        <v>1</v>
      </c>
      <c r="G421" s="42" t="n">
        <v>5.5</v>
      </c>
      <c r="H421" s="35" t="n">
        <v>11</v>
      </c>
      <c r="I421" s="43" t="inlineStr">
        <is>
          <t>T3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IF(B421="South Korea",G421/korea_charge_range_nm*korea_full_range_charge_min,0)</f>
        <v/>
      </c>
      <c r="N421" s="44">
        <f>IF(B421="South Korea",L421+korea_turn_min+korea_dwell_min+M421,L421+turn_min+dwell_min)</f>
        <v/>
      </c>
      <c r="O421" s="45">
        <f>IF(B421="South Korea",FLOOR(60*korea_service_hr/N421,1),MIN(15,FLOOR(60*service_hr/N421,1)))</f>
        <v/>
      </c>
      <c r="P421" s="45">
        <f>IF(ABS(MOD(ABS((365*mech_uptime*K421)),1)-0.5)&lt;1E-9,2*ROUND((365*mech_uptime*K421)/2,0),ROUND((365*mech_uptime*K421),0))</f>
        <v/>
      </c>
      <c r="Q421" s="46">
        <f>mech_uptime</f>
        <v/>
      </c>
      <c r="R421" s="46">
        <f>IF(AND(B421="South Korea",scenario="MID"),korea_mid_revleg,revleg_sel)</f>
        <v/>
      </c>
      <c r="S421" s="45">
        <f>IF(ABS(MOD(ABS((O421*P421*R421)),1)-0.5)&lt;1E-9,2*ROUND((O421*P421*R421)/2,0),ROUND((O421*P421*R421),0))</f>
        <v/>
      </c>
      <c r="T421" s="46">
        <f>IF(AND(B421="South Korea",scenario="MID"),korea_mid_load,load_sel)</f>
        <v/>
      </c>
      <c r="U421" s="47">
        <f>pax_cap*T421</f>
        <v/>
      </c>
      <c r="V421" s="45">
        <f>U421*S421</f>
        <v/>
      </c>
      <c r="W421" s="48">
        <f>H421*discount</f>
        <v/>
      </c>
      <c r="X421" s="49">
        <f>W421*V421</f>
        <v/>
      </c>
      <c r="Y421" s="49">
        <f>(battery/range_nm)*G421*S421*VLOOKUP(B421,country_opex,3,FALSE)</f>
        <v/>
      </c>
      <c r="Z421" s="49">
        <f>VLOOKUP(B421,country_opex,2,FALSE)*crew_factor</f>
        <v/>
      </c>
      <c r="AA421" s="49">
        <f>VLOOKUP(B421,country_opex,5,FALSE)</f>
        <v/>
      </c>
      <c r="AB421" s="49">
        <f>maint</f>
        <v/>
      </c>
      <c r="AC421" s="49">
        <f>VLOOKUP(B421,country_opex,7,FALSE)*ins_pct</f>
        <v/>
      </c>
      <c r="AD421" s="49">
        <f>charge_berth</f>
        <v/>
      </c>
      <c r="AE421" s="49">
        <f>Y421+Z421+AA421+AB421+AC421+AD421</f>
        <v/>
      </c>
      <c r="AF421" s="49">
        <f>VLOOKUP(B421,country_opex,7,FALSE)/dep_years</f>
        <v/>
      </c>
      <c r="AG421" s="49">
        <f>X421-AE421</f>
        <v/>
      </c>
      <c r="AH421" s="46">
        <f>IF(X421=0,"",AG421/X421)</f>
        <v/>
      </c>
      <c r="AI421" s="47">
        <f>IF(AG421&lt;=0,"",VLOOKUP(B421,country_opex,7,FALSE)/AG421)</f>
        <v/>
      </c>
      <c r="AJ421" s="44">
        <f>((G421*S421/diesel_nmpg)*diesel_co2pg-(battery/range_nm)*G421*S421*VLOOKUP(B421,country_opex,4,FALSE))/1000</f>
        <v/>
      </c>
      <c r="AK421" s="42" t="n">
        <v>60000</v>
      </c>
      <c r="AL421" s="43" t="inlineStr">
        <is>
          <t>T5</t>
        </is>
      </c>
      <c r="AM421" s="43" t="inlineStr">
        <is>
          <t>low</t>
        </is>
      </c>
      <c r="AN421" s="50" t="n">
        <v>0.1</v>
      </c>
      <c r="AO421" s="45">
        <f>IF(AK421="","",AK421*AN421)</f>
        <v/>
      </c>
      <c r="AP421" s="45">
        <f>IF(OR(AK421="",V421=0),"",MIN(IF(AX421="",9.9E+99,AX421),FLOOR(AO421/V421,1)))</f>
        <v/>
      </c>
      <c r="AQ421" s="49">
        <f>IF(AP421="","",AP421*IF(ABS(MOD(ABS((X421)),1)-0.5)&lt;1E-9,2*ROUND((X421)/2,0),ROUND((X421),0)))</f>
        <v/>
      </c>
      <c r="AR421" s="47">
        <f>IF(OR(AK421="",V421=0),"",MIN(IF(AX421="",9.9E+99,AX421),AO421/V421))</f>
        <v/>
      </c>
      <c r="AS421" s="49">
        <f>IF(AR421="","",AR421*IF(B421="South Korea",IF(ABS(MOD(ABS((X421)),1)-0.5)&lt;1E-9,2*ROUND((X421)/2,0),ROUND((X421),0)),X421))</f>
        <v/>
      </c>
      <c r="AT421" s="51" t="n"/>
      <c r="AU421" s="43" t="inlineStr">
        <is>
          <t>Grounded</t>
        </is>
      </c>
      <c r="AV421" s="52" t="n"/>
      <c r="AW421" s="52" t="n"/>
      <c r="AX421" s="53" t="n"/>
      <c r="AY421" s="54">
        <f>IF(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&lt;=0,"",VLOOKUP(B421,country_opex,7,FALSE)/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)</f>
        <v/>
      </c>
      <c r="AZ421" s="54">
        <f>IF(((W421*pax_cap*IF(B421="South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Korea",korea_mid_revleg,revleg_mid)),0))*VLOOKUP(B421,country_opex,3,FALSE))+Z421+AA421+AB421+AC421+AD421))&lt;=0,"",VLOOKUP(B421,country_opex,7,FALSE)/((W421*pax_cap*IF(B421="South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Korea",korea_mid_revleg,revleg_mid)),0))*VLOOKUP(B421,country_opex,3,FALSE))+Z421+AA421+AB421+AC421+AD421)))</f>
        <v/>
      </c>
      <c r="BA421" s="54">
        <f>IF(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&lt;=0,"",VLOOKUP(B421,country_opex,7,FALSE)/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)</f>
        <v/>
      </c>
      <c r="BB421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C421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  <c r="BD421" s="43" t="n"/>
    </row>
    <row r="422">
      <c r="A422" s="38" t="inlineStr">
        <is>
          <t>Philippines</t>
        </is>
      </c>
      <c r="B422" s="38" t="inlineStr">
        <is>
          <t>Philippines</t>
        </is>
      </c>
      <c r="C422" s="39" t="inlineStr">
        <is>
          <t>Boracay (White Beach) → Boracay island-hop loop (Puka / Crocodile Is.)</t>
        </is>
      </c>
      <c r="D422" s="38" t="inlineStr">
        <is>
          <t>grab</t>
        </is>
      </c>
      <c r="E422" s="40" t="inlineStr">
        <is>
          <t>philippines</t>
        </is>
      </c>
      <c r="F422" s="41" t="n">
        <v>1</v>
      </c>
      <c r="G422" s="42" t="n">
        <v>6</v>
      </c>
      <c r="H422" s="35" t="n">
        <v>23</v>
      </c>
      <c r="I422" s="43" t="inlineStr">
        <is>
          <t>T3</t>
        </is>
      </c>
      <c r="J422" s="43" t="inlineStr">
        <is>
          <t>med-high</t>
        </is>
      </c>
      <c r="K422" s="29" t="n">
        <v>1</v>
      </c>
      <c r="L422" s="44">
        <f>60*G422/cruise_kt</f>
        <v/>
      </c>
      <c r="M422" s="44">
        <f>IF(B422="South Korea",G422/korea_charge_range_nm*korea_full_range_charge_min,0)</f>
        <v/>
      </c>
      <c r="N422" s="44">
        <f>IF(B422="South Korea",L422+korea_turn_min+korea_dwell_min+M422,L422+turn_min+dwell_min)</f>
        <v/>
      </c>
      <c r="O422" s="45">
        <f>IF(B422="South Korea",FLOOR(60*korea_service_hr/N422,1),MIN(15,FLOOR(60*service_hr/N422,1)))</f>
        <v/>
      </c>
      <c r="P422" s="45">
        <f>IF(ABS(MOD(ABS((365*mech_uptime*K422)),1)-0.5)&lt;1E-9,2*ROUND((365*mech_uptime*K422)/2,0),ROUND((365*mech_uptime*K422),0))</f>
        <v/>
      </c>
      <c r="Q422" s="46">
        <f>mech_uptime</f>
        <v/>
      </c>
      <c r="R422" s="46">
        <f>IF(AND(B422="South Korea",scenario="MID"),korea_mid_revleg,revleg_sel)</f>
        <v/>
      </c>
      <c r="S422" s="45">
        <f>IF(ABS(MOD(ABS((O422*P422*R422)),1)-0.5)&lt;1E-9,2*ROUND((O422*P422*R422)/2,0),ROUND((O422*P422*R422),0))</f>
        <v/>
      </c>
      <c r="T422" s="46">
        <f>IF(AND(B422="South Korea",scenario="MID"),korea_mid_load,load_sel)</f>
        <v/>
      </c>
      <c r="U422" s="47">
        <f>pax_cap*T422</f>
        <v/>
      </c>
      <c r="V422" s="45">
        <f>U422*S422</f>
        <v/>
      </c>
      <c r="W422" s="48">
        <f>H422*discount</f>
        <v/>
      </c>
      <c r="X422" s="49">
        <f>W422*V422</f>
        <v/>
      </c>
      <c r="Y422" s="49">
        <f>(battery/range_nm)*G422*S422*VLOOKUP(B422,country_opex,3,FALSE)</f>
        <v/>
      </c>
      <c r="Z422" s="49">
        <f>VLOOKUP(B422,country_opex,2,FALSE)*crew_factor</f>
        <v/>
      </c>
      <c r="AA422" s="49">
        <f>VLOOKUP(B422,country_opex,5,FALSE)</f>
        <v/>
      </c>
      <c r="AB422" s="49">
        <f>maint</f>
        <v/>
      </c>
      <c r="AC422" s="49">
        <f>VLOOKUP(B422,country_opex,7,FALSE)*ins_pct</f>
        <v/>
      </c>
      <c r="AD422" s="49">
        <f>charge_berth</f>
        <v/>
      </c>
      <c r="AE422" s="49">
        <f>Y422+Z422+AA422+AB422+AC422+AD422</f>
        <v/>
      </c>
      <c r="AF422" s="49">
        <f>VLOOKUP(B422,country_opex,7,FALSE)/dep_years</f>
        <v/>
      </c>
      <c r="AG422" s="49">
        <f>X422-AE422</f>
        <v/>
      </c>
      <c r="AH422" s="46">
        <f>IF(X422=0,"",AG422/X422)</f>
        <v/>
      </c>
      <c r="AI422" s="47">
        <f>IF(AG422&lt;=0,"",VLOOKUP(B422,country_opex,7,FALSE)/AG422)</f>
        <v/>
      </c>
      <c r="AJ422" s="44">
        <f>((G422*S422/diesel_nmpg)*diesel_co2pg-(battery/range_nm)*G422*S422*VLOOKUP(B422,country_opex,4,FALSE))/1000</f>
        <v/>
      </c>
      <c r="AK422" s="42" t="n">
        <v>500000</v>
      </c>
      <c r="AL422" s="43" t="inlineStr">
        <is>
          <t>T5</t>
        </is>
      </c>
      <c r="AM422" s="43" t="inlineStr">
        <is>
          <t>low</t>
        </is>
      </c>
      <c r="AN422" s="50" t="n">
        <v>0.1</v>
      </c>
      <c r="AO422" s="45">
        <f>IF(AK422="","",AK422*AN422)</f>
        <v/>
      </c>
      <c r="AP422" s="45">
        <f>IF(OR(AK422="",V422=0),"",MIN(IF(AX422="",9.9E+99,AX422),FLOOR(AO422/V422,1)))</f>
        <v/>
      </c>
      <c r="AQ422" s="49">
        <f>IF(AP422="","",AP422*IF(ABS(MOD(ABS((X422)),1)-0.5)&lt;1E-9,2*ROUND((X422)/2,0),ROUND((X422),0)))</f>
        <v/>
      </c>
      <c r="AR422" s="47">
        <f>IF(OR(AK422="",V422=0),"",MIN(IF(AX422="",9.9E+99,AX422),AO422/V422))</f>
        <v/>
      </c>
      <c r="AS422" s="49">
        <f>IF(AR422="","",AR422*IF(B422="South Korea",IF(ABS(MOD(ABS((X422)),1)-0.5)&lt;1E-9,2*ROUND((X422)/2,0),ROUND((X422),0)),X422))</f>
        <v/>
      </c>
      <c r="AT422" s="51" t="n"/>
      <c r="AU422" s="43" t="inlineStr">
        <is>
          <t>Grounded</t>
        </is>
      </c>
      <c r="AV422" s="52" t="n"/>
      <c r="AW422" s="52" t="n"/>
      <c r="AX422" s="53" t="n"/>
      <c r="AY422" s="54">
        <f>IF(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&lt;=0,"",VLOOKUP(B422,country_opex,7,FALSE)/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)</f>
        <v/>
      </c>
      <c r="AZ422" s="54">
        <f>IF(((W422*pax_cap*IF(B422="South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Korea",korea_mid_revleg,revleg_mid)),0))*VLOOKUP(B422,country_opex,3,FALSE))+Z422+AA422+AB422+AC422+AD422))&lt;=0,"",VLOOKUP(B422,country_opex,7,FALSE)/((W422*pax_cap*IF(B422="South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Korea",korea_mid_revleg,revleg_mid)),0))*VLOOKUP(B422,country_opex,3,FALSE))+Z422+AA422+AB422+AC422+AD422)))</f>
        <v/>
      </c>
      <c r="BA422" s="54">
        <f>IF(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&lt;=0,"",VLOOKUP(B422,country_opex,7,FALSE)/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)</f>
        <v/>
      </c>
      <c r="BB422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C422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  <c r="BD422" s="43" t="n"/>
    </row>
    <row r="423">
      <c r="A423" s="38" t="inlineStr">
        <is>
          <t>Philippines</t>
        </is>
      </c>
      <c r="B423" s="38" t="inlineStr">
        <is>
          <t>Philippines</t>
        </is>
      </c>
      <c r="C423" s="39" t="inlineStr">
        <is>
          <t>Manila (Esplanade) → Sangley Point (Cavite)</t>
        </is>
      </c>
      <c r="D423" s="38" t="inlineStr">
        <is>
          <t>grab</t>
        </is>
      </c>
      <c r="E423" s="40" t="inlineStr">
        <is>
          <t>philippines</t>
        </is>
      </c>
      <c r="F423" s="41" t="n">
        <v>1</v>
      </c>
      <c r="G423" s="42" t="n">
        <v>8</v>
      </c>
      <c r="H423" s="35" t="n"/>
      <c r="I423" s="43" t="inlineStr">
        <is>
          <t>T2</t>
        </is>
      </c>
      <c r="J423" s="43" t="inlineStr">
        <is>
          <t>low</t>
        </is>
      </c>
      <c r="K423" s="29" t="n">
        <v>1</v>
      </c>
      <c r="L423" s="44">
        <f>60*G423/cruise_kt</f>
        <v/>
      </c>
      <c r="M423" s="44">
        <f>IF(B423="South Korea",G423/korea_charge_range_nm*korea_full_range_charge_min,0)</f>
        <v/>
      </c>
      <c r="N423" s="44">
        <f>IF(B423="South Korea",L423+korea_turn_min+korea_dwell_min+M423,L423+turn_min+dwell_min)</f>
        <v/>
      </c>
      <c r="O423" s="45">
        <f>IF(B423="South Korea",FLOOR(60*korea_service_hr/N423,1),MIN(15,FLOOR(60*service_hr/N423,1)))</f>
        <v/>
      </c>
      <c r="P423" s="45">
        <f>IF(ABS(MOD(ABS((365*mech_uptime*K423)),1)-0.5)&lt;1E-9,2*ROUND((365*mech_uptime*K423)/2,0),ROUND((365*mech_uptime*K423),0))</f>
        <v/>
      </c>
      <c r="Q423" s="46">
        <f>mech_uptime</f>
        <v/>
      </c>
      <c r="R423" s="46">
        <f>IF(AND(B423="South Korea",scenario="MID"),korea_mid_revleg,revleg_sel)</f>
        <v/>
      </c>
      <c r="S423" s="45">
        <f>IF(ABS(MOD(ABS((O423*P423*R423)),1)-0.5)&lt;1E-9,2*ROUND((O423*P423*R423)/2,0),ROUND((O423*P423*R423),0))</f>
        <v/>
      </c>
      <c r="T423" s="46">
        <f>IF(AND(B423="South Korea",scenario="MID"),korea_mid_load,load_sel)</f>
        <v/>
      </c>
      <c r="U423" s="47">
        <f>pax_cap*T423</f>
        <v/>
      </c>
      <c r="V423" s="45">
        <f>U423*S423</f>
        <v/>
      </c>
      <c r="W423" s="48">
        <f>H423*discount</f>
        <v/>
      </c>
      <c r="X423" s="49">
        <f>W423*V423</f>
        <v/>
      </c>
      <c r="Y423" s="49">
        <f>(battery/range_nm)*G423*S423*VLOOKUP(B423,country_opex,3,FALSE)</f>
        <v/>
      </c>
      <c r="Z423" s="49">
        <f>VLOOKUP(B423,country_opex,2,FALSE)*crew_factor</f>
        <v/>
      </c>
      <c r="AA423" s="49">
        <f>VLOOKUP(B423,country_opex,5,FALSE)</f>
        <v/>
      </c>
      <c r="AB423" s="49">
        <f>maint</f>
        <v/>
      </c>
      <c r="AC423" s="49">
        <f>VLOOKUP(B423,country_opex,7,FALSE)*ins_pct</f>
        <v/>
      </c>
      <c r="AD423" s="49">
        <f>charge_berth</f>
        <v/>
      </c>
      <c r="AE423" s="49">
        <f>Y423+Z423+AA423+AB423+AC423+AD423</f>
        <v/>
      </c>
      <c r="AF423" s="49">
        <f>VLOOKUP(B423,country_opex,7,FALSE)/dep_years</f>
        <v/>
      </c>
      <c r="AG423" s="49">
        <f>X423-AE423</f>
        <v/>
      </c>
      <c r="AH423" s="46">
        <f>IF(X423=0,"",AG423/X423)</f>
        <v/>
      </c>
      <c r="AI423" s="47">
        <f>IF(AG423&lt;=0,"",VLOOKUP(B423,country_opex,7,FALSE)/AG423)</f>
        <v/>
      </c>
      <c r="AJ423" s="44">
        <f>((G423*S423/diesel_nmpg)*diesel_co2pg-(battery/range_nm)*G423*S423*VLOOKUP(B423,country_opex,4,FALSE))/1000</f>
        <v/>
      </c>
      <c r="AK423" s="42" t="n"/>
      <c r="AL423" s="43" t="inlineStr">
        <is>
          <t>T2</t>
        </is>
      </c>
      <c r="AM423" s="43" t="inlineStr">
        <is>
          <t>low</t>
        </is>
      </c>
      <c r="AN423" s="50" t="n">
        <v>0.1</v>
      </c>
      <c r="AO423" s="45">
        <f>IF(AK423="","",AK423*AN423)</f>
        <v/>
      </c>
      <c r="AP423" s="45">
        <f>IF(OR(AK423="",V423=0),"",MIN(IF(AX423="",9.9E+99,AX423),FLOOR(AO423/V423,1)))</f>
        <v/>
      </c>
      <c r="AQ423" s="49">
        <f>IF(AP423="","",AP423*IF(ABS(MOD(ABS((X423)),1)-0.5)&lt;1E-9,2*ROUND((X423)/2,0),ROUND((X423),0)))</f>
        <v/>
      </c>
      <c r="AR423" s="47">
        <f>IF(OR(AK423="",V423=0),"",MIN(IF(AX423="",9.9E+99,AX423),AO423/V423))</f>
        <v/>
      </c>
      <c r="AS423" s="49">
        <f>IF(AR423="","",AR423*IF(B423="South Korea",IF(ABS(MOD(ABS((X423)),1)-0.5)&lt;1E-9,2*ROUND((X423)/2,0),ROUND((X423),0)),X423))</f>
        <v/>
      </c>
      <c r="AT423" s="51" t="n"/>
      <c r="AU423" s="43" t="inlineStr">
        <is>
          <t>Estimated</t>
        </is>
      </c>
      <c r="AV423" s="52" t="n"/>
      <c r="AW423" s="52" t="n"/>
      <c r="AX423" s="53" t="n"/>
      <c r="AY423" s="54">
        <f>IF(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&lt;=0,"",VLOOKUP(B423,country_opex,7,FALSE)/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)</f>
        <v/>
      </c>
      <c r="AZ423" s="54">
        <f>IF(((W423*pax_cap*IF(B423="South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Korea",korea_mid_revleg,revleg_mid)),0))*VLOOKUP(B423,country_opex,3,FALSE))+Z423+AA423+AB423+AC423+AD423))&lt;=0,"",VLOOKUP(B423,country_opex,7,FALSE)/((W423*pax_cap*IF(B423="South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Korea",korea_mid_revleg,revleg_mid)),0))*VLOOKUP(B423,country_opex,3,FALSE))+Z423+AA423+AB423+AC423+AD423)))</f>
        <v/>
      </c>
      <c r="BA423" s="54">
        <f>IF(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&lt;=0,"",VLOOKUP(B423,country_opex,7,FALSE)/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)</f>
        <v/>
      </c>
      <c r="BB423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C423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  <c r="BD423" s="43" t="n"/>
    </row>
    <row r="424">
      <c r="A424" s="38" t="inlineStr">
        <is>
          <t>Philippines</t>
        </is>
      </c>
      <c r="B424" s="38" t="inlineStr">
        <is>
          <t>Philippines</t>
        </is>
      </c>
      <c r="C424" s="39" t="inlineStr">
        <is>
          <t>Manila (SM MOA Esplanade) → Camaya Coast / Orion (Bataan)</t>
        </is>
      </c>
      <c r="D424" s="38" t="inlineStr">
        <is>
          <t>grab</t>
        </is>
      </c>
      <c r="E424" s="40" t="inlineStr">
        <is>
          <t>philippines</t>
        </is>
      </c>
      <c r="F424" s="41" t="n">
        <v>1</v>
      </c>
      <c r="G424" s="42" t="n">
        <v>22</v>
      </c>
      <c r="H424" s="35" t="n">
        <v>18</v>
      </c>
      <c r="I424" s="43" t="inlineStr">
        <is>
          <t>T3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IF(B424="South Korea",G424/korea_charge_range_nm*korea_full_range_charge_min,0)</f>
        <v/>
      </c>
      <c r="N424" s="44">
        <f>IF(B424="South Korea",L424+korea_turn_min+korea_dwell_min+M424,L424+turn_min+dwell_min)</f>
        <v/>
      </c>
      <c r="O424" s="45">
        <f>IF(B424="South Korea",FLOOR(60*korea_service_hr/N424,1),MIN(15,FLOOR(60*service_hr/N424,1)))</f>
        <v/>
      </c>
      <c r="P424" s="45">
        <f>IF(ABS(MOD(ABS((365*mech_uptime*K424)),1)-0.5)&lt;1E-9,2*ROUND((365*mech_uptime*K424)/2,0),ROUND((365*mech_uptime*K424),0))</f>
        <v/>
      </c>
      <c r="Q424" s="46">
        <f>mech_uptime</f>
        <v/>
      </c>
      <c r="R424" s="46">
        <f>IF(AND(B424="South Korea",scenario="MID"),korea_mid_revleg,revleg_sel)</f>
        <v/>
      </c>
      <c r="S424" s="45">
        <f>IF(ABS(MOD(ABS((O424*P424*R424)),1)-0.5)&lt;1E-9,2*ROUND((O424*P424*R424)/2,0),ROUND((O424*P424*R424),0))</f>
        <v/>
      </c>
      <c r="T424" s="46">
        <f>IF(AND(B424="South Korea",scenario="MID"),korea_mid_load,load_sel)</f>
        <v/>
      </c>
      <c r="U424" s="47">
        <f>pax_cap*T424</f>
        <v/>
      </c>
      <c r="V424" s="45">
        <f>U424*S424</f>
        <v/>
      </c>
      <c r="W424" s="48">
        <f>H424*discount</f>
        <v/>
      </c>
      <c r="X424" s="49">
        <f>W424*V424</f>
        <v/>
      </c>
      <c r="Y424" s="49">
        <f>(battery/range_nm)*G424*S424*VLOOKUP(B424,country_opex,3,FALSE)</f>
        <v/>
      </c>
      <c r="Z424" s="49">
        <f>VLOOKUP(B424,country_opex,2,FALSE)*crew_factor</f>
        <v/>
      </c>
      <c r="AA424" s="49">
        <f>VLOOKUP(B424,country_opex,5,FALSE)</f>
        <v/>
      </c>
      <c r="AB424" s="49">
        <f>maint</f>
        <v/>
      </c>
      <c r="AC424" s="49">
        <f>VLOOKUP(B424,country_opex,7,FALSE)*ins_pct</f>
        <v/>
      </c>
      <c r="AD424" s="49">
        <f>charge_berth</f>
        <v/>
      </c>
      <c r="AE424" s="49">
        <f>Y424+Z424+AA424+AB424+AC424+AD424</f>
        <v/>
      </c>
      <c r="AF424" s="49">
        <f>VLOOKUP(B424,country_opex,7,FALSE)/dep_years</f>
        <v/>
      </c>
      <c r="AG424" s="49">
        <f>X424-AE424</f>
        <v/>
      </c>
      <c r="AH424" s="46">
        <f>IF(X424=0,"",AG424/X424)</f>
        <v/>
      </c>
      <c r="AI424" s="47">
        <f>IF(AG424&lt;=0,"",VLOOKUP(B424,country_opex,7,FALSE)/AG424)</f>
        <v/>
      </c>
      <c r="AJ424" s="44">
        <f>((G424*S424/diesel_nmpg)*diesel_co2pg-(battery/range_nm)*G424*S424*VLOOKUP(B424,country_opex,4,FALSE))/1000</f>
        <v/>
      </c>
      <c r="AK424" s="42" t="n"/>
      <c r="AL424" s="43" t="inlineStr">
        <is>
          <t>T2</t>
        </is>
      </c>
      <c r="AM424" s="43" t="inlineStr">
        <is>
          <t>low</t>
        </is>
      </c>
      <c r="AN424" s="50" t="n">
        <v>0.1</v>
      </c>
      <c r="AO424" s="45">
        <f>IF(AK424="","",AK424*AN424)</f>
        <v/>
      </c>
      <c r="AP424" s="45">
        <f>IF(OR(AK424="",V424=0),"",MIN(IF(AX424="",9.9E+99,AX424),FLOOR(AO424/V424,1)))</f>
        <v/>
      </c>
      <c r="AQ424" s="49">
        <f>IF(AP424="","",AP424*IF(ABS(MOD(ABS((X424)),1)-0.5)&lt;1E-9,2*ROUND((X424)/2,0),ROUND((X424),0)))</f>
        <v/>
      </c>
      <c r="AR424" s="47">
        <f>IF(OR(AK424="",V424=0),"",MIN(IF(AX424="",9.9E+99,AX424),AO424/V424))</f>
        <v/>
      </c>
      <c r="AS424" s="49">
        <f>IF(AR424="","",AR424*IF(B424="South Korea",IF(ABS(MOD(ABS((X424)),1)-0.5)&lt;1E-9,2*ROUND((X424)/2,0),ROUND((X424),0)),X424))</f>
        <v/>
      </c>
      <c r="AT424" s="51" t="n"/>
      <c r="AU424" s="43" t="inlineStr">
        <is>
          <t>Estimated</t>
        </is>
      </c>
      <c r="AV424" s="52" t="n"/>
      <c r="AW424" s="52" t="n"/>
      <c r="AX424" s="53" t="n"/>
      <c r="AY424" s="54">
        <f>IF(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&lt;=0,"",VLOOKUP(B424,country_opex,7,FALSE)/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)</f>
        <v/>
      </c>
      <c r="AZ424" s="54">
        <f>IF(((W424*pax_cap*IF(B424="South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Korea",korea_mid_revleg,revleg_mid)),0))*VLOOKUP(B424,country_opex,3,FALSE))+Z424+AA424+AB424+AC424+AD424))&lt;=0,"",VLOOKUP(B424,country_opex,7,FALSE)/((W424*pax_cap*IF(B424="South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Korea",korea_mid_revleg,revleg_mid)),0))*VLOOKUP(B424,country_opex,3,FALSE))+Z424+AA424+AB424+AC424+AD424)))</f>
        <v/>
      </c>
      <c r="BA424" s="54">
        <f>IF(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&lt;=0,"",VLOOKUP(B424,country_opex,7,FALSE)/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)</f>
        <v/>
      </c>
      <c r="BB424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C424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  <c r="BD424" s="43" t="n"/>
    </row>
    <row r="425">
      <c r="A425" s="38" t="inlineStr">
        <is>
          <t>Philippines</t>
        </is>
      </c>
      <c r="B425" s="38" t="inlineStr">
        <is>
          <t>Philippines</t>
        </is>
      </c>
      <c r="C425" s="39" t="inlineStr">
        <is>
          <t>Manila (CCP / Esplanade Seaside) → Corregidor Island</t>
        </is>
      </c>
      <c r="D425" s="38" t="inlineStr">
        <is>
          <t>grab</t>
        </is>
      </c>
      <c r="E425" s="40" t="inlineStr">
        <is>
          <t>philippines</t>
        </is>
      </c>
      <c r="F425" s="41" t="n">
        <v>1</v>
      </c>
      <c r="G425" s="42" t="n">
        <v>26</v>
      </c>
      <c r="H425" s="35" t="n">
        <v>50</v>
      </c>
      <c r="I425" s="43" t="inlineStr">
        <is>
          <t>T3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IF(B425="South Korea",G425/korea_charge_range_nm*korea_full_range_charge_min,0)</f>
        <v/>
      </c>
      <c r="N425" s="44">
        <f>IF(B425="South Korea",L425+korea_turn_min+korea_dwell_min+M425,L425+turn_min+dwell_min)</f>
        <v/>
      </c>
      <c r="O425" s="45">
        <f>IF(B425="South Korea",FLOOR(60*korea_service_hr/N425,1),MIN(15,FLOOR(60*service_hr/N425,1)))</f>
        <v/>
      </c>
      <c r="P425" s="45">
        <f>IF(ABS(MOD(ABS((365*mech_uptime*K425)),1)-0.5)&lt;1E-9,2*ROUND((365*mech_uptime*K425)/2,0),ROUND((365*mech_uptime*K425),0))</f>
        <v/>
      </c>
      <c r="Q425" s="46">
        <f>mech_uptime</f>
        <v/>
      </c>
      <c r="R425" s="46">
        <f>IF(AND(B425="South Korea",scenario="MID"),korea_mid_revleg,revleg_sel)</f>
        <v/>
      </c>
      <c r="S425" s="45">
        <f>IF(ABS(MOD(ABS((O425*P425*R425)),1)-0.5)&lt;1E-9,2*ROUND((O425*P425*R425)/2,0),ROUND((O425*P425*R425),0))</f>
        <v/>
      </c>
      <c r="T425" s="46">
        <f>IF(AND(B425="South Korea",scenario="MID"),korea_mid_load,load_sel)</f>
        <v/>
      </c>
      <c r="U425" s="47">
        <f>pax_cap*T425</f>
        <v/>
      </c>
      <c r="V425" s="45">
        <f>U425*S425</f>
        <v/>
      </c>
      <c r="W425" s="48">
        <f>H425*discount</f>
        <v/>
      </c>
      <c r="X425" s="49">
        <f>W425*V425</f>
        <v/>
      </c>
      <c r="Y425" s="49">
        <f>(battery/range_nm)*G425*S425*VLOOKUP(B425,country_opex,3,FALSE)</f>
        <v/>
      </c>
      <c r="Z425" s="49">
        <f>VLOOKUP(B425,country_opex,2,FALSE)*crew_factor</f>
        <v/>
      </c>
      <c r="AA425" s="49">
        <f>VLOOKUP(B425,country_opex,5,FALSE)</f>
        <v/>
      </c>
      <c r="AB425" s="49">
        <f>maint</f>
        <v/>
      </c>
      <c r="AC425" s="49">
        <f>VLOOKUP(B425,country_opex,7,FALSE)*ins_pct</f>
        <v/>
      </c>
      <c r="AD425" s="49">
        <f>charge_berth</f>
        <v/>
      </c>
      <c r="AE425" s="49">
        <f>Y425+Z425+AA425+AB425+AC425+AD425</f>
        <v/>
      </c>
      <c r="AF425" s="49">
        <f>VLOOKUP(B425,country_opex,7,FALSE)/dep_years</f>
        <v/>
      </c>
      <c r="AG425" s="49">
        <f>X425-AE425</f>
        <v/>
      </c>
      <c r="AH425" s="46">
        <f>IF(X425=0,"",AG425/X425)</f>
        <v/>
      </c>
      <c r="AI425" s="47">
        <f>IF(AG425&lt;=0,"",VLOOKUP(B425,country_opex,7,FALSE)/AG425)</f>
        <v/>
      </c>
      <c r="AJ425" s="44">
        <f>((G425*S425/diesel_nmpg)*diesel_co2pg-(battery/range_nm)*G425*S425*VLOOKUP(B425,country_opex,4,FALSE))/1000</f>
        <v/>
      </c>
      <c r="AK425" s="42" t="n"/>
      <c r="AL425" s="43" t="inlineStr">
        <is>
          <t>T2</t>
        </is>
      </c>
      <c r="AM425" s="43" t="inlineStr">
        <is>
          <t>low</t>
        </is>
      </c>
      <c r="AN425" s="50" t="n">
        <v>0.1</v>
      </c>
      <c r="AO425" s="45">
        <f>IF(AK425="","",AK425*AN425)</f>
        <v/>
      </c>
      <c r="AP425" s="45">
        <f>IF(OR(AK425="",V425=0),"",MIN(IF(AX425="",9.9E+99,AX425),FLOOR(AO425/V425,1)))</f>
        <v/>
      </c>
      <c r="AQ425" s="49">
        <f>IF(AP425="","",AP425*IF(ABS(MOD(ABS((X425)),1)-0.5)&lt;1E-9,2*ROUND((X425)/2,0),ROUND((X425),0)))</f>
        <v/>
      </c>
      <c r="AR425" s="47">
        <f>IF(OR(AK425="",V425=0),"",MIN(IF(AX425="",9.9E+99,AX425),AO425/V425))</f>
        <v/>
      </c>
      <c r="AS425" s="49">
        <f>IF(AR425="","",AR425*IF(B425="South Korea",IF(ABS(MOD(ABS((X425)),1)-0.5)&lt;1E-9,2*ROUND((X425)/2,0),ROUND((X425),0)),X425))</f>
        <v/>
      </c>
      <c r="AT425" s="51" t="n"/>
      <c r="AU425" s="43" t="inlineStr">
        <is>
          <t>Estimated</t>
        </is>
      </c>
      <c r="AV425" s="52" t="n"/>
      <c r="AW425" s="52" t="n"/>
      <c r="AX425" s="53" t="n"/>
      <c r="AY425" s="54">
        <f>IF(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&lt;=0,"",VLOOKUP(B425,country_opex,7,FALSE)/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)</f>
        <v/>
      </c>
      <c r="AZ425" s="54">
        <f>IF(((W425*pax_cap*IF(B425="South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Korea",korea_mid_revleg,revleg_mid)),0))*VLOOKUP(B425,country_opex,3,FALSE))+Z425+AA425+AB425+AC425+AD425))&lt;=0,"",VLOOKUP(B425,country_opex,7,FALSE)/((W425*pax_cap*IF(B425="South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Korea",korea_mid_revleg,revleg_mid)),0))*VLOOKUP(B425,country_opex,3,FALSE))+Z425+AA425+AB425+AC425+AD425)))</f>
        <v/>
      </c>
      <c r="BA425" s="54">
        <f>IF(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&lt;=0,"",VLOOKUP(B425,country_opex,7,FALSE)/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)</f>
        <v/>
      </c>
      <c r="BB425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C425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  <c r="BD425" s="43" t="n"/>
    </row>
    <row r="426">
      <c r="A426" s="38" t="inlineStr">
        <is>
          <t>Philippines</t>
        </is>
      </c>
      <c r="B426" s="38" t="inlineStr">
        <is>
          <t>Philippines</t>
        </is>
      </c>
      <c r="C426" s="39" t="inlineStr">
        <is>
          <t>Cebu (Mactan) → Bohol / Panglao</t>
        </is>
      </c>
      <c r="D426" s="38" t="inlineStr">
        <is>
          <t>grab</t>
        </is>
      </c>
      <c r="E426" s="40" t="inlineStr">
        <is>
          <t>philippines</t>
        </is>
      </c>
      <c r="F426" s="41" t="n">
        <v>1</v>
      </c>
      <c r="G426" s="42" t="n">
        <v>35</v>
      </c>
      <c r="H426" s="35" t="n">
        <v>21</v>
      </c>
      <c r="I426" s="43" t="inlineStr">
        <is>
          <t>T3</t>
        </is>
      </c>
      <c r="J426" s="43" t="inlineStr">
        <is>
          <t>med-high</t>
        </is>
      </c>
      <c r="K426" s="29" t="n">
        <v>1</v>
      </c>
      <c r="L426" s="44">
        <f>60*G426/cruise_kt</f>
        <v/>
      </c>
      <c r="M426" s="44">
        <f>IF(B426="South Korea",G426/korea_charge_range_nm*korea_full_range_charge_min,0)</f>
        <v/>
      </c>
      <c r="N426" s="44">
        <f>IF(B426="South Korea",L426+korea_turn_min+korea_dwell_min+M426,L426+turn_min+dwell_min)</f>
        <v/>
      </c>
      <c r="O426" s="45">
        <f>IF(B426="South Korea",FLOOR(60*korea_service_hr/N426,1),MIN(15,FLOOR(60*service_hr/N426,1)))</f>
        <v/>
      </c>
      <c r="P426" s="45">
        <f>IF(ABS(MOD(ABS((365*mech_uptime*K426)),1)-0.5)&lt;1E-9,2*ROUND((365*mech_uptime*K426)/2,0),ROUND((365*mech_uptime*K426),0))</f>
        <v/>
      </c>
      <c r="Q426" s="46">
        <f>mech_uptime</f>
        <v/>
      </c>
      <c r="R426" s="46">
        <f>IF(AND(B426="South Korea",scenario="MID"),korea_mid_revleg,revleg_sel)</f>
        <v/>
      </c>
      <c r="S426" s="45">
        <f>IF(ABS(MOD(ABS((O426*P426*R426)),1)-0.5)&lt;1E-9,2*ROUND((O426*P426*R426)/2,0),ROUND((O426*P426*R426),0))</f>
        <v/>
      </c>
      <c r="T426" s="46">
        <f>IF(AND(B426="South Korea",scenario="MID"),korea_mid_load,load_sel)</f>
        <v/>
      </c>
      <c r="U426" s="47">
        <f>pax_cap*T426</f>
        <v/>
      </c>
      <c r="V426" s="45">
        <f>U426*S426</f>
        <v/>
      </c>
      <c r="W426" s="48">
        <f>H426*discount</f>
        <v/>
      </c>
      <c r="X426" s="49">
        <f>W426*V426</f>
        <v/>
      </c>
      <c r="Y426" s="49">
        <f>(battery/range_nm)*G426*S426*VLOOKUP(B426,country_opex,3,FALSE)</f>
        <v/>
      </c>
      <c r="Z426" s="49">
        <f>VLOOKUP(B426,country_opex,2,FALSE)*crew_factor</f>
        <v/>
      </c>
      <c r="AA426" s="49">
        <f>VLOOKUP(B426,country_opex,5,FALSE)</f>
        <v/>
      </c>
      <c r="AB426" s="49">
        <f>maint</f>
        <v/>
      </c>
      <c r="AC426" s="49">
        <f>VLOOKUP(B426,country_opex,7,FALSE)*ins_pct</f>
        <v/>
      </c>
      <c r="AD426" s="49">
        <f>charge_berth</f>
        <v/>
      </c>
      <c r="AE426" s="49">
        <f>Y426+Z426+AA426+AB426+AC426+AD426</f>
        <v/>
      </c>
      <c r="AF426" s="49">
        <f>VLOOKUP(B426,country_opex,7,FALSE)/dep_years</f>
        <v/>
      </c>
      <c r="AG426" s="49">
        <f>X426-AE426</f>
        <v/>
      </c>
      <c r="AH426" s="46">
        <f>IF(X426=0,"",AG426/X426)</f>
        <v/>
      </c>
      <c r="AI426" s="47">
        <f>IF(AG426&lt;=0,"",VLOOKUP(B426,country_opex,7,FALSE)/AG426)</f>
        <v/>
      </c>
      <c r="AJ426" s="44">
        <f>((G426*S426/diesel_nmpg)*diesel_co2pg-(battery/range_nm)*G426*S426*VLOOKUP(B426,country_opex,4,FALSE))/1000</f>
        <v/>
      </c>
      <c r="AK426" s="42" t="n">
        <v>2000000</v>
      </c>
      <c r="AL426" s="43" t="inlineStr">
        <is>
          <t>T3</t>
        </is>
      </c>
      <c r="AM426" s="43" t="inlineStr">
        <is>
          <t>med</t>
        </is>
      </c>
      <c r="AN426" s="50" t="n">
        <v>0.1</v>
      </c>
      <c r="AO426" s="45">
        <f>IF(AK426="","",AK426*AN426)</f>
        <v/>
      </c>
      <c r="AP426" s="45">
        <f>IF(OR(AK426="",V426=0),"",MIN(IF(AX426="",9.9E+99,AX426),FLOOR(AO426/V426,1)))</f>
        <v/>
      </c>
      <c r="AQ426" s="49">
        <f>IF(AP426="","",AP426*IF(ABS(MOD(ABS((X426)),1)-0.5)&lt;1E-9,2*ROUND((X426)/2,0),ROUND((X426),0)))</f>
        <v/>
      </c>
      <c r="AR426" s="47">
        <f>IF(OR(AK426="",V426=0),"",MIN(IF(AX426="",9.9E+99,AX426),AO426/V426))</f>
        <v/>
      </c>
      <c r="AS426" s="49">
        <f>IF(AR426="","",AR426*IF(B426="South Korea",IF(ABS(MOD(ABS((X426)),1)-0.5)&lt;1E-9,2*ROUND((X426)/2,0),ROUND((X426),0)),X426))</f>
        <v/>
      </c>
      <c r="AT426" s="51" t="n"/>
      <c r="AU426" s="43" t="inlineStr">
        <is>
          <t>Grounded</t>
        </is>
      </c>
      <c r="AV426" s="52" t="n"/>
      <c r="AW426" s="52" t="n"/>
      <c r="AX426" s="53" t="n"/>
      <c r="AY426" s="54">
        <f>IF(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&lt;=0,"",VLOOKUP(B426,country_opex,7,FALSE)/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)</f>
        <v/>
      </c>
      <c r="AZ426" s="54">
        <f>IF(((W426*pax_cap*IF(B426="South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Korea",korea_mid_revleg,revleg_mid)),0))*VLOOKUP(B426,country_opex,3,FALSE))+Z426+AA426+AB426+AC426+AD426))&lt;=0,"",VLOOKUP(B426,country_opex,7,FALSE)/((W426*pax_cap*IF(B426="South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Korea",korea_mid_revleg,revleg_mid)),0))*VLOOKUP(B426,country_opex,3,FALSE))+Z426+AA426+AB426+AC426+AD426)))</f>
        <v/>
      </c>
      <c r="BA426" s="54">
        <f>IF(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&lt;=0,"",VLOOKUP(B426,country_opex,7,FALSE)/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)</f>
        <v/>
      </c>
      <c r="BB426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C426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  <c r="BD426" s="43" t="inlineStr">
        <is>
          <t>rn-66e9451f405f</t>
        </is>
      </c>
    </row>
    <row r="427">
      <c r="A427" s="38" t="inlineStr">
        <is>
          <t>Bolt Portugal</t>
        </is>
      </c>
      <c r="B427" s="38" t="inlineStr">
        <is>
          <t>Portugal</t>
        </is>
      </c>
      <c r="C427" s="39" t="inlineStr">
        <is>
          <t>Porto (Cais da Ribeira) → Vila Nova de Gaia (Cais de Gaia)</t>
        </is>
      </c>
      <c r="D427" s="38" t="inlineStr">
        <is>
          <t>bolt</t>
        </is>
      </c>
      <c r="E427" s="40" t="inlineStr">
        <is>
          <t>bolt-portugal</t>
        </is>
      </c>
      <c r="F427" s="41" t="n">
        <v>1</v>
      </c>
      <c r="G427" s="42" t="n">
        <v>0.2</v>
      </c>
      <c r="H427" s="35" t="n">
        <v>17.8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IF(B427="South Korea",G427/korea_charge_range_nm*korea_full_range_charge_min,0)</f>
        <v/>
      </c>
      <c r="N427" s="44">
        <f>IF(B427="South Korea",L427+korea_turn_min+korea_dwell_min+M427,L427+turn_min+dwell_min)</f>
        <v/>
      </c>
      <c r="O427" s="45">
        <f>IF(B427="South Korea",FLOOR(60*korea_service_hr/N427,1),MIN(15,FLOOR(60*service_hr/N427,1)))</f>
        <v/>
      </c>
      <c r="P427" s="45">
        <f>IF(ABS(MOD(ABS((365*mech_uptime*K427)),1)-0.5)&lt;1E-9,2*ROUND((365*mech_uptime*K427)/2,0),ROUND((365*mech_uptime*K427),0))</f>
        <v/>
      </c>
      <c r="Q427" s="46">
        <f>mech_uptime</f>
        <v/>
      </c>
      <c r="R427" s="46">
        <f>IF(AND(B427="South Korea",scenario="MID"),korea_mid_revleg,revleg_sel)</f>
        <v/>
      </c>
      <c r="S427" s="45">
        <f>IF(ABS(MOD(ABS((O427*P427*R427)),1)-0.5)&lt;1E-9,2*ROUND((O427*P427*R427)/2,0),ROUND((O427*P427*R427),0))</f>
        <v/>
      </c>
      <c r="T427" s="46">
        <f>IF(AND(B427="South Korea",scenario="MID"),korea_mid_load,load_sel)</f>
        <v/>
      </c>
      <c r="U427" s="47">
        <f>pax_cap*T427</f>
        <v/>
      </c>
      <c r="V427" s="45">
        <f>U427*S427</f>
        <v/>
      </c>
      <c r="W427" s="48">
        <f>H427*discount</f>
        <v/>
      </c>
      <c r="X427" s="49">
        <f>W427*V427</f>
        <v/>
      </c>
      <c r="Y427" s="49">
        <f>(battery/range_nm)*G427*S427*VLOOKUP(B427,country_opex,3,FALSE)</f>
        <v/>
      </c>
      <c r="Z427" s="49">
        <f>VLOOKUP(B427,country_opex,2,FALSE)*crew_factor</f>
        <v/>
      </c>
      <c r="AA427" s="49">
        <f>VLOOKUP(B427,country_opex,5,FALSE)</f>
        <v/>
      </c>
      <c r="AB427" s="49">
        <f>maint</f>
        <v/>
      </c>
      <c r="AC427" s="49">
        <f>VLOOKUP(B427,country_opex,7,FALSE)*ins_pct</f>
        <v/>
      </c>
      <c r="AD427" s="49">
        <f>charge_berth</f>
        <v/>
      </c>
      <c r="AE427" s="49">
        <f>Y427+Z427+AA427+AB427+AC427+AD427</f>
        <v/>
      </c>
      <c r="AF427" s="49">
        <f>VLOOKUP(B427,country_opex,7,FALSE)/dep_years</f>
        <v/>
      </c>
      <c r="AG427" s="49">
        <f>X427-AE427</f>
        <v/>
      </c>
      <c r="AH427" s="46">
        <f>IF(X427=0,"",AG427/X427)</f>
        <v/>
      </c>
      <c r="AI427" s="47">
        <f>IF(AG427&lt;=0,"",VLOOKUP(B427,country_opex,7,FALSE)/AG427)</f>
        <v/>
      </c>
      <c r="AJ427" s="44">
        <f>((G427*S427/diesel_nmpg)*diesel_co2pg-(battery/range_nm)*G427*S427*VLOOKUP(B427,country_opex,4,FALSE))/1000</f>
        <v/>
      </c>
      <c r="AK427" s="42" t="n">
        <v>1200000</v>
      </c>
      <c r="AL427" s="43" t="n"/>
      <c r="AM427" s="43" t="n"/>
      <c r="AN427" s="50" t="n">
        <v>0.1</v>
      </c>
      <c r="AO427" s="45">
        <f>IF(AK427="","",AK427*AN427)</f>
        <v/>
      </c>
      <c r="AP427" s="45">
        <f>IF(OR(AK427="",V427=0),"",MIN(IF(AX427="",9.9E+99,AX427),FLOOR(AO427/V427,1)))</f>
        <v/>
      </c>
      <c r="AQ427" s="49">
        <f>IF(AP427="","",AP427*IF(ABS(MOD(ABS((X427)),1)-0.5)&lt;1E-9,2*ROUND((X427)/2,0),ROUND((X427),0)))</f>
        <v/>
      </c>
      <c r="AR427" s="47">
        <f>IF(OR(AK427="",V427=0),"",MIN(IF(AX427="",9.9E+99,AX427),AO427/V427))</f>
        <v/>
      </c>
      <c r="AS427" s="49">
        <f>IF(AR427="","",AR427*IF(B427="South Korea",IF(ABS(MOD(ABS((X427)),1)-0.5)&lt;1E-9,2*ROUND((X427)/2,0),ROUND((X427),0)),X427))</f>
        <v/>
      </c>
      <c r="AT427" s="51" t="n"/>
      <c r="AU427" s="43" t="inlineStr">
        <is>
          <t>Grounded</t>
        </is>
      </c>
      <c r="AV427" s="52" t="n"/>
      <c r="AW427" s="52" t="n"/>
      <c r="AX427" s="53" t="n"/>
      <c r="AY427" s="54">
        <f>IF(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&lt;=0,"",VLOOKUP(B427,country_opex,7,FALSE)/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)</f>
        <v/>
      </c>
      <c r="AZ427" s="54">
        <f>IF(((W427*pax_cap*IF(B427="South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Korea",korea_mid_revleg,revleg_mid)),0))*VLOOKUP(B427,country_opex,3,FALSE))+Z427+AA427+AB427+AC427+AD427))&lt;=0,"",VLOOKUP(B427,country_opex,7,FALSE)/((W427*pax_cap*IF(B427="South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Korea",korea_mid_revleg,revleg_mid)),0))*VLOOKUP(B427,country_opex,3,FALSE))+Z427+AA427+AB427+AC427+AD427)))</f>
        <v/>
      </c>
      <c r="BA427" s="54">
        <f>IF(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&lt;=0,"",VLOOKUP(B427,country_opex,7,FALSE)/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)</f>
        <v/>
      </c>
      <c r="BB427" s="40" t="inlineStr">
        <is>
          <t>PREMIUM tourist tier: the standard Douro '6 Bridges' panoramic cruise per-seat is ~EUR 15-18 (Tomaz do Douro / Portugal by Wine / GetYourGuide), ~50 min -&gt; ~$17.8.</t>
        </is>
      </c>
      <c r="BC427" s="40" t="n"/>
      <c r="BD427" s="43" t="n"/>
    </row>
    <row r="428">
      <c r="A428" s="38" t="inlineStr">
        <is>
          <t>Bolt Portugal</t>
        </is>
      </c>
      <c r="B428" s="38" t="inlineStr">
        <is>
          <t>Portugal</t>
        </is>
      </c>
      <c r="C428" s="39" t="inlineStr">
        <is>
          <t>Vila Real de Santo Antonio (Portugal) → Ayamonte (Spain)</t>
        </is>
      </c>
      <c r="D428" s="38" t="inlineStr">
        <is>
          <t>bolt</t>
        </is>
      </c>
      <c r="E428" s="40" t="inlineStr">
        <is>
          <t>bolt-portugal</t>
        </is>
      </c>
      <c r="F428" s="41" t="n">
        <v>1</v>
      </c>
      <c r="G428" s="42" t="n">
        <v>0.8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IF(B428="South Korea",G428/korea_charge_range_nm*korea_full_range_charge_min,0)</f>
        <v/>
      </c>
      <c r="N428" s="44">
        <f>IF(B428="South Korea",L428+korea_turn_min+korea_dwell_min+M428,L428+turn_min+dwell_min)</f>
        <v/>
      </c>
      <c r="O428" s="45">
        <f>IF(B428="South Korea",FLOOR(60*korea_service_hr/N428,1),MIN(15,FLOOR(60*service_hr/N428,1)))</f>
        <v/>
      </c>
      <c r="P428" s="45">
        <f>IF(ABS(MOD(ABS((365*mech_uptime*K428)),1)-0.5)&lt;1E-9,2*ROUND((365*mech_uptime*K428)/2,0),ROUND((365*mech_uptime*K428),0))</f>
        <v/>
      </c>
      <c r="Q428" s="46">
        <f>mech_uptime</f>
        <v/>
      </c>
      <c r="R428" s="46">
        <f>IF(AND(B428="South Korea",scenario="MID"),korea_mid_revleg,revleg_sel)</f>
        <v/>
      </c>
      <c r="S428" s="45">
        <f>IF(ABS(MOD(ABS((O428*P428*R428)),1)-0.5)&lt;1E-9,2*ROUND((O428*P428*R428)/2,0),ROUND((O428*P428*R428),0))</f>
        <v/>
      </c>
      <c r="T428" s="46">
        <f>IF(AND(B428="South Korea",scenario="MID"),korea_mid_load,load_sel)</f>
        <v/>
      </c>
      <c r="U428" s="47">
        <f>pax_cap*T428</f>
        <v/>
      </c>
      <c r="V428" s="45">
        <f>U428*S428</f>
        <v/>
      </c>
      <c r="W428" s="48">
        <f>H428*discount</f>
        <v/>
      </c>
      <c r="X428" s="49">
        <f>W428*V428</f>
        <v/>
      </c>
      <c r="Y428" s="49">
        <f>(battery/range_nm)*G428*S428*VLOOKUP(B428,country_opex,3,FALSE)</f>
        <v/>
      </c>
      <c r="Z428" s="49">
        <f>VLOOKUP(B428,country_opex,2,FALSE)*crew_factor</f>
        <v/>
      </c>
      <c r="AA428" s="49">
        <f>VLOOKUP(B428,country_opex,5,FALSE)</f>
        <v/>
      </c>
      <c r="AB428" s="49">
        <f>maint</f>
        <v/>
      </c>
      <c r="AC428" s="49">
        <f>VLOOKUP(B428,country_opex,7,FALSE)*ins_pct</f>
        <v/>
      </c>
      <c r="AD428" s="49">
        <f>charge_berth</f>
        <v/>
      </c>
      <c r="AE428" s="49">
        <f>Y428+Z428+AA428+AB428+AC428+AD428</f>
        <v/>
      </c>
      <c r="AF428" s="49">
        <f>VLOOKUP(B428,country_opex,7,FALSE)/dep_years</f>
        <v/>
      </c>
      <c r="AG428" s="49">
        <f>X428-AE428</f>
        <v/>
      </c>
      <c r="AH428" s="46">
        <f>IF(X428=0,"",AG428/X428)</f>
        <v/>
      </c>
      <c r="AI428" s="47">
        <f>IF(AG428&lt;=0,"",VLOOKUP(B428,country_opex,7,FALSE)/AG428)</f>
        <v/>
      </c>
      <c r="AJ428" s="44">
        <f>((G428*S428/diesel_nmpg)*diesel_co2pg-(battery/range_nm)*G428*S428*VLOOKUP(B428,country_opex,4,FALSE))/1000</f>
        <v/>
      </c>
      <c r="AK428" s="42" t="n"/>
      <c r="AL428" s="43" t="n"/>
      <c r="AM428" s="43" t="n"/>
      <c r="AN428" s="50" t="n">
        <v>0.1</v>
      </c>
      <c r="AO428" s="45">
        <f>IF(AK428="","",AK428*AN428)</f>
        <v/>
      </c>
      <c r="AP428" s="45">
        <f>IF(OR(AK428="",V428=0),"",MIN(IF(AX428="",9.9E+99,AX428),FLOOR(AO428/V428,1)))</f>
        <v/>
      </c>
      <c r="AQ428" s="49">
        <f>IF(AP428="","",AP428*IF(ABS(MOD(ABS((X428)),1)-0.5)&lt;1E-9,2*ROUND((X428)/2,0),ROUND((X428),0)))</f>
        <v/>
      </c>
      <c r="AR428" s="47">
        <f>IF(OR(AK428="",V428=0),"",MIN(IF(AX428="",9.9E+99,AX428),AO428/V428))</f>
        <v/>
      </c>
      <c r="AS428" s="49">
        <f>IF(AR428="","",AR428*IF(B428="South Korea",IF(ABS(MOD(ABS((X428)),1)-0.5)&lt;1E-9,2*ROUND((X428)/2,0),ROUND((X428),0)),X428))</f>
        <v/>
      </c>
      <c r="AT428" s="51" t="n"/>
      <c r="AU428" s="43" t="inlineStr">
        <is>
          <t>Estimated</t>
        </is>
      </c>
      <c r="AV428" s="52" t="n"/>
      <c r="AW428" s="52" t="n"/>
      <c r="AX428" s="53" t="n"/>
      <c r="AY428" s="54">
        <f>IF(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&lt;=0,"",VLOOKUP(B428,country_opex,7,FALSE)/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)</f>
        <v/>
      </c>
      <c r="AZ428" s="54">
        <f>IF(((W428*pax_cap*IF(B428="South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Korea",korea_mid_revleg,revleg_mid)),0))*VLOOKUP(B428,country_opex,3,FALSE))+Z428+AA428+AB428+AC428+AD428))&lt;=0,"",VLOOKUP(B428,country_opex,7,FALSE)/((W428*pax_cap*IF(B428="South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Korea",korea_mid_revleg,revleg_mid)),0))*VLOOKUP(B428,country_opex,3,FALSE))+Z428+AA428+AB428+AC428+AD428)))</f>
        <v/>
      </c>
      <c r="BA428" s="54">
        <f>IF(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&lt;=0,"",VLOOKUP(B428,country_opex,7,FALSE)/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)</f>
        <v/>
      </c>
      <c r="BB428" s="40" t="inlineStr">
        <is>
          <t>[LB-255 PREMIUM RE-FARE: subsidized comparable $5.0 lifted to premium on-demand floor $18.0] Scheduled cross-border ferry fare EUR 2-7 one-way (Rome2Rio / TFG) -&gt; mid ~$5.</t>
        </is>
      </c>
      <c r="BC428" s="40" t="n"/>
      <c r="BD428" s="43" t="n"/>
    </row>
    <row r="429">
      <c r="A429" s="38" t="inlineStr">
        <is>
          <t>Bolt Portugal</t>
        </is>
      </c>
      <c r="B429" s="38" t="inlineStr">
        <is>
          <t>Portugal</t>
        </is>
      </c>
      <c r="C429" s="39" t="inlineStr">
        <is>
          <t>Lagos → Ponta da Piedade</t>
        </is>
      </c>
      <c r="D429" s="38" t="inlineStr">
        <is>
          <t>bolt</t>
        </is>
      </c>
      <c r="E429" s="40" t="inlineStr">
        <is>
          <t>bolt-portugal</t>
        </is>
      </c>
      <c r="F429" s="41" t="n">
        <v>1</v>
      </c>
      <c r="G429" s="42" t="n">
        <v>1.2</v>
      </c>
      <c r="H429" s="35" t="n">
        <v>24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IF(B429="South Korea",G429/korea_charge_range_nm*korea_full_range_charge_min,0)</f>
        <v/>
      </c>
      <c r="N429" s="44">
        <f>IF(B429="South Korea",L429+korea_turn_min+korea_dwell_min+M429,L429+turn_min+dwell_min)</f>
        <v/>
      </c>
      <c r="O429" s="45">
        <f>IF(B429="South Korea",FLOOR(60*korea_service_hr/N429,1),MIN(15,FLOOR(60*service_hr/N429,1)))</f>
        <v/>
      </c>
      <c r="P429" s="45">
        <f>IF(ABS(MOD(ABS((365*mech_uptime*K429)),1)-0.5)&lt;1E-9,2*ROUND((365*mech_uptime*K429)/2,0),ROUND((365*mech_uptime*K429),0))</f>
        <v/>
      </c>
      <c r="Q429" s="46">
        <f>mech_uptime</f>
        <v/>
      </c>
      <c r="R429" s="46">
        <f>IF(AND(B429="South Korea",scenario="MID"),korea_mid_revleg,revleg_sel)</f>
        <v/>
      </c>
      <c r="S429" s="45">
        <f>IF(ABS(MOD(ABS((O429*P429*R429)),1)-0.5)&lt;1E-9,2*ROUND((O429*P429*R429)/2,0),ROUND((O429*P429*R429),0))</f>
        <v/>
      </c>
      <c r="T429" s="46">
        <f>IF(AND(B429="South Korea",scenario="MID"),korea_mid_load,load_sel)</f>
        <v/>
      </c>
      <c r="U429" s="47">
        <f>pax_cap*T429</f>
        <v/>
      </c>
      <c r="V429" s="45">
        <f>U429*S429</f>
        <v/>
      </c>
      <c r="W429" s="48">
        <f>H429*discount</f>
        <v/>
      </c>
      <c r="X429" s="49">
        <f>W429*V429</f>
        <v/>
      </c>
      <c r="Y429" s="49">
        <f>(battery/range_nm)*G429*S429*VLOOKUP(B429,country_opex,3,FALSE)</f>
        <v/>
      </c>
      <c r="Z429" s="49">
        <f>VLOOKUP(B429,country_opex,2,FALSE)*crew_factor</f>
        <v/>
      </c>
      <c r="AA429" s="49">
        <f>VLOOKUP(B429,country_opex,5,FALSE)</f>
        <v/>
      </c>
      <c r="AB429" s="49">
        <f>maint</f>
        <v/>
      </c>
      <c r="AC429" s="49">
        <f>VLOOKUP(B429,country_opex,7,FALSE)*ins_pct</f>
        <v/>
      </c>
      <c r="AD429" s="49">
        <f>charge_berth</f>
        <v/>
      </c>
      <c r="AE429" s="49">
        <f>Y429+Z429+AA429+AB429+AC429+AD429</f>
        <v/>
      </c>
      <c r="AF429" s="49">
        <f>VLOOKUP(B429,country_opex,7,FALSE)/dep_years</f>
        <v/>
      </c>
      <c r="AG429" s="49">
        <f>X429-AE429</f>
        <v/>
      </c>
      <c r="AH429" s="46">
        <f>IF(X429=0,"",AG429/X429)</f>
        <v/>
      </c>
      <c r="AI429" s="47">
        <f>IF(AG429&lt;=0,"",VLOOKUP(B429,country_opex,7,FALSE)/AG429)</f>
        <v/>
      </c>
      <c r="AJ429" s="44">
        <f>((G429*S429/diesel_nmpg)*diesel_co2pg-(battery/range_nm)*G429*S429*VLOOKUP(B429,country_opex,4,FALSE))/1000</f>
        <v/>
      </c>
      <c r="AK429" s="42" t="n"/>
      <c r="AL429" s="43" t="n"/>
      <c r="AM429" s="43" t="n"/>
      <c r="AN429" s="50" t="n">
        <v>0.1</v>
      </c>
      <c r="AO429" s="45">
        <f>IF(AK429="","",AK429*AN429)</f>
        <v/>
      </c>
      <c r="AP429" s="45">
        <f>IF(OR(AK429="",V429=0),"",MIN(IF(AX429="",9.9E+99,AX429),FLOOR(AO429/V429,1)))</f>
        <v/>
      </c>
      <c r="AQ429" s="49">
        <f>IF(AP429="","",AP429*IF(ABS(MOD(ABS((X429)),1)-0.5)&lt;1E-9,2*ROUND((X429)/2,0),ROUND((X429),0)))</f>
        <v/>
      </c>
      <c r="AR429" s="47">
        <f>IF(OR(AK429="",V429=0),"",MIN(IF(AX429="",9.9E+99,AX429),AO429/V429))</f>
        <v/>
      </c>
      <c r="AS429" s="49">
        <f>IF(AR429="","",AR429*IF(B429="South Korea",IF(ABS(MOD(ABS((X429)),1)-0.5)&lt;1E-9,2*ROUND((X429)/2,0),ROUND((X429),0)),X429))</f>
        <v/>
      </c>
      <c r="AT429" s="51" t="n"/>
      <c r="AU429" s="43" t="inlineStr">
        <is>
          <t>Estimated</t>
        </is>
      </c>
      <c r="AV429" s="52" t="n"/>
      <c r="AW429" s="52" t="n"/>
      <c r="AX429" s="53" t="n"/>
      <c r="AY429" s="54">
        <f>IF(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&lt;=0,"",VLOOKUP(B429,country_opex,7,FALSE)/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)</f>
        <v/>
      </c>
      <c r="AZ429" s="54">
        <f>IF(((W429*pax_cap*IF(B429="South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Korea",korea_mid_revleg,revleg_mid)),0))*VLOOKUP(B429,country_opex,3,FALSE))+Z429+AA429+AB429+AC429+AD429))&lt;=0,"",VLOOKUP(B429,country_opex,7,FALSE)/((W429*pax_cap*IF(B429="South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Korea",korea_mid_revleg,revleg_mid)),0))*VLOOKUP(B429,country_opex,3,FALSE))+Z429+AA429+AB429+AC429+AD429)))</f>
        <v/>
      </c>
      <c r="BA429" s="54">
        <f>IF(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&lt;=0,"",VLOOKUP(B429,country_opex,7,FALSE)/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)</f>
        <v/>
      </c>
      <c r="BB429" s="40" t="inlineStr">
        <is>
          <t>PREMIUM tier: standard Ponta da Piedade grotto boat trip ~EUR 20-25 per seat (Tripadvisor/GetYourGuide; ~$20-25) -&gt; ~$24.</t>
        </is>
      </c>
      <c r="BC429" s="40" t="n"/>
      <c r="BD429" s="43" t="n"/>
    </row>
    <row r="430">
      <c r="A430" s="38" t="inlineStr">
        <is>
          <t>Bolt Portugal</t>
        </is>
      </c>
      <c r="B430" s="38" t="inlineStr">
        <is>
          <t>Portugal</t>
        </is>
      </c>
      <c r="C430" s="39" t="inlineStr">
        <is>
          <t>Cais do Sodré (Lisbon) → Cacilhas (Almada)</t>
        </is>
      </c>
      <c r="D430" s="38" t="inlineStr">
        <is>
          <t>bolt</t>
        </is>
      </c>
      <c r="E430" s="40" t="inlineStr">
        <is>
          <t>bolt-portugal</t>
        </is>
      </c>
      <c r="F430" s="41" t="n">
        <v>1</v>
      </c>
      <c r="G430" s="42" t="n">
        <v>1.5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IF(B430="South Korea",G430/korea_charge_range_nm*korea_full_range_charge_min,0)</f>
        <v/>
      </c>
      <c r="N430" s="44">
        <f>IF(B430="South Korea",L430+korea_turn_min+korea_dwell_min+M430,L430+turn_min+dwell_min)</f>
        <v/>
      </c>
      <c r="O430" s="45">
        <f>IF(B430="South Korea",FLOOR(60*korea_service_hr/N430,1),MIN(15,FLOOR(60*service_hr/N430,1)))</f>
        <v/>
      </c>
      <c r="P430" s="45">
        <f>IF(ABS(MOD(ABS((365*mech_uptime*K430)),1)-0.5)&lt;1E-9,2*ROUND((365*mech_uptime*K430)/2,0),ROUND((365*mech_uptime*K430),0))</f>
        <v/>
      </c>
      <c r="Q430" s="46">
        <f>mech_uptime</f>
        <v/>
      </c>
      <c r="R430" s="46">
        <f>IF(AND(B430="South Korea",scenario="MID"),korea_mid_revleg,revleg_sel)</f>
        <v/>
      </c>
      <c r="S430" s="45">
        <f>IF(ABS(MOD(ABS((O430*P430*R430)),1)-0.5)&lt;1E-9,2*ROUND((O430*P430*R430)/2,0),ROUND((O430*P430*R430),0))</f>
        <v/>
      </c>
      <c r="T430" s="46">
        <f>IF(AND(B430="South Korea",scenario="MID"),korea_mid_load,load_sel)</f>
        <v/>
      </c>
      <c r="U430" s="47">
        <f>pax_cap*T430</f>
        <v/>
      </c>
      <c r="V430" s="45">
        <f>U430*S430</f>
        <v/>
      </c>
      <c r="W430" s="48">
        <f>H430*discount</f>
        <v/>
      </c>
      <c r="X430" s="49">
        <f>W430*V430</f>
        <v/>
      </c>
      <c r="Y430" s="49">
        <f>(battery/range_nm)*G430*S430*VLOOKUP(B430,country_opex,3,FALSE)</f>
        <v/>
      </c>
      <c r="Z430" s="49">
        <f>VLOOKUP(B430,country_opex,2,FALSE)*crew_factor</f>
        <v/>
      </c>
      <c r="AA430" s="49">
        <f>VLOOKUP(B430,country_opex,5,FALSE)</f>
        <v/>
      </c>
      <c r="AB430" s="49">
        <f>maint</f>
        <v/>
      </c>
      <c r="AC430" s="49">
        <f>VLOOKUP(B430,country_opex,7,FALSE)*ins_pct</f>
        <v/>
      </c>
      <c r="AD430" s="49">
        <f>charge_berth</f>
        <v/>
      </c>
      <c r="AE430" s="49">
        <f>Y430+Z430+AA430+AB430+AC430+AD430</f>
        <v/>
      </c>
      <c r="AF430" s="49">
        <f>VLOOKUP(B430,country_opex,7,FALSE)/dep_years</f>
        <v/>
      </c>
      <c r="AG430" s="49">
        <f>X430-AE430</f>
        <v/>
      </c>
      <c r="AH430" s="46">
        <f>IF(X430=0,"",AG430/X430)</f>
        <v/>
      </c>
      <c r="AI430" s="47">
        <f>IF(AG430&lt;=0,"",VLOOKUP(B430,country_opex,7,FALSE)/AG430)</f>
        <v/>
      </c>
      <c r="AJ430" s="44">
        <f>((G430*S430/diesel_nmpg)*diesel_co2pg-(battery/range_nm)*G430*S430*VLOOKUP(B430,country_opex,4,FALSE))/1000</f>
        <v/>
      </c>
      <c r="AK430" s="42" t="n">
        <v>750337</v>
      </c>
      <c r="AL430" s="43" t="n"/>
      <c r="AM430" s="43" t="inlineStr">
        <is>
          <t>med</t>
        </is>
      </c>
      <c r="AN430" s="50" t="n">
        <v>0.25</v>
      </c>
      <c r="AO430" s="45">
        <f>IF(AK430="","",AK430*AN430)</f>
        <v/>
      </c>
      <c r="AP430" s="45">
        <f>IF(OR(AK430="",V430=0),"",MIN(IF(AX430="",9.9E+99,AX430),FLOOR(AO430/V430,1)))</f>
        <v/>
      </c>
      <c r="AQ430" s="49">
        <f>IF(AP430="","",AP430*IF(ABS(MOD(ABS((X430)),1)-0.5)&lt;1E-9,2*ROUND((X430)/2,0),ROUND((X430),0)))</f>
        <v/>
      </c>
      <c r="AR430" s="47">
        <f>IF(OR(AK430="",V430=0),"",MIN(IF(AX430="",9.9E+99,AX430),AO430/V430))</f>
        <v/>
      </c>
      <c r="AS430" s="49">
        <f>IF(AR430="","",AR430*IF(B430="South Korea",IF(ABS(MOD(ABS((X430)),1)-0.5)&lt;1E-9,2*ROUND((X430)/2,0),ROUND((X430),0)),X430))</f>
        <v/>
      </c>
      <c r="AT430" s="51" t="n"/>
      <c r="AU430" s="43" t="inlineStr">
        <is>
          <t>Grounded</t>
        </is>
      </c>
      <c r="AV430" s="52" t="n"/>
      <c r="AW430" s="52" t="n"/>
      <c r="AX430" s="53" t="n"/>
      <c r="AY430" s="54">
        <f>IF(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&lt;=0,"",VLOOKUP(B430,country_opex,7,FALSE)/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)</f>
        <v/>
      </c>
      <c r="AZ430" s="54">
        <f>IF(((W430*pax_cap*IF(B430="South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Korea",korea_mid_revleg,revleg_mid)),0))*VLOOKUP(B430,country_opex,3,FALSE))+Z430+AA430+AB430+AC430+AD430))&lt;=0,"",VLOOKUP(B430,country_opex,7,FALSE)/((W430*pax_cap*IF(B430="South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Korea",korea_mid_revleg,revleg_mid)),0))*VLOOKUP(B430,country_opex,3,FALSE))+Z430+AA430+AB430+AC430+AD430)))</f>
        <v/>
      </c>
      <c r="BA430" s="54">
        <f>IF(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&lt;=0,"",VLOOKUP(B430,country_opex,7,FALSE)/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)</f>
        <v/>
      </c>
      <c r="BB430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C430" s="40" t="n"/>
      <c r="BD430" s="43" t="n"/>
    </row>
    <row r="431">
      <c r="A431" s="38" t="inlineStr">
        <is>
          <t>Bolt Portugal</t>
        </is>
      </c>
      <c r="B431" s="38" t="inlineStr">
        <is>
          <t>Portugal</t>
        </is>
      </c>
      <c r="C431" s="39" t="inlineStr">
        <is>
          <t>Belem (Lisbon) → Trafaria / Porto Brandao (Almada)</t>
        </is>
      </c>
      <c r="D431" s="38" t="inlineStr">
        <is>
          <t>bolt</t>
        </is>
      </c>
      <c r="E431" s="40" t="inlineStr">
        <is>
          <t>bolt-portugal</t>
        </is>
      </c>
      <c r="F431" s="41" t="n">
        <v>1</v>
      </c>
      <c r="G431" s="42" t="n">
        <v>2.4</v>
      </c>
      <c r="H431" s="35" t="n">
        <v>18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IF(B431="South Korea",G431/korea_charge_range_nm*korea_full_range_charge_min,0)</f>
        <v/>
      </c>
      <c r="N431" s="44">
        <f>IF(B431="South Korea",L431+korea_turn_min+korea_dwell_min+M431,L431+turn_min+dwell_min)</f>
        <v/>
      </c>
      <c r="O431" s="45">
        <f>IF(B431="South Korea",FLOOR(60*korea_service_hr/N431,1),MIN(24,FLOOR(60*service_hr/N431,1)))</f>
        <v/>
      </c>
      <c r="P431" s="45">
        <f>IF(ABS(MOD(ABS((365*mech_uptime*K431)),1)-0.5)&lt;1E-9,2*ROUND((365*mech_uptime*K431)/2,0),ROUND((365*mech_uptime*K431),0))</f>
        <v/>
      </c>
      <c r="Q431" s="46">
        <f>mech_uptime</f>
        <v/>
      </c>
      <c r="R431" s="46">
        <f>IF(AND(B431="South Korea",scenario="MID"),korea_mid_revleg,revleg_sel)</f>
        <v/>
      </c>
      <c r="S431" s="45">
        <f>IF(ABS(MOD(ABS((O431*P431*R431)),1)-0.5)&lt;1E-9,2*ROUND((O431*P431*R431)/2,0),ROUND((O431*P431*R431),0))</f>
        <v/>
      </c>
      <c r="T431" s="46">
        <f>IF(AND(B431="South Korea",scenario="MID"),korea_mid_load,load_sel)</f>
        <v/>
      </c>
      <c r="U431" s="47">
        <f>pax_cap*T431</f>
        <v/>
      </c>
      <c r="V431" s="45">
        <f>U431*S431</f>
        <v/>
      </c>
      <c r="W431" s="48">
        <f>H431*discount</f>
        <v/>
      </c>
      <c r="X431" s="49">
        <f>W431*V431</f>
        <v/>
      </c>
      <c r="Y431" s="49">
        <f>(battery/range_nm)*G431*S431*VLOOKUP(B431,country_opex,3,FALSE)</f>
        <v/>
      </c>
      <c r="Z431" s="49">
        <f>VLOOKUP(B431,country_opex,2,FALSE)*crew_factor</f>
        <v/>
      </c>
      <c r="AA431" s="49">
        <f>VLOOKUP(B431,country_opex,5,FALSE)</f>
        <v/>
      </c>
      <c r="AB431" s="49">
        <f>maint</f>
        <v/>
      </c>
      <c r="AC431" s="49">
        <f>VLOOKUP(B431,country_opex,7,FALSE)*ins_pct</f>
        <v/>
      </c>
      <c r="AD431" s="49">
        <f>charge_berth</f>
        <v/>
      </c>
      <c r="AE431" s="49">
        <f>Y431+Z431+AA431+AB431+AC431+AD431</f>
        <v/>
      </c>
      <c r="AF431" s="49">
        <f>VLOOKUP(B431,country_opex,7,FALSE)/dep_years</f>
        <v/>
      </c>
      <c r="AG431" s="49">
        <f>X431-AE431</f>
        <v/>
      </c>
      <c r="AH431" s="46">
        <f>IF(X431=0,"",AG431/X431)</f>
        <v/>
      </c>
      <c r="AI431" s="47">
        <f>IF(AG431&lt;=0,"",VLOOKUP(B431,country_opex,7,FALSE)/AG431)</f>
        <v/>
      </c>
      <c r="AJ431" s="44">
        <f>((G431*S431/diesel_nmpg)*diesel_co2pg-(battery/range_nm)*G431*S431*VLOOKUP(B431,country_opex,4,FALSE))/1000</f>
        <v/>
      </c>
      <c r="AK431" s="42" t="n">
        <v>38706</v>
      </c>
      <c r="AL431" s="43" t="n"/>
      <c r="AM431" s="43" t="inlineStr">
        <is>
          <t>med</t>
        </is>
      </c>
      <c r="AN431" s="50" t="n">
        <v>0.25</v>
      </c>
      <c r="AO431" s="45">
        <f>IF(AK431="","",AK431*AN431)</f>
        <v/>
      </c>
      <c r="AP431" s="45">
        <f>IF(OR(AK431="",V431=0),"",MIN(IF(AX431="",9.9E+99,AX431),FLOOR(AO431/V431,1)))</f>
        <v/>
      </c>
      <c r="AQ431" s="49">
        <f>IF(AP431="","",AP431*IF(ABS(MOD(ABS((X431)),1)-0.5)&lt;1E-9,2*ROUND((X431)/2,0),ROUND((X431),0)))</f>
        <v/>
      </c>
      <c r="AR431" s="47">
        <f>IF(OR(AK431="",V431=0),"",MIN(IF(AX431="",9.9E+99,AX431),AO431/V431))</f>
        <v/>
      </c>
      <c r="AS431" s="49">
        <f>IF(AR431="","",AR431*IF(B431="South Korea",IF(ABS(MOD(ABS((X431)),1)-0.5)&lt;1E-9,2*ROUND((X431)/2,0),ROUND((X431),0)),X431))</f>
        <v/>
      </c>
      <c r="AT431" s="51" t="n"/>
      <c r="AU431" s="43" t="inlineStr">
        <is>
          <t>Estimated</t>
        </is>
      </c>
      <c r="AV431" s="52" t="n"/>
      <c r="AW431" s="52" t="n"/>
      <c r="AX431" s="53" t="n"/>
      <c r="AY431" s="54">
        <f>IF(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&lt;=0,"",VLOOKUP(B431,country_opex,7,FALSE)/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)</f>
        <v/>
      </c>
      <c r="AZ431" s="54">
        <f>IF(((W431*pax_cap*IF(B431="South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Korea",korea_mid_revleg,revleg_mid)),0))*VLOOKUP(B431,country_opex,3,FALSE))+Z431+AA431+AB431+AC431+AD431))&lt;=0,"",VLOOKUP(B431,country_opex,7,FALSE)/((W431*pax_cap*IF(B431="South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Korea",korea_mid_revleg,revleg_mid)),0))*VLOOKUP(B431,country_opex,3,FALSE))+Z431+AA431+AB431+AC431+AD431)))</f>
        <v/>
      </c>
      <c r="BA431" s="54">
        <f>IF(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&lt;=0,"",VLOOKUP(B431,country_opex,7,FALSE)/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)</f>
        <v/>
      </c>
      <c r="BB431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C431" s="40" t="n"/>
      <c r="BD431" s="43" t="n"/>
    </row>
    <row r="432">
      <c r="A432" s="38" t="inlineStr">
        <is>
          <t>Bolt Portugal</t>
        </is>
      </c>
      <c r="B432" s="38" t="inlineStr">
        <is>
          <t>Portugal</t>
        </is>
      </c>
      <c r="C432" s="39" t="inlineStr">
        <is>
          <t>Olhao → Culatra / Farol</t>
        </is>
      </c>
      <c r="D432" s="38" t="inlineStr">
        <is>
          <t>bolt</t>
        </is>
      </c>
      <c r="E432" s="40" t="inlineStr">
        <is>
          <t>bolt-portugal</t>
        </is>
      </c>
      <c r="F432" s="41" t="n">
        <v>1</v>
      </c>
      <c r="G432" s="42" t="n">
        <v>2.7</v>
      </c>
      <c r="H432" s="35" t="n">
        <v>30</v>
      </c>
      <c r="I432" s="43" t="inlineStr">
        <is>
          <t>T2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IF(B432="South Korea",G432/korea_charge_range_nm*korea_full_range_charge_min,0)</f>
        <v/>
      </c>
      <c r="N432" s="44">
        <f>IF(B432="South Korea",L432+korea_turn_min+korea_dwell_min+M432,L432+turn_min+dwell_min)</f>
        <v/>
      </c>
      <c r="O432" s="45">
        <f>IF(B432="South Korea",FLOOR(60*korea_service_hr/N432,1),MIN(15,FLOOR(60*service_hr/N432,1)))</f>
        <v/>
      </c>
      <c r="P432" s="45">
        <f>IF(ABS(MOD(ABS((365*mech_uptime*K432)),1)-0.5)&lt;1E-9,2*ROUND((365*mech_uptime*K432)/2,0),ROUND((365*mech_uptime*K432),0))</f>
        <v/>
      </c>
      <c r="Q432" s="46">
        <f>mech_uptime</f>
        <v/>
      </c>
      <c r="R432" s="46">
        <f>IF(AND(B432="South Korea",scenario="MID"),korea_mid_revleg,revleg_sel)</f>
        <v/>
      </c>
      <c r="S432" s="45">
        <f>IF(ABS(MOD(ABS((O432*P432*R432)),1)-0.5)&lt;1E-9,2*ROUND((O432*P432*R432)/2,0),ROUND((O432*P432*R432),0))</f>
        <v/>
      </c>
      <c r="T432" s="46">
        <f>IF(AND(B432="South Korea",scenario="MID"),korea_mid_load,load_sel)</f>
        <v/>
      </c>
      <c r="U432" s="47">
        <f>pax_cap*T432</f>
        <v/>
      </c>
      <c r="V432" s="45">
        <f>U432*S432</f>
        <v/>
      </c>
      <c r="W432" s="48">
        <f>H432*discount</f>
        <v/>
      </c>
      <c r="X432" s="49">
        <f>W432*V432</f>
        <v/>
      </c>
      <c r="Y432" s="49">
        <f>(battery/range_nm)*G432*S432*VLOOKUP(B432,country_opex,3,FALSE)</f>
        <v/>
      </c>
      <c r="Z432" s="49">
        <f>VLOOKUP(B432,country_opex,2,FALSE)*crew_factor</f>
        <v/>
      </c>
      <c r="AA432" s="49">
        <f>VLOOKUP(B432,country_opex,5,FALSE)</f>
        <v/>
      </c>
      <c r="AB432" s="49">
        <f>maint</f>
        <v/>
      </c>
      <c r="AC432" s="49">
        <f>VLOOKUP(B432,country_opex,7,FALSE)*ins_pct</f>
        <v/>
      </c>
      <c r="AD432" s="49">
        <f>charge_berth</f>
        <v/>
      </c>
      <c r="AE432" s="49">
        <f>Y432+Z432+AA432+AB432+AC432+AD432</f>
        <v/>
      </c>
      <c r="AF432" s="49">
        <f>VLOOKUP(B432,country_opex,7,FALSE)/dep_years</f>
        <v/>
      </c>
      <c r="AG432" s="49">
        <f>X432-AE432</f>
        <v/>
      </c>
      <c r="AH432" s="46">
        <f>IF(X432=0,"",AG432/X432)</f>
        <v/>
      </c>
      <c r="AI432" s="47">
        <f>IF(AG432&lt;=0,"",VLOOKUP(B432,country_opex,7,FALSE)/AG432)</f>
        <v/>
      </c>
      <c r="AJ432" s="44">
        <f>((G432*S432/diesel_nmpg)*diesel_co2pg-(battery/range_nm)*G432*S432*VLOOKUP(B432,country_opex,4,FALSE))/1000</f>
        <v/>
      </c>
      <c r="AK432" s="42" t="n"/>
      <c r="AL432" s="43" t="n"/>
      <c r="AM432" s="43" t="n"/>
      <c r="AN432" s="50" t="n">
        <v>0.1</v>
      </c>
      <c r="AO432" s="45">
        <f>IF(AK432="","",AK432*AN432)</f>
        <v/>
      </c>
      <c r="AP432" s="45">
        <f>IF(OR(AK432="",V432=0),"",MIN(IF(AX432="",9.9E+99,AX432),FLOOR(AO432/V432,1)))</f>
        <v/>
      </c>
      <c r="AQ432" s="49">
        <f>IF(AP432="","",AP432*IF(ABS(MOD(ABS((X432)),1)-0.5)&lt;1E-9,2*ROUND((X432)/2,0),ROUND((X432),0)))</f>
        <v/>
      </c>
      <c r="AR432" s="47">
        <f>IF(OR(AK432="",V432=0),"",MIN(IF(AX432="",9.9E+99,AX432),AO432/V432))</f>
        <v/>
      </c>
      <c r="AS432" s="49">
        <f>IF(AR432="","",AR432*IF(B432="South Korea",IF(ABS(MOD(ABS((X432)),1)-0.5)&lt;1E-9,2*ROUND((X432)/2,0),ROUND((X432),0)),X432))</f>
        <v/>
      </c>
      <c r="AT432" s="51" t="n"/>
      <c r="AU432" s="43" t="inlineStr">
        <is>
          <t>Estimated</t>
        </is>
      </c>
      <c r="AV432" s="52" t="n"/>
      <c r="AW432" s="52" t="n"/>
      <c r="AX432" s="53" t="n"/>
      <c r="AY432" s="54">
        <f>IF(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&lt;=0,"",VLOOKUP(B432,country_opex,7,FALSE)/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)</f>
        <v/>
      </c>
      <c r="AZ432" s="54">
        <f>IF(((W432*pax_cap*IF(B432="South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Korea",korea_mid_revleg,revleg_mid)),0))*VLOOKUP(B432,country_opex,3,FALSE))+Z432+AA432+AB432+AC432+AD432))&lt;=0,"",VLOOKUP(B432,country_opex,7,FALSE)/((W432*pax_cap*IF(B432="South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Korea",korea_mid_revleg,revleg_mid)),0))*VLOOKUP(B432,country_opex,3,FALSE))+Z432+AA432+AB432+AC432+AD432)))</f>
        <v/>
      </c>
      <c r="BA432" s="54">
        <f>IF(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&lt;=0,"",VLOOKUP(B432,country_opex,7,FALSE)/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)</f>
        <v/>
      </c>
      <c r="BB432" s="40" t="inlineStr">
        <is>
          <t>PREMIUM tier: Ria Formosa island-hopping tour Olhao -&gt; Farol/Culatra/Armona ~EUR 25-30 per seat (GetYourGuide) -&gt; ~$30.</t>
        </is>
      </c>
      <c r="BC432" s="40" t="n"/>
      <c r="BD432" s="43" t="n"/>
    </row>
    <row r="433">
      <c r="A433" s="38" t="inlineStr">
        <is>
          <t>Bolt Portugal</t>
        </is>
      </c>
      <c r="B433" s="38" t="inlineStr">
        <is>
          <t>Portugal</t>
        </is>
      </c>
      <c r="C433" s="39" t="inlineStr">
        <is>
          <t>Faro → Ilha Deserta (Barreta)</t>
        </is>
      </c>
      <c r="D433" s="38" t="inlineStr">
        <is>
          <t>bolt</t>
        </is>
      </c>
      <c r="E433" s="40" t="inlineStr">
        <is>
          <t>bolt-portugal</t>
        </is>
      </c>
      <c r="F433" s="41" t="n">
        <v>1</v>
      </c>
      <c r="G433" s="42" t="n">
        <v>3</v>
      </c>
      <c r="H433" s="35" t="n">
        <v>30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IF(B433="South Korea",G433/korea_charge_range_nm*korea_full_range_charge_min,0)</f>
        <v/>
      </c>
      <c r="N433" s="44">
        <f>IF(B433="South Korea",L433+korea_turn_min+korea_dwell_min+M433,L433+turn_min+dwell_min)</f>
        <v/>
      </c>
      <c r="O433" s="45">
        <f>IF(B433="South Korea",FLOOR(60*korea_service_hr/N433,1),MIN(15,FLOOR(60*service_hr/N433,1)))</f>
        <v/>
      </c>
      <c r="P433" s="45">
        <f>IF(ABS(MOD(ABS((365*mech_uptime*K433)),1)-0.5)&lt;1E-9,2*ROUND((365*mech_uptime*K433)/2,0),ROUND((365*mech_uptime*K433),0))</f>
        <v/>
      </c>
      <c r="Q433" s="46">
        <f>mech_uptime</f>
        <v/>
      </c>
      <c r="R433" s="46">
        <f>IF(AND(B433="South Korea",scenario="MID"),korea_mid_revleg,revleg_sel)</f>
        <v/>
      </c>
      <c r="S433" s="45">
        <f>IF(ABS(MOD(ABS((O433*P433*R433)),1)-0.5)&lt;1E-9,2*ROUND((O433*P433*R433)/2,0),ROUND((O433*P433*R433),0))</f>
        <v/>
      </c>
      <c r="T433" s="46">
        <f>IF(AND(B433="South Korea",scenario="MID"),korea_mid_load,load_sel)</f>
        <v/>
      </c>
      <c r="U433" s="47">
        <f>pax_cap*T433</f>
        <v/>
      </c>
      <c r="V433" s="45">
        <f>U433*S433</f>
        <v/>
      </c>
      <c r="W433" s="48">
        <f>H433*discount</f>
        <v/>
      </c>
      <c r="X433" s="49">
        <f>W433*V433</f>
        <v/>
      </c>
      <c r="Y433" s="49">
        <f>(battery/range_nm)*G433*S433*VLOOKUP(B433,country_opex,3,FALSE)</f>
        <v/>
      </c>
      <c r="Z433" s="49">
        <f>VLOOKUP(B433,country_opex,2,FALSE)*crew_factor</f>
        <v/>
      </c>
      <c r="AA433" s="49">
        <f>VLOOKUP(B433,country_opex,5,FALSE)</f>
        <v/>
      </c>
      <c r="AB433" s="49">
        <f>maint</f>
        <v/>
      </c>
      <c r="AC433" s="49">
        <f>VLOOKUP(B433,country_opex,7,FALSE)*ins_pct</f>
        <v/>
      </c>
      <c r="AD433" s="49">
        <f>charge_berth</f>
        <v/>
      </c>
      <c r="AE433" s="49">
        <f>Y433+Z433+AA433+AB433+AC433+AD433</f>
        <v/>
      </c>
      <c r="AF433" s="49">
        <f>VLOOKUP(B433,country_opex,7,FALSE)/dep_years</f>
        <v/>
      </c>
      <c r="AG433" s="49">
        <f>X433-AE433</f>
        <v/>
      </c>
      <c r="AH433" s="46">
        <f>IF(X433=0,"",AG433/X433)</f>
        <v/>
      </c>
      <c r="AI433" s="47">
        <f>IF(AG433&lt;=0,"",VLOOKUP(B433,country_opex,7,FALSE)/AG433)</f>
        <v/>
      </c>
      <c r="AJ433" s="44">
        <f>((G433*S433/diesel_nmpg)*diesel_co2pg-(battery/range_nm)*G433*S433*VLOOKUP(B433,country_opex,4,FALSE))/1000</f>
        <v/>
      </c>
      <c r="AK433" s="42" t="n"/>
      <c r="AL433" s="43" t="n"/>
      <c r="AM433" s="43" t="n"/>
      <c r="AN433" s="50" t="n">
        <v>0.1</v>
      </c>
      <c r="AO433" s="45">
        <f>IF(AK433="","",AK433*AN433)</f>
        <v/>
      </c>
      <c r="AP433" s="45">
        <f>IF(OR(AK433="",V433=0),"",MIN(IF(AX433="",9.9E+99,AX433),FLOOR(AO433/V433,1)))</f>
        <v/>
      </c>
      <c r="AQ433" s="49">
        <f>IF(AP433="","",AP433*IF(ABS(MOD(ABS((X433)),1)-0.5)&lt;1E-9,2*ROUND((X433)/2,0),ROUND((X433),0)))</f>
        <v/>
      </c>
      <c r="AR433" s="47">
        <f>IF(OR(AK433="",V433=0),"",MIN(IF(AX433="",9.9E+99,AX433),AO433/V433))</f>
        <v/>
      </c>
      <c r="AS433" s="49">
        <f>IF(AR433="","",AR433*IF(B433="South Korea",IF(ABS(MOD(ABS((X433)),1)-0.5)&lt;1E-9,2*ROUND((X433)/2,0),ROUND((X433),0)),X433))</f>
        <v/>
      </c>
      <c r="AT433" s="51" t="n"/>
      <c r="AU433" s="43" t="inlineStr">
        <is>
          <t>Estimated</t>
        </is>
      </c>
      <c r="AV433" s="52" t="n"/>
      <c r="AW433" s="52" t="n"/>
      <c r="AX433" s="53" t="n"/>
      <c r="AY433" s="54">
        <f>IF(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&lt;=0,"",VLOOKUP(B433,country_opex,7,FALSE)/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)</f>
        <v/>
      </c>
      <c r="AZ433" s="54">
        <f>IF(((W433*pax_cap*IF(B433="South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Korea",korea_mid_revleg,revleg_mid)),0))*VLOOKUP(B433,country_opex,3,FALSE))+Z433+AA433+AB433+AC433+AD433))&lt;=0,"",VLOOKUP(B433,country_opex,7,FALSE)/((W433*pax_cap*IF(B433="South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Korea",korea_mid_revleg,revleg_mid)),0))*VLOOKUP(B433,country_opex,3,FALSE))+Z433+AA433+AB433+AC433+AD433)))</f>
        <v/>
      </c>
      <c r="BA433" s="54">
        <f>IF(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&lt;=0,"",VLOOKUP(B433,country_opex,7,FALSE)/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)</f>
        <v/>
      </c>
      <c r="BB433" s="40" t="inlineStr">
        <is>
          <t>PREMIUM tier: solar/eco boat tour Faro -&gt; Ilha Deserta ~EUR 28-30 per seat (GetYourGuide / Animaris / Lands eco boat tours) -&gt; ~$30.</t>
        </is>
      </c>
      <c r="BC433" s="40" t="n"/>
      <c r="BD433" s="43" t="n"/>
    </row>
    <row r="434">
      <c r="A434" s="38" t="inlineStr">
        <is>
          <t>Bolt Portugal</t>
        </is>
      </c>
      <c r="B434" s="38" t="inlineStr">
        <is>
          <t>Portugal</t>
        </is>
      </c>
      <c r="C434" s="39" t="inlineStr">
        <is>
          <t>Cais do Sodre (Lisbon) → Seixal</t>
        </is>
      </c>
      <c r="D434" s="38" t="inlineStr">
        <is>
          <t>bolt</t>
        </is>
      </c>
      <c r="E434" s="40" t="inlineStr">
        <is>
          <t>bolt-portugal</t>
        </is>
      </c>
      <c r="F434" s="41" t="n">
        <v>1</v>
      </c>
      <c r="G434" s="42" t="n">
        <v>4.6</v>
      </c>
      <c r="H434" s="35" t="n">
        <v>18</v>
      </c>
      <c r="I434" s="43" t="inlineStr">
        <is>
          <t>T2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IF(B434="South Korea",G434/korea_charge_range_nm*korea_full_range_charge_min,0)</f>
        <v/>
      </c>
      <c r="N434" s="44">
        <f>IF(B434="South Korea",L434+korea_turn_min+korea_dwell_min+M434,L434+turn_min+dwell_min)</f>
        <v/>
      </c>
      <c r="O434" s="45">
        <f>IF(B434="South Korea",FLOOR(60*korea_service_hr/N434,1),MIN(24,FLOOR(60*service_hr/N434,1)))</f>
        <v/>
      </c>
      <c r="P434" s="45">
        <f>IF(ABS(MOD(ABS((365*mech_uptime*K434)),1)-0.5)&lt;1E-9,2*ROUND((365*mech_uptime*K434)/2,0),ROUND((365*mech_uptime*K434),0))</f>
        <v/>
      </c>
      <c r="Q434" s="46">
        <f>mech_uptime</f>
        <v/>
      </c>
      <c r="R434" s="46">
        <f>IF(AND(B434="South Korea",scenario="MID"),korea_mid_revleg,revleg_sel)</f>
        <v/>
      </c>
      <c r="S434" s="45">
        <f>IF(ABS(MOD(ABS((O434*P434*R434)),1)-0.5)&lt;1E-9,2*ROUND((O434*P434*R434)/2,0),ROUND((O434*P434*R434),0))</f>
        <v/>
      </c>
      <c r="T434" s="46">
        <f>IF(AND(B434="South Korea",scenario="MID"),korea_mid_load,load_sel)</f>
        <v/>
      </c>
      <c r="U434" s="47">
        <f>pax_cap*T434</f>
        <v/>
      </c>
      <c r="V434" s="45">
        <f>U434*S434</f>
        <v/>
      </c>
      <c r="W434" s="48">
        <f>H434*discount</f>
        <v/>
      </c>
      <c r="X434" s="49">
        <f>W434*V434</f>
        <v/>
      </c>
      <c r="Y434" s="49">
        <f>(battery/range_nm)*G434*S434*VLOOKUP(B434,country_opex,3,FALSE)</f>
        <v/>
      </c>
      <c r="Z434" s="49">
        <f>VLOOKUP(B434,country_opex,2,FALSE)*crew_factor</f>
        <v/>
      </c>
      <c r="AA434" s="49">
        <f>VLOOKUP(B434,country_opex,5,FALSE)</f>
        <v/>
      </c>
      <c r="AB434" s="49">
        <f>maint</f>
        <v/>
      </c>
      <c r="AC434" s="49">
        <f>VLOOKUP(B434,country_opex,7,FALSE)*ins_pct</f>
        <v/>
      </c>
      <c r="AD434" s="49">
        <f>charge_berth</f>
        <v/>
      </c>
      <c r="AE434" s="49">
        <f>Y434+Z434+AA434+AB434+AC434+AD434</f>
        <v/>
      </c>
      <c r="AF434" s="49">
        <f>VLOOKUP(B434,country_opex,7,FALSE)/dep_years</f>
        <v/>
      </c>
      <c r="AG434" s="49">
        <f>X434-AE434</f>
        <v/>
      </c>
      <c r="AH434" s="46">
        <f>IF(X434=0,"",AG434/X434)</f>
        <v/>
      </c>
      <c r="AI434" s="47">
        <f>IF(AG434&lt;=0,"",VLOOKUP(B434,country_opex,7,FALSE)/AG434)</f>
        <v/>
      </c>
      <c r="AJ434" s="44">
        <f>((G434*S434/diesel_nmpg)*diesel_co2pg-(battery/range_nm)*G434*S434*VLOOKUP(B434,country_opex,4,FALSE))/1000</f>
        <v/>
      </c>
      <c r="AK434" s="42" t="n">
        <v>183931</v>
      </c>
      <c r="AL434" s="43" t="n"/>
      <c r="AM434" s="43" t="inlineStr">
        <is>
          <t>med</t>
        </is>
      </c>
      <c r="AN434" s="50" t="n">
        <v>0.25</v>
      </c>
      <c r="AO434" s="45">
        <f>IF(AK434="","",AK434*AN434)</f>
        <v/>
      </c>
      <c r="AP434" s="45">
        <f>IF(OR(AK434="",V434=0),"",MIN(IF(AX434="",9.9E+99,AX434),FLOOR(AO434/V434,1)))</f>
        <v/>
      </c>
      <c r="AQ434" s="49">
        <f>IF(AP434="","",AP434*IF(ABS(MOD(ABS((X434)),1)-0.5)&lt;1E-9,2*ROUND((X434)/2,0),ROUND((X434),0)))</f>
        <v/>
      </c>
      <c r="AR434" s="47">
        <f>IF(OR(AK434="",V434=0),"",MIN(IF(AX434="",9.9E+99,AX434),AO434/V434))</f>
        <v/>
      </c>
      <c r="AS434" s="49">
        <f>IF(AR434="","",AR434*IF(B434="South Korea",IF(ABS(MOD(ABS((X434)),1)-0.5)&lt;1E-9,2*ROUND((X434)/2,0),ROUND((X434),0)),X434))</f>
        <v/>
      </c>
      <c r="AT434" s="51" t="n"/>
      <c r="AU434" s="43" t="inlineStr">
        <is>
          <t>Grounded</t>
        </is>
      </c>
      <c r="AV434" s="52" t="n"/>
      <c r="AW434" s="52" t="n"/>
      <c r="AX434" s="53" t="n"/>
      <c r="AY434" s="54">
        <f>IF(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&lt;=0,"",VLOOKUP(B434,country_opex,7,FALSE)/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)</f>
        <v/>
      </c>
      <c r="AZ434" s="54">
        <f>IF(((W434*pax_cap*IF(B434="South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Korea",korea_mid_revleg,revleg_mid)),0))*VLOOKUP(B434,country_opex,3,FALSE))+Z434+AA434+AB434+AC434+AD434))&lt;=0,"",VLOOKUP(B434,country_opex,7,FALSE)/((W434*pax_cap*IF(B434="South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Korea",korea_mid_revleg,revleg_mid)),0))*VLOOKUP(B434,country_opex,3,FALSE))+Z434+AA434+AB434+AC434+AD434)))</f>
        <v/>
      </c>
      <c r="BA434" s="54">
        <f>IF(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&lt;=0,"",VLOOKUP(B434,country_opex,7,FALSE)/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)</f>
        <v/>
      </c>
      <c r="BB434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C434" s="40" t="n"/>
      <c r="BD434" s="43" t="n"/>
    </row>
    <row r="435">
      <c r="A435" s="38" t="inlineStr">
        <is>
          <t>Bolt Portugal</t>
        </is>
      </c>
      <c r="B435" s="38" t="inlineStr">
        <is>
          <t>Portugal</t>
        </is>
      </c>
      <c r="C435" s="39" t="inlineStr">
        <is>
          <t>Terreiro do Paco (Lisbon) → Barreiro</t>
        </is>
      </c>
      <c r="D435" s="38" t="inlineStr">
        <is>
          <t>bolt</t>
        </is>
      </c>
      <c r="E435" s="40" t="inlineStr">
        <is>
          <t>bolt-portugal</t>
        </is>
      </c>
      <c r="F435" s="41" t="n">
        <v>1</v>
      </c>
      <c r="G435" s="42" t="n">
        <v>5</v>
      </c>
      <c r="H435" s="35" t="n">
        <v>18</v>
      </c>
      <c r="I435" s="43" t="inlineStr">
        <is>
          <t>T2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IF(B435="South Korea",G435/korea_charge_range_nm*korea_full_range_charge_min,0)</f>
        <v/>
      </c>
      <c r="N435" s="44">
        <f>IF(B435="South Korea",L435+korea_turn_min+korea_dwell_min+M435,L435+turn_min+dwell_min)</f>
        <v/>
      </c>
      <c r="O435" s="45">
        <f>IF(B435="South Korea",FLOOR(60*korea_service_hr/N435,1),MIN(24,FLOOR(60*service_hr/N435,1)))</f>
        <v/>
      </c>
      <c r="P435" s="45">
        <f>IF(ABS(MOD(ABS((365*mech_uptime*K435)),1)-0.5)&lt;1E-9,2*ROUND((365*mech_uptime*K435)/2,0),ROUND((365*mech_uptime*K435),0))</f>
        <v/>
      </c>
      <c r="Q435" s="46">
        <f>mech_uptime</f>
        <v/>
      </c>
      <c r="R435" s="46">
        <f>IF(AND(B435="South Korea",scenario="MID"),korea_mid_revleg,revleg_sel)</f>
        <v/>
      </c>
      <c r="S435" s="45">
        <f>IF(ABS(MOD(ABS((O435*P435*R435)),1)-0.5)&lt;1E-9,2*ROUND((O435*P435*R435)/2,0),ROUND((O435*P435*R435),0))</f>
        <v/>
      </c>
      <c r="T435" s="46">
        <f>IF(AND(B435="South Korea",scenario="MID"),korea_mid_load,load_sel)</f>
        <v/>
      </c>
      <c r="U435" s="47">
        <f>pax_cap*T435</f>
        <v/>
      </c>
      <c r="V435" s="45">
        <f>U435*S435</f>
        <v/>
      </c>
      <c r="W435" s="48">
        <f>H435*discount</f>
        <v/>
      </c>
      <c r="X435" s="49">
        <f>W435*V435</f>
        <v/>
      </c>
      <c r="Y435" s="49">
        <f>(battery/range_nm)*G435*S435*VLOOKUP(B435,country_opex,3,FALSE)</f>
        <v/>
      </c>
      <c r="Z435" s="49">
        <f>VLOOKUP(B435,country_opex,2,FALSE)*crew_factor</f>
        <v/>
      </c>
      <c r="AA435" s="49">
        <f>VLOOKUP(B435,country_opex,5,FALSE)</f>
        <v/>
      </c>
      <c r="AB435" s="49">
        <f>maint</f>
        <v/>
      </c>
      <c r="AC435" s="49">
        <f>VLOOKUP(B435,country_opex,7,FALSE)*ins_pct</f>
        <v/>
      </c>
      <c r="AD435" s="49">
        <f>charge_berth</f>
        <v/>
      </c>
      <c r="AE435" s="49">
        <f>Y435+Z435+AA435+AB435+AC435+AD435</f>
        <v/>
      </c>
      <c r="AF435" s="49">
        <f>VLOOKUP(B435,country_opex,7,FALSE)/dep_years</f>
        <v/>
      </c>
      <c r="AG435" s="49">
        <f>X435-AE435</f>
        <v/>
      </c>
      <c r="AH435" s="46">
        <f>IF(X435=0,"",AG435/X435)</f>
        <v/>
      </c>
      <c r="AI435" s="47">
        <f>IF(AG435&lt;=0,"",VLOOKUP(B435,country_opex,7,FALSE)/AG435)</f>
        <v/>
      </c>
      <c r="AJ435" s="44">
        <f>((G435*S435/diesel_nmpg)*diesel_co2pg-(battery/range_nm)*G435*S435*VLOOKUP(B435,country_opex,4,FALSE))/1000</f>
        <v/>
      </c>
      <c r="AK435" s="42" t="n">
        <v>1777523</v>
      </c>
      <c r="AL435" s="43" t="n"/>
      <c r="AM435" s="43" t="inlineStr">
        <is>
          <t>med</t>
        </is>
      </c>
      <c r="AN435" s="50" t="n">
        <v>0.25</v>
      </c>
      <c r="AO435" s="45">
        <f>IF(AK435="","",AK435*AN435)</f>
        <v/>
      </c>
      <c r="AP435" s="45">
        <f>IF(OR(AK435="",V435=0),"",MIN(IF(AX435="",9.9E+99,AX435),FLOOR(AO435/V435,1)))</f>
        <v/>
      </c>
      <c r="AQ435" s="49">
        <f>IF(AP435="","",AP435*IF(ABS(MOD(ABS((X435)),1)-0.5)&lt;1E-9,2*ROUND((X435)/2,0),ROUND((X435),0)))</f>
        <v/>
      </c>
      <c r="AR435" s="47">
        <f>IF(OR(AK435="",V435=0),"",MIN(IF(AX435="",9.9E+99,AX435),AO435/V435))</f>
        <v/>
      </c>
      <c r="AS435" s="49">
        <f>IF(AR435="","",AR435*IF(B435="South Korea",IF(ABS(MOD(ABS((X435)),1)-0.5)&lt;1E-9,2*ROUND((X435)/2,0),ROUND((X435),0)),X435))</f>
        <v/>
      </c>
      <c r="AT435" s="51" t="n"/>
      <c r="AU435" s="43" t="inlineStr">
        <is>
          <t>Grounded</t>
        </is>
      </c>
      <c r="AV435" s="52" t="n"/>
      <c r="AW435" s="52" t="n"/>
      <c r="AX435" s="53" t="n"/>
      <c r="AY435" s="54">
        <f>IF(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&lt;=0,"",VLOOKUP(B435,country_opex,7,FALSE)/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)</f>
        <v/>
      </c>
      <c r="AZ435" s="54">
        <f>IF(((W435*pax_cap*IF(B435="South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Korea",korea_mid_revleg,revleg_mid)),0))*VLOOKUP(B435,country_opex,3,FALSE))+Z435+AA435+AB435+AC435+AD435))&lt;=0,"",VLOOKUP(B435,country_opex,7,FALSE)/((W435*pax_cap*IF(B435="South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Korea",korea_mid_revleg,revleg_mid)),0))*VLOOKUP(B435,country_opex,3,FALSE))+Z435+AA435+AB435+AC435+AD435)))</f>
        <v/>
      </c>
      <c r="BA435" s="54">
        <f>IF(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&lt;=0,"",VLOOKUP(B435,country_opex,7,FALSE)/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)</f>
        <v/>
      </c>
      <c r="BB435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C435" s="40" t="n"/>
      <c r="BD435" s="43" t="n"/>
    </row>
    <row r="436">
      <c r="A436" s="38" t="inlineStr">
        <is>
          <t>Bolt Portugal</t>
        </is>
      </c>
      <c r="B436" s="38" t="inlineStr">
        <is>
          <t>Portugal</t>
        </is>
      </c>
      <c r="C436" s="39" t="inlineStr">
        <is>
          <t>Portimao → Benagil</t>
        </is>
      </c>
      <c r="D436" s="38" t="inlineStr">
        <is>
          <t>bolt</t>
        </is>
      </c>
      <c r="E436" s="40" t="inlineStr">
        <is>
          <t>bolt-portugal</t>
        </is>
      </c>
      <c r="F436" s="41" t="n">
        <v>1</v>
      </c>
      <c r="G436" s="42" t="n">
        <v>6</v>
      </c>
      <c r="H436" s="35" t="n">
        <v>45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IF(B436="South Korea",G436/korea_charge_range_nm*korea_full_range_charge_min,0)</f>
        <v/>
      </c>
      <c r="N436" s="44">
        <f>IF(B436="South Korea",L436+korea_turn_min+korea_dwell_min+M436,L436+turn_min+dwell_min)</f>
        <v/>
      </c>
      <c r="O436" s="45">
        <f>IF(B436="South Korea",FLOOR(60*korea_service_hr/N436,1),MIN(15,FLOOR(60*service_hr/N436,1)))</f>
        <v/>
      </c>
      <c r="P436" s="45">
        <f>IF(ABS(MOD(ABS((365*mech_uptime*K436)),1)-0.5)&lt;1E-9,2*ROUND((365*mech_uptime*K436)/2,0),ROUND((365*mech_uptime*K436),0))</f>
        <v/>
      </c>
      <c r="Q436" s="46">
        <f>mech_uptime</f>
        <v/>
      </c>
      <c r="R436" s="46">
        <f>IF(AND(B436="South Korea",scenario="MID"),korea_mid_revleg,revleg_sel)</f>
        <v/>
      </c>
      <c r="S436" s="45">
        <f>IF(ABS(MOD(ABS((O436*P436*R436)),1)-0.5)&lt;1E-9,2*ROUND((O436*P436*R436)/2,0),ROUND((O436*P436*R436),0))</f>
        <v/>
      </c>
      <c r="T436" s="46">
        <f>IF(AND(B436="South Korea",scenario="MID"),korea_mid_load,load_sel)</f>
        <v/>
      </c>
      <c r="U436" s="47">
        <f>pax_cap*T436</f>
        <v/>
      </c>
      <c r="V436" s="45">
        <f>U436*S436</f>
        <v/>
      </c>
      <c r="W436" s="48">
        <f>H436*discount</f>
        <v/>
      </c>
      <c r="X436" s="49">
        <f>W436*V436</f>
        <v/>
      </c>
      <c r="Y436" s="49">
        <f>(battery/range_nm)*G436*S436*VLOOKUP(B436,country_opex,3,FALSE)</f>
        <v/>
      </c>
      <c r="Z436" s="49">
        <f>VLOOKUP(B436,country_opex,2,FALSE)*crew_factor</f>
        <v/>
      </c>
      <c r="AA436" s="49">
        <f>VLOOKUP(B436,country_opex,5,FALSE)</f>
        <v/>
      </c>
      <c r="AB436" s="49">
        <f>maint</f>
        <v/>
      </c>
      <c r="AC436" s="49">
        <f>VLOOKUP(B436,country_opex,7,FALSE)*ins_pct</f>
        <v/>
      </c>
      <c r="AD436" s="49">
        <f>charge_berth</f>
        <v/>
      </c>
      <c r="AE436" s="49">
        <f>Y436+Z436+AA436+AB436+AC436+AD436</f>
        <v/>
      </c>
      <c r="AF436" s="49">
        <f>VLOOKUP(B436,country_opex,7,FALSE)/dep_years</f>
        <v/>
      </c>
      <c r="AG436" s="49">
        <f>X436-AE436</f>
        <v/>
      </c>
      <c r="AH436" s="46">
        <f>IF(X436=0,"",AG436/X436)</f>
        <v/>
      </c>
      <c r="AI436" s="47">
        <f>IF(AG436&lt;=0,"",VLOOKUP(B436,country_opex,7,FALSE)/AG436)</f>
        <v/>
      </c>
      <c r="AJ436" s="44">
        <f>((G436*S436/diesel_nmpg)*diesel_co2pg-(battery/range_nm)*G436*S436*VLOOKUP(B436,country_opex,4,FALSE))/1000</f>
        <v/>
      </c>
      <c r="AK436" s="42" t="n"/>
      <c r="AL436" s="43" t="n"/>
      <c r="AM436" s="43" t="n"/>
      <c r="AN436" s="50" t="n">
        <v>0.1</v>
      </c>
      <c r="AO436" s="45">
        <f>IF(AK436="","",AK436*AN436)</f>
        <v/>
      </c>
      <c r="AP436" s="45">
        <f>IF(OR(AK436="",V436=0),"",MIN(IF(AX436="",9.9E+99,AX436),FLOOR(AO436/V436,1)))</f>
        <v/>
      </c>
      <c r="AQ436" s="49">
        <f>IF(AP436="","",AP436*IF(ABS(MOD(ABS((X436)),1)-0.5)&lt;1E-9,2*ROUND((X436)/2,0),ROUND((X436),0)))</f>
        <v/>
      </c>
      <c r="AR436" s="47">
        <f>IF(OR(AK436="",V436=0),"",MIN(IF(AX436="",9.9E+99,AX436),AO436/V436))</f>
        <v/>
      </c>
      <c r="AS436" s="49">
        <f>IF(AR436="","",AR436*IF(B436="South Korea",IF(ABS(MOD(ABS((X436)),1)-0.5)&lt;1E-9,2*ROUND((X436)/2,0),ROUND((X436),0)),X436))</f>
        <v/>
      </c>
      <c r="AT436" s="51" t="n"/>
      <c r="AU436" s="43" t="inlineStr">
        <is>
          <t>Estimated</t>
        </is>
      </c>
      <c r="AV436" s="52" t="n"/>
      <c r="AW436" s="52" t="n"/>
      <c r="AX436" s="53" t="n"/>
      <c r="AY436" s="54">
        <f>IF(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&lt;=0,"",VLOOKUP(B436,country_opex,7,FALSE)/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)</f>
        <v/>
      </c>
      <c r="AZ436" s="54">
        <f>IF(((W436*pax_cap*IF(B436="South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Korea",korea_mid_revleg,revleg_mid)),0))*VLOOKUP(B436,country_opex,3,FALSE))+Z436+AA436+AB436+AC436+AD436))&lt;=0,"",VLOOKUP(B436,country_opex,7,FALSE)/((W436*pax_cap*IF(B436="South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Korea",korea_mid_revleg,revleg_mid)),0))*VLOOKUP(B436,country_opex,3,FALSE))+Z436+AA436+AB436+AC436+AD436)))</f>
        <v/>
      </c>
      <c r="BA436" s="54">
        <f>IF(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&lt;=0,"",VLOOKUP(B436,country_opex,7,FALSE)/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)</f>
        <v/>
      </c>
      <c r="BB436" s="40" t="inlineStr">
        <is>
          <t>PREMIUM tier: Benagil + Marinha boat tour from Portimao ~EUR 35-50 per seat (GetYourGuide ~$40-50; private/luxury much higher) -&gt; ~$45.</t>
        </is>
      </c>
      <c r="BC436" s="40" t="n"/>
      <c r="BD436" s="43" t="n"/>
    </row>
    <row r="437">
      <c r="A437" s="38" t="inlineStr">
        <is>
          <t>Bolt Portugal</t>
        </is>
      </c>
      <c r="B437" s="38" t="inlineStr">
        <is>
          <t>Portugal</t>
        </is>
      </c>
      <c r="C437" s="39" t="inlineStr">
        <is>
          <t>Cais do Sodre (Lisbon) → Montijo</t>
        </is>
      </c>
      <c r="D437" s="38" t="inlineStr">
        <is>
          <t>bolt</t>
        </is>
      </c>
      <c r="E437" s="40" t="inlineStr">
        <is>
          <t>bolt-portugal</t>
        </is>
      </c>
      <c r="F437" s="41" t="n">
        <v>1</v>
      </c>
      <c r="G437" s="42" t="n">
        <v>8.1</v>
      </c>
      <c r="H437" s="35" t="n">
        <v>18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IF(B437="South Korea",G437/korea_charge_range_nm*korea_full_range_charge_min,0)</f>
        <v/>
      </c>
      <c r="N437" s="44">
        <f>IF(B437="South Korea",L437+korea_turn_min+korea_dwell_min+M437,L437+turn_min+dwell_min)</f>
        <v/>
      </c>
      <c r="O437" s="45">
        <f>IF(B437="South Korea",FLOOR(60*korea_service_hr/N437,1),MIN(24,FLOOR(60*service_hr/N437,1)))</f>
        <v/>
      </c>
      <c r="P437" s="45">
        <f>IF(ABS(MOD(ABS((365*mech_uptime*K437)),1)-0.5)&lt;1E-9,2*ROUND((365*mech_uptime*K437)/2,0),ROUND((365*mech_uptime*K437),0))</f>
        <v/>
      </c>
      <c r="Q437" s="46">
        <f>mech_uptime</f>
        <v/>
      </c>
      <c r="R437" s="46">
        <f>IF(AND(B437="South Korea",scenario="MID"),korea_mid_revleg,revleg_sel)</f>
        <v/>
      </c>
      <c r="S437" s="45">
        <f>IF(ABS(MOD(ABS((O437*P437*R437)),1)-0.5)&lt;1E-9,2*ROUND((O437*P437*R437)/2,0),ROUND((O437*P437*R437),0))</f>
        <v/>
      </c>
      <c r="T437" s="46">
        <f>IF(AND(B437="South Korea",scenario="MID"),korea_mid_load,load_sel)</f>
        <v/>
      </c>
      <c r="U437" s="47">
        <f>pax_cap*T437</f>
        <v/>
      </c>
      <c r="V437" s="45">
        <f>U437*S437</f>
        <v/>
      </c>
      <c r="W437" s="48">
        <f>H437*discount</f>
        <v/>
      </c>
      <c r="X437" s="49">
        <f>W437*V437</f>
        <v/>
      </c>
      <c r="Y437" s="49">
        <f>(battery/range_nm)*G437*S437*VLOOKUP(B437,country_opex,3,FALSE)</f>
        <v/>
      </c>
      <c r="Z437" s="49">
        <f>VLOOKUP(B437,country_opex,2,FALSE)*crew_factor</f>
        <v/>
      </c>
      <c r="AA437" s="49">
        <f>VLOOKUP(B437,country_opex,5,FALSE)</f>
        <v/>
      </c>
      <c r="AB437" s="49">
        <f>maint</f>
        <v/>
      </c>
      <c r="AC437" s="49">
        <f>VLOOKUP(B437,country_opex,7,FALSE)*ins_pct</f>
        <v/>
      </c>
      <c r="AD437" s="49">
        <f>charge_berth</f>
        <v/>
      </c>
      <c r="AE437" s="49">
        <f>Y437+Z437+AA437+AB437+AC437+AD437</f>
        <v/>
      </c>
      <c r="AF437" s="49">
        <f>VLOOKUP(B437,country_opex,7,FALSE)/dep_years</f>
        <v/>
      </c>
      <c r="AG437" s="49">
        <f>X437-AE437</f>
        <v/>
      </c>
      <c r="AH437" s="46">
        <f>IF(X437=0,"",AG437/X437)</f>
        <v/>
      </c>
      <c r="AI437" s="47">
        <f>IF(AG437&lt;=0,"",VLOOKUP(B437,country_opex,7,FALSE)/AG437)</f>
        <v/>
      </c>
      <c r="AJ437" s="44">
        <f>((G437*S437/diesel_nmpg)*diesel_co2pg-(battery/range_nm)*G437*S437*VLOOKUP(B437,country_opex,4,FALSE))/1000</f>
        <v/>
      </c>
      <c r="AK437" s="42" t="n">
        <v>168383</v>
      </c>
      <c r="AL437" s="43" t="n"/>
      <c r="AM437" s="43" t="inlineStr">
        <is>
          <t>med</t>
        </is>
      </c>
      <c r="AN437" s="50" t="n">
        <v>0.25</v>
      </c>
      <c r="AO437" s="45">
        <f>IF(AK437="","",AK437*AN437)</f>
        <v/>
      </c>
      <c r="AP437" s="45">
        <f>IF(OR(AK437="",V437=0),"",MIN(IF(AX437="",9.9E+99,AX437),FLOOR(AO437/V437,1)))</f>
        <v/>
      </c>
      <c r="AQ437" s="49">
        <f>IF(AP437="","",AP437*IF(ABS(MOD(ABS((X437)),1)-0.5)&lt;1E-9,2*ROUND((X437)/2,0),ROUND((X437),0)))</f>
        <v/>
      </c>
      <c r="AR437" s="47">
        <f>IF(OR(AK437="",V437=0),"",MIN(IF(AX437="",9.9E+99,AX437),AO437/V437))</f>
        <v/>
      </c>
      <c r="AS437" s="49">
        <f>IF(AR437="","",AR437*IF(B437="South Korea",IF(ABS(MOD(ABS((X437)),1)-0.5)&lt;1E-9,2*ROUND((X437)/2,0),ROUND((X437),0)),X437))</f>
        <v/>
      </c>
      <c r="AT437" s="51" t="n"/>
      <c r="AU437" s="43" t="inlineStr">
        <is>
          <t>Grounded</t>
        </is>
      </c>
      <c r="AV437" s="52" t="n"/>
      <c r="AW437" s="52" t="n"/>
      <c r="AX437" s="53" t="n"/>
      <c r="AY437" s="54">
        <f>IF(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&lt;=0,"",VLOOKUP(B437,country_opex,7,FALSE)/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)</f>
        <v/>
      </c>
      <c r="AZ437" s="54">
        <f>IF(((W437*pax_cap*IF(B437="South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Korea",korea_mid_revleg,revleg_mid)),0))*VLOOKUP(B437,country_opex,3,FALSE))+Z437+AA437+AB437+AC437+AD437))&lt;=0,"",VLOOKUP(B437,country_opex,7,FALSE)/((W437*pax_cap*IF(B437="South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Korea",korea_mid_revleg,revleg_mid)),0))*VLOOKUP(B437,country_opex,3,FALSE))+Z437+AA437+AB437+AC437+AD437)))</f>
        <v/>
      </c>
      <c r="BA437" s="54">
        <f>IF(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&lt;=0,"",VLOOKUP(B437,country_opex,7,FALSE)/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)</f>
        <v/>
      </c>
      <c r="BB437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C437" s="40" t="n"/>
      <c r="BD437" s="43" t="n"/>
    </row>
    <row r="438">
      <c r="A438" s="38" t="inlineStr">
        <is>
          <t>Bolt Portugal</t>
        </is>
      </c>
      <c r="B438" s="38" t="inlineStr">
        <is>
          <t>Portugal</t>
        </is>
      </c>
      <c r="C438" s="39" t="inlineStr">
        <is>
          <t>Cais do Sodre (Lisbon) → Cascais</t>
        </is>
      </c>
      <c r="D438" s="38" t="inlineStr">
        <is>
          <t>bolt</t>
        </is>
      </c>
      <c r="E438" s="40" t="inlineStr">
        <is>
          <t>bolt-portugal</t>
        </is>
      </c>
      <c r="F438" s="41" t="n">
        <v>1</v>
      </c>
      <c r="G438" s="42" t="n">
        <v>13</v>
      </c>
      <c r="H438" s="35" t="n"/>
      <c r="I438" s="43" t="n"/>
      <c r="J438" s="43" t="n"/>
      <c r="K438" s="29" t="n">
        <v>1</v>
      </c>
      <c r="L438" s="44">
        <f>60*G438/cruise_kt</f>
        <v/>
      </c>
      <c r="M438" s="44">
        <f>IF(B438="South Korea",G438/korea_charge_range_nm*korea_full_range_charge_min,0)</f>
        <v/>
      </c>
      <c r="N438" s="44">
        <f>IF(B438="South Korea",L438+korea_turn_min+korea_dwell_min+M438,L438+turn_min+dwell_min)</f>
        <v/>
      </c>
      <c r="O438" s="45">
        <f>IF(B438="South Korea",FLOOR(60*korea_service_hr/N438,1),MIN(24,FLOOR(60*service_hr/N438,1)))</f>
        <v/>
      </c>
      <c r="P438" s="45">
        <f>IF(ABS(MOD(ABS((365*mech_uptime*K438)),1)-0.5)&lt;1E-9,2*ROUND((365*mech_uptime*K438)/2,0),ROUND((365*mech_uptime*K438),0))</f>
        <v/>
      </c>
      <c r="Q438" s="46">
        <f>mech_uptime</f>
        <v/>
      </c>
      <c r="R438" s="46">
        <f>IF(AND(B438="South Korea",scenario="MID"),korea_mid_revleg,revleg_sel)</f>
        <v/>
      </c>
      <c r="S438" s="45">
        <f>IF(ABS(MOD(ABS((O438*P438*R438)),1)-0.5)&lt;1E-9,2*ROUND((O438*P438*R438)/2,0),ROUND((O438*P438*R438),0))</f>
        <v/>
      </c>
      <c r="T438" s="46">
        <f>IF(AND(B438="South Korea",scenario="MID"),korea_mid_load,load_sel)</f>
        <v/>
      </c>
      <c r="U438" s="47">
        <f>pax_cap*T438</f>
        <v/>
      </c>
      <c r="V438" s="45">
        <f>U438*S438</f>
        <v/>
      </c>
      <c r="W438" s="48">
        <f>H438*discount</f>
        <v/>
      </c>
      <c r="X438" s="49">
        <f>W438*V438</f>
        <v/>
      </c>
      <c r="Y438" s="49">
        <f>(battery/range_nm)*G438*S438*VLOOKUP(B438,country_opex,3,FALSE)</f>
        <v/>
      </c>
      <c r="Z438" s="49">
        <f>VLOOKUP(B438,country_opex,2,FALSE)*crew_factor</f>
        <v/>
      </c>
      <c r="AA438" s="49">
        <f>VLOOKUP(B438,country_opex,5,FALSE)</f>
        <v/>
      </c>
      <c r="AB438" s="49">
        <f>maint</f>
        <v/>
      </c>
      <c r="AC438" s="49">
        <f>VLOOKUP(B438,country_opex,7,FALSE)*ins_pct</f>
        <v/>
      </c>
      <c r="AD438" s="49">
        <f>charge_berth</f>
        <v/>
      </c>
      <c r="AE438" s="49">
        <f>Y438+Z438+AA438+AB438+AC438+AD438</f>
        <v/>
      </c>
      <c r="AF438" s="49">
        <f>VLOOKUP(B438,country_opex,7,FALSE)/dep_years</f>
        <v/>
      </c>
      <c r="AG438" s="49">
        <f>X438-AE438</f>
        <v/>
      </c>
      <c r="AH438" s="46">
        <f>IF(X438=0,"",AG438/X438)</f>
        <v/>
      </c>
      <c r="AI438" s="47">
        <f>IF(AG438&lt;=0,"",VLOOKUP(B438,country_opex,7,FALSE)/AG438)</f>
        <v/>
      </c>
      <c r="AJ438" s="44">
        <f>((G438*S438/diesel_nmpg)*diesel_co2pg-(battery/range_nm)*G438*S438*VLOOKUP(B438,country_opex,4,FALSE))/1000</f>
        <v/>
      </c>
      <c r="AK438" s="42" t="n">
        <v>1020000</v>
      </c>
      <c r="AL438" s="43" t="n"/>
      <c r="AM438" s="43" t="n"/>
      <c r="AN438" s="50" t="n">
        <v>0.1</v>
      </c>
      <c r="AO438" s="45">
        <f>IF(AK438="","",AK438*AN438)</f>
        <v/>
      </c>
      <c r="AP438" s="45">
        <f>IF(OR(AK438="",V438=0),"",MIN(IF(AX438="",9.9E+99,AX438),FLOOR(AO438/V438,1)))</f>
        <v/>
      </c>
      <c r="AQ438" s="49">
        <f>IF(AP438="","",AP438*IF(ABS(MOD(ABS((X438)),1)-0.5)&lt;1E-9,2*ROUND((X438)/2,0),ROUND((X438),0)))</f>
        <v/>
      </c>
      <c r="AR438" s="47">
        <f>IF(OR(AK438="",V438=0),"",MIN(IF(AX438="",9.9E+99,AX438),AO438/V438))</f>
        <v/>
      </c>
      <c r="AS438" s="49">
        <f>IF(AR438="","",AR438*IF(B438="South Korea",IF(ABS(MOD(ABS((X438)),1)-0.5)&lt;1E-9,2*ROUND((X438)/2,0),ROUND((X438),0)),X438))</f>
        <v/>
      </c>
      <c r="AT438" s="51" t="n"/>
      <c r="AU438" s="43" t="inlineStr">
        <is>
          <t>Estimated</t>
        </is>
      </c>
      <c r="AV438" s="52" t="n"/>
      <c r="AW438" s="52" t="n"/>
      <c r="AX438" s="53" t="n"/>
      <c r="AY438" s="54">
        <f>IF(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&lt;=0,"",VLOOKUP(B438,country_opex,7,FALSE)/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)</f>
        <v/>
      </c>
      <c r="AZ438" s="54">
        <f>IF(((W438*pax_cap*IF(B438="South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Korea",korea_mid_revleg,revleg_mid)),0))*VLOOKUP(B438,country_opex,3,FALSE))+Z438+AA438+AB438+AC438+AD438))&lt;=0,"",VLOOKUP(B438,country_opex,7,FALSE)/((W438*pax_cap*IF(B438="South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Korea",korea_mid_revleg,revleg_mid)),0))*VLOOKUP(B438,country_opex,3,FALSE))+Z438+AA438+AB438+AC438+AD438)))</f>
        <v/>
      </c>
      <c r="BA438" s="54">
        <f>IF(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&lt;=0,"",VLOOKUP(B438,country_opex,7,FALSE)/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)</f>
        <v/>
      </c>
      <c r="BB438" s="40" t="n"/>
      <c r="BC438" s="40" t="n"/>
      <c r="BD438" s="43" t="n"/>
    </row>
    <row r="439">
      <c r="A439" s="38" t="inlineStr">
        <is>
          <t>Caribbean Mobility</t>
        </is>
      </c>
      <c r="B439" s="38" t="inlineStr">
        <is>
          <t>Puerto Rico</t>
        </is>
      </c>
      <c r="C439" s="39" t="inlineStr">
        <is>
          <t>San Juan Terminal / Old San Juan waterfront → Cataño Terminal / Bacardi catchment</t>
        </is>
      </c>
      <c r="D439" s="38" t="inlineStr">
        <is>
          <t>caribbean-mobility</t>
        </is>
      </c>
      <c r="E439" s="40" t="inlineStr">
        <is>
          <t>caribbean-mobility</t>
        </is>
      </c>
      <c r="F439" s="41" t="n">
        <v>1</v>
      </c>
      <c r="G439" s="42" t="n">
        <v>1.6</v>
      </c>
      <c r="H439" s="35" t="n">
        <v>8</v>
      </c>
      <c r="I439" s="43" t="n"/>
      <c r="J439" s="43" t="n"/>
      <c r="K439" s="29" t="n">
        <v>1</v>
      </c>
      <c r="L439" s="44">
        <f>60*G439/cruise_kt</f>
        <v/>
      </c>
      <c r="M439" s="44">
        <f>IF(B439="South Korea",G439/korea_charge_range_nm*korea_full_range_charge_min,0)</f>
        <v/>
      </c>
      <c r="N439" s="44">
        <f>IF(B439="South Korea",L439+korea_turn_min+korea_dwell_min+M439,L439+turn_min+dwell_min)</f>
        <v/>
      </c>
      <c r="O439" s="45">
        <f>IF(B439="South Korea",FLOOR(60*korea_service_hr/N439,1),MIN(15,FLOOR(60*service_hr/N439,1)))</f>
        <v/>
      </c>
      <c r="P439" s="45">
        <f>IF(ABS(MOD(ABS((365*mech_uptime*K439)),1)-0.5)&lt;1E-9,2*ROUND((365*mech_uptime*K439)/2,0),ROUND((365*mech_uptime*K439),0))</f>
        <v/>
      </c>
      <c r="Q439" s="46">
        <f>mech_uptime</f>
        <v/>
      </c>
      <c r="R439" s="46">
        <f>IF(AND(B439="South Korea",scenario="MID"),korea_mid_revleg,revleg_sel)</f>
        <v/>
      </c>
      <c r="S439" s="45">
        <f>IF(ABS(MOD(ABS((O439*P439*R439)),1)-0.5)&lt;1E-9,2*ROUND((O439*P439*R439)/2,0),ROUND((O439*P439*R439),0))</f>
        <v/>
      </c>
      <c r="T439" s="46">
        <f>IF(AND(B439="South Korea",scenario="MID"),korea_mid_load,load_sel)</f>
        <v/>
      </c>
      <c r="U439" s="47">
        <f>pax_cap*T439</f>
        <v/>
      </c>
      <c r="V439" s="45">
        <f>U439*S439</f>
        <v/>
      </c>
      <c r="W439" s="48">
        <f>H439*discount</f>
        <v/>
      </c>
      <c r="X439" s="49">
        <f>W439*V439</f>
        <v/>
      </c>
      <c r="Y439" s="49">
        <f>(battery/range_nm)*G439*S439*VLOOKUP(B439,country_opex,3,FALSE)</f>
        <v/>
      </c>
      <c r="Z439" s="49">
        <f>VLOOKUP(B439,country_opex,2,FALSE)*crew_factor</f>
        <v/>
      </c>
      <c r="AA439" s="49">
        <f>VLOOKUP(B439,country_opex,5,FALSE)</f>
        <v/>
      </c>
      <c r="AB439" s="49">
        <f>maint</f>
        <v/>
      </c>
      <c r="AC439" s="49">
        <f>VLOOKUP(B439,country_opex,7,FALSE)*ins_pct</f>
        <v/>
      </c>
      <c r="AD439" s="49">
        <f>charge_berth</f>
        <v/>
      </c>
      <c r="AE439" s="49">
        <f>Y439+Z439+AA439+AB439+AC439+AD439</f>
        <v/>
      </c>
      <c r="AF439" s="49">
        <f>VLOOKUP(B439,country_opex,7,FALSE)/dep_years</f>
        <v/>
      </c>
      <c r="AG439" s="49">
        <f>X439-AE439</f>
        <v/>
      </c>
      <c r="AH439" s="46">
        <f>IF(X439=0,"",AG439/X439)</f>
        <v/>
      </c>
      <c r="AI439" s="47">
        <f>IF(AG439&lt;=0,"",VLOOKUP(B439,country_opex,7,FALSE)/AG439)</f>
        <v/>
      </c>
      <c r="AJ439" s="44">
        <f>((G439*S439/diesel_nmpg)*diesel_co2pg-(battery/range_nm)*G439*S439*VLOOKUP(B439,country_opex,4,FALSE))/1000</f>
        <v/>
      </c>
      <c r="AK439" s="42" t="n">
        <v>34200</v>
      </c>
      <c r="AL439" s="43" t="n"/>
      <c r="AM439" s="43" t="n"/>
      <c r="AN439" s="50" t="n">
        <v>0.1</v>
      </c>
      <c r="AO439" s="45">
        <f>IF(AK439="","",AK439*AN439)</f>
        <v/>
      </c>
      <c r="AP439" s="45">
        <f>IF(OR(AK439="",V439=0),"",MIN(IF(AX439="",9.9E+99,AX439),FLOOR(AO439/V439,1)))</f>
        <v/>
      </c>
      <c r="AQ439" s="49">
        <f>IF(AP439="","",AP439*IF(ABS(MOD(ABS((X439)),1)-0.5)&lt;1E-9,2*ROUND((X439)/2,0),ROUND((X439),0)))</f>
        <v/>
      </c>
      <c r="AR439" s="47">
        <f>IF(OR(AK439="",V439=0),"",MIN(IF(AX439="",9.9E+99,AX439),AO439/V439))</f>
        <v/>
      </c>
      <c r="AS439" s="49">
        <f>IF(AR439="","",AR439*IF(B439="South Korea",IF(ABS(MOD(ABS((X439)),1)-0.5)&lt;1E-9,2*ROUND((X439)/2,0),ROUND((X439),0)),X439))</f>
        <v/>
      </c>
      <c r="AT439" s="51" t="n"/>
      <c r="AU439" s="43" t="inlineStr">
        <is>
          <t>Estimated</t>
        </is>
      </c>
      <c r="AV439" s="52" t="n"/>
      <c r="AW439" s="52" t="n"/>
      <c r="AX439" s="53" t="n"/>
      <c r="AY439" s="54">
        <f>IF(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&lt;=0,"",VLOOKUP(B439,country_opex,7,FALSE)/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)</f>
        <v/>
      </c>
      <c r="AZ439" s="54">
        <f>IF(((W439*pax_cap*IF(B439="South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Korea",korea_mid_revleg,revleg_mid)),0))*VLOOKUP(B439,country_opex,3,FALSE))+Z439+AA439+AB439+AC439+AD439))&lt;=0,"",VLOOKUP(B439,country_opex,7,FALSE)/((W439*pax_cap*IF(B439="South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Korea",korea_mid_revleg,revleg_mid)),0))*VLOOKUP(B439,country_opex,3,FALSE))+Z439+AA439+AB439+AC439+AD439)))</f>
        <v/>
      </c>
      <c r="BA439" s="54">
        <f>IF(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&lt;=0,"",VLOOKUP(B439,country_opex,7,FALSE)/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)</f>
        <v/>
      </c>
      <c r="BB439" s="40" t="n"/>
      <c r="BC439" s="40" t="n"/>
      <c r="BD439" s="43" t="n"/>
    </row>
    <row r="440">
      <c r="A440" s="38" t="inlineStr">
        <is>
          <t>Qatar</t>
        </is>
      </c>
      <c r="B440" s="38" t="inlineStr">
        <is>
          <t>Qatar</t>
        </is>
      </c>
      <c r="C440" s="39" t="inlineStr">
        <is>
          <t>Lusail Marina → The Pearl</t>
        </is>
      </c>
      <c r="D440" s="38" t="inlineStr">
        <is>
          <t>qatar</t>
        </is>
      </c>
      <c r="E440" s="40" t="inlineStr">
        <is>
          <t>bolt-qatar, qatar, yango-qatar</t>
        </is>
      </c>
      <c r="F440" s="41" t="n">
        <v>3</v>
      </c>
      <c r="G440" s="42" t="n">
        <v>3.5</v>
      </c>
      <c r="H440" s="35" t="n"/>
      <c r="I440" s="43" t="n"/>
      <c r="J440" s="43" t="n"/>
      <c r="K440" s="29" t="n">
        <v>1</v>
      </c>
      <c r="L440" s="44">
        <f>60*G440/cruise_kt</f>
        <v/>
      </c>
      <c r="M440" s="44">
        <f>IF(B440="South Korea",G440/korea_charge_range_nm*korea_full_range_charge_min,0)</f>
        <v/>
      </c>
      <c r="N440" s="44">
        <f>IF(B440="South Korea",L440+korea_turn_min+korea_dwell_min+M440,L440+turn_min+dwell_min)</f>
        <v/>
      </c>
      <c r="O440" s="45">
        <f>IF(B440="South Korea",FLOOR(60*korea_service_hr/N440,1),MIN(27,FLOOR(60*service_hr/N440,1)))</f>
        <v/>
      </c>
      <c r="P440" s="45">
        <f>IF(ABS(MOD(ABS((365*mech_uptime*K440)),1)-0.5)&lt;1E-9,2*ROUND((365*mech_uptime*K440)/2,0),ROUND((365*mech_uptime*K440),0))</f>
        <v/>
      </c>
      <c r="Q440" s="46">
        <f>mech_uptime</f>
        <v/>
      </c>
      <c r="R440" s="46">
        <f>IF(AND(B440="South Korea",scenario="MID"),korea_mid_revleg,revleg_sel)</f>
        <v/>
      </c>
      <c r="S440" s="45">
        <f>IF(ABS(MOD(ABS((O440*P440*R440)),1)-0.5)&lt;1E-9,2*ROUND((O440*P440*R440)/2,0),ROUND((O440*P440*R440),0))</f>
        <v/>
      </c>
      <c r="T440" s="46">
        <f>IF(AND(B440="South Korea",scenario="MID"),korea_mid_load,load_sel)</f>
        <v/>
      </c>
      <c r="U440" s="47">
        <f>pax_cap*T440</f>
        <v/>
      </c>
      <c r="V440" s="45">
        <f>U440*S440</f>
        <v/>
      </c>
      <c r="W440" s="48">
        <f>H440*discount</f>
        <v/>
      </c>
      <c r="X440" s="49">
        <f>W440*V440</f>
        <v/>
      </c>
      <c r="Y440" s="49">
        <f>(battery/range_nm)*G440*S440*VLOOKUP(B440,country_opex,3,FALSE)</f>
        <v/>
      </c>
      <c r="Z440" s="49">
        <f>VLOOKUP(B440,country_opex,2,FALSE)*crew_factor</f>
        <v/>
      </c>
      <c r="AA440" s="49">
        <f>VLOOKUP(B440,country_opex,5,FALSE)</f>
        <v/>
      </c>
      <c r="AB440" s="49">
        <f>maint</f>
        <v/>
      </c>
      <c r="AC440" s="49">
        <f>VLOOKUP(B440,country_opex,7,FALSE)*ins_pct</f>
        <v/>
      </c>
      <c r="AD440" s="49">
        <f>charge_berth</f>
        <v/>
      </c>
      <c r="AE440" s="49">
        <f>Y440+Z440+AA440+AB440+AC440+AD440</f>
        <v/>
      </c>
      <c r="AF440" s="49">
        <f>VLOOKUP(B440,country_opex,7,FALSE)/dep_years</f>
        <v/>
      </c>
      <c r="AG440" s="49">
        <f>X440-AE440</f>
        <v/>
      </c>
      <c r="AH440" s="46">
        <f>IF(X440=0,"",AG440/X440)</f>
        <v/>
      </c>
      <c r="AI440" s="47">
        <f>IF(AG440&lt;=0,"",VLOOKUP(B440,country_opex,7,FALSE)/AG440)</f>
        <v/>
      </c>
      <c r="AJ440" s="44">
        <f>((G440*S440/diesel_nmpg)*diesel_co2pg-(battery/range_nm)*G440*S440*VLOOKUP(B440,country_opex,4,FALSE))/1000</f>
        <v/>
      </c>
      <c r="AK440" s="42" t="n"/>
      <c r="AL440" s="43" t="n"/>
      <c r="AM440" s="43" t="n"/>
      <c r="AN440" s="50" t="n">
        <v>0.1</v>
      </c>
      <c r="AO440" s="45">
        <f>IF(AK440="","",AK440*AN440)</f>
        <v/>
      </c>
      <c r="AP440" s="45">
        <f>IF(OR(AK440="",V440=0),"",MIN(IF(AX440="",9.9E+99,AX440),FLOOR(AO440/V440,1)))</f>
        <v/>
      </c>
      <c r="AQ440" s="49">
        <f>IF(AP440="","",AP440*IF(ABS(MOD(ABS((X440)),1)-0.5)&lt;1E-9,2*ROUND((X440)/2,0),ROUND((X440),0)))</f>
        <v/>
      </c>
      <c r="AR440" s="47">
        <f>IF(OR(AK440="",V440=0),"",MIN(IF(AX440="",9.9E+99,AX440),AO440/V440))</f>
        <v/>
      </c>
      <c r="AS440" s="49">
        <f>IF(AR440="","",AR440*IF(B440="South Korea",IF(ABS(MOD(ABS((X440)),1)-0.5)&lt;1E-9,2*ROUND((X440)/2,0),ROUND((X440),0)),X440))</f>
        <v/>
      </c>
      <c r="AT440" s="51" t="n"/>
      <c r="AU440" s="43" t="inlineStr">
        <is>
          <t>Estimated</t>
        </is>
      </c>
      <c r="AV440" s="52" t="n"/>
      <c r="AW440" s="52" t="n"/>
      <c r="AX440" s="53" t="n"/>
      <c r="AY440" s="54">
        <f>IF(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&lt;=0,"",VLOOKUP(B440,country_opex,7,FALSE)/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)</f>
        <v/>
      </c>
      <c r="AZ440" s="54">
        <f>IF(((W440*pax_cap*IF(B440="South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Korea",korea_mid_revleg,revleg_mid)),0))*VLOOKUP(B440,country_opex,3,FALSE))+Z440+AA440+AB440+AC440+AD440))&lt;=0,"",VLOOKUP(B440,country_opex,7,FALSE)/((W440*pax_cap*IF(B440="South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Korea",korea_mid_revleg,revleg_mid)),0))*VLOOKUP(B440,country_opex,3,FALSE))+Z440+AA440+AB440+AC440+AD440)))</f>
        <v/>
      </c>
      <c r="BA440" s="54">
        <f>IF(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&lt;=0,"",VLOOKUP(B440,country_opex,7,FALSE)/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)</f>
        <v/>
      </c>
      <c r="BB440" s="40" t="n"/>
      <c r="BC440" s="40" t="n"/>
      <c r="BD440" s="43" t="inlineStr">
        <is>
          <t>rn-714b08705cf1</t>
        </is>
      </c>
    </row>
    <row r="441">
      <c r="A441" s="38" t="inlineStr">
        <is>
          <t>Qatar</t>
        </is>
      </c>
      <c r="B441" s="38" t="inlineStr">
        <is>
          <t>Qatar</t>
        </is>
      </c>
      <c r="C441" s="39" t="inlineStr">
        <is>
          <t>Doha Corniche → The Pearl</t>
        </is>
      </c>
      <c r="D441" s="38" t="inlineStr">
        <is>
          <t>qatar</t>
        </is>
      </c>
      <c r="E441" s="40" t="inlineStr">
        <is>
          <t>bolt-qatar, qatar, yango-qatar</t>
        </is>
      </c>
      <c r="F441" s="41" t="n">
        <v>3</v>
      </c>
      <c r="G441" s="42" t="n">
        <v>4</v>
      </c>
      <c r="H441" s="35" t="n"/>
      <c r="I441" s="43" t="n"/>
      <c r="J441" s="43" t="n"/>
      <c r="K441" s="29" t="n">
        <v>1</v>
      </c>
      <c r="L441" s="44">
        <f>60*G441/cruise_kt</f>
        <v/>
      </c>
      <c r="M441" s="44">
        <f>IF(B441="South Korea",G441/korea_charge_range_nm*korea_full_range_charge_min,0)</f>
        <v/>
      </c>
      <c r="N441" s="44">
        <f>IF(B441="South Korea",L441+korea_turn_min+korea_dwell_min+M441,L441+turn_min+dwell_min)</f>
        <v/>
      </c>
      <c r="O441" s="45">
        <f>IF(B441="South Korea",FLOOR(60*korea_service_hr/N441,1),MIN(27,FLOOR(60*service_hr/N441,1)))</f>
        <v/>
      </c>
      <c r="P441" s="45">
        <f>IF(ABS(MOD(ABS((365*mech_uptime*K441)),1)-0.5)&lt;1E-9,2*ROUND((365*mech_uptime*K441)/2,0),ROUND((365*mech_uptime*K441),0))</f>
        <v/>
      </c>
      <c r="Q441" s="46">
        <f>mech_uptime</f>
        <v/>
      </c>
      <c r="R441" s="46">
        <f>IF(AND(B441="South Korea",scenario="MID"),korea_mid_revleg,revleg_sel)</f>
        <v/>
      </c>
      <c r="S441" s="45">
        <f>IF(ABS(MOD(ABS((O441*P441*R441)),1)-0.5)&lt;1E-9,2*ROUND((O441*P441*R441)/2,0),ROUND((O441*P441*R441),0))</f>
        <v/>
      </c>
      <c r="T441" s="46">
        <f>IF(AND(B441="South Korea",scenario="MID"),korea_mid_load,load_sel)</f>
        <v/>
      </c>
      <c r="U441" s="47">
        <f>pax_cap*T441</f>
        <v/>
      </c>
      <c r="V441" s="45">
        <f>U441*S441</f>
        <v/>
      </c>
      <c r="W441" s="48">
        <f>H441*discount</f>
        <v/>
      </c>
      <c r="X441" s="49">
        <f>W441*V441</f>
        <v/>
      </c>
      <c r="Y441" s="49">
        <f>(battery/range_nm)*G441*S441*VLOOKUP(B441,country_opex,3,FALSE)</f>
        <v/>
      </c>
      <c r="Z441" s="49">
        <f>VLOOKUP(B441,country_opex,2,FALSE)*crew_factor</f>
        <v/>
      </c>
      <c r="AA441" s="49">
        <f>VLOOKUP(B441,country_opex,5,FALSE)</f>
        <v/>
      </c>
      <c r="AB441" s="49">
        <f>maint</f>
        <v/>
      </c>
      <c r="AC441" s="49">
        <f>VLOOKUP(B441,country_opex,7,FALSE)*ins_pct</f>
        <v/>
      </c>
      <c r="AD441" s="49">
        <f>charge_berth</f>
        <v/>
      </c>
      <c r="AE441" s="49">
        <f>Y441+Z441+AA441+AB441+AC441+AD441</f>
        <v/>
      </c>
      <c r="AF441" s="49">
        <f>VLOOKUP(B441,country_opex,7,FALSE)/dep_years</f>
        <v/>
      </c>
      <c r="AG441" s="49">
        <f>X441-AE441</f>
        <v/>
      </c>
      <c r="AH441" s="46">
        <f>IF(X441=0,"",AG441/X441)</f>
        <v/>
      </c>
      <c r="AI441" s="47">
        <f>IF(AG441&lt;=0,"",VLOOKUP(B441,country_opex,7,FALSE)/AG441)</f>
        <v/>
      </c>
      <c r="AJ441" s="44">
        <f>((G441*S441/diesel_nmpg)*diesel_co2pg-(battery/range_nm)*G441*S441*VLOOKUP(B441,country_opex,4,FALSE))/1000</f>
        <v/>
      </c>
      <c r="AK441" s="42" t="n"/>
      <c r="AL441" s="43" t="n"/>
      <c r="AM441" s="43" t="n"/>
      <c r="AN441" s="50" t="n">
        <v>0.1</v>
      </c>
      <c r="AO441" s="45">
        <f>IF(AK441="","",AK441*AN441)</f>
        <v/>
      </c>
      <c r="AP441" s="45">
        <f>IF(OR(AK441="",V441=0),"",MIN(IF(AX441="",9.9E+99,AX441),FLOOR(AO441/V441,1)))</f>
        <v/>
      </c>
      <c r="AQ441" s="49">
        <f>IF(AP441="","",AP441*IF(ABS(MOD(ABS((X441)),1)-0.5)&lt;1E-9,2*ROUND((X441)/2,0),ROUND((X441),0)))</f>
        <v/>
      </c>
      <c r="AR441" s="47">
        <f>IF(OR(AK441="",V441=0),"",MIN(IF(AX441="",9.9E+99,AX441),AO441/V441))</f>
        <v/>
      </c>
      <c r="AS441" s="49">
        <f>IF(AR441="","",AR441*IF(B441="South Korea",IF(ABS(MOD(ABS((X441)),1)-0.5)&lt;1E-9,2*ROUND((X441)/2,0),ROUND((X441),0)),X441))</f>
        <v/>
      </c>
      <c r="AT441" s="51" t="n"/>
      <c r="AU441" s="43" t="inlineStr">
        <is>
          <t>Estimated</t>
        </is>
      </c>
      <c r="AV441" s="52" t="n"/>
      <c r="AW441" s="52" t="n"/>
      <c r="AX441" s="53" t="n"/>
      <c r="AY441" s="54">
        <f>IF(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&lt;=0,"",VLOOKUP(B441,country_opex,7,FALSE)/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)</f>
        <v/>
      </c>
      <c r="AZ441" s="54">
        <f>IF(((W441*pax_cap*IF(B441="South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Korea",korea_mid_revleg,revleg_mid)),0))*VLOOKUP(B441,country_opex,3,FALSE))+Z441+AA441+AB441+AC441+AD441))&lt;=0,"",VLOOKUP(B441,country_opex,7,FALSE)/((W441*pax_cap*IF(B441="South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Korea",korea_mid_revleg,revleg_mid)),0))*VLOOKUP(B441,country_opex,3,FALSE))+Z441+AA441+AB441+AC441+AD441)))</f>
        <v/>
      </c>
      <c r="BA441" s="54">
        <f>IF(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&lt;=0,"",VLOOKUP(B441,country_opex,7,FALSE)/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)</f>
        <v/>
      </c>
      <c r="BB441" s="40" t="n"/>
      <c r="BC441" s="40" t="n"/>
      <c r="BD441" s="43" t="inlineStr">
        <is>
          <t>rn-bd6924470bd3</t>
        </is>
      </c>
    </row>
    <row r="442">
      <c r="A442" s="38" t="inlineStr">
        <is>
          <t>Qatar</t>
        </is>
      </c>
      <c r="B442" s="38" t="inlineStr">
        <is>
          <t>Qatar</t>
        </is>
      </c>
      <c r="C442" s="39" t="inlineStr">
        <is>
          <t>The Pearl-Qatar (Marsa Arabia) → Doha Corniche / Old Doha Port</t>
        </is>
      </c>
      <c r="D442" s="38" t="inlineStr">
        <is>
          <t>qatar</t>
        </is>
      </c>
      <c r="E442" s="40" t="inlineStr">
        <is>
          <t>bolt-qatar, qatar, yango-qatar</t>
        </is>
      </c>
      <c r="F442" s="41" t="n">
        <v>6</v>
      </c>
      <c r="G442" s="42" t="n">
        <v>4.4</v>
      </c>
      <c r="H442" s="35" t="n"/>
      <c r="I442" s="43" t="n"/>
      <c r="J442" s="43" t="n"/>
      <c r="K442" s="29" t="n">
        <v>1</v>
      </c>
      <c r="L442" s="44">
        <f>60*G442/cruise_kt</f>
        <v/>
      </c>
      <c r="M442" s="44">
        <f>IF(B442="South Korea",G442/korea_charge_range_nm*korea_full_range_charge_min,0)</f>
        <v/>
      </c>
      <c r="N442" s="44">
        <f>IF(B442="South Korea",L442+korea_turn_min+korea_dwell_min+M442,L442+turn_min+dwell_min)</f>
        <v/>
      </c>
      <c r="O442" s="45">
        <f>IF(B442="South Korea",FLOOR(60*korea_service_hr/N442,1),MIN(15,FLOOR(60*service_hr/N442,1)))</f>
        <v/>
      </c>
      <c r="P442" s="45">
        <f>IF(ABS(MOD(ABS((365*mech_uptime*K442)),1)-0.5)&lt;1E-9,2*ROUND((365*mech_uptime*K442)/2,0),ROUND((365*mech_uptime*K442),0))</f>
        <v/>
      </c>
      <c r="Q442" s="46">
        <f>mech_uptime</f>
        <v/>
      </c>
      <c r="R442" s="46">
        <f>IF(AND(B442="South Korea",scenario="MID"),korea_mid_revleg,revleg_sel)</f>
        <v/>
      </c>
      <c r="S442" s="45">
        <f>IF(ABS(MOD(ABS((O442*P442*R442)),1)-0.5)&lt;1E-9,2*ROUND((O442*P442*R442)/2,0),ROUND((O442*P442*R442),0))</f>
        <v/>
      </c>
      <c r="T442" s="46">
        <f>IF(AND(B442="South Korea",scenario="MID"),korea_mid_load,load_sel)</f>
        <v/>
      </c>
      <c r="U442" s="47">
        <f>pax_cap*T442</f>
        <v/>
      </c>
      <c r="V442" s="45">
        <f>U442*S442</f>
        <v/>
      </c>
      <c r="W442" s="48">
        <f>H442*discount</f>
        <v/>
      </c>
      <c r="X442" s="49">
        <f>W442*V442</f>
        <v/>
      </c>
      <c r="Y442" s="49">
        <f>(battery/range_nm)*G442*S442*VLOOKUP(B442,country_opex,3,FALSE)</f>
        <v/>
      </c>
      <c r="Z442" s="49">
        <f>VLOOKUP(B442,country_opex,2,FALSE)*crew_factor</f>
        <v/>
      </c>
      <c r="AA442" s="49">
        <f>VLOOKUP(B442,country_opex,5,FALSE)</f>
        <v/>
      </c>
      <c r="AB442" s="49">
        <f>maint</f>
        <v/>
      </c>
      <c r="AC442" s="49">
        <f>VLOOKUP(B442,country_opex,7,FALSE)*ins_pct</f>
        <v/>
      </c>
      <c r="AD442" s="49">
        <f>charge_berth</f>
        <v/>
      </c>
      <c r="AE442" s="49">
        <f>Y442+Z442+AA442+AB442+AC442+AD442</f>
        <v/>
      </c>
      <c r="AF442" s="49">
        <f>VLOOKUP(B442,country_opex,7,FALSE)/dep_years</f>
        <v/>
      </c>
      <c r="AG442" s="49">
        <f>X442-AE442</f>
        <v/>
      </c>
      <c r="AH442" s="46">
        <f>IF(X442=0,"",AG442/X442)</f>
        <v/>
      </c>
      <c r="AI442" s="47">
        <f>IF(AG442&lt;=0,"",VLOOKUP(B442,country_opex,7,FALSE)/AG442)</f>
        <v/>
      </c>
      <c r="AJ442" s="44">
        <f>((G442*S442/diesel_nmpg)*diesel_co2pg-(battery/range_nm)*G442*S442*VLOOKUP(B442,country_opex,4,FALSE))/1000</f>
        <v/>
      </c>
      <c r="AK442" s="42" t="n"/>
      <c r="AL442" s="43" t="n"/>
      <c r="AM442" s="43" t="n"/>
      <c r="AN442" s="50" t="n">
        <v>0.1</v>
      </c>
      <c r="AO442" s="45">
        <f>IF(AK442="","",AK442*AN442)</f>
        <v/>
      </c>
      <c r="AP442" s="45">
        <f>IF(OR(AK442="",V442=0),"",MIN(IF(AX442="",9.9E+99,AX442),FLOOR(AO442/V442,1)))</f>
        <v/>
      </c>
      <c r="AQ442" s="49">
        <f>IF(AP442="","",AP442*IF(ABS(MOD(ABS((X442)),1)-0.5)&lt;1E-9,2*ROUND((X442)/2,0),ROUND((X442),0)))</f>
        <v/>
      </c>
      <c r="AR442" s="47">
        <f>IF(OR(AK442="",V442=0),"",MIN(IF(AX442="",9.9E+99,AX442),AO442/V442))</f>
        <v/>
      </c>
      <c r="AS442" s="49">
        <f>IF(AR442="","",AR442*IF(B442="South Korea",IF(ABS(MOD(ABS((X442)),1)-0.5)&lt;1E-9,2*ROUND((X442)/2,0),ROUND((X442),0)),X442))</f>
        <v/>
      </c>
      <c r="AT442" s="51" t="n"/>
      <c r="AU442" s="43" t="inlineStr">
        <is>
          <t>Estimated</t>
        </is>
      </c>
      <c r="AV442" s="52" t="n"/>
      <c r="AW442" s="52" t="n"/>
      <c r="AX442" s="53" t="n"/>
      <c r="AY442" s="54">
        <f>IF(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&lt;=0,"",VLOOKUP(B442,country_opex,7,FALSE)/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)</f>
        <v/>
      </c>
      <c r="AZ442" s="54">
        <f>IF(((W442*pax_cap*IF(B442="South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Korea",korea_mid_revleg,revleg_mid)),0))*VLOOKUP(B442,country_opex,3,FALSE))+Z442+AA442+AB442+AC442+AD442))&lt;=0,"",VLOOKUP(B442,country_opex,7,FALSE)/((W442*pax_cap*IF(B442="South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Korea",korea_mid_revleg,revleg_mid)),0))*VLOOKUP(B442,country_opex,3,FALSE))+Z442+AA442+AB442+AC442+AD442)))</f>
        <v/>
      </c>
      <c r="BA442" s="54">
        <f>IF(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&lt;=0,"",VLOOKUP(B442,country_opex,7,FALSE)/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)</f>
        <v/>
      </c>
      <c r="BB442" s="40" t="n"/>
      <c r="BC442" s="40" t="n"/>
      <c r="BD442" s="43" t="inlineStr">
        <is>
          <t>rn-bf5805f03313</t>
        </is>
      </c>
    </row>
    <row r="443">
      <c r="A443" s="38" t="inlineStr">
        <is>
          <t>Qatar</t>
        </is>
      </c>
      <c r="B443" s="38" t="inlineStr">
        <is>
          <t>Qatar</t>
        </is>
      </c>
      <c r="C443" s="39" t="inlineStr">
        <is>
          <t>Doha → Banana Island</t>
        </is>
      </c>
      <c r="D443" s="38" t="inlineStr">
        <is>
          <t>qatar</t>
        </is>
      </c>
      <c r="E443" s="40" t="inlineStr">
        <is>
          <t>bolt-qatar, qatar, yango-qatar</t>
        </is>
      </c>
      <c r="F443" s="41" t="n">
        <v>3</v>
      </c>
      <c r="G443" s="42" t="n">
        <v>4.5</v>
      </c>
      <c r="H443" s="35" t="n"/>
      <c r="I443" s="43" t="n"/>
      <c r="J443" s="43" t="n"/>
      <c r="K443" s="29" t="n">
        <v>1</v>
      </c>
      <c r="L443" s="44">
        <f>60*G443/cruise_kt</f>
        <v/>
      </c>
      <c r="M443" s="44">
        <f>IF(B443="South Korea",G443/korea_charge_range_nm*korea_full_range_charge_min,0)</f>
        <v/>
      </c>
      <c r="N443" s="44">
        <f>IF(B443="South Korea",L443+korea_turn_min+korea_dwell_min+M443,L443+turn_min+dwell_min)</f>
        <v/>
      </c>
      <c r="O443" s="45">
        <f>IF(B443="South Korea",FLOOR(60*korea_service_hr/N443,1),MIN(27,FLOOR(60*service_hr/N443,1)))</f>
        <v/>
      </c>
      <c r="P443" s="45">
        <f>IF(ABS(MOD(ABS((365*mech_uptime*K443)),1)-0.5)&lt;1E-9,2*ROUND((365*mech_uptime*K443)/2,0),ROUND((365*mech_uptime*K443),0))</f>
        <v/>
      </c>
      <c r="Q443" s="46">
        <f>mech_uptime</f>
        <v/>
      </c>
      <c r="R443" s="46">
        <f>IF(AND(B443="South Korea",scenario="MID"),korea_mid_revleg,revleg_sel)</f>
        <v/>
      </c>
      <c r="S443" s="45">
        <f>IF(ABS(MOD(ABS((O443*P443*R443)),1)-0.5)&lt;1E-9,2*ROUND((O443*P443*R443)/2,0),ROUND((O443*P443*R443),0))</f>
        <v/>
      </c>
      <c r="T443" s="46">
        <f>IF(AND(B443="South Korea",scenario="MID"),korea_mid_load,load_sel)</f>
        <v/>
      </c>
      <c r="U443" s="47">
        <f>pax_cap*T443</f>
        <v/>
      </c>
      <c r="V443" s="45">
        <f>U443*S443</f>
        <v/>
      </c>
      <c r="W443" s="48">
        <f>H443*discount</f>
        <v/>
      </c>
      <c r="X443" s="49">
        <f>W443*V443</f>
        <v/>
      </c>
      <c r="Y443" s="49">
        <f>(battery/range_nm)*G443*S443*VLOOKUP(B443,country_opex,3,FALSE)</f>
        <v/>
      </c>
      <c r="Z443" s="49">
        <f>VLOOKUP(B443,country_opex,2,FALSE)*crew_factor</f>
        <v/>
      </c>
      <c r="AA443" s="49">
        <f>VLOOKUP(B443,country_opex,5,FALSE)</f>
        <v/>
      </c>
      <c r="AB443" s="49">
        <f>maint</f>
        <v/>
      </c>
      <c r="AC443" s="49">
        <f>VLOOKUP(B443,country_opex,7,FALSE)*ins_pct</f>
        <v/>
      </c>
      <c r="AD443" s="49">
        <f>charge_berth</f>
        <v/>
      </c>
      <c r="AE443" s="49">
        <f>Y443+Z443+AA443+AB443+AC443+AD443</f>
        <v/>
      </c>
      <c r="AF443" s="49">
        <f>VLOOKUP(B443,country_opex,7,FALSE)/dep_years</f>
        <v/>
      </c>
      <c r="AG443" s="49">
        <f>X443-AE443</f>
        <v/>
      </c>
      <c r="AH443" s="46">
        <f>IF(X443=0,"",AG443/X443)</f>
        <v/>
      </c>
      <c r="AI443" s="47">
        <f>IF(AG443&lt;=0,"",VLOOKUP(B443,country_opex,7,FALSE)/AG443)</f>
        <v/>
      </c>
      <c r="AJ443" s="44">
        <f>((G443*S443/diesel_nmpg)*diesel_co2pg-(battery/range_nm)*G443*S443*VLOOKUP(B443,country_opex,4,FALSE))/1000</f>
        <v/>
      </c>
      <c r="AK443" s="42" t="n"/>
      <c r="AL443" s="43" t="n"/>
      <c r="AM443" s="43" t="n"/>
      <c r="AN443" s="50" t="n">
        <v>0.1</v>
      </c>
      <c r="AO443" s="45">
        <f>IF(AK443="","",AK443*AN443)</f>
        <v/>
      </c>
      <c r="AP443" s="45">
        <f>IF(OR(AK443="",V443=0),"",MIN(IF(AX443="",9.9E+99,AX443),FLOOR(AO443/V443,1)))</f>
        <v/>
      </c>
      <c r="AQ443" s="49">
        <f>IF(AP443="","",AP443*IF(ABS(MOD(ABS((X443)),1)-0.5)&lt;1E-9,2*ROUND((X443)/2,0),ROUND((X443),0)))</f>
        <v/>
      </c>
      <c r="AR443" s="47">
        <f>IF(OR(AK443="",V443=0),"",MIN(IF(AX443="",9.9E+99,AX443),AO443/V443))</f>
        <v/>
      </c>
      <c r="AS443" s="49">
        <f>IF(AR443="","",AR443*IF(B443="South Korea",IF(ABS(MOD(ABS((X443)),1)-0.5)&lt;1E-9,2*ROUND((X443)/2,0),ROUND((X443),0)),X443))</f>
        <v/>
      </c>
      <c r="AT443" s="51" t="n"/>
      <c r="AU443" s="43" t="inlineStr">
        <is>
          <t>Estimated</t>
        </is>
      </c>
      <c r="AV443" s="52" t="n"/>
      <c r="AW443" s="52" t="n"/>
      <c r="AX443" s="53" t="n"/>
      <c r="AY443" s="54">
        <f>IF(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&lt;=0,"",VLOOKUP(B443,country_opex,7,FALSE)/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)</f>
        <v/>
      </c>
      <c r="AZ443" s="54">
        <f>IF(((W443*pax_cap*IF(B443="South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Korea",korea_mid_revleg,revleg_mid)),0))*VLOOKUP(B443,country_opex,3,FALSE))+Z443+AA443+AB443+AC443+AD443))&lt;=0,"",VLOOKUP(B443,country_opex,7,FALSE)/((W443*pax_cap*IF(B443="South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Korea",korea_mid_revleg,revleg_mid)),0))*VLOOKUP(B443,country_opex,3,FALSE))+Z443+AA443+AB443+AC443+AD443)))</f>
        <v/>
      </c>
      <c r="BA443" s="54">
        <f>IF(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&lt;=0,"",VLOOKUP(B443,country_opex,7,FALSE)/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)</f>
        <v/>
      </c>
      <c r="BB443" s="40" t="n"/>
      <c r="BC443" s="40" t="n"/>
      <c r="BD443" s="43" t="inlineStr">
        <is>
          <t>rn-888f95dd0915</t>
        </is>
      </c>
    </row>
    <row r="444">
      <c r="A444" s="38" t="inlineStr">
        <is>
          <t>Qatar</t>
        </is>
      </c>
      <c r="B444" s="38" t="inlineStr">
        <is>
          <t>Qatar</t>
        </is>
      </c>
      <c r="C444" s="39" t="inlineStr">
        <is>
          <t>Doha (Al Shyoukh Terminal) → Banana Island Resort (Anantara)</t>
        </is>
      </c>
      <c r="D444" s="38" t="inlineStr">
        <is>
          <t>qatar</t>
        </is>
      </c>
      <c r="E444" s="40" t="inlineStr">
        <is>
          <t>bolt-qatar, qatar, yango-qatar</t>
        </is>
      </c>
      <c r="F444" s="41" t="n">
        <v>6</v>
      </c>
      <c r="G444" s="42" t="n">
        <v>4.9</v>
      </c>
      <c r="H444" s="35" t="n"/>
      <c r="I444" s="43" t="n"/>
      <c r="J444" s="43" t="n"/>
      <c r="K444" s="29" t="n">
        <v>1</v>
      </c>
      <c r="L444" s="44">
        <f>60*G444/cruise_kt</f>
        <v/>
      </c>
      <c r="M444" s="44">
        <f>IF(B444="South Korea",G444/korea_charge_range_nm*korea_full_range_charge_min,0)</f>
        <v/>
      </c>
      <c r="N444" s="44">
        <f>IF(B444="South Korea",L444+korea_turn_min+korea_dwell_min+M444,L444+turn_min+dwell_min)</f>
        <v/>
      </c>
      <c r="O444" s="45">
        <f>IF(B444="South Korea",FLOOR(60*korea_service_hr/N444,1),MIN(15,FLOOR(60*service_hr/N444,1)))</f>
        <v/>
      </c>
      <c r="P444" s="45">
        <f>IF(ABS(MOD(ABS((365*mech_uptime*K444)),1)-0.5)&lt;1E-9,2*ROUND((365*mech_uptime*K444)/2,0),ROUND((365*mech_uptime*K444),0))</f>
        <v/>
      </c>
      <c r="Q444" s="46">
        <f>mech_uptime</f>
        <v/>
      </c>
      <c r="R444" s="46">
        <f>IF(AND(B444="South Korea",scenario="MID"),korea_mid_revleg,revleg_sel)</f>
        <v/>
      </c>
      <c r="S444" s="45">
        <f>IF(ABS(MOD(ABS((O444*P444*R444)),1)-0.5)&lt;1E-9,2*ROUND((O444*P444*R444)/2,0),ROUND((O444*P444*R444),0))</f>
        <v/>
      </c>
      <c r="T444" s="46">
        <f>IF(AND(B444="South Korea",scenario="MID"),korea_mid_load,load_sel)</f>
        <v/>
      </c>
      <c r="U444" s="47">
        <f>pax_cap*T444</f>
        <v/>
      </c>
      <c r="V444" s="45">
        <f>U444*S444</f>
        <v/>
      </c>
      <c r="W444" s="48">
        <f>H444*discount</f>
        <v/>
      </c>
      <c r="X444" s="49">
        <f>W444*V444</f>
        <v/>
      </c>
      <c r="Y444" s="49">
        <f>(battery/range_nm)*G444*S444*VLOOKUP(B444,country_opex,3,FALSE)</f>
        <v/>
      </c>
      <c r="Z444" s="49">
        <f>VLOOKUP(B444,country_opex,2,FALSE)*crew_factor</f>
        <v/>
      </c>
      <c r="AA444" s="49">
        <f>VLOOKUP(B444,country_opex,5,FALSE)</f>
        <v/>
      </c>
      <c r="AB444" s="49">
        <f>maint</f>
        <v/>
      </c>
      <c r="AC444" s="49">
        <f>VLOOKUP(B444,country_opex,7,FALSE)*ins_pct</f>
        <v/>
      </c>
      <c r="AD444" s="49">
        <f>charge_berth</f>
        <v/>
      </c>
      <c r="AE444" s="49">
        <f>Y444+Z444+AA444+AB444+AC444+AD444</f>
        <v/>
      </c>
      <c r="AF444" s="49">
        <f>VLOOKUP(B444,country_opex,7,FALSE)/dep_years</f>
        <v/>
      </c>
      <c r="AG444" s="49">
        <f>X444-AE444</f>
        <v/>
      </c>
      <c r="AH444" s="46">
        <f>IF(X444=0,"",AG444/X444)</f>
        <v/>
      </c>
      <c r="AI444" s="47">
        <f>IF(AG444&lt;=0,"",VLOOKUP(B444,country_opex,7,FALSE)/AG444)</f>
        <v/>
      </c>
      <c r="AJ444" s="44">
        <f>((G444*S444/diesel_nmpg)*diesel_co2pg-(battery/range_nm)*G444*S444*VLOOKUP(B444,country_opex,4,FALSE))/1000</f>
        <v/>
      </c>
      <c r="AK444" s="42" t="n"/>
      <c r="AL444" s="43" t="n"/>
      <c r="AM444" s="43" t="n"/>
      <c r="AN444" s="50" t="n">
        <v>0.1</v>
      </c>
      <c r="AO444" s="45">
        <f>IF(AK444="","",AK444*AN444)</f>
        <v/>
      </c>
      <c r="AP444" s="45">
        <f>IF(OR(AK444="",V444=0),"",MIN(IF(AX444="",9.9E+99,AX444),FLOOR(AO444/V444,1)))</f>
        <v/>
      </c>
      <c r="AQ444" s="49">
        <f>IF(AP444="","",AP444*IF(ABS(MOD(ABS((X444)),1)-0.5)&lt;1E-9,2*ROUND((X444)/2,0),ROUND((X444),0)))</f>
        <v/>
      </c>
      <c r="AR444" s="47">
        <f>IF(OR(AK444="",V444=0),"",MIN(IF(AX444="",9.9E+99,AX444),AO444/V444))</f>
        <v/>
      </c>
      <c r="AS444" s="49">
        <f>IF(AR444="","",AR444*IF(B444="South Korea",IF(ABS(MOD(ABS((X444)),1)-0.5)&lt;1E-9,2*ROUND((X444)/2,0),ROUND((X444),0)),X444))</f>
        <v/>
      </c>
      <c r="AT444" s="51" t="n"/>
      <c r="AU444" s="43" t="inlineStr">
        <is>
          <t>Grounded</t>
        </is>
      </c>
      <c r="AV444" s="52" t="n"/>
      <c r="AW444" s="52" t="n"/>
      <c r="AX444" s="53" t="n"/>
      <c r="AY444" s="54">
        <f>IF(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&lt;=0,"",VLOOKUP(B444,country_opex,7,FALSE)/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)</f>
        <v/>
      </c>
      <c r="AZ444" s="54">
        <f>IF(((W444*pax_cap*IF(B444="South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Korea",korea_mid_revleg,revleg_mid)),0))*VLOOKUP(B444,country_opex,3,FALSE))+Z444+AA444+AB444+AC444+AD444))&lt;=0,"",VLOOKUP(B444,country_opex,7,FALSE)/((W444*pax_cap*IF(B444="South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Korea",korea_mid_revleg,revleg_mid)),0))*VLOOKUP(B444,country_opex,3,FALSE))+Z444+AA444+AB444+AC444+AD444)))</f>
        <v/>
      </c>
      <c r="BA444" s="54">
        <f>IF(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&lt;=0,"",VLOOKUP(B444,country_opex,7,FALSE)/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)</f>
        <v/>
      </c>
      <c r="BB444" s="40" t="n"/>
      <c r="BC444" s="40" t="n"/>
      <c r="BD444" s="43" t="inlineStr">
        <is>
          <t>rn-619269ea6bb1</t>
        </is>
      </c>
    </row>
    <row r="445">
      <c r="A445" s="38" t="inlineStr">
        <is>
          <t>Qatar</t>
        </is>
      </c>
      <c r="B445" s="38" t="inlineStr">
        <is>
          <t>Qatar</t>
        </is>
      </c>
      <c r="C445" s="39" t="inlineStr">
        <is>
          <t>West Bay / Corniche (Doha) → Lusail Marina &amp; Place Vendôme</t>
        </is>
      </c>
      <c r="D445" s="38" t="inlineStr">
        <is>
          <t>bolt</t>
        </is>
      </c>
      <c r="E445" s="40" t="inlineStr">
        <is>
          <t>bolt-qatar, qatar, yango-qatar</t>
        </is>
      </c>
      <c r="F445" s="41" t="n">
        <v>6</v>
      </c>
      <c r="G445" s="42" t="n">
        <v>6.3</v>
      </c>
      <c r="H445" s="35" t="n"/>
      <c r="I445" s="43" t="n"/>
      <c r="J445" s="43" t="n"/>
      <c r="K445" s="29" t="n">
        <v>1</v>
      </c>
      <c r="L445" s="44">
        <f>60*G445/cruise_kt</f>
        <v/>
      </c>
      <c r="M445" s="44">
        <f>IF(B445="South Korea",G445/korea_charge_range_nm*korea_full_range_charge_min,0)</f>
        <v/>
      </c>
      <c r="N445" s="44">
        <f>IF(B445="South Korea",L445+korea_turn_min+korea_dwell_min+M445,L445+turn_min+dwell_min)</f>
        <v/>
      </c>
      <c r="O445" s="45">
        <f>IF(B445="South Korea",FLOOR(60*korea_service_hr/N445,1),MIN(15,FLOOR(60*service_hr/N445,1)))</f>
        <v/>
      </c>
      <c r="P445" s="45">
        <f>IF(ABS(MOD(ABS((365*mech_uptime*K445)),1)-0.5)&lt;1E-9,2*ROUND((365*mech_uptime*K445)/2,0),ROUND((365*mech_uptime*K445),0))</f>
        <v/>
      </c>
      <c r="Q445" s="46">
        <f>mech_uptime</f>
        <v/>
      </c>
      <c r="R445" s="46">
        <f>IF(AND(B445="South Korea",scenario="MID"),korea_mid_revleg,revleg_sel)</f>
        <v/>
      </c>
      <c r="S445" s="45">
        <f>IF(ABS(MOD(ABS((O445*P445*R445)),1)-0.5)&lt;1E-9,2*ROUND((O445*P445*R445)/2,0),ROUND((O445*P445*R445),0))</f>
        <v/>
      </c>
      <c r="T445" s="46">
        <f>IF(AND(B445="South Korea",scenario="MID"),korea_mid_load,load_sel)</f>
        <v/>
      </c>
      <c r="U445" s="47">
        <f>pax_cap*T445</f>
        <v/>
      </c>
      <c r="V445" s="45">
        <f>U445*S445</f>
        <v/>
      </c>
      <c r="W445" s="48">
        <f>H445*discount</f>
        <v/>
      </c>
      <c r="X445" s="49">
        <f>W445*V445</f>
        <v/>
      </c>
      <c r="Y445" s="49">
        <f>(battery/range_nm)*G445*S445*VLOOKUP(B445,country_opex,3,FALSE)</f>
        <v/>
      </c>
      <c r="Z445" s="49">
        <f>VLOOKUP(B445,country_opex,2,FALSE)*crew_factor</f>
        <v/>
      </c>
      <c r="AA445" s="49">
        <f>VLOOKUP(B445,country_opex,5,FALSE)</f>
        <v/>
      </c>
      <c r="AB445" s="49">
        <f>maint</f>
        <v/>
      </c>
      <c r="AC445" s="49">
        <f>VLOOKUP(B445,country_opex,7,FALSE)*ins_pct</f>
        <v/>
      </c>
      <c r="AD445" s="49">
        <f>charge_berth</f>
        <v/>
      </c>
      <c r="AE445" s="49">
        <f>Y445+Z445+AA445+AB445+AC445+AD445</f>
        <v/>
      </c>
      <c r="AF445" s="49">
        <f>VLOOKUP(B445,country_opex,7,FALSE)/dep_years</f>
        <v/>
      </c>
      <c r="AG445" s="49">
        <f>X445-AE445</f>
        <v/>
      </c>
      <c r="AH445" s="46">
        <f>IF(X445=0,"",AG445/X445)</f>
        <v/>
      </c>
      <c r="AI445" s="47">
        <f>IF(AG445&lt;=0,"",VLOOKUP(B445,country_opex,7,FALSE)/AG445)</f>
        <v/>
      </c>
      <c r="AJ445" s="44">
        <f>((G445*S445/diesel_nmpg)*diesel_co2pg-(battery/range_nm)*G445*S445*VLOOKUP(B445,country_opex,4,FALSE))/1000</f>
        <v/>
      </c>
      <c r="AK445" s="42" t="n"/>
      <c r="AL445" s="43" t="n"/>
      <c r="AM445" s="43" t="n"/>
      <c r="AN445" s="50" t="n">
        <v>0.1</v>
      </c>
      <c r="AO445" s="45">
        <f>IF(AK445="","",AK445*AN445)</f>
        <v/>
      </c>
      <c r="AP445" s="45">
        <f>IF(OR(AK445="",V445=0),"",MIN(IF(AX445="",9.9E+99,AX445),FLOOR(AO445/V445,1)))</f>
        <v/>
      </c>
      <c r="AQ445" s="49">
        <f>IF(AP445="","",AP445*IF(ABS(MOD(ABS((X445)),1)-0.5)&lt;1E-9,2*ROUND((X445)/2,0),ROUND((X445),0)))</f>
        <v/>
      </c>
      <c r="AR445" s="47">
        <f>IF(OR(AK445="",V445=0),"",MIN(IF(AX445="",9.9E+99,AX445),AO445/V445))</f>
        <v/>
      </c>
      <c r="AS445" s="49">
        <f>IF(AR445="","",AR445*IF(B445="South Korea",IF(ABS(MOD(ABS((X445)),1)-0.5)&lt;1E-9,2*ROUND((X445)/2,0),ROUND((X445),0)),X445))</f>
        <v/>
      </c>
      <c r="AT445" s="51" t="n"/>
      <c r="AU445" s="43" t="inlineStr">
        <is>
          <t>Estimated</t>
        </is>
      </c>
      <c r="AV445" s="52" t="n"/>
      <c r="AW445" s="52" t="n"/>
      <c r="AX445" s="53" t="n"/>
      <c r="AY445" s="54">
        <f>IF(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&lt;=0,"",VLOOKUP(B445,country_opex,7,FALSE)/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)</f>
        <v/>
      </c>
      <c r="AZ445" s="54">
        <f>IF(((W445*pax_cap*IF(B445="South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Korea",korea_mid_revleg,revleg_mid)),0))*VLOOKUP(B445,country_opex,3,FALSE))+Z445+AA445+AB445+AC445+AD445))&lt;=0,"",VLOOKUP(B445,country_opex,7,FALSE)/((W445*pax_cap*IF(B445="South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Korea",korea_mid_revleg,revleg_mid)),0))*VLOOKUP(B445,country_opex,3,FALSE))+Z445+AA445+AB445+AC445+AD445)))</f>
        <v/>
      </c>
      <c r="BA445" s="54">
        <f>IF(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&lt;=0,"",VLOOKUP(B445,country_opex,7,FALSE)/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)</f>
        <v/>
      </c>
      <c r="BB445" s="40" t="n"/>
      <c r="BC445" s="40" t="n"/>
      <c r="BD445" s="43" t="inlineStr">
        <is>
          <t>rn-e8434c243233</t>
        </is>
      </c>
    </row>
    <row r="446">
      <c r="A446" s="38" t="inlineStr">
        <is>
          <t>Qatar</t>
        </is>
      </c>
      <c r="B446" s="38" t="inlineStr">
        <is>
          <t>Qatar</t>
        </is>
      </c>
      <c r="C446" s="39" t="inlineStr">
        <is>
          <t>Doha → Lusail Marina</t>
        </is>
      </c>
      <c r="D446" s="38" t="inlineStr">
        <is>
          <t>qatar</t>
        </is>
      </c>
      <c r="E446" s="40" t="inlineStr">
        <is>
          <t>bolt-qatar, qatar, yango-qatar</t>
        </is>
      </c>
      <c r="F446" s="41" t="n">
        <v>3</v>
      </c>
      <c r="G446" s="42" t="n">
        <v>6.5</v>
      </c>
      <c r="H446" s="35" t="n"/>
      <c r="I446" s="43" t="n"/>
      <c r="J446" s="43" t="n"/>
      <c r="K446" s="29" t="n">
        <v>1</v>
      </c>
      <c r="L446" s="44">
        <f>60*G446/cruise_kt</f>
        <v/>
      </c>
      <c r="M446" s="44">
        <f>IF(B446="South Korea",G446/korea_charge_range_nm*korea_full_range_charge_min,0)</f>
        <v/>
      </c>
      <c r="N446" s="44">
        <f>IF(B446="South Korea",L446+korea_turn_min+korea_dwell_min+M446,L446+turn_min+dwell_min)</f>
        <v/>
      </c>
      <c r="O446" s="45">
        <f>IF(B446="South Korea",FLOOR(60*korea_service_hr/N446,1),MIN(27,FLOOR(60*service_hr/N446,1)))</f>
        <v/>
      </c>
      <c r="P446" s="45">
        <f>IF(ABS(MOD(ABS((365*mech_uptime*K446)),1)-0.5)&lt;1E-9,2*ROUND((365*mech_uptime*K446)/2,0),ROUND((365*mech_uptime*K446),0))</f>
        <v/>
      </c>
      <c r="Q446" s="46">
        <f>mech_uptime</f>
        <v/>
      </c>
      <c r="R446" s="46">
        <f>IF(AND(B446="South Korea",scenario="MID"),korea_mid_revleg,revleg_sel)</f>
        <v/>
      </c>
      <c r="S446" s="45">
        <f>IF(ABS(MOD(ABS((O446*P446*R446)),1)-0.5)&lt;1E-9,2*ROUND((O446*P446*R446)/2,0),ROUND((O446*P446*R446),0))</f>
        <v/>
      </c>
      <c r="T446" s="46">
        <f>IF(AND(B446="South Korea",scenario="MID"),korea_mid_load,load_sel)</f>
        <v/>
      </c>
      <c r="U446" s="47">
        <f>pax_cap*T446</f>
        <v/>
      </c>
      <c r="V446" s="45">
        <f>U446*S446</f>
        <v/>
      </c>
      <c r="W446" s="48">
        <f>H446*discount</f>
        <v/>
      </c>
      <c r="X446" s="49">
        <f>W446*V446</f>
        <v/>
      </c>
      <c r="Y446" s="49">
        <f>(battery/range_nm)*G446*S446*VLOOKUP(B446,country_opex,3,FALSE)</f>
        <v/>
      </c>
      <c r="Z446" s="49">
        <f>VLOOKUP(B446,country_opex,2,FALSE)*crew_factor</f>
        <v/>
      </c>
      <c r="AA446" s="49">
        <f>VLOOKUP(B446,country_opex,5,FALSE)</f>
        <v/>
      </c>
      <c r="AB446" s="49">
        <f>maint</f>
        <v/>
      </c>
      <c r="AC446" s="49">
        <f>VLOOKUP(B446,country_opex,7,FALSE)*ins_pct</f>
        <v/>
      </c>
      <c r="AD446" s="49">
        <f>charge_berth</f>
        <v/>
      </c>
      <c r="AE446" s="49">
        <f>Y446+Z446+AA446+AB446+AC446+AD446</f>
        <v/>
      </c>
      <c r="AF446" s="49">
        <f>VLOOKUP(B446,country_opex,7,FALSE)/dep_years</f>
        <v/>
      </c>
      <c r="AG446" s="49">
        <f>X446-AE446</f>
        <v/>
      </c>
      <c r="AH446" s="46">
        <f>IF(X446=0,"",AG446/X446)</f>
        <v/>
      </c>
      <c r="AI446" s="47">
        <f>IF(AG446&lt;=0,"",VLOOKUP(B446,country_opex,7,FALSE)/AG446)</f>
        <v/>
      </c>
      <c r="AJ446" s="44">
        <f>((G446*S446/diesel_nmpg)*diesel_co2pg-(battery/range_nm)*G446*S446*VLOOKUP(B446,country_opex,4,FALSE))/1000</f>
        <v/>
      </c>
      <c r="AK446" s="42" t="n"/>
      <c r="AL446" s="43" t="n"/>
      <c r="AM446" s="43" t="n"/>
      <c r="AN446" s="50" t="n">
        <v>0.1</v>
      </c>
      <c r="AO446" s="45">
        <f>IF(AK446="","",AK446*AN446)</f>
        <v/>
      </c>
      <c r="AP446" s="45">
        <f>IF(OR(AK446="",V446=0),"",MIN(IF(AX446="",9.9E+99,AX446),FLOOR(AO446/V446,1)))</f>
        <v/>
      </c>
      <c r="AQ446" s="49">
        <f>IF(AP446="","",AP446*IF(ABS(MOD(ABS((X446)),1)-0.5)&lt;1E-9,2*ROUND((X446)/2,0),ROUND((X446),0)))</f>
        <v/>
      </c>
      <c r="AR446" s="47">
        <f>IF(OR(AK446="",V446=0),"",MIN(IF(AX446="",9.9E+99,AX446),AO446/V446))</f>
        <v/>
      </c>
      <c r="AS446" s="49">
        <f>IF(AR446="","",AR446*IF(B446="South Korea",IF(ABS(MOD(ABS((X446)),1)-0.5)&lt;1E-9,2*ROUND((X446)/2,0),ROUND((X446),0)),X446))</f>
        <v/>
      </c>
      <c r="AT446" s="51" t="n"/>
      <c r="AU446" s="43" t="inlineStr">
        <is>
          <t>Estimated</t>
        </is>
      </c>
      <c r="AV446" s="52" t="n"/>
      <c r="AW446" s="52" t="n"/>
      <c r="AX446" s="53" t="n"/>
      <c r="AY446" s="54">
        <f>IF(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&lt;=0,"",VLOOKUP(B446,country_opex,7,FALSE)/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)</f>
        <v/>
      </c>
      <c r="AZ446" s="54">
        <f>IF(((W446*pax_cap*IF(B446="South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Korea",korea_mid_revleg,revleg_mid)),0))*VLOOKUP(B446,country_opex,3,FALSE))+Z446+AA446+AB446+AC446+AD446))&lt;=0,"",VLOOKUP(B446,country_opex,7,FALSE)/((W446*pax_cap*IF(B446="South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Korea",korea_mid_revleg,revleg_mid)),0))*VLOOKUP(B446,country_opex,3,FALSE))+Z446+AA446+AB446+AC446+AD446)))</f>
        <v/>
      </c>
      <c r="BA446" s="54">
        <f>IF(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&lt;=0,"",VLOOKUP(B446,country_opex,7,FALSE)/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)</f>
        <v/>
      </c>
      <c r="BB446" s="40" t="n"/>
      <c r="BC446" s="40" t="n"/>
      <c r="BD446" s="43" t="inlineStr">
        <is>
          <t>rn-e8434c243233</t>
        </is>
      </c>
    </row>
    <row r="447">
      <c r="A447" s="38" t="inlineStr">
        <is>
          <t>Qatar</t>
        </is>
      </c>
      <c r="B447" s="38" t="inlineStr">
        <is>
          <t>Qatar</t>
        </is>
      </c>
      <c r="C447" s="39" t="inlineStr">
        <is>
          <t>Al Wakrah → Banana Island</t>
        </is>
      </c>
      <c r="D447" s="38" t="inlineStr">
        <is>
          <t>qatar</t>
        </is>
      </c>
      <c r="E447" s="40" t="inlineStr">
        <is>
          <t>bolt-qatar, qatar, yango-qatar</t>
        </is>
      </c>
      <c r="F447" s="41" t="n">
        <v>3</v>
      </c>
      <c r="G447" s="42" t="n">
        <v>9.5</v>
      </c>
      <c r="H447" s="35" t="n"/>
      <c r="I447" s="43" t="n"/>
      <c r="J447" s="43" t="n"/>
      <c r="K447" s="29" t="n">
        <v>1</v>
      </c>
      <c r="L447" s="44">
        <f>60*G447/cruise_kt</f>
        <v/>
      </c>
      <c r="M447" s="44">
        <f>IF(B447="South Korea",G447/korea_charge_range_nm*korea_full_range_charge_min,0)</f>
        <v/>
      </c>
      <c r="N447" s="44">
        <f>IF(B447="South Korea",L447+korea_turn_min+korea_dwell_min+M447,L447+turn_min+dwell_min)</f>
        <v/>
      </c>
      <c r="O447" s="45">
        <f>IF(B447="South Korea",FLOOR(60*korea_service_hr/N447,1),MIN(27,FLOOR(60*service_hr/N447,1)))</f>
        <v/>
      </c>
      <c r="P447" s="45">
        <f>IF(ABS(MOD(ABS((365*mech_uptime*K447)),1)-0.5)&lt;1E-9,2*ROUND((365*mech_uptime*K447)/2,0),ROUND((365*mech_uptime*K447),0))</f>
        <v/>
      </c>
      <c r="Q447" s="46">
        <f>mech_uptime</f>
        <v/>
      </c>
      <c r="R447" s="46">
        <f>IF(AND(B447="South Korea",scenario="MID"),korea_mid_revleg,revleg_sel)</f>
        <v/>
      </c>
      <c r="S447" s="45">
        <f>IF(ABS(MOD(ABS((O447*P447*R447)),1)-0.5)&lt;1E-9,2*ROUND((O447*P447*R447)/2,0),ROUND((O447*P447*R447),0))</f>
        <v/>
      </c>
      <c r="T447" s="46">
        <f>IF(AND(B447="South Korea",scenario="MID"),korea_mid_load,load_sel)</f>
        <v/>
      </c>
      <c r="U447" s="47">
        <f>pax_cap*T447</f>
        <v/>
      </c>
      <c r="V447" s="45">
        <f>U447*S447</f>
        <v/>
      </c>
      <c r="W447" s="48">
        <f>H447*discount</f>
        <v/>
      </c>
      <c r="X447" s="49">
        <f>W447*V447</f>
        <v/>
      </c>
      <c r="Y447" s="49">
        <f>(battery/range_nm)*G447*S447*VLOOKUP(B447,country_opex,3,FALSE)</f>
        <v/>
      </c>
      <c r="Z447" s="49">
        <f>VLOOKUP(B447,country_opex,2,FALSE)*crew_factor</f>
        <v/>
      </c>
      <c r="AA447" s="49">
        <f>VLOOKUP(B447,country_opex,5,FALSE)</f>
        <v/>
      </c>
      <c r="AB447" s="49">
        <f>maint</f>
        <v/>
      </c>
      <c r="AC447" s="49">
        <f>VLOOKUP(B447,country_opex,7,FALSE)*ins_pct</f>
        <v/>
      </c>
      <c r="AD447" s="49">
        <f>charge_berth</f>
        <v/>
      </c>
      <c r="AE447" s="49">
        <f>Y447+Z447+AA447+AB447+AC447+AD447</f>
        <v/>
      </c>
      <c r="AF447" s="49">
        <f>VLOOKUP(B447,country_opex,7,FALSE)/dep_years</f>
        <v/>
      </c>
      <c r="AG447" s="49">
        <f>X447-AE447</f>
        <v/>
      </c>
      <c r="AH447" s="46">
        <f>IF(X447=0,"",AG447/X447)</f>
        <v/>
      </c>
      <c r="AI447" s="47">
        <f>IF(AG447&lt;=0,"",VLOOKUP(B447,country_opex,7,FALSE)/AG447)</f>
        <v/>
      </c>
      <c r="AJ447" s="44">
        <f>((G447*S447/diesel_nmpg)*diesel_co2pg-(battery/range_nm)*G447*S447*VLOOKUP(B447,country_opex,4,FALSE))/1000</f>
        <v/>
      </c>
      <c r="AK447" s="42" t="n"/>
      <c r="AL447" s="43" t="n"/>
      <c r="AM447" s="43" t="n"/>
      <c r="AN447" s="50" t="n">
        <v>0.1</v>
      </c>
      <c r="AO447" s="45">
        <f>IF(AK447="","",AK447*AN447)</f>
        <v/>
      </c>
      <c r="AP447" s="45">
        <f>IF(OR(AK447="",V447=0),"",MIN(IF(AX447="",9.9E+99,AX447),FLOOR(AO447/V447,1)))</f>
        <v/>
      </c>
      <c r="AQ447" s="49">
        <f>IF(AP447="","",AP447*IF(ABS(MOD(ABS((X447)),1)-0.5)&lt;1E-9,2*ROUND((X447)/2,0),ROUND((X447),0)))</f>
        <v/>
      </c>
      <c r="AR447" s="47">
        <f>IF(OR(AK447="",V447=0),"",MIN(IF(AX447="",9.9E+99,AX447),AO447/V447))</f>
        <v/>
      </c>
      <c r="AS447" s="49">
        <f>IF(AR447="","",AR447*IF(B447="South Korea",IF(ABS(MOD(ABS((X447)),1)-0.5)&lt;1E-9,2*ROUND((X447)/2,0),ROUND((X447),0)),X447))</f>
        <v/>
      </c>
      <c r="AT447" s="51" t="n"/>
      <c r="AU447" s="43" t="inlineStr">
        <is>
          <t>Estimated</t>
        </is>
      </c>
      <c r="AV447" s="52" t="n"/>
      <c r="AW447" s="52" t="n"/>
      <c r="AX447" s="53" t="n"/>
      <c r="AY447" s="54">
        <f>IF(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&lt;=0,"",VLOOKUP(B447,country_opex,7,FALSE)/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)</f>
        <v/>
      </c>
      <c r="AZ447" s="54">
        <f>IF(((W447*pax_cap*IF(B447="South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Korea",korea_mid_revleg,revleg_mid)),0))*VLOOKUP(B447,country_opex,3,FALSE))+Z447+AA447+AB447+AC447+AD447))&lt;=0,"",VLOOKUP(B447,country_opex,7,FALSE)/((W447*pax_cap*IF(B447="South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Korea",korea_mid_revleg,revleg_mid)),0))*VLOOKUP(B447,country_opex,3,FALSE))+Z447+AA447+AB447+AC447+AD447)))</f>
        <v/>
      </c>
      <c r="BA447" s="54">
        <f>IF(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&lt;=0,"",VLOOKUP(B447,country_opex,7,FALSE)/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)</f>
        <v/>
      </c>
      <c r="BB447" s="40" t="n"/>
      <c r="BC447" s="40" t="n"/>
      <c r="BD447" s="43" t="inlineStr">
        <is>
          <t>rn-ad6f66610b8c</t>
        </is>
      </c>
    </row>
    <row r="448">
      <c r="A448" s="38" t="inlineStr">
        <is>
          <t>Qatar</t>
        </is>
      </c>
      <c r="B448" s="38" t="inlineStr">
        <is>
          <t>Qatar</t>
        </is>
      </c>
      <c r="C448" s="39" t="inlineStr">
        <is>
          <t>Doha → Al Wakrah Marina</t>
        </is>
      </c>
      <c r="D448" s="38" t="inlineStr">
        <is>
          <t>qatar</t>
        </is>
      </c>
      <c r="E448" s="40" t="inlineStr">
        <is>
          <t>bolt-qatar, qatar, yango-qatar</t>
        </is>
      </c>
      <c r="F448" s="41" t="n">
        <v>3</v>
      </c>
      <c r="G448" s="42" t="n">
        <v>11</v>
      </c>
      <c r="H448" s="35" t="n"/>
      <c r="I448" s="43" t="n"/>
      <c r="J448" s="43" t="n"/>
      <c r="K448" s="29" t="n">
        <v>1</v>
      </c>
      <c r="L448" s="44">
        <f>60*G448/cruise_kt</f>
        <v/>
      </c>
      <c r="M448" s="44">
        <f>IF(B448="South Korea",G448/korea_charge_range_nm*korea_full_range_charge_min,0)</f>
        <v/>
      </c>
      <c r="N448" s="44">
        <f>IF(B448="South Korea",L448+korea_turn_min+korea_dwell_min+M448,L448+turn_min+dwell_min)</f>
        <v/>
      </c>
      <c r="O448" s="45">
        <f>IF(B448="South Korea",FLOOR(60*korea_service_hr/N448,1),MIN(27,FLOOR(60*service_hr/N448,1)))</f>
        <v/>
      </c>
      <c r="P448" s="45">
        <f>IF(ABS(MOD(ABS((365*mech_uptime*K448)),1)-0.5)&lt;1E-9,2*ROUND((365*mech_uptime*K448)/2,0),ROUND((365*mech_uptime*K448),0))</f>
        <v/>
      </c>
      <c r="Q448" s="46">
        <f>mech_uptime</f>
        <v/>
      </c>
      <c r="R448" s="46">
        <f>IF(AND(B448="South Korea",scenario="MID"),korea_mid_revleg,revleg_sel)</f>
        <v/>
      </c>
      <c r="S448" s="45">
        <f>IF(ABS(MOD(ABS((O448*P448*R448)),1)-0.5)&lt;1E-9,2*ROUND((O448*P448*R448)/2,0),ROUND((O448*P448*R448),0))</f>
        <v/>
      </c>
      <c r="T448" s="46">
        <f>IF(AND(B448="South Korea",scenario="MID"),korea_mid_load,load_sel)</f>
        <v/>
      </c>
      <c r="U448" s="47">
        <f>pax_cap*T448</f>
        <v/>
      </c>
      <c r="V448" s="45">
        <f>U448*S448</f>
        <v/>
      </c>
      <c r="W448" s="48">
        <f>H448*discount</f>
        <v/>
      </c>
      <c r="X448" s="49">
        <f>W448*V448</f>
        <v/>
      </c>
      <c r="Y448" s="49">
        <f>(battery/range_nm)*G448*S448*VLOOKUP(B448,country_opex,3,FALSE)</f>
        <v/>
      </c>
      <c r="Z448" s="49">
        <f>VLOOKUP(B448,country_opex,2,FALSE)*crew_factor</f>
        <v/>
      </c>
      <c r="AA448" s="49">
        <f>VLOOKUP(B448,country_opex,5,FALSE)</f>
        <v/>
      </c>
      <c r="AB448" s="49">
        <f>maint</f>
        <v/>
      </c>
      <c r="AC448" s="49">
        <f>VLOOKUP(B448,country_opex,7,FALSE)*ins_pct</f>
        <v/>
      </c>
      <c r="AD448" s="49">
        <f>charge_berth</f>
        <v/>
      </c>
      <c r="AE448" s="49">
        <f>Y448+Z448+AA448+AB448+AC448+AD448</f>
        <v/>
      </c>
      <c r="AF448" s="49">
        <f>VLOOKUP(B448,country_opex,7,FALSE)/dep_years</f>
        <v/>
      </c>
      <c r="AG448" s="49">
        <f>X448-AE448</f>
        <v/>
      </c>
      <c r="AH448" s="46">
        <f>IF(X448=0,"",AG448/X448)</f>
        <v/>
      </c>
      <c r="AI448" s="47">
        <f>IF(AG448&lt;=0,"",VLOOKUP(B448,country_opex,7,FALSE)/AG448)</f>
        <v/>
      </c>
      <c r="AJ448" s="44">
        <f>((G448*S448/diesel_nmpg)*diesel_co2pg-(battery/range_nm)*G448*S448*VLOOKUP(B448,country_opex,4,FALSE))/1000</f>
        <v/>
      </c>
      <c r="AK448" s="42" t="n"/>
      <c r="AL448" s="43" t="n"/>
      <c r="AM448" s="43" t="n"/>
      <c r="AN448" s="50" t="n">
        <v>0.1</v>
      </c>
      <c r="AO448" s="45">
        <f>IF(AK448="","",AK448*AN448)</f>
        <v/>
      </c>
      <c r="AP448" s="45">
        <f>IF(OR(AK448="",V448=0),"",MIN(IF(AX448="",9.9E+99,AX448),FLOOR(AO448/V448,1)))</f>
        <v/>
      </c>
      <c r="AQ448" s="49">
        <f>IF(AP448="","",AP448*IF(ABS(MOD(ABS((X448)),1)-0.5)&lt;1E-9,2*ROUND((X448)/2,0),ROUND((X448),0)))</f>
        <v/>
      </c>
      <c r="AR448" s="47">
        <f>IF(OR(AK448="",V448=0),"",MIN(IF(AX448="",9.9E+99,AX448),AO448/V448))</f>
        <v/>
      </c>
      <c r="AS448" s="49">
        <f>IF(AR448="","",AR448*IF(B448="South Korea",IF(ABS(MOD(ABS((X448)),1)-0.5)&lt;1E-9,2*ROUND((X448)/2,0),ROUND((X448),0)),X448))</f>
        <v/>
      </c>
      <c r="AT448" s="51" t="n"/>
      <c r="AU448" s="43" t="inlineStr">
        <is>
          <t>Estimated</t>
        </is>
      </c>
      <c r="AV448" s="52" t="n"/>
      <c r="AW448" s="52" t="n"/>
      <c r="AX448" s="53" t="n"/>
      <c r="AY448" s="54">
        <f>IF(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&lt;=0,"",VLOOKUP(B448,country_opex,7,FALSE)/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)</f>
        <v/>
      </c>
      <c r="AZ448" s="54">
        <f>IF(((W448*pax_cap*IF(B448="South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Korea",korea_mid_revleg,revleg_mid)),0))*VLOOKUP(B448,country_opex,3,FALSE))+Z448+AA448+AB448+AC448+AD448))&lt;=0,"",VLOOKUP(B448,country_opex,7,FALSE)/((W448*pax_cap*IF(B448="South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Korea",korea_mid_revleg,revleg_mid)),0))*VLOOKUP(B448,country_opex,3,FALSE))+Z448+AA448+AB448+AC448+AD448)))</f>
        <v/>
      </c>
      <c r="BA448" s="54">
        <f>IF(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&lt;=0,"",VLOOKUP(B448,country_opex,7,FALSE)/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)</f>
        <v/>
      </c>
      <c r="BB448" s="40" t="n"/>
      <c r="BC448" s="40" t="n"/>
      <c r="BD448" s="43" t="inlineStr">
        <is>
          <t>gcn-e2b0929d6f-qatar</t>
        </is>
      </c>
    </row>
    <row r="449">
      <c r="A449" s="38" t="inlineStr">
        <is>
          <t>Bolt Romania</t>
        </is>
      </c>
      <c r="B449" s="38" t="inlineStr">
        <is>
          <t>Romania</t>
        </is>
      </c>
      <c r="C449" s="39" t="inlineStr">
        <is>
          <t>Constanța → Mamaia</t>
        </is>
      </c>
      <c r="D449" s="38" t="inlineStr">
        <is>
          <t>bolt</t>
        </is>
      </c>
      <c r="E449" s="40" t="inlineStr">
        <is>
          <t>bolt-romania</t>
        </is>
      </c>
      <c r="F449" s="41" t="n">
        <v>1</v>
      </c>
      <c r="G449" s="42" t="n">
        <v>5</v>
      </c>
      <c r="H449" s="35" t="n">
        <v>13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IF(B449="South Korea",G449/korea_charge_range_nm*korea_full_range_charge_min,0)</f>
        <v/>
      </c>
      <c r="N449" s="44">
        <f>IF(B449="South Korea",L449+korea_turn_min+korea_dwell_min+M449,L449+turn_min+dwell_min)</f>
        <v/>
      </c>
      <c r="O449" s="45">
        <f>IF(B449="South Korea",FLOOR(60*korea_service_hr/N449,1),MIN(15,FLOOR(60*service_hr/N449,1)))</f>
        <v/>
      </c>
      <c r="P449" s="45">
        <f>IF(ABS(MOD(ABS((365*mech_uptime*K449)),1)-0.5)&lt;1E-9,2*ROUND((365*mech_uptime*K449)/2,0),ROUND((365*mech_uptime*K449),0))</f>
        <v/>
      </c>
      <c r="Q449" s="46">
        <f>mech_uptime</f>
        <v/>
      </c>
      <c r="R449" s="46">
        <f>IF(AND(B449="South Korea",scenario="MID"),korea_mid_revleg,revleg_sel)</f>
        <v/>
      </c>
      <c r="S449" s="45">
        <f>IF(ABS(MOD(ABS((O449*P449*R449)),1)-0.5)&lt;1E-9,2*ROUND((O449*P449*R449)/2,0),ROUND((O449*P449*R449),0))</f>
        <v/>
      </c>
      <c r="T449" s="46">
        <f>IF(AND(B449="South Korea",scenario="MID"),korea_mid_load,load_sel)</f>
        <v/>
      </c>
      <c r="U449" s="47">
        <f>pax_cap*T449</f>
        <v/>
      </c>
      <c r="V449" s="45">
        <f>U449*S449</f>
        <v/>
      </c>
      <c r="W449" s="48">
        <f>H449*discount</f>
        <v/>
      </c>
      <c r="X449" s="49">
        <f>W449*V449</f>
        <v/>
      </c>
      <c r="Y449" s="49">
        <f>(battery/range_nm)*G449*S449*VLOOKUP(B449,country_opex,3,FALSE)</f>
        <v/>
      </c>
      <c r="Z449" s="49">
        <f>VLOOKUP(B449,country_opex,2,FALSE)*crew_factor</f>
        <v/>
      </c>
      <c r="AA449" s="49">
        <f>VLOOKUP(B449,country_opex,5,FALSE)</f>
        <v/>
      </c>
      <c r="AB449" s="49">
        <f>maint</f>
        <v/>
      </c>
      <c r="AC449" s="49">
        <f>VLOOKUP(B449,country_opex,7,FALSE)*ins_pct</f>
        <v/>
      </c>
      <c r="AD449" s="49">
        <f>charge_berth</f>
        <v/>
      </c>
      <c r="AE449" s="49">
        <f>Y449+Z449+AA449+AB449+AC449+AD449</f>
        <v/>
      </c>
      <c r="AF449" s="49">
        <f>VLOOKUP(B449,country_opex,7,FALSE)/dep_years</f>
        <v/>
      </c>
      <c r="AG449" s="49">
        <f>X449-AE449</f>
        <v/>
      </c>
      <c r="AH449" s="46">
        <f>IF(X449=0,"",AG449/X449)</f>
        <v/>
      </c>
      <c r="AI449" s="47">
        <f>IF(AG449&lt;=0,"",VLOOKUP(B449,country_opex,7,FALSE)/AG449)</f>
        <v/>
      </c>
      <c r="AJ449" s="44">
        <f>((G449*S449/diesel_nmpg)*diesel_co2pg-(battery/range_nm)*G449*S449*VLOOKUP(B449,country_opex,4,FALSE))/1000</f>
        <v/>
      </c>
      <c r="AK449" s="42" t="n">
        <v>17806</v>
      </c>
      <c r="AL449" s="43" t="n"/>
      <c r="AM449" s="43" t="n"/>
      <c r="AN449" s="50" t="n">
        <v>0.1</v>
      </c>
      <c r="AO449" s="45">
        <f>IF(AK449="","",AK449*AN449)</f>
        <v/>
      </c>
      <c r="AP449" s="45">
        <f>IF(OR(AK449="",V449=0),"",MIN(IF(AX449="",9.9E+99,AX449),FLOOR(AO449/V449,1)))</f>
        <v/>
      </c>
      <c r="AQ449" s="49">
        <f>IF(AP449="","",AP449*IF(ABS(MOD(ABS((X449)),1)-0.5)&lt;1E-9,2*ROUND((X449)/2,0),ROUND((X449),0)))</f>
        <v/>
      </c>
      <c r="AR449" s="47">
        <f>IF(OR(AK449="",V449=0),"",MIN(IF(AX449="",9.9E+99,AX449),AO449/V449))</f>
        <v/>
      </c>
      <c r="AS449" s="49">
        <f>IF(AR449="","",AR449*IF(B449="South Korea",IF(ABS(MOD(ABS((X449)),1)-0.5)&lt;1E-9,2*ROUND((X449)/2,0),ROUND((X449),0)),X449))</f>
        <v/>
      </c>
      <c r="AT449" s="51" t="n"/>
      <c r="AU449" s="43" t="inlineStr">
        <is>
          <t>Estimated</t>
        </is>
      </c>
      <c r="AV449" s="52" t="n"/>
      <c r="AW449" s="52" t="n"/>
      <c r="AX449" s="53" t="n"/>
      <c r="AY449" s="54">
        <f>IF(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&lt;=0,"",VLOOKUP(B449,country_opex,7,FALSE)/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)</f>
        <v/>
      </c>
      <c r="AZ449" s="54">
        <f>IF(((W449*pax_cap*IF(B449="South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Korea",korea_mid_revleg,revleg_mid)),0))*VLOOKUP(B449,country_opex,3,FALSE))+Z449+AA449+AB449+AC449+AD449))&lt;=0,"",VLOOKUP(B449,country_opex,7,FALSE)/((W449*pax_cap*IF(B449="South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Korea",korea_mid_revleg,revleg_mid)),0))*VLOOKUP(B449,country_opex,3,FALSE))+Z449+AA449+AB449+AC449+AD449)))</f>
        <v/>
      </c>
      <c r="BA449" s="54">
        <f>IF(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&lt;=0,"",VLOOKUP(B449,country_opex,7,FALSE)/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)</f>
        <v/>
      </c>
      <c r="BB449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C449" s="40" t="n"/>
      <c r="BD449" s="43" t="n"/>
    </row>
    <row r="450">
      <c r="A450" s="38" t="inlineStr">
        <is>
          <t>Bolt Romania</t>
        </is>
      </c>
      <c r="B450" s="38" t="inlineStr">
        <is>
          <t>Romania</t>
        </is>
      </c>
      <c r="C450" s="39" t="inlineStr">
        <is>
          <t>Constanta → Eforie Nord</t>
        </is>
      </c>
      <c r="D450" s="38" t="inlineStr">
        <is>
          <t>bolt</t>
        </is>
      </c>
      <c r="E450" s="40" t="inlineStr">
        <is>
          <t>bolt-romania</t>
        </is>
      </c>
      <c r="F450" s="41" t="n">
        <v>1</v>
      </c>
      <c r="G450" s="42" t="n">
        <v>8</v>
      </c>
      <c r="H450" s="35" t="n">
        <v>13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IF(B450="South Korea",G450/korea_charge_range_nm*korea_full_range_charge_min,0)</f>
        <v/>
      </c>
      <c r="N450" s="44">
        <f>IF(B450="South Korea",L450+korea_turn_min+korea_dwell_min+M450,L450+turn_min+dwell_min)</f>
        <v/>
      </c>
      <c r="O450" s="45">
        <f>IF(B450="South Korea",FLOOR(60*korea_service_hr/N450,1),MIN(24,FLOOR(60*service_hr/N450,1)))</f>
        <v/>
      </c>
      <c r="P450" s="45">
        <f>IF(ABS(MOD(ABS((365*mech_uptime*K450)),1)-0.5)&lt;1E-9,2*ROUND((365*mech_uptime*K450)/2,0),ROUND((365*mech_uptime*K450),0))</f>
        <v/>
      </c>
      <c r="Q450" s="46">
        <f>mech_uptime</f>
        <v/>
      </c>
      <c r="R450" s="46">
        <f>IF(AND(B450="South Korea",scenario="MID"),korea_mid_revleg,revleg_sel)</f>
        <v/>
      </c>
      <c r="S450" s="45">
        <f>IF(ABS(MOD(ABS((O450*P450*R450)),1)-0.5)&lt;1E-9,2*ROUND((O450*P450*R450)/2,0),ROUND((O450*P450*R450),0))</f>
        <v/>
      </c>
      <c r="T450" s="46">
        <f>IF(AND(B450="South Korea",scenario="MID"),korea_mid_load,load_sel)</f>
        <v/>
      </c>
      <c r="U450" s="47">
        <f>pax_cap*T450</f>
        <v/>
      </c>
      <c r="V450" s="45">
        <f>U450*S450</f>
        <v/>
      </c>
      <c r="W450" s="48">
        <f>H450*discount</f>
        <v/>
      </c>
      <c r="X450" s="49">
        <f>W450*V450</f>
        <v/>
      </c>
      <c r="Y450" s="49">
        <f>(battery/range_nm)*G450*S450*VLOOKUP(B450,country_opex,3,FALSE)</f>
        <v/>
      </c>
      <c r="Z450" s="49">
        <f>VLOOKUP(B450,country_opex,2,FALSE)*crew_factor</f>
        <v/>
      </c>
      <c r="AA450" s="49">
        <f>VLOOKUP(B450,country_opex,5,FALSE)</f>
        <v/>
      </c>
      <c r="AB450" s="49">
        <f>maint</f>
        <v/>
      </c>
      <c r="AC450" s="49">
        <f>VLOOKUP(B450,country_opex,7,FALSE)*ins_pct</f>
        <v/>
      </c>
      <c r="AD450" s="49">
        <f>charge_berth</f>
        <v/>
      </c>
      <c r="AE450" s="49">
        <f>Y450+Z450+AA450+AB450+AC450+AD450</f>
        <v/>
      </c>
      <c r="AF450" s="49">
        <f>VLOOKUP(B450,country_opex,7,FALSE)/dep_years</f>
        <v/>
      </c>
      <c r="AG450" s="49">
        <f>X450-AE450</f>
        <v/>
      </c>
      <c r="AH450" s="46">
        <f>IF(X450=0,"",AG450/X450)</f>
        <v/>
      </c>
      <c r="AI450" s="47">
        <f>IF(AG450&lt;=0,"",VLOOKUP(B450,country_opex,7,FALSE)/AG450)</f>
        <v/>
      </c>
      <c r="AJ450" s="44">
        <f>((G450*S450/diesel_nmpg)*diesel_co2pg-(battery/range_nm)*G450*S450*VLOOKUP(B450,country_opex,4,FALSE))/1000</f>
        <v/>
      </c>
      <c r="AK450" s="42" t="n">
        <v>14736</v>
      </c>
      <c r="AL450" s="43" t="n"/>
      <c r="AM450" s="43" t="n"/>
      <c r="AN450" s="50" t="n">
        <v>0.1</v>
      </c>
      <c r="AO450" s="45">
        <f>IF(AK450="","",AK450*AN450)</f>
        <v/>
      </c>
      <c r="AP450" s="45">
        <f>IF(OR(AK450="",V450=0),"",MIN(IF(AX450="",9.9E+99,AX450),FLOOR(AO450/V450,1)))</f>
        <v/>
      </c>
      <c r="AQ450" s="49">
        <f>IF(AP450="","",AP450*IF(ABS(MOD(ABS((X450)),1)-0.5)&lt;1E-9,2*ROUND((X450)/2,0),ROUND((X450),0)))</f>
        <v/>
      </c>
      <c r="AR450" s="47">
        <f>IF(OR(AK450="",V450=0),"",MIN(IF(AX450="",9.9E+99,AX450),AO450/V450))</f>
        <v/>
      </c>
      <c r="AS450" s="49">
        <f>IF(AR450="","",AR450*IF(B450="South Korea",IF(ABS(MOD(ABS((X450)),1)-0.5)&lt;1E-9,2*ROUND((X450)/2,0),ROUND((X450),0)),X450))</f>
        <v/>
      </c>
      <c r="AT450" s="51" t="n"/>
      <c r="AU450" s="43" t="inlineStr">
        <is>
          <t>Estimated</t>
        </is>
      </c>
      <c r="AV450" s="52" t="n"/>
      <c r="AW450" s="52" t="n"/>
      <c r="AX450" s="53" t="n"/>
      <c r="AY450" s="54">
        <f>IF(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&lt;=0,"",VLOOKUP(B450,country_opex,7,FALSE)/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)</f>
        <v/>
      </c>
      <c r="AZ450" s="54">
        <f>IF(((W450*pax_cap*IF(B450="South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Korea",korea_mid_revleg,revleg_mid)),0))*VLOOKUP(B450,country_opex,3,FALSE))+Z450+AA450+AB450+AC450+AD450))&lt;=0,"",VLOOKUP(B450,country_opex,7,FALSE)/((W450*pax_cap*IF(B450="South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Korea",korea_mid_revleg,revleg_mid)),0))*VLOOKUP(B450,country_opex,3,FALSE))+Z450+AA450+AB450+AC450+AD450)))</f>
        <v/>
      </c>
      <c r="BA450" s="54">
        <f>IF(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&lt;=0,"",VLOOKUP(B450,country_opex,7,FALSE)/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)</f>
        <v/>
      </c>
      <c r="BB450" s="40" t="inlineStr">
        <is>
          <t>Coast premium per-seat ~60 RON (charter-divided). ~$13.0.</t>
        </is>
      </c>
      <c r="BC450" s="40" t="n"/>
      <c r="BD450" s="43" t="n"/>
    </row>
    <row r="451">
      <c r="A451" s="38" t="inlineStr">
        <is>
          <t>Bolt Romania</t>
        </is>
      </c>
      <c r="B451" s="38" t="inlineStr">
        <is>
          <t>Romania</t>
        </is>
      </c>
      <c r="C451" s="39" t="inlineStr">
        <is>
          <t>Constanta → Navodari (Mamaia Nord)</t>
        </is>
      </c>
      <c r="D451" s="38" t="inlineStr">
        <is>
          <t>bolt</t>
        </is>
      </c>
      <c r="E451" s="40" t="inlineStr">
        <is>
          <t>bolt-romania</t>
        </is>
      </c>
      <c r="F451" s="41" t="n">
        <v>1</v>
      </c>
      <c r="G451" s="42" t="n">
        <v>9</v>
      </c>
      <c r="H451" s="35" t="n">
        <v>13</v>
      </c>
      <c r="I451" s="43" t="inlineStr">
        <is>
          <t>T2</t>
        </is>
      </c>
      <c r="J451" s="43" t="inlineStr">
        <is>
          <t>med</t>
        </is>
      </c>
      <c r="K451" s="29" t="n">
        <v>1</v>
      </c>
      <c r="L451" s="44">
        <f>60*G451/cruise_kt</f>
        <v/>
      </c>
      <c r="M451" s="44">
        <f>IF(B451="South Korea",G451/korea_charge_range_nm*korea_full_range_charge_min,0)</f>
        <v/>
      </c>
      <c r="N451" s="44">
        <f>IF(B451="South Korea",L451+korea_turn_min+korea_dwell_min+M451,L451+turn_min+dwell_min)</f>
        <v/>
      </c>
      <c r="O451" s="45">
        <f>IF(B451="South Korea",FLOOR(60*korea_service_hr/N451,1),MIN(24,FLOOR(60*service_hr/N451,1)))</f>
        <v/>
      </c>
      <c r="P451" s="45">
        <f>IF(ABS(MOD(ABS((365*mech_uptime*K451)),1)-0.5)&lt;1E-9,2*ROUND((365*mech_uptime*K451)/2,0),ROUND((365*mech_uptime*K451),0))</f>
        <v/>
      </c>
      <c r="Q451" s="46">
        <f>mech_uptime</f>
        <v/>
      </c>
      <c r="R451" s="46">
        <f>IF(AND(B451="South Korea",scenario="MID"),korea_mid_revleg,revleg_sel)</f>
        <v/>
      </c>
      <c r="S451" s="45">
        <f>IF(ABS(MOD(ABS((O451*P451*R451)),1)-0.5)&lt;1E-9,2*ROUND((O451*P451*R451)/2,0),ROUND((O451*P451*R451),0))</f>
        <v/>
      </c>
      <c r="T451" s="46">
        <f>IF(AND(B451="South Korea",scenario="MID"),korea_mid_load,load_sel)</f>
        <v/>
      </c>
      <c r="U451" s="47">
        <f>pax_cap*T451</f>
        <v/>
      </c>
      <c r="V451" s="45">
        <f>U451*S451</f>
        <v/>
      </c>
      <c r="W451" s="48">
        <f>H451*discount</f>
        <v/>
      </c>
      <c r="X451" s="49">
        <f>W451*V451</f>
        <v/>
      </c>
      <c r="Y451" s="49">
        <f>(battery/range_nm)*G451*S451*VLOOKUP(B451,country_opex,3,FALSE)</f>
        <v/>
      </c>
      <c r="Z451" s="49">
        <f>VLOOKUP(B451,country_opex,2,FALSE)*crew_factor</f>
        <v/>
      </c>
      <c r="AA451" s="49">
        <f>VLOOKUP(B451,country_opex,5,FALSE)</f>
        <v/>
      </c>
      <c r="AB451" s="49">
        <f>maint</f>
        <v/>
      </c>
      <c r="AC451" s="49">
        <f>VLOOKUP(B451,country_opex,7,FALSE)*ins_pct</f>
        <v/>
      </c>
      <c r="AD451" s="49">
        <f>charge_berth</f>
        <v/>
      </c>
      <c r="AE451" s="49">
        <f>Y451+Z451+AA451+AB451+AC451+AD451</f>
        <v/>
      </c>
      <c r="AF451" s="49">
        <f>VLOOKUP(B451,country_opex,7,FALSE)/dep_years</f>
        <v/>
      </c>
      <c r="AG451" s="49">
        <f>X451-AE451</f>
        <v/>
      </c>
      <c r="AH451" s="46">
        <f>IF(X451=0,"",AG451/X451)</f>
        <v/>
      </c>
      <c r="AI451" s="47">
        <f>IF(AG451&lt;=0,"",VLOOKUP(B451,country_opex,7,FALSE)/AG451)</f>
        <v/>
      </c>
      <c r="AJ451" s="44">
        <f>((G451*S451/diesel_nmpg)*diesel_co2pg-(battery/range_nm)*G451*S451*VLOOKUP(B451,country_opex,4,FALSE))/1000</f>
        <v/>
      </c>
      <c r="AK451" s="42" t="n"/>
      <c r="AL451" s="43" t="n"/>
      <c r="AM451" s="43" t="n"/>
      <c r="AN451" s="50" t="n">
        <v>0.1</v>
      </c>
      <c r="AO451" s="45">
        <f>IF(AK451="","",AK451*AN451)</f>
        <v/>
      </c>
      <c r="AP451" s="45">
        <f>IF(OR(AK451="",V451=0),"",MIN(IF(AX451="",9.9E+99,AX451),FLOOR(AO451/V451,1)))</f>
        <v/>
      </c>
      <c r="AQ451" s="49">
        <f>IF(AP451="","",AP451*IF(ABS(MOD(ABS((X451)),1)-0.5)&lt;1E-9,2*ROUND((X451)/2,0),ROUND((X451),0)))</f>
        <v/>
      </c>
      <c r="AR451" s="47">
        <f>IF(OR(AK451="",V451=0),"",MIN(IF(AX451="",9.9E+99,AX451),AO451/V451))</f>
        <v/>
      </c>
      <c r="AS451" s="49">
        <f>IF(AR451="","",AR451*IF(B451="South Korea",IF(ABS(MOD(ABS((X451)),1)-0.5)&lt;1E-9,2*ROUND((X451)/2,0),ROUND((X451),0)),X451))</f>
        <v/>
      </c>
      <c r="AT451" s="51" t="n"/>
      <c r="AU451" s="43" t="inlineStr">
        <is>
          <t>Estimated</t>
        </is>
      </c>
      <c r="AV451" s="52" t="n"/>
      <c r="AW451" s="52" t="n"/>
      <c r="AX451" s="53" t="n"/>
      <c r="AY451" s="54">
        <f>IF(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&lt;=0,"",VLOOKUP(B451,country_opex,7,FALSE)/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)</f>
        <v/>
      </c>
      <c r="AZ451" s="54">
        <f>IF(((W451*pax_cap*IF(B451="South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Korea",korea_mid_revleg,revleg_mid)),0))*VLOOKUP(B451,country_opex,3,FALSE))+Z451+AA451+AB451+AC451+AD451))&lt;=0,"",VLOOKUP(B451,country_opex,7,FALSE)/((W451*pax_cap*IF(B451="South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Korea",korea_mid_revleg,revleg_mid)),0))*VLOOKUP(B451,country_opex,3,FALSE))+Z451+AA451+AB451+AC451+AD451)))</f>
        <v/>
      </c>
      <c r="BA451" s="54">
        <f>IF(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&lt;=0,"",VLOOKUP(B451,country_opex,7,FALSE)/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)</f>
        <v/>
      </c>
      <c r="BB451" s="40" t="inlineStr">
        <is>
          <t>Same coast premium per-seat ~60 RON (charter-divided). ~$13.0.</t>
        </is>
      </c>
      <c r="BC451" s="40" t="n"/>
      <c r="BD451" s="43" t="n"/>
    </row>
    <row r="452">
      <c r="A452" s="38" t="inlineStr">
        <is>
          <t>Bolt Romania</t>
        </is>
      </c>
      <c r="B452" s="38" t="inlineStr">
        <is>
          <t>Romania</t>
        </is>
      </c>
      <c r="C452" s="39" t="inlineStr">
        <is>
          <t>Constanta → Costinesti</t>
        </is>
      </c>
      <c r="D452" s="38" t="inlineStr">
        <is>
          <t>bolt</t>
        </is>
      </c>
      <c r="E452" s="40" t="inlineStr">
        <is>
          <t>bolt-romania</t>
        </is>
      </c>
      <c r="F452" s="41" t="n">
        <v>1</v>
      </c>
      <c r="G452" s="42" t="n">
        <v>15</v>
      </c>
      <c r="H452" s="35" t="n">
        <v>13</v>
      </c>
      <c r="I452" s="43" t="inlineStr">
        <is>
          <t>T2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IF(B452="South Korea",G452/korea_charge_range_nm*korea_full_range_charge_min,0)</f>
        <v/>
      </c>
      <c r="N452" s="44">
        <f>IF(B452="South Korea",L452+korea_turn_min+korea_dwell_min+M452,L452+turn_min+dwell_min)</f>
        <v/>
      </c>
      <c r="O452" s="45">
        <f>IF(B452="South Korea",FLOOR(60*korea_service_hr/N452,1),MIN(24,FLOOR(60*service_hr/N452,1)))</f>
        <v/>
      </c>
      <c r="P452" s="45">
        <f>IF(ABS(MOD(ABS((365*mech_uptime*K452)),1)-0.5)&lt;1E-9,2*ROUND((365*mech_uptime*K452)/2,0),ROUND((365*mech_uptime*K452),0))</f>
        <v/>
      </c>
      <c r="Q452" s="46">
        <f>mech_uptime</f>
        <v/>
      </c>
      <c r="R452" s="46">
        <f>IF(AND(B452="South Korea",scenario="MID"),korea_mid_revleg,revleg_sel)</f>
        <v/>
      </c>
      <c r="S452" s="45">
        <f>IF(ABS(MOD(ABS((O452*P452*R452)),1)-0.5)&lt;1E-9,2*ROUND((O452*P452*R452)/2,0),ROUND((O452*P452*R452),0))</f>
        <v/>
      </c>
      <c r="T452" s="46">
        <f>IF(AND(B452="South Korea",scenario="MID"),korea_mid_load,load_sel)</f>
        <v/>
      </c>
      <c r="U452" s="47">
        <f>pax_cap*T452</f>
        <v/>
      </c>
      <c r="V452" s="45">
        <f>U452*S452</f>
        <v/>
      </c>
      <c r="W452" s="48">
        <f>H452*discount</f>
        <v/>
      </c>
      <c r="X452" s="49">
        <f>W452*V452</f>
        <v/>
      </c>
      <c r="Y452" s="49">
        <f>(battery/range_nm)*G452*S452*VLOOKUP(B452,country_opex,3,FALSE)</f>
        <v/>
      </c>
      <c r="Z452" s="49">
        <f>VLOOKUP(B452,country_opex,2,FALSE)*crew_factor</f>
        <v/>
      </c>
      <c r="AA452" s="49">
        <f>VLOOKUP(B452,country_opex,5,FALSE)</f>
        <v/>
      </c>
      <c r="AB452" s="49">
        <f>maint</f>
        <v/>
      </c>
      <c r="AC452" s="49">
        <f>VLOOKUP(B452,country_opex,7,FALSE)*ins_pct</f>
        <v/>
      </c>
      <c r="AD452" s="49">
        <f>charge_berth</f>
        <v/>
      </c>
      <c r="AE452" s="49">
        <f>Y452+Z452+AA452+AB452+AC452+AD452</f>
        <v/>
      </c>
      <c r="AF452" s="49">
        <f>VLOOKUP(B452,country_opex,7,FALSE)/dep_years</f>
        <v/>
      </c>
      <c r="AG452" s="49">
        <f>X452-AE452</f>
        <v/>
      </c>
      <c r="AH452" s="46">
        <f>IF(X452=0,"",AG452/X452)</f>
        <v/>
      </c>
      <c r="AI452" s="47">
        <f>IF(AG452&lt;=0,"",VLOOKUP(B452,country_opex,7,FALSE)/AG452)</f>
        <v/>
      </c>
      <c r="AJ452" s="44">
        <f>((G452*S452/diesel_nmpg)*diesel_co2pg-(battery/range_nm)*G452*S452*VLOOKUP(B452,country_opex,4,FALSE))/1000</f>
        <v/>
      </c>
      <c r="AK452" s="42" t="n">
        <v>7894</v>
      </c>
      <c r="AL452" s="43" t="n"/>
      <c r="AM452" s="43" t="n"/>
      <c r="AN452" s="50" t="n">
        <v>0.1</v>
      </c>
      <c r="AO452" s="45">
        <f>IF(AK452="","",AK452*AN452)</f>
        <v/>
      </c>
      <c r="AP452" s="45">
        <f>IF(OR(AK452="",V452=0),"",MIN(IF(AX452="",9.9E+99,AX452),FLOOR(AO452/V452,1)))</f>
        <v/>
      </c>
      <c r="AQ452" s="49">
        <f>IF(AP452="","",AP452*IF(ABS(MOD(ABS((X452)),1)-0.5)&lt;1E-9,2*ROUND((X452)/2,0),ROUND((X452),0)))</f>
        <v/>
      </c>
      <c r="AR452" s="47">
        <f>IF(OR(AK452="",V452=0),"",MIN(IF(AX452="",9.9E+99,AX452),AO452/V452))</f>
        <v/>
      </c>
      <c r="AS452" s="49">
        <f>IF(AR452="","",AR452*IF(B452="South Korea",IF(ABS(MOD(ABS((X452)),1)-0.5)&lt;1E-9,2*ROUND((X452)/2,0),ROUND((X452),0)),X452))</f>
        <v/>
      </c>
      <c r="AT452" s="51" t="n"/>
      <c r="AU452" s="43" t="inlineStr">
        <is>
          <t>Estimated</t>
        </is>
      </c>
      <c r="AV452" s="52" t="n"/>
      <c r="AW452" s="52" t="n"/>
      <c r="AX452" s="53" t="n"/>
      <c r="AY452" s="54">
        <f>IF(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&lt;=0,"",VLOOKUP(B452,country_opex,7,FALSE)/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)</f>
        <v/>
      </c>
      <c r="AZ452" s="54">
        <f>IF(((W452*pax_cap*IF(B452="South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Korea",korea_mid_revleg,revleg_mid)),0))*VLOOKUP(B452,country_opex,3,FALSE))+Z452+AA452+AB452+AC452+AD452))&lt;=0,"",VLOOKUP(B452,country_opex,7,FALSE)/((W452*pax_cap*IF(B452="South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Korea",korea_mid_revleg,revleg_mid)),0))*VLOOKUP(B452,country_opex,3,FALSE))+Z452+AA452+AB452+AC452+AD452)))</f>
        <v/>
      </c>
      <c r="BA452" s="54">
        <f>IF(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&lt;=0,"",VLOOKUP(B452,country_opex,7,FALSE)/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)</f>
        <v/>
      </c>
      <c r="BB452" s="40" t="inlineStr">
        <is>
          <t>Coast premium per-seat ~60 RON (charter-divided). ~$13.0.</t>
        </is>
      </c>
      <c r="BC452" s="40" t="n"/>
      <c r="BD452" s="43" t="n"/>
    </row>
    <row r="453">
      <c r="A453" s="38" t="inlineStr">
        <is>
          <t>Bolt Romania</t>
        </is>
      </c>
      <c r="B453" s="38" t="inlineStr">
        <is>
          <t>Romania</t>
        </is>
      </c>
      <c r="C453" s="39" t="inlineStr">
        <is>
          <t>Bucharest → Snagov</t>
        </is>
      </c>
      <c r="D453" s="38" t="inlineStr">
        <is>
          <t>bolt</t>
        </is>
      </c>
      <c r="E453" s="40" t="inlineStr">
        <is>
          <t>bolt-romania</t>
        </is>
      </c>
      <c r="F453" s="41" t="n">
        <v>1</v>
      </c>
      <c r="G453" s="42" t="n">
        <v>19</v>
      </c>
      <c r="H453" s="35" t="n"/>
      <c r="I453" s="43" t="n"/>
      <c r="J453" s="43" t="n"/>
      <c r="K453" s="29" t="n">
        <v>1</v>
      </c>
      <c r="L453" s="44">
        <f>60*G453/cruise_kt</f>
        <v/>
      </c>
      <c r="M453" s="44">
        <f>IF(B453="South Korea",G453/korea_charge_range_nm*korea_full_range_charge_min,0)</f>
        <v/>
      </c>
      <c r="N453" s="44">
        <f>IF(B453="South Korea",L453+korea_turn_min+korea_dwell_min+M453,L453+turn_min+dwell_min)</f>
        <v/>
      </c>
      <c r="O453" s="45">
        <f>IF(B453="South Korea",FLOOR(60*korea_service_hr/N453,1),MIN(24,FLOOR(60*service_hr/N453,1)))</f>
        <v/>
      </c>
      <c r="P453" s="45">
        <f>IF(ABS(MOD(ABS((365*mech_uptime*K453)),1)-0.5)&lt;1E-9,2*ROUND((365*mech_uptime*K453)/2,0),ROUND((365*mech_uptime*K453),0))</f>
        <v/>
      </c>
      <c r="Q453" s="46">
        <f>mech_uptime</f>
        <v/>
      </c>
      <c r="R453" s="46">
        <f>IF(AND(B453="South Korea",scenario="MID"),korea_mid_revleg,revleg_sel)</f>
        <v/>
      </c>
      <c r="S453" s="45">
        <f>IF(ABS(MOD(ABS((O453*P453*R453)),1)-0.5)&lt;1E-9,2*ROUND((O453*P453*R453)/2,0),ROUND((O453*P453*R453),0))</f>
        <v/>
      </c>
      <c r="T453" s="46">
        <f>IF(AND(B453="South Korea",scenario="MID"),korea_mid_load,load_sel)</f>
        <v/>
      </c>
      <c r="U453" s="47">
        <f>pax_cap*T453</f>
        <v/>
      </c>
      <c r="V453" s="45">
        <f>U453*S453</f>
        <v/>
      </c>
      <c r="W453" s="48">
        <f>H453*discount</f>
        <v/>
      </c>
      <c r="X453" s="49">
        <f>W453*V453</f>
        <v/>
      </c>
      <c r="Y453" s="49">
        <f>(battery/range_nm)*G453*S453*VLOOKUP(B453,country_opex,3,FALSE)</f>
        <v/>
      </c>
      <c r="Z453" s="49">
        <f>VLOOKUP(B453,country_opex,2,FALSE)*crew_factor</f>
        <v/>
      </c>
      <c r="AA453" s="49">
        <f>VLOOKUP(B453,country_opex,5,FALSE)</f>
        <v/>
      </c>
      <c r="AB453" s="49">
        <f>maint</f>
        <v/>
      </c>
      <c r="AC453" s="49">
        <f>VLOOKUP(B453,country_opex,7,FALSE)*ins_pct</f>
        <v/>
      </c>
      <c r="AD453" s="49">
        <f>charge_berth</f>
        <v/>
      </c>
      <c r="AE453" s="49">
        <f>Y453+Z453+AA453+AB453+AC453+AD453</f>
        <v/>
      </c>
      <c r="AF453" s="49">
        <f>VLOOKUP(B453,country_opex,7,FALSE)/dep_years</f>
        <v/>
      </c>
      <c r="AG453" s="49">
        <f>X453-AE453</f>
        <v/>
      </c>
      <c r="AH453" s="46">
        <f>IF(X453=0,"",AG453/X453)</f>
        <v/>
      </c>
      <c r="AI453" s="47">
        <f>IF(AG453&lt;=0,"",VLOOKUP(B453,country_opex,7,FALSE)/AG453)</f>
        <v/>
      </c>
      <c r="AJ453" s="44">
        <f>((G453*S453/diesel_nmpg)*diesel_co2pg-(battery/range_nm)*G453*S453*VLOOKUP(B453,country_opex,4,FALSE))/1000</f>
        <v/>
      </c>
      <c r="AK453" s="42" t="n"/>
      <c r="AL453" s="43" t="n"/>
      <c r="AM453" s="43" t="n"/>
      <c r="AN453" s="50" t="n">
        <v>0.1</v>
      </c>
      <c r="AO453" s="45">
        <f>IF(AK453="","",AK453*AN453)</f>
        <v/>
      </c>
      <c r="AP453" s="45">
        <f>IF(OR(AK453="",V453=0),"",MIN(IF(AX453="",9.9E+99,AX453),FLOOR(AO453/V453,1)))</f>
        <v/>
      </c>
      <c r="AQ453" s="49">
        <f>IF(AP453="","",AP453*IF(ABS(MOD(ABS((X453)),1)-0.5)&lt;1E-9,2*ROUND((X453)/2,0),ROUND((X453),0)))</f>
        <v/>
      </c>
      <c r="AR453" s="47">
        <f>IF(OR(AK453="",V453=0),"",MIN(IF(AX453="",9.9E+99,AX453),AO453/V453))</f>
        <v/>
      </c>
      <c r="AS453" s="49">
        <f>IF(AR453="","",AR453*IF(B453="South Korea",IF(ABS(MOD(ABS((X453)),1)-0.5)&lt;1E-9,2*ROUND((X453)/2,0),ROUND((X453),0)),X453))</f>
        <v/>
      </c>
      <c r="AT453" s="51" t="n"/>
      <c r="AU453" s="43" t="inlineStr">
        <is>
          <t>Estimated</t>
        </is>
      </c>
      <c r="AV453" s="52" t="n"/>
      <c r="AW453" s="52" t="n"/>
      <c r="AX453" s="53" t="n"/>
      <c r="AY453" s="54">
        <f>IF(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&lt;=0,"",VLOOKUP(B453,country_opex,7,FALSE)/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)</f>
        <v/>
      </c>
      <c r="AZ453" s="54">
        <f>IF(((W453*pax_cap*IF(B453="South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Korea",korea_mid_revleg,revleg_mid)),0))*VLOOKUP(B453,country_opex,3,FALSE))+Z453+AA453+AB453+AC453+AD453))&lt;=0,"",VLOOKUP(B453,country_opex,7,FALSE)/((W453*pax_cap*IF(B453="South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Korea",korea_mid_revleg,revleg_mid)),0))*VLOOKUP(B453,country_opex,3,FALSE))+Z453+AA453+AB453+AC453+AD453)))</f>
        <v/>
      </c>
      <c r="BA453" s="54">
        <f>IF(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&lt;=0,"",VLOOKUP(B453,country_opex,7,FALSE)/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)</f>
        <v/>
      </c>
      <c r="BB453" s="40" t="n"/>
      <c r="BC453" s="40" t="n"/>
      <c r="BD453" s="43" t="n"/>
    </row>
    <row r="454">
      <c r="A454" s="38" t="inlineStr">
        <is>
          <t>Bolt Romania</t>
        </is>
      </c>
      <c r="B454" s="38" t="inlineStr">
        <is>
          <t>Romania</t>
        </is>
      </c>
      <c r="C454" s="39" t="inlineStr">
        <is>
          <t>Mangalia → Balchik (Bulgaria)</t>
        </is>
      </c>
      <c r="D454" s="38" t="inlineStr">
        <is>
          <t>bolt</t>
        </is>
      </c>
      <c r="E454" s="40" t="inlineStr">
        <is>
          <t>bolt-romania</t>
        </is>
      </c>
      <c r="F454" s="41" t="n">
        <v>1</v>
      </c>
      <c r="G454" s="42" t="n">
        <v>22</v>
      </c>
      <c r="H454" s="35" t="n"/>
      <c r="I454" s="43" t="n"/>
      <c r="J454" s="43" t="n"/>
      <c r="K454" s="29" t="n">
        <v>1</v>
      </c>
      <c r="L454" s="44">
        <f>60*G454/cruise_kt</f>
        <v/>
      </c>
      <c r="M454" s="44">
        <f>IF(B454="South Korea",G454/korea_charge_range_nm*korea_full_range_charge_min,0)</f>
        <v/>
      </c>
      <c r="N454" s="44">
        <f>IF(B454="South Korea",L454+korea_turn_min+korea_dwell_min+M454,L454+turn_min+dwell_min)</f>
        <v/>
      </c>
      <c r="O454" s="45">
        <f>IF(B454="South Korea",FLOOR(60*korea_service_hr/N454,1),MIN(15,FLOOR(60*service_hr/N454,1)))</f>
        <v/>
      </c>
      <c r="P454" s="45">
        <f>IF(ABS(MOD(ABS((365*mech_uptime*K454)),1)-0.5)&lt;1E-9,2*ROUND((365*mech_uptime*K454)/2,0),ROUND((365*mech_uptime*K454),0))</f>
        <v/>
      </c>
      <c r="Q454" s="46">
        <f>mech_uptime</f>
        <v/>
      </c>
      <c r="R454" s="46">
        <f>IF(AND(B454="South Korea",scenario="MID"),korea_mid_revleg,revleg_sel)</f>
        <v/>
      </c>
      <c r="S454" s="45">
        <f>IF(ABS(MOD(ABS((O454*P454*R454)),1)-0.5)&lt;1E-9,2*ROUND((O454*P454*R454)/2,0),ROUND((O454*P454*R454),0))</f>
        <v/>
      </c>
      <c r="T454" s="46">
        <f>IF(AND(B454="South Korea",scenario="MID"),korea_mid_load,load_sel)</f>
        <v/>
      </c>
      <c r="U454" s="47">
        <f>pax_cap*T454</f>
        <v/>
      </c>
      <c r="V454" s="45">
        <f>U454*S454</f>
        <v/>
      </c>
      <c r="W454" s="48">
        <f>H454*discount</f>
        <v/>
      </c>
      <c r="X454" s="49">
        <f>W454*V454</f>
        <v/>
      </c>
      <c r="Y454" s="49">
        <f>(battery/range_nm)*G454*S454*VLOOKUP(B454,country_opex,3,FALSE)</f>
        <v/>
      </c>
      <c r="Z454" s="49">
        <f>VLOOKUP(B454,country_opex,2,FALSE)*crew_factor</f>
        <v/>
      </c>
      <c r="AA454" s="49">
        <f>VLOOKUP(B454,country_opex,5,FALSE)</f>
        <v/>
      </c>
      <c r="AB454" s="49">
        <f>maint</f>
        <v/>
      </c>
      <c r="AC454" s="49">
        <f>VLOOKUP(B454,country_opex,7,FALSE)*ins_pct</f>
        <v/>
      </c>
      <c r="AD454" s="49">
        <f>charge_berth</f>
        <v/>
      </c>
      <c r="AE454" s="49">
        <f>Y454+Z454+AA454+AB454+AC454+AD454</f>
        <v/>
      </c>
      <c r="AF454" s="49">
        <f>VLOOKUP(B454,country_opex,7,FALSE)/dep_years</f>
        <v/>
      </c>
      <c r="AG454" s="49">
        <f>X454-AE454</f>
        <v/>
      </c>
      <c r="AH454" s="46">
        <f>IF(X454=0,"",AG454/X454)</f>
        <v/>
      </c>
      <c r="AI454" s="47">
        <f>IF(AG454&lt;=0,"",VLOOKUP(B454,country_opex,7,FALSE)/AG454)</f>
        <v/>
      </c>
      <c r="AJ454" s="44">
        <f>((G454*S454/diesel_nmpg)*diesel_co2pg-(battery/range_nm)*G454*S454*VLOOKUP(B454,country_opex,4,FALSE))/1000</f>
        <v/>
      </c>
      <c r="AK454" s="42" t="n"/>
      <c r="AL454" s="43" t="n"/>
      <c r="AM454" s="43" t="n"/>
      <c r="AN454" s="50" t="n">
        <v>0.1</v>
      </c>
      <c r="AO454" s="45">
        <f>IF(AK454="","",AK454*AN454)</f>
        <v/>
      </c>
      <c r="AP454" s="45">
        <f>IF(OR(AK454="",V454=0),"",MIN(IF(AX454="",9.9E+99,AX454),FLOOR(AO454/V454,1)))</f>
        <v/>
      </c>
      <c r="AQ454" s="49">
        <f>IF(AP454="","",AP454*IF(ABS(MOD(ABS((X454)),1)-0.5)&lt;1E-9,2*ROUND((X454)/2,0),ROUND((X454),0)))</f>
        <v/>
      </c>
      <c r="AR454" s="47">
        <f>IF(OR(AK454="",V454=0),"",MIN(IF(AX454="",9.9E+99,AX454),AO454/V454))</f>
        <v/>
      </c>
      <c r="AS454" s="49">
        <f>IF(AR454="","",AR454*IF(B454="South Korea",IF(ABS(MOD(ABS((X454)),1)-0.5)&lt;1E-9,2*ROUND((X454)/2,0),ROUND((X454),0)),X454))</f>
        <v/>
      </c>
      <c r="AT454" s="51" t="n"/>
      <c r="AU454" s="43" t="inlineStr">
        <is>
          <t>Estimated</t>
        </is>
      </c>
      <c r="AV454" s="52" t="n"/>
      <c r="AW454" s="52" t="n"/>
      <c r="AX454" s="53" t="n"/>
      <c r="AY454" s="54">
        <f>IF(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&lt;=0,"",VLOOKUP(B454,country_opex,7,FALSE)/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)</f>
        <v/>
      </c>
      <c r="AZ454" s="54">
        <f>IF(((W454*pax_cap*IF(B454="South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Korea",korea_mid_revleg,revleg_mid)),0))*VLOOKUP(B454,country_opex,3,FALSE))+Z454+AA454+AB454+AC454+AD454))&lt;=0,"",VLOOKUP(B454,country_opex,7,FALSE)/((W454*pax_cap*IF(B454="South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Korea",korea_mid_revleg,revleg_mid)),0))*VLOOKUP(B454,country_opex,3,FALSE))+Z454+AA454+AB454+AC454+AD454)))</f>
        <v/>
      </c>
      <c r="BA454" s="54">
        <f>IF(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&lt;=0,"",VLOOKUP(B454,country_opex,7,FALSE)/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)</f>
        <v/>
      </c>
      <c r="BB454" s="40" t="n"/>
      <c r="BC454" s="40" t="n"/>
      <c r="BD454" s="43" t="n"/>
    </row>
    <row r="455">
      <c r="A455" s="38" t="inlineStr">
        <is>
          <t>Bolt Romania</t>
        </is>
      </c>
      <c r="B455" s="38" t="inlineStr">
        <is>
          <t>Romania</t>
        </is>
      </c>
      <c r="C455" s="39" t="inlineStr">
        <is>
          <t>Constanta → Mangalia</t>
        </is>
      </c>
      <c r="D455" s="38" t="inlineStr">
        <is>
          <t>bolt</t>
        </is>
      </c>
      <c r="E455" s="40" t="inlineStr">
        <is>
          <t>bolt-romania</t>
        </is>
      </c>
      <c r="F455" s="41" t="n">
        <v>1</v>
      </c>
      <c r="G455" s="42" t="n">
        <v>23</v>
      </c>
      <c r="H455" s="35" t="n">
        <v>13</v>
      </c>
      <c r="I455" s="43" t="inlineStr">
        <is>
          <t>T2</t>
        </is>
      </c>
      <c r="J455" s="43" t="inlineStr">
        <is>
          <t>med</t>
        </is>
      </c>
      <c r="K455" s="29" t="n">
        <v>1</v>
      </c>
      <c r="L455" s="44">
        <f>60*G455/cruise_kt</f>
        <v/>
      </c>
      <c r="M455" s="44">
        <f>IF(B455="South Korea",G455/korea_charge_range_nm*korea_full_range_charge_min,0)</f>
        <v/>
      </c>
      <c r="N455" s="44">
        <f>IF(B455="South Korea",L455+korea_turn_min+korea_dwell_min+M455,L455+turn_min+dwell_min)</f>
        <v/>
      </c>
      <c r="O455" s="45">
        <f>IF(B455="South Korea",FLOOR(60*korea_service_hr/N455,1),MIN(24,FLOOR(60*service_hr/N455,1)))</f>
        <v/>
      </c>
      <c r="P455" s="45">
        <f>IF(ABS(MOD(ABS((365*mech_uptime*K455)),1)-0.5)&lt;1E-9,2*ROUND((365*mech_uptime*K455)/2,0),ROUND((365*mech_uptime*K455),0))</f>
        <v/>
      </c>
      <c r="Q455" s="46">
        <f>mech_uptime</f>
        <v/>
      </c>
      <c r="R455" s="46">
        <f>IF(AND(B455="South Korea",scenario="MID"),korea_mid_revleg,revleg_sel)</f>
        <v/>
      </c>
      <c r="S455" s="45">
        <f>IF(ABS(MOD(ABS((O455*P455*R455)),1)-0.5)&lt;1E-9,2*ROUND((O455*P455*R455)/2,0),ROUND((O455*P455*R455),0))</f>
        <v/>
      </c>
      <c r="T455" s="46">
        <f>IF(AND(B455="South Korea",scenario="MID"),korea_mid_load,load_sel)</f>
        <v/>
      </c>
      <c r="U455" s="47">
        <f>pax_cap*T455</f>
        <v/>
      </c>
      <c r="V455" s="45">
        <f>U455*S455</f>
        <v/>
      </c>
      <c r="W455" s="48">
        <f>H455*discount</f>
        <v/>
      </c>
      <c r="X455" s="49">
        <f>W455*V455</f>
        <v/>
      </c>
      <c r="Y455" s="49">
        <f>(battery/range_nm)*G455*S455*VLOOKUP(B455,country_opex,3,FALSE)</f>
        <v/>
      </c>
      <c r="Z455" s="49">
        <f>VLOOKUP(B455,country_opex,2,FALSE)*crew_factor</f>
        <v/>
      </c>
      <c r="AA455" s="49">
        <f>VLOOKUP(B455,country_opex,5,FALSE)</f>
        <v/>
      </c>
      <c r="AB455" s="49">
        <f>maint</f>
        <v/>
      </c>
      <c r="AC455" s="49">
        <f>VLOOKUP(B455,country_opex,7,FALSE)*ins_pct</f>
        <v/>
      </c>
      <c r="AD455" s="49">
        <f>charge_berth</f>
        <v/>
      </c>
      <c r="AE455" s="49">
        <f>Y455+Z455+AA455+AB455+AC455+AD455</f>
        <v/>
      </c>
      <c r="AF455" s="49">
        <f>VLOOKUP(B455,country_opex,7,FALSE)/dep_years</f>
        <v/>
      </c>
      <c r="AG455" s="49">
        <f>X455-AE455</f>
        <v/>
      </c>
      <c r="AH455" s="46">
        <f>IF(X455=0,"",AG455/X455)</f>
        <v/>
      </c>
      <c r="AI455" s="47">
        <f>IF(AG455&lt;=0,"",VLOOKUP(B455,country_opex,7,FALSE)/AG455)</f>
        <v/>
      </c>
      <c r="AJ455" s="44">
        <f>((G455*S455/diesel_nmpg)*diesel_co2pg-(battery/range_nm)*G455*S455*VLOOKUP(B455,country_opex,4,FALSE))/1000</f>
        <v/>
      </c>
      <c r="AK455" s="42" t="n">
        <v>7017</v>
      </c>
      <c r="AL455" s="43" t="n"/>
      <c r="AM455" s="43" t="n"/>
      <c r="AN455" s="50" t="n">
        <v>0.1</v>
      </c>
      <c r="AO455" s="45">
        <f>IF(AK455="","",AK455*AN455)</f>
        <v/>
      </c>
      <c r="AP455" s="45">
        <f>IF(OR(AK455="",V455=0),"",MIN(IF(AX455="",9.9E+99,AX455),FLOOR(AO455/V455,1)))</f>
        <v/>
      </c>
      <c r="AQ455" s="49">
        <f>IF(AP455="","",AP455*IF(ABS(MOD(ABS((X455)),1)-0.5)&lt;1E-9,2*ROUND((X455)/2,0),ROUND((X455),0)))</f>
        <v/>
      </c>
      <c r="AR455" s="47">
        <f>IF(OR(AK455="",V455=0),"",MIN(IF(AX455="",9.9E+99,AX455),AO455/V455))</f>
        <v/>
      </c>
      <c r="AS455" s="49">
        <f>IF(AR455="","",AR455*IF(B455="South Korea",IF(ABS(MOD(ABS((X455)),1)-0.5)&lt;1E-9,2*ROUND((X455)/2,0),ROUND((X455),0)),X455))</f>
        <v/>
      </c>
      <c r="AT455" s="51" t="n"/>
      <c r="AU455" s="43" t="inlineStr">
        <is>
          <t>Estimated</t>
        </is>
      </c>
      <c r="AV455" s="52" t="n"/>
      <c r="AW455" s="52" t="n"/>
      <c r="AX455" s="53" t="n"/>
      <c r="AY455" s="54">
        <f>IF(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&lt;=0,"",VLOOKUP(B455,country_opex,7,FALSE)/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)</f>
        <v/>
      </c>
      <c r="AZ455" s="54">
        <f>IF(((W455*pax_cap*IF(B455="South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Korea",korea_mid_revleg,revleg_mid)),0))*VLOOKUP(B455,country_opex,3,FALSE))+Z455+AA455+AB455+AC455+AD455))&lt;=0,"",VLOOKUP(B455,country_opex,7,FALSE)/((W455*pax_cap*IF(B455="South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Korea",korea_mid_revleg,revleg_mid)),0))*VLOOKUP(B455,country_opex,3,FALSE))+Z455+AA455+AB455+AC455+AD455)))</f>
        <v/>
      </c>
      <c r="BA455" s="54">
        <f>IF(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&lt;=0,"",VLOOKUP(B455,country_opex,7,FALSE)/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)</f>
        <v/>
      </c>
      <c r="BB455" s="40" t="inlineStr">
        <is>
          <t>Coast premium per-seat ~60 RON (charter-divided). ~$13.0. (Longer leg could justify a higher seat; unsourced -&gt; hold at coast anchor.)</t>
        </is>
      </c>
      <c r="BC455" s="40" t="n"/>
      <c r="BD455" s="43" t="n"/>
    </row>
    <row r="456">
      <c r="A456" s="38" t="inlineStr">
        <is>
          <t>Bolt Romania</t>
        </is>
      </c>
      <c r="B456" s="38" t="inlineStr">
        <is>
          <t>Romania</t>
        </is>
      </c>
      <c r="C456" s="39" t="inlineStr">
        <is>
          <t>Tulcea → Crisan</t>
        </is>
      </c>
      <c r="D456" s="38" t="inlineStr">
        <is>
          <t>bolt</t>
        </is>
      </c>
      <c r="E456" s="40" t="inlineStr">
        <is>
          <t>bolt-romania</t>
        </is>
      </c>
      <c r="F456" s="41" t="n">
        <v>1</v>
      </c>
      <c r="G456" s="42" t="n">
        <v>23</v>
      </c>
      <c r="H456" s="35" t="n">
        <v>10.9</v>
      </c>
      <c r="I456" s="43" t="inlineStr">
        <is>
          <t>T2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IF(B456="South Korea",G456/korea_charge_range_nm*korea_full_range_charge_min,0)</f>
        <v/>
      </c>
      <c r="N456" s="44">
        <f>IF(B456="South Korea",L456+korea_turn_min+korea_dwell_min+M456,L456+turn_min+dwell_min)</f>
        <v/>
      </c>
      <c r="O456" s="45">
        <f>IF(B456="South Korea",FLOOR(60*korea_service_hr/N456,1),MIN(15,FLOOR(60*service_hr/N456,1)))</f>
        <v/>
      </c>
      <c r="P456" s="45">
        <f>IF(ABS(MOD(ABS((365*mech_uptime*K456)),1)-0.5)&lt;1E-9,2*ROUND((365*mech_uptime*K456)/2,0),ROUND((365*mech_uptime*K456),0))</f>
        <v/>
      </c>
      <c r="Q456" s="46">
        <f>mech_uptime</f>
        <v/>
      </c>
      <c r="R456" s="46">
        <f>IF(AND(B456="South Korea",scenario="MID"),korea_mid_revleg,revleg_sel)</f>
        <v/>
      </c>
      <c r="S456" s="45">
        <f>IF(ABS(MOD(ABS((O456*P456*R456)),1)-0.5)&lt;1E-9,2*ROUND((O456*P456*R456)/2,0),ROUND((O456*P456*R456),0))</f>
        <v/>
      </c>
      <c r="T456" s="46">
        <f>IF(AND(B456="South Korea",scenario="MID"),korea_mid_load,load_sel)</f>
        <v/>
      </c>
      <c r="U456" s="47">
        <f>pax_cap*T456</f>
        <v/>
      </c>
      <c r="V456" s="45">
        <f>U456*S456</f>
        <v/>
      </c>
      <c r="W456" s="48">
        <f>H456*discount</f>
        <v/>
      </c>
      <c r="X456" s="49">
        <f>W456*V456</f>
        <v/>
      </c>
      <c r="Y456" s="49">
        <f>(battery/range_nm)*G456*S456*VLOOKUP(B456,country_opex,3,FALSE)</f>
        <v/>
      </c>
      <c r="Z456" s="49">
        <f>VLOOKUP(B456,country_opex,2,FALSE)*crew_factor</f>
        <v/>
      </c>
      <c r="AA456" s="49">
        <f>VLOOKUP(B456,country_opex,5,FALSE)</f>
        <v/>
      </c>
      <c r="AB456" s="49">
        <f>maint</f>
        <v/>
      </c>
      <c r="AC456" s="49">
        <f>VLOOKUP(B456,country_opex,7,FALSE)*ins_pct</f>
        <v/>
      </c>
      <c r="AD456" s="49">
        <f>charge_berth</f>
        <v/>
      </c>
      <c r="AE456" s="49">
        <f>Y456+Z456+AA456+AB456+AC456+AD456</f>
        <v/>
      </c>
      <c r="AF456" s="49">
        <f>VLOOKUP(B456,country_opex,7,FALSE)/dep_years</f>
        <v/>
      </c>
      <c r="AG456" s="49">
        <f>X456-AE456</f>
        <v/>
      </c>
      <c r="AH456" s="46">
        <f>IF(X456=0,"",AG456/X456)</f>
        <v/>
      </c>
      <c r="AI456" s="47">
        <f>IF(AG456&lt;=0,"",VLOOKUP(B456,country_opex,7,FALSE)/AG456)</f>
        <v/>
      </c>
      <c r="AJ456" s="44">
        <f>((G456*S456/diesel_nmpg)*diesel_co2pg-(battery/range_nm)*G456*S456*VLOOKUP(B456,country_opex,4,FALSE))/1000</f>
        <v/>
      </c>
      <c r="AK456" s="42" t="n"/>
      <c r="AL456" s="43" t="n"/>
      <c r="AM456" s="43" t="n"/>
      <c r="AN456" s="50" t="n">
        <v>0.1</v>
      </c>
      <c r="AO456" s="45">
        <f>IF(AK456="","",AK456*AN456)</f>
        <v/>
      </c>
      <c r="AP456" s="45">
        <f>IF(OR(AK456="",V456=0),"",MIN(IF(AX456="",9.9E+99,AX456),FLOOR(AO456/V456,1)))</f>
        <v/>
      </c>
      <c r="AQ456" s="49">
        <f>IF(AP456="","",AP456*IF(ABS(MOD(ABS((X456)),1)-0.5)&lt;1E-9,2*ROUND((X456)/2,0),ROUND((X456),0)))</f>
        <v/>
      </c>
      <c r="AR456" s="47">
        <f>IF(OR(AK456="",V456=0),"",MIN(IF(AX456="",9.9E+99,AX456),AO456/V456))</f>
        <v/>
      </c>
      <c r="AS456" s="49">
        <f>IF(AR456="","",AR456*IF(B456="South Korea",IF(ABS(MOD(ABS((X456)),1)-0.5)&lt;1E-9,2*ROUND((X456)/2,0),ROUND((X456),0)),X456))</f>
        <v/>
      </c>
      <c r="AT456" s="51" t="n"/>
      <c r="AU456" s="43" t="inlineStr">
        <is>
          <t>Estimated</t>
        </is>
      </c>
      <c r="AV456" s="52" t="n"/>
      <c r="AW456" s="52" t="n"/>
      <c r="AX456" s="53" t="n"/>
      <c r="AY456" s="54">
        <f>IF(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&lt;=0,"",VLOOKUP(B456,country_opex,7,FALSE)/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)</f>
        <v/>
      </c>
      <c r="AZ456" s="54">
        <f>IF(((W456*pax_cap*IF(B456="South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Korea",korea_mid_revleg,revleg_mid)),0))*VLOOKUP(B456,country_opex,3,FALSE))+Z456+AA456+AB456+AC456+AD456))&lt;=0,"",VLOOKUP(B456,country_opex,7,FALSE)/((W456*pax_cap*IF(B456="South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Korea",korea_mid_revleg,revleg_mid)),0))*VLOOKUP(B456,country_opex,3,FALSE))+Z456+AA456+AB456+AC456+AD456)))</f>
        <v/>
      </c>
      <c r="BA456" s="54">
        <f>IF(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&lt;=0,"",VLOOKUP(B456,country_opex,7,FALSE)/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)</f>
        <v/>
      </c>
      <c r="BB456" s="40" t="inlineStr">
        <is>
          <t>Navrom clasica Tulcea-Crisan 50 RON (official table). 50 / 4.6 = ~$10.9.</t>
        </is>
      </c>
      <c r="BC456" s="40" t="n"/>
      <c r="BD456" s="43" t="n"/>
    </row>
    <row r="457">
      <c r="A457" s="38" t="inlineStr">
        <is>
          <t>Bolt Romania</t>
        </is>
      </c>
      <c r="B457" s="38" t="inlineStr">
        <is>
          <t>Romania</t>
        </is>
      </c>
      <c r="C457" s="39" t="inlineStr">
        <is>
          <t>Tulcea → Sfantu Gheorghe</t>
        </is>
      </c>
      <c r="D457" s="38" t="inlineStr">
        <is>
          <t>bolt</t>
        </is>
      </c>
      <c r="E457" s="40" t="inlineStr">
        <is>
          <t>bolt-romania</t>
        </is>
      </c>
      <c r="F457" s="41" t="n">
        <v>1</v>
      </c>
      <c r="G457" s="42" t="n">
        <v>30</v>
      </c>
      <c r="H457" s="35" t="n">
        <v>13</v>
      </c>
      <c r="I457" s="43" t="inlineStr">
        <is>
          <t>T2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IF(B457="South Korea",G457/korea_charge_range_nm*korea_full_range_charge_min,0)</f>
        <v/>
      </c>
      <c r="N457" s="44">
        <f>IF(B457="South Korea",L457+korea_turn_min+korea_dwell_min+M457,L457+turn_min+dwell_min)</f>
        <v/>
      </c>
      <c r="O457" s="45">
        <f>IF(B457="South Korea",FLOOR(60*korea_service_hr/N457,1),MIN(15,FLOOR(60*service_hr/N457,1)))</f>
        <v/>
      </c>
      <c r="P457" s="45">
        <f>IF(ABS(MOD(ABS((365*mech_uptime*K457)),1)-0.5)&lt;1E-9,2*ROUND((365*mech_uptime*K457)/2,0),ROUND((365*mech_uptime*K457),0))</f>
        <v/>
      </c>
      <c r="Q457" s="46">
        <f>mech_uptime</f>
        <v/>
      </c>
      <c r="R457" s="46">
        <f>IF(AND(B457="South Korea",scenario="MID"),korea_mid_revleg,revleg_sel)</f>
        <v/>
      </c>
      <c r="S457" s="45">
        <f>IF(ABS(MOD(ABS((O457*P457*R457)),1)-0.5)&lt;1E-9,2*ROUND((O457*P457*R457)/2,0),ROUND((O457*P457*R457),0))</f>
        <v/>
      </c>
      <c r="T457" s="46">
        <f>IF(AND(B457="South Korea",scenario="MID"),korea_mid_load,load_sel)</f>
        <v/>
      </c>
      <c r="U457" s="47">
        <f>pax_cap*T457</f>
        <v/>
      </c>
      <c r="V457" s="45">
        <f>U457*S457</f>
        <v/>
      </c>
      <c r="W457" s="48">
        <f>H457*discount</f>
        <v/>
      </c>
      <c r="X457" s="49">
        <f>W457*V457</f>
        <v/>
      </c>
      <c r="Y457" s="49">
        <f>(battery/range_nm)*G457*S457*VLOOKUP(B457,country_opex,3,FALSE)</f>
        <v/>
      </c>
      <c r="Z457" s="49">
        <f>VLOOKUP(B457,country_opex,2,FALSE)*crew_factor</f>
        <v/>
      </c>
      <c r="AA457" s="49">
        <f>VLOOKUP(B457,country_opex,5,FALSE)</f>
        <v/>
      </c>
      <c r="AB457" s="49">
        <f>maint</f>
        <v/>
      </c>
      <c r="AC457" s="49">
        <f>VLOOKUP(B457,country_opex,7,FALSE)*ins_pct</f>
        <v/>
      </c>
      <c r="AD457" s="49">
        <f>charge_berth</f>
        <v/>
      </c>
      <c r="AE457" s="49">
        <f>Y457+Z457+AA457+AB457+AC457+AD457</f>
        <v/>
      </c>
      <c r="AF457" s="49">
        <f>VLOOKUP(B457,country_opex,7,FALSE)/dep_years</f>
        <v/>
      </c>
      <c r="AG457" s="49">
        <f>X457-AE457</f>
        <v/>
      </c>
      <c r="AH457" s="46">
        <f>IF(X457=0,"",AG457/X457)</f>
        <v/>
      </c>
      <c r="AI457" s="47">
        <f>IF(AG457&lt;=0,"",VLOOKUP(B457,country_opex,7,FALSE)/AG457)</f>
        <v/>
      </c>
      <c r="AJ457" s="44">
        <f>((G457*S457/diesel_nmpg)*diesel_co2pg-(battery/range_nm)*G457*S457*VLOOKUP(B457,country_opex,4,FALSE))/1000</f>
        <v/>
      </c>
      <c r="AK457" s="42" t="n"/>
      <c r="AL457" s="43" t="n"/>
      <c r="AM457" s="43" t="n"/>
      <c r="AN457" s="50" t="n">
        <v>0.1</v>
      </c>
      <c r="AO457" s="45">
        <f>IF(AK457="","",AK457*AN457)</f>
        <v/>
      </c>
      <c r="AP457" s="45">
        <f>IF(OR(AK457="",V457=0),"",MIN(IF(AX457="",9.9E+99,AX457),FLOOR(AO457/V457,1)))</f>
        <v/>
      </c>
      <c r="AQ457" s="49">
        <f>IF(AP457="","",AP457*IF(ABS(MOD(ABS((X457)),1)-0.5)&lt;1E-9,2*ROUND((X457)/2,0),ROUND((X457),0)))</f>
        <v/>
      </c>
      <c r="AR457" s="47">
        <f>IF(OR(AK457="",V457=0),"",MIN(IF(AX457="",9.9E+99,AX457),AO457/V457))</f>
        <v/>
      </c>
      <c r="AS457" s="49">
        <f>IF(AR457="","",AR457*IF(B457="South Korea",IF(ABS(MOD(ABS((X457)),1)-0.5)&lt;1E-9,2*ROUND((X457)/2,0),ROUND((X457),0)),X457))</f>
        <v/>
      </c>
      <c r="AT457" s="51" t="n"/>
      <c r="AU457" s="43" t="inlineStr">
        <is>
          <t>Estimated</t>
        </is>
      </c>
      <c r="AV457" s="52" t="n"/>
      <c r="AW457" s="52" t="n"/>
      <c r="AX457" s="53" t="n"/>
      <c r="AY457" s="54">
        <f>IF(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&lt;=0,"",VLOOKUP(B457,country_opex,7,FALSE)/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)</f>
        <v/>
      </c>
      <c r="AZ457" s="54">
        <f>IF(((W457*pax_cap*IF(B457="South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Korea",korea_mid_revleg,revleg_mid)),0))*VLOOKUP(B457,country_opex,3,FALSE))+Z457+AA457+AB457+AC457+AD457))&lt;=0,"",VLOOKUP(B457,country_opex,7,FALSE)/((W457*pax_cap*IF(B457="South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Korea",korea_mid_revleg,revleg_mid)),0))*VLOOKUP(B457,country_opex,3,FALSE))+Z457+AA457+AB457+AC457+AD457)))</f>
        <v/>
      </c>
      <c r="BA457" s="54">
        <f>IF(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&lt;=0,"",VLOOKUP(B457,country_opex,7,FALSE)/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)</f>
        <v/>
      </c>
      <c r="BB457" s="40" t="inlineStr">
        <is>
          <t>Estimated ~60 RON (comparable arm length to Sulina; Navrom Sfantu Gheorghe fare not in the scraped Sulina-arm table). ~$13.0 — UNCONFIRMED, flag.</t>
        </is>
      </c>
      <c r="BC457" s="40" t="n"/>
      <c r="BD457" s="43" t="n"/>
    </row>
    <row r="458">
      <c r="A458" s="38" t="inlineStr">
        <is>
          <t>Bolt Romania</t>
        </is>
      </c>
      <c r="B458" s="38" t="inlineStr">
        <is>
          <t>Romania</t>
        </is>
      </c>
      <c r="C458" s="39" t="inlineStr">
        <is>
          <t>Tulcea → Periprava</t>
        </is>
      </c>
      <c r="D458" s="38" t="inlineStr">
        <is>
          <t>bolt</t>
        </is>
      </c>
      <c r="E458" s="40" t="inlineStr">
        <is>
          <t>bolt-romania</t>
        </is>
      </c>
      <c r="F458" s="41" t="n">
        <v>1</v>
      </c>
      <c r="G458" s="42" t="n">
        <v>33</v>
      </c>
      <c r="H458" s="35" t="n"/>
      <c r="I458" s="43" t="n"/>
      <c r="J458" s="43" t="n"/>
      <c r="K458" s="29" t="n">
        <v>1</v>
      </c>
      <c r="L458" s="44">
        <f>60*G458/cruise_kt</f>
        <v/>
      </c>
      <c r="M458" s="44">
        <f>IF(B458="South Korea",G458/korea_charge_range_nm*korea_full_range_charge_min,0)</f>
        <v/>
      </c>
      <c r="N458" s="44">
        <f>IF(B458="South Korea",L458+korea_turn_min+korea_dwell_min+M458,L458+turn_min+dwell_min)</f>
        <v/>
      </c>
      <c r="O458" s="45">
        <f>IF(B458="South Korea",FLOOR(60*korea_service_hr/N458,1),MIN(15,FLOOR(60*service_hr/N458,1)))</f>
        <v/>
      </c>
      <c r="P458" s="45">
        <f>IF(ABS(MOD(ABS((365*mech_uptime*K458)),1)-0.5)&lt;1E-9,2*ROUND((365*mech_uptime*K458)/2,0),ROUND((365*mech_uptime*K458),0))</f>
        <v/>
      </c>
      <c r="Q458" s="46">
        <f>mech_uptime</f>
        <v/>
      </c>
      <c r="R458" s="46">
        <f>IF(AND(B458="South Korea",scenario="MID"),korea_mid_revleg,revleg_sel)</f>
        <v/>
      </c>
      <c r="S458" s="45">
        <f>IF(ABS(MOD(ABS((O458*P458*R458)),1)-0.5)&lt;1E-9,2*ROUND((O458*P458*R458)/2,0),ROUND((O458*P458*R458),0))</f>
        <v/>
      </c>
      <c r="T458" s="46">
        <f>IF(AND(B458="South Korea",scenario="MID"),korea_mid_load,load_sel)</f>
        <v/>
      </c>
      <c r="U458" s="47">
        <f>pax_cap*T458</f>
        <v/>
      </c>
      <c r="V458" s="45">
        <f>U458*S458</f>
        <v/>
      </c>
      <c r="W458" s="48">
        <f>H458*discount</f>
        <v/>
      </c>
      <c r="X458" s="49">
        <f>W458*V458</f>
        <v/>
      </c>
      <c r="Y458" s="49">
        <f>(battery/range_nm)*G458*S458*VLOOKUP(B458,country_opex,3,FALSE)</f>
        <v/>
      </c>
      <c r="Z458" s="49">
        <f>VLOOKUP(B458,country_opex,2,FALSE)*crew_factor</f>
        <v/>
      </c>
      <c r="AA458" s="49">
        <f>VLOOKUP(B458,country_opex,5,FALSE)</f>
        <v/>
      </c>
      <c r="AB458" s="49">
        <f>maint</f>
        <v/>
      </c>
      <c r="AC458" s="49">
        <f>VLOOKUP(B458,country_opex,7,FALSE)*ins_pct</f>
        <v/>
      </c>
      <c r="AD458" s="49">
        <f>charge_berth</f>
        <v/>
      </c>
      <c r="AE458" s="49">
        <f>Y458+Z458+AA458+AB458+AC458+AD458</f>
        <v/>
      </c>
      <c r="AF458" s="49">
        <f>VLOOKUP(B458,country_opex,7,FALSE)/dep_years</f>
        <v/>
      </c>
      <c r="AG458" s="49">
        <f>X458-AE458</f>
        <v/>
      </c>
      <c r="AH458" s="46">
        <f>IF(X458=0,"",AG458/X458)</f>
        <v/>
      </c>
      <c r="AI458" s="47">
        <f>IF(AG458&lt;=0,"",VLOOKUP(B458,country_opex,7,FALSE)/AG458)</f>
        <v/>
      </c>
      <c r="AJ458" s="44">
        <f>((G458*S458/diesel_nmpg)*diesel_co2pg-(battery/range_nm)*G458*S458*VLOOKUP(B458,country_opex,4,FALSE))/1000</f>
        <v/>
      </c>
      <c r="AK458" s="42" t="n"/>
      <c r="AL458" s="43" t="n"/>
      <c r="AM458" s="43" t="n"/>
      <c r="AN458" s="50" t="n">
        <v>0.1</v>
      </c>
      <c r="AO458" s="45">
        <f>IF(AK458="","",AK458*AN458)</f>
        <v/>
      </c>
      <c r="AP458" s="45">
        <f>IF(OR(AK458="",V458=0),"",MIN(IF(AX458="",9.9E+99,AX458),FLOOR(AO458/V458,1)))</f>
        <v/>
      </c>
      <c r="AQ458" s="49">
        <f>IF(AP458="","",AP458*IF(ABS(MOD(ABS((X458)),1)-0.5)&lt;1E-9,2*ROUND((X458)/2,0),ROUND((X458),0)))</f>
        <v/>
      </c>
      <c r="AR458" s="47">
        <f>IF(OR(AK458="",V458=0),"",MIN(IF(AX458="",9.9E+99,AX458),AO458/V458))</f>
        <v/>
      </c>
      <c r="AS458" s="49">
        <f>IF(AR458="","",AR458*IF(B458="South Korea",IF(ABS(MOD(ABS((X458)),1)-0.5)&lt;1E-9,2*ROUND((X458)/2,0),ROUND((X458),0)),X458))</f>
        <v/>
      </c>
      <c r="AT458" s="51" t="n"/>
      <c r="AU458" s="43" t="inlineStr">
        <is>
          <t>Estimated</t>
        </is>
      </c>
      <c r="AV458" s="52" t="n"/>
      <c r="AW458" s="52" t="n"/>
      <c r="AX458" s="53" t="n"/>
      <c r="AY458" s="54">
        <f>IF(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&lt;=0,"",VLOOKUP(B458,country_opex,7,FALSE)/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)</f>
        <v/>
      </c>
      <c r="AZ458" s="54">
        <f>IF(((W458*pax_cap*IF(B458="South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Korea",korea_mid_revleg,revleg_mid)),0))*VLOOKUP(B458,country_opex,3,FALSE))+Z458+AA458+AB458+AC458+AD458))&lt;=0,"",VLOOKUP(B458,country_opex,7,FALSE)/((W458*pax_cap*IF(B458="South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Korea",korea_mid_revleg,revleg_mid)),0))*VLOOKUP(B458,country_opex,3,FALSE))+Z458+AA458+AB458+AC458+AD458)))</f>
        <v/>
      </c>
      <c r="BA458" s="54">
        <f>IF(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&lt;=0,"",VLOOKUP(B458,country_opex,7,FALSE)/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)</f>
        <v/>
      </c>
      <c r="BB458" s="40" t="n"/>
      <c r="BC458" s="40" t="n"/>
      <c r="BD458" s="43" t="n"/>
    </row>
    <row r="459">
      <c r="A459" s="38" t="inlineStr">
        <is>
          <t>Bolt Romania</t>
        </is>
      </c>
      <c r="B459" s="38" t="inlineStr">
        <is>
          <t>Romania</t>
        </is>
      </c>
      <c r="C459" s="39" t="inlineStr">
        <is>
          <t>Tulcea → Sulina</t>
        </is>
      </c>
      <c r="D459" s="38" t="inlineStr">
        <is>
          <t>bolt</t>
        </is>
      </c>
      <c r="E459" s="40" t="inlineStr">
        <is>
          <t>bolt-romania</t>
        </is>
      </c>
      <c r="F459" s="41" t="n">
        <v>1</v>
      </c>
      <c r="G459" s="42" t="n">
        <v>34</v>
      </c>
      <c r="H459" s="35" t="n">
        <v>15.2</v>
      </c>
      <c r="I459" s="43" t="inlineStr">
        <is>
          <t>T2</t>
        </is>
      </c>
      <c r="J459" s="43" t="inlineStr">
        <is>
          <t>med</t>
        </is>
      </c>
      <c r="K459" s="29" t="n">
        <v>1</v>
      </c>
      <c r="L459" s="44">
        <f>60*G459/cruise_kt</f>
        <v/>
      </c>
      <c r="M459" s="44">
        <f>IF(B459="South Korea",G459/korea_charge_range_nm*korea_full_range_charge_min,0)</f>
        <v/>
      </c>
      <c r="N459" s="44">
        <f>IF(B459="South Korea",L459+korea_turn_min+korea_dwell_min+M459,L459+turn_min+dwell_min)</f>
        <v/>
      </c>
      <c r="O459" s="45">
        <f>IF(B459="South Korea",FLOOR(60*korea_service_hr/N459,1),MIN(15,FLOOR(60*service_hr/N459,1)))</f>
        <v/>
      </c>
      <c r="P459" s="45">
        <f>IF(ABS(MOD(ABS((365*mech_uptime*K459)),1)-0.5)&lt;1E-9,2*ROUND((365*mech_uptime*K459)/2,0),ROUND((365*mech_uptime*K459),0))</f>
        <v/>
      </c>
      <c r="Q459" s="46">
        <f>mech_uptime</f>
        <v/>
      </c>
      <c r="R459" s="46">
        <f>IF(AND(B459="South Korea",scenario="MID"),korea_mid_revleg,revleg_sel)</f>
        <v/>
      </c>
      <c r="S459" s="45">
        <f>IF(ABS(MOD(ABS((O459*P459*R459)),1)-0.5)&lt;1E-9,2*ROUND((O459*P459*R459)/2,0),ROUND((O459*P459*R459),0))</f>
        <v/>
      </c>
      <c r="T459" s="46">
        <f>IF(AND(B459="South Korea",scenario="MID"),korea_mid_load,load_sel)</f>
        <v/>
      </c>
      <c r="U459" s="47">
        <f>pax_cap*T459</f>
        <v/>
      </c>
      <c r="V459" s="45">
        <f>U459*S459</f>
        <v/>
      </c>
      <c r="W459" s="48">
        <f>H459*discount</f>
        <v/>
      </c>
      <c r="X459" s="49">
        <f>W459*V459</f>
        <v/>
      </c>
      <c r="Y459" s="49">
        <f>(battery/range_nm)*G459*S459*VLOOKUP(B459,country_opex,3,FALSE)</f>
        <v/>
      </c>
      <c r="Z459" s="49">
        <f>VLOOKUP(B459,country_opex,2,FALSE)*crew_factor</f>
        <v/>
      </c>
      <c r="AA459" s="49">
        <f>VLOOKUP(B459,country_opex,5,FALSE)</f>
        <v/>
      </c>
      <c r="AB459" s="49">
        <f>maint</f>
        <v/>
      </c>
      <c r="AC459" s="49">
        <f>VLOOKUP(B459,country_opex,7,FALSE)*ins_pct</f>
        <v/>
      </c>
      <c r="AD459" s="49">
        <f>charge_berth</f>
        <v/>
      </c>
      <c r="AE459" s="49">
        <f>Y459+Z459+AA459+AB459+AC459+AD459</f>
        <v/>
      </c>
      <c r="AF459" s="49">
        <f>VLOOKUP(B459,country_opex,7,FALSE)/dep_years</f>
        <v/>
      </c>
      <c r="AG459" s="49">
        <f>X459-AE459</f>
        <v/>
      </c>
      <c r="AH459" s="46">
        <f>IF(X459=0,"",AG459/X459)</f>
        <v/>
      </c>
      <c r="AI459" s="47">
        <f>IF(AG459&lt;=0,"",VLOOKUP(B459,country_opex,7,FALSE)/AG459)</f>
        <v/>
      </c>
      <c r="AJ459" s="44">
        <f>((G459*S459/diesel_nmpg)*diesel_co2pg-(battery/range_nm)*G459*S459*VLOOKUP(B459,country_opex,4,FALSE))/1000</f>
        <v/>
      </c>
      <c r="AK459" s="42" t="n">
        <v>165000</v>
      </c>
      <c r="AL459" s="43" t="n"/>
      <c r="AM459" s="43" t="n"/>
      <c r="AN459" s="50" t="n">
        <v>0.1</v>
      </c>
      <c r="AO459" s="45">
        <f>IF(AK459="","",AK459*AN459)</f>
        <v/>
      </c>
      <c r="AP459" s="45">
        <f>IF(OR(AK459="",V459=0),"",MIN(IF(AX459="",9.9E+99,AX459),FLOOR(AO459/V459,1)))</f>
        <v/>
      </c>
      <c r="AQ459" s="49">
        <f>IF(AP459="","",AP459*IF(ABS(MOD(ABS((X459)),1)-0.5)&lt;1E-9,2*ROUND((X459)/2,0),ROUND((X459),0)))</f>
        <v/>
      </c>
      <c r="AR459" s="47">
        <f>IF(OR(AK459="",V459=0),"",MIN(IF(AX459="",9.9E+99,AX459),AO459/V459))</f>
        <v/>
      </c>
      <c r="AS459" s="49">
        <f>IF(AR459="","",AR459*IF(B459="South Korea",IF(ABS(MOD(ABS((X459)),1)-0.5)&lt;1E-9,2*ROUND((X459)/2,0),ROUND((X459),0)),X459))</f>
        <v/>
      </c>
      <c r="AT459" s="51" t="n"/>
      <c r="AU459" s="43" t="inlineStr">
        <is>
          <t>Grounded</t>
        </is>
      </c>
      <c r="AV459" s="52" t="n"/>
      <c r="AW459" s="52" t="n"/>
      <c r="AX459" s="53" t="n"/>
      <c r="AY459" s="54">
        <f>IF(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&lt;=0,"",VLOOKUP(B459,country_opex,7,FALSE)/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)</f>
        <v/>
      </c>
      <c r="AZ459" s="54">
        <f>IF(((W459*pax_cap*IF(B459="South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Korea",korea_mid_revleg,revleg_mid)),0))*VLOOKUP(B459,country_opex,3,FALSE))+Z459+AA459+AB459+AC459+AD459))&lt;=0,"",VLOOKUP(B459,country_opex,7,FALSE)/((W459*pax_cap*IF(B459="South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Korea",korea_mid_revleg,revleg_mid)),0))*VLOOKUP(B459,country_opex,3,FALSE))+Z459+AA459+AB459+AC459+AD459)))</f>
        <v/>
      </c>
      <c r="BA459" s="54">
        <f>IF(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&lt;=0,"",VLOOKUP(B459,country_opex,7,FALSE)/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)</f>
        <v/>
      </c>
      <c r="BB459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C459" s="40" t="n"/>
      <c r="BD459" s="43" t="n"/>
    </row>
    <row r="460">
      <c r="A460" s="38" t="inlineStr">
        <is>
          <t>Saudi – Red Sea</t>
        </is>
      </c>
      <c r="B460" s="38" t="inlineStr">
        <is>
          <t>Saudi Arabia</t>
        </is>
      </c>
      <c r="C460" s="39" t="inlineStr">
        <is>
          <t>Jeddah Corniche → Jeddah Central (PIF waterfront)</t>
        </is>
      </c>
      <c r="D460" s="38" t="inlineStr">
        <is>
          <t>red-sea-global</t>
        </is>
      </c>
      <c r="E460" s="40" t="inlineStr">
        <is>
          <t>bolt-ksa-commercial, saudi-redsea, saudi-redsea-resort</t>
        </is>
      </c>
      <c r="F460" s="41" t="n">
        <v>3</v>
      </c>
      <c r="G460" s="42" t="n">
        <v>2.4</v>
      </c>
      <c r="H460" s="35" t="n">
        <v>60</v>
      </c>
      <c r="I460" s="43" t="inlineStr">
        <is>
          <t>T5</t>
        </is>
      </c>
      <c r="J460" s="43" t="inlineStr">
        <is>
          <t>low</t>
        </is>
      </c>
      <c r="K460" s="29" t="n">
        <v>1</v>
      </c>
      <c r="L460" s="44">
        <f>60*G460/cruise_kt</f>
        <v/>
      </c>
      <c r="M460" s="44">
        <f>IF(B460="South Korea",G460/korea_charge_range_nm*korea_full_range_charge_min,0)</f>
        <v/>
      </c>
      <c r="N460" s="44">
        <f>IF(B460="South Korea",L460+korea_turn_min+korea_dwell_min+M460,L460+turn_min+dwell_min)</f>
        <v/>
      </c>
      <c r="O460" s="45">
        <f>IF(B460="South Korea",FLOOR(60*korea_service_hr/N460,1),MIN(27,FLOOR(60*service_hr/N460,1)))</f>
        <v/>
      </c>
      <c r="P460" s="45">
        <f>IF(ABS(MOD(ABS((365*mech_uptime*K460)),1)-0.5)&lt;1E-9,2*ROUND((365*mech_uptime*K460)/2,0),ROUND((365*mech_uptime*K460),0))</f>
        <v/>
      </c>
      <c r="Q460" s="46">
        <f>mech_uptime</f>
        <v/>
      </c>
      <c r="R460" s="46">
        <f>IF(AND(B460="South Korea",scenario="MID"),korea_mid_revleg,revleg_sel)</f>
        <v/>
      </c>
      <c r="S460" s="45">
        <f>IF(ABS(MOD(ABS((O460*P460*R460)),1)-0.5)&lt;1E-9,2*ROUND((O460*P460*R460)/2,0),ROUND((O460*P460*R460),0))</f>
        <v/>
      </c>
      <c r="T460" s="46">
        <f>IF(AND(B460="South Korea",scenario="MID"),korea_mid_load,load_sel)</f>
        <v/>
      </c>
      <c r="U460" s="47">
        <f>pax_cap*T460</f>
        <v/>
      </c>
      <c r="V460" s="45">
        <f>U460*S460</f>
        <v/>
      </c>
      <c r="W460" s="48">
        <f>H460*discount</f>
        <v/>
      </c>
      <c r="X460" s="49">
        <f>W460*V460</f>
        <v/>
      </c>
      <c r="Y460" s="49">
        <f>(battery/range_nm)*G460*S460*VLOOKUP(B460,country_opex,3,FALSE)</f>
        <v/>
      </c>
      <c r="Z460" s="49">
        <f>VLOOKUP(B460,country_opex,2,FALSE)*crew_factor</f>
        <v/>
      </c>
      <c r="AA460" s="49">
        <f>VLOOKUP(B460,country_opex,5,FALSE)</f>
        <v/>
      </c>
      <c r="AB460" s="49">
        <f>maint</f>
        <v/>
      </c>
      <c r="AC460" s="49">
        <f>VLOOKUP(B460,country_opex,7,FALSE)*ins_pct</f>
        <v/>
      </c>
      <c r="AD460" s="49">
        <f>charge_berth</f>
        <v/>
      </c>
      <c r="AE460" s="49">
        <f>Y460+Z460+AA460+AB460+AC460+AD460</f>
        <v/>
      </c>
      <c r="AF460" s="49">
        <f>VLOOKUP(B460,country_opex,7,FALSE)/dep_years</f>
        <v/>
      </c>
      <c r="AG460" s="49">
        <f>X460-AE460</f>
        <v/>
      </c>
      <c r="AH460" s="46">
        <f>IF(X460=0,"",AG460/X460)</f>
        <v/>
      </c>
      <c r="AI460" s="47">
        <f>IF(AG460&lt;=0,"",VLOOKUP(B460,country_opex,7,FALSE)/AG460)</f>
        <v/>
      </c>
      <c r="AJ460" s="44">
        <f>((G460*S460/diesel_nmpg)*diesel_co2pg-(battery/range_nm)*G460*S460*VLOOKUP(B460,country_opex,4,FALSE))/1000</f>
        <v/>
      </c>
      <c r="AK460" s="42" t="n"/>
      <c r="AL460" s="43" t="inlineStr">
        <is>
          <t>T5</t>
        </is>
      </c>
      <c r="AM460" s="43" t="inlineStr">
        <is>
          <t>low</t>
        </is>
      </c>
      <c r="AN460" s="50" t="n">
        <v>0.1</v>
      </c>
      <c r="AO460" s="45">
        <f>IF(AK460="","",AK460*AN460)</f>
        <v/>
      </c>
      <c r="AP460" s="45">
        <f>IF(OR(AK460="",V460=0),"",MIN(IF(AX460="",9.9E+99,AX460),FLOOR(AO460/V460,1)))</f>
        <v/>
      </c>
      <c r="AQ460" s="49">
        <f>IF(AP460="","",AP460*IF(ABS(MOD(ABS((X460)),1)-0.5)&lt;1E-9,2*ROUND((X460)/2,0),ROUND((X460),0)))</f>
        <v/>
      </c>
      <c r="AR460" s="47">
        <f>IF(OR(AK460="",V460=0),"",MIN(IF(AX460="",9.9E+99,AX460),AO460/V460))</f>
        <v/>
      </c>
      <c r="AS460" s="49">
        <f>IF(AR460="","",AR460*IF(B460="South Korea",IF(ABS(MOD(ABS((X460)),1)-0.5)&lt;1E-9,2*ROUND((X460)/2,0),ROUND((X460),0)),X460))</f>
        <v/>
      </c>
      <c r="AT460" s="51" t="n"/>
      <c r="AU460" s="43" t="inlineStr">
        <is>
          <t>Forward SAM</t>
        </is>
      </c>
      <c r="AV460" s="52" t="inlineStr">
        <is>
          <t>FWD-SAM (2030)</t>
        </is>
      </c>
      <c r="AW460" s="52" t="n"/>
      <c r="AX460" s="53" t="n"/>
      <c r="AY460" s="54">
        <f>IF(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&lt;=0,"",VLOOKUP(B460,country_opex,7,FALSE)/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)</f>
        <v/>
      </c>
      <c r="AZ460" s="54">
        <f>IF(((W460*pax_cap*IF(B460="South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Korea",korea_mid_revleg,revleg_mid)),0))*VLOOKUP(B460,country_opex,3,FALSE))+Z460+AA460+AB460+AC460+AD460))&lt;=0,"",VLOOKUP(B460,country_opex,7,FALSE)/((W460*pax_cap*IF(B460="South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Korea",korea_mid_revleg,revleg_mid)),0))*VLOOKUP(B460,country_opex,3,FALSE))+Z460+AA460+AB460+AC460+AD460)))</f>
        <v/>
      </c>
      <c r="BA460" s="54">
        <f>IF(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&lt;=0,"",VLOOKUP(B460,country_opex,7,FALSE)/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)</f>
        <v/>
      </c>
      <c r="BB460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C460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  <c r="BD460" s="43" t="inlineStr">
        <is>
          <t>rn-9118c2932ba6</t>
        </is>
      </c>
    </row>
    <row r="461">
      <c r="A461" s="38" t="inlineStr">
        <is>
          <t>Saudi – Red Sea</t>
        </is>
      </c>
      <c r="B461" s="38" t="inlineStr">
        <is>
          <t>Saudi Arabia</t>
        </is>
      </c>
      <c r="C461" s="39" t="inlineStr">
        <is>
          <t>Outer-island resort → Outer-island resort cluster (Nujuma / Jumeirah / St Regis)</t>
        </is>
      </c>
      <c r="D461" s="38" t="inlineStr">
        <is>
          <t>bolt</t>
        </is>
      </c>
      <c r="E461" s="40" t="inlineStr">
        <is>
          <t>bolt-ksa-commercial, saudi-redsea, saudi-redsea-resort</t>
        </is>
      </c>
      <c r="F461" s="41" t="n">
        <v>3</v>
      </c>
      <c r="G461" s="42" t="n">
        <v>9.699999999999999</v>
      </c>
      <c r="H461" s="35" t="n">
        <v>125</v>
      </c>
      <c r="I461" s="43" t="inlineStr">
        <is>
          <t>T5</t>
        </is>
      </c>
      <c r="J461" s="43" t="inlineStr">
        <is>
          <t>low</t>
        </is>
      </c>
      <c r="K461" s="29" t="n">
        <v>1</v>
      </c>
      <c r="L461" s="44">
        <f>60*G461/cruise_kt</f>
        <v/>
      </c>
      <c r="M461" s="44">
        <f>IF(B461="South Korea",G461/korea_charge_range_nm*korea_full_range_charge_min,0)</f>
        <v/>
      </c>
      <c r="N461" s="44">
        <f>IF(B461="South Korea",L461+korea_turn_min+korea_dwell_min+M461,L461+turn_min+dwell_min)</f>
        <v/>
      </c>
      <c r="O461" s="45">
        <f>IF(B461="South Korea",FLOOR(60*korea_service_hr/N461,1),MIN(15,FLOOR(60*service_hr/N461,1)))</f>
        <v/>
      </c>
      <c r="P461" s="45">
        <f>IF(ABS(MOD(ABS((365*mech_uptime*K461)),1)-0.5)&lt;1E-9,2*ROUND((365*mech_uptime*K461)/2,0),ROUND((365*mech_uptime*K461),0))</f>
        <v/>
      </c>
      <c r="Q461" s="46">
        <f>mech_uptime</f>
        <v/>
      </c>
      <c r="R461" s="46">
        <f>IF(AND(B461="South Korea",scenario="MID"),korea_mid_revleg,revleg_sel)</f>
        <v/>
      </c>
      <c r="S461" s="45">
        <f>IF(ABS(MOD(ABS((O461*P461*R461)),1)-0.5)&lt;1E-9,2*ROUND((O461*P461*R461)/2,0),ROUND((O461*P461*R461),0))</f>
        <v/>
      </c>
      <c r="T461" s="46">
        <f>IF(AND(B461="South Korea",scenario="MID"),korea_mid_load,load_sel)</f>
        <v/>
      </c>
      <c r="U461" s="47">
        <f>pax_cap*T461</f>
        <v/>
      </c>
      <c r="V461" s="45">
        <f>U461*S461</f>
        <v/>
      </c>
      <c r="W461" s="48">
        <f>H461*discount</f>
        <v/>
      </c>
      <c r="X461" s="49">
        <f>W461*V461</f>
        <v/>
      </c>
      <c r="Y461" s="49">
        <f>(battery/range_nm)*G461*S461*VLOOKUP(B461,country_opex,3,FALSE)</f>
        <v/>
      </c>
      <c r="Z461" s="49">
        <f>VLOOKUP(B461,country_opex,2,FALSE)*crew_factor</f>
        <v/>
      </c>
      <c r="AA461" s="49">
        <f>VLOOKUP(B461,country_opex,5,FALSE)</f>
        <v/>
      </c>
      <c r="AB461" s="49">
        <f>maint</f>
        <v/>
      </c>
      <c r="AC461" s="49">
        <f>VLOOKUP(B461,country_opex,7,FALSE)*ins_pct</f>
        <v/>
      </c>
      <c r="AD461" s="49">
        <f>charge_berth</f>
        <v/>
      </c>
      <c r="AE461" s="49">
        <f>Y461+Z461+AA461+AB461+AC461+AD461</f>
        <v/>
      </c>
      <c r="AF461" s="49">
        <f>VLOOKUP(B461,country_opex,7,FALSE)/dep_years</f>
        <v/>
      </c>
      <c r="AG461" s="49">
        <f>X461-AE461</f>
        <v/>
      </c>
      <c r="AH461" s="46">
        <f>IF(X461=0,"",AG461/X461)</f>
        <v/>
      </c>
      <c r="AI461" s="47">
        <f>IF(AG461&lt;=0,"",VLOOKUP(B461,country_opex,7,FALSE)/AG461)</f>
        <v/>
      </c>
      <c r="AJ461" s="44">
        <f>((G461*S461/diesel_nmpg)*diesel_co2pg-(battery/range_nm)*G461*S461*VLOOKUP(B461,country_opex,4,FALSE))/1000</f>
        <v/>
      </c>
      <c r="AK461" s="42" t="n">
        <v>150000</v>
      </c>
      <c r="AL461" s="43" t="inlineStr">
        <is>
          <t>T5</t>
        </is>
      </c>
      <c r="AM461" s="43" t="inlineStr">
        <is>
          <t>low</t>
        </is>
      </c>
      <c r="AN461" s="50" t="n">
        <v>0.9</v>
      </c>
      <c r="AO461" s="45">
        <f>IF(AK461="","",AK461*AN461)</f>
        <v/>
      </c>
      <c r="AP461" s="45">
        <f>IF(OR(AK461="",V461=0),"",MIN(IF(AX461="",9.9E+99,AX461),FLOOR(AO461/V461,1)))</f>
        <v/>
      </c>
      <c r="AQ461" s="49">
        <f>IF(AP461="","",AP461*IF(ABS(MOD(ABS((X461)),1)-0.5)&lt;1E-9,2*ROUND((X461)/2,0),ROUND((X461),0)))</f>
        <v/>
      </c>
      <c r="AR461" s="47">
        <f>IF(OR(AK461="",V461=0),"",MIN(IF(AX461="",9.9E+99,AX461),AO461/V461))</f>
        <v/>
      </c>
      <c r="AS461" s="49">
        <f>IF(AR461="","",AR461*IF(B461="South Korea",IF(ABS(MOD(ABS((X461)),1)-0.5)&lt;1E-9,2*ROUND((X461)/2,0),ROUND((X461),0)),X461))</f>
        <v/>
      </c>
      <c r="AT461" s="51" t="n"/>
      <c r="AU461" s="43" t="inlineStr">
        <is>
          <t>Forward SAM</t>
        </is>
      </c>
      <c r="AV461" s="52" t="inlineStr">
        <is>
          <t>FWD-SAM (2030)</t>
        </is>
      </c>
      <c r="AW461" s="52" t="n"/>
      <c r="AX461" s="53" t="n"/>
      <c r="AY461" s="54">
        <f>IF(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&lt;=0,"",VLOOKUP(B461,country_opex,7,FALSE)/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)</f>
        <v/>
      </c>
      <c r="AZ461" s="54">
        <f>IF(((W461*pax_cap*IF(B461="South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Korea",korea_mid_revleg,revleg_mid)),0))*VLOOKUP(B461,country_opex,3,FALSE))+Z461+AA461+AB461+AC461+AD461))&lt;=0,"",VLOOKUP(B461,country_opex,7,FALSE)/((W461*pax_cap*IF(B461="South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Korea",korea_mid_revleg,revleg_mid)),0))*VLOOKUP(B461,country_opex,3,FALSE))+Z461+AA461+AB461+AC461+AD461)))</f>
        <v/>
      </c>
      <c r="BA461" s="54">
        <f>IF(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&lt;=0,"",VLOOKUP(B461,country_opex,7,FALSE)/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)</f>
        <v/>
      </c>
      <c r="BB461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C461" s="40" t="inlineStr">
        <is>
          <t>Subset of RSG 1M/yr visitor cap doing outer-island-to-outer-island hops (not the main arrival leg). Modeled ~15% of the 1M pool ~150k. Speculative which guests hop islands; R2 borderline.</t>
        </is>
      </c>
      <c r="BD461" s="43" t="inlineStr">
        <is>
          <t>rn-bf62436314eb</t>
        </is>
      </c>
    </row>
    <row r="462">
      <c r="A462" s="38" t="inlineStr">
        <is>
          <t>Saudi – Red Sea</t>
        </is>
      </c>
      <c r="B462" s="38" t="inlineStr">
        <is>
          <t>Saudi Arabia</t>
        </is>
      </c>
      <c r="C462" s="39" t="inlineStr">
        <is>
          <t>Shura Island Marina → Outer-island resorts (St Regis / Nujuma / Shebara)</t>
        </is>
      </c>
      <c r="D462" s="38" t="inlineStr">
        <is>
          <t>bolt</t>
        </is>
      </c>
      <c r="E462" s="40" t="inlineStr">
        <is>
          <t>bolt-ksa-commercial, saudi-redsea, saudi-redsea-resort</t>
        </is>
      </c>
      <c r="F462" s="41" t="n">
        <v>3</v>
      </c>
      <c r="G462" s="42" t="n">
        <v>11.5</v>
      </c>
      <c r="H462" s="35" t="n">
        <v>175</v>
      </c>
      <c r="I462" s="43" t="inlineStr">
        <is>
          <t>T5</t>
        </is>
      </c>
      <c r="J462" s="43" t="inlineStr">
        <is>
          <t>low</t>
        </is>
      </c>
      <c r="K462" s="29" t="n">
        <v>1</v>
      </c>
      <c r="L462" s="44">
        <f>60*G462/cruise_kt</f>
        <v/>
      </c>
      <c r="M462" s="44">
        <f>IF(B462="South Korea",G462/korea_charge_range_nm*korea_full_range_charge_min,0)</f>
        <v/>
      </c>
      <c r="N462" s="44">
        <f>IF(B462="South Korea",L462+korea_turn_min+korea_dwell_min+M462,L462+turn_min+dwell_min)</f>
        <v/>
      </c>
      <c r="O462" s="45">
        <f>IF(B462="South Korea",FLOOR(60*korea_service_hr/N462,1),MIN(15,FLOOR(60*service_hr/N462,1)))</f>
        <v/>
      </c>
      <c r="P462" s="45">
        <f>IF(ABS(MOD(ABS((365*mech_uptime*K462)),1)-0.5)&lt;1E-9,2*ROUND((365*mech_uptime*K462)/2,0),ROUND((365*mech_uptime*K462),0))</f>
        <v/>
      </c>
      <c r="Q462" s="46">
        <f>mech_uptime</f>
        <v/>
      </c>
      <c r="R462" s="46">
        <f>IF(AND(B462="South Korea",scenario="MID"),korea_mid_revleg,revleg_sel)</f>
        <v/>
      </c>
      <c r="S462" s="45">
        <f>IF(ABS(MOD(ABS((O462*P462*R462)),1)-0.5)&lt;1E-9,2*ROUND((O462*P462*R462)/2,0),ROUND((O462*P462*R462),0))</f>
        <v/>
      </c>
      <c r="T462" s="46">
        <f>IF(AND(B462="South Korea",scenario="MID"),korea_mid_load,load_sel)</f>
        <v/>
      </c>
      <c r="U462" s="47">
        <f>pax_cap*T462</f>
        <v/>
      </c>
      <c r="V462" s="45">
        <f>U462*S462</f>
        <v/>
      </c>
      <c r="W462" s="48">
        <f>H462*discount</f>
        <v/>
      </c>
      <c r="X462" s="49">
        <f>W462*V462</f>
        <v/>
      </c>
      <c r="Y462" s="49">
        <f>(battery/range_nm)*G462*S462*VLOOKUP(B462,country_opex,3,FALSE)</f>
        <v/>
      </c>
      <c r="Z462" s="49">
        <f>VLOOKUP(B462,country_opex,2,FALSE)*crew_factor</f>
        <v/>
      </c>
      <c r="AA462" s="49">
        <f>VLOOKUP(B462,country_opex,5,FALSE)</f>
        <v/>
      </c>
      <c r="AB462" s="49">
        <f>maint</f>
        <v/>
      </c>
      <c r="AC462" s="49">
        <f>VLOOKUP(B462,country_opex,7,FALSE)*ins_pct</f>
        <v/>
      </c>
      <c r="AD462" s="49">
        <f>charge_berth</f>
        <v/>
      </c>
      <c r="AE462" s="49">
        <f>Y462+Z462+AA462+AB462+AC462+AD462</f>
        <v/>
      </c>
      <c r="AF462" s="49">
        <f>VLOOKUP(B462,country_opex,7,FALSE)/dep_years</f>
        <v/>
      </c>
      <c r="AG462" s="49">
        <f>X462-AE462</f>
        <v/>
      </c>
      <c r="AH462" s="46">
        <f>IF(X462=0,"",AG462/X462)</f>
        <v/>
      </c>
      <c r="AI462" s="47">
        <f>IF(AG462&lt;=0,"",VLOOKUP(B462,country_opex,7,FALSE)/AG462)</f>
        <v/>
      </c>
      <c r="AJ462" s="44">
        <f>((G462*S462/diesel_nmpg)*diesel_co2pg-(battery/range_nm)*G462*S462*VLOOKUP(B462,country_opex,4,FALSE))/1000</f>
        <v/>
      </c>
      <c r="AK462" s="42" t="n">
        <v>500000</v>
      </c>
      <c r="AL462" s="43" t="inlineStr">
        <is>
          <t>T2</t>
        </is>
      </c>
      <c r="AM462" s="43" t="inlineStr">
        <is>
          <t>low-med</t>
        </is>
      </c>
      <c r="AN462" s="50" t="n">
        <v>0.9</v>
      </c>
      <c r="AO462" s="45">
        <f>IF(AK462="","",AK462*AN462)</f>
        <v/>
      </c>
      <c r="AP462" s="45">
        <f>IF(OR(AK462="",V462=0),"",MIN(IF(AX462="",9.9E+99,AX462),FLOOR(AO462/V462,1)))</f>
        <v/>
      </c>
      <c r="AQ462" s="49">
        <f>IF(AP462="","",AP462*IF(ABS(MOD(ABS((X462)),1)-0.5)&lt;1E-9,2*ROUND((X462)/2,0),ROUND((X462),0)))</f>
        <v/>
      </c>
      <c r="AR462" s="47">
        <f>IF(OR(AK462="",V462=0),"",MIN(IF(AX462="",9.9E+99,AX462),AO462/V462))</f>
        <v/>
      </c>
      <c r="AS462" s="49">
        <f>IF(AR462="","",AR462*IF(B462="South Korea",IF(ABS(MOD(ABS((X462)),1)-0.5)&lt;1E-9,2*ROUND((X462)/2,0),ROUND((X462),0)),X462))</f>
        <v/>
      </c>
      <c r="AT462" s="51" t="n"/>
      <c r="AU462" s="43" t="inlineStr">
        <is>
          <t>Forward SAM</t>
        </is>
      </c>
      <c r="AV462" s="52" t="inlineStr">
        <is>
          <t>FWD-SAM (2030)</t>
        </is>
      </c>
      <c r="AW462" s="52" t="n"/>
      <c r="AX462" s="53" t="n"/>
      <c r="AY462" s="54">
        <f>IF(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&lt;=0,"",VLOOKUP(B462,country_opex,7,FALSE)/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)</f>
        <v/>
      </c>
      <c r="AZ462" s="54">
        <f>IF(((W462*pax_cap*IF(B462="South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Korea",korea_mid_revleg,revleg_mid)),0))*VLOOKUP(B462,country_opex,3,FALSE))+Z462+AA462+AB462+AC462+AD462))&lt;=0,"",VLOOKUP(B462,country_opex,7,FALSE)/((W462*pax_cap*IF(B462="South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Korea",korea_mid_revleg,revleg_mid)),0))*VLOOKUP(B462,country_opex,3,FALSE))+Z462+AA462+AB462+AC462+AD462)))</f>
        <v/>
      </c>
      <c r="BA462" s="54">
        <f>IF(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&lt;=0,"",VLOOKUP(B462,country_opex,7,FALSE)/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)</f>
        <v/>
      </c>
      <c r="BB46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C462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  <c r="BD462" s="43" t="inlineStr">
        <is>
          <t>rn-1a140dacd3e6</t>
        </is>
      </c>
    </row>
    <row r="463">
      <c r="A463" s="38" t="inlineStr">
        <is>
          <t>Saudi – Red Sea</t>
        </is>
      </c>
      <c r="B463" s="38" t="inlineStr">
        <is>
          <t>Saudi Arabia</t>
        </is>
      </c>
      <c r="C463" s="39" t="inlineStr">
        <is>
          <t>Jeddah Corniche → Jeddah Yacht Club &amp; Marina</t>
        </is>
      </c>
      <c r="D463" s="38" t="inlineStr">
        <is>
          <t>saudi-redsea-pif</t>
        </is>
      </c>
      <c r="E463" s="40" t="inlineStr">
        <is>
          <t>bolt-ksa-commercial, saudi-redsea, saudi-redsea-resort</t>
        </is>
      </c>
      <c r="F463" s="41" t="n">
        <v>3</v>
      </c>
      <c r="G463" s="42" t="n">
        <v>12</v>
      </c>
      <c r="H463" s="35" t="n"/>
      <c r="I463" s="43" t="n"/>
      <c r="J463" s="43" t="n"/>
      <c r="K463" s="29" t="n">
        <v>1</v>
      </c>
      <c r="L463" s="44">
        <f>60*G463/cruise_kt</f>
        <v/>
      </c>
      <c r="M463" s="44">
        <f>IF(B463="South Korea",G463/korea_charge_range_nm*korea_full_range_charge_min,0)</f>
        <v/>
      </c>
      <c r="N463" s="44">
        <f>IF(B463="South Korea",L463+korea_turn_min+korea_dwell_min+M463,L463+turn_min+dwell_min)</f>
        <v/>
      </c>
      <c r="O463" s="45">
        <f>IF(B463="South Korea",FLOOR(60*korea_service_hr/N463,1),MIN(15,FLOOR(60*service_hr/N463,1)))</f>
        <v/>
      </c>
      <c r="P463" s="45">
        <f>IF(ABS(MOD(ABS((365*mech_uptime*K463)),1)-0.5)&lt;1E-9,2*ROUND((365*mech_uptime*K463)/2,0),ROUND((365*mech_uptime*K463),0))</f>
        <v/>
      </c>
      <c r="Q463" s="46">
        <f>mech_uptime</f>
        <v/>
      </c>
      <c r="R463" s="46">
        <f>IF(AND(B463="South Korea",scenario="MID"),korea_mid_revleg,revleg_sel)</f>
        <v/>
      </c>
      <c r="S463" s="45">
        <f>IF(ABS(MOD(ABS((O463*P463*R463)),1)-0.5)&lt;1E-9,2*ROUND((O463*P463*R463)/2,0),ROUND((O463*P463*R463),0))</f>
        <v/>
      </c>
      <c r="T463" s="46">
        <f>IF(AND(B463="South Korea",scenario="MID"),korea_mid_load,load_sel)</f>
        <v/>
      </c>
      <c r="U463" s="47">
        <f>pax_cap*T463</f>
        <v/>
      </c>
      <c r="V463" s="45">
        <f>U463*S463</f>
        <v/>
      </c>
      <c r="W463" s="48">
        <f>H463*discount</f>
        <v/>
      </c>
      <c r="X463" s="49">
        <f>W463*V463</f>
        <v/>
      </c>
      <c r="Y463" s="49">
        <f>(battery/range_nm)*G463*S463*VLOOKUP(B463,country_opex,3,FALSE)</f>
        <v/>
      </c>
      <c r="Z463" s="49">
        <f>VLOOKUP(B463,country_opex,2,FALSE)*crew_factor</f>
        <v/>
      </c>
      <c r="AA463" s="49">
        <f>VLOOKUP(B463,country_opex,5,FALSE)</f>
        <v/>
      </c>
      <c r="AB463" s="49">
        <f>maint</f>
        <v/>
      </c>
      <c r="AC463" s="49">
        <f>VLOOKUP(B463,country_opex,7,FALSE)*ins_pct</f>
        <v/>
      </c>
      <c r="AD463" s="49">
        <f>charge_berth</f>
        <v/>
      </c>
      <c r="AE463" s="49">
        <f>Y463+Z463+AA463+AB463+AC463+AD463</f>
        <v/>
      </c>
      <c r="AF463" s="49">
        <f>VLOOKUP(B463,country_opex,7,FALSE)/dep_years</f>
        <v/>
      </c>
      <c r="AG463" s="49">
        <f>X463-AE463</f>
        <v/>
      </c>
      <c r="AH463" s="46">
        <f>IF(X463=0,"",AG463/X463)</f>
        <v/>
      </c>
      <c r="AI463" s="47">
        <f>IF(AG463&lt;=0,"",VLOOKUP(B463,country_opex,7,FALSE)/AG463)</f>
        <v/>
      </c>
      <c r="AJ463" s="44">
        <f>((G463*S463/diesel_nmpg)*diesel_co2pg-(battery/range_nm)*G463*S463*VLOOKUP(B463,country_opex,4,FALSE))/1000</f>
        <v/>
      </c>
      <c r="AK463" s="42" t="n"/>
      <c r="AL463" s="43" t="n"/>
      <c r="AM463" s="43" t="n"/>
      <c r="AN463" s="50" t="n">
        <v>0.9</v>
      </c>
      <c r="AO463" s="45">
        <f>IF(AK463="","",AK463*AN463)</f>
        <v/>
      </c>
      <c r="AP463" s="45">
        <f>IF(OR(AK463="",V463=0),"",MIN(IF(AX463="",9.9E+99,AX463),FLOOR(AO463/V463,1)))</f>
        <v/>
      </c>
      <c r="AQ463" s="49">
        <f>IF(AP463="","",AP463*IF(ABS(MOD(ABS((X463)),1)-0.5)&lt;1E-9,2*ROUND((X463)/2,0),ROUND((X463),0)))</f>
        <v/>
      </c>
      <c r="AR463" s="47">
        <f>IF(OR(AK463="",V463=0),"",MIN(IF(AX463="",9.9E+99,AX463),AO463/V463))</f>
        <v/>
      </c>
      <c r="AS463" s="49">
        <f>IF(AR463="","",AR463*IF(B463="South Korea",IF(ABS(MOD(ABS((X463)),1)-0.5)&lt;1E-9,2*ROUND((X463)/2,0),ROUND((X463),0)),X463))</f>
        <v/>
      </c>
      <c r="AT463" s="51" t="n"/>
      <c r="AU463" s="43" t="inlineStr">
        <is>
          <t>Estimated</t>
        </is>
      </c>
      <c r="AV463" s="52" t="n"/>
      <c r="AW463" s="52" t="n"/>
      <c r="AX463" s="53" t="n"/>
      <c r="AY463" s="54">
        <f>IF(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&lt;=0,"",VLOOKUP(B463,country_opex,7,FALSE)/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)</f>
        <v/>
      </c>
      <c r="AZ463" s="54">
        <f>IF(((W463*pax_cap*IF(B463="South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Korea",korea_mid_revleg,revleg_mid)),0))*VLOOKUP(B463,country_opex,3,FALSE))+Z463+AA463+AB463+AC463+AD463))&lt;=0,"",VLOOKUP(B463,country_opex,7,FALSE)/((W463*pax_cap*IF(B463="South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Korea",korea_mid_revleg,revleg_mid)),0))*VLOOKUP(B463,country_opex,3,FALSE))+Z463+AA463+AB463+AC463+AD463)))</f>
        <v/>
      </c>
      <c r="BA463" s="54">
        <f>IF(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&lt;=0,"",VLOOKUP(B463,country_opex,7,FALSE)/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)</f>
        <v/>
      </c>
      <c r="BB463" s="40" t="n"/>
      <c r="BC463" s="40" t="n"/>
      <c r="BD463" s="43" t="inlineStr">
        <is>
          <t>gcn-d2e312b625-saudi-redsea-pif</t>
        </is>
      </c>
    </row>
    <row r="464">
      <c r="A464" s="38" t="inlineStr">
        <is>
          <t>Saudi – Red Sea</t>
        </is>
      </c>
      <c r="B464" s="38" t="inlineStr">
        <is>
          <t>Saudi Arabia</t>
        </is>
      </c>
      <c r="C464" s="39" t="inlineStr">
        <is>
          <t>Khobar / Dammam (Eastern Province) → Manama, Bahrain</t>
        </is>
      </c>
      <c r="D464" s="38" t="inlineStr">
        <is>
          <t>red-sea-global</t>
        </is>
      </c>
      <c r="E464" s="40" t="inlineStr">
        <is>
          <t>bolt-ksa-commercial, saudi-redsea, saudi-redsea-resort</t>
        </is>
      </c>
      <c r="F464" s="41" t="n">
        <v>3</v>
      </c>
      <c r="G464" s="42" t="n">
        <v>18.6</v>
      </c>
      <c r="H464" s="35" t="n">
        <v>80</v>
      </c>
      <c r="I464" s="43" t="inlineStr">
        <is>
          <t>T5</t>
        </is>
      </c>
      <c r="J464" s="43" t="inlineStr">
        <is>
          <t>low</t>
        </is>
      </c>
      <c r="K464" s="29" t="n">
        <v>1</v>
      </c>
      <c r="L464" s="44">
        <f>60*G464/cruise_kt</f>
        <v/>
      </c>
      <c r="M464" s="44">
        <f>IF(B464="South Korea",G464/korea_charge_range_nm*korea_full_range_charge_min,0)</f>
        <v/>
      </c>
      <c r="N464" s="44">
        <f>IF(B464="South Korea",L464+korea_turn_min+korea_dwell_min+M464,L464+turn_min+dwell_min)</f>
        <v/>
      </c>
      <c r="O464" s="45">
        <f>IF(B464="South Korea",FLOOR(60*korea_service_hr/N464,1),MIN(27,FLOOR(60*service_hr/N464,1)))</f>
        <v/>
      </c>
      <c r="P464" s="45">
        <f>IF(ABS(MOD(ABS((365*mech_uptime*K464)),1)-0.5)&lt;1E-9,2*ROUND((365*mech_uptime*K464)/2,0),ROUND((365*mech_uptime*K464),0))</f>
        <v/>
      </c>
      <c r="Q464" s="46">
        <f>mech_uptime</f>
        <v/>
      </c>
      <c r="R464" s="46">
        <f>IF(AND(B464="South Korea",scenario="MID"),korea_mid_revleg,revleg_sel)</f>
        <v/>
      </c>
      <c r="S464" s="45">
        <f>IF(ABS(MOD(ABS((O464*P464*R464)),1)-0.5)&lt;1E-9,2*ROUND((O464*P464*R464)/2,0),ROUND((O464*P464*R464),0))</f>
        <v/>
      </c>
      <c r="T464" s="46">
        <f>IF(AND(B464="South Korea",scenario="MID"),korea_mid_load,load_sel)</f>
        <v/>
      </c>
      <c r="U464" s="47">
        <f>pax_cap*T464</f>
        <v/>
      </c>
      <c r="V464" s="45">
        <f>U464*S464</f>
        <v/>
      </c>
      <c r="W464" s="48">
        <f>H464*discount</f>
        <v/>
      </c>
      <c r="X464" s="49">
        <f>W464*V464</f>
        <v/>
      </c>
      <c r="Y464" s="49">
        <f>(battery/range_nm)*G464*S464*VLOOKUP(B464,country_opex,3,FALSE)</f>
        <v/>
      </c>
      <c r="Z464" s="49">
        <f>VLOOKUP(B464,country_opex,2,FALSE)*crew_factor</f>
        <v/>
      </c>
      <c r="AA464" s="49">
        <f>VLOOKUP(B464,country_opex,5,FALSE)</f>
        <v/>
      </c>
      <c r="AB464" s="49">
        <f>maint</f>
        <v/>
      </c>
      <c r="AC464" s="49">
        <f>VLOOKUP(B464,country_opex,7,FALSE)*ins_pct</f>
        <v/>
      </c>
      <c r="AD464" s="49">
        <f>charge_berth</f>
        <v/>
      </c>
      <c r="AE464" s="49">
        <f>Y464+Z464+AA464+AB464+AC464+AD464</f>
        <v/>
      </c>
      <c r="AF464" s="49">
        <f>VLOOKUP(B464,country_opex,7,FALSE)/dep_years</f>
        <v/>
      </c>
      <c r="AG464" s="49">
        <f>X464-AE464</f>
        <v/>
      </c>
      <c r="AH464" s="46">
        <f>IF(X464=0,"",AG464/X464)</f>
        <v/>
      </c>
      <c r="AI464" s="47">
        <f>IF(AG464&lt;=0,"",VLOOKUP(B464,country_opex,7,FALSE)/AG464)</f>
        <v/>
      </c>
      <c r="AJ464" s="44">
        <f>((G464*S464/diesel_nmpg)*diesel_co2pg-(battery/range_nm)*G464*S464*VLOOKUP(B464,country_opex,4,FALSE))/1000</f>
        <v/>
      </c>
      <c r="AK464" s="42" t="n">
        <v>330000</v>
      </c>
      <c r="AL464" s="43" t="inlineStr">
        <is>
          <t>T3</t>
        </is>
      </c>
      <c r="AM464" s="43" t="inlineStr">
        <is>
          <t>low</t>
        </is>
      </c>
      <c r="AN464" s="50" t="n">
        <v>0.1</v>
      </c>
      <c r="AO464" s="45">
        <f>IF(AK464="","",AK464*AN464)</f>
        <v/>
      </c>
      <c r="AP464" s="45">
        <f>IF(OR(AK464="",V464=0),"",MIN(IF(AX464="",9.9E+99,AX464),FLOOR(AO464/V464,1)))</f>
        <v/>
      </c>
      <c r="AQ464" s="49">
        <f>IF(AP464="","",AP464*IF(ABS(MOD(ABS((X464)),1)-0.5)&lt;1E-9,2*ROUND((X464)/2,0),ROUND((X464),0)))</f>
        <v/>
      </c>
      <c r="AR464" s="47">
        <f>IF(OR(AK464="",V464=0),"",MIN(IF(AX464="",9.9E+99,AX464),AO464/V464))</f>
        <v/>
      </c>
      <c r="AS464" s="49">
        <f>IF(AR464="","",AR464*IF(B464="South Korea",IF(ABS(MOD(ABS((X464)),1)-0.5)&lt;1E-9,2*ROUND((X464)/2,0),ROUND((X464),0)),X464))</f>
        <v/>
      </c>
      <c r="AT464" s="51" t="n"/>
      <c r="AU464" s="43" t="inlineStr">
        <is>
          <t>Forward SAM</t>
        </is>
      </c>
      <c r="AV464" s="52" t="inlineStr">
        <is>
          <t>FWD-SAM (2030)</t>
        </is>
      </c>
      <c r="AW464" s="52" t="n"/>
      <c r="AX464" s="53" t="n"/>
      <c r="AY464" s="54">
        <f>IF(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&lt;=0,"",VLOOKUP(B464,country_opex,7,FALSE)/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)</f>
        <v/>
      </c>
      <c r="AZ464" s="54">
        <f>IF(((W464*pax_cap*IF(B464="South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Korea",korea_mid_revleg,revleg_mid)),0))*VLOOKUP(B464,country_opex,3,FALSE))+Z464+AA464+AB464+AC464+AD464))&lt;=0,"",VLOOKUP(B464,country_opex,7,FALSE)/((W464*pax_cap*IF(B464="South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Korea",korea_mid_revleg,revleg_mid)),0))*VLOOKUP(B464,country_opex,3,FALSE))+Z464+AA464+AB464+AC464+AD464)))</f>
        <v/>
      </c>
      <c r="BA464" s="54">
        <f>IF(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&lt;=0,"",VLOOKUP(B464,country_opex,7,FALSE)/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)</f>
        <v/>
      </c>
      <c r="BB464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C464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  <c r="BD464" s="43" t="inlineStr">
        <is>
          <t>e__eastern-province-ksa__al-khobar-corniche__manama-bahrain__bahrain-financial-harbour-marina</t>
        </is>
      </c>
    </row>
    <row r="465">
      <c r="A465" s="38" t="inlineStr">
        <is>
          <t>Saudi – Red Sea</t>
        </is>
      </c>
      <c r="B465" s="38" t="inlineStr">
        <is>
          <t>Saudi Arabia</t>
        </is>
      </c>
      <c r="C465" s="39" t="inlineStr">
        <is>
          <t>The Red Sea → AMAALA (Triple Bay)</t>
        </is>
      </c>
      <c r="D465" s="38" t="inlineStr">
        <is>
          <t>red-sea-global</t>
        </is>
      </c>
      <c r="E465" s="40" t="inlineStr">
        <is>
          <t>bolt-ksa-commercial, saudi-redsea, saudi-redsea-resort</t>
        </is>
      </c>
      <c r="F465" s="41" t="n">
        <v>3</v>
      </c>
      <c r="G465" s="42" t="n">
        <v>29.4</v>
      </c>
      <c r="H465" s="35" t="n">
        <v>250</v>
      </c>
      <c r="I465" s="43" t="inlineStr">
        <is>
          <t>T5</t>
        </is>
      </c>
      <c r="J465" s="43" t="inlineStr">
        <is>
          <t>low</t>
        </is>
      </c>
      <c r="K465" s="29" t="n">
        <v>1</v>
      </c>
      <c r="L465" s="44">
        <f>60*G465/cruise_kt</f>
        <v/>
      </c>
      <c r="M465" s="44">
        <f>IF(B465="South Korea",G465/korea_charge_range_nm*korea_full_range_charge_min,0)</f>
        <v/>
      </c>
      <c r="N465" s="44">
        <f>IF(B465="South Korea",L465+korea_turn_min+korea_dwell_min+M465,L465+turn_min+dwell_min)</f>
        <v/>
      </c>
      <c r="O465" s="45">
        <f>IF(B465="South Korea",FLOOR(60*korea_service_hr/N465,1),MIN(15,FLOOR(60*service_hr/N465,1)))</f>
        <v/>
      </c>
      <c r="P465" s="45">
        <f>IF(ABS(MOD(ABS((365*mech_uptime*K465)),1)-0.5)&lt;1E-9,2*ROUND((365*mech_uptime*K465)/2,0),ROUND((365*mech_uptime*K465),0))</f>
        <v/>
      </c>
      <c r="Q465" s="46">
        <f>mech_uptime</f>
        <v/>
      </c>
      <c r="R465" s="46">
        <f>IF(AND(B465="South Korea",scenario="MID"),korea_mid_revleg,revleg_sel)</f>
        <v/>
      </c>
      <c r="S465" s="45">
        <f>IF(ABS(MOD(ABS((O465*P465*R465)),1)-0.5)&lt;1E-9,2*ROUND((O465*P465*R465)/2,0),ROUND((O465*P465*R465),0))</f>
        <v/>
      </c>
      <c r="T465" s="46">
        <f>IF(AND(B465="South Korea",scenario="MID"),korea_mid_load,load_sel)</f>
        <v/>
      </c>
      <c r="U465" s="47">
        <f>pax_cap*T465</f>
        <v/>
      </c>
      <c r="V465" s="45">
        <f>U465*S465</f>
        <v/>
      </c>
      <c r="W465" s="48">
        <f>H465*discount</f>
        <v/>
      </c>
      <c r="X465" s="49">
        <f>W465*V465</f>
        <v/>
      </c>
      <c r="Y465" s="49">
        <f>(battery/range_nm)*G465*S465*VLOOKUP(B465,country_opex,3,FALSE)</f>
        <v/>
      </c>
      <c r="Z465" s="49">
        <f>VLOOKUP(B465,country_opex,2,FALSE)*crew_factor</f>
        <v/>
      </c>
      <c r="AA465" s="49">
        <f>VLOOKUP(B465,country_opex,5,FALSE)</f>
        <v/>
      </c>
      <c r="AB465" s="49">
        <f>maint</f>
        <v/>
      </c>
      <c r="AC465" s="49">
        <f>VLOOKUP(B465,country_opex,7,FALSE)*ins_pct</f>
        <v/>
      </c>
      <c r="AD465" s="49">
        <f>charge_berth</f>
        <v/>
      </c>
      <c r="AE465" s="49">
        <f>Y465+Z465+AA465+AB465+AC465+AD465</f>
        <v/>
      </c>
      <c r="AF465" s="49">
        <f>VLOOKUP(B465,country_opex,7,FALSE)/dep_years</f>
        <v/>
      </c>
      <c r="AG465" s="49">
        <f>X465-AE465</f>
        <v/>
      </c>
      <c r="AH465" s="46">
        <f>IF(X465=0,"",AG465/X465)</f>
        <v/>
      </c>
      <c r="AI465" s="47">
        <f>IF(AG465&lt;=0,"",VLOOKUP(B465,country_opex,7,FALSE)/AG465)</f>
        <v/>
      </c>
      <c r="AJ465" s="44">
        <f>((G465*S465/diesel_nmpg)*diesel_co2pg-(battery/range_nm)*G465*S465*VLOOKUP(B465,country_opex,4,FALSE))/1000</f>
        <v/>
      </c>
      <c r="AK465" s="42" t="n">
        <v>500000</v>
      </c>
      <c r="AL465" s="43" t="inlineStr">
        <is>
          <t>T4</t>
        </is>
      </c>
      <c r="AM465" s="43" t="inlineStr">
        <is>
          <t>low</t>
        </is>
      </c>
      <c r="AN465" s="50" t="n">
        <v>0.1</v>
      </c>
      <c r="AO465" s="45">
        <f>IF(AK465="","",AK465*AN465)</f>
        <v/>
      </c>
      <c r="AP465" s="45">
        <f>IF(OR(AK465="",V465=0),"",MIN(IF(AX465="",9.9E+99,AX465),FLOOR(AO465/V465,1)))</f>
        <v/>
      </c>
      <c r="AQ465" s="49">
        <f>IF(AP465="","",AP465*IF(ABS(MOD(ABS((X465)),1)-0.5)&lt;1E-9,2*ROUND((X465)/2,0),ROUND((X465),0)))</f>
        <v/>
      </c>
      <c r="AR465" s="47">
        <f>IF(OR(AK465="",V465=0),"",MIN(IF(AX465="",9.9E+99,AX465),AO465/V465))</f>
        <v/>
      </c>
      <c r="AS465" s="49">
        <f>IF(AR465="","",AR465*IF(B465="South Korea",IF(ABS(MOD(ABS((X465)),1)-0.5)&lt;1E-9,2*ROUND((X465)/2,0),ROUND((X465),0)),X465))</f>
        <v/>
      </c>
      <c r="AT465" s="51" t="n"/>
      <c r="AU465" s="43" t="inlineStr">
        <is>
          <t>Forward SAM</t>
        </is>
      </c>
      <c r="AV465" s="52" t="inlineStr">
        <is>
          <t>FWD-SAM (2030)</t>
        </is>
      </c>
      <c r="AW465" s="52" t="n"/>
      <c r="AX465" s="53" t="n"/>
      <c r="AY465" s="54">
        <f>IF(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&lt;=0,"",VLOOKUP(B465,country_opex,7,FALSE)/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)</f>
        <v/>
      </c>
      <c r="AZ465" s="54">
        <f>IF(((W465*pax_cap*IF(B465="South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Korea",korea_mid_revleg,revleg_mid)),0))*VLOOKUP(B465,country_opex,3,FALSE))+Z465+AA465+AB465+AC465+AD465))&lt;=0,"",VLOOKUP(B465,country_opex,7,FALSE)/((W465*pax_cap*IF(B465="South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Korea",korea_mid_revleg,revleg_mid)),0))*VLOOKUP(B465,country_opex,3,FALSE))+Z465+AA465+AB465+AC465+AD465)))</f>
        <v/>
      </c>
      <c r="BA465" s="54">
        <f>IF(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&lt;=0,"",VLOOKUP(B465,country_opex,7,FALSE)/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)</f>
        <v/>
      </c>
      <c r="BB465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C465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  <c r="BD465" s="43" t="inlineStr">
        <is>
          <t>ics-748e4ff724</t>
        </is>
      </c>
    </row>
    <row r="466">
      <c r="A466" s="38" t="inlineStr">
        <is>
          <t>Saudi – Red Sea</t>
        </is>
      </c>
      <c r="B466" s="38" t="inlineStr">
        <is>
          <t>Saudi Arabia</t>
        </is>
      </c>
      <c r="C466" s="39" t="inlineStr">
        <is>
          <t>NEOM — Sindalah → Magna / Oxagon coast</t>
        </is>
      </c>
      <c r="D466" s="38" t="inlineStr">
        <is>
          <t>red-sea-global</t>
        </is>
      </c>
      <c r="E466" s="40" t="inlineStr">
        <is>
          <t>bolt-ksa-commercial, saudi-redsea, saudi-redsea-resort</t>
        </is>
      </c>
      <c r="F466" s="41" t="n">
        <v>3</v>
      </c>
      <c r="G466" s="42" t="n">
        <v>30.8</v>
      </c>
      <c r="H466" s="35" t="n">
        <v>120</v>
      </c>
      <c r="I466" s="43" t="inlineStr">
        <is>
          <t>T5</t>
        </is>
      </c>
      <c r="J466" s="43" t="inlineStr">
        <is>
          <t>low</t>
        </is>
      </c>
      <c r="K466" s="29" t="n">
        <v>1</v>
      </c>
      <c r="L466" s="44">
        <f>60*G466/cruise_kt</f>
        <v/>
      </c>
      <c r="M466" s="44">
        <f>IF(B466="South Korea",G466/korea_charge_range_nm*korea_full_range_charge_min,0)</f>
        <v/>
      </c>
      <c r="N466" s="44">
        <f>IF(B466="South Korea",L466+korea_turn_min+korea_dwell_min+M466,L466+turn_min+dwell_min)</f>
        <v/>
      </c>
      <c r="O466" s="45">
        <f>IF(B466="South Korea",FLOOR(60*korea_service_hr/N466,1),MIN(27,FLOOR(60*service_hr/N466,1)))</f>
        <v/>
      </c>
      <c r="P466" s="45">
        <f>IF(ABS(MOD(ABS((365*mech_uptime*K466)),1)-0.5)&lt;1E-9,2*ROUND((365*mech_uptime*K466)/2,0),ROUND((365*mech_uptime*K466),0))</f>
        <v/>
      </c>
      <c r="Q466" s="46">
        <f>mech_uptime</f>
        <v/>
      </c>
      <c r="R466" s="46">
        <f>IF(AND(B466="South Korea",scenario="MID"),korea_mid_revleg,revleg_sel)</f>
        <v/>
      </c>
      <c r="S466" s="45">
        <f>IF(ABS(MOD(ABS((O466*P466*R466)),1)-0.5)&lt;1E-9,2*ROUND((O466*P466*R466)/2,0),ROUND((O466*P466*R466),0))</f>
        <v/>
      </c>
      <c r="T466" s="46">
        <f>IF(AND(B466="South Korea",scenario="MID"),korea_mid_load,load_sel)</f>
        <v/>
      </c>
      <c r="U466" s="47">
        <f>pax_cap*T466</f>
        <v/>
      </c>
      <c r="V466" s="45">
        <f>U466*S466</f>
        <v/>
      </c>
      <c r="W466" s="48">
        <f>H466*discount</f>
        <v/>
      </c>
      <c r="X466" s="49">
        <f>W466*V466</f>
        <v/>
      </c>
      <c r="Y466" s="49">
        <f>(battery/range_nm)*G466*S466*VLOOKUP(B466,country_opex,3,FALSE)</f>
        <v/>
      </c>
      <c r="Z466" s="49">
        <f>VLOOKUP(B466,country_opex,2,FALSE)*crew_factor</f>
        <v/>
      </c>
      <c r="AA466" s="49">
        <f>VLOOKUP(B466,country_opex,5,FALSE)</f>
        <v/>
      </c>
      <c r="AB466" s="49">
        <f>maint</f>
        <v/>
      </c>
      <c r="AC466" s="49">
        <f>VLOOKUP(B466,country_opex,7,FALSE)*ins_pct</f>
        <v/>
      </c>
      <c r="AD466" s="49">
        <f>charge_berth</f>
        <v/>
      </c>
      <c r="AE466" s="49">
        <f>Y466+Z466+AA466+AB466+AC466+AD466</f>
        <v/>
      </c>
      <c r="AF466" s="49">
        <f>VLOOKUP(B466,country_opex,7,FALSE)/dep_years</f>
        <v/>
      </c>
      <c r="AG466" s="49">
        <f>X466-AE466</f>
        <v/>
      </c>
      <c r="AH466" s="46">
        <f>IF(X466=0,"",AG466/X466)</f>
        <v/>
      </c>
      <c r="AI466" s="47">
        <f>IF(AG466&lt;=0,"",VLOOKUP(B466,country_opex,7,FALSE)/AG466)</f>
        <v/>
      </c>
      <c r="AJ466" s="44">
        <f>((G466*S466/diesel_nmpg)*diesel_co2pg-(battery/range_nm)*G466*S466*VLOOKUP(B466,country_opex,4,FALSE))/1000</f>
        <v/>
      </c>
      <c r="AK466" s="42" t="n">
        <v>250000</v>
      </c>
      <c r="AL466" s="43" t="inlineStr">
        <is>
          <t>T2</t>
        </is>
      </c>
      <c r="AM466" s="43" t="inlineStr">
        <is>
          <t>low</t>
        </is>
      </c>
      <c r="AN466" s="50" t="n">
        <v>0.1</v>
      </c>
      <c r="AO466" s="45">
        <f>IF(AK466="","",AK466*AN466)</f>
        <v/>
      </c>
      <c r="AP466" s="45">
        <f>IF(OR(AK466="",V466=0),"",MIN(IF(AX466="",9.9E+99,AX466),FLOOR(AO466/V466,1)))</f>
        <v/>
      </c>
      <c r="AQ466" s="49">
        <f>IF(AP466="","",AP466*IF(ABS(MOD(ABS((X466)),1)-0.5)&lt;1E-9,2*ROUND((X466)/2,0),ROUND((X466),0)))</f>
        <v/>
      </c>
      <c r="AR466" s="47">
        <f>IF(OR(AK466="",V466=0),"",MIN(IF(AX466="",9.9E+99,AX466),AO466/V466))</f>
        <v/>
      </c>
      <c r="AS466" s="49">
        <f>IF(AR466="","",AR466*IF(B466="South Korea",IF(ABS(MOD(ABS((X466)),1)-0.5)&lt;1E-9,2*ROUND((X466)/2,0),ROUND((X466),0)),X466))</f>
        <v/>
      </c>
      <c r="AT466" s="51" t="n"/>
      <c r="AU466" s="43" t="inlineStr">
        <is>
          <t>Forward SAM</t>
        </is>
      </c>
      <c r="AV466" s="52" t="inlineStr">
        <is>
          <t>FWD-SAM (2030)</t>
        </is>
      </c>
      <c r="AW466" s="52" t="n"/>
      <c r="AX466" s="53" t="n"/>
      <c r="AY466" s="54">
        <f>IF(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&lt;=0,"",VLOOKUP(B466,country_opex,7,FALSE)/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)</f>
        <v/>
      </c>
      <c r="AZ466" s="54">
        <f>IF(((W466*pax_cap*IF(B466="South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Korea",korea_mid_revleg,revleg_mid)),0))*VLOOKUP(B466,country_opex,3,FALSE))+Z466+AA466+AB466+AC466+AD466))&lt;=0,"",VLOOKUP(B466,country_opex,7,FALSE)/((W466*pax_cap*IF(B466="South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Korea",korea_mid_revleg,revleg_mid)),0))*VLOOKUP(B466,country_opex,3,FALSE))+Z466+AA466+AB466+AC466+AD466)))</f>
        <v/>
      </c>
      <c r="BA466" s="54">
        <f>IF(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&lt;=0,"",VLOOKUP(B466,country_opex,7,FALSE)/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)</f>
        <v/>
      </c>
      <c r="BB466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C466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  <c r="BD466" s="43" t="inlineStr">
        <is>
          <t>ics-4e71b19ab7</t>
        </is>
      </c>
    </row>
    <row r="467">
      <c r="A467" s="38" t="inlineStr">
        <is>
          <t>Yango Senegal</t>
        </is>
      </c>
      <c r="B467" s="38" t="inlineStr">
        <is>
          <t>Senegal</t>
        </is>
      </c>
      <c r="C467" s="39" t="inlineStr">
        <is>
          <t>Dakar (Plage de Ngor) → Ile de Ngor</t>
        </is>
      </c>
      <c r="D467" s="38" t="inlineStr">
        <is>
          <t>yango</t>
        </is>
      </c>
      <c r="E467" s="40" t="inlineStr">
        <is>
          <t>yango-senegal, yassir-senegal</t>
        </is>
      </c>
      <c r="F467" s="41" t="n">
        <v>2</v>
      </c>
      <c r="G467" s="42" t="n">
        <v>0.3</v>
      </c>
      <c r="H467" s="35" t="n">
        <v>18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IF(B467="South Korea",G467/korea_charge_range_nm*korea_full_range_charge_min,0)</f>
        <v/>
      </c>
      <c r="N467" s="44">
        <f>IF(B467="South Korea",L467+korea_turn_min+korea_dwell_min+M467,L467+turn_min+dwell_min)</f>
        <v/>
      </c>
      <c r="O467" s="45">
        <f>IF(B467="South Korea",FLOOR(60*korea_service_hr/N467,1),MIN(15,FLOOR(60*service_hr/N467,1)))</f>
        <v/>
      </c>
      <c r="P467" s="45">
        <f>IF(ABS(MOD(ABS((365*mech_uptime*K467)),1)-0.5)&lt;1E-9,2*ROUND((365*mech_uptime*K467)/2,0),ROUND((365*mech_uptime*K467),0))</f>
        <v/>
      </c>
      <c r="Q467" s="46">
        <f>mech_uptime</f>
        <v/>
      </c>
      <c r="R467" s="46">
        <f>IF(AND(B467="South Korea",scenario="MID"),korea_mid_revleg,revleg_sel)</f>
        <v/>
      </c>
      <c r="S467" s="45">
        <f>IF(ABS(MOD(ABS((O467*P467*R467)),1)-0.5)&lt;1E-9,2*ROUND((O467*P467*R467)/2,0),ROUND((O467*P467*R467),0))</f>
        <v/>
      </c>
      <c r="T467" s="46">
        <f>IF(AND(B467="South Korea",scenario="MID"),korea_mid_load,load_sel)</f>
        <v/>
      </c>
      <c r="U467" s="47">
        <f>pax_cap*T467</f>
        <v/>
      </c>
      <c r="V467" s="45">
        <f>U467*S467</f>
        <v/>
      </c>
      <c r="W467" s="48">
        <f>H467*discount</f>
        <v/>
      </c>
      <c r="X467" s="49">
        <f>W467*V467</f>
        <v/>
      </c>
      <c r="Y467" s="49">
        <f>(battery/range_nm)*G467*S467*VLOOKUP(B467,country_opex,3,FALSE)</f>
        <v/>
      </c>
      <c r="Z467" s="49">
        <f>VLOOKUP(B467,country_opex,2,FALSE)*crew_factor</f>
        <v/>
      </c>
      <c r="AA467" s="49">
        <f>VLOOKUP(B467,country_opex,5,FALSE)</f>
        <v/>
      </c>
      <c r="AB467" s="49">
        <f>maint</f>
        <v/>
      </c>
      <c r="AC467" s="49">
        <f>VLOOKUP(B467,country_opex,7,FALSE)*ins_pct</f>
        <v/>
      </c>
      <c r="AD467" s="49">
        <f>charge_berth</f>
        <v/>
      </c>
      <c r="AE467" s="49">
        <f>Y467+Z467+AA467+AB467+AC467+AD467</f>
        <v/>
      </c>
      <c r="AF467" s="49">
        <f>VLOOKUP(B467,country_opex,7,FALSE)/dep_years</f>
        <v/>
      </c>
      <c r="AG467" s="49">
        <f>X467-AE467</f>
        <v/>
      </c>
      <c r="AH467" s="46">
        <f>IF(X467=0,"",AG467/X467)</f>
        <v/>
      </c>
      <c r="AI467" s="47">
        <f>IF(AG467&lt;=0,"",VLOOKUP(B467,country_opex,7,FALSE)/AG467)</f>
        <v/>
      </c>
      <c r="AJ467" s="44">
        <f>((G467*S467/diesel_nmpg)*diesel_co2pg-(battery/range_nm)*G467*S467*VLOOKUP(B467,country_opex,4,FALSE))/1000</f>
        <v/>
      </c>
      <c r="AK467" s="42" t="n"/>
      <c r="AL467" s="43" t="n"/>
      <c r="AM467" s="43" t="n"/>
      <c r="AN467" s="50" t="n">
        <v>0.1</v>
      </c>
      <c r="AO467" s="45">
        <f>IF(AK467="","",AK467*AN467)</f>
        <v/>
      </c>
      <c r="AP467" s="45">
        <f>IF(OR(AK467="",V467=0),"",MIN(IF(AX467="",9.9E+99,AX467),FLOOR(AO467/V467,1)))</f>
        <v/>
      </c>
      <c r="AQ467" s="49">
        <f>IF(AP467="","",AP467*IF(ABS(MOD(ABS((X467)),1)-0.5)&lt;1E-9,2*ROUND((X467)/2,0),ROUND((X467),0)))</f>
        <v/>
      </c>
      <c r="AR467" s="47">
        <f>IF(OR(AK467="",V467=0),"",MIN(IF(AX467="",9.9E+99,AX467),AO467/V467))</f>
        <v/>
      </c>
      <c r="AS467" s="49">
        <f>IF(AR467="","",AR467*IF(B467="South Korea",IF(ABS(MOD(ABS((X467)),1)-0.5)&lt;1E-9,2*ROUND((X467)/2,0),ROUND((X467),0)),X467))</f>
        <v/>
      </c>
      <c r="AT467" s="51" t="n"/>
      <c r="AU467" s="43" t="inlineStr">
        <is>
          <t>Estimated</t>
        </is>
      </c>
      <c r="AV467" s="52" t="n"/>
      <c r="AW467" s="52" t="n"/>
      <c r="AX467" s="53" t="n"/>
      <c r="AY467" s="54">
        <f>IF(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&lt;=0,"",VLOOKUP(B467,country_opex,7,FALSE)/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)</f>
        <v/>
      </c>
      <c r="AZ467" s="54">
        <f>IF(((W467*pax_cap*IF(B467="South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Korea",korea_mid_revleg,revleg_mid)),0))*VLOOKUP(B467,country_opex,3,FALSE))+Z467+AA467+AB467+AC467+AD467))&lt;=0,"",VLOOKUP(B467,country_opex,7,FALSE)/((W467*pax_cap*IF(B467="South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Korea",korea_mid_revleg,revleg_mid)),0))*VLOOKUP(B467,country_opex,3,FALSE))+Z467+AA467+AB467+AC467+AD467)))</f>
        <v/>
      </c>
      <c r="BA467" s="54">
        <f>IF(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&lt;=0,"",VLOOKUP(B467,country_opex,7,FALSE)/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)</f>
        <v/>
      </c>
      <c r="BB467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C467" s="40" t="n"/>
      <c r="BD467" s="43" t="inlineStr">
        <is>
          <t>rn-dc2e7e55b6e6</t>
        </is>
      </c>
    </row>
    <row r="468">
      <c r="A468" s="38" t="inlineStr">
        <is>
          <t>Yango Senegal</t>
        </is>
      </c>
      <c r="B468" s="38" t="inlineStr">
        <is>
          <t>Senegal</t>
        </is>
      </c>
      <c r="C468" s="39" t="inlineStr">
        <is>
          <t>Dakar (Soumbedioune / Mole) → Parc National des Iles de la Madeleine (Ile aux Serpents/Sarpan)</t>
        </is>
      </c>
      <c r="D468" s="38" t="inlineStr">
        <is>
          <t>yango</t>
        </is>
      </c>
      <c r="E468" s="40" t="inlineStr">
        <is>
          <t>yango-senegal, yassir-senegal</t>
        </is>
      </c>
      <c r="F468" s="41" t="n">
        <v>2</v>
      </c>
      <c r="G468" s="42" t="n">
        <v>2.2</v>
      </c>
      <c r="H468" s="35" t="n">
        <v>18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IF(B468="South Korea",G468/korea_charge_range_nm*korea_full_range_charge_min,0)</f>
        <v/>
      </c>
      <c r="N468" s="44">
        <f>IF(B468="South Korea",L468+korea_turn_min+korea_dwell_min+M468,L468+turn_min+dwell_min)</f>
        <v/>
      </c>
      <c r="O468" s="45">
        <f>IF(B468="South Korea",FLOOR(60*korea_service_hr/N468,1),MIN(15,FLOOR(60*service_hr/N468,1)))</f>
        <v/>
      </c>
      <c r="P468" s="45">
        <f>IF(ABS(MOD(ABS((365*mech_uptime*K468)),1)-0.5)&lt;1E-9,2*ROUND((365*mech_uptime*K468)/2,0),ROUND((365*mech_uptime*K468),0))</f>
        <v/>
      </c>
      <c r="Q468" s="46">
        <f>mech_uptime</f>
        <v/>
      </c>
      <c r="R468" s="46">
        <f>IF(AND(B468="South Korea",scenario="MID"),korea_mid_revleg,revleg_sel)</f>
        <v/>
      </c>
      <c r="S468" s="45">
        <f>IF(ABS(MOD(ABS((O468*P468*R468)),1)-0.5)&lt;1E-9,2*ROUND((O468*P468*R468)/2,0),ROUND((O468*P468*R468),0))</f>
        <v/>
      </c>
      <c r="T468" s="46">
        <f>IF(AND(B468="South Korea",scenario="MID"),korea_mid_load,load_sel)</f>
        <v/>
      </c>
      <c r="U468" s="47">
        <f>pax_cap*T468</f>
        <v/>
      </c>
      <c r="V468" s="45">
        <f>U468*S468</f>
        <v/>
      </c>
      <c r="W468" s="48">
        <f>H468*discount</f>
        <v/>
      </c>
      <c r="X468" s="49">
        <f>W468*V468</f>
        <v/>
      </c>
      <c r="Y468" s="49">
        <f>(battery/range_nm)*G468*S468*VLOOKUP(B468,country_opex,3,FALSE)</f>
        <v/>
      </c>
      <c r="Z468" s="49">
        <f>VLOOKUP(B468,country_opex,2,FALSE)*crew_factor</f>
        <v/>
      </c>
      <c r="AA468" s="49">
        <f>VLOOKUP(B468,country_opex,5,FALSE)</f>
        <v/>
      </c>
      <c r="AB468" s="49">
        <f>maint</f>
        <v/>
      </c>
      <c r="AC468" s="49">
        <f>VLOOKUP(B468,country_opex,7,FALSE)*ins_pct</f>
        <v/>
      </c>
      <c r="AD468" s="49">
        <f>charge_berth</f>
        <v/>
      </c>
      <c r="AE468" s="49">
        <f>Y468+Z468+AA468+AB468+AC468+AD468</f>
        <v/>
      </c>
      <c r="AF468" s="49">
        <f>VLOOKUP(B468,country_opex,7,FALSE)/dep_years</f>
        <v/>
      </c>
      <c r="AG468" s="49">
        <f>X468-AE468</f>
        <v/>
      </c>
      <c r="AH468" s="46">
        <f>IF(X468=0,"",AG468/X468)</f>
        <v/>
      </c>
      <c r="AI468" s="47">
        <f>IF(AG468&lt;=0,"",VLOOKUP(B468,country_opex,7,FALSE)/AG468)</f>
        <v/>
      </c>
      <c r="AJ468" s="44">
        <f>((G468*S468/diesel_nmpg)*diesel_co2pg-(battery/range_nm)*G468*S468*VLOOKUP(B468,country_opex,4,FALSE))/1000</f>
        <v/>
      </c>
      <c r="AK468" s="42" t="n"/>
      <c r="AL468" s="43" t="n"/>
      <c r="AM468" s="43" t="n"/>
      <c r="AN468" s="50" t="n">
        <v>0.1</v>
      </c>
      <c r="AO468" s="45">
        <f>IF(AK468="","",AK468*AN468)</f>
        <v/>
      </c>
      <c r="AP468" s="45">
        <f>IF(OR(AK468="",V468=0),"",MIN(IF(AX468="",9.9E+99,AX468),FLOOR(AO468/V468,1)))</f>
        <v/>
      </c>
      <c r="AQ468" s="49">
        <f>IF(AP468="","",AP468*IF(ABS(MOD(ABS((X468)),1)-0.5)&lt;1E-9,2*ROUND((X468)/2,0),ROUND((X468),0)))</f>
        <v/>
      </c>
      <c r="AR468" s="47">
        <f>IF(OR(AK468="",V468=0),"",MIN(IF(AX468="",9.9E+99,AX468),AO468/V468))</f>
        <v/>
      </c>
      <c r="AS468" s="49">
        <f>IF(AR468="","",AR468*IF(B468="South Korea",IF(ABS(MOD(ABS((X468)),1)-0.5)&lt;1E-9,2*ROUND((X468)/2,0),ROUND((X468),0)),X468))</f>
        <v/>
      </c>
      <c r="AT468" s="51" t="n"/>
      <c r="AU468" s="43" t="inlineStr">
        <is>
          <t>Estimated</t>
        </is>
      </c>
      <c r="AV468" s="52" t="n"/>
      <c r="AW468" s="52" t="n"/>
      <c r="AX468" s="53" t="n"/>
      <c r="AY468" s="54">
        <f>IF(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&lt;=0,"",VLOOKUP(B468,country_opex,7,FALSE)/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)</f>
        <v/>
      </c>
      <c r="AZ468" s="54">
        <f>IF(((W468*pax_cap*IF(B468="South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Korea",korea_mid_revleg,revleg_mid)),0))*VLOOKUP(B468,country_opex,3,FALSE))+Z468+AA468+AB468+AC468+AD468))&lt;=0,"",VLOOKUP(B468,country_opex,7,FALSE)/((W468*pax_cap*IF(B468="South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Korea",korea_mid_revleg,revleg_mid)),0))*VLOOKUP(B468,country_opex,3,FALSE))+Z468+AA468+AB468+AC468+AD468)))</f>
        <v/>
      </c>
      <c r="BA468" s="54">
        <f>IF(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&lt;=0,"",VLOOKUP(B468,country_opex,7,FALSE)/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)</f>
        <v/>
      </c>
      <c r="BB468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C468" s="40" t="n"/>
      <c r="BD468" s="43" t="inlineStr">
        <is>
          <t>rn-b281b65142d4</t>
        </is>
      </c>
    </row>
    <row r="469">
      <c r="A469" s="38" t="inlineStr">
        <is>
          <t>Yango Senegal</t>
        </is>
      </c>
      <c r="B469" s="38" t="inlineStr">
        <is>
          <t>Senegal</t>
        </is>
      </c>
      <c r="C469" s="39" t="inlineStr">
        <is>
          <t>Dakar Port → Île de Gorée</t>
        </is>
      </c>
      <c r="D469" s="38" t="inlineStr">
        <is>
          <t>yango</t>
        </is>
      </c>
      <c r="E469" s="40" t="inlineStr">
        <is>
          <t>yango-senegal, yassir-senegal</t>
        </is>
      </c>
      <c r="F469" s="41" t="n">
        <v>2</v>
      </c>
      <c r="G469" s="42" t="n">
        <v>2.5</v>
      </c>
      <c r="H469" s="35" t="n">
        <v>18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IF(B469="South Korea",G469/korea_charge_range_nm*korea_full_range_charge_min,0)</f>
        <v/>
      </c>
      <c r="N469" s="44">
        <f>IF(B469="South Korea",L469+korea_turn_min+korea_dwell_min+M469,L469+turn_min+dwell_min)</f>
        <v/>
      </c>
      <c r="O469" s="45">
        <f>IF(B469="South Korea",FLOOR(60*korea_service_hr/N469,1),MIN(15,FLOOR(60*service_hr/N469,1)))</f>
        <v/>
      </c>
      <c r="P469" s="45">
        <f>IF(ABS(MOD(ABS((365*mech_uptime*K469)),1)-0.5)&lt;1E-9,2*ROUND((365*mech_uptime*K469)/2,0),ROUND((365*mech_uptime*K469),0))</f>
        <v/>
      </c>
      <c r="Q469" s="46">
        <f>mech_uptime</f>
        <v/>
      </c>
      <c r="R469" s="46">
        <f>IF(AND(B469="South Korea",scenario="MID"),korea_mid_revleg,revleg_sel)</f>
        <v/>
      </c>
      <c r="S469" s="45">
        <f>IF(ABS(MOD(ABS((O469*P469*R469)),1)-0.5)&lt;1E-9,2*ROUND((O469*P469*R469)/2,0),ROUND((O469*P469*R469),0))</f>
        <v/>
      </c>
      <c r="T469" s="46">
        <f>IF(AND(B469="South Korea",scenario="MID"),korea_mid_load,load_sel)</f>
        <v/>
      </c>
      <c r="U469" s="47">
        <f>pax_cap*T469</f>
        <v/>
      </c>
      <c r="V469" s="45">
        <f>U469*S469</f>
        <v/>
      </c>
      <c r="W469" s="48">
        <f>H469*discount</f>
        <v/>
      </c>
      <c r="X469" s="49">
        <f>W469*V469</f>
        <v/>
      </c>
      <c r="Y469" s="49">
        <f>(battery/range_nm)*G469*S469*VLOOKUP(B469,country_opex,3,FALSE)</f>
        <v/>
      </c>
      <c r="Z469" s="49">
        <f>VLOOKUP(B469,country_opex,2,FALSE)*crew_factor</f>
        <v/>
      </c>
      <c r="AA469" s="49">
        <f>VLOOKUP(B469,country_opex,5,FALSE)</f>
        <v/>
      </c>
      <c r="AB469" s="49">
        <f>maint</f>
        <v/>
      </c>
      <c r="AC469" s="49">
        <f>VLOOKUP(B469,country_opex,7,FALSE)*ins_pct</f>
        <v/>
      </c>
      <c r="AD469" s="49">
        <f>charge_berth</f>
        <v/>
      </c>
      <c r="AE469" s="49">
        <f>Y469+Z469+AA469+AB469+AC469+AD469</f>
        <v/>
      </c>
      <c r="AF469" s="49">
        <f>VLOOKUP(B469,country_opex,7,FALSE)/dep_years</f>
        <v/>
      </c>
      <c r="AG469" s="49">
        <f>X469-AE469</f>
        <v/>
      </c>
      <c r="AH469" s="46">
        <f>IF(X469=0,"",AG469/X469)</f>
        <v/>
      </c>
      <c r="AI469" s="47">
        <f>IF(AG469&lt;=0,"",VLOOKUP(B469,country_opex,7,FALSE)/AG469)</f>
        <v/>
      </c>
      <c r="AJ469" s="44">
        <f>((G469*S469/diesel_nmpg)*diesel_co2pg-(battery/range_nm)*G469*S469*VLOOKUP(B469,country_opex,4,FALSE))/1000</f>
        <v/>
      </c>
      <c r="AK469" s="42" t="n">
        <v>80000</v>
      </c>
      <c r="AL469" s="43" t="n"/>
      <c r="AM469" s="43" t="inlineStr">
        <is>
          <t>med</t>
        </is>
      </c>
      <c r="AN469" s="50" t="n">
        <v>0.25</v>
      </c>
      <c r="AO469" s="45">
        <f>IF(AK469="","",AK469*AN469)</f>
        <v/>
      </c>
      <c r="AP469" s="45">
        <f>IF(OR(AK469="",V469=0),"",MIN(IF(AX469="",9.9E+99,AX469),FLOOR(AO469/V469,1)))</f>
        <v/>
      </c>
      <c r="AQ469" s="49">
        <f>IF(AP469="","",AP469*IF(ABS(MOD(ABS((X469)),1)-0.5)&lt;1E-9,2*ROUND((X469)/2,0),ROUND((X469),0)))</f>
        <v/>
      </c>
      <c r="AR469" s="47">
        <f>IF(OR(AK469="",V469=0),"",MIN(IF(AX469="",9.9E+99,AX469),AO469/V469))</f>
        <v/>
      </c>
      <c r="AS469" s="49">
        <f>IF(AR469="","",AR469*IF(B469="South Korea",IF(ABS(MOD(ABS((X469)),1)-0.5)&lt;1E-9,2*ROUND((X469)/2,0),ROUND((X469),0)),X469))</f>
        <v/>
      </c>
      <c r="AT469" s="51" t="n"/>
      <c r="AU469" s="43" t="inlineStr">
        <is>
          <t>Grounded</t>
        </is>
      </c>
      <c r="AV469" s="52" t="n"/>
      <c r="AW469" s="52" t="n"/>
      <c r="AX469" s="53" t="n"/>
      <c r="AY469" s="54">
        <f>IF(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&lt;=0,"",VLOOKUP(B469,country_opex,7,FALSE)/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)</f>
        <v/>
      </c>
      <c r="AZ469" s="54">
        <f>IF(((W469*pax_cap*IF(B469="South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Korea",korea_mid_revleg,revleg_mid)),0))*VLOOKUP(B469,country_opex,3,FALSE))+Z469+AA469+AB469+AC469+AD469))&lt;=0,"",VLOOKUP(B469,country_opex,7,FALSE)/((W469*pax_cap*IF(B469="South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Korea",korea_mid_revleg,revleg_mid)),0))*VLOOKUP(B469,country_opex,3,FALSE))+Z469+AA469+AB469+AC469+AD469)))</f>
        <v/>
      </c>
      <c r="BA469" s="54">
        <f>IF(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&lt;=0,"",VLOOKUP(B469,country_opex,7,FALSE)/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)</f>
        <v/>
      </c>
      <c r="BB469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C469" s="40" t="n"/>
      <c r="BD469" s="43" t="inlineStr">
        <is>
          <t>rn-35617f774f7f</t>
        </is>
      </c>
    </row>
    <row r="470">
      <c r="A470" s="38" t="inlineStr">
        <is>
          <t>Yango Senegal</t>
        </is>
      </c>
      <c r="B470" s="38" t="inlineStr">
        <is>
          <t>Senegal</t>
        </is>
      </c>
      <c r="C470" s="39" t="inlineStr">
        <is>
          <t>Dakar (Yoff / Almadies) → Dakar (Soumbedioune / Plateau)</t>
        </is>
      </c>
      <c r="D470" s="38" t="inlineStr">
        <is>
          <t>yango</t>
        </is>
      </c>
      <c r="E470" s="40" t="inlineStr">
        <is>
          <t>yango-senegal, yassir-senegal</t>
        </is>
      </c>
      <c r="F470" s="41" t="n">
        <v>2</v>
      </c>
      <c r="G470" s="42" t="n">
        <v>8</v>
      </c>
      <c r="H470" s="35" t="n"/>
      <c r="I470" s="43" t="n"/>
      <c r="J470" s="43" t="n"/>
      <c r="K470" s="29" t="n">
        <v>1</v>
      </c>
      <c r="L470" s="44">
        <f>60*G470/cruise_kt</f>
        <v/>
      </c>
      <c r="M470" s="44">
        <f>IF(B470="South Korea",G470/korea_charge_range_nm*korea_full_range_charge_min,0)</f>
        <v/>
      </c>
      <c r="N470" s="44">
        <f>IF(B470="South Korea",L470+korea_turn_min+korea_dwell_min+M470,L470+turn_min+dwell_min)</f>
        <v/>
      </c>
      <c r="O470" s="45">
        <f>IF(B470="South Korea",FLOOR(60*korea_service_hr/N470,1),MIN(24,FLOOR(60*service_hr/N470,1)))</f>
        <v/>
      </c>
      <c r="P470" s="45">
        <f>IF(ABS(MOD(ABS((365*mech_uptime*K470)),1)-0.5)&lt;1E-9,2*ROUND((365*mech_uptime*K470)/2,0),ROUND((365*mech_uptime*K470),0))</f>
        <v/>
      </c>
      <c r="Q470" s="46">
        <f>mech_uptime</f>
        <v/>
      </c>
      <c r="R470" s="46">
        <f>IF(AND(B470="South Korea",scenario="MID"),korea_mid_revleg,revleg_sel)</f>
        <v/>
      </c>
      <c r="S470" s="45">
        <f>IF(ABS(MOD(ABS((O470*P470*R470)),1)-0.5)&lt;1E-9,2*ROUND((O470*P470*R470)/2,0),ROUND((O470*P470*R470),0))</f>
        <v/>
      </c>
      <c r="T470" s="46">
        <f>IF(AND(B470="South Korea",scenario="MID"),korea_mid_load,load_sel)</f>
        <v/>
      </c>
      <c r="U470" s="47">
        <f>pax_cap*T470</f>
        <v/>
      </c>
      <c r="V470" s="45">
        <f>U470*S470</f>
        <v/>
      </c>
      <c r="W470" s="48">
        <f>H470*discount</f>
        <v/>
      </c>
      <c r="X470" s="49">
        <f>W470*V470</f>
        <v/>
      </c>
      <c r="Y470" s="49">
        <f>(battery/range_nm)*G470*S470*VLOOKUP(B470,country_opex,3,FALSE)</f>
        <v/>
      </c>
      <c r="Z470" s="49">
        <f>VLOOKUP(B470,country_opex,2,FALSE)*crew_factor</f>
        <v/>
      </c>
      <c r="AA470" s="49">
        <f>VLOOKUP(B470,country_opex,5,FALSE)</f>
        <v/>
      </c>
      <c r="AB470" s="49">
        <f>maint</f>
        <v/>
      </c>
      <c r="AC470" s="49">
        <f>VLOOKUP(B470,country_opex,7,FALSE)*ins_pct</f>
        <v/>
      </c>
      <c r="AD470" s="49">
        <f>charge_berth</f>
        <v/>
      </c>
      <c r="AE470" s="49">
        <f>Y470+Z470+AA470+AB470+AC470+AD470</f>
        <v/>
      </c>
      <c r="AF470" s="49">
        <f>VLOOKUP(B470,country_opex,7,FALSE)/dep_years</f>
        <v/>
      </c>
      <c r="AG470" s="49">
        <f>X470-AE470</f>
        <v/>
      </c>
      <c r="AH470" s="46">
        <f>IF(X470=0,"",AG470/X470)</f>
        <v/>
      </c>
      <c r="AI470" s="47">
        <f>IF(AG470&lt;=0,"",VLOOKUP(B470,country_opex,7,FALSE)/AG470)</f>
        <v/>
      </c>
      <c r="AJ470" s="44">
        <f>((G470*S470/diesel_nmpg)*diesel_co2pg-(battery/range_nm)*G470*S470*VLOOKUP(B470,country_opex,4,FALSE))/1000</f>
        <v/>
      </c>
      <c r="AK470" s="42" t="n"/>
      <c r="AL470" s="43" t="n"/>
      <c r="AM470" s="43" t="n"/>
      <c r="AN470" s="50" t="n">
        <v>0.1</v>
      </c>
      <c r="AO470" s="45">
        <f>IF(AK470="","",AK470*AN470)</f>
        <v/>
      </c>
      <c r="AP470" s="45">
        <f>IF(OR(AK470="",V470=0),"",MIN(IF(AX470="",9.9E+99,AX470),FLOOR(AO470/V470,1)))</f>
        <v/>
      </c>
      <c r="AQ470" s="49">
        <f>IF(AP470="","",AP470*IF(ABS(MOD(ABS((X470)),1)-0.5)&lt;1E-9,2*ROUND((X470)/2,0),ROUND((X470),0)))</f>
        <v/>
      </c>
      <c r="AR470" s="47">
        <f>IF(OR(AK470="",V470=0),"",MIN(IF(AX470="",9.9E+99,AX470),AO470/V470))</f>
        <v/>
      </c>
      <c r="AS470" s="49">
        <f>IF(AR470="","",AR470*IF(B470="South Korea",IF(ABS(MOD(ABS((X470)),1)-0.5)&lt;1E-9,2*ROUND((X470)/2,0),ROUND((X470),0)),X470))</f>
        <v/>
      </c>
      <c r="AT470" s="51" t="n"/>
      <c r="AU470" s="43" t="inlineStr">
        <is>
          <t>Estimated</t>
        </is>
      </c>
      <c r="AV470" s="52" t="n"/>
      <c r="AW470" s="52" t="n"/>
      <c r="AX470" s="53" t="n"/>
      <c r="AY470" s="54">
        <f>IF(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&lt;=0,"",VLOOKUP(B470,country_opex,7,FALSE)/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)</f>
        <v/>
      </c>
      <c r="AZ470" s="54">
        <f>IF(((W470*pax_cap*IF(B470="South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Korea",korea_mid_revleg,revleg_mid)),0))*VLOOKUP(B470,country_opex,3,FALSE))+Z470+AA470+AB470+AC470+AD470))&lt;=0,"",VLOOKUP(B470,country_opex,7,FALSE)/((W470*pax_cap*IF(B470="South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Korea",korea_mid_revleg,revleg_mid)),0))*VLOOKUP(B470,country_opex,3,FALSE))+Z470+AA470+AB470+AC470+AD470)))</f>
        <v/>
      </c>
      <c r="BA470" s="54">
        <f>IF(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&lt;=0,"",VLOOKUP(B470,country_opex,7,FALSE)/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)</f>
        <v/>
      </c>
      <c r="BB470" s="40" t="n"/>
      <c r="BC470" s="40" t="n"/>
      <c r="BD470" s="43" t="inlineStr">
        <is>
          <t>rn-7e112fcb44dd</t>
        </is>
      </c>
    </row>
    <row r="471">
      <c r="A471" s="38" t="inlineStr">
        <is>
          <t>Yango Senegal</t>
        </is>
      </c>
      <c r="B471" s="38" t="inlineStr">
        <is>
          <t>Senegal</t>
        </is>
      </c>
      <c r="C471" s="39" t="inlineStr">
        <is>
          <t>Dakar / Mbour-Petite Cote → Foundiougne (Sine-Saloum delta)</t>
        </is>
      </c>
      <c r="D471" s="38" t="inlineStr">
        <is>
          <t>yango</t>
        </is>
      </c>
      <c r="E471" s="40" t="inlineStr">
        <is>
          <t>yango-senegal, yassir-senegal</t>
        </is>
      </c>
      <c r="F471" s="41" t="n">
        <v>2</v>
      </c>
      <c r="G471" s="42" t="n">
        <v>60</v>
      </c>
      <c r="H471" s="35" t="n"/>
      <c r="I471" s="43" t="n"/>
      <c r="J471" s="43" t="n"/>
      <c r="K471" s="29" t="n">
        <v>1</v>
      </c>
      <c r="L471" s="44">
        <f>60*G471/cruise_kt</f>
        <v/>
      </c>
      <c r="M471" s="44">
        <f>IF(B471="South Korea",G471/korea_charge_range_nm*korea_full_range_charge_min,0)</f>
        <v/>
      </c>
      <c r="N471" s="44">
        <f>IF(B471="South Korea",L471+korea_turn_min+korea_dwell_min+M471,L471+turn_min+dwell_min)</f>
        <v/>
      </c>
      <c r="O471" s="45">
        <f>IF(B471="South Korea",FLOOR(60*korea_service_hr/N471,1),MIN(15,FLOOR(60*service_hr/N471,1)))</f>
        <v/>
      </c>
      <c r="P471" s="45">
        <f>IF(ABS(MOD(ABS((365*mech_uptime*K471)),1)-0.5)&lt;1E-9,2*ROUND((365*mech_uptime*K471)/2,0),ROUND((365*mech_uptime*K471),0))</f>
        <v/>
      </c>
      <c r="Q471" s="46">
        <f>mech_uptime</f>
        <v/>
      </c>
      <c r="R471" s="46">
        <f>IF(AND(B471="South Korea",scenario="MID"),korea_mid_revleg,revleg_sel)</f>
        <v/>
      </c>
      <c r="S471" s="45">
        <f>IF(ABS(MOD(ABS((O471*P471*R471)),1)-0.5)&lt;1E-9,2*ROUND((O471*P471*R471)/2,0),ROUND((O471*P471*R471),0))</f>
        <v/>
      </c>
      <c r="T471" s="46">
        <f>IF(AND(B471="South Korea",scenario="MID"),korea_mid_load,load_sel)</f>
        <v/>
      </c>
      <c r="U471" s="47">
        <f>pax_cap*T471</f>
        <v/>
      </c>
      <c r="V471" s="45">
        <f>U471*S471</f>
        <v/>
      </c>
      <c r="W471" s="48">
        <f>H471*discount</f>
        <v/>
      </c>
      <c r="X471" s="49">
        <f>W471*V471</f>
        <v/>
      </c>
      <c r="Y471" s="49">
        <f>(battery/range_nm)*G471*S471*VLOOKUP(B471,country_opex,3,FALSE)</f>
        <v/>
      </c>
      <c r="Z471" s="49">
        <f>VLOOKUP(B471,country_opex,2,FALSE)*crew_factor</f>
        <v/>
      </c>
      <c r="AA471" s="49">
        <f>VLOOKUP(B471,country_opex,5,FALSE)</f>
        <v/>
      </c>
      <c r="AB471" s="49">
        <f>maint</f>
        <v/>
      </c>
      <c r="AC471" s="49">
        <f>VLOOKUP(B471,country_opex,7,FALSE)*ins_pct</f>
        <v/>
      </c>
      <c r="AD471" s="49">
        <f>charge_berth</f>
        <v/>
      </c>
      <c r="AE471" s="49">
        <f>Y471+Z471+AA471+AB471+AC471+AD471</f>
        <v/>
      </c>
      <c r="AF471" s="49">
        <f>VLOOKUP(B471,country_opex,7,FALSE)/dep_years</f>
        <v/>
      </c>
      <c r="AG471" s="49">
        <f>X471-AE471</f>
        <v/>
      </c>
      <c r="AH471" s="46">
        <f>IF(X471=0,"",AG471/X471)</f>
        <v/>
      </c>
      <c r="AI471" s="47">
        <f>IF(AG471&lt;=0,"",VLOOKUP(B471,country_opex,7,FALSE)/AG471)</f>
        <v/>
      </c>
      <c r="AJ471" s="44">
        <f>((G471*S471/diesel_nmpg)*diesel_co2pg-(battery/range_nm)*G471*S471*VLOOKUP(B471,country_opex,4,FALSE))/1000</f>
        <v/>
      </c>
      <c r="AK471" s="42" t="n"/>
      <c r="AL471" s="43" t="n"/>
      <c r="AM471" s="43" t="n"/>
      <c r="AN471" s="50" t="n">
        <v>0.1</v>
      </c>
      <c r="AO471" s="45">
        <f>IF(AK471="","",AK471*AN471)</f>
        <v/>
      </c>
      <c r="AP471" s="45">
        <f>IF(OR(AK471="",V471=0),"",MIN(IF(AX471="",9.9E+99,AX471),FLOOR(AO471/V471,1)))</f>
        <v/>
      </c>
      <c r="AQ471" s="49">
        <f>IF(AP471="","",AP471*IF(ABS(MOD(ABS((X471)),1)-0.5)&lt;1E-9,2*ROUND((X471)/2,0),ROUND((X471),0)))</f>
        <v/>
      </c>
      <c r="AR471" s="47">
        <f>IF(OR(AK471="",V471=0),"",MIN(IF(AX471="",9.9E+99,AX471),AO471/V471))</f>
        <v/>
      </c>
      <c r="AS471" s="49">
        <f>IF(AR471="","",AR471*IF(B471="South Korea",IF(ABS(MOD(ABS((X471)),1)-0.5)&lt;1E-9,2*ROUND((X471)/2,0),ROUND((X471),0)),X471))</f>
        <v/>
      </c>
      <c r="AT471" s="51" t="n"/>
      <c r="AU471" s="43" t="inlineStr">
        <is>
          <t>Estimated</t>
        </is>
      </c>
      <c r="AV471" s="52" t="n"/>
      <c r="AW471" s="52" t="n"/>
      <c r="AX471" s="53" t="n"/>
      <c r="AY471" s="54">
        <f>IF(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&lt;=0,"",VLOOKUP(B471,country_opex,7,FALSE)/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)</f>
        <v/>
      </c>
      <c r="AZ471" s="54">
        <f>IF(((W471*pax_cap*IF(B471="South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Korea",korea_mid_revleg,revleg_mid)),0))*VLOOKUP(B471,country_opex,3,FALSE))+Z471+AA471+AB471+AC471+AD471))&lt;=0,"",VLOOKUP(B471,country_opex,7,FALSE)/((W471*pax_cap*IF(B471="South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Korea",korea_mid_revleg,revleg_mid)),0))*VLOOKUP(B471,country_opex,3,FALSE))+Z471+AA471+AB471+AC471+AD471)))</f>
        <v/>
      </c>
      <c r="BA471" s="54">
        <f>IF(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&lt;=0,"",VLOOKUP(B471,country_opex,7,FALSE)/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)</f>
        <v/>
      </c>
      <c r="BB471" s="40" t="n"/>
      <c r="BC471" s="40" t="n"/>
      <c r="BD471" s="43" t="n"/>
    </row>
    <row r="472">
      <c r="A472" s="38" t="inlineStr">
        <is>
          <t>Singapore</t>
        </is>
      </c>
      <c r="B472" s="38" t="inlineStr">
        <is>
          <t>Singapore</t>
        </is>
      </c>
      <c r="C472" s="39" t="inlineStr">
        <is>
          <t>Changi Point → Pulau Ubin (Main Jetty)</t>
        </is>
      </c>
      <c r="D472" s="38" t="inlineStr">
        <is>
          <t>grab</t>
        </is>
      </c>
      <c r="E472" s="40" t="inlineStr">
        <is>
          <t>singapore</t>
        </is>
      </c>
      <c r="F472" s="41" t="n">
        <v>1</v>
      </c>
      <c r="G472" s="42" t="n">
        <v>1.2</v>
      </c>
      <c r="H472" s="35" t="n">
        <v>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IF(B472="South Korea",G472/korea_charge_range_nm*korea_full_range_charge_min,0)</f>
        <v/>
      </c>
      <c r="N472" s="44">
        <f>IF(B472="South Korea",L472+korea_turn_min+korea_dwell_min+M472,L472+turn_min+dwell_min)</f>
        <v/>
      </c>
      <c r="O472" s="45">
        <f>IF(B472="South Korea",FLOOR(60*korea_service_hr/N472,1),MIN(15,FLOOR(60*service_hr/N472,1)))</f>
        <v/>
      </c>
      <c r="P472" s="45">
        <f>IF(ABS(MOD(ABS((365*mech_uptime*K472)),1)-0.5)&lt;1E-9,2*ROUND((365*mech_uptime*K472)/2,0),ROUND((365*mech_uptime*K472),0))</f>
        <v/>
      </c>
      <c r="Q472" s="46">
        <f>mech_uptime</f>
        <v/>
      </c>
      <c r="R472" s="46">
        <f>IF(AND(B472="South Korea",scenario="MID"),korea_mid_revleg,revleg_sel)</f>
        <v/>
      </c>
      <c r="S472" s="45">
        <f>IF(ABS(MOD(ABS((O472*P472*R472)),1)-0.5)&lt;1E-9,2*ROUND((O472*P472*R472)/2,0),ROUND((O472*P472*R472),0))</f>
        <v/>
      </c>
      <c r="T472" s="46">
        <f>IF(AND(B472="South Korea",scenario="MID"),korea_mid_load,load_sel)</f>
        <v/>
      </c>
      <c r="U472" s="47">
        <f>pax_cap*T472</f>
        <v/>
      </c>
      <c r="V472" s="45">
        <f>U472*S472</f>
        <v/>
      </c>
      <c r="W472" s="48">
        <f>H472*discount</f>
        <v/>
      </c>
      <c r="X472" s="49">
        <f>W472*V472</f>
        <v/>
      </c>
      <c r="Y472" s="49">
        <f>(battery/range_nm)*G472*S472*VLOOKUP(B472,country_opex,3,FALSE)</f>
        <v/>
      </c>
      <c r="Z472" s="49">
        <f>VLOOKUP(B472,country_opex,2,FALSE)*crew_factor</f>
        <v/>
      </c>
      <c r="AA472" s="49">
        <f>VLOOKUP(B472,country_opex,5,FALSE)</f>
        <v/>
      </c>
      <c r="AB472" s="49">
        <f>maint</f>
        <v/>
      </c>
      <c r="AC472" s="49">
        <f>VLOOKUP(B472,country_opex,7,FALSE)*ins_pct</f>
        <v/>
      </c>
      <c r="AD472" s="49">
        <f>charge_berth</f>
        <v/>
      </c>
      <c r="AE472" s="49">
        <f>Y472+Z472+AA472+AB472+AC472+AD472</f>
        <v/>
      </c>
      <c r="AF472" s="49">
        <f>VLOOKUP(B472,country_opex,7,FALSE)/dep_years</f>
        <v/>
      </c>
      <c r="AG472" s="49">
        <f>X472-AE472</f>
        <v/>
      </c>
      <c r="AH472" s="46">
        <f>IF(X472=0,"",AG472/X472)</f>
        <v/>
      </c>
      <c r="AI472" s="47">
        <f>IF(AG472&lt;=0,"",VLOOKUP(B472,country_opex,7,FALSE)/AG472)</f>
        <v/>
      </c>
      <c r="AJ472" s="44">
        <f>((G472*S472/diesel_nmpg)*diesel_co2pg-(battery/range_nm)*G472*S472*VLOOKUP(B472,country_opex,4,FALSE))/1000</f>
        <v/>
      </c>
      <c r="AK472" s="42" t="n">
        <v>60000</v>
      </c>
      <c r="AL472" s="43" t="n"/>
      <c r="AM472" s="43" t="n"/>
      <c r="AN472" s="50" t="n">
        <v>0.25</v>
      </c>
      <c r="AO472" s="45">
        <f>IF(AK472="","",AK472*AN472)</f>
        <v/>
      </c>
      <c r="AP472" s="45">
        <f>IF(OR(AK472="",V472=0),"",MIN(IF(AX472="",9.9E+99,AX472),FLOOR(AO472/V472,1)))</f>
        <v/>
      </c>
      <c r="AQ472" s="49">
        <f>IF(AP472="","",AP472*IF(ABS(MOD(ABS((X472)),1)-0.5)&lt;1E-9,2*ROUND((X472)/2,0),ROUND((X472),0)))</f>
        <v/>
      </c>
      <c r="AR472" s="47">
        <f>IF(OR(AK472="",V472=0),"",MIN(IF(AX472="",9.9E+99,AX472),AO472/V472))</f>
        <v/>
      </c>
      <c r="AS472" s="49">
        <f>IF(AR472="","",AR472*IF(B472="South Korea",IF(ABS(MOD(ABS((X472)),1)-0.5)&lt;1E-9,2*ROUND((X472)/2,0),ROUND((X472),0)),X472))</f>
        <v/>
      </c>
      <c r="AT472" s="51" t="n"/>
      <c r="AU472" s="43" t="inlineStr">
        <is>
          <t>Grounded</t>
        </is>
      </c>
      <c r="AV472" s="52" t="n"/>
      <c r="AW472" s="52" t="n"/>
      <c r="AX472" s="53" t="n"/>
      <c r="AY472" s="54">
        <f>IF(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&lt;=0,"",VLOOKUP(B472,country_opex,7,FALSE)/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)</f>
        <v/>
      </c>
      <c r="AZ472" s="54">
        <f>IF(((W472*pax_cap*IF(B472="South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Korea",korea_mid_revleg,revleg_mid)),0))*VLOOKUP(B472,country_opex,3,FALSE))+Z472+AA472+AB472+AC472+AD472))&lt;=0,"",VLOOKUP(B472,country_opex,7,FALSE)/((W472*pax_cap*IF(B472="South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Korea",korea_mid_revleg,revleg_mid)),0))*VLOOKUP(B472,country_opex,3,FALSE))+Z472+AA472+AB472+AC472+AD472)))</f>
        <v/>
      </c>
      <c r="BA472" s="54">
        <f>IF(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&lt;=0,"",VLOOKUP(B472,country_opex,7,FALSE)/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)</f>
        <v/>
      </c>
      <c r="BB472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C472" s="40" t="n"/>
      <c r="BD472" s="43" t="inlineStr">
        <is>
          <t>rn-82453f6cb33e</t>
        </is>
      </c>
    </row>
    <row r="473">
      <c r="A473" s="38" t="inlineStr">
        <is>
          <t>Singapore</t>
        </is>
      </c>
      <c r="B473" s="38" t="inlineStr">
        <is>
          <t>Singapore</t>
        </is>
      </c>
      <c r="C473" s="39" t="inlineStr">
        <is>
          <t>Marina Bay → Sentosa / southern islands</t>
        </is>
      </c>
      <c r="D473" s="38" t="inlineStr">
        <is>
          <t>grab</t>
        </is>
      </c>
      <c r="E473" s="40" t="inlineStr">
        <is>
          <t>singapore</t>
        </is>
      </c>
      <c r="F473" s="41" t="n">
        <v>1</v>
      </c>
      <c r="G473" s="42" t="n">
        <v>2.6</v>
      </c>
      <c r="H473" s="35" t="n">
        <v>18</v>
      </c>
      <c r="I473" s="43" t="inlineStr">
        <is>
          <t>T3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IF(B473="South Korea",G473/korea_charge_range_nm*korea_full_range_charge_min,0)</f>
        <v/>
      </c>
      <c r="N473" s="44">
        <f>IF(B473="South Korea",L473+korea_turn_min+korea_dwell_min+M473,L473+turn_min+dwell_min)</f>
        <v/>
      </c>
      <c r="O473" s="45">
        <f>IF(B473="South Korea",FLOOR(60*korea_service_hr/N473,1),MIN(15,FLOOR(60*service_hr/N473,1)))</f>
        <v/>
      </c>
      <c r="P473" s="45">
        <f>IF(ABS(MOD(ABS((365*mech_uptime*K473)),1)-0.5)&lt;1E-9,2*ROUND((365*mech_uptime*K473)/2,0),ROUND((365*mech_uptime*K473),0))</f>
        <v/>
      </c>
      <c r="Q473" s="46">
        <f>mech_uptime</f>
        <v/>
      </c>
      <c r="R473" s="46">
        <f>IF(AND(B473="South Korea",scenario="MID"),korea_mid_revleg,revleg_sel)</f>
        <v/>
      </c>
      <c r="S473" s="45">
        <f>IF(ABS(MOD(ABS((O473*P473*R473)),1)-0.5)&lt;1E-9,2*ROUND((O473*P473*R473)/2,0),ROUND((O473*P473*R473),0))</f>
        <v/>
      </c>
      <c r="T473" s="46">
        <f>IF(AND(B473="South Korea",scenario="MID"),korea_mid_load,load_sel)</f>
        <v/>
      </c>
      <c r="U473" s="47">
        <f>pax_cap*T473</f>
        <v/>
      </c>
      <c r="V473" s="45">
        <f>U473*S473</f>
        <v/>
      </c>
      <c r="W473" s="48">
        <f>H473*discount</f>
        <v/>
      </c>
      <c r="X473" s="49">
        <f>W473*V473</f>
        <v/>
      </c>
      <c r="Y473" s="49">
        <f>(battery/range_nm)*G473*S473*VLOOKUP(B473,country_opex,3,FALSE)</f>
        <v/>
      </c>
      <c r="Z473" s="49">
        <f>VLOOKUP(B473,country_opex,2,FALSE)*crew_factor</f>
        <v/>
      </c>
      <c r="AA473" s="49">
        <f>VLOOKUP(B473,country_opex,5,FALSE)</f>
        <v/>
      </c>
      <c r="AB473" s="49">
        <f>maint</f>
        <v/>
      </c>
      <c r="AC473" s="49">
        <f>VLOOKUP(B473,country_opex,7,FALSE)*ins_pct</f>
        <v/>
      </c>
      <c r="AD473" s="49">
        <f>charge_berth</f>
        <v/>
      </c>
      <c r="AE473" s="49">
        <f>Y473+Z473+AA473+AB473+AC473+AD473</f>
        <v/>
      </c>
      <c r="AF473" s="49">
        <f>VLOOKUP(B473,country_opex,7,FALSE)/dep_years</f>
        <v/>
      </c>
      <c r="AG473" s="49">
        <f>X473-AE473</f>
        <v/>
      </c>
      <c r="AH473" s="46">
        <f>IF(X473=0,"",AG473/X473)</f>
        <v/>
      </c>
      <c r="AI473" s="47">
        <f>IF(AG473&lt;=0,"",VLOOKUP(B473,country_opex,7,FALSE)/AG473)</f>
        <v/>
      </c>
      <c r="AJ473" s="44">
        <f>((G473*S473/diesel_nmpg)*diesel_co2pg-(battery/range_nm)*G473*S473*VLOOKUP(B473,country_opex,4,FALSE))/1000</f>
        <v/>
      </c>
      <c r="AK473" s="42" t="n">
        <v>54000</v>
      </c>
      <c r="AL473" s="43" t="n"/>
      <c r="AM473" s="43" t="n"/>
      <c r="AN473" s="50" t="n">
        <v>0.25</v>
      </c>
      <c r="AO473" s="45">
        <f>IF(AK473="","",AK473*AN473)</f>
        <v/>
      </c>
      <c r="AP473" s="45">
        <f>IF(OR(AK473="",V473=0),"",MIN(IF(AX473="",9.9E+99,AX473),FLOOR(AO473/V473,1)))</f>
        <v/>
      </c>
      <c r="AQ473" s="49">
        <f>IF(AP473="","",AP473*IF(ABS(MOD(ABS((X473)),1)-0.5)&lt;1E-9,2*ROUND((X473)/2,0),ROUND((X473),0)))</f>
        <v/>
      </c>
      <c r="AR473" s="47">
        <f>IF(OR(AK473="",V473=0),"",MIN(IF(AX473="",9.9E+99,AX473),AO473/V473))</f>
        <v/>
      </c>
      <c r="AS473" s="49">
        <f>IF(AR473="","",AR473*IF(B473="South Korea",IF(ABS(MOD(ABS((X473)),1)-0.5)&lt;1E-9,2*ROUND((X473)/2,0),ROUND((X473),0)),X473))</f>
        <v/>
      </c>
      <c r="AT473" s="51" t="n"/>
      <c r="AU473" s="43" t="inlineStr">
        <is>
          <t>Grounded</t>
        </is>
      </c>
      <c r="AV473" s="52" t="n"/>
      <c r="AW473" s="52" t="n"/>
      <c r="AX473" s="53" t="n"/>
      <c r="AY473" s="54">
        <f>IF(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&lt;=0,"",VLOOKUP(B473,country_opex,7,FALSE)/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)</f>
        <v/>
      </c>
      <c r="AZ473" s="54">
        <f>IF(((W473*pax_cap*IF(B473="South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Korea",korea_mid_revleg,revleg_mid)),0))*VLOOKUP(B473,country_opex,3,FALSE))+Z473+AA473+AB473+AC473+AD473))&lt;=0,"",VLOOKUP(B473,country_opex,7,FALSE)/((W473*pax_cap*IF(B473="South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Korea",korea_mid_revleg,revleg_mid)),0))*VLOOKUP(B473,country_opex,3,FALSE))+Z473+AA473+AB473+AC473+AD473)))</f>
        <v/>
      </c>
      <c r="BA473" s="54">
        <f>IF(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&lt;=0,"",VLOOKUP(B473,country_opex,7,FALSE)/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)</f>
        <v/>
      </c>
      <c r="BB473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C473" s="40" t="n"/>
      <c r="BD473" s="43" t="n"/>
    </row>
    <row r="474">
      <c r="A474" s="38" t="inlineStr">
        <is>
          <t>Singapore</t>
        </is>
      </c>
      <c r="B474" s="38" t="inlineStr">
        <is>
          <t>Singapore</t>
        </is>
      </c>
      <c r="C474" s="39" t="inlineStr">
        <is>
          <t>Sentosa Cove (ONE15 Marina) → Marina Bay (CBD)</t>
        </is>
      </c>
      <c r="D474" s="38" t="inlineStr">
        <is>
          <t>grab</t>
        </is>
      </c>
      <c r="E474" s="40" t="inlineStr">
        <is>
          <t>singapore</t>
        </is>
      </c>
      <c r="F474" s="41" t="n">
        <v>1</v>
      </c>
      <c r="G474" s="42" t="n">
        <v>3.2</v>
      </c>
      <c r="H474" s="35" t="n">
        <v>11</v>
      </c>
      <c r="I474" s="43" t="inlineStr">
        <is>
          <t>T3</t>
        </is>
      </c>
      <c r="J474" s="43" t="inlineStr">
        <is>
          <t>low</t>
        </is>
      </c>
      <c r="K474" s="29" t="n">
        <v>1</v>
      </c>
      <c r="L474" s="44">
        <f>60*G474/cruise_kt</f>
        <v/>
      </c>
      <c r="M474" s="44">
        <f>IF(B474="South Korea",G474/korea_charge_range_nm*korea_full_range_charge_min,0)</f>
        <v/>
      </c>
      <c r="N474" s="44">
        <f>IF(B474="South Korea",L474+korea_turn_min+korea_dwell_min+M474,L474+turn_min+dwell_min)</f>
        <v/>
      </c>
      <c r="O474" s="45">
        <f>IF(B474="South Korea",FLOOR(60*korea_service_hr/N474,1),MIN(24,FLOOR(60*service_hr/N474,1)))</f>
        <v/>
      </c>
      <c r="P474" s="45">
        <f>IF(ABS(MOD(ABS((365*mech_uptime*K474)),1)-0.5)&lt;1E-9,2*ROUND((365*mech_uptime*K474)/2,0),ROUND((365*mech_uptime*K474),0))</f>
        <v/>
      </c>
      <c r="Q474" s="46">
        <f>mech_uptime</f>
        <v/>
      </c>
      <c r="R474" s="46">
        <f>IF(AND(B474="South Korea",scenario="MID"),korea_mid_revleg,revleg_sel)</f>
        <v/>
      </c>
      <c r="S474" s="45">
        <f>IF(ABS(MOD(ABS((O474*P474*R474)),1)-0.5)&lt;1E-9,2*ROUND((O474*P474*R474)/2,0),ROUND((O474*P474*R474),0))</f>
        <v/>
      </c>
      <c r="T474" s="46">
        <f>IF(AND(B474="South Korea",scenario="MID"),korea_mid_load,load_sel)</f>
        <v/>
      </c>
      <c r="U474" s="47">
        <f>pax_cap*T474</f>
        <v/>
      </c>
      <c r="V474" s="45">
        <f>U474*S474</f>
        <v/>
      </c>
      <c r="W474" s="48">
        <f>H474*discount</f>
        <v/>
      </c>
      <c r="X474" s="49">
        <f>W474*V474</f>
        <v/>
      </c>
      <c r="Y474" s="49">
        <f>(battery/range_nm)*G474*S474*VLOOKUP(B474,country_opex,3,FALSE)</f>
        <v/>
      </c>
      <c r="Z474" s="49">
        <f>VLOOKUP(B474,country_opex,2,FALSE)*crew_factor</f>
        <v/>
      </c>
      <c r="AA474" s="49">
        <f>VLOOKUP(B474,country_opex,5,FALSE)</f>
        <v/>
      </c>
      <c r="AB474" s="49">
        <f>maint</f>
        <v/>
      </c>
      <c r="AC474" s="49">
        <f>VLOOKUP(B474,country_opex,7,FALSE)*ins_pct</f>
        <v/>
      </c>
      <c r="AD474" s="49">
        <f>charge_berth</f>
        <v/>
      </c>
      <c r="AE474" s="49">
        <f>Y474+Z474+AA474+AB474+AC474+AD474</f>
        <v/>
      </c>
      <c r="AF474" s="49">
        <f>VLOOKUP(B474,country_opex,7,FALSE)/dep_years</f>
        <v/>
      </c>
      <c r="AG474" s="49">
        <f>X474-AE474</f>
        <v/>
      </c>
      <c r="AH474" s="46">
        <f>IF(X474=0,"",AG474/X474)</f>
        <v/>
      </c>
      <c r="AI474" s="47">
        <f>IF(AG474&lt;=0,"",VLOOKUP(B474,country_opex,7,FALSE)/AG474)</f>
        <v/>
      </c>
      <c r="AJ474" s="44">
        <f>((G474*S474/diesel_nmpg)*diesel_co2pg-(battery/range_nm)*G474*S474*VLOOKUP(B474,country_opex,4,FALSE))/1000</f>
        <v/>
      </c>
      <c r="AK474" s="42" t="n">
        <v>8087</v>
      </c>
      <c r="AL474" s="43" t="n"/>
      <c r="AM474" s="43" t="n"/>
      <c r="AN474" s="50" t="n">
        <v>1</v>
      </c>
      <c r="AO474" s="45">
        <f>IF(AK474="","",AK474*AN474)</f>
        <v/>
      </c>
      <c r="AP474" s="45">
        <f>IF(OR(AK474="",V474=0),"",MIN(IF(AX474="",9.9E+99,AX474),FLOOR(AO474/V474,1)))</f>
        <v/>
      </c>
      <c r="AQ474" s="49">
        <f>IF(AP474="","",AP474*IF(ABS(MOD(ABS((X474)),1)-0.5)&lt;1E-9,2*ROUND((X474)/2,0),ROUND((X474),0)))</f>
        <v/>
      </c>
      <c r="AR474" s="47">
        <f>IF(OR(AK474="",V474=0),"",MIN(IF(AX474="",9.9E+99,AX474),AO474/V474))</f>
        <v/>
      </c>
      <c r="AS474" s="49">
        <f>IF(AR474="","",AR474*IF(B474="South Korea",IF(ABS(MOD(ABS((X474)),1)-0.5)&lt;1E-9,2*ROUND((X474)/2,0),ROUND((X474),0)),X474))</f>
        <v/>
      </c>
      <c r="AT474" s="51" t="n"/>
      <c r="AU474" s="43" t="inlineStr">
        <is>
          <t>Upside tier</t>
        </is>
      </c>
      <c r="AV474" s="52" t="n"/>
      <c r="AW474" s="52" t="inlineStr">
        <is>
          <t>modal_shift_greenfield</t>
        </is>
      </c>
      <c r="AX474" s="53" t="n"/>
      <c r="AY474" s="54">
        <f>IF(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&lt;=0,"",VLOOKUP(B474,country_opex,7,FALSE)/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)</f>
        <v/>
      </c>
      <c r="AZ474" s="54">
        <f>IF(((W474*pax_cap*IF(B474="South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Korea",korea_mid_revleg,revleg_mid)),0))*VLOOKUP(B474,country_opex,3,FALSE))+Z474+AA474+AB474+AC474+AD474))&lt;=0,"",VLOOKUP(B474,country_opex,7,FALSE)/((W474*pax_cap*IF(B474="South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Korea",korea_mid_revleg,revleg_mid)),0))*VLOOKUP(B474,country_opex,3,FALSE))+Z474+AA474+AB474+AC474+AD474)))</f>
        <v/>
      </c>
      <c r="BA474" s="54">
        <f>IF(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&lt;=0,"",VLOOKUP(B474,country_opex,7,FALSE)/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)</f>
        <v/>
      </c>
      <c r="BB474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C474" s="40" t="n"/>
      <c r="BD474" s="43" t="n"/>
    </row>
    <row r="475">
      <c r="A475" s="38" t="inlineStr">
        <is>
          <t>Singapore</t>
        </is>
      </c>
      <c r="B475" s="38" t="inlineStr">
        <is>
          <t>Singapore</t>
        </is>
      </c>
      <c r="C475" s="39" t="inlineStr">
        <is>
          <t>Greater Southern Waterfront (Keppel Club site) → Marina Bay (CBD)</t>
        </is>
      </c>
      <c r="D475" s="38" t="inlineStr">
        <is>
          <t>grab</t>
        </is>
      </c>
      <c r="E475" s="40" t="inlineStr">
        <is>
          <t>singapore</t>
        </is>
      </c>
      <c r="F475" s="41" t="n">
        <v>1</v>
      </c>
      <c r="G475" s="42" t="n">
        <v>3.5</v>
      </c>
      <c r="H475" s="35" t="n">
        <v>18</v>
      </c>
      <c r="I475" s="43" t="inlineStr">
        <is>
          <t>T3</t>
        </is>
      </c>
      <c r="J475" s="43" t="inlineStr">
        <is>
          <t>low</t>
        </is>
      </c>
      <c r="K475" s="29" t="n">
        <v>1</v>
      </c>
      <c r="L475" s="44">
        <f>60*G475/cruise_kt</f>
        <v/>
      </c>
      <c r="M475" s="44">
        <f>IF(B475="South Korea",G475/korea_charge_range_nm*korea_full_range_charge_min,0)</f>
        <v/>
      </c>
      <c r="N475" s="44">
        <f>IF(B475="South Korea",L475+korea_turn_min+korea_dwell_min+M475,L475+turn_min+dwell_min)</f>
        <v/>
      </c>
      <c r="O475" s="45">
        <f>IF(B475="South Korea",FLOOR(60*korea_service_hr/N475,1),MIN(24,FLOOR(60*service_hr/N475,1)))</f>
        <v/>
      </c>
      <c r="P475" s="45">
        <f>IF(ABS(MOD(ABS((365*mech_uptime*K475)),1)-0.5)&lt;1E-9,2*ROUND((365*mech_uptime*K475)/2,0),ROUND((365*mech_uptime*K475),0))</f>
        <v/>
      </c>
      <c r="Q475" s="46">
        <f>mech_uptime</f>
        <v/>
      </c>
      <c r="R475" s="46">
        <f>IF(AND(B475="South Korea",scenario="MID"),korea_mid_revleg,revleg_sel)</f>
        <v/>
      </c>
      <c r="S475" s="45">
        <f>IF(ABS(MOD(ABS((O475*P475*R475)),1)-0.5)&lt;1E-9,2*ROUND((O475*P475*R475)/2,0),ROUND((O475*P475*R475),0))</f>
        <v/>
      </c>
      <c r="T475" s="46">
        <f>IF(AND(B475="South Korea",scenario="MID"),korea_mid_load,load_sel)</f>
        <v/>
      </c>
      <c r="U475" s="47">
        <f>pax_cap*T475</f>
        <v/>
      </c>
      <c r="V475" s="45">
        <f>U475*S475</f>
        <v/>
      </c>
      <c r="W475" s="48">
        <f>H475*discount</f>
        <v/>
      </c>
      <c r="X475" s="49">
        <f>W475*V475</f>
        <v/>
      </c>
      <c r="Y475" s="49">
        <f>(battery/range_nm)*G475*S475*VLOOKUP(B475,country_opex,3,FALSE)</f>
        <v/>
      </c>
      <c r="Z475" s="49">
        <f>VLOOKUP(B475,country_opex,2,FALSE)*crew_factor</f>
        <v/>
      </c>
      <c r="AA475" s="49">
        <f>VLOOKUP(B475,country_opex,5,FALSE)</f>
        <v/>
      </c>
      <c r="AB475" s="49">
        <f>maint</f>
        <v/>
      </c>
      <c r="AC475" s="49">
        <f>VLOOKUP(B475,country_opex,7,FALSE)*ins_pct</f>
        <v/>
      </c>
      <c r="AD475" s="49">
        <f>charge_berth</f>
        <v/>
      </c>
      <c r="AE475" s="49">
        <f>Y475+Z475+AA475+AB475+AC475+AD475</f>
        <v/>
      </c>
      <c r="AF475" s="49">
        <f>VLOOKUP(B475,country_opex,7,FALSE)/dep_years</f>
        <v/>
      </c>
      <c r="AG475" s="49">
        <f>X475-AE475</f>
        <v/>
      </c>
      <c r="AH475" s="46">
        <f>IF(X475=0,"",AG475/X475)</f>
        <v/>
      </c>
      <c r="AI475" s="47">
        <f>IF(AG475&lt;=0,"",VLOOKUP(B475,country_opex,7,FALSE)/AG475)</f>
        <v/>
      </c>
      <c r="AJ475" s="44">
        <f>((G475*S475/diesel_nmpg)*diesel_co2pg-(battery/range_nm)*G475*S475*VLOOKUP(B475,country_opex,4,FALSE))/1000</f>
        <v/>
      </c>
      <c r="AK475" s="42" t="n">
        <v>19656</v>
      </c>
      <c r="AL475" s="43" t="n"/>
      <c r="AM475" s="43" t="n"/>
      <c r="AN475" s="50" t="n">
        <v>1</v>
      </c>
      <c r="AO475" s="45">
        <f>IF(AK475="","",AK475*AN475)</f>
        <v/>
      </c>
      <c r="AP475" s="45">
        <f>IF(OR(AK475="",V475=0),"",MIN(IF(AX475="",9.9E+99,AX475),FLOOR(AO475/V475,1)))</f>
        <v/>
      </c>
      <c r="AQ475" s="49">
        <f>IF(AP475="","",AP475*IF(ABS(MOD(ABS((X475)),1)-0.5)&lt;1E-9,2*ROUND((X475)/2,0),ROUND((X475),0)))</f>
        <v/>
      </c>
      <c r="AR475" s="47">
        <f>IF(OR(AK475="",V475=0),"",MIN(IF(AX475="",9.9E+99,AX475),AO475/V475))</f>
        <v/>
      </c>
      <c r="AS475" s="49">
        <f>IF(AR475="","",AR475*IF(B475="South Korea",IF(ABS(MOD(ABS((X475)),1)-0.5)&lt;1E-9,2*ROUND((X475)/2,0),ROUND((X475),0)),X475))</f>
        <v/>
      </c>
      <c r="AT475" s="51" t="n"/>
      <c r="AU475" s="43" t="inlineStr">
        <is>
          <t>Forward SAM</t>
        </is>
      </c>
      <c r="AV475" s="52" t="inlineStr">
        <is>
          <t>FWD-SAM (2030)</t>
        </is>
      </c>
      <c r="AW475" s="52" t="inlineStr">
        <is>
          <t>modal_shift_greenfield</t>
        </is>
      </c>
      <c r="AX475" s="53" t="n"/>
      <c r="AY475" s="54">
        <f>IF(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&lt;=0,"",VLOOKUP(B475,country_opex,7,FALSE)/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)</f>
        <v/>
      </c>
      <c r="AZ475" s="54">
        <f>IF(((W475*pax_cap*IF(B475="South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Korea",korea_mid_revleg,revleg_mid)),0))*VLOOKUP(B475,country_opex,3,FALSE))+Z475+AA475+AB475+AC475+AD475))&lt;=0,"",VLOOKUP(B475,country_opex,7,FALSE)/((W475*pax_cap*IF(B475="South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Korea",korea_mid_revleg,revleg_mid)),0))*VLOOKUP(B475,country_opex,3,FALSE))+Z475+AA475+AB475+AC475+AD475)))</f>
        <v/>
      </c>
      <c r="BA475" s="54">
        <f>IF(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&lt;=0,"",VLOOKUP(B475,country_opex,7,FALSE)/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)</f>
        <v/>
      </c>
      <c r="BB475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C475" s="40" t="n"/>
      <c r="BD475" s="43" t="n"/>
    </row>
    <row r="476">
      <c r="A476" s="38" t="inlineStr">
        <is>
          <t>Singapore</t>
        </is>
      </c>
      <c r="B476" s="38" t="inlineStr">
        <is>
          <t>Singapore</t>
        </is>
      </c>
      <c r="C476" s="39" t="inlineStr">
        <is>
          <t>Marina Bay (Bayfront) → Marina Bay (Bayfront)</t>
        </is>
      </c>
      <c r="D476" s="38" t="inlineStr">
        <is>
          <t>grab</t>
        </is>
      </c>
      <c r="E476" s="40" t="inlineStr">
        <is>
          <t>singapore</t>
        </is>
      </c>
      <c r="F476" s="41" t="n">
        <v>1</v>
      </c>
      <c r="G476" s="42" t="n">
        <v>4.5</v>
      </c>
      <c r="H476" s="35" t="n">
        <v>21</v>
      </c>
      <c r="I476" s="43" t="inlineStr">
        <is>
          <t>T1</t>
        </is>
      </c>
      <c r="J476" s="43" t="inlineStr">
        <is>
          <t>high</t>
        </is>
      </c>
      <c r="K476" s="29" t="n">
        <v>1</v>
      </c>
      <c r="L476" s="44">
        <f>60*G476/cruise_kt</f>
        <v/>
      </c>
      <c r="M476" s="44">
        <f>IF(B476="South Korea",G476/korea_charge_range_nm*korea_full_range_charge_min,0)</f>
        <v/>
      </c>
      <c r="N476" s="44">
        <f>IF(B476="South Korea",L476+korea_turn_min+korea_dwell_min+M476,L476+turn_min+dwell_min)</f>
        <v/>
      </c>
      <c r="O476" s="45">
        <f>IF(B476="South Korea",FLOOR(60*korea_service_hr/N476,1),MIN(15,FLOOR(60*service_hr/N476,1)))</f>
        <v/>
      </c>
      <c r="P476" s="45">
        <f>IF(ABS(MOD(ABS((365*mech_uptime*K476)),1)-0.5)&lt;1E-9,2*ROUND((365*mech_uptime*K476)/2,0),ROUND((365*mech_uptime*K476),0))</f>
        <v/>
      </c>
      <c r="Q476" s="46">
        <f>mech_uptime</f>
        <v/>
      </c>
      <c r="R476" s="46">
        <f>IF(AND(B476="South Korea",scenario="MID"),korea_mid_revleg,revleg_sel)</f>
        <v/>
      </c>
      <c r="S476" s="45">
        <f>IF(ABS(MOD(ABS((O476*P476*R476)),1)-0.5)&lt;1E-9,2*ROUND((O476*P476*R476)/2,0),ROUND((O476*P476*R476),0))</f>
        <v/>
      </c>
      <c r="T476" s="46">
        <f>IF(AND(B476="South Korea",scenario="MID"),korea_mid_load,load_sel)</f>
        <v/>
      </c>
      <c r="U476" s="47">
        <f>pax_cap*T476</f>
        <v/>
      </c>
      <c r="V476" s="45">
        <f>U476*S476</f>
        <v/>
      </c>
      <c r="W476" s="48">
        <f>H476*discount</f>
        <v/>
      </c>
      <c r="X476" s="49">
        <f>W476*V476</f>
        <v/>
      </c>
      <c r="Y476" s="49">
        <f>(battery/range_nm)*G476*S476*VLOOKUP(B476,country_opex,3,FALSE)</f>
        <v/>
      </c>
      <c r="Z476" s="49">
        <f>VLOOKUP(B476,country_opex,2,FALSE)*crew_factor</f>
        <v/>
      </c>
      <c r="AA476" s="49">
        <f>VLOOKUP(B476,country_opex,5,FALSE)</f>
        <v/>
      </c>
      <c r="AB476" s="49">
        <f>maint</f>
        <v/>
      </c>
      <c r="AC476" s="49">
        <f>VLOOKUP(B476,country_opex,7,FALSE)*ins_pct</f>
        <v/>
      </c>
      <c r="AD476" s="49">
        <f>charge_berth</f>
        <v/>
      </c>
      <c r="AE476" s="49">
        <f>Y476+Z476+AA476+AB476+AC476+AD476</f>
        <v/>
      </c>
      <c r="AF476" s="49">
        <f>VLOOKUP(B476,country_opex,7,FALSE)/dep_years</f>
        <v/>
      </c>
      <c r="AG476" s="49">
        <f>X476-AE476</f>
        <v/>
      </c>
      <c r="AH476" s="46">
        <f>IF(X476=0,"",AG476/X476)</f>
        <v/>
      </c>
      <c r="AI476" s="47">
        <f>IF(AG476&lt;=0,"",VLOOKUP(B476,country_opex,7,FALSE)/AG476)</f>
        <v/>
      </c>
      <c r="AJ476" s="44">
        <f>((G476*S476/diesel_nmpg)*diesel_co2pg-(battery/range_nm)*G476*S476*VLOOKUP(B476,country_opex,4,FALSE))/1000</f>
        <v/>
      </c>
      <c r="AK476" s="42" t="n">
        <v>325000</v>
      </c>
      <c r="AL476" s="43" t="n"/>
      <c r="AM476" s="43" t="n"/>
      <c r="AN476" s="50" t="n">
        <v>0.1</v>
      </c>
      <c r="AO476" s="45">
        <f>IF(AK476="","",AK476*AN476)</f>
        <v/>
      </c>
      <c r="AP476" s="45">
        <f>IF(OR(AK476="",V476=0),"",MIN(IF(AX476="",9.9E+99,AX476),FLOOR(AO476/V476,1)))</f>
        <v/>
      </c>
      <c r="AQ476" s="49">
        <f>IF(AP476="","",AP476*IF(ABS(MOD(ABS((X476)),1)-0.5)&lt;1E-9,2*ROUND((X476)/2,0),ROUND((X476),0)))</f>
        <v/>
      </c>
      <c r="AR476" s="47">
        <f>IF(OR(AK476="",V476=0),"",MIN(IF(AX476="",9.9E+99,AX476),AO476/V476))</f>
        <v/>
      </c>
      <c r="AS476" s="49">
        <f>IF(AR476="","",AR476*IF(B476="South Korea",IF(ABS(MOD(ABS((X476)),1)-0.5)&lt;1E-9,2*ROUND((X476)/2,0),ROUND((X476),0)),X476))</f>
        <v/>
      </c>
      <c r="AT476" s="51" t="n"/>
      <c r="AU476" s="43" t="inlineStr">
        <is>
          <t>Upside tier</t>
        </is>
      </c>
      <c r="AV476" s="52" t="n"/>
      <c r="AW476" s="52" t="inlineStr">
        <is>
          <t>experience_upside</t>
        </is>
      </c>
      <c r="AX476" s="53" t="n"/>
      <c r="AY476" s="54">
        <f>IF(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&lt;=0,"",VLOOKUP(B476,country_opex,7,FALSE)/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)</f>
        <v/>
      </c>
      <c r="AZ476" s="54">
        <f>IF(((W476*pax_cap*IF(B476="South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Korea",korea_mid_revleg,revleg_mid)),0))*VLOOKUP(B476,country_opex,3,FALSE))+Z476+AA476+AB476+AC476+AD476))&lt;=0,"",VLOOKUP(B476,country_opex,7,FALSE)/((W476*pax_cap*IF(B476="South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Korea",korea_mid_revleg,revleg_mid)),0))*VLOOKUP(B476,country_opex,3,FALSE))+Z476+AA476+AB476+AC476+AD476)))</f>
        <v/>
      </c>
      <c r="BA476" s="54">
        <f>IF(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&lt;=0,"",VLOOKUP(B476,country_opex,7,FALSE)/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)</f>
        <v/>
      </c>
      <c r="BB476" s="40" t="inlineStr">
        <is>
          <t>Same revealed anchor as grounded row: WaterB/SRC S$28 adult loop (ST 17-Mar-2025; SG Culture Pass). Incremental riders assumed to pay the SAME revealed price - no premium invented.</t>
        </is>
      </c>
      <c r="BC476" s="40" t="n"/>
      <c r="BD476" s="43" t="n"/>
    </row>
    <row r="477">
      <c r="A477" s="38" t="inlineStr">
        <is>
          <t>Singapore</t>
        </is>
      </c>
      <c r="B477" s="38" t="inlineStr">
        <is>
          <t>Singapore</t>
        </is>
      </c>
      <c r="C477" s="39" t="inlineStr">
        <is>
          <t>Clarke Quay (Singapore River) → Clarke Quay (Singapore River)</t>
        </is>
      </c>
      <c r="D477" s="38" t="inlineStr">
        <is>
          <t>grab</t>
        </is>
      </c>
      <c r="E477" s="40" t="inlineStr">
        <is>
          <t>singapore</t>
        </is>
      </c>
      <c r="F477" s="41" t="n">
        <v>1</v>
      </c>
      <c r="G477" s="42" t="n">
        <v>5</v>
      </c>
      <c r="H477" s="35" t="n">
        <v>21</v>
      </c>
      <c r="I477" s="43" t="inlineStr">
        <is>
          <t>T1</t>
        </is>
      </c>
      <c r="J477" s="43" t="inlineStr">
        <is>
          <t>high</t>
        </is>
      </c>
      <c r="K477" s="29" t="n">
        <v>1</v>
      </c>
      <c r="L477" s="44">
        <f>60*G477/cruise_kt</f>
        <v/>
      </c>
      <c r="M477" s="44">
        <f>IF(B477="South Korea",G477/korea_charge_range_nm*korea_full_range_charge_min,0)</f>
        <v/>
      </c>
      <c r="N477" s="44">
        <f>IF(B477="South Korea",L477+korea_turn_min+korea_dwell_min+M477,L477+turn_min+dwell_min)</f>
        <v/>
      </c>
      <c r="O477" s="45">
        <f>IF(B477="South Korea",FLOOR(60*korea_service_hr/N477,1),MIN(15,FLOOR(60*service_hr/N477,1)))</f>
        <v/>
      </c>
      <c r="P477" s="45">
        <f>IF(ABS(MOD(ABS((365*mech_uptime*K477)),1)-0.5)&lt;1E-9,2*ROUND((365*mech_uptime*K477)/2,0),ROUND((365*mech_uptime*K477),0))</f>
        <v/>
      </c>
      <c r="Q477" s="46">
        <f>mech_uptime</f>
        <v/>
      </c>
      <c r="R477" s="46">
        <f>IF(AND(B477="South Korea",scenario="MID"),korea_mid_revleg,revleg_sel)</f>
        <v/>
      </c>
      <c r="S477" s="45">
        <f>IF(ABS(MOD(ABS((O477*P477*R477)),1)-0.5)&lt;1E-9,2*ROUND((O477*P477*R477)/2,0),ROUND((O477*P477*R477),0))</f>
        <v/>
      </c>
      <c r="T477" s="46">
        <f>IF(AND(B477="South Korea",scenario="MID"),korea_mid_load,load_sel)</f>
        <v/>
      </c>
      <c r="U477" s="47">
        <f>pax_cap*T477</f>
        <v/>
      </c>
      <c r="V477" s="45">
        <f>U477*S477</f>
        <v/>
      </c>
      <c r="W477" s="48">
        <f>H477*discount</f>
        <v/>
      </c>
      <c r="X477" s="49">
        <f>W477*V477</f>
        <v/>
      </c>
      <c r="Y477" s="49">
        <f>(battery/range_nm)*G477*S477*VLOOKUP(B477,country_opex,3,FALSE)</f>
        <v/>
      </c>
      <c r="Z477" s="49">
        <f>VLOOKUP(B477,country_opex,2,FALSE)*crew_factor</f>
        <v/>
      </c>
      <c r="AA477" s="49">
        <f>VLOOKUP(B477,country_opex,5,FALSE)</f>
        <v/>
      </c>
      <c r="AB477" s="49">
        <f>maint</f>
        <v/>
      </c>
      <c r="AC477" s="49">
        <f>VLOOKUP(B477,country_opex,7,FALSE)*ins_pct</f>
        <v/>
      </c>
      <c r="AD477" s="49">
        <f>charge_berth</f>
        <v/>
      </c>
      <c r="AE477" s="49">
        <f>Y477+Z477+AA477+AB477+AC477+AD477</f>
        <v/>
      </c>
      <c r="AF477" s="49">
        <f>VLOOKUP(B477,country_opex,7,FALSE)/dep_years</f>
        <v/>
      </c>
      <c r="AG477" s="49">
        <f>X477-AE477</f>
        <v/>
      </c>
      <c r="AH477" s="46">
        <f>IF(X477=0,"",AG477/X477)</f>
        <v/>
      </c>
      <c r="AI477" s="47">
        <f>IF(AG477&lt;=0,"",VLOOKUP(B477,country_opex,7,FALSE)/AG477)</f>
        <v/>
      </c>
      <c r="AJ477" s="44">
        <f>((G477*S477/diesel_nmpg)*diesel_co2pg-(battery/range_nm)*G477*S477*VLOOKUP(B477,country_opex,4,FALSE))/1000</f>
        <v/>
      </c>
      <c r="AK477" s="42" t="n">
        <v>650000</v>
      </c>
      <c r="AL477" s="43" t="n"/>
      <c r="AM477" s="43" t="n"/>
      <c r="AN477" s="50" t="n">
        <v>0.1</v>
      </c>
      <c r="AO477" s="45">
        <f>IF(AK477="","",AK477*AN477)</f>
        <v/>
      </c>
      <c r="AP477" s="45">
        <f>IF(OR(AK477="",V477=0),"",MIN(IF(AX477="",9.9E+99,AX477),FLOOR(AO477/V477,1)))</f>
        <v/>
      </c>
      <c r="AQ477" s="49">
        <f>IF(AP477="","",AP477*IF(ABS(MOD(ABS((X477)),1)-0.5)&lt;1E-9,2*ROUND((X477)/2,0),ROUND((X477),0)))</f>
        <v/>
      </c>
      <c r="AR477" s="47">
        <f>IF(OR(AK477="",V477=0),"",MIN(IF(AX477="",9.9E+99,AX477),AO477/V477))</f>
        <v/>
      </c>
      <c r="AS477" s="49">
        <f>IF(AR477="","",AR477*IF(B477="South Korea",IF(ABS(MOD(ABS((X477)),1)-0.5)&lt;1E-9,2*ROUND((X477)/2,0),ROUND((X477),0)),X477))</f>
        <v/>
      </c>
      <c r="AT477" s="51" t="n"/>
      <c r="AU477" s="43" t="inlineStr">
        <is>
          <t>Grounded</t>
        </is>
      </c>
      <c r="AV477" s="52" t="n"/>
      <c r="AW477" s="52" t="n"/>
      <c r="AX477" s="53" t="n"/>
      <c r="AY477" s="54">
        <f>IF(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&lt;=0,"",VLOOKUP(B477,country_opex,7,FALSE)/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)</f>
        <v/>
      </c>
      <c r="AZ477" s="54">
        <f>IF(((W477*pax_cap*IF(B477="South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Korea",korea_mid_revleg,revleg_mid)),0))*VLOOKUP(B477,country_opex,3,FALSE))+Z477+AA477+AB477+AC477+AD477))&lt;=0,"",VLOOKUP(B477,country_opex,7,FALSE)/((W477*pax_cap*IF(B477="South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Korea",korea_mid_revleg,revleg_mid)),0))*VLOOKUP(B477,country_opex,3,FALSE))+Z477+AA477+AB477+AC477+AD477)))</f>
        <v/>
      </c>
      <c r="BA477" s="54">
        <f>IF(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&lt;=0,"",VLOOKUP(B477,country_opex,7,FALSE)/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)</f>
        <v/>
      </c>
      <c r="BB477" s="40" t="inlineStr">
        <is>
          <t>Actual operator pricing: WaterB river cruise S$28 adult / S$18 child (Straits Times 17-Mar-2025 quoting WaterB; SG Culture Pass listing 'from $25'). SRC pricing comparable (~S$28 adult).</t>
        </is>
      </c>
      <c r="BC477" s="40" t="n"/>
      <c r="BD477" s="43" t="n"/>
    </row>
    <row r="478">
      <c r="A478" s="38" t="inlineStr">
        <is>
          <t>Singapore</t>
        </is>
      </c>
      <c r="B478" s="38" t="inlineStr">
        <is>
          <t>Singapore</t>
        </is>
      </c>
      <c r="C478" s="39" t="inlineStr">
        <is>
          <t>East Coast → Marina Bay</t>
        </is>
      </c>
      <c r="D478" s="38" t="inlineStr">
        <is>
          <t>grab</t>
        </is>
      </c>
      <c r="E478" s="40" t="inlineStr">
        <is>
          <t>singapore</t>
        </is>
      </c>
      <c r="F478" s="41" t="n">
        <v>1</v>
      </c>
      <c r="G478" s="42" t="n">
        <v>5.8</v>
      </c>
      <c r="H478" s="35" t="n">
        <v>18</v>
      </c>
      <c r="I478" s="43" t="inlineStr">
        <is>
          <t>T5</t>
        </is>
      </c>
      <c r="J478" s="43" t="inlineStr">
        <is>
          <t>low</t>
        </is>
      </c>
      <c r="K478" s="29" t="n">
        <v>1</v>
      </c>
      <c r="L478" s="44">
        <f>60*G478/cruise_kt</f>
        <v/>
      </c>
      <c r="M478" s="44">
        <f>IF(B478="South Korea",G478/korea_charge_range_nm*korea_full_range_charge_min,0)</f>
        <v/>
      </c>
      <c r="N478" s="44">
        <f>IF(B478="South Korea",L478+korea_turn_min+korea_dwell_min+M478,L478+turn_min+dwell_min)</f>
        <v/>
      </c>
      <c r="O478" s="45">
        <f>IF(B478="South Korea",FLOOR(60*korea_service_hr/N478,1),MIN(24,FLOOR(60*service_hr/N478,1)))</f>
        <v/>
      </c>
      <c r="P478" s="45">
        <f>IF(ABS(MOD(ABS((365*mech_uptime*K478)),1)-0.5)&lt;1E-9,2*ROUND((365*mech_uptime*K478)/2,0),ROUND((365*mech_uptime*K478),0))</f>
        <v/>
      </c>
      <c r="Q478" s="46">
        <f>mech_uptime</f>
        <v/>
      </c>
      <c r="R478" s="46">
        <f>IF(AND(B478="South Korea",scenario="MID"),korea_mid_revleg,revleg_sel)</f>
        <v/>
      </c>
      <c r="S478" s="45">
        <f>IF(ABS(MOD(ABS((O478*P478*R478)),1)-0.5)&lt;1E-9,2*ROUND((O478*P478*R478)/2,0),ROUND((O478*P478*R478),0))</f>
        <v/>
      </c>
      <c r="T478" s="46">
        <f>IF(AND(B478="South Korea",scenario="MID"),korea_mid_load,load_sel)</f>
        <v/>
      </c>
      <c r="U478" s="47">
        <f>pax_cap*T478</f>
        <v/>
      </c>
      <c r="V478" s="45">
        <f>U478*S478</f>
        <v/>
      </c>
      <c r="W478" s="48">
        <f>H478*discount</f>
        <v/>
      </c>
      <c r="X478" s="49">
        <f>W478*V478</f>
        <v/>
      </c>
      <c r="Y478" s="49">
        <f>(battery/range_nm)*G478*S478*VLOOKUP(B478,country_opex,3,FALSE)</f>
        <v/>
      </c>
      <c r="Z478" s="49">
        <f>VLOOKUP(B478,country_opex,2,FALSE)*crew_factor</f>
        <v/>
      </c>
      <c r="AA478" s="49">
        <f>VLOOKUP(B478,country_opex,5,FALSE)</f>
        <v/>
      </c>
      <c r="AB478" s="49">
        <f>maint</f>
        <v/>
      </c>
      <c r="AC478" s="49">
        <f>VLOOKUP(B478,country_opex,7,FALSE)*ins_pct</f>
        <v/>
      </c>
      <c r="AD478" s="49">
        <f>charge_berth</f>
        <v/>
      </c>
      <c r="AE478" s="49">
        <f>Y478+Z478+AA478+AB478+AC478+AD478</f>
        <v/>
      </c>
      <c r="AF478" s="49">
        <f>VLOOKUP(B478,country_opex,7,FALSE)/dep_years</f>
        <v/>
      </c>
      <c r="AG478" s="49">
        <f>X478-AE478</f>
        <v/>
      </c>
      <c r="AH478" s="46">
        <f>IF(X478=0,"",AG478/X478)</f>
        <v/>
      </c>
      <c r="AI478" s="47">
        <f>IF(AG478&lt;=0,"",VLOOKUP(B478,country_opex,7,FALSE)/AG478)</f>
        <v/>
      </c>
      <c r="AJ478" s="44">
        <f>((G478*S478/diesel_nmpg)*diesel_co2pg-(battery/range_nm)*G478*S478*VLOOKUP(B478,country_opex,4,FALSE))/1000</f>
        <v/>
      </c>
      <c r="AK478" s="42" t="n">
        <v>111000</v>
      </c>
      <c r="AL478" s="43" t="n"/>
      <c r="AM478" s="43" t="n"/>
      <c r="AN478" s="50" t="n">
        <v>0.25</v>
      </c>
      <c r="AO478" s="45">
        <f>IF(AK478="","",AK478*AN478)</f>
        <v/>
      </c>
      <c r="AP478" s="45">
        <f>IF(OR(AK478="",V478=0),"",MIN(IF(AX478="",9.9E+99,AX478),FLOOR(AO478/V478,1)))</f>
        <v/>
      </c>
      <c r="AQ478" s="49">
        <f>IF(AP478="","",AP478*IF(ABS(MOD(ABS((X478)),1)-0.5)&lt;1E-9,2*ROUND((X478)/2,0),ROUND((X478),0)))</f>
        <v/>
      </c>
      <c r="AR478" s="47">
        <f>IF(OR(AK478="",V478=0),"",MIN(IF(AX478="",9.9E+99,AX478),AO478/V478))</f>
        <v/>
      </c>
      <c r="AS478" s="49">
        <f>IF(AR478="","",AR478*IF(B478="South Korea",IF(ABS(MOD(ABS((X478)),1)-0.5)&lt;1E-9,2*ROUND((X478)/2,0),ROUND((X478),0)),X478))</f>
        <v/>
      </c>
      <c r="AT478" s="51" t="n"/>
      <c r="AU478" s="43" t="inlineStr">
        <is>
          <t>Grounded</t>
        </is>
      </c>
      <c r="AV478" s="52" t="n"/>
      <c r="AW478" s="52" t="n"/>
      <c r="AX478" s="53" t="n"/>
      <c r="AY478" s="54">
        <f>IF(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&lt;=0,"",VLOOKUP(B478,country_opex,7,FALSE)/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)</f>
        <v/>
      </c>
      <c r="AZ478" s="54">
        <f>IF(((W478*pax_cap*IF(B478="South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Korea",korea_mid_revleg,revleg_mid)),0))*VLOOKUP(B478,country_opex,3,FALSE))+Z478+AA478+AB478+AC478+AD478))&lt;=0,"",VLOOKUP(B478,country_opex,7,FALSE)/((W478*pax_cap*IF(B478="South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Korea",korea_mid_revleg,revleg_mid)),0))*VLOOKUP(B478,country_opex,3,FALSE))+Z478+AA478+AB478+AC478+AD478)))</f>
        <v/>
      </c>
      <c r="BA478" s="54">
        <f>IF(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&lt;=0,"",VLOOKUP(B478,country_opex,7,FALSE)/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)</f>
        <v/>
      </c>
      <c r="BB478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C478" s="40" t="n"/>
      <c r="BD478" s="43" t="inlineStr">
        <is>
          <t>rn-82453f6cb33e</t>
        </is>
      </c>
    </row>
    <row r="479">
      <c r="A479" s="38" t="inlineStr">
        <is>
          <t>Singapore</t>
        </is>
      </c>
      <c r="B479" s="38" t="inlineStr">
        <is>
          <t>Singapore</t>
        </is>
      </c>
      <c r="C479" s="39" t="inlineStr">
        <is>
          <t>Marine Parade / East Coast (Central Region increment) → Raffles Place / Marina Bay</t>
        </is>
      </c>
      <c r="D479" s="38" t="inlineStr">
        <is>
          <t>grab</t>
        </is>
      </c>
      <c r="E479" s="40" t="inlineStr">
        <is>
          <t>singapore</t>
        </is>
      </c>
      <c r="F479" s="41" t="n">
        <v>1</v>
      </c>
      <c r="G479" s="42" t="n">
        <v>5.8</v>
      </c>
      <c r="H479" s="35" t="n">
        <v>9</v>
      </c>
      <c r="I479" s="43" t="inlineStr">
        <is>
          <t>T3</t>
        </is>
      </c>
      <c r="J479" s="43" t="inlineStr">
        <is>
          <t>low</t>
        </is>
      </c>
      <c r="K479" s="29" t="n">
        <v>1</v>
      </c>
      <c r="L479" s="44">
        <f>60*G479/cruise_kt</f>
        <v/>
      </c>
      <c r="M479" s="44">
        <f>IF(B479="South Korea",G479/korea_charge_range_nm*korea_full_range_charge_min,0)</f>
        <v/>
      </c>
      <c r="N479" s="44">
        <f>IF(B479="South Korea",L479+korea_turn_min+korea_dwell_min+M479,L479+turn_min+dwell_min)</f>
        <v/>
      </c>
      <c r="O479" s="45">
        <f>IF(B479="South Korea",FLOOR(60*korea_service_hr/N479,1),MIN(24,FLOOR(60*service_hr/N479,1)))</f>
        <v/>
      </c>
      <c r="P479" s="45">
        <f>IF(ABS(MOD(ABS((365*mech_uptime*K479)),1)-0.5)&lt;1E-9,2*ROUND((365*mech_uptime*K479)/2,0),ROUND((365*mech_uptime*K479),0))</f>
        <v/>
      </c>
      <c r="Q479" s="46">
        <f>mech_uptime</f>
        <v/>
      </c>
      <c r="R479" s="46">
        <f>IF(AND(B479="South Korea",scenario="MID"),korea_mid_revleg,revleg_sel)</f>
        <v/>
      </c>
      <c r="S479" s="45">
        <f>IF(ABS(MOD(ABS((O479*P479*R479)),1)-0.5)&lt;1E-9,2*ROUND((O479*P479*R479)/2,0),ROUND((O479*P479*R479),0))</f>
        <v/>
      </c>
      <c r="T479" s="46">
        <f>IF(AND(B479="South Korea",scenario="MID"),korea_mid_load,load_sel)</f>
        <v/>
      </c>
      <c r="U479" s="47">
        <f>pax_cap*T479</f>
        <v/>
      </c>
      <c r="V479" s="45">
        <f>U479*S479</f>
        <v/>
      </c>
      <c r="W479" s="48">
        <f>H479*discount</f>
        <v/>
      </c>
      <c r="X479" s="49">
        <f>W479*V479</f>
        <v/>
      </c>
      <c r="Y479" s="49">
        <f>(battery/range_nm)*G479*S479*VLOOKUP(B479,country_opex,3,FALSE)</f>
        <v/>
      </c>
      <c r="Z479" s="49">
        <f>VLOOKUP(B479,country_opex,2,FALSE)*crew_factor</f>
        <v/>
      </c>
      <c r="AA479" s="49">
        <f>VLOOKUP(B479,country_opex,5,FALSE)</f>
        <v/>
      </c>
      <c r="AB479" s="49">
        <f>maint</f>
        <v/>
      </c>
      <c r="AC479" s="49">
        <f>VLOOKUP(B479,country_opex,7,FALSE)*ins_pct</f>
        <v/>
      </c>
      <c r="AD479" s="49">
        <f>charge_berth</f>
        <v/>
      </c>
      <c r="AE479" s="49">
        <f>Y479+Z479+AA479+AB479+AC479+AD479</f>
        <v/>
      </c>
      <c r="AF479" s="49">
        <f>VLOOKUP(B479,country_opex,7,FALSE)/dep_years</f>
        <v/>
      </c>
      <c r="AG479" s="49">
        <f>X479-AE479</f>
        <v/>
      </c>
      <c r="AH479" s="46">
        <f>IF(X479=0,"",AG479/X479)</f>
        <v/>
      </c>
      <c r="AI479" s="47">
        <f>IF(AG479&lt;=0,"",VLOOKUP(B479,country_opex,7,FALSE)/AG479)</f>
        <v/>
      </c>
      <c r="AJ479" s="44">
        <f>((G479*S479/diesel_nmpg)*diesel_co2pg-(battery/range_nm)*G479*S479*VLOOKUP(B479,country_opex,4,FALSE))/1000</f>
        <v/>
      </c>
      <c r="AK479" s="42" t="n">
        <v>5003</v>
      </c>
      <c r="AL479" s="43" t="n"/>
      <c r="AM479" s="43" t="n"/>
      <c r="AN479" s="50" t="n">
        <v>1</v>
      </c>
      <c r="AO479" s="45">
        <f>IF(AK479="","",AK479*AN479)</f>
        <v/>
      </c>
      <c r="AP479" s="45">
        <f>IF(OR(AK479="",V479=0),"",MIN(IF(AX479="",9.9E+99,AX479),FLOOR(AO479/V479,1)))</f>
        <v/>
      </c>
      <c r="AQ479" s="49">
        <f>IF(AP479="","",AP479*IF(ABS(MOD(ABS((X479)),1)-0.5)&lt;1E-9,2*ROUND((X479)/2,0),ROUND((X479),0)))</f>
        <v/>
      </c>
      <c r="AR479" s="47">
        <f>IF(OR(AK479="",V479=0),"",MIN(IF(AX479="",9.9E+99,AX479),AO479/V479))</f>
        <v/>
      </c>
      <c r="AS479" s="49">
        <f>IF(AR479="","",AR479*IF(B479="South Korea",IF(ABS(MOD(ABS((X479)),1)-0.5)&lt;1E-9,2*ROUND((X479)/2,0),ROUND((X479),0)),X479))</f>
        <v/>
      </c>
      <c r="AT479" s="51" t="n"/>
      <c r="AU479" s="43" t="inlineStr">
        <is>
          <t>Upside tier</t>
        </is>
      </c>
      <c r="AV479" s="52" t="n"/>
      <c r="AW479" s="52" t="inlineStr">
        <is>
          <t>modal_shift_greenfield</t>
        </is>
      </c>
      <c r="AX479" s="53" t="n"/>
      <c r="AY479" s="54">
        <f>IF(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&lt;=0,"",VLOOKUP(B479,country_opex,7,FALSE)/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)</f>
        <v/>
      </c>
      <c r="AZ479" s="54">
        <f>IF(((W479*pax_cap*IF(B479="South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Korea",korea_mid_revleg,revleg_mid)),0))*VLOOKUP(B479,country_opex,3,FALSE))+Z479+AA479+AB479+AC479+AD479))&lt;=0,"",VLOOKUP(B479,country_opex,7,FALSE)/((W479*pax_cap*IF(B479="South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Korea",korea_mid_revleg,revleg_mid)),0))*VLOOKUP(B479,country_opex,3,FALSE))+Z479+AA479+AB479+AC479+AD479)))</f>
        <v/>
      </c>
      <c r="BA479" s="54">
        <f>IF(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&lt;=0,"",VLOOKUP(B479,country_opex,7,FALSE)/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)</f>
        <v/>
      </c>
      <c r="BB479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C479" s="40" t="n"/>
      <c r="BD479" s="43" t="inlineStr">
        <is>
          <t>rn-82453f6cb33e</t>
        </is>
      </c>
    </row>
    <row r="480">
      <c r="A480" s="38" t="inlineStr">
        <is>
          <t>Singapore</t>
        </is>
      </c>
      <c r="B480" s="38" t="inlineStr">
        <is>
          <t>Singapore</t>
        </is>
      </c>
      <c r="C480" s="39" t="inlineStr">
        <is>
          <t>Singapore Marina Network → On-demand water mobility</t>
        </is>
      </c>
      <c r="D480" s="38" t="inlineStr">
        <is>
          <t>grab</t>
        </is>
      </c>
      <c r="E480" s="40" t="inlineStr">
        <is>
          <t>singapore</t>
        </is>
      </c>
      <c r="F480" s="41" t="n">
        <v>1</v>
      </c>
      <c r="G480" s="42" t="n">
        <v>8</v>
      </c>
      <c r="H480" s="35" t="n">
        <v>35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IF(B480="South Korea",G480/korea_charge_range_nm*korea_full_range_charge_min,0)</f>
        <v/>
      </c>
      <c r="N480" s="44">
        <f>IF(B480="South Korea",L480+korea_turn_min+korea_dwell_min+M480,L480+turn_min+dwell_min)</f>
        <v/>
      </c>
      <c r="O480" s="45">
        <f>IF(B480="South Korea",FLOOR(60*korea_service_hr/N480,1),MIN(15,FLOOR(60*service_hr/N480,1)))</f>
        <v/>
      </c>
      <c r="P480" s="45">
        <f>IF(ABS(MOD(ABS((365*mech_uptime*K480)),1)-0.5)&lt;1E-9,2*ROUND((365*mech_uptime*K480)/2,0),ROUND((365*mech_uptime*K480),0))</f>
        <v/>
      </c>
      <c r="Q480" s="46">
        <f>mech_uptime</f>
        <v/>
      </c>
      <c r="R480" s="46">
        <f>IF(AND(B480="South Korea",scenario="MID"),korea_mid_revleg,revleg_sel)</f>
        <v/>
      </c>
      <c r="S480" s="45">
        <f>IF(ABS(MOD(ABS((O480*P480*R480)),1)-0.5)&lt;1E-9,2*ROUND((O480*P480*R480)/2,0),ROUND((O480*P480*R480),0))</f>
        <v/>
      </c>
      <c r="T480" s="46">
        <f>IF(AND(B480="South Korea",scenario="MID"),korea_mid_load,load_sel)</f>
        <v/>
      </c>
      <c r="U480" s="47">
        <f>pax_cap*T480</f>
        <v/>
      </c>
      <c r="V480" s="45">
        <f>U480*S480</f>
        <v/>
      </c>
      <c r="W480" s="48">
        <f>H480*discount</f>
        <v/>
      </c>
      <c r="X480" s="49">
        <f>W480*V480</f>
        <v/>
      </c>
      <c r="Y480" s="49">
        <f>(battery/range_nm)*G480*S480*VLOOKUP(B480,country_opex,3,FALSE)</f>
        <v/>
      </c>
      <c r="Z480" s="49">
        <f>VLOOKUP(B480,country_opex,2,FALSE)*crew_factor</f>
        <v/>
      </c>
      <c r="AA480" s="49">
        <f>VLOOKUP(B480,country_opex,5,FALSE)</f>
        <v/>
      </c>
      <c r="AB480" s="49">
        <f>maint</f>
        <v/>
      </c>
      <c r="AC480" s="49">
        <f>VLOOKUP(B480,country_opex,7,FALSE)*ins_pct</f>
        <v/>
      </c>
      <c r="AD480" s="49">
        <f>charge_berth</f>
        <v/>
      </c>
      <c r="AE480" s="49">
        <f>Y480+Z480+AA480+AB480+AC480+AD480</f>
        <v/>
      </c>
      <c r="AF480" s="49">
        <f>VLOOKUP(B480,country_opex,7,FALSE)/dep_years</f>
        <v/>
      </c>
      <c r="AG480" s="49">
        <f>X480-AE480</f>
        <v/>
      </c>
      <c r="AH480" s="46">
        <f>IF(X480=0,"",AG480/X480)</f>
        <v/>
      </c>
      <c r="AI480" s="47">
        <f>IF(AG480&lt;=0,"",VLOOKUP(B480,country_opex,7,FALSE)/AG480)</f>
        <v/>
      </c>
      <c r="AJ480" s="44">
        <f>((G480*S480/diesel_nmpg)*diesel_co2pg-(battery/range_nm)*G480*S480*VLOOKUP(B480,country_opex,4,FALSE))/1000</f>
        <v/>
      </c>
      <c r="AK480" s="42" t="n">
        <v>9900</v>
      </c>
      <c r="AL480" s="43" t="n"/>
      <c r="AM480" s="43" t="n"/>
      <c r="AN480" s="50" t="n">
        <v>1</v>
      </c>
      <c r="AO480" s="45">
        <f>IF(AK480="","",AK480*AN480)</f>
        <v/>
      </c>
      <c r="AP480" s="45">
        <f>IF(OR(AK480="",V480=0),"",MIN(IF(AX480="",9.9E+99,AX480),FLOOR(AO480/V480,1)))</f>
        <v/>
      </c>
      <c r="AQ480" s="49">
        <f>IF(AP480="","",AP480*IF(ABS(MOD(ABS((X480)),1)-0.5)&lt;1E-9,2*ROUND((X480)/2,0),ROUND((X480),0)))</f>
        <v/>
      </c>
      <c r="AR480" s="47">
        <f>IF(OR(AK480="",V480=0),"",MIN(IF(AX480="",9.9E+99,AX480),AO480/V480))</f>
        <v/>
      </c>
      <c r="AS480" s="49">
        <f>IF(AR480="","",AR480*IF(B480="South Korea",IF(ABS(MOD(ABS((X480)),1)-0.5)&lt;1E-9,2*ROUND((X480)/2,0),ROUND((X480),0)),X480))</f>
        <v/>
      </c>
      <c r="AT480" s="51" t="n"/>
      <c r="AU480" s="43" t="inlineStr">
        <is>
          <t>Grounded</t>
        </is>
      </c>
      <c r="AV480" s="52" t="n"/>
      <c r="AW480" s="52" t="n"/>
      <c r="AX480" s="53" t="n"/>
      <c r="AY480" s="54">
        <f>IF(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&lt;=0,"",VLOOKUP(B480,country_opex,7,FALSE)/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)</f>
        <v/>
      </c>
      <c r="AZ480" s="54">
        <f>IF(((W480*pax_cap*IF(B480="South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Korea",korea_mid_revleg,revleg_mid)),0))*VLOOKUP(B480,country_opex,3,FALSE))+Z480+AA480+AB480+AC480+AD480))&lt;=0,"",VLOOKUP(B480,country_opex,7,FALSE)/((W480*pax_cap*IF(B480="South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Korea",korea_mid_revleg,revleg_mid)),0))*VLOOKUP(B480,country_opex,3,FALSE))+Z480+AA480+AB480+AC480+AD480)))</f>
        <v/>
      </c>
      <c r="BA480" s="54">
        <f>IF(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&lt;=0,"",VLOOKUP(B480,country_opex,7,FALSE)/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)</f>
        <v/>
      </c>
      <c r="BB480" s="40" t="n"/>
      <c r="BC480" s="40" t="n"/>
      <c r="BD480" s="43" t="n"/>
    </row>
    <row r="481">
      <c r="A481" s="38" t="inlineStr">
        <is>
          <t>Singapore</t>
        </is>
      </c>
      <c r="B481" s="38" t="inlineStr">
        <is>
          <t>Singapore</t>
        </is>
      </c>
      <c r="C481" s="39" t="inlineStr">
        <is>
          <t>Sentosa / Keppel waterfront → Sentosa / Keppel waterfront</t>
        </is>
      </c>
      <c r="D481" s="38" t="inlineStr">
        <is>
          <t>grab</t>
        </is>
      </c>
      <c r="E481" s="40" t="inlineStr">
        <is>
          <t>singapore</t>
        </is>
      </c>
      <c r="F481" s="41" t="n">
        <v>1</v>
      </c>
      <c r="G481" s="42" t="n">
        <v>8</v>
      </c>
      <c r="H481" s="35" t="n">
        <v>95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IF(B481="South Korea",G481/korea_charge_range_nm*korea_full_range_charge_min,0)</f>
        <v/>
      </c>
      <c r="N481" s="44">
        <f>IF(B481="South Korea",L481+korea_turn_min+korea_dwell_min+M481,L481+turn_min+dwell_min)</f>
        <v/>
      </c>
      <c r="O481" s="45">
        <f>IF(B481="South Korea",FLOOR(60*korea_service_hr/N481,1),MIN(15,FLOOR(60*service_hr/N481,1)))</f>
        <v/>
      </c>
      <c r="P481" s="45">
        <f>IF(ABS(MOD(ABS((365*mech_uptime*K481)),1)-0.5)&lt;1E-9,2*ROUND((365*mech_uptime*K481)/2,0),ROUND((365*mech_uptime*K481),0))</f>
        <v/>
      </c>
      <c r="Q481" s="46">
        <f>mech_uptime</f>
        <v/>
      </c>
      <c r="R481" s="46">
        <f>IF(AND(B481="South Korea",scenario="MID"),korea_mid_revleg,revleg_sel)</f>
        <v/>
      </c>
      <c r="S481" s="45">
        <f>IF(ABS(MOD(ABS((O481*P481*R481)),1)-0.5)&lt;1E-9,2*ROUND((O481*P481*R481)/2,0),ROUND((O481*P481*R481),0))</f>
        <v/>
      </c>
      <c r="T481" s="46">
        <f>IF(AND(B481="South Korea",scenario="MID"),korea_mid_load,load_sel)</f>
        <v/>
      </c>
      <c r="U481" s="47">
        <f>pax_cap*T481</f>
        <v/>
      </c>
      <c r="V481" s="45">
        <f>U481*S481</f>
        <v/>
      </c>
      <c r="W481" s="48">
        <f>H481*discount</f>
        <v/>
      </c>
      <c r="X481" s="49">
        <f>W481*V481</f>
        <v/>
      </c>
      <c r="Y481" s="49">
        <f>(battery/range_nm)*G481*S481*VLOOKUP(B481,country_opex,3,FALSE)</f>
        <v/>
      </c>
      <c r="Z481" s="49">
        <f>VLOOKUP(B481,country_opex,2,FALSE)*crew_factor</f>
        <v/>
      </c>
      <c r="AA481" s="49">
        <f>VLOOKUP(B481,country_opex,5,FALSE)</f>
        <v/>
      </c>
      <c r="AB481" s="49">
        <f>maint</f>
        <v/>
      </c>
      <c r="AC481" s="49">
        <f>VLOOKUP(B481,country_opex,7,FALSE)*ins_pct</f>
        <v/>
      </c>
      <c r="AD481" s="49">
        <f>charge_berth</f>
        <v/>
      </c>
      <c r="AE481" s="49">
        <f>Y481+Z481+AA481+AB481+AC481+AD481</f>
        <v/>
      </c>
      <c r="AF481" s="49">
        <f>VLOOKUP(B481,country_opex,7,FALSE)/dep_years</f>
        <v/>
      </c>
      <c r="AG481" s="49">
        <f>X481-AE481</f>
        <v/>
      </c>
      <c r="AH481" s="46">
        <f>IF(X481=0,"",AG481/X481)</f>
        <v/>
      </c>
      <c r="AI481" s="47">
        <f>IF(AG481&lt;=0,"",VLOOKUP(B481,country_opex,7,FALSE)/AG481)</f>
        <v/>
      </c>
      <c r="AJ481" s="44">
        <f>((G481*S481/diesel_nmpg)*diesel_co2pg-(battery/range_nm)*G481*S481*VLOOKUP(B481,country_opex,4,FALSE))/1000</f>
        <v/>
      </c>
      <c r="AK481" s="42" t="n">
        <v>23000</v>
      </c>
      <c r="AL481" s="43" t="n"/>
      <c r="AM481" s="43" t="n"/>
      <c r="AN481" s="50" t="n">
        <v>0.1</v>
      </c>
      <c r="AO481" s="45">
        <f>IF(AK481="","",AK481*AN481)</f>
        <v/>
      </c>
      <c r="AP481" s="45">
        <f>IF(OR(AK481="",V481=0),"",MIN(IF(AX481="",9.9E+99,AX481),FLOOR(AO481/V481,1)))</f>
        <v/>
      </c>
      <c r="AQ481" s="49">
        <f>IF(AP481="","",AP481*IF(ABS(MOD(ABS((X481)),1)-0.5)&lt;1E-9,2*ROUND((X481)/2,0),ROUND((X481),0)))</f>
        <v/>
      </c>
      <c r="AR481" s="47">
        <f>IF(OR(AK481="",V481=0),"",MIN(IF(AX481="",9.9E+99,AX481),AO481/V481))</f>
        <v/>
      </c>
      <c r="AS481" s="49">
        <f>IF(AR481="","",AR481*IF(B481="South Korea",IF(ABS(MOD(ABS((X481)),1)-0.5)&lt;1E-9,2*ROUND((X481)/2,0),ROUND((X481),0)),X481))</f>
        <v/>
      </c>
      <c r="AT481" s="51" t="n"/>
      <c r="AU481" s="43" t="inlineStr">
        <is>
          <t>Grounded</t>
        </is>
      </c>
      <c r="AV481" s="52" t="n"/>
      <c r="AW481" s="52" t="n"/>
      <c r="AX481" s="53" t="n"/>
      <c r="AY481" s="54">
        <f>IF(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&lt;=0,"",VLOOKUP(B481,country_opex,7,FALSE)/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)</f>
        <v/>
      </c>
      <c r="AZ481" s="54">
        <f>IF(((W481*pax_cap*IF(B481="South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Korea",korea_mid_revleg,revleg_mid)),0))*VLOOKUP(B481,country_opex,3,FALSE))+Z481+AA481+AB481+AC481+AD481))&lt;=0,"",VLOOKUP(B481,country_opex,7,FALSE)/((W481*pax_cap*IF(B481="South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Korea",korea_mid_revleg,revleg_mid)),0))*VLOOKUP(B481,country_opex,3,FALSE))+Z481+AA481+AB481+AC481+AD481)))</f>
        <v/>
      </c>
      <c r="BA481" s="54">
        <f>IF(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&lt;=0,"",VLOOKUP(B481,country_opex,7,FALSE)/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)</f>
        <v/>
      </c>
      <c r="BB481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C481" s="40" t="n"/>
      <c r="BD481" s="43" t="n"/>
    </row>
    <row r="482">
      <c r="A482" s="38" t="inlineStr">
        <is>
          <t>Singapore</t>
        </is>
      </c>
      <c r="B482" s="38" t="inlineStr">
        <is>
          <t>Singapore</t>
        </is>
      </c>
      <c r="C482" s="39" t="inlineStr">
        <is>
          <t>Jurong / West Coast (West Coast Pier catchment) → HarbourFront / Marina Bay</t>
        </is>
      </c>
      <c r="D482" s="38" t="inlineStr">
        <is>
          <t>grab</t>
        </is>
      </c>
      <c r="E482" s="40" t="inlineStr">
        <is>
          <t>singapore</t>
        </is>
      </c>
      <c r="F482" s="41" t="n">
        <v>1</v>
      </c>
      <c r="G482" s="42" t="n">
        <v>9.5</v>
      </c>
      <c r="H482" s="35" t="n">
        <v>10</v>
      </c>
      <c r="I482" s="43" t="inlineStr">
        <is>
          <t>T3</t>
        </is>
      </c>
      <c r="J482" s="43" t="inlineStr">
        <is>
          <t>low</t>
        </is>
      </c>
      <c r="K482" s="29" t="n">
        <v>1</v>
      </c>
      <c r="L482" s="44">
        <f>60*G482/cruise_kt</f>
        <v/>
      </c>
      <c r="M482" s="44">
        <f>IF(B482="South Korea",G482/korea_charge_range_nm*korea_full_range_charge_min,0)</f>
        <v/>
      </c>
      <c r="N482" s="44">
        <f>IF(B482="South Korea",L482+korea_turn_min+korea_dwell_min+M482,L482+turn_min+dwell_min)</f>
        <v/>
      </c>
      <c r="O482" s="45">
        <f>IF(B482="South Korea",FLOOR(60*korea_service_hr/N482,1),MIN(24,FLOOR(60*service_hr/N482,1)))</f>
        <v/>
      </c>
      <c r="P482" s="45">
        <f>IF(ABS(MOD(ABS((365*mech_uptime*K482)),1)-0.5)&lt;1E-9,2*ROUND((365*mech_uptime*K482)/2,0),ROUND((365*mech_uptime*K482),0))</f>
        <v/>
      </c>
      <c r="Q482" s="46">
        <f>mech_uptime</f>
        <v/>
      </c>
      <c r="R482" s="46">
        <f>IF(AND(B482="South Korea",scenario="MID"),korea_mid_revleg,revleg_sel)</f>
        <v/>
      </c>
      <c r="S482" s="45">
        <f>IF(ABS(MOD(ABS((O482*P482*R482)),1)-0.5)&lt;1E-9,2*ROUND((O482*P482*R482)/2,0),ROUND((O482*P482*R482),0))</f>
        <v/>
      </c>
      <c r="T482" s="46">
        <f>IF(AND(B482="South Korea",scenario="MID"),korea_mid_load,load_sel)</f>
        <v/>
      </c>
      <c r="U482" s="47">
        <f>pax_cap*T482</f>
        <v/>
      </c>
      <c r="V482" s="45">
        <f>U482*S482</f>
        <v/>
      </c>
      <c r="W482" s="48">
        <f>H482*discount</f>
        <v/>
      </c>
      <c r="X482" s="49">
        <f>W482*V482</f>
        <v/>
      </c>
      <c r="Y482" s="49">
        <f>(battery/range_nm)*G482*S482*VLOOKUP(B482,country_opex,3,FALSE)</f>
        <v/>
      </c>
      <c r="Z482" s="49">
        <f>VLOOKUP(B482,country_opex,2,FALSE)*crew_factor</f>
        <v/>
      </c>
      <c r="AA482" s="49">
        <f>VLOOKUP(B482,country_opex,5,FALSE)</f>
        <v/>
      </c>
      <c r="AB482" s="49">
        <f>maint</f>
        <v/>
      </c>
      <c r="AC482" s="49">
        <f>VLOOKUP(B482,country_opex,7,FALSE)*ins_pct</f>
        <v/>
      </c>
      <c r="AD482" s="49">
        <f>charge_berth</f>
        <v/>
      </c>
      <c r="AE482" s="49">
        <f>Y482+Z482+AA482+AB482+AC482+AD482</f>
        <v/>
      </c>
      <c r="AF482" s="49">
        <f>VLOOKUP(B482,country_opex,7,FALSE)/dep_years</f>
        <v/>
      </c>
      <c r="AG482" s="49">
        <f>X482-AE482</f>
        <v/>
      </c>
      <c r="AH482" s="46">
        <f>IF(X482=0,"",AG482/X482)</f>
        <v/>
      </c>
      <c r="AI482" s="47">
        <f>IF(AG482&lt;=0,"",VLOOKUP(B482,country_opex,7,FALSE)/AG482)</f>
        <v/>
      </c>
      <c r="AJ482" s="44">
        <f>((G482*S482/diesel_nmpg)*diesel_co2pg-(battery/range_nm)*G482*S482*VLOOKUP(B482,country_opex,4,FALSE))/1000</f>
        <v/>
      </c>
      <c r="AK482" s="42" t="n">
        <v>20557</v>
      </c>
      <c r="AL482" s="43" t="n"/>
      <c r="AM482" s="43" t="n"/>
      <c r="AN482" s="50" t="n">
        <v>1</v>
      </c>
      <c r="AO482" s="45">
        <f>IF(AK482="","",AK482*AN482)</f>
        <v/>
      </c>
      <c r="AP482" s="45">
        <f>IF(OR(AK482="",V482=0),"",MIN(IF(AX482="",9.9E+99,AX482),FLOOR(AO482/V482,1)))</f>
        <v/>
      </c>
      <c r="AQ482" s="49">
        <f>IF(AP482="","",AP482*IF(ABS(MOD(ABS((X482)),1)-0.5)&lt;1E-9,2*ROUND((X482)/2,0),ROUND((X482),0)))</f>
        <v/>
      </c>
      <c r="AR482" s="47">
        <f>IF(OR(AK482="",V482=0),"",MIN(IF(AX482="",9.9E+99,AX482),AO482/V482))</f>
        <v/>
      </c>
      <c r="AS482" s="49">
        <f>IF(AR482="","",AR482*IF(B482="South Korea",IF(ABS(MOD(ABS((X482)),1)-0.5)&lt;1E-9,2*ROUND((X482)/2,0),ROUND((X482),0)),X482))</f>
        <v/>
      </c>
      <c r="AT482" s="51" t="n"/>
      <c r="AU482" s="43" t="inlineStr">
        <is>
          <t>Upside tier</t>
        </is>
      </c>
      <c r="AV482" s="52" t="n"/>
      <c r="AW482" s="52" t="inlineStr">
        <is>
          <t>modal_shift_greenfield</t>
        </is>
      </c>
      <c r="AX482" s="53" t="n"/>
      <c r="AY482" s="54">
        <f>IF(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&lt;=0,"",VLOOKUP(B482,country_opex,7,FALSE)/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)</f>
        <v/>
      </c>
      <c r="AZ482" s="54">
        <f>IF(((W482*pax_cap*IF(B482="South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Korea",korea_mid_revleg,revleg_mid)),0))*VLOOKUP(B482,country_opex,3,FALSE))+Z482+AA482+AB482+AC482+AD482))&lt;=0,"",VLOOKUP(B482,country_opex,7,FALSE)/((W482*pax_cap*IF(B482="South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Korea",korea_mid_revleg,revleg_mid)),0))*VLOOKUP(B482,country_opex,3,FALSE))+Z482+AA482+AB482+AC482+AD482)))</f>
        <v/>
      </c>
      <c r="BA482" s="54">
        <f>IF(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&lt;=0,"",VLOOKUP(B482,country_opex,7,FALSE)/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)</f>
        <v/>
      </c>
      <c r="BB482" s="40" t="inlineStr">
        <is>
          <t>Greenfield commute (9.5nm). Anchored upper-mid LB-97 commuter band S$8-15/seat; Grab Jurong-&gt;CBD ~S$22-32 peak; MRT EW-line S$2.10. Per-seat premium commute ~half solo ride-hail.</t>
        </is>
      </c>
      <c r="BC482" s="40" t="n"/>
      <c r="BD482" s="43" t="n"/>
    </row>
    <row r="483">
      <c r="A483" s="38" t="inlineStr">
        <is>
          <t>Cross-Border</t>
        </is>
      </c>
      <c r="B483" s="38" t="inlineStr">
        <is>
          <t>Singapore</t>
        </is>
      </c>
      <c r="C483" s="39" t="inlineStr">
        <is>
          <t>Singapore → Batam (Harbour Bay / Nongsa)</t>
        </is>
      </c>
      <c r="D483" s="38" t="inlineStr">
        <is>
          <t>grab</t>
        </is>
      </c>
      <c r="E483" s="40" t="inlineStr">
        <is>
          <t>cross-border</t>
        </is>
      </c>
      <c r="F483" s="41" t="n">
        <v>1</v>
      </c>
      <c r="G483" s="42" t="n">
        <v>13</v>
      </c>
      <c r="H483" s="35" t="n">
        <v>57</v>
      </c>
      <c r="I483" s="43" t="inlineStr">
        <is>
          <t>T3</t>
        </is>
      </c>
      <c r="J483" s="43" t="inlineStr">
        <is>
          <t>med-high</t>
        </is>
      </c>
      <c r="K483" s="29" t="n">
        <v>1</v>
      </c>
      <c r="L483" s="44">
        <f>60*G483/cruise_kt</f>
        <v/>
      </c>
      <c r="M483" s="44">
        <f>IF(B483="South Korea",G483/korea_charge_range_nm*korea_full_range_charge_min,0)</f>
        <v/>
      </c>
      <c r="N483" s="44">
        <f>IF(B483="South Korea",L483+korea_turn_min+korea_dwell_min+M483,L483+turn_min+dwell_min)</f>
        <v/>
      </c>
      <c r="O483" s="45">
        <f>IF(B483="South Korea",FLOOR(60*korea_service_hr/N483,1),MIN(15,FLOOR(60*service_hr/N483,1)))</f>
        <v/>
      </c>
      <c r="P483" s="45">
        <f>IF(ABS(MOD(ABS((365*mech_uptime*K483)),1)-0.5)&lt;1E-9,2*ROUND((365*mech_uptime*K483)/2,0),ROUND((365*mech_uptime*K483),0))</f>
        <v/>
      </c>
      <c r="Q483" s="46">
        <f>mech_uptime</f>
        <v/>
      </c>
      <c r="R483" s="46">
        <f>IF(AND(B483="South Korea",scenario="MID"),korea_mid_revleg,revleg_sel)</f>
        <v/>
      </c>
      <c r="S483" s="45">
        <f>IF(ABS(MOD(ABS((O483*P483*R483)),1)-0.5)&lt;1E-9,2*ROUND((O483*P483*R483)/2,0),ROUND((O483*P483*R483),0))</f>
        <v/>
      </c>
      <c r="T483" s="46">
        <f>IF(AND(B483="South Korea",scenario="MID"),korea_mid_load,load_sel)</f>
        <v/>
      </c>
      <c r="U483" s="47">
        <f>pax_cap*T483</f>
        <v/>
      </c>
      <c r="V483" s="45">
        <f>U483*S483</f>
        <v/>
      </c>
      <c r="W483" s="48">
        <f>H483*discount</f>
        <v/>
      </c>
      <c r="X483" s="49">
        <f>W483*V483</f>
        <v/>
      </c>
      <c r="Y483" s="49">
        <f>(battery/range_nm)*G483*S483*VLOOKUP(B483,country_opex,3,FALSE)</f>
        <v/>
      </c>
      <c r="Z483" s="49">
        <f>VLOOKUP(B483,country_opex,2,FALSE)*crew_factor</f>
        <v/>
      </c>
      <c r="AA483" s="49">
        <f>VLOOKUP(B483,country_opex,5,FALSE)</f>
        <v/>
      </c>
      <c r="AB483" s="49">
        <f>maint</f>
        <v/>
      </c>
      <c r="AC483" s="49">
        <f>VLOOKUP(B483,country_opex,7,FALSE)*ins_pct</f>
        <v/>
      </c>
      <c r="AD483" s="49">
        <f>charge_berth</f>
        <v/>
      </c>
      <c r="AE483" s="49">
        <f>Y483+Z483+AA483+AB483+AC483+AD483</f>
        <v/>
      </c>
      <c r="AF483" s="49">
        <f>VLOOKUP(B483,country_opex,7,FALSE)/dep_years</f>
        <v/>
      </c>
      <c r="AG483" s="49">
        <f>X483-AE483</f>
        <v/>
      </c>
      <c r="AH483" s="46">
        <f>IF(X483=0,"",AG483/X483)</f>
        <v/>
      </c>
      <c r="AI483" s="47">
        <f>IF(AG483&lt;=0,"",VLOOKUP(B483,country_opex,7,FALSE)/AG483)</f>
        <v/>
      </c>
      <c r="AJ483" s="44">
        <f>((G483*S483/diesel_nmpg)*diesel_co2pg-(battery/range_nm)*G483*S483*VLOOKUP(B483,country_opex,4,FALSE))/1000</f>
        <v/>
      </c>
      <c r="AK483" s="42" t="n">
        <v>350000</v>
      </c>
      <c r="AL483" s="43" t="n"/>
      <c r="AM483" s="43" t="n"/>
      <c r="AN483" s="50" t="n">
        <v>0.25</v>
      </c>
      <c r="AO483" s="45">
        <f>IF(AK483="","",AK483*AN483)</f>
        <v/>
      </c>
      <c r="AP483" s="45">
        <f>IF(OR(AK483="",V483=0),"",MIN(IF(AX483="",9.9E+99,AX483),FLOOR(AO483/V483,1)))</f>
        <v/>
      </c>
      <c r="AQ483" s="49">
        <f>IF(AP483="","",AP483*IF(ABS(MOD(ABS((X483)),1)-0.5)&lt;1E-9,2*ROUND((X483)/2,0),ROUND((X483),0)))</f>
        <v/>
      </c>
      <c r="AR483" s="47">
        <f>IF(OR(AK483="",V483=0),"",MIN(IF(AX483="",9.9E+99,AX483),AO483/V483))</f>
        <v/>
      </c>
      <c r="AS483" s="49">
        <f>IF(AR483="","",AR483*IF(B483="South Korea",IF(ABS(MOD(ABS((X483)),1)-0.5)&lt;1E-9,2*ROUND((X483)/2,0),ROUND((X483),0)),X483))</f>
        <v/>
      </c>
      <c r="AT483" s="51" t="n"/>
      <c r="AU483" s="43" t="inlineStr">
        <is>
          <t>Grounded</t>
        </is>
      </c>
      <c r="AV483" s="52" t="n"/>
      <c r="AW483" s="52" t="n"/>
      <c r="AX483" s="53" t="n"/>
      <c r="AY483" s="54">
        <f>IF(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&lt;=0,"",VLOOKUP(B483,country_opex,7,FALSE)/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)</f>
        <v/>
      </c>
      <c r="AZ483" s="54">
        <f>IF(((W483*pax_cap*IF(B483="South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Korea",korea_mid_revleg,revleg_mid)),0))*VLOOKUP(B483,country_opex,3,FALSE))+Z483+AA483+AB483+AC483+AD483))&lt;=0,"",VLOOKUP(B483,country_opex,7,FALSE)/((W483*pax_cap*IF(B483="South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Korea",korea_mid_revleg,revleg_mid)),0))*VLOOKUP(B483,country_opex,3,FALSE))+Z483+AA483+AB483+AC483+AD483)))</f>
        <v/>
      </c>
      <c r="BA483" s="54">
        <f>IF(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&lt;=0,"",VLOOKUP(B483,country_opex,7,FALSE)/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)</f>
        <v/>
      </c>
      <c r="BB48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C483" s="40" t="n"/>
      <c r="BD483" s="43" t="inlineStr">
        <is>
          <t>rn-dc3e2f90d207</t>
        </is>
      </c>
    </row>
    <row r="484">
      <c r="A484" s="38" t="inlineStr">
        <is>
          <t>Singapore</t>
        </is>
      </c>
      <c r="B484" s="38" t="inlineStr">
        <is>
          <t>Singapore</t>
        </is>
      </c>
      <c r="C484" s="39" t="inlineStr">
        <is>
          <t>Marina Bay → Changi Point / Pulau Ubin</t>
        </is>
      </c>
      <c r="D484" s="38" t="inlineStr">
        <is>
          <t>grab</t>
        </is>
      </c>
      <c r="E484" s="40" t="inlineStr">
        <is>
          <t>singapore</t>
        </is>
      </c>
      <c r="F484" s="41" t="n">
        <v>1</v>
      </c>
      <c r="G484" s="42" t="n">
        <v>14.2</v>
      </c>
      <c r="H484" s="35" t="n">
        <v>28</v>
      </c>
      <c r="I484" s="43" t="inlineStr">
        <is>
          <t>T5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IF(B484="South Korea",G484/korea_charge_range_nm*korea_full_range_charge_min,0)</f>
        <v/>
      </c>
      <c r="N484" s="44">
        <f>IF(B484="South Korea",L484+korea_turn_min+korea_dwell_min+M484,L484+turn_min+dwell_min)</f>
        <v/>
      </c>
      <c r="O484" s="45">
        <f>IF(B484="South Korea",FLOOR(60*korea_service_hr/N484,1),MIN(15,FLOOR(60*service_hr/N484,1)))</f>
        <v/>
      </c>
      <c r="P484" s="45">
        <f>IF(ABS(MOD(ABS((365*mech_uptime*K484)),1)-0.5)&lt;1E-9,2*ROUND((365*mech_uptime*K484)/2,0),ROUND((365*mech_uptime*K484),0))</f>
        <v/>
      </c>
      <c r="Q484" s="46">
        <f>mech_uptime</f>
        <v/>
      </c>
      <c r="R484" s="46">
        <f>IF(AND(B484="South Korea",scenario="MID"),korea_mid_revleg,revleg_sel)</f>
        <v/>
      </c>
      <c r="S484" s="45">
        <f>IF(ABS(MOD(ABS((O484*P484*R484)),1)-0.5)&lt;1E-9,2*ROUND((O484*P484*R484)/2,0),ROUND((O484*P484*R484),0))</f>
        <v/>
      </c>
      <c r="T484" s="46">
        <f>IF(AND(B484="South Korea",scenario="MID"),korea_mid_load,load_sel)</f>
        <v/>
      </c>
      <c r="U484" s="47">
        <f>pax_cap*T484</f>
        <v/>
      </c>
      <c r="V484" s="45">
        <f>U484*S484</f>
        <v/>
      </c>
      <c r="W484" s="48">
        <f>H484*discount</f>
        <v/>
      </c>
      <c r="X484" s="49">
        <f>W484*V484</f>
        <v/>
      </c>
      <c r="Y484" s="49">
        <f>(battery/range_nm)*G484*S484*VLOOKUP(B484,country_opex,3,FALSE)</f>
        <v/>
      </c>
      <c r="Z484" s="49">
        <f>VLOOKUP(B484,country_opex,2,FALSE)*crew_factor</f>
        <v/>
      </c>
      <c r="AA484" s="49">
        <f>VLOOKUP(B484,country_opex,5,FALSE)</f>
        <v/>
      </c>
      <c r="AB484" s="49">
        <f>maint</f>
        <v/>
      </c>
      <c r="AC484" s="49">
        <f>VLOOKUP(B484,country_opex,7,FALSE)*ins_pct</f>
        <v/>
      </c>
      <c r="AD484" s="49">
        <f>charge_berth</f>
        <v/>
      </c>
      <c r="AE484" s="49">
        <f>Y484+Z484+AA484+AB484+AC484+AD484</f>
        <v/>
      </c>
      <c r="AF484" s="49">
        <f>VLOOKUP(B484,country_opex,7,FALSE)/dep_years</f>
        <v/>
      </c>
      <c r="AG484" s="49">
        <f>X484-AE484</f>
        <v/>
      </c>
      <c r="AH484" s="46">
        <f>IF(X484=0,"",AG484/X484)</f>
        <v/>
      </c>
      <c r="AI484" s="47">
        <f>IF(AG484&lt;=0,"",VLOOKUP(B484,country_opex,7,FALSE)/AG484)</f>
        <v/>
      </c>
      <c r="AJ484" s="44">
        <f>((G484*S484/diesel_nmpg)*diesel_co2pg-(battery/range_nm)*G484*S484*VLOOKUP(B484,country_opex,4,FALSE))/1000</f>
        <v/>
      </c>
      <c r="AK484" s="42" t="n">
        <v>30000</v>
      </c>
      <c r="AL484" s="43" t="n"/>
      <c r="AM484" s="43" t="n"/>
      <c r="AN484" s="50" t="n">
        <v>0.25</v>
      </c>
      <c r="AO484" s="45">
        <f>IF(AK484="","",AK484*AN484)</f>
        <v/>
      </c>
      <c r="AP484" s="45">
        <f>IF(OR(AK484="",V484=0),"",MIN(IF(AX484="",9.9E+99,AX484),FLOOR(AO484/V484,1)))</f>
        <v/>
      </c>
      <c r="AQ484" s="49">
        <f>IF(AP484="","",AP484*IF(ABS(MOD(ABS((X484)),1)-0.5)&lt;1E-9,2*ROUND((X484)/2,0),ROUND((X484),0)))</f>
        <v/>
      </c>
      <c r="AR484" s="47">
        <f>IF(OR(AK484="",V484=0),"",MIN(IF(AX484="",9.9E+99,AX484),AO484/V484))</f>
        <v/>
      </c>
      <c r="AS484" s="49">
        <f>IF(AR484="","",AR484*IF(B484="South Korea",IF(ABS(MOD(ABS((X484)),1)-0.5)&lt;1E-9,2*ROUND((X484)/2,0),ROUND((X484),0)),X484))</f>
        <v/>
      </c>
      <c r="AT484" s="51" t="n"/>
      <c r="AU484" s="43" t="inlineStr">
        <is>
          <t>Grounded</t>
        </is>
      </c>
      <c r="AV484" s="52" t="n"/>
      <c r="AW484" s="52" t="n"/>
      <c r="AX484" s="53" t="n"/>
      <c r="AY484" s="54">
        <f>IF(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&lt;=0,"",VLOOKUP(B484,country_opex,7,FALSE)/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)</f>
        <v/>
      </c>
      <c r="AZ484" s="54">
        <f>IF(((W484*pax_cap*IF(B484="South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Korea",korea_mid_revleg,revleg_mid)),0))*VLOOKUP(B484,country_opex,3,FALSE))+Z484+AA484+AB484+AC484+AD484))&lt;=0,"",VLOOKUP(B484,country_opex,7,FALSE)/((W484*pax_cap*IF(B484="South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Korea",korea_mid_revleg,revleg_mid)),0))*VLOOKUP(B484,country_opex,3,FALSE))+Z484+AA484+AB484+AC484+AD484)))</f>
        <v/>
      </c>
      <c r="BA484" s="54">
        <f>IF(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&lt;=0,"",VLOOKUP(B484,country_opex,7,FALSE)/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)</f>
        <v/>
      </c>
      <c r="BB48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C484" s="40" t="n"/>
      <c r="BD484" s="43" t="inlineStr">
        <is>
          <t>rn-e94c308a28e3</t>
        </is>
      </c>
    </row>
    <row r="485">
      <c r="A485" s="38" t="inlineStr">
        <is>
          <t>Singapore</t>
        </is>
      </c>
      <c r="B485" s="38" t="inlineStr">
        <is>
          <t>Singapore</t>
        </is>
      </c>
      <c r="C485" s="39" t="inlineStr">
        <is>
          <t>Changi Airport (via Changi Point pier access) → Marina Bay (CBD / hotel belt)</t>
        </is>
      </c>
      <c r="D485" s="38" t="inlineStr">
        <is>
          <t>grab</t>
        </is>
      </c>
      <c r="E485" s="40" t="inlineStr">
        <is>
          <t>singapore</t>
        </is>
      </c>
      <c r="F485" s="41" t="n">
        <v>1</v>
      </c>
      <c r="G485" s="42" t="n">
        <v>16</v>
      </c>
      <c r="H485" s="35" t="n">
        <v>30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IF(B485="South Korea",G485/korea_charge_range_nm*korea_full_range_charge_min,0)</f>
        <v/>
      </c>
      <c r="N485" s="44">
        <f>IF(B485="South Korea",L485+korea_turn_min+korea_dwell_min+M485,L485+turn_min+dwell_min)</f>
        <v/>
      </c>
      <c r="O485" s="45">
        <f>IF(B485="South Korea",FLOOR(60*korea_service_hr/N485,1),MIN(24,FLOOR(60*service_hr/N485,1)))</f>
        <v/>
      </c>
      <c r="P485" s="45">
        <f>IF(ABS(MOD(ABS((365*mech_uptime*K485)),1)-0.5)&lt;1E-9,2*ROUND((365*mech_uptime*K485)/2,0),ROUND((365*mech_uptime*K485),0))</f>
        <v/>
      </c>
      <c r="Q485" s="46">
        <f>mech_uptime</f>
        <v/>
      </c>
      <c r="R485" s="46">
        <f>IF(AND(B485="South Korea",scenario="MID"),korea_mid_revleg,revleg_sel)</f>
        <v/>
      </c>
      <c r="S485" s="45">
        <f>IF(ABS(MOD(ABS((O485*P485*R485)),1)-0.5)&lt;1E-9,2*ROUND((O485*P485*R485)/2,0),ROUND((O485*P485*R485),0))</f>
        <v/>
      </c>
      <c r="T485" s="46">
        <f>IF(AND(B485="South Korea",scenario="MID"),korea_mid_load,load_sel)</f>
        <v/>
      </c>
      <c r="U485" s="47">
        <f>pax_cap*T485</f>
        <v/>
      </c>
      <c r="V485" s="45">
        <f>U485*S485</f>
        <v/>
      </c>
      <c r="W485" s="48">
        <f>H485*discount</f>
        <v/>
      </c>
      <c r="X485" s="49">
        <f>W485*V485</f>
        <v/>
      </c>
      <c r="Y485" s="49">
        <f>(battery/range_nm)*G485*S485*VLOOKUP(B485,country_opex,3,FALSE)</f>
        <v/>
      </c>
      <c r="Z485" s="49">
        <f>VLOOKUP(B485,country_opex,2,FALSE)*crew_factor</f>
        <v/>
      </c>
      <c r="AA485" s="49">
        <f>VLOOKUP(B485,country_opex,5,FALSE)</f>
        <v/>
      </c>
      <c r="AB485" s="49">
        <f>maint</f>
        <v/>
      </c>
      <c r="AC485" s="49">
        <f>VLOOKUP(B485,country_opex,7,FALSE)*ins_pct</f>
        <v/>
      </c>
      <c r="AD485" s="49">
        <f>charge_berth</f>
        <v/>
      </c>
      <c r="AE485" s="49">
        <f>Y485+Z485+AA485+AB485+AC485+AD485</f>
        <v/>
      </c>
      <c r="AF485" s="49">
        <f>VLOOKUP(B485,country_opex,7,FALSE)/dep_years</f>
        <v/>
      </c>
      <c r="AG485" s="49">
        <f>X485-AE485</f>
        <v/>
      </c>
      <c r="AH485" s="46">
        <f>IF(X485=0,"",AG485/X485)</f>
        <v/>
      </c>
      <c r="AI485" s="47">
        <f>IF(AG485&lt;=0,"",VLOOKUP(B485,country_opex,7,FALSE)/AG485)</f>
        <v/>
      </c>
      <c r="AJ485" s="44">
        <f>((G485*S485/diesel_nmpg)*diesel_co2pg-(battery/range_nm)*G485*S485*VLOOKUP(B485,country_opex,4,FALSE))/1000</f>
        <v/>
      </c>
      <c r="AK485" s="42" t="n">
        <v>18370</v>
      </c>
      <c r="AL485" s="43" t="n"/>
      <c r="AM485" s="43" t="n"/>
      <c r="AN485" s="50" t="n">
        <v>1</v>
      </c>
      <c r="AO485" s="45">
        <f>IF(AK485="","",AK485*AN485)</f>
        <v/>
      </c>
      <c r="AP485" s="45">
        <f>IF(OR(AK485="",V485=0),"",MIN(IF(AX485="",9.9E+99,AX485),FLOOR(AO485/V485,1)))</f>
        <v/>
      </c>
      <c r="AQ485" s="49">
        <f>IF(AP485="","",AP485*IF(ABS(MOD(ABS((X485)),1)-0.5)&lt;1E-9,2*ROUND((X485)/2,0),ROUND((X485),0)))</f>
        <v/>
      </c>
      <c r="AR485" s="47">
        <f>IF(OR(AK485="",V485=0),"",MIN(IF(AX485="",9.9E+99,AX485),AO485/V485))</f>
        <v/>
      </c>
      <c r="AS485" s="49">
        <f>IF(AR485="","",AR485*IF(B485="South Korea",IF(ABS(MOD(ABS((X485)),1)-0.5)&lt;1E-9,2*ROUND((X485)/2,0),ROUND((X485),0)),X485))</f>
        <v/>
      </c>
      <c r="AT485" s="51" t="n"/>
      <c r="AU485" s="43" t="inlineStr">
        <is>
          <t>Upside tier</t>
        </is>
      </c>
      <c r="AV485" s="52" t="n"/>
      <c r="AW485" s="52" t="inlineStr">
        <is>
          <t>modal_shift_greenfield</t>
        </is>
      </c>
      <c r="AX485" s="53" t="n"/>
      <c r="AY485" s="54">
        <f>IF(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&lt;=0,"",VLOOKUP(B485,country_opex,7,FALSE)/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)</f>
        <v/>
      </c>
      <c r="AZ485" s="54">
        <f>IF(((W485*pax_cap*IF(B485="South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Korea",korea_mid_revleg,revleg_mid)),0))*VLOOKUP(B485,country_opex,3,FALSE))+Z485+AA485+AB485+AC485+AD485))&lt;=0,"",VLOOKUP(B485,country_opex,7,FALSE)/((W485*pax_cap*IF(B485="South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Korea",korea_mid_revleg,revleg_mid)),0))*VLOOKUP(B485,country_opex,3,FALSE))+Z485+AA485+AB485+AC485+AD485)))</f>
        <v/>
      </c>
      <c r="BA485" s="54">
        <f>IF(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&lt;=0,"",VLOOKUP(B485,country_opex,7,FALSE)/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)</f>
        <v/>
      </c>
      <c r="BB485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C485" s="40" t="n"/>
      <c r="BD485" s="43" t="n"/>
    </row>
    <row r="486">
      <c r="A486" s="38" t="inlineStr">
        <is>
          <t>Singapore</t>
        </is>
      </c>
      <c r="B486" s="38" t="inlineStr">
        <is>
          <t>Singapore</t>
        </is>
      </c>
      <c r="C486" s="39" t="inlineStr">
        <is>
          <t>Punggol (Punggol Point / Marina Country Club) → Marina Bay (CBD)</t>
        </is>
      </c>
      <c r="D486" s="38" t="inlineStr">
        <is>
          <t>grab</t>
        </is>
      </c>
      <c r="E486" s="40" t="inlineStr">
        <is>
          <t>singapore</t>
        </is>
      </c>
      <c r="F486" s="41" t="n">
        <v>1</v>
      </c>
      <c r="G486" s="42" t="n">
        <v>17</v>
      </c>
      <c r="H486" s="35" t="n">
        <v>11</v>
      </c>
      <c r="I486" s="43" t="inlineStr">
        <is>
          <t>T3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IF(B486="South Korea",G486/korea_charge_range_nm*korea_full_range_charge_min,0)</f>
        <v/>
      </c>
      <c r="N486" s="44">
        <f>IF(B486="South Korea",L486+korea_turn_min+korea_dwell_min+M486,L486+turn_min+dwell_min)</f>
        <v/>
      </c>
      <c r="O486" s="45">
        <f>IF(B486="South Korea",FLOOR(60*korea_service_hr/N486,1),MIN(24,FLOOR(60*service_hr/N486,1)))</f>
        <v/>
      </c>
      <c r="P486" s="45">
        <f>IF(ABS(MOD(ABS((365*mech_uptime*K486)),1)-0.5)&lt;1E-9,2*ROUND((365*mech_uptime*K486)/2,0),ROUND((365*mech_uptime*K486),0))</f>
        <v/>
      </c>
      <c r="Q486" s="46">
        <f>mech_uptime</f>
        <v/>
      </c>
      <c r="R486" s="46">
        <f>IF(AND(B486="South Korea",scenario="MID"),korea_mid_revleg,revleg_sel)</f>
        <v/>
      </c>
      <c r="S486" s="45">
        <f>IF(ABS(MOD(ABS((O486*P486*R486)),1)-0.5)&lt;1E-9,2*ROUND((O486*P486*R486)/2,0),ROUND((O486*P486*R486),0))</f>
        <v/>
      </c>
      <c r="T486" s="46">
        <f>IF(AND(B486="South Korea",scenario="MID"),korea_mid_load,load_sel)</f>
        <v/>
      </c>
      <c r="U486" s="47">
        <f>pax_cap*T486</f>
        <v/>
      </c>
      <c r="V486" s="45">
        <f>U486*S486</f>
        <v/>
      </c>
      <c r="W486" s="48">
        <f>H486*discount</f>
        <v/>
      </c>
      <c r="X486" s="49">
        <f>W486*V486</f>
        <v/>
      </c>
      <c r="Y486" s="49">
        <f>(battery/range_nm)*G486*S486*VLOOKUP(B486,country_opex,3,FALSE)</f>
        <v/>
      </c>
      <c r="Z486" s="49">
        <f>VLOOKUP(B486,country_opex,2,FALSE)*crew_factor</f>
        <v/>
      </c>
      <c r="AA486" s="49">
        <f>VLOOKUP(B486,country_opex,5,FALSE)</f>
        <v/>
      </c>
      <c r="AB486" s="49">
        <f>maint</f>
        <v/>
      </c>
      <c r="AC486" s="49">
        <f>VLOOKUP(B486,country_opex,7,FALSE)*ins_pct</f>
        <v/>
      </c>
      <c r="AD486" s="49">
        <f>charge_berth</f>
        <v/>
      </c>
      <c r="AE486" s="49">
        <f>Y486+Z486+AA486+AB486+AC486+AD486</f>
        <v/>
      </c>
      <c r="AF486" s="49">
        <f>VLOOKUP(B486,country_opex,7,FALSE)/dep_years</f>
        <v/>
      </c>
      <c r="AG486" s="49">
        <f>X486-AE486</f>
        <v/>
      </c>
      <c r="AH486" s="46">
        <f>IF(X486=0,"",AG486/X486)</f>
        <v/>
      </c>
      <c r="AI486" s="47">
        <f>IF(AG486&lt;=0,"",VLOOKUP(B486,country_opex,7,FALSE)/AG486)</f>
        <v/>
      </c>
      <c r="AJ486" s="44">
        <f>((G486*S486/diesel_nmpg)*diesel_co2pg-(battery/range_nm)*G486*S486*VLOOKUP(B486,country_opex,4,FALSE))/1000</f>
        <v/>
      </c>
      <c r="AK486" s="42" t="n">
        <v>15199</v>
      </c>
      <c r="AL486" s="43" t="n"/>
      <c r="AM486" s="43" t="n"/>
      <c r="AN486" s="50" t="n">
        <v>1</v>
      </c>
      <c r="AO486" s="45">
        <f>IF(AK486="","",AK486*AN486)</f>
        <v/>
      </c>
      <c r="AP486" s="45">
        <f>IF(OR(AK486="",V486=0),"",MIN(IF(AX486="",9.9E+99,AX486),FLOOR(AO486/V486,1)))</f>
        <v/>
      </c>
      <c r="AQ486" s="49">
        <f>IF(AP486="","",AP486*IF(ABS(MOD(ABS((X486)),1)-0.5)&lt;1E-9,2*ROUND((X486)/2,0),ROUND((X486),0)))</f>
        <v/>
      </c>
      <c r="AR486" s="47">
        <f>IF(OR(AK486="",V486=0),"",MIN(IF(AX486="",9.9E+99,AX486),AO486/V486))</f>
        <v/>
      </c>
      <c r="AS486" s="49">
        <f>IF(AR486="","",AR486*IF(B486="South Korea",IF(ABS(MOD(ABS((X486)),1)-0.5)&lt;1E-9,2*ROUND((X486)/2,0),ROUND((X486),0)),X486))</f>
        <v/>
      </c>
      <c r="AT486" s="51" t="n"/>
      <c r="AU486" s="43" t="inlineStr">
        <is>
          <t>Upside tier</t>
        </is>
      </c>
      <c r="AV486" s="52" t="n"/>
      <c r="AW486" s="52" t="inlineStr">
        <is>
          <t>modal_shift_greenfield</t>
        </is>
      </c>
      <c r="AX486" s="53" t="n"/>
      <c r="AY486" s="54">
        <f>IF(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&lt;=0,"",VLOOKUP(B486,country_opex,7,FALSE)/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)</f>
        <v/>
      </c>
      <c r="AZ486" s="54">
        <f>IF(((W486*pax_cap*IF(B486="South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Korea",korea_mid_revleg,revleg_mid)),0))*VLOOKUP(B486,country_opex,3,FALSE))+Z486+AA486+AB486+AC486+AD486))&lt;=0,"",VLOOKUP(B486,country_opex,7,FALSE)/((W486*pax_cap*IF(B486="South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Korea",korea_mid_revleg,revleg_mid)),0))*VLOOKUP(B486,country_opex,3,FALSE))+Z486+AA486+AB486+AC486+AD486)))</f>
        <v/>
      </c>
      <c r="BA486" s="54">
        <f>IF(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&lt;=0,"",VLOOKUP(B486,country_opex,7,FALSE)/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)</f>
        <v/>
      </c>
      <c r="BB486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C486" s="40" t="n"/>
      <c r="BD486" s="43" t="n"/>
    </row>
    <row r="487">
      <c r="A487" s="38" t="inlineStr">
        <is>
          <t>Singapore</t>
        </is>
      </c>
      <c r="B487" s="38" t="inlineStr">
        <is>
          <t>Singapore</t>
        </is>
      </c>
      <c r="C487" s="39" t="inlineStr">
        <is>
          <t>Marina South Pier → Pulau Ubin Jetty</t>
        </is>
      </c>
      <c r="D487" s="38" t="inlineStr">
        <is>
          <t>grab</t>
        </is>
      </c>
      <c r="E487" s="40" t="inlineStr">
        <is>
          <t>singapore</t>
        </is>
      </c>
      <c r="F487" s="41" t="n">
        <v>1</v>
      </c>
      <c r="G487" s="42" t="n">
        <v>20.45</v>
      </c>
      <c r="H487" s="35" t="n">
        <v>18</v>
      </c>
      <c r="I487" s="43" t="inlineStr">
        <is>
          <t>T3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IF(B487="South Korea",G487/korea_charge_range_nm*korea_full_range_charge_min,0)</f>
        <v/>
      </c>
      <c r="N487" s="44">
        <f>IF(B487="South Korea",L487+korea_turn_min+korea_dwell_min+M487,L487+turn_min+dwell_min)</f>
        <v/>
      </c>
      <c r="O487" s="45">
        <f>IF(B487="South Korea",FLOOR(60*korea_service_hr/N487,1),MIN(15,FLOOR(60*service_hr/N487,1)))</f>
        <v/>
      </c>
      <c r="P487" s="45">
        <f>IF(ABS(MOD(ABS((365*mech_uptime*K487)),1)-0.5)&lt;1E-9,2*ROUND((365*mech_uptime*K487)/2,0),ROUND((365*mech_uptime*K487),0))</f>
        <v/>
      </c>
      <c r="Q487" s="46">
        <f>mech_uptime</f>
        <v/>
      </c>
      <c r="R487" s="46">
        <f>IF(AND(B487="South Korea",scenario="MID"),korea_mid_revleg,revleg_sel)</f>
        <v/>
      </c>
      <c r="S487" s="45">
        <f>IF(ABS(MOD(ABS((O487*P487*R487)),1)-0.5)&lt;1E-9,2*ROUND((O487*P487*R487)/2,0),ROUND((O487*P487*R487),0))</f>
        <v/>
      </c>
      <c r="T487" s="46">
        <f>IF(AND(B487="South Korea",scenario="MID"),korea_mid_load,load_sel)</f>
        <v/>
      </c>
      <c r="U487" s="47">
        <f>pax_cap*T487</f>
        <v/>
      </c>
      <c r="V487" s="45">
        <f>U487*S487</f>
        <v/>
      </c>
      <c r="W487" s="48">
        <f>H487*discount</f>
        <v/>
      </c>
      <c r="X487" s="49">
        <f>W487*V487</f>
        <v/>
      </c>
      <c r="Y487" s="49">
        <f>(battery/range_nm)*G487*S487*VLOOKUP(B487,country_opex,3,FALSE)</f>
        <v/>
      </c>
      <c r="Z487" s="49">
        <f>VLOOKUP(B487,country_opex,2,FALSE)*crew_factor</f>
        <v/>
      </c>
      <c r="AA487" s="49">
        <f>VLOOKUP(B487,country_opex,5,FALSE)</f>
        <v/>
      </c>
      <c r="AB487" s="49">
        <f>maint</f>
        <v/>
      </c>
      <c r="AC487" s="49">
        <f>VLOOKUP(B487,country_opex,7,FALSE)*ins_pct</f>
        <v/>
      </c>
      <c r="AD487" s="49">
        <f>charge_berth</f>
        <v/>
      </c>
      <c r="AE487" s="49">
        <f>Y487+Z487+AA487+AB487+AC487+AD487</f>
        <v/>
      </c>
      <c r="AF487" s="49">
        <f>VLOOKUP(B487,country_opex,7,FALSE)/dep_years</f>
        <v/>
      </c>
      <c r="AG487" s="49">
        <f>X487-AE487</f>
        <v/>
      </c>
      <c r="AH487" s="46">
        <f>IF(X487=0,"",AG487/X487)</f>
        <v/>
      </c>
      <c r="AI487" s="47">
        <f>IF(AG487&lt;=0,"",VLOOKUP(B487,country_opex,7,FALSE)/AG487)</f>
        <v/>
      </c>
      <c r="AJ487" s="44">
        <f>((G487*S487/diesel_nmpg)*diesel_co2pg-(battery/range_nm)*G487*S487*VLOOKUP(B487,country_opex,4,FALSE))/1000</f>
        <v/>
      </c>
      <c r="AK487" s="42" t="n">
        <v>105000</v>
      </c>
      <c r="AL487" s="43" t="n"/>
      <c r="AM487" s="43" t="n"/>
      <c r="AN487" s="50" t="n">
        <v>0.25</v>
      </c>
      <c r="AO487" s="45">
        <f>IF(AK487="","",AK487*AN487)</f>
        <v/>
      </c>
      <c r="AP487" s="45">
        <f>IF(OR(AK487="",V487=0),"",MIN(IF(AX487="",9.9E+99,AX487),FLOOR(AO487/V487,1)))</f>
        <v/>
      </c>
      <c r="AQ487" s="49">
        <f>IF(AP487="","",AP487*IF(ABS(MOD(ABS((X487)),1)-0.5)&lt;1E-9,2*ROUND((X487)/2,0),ROUND((X487),0)))</f>
        <v/>
      </c>
      <c r="AR487" s="47">
        <f>IF(OR(AK487="",V487=0),"",MIN(IF(AX487="",9.9E+99,AX487),AO487/V487))</f>
        <v/>
      </c>
      <c r="AS487" s="49">
        <f>IF(AR487="","",AR487*IF(B487="South Korea",IF(ABS(MOD(ABS((X487)),1)-0.5)&lt;1E-9,2*ROUND((X487)/2,0),ROUND((X487),0)),X487))</f>
        <v/>
      </c>
      <c r="AT487" s="51" t="n"/>
      <c r="AU487" s="43" t="inlineStr">
        <is>
          <t>Grounded</t>
        </is>
      </c>
      <c r="AV487" s="52" t="n"/>
      <c r="AW487" s="52" t="n"/>
      <c r="AX487" s="53" t="n"/>
      <c r="AY487" s="54">
        <f>IF(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&lt;=0,"",VLOOKUP(B487,country_opex,7,FALSE)/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)</f>
        <v/>
      </c>
      <c r="AZ487" s="54">
        <f>IF(((W487*pax_cap*IF(B487="South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Korea",korea_mid_revleg,revleg_mid)),0))*VLOOKUP(B487,country_opex,3,FALSE))+Z487+AA487+AB487+AC487+AD487))&lt;=0,"",VLOOKUP(B487,country_opex,7,FALSE)/((W487*pax_cap*IF(B487="South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Korea",korea_mid_revleg,revleg_mid)),0))*VLOOKUP(B487,country_opex,3,FALSE))+Z487+AA487+AB487+AC487+AD487)))</f>
        <v/>
      </c>
      <c r="BA487" s="54">
        <f>IF(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&lt;=0,"",VLOOKUP(B487,country_opex,7,FALSE)/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)</f>
        <v/>
      </c>
      <c r="BB487" s="40" t="n"/>
      <c r="BC487" s="40" t="n"/>
      <c r="BD487" s="43" t="n"/>
    </row>
    <row r="488">
      <c r="A488" s="38" t="inlineStr">
        <is>
          <t>Cross-Border</t>
        </is>
      </c>
      <c r="B488" s="38" t="inlineStr">
        <is>
          <t>Singapore</t>
        </is>
      </c>
      <c r="C488" s="39" t="inlineStr">
        <is>
          <t>Singapore → Bintan (Lagoi resort zone)</t>
        </is>
      </c>
      <c r="D488" s="38" t="inlineStr">
        <is>
          <t>grab</t>
        </is>
      </c>
      <c r="E488" s="40" t="inlineStr">
        <is>
          <t>cross-border</t>
        </is>
      </c>
      <c r="F488" s="41" t="n">
        <v>1</v>
      </c>
      <c r="G488" s="42" t="n">
        <v>21.9</v>
      </c>
      <c r="H488" s="35" t="n">
        <v>69</v>
      </c>
      <c r="I488" s="43" t="inlineStr">
        <is>
          <t>T1</t>
        </is>
      </c>
      <c r="J488" s="43" t="inlineStr">
        <is>
          <t>high</t>
        </is>
      </c>
      <c r="K488" s="29" t="n">
        <v>1</v>
      </c>
      <c r="L488" s="44">
        <f>60*G488/cruise_kt</f>
        <v/>
      </c>
      <c r="M488" s="44">
        <f>IF(B488="South Korea",G488/korea_charge_range_nm*korea_full_range_charge_min,0)</f>
        <v/>
      </c>
      <c r="N488" s="44">
        <f>IF(B488="South Korea",L488+korea_turn_min+korea_dwell_min+M488,L488+turn_min+dwell_min)</f>
        <v/>
      </c>
      <c r="O488" s="45">
        <f>IF(B488="South Korea",FLOOR(60*korea_service_hr/N488,1),MIN(15,FLOOR(60*service_hr/N488,1)))</f>
        <v/>
      </c>
      <c r="P488" s="45">
        <f>IF(ABS(MOD(ABS((365*mech_uptime*K488)),1)-0.5)&lt;1E-9,2*ROUND((365*mech_uptime*K488)/2,0),ROUND((365*mech_uptime*K488),0))</f>
        <v/>
      </c>
      <c r="Q488" s="46">
        <f>mech_uptime</f>
        <v/>
      </c>
      <c r="R488" s="46">
        <f>IF(AND(B488="South Korea",scenario="MID"),korea_mid_revleg,revleg_sel)</f>
        <v/>
      </c>
      <c r="S488" s="45">
        <f>IF(ABS(MOD(ABS((O488*P488*R488)),1)-0.5)&lt;1E-9,2*ROUND((O488*P488*R488)/2,0),ROUND((O488*P488*R488),0))</f>
        <v/>
      </c>
      <c r="T488" s="46">
        <f>IF(AND(B488="South Korea",scenario="MID"),korea_mid_load,load_sel)</f>
        <v/>
      </c>
      <c r="U488" s="47">
        <f>pax_cap*T488</f>
        <v/>
      </c>
      <c r="V488" s="45">
        <f>U488*S488</f>
        <v/>
      </c>
      <c r="W488" s="48">
        <f>H488*discount</f>
        <v/>
      </c>
      <c r="X488" s="49">
        <f>W488*V488</f>
        <v/>
      </c>
      <c r="Y488" s="49">
        <f>(battery/range_nm)*G488*S488*VLOOKUP(B488,country_opex,3,FALSE)</f>
        <v/>
      </c>
      <c r="Z488" s="49">
        <f>VLOOKUP(B488,country_opex,2,FALSE)*crew_factor</f>
        <v/>
      </c>
      <c r="AA488" s="49">
        <f>VLOOKUP(B488,country_opex,5,FALSE)</f>
        <v/>
      </c>
      <c r="AB488" s="49">
        <f>maint</f>
        <v/>
      </c>
      <c r="AC488" s="49">
        <f>VLOOKUP(B488,country_opex,7,FALSE)*ins_pct</f>
        <v/>
      </c>
      <c r="AD488" s="49">
        <f>charge_berth</f>
        <v/>
      </c>
      <c r="AE488" s="49">
        <f>Y488+Z488+AA488+AB488+AC488+AD488</f>
        <v/>
      </c>
      <c r="AF488" s="49">
        <f>VLOOKUP(B488,country_opex,7,FALSE)/dep_years</f>
        <v/>
      </c>
      <c r="AG488" s="49">
        <f>X488-AE488</f>
        <v/>
      </c>
      <c r="AH488" s="46">
        <f>IF(X488=0,"",AG488/X488)</f>
        <v/>
      </c>
      <c r="AI488" s="47">
        <f>IF(AG488&lt;=0,"",VLOOKUP(B488,country_opex,7,FALSE)/AG488)</f>
        <v/>
      </c>
      <c r="AJ488" s="44">
        <f>((G488*S488/diesel_nmpg)*diesel_co2pg-(battery/range_nm)*G488*S488*VLOOKUP(B488,country_opex,4,FALSE))/1000</f>
        <v/>
      </c>
      <c r="AK488" s="42" t="n">
        <v>150000</v>
      </c>
      <c r="AL488" s="43" t="n"/>
      <c r="AM488" s="43" t="n"/>
      <c r="AN488" s="50" t="n">
        <v>0.25</v>
      </c>
      <c r="AO488" s="45">
        <f>IF(AK488="","",AK488*AN488)</f>
        <v/>
      </c>
      <c r="AP488" s="45">
        <f>IF(OR(AK488="",V488=0),"",MIN(IF(AX488="",9.9E+99,AX488),FLOOR(AO488/V488,1)))</f>
        <v/>
      </c>
      <c r="AQ488" s="49">
        <f>IF(AP488="","",AP488*IF(ABS(MOD(ABS((X488)),1)-0.5)&lt;1E-9,2*ROUND((X488)/2,0),ROUND((X488),0)))</f>
        <v/>
      </c>
      <c r="AR488" s="47">
        <f>IF(OR(AK488="",V488=0),"",MIN(IF(AX488="",9.9E+99,AX488),AO488/V488))</f>
        <v/>
      </c>
      <c r="AS488" s="49">
        <f>IF(AR488="","",AR488*IF(B488="South Korea",IF(ABS(MOD(ABS((X488)),1)-0.5)&lt;1E-9,2*ROUND((X488)/2,0),ROUND((X488),0)),X488))</f>
        <v/>
      </c>
      <c r="AT488" s="51" t="n"/>
      <c r="AU488" s="43" t="inlineStr">
        <is>
          <t>Grounded</t>
        </is>
      </c>
      <c r="AV488" s="52" t="n"/>
      <c r="AW488" s="52" t="n"/>
      <c r="AX488" s="53" t="n"/>
      <c r="AY488" s="54">
        <f>IF(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&lt;=0,"",VLOOKUP(B488,country_opex,7,FALSE)/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)</f>
        <v/>
      </c>
      <c r="AZ488" s="54">
        <f>IF(((W488*pax_cap*IF(B488="South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Korea",korea_mid_revleg,revleg_mid)),0))*VLOOKUP(B488,country_opex,3,FALSE))+Z488+AA488+AB488+AC488+AD488))&lt;=0,"",VLOOKUP(B488,country_opex,7,FALSE)/((W488*pax_cap*IF(B488="South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Korea",korea_mid_revleg,revleg_mid)),0))*VLOOKUP(B488,country_opex,3,FALSE))+Z488+AA488+AB488+AC488+AD488)))</f>
        <v/>
      </c>
      <c r="BA488" s="54">
        <f>IF(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&lt;=0,"",VLOOKUP(B488,country_opex,7,FALSE)/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)</f>
        <v/>
      </c>
      <c r="BB488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C488" s="40" t="n"/>
      <c r="BD488" s="43" t="inlineStr">
        <is>
          <t>rn-f3670ea7d99b</t>
        </is>
      </c>
    </row>
    <row r="489">
      <c r="A489" s="38" t="inlineStr">
        <is>
          <t>Cross-Border</t>
        </is>
      </c>
      <c r="B489" s="38" t="inlineStr">
        <is>
          <t>Singapore</t>
        </is>
      </c>
      <c r="C489" s="39" t="inlineStr">
        <is>
          <t>Singapore → Desaru Coast / Johor</t>
        </is>
      </c>
      <c r="D489" s="38" t="inlineStr">
        <is>
          <t>grab</t>
        </is>
      </c>
      <c r="E489" s="40" t="inlineStr">
        <is>
          <t>cross-border</t>
        </is>
      </c>
      <c r="F489" s="41" t="n">
        <v>1</v>
      </c>
      <c r="G489" s="42" t="n">
        <v>29.5</v>
      </c>
      <c r="H489" s="35" t="n">
        <v>47</v>
      </c>
      <c r="I489" s="43" t="inlineStr">
        <is>
          <t>T3</t>
        </is>
      </c>
      <c r="J489" s="43" t="inlineStr">
        <is>
          <t>med</t>
        </is>
      </c>
      <c r="K489" s="29" t="n">
        <v>1</v>
      </c>
      <c r="L489" s="44">
        <f>60*G489/cruise_kt</f>
        <v/>
      </c>
      <c r="M489" s="44">
        <f>IF(B489="South Korea",G489/korea_charge_range_nm*korea_full_range_charge_min,0)</f>
        <v/>
      </c>
      <c r="N489" s="44">
        <f>IF(B489="South Korea",L489+korea_turn_min+korea_dwell_min+M489,L489+turn_min+dwell_min)</f>
        <v/>
      </c>
      <c r="O489" s="45">
        <f>IF(B489="South Korea",FLOOR(60*korea_service_hr/N489,1),MIN(15,FLOOR(60*service_hr/N489,1)))</f>
        <v/>
      </c>
      <c r="P489" s="45">
        <f>IF(ABS(MOD(ABS((365*mech_uptime*K489)),1)-0.5)&lt;1E-9,2*ROUND((365*mech_uptime*K489)/2,0),ROUND((365*mech_uptime*K489),0))</f>
        <v/>
      </c>
      <c r="Q489" s="46">
        <f>mech_uptime</f>
        <v/>
      </c>
      <c r="R489" s="46">
        <f>IF(AND(B489="South Korea",scenario="MID"),korea_mid_revleg,revleg_sel)</f>
        <v/>
      </c>
      <c r="S489" s="45">
        <f>IF(ABS(MOD(ABS((O489*P489*R489)),1)-0.5)&lt;1E-9,2*ROUND((O489*P489*R489)/2,0),ROUND((O489*P489*R489),0))</f>
        <v/>
      </c>
      <c r="T489" s="46">
        <f>IF(AND(B489="South Korea",scenario="MID"),korea_mid_load,load_sel)</f>
        <v/>
      </c>
      <c r="U489" s="47">
        <f>pax_cap*T489</f>
        <v/>
      </c>
      <c r="V489" s="45">
        <f>U489*S489</f>
        <v/>
      </c>
      <c r="W489" s="48">
        <f>H489*discount</f>
        <v/>
      </c>
      <c r="X489" s="49">
        <f>W489*V489</f>
        <v/>
      </c>
      <c r="Y489" s="49">
        <f>(battery/range_nm)*G489*S489*VLOOKUP(B489,country_opex,3,FALSE)</f>
        <v/>
      </c>
      <c r="Z489" s="49">
        <f>VLOOKUP(B489,country_opex,2,FALSE)*crew_factor</f>
        <v/>
      </c>
      <c r="AA489" s="49">
        <f>VLOOKUP(B489,country_opex,5,FALSE)</f>
        <v/>
      </c>
      <c r="AB489" s="49">
        <f>maint</f>
        <v/>
      </c>
      <c r="AC489" s="49">
        <f>VLOOKUP(B489,country_opex,7,FALSE)*ins_pct</f>
        <v/>
      </c>
      <c r="AD489" s="49">
        <f>charge_berth</f>
        <v/>
      </c>
      <c r="AE489" s="49">
        <f>Y489+Z489+AA489+AB489+AC489+AD489</f>
        <v/>
      </c>
      <c r="AF489" s="49">
        <f>VLOOKUP(B489,country_opex,7,FALSE)/dep_years</f>
        <v/>
      </c>
      <c r="AG489" s="49">
        <f>X489-AE489</f>
        <v/>
      </c>
      <c r="AH489" s="46">
        <f>IF(X489=0,"",AG489/X489)</f>
        <v/>
      </c>
      <c r="AI489" s="47">
        <f>IF(AG489&lt;=0,"",VLOOKUP(B489,country_opex,7,FALSE)/AG489)</f>
        <v/>
      </c>
      <c r="AJ489" s="44">
        <f>((G489*S489/diesel_nmpg)*diesel_co2pg-(battery/range_nm)*G489*S489*VLOOKUP(B489,country_opex,4,FALSE))/1000</f>
        <v/>
      </c>
      <c r="AK489" s="42" t="n">
        <v>22500</v>
      </c>
      <c r="AL489" s="43" t="n"/>
      <c r="AM489" s="43" t="n"/>
      <c r="AN489" s="50" t="n">
        <v>0.25</v>
      </c>
      <c r="AO489" s="45">
        <f>IF(AK489="","",AK489*AN489)</f>
        <v/>
      </c>
      <c r="AP489" s="45">
        <f>IF(OR(AK489="",V489=0),"",MIN(IF(AX489="",9.9E+99,AX489),FLOOR(AO489/V489,1)))</f>
        <v/>
      </c>
      <c r="AQ489" s="49">
        <f>IF(AP489="","",AP489*IF(ABS(MOD(ABS((X489)),1)-0.5)&lt;1E-9,2*ROUND((X489)/2,0),ROUND((X489),0)))</f>
        <v/>
      </c>
      <c r="AR489" s="47">
        <f>IF(OR(AK489="",V489=0),"",MIN(IF(AX489="",9.9E+99,AX489),AO489/V489))</f>
        <v/>
      </c>
      <c r="AS489" s="49">
        <f>IF(AR489="","",AR489*IF(B489="South Korea",IF(ABS(MOD(ABS((X489)),1)-0.5)&lt;1E-9,2*ROUND((X489)/2,0),ROUND((X489),0)),X489))</f>
        <v/>
      </c>
      <c r="AT489" s="51" t="n"/>
      <c r="AU489" s="43" t="inlineStr">
        <is>
          <t>Grounded</t>
        </is>
      </c>
      <c r="AV489" s="52" t="n"/>
      <c r="AW489" s="52" t="n"/>
      <c r="AX489" s="53" t="n"/>
      <c r="AY489" s="54">
        <f>IF(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&lt;=0,"",VLOOKUP(B489,country_opex,7,FALSE)/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)</f>
        <v/>
      </c>
      <c r="AZ489" s="54">
        <f>IF(((W489*pax_cap*IF(B489="South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Korea",korea_mid_revleg,revleg_mid)),0))*VLOOKUP(B489,country_opex,3,FALSE))+Z489+AA489+AB489+AC489+AD489))&lt;=0,"",VLOOKUP(B489,country_opex,7,FALSE)/((W489*pax_cap*IF(B489="South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Korea",korea_mid_revleg,revleg_mid)),0))*VLOOKUP(B489,country_opex,3,FALSE))+Z489+AA489+AB489+AC489+AD489)))</f>
        <v/>
      </c>
      <c r="BA489" s="54">
        <f>IF(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&lt;=0,"",VLOOKUP(B489,country_opex,7,FALSE)/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)</f>
        <v/>
      </c>
      <c r="BB489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C489" s="40" t="n"/>
      <c r="BD489" s="43" t="inlineStr">
        <is>
          <t>rn-5d1a30fbb0a9</t>
        </is>
      </c>
    </row>
    <row r="490">
      <c r="A490" s="38" t="inlineStr">
        <is>
          <t>Korea Kakao Mobility</t>
        </is>
      </c>
      <c r="B490" s="38" t="inlineStr">
        <is>
          <t>South Korea</t>
        </is>
      </c>
      <c r="C490" s="39" t="inlineStr">
        <is>
          <t>Oksu Pier → Apgujeong Pier</t>
        </is>
      </c>
      <c r="D490" s="38" t="inlineStr">
        <is>
          <t>kakao-mobility</t>
        </is>
      </c>
      <c r="E490" s="40" t="inlineStr">
        <is>
          <t>korea-kakao-mobility, korea-naver, korea-swing</t>
        </is>
      </c>
      <c r="F490" s="41" t="n">
        <v>3</v>
      </c>
      <c r="G490" s="42" t="n">
        <v>1.1</v>
      </c>
      <c r="H490" s="35" t="n">
        <v>18</v>
      </c>
      <c r="I490" s="43" t="inlineStr">
        <is>
          <t>T3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IF(B490="South Korea",G490/korea_charge_range_nm*korea_full_range_charge_min,0)</f>
        <v/>
      </c>
      <c r="N490" s="44">
        <f>IF(B490="South Korea",L490+korea_turn_min+korea_dwell_min+M490,L490+turn_min+dwell_min)</f>
        <v/>
      </c>
      <c r="O490" s="45">
        <f>IF(B490="South Korea",FLOOR(60*korea_service_hr/N490,1),MIN(15,FLOOR(60*service_hr/N490,1)))</f>
        <v/>
      </c>
      <c r="P490" s="45">
        <f>IF(ABS(MOD(ABS((365*mech_uptime*K490)),1)-0.5)&lt;1E-9,2*ROUND((365*mech_uptime*K490)/2,0),ROUND((365*mech_uptime*K490),0))</f>
        <v/>
      </c>
      <c r="Q490" s="46">
        <f>mech_uptime</f>
        <v/>
      </c>
      <c r="R490" s="46">
        <f>IF(AND(B490="South Korea",scenario="MID"),korea_mid_revleg,revleg_sel)</f>
        <v/>
      </c>
      <c r="S490" s="45">
        <f>IF(ABS(MOD(ABS((O490*P490*R490)),1)-0.5)&lt;1E-9,2*ROUND((O490*P490*R490)/2,0),ROUND((O490*P490*R490),0))</f>
        <v/>
      </c>
      <c r="T490" s="46">
        <f>IF(AND(B490="South Korea",scenario="MID"),korea_mid_load,load_sel)</f>
        <v/>
      </c>
      <c r="U490" s="47">
        <f>pax_cap*T490</f>
        <v/>
      </c>
      <c r="V490" s="45">
        <f>U490*S490</f>
        <v/>
      </c>
      <c r="W490" s="48">
        <f>H490*discount</f>
        <v/>
      </c>
      <c r="X490" s="49">
        <f>W490*V490</f>
        <v/>
      </c>
      <c r="Y490" s="49">
        <f>(battery/range_nm)*G490*S490*VLOOKUP(B490,country_opex,3,FALSE)</f>
        <v/>
      </c>
      <c r="Z490" s="49">
        <f>VLOOKUP(B490,country_opex,2,FALSE)*crew_factor</f>
        <v/>
      </c>
      <c r="AA490" s="49">
        <f>VLOOKUP(B490,country_opex,5,FALSE)</f>
        <v/>
      </c>
      <c r="AB490" s="49">
        <f>maint</f>
        <v/>
      </c>
      <c r="AC490" s="49">
        <f>VLOOKUP(B490,country_opex,7,FALSE)*ins_pct</f>
        <v/>
      </c>
      <c r="AD490" s="49">
        <f>charge_berth</f>
        <v/>
      </c>
      <c r="AE490" s="49">
        <f>Y490+Z490+AA490+AB490+AC490+AD490</f>
        <v/>
      </c>
      <c r="AF490" s="49">
        <f>VLOOKUP(B490,country_opex,7,FALSE)/dep_years</f>
        <v/>
      </c>
      <c r="AG490" s="49">
        <f>X490-AE490</f>
        <v/>
      </c>
      <c r="AH490" s="46">
        <f>IF(X490=0,"",AG490/X490)</f>
        <v/>
      </c>
      <c r="AI490" s="47">
        <f>IF(AG490&lt;=0,"",VLOOKUP(B490,country_opex,7,FALSE)/AG490)</f>
        <v/>
      </c>
      <c r="AJ490" s="44">
        <f>((G490*S490/diesel_nmpg)*diesel_co2pg-(battery/range_nm)*G490*S490*VLOOKUP(B490,country_opex,4,FALSE))/1000</f>
        <v/>
      </c>
      <c r="AK490" s="42" t="n">
        <v>95455</v>
      </c>
      <c r="AL490" s="43" t="inlineStr">
        <is>
          <t>T1</t>
        </is>
      </c>
      <c r="AM490" s="43" t="inlineStr">
        <is>
          <t>med</t>
        </is>
      </c>
      <c r="AN490" s="50" t="n">
        <v>0.1</v>
      </c>
      <c r="AO490" s="45">
        <f>IF(AK490="","",AK490*AN490)</f>
        <v/>
      </c>
      <c r="AP490" s="45">
        <f>IF(OR(AK490="",V490=0),"",MIN(IF(AX490="",9.9E+99,AX490),FLOOR(AO490/V490,1)))</f>
        <v/>
      </c>
      <c r="AQ490" s="49">
        <f>IF(AP490="","",AP490*IF(ABS(MOD(ABS((X490)),1)-0.5)&lt;1E-9,2*ROUND((X490)/2,0),ROUND((X490),0)))</f>
        <v/>
      </c>
      <c r="AR490" s="47">
        <f>IF(OR(AK490="",V490=0),"",MIN(IF(AX490="",9.9E+99,AX490),AO490/V490))</f>
        <v/>
      </c>
      <c r="AS490" s="49">
        <f>IF(AR490="","",AR490*IF(B490="South Korea",IF(ABS(MOD(ABS((X490)),1)-0.5)&lt;1E-9,2*ROUND((X490)/2,0),ROUND((X490),0)),X490))</f>
        <v/>
      </c>
      <c r="AT490" s="51" t="n"/>
      <c r="AU490" s="43" t="inlineStr">
        <is>
          <t>Grounded</t>
        </is>
      </c>
      <c r="AV490" s="52" t="n"/>
      <c r="AW490" s="52" t="n"/>
      <c r="AX490" s="53" t="n"/>
      <c r="AY490" s="54">
        <f>IF(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&lt;=0,"",VLOOKUP(B490,country_opex,7,FALSE)/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)</f>
        <v/>
      </c>
      <c r="AZ490" s="54">
        <f>IF(((W490*pax_cap*IF(B490="South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Korea",korea_mid_revleg,revleg_mid)),0))*VLOOKUP(B490,country_opex,3,FALSE))+Z490+AA490+AB490+AC490+AD490))&lt;=0,"",VLOOKUP(B490,country_opex,7,FALSE)/((W490*pax_cap*IF(B490="South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Korea",korea_mid_revleg,revleg_mid)),0))*VLOOKUP(B490,country_opex,3,FALSE))+Z490+AA490+AB490+AC490+AD490)))</f>
        <v/>
      </c>
      <c r="BA490" s="54">
        <f>IF(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&lt;=0,"",VLOOKUP(B490,country_opex,7,FALSE)/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)</f>
        <v/>
      </c>
      <c r="BB490" s="40" t="inlineStr">
        <is>
          <t>[LB-255 PREMIUM RE-FARE: subsidized comparable $4.0 lifted to premium on-demand floor $18.0] band_default</t>
        </is>
      </c>
      <c r="BC490" s="40" t="inlineStr">
        <is>
          <t>Seoul City Hangang Bus run-rate (~1.05M/yr; spec headline)</t>
        </is>
      </c>
      <c r="BD490" s="43" t="inlineStr">
        <is>
          <t>rn-7c451ce2752d</t>
        </is>
      </c>
    </row>
    <row r="491">
      <c r="A491" s="38" t="inlineStr">
        <is>
          <t>Korea Kakao Mobility</t>
        </is>
      </c>
      <c r="B491" s="38" t="inlineStr">
        <is>
          <t>South Korea</t>
        </is>
      </c>
      <c r="C491" s="39" t="inlineStr">
        <is>
          <t>Ttukseom → Jamsil</t>
        </is>
      </c>
      <c r="D491" s="38" t="inlineStr">
        <is>
          <t>kakao-mobility</t>
        </is>
      </c>
      <c r="E491" s="40" t="inlineStr">
        <is>
          <t>korea-kakao-mobility, korea-naver, korea-swing</t>
        </is>
      </c>
      <c r="F491" s="41" t="n">
        <v>3</v>
      </c>
      <c r="G491" s="42" t="n">
        <v>1.2</v>
      </c>
      <c r="H491" s="35" t="n">
        <v>18</v>
      </c>
      <c r="I491" s="43" t="inlineStr">
        <is>
          <t>T3</t>
        </is>
      </c>
      <c r="J491" s="43" t="inlineStr">
        <is>
          <t>low</t>
        </is>
      </c>
      <c r="K491" s="29" t="n">
        <v>1</v>
      </c>
      <c r="L491" s="44">
        <f>60*G491/cruise_kt</f>
        <v/>
      </c>
      <c r="M491" s="44">
        <f>IF(B491="South Korea",G491/korea_charge_range_nm*korea_full_range_charge_min,0)</f>
        <v/>
      </c>
      <c r="N491" s="44">
        <f>IF(B491="South Korea",L491+korea_turn_min+korea_dwell_min+M491,L491+turn_min+dwell_min)</f>
        <v/>
      </c>
      <c r="O491" s="45">
        <f>IF(B491="South Korea",FLOOR(60*korea_service_hr/N491,1),MIN(15,FLOOR(60*service_hr/N491,1)))</f>
        <v/>
      </c>
      <c r="P491" s="45">
        <f>IF(ABS(MOD(ABS((365*mech_uptime*K491)),1)-0.5)&lt;1E-9,2*ROUND((365*mech_uptime*K491)/2,0),ROUND((365*mech_uptime*K491),0))</f>
        <v/>
      </c>
      <c r="Q491" s="46">
        <f>mech_uptime</f>
        <v/>
      </c>
      <c r="R491" s="46">
        <f>IF(AND(B491="South Korea",scenario="MID"),korea_mid_revleg,revleg_sel)</f>
        <v/>
      </c>
      <c r="S491" s="45">
        <f>IF(ABS(MOD(ABS((O491*P491*R491)),1)-0.5)&lt;1E-9,2*ROUND((O491*P491*R491)/2,0),ROUND((O491*P491*R491),0))</f>
        <v/>
      </c>
      <c r="T491" s="46">
        <f>IF(AND(B491="South Korea",scenario="MID"),korea_mid_load,load_sel)</f>
        <v/>
      </c>
      <c r="U491" s="47">
        <f>pax_cap*T491</f>
        <v/>
      </c>
      <c r="V491" s="45">
        <f>U491*S491</f>
        <v/>
      </c>
      <c r="W491" s="48">
        <f>H491*discount</f>
        <v/>
      </c>
      <c r="X491" s="49">
        <f>W491*V491</f>
        <v/>
      </c>
      <c r="Y491" s="49">
        <f>(battery/range_nm)*G491*S491*VLOOKUP(B491,country_opex,3,FALSE)</f>
        <v/>
      </c>
      <c r="Z491" s="49">
        <f>VLOOKUP(B491,country_opex,2,FALSE)*crew_factor</f>
        <v/>
      </c>
      <c r="AA491" s="49">
        <f>VLOOKUP(B491,country_opex,5,FALSE)</f>
        <v/>
      </c>
      <c r="AB491" s="49">
        <f>maint</f>
        <v/>
      </c>
      <c r="AC491" s="49">
        <f>VLOOKUP(B491,country_opex,7,FALSE)*ins_pct</f>
        <v/>
      </c>
      <c r="AD491" s="49">
        <f>charge_berth</f>
        <v/>
      </c>
      <c r="AE491" s="49">
        <f>Y491+Z491+AA491+AB491+AC491+AD491</f>
        <v/>
      </c>
      <c r="AF491" s="49">
        <f>VLOOKUP(B491,country_opex,7,FALSE)/dep_years</f>
        <v/>
      </c>
      <c r="AG491" s="49">
        <f>X491-AE491</f>
        <v/>
      </c>
      <c r="AH491" s="46">
        <f>IF(X491=0,"",AG491/X491)</f>
        <v/>
      </c>
      <c r="AI491" s="47">
        <f>IF(AG491&lt;=0,"",VLOOKUP(B491,country_opex,7,FALSE)/AG491)</f>
        <v/>
      </c>
      <c r="AJ491" s="44">
        <f>((G491*S491/diesel_nmpg)*diesel_co2pg-(battery/range_nm)*G491*S491*VLOOKUP(B491,country_opex,4,FALSE))/1000</f>
        <v/>
      </c>
      <c r="AK491" s="42" t="n">
        <v>95455</v>
      </c>
      <c r="AL491" s="43" t="inlineStr">
        <is>
          <t>T1</t>
        </is>
      </c>
      <c r="AM491" s="43" t="inlineStr">
        <is>
          <t>med</t>
        </is>
      </c>
      <c r="AN491" s="50" t="n">
        <v>0.1</v>
      </c>
      <c r="AO491" s="45">
        <f>IF(AK491="","",AK491*AN491)</f>
        <v/>
      </c>
      <c r="AP491" s="45">
        <f>IF(OR(AK491="",V491=0),"",MIN(IF(AX491="",9.9E+99,AX491),FLOOR(AO491/V491,1)))</f>
        <v/>
      </c>
      <c r="AQ491" s="49">
        <f>IF(AP491="","",AP491*IF(ABS(MOD(ABS((X491)),1)-0.5)&lt;1E-9,2*ROUND((X491)/2,0),ROUND((X491),0)))</f>
        <v/>
      </c>
      <c r="AR491" s="47">
        <f>IF(OR(AK491="",V491=0),"",MIN(IF(AX491="",9.9E+99,AX491),AO491/V491))</f>
        <v/>
      </c>
      <c r="AS491" s="49">
        <f>IF(AR491="","",AR491*IF(B491="South Korea",IF(ABS(MOD(ABS((X491)),1)-0.5)&lt;1E-9,2*ROUND((X491)/2,0),ROUND((X491),0)),X491))</f>
        <v/>
      </c>
      <c r="AT491" s="51" t="n"/>
      <c r="AU491" s="43" t="inlineStr">
        <is>
          <t>Grounded</t>
        </is>
      </c>
      <c r="AV491" s="52" t="n"/>
      <c r="AW491" s="52" t="n"/>
      <c r="AX491" s="53" t="n"/>
      <c r="AY491" s="54">
        <f>IF(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&lt;=0,"",VLOOKUP(B491,country_opex,7,FALSE)/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)</f>
        <v/>
      </c>
      <c r="AZ491" s="54">
        <f>IF(((W491*pax_cap*IF(B491="South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Korea",korea_mid_revleg,revleg_mid)),0))*VLOOKUP(B491,country_opex,3,FALSE))+Z491+AA491+AB491+AC491+AD491))&lt;=0,"",VLOOKUP(B491,country_opex,7,FALSE)/((W491*pax_cap*IF(B491="South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Korea",korea_mid_revleg,revleg_mid)),0))*VLOOKUP(B491,country_opex,3,FALSE))+Z491+AA491+AB491+AC491+AD491)))</f>
        <v/>
      </c>
      <c r="BA491" s="54">
        <f>IF(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&lt;=0,"",VLOOKUP(B491,country_opex,7,FALSE)/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)</f>
        <v/>
      </c>
      <c r="BB491" s="40" t="inlineStr">
        <is>
          <t>[LB-255 PREMIUM RE-FARE: subsidized comparable $4.0 lifted to premium on-demand floor $18.0] band_default</t>
        </is>
      </c>
      <c r="BC491" s="40" t="inlineStr">
        <is>
          <t>Seoul City Hangang Bus run-rate (~1.05M/yr; spec headline)</t>
        </is>
      </c>
      <c r="BD491" s="43" t="inlineStr">
        <is>
          <t>rn-529e3834c165</t>
        </is>
      </c>
    </row>
    <row r="492">
      <c r="A492" s="38" t="inlineStr">
        <is>
          <t>Korea Kakao Mobility</t>
        </is>
      </c>
      <c r="B492" s="38" t="inlineStr">
        <is>
          <t>South Korea</t>
        </is>
      </c>
      <c r="C492" s="39" t="inlineStr">
        <is>
          <t>Seongsan Port (Udo ferry gateway + Seongsan Ilchulbong tender) → Udo (Cow Island) — Cheonjin Port + Haunchi Port</t>
        </is>
      </c>
      <c r="D492" s="38" t="inlineStr">
        <is>
          <t>kakao-mobility</t>
        </is>
      </c>
      <c r="E492" s="40" t="inlineStr">
        <is>
          <t>korea-kakao-mobility, korea-naver, korea-swing</t>
        </is>
      </c>
      <c r="F492" s="41" t="n">
        <v>3</v>
      </c>
      <c r="G492" s="42" t="n">
        <v>1.33</v>
      </c>
      <c r="H492" s="35" t="n">
        <v>18</v>
      </c>
      <c r="I492" s="43" t="inlineStr">
        <is>
          <t>T2</t>
        </is>
      </c>
      <c r="J492" s="43" t="inlineStr">
        <is>
          <t>med</t>
        </is>
      </c>
      <c r="K492" s="29" t="n">
        <v>1</v>
      </c>
      <c r="L492" s="44">
        <f>60*G492/cruise_kt</f>
        <v/>
      </c>
      <c r="M492" s="44">
        <f>IF(B492="South Korea",G492/korea_charge_range_nm*korea_full_range_charge_min,0)</f>
        <v/>
      </c>
      <c r="N492" s="44">
        <f>IF(B492="South Korea",L492+korea_turn_min+korea_dwell_min+M492,L492+turn_min+dwell_min)</f>
        <v/>
      </c>
      <c r="O492" s="45">
        <f>IF(B492="South Korea",FLOOR(60*korea_service_hr/N492,1),MIN(15,FLOOR(60*service_hr/N492,1)))</f>
        <v/>
      </c>
      <c r="P492" s="45">
        <f>IF(ABS(MOD(ABS((365*mech_uptime*K492)),1)-0.5)&lt;1E-9,2*ROUND((365*mech_uptime*K492)/2,0),ROUND((365*mech_uptime*K492),0))</f>
        <v/>
      </c>
      <c r="Q492" s="46">
        <f>mech_uptime</f>
        <v/>
      </c>
      <c r="R492" s="46">
        <f>IF(AND(B492="South Korea",scenario="MID"),korea_mid_revleg,revleg_sel)</f>
        <v/>
      </c>
      <c r="S492" s="45">
        <f>IF(ABS(MOD(ABS((O492*P492*R492)),1)-0.5)&lt;1E-9,2*ROUND((O492*P492*R492)/2,0),ROUND((O492*P492*R492),0))</f>
        <v/>
      </c>
      <c r="T492" s="46">
        <f>IF(AND(B492="South Korea",scenario="MID"),korea_mid_load,load_sel)</f>
        <v/>
      </c>
      <c r="U492" s="47">
        <f>pax_cap*T492</f>
        <v/>
      </c>
      <c r="V492" s="45">
        <f>U492*S492</f>
        <v/>
      </c>
      <c r="W492" s="48">
        <f>H492*discount</f>
        <v/>
      </c>
      <c r="X492" s="49">
        <f>W492*V492</f>
        <v/>
      </c>
      <c r="Y492" s="49">
        <f>(battery/range_nm)*G492*S492*VLOOKUP(B492,country_opex,3,FALSE)</f>
        <v/>
      </c>
      <c r="Z492" s="49">
        <f>VLOOKUP(B492,country_opex,2,FALSE)*crew_factor</f>
        <v/>
      </c>
      <c r="AA492" s="49">
        <f>VLOOKUP(B492,country_opex,5,FALSE)</f>
        <v/>
      </c>
      <c r="AB492" s="49">
        <f>maint</f>
        <v/>
      </c>
      <c r="AC492" s="49">
        <f>VLOOKUP(B492,country_opex,7,FALSE)*ins_pct</f>
        <v/>
      </c>
      <c r="AD492" s="49">
        <f>charge_berth</f>
        <v/>
      </c>
      <c r="AE492" s="49">
        <f>Y492+Z492+AA492+AB492+AC492+AD492</f>
        <v/>
      </c>
      <c r="AF492" s="49">
        <f>VLOOKUP(B492,country_opex,7,FALSE)/dep_years</f>
        <v/>
      </c>
      <c r="AG492" s="49">
        <f>X492-AE492</f>
        <v/>
      </c>
      <c r="AH492" s="46">
        <f>IF(X492=0,"",AG492/X492)</f>
        <v/>
      </c>
      <c r="AI492" s="47">
        <f>IF(AG492&lt;=0,"",VLOOKUP(B492,country_opex,7,FALSE)/AG492)</f>
        <v/>
      </c>
      <c r="AJ492" s="44">
        <f>((G492*S492/diesel_nmpg)*diesel_co2pg-(battery/range_nm)*G492*S492*VLOOKUP(B492,country_opex,4,FALSE))/1000</f>
        <v/>
      </c>
      <c r="AK492" s="42" t="n">
        <v>2072330</v>
      </c>
      <c r="AL492" s="43" t="inlineStr">
        <is>
          <t>T2</t>
        </is>
      </c>
      <c r="AM492" s="43" t="inlineStr">
        <is>
          <t>high</t>
        </is>
      </c>
      <c r="AN492" s="50" t="n">
        <v>0.1</v>
      </c>
      <c r="AO492" s="45">
        <f>IF(AK492="","",AK492*AN492)</f>
        <v/>
      </c>
      <c r="AP492" s="45">
        <f>IF(OR(AK492="",V492=0),"",MIN(IF(AX492="",9.9E+99,AX492),FLOOR(AO492/V492,1)))</f>
        <v/>
      </c>
      <c r="AQ492" s="49">
        <f>IF(AP492="","",AP492*IF(ABS(MOD(ABS((X492)),1)-0.5)&lt;1E-9,2*ROUND((X492)/2,0),ROUND((X492),0)))</f>
        <v/>
      </c>
      <c r="AR492" s="47">
        <f>IF(OR(AK492="",V492=0),"",MIN(IF(AX492="",9.9E+99,AX492),AO492/V492))</f>
        <v/>
      </c>
      <c r="AS492" s="49">
        <f>IF(AR492="","",AR492*IF(B492="South Korea",IF(ABS(MOD(ABS((X492)),1)-0.5)&lt;1E-9,2*ROUND((X492)/2,0),ROUND((X492),0)),X492))</f>
        <v/>
      </c>
      <c r="AT492" s="51" t="n"/>
      <c r="AU492" s="43" t="inlineStr">
        <is>
          <t>Grounded</t>
        </is>
      </c>
      <c r="AV492" s="52" t="n"/>
      <c r="AW492" s="52" t="n"/>
      <c r="AX492" s="53" t="n"/>
      <c r="AY492" s="54">
        <f>IF(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&lt;=0,"",VLOOKUP(B492,country_opex,7,FALSE)/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)</f>
        <v/>
      </c>
      <c r="AZ492" s="54">
        <f>IF(((W492*pax_cap*IF(B492="South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Korea",korea_mid_revleg,revleg_mid)),0))*VLOOKUP(B492,country_opex,3,FALSE))+Z492+AA492+AB492+AC492+AD492))&lt;=0,"",VLOOKUP(B492,country_opex,7,FALSE)/((W492*pax_cap*IF(B492="South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Korea",korea_mid_revleg,revleg_mid)),0))*VLOOKUP(B492,country_opex,3,FALSE))+Z492+AA492+AB492+AC492+AD492)))</f>
        <v/>
      </c>
      <c r="BA492" s="54">
        <f>IF(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&lt;=0,"",VLOOKUP(B492,country_opex,7,FALSE)/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)</f>
        <v/>
      </c>
      <c r="BB492" s="40" t="inlineStr">
        <is>
          <t>[LB-255 PREMIUM RE-FARE: subsidized comparable $3.75 lifted to premium on-demand floor $18.0] KOREA-L3-SOURCING fare_usd 3.75</t>
        </is>
      </c>
      <c r="BC492" s="40" t="inlineStr">
        <is>
          <t>JTO / KOREA-L3-SOURCING Seongsan-Jongdal↔Udo 3.188M pool</t>
        </is>
      </c>
      <c r="BD492" s="43" t="inlineStr">
        <is>
          <t>rn-64f4b4293a52</t>
        </is>
      </c>
    </row>
    <row r="493">
      <c r="A493" s="38" t="inlineStr">
        <is>
          <t>Korea Kakao Mobility</t>
        </is>
      </c>
      <c r="B493" s="38" t="inlineStr">
        <is>
          <t>South Korea</t>
        </is>
      </c>
      <c r="C493" s="39" t="inlineStr">
        <is>
          <t>Apgujeong Pier → Seoul Forest Wharf</t>
        </is>
      </c>
      <c r="D493" s="38" t="inlineStr">
        <is>
          <t>kakao-mobility</t>
        </is>
      </c>
      <c r="E493" s="40" t="inlineStr">
        <is>
          <t>korea-kakao-mobility, korea-naver, korea-swing</t>
        </is>
      </c>
      <c r="F493" s="41" t="n">
        <v>3</v>
      </c>
      <c r="G493" s="42" t="n">
        <v>1.7</v>
      </c>
      <c r="H493" s="35" t="n">
        <v>18</v>
      </c>
      <c r="I493" s="43" t="inlineStr">
        <is>
          <t>T3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IF(B493="South Korea",G493/korea_charge_range_nm*korea_full_range_charge_min,0)</f>
        <v/>
      </c>
      <c r="N493" s="44">
        <f>IF(B493="South Korea",L493+korea_turn_min+korea_dwell_min+M493,L493+turn_min+dwell_min)</f>
        <v/>
      </c>
      <c r="O493" s="45">
        <f>IF(B493="South Korea",FLOOR(60*korea_service_hr/N493,1),MIN(15,FLOOR(60*service_hr/N493,1)))</f>
        <v/>
      </c>
      <c r="P493" s="45">
        <f>IF(ABS(MOD(ABS((365*mech_uptime*K493)),1)-0.5)&lt;1E-9,2*ROUND((365*mech_uptime*K493)/2,0),ROUND((365*mech_uptime*K493),0))</f>
        <v/>
      </c>
      <c r="Q493" s="46">
        <f>mech_uptime</f>
        <v/>
      </c>
      <c r="R493" s="46">
        <f>IF(AND(B493="South Korea",scenario="MID"),korea_mid_revleg,revleg_sel)</f>
        <v/>
      </c>
      <c r="S493" s="45">
        <f>IF(ABS(MOD(ABS((O493*P493*R493)),1)-0.5)&lt;1E-9,2*ROUND((O493*P493*R493)/2,0),ROUND((O493*P493*R493),0))</f>
        <v/>
      </c>
      <c r="T493" s="46">
        <f>IF(AND(B493="South Korea",scenario="MID"),korea_mid_load,load_sel)</f>
        <v/>
      </c>
      <c r="U493" s="47">
        <f>pax_cap*T493</f>
        <v/>
      </c>
      <c r="V493" s="45">
        <f>U493*S493</f>
        <v/>
      </c>
      <c r="W493" s="48">
        <f>H493*discount</f>
        <v/>
      </c>
      <c r="X493" s="49">
        <f>W493*V493</f>
        <v/>
      </c>
      <c r="Y493" s="49">
        <f>(battery/range_nm)*G493*S493*VLOOKUP(B493,country_opex,3,FALSE)</f>
        <v/>
      </c>
      <c r="Z493" s="49">
        <f>VLOOKUP(B493,country_opex,2,FALSE)*crew_factor</f>
        <v/>
      </c>
      <c r="AA493" s="49">
        <f>VLOOKUP(B493,country_opex,5,FALSE)</f>
        <v/>
      </c>
      <c r="AB493" s="49">
        <f>maint</f>
        <v/>
      </c>
      <c r="AC493" s="49">
        <f>VLOOKUP(B493,country_opex,7,FALSE)*ins_pct</f>
        <v/>
      </c>
      <c r="AD493" s="49">
        <f>charge_berth</f>
        <v/>
      </c>
      <c r="AE493" s="49">
        <f>Y493+Z493+AA493+AB493+AC493+AD493</f>
        <v/>
      </c>
      <c r="AF493" s="49">
        <f>VLOOKUP(B493,country_opex,7,FALSE)/dep_years</f>
        <v/>
      </c>
      <c r="AG493" s="49">
        <f>X493-AE493</f>
        <v/>
      </c>
      <c r="AH493" s="46">
        <f>IF(X493=0,"",AG493/X493)</f>
        <v/>
      </c>
      <c r="AI493" s="47">
        <f>IF(AG493&lt;=0,"",VLOOKUP(B493,country_opex,7,FALSE)/AG493)</f>
        <v/>
      </c>
      <c r="AJ493" s="44">
        <f>((G493*S493/diesel_nmpg)*diesel_co2pg-(battery/range_nm)*G493*S493*VLOOKUP(B493,country_opex,4,FALSE))/1000</f>
        <v/>
      </c>
      <c r="AK493" s="42" t="n">
        <v>95455</v>
      </c>
      <c r="AL493" s="43" t="inlineStr">
        <is>
          <t>T1</t>
        </is>
      </c>
      <c r="AM493" s="43" t="inlineStr">
        <is>
          <t>med</t>
        </is>
      </c>
      <c r="AN493" s="50" t="n">
        <v>0.1</v>
      </c>
      <c r="AO493" s="45">
        <f>IF(AK493="","",AK493*AN493)</f>
        <v/>
      </c>
      <c r="AP493" s="45">
        <f>IF(OR(AK493="",V493=0),"",MIN(IF(AX493="",9.9E+99,AX493),FLOOR(AO493/V493,1)))</f>
        <v/>
      </c>
      <c r="AQ493" s="49">
        <f>IF(AP493="","",AP493*IF(ABS(MOD(ABS((X493)),1)-0.5)&lt;1E-9,2*ROUND((X493)/2,0),ROUND((X493),0)))</f>
        <v/>
      </c>
      <c r="AR493" s="47">
        <f>IF(OR(AK493="",V493=0),"",MIN(IF(AX493="",9.9E+99,AX493),AO493/V493))</f>
        <v/>
      </c>
      <c r="AS493" s="49">
        <f>IF(AR493="","",AR493*IF(B493="South Korea",IF(ABS(MOD(ABS((X493)),1)-0.5)&lt;1E-9,2*ROUND((X493)/2,0),ROUND((X493),0)),X493))</f>
        <v/>
      </c>
      <c r="AT493" s="51" t="n"/>
      <c r="AU493" s="43" t="inlineStr">
        <is>
          <t>Grounded</t>
        </is>
      </c>
      <c r="AV493" s="52" t="n"/>
      <c r="AW493" s="52" t="n"/>
      <c r="AX493" s="53" t="n"/>
      <c r="AY493" s="54">
        <f>IF(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&lt;=0,"",VLOOKUP(B493,country_opex,7,FALSE)/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)</f>
        <v/>
      </c>
      <c r="AZ493" s="54">
        <f>IF(((W493*pax_cap*IF(B493="South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Korea",korea_mid_revleg,revleg_mid)),0))*VLOOKUP(B493,country_opex,3,FALSE))+Z493+AA493+AB493+AC493+AD493))&lt;=0,"",VLOOKUP(B493,country_opex,7,FALSE)/((W493*pax_cap*IF(B493="South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Korea",korea_mid_revleg,revleg_mid)),0))*VLOOKUP(B493,country_opex,3,FALSE))+Z493+AA493+AB493+AC493+AD493)))</f>
        <v/>
      </c>
      <c r="BA493" s="54">
        <f>IF(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&lt;=0,"",VLOOKUP(B493,country_opex,7,FALSE)/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)</f>
        <v/>
      </c>
      <c r="BB493" s="40" t="inlineStr">
        <is>
          <t>[LB-255 PREMIUM RE-FARE: subsidized comparable $4.0 lifted to premium on-demand floor $18.0] band_default</t>
        </is>
      </c>
      <c r="BC493" s="40" t="inlineStr">
        <is>
          <t>Seoul City Hangang Bus run-rate (~1.05M/yr; spec headline)</t>
        </is>
      </c>
      <c r="BD493" s="43" t="inlineStr">
        <is>
          <t>rn-b4b6294b39e2</t>
        </is>
      </c>
    </row>
    <row r="494">
      <c r="A494" s="38" t="inlineStr">
        <is>
          <t>Korea Kakao Mobility</t>
        </is>
      </c>
      <c r="B494" s="38" t="inlineStr">
        <is>
          <t>South Korea</t>
        </is>
      </c>
      <c r="C494" s="39" t="inlineStr">
        <is>
          <t>Jongdal Port (Udo Ferry) → Udo (Cow Island) — Cheonjin Port + Haunchi Port</t>
        </is>
      </c>
      <c r="D494" s="38" t="inlineStr">
        <is>
          <t>kakao-mobility</t>
        </is>
      </c>
      <c r="E494" s="40" t="inlineStr">
        <is>
          <t>korea-kakao-mobility, korea-naver, korea-swing</t>
        </is>
      </c>
      <c r="F494" s="41" t="n">
        <v>3</v>
      </c>
      <c r="G494" s="42" t="n">
        <v>1.95</v>
      </c>
      <c r="H494" s="35" t="n">
        <v>18</v>
      </c>
      <c r="I494" s="43" t="inlineStr">
        <is>
          <t>T2</t>
        </is>
      </c>
      <c r="J494" s="43" t="inlineStr">
        <is>
          <t>med</t>
        </is>
      </c>
      <c r="K494" s="29" t="n">
        <v>1</v>
      </c>
      <c r="L494" s="44">
        <f>60*G494/cruise_kt</f>
        <v/>
      </c>
      <c r="M494" s="44">
        <f>IF(B494="South Korea",G494/korea_charge_range_nm*korea_full_range_charge_min,0)</f>
        <v/>
      </c>
      <c r="N494" s="44">
        <f>IF(B494="South Korea",L494+korea_turn_min+korea_dwell_min+M494,L494+turn_min+dwell_min)</f>
        <v/>
      </c>
      <c r="O494" s="45">
        <f>IF(B494="South Korea",FLOOR(60*korea_service_hr/N494,1),MIN(15,FLOOR(60*service_hr/N494,1)))</f>
        <v/>
      </c>
      <c r="P494" s="45">
        <f>IF(ABS(MOD(ABS((365*mech_uptime*K494)),1)-0.5)&lt;1E-9,2*ROUND((365*mech_uptime*K494)/2,0),ROUND((365*mech_uptime*K494),0))</f>
        <v/>
      </c>
      <c r="Q494" s="46">
        <f>mech_uptime</f>
        <v/>
      </c>
      <c r="R494" s="46">
        <f>IF(AND(B494="South Korea",scenario="MID"),korea_mid_revleg,revleg_sel)</f>
        <v/>
      </c>
      <c r="S494" s="45">
        <f>IF(ABS(MOD(ABS((O494*P494*R494)),1)-0.5)&lt;1E-9,2*ROUND((O494*P494*R494)/2,0),ROUND((O494*P494*R494),0))</f>
        <v/>
      </c>
      <c r="T494" s="46">
        <f>IF(AND(B494="South Korea",scenario="MID"),korea_mid_load,load_sel)</f>
        <v/>
      </c>
      <c r="U494" s="47">
        <f>pax_cap*T494</f>
        <v/>
      </c>
      <c r="V494" s="45">
        <f>U494*S494</f>
        <v/>
      </c>
      <c r="W494" s="48">
        <f>H494*discount</f>
        <v/>
      </c>
      <c r="X494" s="49">
        <f>W494*V494</f>
        <v/>
      </c>
      <c r="Y494" s="49">
        <f>(battery/range_nm)*G494*S494*VLOOKUP(B494,country_opex,3,FALSE)</f>
        <v/>
      </c>
      <c r="Z494" s="49">
        <f>VLOOKUP(B494,country_opex,2,FALSE)*crew_factor</f>
        <v/>
      </c>
      <c r="AA494" s="49">
        <f>VLOOKUP(B494,country_opex,5,FALSE)</f>
        <v/>
      </c>
      <c r="AB494" s="49">
        <f>maint</f>
        <v/>
      </c>
      <c r="AC494" s="49">
        <f>VLOOKUP(B494,country_opex,7,FALSE)*ins_pct</f>
        <v/>
      </c>
      <c r="AD494" s="49">
        <f>charge_berth</f>
        <v/>
      </c>
      <c r="AE494" s="49">
        <f>Y494+Z494+AA494+AB494+AC494+AD494</f>
        <v/>
      </c>
      <c r="AF494" s="49">
        <f>VLOOKUP(B494,country_opex,7,FALSE)/dep_years</f>
        <v/>
      </c>
      <c r="AG494" s="49">
        <f>X494-AE494</f>
        <v/>
      </c>
      <c r="AH494" s="46">
        <f>IF(X494=0,"",AG494/X494)</f>
        <v/>
      </c>
      <c r="AI494" s="47">
        <f>IF(AG494&lt;=0,"",VLOOKUP(B494,country_opex,7,FALSE)/AG494)</f>
        <v/>
      </c>
      <c r="AJ494" s="44">
        <f>((G494*S494/diesel_nmpg)*diesel_co2pg-(battery/range_nm)*G494*S494*VLOOKUP(B494,country_opex,4,FALSE))/1000</f>
        <v/>
      </c>
      <c r="AK494" s="42" t="n">
        <v>1115870</v>
      </c>
      <c r="AL494" s="43" t="inlineStr">
        <is>
          <t>T2</t>
        </is>
      </c>
      <c r="AM494" s="43" t="inlineStr">
        <is>
          <t>high</t>
        </is>
      </c>
      <c r="AN494" s="50" t="n">
        <v>0.1</v>
      </c>
      <c r="AO494" s="45">
        <f>IF(AK494="","",AK494*AN494)</f>
        <v/>
      </c>
      <c r="AP494" s="45">
        <f>IF(OR(AK494="",V494=0),"",MIN(IF(AX494="",9.9E+99,AX494),FLOOR(AO494/V494,1)))</f>
        <v/>
      </c>
      <c r="AQ494" s="49">
        <f>IF(AP494="","",AP494*IF(ABS(MOD(ABS((X494)),1)-0.5)&lt;1E-9,2*ROUND((X494)/2,0),ROUND((X494),0)))</f>
        <v/>
      </c>
      <c r="AR494" s="47">
        <f>IF(OR(AK494="",V494=0),"",MIN(IF(AX494="",9.9E+99,AX494),AO494/V494))</f>
        <v/>
      </c>
      <c r="AS494" s="49">
        <f>IF(AR494="","",AR494*IF(B494="South Korea",IF(ABS(MOD(ABS((X494)),1)-0.5)&lt;1E-9,2*ROUND((X494)/2,0),ROUND((X494),0)),X494))</f>
        <v/>
      </c>
      <c r="AT494" s="51" t="n"/>
      <c r="AU494" s="43" t="inlineStr">
        <is>
          <t>Grounded</t>
        </is>
      </c>
      <c r="AV494" s="52" t="n"/>
      <c r="AW494" s="52" t="n"/>
      <c r="AX494" s="53" t="n"/>
      <c r="AY494" s="54">
        <f>IF(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&lt;=0,"",VLOOKUP(B494,country_opex,7,FALSE)/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)</f>
        <v/>
      </c>
      <c r="AZ494" s="54">
        <f>IF(((W494*pax_cap*IF(B494="South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Korea",korea_mid_revleg,revleg_mid)),0))*VLOOKUP(B494,country_opex,3,FALSE))+Z494+AA494+AB494+AC494+AD494))&lt;=0,"",VLOOKUP(B494,country_opex,7,FALSE)/((W494*pax_cap*IF(B494="South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Korea",korea_mid_revleg,revleg_mid)),0))*VLOOKUP(B494,country_opex,3,FALSE))+Z494+AA494+AB494+AC494+AD494)))</f>
        <v/>
      </c>
      <c r="BA494" s="54">
        <f>IF(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&lt;=0,"",VLOOKUP(B494,country_opex,7,FALSE)/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)</f>
        <v/>
      </c>
      <c r="BB494" s="40" t="inlineStr">
        <is>
          <t>[LB-255 PREMIUM RE-FARE: subsidized comparable $3.75 lifted to premium on-demand floor $18.0] KOREA-L3-SOURCING fare_usd 3.75</t>
        </is>
      </c>
      <c r="BC494" s="40" t="inlineStr">
        <is>
          <t>JTO / KOREA-L3-SOURCING Seongsan-Jongdal↔Udo 3.188M pool</t>
        </is>
      </c>
      <c r="BD494" s="43" t="inlineStr">
        <is>
          <t>rn-d128d9b4c5c8</t>
        </is>
      </c>
    </row>
    <row r="495">
      <c r="A495" s="38" t="inlineStr">
        <is>
          <t>Korea Kakao Mobility</t>
        </is>
      </c>
      <c r="B495" s="38" t="inlineStr">
        <is>
          <t>South Korea</t>
        </is>
      </c>
      <c r="C495" s="39" t="inlineStr">
        <is>
          <t>Mangwon Pier → Yeouido</t>
        </is>
      </c>
      <c r="D495" s="38" t="inlineStr">
        <is>
          <t>kakao-mobility</t>
        </is>
      </c>
      <c r="E495" s="40" t="inlineStr">
        <is>
          <t>korea-kakao-mobility, korea-naver, korea-swing</t>
        </is>
      </c>
      <c r="F495" s="41" t="n">
        <v>3</v>
      </c>
      <c r="G495" s="42" t="n">
        <v>2.2</v>
      </c>
      <c r="H495" s="35" t="n">
        <v>18</v>
      </c>
      <c r="I495" s="43" t="inlineStr">
        <is>
          <t>T3</t>
        </is>
      </c>
      <c r="J495" s="43" t="inlineStr">
        <is>
          <t>low</t>
        </is>
      </c>
      <c r="K495" s="29" t="n">
        <v>1</v>
      </c>
      <c r="L495" s="44">
        <f>60*G495/cruise_kt</f>
        <v/>
      </c>
      <c r="M495" s="44">
        <f>IF(B495="South Korea",G495/korea_charge_range_nm*korea_full_range_charge_min,0)</f>
        <v/>
      </c>
      <c r="N495" s="44">
        <f>IF(B495="South Korea",L495+korea_turn_min+korea_dwell_min+M495,L495+turn_min+dwell_min)</f>
        <v/>
      </c>
      <c r="O495" s="45">
        <f>IF(B495="South Korea",FLOOR(60*korea_service_hr/N495,1),MIN(15,FLOOR(60*service_hr/N495,1)))</f>
        <v/>
      </c>
      <c r="P495" s="45">
        <f>IF(ABS(MOD(ABS((365*mech_uptime*K495)),1)-0.5)&lt;1E-9,2*ROUND((365*mech_uptime*K495)/2,0),ROUND((365*mech_uptime*K495),0))</f>
        <v/>
      </c>
      <c r="Q495" s="46">
        <f>mech_uptime</f>
        <v/>
      </c>
      <c r="R495" s="46">
        <f>IF(AND(B495="South Korea",scenario="MID"),korea_mid_revleg,revleg_sel)</f>
        <v/>
      </c>
      <c r="S495" s="45">
        <f>IF(ABS(MOD(ABS((O495*P495*R495)),1)-0.5)&lt;1E-9,2*ROUND((O495*P495*R495)/2,0),ROUND((O495*P495*R495),0))</f>
        <v/>
      </c>
      <c r="T495" s="46">
        <f>IF(AND(B495="South Korea",scenario="MID"),korea_mid_load,load_sel)</f>
        <v/>
      </c>
      <c r="U495" s="47">
        <f>pax_cap*T495</f>
        <v/>
      </c>
      <c r="V495" s="45">
        <f>U495*S495</f>
        <v/>
      </c>
      <c r="W495" s="48">
        <f>H495*discount</f>
        <v/>
      </c>
      <c r="X495" s="49">
        <f>W495*V495</f>
        <v/>
      </c>
      <c r="Y495" s="49">
        <f>(battery/range_nm)*G495*S495*VLOOKUP(B495,country_opex,3,FALSE)</f>
        <v/>
      </c>
      <c r="Z495" s="49">
        <f>VLOOKUP(B495,country_opex,2,FALSE)*crew_factor</f>
        <v/>
      </c>
      <c r="AA495" s="49">
        <f>VLOOKUP(B495,country_opex,5,FALSE)</f>
        <v/>
      </c>
      <c r="AB495" s="49">
        <f>maint</f>
        <v/>
      </c>
      <c r="AC495" s="49">
        <f>VLOOKUP(B495,country_opex,7,FALSE)*ins_pct</f>
        <v/>
      </c>
      <c r="AD495" s="49">
        <f>charge_berth</f>
        <v/>
      </c>
      <c r="AE495" s="49">
        <f>Y495+Z495+AA495+AB495+AC495+AD495</f>
        <v/>
      </c>
      <c r="AF495" s="49">
        <f>VLOOKUP(B495,country_opex,7,FALSE)/dep_years</f>
        <v/>
      </c>
      <c r="AG495" s="49">
        <f>X495-AE495</f>
        <v/>
      </c>
      <c r="AH495" s="46">
        <f>IF(X495=0,"",AG495/X495)</f>
        <v/>
      </c>
      <c r="AI495" s="47">
        <f>IF(AG495&lt;=0,"",VLOOKUP(B495,country_opex,7,FALSE)/AG495)</f>
        <v/>
      </c>
      <c r="AJ495" s="44">
        <f>((G495*S495/diesel_nmpg)*diesel_co2pg-(battery/range_nm)*G495*S495*VLOOKUP(B495,country_opex,4,FALSE))/1000</f>
        <v/>
      </c>
      <c r="AK495" s="42" t="n">
        <v>95455</v>
      </c>
      <c r="AL495" s="43" t="inlineStr">
        <is>
          <t>T1</t>
        </is>
      </c>
      <c r="AM495" s="43" t="inlineStr">
        <is>
          <t>med</t>
        </is>
      </c>
      <c r="AN495" s="50" t="n">
        <v>0.1</v>
      </c>
      <c r="AO495" s="45">
        <f>IF(AK495="","",AK495*AN495)</f>
        <v/>
      </c>
      <c r="AP495" s="45">
        <f>IF(OR(AK495="",V495=0),"",MIN(IF(AX495="",9.9E+99,AX495),FLOOR(AO495/V495,1)))</f>
        <v/>
      </c>
      <c r="AQ495" s="49">
        <f>IF(AP495="","",AP495*IF(ABS(MOD(ABS((X495)),1)-0.5)&lt;1E-9,2*ROUND((X495)/2,0),ROUND((X495),0)))</f>
        <v/>
      </c>
      <c r="AR495" s="47">
        <f>IF(OR(AK495="",V495=0),"",MIN(IF(AX495="",9.9E+99,AX495),AO495/V495))</f>
        <v/>
      </c>
      <c r="AS495" s="49">
        <f>IF(AR495="","",AR495*IF(B495="South Korea",IF(ABS(MOD(ABS((X495)),1)-0.5)&lt;1E-9,2*ROUND((X495)/2,0),ROUND((X495),0)),X495))</f>
        <v/>
      </c>
      <c r="AT495" s="51" t="n"/>
      <c r="AU495" s="43" t="inlineStr">
        <is>
          <t>Grounded</t>
        </is>
      </c>
      <c r="AV495" s="52" t="n"/>
      <c r="AW495" s="52" t="n"/>
      <c r="AX495" s="53" t="n"/>
      <c r="AY495" s="54">
        <f>IF(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&lt;=0,"",VLOOKUP(B495,country_opex,7,FALSE)/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)</f>
        <v/>
      </c>
      <c r="AZ495" s="54">
        <f>IF(((W495*pax_cap*IF(B495="South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Korea",korea_mid_revleg,revleg_mid)),0))*VLOOKUP(B495,country_opex,3,FALSE))+Z495+AA495+AB495+AC495+AD495))&lt;=0,"",VLOOKUP(B495,country_opex,7,FALSE)/((W495*pax_cap*IF(B495="South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Korea",korea_mid_revleg,revleg_mid)),0))*VLOOKUP(B495,country_opex,3,FALSE))+Z495+AA495+AB495+AC495+AD495)))</f>
        <v/>
      </c>
      <c r="BA495" s="54">
        <f>IF(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&lt;=0,"",VLOOKUP(B495,country_opex,7,FALSE)/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)</f>
        <v/>
      </c>
      <c r="BB495" s="40" t="inlineStr">
        <is>
          <t>[LB-255 PREMIUM RE-FARE: subsidized comparable $4.0 lifted to premium on-demand floor $18.0] band_default</t>
        </is>
      </c>
      <c r="BC495" s="40" t="inlineStr">
        <is>
          <t>Seoul City Hangang Bus run-rate (~1.05M/yr; spec headline)</t>
        </is>
      </c>
      <c r="BD495" s="43" t="inlineStr">
        <is>
          <t>rn-0a711c22926a</t>
        </is>
      </c>
    </row>
    <row r="496">
      <c r="A496" s="38" t="inlineStr">
        <is>
          <t>Korea Kakao Mobility</t>
        </is>
      </c>
      <c r="B496" s="38" t="inlineStr">
        <is>
          <t>South Korea</t>
        </is>
      </c>
      <c r="C496" s="39" t="inlineStr">
        <is>
          <t>Seoul Forest Wharf → Ttukseom</t>
        </is>
      </c>
      <c r="D496" s="38" t="inlineStr">
        <is>
          <t>kakao-mobility</t>
        </is>
      </c>
      <c r="E496" s="40" t="inlineStr">
        <is>
          <t>korea-kakao-mobility, korea-naver, korea-swing</t>
        </is>
      </c>
      <c r="F496" s="41" t="n">
        <v>3</v>
      </c>
      <c r="G496" s="42" t="n">
        <v>3</v>
      </c>
      <c r="H496" s="35" t="n">
        <v>18</v>
      </c>
      <c r="I496" s="43" t="inlineStr">
        <is>
          <t>T3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IF(B496="South Korea",G496/korea_charge_range_nm*korea_full_range_charge_min,0)</f>
        <v/>
      </c>
      <c r="N496" s="44">
        <f>IF(B496="South Korea",L496+korea_turn_min+korea_dwell_min+M496,L496+turn_min+dwell_min)</f>
        <v/>
      </c>
      <c r="O496" s="45">
        <f>IF(B496="South Korea",FLOOR(60*korea_service_hr/N496,1),MIN(15,FLOOR(60*service_hr/N496,1)))</f>
        <v/>
      </c>
      <c r="P496" s="45">
        <f>IF(ABS(MOD(ABS((365*mech_uptime*K496)),1)-0.5)&lt;1E-9,2*ROUND((365*mech_uptime*K496)/2,0),ROUND((365*mech_uptime*K496),0))</f>
        <v/>
      </c>
      <c r="Q496" s="46">
        <f>mech_uptime</f>
        <v/>
      </c>
      <c r="R496" s="46">
        <f>IF(AND(B496="South Korea",scenario="MID"),korea_mid_revleg,revleg_sel)</f>
        <v/>
      </c>
      <c r="S496" s="45">
        <f>IF(ABS(MOD(ABS((O496*P496*R496)),1)-0.5)&lt;1E-9,2*ROUND((O496*P496*R496)/2,0),ROUND((O496*P496*R496),0))</f>
        <v/>
      </c>
      <c r="T496" s="46">
        <f>IF(AND(B496="South Korea",scenario="MID"),korea_mid_load,load_sel)</f>
        <v/>
      </c>
      <c r="U496" s="47">
        <f>pax_cap*T496</f>
        <v/>
      </c>
      <c r="V496" s="45">
        <f>U496*S496</f>
        <v/>
      </c>
      <c r="W496" s="48">
        <f>H496*discount</f>
        <v/>
      </c>
      <c r="X496" s="49">
        <f>W496*V496</f>
        <v/>
      </c>
      <c r="Y496" s="49">
        <f>(battery/range_nm)*G496*S496*VLOOKUP(B496,country_opex,3,FALSE)</f>
        <v/>
      </c>
      <c r="Z496" s="49">
        <f>VLOOKUP(B496,country_opex,2,FALSE)*crew_factor</f>
        <v/>
      </c>
      <c r="AA496" s="49">
        <f>VLOOKUP(B496,country_opex,5,FALSE)</f>
        <v/>
      </c>
      <c r="AB496" s="49">
        <f>maint</f>
        <v/>
      </c>
      <c r="AC496" s="49">
        <f>VLOOKUP(B496,country_opex,7,FALSE)*ins_pct</f>
        <v/>
      </c>
      <c r="AD496" s="49">
        <f>charge_berth</f>
        <v/>
      </c>
      <c r="AE496" s="49">
        <f>Y496+Z496+AA496+AB496+AC496+AD496</f>
        <v/>
      </c>
      <c r="AF496" s="49">
        <f>VLOOKUP(B496,country_opex,7,FALSE)/dep_years</f>
        <v/>
      </c>
      <c r="AG496" s="49">
        <f>X496-AE496</f>
        <v/>
      </c>
      <c r="AH496" s="46">
        <f>IF(X496=0,"",AG496/X496)</f>
        <v/>
      </c>
      <c r="AI496" s="47">
        <f>IF(AG496&lt;=0,"",VLOOKUP(B496,country_opex,7,FALSE)/AG496)</f>
        <v/>
      </c>
      <c r="AJ496" s="44">
        <f>((G496*S496/diesel_nmpg)*diesel_co2pg-(battery/range_nm)*G496*S496*VLOOKUP(B496,country_opex,4,FALSE))/1000</f>
        <v/>
      </c>
      <c r="AK496" s="42" t="n">
        <v>95455</v>
      </c>
      <c r="AL496" s="43" t="inlineStr">
        <is>
          <t>T1</t>
        </is>
      </c>
      <c r="AM496" s="43" t="inlineStr">
        <is>
          <t>med</t>
        </is>
      </c>
      <c r="AN496" s="50" t="n">
        <v>0.1</v>
      </c>
      <c r="AO496" s="45">
        <f>IF(AK496="","",AK496*AN496)</f>
        <v/>
      </c>
      <c r="AP496" s="45">
        <f>IF(OR(AK496="",V496=0),"",MIN(IF(AX496="",9.9E+99,AX496),FLOOR(AO496/V496,1)))</f>
        <v/>
      </c>
      <c r="AQ496" s="49">
        <f>IF(AP496="","",AP496*IF(ABS(MOD(ABS((X496)),1)-0.5)&lt;1E-9,2*ROUND((X496)/2,0),ROUND((X496),0)))</f>
        <v/>
      </c>
      <c r="AR496" s="47">
        <f>IF(OR(AK496="",V496=0),"",MIN(IF(AX496="",9.9E+99,AX496),AO496/V496))</f>
        <v/>
      </c>
      <c r="AS496" s="49">
        <f>IF(AR496="","",AR496*IF(B496="South Korea",IF(ABS(MOD(ABS((X496)),1)-0.5)&lt;1E-9,2*ROUND((X496)/2,0),ROUND((X496),0)),X496))</f>
        <v/>
      </c>
      <c r="AT496" s="51" t="n"/>
      <c r="AU496" s="43" t="inlineStr">
        <is>
          <t>Grounded</t>
        </is>
      </c>
      <c r="AV496" s="52" t="n"/>
      <c r="AW496" s="52" t="n"/>
      <c r="AX496" s="53" t="n"/>
      <c r="AY496" s="54">
        <f>IF(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&lt;=0,"",VLOOKUP(B496,country_opex,7,FALSE)/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)</f>
        <v/>
      </c>
      <c r="AZ496" s="54">
        <f>IF(((W496*pax_cap*IF(B496="South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Korea",korea_mid_revleg,revleg_mid)),0))*VLOOKUP(B496,country_opex,3,FALSE))+Z496+AA496+AB496+AC496+AD496))&lt;=0,"",VLOOKUP(B496,country_opex,7,FALSE)/((W496*pax_cap*IF(B496="South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Korea",korea_mid_revleg,revleg_mid)),0))*VLOOKUP(B496,country_opex,3,FALSE))+Z496+AA496+AB496+AC496+AD496)))</f>
        <v/>
      </c>
      <c r="BA496" s="54">
        <f>IF(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&lt;=0,"",VLOOKUP(B496,country_opex,7,FALSE)/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)</f>
        <v/>
      </c>
      <c r="BB496" s="40" t="inlineStr">
        <is>
          <t>[LB-255 PREMIUM RE-FARE: subsidized comparable $4.0 lifted to premium on-demand floor $18.0] band_default</t>
        </is>
      </c>
      <c r="BC496" s="40" t="inlineStr">
        <is>
          <t>Seoul City Hangang Bus run-rate (~1.05M/yr; spec headline)</t>
        </is>
      </c>
      <c r="BD496" s="43" t="inlineStr">
        <is>
          <t>rn-bc4b1bfe4b23</t>
        </is>
      </c>
    </row>
    <row r="497">
      <c r="A497" s="38" t="inlineStr">
        <is>
          <t>Korea Kakao Mobility</t>
        </is>
      </c>
      <c r="B497" s="38" t="inlineStr">
        <is>
          <t>South Korea</t>
        </is>
      </c>
      <c r="C497" s="39" t="inlineStr">
        <is>
          <t>Magok → Mangwon Pier</t>
        </is>
      </c>
      <c r="D497" s="38" t="inlineStr">
        <is>
          <t>kakao-mobility</t>
        </is>
      </c>
      <c r="E497" s="40" t="inlineStr">
        <is>
          <t>korea-kakao-mobility, korea-naver, korea-swing</t>
        </is>
      </c>
      <c r="F497" s="41" t="n">
        <v>3</v>
      </c>
      <c r="G497" s="42" t="n">
        <v>3.4</v>
      </c>
      <c r="H497" s="35" t="n">
        <v>18</v>
      </c>
      <c r="I497" s="43" t="inlineStr">
        <is>
          <t>T3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IF(B497="South Korea",G497/korea_charge_range_nm*korea_full_range_charge_min,0)</f>
        <v/>
      </c>
      <c r="N497" s="44">
        <f>IF(B497="South Korea",L497+korea_turn_min+korea_dwell_min+M497,L497+turn_min+dwell_min)</f>
        <v/>
      </c>
      <c r="O497" s="45">
        <f>IF(B497="South Korea",FLOOR(60*korea_service_hr/N497,1),MIN(15,FLOOR(60*service_hr/N497,1)))</f>
        <v/>
      </c>
      <c r="P497" s="45">
        <f>IF(ABS(MOD(ABS((365*mech_uptime*K497)),1)-0.5)&lt;1E-9,2*ROUND((365*mech_uptime*K497)/2,0),ROUND((365*mech_uptime*K497),0))</f>
        <v/>
      </c>
      <c r="Q497" s="46">
        <f>mech_uptime</f>
        <v/>
      </c>
      <c r="R497" s="46">
        <f>IF(AND(B497="South Korea",scenario="MID"),korea_mid_revleg,revleg_sel)</f>
        <v/>
      </c>
      <c r="S497" s="45">
        <f>IF(ABS(MOD(ABS((O497*P497*R497)),1)-0.5)&lt;1E-9,2*ROUND((O497*P497*R497)/2,0),ROUND((O497*P497*R497),0))</f>
        <v/>
      </c>
      <c r="T497" s="46">
        <f>IF(AND(B497="South Korea",scenario="MID"),korea_mid_load,load_sel)</f>
        <v/>
      </c>
      <c r="U497" s="47">
        <f>pax_cap*T497</f>
        <v/>
      </c>
      <c r="V497" s="45">
        <f>U497*S497</f>
        <v/>
      </c>
      <c r="W497" s="48">
        <f>H497*discount</f>
        <v/>
      </c>
      <c r="X497" s="49">
        <f>W497*V497</f>
        <v/>
      </c>
      <c r="Y497" s="49">
        <f>(battery/range_nm)*G497*S497*VLOOKUP(B497,country_opex,3,FALSE)</f>
        <v/>
      </c>
      <c r="Z497" s="49">
        <f>VLOOKUP(B497,country_opex,2,FALSE)*crew_factor</f>
        <v/>
      </c>
      <c r="AA497" s="49">
        <f>VLOOKUP(B497,country_opex,5,FALSE)</f>
        <v/>
      </c>
      <c r="AB497" s="49">
        <f>maint</f>
        <v/>
      </c>
      <c r="AC497" s="49">
        <f>VLOOKUP(B497,country_opex,7,FALSE)*ins_pct</f>
        <v/>
      </c>
      <c r="AD497" s="49">
        <f>charge_berth</f>
        <v/>
      </c>
      <c r="AE497" s="49">
        <f>Y497+Z497+AA497+AB497+AC497+AD497</f>
        <v/>
      </c>
      <c r="AF497" s="49">
        <f>VLOOKUP(B497,country_opex,7,FALSE)/dep_years</f>
        <v/>
      </c>
      <c r="AG497" s="49">
        <f>X497-AE497</f>
        <v/>
      </c>
      <c r="AH497" s="46">
        <f>IF(X497=0,"",AG497/X497)</f>
        <v/>
      </c>
      <c r="AI497" s="47">
        <f>IF(AG497&lt;=0,"",VLOOKUP(B497,country_opex,7,FALSE)/AG497)</f>
        <v/>
      </c>
      <c r="AJ497" s="44">
        <f>((G497*S497/diesel_nmpg)*diesel_co2pg-(battery/range_nm)*G497*S497*VLOOKUP(B497,country_opex,4,FALSE))/1000</f>
        <v/>
      </c>
      <c r="AK497" s="42" t="n">
        <v>95455</v>
      </c>
      <c r="AL497" s="43" t="inlineStr">
        <is>
          <t>T1</t>
        </is>
      </c>
      <c r="AM497" s="43" t="inlineStr">
        <is>
          <t>med</t>
        </is>
      </c>
      <c r="AN497" s="50" t="n">
        <v>0.1</v>
      </c>
      <c r="AO497" s="45">
        <f>IF(AK497="","",AK497*AN497)</f>
        <v/>
      </c>
      <c r="AP497" s="45">
        <f>IF(OR(AK497="",V497=0),"",MIN(IF(AX497="",9.9E+99,AX497),FLOOR(AO497/V497,1)))</f>
        <v/>
      </c>
      <c r="AQ497" s="49">
        <f>IF(AP497="","",AP497*IF(ABS(MOD(ABS((X497)),1)-0.5)&lt;1E-9,2*ROUND((X497)/2,0),ROUND((X497),0)))</f>
        <v/>
      </c>
      <c r="AR497" s="47">
        <f>IF(OR(AK497="",V497=0),"",MIN(IF(AX497="",9.9E+99,AX497),AO497/V497))</f>
        <v/>
      </c>
      <c r="AS497" s="49">
        <f>IF(AR497="","",AR497*IF(B497="South Korea",IF(ABS(MOD(ABS((X497)),1)-0.5)&lt;1E-9,2*ROUND((X497)/2,0),ROUND((X497),0)),X497))</f>
        <v/>
      </c>
      <c r="AT497" s="51" t="n"/>
      <c r="AU497" s="43" t="inlineStr">
        <is>
          <t>Grounded</t>
        </is>
      </c>
      <c r="AV497" s="52" t="n"/>
      <c r="AW497" s="52" t="n"/>
      <c r="AX497" s="53" t="n"/>
      <c r="AY497" s="54">
        <f>IF(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&lt;=0,"",VLOOKUP(B497,country_opex,7,FALSE)/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)</f>
        <v/>
      </c>
      <c r="AZ497" s="54">
        <f>IF(((W497*pax_cap*IF(B497="South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Korea",korea_mid_revleg,revleg_mid)),0))*VLOOKUP(B497,country_opex,3,FALSE))+Z497+AA497+AB497+AC497+AD497))&lt;=0,"",VLOOKUP(B497,country_opex,7,FALSE)/((W497*pax_cap*IF(B497="South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Korea",korea_mid_revleg,revleg_mid)),0))*VLOOKUP(B497,country_opex,3,FALSE))+Z497+AA497+AB497+AC497+AD497)))</f>
        <v/>
      </c>
      <c r="BA497" s="54">
        <f>IF(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&lt;=0,"",VLOOKUP(B497,country_opex,7,FALSE)/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)</f>
        <v/>
      </c>
      <c r="BB497" s="40" t="inlineStr">
        <is>
          <t>[LB-255 PREMIUM RE-FARE: subsidized comparable $4.0 lifted to premium on-demand floor $18.0] band_default</t>
        </is>
      </c>
      <c r="BC497" s="40" t="inlineStr">
        <is>
          <t>Seoul City Hangang Bus run-rate (~1.05M/yr; spec headline)</t>
        </is>
      </c>
      <c r="BD497" s="43" t="inlineStr">
        <is>
          <t>rn-dd8e26889f29</t>
        </is>
      </c>
    </row>
    <row r="498">
      <c r="A498" s="38" t="inlineStr">
        <is>
          <t>Korea Kakao Mobility</t>
        </is>
      </c>
      <c r="B498" s="38" t="inlineStr">
        <is>
          <t>South Korea</t>
        </is>
      </c>
      <c r="C498" s="39" t="inlineStr">
        <is>
          <t>Busan → Busan/Geoje Cluster</t>
        </is>
      </c>
      <c r="D498" s="38" t="inlineStr">
        <is>
          <t>kakao-mobility</t>
        </is>
      </c>
      <c r="E498" s="40" t="inlineStr">
        <is>
          <t>korea-kakao-mobility, korea-naver, korea-swing</t>
        </is>
      </c>
      <c r="F498" s="41" t="n">
        <v>3</v>
      </c>
      <c r="G498" s="42" t="n">
        <v>3.5</v>
      </c>
      <c r="H498" s="35" t="n">
        <v>18</v>
      </c>
      <c r="I498" s="43" t="inlineStr">
        <is>
          <t>T3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IF(B498="South Korea",G498/korea_charge_range_nm*korea_full_range_charge_min,0)</f>
        <v/>
      </c>
      <c r="N498" s="44">
        <f>IF(B498="South Korea",L498+korea_turn_min+korea_dwell_min+M498,L498+turn_min+dwell_min)</f>
        <v/>
      </c>
      <c r="O498" s="45">
        <f>IF(B498="South Korea",FLOOR(60*korea_service_hr/N498,1),MIN(15,FLOOR(60*service_hr/N498,1)))</f>
        <v/>
      </c>
      <c r="P498" s="45">
        <f>IF(ABS(MOD(ABS((365*mech_uptime*K498)),1)-0.5)&lt;1E-9,2*ROUND((365*mech_uptime*K498)/2,0),ROUND((365*mech_uptime*K498),0))</f>
        <v/>
      </c>
      <c r="Q498" s="46">
        <f>mech_uptime</f>
        <v/>
      </c>
      <c r="R498" s="46">
        <f>IF(AND(B498="South Korea",scenario="MID"),korea_mid_revleg,revleg_sel)</f>
        <v/>
      </c>
      <c r="S498" s="45">
        <f>IF(ABS(MOD(ABS((O498*P498*R498)),1)-0.5)&lt;1E-9,2*ROUND((O498*P498*R498)/2,0),ROUND((O498*P498*R498),0))</f>
        <v/>
      </c>
      <c r="T498" s="46">
        <f>IF(AND(B498="South Korea",scenario="MID"),korea_mid_load,load_sel)</f>
        <v/>
      </c>
      <c r="U498" s="47">
        <f>pax_cap*T498</f>
        <v/>
      </c>
      <c r="V498" s="45">
        <f>U498*S498</f>
        <v/>
      </c>
      <c r="W498" s="48">
        <f>H498*discount</f>
        <v/>
      </c>
      <c r="X498" s="49">
        <f>W498*V498</f>
        <v/>
      </c>
      <c r="Y498" s="49">
        <f>(battery/range_nm)*G498*S498*VLOOKUP(B498,country_opex,3,FALSE)</f>
        <v/>
      </c>
      <c r="Z498" s="49">
        <f>VLOOKUP(B498,country_opex,2,FALSE)*crew_factor</f>
        <v/>
      </c>
      <c r="AA498" s="49">
        <f>VLOOKUP(B498,country_opex,5,FALSE)</f>
        <v/>
      </c>
      <c r="AB498" s="49">
        <f>maint</f>
        <v/>
      </c>
      <c r="AC498" s="49">
        <f>VLOOKUP(B498,country_opex,7,FALSE)*ins_pct</f>
        <v/>
      </c>
      <c r="AD498" s="49">
        <f>charge_berth</f>
        <v/>
      </c>
      <c r="AE498" s="49">
        <f>Y498+Z498+AA498+AB498+AC498+AD498</f>
        <v/>
      </c>
      <c r="AF498" s="49">
        <f>VLOOKUP(B498,country_opex,7,FALSE)/dep_years</f>
        <v/>
      </c>
      <c r="AG498" s="49">
        <f>X498-AE498</f>
        <v/>
      </c>
      <c r="AH498" s="46">
        <f>IF(X498=0,"",AG498/X498)</f>
        <v/>
      </c>
      <c r="AI498" s="47">
        <f>IF(AG498&lt;=0,"",VLOOKUP(B498,country_opex,7,FALSE)/AG498)</f>
        <v/>
      </c>
      <c r="AJ498" s="44">
        <f>((G498*S498/diesel_nmpg)*diesel_co2pg-(battery/range_nm)*G498*S498*VLOOKUP(B498,country_opex,4,FALSE))/1000</f>
        <v/>
      </c>
      <c r="AK498" s="42" t="n">
        <v>200000</v>
      </c>
      <c r="AL498" s="43" t="inlineStr">
        <is>
          <t>T2</t>
        </is>
      </c>
      <c r="AM498" s="43" t="inlineStr">
        <is>
          <t>med</t>
        </is>
      </c>
      <c r="AN498" s="50" t="n">
        <v>0.1</v>
      </c>
      <c r="AO498" s="45">
        <f>IF(AK498="","",AK498*AN498)</f>
        <v/>
      </c>
      <c r="AP498" s="45">
        <f>IF(OR(AK498="",V498=0),"",MIN(IF(AX498="",9.9E+99,AX498),FLOOR(AO498/V498,1)))</f>
        <v/>
      </c>
      <c r="AQ498" s="49">
        <f>IF(AP498="","",AP498*IF(ABS(MOD(ABS((X498)),1)-0.5)&lt;1E-9,2*ROUND((X498)/2,0),ROUND((X498),0)))</f>
        <v/>
      </c>
      <c r="AR498" s="47">
        <f>IF(OR(AK498="",V498=0),"",MIN(IF(AX498="",9.9E+99,AX498),AO498/V498))</f>
        <v/>
      </c>
      <c r="AS498" s="49">
        <f>IF(AR498="","",AR498*IF(B498="South Korea",IF(ABS(MOD(ABS((X498)),1)-0.5)&lt;1E-9,2*ROUND((X498)/2,0),ROUND((X498),0)),X498))</f>
        <v/>
      </c>
      <c r="AT498" s="51" t="n"/>
      <c r="AU498" s="43" t="inlineStr">
        <is>
          <t>Grounded</t>
        </is>
      </c>
      <c r="AV498" s="52" t="n"/>
      <c r="AW498" s="52" t="n"/>
      <c r="AX498" s="53" t="n"/>
      <c r="AY498" s="54">
        <f>IF(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&lt;=0,"",VLOOKUP(B498,country_opex,7,FALSE)/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)</f>
        <v/>
      </c>
      <c r="AZ498" s="54">
        <f>IF(((W498*pax_cap*IF(B498="South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Korea",korea_mid_revleg,revleg_mid)),0))*VLOOKUP(B498,country_opex,3,FALSE))+Z498+AA498+AB498+AC498+AD498))&lt;=0,"",VLOOKUP(B498,country_opex,7,FALSE)/((W498*pax_cap*IF(B498="South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Korea",korea_mid_revleg,revleg_mid)),0))*VLOOKUP(B498,country_opex,3,FALSE))+Z498+AA498+AB498+AC498+AD498)))</f>
        <v/>
      </c>
      <c r="BA498" s="54">
        <f>IF(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&lt;=0,"",VLOOKUP(B498,country_opex,7,FALSE)/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)</f>
        <v/>
      </c>
      <c r="BB498" s="40" t="inlineStr">
        <is>
          <t>[LB-255 PREMIUM RE-FARE: subsidized comparable $4.0 lifted to premium on-demand floor $18.0] band_default</t>
        </is>
      </c>
      <c r="BC498" s="40" t="inlineStr">
        <is>
          <t>Geoje Oedo cruise piers ~1M customers/yr (allocation pool)</t>
        </is>
      </c>
      <c r="BD498" s="43" t="inlineStr">
        <is>
          <t>rn-38d097ab8503</t>
        </is>
      </c>
    </row>
    <row r="499">
      <c r="A499" s="38" t="inlineStr">
        <is>
          <t>Korea Kakao Mobility</t>
        </is>
      </c>
      <c r="B499" s="38" t="inlineStr">
        <is>
          <t>South Korea</t>
        </is>
      </c>
      <c r="C499" s="39" t="inlineStr">
        <is>
          <t>Seongsan Eup → Seopjikoji</t>
        </is>
      </c>
      <c r="D499" s="38" t="inlineStr">
        <is>
          <t>kakao-mobility</t>
        </is>
      </c>
      <c r="E499" s="40" t="inlineStr">
        <is>
          <t>korea-kakao-mobility, korea-naver, korea-swing</t>
        </is>
      </c>
      <c r="F499" s="41" t="n">
        <v>3</v>
      </c>
      <c r="G499" s="42" t="n">
        <v>3.6</v>
      </c>
      <c r="H499" s="35" t="n">
        <v>18</v>
      </c>
      <c r="I499" s="43" t="inlineStr">
        <is>
          <t>T3</t>
        </is>
      </c>
      <c r="J499" s="43" t="inlineStr">
        <is>
          <t>low</t>
        </is>
      </c>
      <c r="K499" s="29" t="n">
        <v>1</v>
      </c>
      <c r="L499" s="44">
        <f>60*G499/cruise_kt</f>
        <v/>
      </c>
      <c r="M499" s="44">
        <f>IF(B499="South Korea",G499/korea_charge_range_nm*korea_full_range_charge_min,0)</f>
        <v/>
      </c>
      <c r="N499" s="44">
        <f>IF(B499="South Korea",L499+korea_turn_min+korea_dwell_min+M499,L499+turn_min+dwell_min)</f>
        <v/>
      </c>
      <c r="O499" s="45">
        <f>IF(B499="South Korea",FLOOR(60*korea_service_hr/N499,1),MIN(15,FLOOR(60*service_hr/N499,1)))</f>
        <v/>
      </c>
      <c r="P499" s="45">
        <f>IF(ABS(MOD(ABS((365*mech_uptime*K499)),1)-0.5)&lt;1E-9,2*ROUND((365*mech_uptime*K499)/2,0),ROUND((365*mech_uptime*K499),0))</f>
        <v/>
      </c>
      <c r="Q499" s="46">
        <f>mech_uptime</f>
        <v/>
      </c>
      <c r="R499" s="46">
        <f>IF(AND(B499="South Korea",scenario="MID"),korea_mid_revleg,revleg_sel)</f>
        <v/>
      </c>
      <c r="S499" s="45">
        <f>IF(ABS(MOD(ABS((O499*P499*R499)),1)-0.5)&lt;1E-9,2*ROUND((O499*P499*R499)/2,0),ROUND((O499*P499*R499),0))</f>
        <v/>
      </c>
      <c r="T499" s="46">
        <f>IF(AND(B499="South Korea",scenario="MID"),korea_mid_load,load_sel)</f>
        <v/>
      </c>
      <c r="U499" s="47">
        <f>pax_cap*T499</f>
        <v/>
      </c>
      <c r="V499" s="45">
        <f>U499*S499</f>
        <v/>
      </c>
      <c r="W499" s="48">
        <f>H499*discount</f>
        <v/>
      </c>
      <c r="X499" s="49">
        <f>W499*V499</f>
        <v/>
      </c>
      <c r="Y499" s="49">
        <f>(battery/range_nm)*G499*S499*VLOOKUP(B499,country_opex,3,FALSE)</f>
        <v/>
      </c>
      <c r="Z499" s="49">
        <f>VLOOKUP(B499,country_opex,2,FALSE)*crew_factor</f>
        <v/>
      </c>
      <c r="AA499" s="49">
        <f>VLOOKUP(B499,country_opex,5,FALSE)</f>
        <v/>
      </c>
      <c r="AB499" s="49">
        <f>maint</f>
        <v/>
      </c>
      <c r="AC499" s="49">
        <f>VLOOKUP(B499,country_opex,7,FALSE)*ins_pct</f>
        <v/>
      </c>
      <c r="AD499" s="49">
        <f>charge_berth</f>
        <v/>
      </c>
      <c r="AE499" s="49">
        <f>Y499+Z499+AA499+AB499+AC499+AD499</f>
        <v/>
      </c>
      <c r="AF499" s="49">
        <f>VLOOKUP(B499,country_opex,7,FALSE)/dep_years</f>
        <v/>
      </c>
      <c r="AG499" s="49">
        <f>X499-AE499</f>
        <v/>
      </c>
      <c r="AH499" s="46">
        <f>IF(X499=0,"",AG499/X499)</f>
        <v/>
      </c>
      <c r="AI499" s="47">
        <f>IF(AG499&lt;=0,"",VLOOKUP(B499,country_opex,7,FALSE)/AG499)</f>
        <v/>
      </c>
      <c r="AJ499" s="44">
        <f>((G499*S499/diesel_nmpg)*diesel_co2pg-(battery/range_nm)*G499*S499*VLOOKUP(B499,country_opex,4,FALSE))/1000</f>
        <v/>
      </c>
      <c r="AK499" s="42" t="n">
        <v>29535</v>
      </c>
      <c r="AL499" s="43" t="inlineStr">
        <is>
          <t>T3</t>
        </is>
      </c>
      <c r="AM499" s="43" t="inlineStr">
        <is>
          <t>low</t>
        </is>
      </c>
      <c r="AN499" s="50" t="n">
        <v>0.1</v>
      </c>
      <c r="AO499" s="45">
        <f>IF(AK499="","",AK499*AN499)</f>
        <v/>
      </c>
      <c r="AP499" s="45">
        <f>IF(OR(AK499="",V499=0),"",MIN(IF(AX499="",9.9E+99,AX499),FLOOR(AO499/V499,1)))</f>
        <v/>
      </c>
      <c r="AQ499" s="49">
        <f>IF(AP499="","",AP499*IF(ABS(MOD(ABS((X499)),1)-0.5)&lt;1E-9,2*ROUND((X499)/2,0),ROUND((X499),0)))</f>
        <v/>
      </c>
      <c r="AR499" s="47">
        <f>IF(OR(AK499="",V499=0),"",MIN(IF(AX499="",9.9E+99,AX499),AO499/V499))</f>
        <v/>
      </c>
      <c r="AS499" s="49">
        <f>IF(AR499="","",AR499*IF(B499="South Korea",IF(ABS(MOD(ABS((X499)),1)-0.5)&lt;1E-9,2*ROUND((X499)/2,0),ROUND((X499),0)),X499))</f>
        <v/>
      </c>
      <c r="AT499" s="51" t="n"/>
      <c r="AU499" s="43" t="inlineStr">
        <is>
          <t>Grounded</t>
        </is>
      </c>
      <c r="AV499" s="52" t="n"/>
      <c r="AW499" s="52" t="n"/>
      <c r="AX499" s="53" t="n"/>
      <c r="AY499" s="54">
        <f>IF(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&lt;=0,"",VLOOKUP(B499,country_opex,7,FALSE)/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)</f>
        <v/>
      </c>
      <c r="AZ499" s="54">
        <f>IF(((W499*pax_cap*IF(B499="South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Korea",korea_mid_revleg,revleg_mid)),0))*VLOOKUP(B499,country_opex,3,FALSE))+Z499+AA499+AB499+AC499+AD499))&lt;=0,"",VLOOKUP(B499,country_opex,7,FALSE)/((W499*pax_cap*IF(B499="South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Korea",korea_mid_revleg,revleg_mid)),0))*VLOOKUP(B499,country_opex,3,FALSE))+Z499+AA499+AB499+AC499+AD499)))</f>
        <v/>
      </c>
      <c r="BA499" s="54">
        <f>IF(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&lt;=0,"",VLOOKUP(B499,country_opex,7,FALSE)/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)</f>
        <v/>
      </c>
      <c r="BB499" s="40" t="inlineStr">
        <is>
          <t>[LB-255 PREMIUM RE-FARE: subsidized comparable $4.0 lifted to premium on-demand floor $18.0] band_default</t>
        </is>
      </c>
      <c r="BC499" s="40" t="inlineStr">
        <is>
          <t>greenfield_convention</t>
        </is>
      </c>
      <c r="BD499" s="43" t="inlineStr">
        <is>
          <t>rn-dd841301f944</t>
        </is>
      </c>
    </row>
    <row r="500">
      <c r="A500" s="38" t="inlineStr">
        <is>
          <t>Korea Kakao Mobility</t>
        </is>
      </c>
      <c r="B500" s="38" t="inlineStr">
        <is>
          <t>South Korea</t>
        </is>
      </c>
      <c r="C500" s="39" t="inlineStr">
        <is>
          <t>Yeouido → Oksu Pier</t>
        </is>
      </c>
      <c r="D500" s="38" t="inlineStr">
        <is>
          <t>kakao-mobility</t>
        </is>
      </c>
      <c r="E500" s="40" t="inlineStr">
        <is>
          <t>korea-kakao-mobility, korea-naver, korea-swing</t>
        </is>
      </c>
      <c r="F500" s="41" t="n">
        <v>3</v>
      </c>
      <c r="G500" s="42" t="n">
        <v>4.4</v>
      </c>
      <c r="H500" s="35" t="n">
        <v>18</v>
      </c>
      <c r="I500" s="43" t="inlineStr">
        <is>
          <t>T3</t>
        </is>
      </c>
      <c r="J500" s="43" t="inlineStr">
        <is>
          <t>low</t>
        </is>
      </c>
      <c r="K500" s="29" t="n">
        <v>1</v>
      </c>
      <c r="L500" s="44">
        <f>60*G500/cruise_kt</f>
        <v/>
      </c>
      <c r="M500" s="44">
        <f>IF(B500="South Korea",G500/korea_charge_range_nm*korea_full_range_charge_min,0)</f>
        <v/>
      </c>
      <c r="N500" s="44">
        <f>IF(B500="South Korea",L500+korea_turn_min+korea_dwell_min+M500,L500+turn_min+dwell_min)</f>
        <v/>
      </c>
      <c r="O500" s="45">
        <f>IF(B500="South Korea",FLOOR(60*korea_service_hr/N500,1),MIN(15,FLOOR(60*service_hr/N500,1)))</f>
        <v/>
      </c>
      <c r="P500" s="45">
        <f>IF(ABS(MOD(ABS((365*mech_uptime*K500)),1)-0.5)&lt;1E-9,2*ROUND((365*mech_uptime*K500)/2,0),ROUND((365*mech_uptime*K500),0))</f>
        <v/>
      </c>
      <c r="Q500" s="46">
        <f>mech_uptime</f>
        <v/>
      </c>
      <c r="R500" s="46">
        <f>IF(AND(B500="South Korea",scenario="MID"),korea_mid_revleg,revleg_sel)</f>
        <v/>
      </c>
      <c r="S500" s="45">
        <f>IF(ABS(MOD(ABS((O500*P500*R500)),1)-0.5)&lt;1E-9,2*ROUND((O500*P500*R500)/2,0),ROUND((O500*P500*R500),0))</f>
        <v/>
      </c>
      <c r="T500" s="46">
        <f>IF(AND(B500="South Korea",scenario="MID"),korea_mid_load,load_sel)</f>
        <v/>
      </c>
      <c r="U500" s="47">
        <f>pax_cap*T500</f>
        <v/>
      </c>
      <c r="V500" s="45">
        <f>U500*S500</f>
        <v/>
      </c>
      <c r="W500" s="48">
        <f>H500*discount</f>
        <v/>
      </c>
      <c r="X500" s="49">
        <f>W500*V500</f>
        <v/>
      </c>
      <c r="Y500" s="49">
        <f>(battery/range_nm)*G500*S500*VLOOKUP(B500,country_opex,3,FALSE)</f>
        <v/>
      </c>
      <c r="Z500" s="49">
        <f>VLOOKUP(B500,country_opex,2,FALSE)*crew_factor</f>
        <v/>
      </c>
      <c r="AA500" s="49">
        <f>VLOOKUP(B500,country_opex,5,FALSE)</f>
        <v/>
      </c>
      <c r="AB500" s="49">
        <f>maint</f>
        <v/>
      </c>
      <c r="AC500" s="49">
        <f>VLOOKUP(B500,country_opex,7,FALSE)*ins_pct</f>
        <v/>
      </c>
      <c r="AD500" s="49">
        <f>charge_berth</f>
        <v/>
      </c>
      <c r="AE500" s="49">
        <f>Y500+Z500+AA500+AB500+AC500+AD500</f>
        <v/>
      </c>
      <c r="AF500" s="49">
        <f>VLOOKUP(B500,country_opex,7,FALSE)/dep_years</f>
        <v/>
      </c>
      <c r="AG500" s="49">
        <f>X500-AE500</f>
        <v/>
      </c>
      <c r="AH500" s="46">
        <f>IF(X500=0,"",AG500/X500)</f>
        <v/>
      </c>
      <c r="AI500" s="47">
        <f>IF(AG500&lt;=0,"",VLOOKUP(B500,country_opex,7,FALSE)/AG500)</f>
        <v/>
      </c>
      <c r="AJ500" s="44">
        <f>((G500*S500/diesel_nmpg)*diesel_co2pg-(battery/range_nm)*G500*S500*VLOOKUP(B500,country_opex,4,FALSE))/1000</f>
        <v/>
      </c>
      <c r="AK500" s="42" t="n">
        <v>95455</v>
      </c>
      <c r="AL500" s="43" t="inlineStr">
        <is>
          <t>T1</t>
        </is>
      </c>
      <c r="AM500" s="43" t="inlineStr">
        <is>
          <t>med</t>
        </is>
      </c>
      <c r="AN500" s="50" t="n">
        <v>0.1</v>
      </c>
      <c r="AO500" s="45">
        <f>IF(AK500="","",AK500*AN500)</f>
        <v/>
      </c>
      <c r="AP500" s="45">
        <f>IF(OR(AK500="",V500=0),"",MIN(IF(AX500="",9.9E+99,AX500),FLOOR(AO500/V500,1)))</f>
        <v/>
      </c>
      <c r="AQ500" s="49">
        <f>IF(AP500="","",AP500*IF(ABS(MOD(ABS((X500)),1)-0.5)&lt;1E-9,2*ROUND((X500)/2,0),ROUND((X500),0)))</f>
        <v/>
      </c>
      <c r="AR500" s="47">
        <f>IF(OR(AK500="",V500=0),"",MIN(IF(AX500="",9.9E+99,AX500),AO500/V500))</f>
        <v/>
      </c>
      <c r="AS500" s="49">
        <f>IF(AR500="","",AR500*IF(B500="South Korea",IF(ABS(MOD(ABS((X500)),1)-0.5)&lt;1E-9,2*ROUND((X500)/2,0),ROUND((X500),0)),X500))</f>
        <v/>
      </c>
      <c r="AT500" s="51" t="n"/>
      <c r="AU500" s="43" t="inlineStr">
        <is>
          <t>Grounded</t>
        </is>
      </c>
      <c r="AV500" s="52" t="n"/>
      <c r="AW500" s="52" t="n"/>
      <c r="AX500" s="53" t="n"/>
      <c r="AY500" s="54">
        <f>IF(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&lt;=0,"",VLOOKUP(B500,country_opex,7,FALSE)/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)</f>
        <v/>
      </c>
      <c r="AZ500" s="54">
        <f>IF(((W500*pax_cap*IF(B500="South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Korea",korea_mid_revleg,revleg_mid)),0))*VLOOKUP(B500,country_opex,3,FALSE))+Z500+AA500+AB500+AC500+AD500))&lt;=0,"",VLOOKUP(B500,country_opex,7,FALSE)/((W500*pax_cap*IF(B500="South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Korea",korea_mid_revleg,revleg_mid)),0))*VLOOKUP(B500,country_opex,3,FALSE))+Z500+AA500+AB500+AC500+AD500)))</f>
        <v/>
      </c>
      <c r="BA500" s="54">
        <f>IF(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&lt;=0,"",VLOOKUP(B500,country_opex,7,FALSE)/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)</f>
        <v/>
      </c>
      <c r="BB500" s="40" t="inlineStr">
        <is>
          <t>[LB-255 PREMIUM RE-FARE: subsidized comparable $4.0 lifted to premium on-demand floor $18.0] band_default</t>
        </is>
      </c>
      <c r="BC500" s="40" t="inlineStr">
        <is>
          <t>Seoul City Hangang Bus run-rate (~1.05M/yr; spec headline)</t>
        </is>
      </c>
      <c r="BD500" s="43" t="inlineStr">
        <is>
          <t>rn-6e4ab1de83d4</t>
        </is>
      </c>
    </row>
    <row r="501">
      <c r="A501" s="38" t="inlineStr">
        <is>
          <t>Korea Kakao Mobility</t>
        </is>
      </c>
      <c r="B501" s="38" t="inlineStr">
        <is>
          <t>South Korea</t>
        </is>
      </c>
      <c r="C501" s="39" t="inlineStr">
        <is>
          <t>Seopjikoji → Jeju</t>
        </is>
      </c>
      <c r="D501" s="38" t="inlineStr">
        <is>
          <t>kakao-mobility</t>
        </is>
      </c>
      <c r="E501" s="40" t="inlineStr">
        <is>
          <t>korea-kakao-mobility, korea-naver, korea-swing</t>
        </is>
      </c>
      <c r="F501" s="41" t="n">
        <v>3</v>
      </c>
      <c r="G501" s="42" t="n">
        <v>5.3</v>
      </c>
      <c r="H501" s="35" t="n">
        <v>8</v>
      </c>
      <c r="I501" s="43" t="inlineStr">
        <is>
          <t>T3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IF(B501="South Korea",G501/korea_charge_range_nm*korea_full_range_charge_min,0)</f>
        <v/>
      </c>
      <c r="N501" s="44">
        <f>IF(B501="South Korea",L501+korea_turn_min+korea_dwell_min+M501,L501+turn_min+dwell_min)</f>
        <v/>
      </c>
      <c r="O501" s="45">
        <f>IF(B501="South Korea",FLOOR(60*korea_service_hr/N501,1),MIN(15,FLOOR(60*service_hr/N501,1)))</f>
        <v/>
      </c>
      <c r="P501" s="45">
        <f>IF(ABS(MOD(ABS((365*mech_uptime*K501)),1)-0.5)&lt;1E-9,2*ROUND((365*mech_uptime*K501)/2,0),ROUND((365*mech_uptime*K501),0))</f>
        <v/>
      </c>
      <c r="Q501" s="46">
        <f>mech_uptime</f>
        <v/>
      </c>
      <c r="R501" s="46">
        <f>IF(AND(B501="South Korea",scenario="MID"),korea_mid_revleg,revleg_sel)</f>
        <v/>
      </c>
      <c r="S501" s="45">
        <f>IF(ABS(MOD(ABS((O501*P501*R501)),1)-0.5)&lt;1E-9,2*ROUND((O501*P501*R501)/2,0),ROUND((O501*P501*R501),0))</f>
        <v/>
      </c>
      <c r="T501" s="46">
        <f>IF(AND(B501="South Korea",scenario="MID"),korea_mid_load,load_sel)</f>
        <v/>
      </c>
      <c r="U501" s="47">
        <f>pax_cap*T501</f>
        <v/>
      </c>
      <c r="V501" s="45">
        <f>U501*S501</f>
        <v/>
      </c>
      <c r="W501" s="48">
        <f>H501*discount</f>
        <v/>
      </c>
      <c r="X501" s="49">
        <f>W501*V501</f>
        <v/>
      </c>
      <c r="Y501" s="49">
        <f>(battery/range_nm)*G501*S501*VLOOKUP(B501,country_opex,3,FALSE)</f>
        <v/>
      </c>
      <c r="Z501" s="49">
        <f>VLOOKUP(B501,country_opex,2,FALSE)*crew_factor</f>
        <v/>
      </c>
      <c r="AA501" s="49">
        <f>VLOOKUP(B501,country_opex,5,FALSE)</f>
        <v/>
      </c>
      <c r="AB501" s="49">
        <f>maint</f>
        <v/>
      </c>
      <c r="AC501" s="49">
        <f>VLOOKUP(B501,country_opex,7,FALSE)*ins_pct</f>
        <v/>
      </c>
      <c r="AD501" s="49">
        <f>charge_berth</f>
        <v/>
      </c>
      <c r="AE501" s="49">
        <f>Y501+Z501+AA501+AB501+AC501+AD501</f>
        <v/>
      </c>
      <c r="AF501" s="49">
        <f>VLOOKUP(B501,country_opex,7,FALSE)/dep_years</f>
        <v/>
      </c>
      <c r="AG501" s="49">
        <f>X501-AE501</f>
        <v/>
      </c>
      <c r="AH501" s="46">
        <f>IF(X501=0,"",AG501/X501)</f>
        <v/>
      </c>
      <c r="AI501" s="47">
        <f>IF(AG501&lt;=0,"",VLOOKUP(B501,country_opex,7,FALSE)/AG501)</f>
        <v/>
      </c>
      <c r="AJ501" s="44">
        <f>((G501*S501/diesel_nmpg)*diesel_co2pg-(battery/range_nm)*G501*S501*VLOOKUP(B501,country_opex,4,FALSE))/1000</f>
        <v/>
      </c>
      <c r="AK501" s="42" t="n">
        <v>29535</v>
      </c>
      <c r="AL501" s="43" t="inlineStr">
        <is>
          <t>T3</t>
        </is>
      </c>
      <c r="AM501" s="43" t="inlineStr">
        <is>
          <t>low</t>
        </is>
      </c>
      <c r="AN501" s="50" t="n">
        <v>0.1</v>
      </c>
      <c r="AO501" s="45">
        <f>IF(AK501="","",AK501*AN501)</f>
        <v/>
      </c>
      <c r="AP501" s="45">
        <f>IF(OR(AK501="",V501=0),"",MIN(IF(AX501="",9.9E+99,AX501),FLOOR(AO501/V501,1)))</f>
        <v/>
      </c>
      <c r="AQ501" s="49">
        <f>IF(AP501="","",AP501*IF(ABS(MOD(ABS((X501)),1)-0.5)&lt;1E-9,2*ROUND((X501)/2,0),ROUND((X501),0)))</f>
        <v/>
      </c>
      <c r="AR501" s="47">
        <f>IF(OR(AK501="",V501=0),"",MIN(IF(AX501="",9.9E+99,AX501),AO501/V501))</f>
        <v/>
      </c>
      <c r="AS501" s="49">
        <f>IF(AR501="","",AR501*IF(B501="South Korea",IF(ABS(MOD(ABS((X501)),1)-0.5)&lt;1E-9,2*ROUND((X501)/2,0),ROUND((X501),0)),X501))</f>
        <v/>
      </c>
      <c r="AT501" s="51" t="n"/>
      <c r="AU501" s="43" t="inlineStr">
        <is>
          <t>Grounded</t>
        </is>
      </c>
      <c r="AV501" s="52" t="n"/>
      <c r="AW501" s="52" t="n"/>
      <c r="AX501" s="53" t="n"/>
      <c r="AY501" s="54">
        <f>IF(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&lt;=0,"",VLOOKUP(B501,country_opex,7,FALSE)/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)</f>
        <v/>
      </c>
      <c r="AZ501" s="54">
        <f>IF(((W501*pax_cap*IF(B501="South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Korea",korea_mid_revleg,revleg_mid)),0))*VLOOKUP(B501,country_opex,3,FALSE))+Z501+AA501+AB501+AC501+AD501))&lt;=0,"",VLOOKUP(B501,country_opex,7,FALSE)/((W501*pax_cap*IF(B501="South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Korea",korea_mid_revleg,revleg_mid)),0))*VLOOKUP(B501,country_opex,3,FALSE))+Z501+AA501+AB501+AC501+AD501)))</f>
        <v/>
      </c>
      <c r="BA501" s="54">
        <f>IF(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&lt;=0,"",VLOOKUP(B501,country_opex,7,FALSE)/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)</f>
        <v/>
      </c>
      <c r="BB501" s="40" t="inlineStr">
        <is>
          <t>band_default</t>
        </is>
      </c>
      <c r="BC501" s="40" t="inlineStr">
        <is>
          <t>greenfield_convention</t>
        </is>
      </c>
      <c r="BD501" s="43" t="inlineStr">
        <is>
          <t>rn-2be3c3285c7a</t>
        </is>
      </c>
    </row>
    <row r="502">
      <c r="A502" s="38" t="inlineStr">
        <is>
          <t>Korea Kakao Mobility</t>
        </is>
      </c>
      <c r="B502" s="38" t="inlineStr">
        <is>
          <t>South Korea</t>
        </is>
      </c>
      <c r="C502" s="39" t="inlineStr">
        <is>
          <t>Magok Pier → Yeouido Pier</t>
        </is>
      </c>
      <c r="D502" s="38" t="inlineStr">
        <is>
          <t>kakao-mobility</t>
        </is>
      </c>
      <c r="E502" s="40" t="inlineStr">
        <is>
          <t>korea-kakao-mobility, korea-naver, korea-swing</t>
        </is>
      </c>
      <c r="F502" s="41" t="n">
        <v>3</v>
      </c>
      <c r="G502" s="42" t="n">
        <v>5.4</v>
      </c>
      <c r="H502" s="35" t="n">
        <v>8</v>
      </c>
      <c r="I502" s="43" t="inlineStr">
        <is>
          <t>T3</t>
        </is>
      </c>
      <c r="J502" s="43" t="inlineStr">
        <is>
          <t>low</t>
        </is>
      </c>
      <c r="K502" s="29" t="n">
        <v>1</v>
      </c>
      <c r="L502" s="44">
        <f>60*G502/cruise_kt</f>
        <v/>
      </c>
      <c r="M502" s="44">
        <f>IF(B502="South Korea",G502/korea_charge_range_nm*korea_full_range_charge_min,0)</f>
        <v/>
      </c>
      <c r="N502" s="44">
        <f>IF(B502="South Korea",L502+korea_turn_min+korea_dwell_min+M502,L502+turn_min+dwell_min)</f>
        <v/>
      </c>
      <c r="O502" s="45">
        <f>IF(B502="South Korea",FLOOR(60*korea_service_hr/N502,1),MIN(15,FLOOR(60*service_hr/N502,1)))</f>
        <v/>
      </c>
      <c r="P502" s="45">
        <f>IF(ABS(MOD(ABS((365*mech_uptime*K502)),1)-0.5)&lt;1E-9,2*ROUND((365*mech_uptime*K502)/2,0),ROUND((365*mech_uptime*K502),0))</f>
        <v/>
      </c>
      <c r="Q502" s="46">
        <f>mech_uptime</f>
        <v/>
      </c>
      <c r="R502" s="46">
        <f>IF(AND(B502="South Korea",scenario="MID"),korea_mid_revleg,revleg_sel)</f>
        <v/>
      </c>
      <c r="S502" s="45">
        <f>IF(ABS(MOD(ABS((O502*P502*R502)),1)-0.5)&lt;1E-9,2*ROUND((O502*P502*R502)/2,0),ROUND((O502*P502*R502),0))</f>
        <v/>
      </c>
      <c r="T502" s="46">
        <f>IF(AND(B502="South Korea",scenario="MID"),korea_mid_load,load_sel)</f>
        <v/>
      </c>
      <c r="U502" s="47">
        <f>pax_cap*T502</f>
        <v/>
      </c>
      <c r="V502" s="45">
        <f>U502*S502</f>
        <v/>
      </c>
      <c r="W502" s="48">
        <f>H502*discount</f>
        <v/>
      </c>
      <c r="X502" s="49">
        <f>W502*V502</f>
        <v/>
      </c>
      <c r="Y502" s="49">
        <f>(battery/range_nm)*G502*S502*VLOOKUP(B502,country_opex,3,FALSE)</f>
        <v/>
      </c>
      <c r="Z502" s="49">
        <f>VLOOKUP(B502,country_opex,2,FALSE)*crew_factor</f>
        <v/>
      </c>
      <c r="AA502" s="49">
        <f>VLOOKUP(B502,country_opex,5,FALSE)</f>
        <v/>
      </c>
      <c r="AB502" s="49">
        <f>maint</f>
        <v/>
      </c>
      <c r="AC502" s="49">
        <f>VLOOKUP(B502,country_opex,7,FALSE)*ins_pct</f>
        <v/>
      </c>
      <c r="AD502" s="49">
        <f>charge_berth</f>
        <v/>
      </c>
      <c r="AE502" s="49">
        <f>Y502+Z502+AA502+AB502+AC502+AD502</f>
        <v/>
      </c>
      <c r="AF502" s="49">
        <f>VLOOKUP(B502,country_opex,7,FALSE)/dep_years</f>
        <v/>
      </c>
      <c r="AG502" s="49">
        <f>X502-AE502</f>
        <v/>
      </c>
      <c r="AH502" s="46">
        <f>IF(X502=0,"",AG502/X502)</f>
        <v/>
      </c>
      <c r="AI502" s="47">
        <f>IF(AG502&lt;=0,"",VLOOKUP(B502,country_opex,7,FALSE)/AG502)</f>
        <v/>
      </c>
      <c r="AJ502" s="44">
        <f>((G502*S502/diesel_nmpg)*diesel_co2pg-(battery/range_nm)*G502*S502*VLOOKUP(B502,country_opex,4,FALSE))/1000</f>
        <v/>
      </c>
      <c r="AK502" s="42" t="n">
        <v>95455</v>
      </c>
      <c r="AL502" s="43" t="inlineStr">
        <is>
          <t>T1</t>
        </is>
      </c>
      <c r="AM502" s="43" t="inlineStr">
        <is>
          <t>med</t>
        </is>
      </c>
      <c r="AN502" s="50" t="n">
        <v>0.1</v>
      </c>
      <c r="AO502" s="45">
        <f>IF(AK502="","",AK502*AN502)</f>
        <v/>
      </c>
      <c r="AP502" s="45">
        <f>IF(OR(AK502="",V502=0),"",MIN(IF(AX502="",9.9E+99,AX502),FLOOR(AO502/V502,1)))</f>
        <v/>
      </c>
      <c r="AQ502" s="49">
        <f>IF(AP502="","",AP502*IF(ABS(MOD(ABS((X502)),1)-0.5)&lt;1E-9,2*ROUND((X502)/2,0),ROUND((X502),0)))</f>
        <v/>
      </c>
      <c r="AR502" s="47">
        <f>IF(OR(AK502="",V502=0),"",MIN(IF(AX502="",9.9E+99,AX502),AO502/V502))</f>
        <v/>
      </c>
      <c r="AS502" s="49">
        <f>IF(AR502="","",AR502*IF(B502="South Korea",IF(ABS(MOD(ABS((X502)),1)-0.5)&lt;1E-9,2*ROUND((X502)/2,0),ROUND((X502),0)),X502))</f>
        <v/>
      </c>
      <c r="AT502" s="51" t="n"/>
      <c r="AU502" s="43" t="inlineStr">
        <is>
          <t>Grounded</t>
        </is>
      </c>
      <c r="AV502" s="52" t="n"/>
      <c r="AW502" s="52" t="n"/>
      <c r="AX502" s="53" t="n"/>
      <c r="AY502" s="54">
        <f>IF(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&lt;=0,"",VLOOKUP(B502,country_opex,7,FALSE)/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)</f>
        <v/>
      </c>
      <c r="AZ502" s="54">
        <f>IF(((W502*pax_cap*IF(B502="South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Korea",korea_mid_revleg,revleg_mid)),0))*VLOOKUP(B502,country_opex,3,FALSE))+Z502+AA502+AB502+AC502+AD502))&lt;=0,"",VLOOKUP(B502,country_opex,7,FALSE)/((W502*pax_cap*IF(B502="South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Korea",korea_mid_revleg,revleg_mid)),0))*VLOOKUP(B502,country_opex,3,FALSE))+Z502+AA502+AB502+AC502+AD502)))</f>
        <v/>
      </c>
      <c r="BA502" s="54">
        <f>IF(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&lt;=0,"",VLOOKUP(B502,country_opex,7,FALSE)/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)</f>
        <v/>
      </c>
      <c r="BB502" s="40" t="inlineStr">
        <is>
          <t>band_default</t>
        </is>
      </c>
      <c r="BC502" s="40" t="inlineStr">
        <is>
          <t>Seoul City Hangang Bus run-rate (~1.05M/yr; spec headline)</t>
        </is>
      </c>
      <c r="BD502" s="43" t="inlineStr">
        <is>
          <t>rn-6d96e229ce7e</t>
        </is>
      </c>
    </row>
    <row r="503">
      <c r="A503" s="38" t="inlineStr">
        <is>
          <t>Korea Kakao Mobility</t>
        </is>
      </c>
      <c r="B503" s="38" t="inlineStr">
        <is>
          <t>South Korea</t>
        </is>
      </c>
      <c r="C503" s="39" t="inlineStr">
        <is>
          <t>Incheon Coastal Passenger Terminal → Yeongjong Island Marina</t>
        </is>
      </c>
      <c r="D503" s="38" t="inlineStr">
        <is>
          <t>kakao-mobility</t>
        </is>
      </c>
      <c r="E503" s="40" t="inlineStr">
        <is>
          <t>korea-kakao-mobility, korea-naver, korea-swing</t>
        </is>
      </c>
      <c r="F503" s="41" t="n">
        <v>3</v>
      </c>
      <c r="G503" s="42" t="n">
        <v>6.6</v>
      </c>
      <c r="H503" s="35" t="n">
        <v>8</v>
      </c>
      <c r="I503" s="43" t="inlineStr">
        <is>
          <t>T3</t>
        </is>
      </c>
      <c r="J503" s="43" t="inlineStr">
        <is>
          <t>low</t>
        </is>
      </c>
      <c r="K503" s="29" t="n">
        <v>1</v>
      </c>
      <c r="L503" s="44">
        <f>60*G503/cruise_kt</f>
        <v/>
      </c>
      <c r="M503" s="44">
        <f>IF(B503="South Korea",G503/korea_charge_range_nm*korea_full_range_charge_min,0)</f>
        <v/>
      </c>
      <c r="N503" s="44">
        <f>IF(B503="South Korea",L503+korea_turn_min+korea_dwell_min+M503,L503+turn_min+dwell_min)</f>
        <v/>
      </c>
      <c r="O503" s="45">
        <f>IF(B503="South Korea",FLOOR(60*korea_service_hr/N503,1),MIN(15,FLOOR(60*service_hr/N503,1)))</f>
        <v/>
      </c>
      <c r="P503" s="45">
        <f>IF(ABS(MOD(ABS((365*mech_uptime*K503)),1)-0.5)&lt;1E-9,2*ROUND((365*mech_uptime*K503)/2,0),ROUND((365*mech_uptime*K503),0))</f>
        <v/>
      </c>
      <c r="Q503" s="46">
        <f>mech_uptime</f>
        <v/>
      </c>
      <c r="R503" s="46">
        <f>IF(AND(B503="South Korea",scenario="MID"),korea_mid_revleg,revleg_sel)</f>
        <v/>
      </c>
      <c r="S503" s="45">
        <f>IF(ABS(MOD(ABS((O503*P503*R503)),1)-0.5)&lt;1E-9,2*ROUND((O503*P503*R503)/2,0),ROUND((O503*P503*R503),0))</f>
        <v/>
      </c>
      <c r="T503" s="46">
        <f>IF(AND(B503="South Korea",scenario="MID"),korea_mid_load,load_sel)</f>
        <v/>
      </c>
      <c r="U503" s="47">
        <f>pax_cap*T503</f>
        <v/>
      </c>
      <c r="V503" s="45">
        <f>U503*S503</f>
        <v/>
      </c>
      <c r="W503" s="48">
        <f>H503*discount</f>
        <v/>
      </c>
      <c r="X503" s="49">
        <f>W503*V503</f>
        <v/>
      </c>
      <c r="Y503" s="49">
        <f>(battery/range_nm)*G503*S503*VLOOKUP(B503,country_opex,3,FALSE)</f>
        <v/>
      </c>
      <c r="Z503" s="49">
        <f>VLOOKUP(B503,country_opex,2,FALSE)*crew_factor</f>
        <v/>
      </c>
      <c r="AA503" s="49">
        <f>VLOOKUP(B503,country_opex,5,FALSE)</f>
        <v/>
      </c>
      <c r="AB503" s="49">
        <f>maint</f>
        <v/>
      </c>
      <c r="AC503" s="49">
        <f>VLOOKUP(B503,country_opex,7,FALSE)*ins_pct</f>
        <v/>
      </c>
      <c r="AD503" s="49">
        <f>charge_berth</f>
        <v/>
      </c>
      <c r="AE503" s="49">
        <f>Y503+Z503+AA503+AB503+AC503+AD503</f>
        <v/>
      </c>
      <c r="AF503" s="49">
        <f>VLOOKUP(B503,country_opex,7,FALSE)/dep_years</f>
        <v/>
      </c>
      <c r="AG503" s="49">
        <f>X503-AE503</f>
        <v/>
      </c>
      <c r="AH503" s="46">
        <f>IF(X503=0,"",AG503/X503)</f>
        <v/>
      </c>
      <c r="AI503" s="47">
        <f>IF(AG503&lt;=0,"",VLOOKUP(B503,country_opex,7,FALSE)/AG503)</f>
        <v/>
      </c>
      <c r="AJ503" s="44">
        <f>((G503*S503/diesel_nmpg)*diesel_co2pg-(battery/range_nm)*G503*S503*VLOOKUP(B503,country_opex,4,FALSE))/1000</f>
        <v/>
      </c>
      <c r="AK503" s="42" t="n">
        <v>120137</v>
      </c>
      <c r="AL503" s="43" t="inlineStr">
        <is>
          <t>T1</t>
        </is>
      </c>
      <c r="AM503" s="43" t="inlineStr">
        <is>
          <t>high</t>
        </is>
      </c>
      <c r="AN503" s="50" t="n">
        <v>0.1</v>
      </c>
      <c r="AO503" s="45">
        <f>IF(AK503="","",AK503*AN503)</f>
        <v/>
      </c>
      <c r="AP503" s="45">
        <f>IF(OR(AK503="",V503=0),"",MIN(IF(AX503="",9.9E+99,AX503),FLOOR(AO503/V503,1)))</f>
        <v/>
      </c>
      <c r="AQ503" s="49">
        <f>IF(AP503="","",AP503*IF(ABS(MOD(ABS((X503)),1)-0.5)&lt;1E-9,2*ROUND((X503)/2,0),ROUND((X503),0)))</f>
        <v/>
      </c>
      <c r="AR503" s="47">
        <f>IF(OR(AK503="",V503=0),"",MIN(IF(AX503="",9.9E+99,AX503),AO503/V503))</f>
        <v/>
      </c>
      <c r="AS503" s="49">
        <f>IF(AR503="","",AR503*IF(B503="South Korea",IF(ABS(MOD(ABS((X503)),1)-0.5)&lt;1E-9,2*ROUND((X503)/2,0),ROUND((X503),0)),X503))</f>
        <v/>
      </c>
      <c r="AT503" s="51" t="n"/>
      <c r="AU503" s="43" t="inlineStr">
        <is>
          <t>Grounded</t>
        </is>
      </c>
      <c r="AV503" s="52" t="n"/>
      <c r="AW503" s="52" t="n"/>
      <c r="AX503" s="53" t="n"/>
      <c r="AY503" s="54">
        <f>IF(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&lt;=0,"",VLOOKUP(B503,country_opex,7,FALSE)/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)</f>
        <v/>
      </c>
      <c r="AZ503" s="54">
        <f>IF(((W503*pax_cap*IF(B503="South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Korea",korea_mid_revleg,revleg_mid)),0))*VLOOKUP(B503,country_opex,3,FALSE))+Z503+AA503+AB503+AC503+AD503))&lt;=0,"",VLOOKUP(B503,country_opex,7,FALSE)/((W503*pax_cap*IF(B503="South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Korea",korea_mid_revleg,revleg_mid)),0))*VLOOKUP(B503,country_opex,3,FALSE))+Z503+AA503+AB503+AC503+AD503)))</f>
        <v/>
      </c>
      <c r="BA503" s="54">
        <f>IF(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&lt;=0,"",VLOOKUP(B503,country_opex,7,FALSE)/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)</f>
        <v/>
      </c>
      <c r="BB503" s="40" t="inlineStr">
        <is>
          <t>band_default</t>
        </is>
      </c>
      <c r="BC503" s="40" t="inlineStr">
        <is>
          <t>https://www.icpa.or.kr/icferry/mobile/main.do?menuKey=779</t>
        </is>
      </c>
      <c r="BD503" s="43" t="inlineStr">
        <is>
          <t>rn-7e7e6da7abba</t>
        </is>
      </c>
    </row>
    <row r="504">
      <c r="A504" s="38" t="inlineStr">
        <is>
          <t>Korea Kakao Mobility</t>
        </is>
      </c>
      <c r="B504" s="38" t="inlineStr">
        <is>
          <t>South Korea</t>
        </is>
      </c>
      <c r="C504" s="39" t="inlineStr">
        <is>
          <t>Jeju → Seogwipo Jungmun</t>
        </is>
      </c>
      <c r="D504" s="38" t="inlineStr">
        <is>
          <t>kakao-mobility</t>
        </is>
      </c>
      <c r="E504" s="40" t="inlineStr">
        <is>
          <t>korea-kakao-mobility, korea-naver, korea-swing</t>
        </is>
      </c>
      <c r="F504" s="41" t="n">
        <v>3</v>
      </c>
      <c r="G504" s="42" t="n">
        <v>7.1</v>
      </c>
      <c r="H504" s="35" t="n">
        <v>8</v>
      </c>
      <c r="I504" s="43" t="inlineStr">
        <is>
          <t>T3</t>
        </is>
      </c>
      <c r="J504" s="43" t="inlineStr">
        <is>
          <t>low</t>
        </is>
      </c>
      <c r="K504" s="29" t="n">
        <v>1</v>
      </c>
      <c r="L504" s="44">
        <f>60*G504/cruise_kt</f>
        <v/>
      </c>
      <c r="M504" s="44">
        <f>IF(B504="South Korea",G504/korea_charge_range_nm*korea_full_range_charge_min,0)</f>
        <v/>
      </c>
      <c r="N504" s="44">
        <f>IF(B504="South Korea",L504+korea_turn_min+korea_dwell_min+M504,L504+turn_min+dwell_min)</f>
        <v/>
      </c>
      <c r="O504" s="45">
        <f>IF(B504="South Korea",FLOOR(60*korea_service_hr/N504,1),MIN(15,FLOOR(60*service_hr/N504,1)))</f>
        <v/>
      </c>
      <c r="P504" s="45">
        <f>IF(ABS(MOD(ABS((365*mech_uptime*K504)),1)-0.5)&lt;1E-9,2*ROUND((365*mech_uptime*K504)/2,0),ROUND((365*mech_uptime*K504),0))</f>
        <v/>
      </c>
      <c r="Q504" s="46">
        <f>mech_uptime</f>
        <v/>
      </c>
      <c r="R504" s="46">
        <f>IF(AND(B504="South Korea",scenario="MID"),korea_mid_revleg,revleg_sel)</f>
        <v/>
      </c>
      <c r="S504" s="45">
        <f>IF(ABS(MOD(ABS((O504*P504*R504)),1)-0.5)&lt;1E-9,2*ROUND((O504*P504*R504)/2,0),ROUND((O504*P504*R504),0))</f>
        <v/>
      </c>
      <c r="T504" s="46">
        <f>IF(AND(B504="South Korea",scenario="MID"),korea_mid_load,load_sel)</f>
        <v/>
      </c>
      <c r="U504" s="47">
        <f>pax_cap*T504</f>
        <v/>
      </c>
      <c r="V504" s="45">
        <f>U504*S504</f>
        <v/>
      </c>
      <c r="W504" s="48">
        <f>H504*discount</f>
        <v/>
      </c>
      <c r="X504" s="49">
        <f>W504*V504</f>
        <v/>
      </c>
      <c r="Y504" s="49">
        <f>(battery/range_nm)*G504*S504*VLOOKUP(B504,country_opex,3,FALSE)</f>
        <v/>
      </c>
      <c r="Z504" s="49">
        <f>VLOOKUP(B504,country_opex,2,FALSE)*crew_factor</f>
        <v/>
      </c>
      <c r="AA504" s="49">
        <f>VLOOKUP(B504,country_opex,5,FALSE)</f>
        <v/>
      </c>
      <c r="AB504" s="49">
        <f>maint</f>
        <v/>
      </c>
      <c r="AC504" s="49">
        <f>VLOOKUP(B504,country_opex,7,FALSE)*ins_pct</f>
        <v/>
      </c>
      <c r="AD504" s="49">
        <f>charge_berth</f>
        <v/>
      </c>
      <c r="AE504" s="49">
        <f>Y504+Z504+AA504+AB504+AC504+AD504</f>
        <v/>
      </c>
      <c r="AF504" s="49">
        <f>VLOOKUP(B504,country_opex,7,FALSE)/dep_years</f>
        <v/>
      </c>
      <c r="AG504" s="49">
        <f>X504-AE504</f>
        <v/>
      </c>
      <c r="AH504" s="46">
        <f>IF(X504=0,"",AG504/X504)</f>
        <v/>
      </c>
      <c r="AI504" s="47">
        <f>IF(AG504&lt;=0,"",VLOOKUP(B504,country_opex,7,FALSE)/AG504)</f>
        <v/>
      </c>
      <c r="AJ504" s="44">
        <f>((G504*S504/diesel_nmpg)*diesel_co2pg-(battery/range_nm)*G504*S504*VLOOKUP(B504,country_opex,4,FALSE))/1000</f>
        <v/>
      </c>
      <c r="AK504" s="42" t="n">
        <v>29535</v>
      </c>
      <c r="AL504" s="43" t="inlineStr">
        <is>
          <t>T3</t>
        </is>
      </c>
      <c r="AM504" s="43" t="inlineStr">
        <is>
          <t>low</t>
        </is>
      </c>
      <c r="AN504" s="50" t="n">
        <v>0.1</v>
      </c>
      <c r="AO504" s="45">
        <f>IF(AK504="","",AK504*AN504)</f>
        <v/>
      </c>
      <c r="AP504" s="45">
        <f>IF(OR(AK504="",V504=0),"",MIN(IF(AX504="",9.9E+99,AX504),FLOOR(AO504/V504,1)))</f>
        <v/>
      </c>
      <c r="AQ504" s="49">
        <f>IF(AP504="","",AP504*IF(ABS(MOD(ABS((X504)),1)-0.5)&lt;1E-9,2*ROUND((X504)/2,0),ROUND((X504),0)))</f>
        <v/>
      </c>
      <c r="AR504" s="47">
        <f>IF(OR(AK504="",V504=0),"",MIN(IF(AX504="",9.9E+99,AX504),AO504/V504))</f>
        <v/>
      </c>
      <c r="AS504" s="49">
        <f>IF(AR504="","",AR504*IF(B504="South Korea",IF(ABS(MOD(ABS((X504)),1)-0.5)&lt;1E-9,2*ROUND((X504)/2,0),ROUND((X504),0)),X504))</f>
        <v/>
      </c>
      <c r="AT504" s="51" t="n"/>
      <c r="AU504" s="43" t="inlineStr">
        <is>
          <t>Grounded</t>
        </is>
      </c>
      <c r="AV504" s="52" t="n"/>
      <c r="AW504" s="52" t="n"/>
      <c r="AX504" s="53" t="n"/>
      <c r="AY504" s="54">
        <f>IF(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&lt;=0,"",VLOOKUP(B504,country_opex,7,FALSE)/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)</f>
        <v/>
      </c>
      <c r="AZ504" s="54">
        <f>IF(((W504*pax_cap*IF(B504="South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Korea",korea_mid_revleg,revleg_mid)),0))*VLOOKUP(B504,country_opex,3,FALSE))+Z504+AA504+AB504+AC504+AD504))&lt;=0,"",VLOOKUP(B504,country_opex,7,FALSE)/((W504*pax_cap*IF(B504="South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Korea",korea_mid_revleg,revleg_mid)),0))*VLOOKUP(B504,country_opex,3,FALSE))+Z504+AA504+AB504+AC504+AD504)))</f>
        <v/>
      </c>
      <c r="BA504" s="54">
        <f>IF(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&lt;=0,"",VLOOKUP(B504,country_opex,7,FALSE)/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)</f>
        <v/>
      </c>
      <c r="BB504" s="40" t="inlineStr">
        <is>
          <t>band_default</t>
        </is>
      </c>
      <c r="BC504" s="40" t="inlineStr">
        <is>
          <t>greenfield_convention</t>
        </is>
      </c>
      <c r="BD504" s="43" t="inlineStr">
        <is>
          <t>rn-ed5d6c0609fe</t>
        </is>
      </c>
    </row>
    <row r="505">
      <c r="A505" s="38" t="inlineStr">
        <is>
          <t>Korea Kakao Mobility</t>
        </is>
      </c>
      <c r="B505" s="38" t="inlineStr">
        <is>
          <t>South Korea</t>
        </is>
      </c>
      <c r="C505" s="39" t="inlineStr">
        <is>
          <t>Jamsil Pier → Yeouido Pier</t>
        </is>
      </c>
      <c r="D505" s="38" t="inlineStr">
        <is>
          <t>kakao-mobility</t>
        </is>
      </c>
      <c r="E505" s="40" t="inlineStr">
        <is>
          <t>korea-kakao-mobility, korea-naver, korea-swing</t>
        </is>
      </c>
      <c r="F505" s="41" t="n">
        <v>3</v>
      </c>
      <c r="G505" s="42" t="n">
        <v>7.5</v>
      </c>
      <c r="H505" s="35" t="n">
        <v>8</v>
      </c>
      <c r="I505" s="43" t="inlineStr">
        <is>
          <t>T3</t>
        </is>
      </c>
      <c r="J505" s="43" t="inlineStr">
        <is>
          <t>low</t>
        </is>
      </c>
      <c r="K505" s="29" t="n">
        <v>1</v>
      </c>
      <c r="L505" s="44">
        <f>60*G505/cruise_kt</f>
        <v/>
      </c>
      <c r="M505" s="44">
        <f>IF(B505="South Korea",G505/korea_charge_range_nm*korea_full_range_charge_min,0)</f>
        <v/>
      </c>
      <c r="N505" s="44">
        <f>IF(B505="South Korea",L505+korea_turn_min+korea_dwell_min+M505,L505+turn_min+dwell_min)</f>
        <v/>
      </c>
      <c r="O505" s="45">
        <f>IF(B505="South Korea",FLOOR(60*korea_service_hr/N505,1),MIN(15,FLOOR(60*service_hr/N505,1)))</f>
        <v/>
      </c>
      <c r="P505" s="45">
        <f>IF(ABS(MOD(ABS((365*mech_uptime*K505)),1)-0.5)&lt;1E-9,2*ROUND((365*mech_uptime*K505)/2,0),ROUND((365*mech_uptime*K505),0))</f>
        <v/>
      </c>
      <c r="Q505" s="46">
        <f>mech_uptime</f>
        <v/>
      </c>
      <c r="R505" s="46">
        <f>IF(AND(B505="South Korea",scenario="MID"),korea_mid_revleg,revleg_sel)</f>
        <v/>
      </c>
      <c r="S505" s="45">
        <f>IF(ABS(MOD(ABS((O505*P505*R505)),1)-0.5)&lt;1E-9,2*ROUND((O505*P505*R505)/2,0),ROUND((O505*P505*R505),0))</f>
        <v/>
      </c>
      <c r="T505" s="46">
        <f>IF(AND(B505="South Korea",scenario="MID"),korea_mid_load,load_sel)</f>
        <v/>
      </c>
      <c r="U505" s="47">
        <f>pax_cap*T505</f>
        <v/>
      </c>
      <c r="V505" s="45">
        <f>U505*S505</f>
        <v/>
      </c>
      <c r="W505" s="48">
        <f>H505*discount</f>
        <v/>
      </c>
      <c r="X505" s="49">
        <f>W505*V505</f>
        <v/>
      </c>
      <c r="Y505" s="49">
        <f>(battery/range_nm)*G505*S505*VLOOKUP(B505,country_opex,3,FALSE)</f>
        <v/>
      </c>
      <c r="Z505" s="49">
        <f>VLOOKUP(B505,country_opex,2,FALSE)*crew_factor</f>
        <v/>
      </c>
      <c r="AA505" s="49">
        <f>VLOOKUP(B505,country_opex,5,FALSE)</f>
        <v/>
      </c>
      <c r="AB505" s="49">
        <f>maint</f>
        <v/>
      </c>
      <c r="AC505" s="49">
        <f>VLOOKUP(B505,country_opex,7,FALSE)*ins_pct</f>
        <v/>
      </c>
      <c r="AD505" s="49">
        <f>charge_berth</f>
        <v/>
      </c>
      <c r="AE505" s="49">
        <f>Y505+Z505+AA505+AB505+AC505+AD505</f>
        <v/>
      </c>
      <c r="AF505" s="49">
        <f>VLOOKUP(B505,country_opex,7,FALSE)/dep_years</f>
        <v/>
      </c>
      <c r="AG505" s="49">
        <f>X505-AE505</f>
        <v/>
      </c>
      <c r="AH505" s="46">
        <f>IF(X505=0,"",AG505/X505)</f>
        <v/>
      </c>
      <c r="AI505" s="47">
        <f>IF(AG505&lt;=0,"",VLOOKUP(B505,country_opex,7,FALSE)/AG505)</f>
        <v/>
      </c>
      <c r="AJ505" s="44">
        <f>((G505*S505/diesel_nmpg)*diesel_co2pg-(battery/range_nm)*G505*S505*VLOOKUP(B505,country_opex,4,FALSE))/1000</f>
        <v/>
      </c>
      <c r="AK505" s="42" t="n">
        <v>95455</v>
      </c>
      <c r="AL505" s="43" t="inlineStr">
        <is>
          <t>T1</t>
        </is>
      </c>
      <c r="AM505" s="43" t="inlineStr">
        <is>
          <t>med</t>
        </is>
      </c>
      <c r="AN505" s="50" t="n">
        <v>0.1</v>
      </c>
      <c r="AO505" s="45">
        <f>IF(AK505="","",AK505*AN505)</f>
        <v/>
      </c>
      <c r="AP505" s="45">
        <f>IF(OR(AK505="",V505=0),"",MIN(IF(AX505="",9.9E+99,AX505),FLOOR(AO505/V505,1)))</f>
        <v/>
      </c>
      <c r="AQ505" s="49">
        <f>IF(AP505="","",AP505*IF(ABS(MOD(ABS((X505)),1)-0.5)&lt;1E-9,2*ROUND((X505)/2,0),ROUND((X505),0)))</f>
        <v/>
      </c>
      <c r="AR505" s="47">
        <f>IF(OR(AK505="",V505=0),"",MIN(IF(AX505="",9.9E+99,AX505),AO505/V505))</f>
        <v/>
      </c>
      <c r="AS505" s="49">
        <f>IF(AR505="","",AR505*IF(B505="South Korea",IF(ABS(MOD(ABS((X505)),1)-0.5)&lt;1E-9,2*ROUND((X505)/2,0),ROUND((X505),0)),X505))</f>
        <v/>
      </c>
      <c r="AT505" s="51" t="n"/>
      <c r="AU505" s="43" t="inlineStr">
        <is>
          <t>Grounded</t>
        </is>
      </c>
      <c r="AV505" s="52" t="n"/>
      <c r="AW505" s="52" t="n"/>
      <c r="AX505" s="53" t="n"/>
      <c r="AY505" s="54">
        <f>IF(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&lt;=0,"",VLOOKUP(B505,country_opex,7,FALSE)/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)</f>
        <v/>
      </c>
      <c r="AZ505" s="54">
        <f>IF(((W505*pax_cap*IF(B505="South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Korea",korea_mid_revleg,revleg_mid)),0))*VLOOKUP(B505,country_opex,3,FALSE))+Z505+AA505+AB505+AC505+AD505))&lt;=0,"",VLOOKUP(B505,country_opex,7,FALSE)/((W505*pax_cap*IF(B505="South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Korea",korea_mid_revleg,revleg_mid)),0))*VLOOKUP(B505,country_opex,3,FALSE))+Z505+AA505+AB505+AC505+AD505)))</f>
        <v/>
      </c>
      <c r="BA505" s="54">
        <f>IF(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&lt;=0,"",VLOOKUP(B505,country_opex,7,FALSE)/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)</f>
        <v/>
      </c>
      <c r="BB505" s="40" t="inlineStr">
        <is>
          <t>band_default</t>
        </is>
      </c>
      <c r="BC505" s="40" t="inlineStr">
        <is>
          <t>Seoul City Hangang Bus run-rate (~1.05M/yr; spec headline)</t>
        </is>
      </c>
      <c r="BD505" s="43" t="inlineStr">
        <is>
          <t>rn-047fe5d8e686</t>
        </is>
      </c>
    </row>
    <row r="506">
      <c r="A506" s="38" t="inlineStr">
        <is>
          <t>Korea Kakao Mobility</t>
        </is>
      </c>
      <c r="B506" s="38" t="inlineStr">
        <is>
          <t>South Korea</t>
        </is>
      </c>
      <c r="C506" s="39" t="inlineStr">
        <is>
          <t>Yeouido Pier → Ttukseom Pier</t>
        </is>
      </c>
      <c r="D506" s="38" t="inlineStr">
        <is>
          <t>kakao-mobility</t>
        </is>
      </c>
      <c r="E506" s="40" t="inlineStr">
        <is>
          <t>korea-kakao-mobility, korea-naver, korea-swing</t>
        </is>
      </c>
      <c r="F506" s="41" t="n">
        <v>3</v>
      </c>
      <c r="G506" s="42" t="n">
        <v>8.300000000000001</v>
      </c>
      <c r="H506" s="35" t="n">
        <v>8</v>
      </c>
      <c r="I506" s="43" t="inlineStr">
        <is>
          <t>T3</t>
        </is>
      </c>
      <c r="J506" s="43" t="inlineStr">
        <is>
          <t>low</t>
        </is>
      </c>
      <c r="K506" s="29" t="n">
        <v>1</v>
      </c>
      <c r="L506" s="44">
        <f>60*G506/cruise_kt</f>
        <v/>
      </c>
      <c r="M506" s="44">
        <f>IF(B506="South Korea",G506/korea_charge_range_nm*korea_full_range_charge_min,0)</f>
        <v/>
      </c>
      <c r="N506" s="44">
        <f>IF(B506="South Korea",L506+korea_turn_min+korea_dwell_min+M506,L506+turn_min+dwell_min)</f>
        <v/>
      </c>
      <c r="O506" s="45">
        <f>IF(B506="South Korea",FLOOR(60*korea_service_hr/N506,1),MIN(15,FLOOR(60*service_hr/N506,1)))</f>
        <v/>
      </c>
      <c r="P506" s="45">
        <f>IF(ABS(MOD(ABS((365*mech_uptime*K506)),1)-0.5)&lt;1E-9,2*ROUND((365*mech_uptime*K506)/2,0),ROUND((365*mech_uptime*K506),0))</f>
        <v/>
      </c>
      <c r="Q506" s="46">
        <f>mech_uptime</f>
        <v/>
      </c>
      <c r="R506" s="46">
        <f>IF(AND(B506="South Korea",scenario="MID"),korea_mid_revleg,revleg_sel)</f>
        <v/>
      </c>
      <c r="S506" s="45">
        <f>IF(ABS(MOD(ABS((O506*P506*R506)),1)-0.5)&lt;1E-9,2*ROUND((O506*P506*R506)/2,0),ROUND((O506*P506*R506),0))</f>
        <v/>
      </c>
      <c r="T506" s="46">
        <f>IF(AND(B506="South Korea",scenario="MID"),korea_mid_load,load_sel)</f>
        <v/>
      </c>
      <c r="U506" s="47">
        <f>pax_cap*T506</f>
        <v/>
      </c>
      <c r="V506" s="45">
        <f>U506*S506</f>
        <v/>
      </c>
      <c r="W506" s="48">
        <f>H506*discount</f>
        <v/>
      </c>
      <c r="X506" s="49">
        <f>W506*V506</f>
        <v/>
      </c>
      <c r="Y506" s="49">
        <f>(battery/range_nm)*G506*S506*VLOOKUP(B506,country_opex,3,FALSE)</f>
        <v/>
      </c>
      <c r="Z506" s="49">
        <f>VLOOKUP(B506,country_opex,2,FALSE)*crew_factor</f>
        <v/>
      </c>
      <c r="AA506" s="49">
        <f>VLOOKUP(B506,country_opex,5,FALSE)</f>
        <v/>
      </c>
      <c r="AB506" s="49">
        <f>maint</f>
        <v/>
      </c>
      <c r="AC506" s="49">
        <f>VLOOKUP(B506,country_opex,7,FALSE)*ins_pct</f>
        <v/>
      </c>
      <c r="AD506" s="49">
        <f>charge_berth</f>
        <v/>
      </c>
      <c r="AE506" s="49">
        <f>Y506+Z506+AA506+AB506+AC506+AD506</f>
        <v/>
      </c>
      <c r="AF506" s="49">
        <f>VLOOKUP(B506,country_opex,7,FALSE)/dep_years</f>
        <v/>
      </c>
      <c r="AG506" s="49">
        <f>X506-AE506</f>
        <v/>
      </c>
      <c r="AH506" s="46">
        <f>IF(X506=0,"",AG506/X506)</f>
        <v/>
      </c>
      <c r="AI506" s="47">
        <f>IF(AG506&lt;=0,"",VLOOKUP(B506,country_opex,7,FALSE)/AG506)</f>
        <v/>
      </c>
      <c r="AJ506" s="44">
        <f>((G506*S506/diesel_nmpg)*diesel_co2pg-(battery/range_nm)*G506*S506*VLOOKUP(B506,country_opex,4,FALSE))/1000</f>
        <v/>
      </c>
      <c r="AK506" s="42" t="n">
        <v>95455</v>
      </c>
      <c r="AL506" s="43" t="inlineStr">
        <is>
          <t>T1</t>
        </is>
      </c>
      <c r="AM506" s="43" t="inlineStr">
        <is>
          <t>med</t>
        </is>
      </c>
      <c r="AN506" s="50" t="n">
        <v>0.1</v>
      </c>
      <c r="AO506" s="45">
        <f>IF(AK506="","",AK506*AN506)</f>
        <v/>
      </c>
      <c r="AP506" s="45">
        <f>IF(OR(AK506="",V506=0),"",MIN(IF(AX506="",9.9E+99,AX506),FLOOR(AO506/V506,1)))</f>
        <v/>
      </c>
      <c r="AQ506" s="49">
        <f>IF(AP506="","",AP506*IF(ABS(MOD(ABS((X506)),1)-0.5)&lt;1E-9,2*ROUND((X506)/2,0),ROUND((X506),0)))</f>
        <v/>
      </c>
      <c r="AR506" s="47">
        <f>IF(OR(AK506="",V506=0),"",MIN(IF(AX506="",9.9E+99,AX506),AO506/V506))</f>
        <v/>
      </c>
      <c r="AS506" s="49">
        <f>IF(AR506="","",AR506*IF(B506="South Korea",IF(ABS(MOD(ABS((X506)),1)-0.5)&lt;1E-9,2*ROUND((X506)/2,0),ROUND((X506),0)),X506))</f>
        <v/>
      </c>
      <c r="AT506" s="51" t="n"/>
      <c r="AU506" s="43" t="inlineStr">
        <is>
          <t>Grounded</t>
        </is>
      </c>
      <c r="AV506" s="52" t="n"/>
      <c r="AW506" s="52" t="n"/>
      <c r="AX506" s="53" t="n"/>
      <c r="AY506" s="54">
        <f>IF(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&lt;=0,"",VLOOKUP(B506,country_opex,7,FALSE)/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)</f>
        <v/>
      </c>
      <c r="AZ506" s="54">
        <f>IF(((W506*pax_cap*IF(B506="South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Korea",korea_mid_revleg,revleg_mid)),0))*VLOOKUP(B506,country_opex,3,FALSE))+Z506+AA506+AB506+AC506+AD506))&lt;=0,"",VLOOKUP(B506,country_opex,7,FALSE)/((W506*pax_cap*IF(B506="South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Korea",korea_mid_revleg,revleg_mid)),0))*VLOOKUP(B506,country_opex,3,FALSE))+Z506+AA506+AB506+AC506+AD506)))</f>
        <v/>
      </c>
      <c r="BA506" s="54">
        <f>IF(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&lt;=0,"",VLOOKUP(B506,country_opex,7,FALSE)/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)</f>
        <v/>
      </c>
      <c r="BB506" s="40" t="inlineStr">
        <is>
          <t>band_default</t>
        </is>
      </c>
      <c r="BC506" s="40" t="inlineStr">
        <is>
          <t>Seoul City Hangang Bus run-rate (~1.05M/yr; spec headline)</t>
        </is>
      </c>
      <c r="BD506" s="43" t="inlineStr">
        <is>
          <t>rn-ce55c292989a</t>
        </is>
      </c>
    </row>
    <row r="507">
      <c r="A507" s="38" t="inlineStr">
        <is>
          <t>Korea Kakao Mobility</t>
        </is>
      </c>
      <c r="B507" s="38" t="inlineStr">
        <is>
          <t>South Korea</t>
        </is>
      </c>
      <c r="C507" s="39" t="inlineStr">
        <is>
          <t>Muuido Island Ferry Berth → Yeongjong Island Marina</t>
        </is>
      </c>
      <c r="D507" s="38" t="inlineStr">
        <is>
          <t>kakao-mobility</t>
        </is>
      </c>
      <c r="E507" s="40" t="inlineStr">
        <is>
          <t>korea-kakao-mobility, korea-naver, korea-swing</t>
        </is>
      </c>
      <c r="F507" s="41" t="n">
        <v>3</v>
      </c>
      <c r="G507" s="42" t="n">
        <v>9.1</v>
      </c>
      <c r="H507" s="35" t="n">
        <v>8</v>
      </c>
      <c r="I507" s="43" t="inlineStr">
        <is>
          <t>T3</t>
        </is>
      </c>
      <c r="J507" s="43" t="inlineStr">
        <is>
          <t>low</t>
        </is>
      </c>
      <c r="K507" s="29" t="n">
        <v>1</v>
      </c>
      <c r="L507" s="44">
        <f>60*G507/cruise_kt</f>
        <v/>
      </c>
      <c r="M507" s="44">
        <f>IF(B507="South Korea",G507/korea_charge_range_nm*korea_full_range_charge_min,0)</f>
        <v/>
      </c>
      <c r="N507" s="44">
        <f>IF(B507="South Korea",L507+korea_turn_min+korea_dwell_min+M507,L507+turn_min+dwell_min)</f>
        <v/>
      </c>
      <c r="O507" s="45">
        <f>IF(B507="South Korea",FLOOR(60*korea_service_hr/N507,1),MIN(15,FLOOR(60*service_hr/N507,1)))</f>
        <v/>
      </c>
      <c r="P507" s="45">
        <f>IF(ABS(MOD(ABS((365*mech_uptime*K507)),1)-0.5)&lt;1E-9,2*ROUND((365*mech_uptime*K507)/2,0),ROUND((365*mech_uptime*K507),0))</f>
        <v/>
      </c>
      <c r="Q507" s="46">
        <f>mech_uptime</f>
        <v/>
      </c>
      <c r="R507" s="46">
        <f>IF(AND(B507="South Korea",scenario="MID"),korea_mid_revleg,revleg_sel)</f>
        <v/>
      </c>
      <c r="S507" s="45">
        <f>IF(ABS(MOD(ABS((O507*P507*R507)),1)-0.5)&lt;1E-9,2*ROUND((O507*P507*R507)/2,0),ROUND((O507*P507*R507),0))</f>
        <v/>
      </c>
      <c r="T507" s="46">
        <f>IF(AND(B507="South Korea",scenario="MID"),korea_mid_load,load_sel)</f>
        <v/>
      </c>
      <c r="U507" s="47">
        <f>pax_cap*T507</f>
        <v/>
      </c>
      <c r="V507" s="45">
        <f>U507*S507</f>
        <v/>
      </c>
      <c r="W507" s="48">
        <f>H507*discount</f>
        <v/>
      </c>
      <c r="X507" s="49">
        <f>W507*V507</f>
        <v/>
      </c>
      <c r="Y507" s="49">
        <f>(battery/range_nm)*G507*S507*VLOOKUP(B507,country_opex,3,FALSE)</f>
        <v/>
      </c>
      <c r="Z507" s="49">
        <f>VLOOKUP(B507,country_opex,2,FALSE)*crew_factor</f>
        <v/>
      </c>
      <c r="AA507" s="49">
        <f>VLOOKUP(B507,country_opex,5,FALSE)</f>
        <v/>
      </c>
      <c r="AB507" s="49">
        <f>maint</f>
        <v/>
      </c>
      <c r="AC507" s="49">
        <f>VLOOKUP(B507,country_opex,7,FALSE)*ins_pct</f>
        <v/>
      </c>
      <c r="AD507" s="49">
        <f>charge_berth</f>
        <v/>
      </c>
      <c r="AE507" s="49">
        <f>Y507+Z507+AA507+AB507+AC507+AD507</f>
        <v/>
      </c>
      <c r="AF507" s="49">
        <f>VLOOKUP(B507,country_opex,7,FALSE)/dep_years</f>
        <v/>
      </c>
      <c r="AG507" s="49">
        <f>X507-AE507</f>
        <v/>
      </c>
      <c r="AH507" s="46">
        <f>IF(X507=0,"",AG507/X507)</f>
        <v/>
      </c>
      <c r="AI507" s="47">
        <f>IF(AG507&lt;=0,"",VLOOKUP(B507,country_opex,7,FALSE)/AG507)</f>
        <v/>
      </c>
      <c r="AJ507" s="44">
        <f>((G507*S507/diesel_nmpg)*diesel_co2pg-(battery/range_nm)*G507*S507*VLOOKUP(B507,country_opex,4,FALSE))/1000</f>
        <v/>
      </c>
      <c r="AK507" s="42" t="n">
        <v>120137</v>
      </c>
      <c r="AL507" s="43" t="inlineStr">
        <is>
          <t>T1</t>
        </is>
      </c>
      <c r="AM507" s="43" t="inlineStr">
        <is>
          <t>high</t>
        </is>
      </c>
      <c r="AN507" s="50" t="n">
        <v>0.1</v>
      </c>
      <c r="AO507" s="45">
        <f>IF(AK507="","",AK507*AN507)</f>
        <v/>
      </c>
      <c r="AP507" s="45">
        <f>IF(OR(AK507="",V507=0),"",MIN(IF(AX507="",9.9E+99,AX507),FLOOR(AO507/V507,1)))</f>
        <v/>
      </c>
      <c r="AQ507" s="49">
        <f>IF(AP507="","",AP507*IF(ABS(MOD(ABS((X507)),1)-0.5)&lt;1E-9,2*ROUND((X507)/2,0),ROUND((X507),0)))</f>
        <v/>
      </c>
      <c r="AR507" s="47">
        <f>IF(OR(AK507="",V507=0),"",MIN(IF(AX507="",9.9E+99,AX507),AO507/V507))</f>
        <v/>
      </c>
      <c r="AS507" s="49">
        <f>IF(AR507="","",AR507*IF(B507="South Korea",IF(ABS(MOD(ABS((X507)),1)-0.5)&lt;1E-9,2*ROUND((X507)/2,0),ROUND((X507),0)),X507))</f>
        <v/>
      </c>
      <c r="AT507" s="51" t="n"/>
      <c r="AU507" s="43" t="inlineStr">
        <is>
          <t>Grounded</t>
        </is>
      </c>
      <c r="AV507" s="52" t="n"/>
      <c r="AW507" s="52" t="n"/>
      <c r="AX507" s="53" t="n"/>
      <c r="AY507" s="54">
        <f>IF(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&lt;=0,"",VLOOKUP(B507,country_opex,7,FALSE)/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)</f>
        <v/>
      </c>
      <c r="AZ507" s="54">
        <f>IF(((W507*pax_cap*IF(B507="South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Korea",korea_mid_revleg,revleg_mid)),0))*VLOOKUP(B507,country_opex,3,FALSE))+Z507+AA507+AB507+AC507+AD507))&lt;=0,"",VLOOKUP(B507,country_opex,7,FALSE)/((W507*pax_cap*IF(B507="South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Korea",korea_mid_revleg,revleg_mid)),0))*VLOOKUP(B507,country_opex,3,FALSE))+Z507+AA507+AB507+AC507+AD507)))</f>
        <v/>
      </c>
      <c r="BA507" s="54">
        <f>IF(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&lt;=0,"",VLOOKUP(B507,country_opex,7,FALSE)/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)</f>
        <v/>
      </c>
      <c r="BB507" s="40" t="inlineStr">
        <is>
          <t>band_default</t>
        </is>
      </c>
      <c r="BC507" s="40" t="inlineStr">
        <is>
          <t>https://www.icpa.or.kr/icferry/mobile/main.do?menuKey=779</t>
        </is>
      </c>
      <c r="BD507" s="43" t="inlineStr">
        <is>
          <t>rn-5689dc99e479</t>
        </is>
      </c>
    </row>
    <row r="508">
      <c r="A508" s="38" t="inlineStr">
        <is>
          <t>Korea Kakao Mobility</t>
        </is>
      </c>
      <c r="B508" s="38" t="inlineStr">
        <is>
          <t>South Korea</t>
        </is>
      </c>
      <c r="C508" s="39" t="inlineStr">
        <is>
          <t>Jeju Yacht Club / Aewol Marina pipeline → Jeju Ferry Passenger Terminal</t>
        </is>
      </c>
      <c r="D508" s="38" t="inlineStr">
        <is>
          <t>kakao-mobility</t>
        </is>
      </c>
      <c r="E508" s="40" t="inlineStr">
        <is>
          <t>korea-kakao-mobility, korea-naver, korea-swing</t>
        </is>
      </c>
      <c r="F508" s="41" t="n">
        <v>3</v>
      </c>
      <c r="G508" s="42" t="n">
        <v>10.6</v>
      </c>
      <c r="H508" s="35" t="n">
        <v>8</v>
      </c>
      <c r="I508" s="43" t="inlineStr">
        <is>
          <t>T3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IF(B508="South Korea",G508/korea_charge_range_nm*korea_full_range_charge_min,0)</f>
        <v/>
      </c>
      <c r="N508" s="44">
        <f>IF(B508="South Korea",L508+korea_turn_min+korea_dwell_min+M508,L508+turn_min+dwell_min)</f>
        <v/>
      </c>
      <c r="O508" s="45">
        <f>IF(B508="South Korea",FLOOR(60*korea_service_hr/N508,1),MIN(15,FLOOR(60*service_hr/N508,1)))</f>
        <v/>
      </c>
      <c r="P508" s="45">
        <f>IF(ABS(MOD(ABS((365*mech_uptime*K508)),1)-0.5)&lt;1E-9,2*ROUND((365*mech_uptime*K508)/2,0),ROUND((365*mech_uptime*K508),0))</f>
        <v/>
      </c>
      <c r="Q508" s="46">
        <f>mech_uptime</f>
        <v/>
      </c>
      <c r="R508" s="46">
        <f>IF(AND(B508="South Korea",scenario="MID"),korea_mid_revleg,revleg_sel)</f>
        <v/>
      </c>
      <c r="S508" s="45">
        <f>IF(ABS(MOD(ABS((O508*P508*R508)),1)-0.5)&lt;1E-9,2*ROUND((O508*P508*R508)/2,0),ROUND((O508*P508*R508),0))</f>
        <v/>
      </c>
      <c r="T508" s="46">
        <f>IF(AND(B508="South Korea",scenario="MID"),korea_mid_load,load_sel)</f>
        <v/>
      </c>
      <c r="U508" s="47">
        <f>pax_cap*T508</f>
        <v/>
      </c>
      <c r="V508" s="45">
        <f>U508*S508</f>
        <v/>
      </c>
      <c r="W508" s="48">
        <f>H508*discount</f>
        <v/>
      </c>
      <c r="X508" s="49">
        <f>W508*V508</f>
        <v/>
      </c>
      <c r="Y508" s="49">
        <f>(battery/range_nm)*G508*S508*VLOOKUP(B508,country_opex,3,FALSE)</f>
        <v/>
      </c>
      <c r="Z508" s="49">
        <f>VLOOKUP(B508,country_opex,2,FALSE)*crew_factor</f>
        <v/>
      </c>
      <c r="AA508" s="49">
        <f>VLOOKUP(B508,country_opex,5,FALSE)</f>
        <v/>
      </c>
      <c r="AB508" s="49">
        <f>maint</f>
        <v/>
      </c>
      <c r="AC508" s="49">
        <f>VLOOKUP(B508,country_opex,7,FALSE)*ins_pct</f>
        <v/>
      </c>
      <c r="AD508" s="49">
        <f>charge_berth</f>
        <v/>
      </c>
      <c r="AE508" s="49">
        <f>Y508+Z508+AA508+AB508+AC508+AD508</f>
        <v/>
      </c>
      <c r="AF508" s="49">
        <f>VLOOKUP(B508,country_opex,7,FALSE)/dep_years</f>
        <v/>
      </c>
      <c r="AG508" s="49">
        <f>X508-AE508</f>
        <v/>
      </c>
      <c r="AH508" s="46">
        <f>IF(X508=0,"",AG508/X508)</f>
        <v/>
      </c>
      <c r="AI508" s="47">
        <f>IF(AG508&lt;=0,"",VLOOKUP(B508,country_opex,7,FALSE)/AG508)</f>
        <v/>
      </c>
      <c r="AJ508" s="44">
        <f>((G508*S508/diesel_nmpg)*diesel_co2pg-(battery/range_nm)*G508*S508*VLOOKUP(B508,country_opex,4,FALSE))/1000</f>
        <v/>
      </c>
      <c r="AK508" s="42" t="n">
        <v>29535</v>
      </c>
      <c r="AL508" s="43" t="inlineStr">
        <is>
          <t>T3</t>
        </is>
      </c>
      <c r="AM508" s="43" t="inlineStr">
        <is>
          <t>low</t>
        </is>
      </c>
      <c r="AN508" s="50" t="n">
        <v>0.1</v>
      </c>
      <c r="AO508" s="45">
        <f>IF(AK508="","",AK508*AN508)</f>
        <v/>
      </c>
      <c r="AP508" s="45">
        <f>IF(OR(AK508="",V508=0),"",MIN(IF(AX508="",9.9E+99,AX508),FLOOR(AO508/V508,1)))</f>
        <v/>
      </c>
      <c r="AQ508" s="49">
        <f>IF(AP508="","",AP508*IF(ABS(MOD(ABS((X508)),1)-0.5)&lt;1E-9,2*ROUND((X508)/2,0),ROUND((X508),0)))</f>
        <v/>
      </c>
      <c r="AR508" s="47">
        <f>IF(OR(AK508="",V508=0),"",MIN(IF(AX508="",9.9E+99,AX508),AO508/V508))</f>
        <v/>
      </c>
      <c r="AS508" s="49">
        <f>IF(AR508="","",AR508*IF(B508="South Korea",IF(ABS(MOD(ABS((X508)),1)-0.5)&lt;1E-9,2*ROUND((X508)/2,0),ROUND((X508),0)),X508))</f>
        <v/>
      </c>
      <c r="AT508" s="51" t="n"/>
      <c r="AU508" s="43" t="inlineStr">
        <is>
          <t>Grounded</t>
        </is>
      </c>
      <c r="AV508" s="52" t="n"/>
      <c r="AW508" s="52" t="n"/>
      <c r="AX508" s="53" t="n"/>
      <c r="AY508" s="54">
        <f>IF(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&lt;=0,"",VLOOKUP(B508,country_opex,7,FALSE)/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)</f>
        <v/>
      </c>
      <c r="AZ508" s="54">
        <f>IF(((W508*pax_cap*IF(B508="South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Korea",korea_mid_revleg,revleg_mid)),0))*VLOOKUP(B508,country_opex,3,FALSE))+Z508+AA508+AB508+AC508+AD508))&lt;=0,"",VLOOKUP(B508,country_opex,7,FALSE)/((W508*pax_cap*IF(B508="South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Korea",korea_mid_revleg,revleg_mid)),0))*VLOOKUP(B508,country_opex,3,FALSE))+Z508+AA508+AB508+AC508+AD508)))</f>
        <v/>
      </c>
      <c r="BA508" s="54">
        <f>IF(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&lt;=0,"",VLOOKUP(B508,country_opex,7,FALSE)/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)</f>
        <v/>
      </c>
      <c r="BB508" s="40" t="inlineStr">
        <is>
          <t>band_default</t>
        </is>
      </c>
      <c r="BC508" s="40" t="inlineStr">
        <is>
          <t>greenfield_convention</t>
        </is>
      </c>
      <c r="BD508" s="43" t="inlineStr">
        <is>
          <t>rn-8a05c6dc9a81</t>
        </is>
      </c>
    </row>
    <row r="509">
      <c r="A509" s="38" t="inlineStr">
        <is>
          <t>Korea Kakao Mobility</t>
        </is>
      </c>
      <c r="B509" s="38" t="inlineStr">
        <is>
          <t>South Korea</t>
        </is>
      </c>
      <c r="C509" s="39" t="inlineStr">
        <is>
          <t>Incheon Coastal Passenger Terminal → Muuido Island Ferry Berth</t>
        </is>
      </c>
      <c r="D509" s="38" t="inlineStr">
        <is>
          <t>kakao-mobility</t>
        </is>
      </c>
      <c r="E509" s="40" t="inlineStr">
        <is>
          <t>korea-kakao-mobility, korea-naver, korea-swing</t>
        </is>
      </c>
      <c r="F509" s="41" t="n">
        <v>3</v>
      </c>
      <c r="G509" s="42" t="n">
        <v>11.7</v>
      </c>
      <c r="H509" s="35" t="n">
        <v>8</v>
      </c>
      <c r="I509" s="43" t="inlineStr">
        <is>
          <t>T3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IF(B509="South Korea",G509/korea_charge_range_nm*korea_full_range_charge_min,0)</f>
        <v/>
      </c>
      <c r="N509" s="44">
        <f>IF(B509="South Korea",L509+korea_turn_min+korea_dwell_min+M509,L509+turn_min+dwell_min)</f>
        <v/>
      </c>
      <c r="O509" s="45">
        <f>IF(B509="South Korea",FLOOR(60*korea_service_hr/N509,1),MIN(15,FLOOR(60*service_hr/N509,1)))</f>
        <v/>
      </c>
      <c r="P509" s="45">
        <f>IF(ABS(MOD(ABS((365*mech_uptime*K509)),1)-0.5)&lt;1E-9,2*ROUND((365*mech_uptime*K509)/2,0),ROUND((365*mech_uptime*K509),0))</f>
        <v/>
      </c>
      <c r="Q509" s="46">
        <f>mech_uptime</f>
        <v/>
      </c>
      <c r="R509" s="46">
        <f>IF(AND(B509="South Korea",scenario="MID"),korea_mid_revleg,revleg_sel)</f>
        <v/>
      </c>
      <c r="S509" s="45">
        <f>IF(ABS(MOD(ABS((O509*P509*R509)),1)-0.5)&lt;1E-9,2*ROUND((O509*P509*R509)/2,0),ROUND((O509*P509*R509),0))</f>
        <v/>
      </c>
      <c r="T509" s="46">
        <f>IF(AND(B509="South Korea",scenario="MID"),korea_mid_load,load_sel)</f>
        <v/>
      </c>
      <c r="U509" s="47">
        <f>pax_cap*T509</f>
        <v/>
      </c>
      <c r="V509" s="45">
        <f>U509*S509</f>
        <v/>
      </c>
      <c r="W509" s="48">
        <f>H509*discount</f>
        <v/>
      </c>
      <c r="X509" s="49">
        <f>W509*V509</f>
        <v/>
      </c>
      <c r="Y509" s="49">
        <f>(battery/range_nm)*G509*S509*VLOOKUP(B509,country_opex,3,FALSE)</f>
        <v/>
      </c>
      <c r="Z509" s="49">
        <f>VLOOKUP(B509,country_opex,2,FALSE)*crew_factor</f>
        <v/>
      </c>
      <c r="AA509" s="49">
        <f>VLOOKUP(B509,country_opex,5,FALSE)</f>
        <v/>
      </c>
      <c r="AB509" s="49">
        <f>maint</f>
        <v/>
      </c>
      <c r="AC509" s="49">
        <f>VLOOKUP(B509,country_opex,7,FALSE)*ins_pct</f>
        <v/>
      </c>
      <c r="AD509" s="49">
        <f>charge_berth</f>
        <v/>
      </c>
      <c r="AE509" s="49">
        <f>Y509+Z509+AA509+AB509+AC509+AD509</f>
        <v/>
      </c>
      <c r="AF509" s="49">
        <f>VLOOKUP(B509,country_opex,7,FALSE)/dep_years</f>
        <v/>
      </c>
      <c r="AG509" s="49">
        <f>X509-AE509</f>
        <v/>
      </c>
      <c r="AH509" s="46">
        <f>IF(X509=0,"",AG509/X509)</f>
        <v/>
      </c>
      <c r="AI509" s="47">
        <f>IF(AG509&lt;=0,"",VLOOKUP(B509,country_opex,7,FALSE)/AG509)</f>
        <v/>
      </c>
      <c r="AJ509" s="44">
        <f>((G509*S509/diesel_nmpg)*diesel_co2pg-(battery/range_nm)*G509*S509*VLOOKUP(B509,country_opex,4,FALSE))/1000</f>
        <v/>
      </c>
      <c r="AK509" s="42" t="n">
        <v>120137</v>
      </c>
      <c r="AL509" s="43" t="inlineStr">
        <is>
          <t>T1</t>
        </is>
      </c>
      <c r="AM509" s="43" t="inlineStr">
        <is>
          <t>high</t>
        </is>
      </c>
      <c r="AN509" s="50" t="n">
        <v>0.1</v>
      </c>
      <c r="AO509" s="45">
        <f>IF(AK509="","",AK509*AN509)</f>
        <v/>
      </c>
      <c r="AP509" s="45">
        <f>IF(OR(AK509="",V509=0),"",MIN(IF(AX509="",9.9E+99,AX509),FLOOR(AO509/V509,1)))</f>
        <v/>
      </c>
      <c r="AQ509" s="49">
        <f>IF(AP509="","",AP509*IF(ABS(MOD(ABS((X509)),1)-0.5)&lt;1E-9,2*ROUND((X509)/2,0),ROUND((X509),0)))</f>
        <v/>
      </c>
      <c r="AR509" s="47">
        <f>IF(OR(AK509="",V509=0),"",MIN(IF(AX509="",9.9E+99,AX509),AO509/V509))</f>
        <v/>
      </c>
      <c r="AS509" s="49">
        <f>IF(AR509="","",AR509*IF(B509="South Korea",IF(ABS(MOD(ABS((X509)),1)-0.5)&lt;1E-9,2*ROUND((X509)/2,0),ROUND((X509),0)),X509))</f>
        <v/>
      </c>
      <c r="AT509" s="51" t="n"/>
      <c r="AU509" s="43" t="inlineStr">
        <is>
          <t>Grounded</t>
        </is>
      </c>
      <c r="AV509" s="52" t="n"/>
      <c r="AW509" s="52" t="n"/>
      <c r="AX509" s="53" t="n"/>
      <c r="AY509" s="54">
        <f>IF(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&lt;=0,"",VLOOKUP(B509,country_opex,7,FALSE)/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)</f>
        <v/>
      </c>
      <c r="AZ509" s="54">
        <f>IF(((W509*pax_cap*IF(B509="South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Korea",korea_mid_revleg,revleg_mid)),0))*VLOOKUP(B509,country_opex,3,FALSE))+Z509+AA509+AB509+AC509+AD509))&lt;=0,"",VLOOKUP(B509,country_opex,7,FALSE)/((W509*pax_cap*IF(B509="South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Korea",korea_mid_revleg,revleg_mid)),0))*VLOOKUP(B509,country_opex,3,FALSE))+Z509+AA509+AB509+AC509+AD509)))</f>
        <v/>
      </c>
      <c r="BA509" s="54">
        <f>IF(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&lt;=0,"",VLOOKUP(B509,country_opex,7,FALSE)/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)</f>
        <v/>
      </c>
      <c r="BB509" s="40" t="inlineStr">
        <is>
          <t>band_default</t>
        </is>
      </c>
      <c r="BC509" s="40" t="inlineStr">
        <is>
          <t>https://www.icpa.or.kr/icferry/mobile/main.do?menuKey=779</t>
        </is>
      </c>
      <c r="BD509" s="43" t="inlineStr">
        <is>
          <t>rn-66dce8d7e72d</t>
        </is>
      </c>
    </row>
    <row r="510">
      <c r="A510" s="38" t="inlineStr">
        <is>
          <t>Korea Kakao Mobility</t>
        </is>
      </c>
      <c r="B510" s="38" t="inlineStr">
        <is>
          <t>South Korea</t>
        </is>
      </c>
      <c r="C510" s="39" t="inlineStr">
        <is>
          <t>Saryangdo Island ferry pier → Yokjido Island ferry pier</t>
        </is>
      </c>
      <c r="D510" s="38" t="inlineStr">
        <is>
          <t>kakao-mobility</t>
        </is>
      </c>
      <c r="E510" s="40" t="inlineStr">
        <is>
          <t>korea-kakao-mobility, korea-naver, korea-swing</t>
        </is>
      </c>
      <c r="F510" s="41" t="n">
        <v>3</v>
      </c>
      <c r="G510" s="42" t="n">
        <v>12.6</v>
      </c>
      <c r="H510" s="35" t="n">
        <v>8</v>
      </c>
      <c r="I510" s="43" t="inlineStr">
        <is>
          <t>T3</t>
        </is>
      </c>
      <c r="J510" s="43" t="inlineStr">
        <is>
          <t>low</t>
        </is>
      </c>
      <c r="K510" s="29" t="n">
        <v>1</v>
      </c>
      <c r="L510" s="44">
        <f>60*G510/cruise_kt</f>
        <v/>
      </c>
      <c r="M510" s="44">
        <f>IF(B510="South Korea",G510/korea_charge_range_nm*korea_full_range_charge_min,0)</f>
        <v/>
      </c>
      <c r="N510" s="44">
        <f>IF(B510="South Korea",L510+korea_turn_min+korea_dwell_min+M510,L510+turn_min+dwell_min)</f>
        <v/>
      </c>
      <c r="O510" s="45">
        <f>IF(B510="South Korea",FLOOR(60*korea_service_hr/N510,1),MIN(15,FLOOR(60*service_hr/N510,1)))</f>
        <v/>
      </c>
      <c r="P510" s="45">
        <f>IF(ABS(MOD(ABS((365*mech_uptime*K510)),1)-0.5)&lt;1E-9,2*ROUND((365*mech_uptime*K510)/2,0),ROUND((365*mech_uptime*K510),0))</f>
        <v/>
      </c>
      <c r="Q510" s="46">
        <f>mech_uptime</f>
        <v/>
      </c>
      <c r="R510" s="46">
        <f>IF(AND(B510="South Korea",scenario="MID"),korea_mid_revleg,revleg_sel)</f>
        <v/>
      </c>
      <c r="S510" s="45">
        <f>IF(ABS(MOD(ABS((O510*P510*R510)),1)-0.5)&lt;1E-9,2*ROUND((O510*P510*R510)/2,0),ROUND((O510*P510*R510),0))</f>
        <v/>
      </c>
      <c r="T510" s="46">
        <f>IF(AND(B510="South Korea",scenario="MID"),korea_mid_load,load_sel)</f>
        <v/>
      </c>
      <c r="U510" s="47">
        <f>pax_cap*T510</f>
        <v/>
      </c>
      <c r="V510" s="45">
        <f>U510*S510</f>
        <v/>
      </c>
      <c r="W510" s="48">
        <f>H510*discount</f>
        <v/>
      </c>
      <c r="X510" s="49">
        <f>W510*V510</f>
        <v/>
      </c>
      <c r="Y510" s="49">
        <f>(battery/range_nm)*G510*S510*VLOOKUP(B510,country_opex,3,FALSE)</f>
        <v/>
      </c>
      <c r="Z510" s="49">
        <f>VLOOKUP(B510,country_opex,2,FALSE)*crew_factor</f>
        <v/>
      </c>
      <c r="AA510" s="49">
        <f>VLOOKUP(B510,country_opex,5,FALSE)</f>
        <v/>
      </c>
      <c r="AB510" s="49">
        <f>maint</f>
        <v/>
      </c>
      <c r="AC510" s="49">
        <f>VLOOKUP(B510,country_opex,7,FALSE)*ins_pct</f>
        <v/>
      </c>
      <c r="AD510" s="49">
        <f>charge_berth</f>
        <v/>
      </c>
      <c r="AE510" s="49">
        <f>Y510+Z510+AA510+AB510+AC510+AD510</f>
        <v/>
      </c>
      <c r="AF510" s="49">
        <f>VLOOKUP(B510,country_opex,7,FALSE)/dep_years</f>
        <v/>
      </c>
      <c r="AG510" s="49">
        <f>X510-AE510</f>
        <v/>
      </c>
      <c r="AH510" s="46">
        <f>IF(X510=0,"",AG510/X510)</f>
        <v/>
      </c>
      <c r="AI510" s="47">
        <f>IF(AG510&lt;=0,"",VLOOKUP(B510,country_opex,7,FALSE)/AG510)</f>
        <v/>
      </c>
      <c r="AJ510" s="44">
        <f>((G510*S510/diesel_nmpg)*diesel_co2pg-(battery/range_nm)*G510*S510*VLOOKUP(B510,country_opex,4,FALSE))/1000</f>
        <v/>
      </c>
      <c r="AK510" s="42" t="n">
        <v>134248</v>
      </c>
      <c r="AL510" s="43" t="inlineStr">
        <is>
          <t>T1</t>
        </is>
      </c>
      <c r="AM510" s="43" t="inlineStr">
        <is>
          <t>high</t>
        </is>
      </c>
      <c r="AN510" s="50" t="n">
        <v>0.1</v>
      </c>
      <c r="AO510" s="45">
        <f>IF(AK510="","",AK510*AN510)</f>
        <v/>
      </c>
      <c r="AP510" s="45">
        <f>IF(OR(AK510="",V510=0),"",MIN(IF(AX510="",9.9E+99,AX510),FLOOR(AO510/V510,1)))</f>
        <v/>
      </c>
      <c r="AQ510" s="49">
        <f>IF(AP510="","",AP510*IF(ABS(MOD(ABS((X510)),1)-0.5)&lt;1E-9,2*ROUND((X510)/2,0),ROUND((X510),0)))</f>
        <v/>
      </c>
      <c r="AR510" s="47">
        <f>IF(OR(AK510="",V510=0),"",MIN(IF(AX510="",9.9E+99,AX510),AO510/V510))</f>
        <v/>
      </c>
      <c r="AS510" s="49">
        <f>IF(AR510="","",AR510*IF(B510="South Korea",IF(ABS(MOD(ABS((X510)),1)-0.5)&lt;1E-9,2*ROUND((X510)/2,0),ROUND((X510),0)),X510))</f>
        <v/>
      </c>
      <c r="AT510" s="51" t="n"/>
      <c r="AU510" s="43" t="inlineStr">
        <is>
          <t>Grounded</t>
        </is>
      </c>
      <c r="AV510" s="52" t="n"/>
      <c r="AW510" s="52" t="n"/>
      <c r="AX510" s="53" t="n"/>
      <c r="AY510" s="54">
        <f>IF(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&lt;=0,"",VLOOKUP(B510,country_opex,7,FALSE)/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)</f>
        <v/>
      </c>
      <c r="AZ510" s="54">
        <f>IF(((W510*pax_cap*IF(B510="South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Korea",korea_mid_revleg,revleg_mid)),0))*VLOOKUP(B510,country_opex,3,FALSE))+Z510+AA510+AB510+AC510+AD510))&lt;=0,"",VLOOKUP(B510,country_opex,7,FALSE)/((W510*pax_cap*IF(B510="South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Korea",korea_mid_revleg,revleg_mid)),0))*VLOOKUP(B510,country_opex,3,FALSE))+Z510+AA510+AB510+AC510+AD510)))</f>
        <v/>
      </c>
      <c r="BA510" s="54">
        <f>IF(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&lt;=0,"",VLOOKUP(B510,country_opex,7,FALSE)/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)</f>
        <v/>
      </c>
      <c r="BB510" s="40" t="inlineStr">
        <is>
          <t>band_default</t>
        </is>
      </c>
      <c r="BC510" s="40" t="inlineStr">
        <is>
          <t>KOMSA Tongyeong district coastal 2025</t>
        </is>
      </c>
      <c r="BD510" s="43" t="inlineStr">
        <is>
          <t>rn-c33493f0f593</t>
        </is>
      </c>
    </row>
    <row r="511">
      <c r="A511" s="38" t="inlineStr">
        <is>
          <t>Korea Kakao Mobility</t>
        </is>
      </c>
      <c r="B511" s="38" t="inlineStr">
        <is>
          <t>South Korea</t>
        </is>
      </c>
      <c r="C511" s="39" t="inlineStr">
        <is>
          <t>Magok Pier → Jamsil Pier</t>
        </is>
      </c>
      <c r="D511" s="38" t="inlineStr">
        <is>
          <t>kakao-mobility</t>
        </is>
      </c>
      <c r="E511" s="40" t="inlineStr">
        <is>
          <t>korea-kakao-mobility, korea-naver, korea-swing</t>
        </is>
      </c>
      <c r="F511" s="41" t="n">
        <v>3</v>
      </c>
      <c r="G511" s="42" t="n">
        <v>12.6</v>
      </c>
      <c r="H511" s="35" t="n">
        <v>8</v>
      </c>
      <c r="I511" s="43" t="inlineStr">
        <is>
          <t>T3</t>
        </is>
      </c>
      <c r="J511" s="43" t="inlineStr">
        <is>
          <t>low</t>
        </is>
      </c>
      <c r="K511" s="29" t="n">
        <v>1</v>
      </c>
      <c r="L511" s="44">
        <f>60*G511/cruise_kt</f>
        <v/>
      </c>
      <c r="M511" s="44">
        <f>IF(B511="South Korea",G511/korea_charge_range_nm*korea_full_range_charge_min,0)</f>
        <v/>
      </c>
      <c r="N511" s="44">
        <f>IF(B511="South Korea",L511+korea_turn_min+korea_dwell_min+M511,L511+turn_min+dwell_min)</f>
        <v/>
      </c>
      <c r="O511" s="45">
        <f>IF(B511="South Korea",FLOOR(60*korea_service_hr/N511,1),MIN(15,FLOOR(60*service_hr/N511,1)))</f>
        <v/>
      </c>
      <c r="P511" s="45">
        <f>IF(ABS(MOD(ABS((365*mech_uptime*K511)),1)-0.5)&lt;1E-9,2*ROUND((365*mech_uptime*K511)/2,0),ROUND((365*mech_uptime*K511),0))</f>
        <v/>
      </c>
      <c r="Q511" s="46">
        <f>mech_uptime</f>
        <v/>
      </c>
      <c r="R511" s="46">
        <f>IF(AND(B511="South Korea",scenario="MID"),korea_mid_revleg,revleg_sel)</f>
        <v/>
      </c>
      <c r="S511" s="45">
        <f>IF(ABS(MOD(ABS((O511*P511*R511)),1)-0.5)&lt;1E-9,2*ROUND((O511*P511*R511)/2,0),ROUND((O511*P511*R511),0))</f>
        <v/>
      </c>
      <c r="T511" s="46">
        <f>IF(AND(B511="South Korea",scenario="MID"),korea_mid_load,load_sel)</f>
        <v/>
      </c>
      <c r="U511" s="47">
        <f>pax_cap*T511</f>
        <v/>
      </c>
      <c r="V511" s="45">
        <f>U511*S511</f>
        <v/>
      </c>
      <c r="W511" s="48">
        <f>H511*discount</f>
        <v/>
      </c>
      <c r="X511" s="49">
        <f>W511*V511</f>
        <v/>
      </c>
      <c r="Y511" s="49">
        <f>(battery/range_nm)*G511*S511*VLOOKUP(B511,country_opex,3,FALSE)</f>
        <v/>
      </c>
      <c r="Z511" s="49">
        <f>VLOOKUP(B511,country_opex,2,FALSE)*crew_factor</f>
        <v/>
      </c>
      <c r="AA511" s="49">
        <f>VLOOKUP(B511,country_opex,5,FALSE)</f>
        <v/>
      </c>
      <c r="AB511" s="49">
        <f>maint</f>
        <v/>
      </c>
      <c r="AC511" s="49">
        <f>VLOOKUP(B511,country_opex,7,FALSE)*ins_pct</f>
        <v/>
      </c>
      <c r="AD511" s="49">
        <f>charge_berth</f>
        <v/>
      </c>
      <c r="AE511" s="49">
        <f>Y511+Z511+AA511+AB511+AC511+AD511</f>
        <v/>
      </c>
      <c r="AF511" s="49">
        <f>VLOOKUP(B511,country_opex,7,FALSE)/dep_years</f>
        <v/>
      </c>
      <c r="AG511" s="49">
        <f>X511-AE511</f>
        <v/>
      </c>
      <c r="AH511" s="46">
        <f>IF(X511=0,"",AG511/X511)</f>
        <v/>
      </c>
      <c r="AI511" s="47">
        <f>IF(AG511&lt;=0,"",VLOOKUP(B511,country_opex,7,FALSE)/AG511)</f>
        <v/>
      </c>
      <c r="AJ511" s="44">
        <f>((G511*S511/diesel_nmpg)*diesel_co2pg-(battery/range_nm)*G511*S511*VLOOKUP(B511,country_opex,4,FALSE))/1000</f>
        <v/>
      </c>
      <c r="AK511" s="42" t="n">
        <v>95455</v>
      </c>
      <c r="AL511" s="43" t="inlineStr">
        <is>
          <t>T1</t>
        </is>
      </c>
      <c r="AM511" s="43" t="inlineStr">
        <is>
          <t>med</t>
        </is>
      </c>
      <c r="AN511" s="50" t="n">
        <v>0.1</v>
      </c>
      <c r="AO511" s="45">
        <f>IF(AK511="","",AK511*AN511)</f>
        <v/>
      </c>
      <c r="AP511" s="45">
        <f>IF(OR(AK511="",V511=0),"",MIN(IF(AX511="",9.9E+99,AX511),FLOOR(AO511/V511,1)))</f>
        <v/>
      </c>
      <c r="AQ511" s="49">
        <f>IF(AP511="","",AP511*IF(ABS(MOD(ABS((X511)),1)-0.5)&lt;1E-9,2*ROUND((X511)/2,0),ROUND((X511),0)))</f>
        <v/>
      </c>
      <c r="AR511" s="47">
        <f>IF(OR(AK511="",V511=0),"",MIN(IF(AX511="",9.9E+99,AX511),AO511/V511))</f>
        <v/>
      </c>
      <c r="AS511" s="49">
        <f>IF(AR511="","",AR511*IF(B511="South Korea",IF(ABS(MOD(ABS((X511)),1)-0.5)&lt;1E-9,2*ROUND((X511)/2,0),ROUND((X511),0)),X511))</f>
        <v/>
      </c>
      <c r="AT511" s="51" t="n"/>
      <c r="AU511" s="43" t="inlineStr">
        <is>
          <t>Grounded</t>
        </is>
      </c>
      <c r="AV511" s="52" t="n"/>
      <c r="AW511" s="52" t="n"/>
      <c r="AX511" s="53" t="n"/>
      <c r="AY511" s="54">
        <f>IF(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&lt;=0,"",VLOOKUP(B511,country_opex,7,FALSE)/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)</f>
        <v/>
      </c>
      <c r="AZ511" s="54">
        <f>IF(((W511*pax_cap*IF(B511="South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Korea",korea_mid_revleg,revleg_mid)),0))*VLOOKUP(B511,country_opex,3,FALSE))+Z511+AA511+AB511+AC511+AD511))&lt;=0,"",VLOOKUP(B511,country_opex,7,FALSE)/((W511*pax_cap*IF(B511="South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Korea",korea_mid_revleg,revleg_mid)),0))*VLOOKUP(B511,country_opex,3,FALSE))+Z511+AA511+AB511+AC511+AD511)))</f>
        <v/>
      </c>
      <c r="BA511" s="54">
        <f>IF(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&lt;=0,"",VLOOKUP(B511,country_opex,7,FALSE)/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)</f>
        <v/>
      </c>
      <c r="BB511" s="40" t="inlineStr">
        <is>
          <t>band_default</t>
        </is>
      </c>
      <c r="BC511" s="40" t="inlineStr">
        <is>
          <t>Seoul City Hangang Bus run-rate (~1.05M/yr; spec headline)</t>
        </is>
      </c>
      <c r="BD511" s="43" t="inlineStr">
        <is>
          <t>rn-451fa6544ccd</t>
        </is>
      </c>
    </row>
    <row r="512">
      <c r="A512" s="38" t="inlineStr">
        <is>
          <t>Korea Kakao Mobility</t>
        </is>
      </c>
      <c r="B512" s="38" t="inlineStr">
        <is>
          <t>South Korea</t>
        </is>
      </c>
      <c r="C512" s="39" t="inlineStr">
        <is>
          <t>Gimpo Ara Marina → Incheon Coastal Passenger Terminal</t>
        </is>
      </c>
      <c r="D512" s="38" t="inlineStr">
        <is>
          <t>kakao-mobility</t>
        </is>
      </c>
      <c r="E512" s="40" t="inlineStr">
        <is>
          <t>korea-kakao-mobility, korea-naver, korea-swing</t>
        </is>
      </c>
      <c r="F512" s="41" t="n">
        <v>3</v>
      </c>
      <c r="G512" s="42" t="n">
        <v>12.9</v>
      </c>
      <c r="H512" s="35" t="n">
        <v>8</v>
      </c>
      <c r="I512" s="43" t="inlineStr">
        <is>
          <t>T3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IF(B512="South Korea",G512/korea_charge_range_nm*korea_full_range_charge_min,0)</f>
        <v/>
      </c>
      <c r="N512" s="44">
        <f>IF(B512="South Korea",L512+korea_turn_min+korea_dwell_min+M512,L512+turn_min+dwell_min)</f>
        <v/>
      </c>
      <c r="O512" s="45">
        <f>IF(B512="South Korea",FLOOR(60*korea_service_hr/N512,1),MIN(15,FLOOR(60*service_hr/N512,1)))</f>
        <v/>
      </c>
      <c r="P512" s="45">
        <f>IF(ABS(MOD(ABS((365*mech_uptime*K512)),1)-0.5)&lt;1E-9,2*ROUND((365*mech_uptime*K512)/2,0),ROUND((365*mech_uptime*K512),0))</f>
        <v/>
      </c>
      <c r="Q512" s="46">
        <f>mech_uptime</f>
        <v/>
      </c>
      <c r="R512" s="46">
        <f>IF(AND(B512="South Korea",scenario="MID"),korea_mid_revleg,revleg_sel)</f>
        <v/>
      </c>
      <c r="S512" s="45">
        <f>IF(ABS(MOD(ABS((O512*P512*R512)),1)-0.5)&lt;1E-9,2*ROUND((O512*P512*R512)/2,0),ROUND((O512*P512*R512),0))</f>
        <v/>
      </c>
      <c r="T512" s="46">
        <f>IF(AND(B512="South Korea",scenario="MID"),korea_mid_load,load_sel)</f>
        <v/>
      </c>
      <c r="U512" s="47">
        <f>pax_cap*T512</f>
        <v/>
      </c>
      <c r="V512" s="45">
        <f>U512*S512</f>
        <v/>
      </c>
      <c r="W512" s="48">
        <f>H512*discount</f>
        <v/>
      </c>
      <c r="X512" s="49">
        <f>W512*V512</f>
        <v/>
      </c>
      <c r="Y512" s="49">
        <f>(battery/range_nm)*G512*S512*VLOOKUP(B512,country_opex,3,FALSE)</f>
        <v/>
      </c>
      <c r="Z512" s="49">
        <f>VLOOKUP(B512,country_opex,2,FALSE)*crew_factor</f>
        <v/>
      </c>
      <c r="AA512" s="49">
        <f>VLOOKUP(B512,country_opex,5,FALSE)</f>
        <v/>
      </c>
      <c r="AB512" s="49">
        <f>maint</f>
        <v/>
      </c>
      <c r="AC512" s="49">
        <f>VLOOKUP(B512,country_opex,7,FALSE)*ins_pct</f>
        <v/>
      </c>
      <c r="AD512" s="49">
        <f>charge_berth</f>
        <v/>
      </c>
      <c r="AE512" s="49">
        <f>Y512+Z512+AA512+AB512+AC512+AD512</f>
        <v/>
      </c>
      <c r="AF512" s="49">
        <f>VLOOKUP(B512,country_opex,7,FALSE)/dep_years</f>
        <v/>
      </c>
      <c r="AG512" s="49">
        <f>X512-AE512</f>
        <v/>
      </c>
      <c r="AH512" s="46">
        <f>IF(X512=0,"",AG512/X512)</f>
        <v/>
      </c>
      <c r="AI512" s="47">
        <f>IF(AG512&lt;=0,"",VLOOKUP(B512,country_opex,7,FALSE)/AG512)</f>
        <v/>
      </c>
      <c r="AJ512" s="44">
        <f>((G512*S512/diesel_nmpg)*diesel_co2pg-(battery/range_nm)*G512*S512*VLOOKUP(B512,country_opex,4,FALSE))/1000</f>
        <v/>
      </c>
      <c r="AK512" s="42" t="n">
        <v>120137</v>
      </c>
      <c r="AL512" s="43" t="inlineStr">
        <is>
          <t>T1</t>
        </is>
      </c>
      <c r="AM512" s="43" t="inlineStr">
        <is>
          <t>high</t>
        </is>
      </c>
      <c r="AN512" s="50" t="n">
        <v>0.1</v>
      </c>
      <c r="AO512" s="45">
        <f>IF(AK512="","",AK512*AN512)</f>
        <v/>
      </c>
      <c r="AP512" s="45">
        <f>IF(OR(AK512="",V512=0),"",MIN(IF(AX512="",9.9E+99,AX512),FLOOR(AO512/V512,1)))</f>
        <v/>
      </c>
      <c r="AQ512" s="49">
        <f>IF(AP512="","",AP512*IF(ABS(MOD(ABS((X512)),1)-0.5)&lt;1E-9,2*ROUND((X512)/2,0),ROUND((X512),0)))</f>
        <v/>
      </c>
      <c r="AR512" s="47">
        <f>IF(OR(AK512="",V512=0),"",MIN(IF(AX512="",9.9E+99,AX512),AO512/V512))</f>
        <v/>
      </c>
      <c r="AS512" s="49">
        <f>IF(AR512="","",AR512*IF(B512="South Korea",IF(ABS(MOD(ABS((X512)),1)-0.5)&lt;1E-9,2*ROUND((X512)/2,0),ROUND((X512),0)),X512))</f>
        <v/>
      </c>
      <c r="AT512" s="51" t="n"/>
      <c r="AU512" s="43" t="inlineStr">
        <is>
          <t>Grounded</t>
        </is>
      </c>
      <c r="AV512" s="52" t="n"/>
      <c r="AW512" s="52" t="n"/>
      <c r="AX512" s="53" t="n"/>
      <c r="AY512" s="54">
        <f>IF(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&lt;=0,"",VLOOKUP(B512,country_opex,7,FALSE)/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)</f>
        <v/>
      </c>
      <c r="AZ512" s="54">
        <f>IF(((W512*pax_cap*IF(B512="South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Korea",korea_mid_revleg,revleg_mid)),0))*VLOOKUP(B512,country_opex,3,FALSE))+Z512+AA512+AB512+AC512+AD512))&lt;=0,"",VLOOKUP(B512,country_opex,7,FALSE)/((W512*pax_cap*IF(B512="South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Korea",korea_mid_revleg,revleg_mid)),0))*VLOOKUP(B512,country_opex,3,FALSE))+Z512+AA512+AB512+AC512+AD512)))</f>
        <v/>
      </c>
      <c r="BA512" s="54">
        <f>IF(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&lt;=0,"",VLOOKUP(B512,country_opex,7,FALSE)/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)</f>
        <v/>
      </c>
      <c r="BB512" s="40" t="inlineStr">
        <is>
          <t>band_default</t>
        </is>
      </c>
      <c r="BC512" s="40" t="inlineStr">
        <is>
          <t>https://www.icpa.or.kr/icferry/mobile/main.do?menuKey=779</t>
        </is>
      </c>
      <c r="BD512" s="43" t="inlineStr">
        <is>
          <t>rn-ff2684a4219c</t>
        </is>
      </c>
    </row>
    <row r="513">
      <c r="A513" s="38" t="inlineStr">
        <is>
          <t>Korea Kakao Mobility</t>
        </is>
      </c>
      <c r="B513" s="38" t="inlineStr">
        <is>
          <t>South Korea</t>
        </is>
      </c>
      <c r="C513" s="39" t="inlineStr">
        <is>
          <t>Geumodo Yeocheon Ferry Terminal → Yeosu Passenger Ferry Terminal</t>
        </is>
      </c>
      <c r="D513" s="38" t="inlineStr">
        <is>
          <t>kakao-mobility</t>
        </is>
      </c>
      <c r="E513" s="40" t="inlineStr">
        <is>
          <t>korea-kakao-mobility, korea-naver, korea-swing</t>
        </is>
      </c>
      <c r="F513" s="41" t="n">
        <v>3</v>
      </c>
      <c r="G513" s="42" t="n">
        <v>14.1</v>
      </c>
      <c r="H513" s="35" t="n">
        <v>8</v>
      </c>
      <c r="I513" s="43" t="inlineStr">
        <is>
          <t>T3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IF(B513="South Korea",G513/korea_charge_range_nm*korea_full_range_charge_min,0)</f>
        <v/>
      </c>
      <c r="N513" s="44">
        <f>IF(B513="South Korea",L513+korea_turn_min+korea_dwell_min+M513,L513+turn_min+dwell_min)</f>
        <v/>
      </c>
      <c r="O513" s="45">
        <f>IF(B513="South Korea",FLOOR(60*korea_service_hr/N513,1),MIN(15,FLOOR(60*service_hr/N513,1)))</f>
        <v/>
      </c>
      <c r="P513" s="45">
        <f>IF(ABS(MOD(ABS((365*mech_uptime*K513)),1)-0.5)&lt;1E-9,2*ROUND((365*mech_uptime*K513)/2,0),ROUND((365*mech_uptime*K513),0))</f>
        <v/>
      </c>
      <c r="Q513" s="46">
        <f>mech_uptime</f>
        <v/>
      </c>
      <c r="R513" s="46">
        <f>IF(AND(B513="South Korea",scenario="MID"),korea_mid_revleg,revleg_sel)</f>
        <v/>
      </c>
      <c r="S513" s="45">
        <f>IF(ABS(MOD(ABS((O513*P513*R513)),1)-0.5)&lt;1E-9,2*ROUND((O513*P513*R513)/2,0),ROUND((O513*P513*R513),0))</f>
        <v/>
      </c>
      <c r="T513" s="46">
        <f>IF(AND(B513="South Korea",scenario="MID"),korea_mid_load,load_sel)</f>
        <v/>
      </c>
      <c r="U513" s="47">
        <f>pax_cap*T513</f>
        <v/>
      </c>
      <c r="V513" s="45">
        <f>U513*S513</f>
        <v/>
      </c>
      <c r="W513" s="48">
        <f>H513*discount</f>
        <v/>
      </c>
      <c r="X513" s="49">
        <f>W513*V513</f>
        <v/>
      </c>
      <c r="Y513" s="49">
        <f>(battery/range_nm)*G513*S513*VLOOKUP(B513,country_opex,3,FALSE)</f>
        <v/>
      </c>
      <c r="Z513" s="49">
        <f>VLOOKUP(B513,country_opex,2,FALSE)*crew_factor</f>
        <v/>
      </c>
      <c r="AA513" s="49">
        <f>VLOOKUP(B513,country_opex,5,FALSE)</f>
        <v/>
      </c>
      <c r="AB513" s="49">
        <f>maint</f>
        <v/>
      </c>
      <c r="AC513" s="49">
        <f>VLOOKUP(B513,country_opex,7,FALSE)*ins_pct</f>
        <v/>
      </c>
      <c r="AD513" s="49">
        <f>charge_berth</f>
        <v/>
      </c>
      <c r="AE513" s="49">
        <f>Y513+Z513+AA513+AB513+AC513+AD513</f>
        <v/>
      </c>
      <c r="AF513" s="49">
        <f>VLOOKUP(B513,country_opex,7,FALSE)/dep_years</f>
        <v/>
      </c>
      <c r="AG513" s="49">
        <f>X513-AE513</f>
        <v/>
      </c>
      <c r="AH513" s="46">
        <f>IF(X513=0,"",AG513/X513)</f>
        <v/>
      </c>
      <c r="AI513" s="47">
        <f>IF(AG513&lt;=0,"",VLOOKUP(B513,country_opex,7,FALSE)/AG513)</f>
        <v/>
      </c>
      <c r="AJ513" s="44">
        <f>((G513*S513/diesel_nmpg)*diesel_co2pg-(battery/range_nm)*G513*S513*VLOOKUP(B513,country_opex,4,FALSE))/1000</f>
        <v/>
      </c>
      <c r="AK513" s="42" t="n">
        <v>134248</v>
      </c>
      <c r="AL513" s="43" t="inlineStr">
        <is>
          <t>T1</t>
        </is>
      </c>
      <c r="AM513" s="43" t="inlineStr">
        <is>
          <t>high</t>
        </is>
      </c>
      <c r="AN513" s="50" t="n">
        <v>0.1</v>
      </c>
      <c r="AO513" s="45">
        <f>IF(AK513="","",AK513*AN513)</f>
        <v/>
      </c>
      <c r="AP513" s="45">
        <f>IF(OR(AK513="",V513=0),"",MIN(IF(AX513="",9.9E+99,AX513),FLOOR(AO513/V513,1)))</f>
        <v/>
      </c>
      <c r="AQ513" s="49">
        <f>IF(AP513="","",AP513*IF(ABS(MOD(ABS((X513)),1)-0.5)&lt;1E-9,2*ROUND((X513)/2,0),ROUND((X513),0)))</f>
        <v/>
      </c>
      <c r="AR513" s="47">
        <f>IF(OR(AK513="",V513=0),"",MIN(IF(AX513="",9.9E+99,AX513),AO513/V513))</f>
        <v/>
      </c>
      <c r="AS513" s="49">
        <f>IF(AR513="","",AR513*IF(B513="South Korea",IF(ABS(MOD(ABS((X513)),1)-0.5)&lt;1E-9,2*ROUND((X513)/2,0),ROUND((X513),0)),X513))</f>
        <v/>
      </c>
      <c r="AT513" s="51" t="n"/>
      <c r="AU513" s="43" t="inlineStr">
        <is>
          <t>Grounded</t>
        </is>
      </c>
      <c r="AV513" s="52" t="n"/>
      <c r="AW513" s="52" t="n"/>
      <c r="AX513" s="53" t="n"/>
      <c r="AY513" s="54">
        <f>IF(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&lt;=0,"",VLOOKUP(B513,country_opex,7,FALSE)/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)</f>
        <v/>
      </c>
      <c r="AZ513" s="54">
        <f>IF(((W513*pax_cap*IF(B513="South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Korea",korea_mid_revleg,revleg_mid)),0))*VLOOKUP(B513,country_opex,3,FALSE))+Z513+AA513+AB513+AC513+AD513))&lt;=0,"",VLOOKUP(B513,country_opex,7,FALSE)/((W513*pax_cap*IF(B513="South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Korea",korea_mid_revleg,revleg_mid)),0))*VLOOKUP(B513,country_opex,3,FALSE))+Z513+AA513+AB513+AC513+AD513)))</f>
        <v/>
      </c>
      <c r="BA513" s="54">
        <f>IF(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&lt;=0,"",VLOOKUP(B513,country_opex,7,FALSE)/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)</f>
        <v/>
      </c>
      <c r="BB513" s="40" t="inlineStr">
        <is>
          <t>band_default</t>
        </is>
      </c>
      <c r="BC513" s="40" t="inlineStr">
        <is>
          <t>KOMSA Tongyeong district coastal 2025</t>
        </is>
      </c>
      <c r="BD513" s="43" t="inlineStr">
        <is>
          <t>rn-2a7a816ff5a9</t>
        </is>
      </c>
    </row>
    <row r="514">
      <c r="A514" s="38" t="inlineStr">
        <is>
          <t>Korea Kakao Mobility</t>
        </is>
      </c>
      <c r="B514" s="38" t="inlineStr">
        <is>
          <t>South Korea</t>
        </is>
      </c>
      <c r="C514" s="39" t="inlineStr">
        <is>
          <t>Tongyeong Passenger Ferry Terminal → Yokjido Ferry Terminal</t>
        </is>
      </c>
      <c r="D514" s="38" t="inlineStr">
        <is>
          <t>kakao-mobility</t>
        </is>
      </c>
      <c r="E514" s="40" t="inlineStr">
        <is>
          <t>korea-kakao-mobility, korea-naver, korea-swing</t>
        </is>
      </c>
      <c r="F514" s="41" t="n">
        <v>3</v>
      </c>
      <c r="G514" s="42" t="n">
        <v>14.7</v>
      </c>
      <c r="H514" s="35" t="n">
        <v>8.859999999999999</v>
      </c>
      <c r="I514" s="43" t="inlineStr">
        <is>
          <t>T1</t>
        </is>
      </c>
      <c r="J514" s="43" t="inlineStr">
        <is>
          <t>high</t>
        </is>
      </c>
      <c r="K514" s="29" t="n">
        <v>1</v>
      </c>
      <c r="L514" s="44">
        <f>60*G514/cruise_kt</f>
        <v/>
      </c>
      <c r="M514" s="44">
        <f>IF(B514="South Korea",G514/korea_charge_range_nm*korea_full_range_charge_min,0)</f>
        <v/>
      </c>
      <c r="N514" s="44">
        <f>IF(B514="South Korea",L514+korea_turn_min+korea_dwell_min+M514,L514+turn_min+dwell_min)</f>
        <v/>
      </c>
      <c r="O514" s="45">
        <f>IF(B514="South Korea",FLOOR(60*korea_service_hr/N514,1),MIN(15,FLOOR(60*service_hr/N514,1)))</f>
        <v/>
      </c>
      <c r="P514" s="45">
        <f>IF(ABS(MOD(ABS((365*mech_uptime*K514)),1)-0.5)&lt;1E-9,2*ROUND((365*mech_uptime*K514)/2,0),ROUND((365*mech_uptime*K514),0))</f>
        <v/>
      </c>
      <c r="Q514" s="46">
        <f>mech_uptime</f>
        <v/>
      </c>
      <c r="R514" s="46">
        <f>IF(AND(B514="South Korea",scenario="MID"),korea_mid_revleg,revleg_sel)</f>
        <v/>
      </c>
      <c r="S514" s="45">
        <f>IF(ABS(MOD(ABS((O514*P514*R514)),1)-0.5)&lt;1E-9,2*ROUND((O514*P514*R514)/2,0),ROUND((O514*P514*R514),0))</f>
        <v/>
      </c>
      <c r="T514" s="46">
        <f>IF(AND(B514="South Korea",scenario="MID"),korea_mid_load,load_sel)</f>
        <v/>
      </c>
      <c r="U514" s="47">
        <f>pax_cap*T514</f>
        <v/>
      </c>
      <c r="V514" s="45">
        <f>U514*S514</f>
        <v/>
      </c>
      <c r="W514" s="48">
        <f>H514*discount</f>
        <v/>
      </c>
      <c r="X514" s="49">
        <f>W514*V514</f>
        <v/>
      </c>
      <c r="Y514" s="49">
        <f>(battery/range_nm)*G514*S514*VLOOKUP(B514,country_opex,3,FALSE)</f>
        <v/>
      </c>
      <c r="Z514" s="49">
        <f>VLOOKUP(B514,country_opex,2,FALSE)*crew_factor</f>
        <v/>
      </c>
      <c r="AA514" s="49">
        <f>VLOOKUP(B514,country_opex,5,FALSE)</f>
        <v/>
      </c>
      <c r="AB514" s="49">
        <f>maint</f>
        <v/>
      </c>
      <c r="AC514" s="49">
        <f>VLOOKUP(B514,country_opex,7,FALSE)*ins_pct</f>
        <v/>
      </c>
      <c r="AD514" s="49">
        <f>charge_berth</f>
        <v/>
      </c>
      <c r="AE514" s="49">
        <f>Y514+Z514+AA514+AB514+AC514+AD514</f>
        <v/>
      </c>
      <c r="AF514" s="49">
        <f>VLOOKUP(B514,country_opex,7,FALSE)/dep_years</f>
        <v/>
      </c>
      <c r="AG514" s="49">
        <f>X514-AE514</f>
        <v/>
      </c>
      <c r="AH514" s="46">
        <f>IF(X514=0,"",AG514/X514)</f>
        <v/>
      </c>
      <c r="AI514" s="47">
        <f>IF(AG514&lt;=0,"",VLOOKUP(B514,country_opex,7,FALSE)/AG514)</f>
        <v/>
      </c>
      <c r="AJ514" s="44">
        <f>((G514*S514/diesel_nmpg)*diesel_co2pg-(battery/range_nm)*G514*S514*VLOOKUP(B514,country_opex,4,FALSE))/1000</f>
        <v/>
      </c>
      <c r="AK514" s="42" t="n">
        <v>134248</v>
      </c>
      <c r="AL514" s="43" t="inlineStr">
        <is>
          <t>T1</t>
        </is>
      </c>
      <c r="AM514" s="43" t="inlineStr">
        <is>
          <t>high</t>
        </is>
      </c>
      <c r="AN514" s="50" t="n">
        <v>0.1</v>
      </c>
      <c r="AO514" s="45">
        <f>IF(AK514="","",AK514*AN514)</f>
        <v/>
      </c>
      <c r="AP514" s="45">
        <f>IF(OR(AK514="",V514=0),"",MIN(IF(AX514="",9.9E+99,AX514),FLOOR(AO514/V514,1)))</f>
        <v/>
      </c>
      <c r="AQ514" s="49">
        <f>IF(AP514="","",AP514*IF(ABS(MOD(ABS((X514)),1)-0.5)&lt;1E-9,2*ROUND((X514)/2,0),ROUND((X514),0)))</f>
        <v/>
      </c>
      <c r="AR514" s="47">
        <f>IF(OR(AK514="",V514=0),"",MIN(IF(AX514="",9.9E+99,AX514),AO514/V514))</f>
        <v/>
      </c>
      <c r="AS514" s="49">
        <f>IF(AR514="","",AR514*IF(B514="South Korea",IF(ABS(MOD(ABS((X514)),1)-0.5)&lt;1E-9,2*ROUND((X514)/2,0),ROUND((X514),0)),X514))</f>
        <v/>
      </c>
      <c r="AT514" s="51" t="n"/>
      <c r="AU514" s="43" t="inlineStr">
        <is>
          <t>Grounded</t>
        </is>
      </c>
      <c r="AV514" s="52" t="n"/>
      <c r="AW514" s="52" t="n"/>
      <c r="AX514" s="53" t="n"/>
      <c r="AY514" s="54">
        <f>IF(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&lt;=0,"",VLOOKUP(B514,country_opex,7,FALSE)/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)</f>
        <v/>
      </c>
      <c r="AZ514" s="54">
        <f>IF(((W514*pax_cap*IF(B514="South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Korea",korea_mid_revleg,revleg_mid)),0))*VLOOKUP(B514,country_opex,3,FALSE))+Z514+AA514+AB514+AC514+AD514))&lt;=0,"",VLOOKUP(B514,country_opex,7,FALSE)/((W514*pax_cap*IF(B514="South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Korea",korea_mid_revleg,revleg_mid)),0))*VLOOKUP(B514,country_opex,3,FALSE))+Z514+AA514+AB514+AC514+AD514)))</f>
        <v/>
      </c>
      <c r="BA514" s="54">
        <f>IF(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&lt;=0,"",VLOOKUP(B514,country_opex,7,FALSE)/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)</f>
        <v/>
      </c>
      <c r="BB514" s="40" t="inlineStr">
        <is>
          <t>KOREA-L3-SOURCING</t>
        </is>
      </c>
      <c r="BC514" s="40" t="inlineStr">
        <is>
          <t>KOMSA Tongyeong district coastal 2025</t>
        </is>
      </c>
      <c r="BD514" s="43" t="inlineStr">
        <is>
          <t>rn-f4f4e680146e</t>
        </is>
      </c>
    </row>
    <row r="515">
      <c r="A515" s="38" t="inlineStr">
        <is>
          <t>Korea Kakao Mobility</t>
        </is>
      </c>
      <c r="B515" s="38" t="inlineStr">
        <is>
          <t>South Korea</t>
        </is>
      </c>
      <c r="C515" s="39" t="inlineStr">
        <is>
          <t>Yokjido Island ferry pier → Tongyeong Ferry Terminal</t>
        </is>
      </c>
      <c r="D515" s="38" t="inlineStr">
        <is>
          <t>kakao-mobility</t>
        </is>
      </c>
      <c r="E515" s="40" t="inlineStr">
        <is>
          <t>korea-kakao-mobility, korea-naver, korea-swing</t>
        </is>
      </c>
      <c r="F515" s="41" t="n">
        <v>3</v>
      </c>
      <c r="G515" s="42" t="n">
        <v>14.8</v>
      </c>
      <c r="H515" s="35" t="n">
        <v>6.14</v>
      </c>
      <c r="I515" s="43" t="inlineStr">
        <is>
          <t>T1</t>
        </is>
      </c>
      <c r="J515" s="43" t="inlineStr">
        <is>
          <t>high</t>
        </is>
      </c>
      <c r="K515" s="29" t="n">
        <v>1</v>
      </c>
      <c r="L515" s="44">
        <f>60*G515/cruise_kt</f>
        <v/>
      </c>
      <c r="M515" s="44">
        <f>IF(B515="South Korea",G515/korea_charge_range_nm*korea_full_range_charge_min,0)</f>
        <v/>
      </c>
      <c r="N515" s="44">
        <f>IF(B515="South Korea",L515+korea_turn_min+korea_dwell_min+M515,L515+turn_min+dwell_min)</f>
        <v/>
      </c>
      <c r="O515" s="45">
        <f>IF(B515="South Korea",FLOOR(60*korea_service_hr/N515,1),MIN(15,FLOOR(60*service_hr/N515,1)))</f>
        <v/>
      </c>
      <c r="P515" s="45">
        <f>IF(ABS(MOD(ABS((365*mech_uptime*K515)),1)-0.5)&lt;1E-9,2*ROUND((365*mech_uptime*K515)/2,0),ROUND((365*mech_uptime*K515),0))</f>
        <v/>
      </c>
      <c r="Q515" s="46">
        <f>mech_uptime</f>
        <v/>
      </c>
      <c r="R515" s="46">
        <f>IF(AND(B515="South Korea",scenario="MID"),korea_mid_revleg,revleg_sel)</f>
        <v/>
      </c>
      <c r="S515" s="45">
        <f>IF(ABS(MOD(ABS((O515*P515*R515)),1)-0.5)&lt;1E-9,2*ROUND((O515*P515*R515)/2,0),ROUND((O515*P515*R515),0))</f>
        <v/>
      </c>
      <c r="T515" s="46">
        <f>IF(AND(B515="South Korea",scenario="MID"),korea_mid_load,load_sel)</f>
        <v/>
      </c>
      <c r="U515" s="47">
        <f>pax_cap*T515</f>
        <v/>
      </c>
      <c r="V515" s="45">
        <f>U515*S515</f>
        <v/>
      </c>
      <c r="W515" s="48">
        <f>H515*discount</f>
        <v/>
      </c>
      <c r="X515" s="49">
        <f>W515*V515</f>
        <v/>
      </c>
      <c r="Y515" s="49">
        <f>(battery/range_nm)*G515*S515*VLOOKUP(B515,country_opex,3,FALSE)</f>
        <v/>
      </c>
      <c r="Z515" s="49">
        <f>VLOOKUP(B515,country_opex,2,FALSE)*crew_factor</f>
        <v/>
      </c>
      <c r="AA515" s="49">
        <f>VLOOKUP(B515,country_opex,5,FALSE)</f>
        <v/>
      </c>
      <c r="AB515" s="49">
        <f>maint</f>
        <v/>
      </c>
      <c r="AC515" s="49">
        <f>VLOOKUP(B515,country_opex,7,FALSE)*ins_pct</f>
        <v/>
      </c>
      <c r="AD515" s="49">
        <f>charge_berth</f>
        <v/>
      </c>
      <c r="AE515" s="49">
        <f>Y515+Z515+AA515+AB515+AC515+AD515</f>
        <v/>
      </c>
      <c r="AF515" s="49">
        <f>VLOOKUP(B515,country_opex,7,FALSE)/dep_years</f>
        <v/>
      </c>
      <c r="AG515" s="49">
        <f>X515-AE515</f>
        <v/>
      </c>
      <c r="AH515" s="46">
        <f>IF(X515=0,"",AG515/X515)</f>
        <v/>
      </c>
      <c r="AI515" s="47">
        <f>IF(AG515&lt;=0,"",VLOOKUP(B515,country_opex,7,FALSE)/AG515)</f>
        <v/>
      </c>
      <c r="AJ515" s="44">
        <f>((G515*S515/diesel_nmpg)*diesel_co2pg-(battery/range_nm)*G515*S515*VLOOKUP(B515,country_opex,4,FALSE))/1000</f>
        <v/>
      </c>
      <c r="AK515" s="42" t="n">
        <v>134248</v>
      </c>
      <c r="AL515" s="43" t="inlineStr">
        <is>
          <t>T1</t>
        </is>
      </c>
      <c r="AM515" s="43" t="inlineStr">
        <is>
          <t>high</t>
        </is>
      </c>
      <c r="AN515" s="50" t="n">
        <v>0.1</v>
      </c>
      <c r="AO515" s="45">
        <f>IF(AK515="","",AK515*AN515)</f>
        <v/>
      </c>
      <c r="AP515" s="45">
        <f>IF(OR(AK515="",V515=0),"",MIN(IF(AX515="",9.9E+99,AX515),FLOOR(AO515/V515,1)))</f>
        <v/>
      </c>
      <c r="AQ515" s="49">
        <f>IF(AP515="","",AP515*IF(ABS(MOD(ABS((X515)),1)-0.5)&lt;1E-9,2*ROUND((X515)/2,0),ROUND((X515),0)))</f>
        <v/>
      </c>
      <c r="AR515" s="47">
        <f>IF(OR(AK515="",V515=0),"",MIN(IF(AX515="",9.9E+99,AX515),AO515/V515))</f>
        <v/>
      </c>
      <c r="AS515" s="49">
        <f>IF(AR515="","",AR515*IF(B515="South Korea",IF(ABS(MOD(ABS((X515)),1)-0.5)&lt;1E-9,2*ROUND((X515)/2,0),ROUND((X515),0)),X515))</f>
        <v/>
      </c>
      <c r="AT515" s="51" t="n"/>
      <c r="AU515" s="43" t="inlineStr">
        <is>
          <t>Grounded</t>
        </is>
      </c>
      <c r="AV515" s="52" t="n"/>
      <c r="AW515" s="52" t="n"/>
      <c r="AX515" s="53" t="n"/>
      <c r="AY515" s="54">
        <f>IF(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&lt;=0,"",VLOOKUP(B515,country_opex,7,FALSE)/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)</f>
        <v/>
      </c>
      <c r="AZ515" s="54">
        <f>IF(((W515*pax_cap*IF(B515="South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Korea",korea_mid_revleg,revleg_mid)),0))*VLOOKUP(B515,country_opex,3,FALSE))+Z515+AA515+AB515+AC515+AD515))&lt;=0,"",VLOOKUP(B515,country_opex,7,FALSE)/((W515*pax_cap*IF(B515="South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Korea",korea_mid_revleg,revleg_mid)),0))*VLOOKUP(B515,country_opex,3,FALSE))+Z515+AA515+AB515+AC515+AD515)))</f>
        <v/>
      </c>
      <c r="BA515" s="54">
        <f>IF(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&lt;=0,"",VLOOKUP(B515,country_opex,7,FALSE)/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)</f>
        <v/>
      </c>
      <c r="BB515" s="40" t="inlineStr">
        <is>
          <t>KOREA-L3-SOURCING</t>
        </is>
      </c>
      <c r="BC515" s="40" t="inlineStr">
        <is>
          <t>KOMSA Tongyeong district coastal 2025</t>
        </is>
      </c>
      <c r="BD515" s="43" t="inlineStr">
        <is>
          <t>rn-eab1a8d9b140</t>
        </is>
      </c>
    </row>
    <row r="516">
      <c r="A516" s="38" t="inlineStr">
        <is>
          <t>Korea Kakao Mobility</t>
        </is>
      </c>
      <c r="B516" s="38" t="inlineStr">
        <is>
          <t>South Korea</t>
        </is>
      </c>
      <c r="C516" s="39" t="inlineStr">
        <is>
          <t>Jeju Ferry Passenger Terminal → Hallim Port (Biyangdo ferry gateway)</t>
        </is>
      </c>
      <c r="D516" s="38" t="inlineStr">
        <is>
          <t>kakao-mobility</t>
        </is>
      </c>
      <c r="E516" s="40" t="inlineStr">
        <is>
          <t>korea-kakao-mobility, korea-naver, korea-swing</t>
        </is>
      </c>
      <c r="F516" s="41" t="n">
        <v>3</v>
      </c>
      <c r="G516" s="42" t="n">
        <v>15.4</v>
      </c>
      <c r="H516" s="35" t="n">
        <v>8</v>
      </c>
      <c r="I516" s="43" t="inlineStr">
        <is>
          <t>T3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IF(B516="South Korea",G516/korea_charge_range_nm*korea_full_range_charge_min,0)</f>
        <v/>
      </c>
      <c r="N516" s="44">
        <f>IF(B516="South Korea",L516+korea_turn_min+korea_dwell_min+M516,L516+turn_min+dwell_min)</f>
        <v/>
      </c>
      <c r="O516" s="45">
        <f>IF(B516="South Korea",FLOOR(60*korea_service_hr/N516,1),MIN(15,FLOOR(60*service_hr/N516,1)))</f>
        <v/>
      </c>
      <c r="P516" s="45">
        <f>IF(ABS(MOD(ABS((365*mech_uptime*K516)),1)-0.5)&lt;1E-9,2*ROUND((365*mech_uptime*K516)/2,0),ROUND((365*mech_uptime*K516),0))</f>
        <v/>
      </c>
      <c r="Q516" s="46">
        <f>mech_uptime</f>
        <v/>
      </c>
      <c r="R516" s="46">
        <f>IF(AND(B516="South Korea",scenario="MID"),korea_mid_revleg,revleg_sel)</f>
        <v/>
      </c>
      <c r="S516" s="45">
        <f>IF(ABS(MOD(ABS((O516*P516*R516)),1)-0.5)&lt;1E-9,2*ROUND((O516*P516*R516)/2,0),ROUND((O516*P516*R516),0))</f>
        <v/>
      </c>
      <c r="T516" s="46">
        <f>IF(AND(B516="South Korea",scenario="MID"),korea_mid_load,load_sel)</f>
        <v/>
      </c>
      <c r="U516" s="47">
        <f>pax_cap*T516</f>
        <v/>
      </c>
      <c r="V516" s="45">
        <f>U516*S516</f>
        <v/>
      </c>
      <c r="W516" s="48">
        <f>H516*discount</f>
        <v/>
      </c>
      <c r="X516" s="49">
        <f>W516*V516</f>
        <v/>
      </c>
      <c r="Y516" s="49">
        <f>(battery/range_nm)*G516*S516*VLOOKUP(B516,country_opex,3,FALSE)</f>
        <v/>
      </c>
      <c r="Z516" s="49">
        <f>VLOOKUP(B516,country_opex,2,FALSE)*crew_factor</f>
        <v/>
      </c>
      <c r="AA516" s="49">
        <f>VLOOKUP(B516,country_opex,5,FALSE)</f>
        <v/>
      </c>
      <c r="AB516" s="49">
        <f>maint</f>
        <v/>
      </c>
      <c r="AC516" s="49">
        <f>VLOOKUP(B516,country_opex,7,FALSE)*ins_pct</f>
        <v/>
      </c>
      <c r="AD516" s="49">
        <f>charge_berth</f>
        <v/>
      </c>
      <c r="AE516" s="49">
        <f>Y516+Z516+AA516+AB516+AC516+AD516</f>
        <v/>
      </c>
      <c r="AF516" s="49">
        <f>VLOOKUP(B516,country_opex,7,FALSE)/dep_years</f>
        <v/>
      </c>
      <c r="AG516" s="49">
        <f>X516-AE516</f>
        <v/>
      </c>
      <c r="AH516" s="46">
        <f>IF(X516=0,"",AG516/X516)</f>
        <v/>
      </c>
      <c r="AI516" s="47">
        <f>IF(AG516&lt;=0,"",VLOOKUP(B516,country_opex,7,FALSE)/AG516)</f>
        <v/>
      </c>
      <c r="AJ516" s="44">
        <f>((G516*S516/diesel_nmpg)*diesel_co2pg-(battery/range_nm)*G516*S516*VLOOKUP(B516,country_opex,4,FALSE))/1000</f>
        <v/>
      </c>
      <c r="AK516" s="42" t="n">
        <v>29535</v>
      </c>
      <c r="AL516" s="43" t="inlineStr">
        <is>
          <t>T3</t>
        </is>
      </c>
      <c r="AM516" s="43" t="inlineStr">
        <is>
          <t>low</t>
        </is>
      </c>
      <c r="AN516" s="50" t="n">
        <v>0.1</v>
      </c>
      <c r="AO516" s="45">
        <f>IF(AK516="","",AK516*AN516)</f>
        <v/>
      </c>
      <c r="AP516" s="45">
        <f>IF(OR(AK516="",V516=0),"",MIN(IF(AX516="",9.9E+99,AX516),FLOOR(AO516/V516,1)))</f>
        <v/>
      </c>
      <c r="AQ516" s="49">
        <f>IF(AP516="","",AP516*IF(ABS(MOD(ABS((X516)),1)-0.5)&lt;1E-9,2*ROUND((X516)/2,0),ROUND((X516),0)))</f>
        <v/>
      </c>
      <c r="AR516" s="47">
        <f>IF(OR(AK516="",V516=0),"",MIN(IF(AX516="",9.9E+99,AX516),AO516/V516))</f>
        <v/>
      </c>
      <c r="AS516" s="49">
        <f>IF(AR516="","",AR516*IF(B516="South Korea",IF(ABS(MOD(ABS((X516)),1)-0.5)&lt;1E-9,2*ROUND((X516)/2,0),ROUND((X516),0)),X516))</f>
        <v/>
      </c>
      <c r="AT516" s="51" t="n"/>
      <c r="AU516" s="43" t="inlineStr">
        <is>
          <t>Grounded</t>
        </is>
      </c>
      <c r="AV516" s="52" t="n"/>
      <c r="AW516" s="52" t="n"/>
      <c r="AX516" s="53" t="n"/>
      <c r="AY516" s="54">
        <f>IF(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&lt;=0,"",VLOOKUP(B516,country_opex,7,FALSE)/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)</f>
        <v/>
      </c>
      <c r="AZ516" s="54">
        <f>IF(((W516*pax_cap*IF(B516="South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Korea",korea_mid_revleg,revleg_mid)),0))*VLOOKUP(B516,country_opex,3,FALSE))+Z516+AA516+AB516+AC516+AD516))&lt;=0,"",VLOOKUP(B516,country_opex,7,FALSE)/((W516*pax_cap*IF(B516="South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Korea",korea_mid_revleg,revleg_mid)),0))*VLOOKUP(B516,country_opex,3,FALSE))+Z516+AA516+AB516+AC516+AD516)))</f>
        <v/>
      </c>
      <c r="BA516" s="54">
        <f>IF(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&lt;=0,"",VLOOKUP(B516,country_opex,7,FALSE)/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)</f>
        <v/>
      </c>
      <c r="BB516" s="40" t="inlineStr">
        <is>
          <t>band_default</t>
        </is>
      </c>
      <c r="BC516" s="40" t="inlineStr">
        <is>
          <t>greenfield_convention</t>
        </is>
      </c>
      <c r="BD516" s="43" t="inlineStr">
        <is>
          <t>rn-c35e6140fd66</t>
        </is>
      </c>
    </row>
    <row r="517">
      <c r="A517" s="38" t="inlineStr">
        <is>
          <t>Korea Kakao Mobility</t>
        </is>
      </c>
      <c r="B517" s="38" t="inlineStr">
        <is>
          <t>South Korea</t>
        </is>
      </c>
      <c r="C517" s="39" t="inlineStr">
        <is>
          <t>Jeju → Seongsan Eup</t>
        </is>
      </c>
      <c r="D517" s="38" t="inlineStr">
        <is>
          <t>kakao-mobility</t>
        </is>
      </c>
      <c r="E517" s="40" t="inlineStr">
        <is>
          <t>korea-kakao-mobility, korea-naver, korea-swing</t>
        </is>
      </c>
      <c r="F517" s="41" t="n">
        <v>3</v>
      </c>
      <c r="G517" s="42" t="n">
        <v>16.2</v>
      </c>
      <c r="H517" s="35" t="n">
        <v>8</v>
      </c>
      <c r="I517" s="43" t="inlineStr">
        <is>
          <t>T3</t>
        </is>
      </c>
      <c r="J517" s="43" t="inlineStr">
        <is>
          <t>low</t>
        </is>
      </c>
      <c r="K517" s="29" t="n">
        <v>1</v>
      </c>
      <c r="L517" s="44">
        <f>60*G517/cruise_kt</f>
        <v/>
      </c>
      <c r="M517" s="44">
        <f>IF(B517="South Korea",G517/korea_charge_range_nm*korea_full_range_charge_min,0)</f>
        <v/>
      </c>
      <c r="N517" s="44">
        <f>IF(B517="South Korea",L517+korea_turn_min+korea_dwell_min+M517,L517+turn_min+dwell_min)</f>
        <v/>
      </c>
      <c r="O517" s="45">
        <f>IF(B517="South Korea",FLOOR(60*korea_service_hr/N517,1),MIN(15,FLOOR(60*service_hr/N517,1)))</f>
        <v/>
      </c>
      <c r="P517" s="45">
        <f>IF(ABS(MOD(ABS((365*mech_uptime*K517)),1)-0.5)&lt;1E-9,2*ROUND((365*mech_uptime*K517)/2,0),ROUND((365*mech_uptime*K517),0))</f>
        <v/>
      </c>
      <c r="Q517" s="46">
        <f>mech_uptime</f>
        <v/>
      </c>
      <c r="R517" s="46">
        <f>IF(AND(B517="South Korea",scenario="MID"),korea_mid_revleg,revleg_sel)</f>
        <v/>
      </c>
      <c r="S517" s="45">
        <f>IF(ABS(MOD(ABS((O517*P517*R517)),1)-0.5)&lt;1E-9,2*ROUND((O517*P517*R517)/2,0),ROUND((O517*P517*R517),0))</f>
        <v/>
      </c>
      <c r="T517" s="46">
        <f>IF(AND(B517="South Korea",scenario="MID"),korea_mid_load,load_sel)</f>
        <v/>
      </c>
      <c r="U517" s="47">
        <f>pax_cap*T517</f>
        <v/>
      </c>
      <c r="V517" s="45">
        <f>U517*S517</f>
        <v/>
      </c>
      <c r="W517" s="48">
        <f>H517*discount</f>
        <v/>
      </c>
      <c r="X517" s="49">
        <f>W517*V517</f>
        <v/>
      </c>
      <c r="Y517" s="49">
        <f>(battery/range_nm)*G517*S517*VLOOKUP(B517,country_opex,3,FALSE)</f>
        <v/>
      </c>
      <c r="Z517" s="49">
        <f>VLOOKUP(B517,country_opex,2,FALSE)*crew_factor</f>
        <v/>
      </c>
      <c r="AA517" s="49">
        <f>VLOOKUP(B517,country_opex,5,FALSE)</f>
        <v/>
      </c>
      <c r="AB517" s="49">
        <f>maint</f>
        <v/>
      </c>
      <c r="AC517" s="49">
        <f>VLOOKUP(B517,country_opex,7,FALSE)*ins_pct</f>
        <v/>
      </c>
      <c r="AD517" s="49">
        <f>charge_berth</f>
        <v/>
      </c>
      <c r="AE517" s="49">
        <f>Y517+Z517+AA517+AB517+AC517+AD517</f>
        <v/>
      </c>
      <c r="AF517" s="49">
        <f>VLOOKUP(B517,country_opex,7,FALSE)/dep_years</f>
        <v/>
      </c>
      <c r="AG517" s="49">
        <f>X517-AE517</f>
        <v/>
      </c>
      <c r="AH517" s="46">
        <f>IF(X517=0,"",AG517/X517)</f>
        <v/>
      </c>
      <c r="AI517" s="47">
        <f>IF(AG517&lt;=0,"",VLOOKUP(B517,country_opex,7,FALSE)/AG517)</f>
        <v/>
      </c>
      <c r="AJ517" s="44">
        <f>((G517*S517/diesel_nmpg)*diesel_co2pg-(battery/range_nm)*G517*S517*VLOOKUP(B517,country_opex,4,FALSE))/1000</f>
        <v/>
      </c>
      <c r="AK517" s="42" t="n">
        <v>29535</v>
      </c>
      <c r="AL517" s="43" t="inlineStr">
        <is>
          <t>T3</t>
        </is>
      </c>
      <c r="AM517" s="43" t="inlineStr">
        <is>
          <t>low</t>
        </is>
      </c>
      <c r="AN517" s="50" t="n">
        <v>0.1</v>
      </c>
      <c r="AO517" s="45">
        <f>IF(AK517="","",AK517*AN517)</f>
        <v/>
      </c>
      <c r="AP517" s="45">
        <f>IF(OR(AK517="",V517=0),"",MIN(IF(AX517="",9.9E+99,AX517),FLOOR(AO517/V517,1)))</f>
        <v/>
      </c>
      <c r="AQ517" s="49">
        <f>IF(AP517="","",AP517*IF(ABS(MOD(ABS((X517)),1)-0.5)&lt;1E-9,2*ROUND((X517)/2,0),ROUND((X517),0)))</f>
        <v/>
      </c>
      <c r="AR517" s="47">
        <f>IF(OR(AK517="",V517=0),"",MIN(IF(AX517="",9.9E+99,AX517),AO517/V517))</f>
        <v/>
      </c>
      <c r="AS517" s="49">
        <f>IF(AR517="","",AR517*IF(B517="South Korea",IF(ABS(MOD(ABS((X517)),1)-0.5)&lt;1E-9,2*ROUND((X517)/2,0),ROUND((X517),0)),X517))</f>
        <v/>
      </c>
      <c r="AT517" s="51" t="n"/>
      <c r="AU517" s="43" t="inlineStr">
        <is>
          <t>Grounded</t>
        </is>
      </c>
      <c r="AV517" s="52" t="n"/>
      <c r="AW517" s="52" t="n"/>
      <c r="AX517" s="53" t="n"/>
      <c r="AY517" s="54">
        <f>IF(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&lt;=0,"",VLOOKUP(B517,country_opex,7,FALSE)/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)</f>
        <v/>
      </c>
      <c r="AZ517" s="54">
        <f>IF(((W517*pax_cap*IF(B517="South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Korea",korea_mid_revleg,revleg_mid)),0))*VLOOKUP(B517,country_opex,3,FALSE))+Z517+AA517+AB517+AC517+AD517))&lt;=0,"",VLOOKUP(B517,country_opex,7,FALSE)/((W517*pax_cap*IF(B517="South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Korea",korea_mid_revleg,revleg_mid)),0))*VLOOKUP(B517,country_opex,3,FALSE))+Z517+AA517+AB517+AC517+AD517)))</f>
        <v/>
      </c>
      <c r="BA517" s="54">
        <f>IF(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&lt;=0,"",VLOOKUP(B517,country_opex,7,FALSE)/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)</f>
        <v/>
      </c>
      <c r="BB517" s="40" t="inlineStr">
        <is>
          <t>band_default</t>
        </is>
      </c>
      <c r="BC517" s="40" t="inlineStr">
        <is>
          <t>greenfield_convention</t>
        </is>
      </c>
      <c r="BD517" s="43" t="inlineStr">
        <is>
          <t>rn-2c32d38bb153</t>
        </is>
      </c>
    </row>
    <row r="518">
      <c r="A518" s="38" t="inlineStr">
        <is>
          <t>Korea Kakao Mobility</t>
        </is>
      </c>
      <c r="B518" s="38" t="inlineStr">
        <is>
          <t>South Korea</t>
        </is>
      </c>
      <c r="C518" s="39" t="inlineStr">
        <is>
          <t>Yeosu Passenger Ferry Terminal → Samcheonpo Ferry Terminal</t>
        </is>
      </c>
      <c r="D518" s="38" t="inlineStr">
        <is>
          <t>kakao-mobility</t>
        </is>
      </c>
      <c r="E518" s="40" t="inlineStr">
        <is>
          <t>korea-kakao-mobility, korea-naver, korea-swing</t>
        </is>
      </c>
      <c r="F518" s="41" t="n">
        <v>3</v>
      </c>
      <c r="G518" s="42" t="n">
        <v>19.1</v>
      </c>
      <c r="H518" s="35" t="n">
        <v>8</v>
      </c>
      <c r="I518" s="43" t="inlineStr">
        <is>
          <t>T3</t>
        </is>
      </c>
      <c r="J518" s="43" t="inlineStr">
        <is>
          <t>low</t>
        </is>
      </c>
      <c r="K518" s="29" t="n">
        <v>1</v>
      </c>
      <c r="L518" s="44">
        <f>60*G518/cruise_kt</f>
        <v/>
      </c>
      <c r="M518" s="44">
        <f>IF(B518="South Korea",G518/korea_charge_range_nm*korea_full_range_charge_min,0)</f>
        <v/>
      </c>
      <c r="N518" s="44">
        <f>IF(B518="South Korea",L518+korea_turn_min+korea_dwell_min+M518,L518+turn_min+dwell_min)</f>
        <v/>
      </c>
      <c r="O518" s="45">
        <f>IF(B518="South Korea",FLOOR(60*korea_service_hr/N518,1),MIN(15,FLOOR(60*service_hr/N518,1)))</f>
        <v/>
      </c>
      <c r="P518" s="45">
        <f>IF(ABS(MOD(ABS((365*mech_uptime*K518)),1)-0.5)&lt;1E-9,2*ROUND((365*mech_uptime*K518)/2,0),ROUND((365*mech_uptime*K518),0))</f>
        <v/>
      </c>
      <c r="Q518" s="46">
        <f>mech_uptime</f>
        <v/>
      </c>
      <c r="R518" s="46">
        <f>IF(AND(B518="South Korea",scenario="MID"),korea_mid_revleg,revleg_sel)</f>
        <v/>
      </c>
      <c r="S518" s="45">
        <f>IF(ABS(MOD(ABS((O518*P518*R518)),1)-0.5)&lt;1E-9,2*ROUND((O518*P518*R518)/2,0),ROUND((O518*P518*R518),0))</f>
        <v/>
      </c>
      <c r="T518" s="46">
        <f>IF(AND(B518="South Korea",scenario="MID"),korea_mid_load,load_sel)</f>
        <v/>
      </c>
      <c r="U518" s="47">
        <f>pax_cap*T518</f>
        <v/>
      </c>
      <c r="V518" s="45">
        <f>U518*S518</f>
        <v/>
      </c>
      <c r="W518" s="48">
        <f>H518*discount</f>
        <v/>
      </c>
      <c r="X518" s="49">
        <f>W518*V518</f>
        <v/>
      </c>
      <c r="Y518" s="49">
        <f>(battery/range_nm)*G518*S518*VLOOKUP(B518,country_opex,3,FALSE)</f>
        <v/>
      </c>
      <c r="Z518" s="49">
        <f>VLOOKUP(B518,country_opex,2,FALSE)*crew_factor</f>
        <v/>
      </c>
      <c r="AA518" s="49">
        <f>VLOOKUP(B518,country_opex,5,FALSE)</f>
        <v/>
      </c>
      <c r="AB518" s="49">
        <f>maint</f>
        <v/>
      </c>
      <c r="AC518" s="49">
        <f>VLOOKUP(B518,country_opex,7,FALSE)*ins_pct</f>
        <v/>
      </c>
      <c r="AD518" s="49">
        <f>charge_berth</f>
        <v/>
      </c>
      <c r="AE518" s="49">
        <f>Y518+Z518+AA518+AB518+AC518+AD518</f>
        <v/>
      </c>
      <c r="AF518" s="49">
        <f>VLOOKUP(B518,country_opex,7,FALSE)/dep_years</f>
        <v/>
      </c>
      <c r="AG518" s="49">
        <f>X518-AE518</f>
        <v/>
      </c>
      <c r="AH518" s="46">
        <f>IF(X518=0,"",AG518/X518)</f>
        <v/>
      </c>
      <c r="AI518" s="47">
        <f>IF(AG518&lt;=0,"",VLOOKUP(B518,country_opex,7,FALSE)/AG518)</f>
        <v/>
      </c>
      <c r="AJ518" s="44">
        <f>((G518*S518/diesel_nmpg)*diesel_co2pg-(battery/range_nm)*G518*S518*VLOOKUP(B518,country_opex,4,FALSE))/1000</f>
        <v/>
      </c>
      <c r="AK518" s="42" t="n">
        <v>134248</v>
      </c>
      <c r="AL518" s="43" t="inlineStr">
        <is>
          <t>T1</t>
        </is>
      </c>
      <c r="AM518" s="43" t="inlineStr">
        <is>
          <t>high</t>
        </is>
      </c>
      <c r="AN518" s="50" t="n">
        <v>0.1</v>
      </c>
      <c r="AO518" s="45">
        <f>IF(AK518="","",AK518*AN518)</f>
        <v/>
      </c>
      <c r="AP518" s="45">
        <f>IF(OR(AK518="",V518=0),"",MIN(IF(AX518="",9.9E+99,AX518),FLOOR(AO518/V518,1)))</f>
        <v/>
      </c>
      <c r="AQ518" s="49">
        <f>IF(AP518="","",AP518*IF(ABS(MOD(ABS((X518)),1)-0.5)&lt;1E-9,2*ROUND((X518)/2,0),ROUND((X518),0)))</f>
        <v/>
      </c>
      <c r="AR518" s="47">
        <f>IF(OR(AK518="",V518=0),"",MIN(IF(AX518="",9.9E+99,AX518),AO518/V518))</f>
        <v/>
      </c>
      <c r="AS518" s="49">
        <f>IF(AR518="","",AR518*IF(B518="South Korea",IF(ABS(MOD(ABS((X518)),1)-0.5)&lt;1E-9,2*ROUND((X518)/2,0),ROUND((X518),0)),X518))</f>
        <v/>
      </c>
      <c r="AT518" s="51" t="n"/>
      <c r="AU518" s="43" t="inlineStr">
        <is>
          <t>Grounded</t>
        </is>
      </c>
      <c r="AV518" s="52" t="n"/>
      <c r="AW518" s="52" t="n"/>
      <c r="AX518" s="53" t="n"/>
      <c r="AY518" s="54">
        <f>IF(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&lt;=0,"",VLOOKUP(B518,country_opex,7,FALSE)/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)</f>
        <v/>
      </c>
      <c r="AZ518" s="54">
        <f>IF(((W518*pax_cap*IF(B518="South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Korea",korea_mid_revleg,revleg_mid)),0))*VLOOKUP(B518,country_opex,3,FALSE))+Z518+AA518+AB518+AC518+AD518))&lt;=0,"",VLOOKUP(B518,country_opex,7,FALSE)/((W518*pax_cap*IF(B518="South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Korea",korea_mid_revleg,revleg_mid)),0))*VLOOKUP(B518,country_opex,3,FALSE))+Z518+AA518+AB518+AC518+AD518)))</f>
        <v/>
      </c>
      <c r="BA518" s="54">
        <f>IF(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&lt;=0,"",VLOOKUP(B518,country_opex,7,FALSE)/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)</f>
        <v/>
      </c>
      <c r="BB518" s="40" t="inlineStr">
        <is>
          <t>band_default</t>
        </is>
      </c>
      <c r="BC518" s="40" t="inlineStr">
        <is>
          <t>KOMSA Tongyeong district coastal 2025</t>
        </is>
      </c>
      <c r="BD518" s="43" t="inlineStr">
        <is>
          <t>rn-972f52f72589</t>
        </is>
      </c>
    </row>
    <row r="519">
      <c r="A519" s="38" t="inlineStr">
        <is>
          <t>Korea Kakao Mobility</t>
        </is>
      </c>
      <c r="B519" s="38" t="inlineStr">
        <is>
          <t>South Korea</t>
        </is>
      </c>
      <c r="C519" s="39" t="inlineStr">
        <is>
          <t>Jongdal Port (Udo Ferry) → Jeju Ferry Passenger Terminal</t>
        </is>
      </c>
      <c r="D519" s="38" t="inlineStr">
        <is>
          <t>kakao-mobility</t>
        </is>
      </c>
      <c r="E519" s="40" t="inlineStr">
        <is>
          <t>korea-kakao-mobility, korea-naver, korea-swing</t>
        </is>
      </c>
      <c r="F519" s="41" t="n">
        <v>3</v>
      </c>
      <c r="G519" s="42" t="n">
        <v>22.1</v>
      </c>
      <c r="H519" s="35" t="n">
        <v>8</v>
      </c>
      <c r="I519" s="43" t="inlineStr">
        <is>
          <t>T3</t>
        </is>
      </c>
      <c r="J519" s="43" t="inlineStr">
        <is>
          <t>low</t>
        </is>
      </c>
      <c r="K519" s="29" t="n">
        <v>1</v>
      </c>
      <c r="L519" s="44">
        <f>60*G519/cruise_kt</f>
        <v/>
      </c>
      <c r="M519" s="44">
        <f>IF(B519="South Korea",G519/korea_charge_range_nm*korea_full_range_charge_min,0)</f>
        <v/>
      </c>
      <c r="N519" s="44">
        <f>IF(B519="South Korea",L519+korea_turn_min+korea_dwell_min+M519,L519+turn_min+dwell_min)</f>
        <v/>
      </c>
      <c r="O519" s="45">
        <f>IF(B519="South Korea",FLOOR(60*korea_service_hr/N519,1),MIN(15,FLOOR(60*service_hr/N519,1)))</f>
        <v/>
      </c>
      <c r="P519" s="45">
        <f>IF(ABS(MOD(ABS((365*mech_uptime*K519)),1)-0.5)&lt;1E-9,2*ROUND((365*mech_uptime*K519)/2,0),ROUND((365*mech_uptime*K519),0))</f>
        <v/>
      </c>
      <c r="Q519" s="46">
        <f>mech_uptime</f>
        <v/>
      </c>
      <c r="R519" s="46">
        <f>IF(AND(B519="South Korea",scenario="MID"),korea_mid_revleg,revleg_sel)</f>
        <v/>
      </c>
      <c r="S519" s="45">
        <f>IF(ABS(MOD(ABS((O519*P519*R519)),1)-0.5)&lt;1E-9,2*ROUND((O519*P519*R519)/2,0),ROUND((O519*P519*R519),0))</f>
        <v/>
      </c>
      <c r="T519" s="46">
        <f>IF(AND(B519="South Korea",scenario="MID"),korea_mid_load,load_sel)</f>
        <v/>
      </c>
      <c r="U519" s="47">
        <f>pax_cap*T519</f>
        <v/>
      </c>
      <c r="V519" s="45">
        <f>U519*S519</f>
        <v/>
      </c>
      <c r="W519" s="48">
        <f>H519*discount</f>
        <v/>
      </c>
      <c r="X519" s="49">
        <f>W519*V519</f>
        <v/>
      </c>
      <c r="Y519" s="49">
        <f>(battery/range_nm)*G519*S519*VLOOKUP(B519,country_opex,3,FALSE)</f>
        <v/>
      </c>
      <c r="Z519" s="49">
        <f>VLOOKUP(B519,country_opex,2,FALSE)*crew_factor</f>
        <v/>
      </c>
      <c r="AA519" s="49">
        <f>VLOOKUP(B519,country_opex,5,FALSE)</f>
        <v/>
      </c>
      <c r="AB519" s="49">
        <f>maint</f>
        <v/>
      </c>
      <c r="AC519" s="49">
        <f>VLOOKUP(B519,country_opex,7,FALSE)*ins_pct</f>
        <v/>
      </c>
      <c r="AD519" s="49">
        <f>charge_berth</f>
        <v/>
      </c>
      <c r="AE519" s="49">
        <f>Y519+Z519+AA519+AB519+AC519+AD519</f>
        <v/>
      </c>
      <c r="AF519" s="49">
        <f>VLOOKUP(B519,country_opex,7,FALSE)/dep_years</f>
        <v/>
      </c>
      <c r="AG519" s="49">
        <f>X519-AE519</f>
        <v/>
      </c>
      <c r="AH519" s="46">
        <f>IF(X519=0,"",AG519/X519)</f>
        <v/>
      </c>
      <c r="AI519" s="47">
        <f>IF(AG519&lt;=0,"",VLOOKUP(B519,country_opex,7,FALSE)/AG519)</f>
        <v/>
      </c>
      <c r="AJ519" s="44">
        <f>((G519*S519/diesel_nmpg)*diesel_co2pg-(battery/range_nm)*G519*S519*VLOOKUP(B519,country_opex,4,FALSE))/1000</f>
        <v/>
      </c>
      <c r="AK519" s="42" t="n">
        <v>29535</v>
      </c>
      <c r="AL519" s="43" t="inlineStr">
        <is>
          <t>T3</t>
        </is>
      </c>
      <c r="AM519" s="43" t="inlineStr">
        <is>
          <t>low</t>
        </is>
      </c>
      <c r="AN519" s="50" t="n">
        <v>0.1</v>
      </c>
      <c r="AO519" s="45">
        <f>IF(AK519="","",AK519*AN519)</f>
        <v/>
      </c>
      <c r="AP519" s="45">
        <f>IF(OR(AK519="",V519=0),"",MIN(IF(AX519="",9.9E+99,AX519),FLOOR(AO519/V519,1)))</f>
        <v/>
      </c>
      <c r="AQ519" s="49">
        <f>IF(AP519="","",AP519*IF(ABS(MOD(ABS((X519)),1)-0.5)&lt;1E-9,2*ROUND((X519)/2,0),ROUND((X519),0)))</f>
        <v/>
      </c>
      <c r="AR519" s="47">
        <f>IF(OR(AK519="",V519=0),"",MIN(IF(AX519="",9.9E+99,AX519),AO519/V519))</f>
        <v/>
      </c>
      <c r="AS519" s="49">
        <f>IF(AR519="","",AR519*IF(B519="South Korea",IF(ABS(MOD(ABS((X519)),1)-0.5)&lt;1E-9,2*ROUND((X519)/2,0),ROUND((X519),0)),X519))</f>
        <v/>
      </c>
      <c r="AT519" s="51" t="n"/>
      <c r="AU519" s="43" t="inlineStr">
        <is>
          <t>Grounded</t>
        </is>
      </c>
      <c r="AV519" s="52" t="n"/>
      <c r="AW519" s="52" t="n"/>
      <c r="AX519" s="53" t="n"/>
      <c r="AY519" s="54">
        <f>IF(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&lt;=0,"",VLOOKUP(B519,country_opex,7,FALSE)/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)</f>
        <v/>
      </c>
      <c r="AZ519" s="54">
        <f>IF(((W519*pax_cap*IF(B519="South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Korea",korea_mid_revleg,revleg_mid)),0))*VLOOKUP(B519,country_opex,3,FALSE))+Z519+AA519+AB519+AC519+AD519))&lt;=0,"",VLOOKUP(B519,country_opex,7,FALSE)/((W519*pax_cap*IF(B519="South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Korea",korea_mid_revleg,revleg_mid)),0))*VLOOKUP(B519,country_opex,3,FALSE))+Z519+AA519+AB519+AC519+AD519)))</f>
        <v/>
      </c>
      <c r="BA519" s="54">
        <f>IF(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&lt;=0,"",VLOOKUP(B519,country_opex,7,FALSE)/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)</f>
        <v/>
      </c>
      <c r="BB519" s="40" t="inlineStr">
        <is>
          <t>band_default</t>
        </is>
      </c>
      <c r="BC519" s="40" t="inlineStr">
        <is>
          <t>greenfield_convention</t>
        </is>
      </c>
      <c r="BD519" s="43" t="inlineStr">
        <is>
          <t>rn-50bd5ea42fec</t>
        </is>
      </c>
    </row>
    <row r="520">
      <c r="A520" s="38" t="inlineStr">
        <is>
          <t>Korea Kakao Mobility</t>
        </is>
      </c>
      <c r="B520" s="38" t="inlineStr">
        <is>
          <t>South Korea</t>
        </is>
      </c>
      <c r="C520" s="39" t="inlineStr">
        <is>
          <t>Jeju Ferry Passenger Terminal → Seongsan Port (Udo ferry gateway + Seongsan Ilchulbong tender)</t>
        </is>
      </c>
      <c r="D520" s="38" t="inlineStr">
        <is>
          <t>kakao-mobility</t>
        </is>
      </c>
      <c r="E520" s="40" t="inlineStr">
        <is>
          <t>korea-kakao-mobility, korea-naver, korea-swing</t>
        </is>
      </c>
      <c r="F520" s="41" t="n">
        <v>3</v>
      </c>
      <c r="G520" s="42" t="n">
        <v>22.3</v>
      </c>
      <c r="H520" s="35" t="n">
        <v>8</v>
      </c>
      <c r="I520" s="43" t="inlineStr">
        <is>
          <t>T3</t>
        </is>
      </c>
      <c r="J520" s="43" t="inlineStr">
        <is>
          <t>low</t>
        </is>
      </c>
      <c r="K520" s="29" t="n">
        <v>1</v>
      </c>
      <c r="L520" s="44">
        <f>60*G520/cruise_kt</f>
        <v/>
      </c>
      <c r="M520" s="44">
        <f>IF(B520="South Korea",G520/korea_charge_range_nm*korea_full_range_charge_min,0)</f>
        <v/>
      </c>
      <c r="N520" s="44">
        <f>IF(B520="South Korea",L520+korea_turn_min+korea_dwell_min+M520,L520+turn_min+dwell_min)</f>
        <v/>
      </c>
      <c r="O520" s="45">
        <f>IF(B520="South Korea",FLOOR(60*korea_service_hr/N520,1),MIN(15,FLOOR(60*service_hr/N520,1)))</f>
        <v/>
      </c>
      <c r="P520" s="45">
        <f>IF(ABS(MOD(ABS((365*mech_uptime*K520)),1)-0.5)&lt;1E-9,2*ROUND((365*mech_uptime*K520)/2,0),ROUND((365*mech_uptime*K520),0))</f>
        <v/>
      </c>
      <c r="Q520" s="46">
        <f>mech_uptime</f>
        <v/>
      </c>
      <c r="R520" s="46">
        <f>IF(AND(B520="South Korea",scenario="MID"),korea_mid_revleg,revleg_sel)</f>
        <v/>
      </c>
      <c r="S520" s="45">
        <f>IF(ABS(MOD(ABS((O520*P520*R520)),1)-0.5)&lt;1E-9,2*ROUND((O520*P520*R520)/2,0),ROUND((O520*P520*R520),0))</f>
        <v/>
      </c>
      <c r="T520" s="46">
        <f>IF(AND(B520="South Korea",scenario="MID"),korea_mid_load,load_sel)</f>
        <v/>
      </c>
      <c r="U520" s="47">
        <f>pax_cap*T520</f>
        <v/>
      </c>
      <c r="V520" s="45">
        <f>U520*S520</f>
        <v/>
      </c>
      <c r="W520" s="48">
        <f>H520*discount</f>
        <v/>
      </c>
      <c r="X520" s="49">
        <f>W520*V520</f>
        <v/>
      </c>
      <c r="Y520" s="49">
        <f>(battery/range_nm)*G520*S520*VLOOKUP(B520,country_opex,3,FALSE)</f>
        <v/>
      </c>
      <c r="Z520" s="49">
        <f>VLOOKUP(B520,country_opex,2,FALSE)*crew_factor</f>
        <v/>
      </c>
      <c r="AA520" s="49">
        <f>VLOOKUP(B520,country_opex,5,FALSE)</f>
        <v/>
      </c>
      <c r="AB520" s="49">
        <f>maint</f>
        <v/>
      </c>
      <c r="AC520" s="49">
        <f>VLOOKUP(B520,country_opex,7,FALSE)*ins_pct</f>
        <v/>
      </c>
      <c r="AD520" s="49">
        <f>charge_berth</f>
        <v/>
      </c>
      <c r="AE520" s="49">
        <f>Y520+Z520+AA520+AB520+AC520+AD520</f>
        <v/>
      </c>
      <c r="AF520" s="49">
        <f>VLOOKUP(B520,country_opex,7,FALSE)/dep_years</f>
        <v/>
      </c>
      <c r="AG520" s="49">
        <f>X520-AE520</f>
        <v/>
      </c>
      <c r="AH520" s="46">
        <f>IF(X520=0,"",AG520/X520)</f>
        <v/>
      </c>
      <c r="AI520" s="47">
        <f>IF(AG520&lt;=0,"",VLOOKUP(B520,country_opex,7,FALSE)/AG520)</f>
        <v/>
      </c>
      <c r="AJ520" s="44">
        <f>((G520*S520/diesel_nmpg)*diesel_co2pg-(battery/range_nm)*G520*S520*VLOOKUP(B520,country_opex,4,FALSE))/1000</f>
        <v/>
      </c>
      <c r="AK520" s="42" t="n">
        <v>29535</v>
      </c>
      <c r="AL520" s="43" t="inlineStr">
        <is>
          <t>T3</t>
        </is>
      </c>
      <c r="AM520" s="43" t="inlineStr">
        <is>
          <t>low</t>
        </is>
      </c>
      <c r="AN520" s="50" t="n">
        <v>0.1</v>
      </c>
      <c r="AO520" s="45">
        <f>IF(AK520="","",AK520*AN520)</f>
        <v/>
      </c>
      <c r="AP520" s="45">
        <f>IF(OR(AK520="",V520=0),"",MIN(IF(AX520="",9.9E+99,AX520),FLOOR(AO520/V520,1)))</f>
        <v/>
      </c>
      <c r="AQ520" s="49">
        <f>IF(AP520="","",AP520*IF(ABS(MOD(ABS((X520)),1)-0.5)&lt;1E-9,2*ROUND((X520)/2,0),ROUND((X520),0)))</f>
        <v/>
      </c>
      <c r="AR520" s="47">
        <f>IF(OR(AK520="",V520=0),"",MIN(IF(AX520="",9.9E+99,AX520),AO520/V520))</f>
        <v/>
      </c>
      <c r="AS520" s="49">
        <f>IF(AR520="","",AR520*IF(B520="South Korea",IF(ABS(MOD(ABS((X520)),1)-0.5)&lt;1E-9,2*ROUND((X520)/2,0),ROUND((X520),0)),X520))</f>
        <v/>
      </c>
      <c r="AT520" s="51" t="n"/>
      <c r="AU520" s="43" t="inlineStr">
        <is>
          <t>Grounded</t>
        </is>
      </c>
      <c r="AV520" s="52" t="n"/>
      <c r="AW520" s="52" t="n"/>
      <c r="AX520" s="53" t="n"/>
      <c r="AY520" s="54">
        <f>IF(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&lt;=0,"",VLOOKUP(B520,country_opex,7,FALSE)/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)</f>
        <v/>
      </c>
      <c r="AZ520" s="54">
        <f>IF(((W520*pax_cap*IF(B520="South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Korea",korea_mid_revleg,revleg_mid)),0))*VLOOKUP(B520,country_opex,3,FALSE))+Z520+AA520+AB520+AC520+AD520))&lt;=0,"",VLOOKUP(B520,country_opex,7,FALSE)/((W520*pax_cap*IF(B520="South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Korea",korea_mid_revleg,revleg_mid)),0))*VLOOKUP(B520,country_opex,3,FALSE))+Z520+AA520+AB520+AC520+AD520)))</f>
        <v/>
      </c>
      <c r="BA520" s="54">
        <f>IF(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&lt;=0,"",VLOOKUP(B520,country_opex,7,FALSE)/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)</f>
        <v/>
      </c>
      <c r="BB520" s="40" t="inlineStr">
        <is>
          <t>band_default</t>
        </is>
      </c>
      <c r="BC520" s="40" t="inlineStr">
        <is>
          <t>greenfield_convention</t>
        </is>
      </c>
      <c r="BD520" s="43" t="inlineStr">
        <is>
          <t>rn-7288c917e055</t>
        </is>
      </c>
    </row>
    <row r="521">
      <c r="A521" s="38" t="inlineStr">
        <is>
          <t>Korea Kakao Mobility</t>
        </is>
      </c>
      <c r="B521" s="38" t="inlineStr">
        <is>
          <t>South Korea</t>
        </is>
      </c>
      <c r="C521" s="39" t="inlineStr">
        <is>
          <t>Geumodo Yeocheon Ferry Terminal → Yokjido Ferry Terminal</t>
        </is>
      </c>
      <c r="D521" s="38" t="inlineStr">
        <is>
          <t>kakao-mobility</t>
        </is>
      </c>
      <c r="E521" s="40" t="inlineStr">
        <is>
          <t>korea-kakao-mobility, korea-naver, korea-swing</t>
        </is>
      </c>
      <c r="F521" s="41" t="n">
        <v>3</v>
      </c>
      <c r="G521" s="42" t="n">
        <v>25.9</v>
      </c>
      <c r="H521" s="35" t="n">
        <v>8</v>
      </c>
      <c r="I521" s="43" t="inlineStr">
        <is>
          <t>T3</t>
        </is>
      </c>
      <c r="J521" s="43" t="inlineStr">
        <is>
          <t>low</t>
        </is>
      </c>
      <c r="K521" s="29" t="n">
        <v>1</v>
      </c>
      <c r="L521" s="44">
        <f>60*G521/cruise_kt</f>
        <v/>
      </c>
      <c r="M521" s="44">
        <f>IF(B521="South Korea",G521/korea_charge_range_nm*korea_full_range_charge_min,0)</f>
        <v/>
      </c>
      <c r="N521" s="44">
        <f>IF(B521="South Korea",L521+korea_turn_min+korea_dwell_min+M521,L521+turn_min+dwell_min)</f>
        <v/>
      </c>
      <c r="O521" s="45">
        <f>IF(B521="South Korea",FLOOR(60*korea_service_hr/N521,1),MIN(15,FLOOR(60*service_hr/N521,1)))</f>
        <v/>
      </c>
      <c r="P521" s="45">
        <f>IF(ABS(MOD(ABS((365*mech_uptime*K521)),1)-0.5)&lt;1E-9,2*ROUND((365*mech_uptime*K521)/2,0),ROUND((365*mech_uptime*K521),0))</f>
        <v/>
      </c>
      <c r="Q521" s="46">
        <f>mech_uptime</f>
        <v/>
      </c>
      <c r="R521" s="46">
        <f>IF(AND(B521="South Korea",scenario="MID"),korea_mid_revleg,revleg_sel)</f>
        <v/>
      </c>
      <c r="S521" s="45">
        <f>IF(ABS(MOD(ABS((O521*P521*R521)),1)-0.5)&lt;1E-9,2*ROUND((O521*P521*R521)/2,0),ROUND((O521*P521*R521),0))</f>
        <v/>
      </c>
      <c r="T521" s="46">
        <f>IF(AND(B521="South Korea",scenario="MID"),korea_mid_load,load_sel)</f>
        <v/>
      </c>
      <c r="U521" s="47">
        <f>pax_cap*T521</f>
        <v/>
      </c>
      <c r="V521" s="45">
        <f>U521*S521</f>
        <v/>
      </c>
      <c r="W521" s="48">
        <f>H521*discount</f>
        <v/>
      </c>
      <c r="X521" s="49">
        <f>W521*V521</f>
        <v/>
      </c>
      <c r="Y521" s="49">
        <f>(battery/range_nm)*G521*S521*VLOOKUP(B521,country_opex,3,FALSE)</f>
        <v/>
      </c>
      <c r="Z521" s="49">
        <f>VLOOKUP(B521,country_opex,2,FALSE)*crew_factor</f>
        <v/>
      </c>
      <c r="AA521" s="49">
        <f>VLOOKUP(B521,country_opex,5,FALSE)</f>
        <v/>
      </c>
      <c r="AB521" s="49">
        <f>maint</f>
        <v/>
      </c>
      <c r="AC521" s="49">
        <f>VLOOKUP(B521,country_opex,7,FALSE)*ins_pct</f>
        <v/>
      </c>
      <c r="AD521" s="49">
        <f>charge_berth</f>
        <v/>
      </c>
      <c r="AE521" s="49">
        <f>Y521+Z521+AA521+AB521+AC521+AD521</f>
        <v/>
      </c>
      <c r="AF521" s="49">
        <f>VLOOKUP(B521,country_opex,7,FALSE)/dep_years</f>
        <v/>
      </c>
      <c r="AG521" s="49">
        <f>X521-AE521</f>
        <v/>
      </c>
      <c r="AH521" s="46">
        <f>IF(X521=0,"",AG521/X521)</f>
        <v/>
      </c>
      <c r="AI521" s="47">
        <f>IF(AG521&lt;=0,"",VLOOKUP(B521,country_opex,7,FALSE)/AG521)</f>
        <v/>
      </c>
      <c r="AJ521" s="44">
        <f>((G521*S521/diesel_nmpg)*diesel_co2pg-(battery/range_nm)*G521*S521*VLOOKUP(B521,country_opex,4,FALSE))/1000</f>
        <v/>
      </c>
      <c r="AK521" s="42" t="n">
        <v>134248</v>
      </c>
      <c r="AL521" s="43" t="inlineStr">
        <is>
          <t>T1</t>
        </is>
      </c>
      <c r="AM521" s="43" t="inlineStr">
        <is>
          <t>high</t>
        </is>
      </c>
      <c r="AN521" s="50" t="n">
        <v>0.1</v>
      </c>
      <c r="AO521" s="45">
        <f>IF(AK521="","",AK521*AN521)</f>
        <v/>
      </c>
      <c r="AP521" s="45">
        <f>IF(OR(AK521="",V521=0),"",MIN(IF(AX521="",9.9E+99,AX521),FLOOR(AO521/V521,1)))</f>
        <v/>
      </c>
      <c r="AQ521" s="49">
        <f>IF(AP521="","",AP521*IF(ABS(MOD(ABS((X521)),1)-0.5)&lt;1E-9,2*ROUND((X521)/2,0),ROUND((X521),0)))</f>
        <v/>
      </c>
      <c r="AR521" s="47">
        <f>IF(OR(AK521="",V521=0),"",MIN(IF(AX521="",9.9E+99,AX521),AO521/V521))</f>
        <v/>
      </c>
      <c r="AS521" s="49">
        <f>IF(AR521="","",AR521*IF(B521="South Korea",IF(ABS(MOD(ABS((X521)),1)-0.5)&lt;1E-9,2*ROUND((X521)/2,0),ROUND((X521),0)),X521))</f>
        <v/>
      </c>
      <c r="AT521" s="51" t="n"/>
      <c r="AU521" s="43" t="inlineStr">
        <is>
          <t>Grounded</t>
        </is>
      </c>
      <c r="AV521" s="52" t="n"/>
      <c r="AW521" s="52" t="n"/>
      <c r="AX521" s="53" t="n"/>
      <c r="AY521" s="54">
        <f>IF(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&lt;=0,"",VLOOKUP(B521,country_opex,7,FALSE)/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)</f>
        <v/>
      </c>
      <c r="AZ521" s="54">
        <f>IF(((W521*pax_cap*IF(B521="South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Korea",korea_mid_revleg,revleg_mid)),0))*VLOOKUP(B521,country_opex,3,FALSE))+Z521+AA521+AB521+AC521+AD521))&lt;=0,"",VLOOKUP(B521,country_opex,7,FALSE)/((W521*pax_cap*IF(B521="South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Korea",korea_mid_revleg,revleg_mid)),0))*VLOOKUP(B521,country_opex,3,FALSE))+Z521+AA521+AB521+AC521+AD521)))</f>
        <v/>
      </c>
      <c r="BA521" s="54">
        <f>IF(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&lt;=0,"",VLOOKUP(B521,country_opex,7,FALSE)/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)</f>
        <v/>
      </c>
      <c r="BB521" s="40" t="inlineStr">
        <is>
          <t>band_default</t>
        </is>
      </c>
      <c r="BC521" s="40" t="inlineStr">
        <is>
          <t>KOMSA Tongyeong district coastal 2025</t>
        </is>
      </c>
      <c r="BD521" s="43" t="inlineStr">
        <is>
          <t>rn-4f591a53d3b3</t>
        </is>
      </c>
    </row>
    <row r="522">
      <c r="A522" s="38" t="inlineStr">
        <is>
          <t>Korea Kakao Mobility</t>
        </is>
      </c>
      <c r="B522" s="38" t="inlineStr">
        <is>
          <t>South Korea</t>
        </is>
      </c>
      <c r="C522" s="39" t="inlineStr">
        <is>
          <t>Yeosu Passenger Ferry Terminal → Yokjido Ferry Terminal</t>
        </is>
      </c>
      <c r="D522" s="38" t="inlineStr">
        <is>
          <t>kakao-mobility</t>
        </is>
      </c>
      <c r="E522" s="40" t="inlineStr">
        <is>
          <t>korea-kakao-mobility, korea-naver, korea-swing</t>
        </is>
      </c>
      <c r="F522" s="41" t="n">
        <v>3</v>
      </c>
      <c r="G522" s="42" t="n">
        <v>26.4</v>
      </c>
      <c r="H522" s="35" t="n">
        <v>8</v>
      </c>
      <c r="I522" s="43" t="inlineStr">
        <is>
          <t>T3</t>
        </is>
      </c>
      <c r="J522" s="43" t="inlineStr">
        <is>
          <t>low</t>
        </is>
      </c>
      <c r="K522" s="29" t="n">
        <v>1</v>
      </c>
      <c r="L522" s="44">
        <f>60*G522/cruise_kt</f>
        <v/>
      </c>
      <c r="M522" s="44">
        <f>IF(B522="South Korea",G522/korea_charge_range_nm*korea_full_range_charge_min,0)</f>
        <v/>
      </c>
      <c r="N522" s="44">
        <f>IF(B522="South Korea",L522+korea_turn_min+korea_dwell_min+M522,L522+turn_min+dwell_min)</f>
        <v/>
      </c>
      <c r="O522" s="45">
        <f>IF(B522="South Korea",FLOOR(60*korea_service_hr/N522,1),MIN(15,FLOOR(60*service_hr/N522,1)))</f>
        <v/>
      </c>
      <c r="P522" s="45">
        <f>IF(ABS(MOD(ABS((365*mech_uptime*K522)),1)-0.5)&lt;1E-9,2*ROUND((365*mech_uptime*K522)/2,0),ROUND((365*mech_uptime*K522),0))</f>
        <v/>
      </c>
      <c r="Q522" s="46">
        <f>mech_uptime</f>
        <v/>
      </c>
      <c r="R522" s="46">
        <f>IF(AND(B522="South Korea",scenario="MID"),korea_mid_revleg,revleg_sel)</f>
        <v/>
      </c>
      <c r="S522" s="45">
        <f>IF(ABS(MOD(ABS((O522*P522*R522)),1)-0.5)&lt;1E-9,2*ROUND((O522*P522*R522)/2,0),ROUND((O522*P522*R522),0))</f>
        <v/>
      </c>
      <c r="T522" s="46">
        <f>IF(AND(B522="South Korea",scenario="MID"),korea_mid_load,load_sel)</f>
        <v/>
      </c>
      <c r="U522" s="47">
        <f>pax_cap*T522</f>
        <v/>
      </c>
      <c r="V522" s="45">
        <f>U522*S522</f>
        <v/>
      </c>
      <c r="W522" s="48">
        <f>H522*discount</f>
        <v/>
      </c>
      <c r="X522" s="49">
        <f>W522*V522</f>
        <v/>
      </c>
      <c r="Y522" s="49">
        <f>(battery/range_nm)*G522*S522*VLOOKUP(B522,country_opex,3,FALSE)</f>
        <v/>
      </c>
      <c r="Z522" s="49">
        <f>VLOOKUP(B522,country_opex,2,FALSE)*crew_factor</f>
        <v/>
      </c>
      <c r="AA522" s="49">
        <f>VLOOKUP(B522,country_opex,5,FALSE)</f>
        <v/>
      </c>
      <c r="AB522" s="49">
        <f>maint</f>
        <v/>
      </c>
      <c r="AC522" s="49">
        <f>VLOOKUP(B522,country_opex,7,FALSE)*ins_pct</f>
        <v/>
      </c>
      <c r="AD522" s="49">
        <f>charge_berth</f>
        <v/>
      </c>
      <c r="AE522" s="49">
        <f>Y522+Z522+AA522+AB522+AC522+AD522</f>
        <v/>
      </c>
      <c r="AF522" s="49">
        <f>VLOOKUP(B522,country_opex,7,FALSE)/dep_years</f>
        <v/>
      </c>
      <c r="AG522" s="49">
        <f>X522-AE522</f>
        <v/>
      </c>
      <c r="AH522" s="46">
        <f>IF(X522=0,"",AG522/X522)</f>
        <v/>
      </c>
      <c r="AI522" s="47">
        <f>IF(AG522&lt;=0,"",VLOOKUP(B522,country_opex,7,FALSE)/AG522)</f>
        <v/>
      </c>
      <c r="AJ522" s="44">
        <f>((G522*S522/diesel_nmpg)*diesel_co2pg-(battery/range_nm)*G522*S522*VLOOKUP(B522,country_opex,4,FALSE))/1000</f>
        <v/>
      </c>
      <c r="AK522" s="42" t="n">
        <v>134248</v>
      </c>
      <c r="AL522" s="43" t="inlineStr">
        <is>
          <t>T1</t>
        </is>
      </c>
      <c r="AM522" s="43" t="inlineStr">
        <is>
          <t>high</t>
        </is>
      </c>
      <c r="AN522" s="50" t="n">
        <v>0.1</v>
      </c>
      <c r="AO522" s="45">
        <f>IF(AK522="","",AK522*AN522)</f>
        <v/>
      </c>
      <c r="AP522" s="45">
        <f>IF(OR(AK522="",V522=0),"",MIN(IF(AX522="",9.9E+99,AX522),FLOOR(AO522/V522,1)))</f>
        <v/>
      </c>
      <c r="AQ522" s="49">
        <f>IF(AP522="","",AP522*IF(ABS(MOD(ABS((X522)),1)-0.5)&lt;1E-9,2*ROUND((X522)/2,0),ROUND((X522),0)))</f>
        <v/>
      </c>
      <c r="AR522" s="47">
        <f>IF(OR(AK522="",V522=0),"",MIN(IF(AX522="",9.9E+99,AX522),AO522/V522))</f>
        <v/>
      </c>
      <c r="AS522" s="49">
        <f>IF(AR522="","",AR522*IF(B522="South Korea",IF(ABS(MOD(ABS((X522)),1)-0.5)&lt;1E-9,2*ROUND((X522)/2,0),ROUND((X522),0)),X522))</f>
        <v/>
      </c>
      <c r="AT522" s="51" t="n"/>
      <c r="AU522" s="43" t="inlineStr">
        <is>
          <t>Grounded</t>
        </is>
      </c>
      <c r="AV522" s="52" t="n"/>
      <c r="AW522" s="52" t="n"/>
      <c r="AX522" s="53" t="n"/>
      <c r="AY522" s="54">
        <f>IF(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&lt;=0,"",VLOOKUP(B522,country_opex,7,FALSE)/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)</f>
        <v/>
      </c>
      <c r="AZ522" s="54">
        <f>IF(((W522*pax_cap*IF(B522="South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Korea",korea_mid_revleg,revleg_mid)),0))*VLOOKUP(B522,country_opex,3,FALSE))+Z522+AA522+AB522+AC522+AD522))&lt;=0,"",VLOOKUP(B522,country_opex,7,FALSE)/((W522*pax_cap*IF(B522="South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Korea",korea_mid_revleg,revleg_mid)),0))*VLOOKUP(B522,country_opex,3,FALSE))+Z522+AA522+AB522+AC522+AD522)))</f>
        <v/>
      </c>
      <c r="BA522" s="54">
        <f>IF(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&lt;=0,"",VLOOKUP(B522,country_opex,7,FALSE)/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)</f>
        <v/>
      </c>
      <c r="BB522" s="40" t="inlineStr">
        <is>
          <t>band_default</t>
        </is>
      </c>
      <c r="BC522" s="40" t="inlineStr">
        <is>
          <t>KOMSA Tongyeong district coastal 2025</t>
        </is>
      </c>
      <c r="BD522" s="43" t="inlineStr">
        <is>
          <t>rn-716172aedee7</t>
        </is>
      </c>
    </row>
    <row r="523">
      <c r="A523" s="38" t="inlineStr">
        <is>
          <t>Korea Kakao Mobility</t>
        </is>
      </c>
      <c r="B523" s="38" t="inlineStr">
        <is>
          <t>South Korea</t>
        </is>
      </c>
      <c r="C523" s="39" t="inlineStr">
        <is>
          <t>Samdeok Yokji Ferry Terminal → Yeosu Passenger Ferry Terminal</t>
        </is>
      </c>
      <c r="D523" s="38" t="inlineStr">
        <is>
          <t>kakao-mobility</t>
        </is>
      </c>
      <c r="E523" s="40" t="inlineStr">
        <is>
          <t>korea-kakao-mobility, korea-naver, korea-swing</t>
        </is>
      </c>
      <c r="F523" s="41" t="n">
        <v>3</v>
      </c>
      <c r="G523" s="42" t="n">
        <v>31.7</v>
      </c>
      <c r="H523" s="35" t="n">
        <v>22</v>
      </c>
      <c r="I523" s="43" t="inlineStr">
        <is>
          <t>T3</t>
        </is>
      </c>
      <c r="J523" s="43" t="inlineStr">
        <is>
          <t>low</t>
        </is>
      </c>
      <c r="K523" s="29" t="n">
        <v>1</v>
      </c>
      <c r="L523" s="44">
        <f>60*G523/cruise_kt</f>
        <v/>
      </c>
      <c r="M523" s="44">
        <f>IF(B523="South Korea",G523/korea_charge_range_nm*korea_full_range_charge_min,0)</f>
        <v/>
      </c>
      <c r="N523" s="44">
        <f>IF(B523="South Korea",L523+korea_turn_min+korea_dwell_min+M523,L523+turn_min+dwell_min)</f>
        <v/>
      </c>
      <c r="O523" s="45">
        <f>IF(B523="South Korea",FLOOR(60*korea_service_hr/N523,1),MIN(15,FLOOR(60*service_hr/N523,1)))</f>
        <v/>
      </c>
      <c r="P523" s="45">
        <f>IF(ABS(MOD(ABS((365*mech_uptime*K523)),1)-0.5)&lt;1E-9,2*ROUND((365*mech_uptime*K523)/2,0),ROUND((365*mech_uptime*K523),0))</f>
        <v/>
      </c>
      <c r="Q523" s="46">
        <f>mech_uptime</f>
        <v/>
      </c>
      <c r="R523" s="46">
        <f>IF(AND(B523="South Korea",scenario="MID"),korea_mid_revleg,revleg_sel)</f>
        <v/>
      </c>
      <c r="S523" s="45">
        <f>IF(ABS(MOD(ABS((O523*P523*R523)),1)-0.5)&lt;1E-9,2*ROUND((O523*P523*R523)/2,0),ROUND((O523*P523*R523),0))</f>
        <v/>
      </c>
      <c r="T523" s="46">
        <f>IF(AND(B523="South Korea",scenario="MID"),korea_mid_load,load_sel)</f>
        <v/>
      </c>
      <c r="U523" s="47">
        <f>pax_cap*T523</f>
        <v/>
      </c>
      <c r="V523" s="45">
        <f>U523*S523</f>
        <v/>
      </c>
      <c r="W523" s="48">
        <f>H523*discount</f>
        <v/>
      </c>
      <c r="X523" s="49">
        <f>W523*V523</f>
        <v/>
      </c>
      <c r="Y523" s="49">
        <f>(battery/range_nm)*G523*S523*VLOOKUP(B523,country_opex,3,FALSE)</f>
        <v/>
      </c>
      <c r="Z523" s="49">
        <f>VLOOKUP(B523,country_opex,2,FALSE)*crew_factor</f>
        <v/>
      </c>
      <c r="AA523" s="49">
        <f>VLOOKUP(B523,country_opex,5,FALSE)</f>
        <v/>
      </c>
      <c r="AB523" s="49">
        <f>maint</f>
        <v/>
      </c>
      <c r="AC523" s="49">
        <f>VLOOKUP(B523,country_opex,7,FALSE)*ins_pct</f>
        <v/>
      </c>
      <c r="AD523" s="49">
        <f>charge_berth</f>
        <v/>
      </c>
      <c r="AE523" s="49">
        <f>Y523+Z523+AA523+AB523+AC523+AD523</f>
        <v/>
      </c>
      <c r="AF523" s="49">
        <f>VLOOKUP(B523,country_opex,7,FALSE)/dep_years</f>
        <v/>
      </c>
      <c r="AG523" s="49">
        <f>X523-AE523</f>
        <v/>
      </c>
      <c r="AH523" s="46">
        <f>IF(X523=0,"",AG523/X523)</f>
        <v/>
      </c>
      <c r="AI523" s="47">
        <f>IF(AG523&lt;=0,"",VLOOKUP(B523,country_opex,7,FALSE)/AG523)</f>
        <v/>
      </c>
      <c r="AJ523" s="44">
        <f>((G523*S523/diesel_nmpg)*diesel_co2pg-(battery/range_nm)*G523*S523*VLOOKUP(B523,country_opex,4,FALSE))/1000</f>
        <v/>
      </c>
      <c r="AK523" s="42" t="n">
        <v>134248</v>
      </c>
      <c r="AL523" s="43" t="inlineStr">
        <is>
          <t>T1</t>
        </is>
      </c>
      <c r="AM523" s="43" t="inlineStr">
        <is>
          <t>high</t>
        </is>
      </c>
      <c r="AN523" s="50" t="n">
        <v>0.1</v>
      </c>
      <c r="AO523" s="45">
        <f>IF(AK523="","",AK523*AN523)</f>
        <v/>
      </c>
      <c r="AP523" s="45">
        <f>IF(OR(AK523="",V523=0),"",MIN(IF(AX523="",9.9E+99,AX523),FLOOR(AO523/V523,1)))</f>
        <v/>
      </c>
      <c r="AQ523" s="49">
        <f>IF(AP523="","",AP523*IF(ABS(MOD(ABS((X523)),1)-0.5)&lt;1E-9,2*ROUND((X523)/2,0),ROUND((X523),0)))</f>
        <v/>
      </c>
      <c r="AR523" s="47">
        <f>IF(OR(AK523="",V523=0),"",MIN(IF(AX523="",9.9E+99,AX523),AO523/V523))</f>
        <v/>
      </c>
      <c r="AS523" s="49">
        <f>IF(AR523="","",AR523*IF(B523="South Korea",IF(ABS(MOD(ABS((X523)),1)-0.5)&lt;1E-9,2*ROUND((X523)/2,0),ROUND((X523),0)),X523))</f>
        <v/>
      </c>
      <c r="AT523" s="51" t="n"/>
      <c r="AU523" s="43" t="inlineStr">
        <is>
          <t>Grounded</t>
        </is>
      </c>
      <c r="AV523" s="52" t="n"/>
      <c r="AW523" s="52" t="n"/>
      <c r="AX523" s="53" t="n"/>
      <c r="AY523" s="54">
        <f>IF(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&lt;=0,"",VLOOKUP(B523,country_opex,7,FALSE)/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)</f>
        <v/>
      </c>
      <c r="AZ523" s="54">
        <f>IF(((W523*pax_cap*IF(B523="South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Korea",korea_mid_revleg,revleg_mid)),0))*VLOOKUP(B523,country_opex,3,FALSE))+Z523+AA523+AB523+AC523+AD523))&lt;=0,"",VLOOKUP(B523,country_opex,7,FALSE)/((W523*pax_cap*IF(B523="South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Korea",korea_mid_revleg,revleg_mid)),0))*VLOOKUP(B523,country_opex,3,FALSE))+Z523+AA523+AB523+AC523+AD523)))</f>
        <v/>
      </c>
      <c r="BA523" s="54">
        <f>IF(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&lt;=0,"",VLOOKUP(B523,country_opex,7,FALSE)/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)</f>
        <v/>
      </c>
      <c r="BB523" s="40" t="inlineStr">
        <is>
          <t>band_default</t>
        </is>
      </c>
      <c r="BC523" s="40" t="inlineStr">
        <is>
          <t>KOMSA Tongyeong district coastal 2025</t>
        </is>
      </c>
      <c r="BD523" s="43" t="inlineStr">
        <is>
          <t>rn-79388bf546a1</t>
        </is>
      </c>
    </row>
    <row r="524">
      <c r="A524" s="38" t="inlineStr">
        <is>
          <t>Korea Kakao Mobility</t>
        </is>
      </c>
      <c r="B524" s="38" t="inlineStr">
        <is>
          <t>South Korea</t>
        </is>
      </c>
      <c r="C524" s="39" t="inlineStr">
        <is>
          <t>Tongyeong Passenger Ferry Terminal → Yeosu Passenger Ferry Terminal</t>
        </is>
      </c>
      <c r="D524" s="38" t="inlineStr">
        <is>
          <t>kakao-mobility</t>
        </is>
      </c>
      <c r="E524" s="40" t="inlineStr">
        <is>
          <t>korea-kakao-mobility, korea-naver, korea-swing</t>
        </is>
      </c>
      <c r="F524" s="41" t="n">
        <v>3</v>
      </c>
      <c r="G524" s="42" t="n">
        <v>33.6</v>
      </c>
      <c r="H524" s="35" t="n">
        <v>22</v>
      </c>
      <c r="I524" s="43" t="inlineStr">
        <is>
          <t>T3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IF(B524="South Korea",G524/korea_charge_range_nm*korea_full_range_charge_min,0)</f>
        <v/>
      </c>
      <c r="N524" s="44">
        <f>IF(B524="South Korea",L524+korea_turn_min+korea_dwell_min+M524,L524+turn_min+dwell_min)</f>
        <v/>
      </c>
      <c r="O524" s="45">
        <f>IF(B524="South Korea",FLOOR(60*korea_service_hr/N524,1),MIN(15,FLOOR(60*service_hr/N524,1)))</f>
        <v/>
      </c>
      <c r="P524" s="45">
        <f>IF(ABS(MOD(ABS((365*mech_uptime*K524)),1)-0.5)&lt;1E-9,2*ROUND((365*mech_uptime*K524)/2,0),ROUND((365*mech_uptime*K524),0))</f>
        <v/>
      </c>
      <c r="Q524" s="46">
        <f>mech_uptime</f>
        <v/>
      </c>
      <c r="R524" s="46">
        <f>IF(AND(B524="South Korea",scenario="MID"),korea_mid_revleg,revleg_sel)</f>
        <v/>
      </c>
      <c r="S524" s="45">
        <f>IF(ABS(MOD(ABS((O524*P524*R524)),1)-0.5)&lt;1E-9,2*ROUND((O524*P524*R524)/2,0),ROUND((O524*P524*R524),0))</f>
        <v/>
      </c>
      <c r="T524" s="46">
        <f>IF(AND(B524="South Korea",scenario="MID"),korea_mid_load,load_sel)</f>
        <v/>
      </c>
      <c r="U524" s="47">
        <f>pax_cap*T524</f>
        <v/>
      </c>
      <c r="V524" s="45">
        <f>U524*S524</f>
        <v/>
      </c>
      <c r="W524" s="48">
        <f>H524*discount</f>
        <v/>
      </c>
      <c r="X524" s="49">
        <f>W524*V524</f>
        <v/>
      </c>
      <c r="Y524" s="49">
        <f>(battery/range_nm)*G524*S524*VLOOKUP(B524,country_opex,3,FALSE)</f>
        <v/>
      </c>
      <c r="Z524" s="49">
        <f>VLOOKUP(B524,country_opex,2,FALSE)*crew_factor</f>
        <v/>
      </c>
      <c r="AA524" s="49">
        <f>VLOOKUP(B524,country_opex,5,FALSE)</f>
        <v/>
      </c>
      <c r="AB524" s="49">
        <f>maint</f>
        <v/>
      </c>
      <c r="AC524" s="49">
        <f>VLOOKUP(B524,country_opex,7,FALSE)*ins_pct</f>
        <v/>
      </c>
      <c r="AD524" s="49">
        <f>charge_berth</f>
        <v/>
      </c>
      <c r="AE524" s="49">
        <f>Y524+Z524+AA524+AB524+AC524+AD524</f>
        <v/>
      </c>
      <c r="AF524" s="49">
        <f>VLOOKUP(B524,country_opex,7,FALSE)/dep_years</f>
        <v/>
      </c>
      <c r="AG524" s="49">
        <f>X524-AE524</f>
        <v/>
      </c>
      <c r="AH524" s="46">
        <f>IF(X524=0,"",AG524/X524)</f>
        <v/>
      </c>
      <c r="AI524" s="47">
        <f>IF(AG524&lt;=0,"",VLOOKUP(B524,country_opex,7,FALSE)/AG524)</f>
        <v/>
      </c>
      <c r="AJ524" s="44">
        <f>((G524*S524/diesel_nmpg)*diesel_co2pg-(battery/range_nm)*G524*S524*VLOOKUP(B524,country_opex,4,FALSE))/1000</f>
        <v/>
      </c>
      <c r="AK524" s="42" t="n">
        <v>134248</v>
      </c>
      <c r="AL524" s="43" t="inlineStr">
        <is>
          <t>T1</t>
        </is>
      </c>
      <c r="AM524" s="43" t="inlineStr">
        <is>
          <t>high</t>
        </is>
      </c>
      <c r="AN524" s="50" t="n">
        <v>0.1</v>
      </c>
      <c r="AO524" s="45">
        <f>IF(AK524="","",AK524*AN524)</f>
        <v/>
      </c>
      <c r="AP524" s="45">
        <f>IF(OR(AK524="",V524=0),"",MIN(IF(AX524="",9.9E+99,AX524),FLOOR(AO524/V524,1)))</f>
        <v/>
      </c>
      <c r="AQ524" s="49">
        <f>IF(AP524="","",AP524*IF(ABS(MOD(ABS((X524)),1)-0.5)&lt;1E-9,2*ROUND((X524)/2,0),ROUND((X524),0)))</f>
        <v/>
      </c>
      <c r="AR524" s="47">
        <f>IF(OR(AK524="",V524=0),"",MIN(IF(AX524="",9.9E+99,AX524),AO524/V524))</f>
        <v/>
      </c>
      <c r="AS524" s="49">
        <f>IF(AR524="","",AR524*IF(B524="South Korea",IF(ABS(MOD(ABS((X524)),1)-0.5)&lt;1E-9,2*ROUND((X524)/2,0),ROUND((X524),0)),X524))</f>
        <v/>
      </c>
      <c r="AT524" s="51" t="n"/>
      <c r="AU524" s="43" t="inlineStr">
        <is>
          <t>Grounded</t>
        </is>
      </c>
      <c r="AV524" s="52" t="n"/>
      <c r="AW524" s="52" t="n"/>
      <c r="AX524" s="53" t="n"/>
      <c r="AY524" s="54">
        <f>IF(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&lt;=0,"",VLOOKUP(B524,country_opex,7,FALSE)/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)</f>
        <v/>
      </c>
      <c r="AZ524" s="54">
        <f>IF(((W524*pax_cap*IF(B524="South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Korea",korea_mid_revleg,revleg_mid)),0))*VLOOKUP(B524,country_opex,3,FALSE))+Z524+AA524+AB524+AC524+AD524))&lt;=0,"",VLOOKUP(B524,country_opex,7,FALSE)/((W524*pax_cap*IF(B524="South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Korea",korea_mid_revleg,revleg_mid)),0))*VLOOKUP(B524,country_opex,3,FALSE))+Z524+AA524+AB524+AC524+AD524)))</f>
        <v/>
      </c>
      <c r="BA524" s="54">
        <f>IF(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&lt;=0,"",VLOOKUP(B524,country_opex,7,FALSE)/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)</f>
        <v/>
      </c>
      <c r="BB524" s="40" t="inlineStr">
        <is>
          <t>band_default</t>
        </is>
      </c>
      <c r="BC524" s="40" t="inlineStr">
        <is>
          <t>KOMSA Tongyeong district coastal 2025</t>
        </is>
      </c>
      <c r="BD524" s="43" t="inlineStr">
        <is>
          <t>rn-b93989547df9</t>
        </is>
      </c>
    </row>
    <row r="525">
      <c r="A525" s="38" t="inlineStr">
        <is>
          <t>Korea Kakao Mobility</t>
        </is>
      </c>
      <c r="B525" s="38" t="inlineStr">
        <is>
          <t>South Korea</t>
        </is>
      </c>
      <c r="C525" s="39" t="inlineStr">
        <is>
          <t>Yeosu Passenger Ferry Terminal → Gaochi Passenger Ferry Terminal</t>
        </is>
      </c>
      <c r="D525" s="38" t="inlineStr">
        <is>
          <t>kakao-mobility</t>
        </is>
      </c>
      <c r="E525" s="40" t="inlineStr">
        <is>
          <t>korea-kakao-mobility, korea-naver, korea-swing</t>
        </is>
      </c>
      <c r="F525" s="41" t="n">
        <v>3</v>
      </c>
      <c r="G525" s="42" t="n">
        <v>34.8</v>
      </c>
      <c r="H525" s="35" t="n">
        <v>22</v>
      </c>
      <c r="I525" s="43" t="inlineStr">
        <is>
          <t>T3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IF(B525="South Korea",G525/korea_charge_range_nm*korea_full_range_charge_min,0)</f>
        <v/>
      </c>
      <c r="N525" s="44">
        <f>IF(B525="South Korea",L525+korea_turn_min+korea_dwell_min+M525,L525+turn_min+dwell_min)</f>
        <v/>
      </c>
      <c r="O525" s="45">
        <f>IF(B525="South Korea",FLOOR(60*korea_service_hr/N525,1),MIN(15,FLOOR(60*service_hr/N525,1)))</f>
        <v/>
      </c>
      <c r="P525" s="45">
        <f>IF(ABS(MOD(ABS((365*mech_uptime*K525)),1)-0.5)&lt;1E-9,2*ROUND((365*mech_uptime*K525)/2,0),ROUND((365*mech_uptime*K525),0))</f>
        <v/>
      </c>
      <c r="Q525" s="46">
        <f>mech_uptime</f>
        <v/>
      </c>
      <c r="R525" s="46">
        <f>IF(AND(B525="South Korea",scenario="MID"),korea_mid_revleg,revleg_sel)</f>
        <v/>
      </c>
      <c r="S525" s="45">
        <f>IF(ABS(MOD(ABS((O525*P525*R525)),1)-0.5)&lt;1E-9,2*ROUND((O525*P525*R525)/2,0),ROUND((O525*P525*R525),0))</f>
        <v/>
      </c>
      <c r="T525" s="46">
        <f>IF(AND(B525="South Korea",scenario="MID"),korea_mid_load,load_sel)</f>
        <v/>
      </c>
      <c r="U525" s="47">
        <f>pax_cap*T525</f>
        <v/>
      </c>
      <c r="V525" s="45">
        <f>U525*S525</f>
        <v/>
      </c>
      <c r="W525" s="48">
        <f>H525*discount</f>
        <v/>
      </c>
      <c r="X525" s="49">
        <f>W525*V525</f>
        <v/>
      </c>
      <c r="Y525" s="49">
        <f>(battery/range_nm)*G525*S525*VLOOKUP(B525,country_opex,3,FALSE)</f>
        <v/>
      </c>
      <c r="Z525" s="49">
        <f>VLOOKUP(B525,country_opex,2,FALSE)*crew_factor</f>
        <v/>
      </c>
      <c r="AA525" s="49">
        <f>VLOOKUP(B525,country_opex,5,FALSE)</f>
        <v/>
      </c>
      <c r="AB525" s="49">
        <f>maint</f>
        <v/>
      </c>
      <c r="AC525" s="49">
        <f>VLOOKUP(B525,country_opex,7,FALSE)*ins_pct</f>
        <v/>
      </c>
      <c r="AD525" s="49">
        <f>charge_berth</f>
        <v/>
      </c>
      <c r="AE525" s="49">
        <f>Y525+Z525+AA525+AB525+AC525+AD525</f>
        <v/>
      </c>
      <c r="AF525" s="49">
        <f>VLOOKUP(B525,country_opex,7,FALSE)/dep_years</f>
        <v/>
      </c>
      <c r="AG525" s="49">
        <f>X525-AE525</f>
        <v/>
      </c>
      <c r="AH525" s="46">
        <f>IF(X525=0,"",AG525/X525)</f>
        <v/>
      </c>
      <c r="AI525" s="47">
        <f>IF(AG525&lt;=0,"",VLOOKUP(B525,country_opex,7,FALSE)/AG525)</f>
        <v/>
      </c>
      <c r="AJ525" s="44">
        <f>((G525*S525/diesel_nmpg)*diesel_co2pg-(battery/range_nm)*G525*S525*VLOOKUP(B525,country_opex,4,FALSE))/1000</f>
        <v/>
      </c>
      <c r="AK525" s="42" t="n">
        <v>134248</v>
      </c>
      <c r="AL525" s="43" t="inlineStr">
        <is>
          <t>T1</t>
        </is>
      </c>
      <c r="AM525" s="43" t="inlineStr">
        <is>
          <t>high</t>
        </is>
      </c>
      <c r="AN525" s="50" t="n">
        <v>0.1</v>
      </c>
      <c r="AO525" s="45">
        <f>IF(AK525="","",AK525*AN525)</f>
        <v/>
      </c>
      <c r="AP525" s="45">
        <f>IF(OR(AK525="",V525=0),"",MIN(IF(AX525="",9.9E+99,AX525),FLOOR(AO525/V525,1)))</f>
        <v/>
      </c>
      <c r="AQ525" s="49">
        <f>IF(AP525="","",AP525*IF(ABS(MOD(ABS((X525)),1)-0.5)&lt;1E-9,2*ROUND((X525)/2,0),ROUND((X525),0)))</f>
        <v/>
      </c>
      <c r="AR525" s="47">
        <f>IF(OR(AK525="",V525=0),"",MIN(IF(AX525="",9.9E+99,AX525),AO525/V525))</f>
        <v/>
      </c>
      <c r="AS525" s="49">
        <f>IF(AR525="","",AR525*IF(B525="South Korea",IF(ABS(MOD(ABS((X525)),1)-0.5)&lt;1E-9,2*ROUND((X525)/2,0),ROUND((X525),0)),X525))</f>
        <v/>
      </c>
      <c r="AT525" s="51" t="n"/>
      <c r="AU525" s="43" t="inlineStr">
        <is>
          <t>Grounded</t>
        </is>
      </c>
      <c r="AV525" s="52" t="n"/>
      <c r="AW525" s="52" t="n"/>
      <c r="AX525" s="53" t="n"/>
      <c r="AY525" s="54">
        <f>IF(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&lt;=0,"",VLOOKUP(B525,country_opex,7,FALSE)/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)</f>
        <v/>
      </c>
      <c r="AZ525" s="54">
        <f>IF(((W525*pax_cap*IF(B525="South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Korea",korea_mid_revleg,revleg_mid)),0))*VLOOKUP(B525,country_opex,3,FALSE))+Z525+AA525+AB525+AC525+AD525))&lt;=0,"",VLOOKUP(B525,country_opex,7,FALSE)/((W525*pax_cap*IF(B525="South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Korea",korea_mid_revleg,revleg_mid)),0))*VLOOKUP(B525,country_opex,3,FALSE))+Z525+AA525+AB525+AC525+AD525)))</f>
        <v/>
      </c>
      <c r="BA525" s="54">
        <f>IF(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&lt;=0,"",VLOOKUP(B525,country_opex,7,FALSE)/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)</f>
        <v/>
      </c>
      <c r="BB525" s="40" t="inlineStr">
        <is>
          <t>band_default</t>
        </is>
      </c>
      <c r="BC525" s="40" t="inlineStr">
        <is>
          <t>KOMSA Tongyeong district coastal 2025</t>
        </is>
      </c>
      <c r="BD525" s="43" t="inlineStr">
        <is>
          <t>rn-649a78c56f95</t>
        </is>
      </c>
    </row>
    <row r="526">
      <c r="A526" s="38" t="inlineStr">
        <is>
          <t>Korea Kakao Mobility</t>
        </is>
      </c>
      <c r="B526" s="38" t="inlineStr">
        <is>
          <t>South Korea</t>
        </is>
      </c>
      <c r="C526" s="39" t="inlineStr">
        <is>
          <t>Tongyeong Passenger Ferry Terminal → Geumodo Yeocheon Ferry Terminal</t>
        </is>
      </c>
      <c r="D526" s="38" t="inlineStr">
        <is>
          <t>kakao-mobility</t>
        </is>
      </c>
      <c r="E526" s="40" t="inlineStr">
        <is>
          <t>korea-kakao-mobility, korea-naver, korea-swing</t>
        </is>
      </c>
      <c r="F526" s="41" t="n">
        <v>3</v>
      </c>
      <c r="G526" s="42" t="n">
        <v>37.3</v>
      </c>
      <c r="H526" s="35" t="n">
        <v>22</v>
      </c>
      <c r="I526" s="43" t="inlineStr">
        <is>
          <t>T3</t>
        </is>
      </c>
      <c r="J526" s="43" t="inlineStr">
        <is>
          <t>low</t>
        </is>
      </c>
      <c r="K526" s="29" t="n">
        <v>1</v>
      </c>
      <c r="L526" s="44">
        <f>60*G526/cruise_kt</f>
        <v/>
      </c>
      <c r="M526" s="44">
        <f>IF(B526="South Korea",G526/korea_charge_range_nm*korea_full_range_charge_min,0)</f>
        <v/>
      </c>
      <c r="N526" s="44">
        <f>IF(B526="South Korea",L526+korea_turn_min+korea_dwell_min+M526,L526+turn_min+dwell_min)</f>
        <v/>
      </c>
      <c r="O526" s="45">
        <f>IF(B526="South Korea",FLOOR(60*korea_service_hr/N526,1),MIN(15,FLOOR(60*service_hr/N526,1)))</f>
        <v/>
      </c>
      <c r="P526" s="45">
        <f>IF(ABS(MOD(ABS((365*mech_uptime*K526)),1)-0.5)&lt;1E-9,2*ROUND((365*mech_uptime*K526)/2,0),ROUND((365*mech_uptime*K526),0))</f>
        <v/>
      </c>
      <c r="Q526" s="46">
        <f>mech_uptime</f>
        <v/>
      </c>
      <c r="R526" s="46">
        <f>IF(AND(B526="South Korea",scenario="MID"),korea_mid_revleg,revleg_sel)</f>
        <v/>
      </c>
      <c r="S526" s="45">
        <f>IF(ABS(MOD(ABS((O526*P526*R526)),1)-0.5)&lt;1E-9,2*ROUND((O526*P526*R526)/2,0),ROUND((O526*P526*R526),0))</f>
        <v/>
      </c>
      <c r="T526" s="46">
        <f>IF(AND(B526="South Korea",scenario="MID"),korea_mid_load,load_sel)</f>
        <v/>
      </c>
      <c r="U526" s="47">
        <f>pax_cap*T526</f>
        <v/>
      </c>
      <c r="V526" s="45">
        <f>U526*S526</f>
        <v/>
      </c>
      <c r="W526" s="48">
        <f>H526*discount</f>
        <v/>
      </c>
      <c r="X526" s="49">
        <f>W526*V526</f>
        <v/>
      </c>
      <c r="Y526" s="49">
        <f>(battery/range_nm)*G526*S526*VLOOKUP(B526,country_opex,3,FALSE)</f>
        <v/>
      </c>
      <c r="Z526" s="49">
        <f>VLOOKUP(B526,country_opex,2,FALSE)*crew_factor</f>
        <v/>
      </c>
      <c r="AA526" s="49">
        <f>VLOOKUP(B526,country_opex,5,FALSE)</f>
        <v/>
      </c>
      <c r="AB526" s="49">
        <f>maint</f>
        <v/>
      </c>
      <c r="AC526" s="49">
        <f>VLOOKUP(B526,country_opex,7,FALSE)*ins_pct</f>
        <v/>
      </c>
      <c r="AD526" s="49">
        <f>charge_berth</f>
        <v/>
      </c>
      <c r="AE526" s="49">
        <f>Y526+Z526+AA526+AB526+AC526+AD526</f>
        <v/>
      </c>
      <c r="AF526" s="49">
        <f>VLOOKUP(B526,country_opex,7,FALSE)/dep_years</f>
        <v/>
      </c>
      <c r="AG526" s="49">
        <f>X526-AE526</f>
        <v/>
      </c>
      <c r="AH526" s="46">
        <f>IF(X526=0,"",AG526/X526)</f>
        <v/>
      </c>
      <c r="AI526" s="47">
        <f>IF(AG526&lt;=0,"",VLOOKUP(B526,country_opex,7,FALSE)/AG526)</f>
        <v/>
      </c>
      <c r="AJ526" s="44">
        <f>((G526*S526/diesel_nmpg)*diesel_co2pg-(battery/range_nm)*G526*S526*VLOOKUP(B526,country_opex,4,FALSE))/1000</f>
        <v/>
      </c>
      <c r="AK526" s="42" t="n">
        <v>134248</v>
      </c>
      <c r="AL526" s="43" t="inlineStr">
        <is>
          <t>T1</t>
        </is>
      </c>
      <c r="AM526" s="43" t="inlineStr">
        <is>
          <t>high</t>
        </is>
      </c>
      <c r="AN526" s="50" t="n">
        <v>0.1</v>
      </c>
      <c r="AO526" s="45">
        <f>IF(AK526="","",AK526*AN526)</f>
        <v/>
      </c>
      <c r="AP526" s="45">
        <f>IF(OR(AK526="",V526=0),"",MIN(IF(AX526="",9.9E+99,AX526),FLOOR(AO526/V526,1)))</f>
        <v/>
      </c>
      <c r="AQ526" s="49">
        <f>IF(AP526="","",AP526*IF(ABS(MOD(ABS((X526)),1)-0.5)&lt;1E-9,2*ROUND((X526)/2,0),ROUND((X526),0)))</f>
        <v/>
      </c>
      <c r="AR526" s="47">
        <f>IF(OR(AK526="",V526=0),"",MIN(IF(AX526="",9.9E+99,AX526),AO526/V526))</f>
        <v/>
      </c>
      <c r="AS526" s="49">
        <f>IF(AR526="","",AR526*IF(B526="South Korea",IF(ABS(MOD(ABS((X526)),1)-0.5)&lt;1E-9,2*ROUND((X526)/2,0),ROUND((X526),0)),X526))</f>
        <v/>
      </c>
      <c r="AT526" s="51" t="n"/>
      <c r="AU526" s="43" t="inlineStr">
        <is>
          <t>Grounded</t>
        </is>
      </c>
      <c r="AV526" s="52" t="n"/>
      <c r="AW526" s="52" t="n"/>
      <c r="AX526" s="53" t="n"/>
      <c r="AY526" s="54">
        <f>IF(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&lt;=0,"",VLOOKUP(B526,country_opex,7,FALSE)/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)</f>
        <v/>
      </c>
      <c r="AZ526" s="54">
        <f>IF(((W526*pax_cap*IF(B526="South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Korea",korea_mid_revleg,revleg_mid)),0))*VLOOKUP(B526,country_opex,3,FALSE))+Z526+AA526+AB526+AC526+AD526))&lt;=0,"",VLOOKUP(B526,country_opex,7,FALSE)/((W526*pax_cap*IF(B526="South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Korea",korea_mid_revleg,revleg_mid)),0))*VLOOKUP(B526,country_opex,3,FALSE))+Z526+AA526+AB526+AC526+AD526)))</f>
        <v/>
      </c>
      <c r="BA526" s="54">
        <f>IF(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&lt;=0,"",VLOOKUP(B526,country_opex,7,FALSE)/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)</f>
        <v/>
      </c>
      <c r="BB526" s="40" t="inlineStr">
        <is>
          <t>band_default</t>
        </is>
      </c>
      <c r="BC526" s="40" t="inlineStr">
        <is>
          <t>KOMSA Tongyeong district coastal 2025</t>
        </is>
      </c>
      <c r="BD526" s="43" t="inlineStr">
        <is>
          <t>rn-ba28d38bee02</t>
        </is>
      </c>
    </row>
    <row r="527">
      <c r="A527" s="38" t="inlineStr">
        <is>
          <t>Korea Kakao Mobility</t>
        </is>
      </c>
      <c r="B527" s="38" t="inlineStr">
        <is>
          <t>South Korea</t>
        </is>
      </c>
      <c r="C527" s="39" t="inlineStr">
        <is>
          <t>Busan Coastal Ferry Terminal (Yeonan Yeogaek — Jeju line) → Yokjido Island ferry pier</t>
        </is>
      </c>
      <c r="D527" s="38" t="inlineStr">
        <is>
          <t>kakao-mobility</t>
        </is>
      </c>
      <c r="E527" s="40" t="inlineStr">
        <is>
          <t>korea-kakao-mobility, korea-naver, korea-swing</t>
        </is>
      </c>
      <c r="F527" s="41" t="n">
        <v>3</v>
      </c>
      <c r="G527" s="42" t="n">
        <v>49</v>
      </c>
      <c r="H527" s="35" t="n">
        <v>6.14</v>
      </c>
      <c r="I527" s="43" t="inlineStr">
        <is>
          <t>T1</t>
        </is>
      </c>
      <c r="J527" s="43" t="inlineStr">
        <is>
          <t>high</t>
        </is>
      </c>
      <c r="K527" s="29" t="n">
        <v>1</v>
      </c>
      <c r="L527" s="44">
        <f>60*G527/cruise_kt</f>
        <v/>
      </c>
      <c r="M527" s="44">
        <f>IF(B527="South Korea",G527/korea_charge_range_nm*korea_full_range_charge_min,0)</f>
        <v/>
      </c>
      <c r="N527" s="44">
        <f>IF(B527="South Korea",L527+korea_turn_min+korea_dwell_min+M527,L527+turn_min+dwell_min)</f>
        <v/>
      </c>
      <c r="O527" s="45">
        <f>IF(B527="South Korea",FLOOR(60*korea_service_hr/N527,1),MIN(15,FLOOR(60*service_hr/N527,1)))</f>
        <v/>
      </c>
      <c r="P527" s="45">
        <f>IF(ABS(MOD(ABS((365*mech_uptime*K527)),1)-0.5)&lt;1E-9,2*ROUND((365*mech_uptime*K527)/2,0),ROUND((365*mech_uptime*K527),0))</f>
        <v/>
      </c>
      <c r="Q527" s="46">
        <f>mech_uptime</f>
        <v/>
      </c>
      <c r="R527" s="46">
        <f>IF(AND(B527="South Korea",scenario="MID"),korea_mid_revleg,revleg_sel)</f>
        <v/>
      </c>
      <c r="S527" s="45">
        <f>IF(ABS(MOD(ABS((O527*P527*R527)),1)-0.5)&lt;1E-9,2*ROUND((O527*P527*R527)/2,0),ROUND((O527*P527*R527),0))</f>
        <v/>
      </c>
      <c r="T527" s="46">
        <f>IF(AND(B527="South Korea",scenario="MID"),korea_mid_load,load_sel)</f>
        <v/>
      </c>
      <c r="U527" s="47">
        <f>pax_cap*T527</f>
        <v/>
      </c>
      <c r="V527" s="45">
        <f>U527*S527</f>
        <v/>
      </c>
      <c r="W527" s="48">
        <f>H527*discount</f>
        <v/>
      </c>
      <c r="X527" s="49">
        <f>W527*V527</f>
        <v/>
      </c>
      <c r="Y527" s="49">
        <f>(battery/range_nm)*G527*S527*VLOOKUP(B527,country_opex,3,FALSE)</f>
        <v/>
      </c>
      <c r="Z527" s="49">
        <f>VLOOKUP(B527,country_opex,2,FALSE)*crew_factor</f>
        <v/>
      </c>
      <c r="AA527" s="49">
        <f>VLOOKUP(B527,country_opex,5,FALSE)</f>
        <v/>
      </c>
      <c r="AB527" s="49">
        <f>maint</f>
        <v/>
      </c>
      <c r="AC527" s="49">
        <f>VLOOKUP(B527,country_opex,7,FALSE)*ins_pct</f>
        <v/>
      </c>
      <c r="AD527" s="49">
        <f>charge_berth</f>
        <v/>
      </c>
      <c r="AE527" s="49">
        <f>Y527+Z527+AA527+AB527+AC527+AD527</f>
        <v/>
      </c>
      <c r="AF527" s="49">
        <f>VLOOKUP(B527,country_opex,7,FALSE)/dep_years</f>
        <v/>
      </c>
      <c r="AG527" s="49">
        <f>X527-AE527</f>
        <v/>
      </c>
      <c r="AH527" s="46">
        <f>IF(X527=0,"",AG527/X527)</f>
        <v/>
      </c>
      <c r="AI527" s="47">
        <f>IF(AG527&lt;=0,"",VLOOKUP(B527,country_opex,7,FALSE)/AG527)</f>
        <v/>
      </c>
      <c r="AJ527" s="44">
        <f>((G527*S527/diesel_nmpg)*diesel_co2pg-(battery/range_nm)*G527*S527*VLOOKUP(B527,country_opex,4,FALSE))/1000</f>
        <v/>
      </c>
      <c r="AK527" s="42" t="n">
        <v>134248</v>
      </c>
      <c r="AL527" s="43" t="inlineStr">
        <is>
          <t>T1</t>
        </is>
      </c>
      <c r="AM527" s="43" t="inlineStr">
        <is>
          <t>high</t>
        </is>
      </c>
      <c r="AN527" s="50" t="n">
        <v>0.1</v>
      </c>
      <c r="AO527" s="45">
        <f>IF(AK527="","",AK527*AN527)</f>
        <v/>
      </c>
      <c r="AP527" s="45">
        <f>IF(OR(AK527="",V527=0),"",MIN(IF(AX527="",9.9E+99,AX527),FLOOR(AO527/V527,1)))</f>
        <v/>
      </c>
      <c r="AQ527" s="49">
        <f>IF(AP527="","",AP527*IF(ABS(MOD(ABS((X527)),1)-0.5)&lt;1E-9,2*ROUND((X527)/2,0),ROUND((X527),0)))</f>
        <v/>
      </c>
      <c r="AR527" s="47">
        <f>IF(OR(AK527="",V527=0),"",MIN(IF(AX527="",9.9E+99,AX527),AO527/V527))</f>
        <v/>
      </c>
      <c r="AS527" s="49">
        <f>IF(AR527="","",AR527*IF(B527="South Korea",IF(ABS(MOD(ABS((X527)),1)-0.5)&lt;1E-9,2*ROUND((X527)/2,0),ROUND((X527),0)),X527))</f>
        <v/>
      </c>
      <c r="AT527" s="51" t="n"/>
      <c r="AU527" s="43" t="inlineStr">
        <is>
          <t>Grounded</t>
        </is>
      </c>
      <c r="AV527" s="52" t="n"/>
      <c r="AW527" s="52" t="n"/>
      <c r="AX527" s="53" t="n"/>
      <c r="AY527" s="54">
        <f>IF(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&lt;=0,"",VLOOKUP(B527,country_opex,7,FALSE)/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)</f>
        <v/>
      </c>
      <c r="AZ527" s="54">
        <f>IF(((W527*pax_cap*IF(B527="South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Korea",korea_mid_revleg,revleg_mid)),0))*VLOOKUP(B527,country_opex,3,FALSE))+Z527+AA527+AB527+AC527+AD527))&lt;=0,"",VLOOKUP(B527,country_opex,7,FALSE)/((W527*pax_cap*IF(B527="South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Korea",korea_mid_revleg,revleg_mid)),0))*VLOOKUP(B527,country_opex,3,FALSE))+Z527+AA527+AB527+AC527+AD527)))</f>
        <v/>
      </c>
      <c r="BA527" s="54">
        <f>IF(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&lt;=0,"",VLOOKUP(B527,country_opex,7,FALSE)/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)</f>
        <v/>
      </c>
      <c r="BB527" s="40" t="inlineStr">
        <is>
          <t>KOREA-L3-SOURCING</t>
        </is>
      </c>
      <c r="BC527" s="40" t="inlineStr">
        <is>
          <t>KOMSA Tongyeong district coastal 2025</t>
        </is>
      </c>
      <c r="BD527" s="43" t="inlineStr">
        <is>
          <t>rn-0bf2689ed1c9</t>
        </is>
      </c>
    </row>
    <row r="528">
      <c r="A528" s="38" t="inlineStr">
        <is>
          <t>Korea Kakao Mobility</t>
        </is>
      </c>
      <c r="B528" s="38" t="inlineStr">
        <is>
          <t>South Korea</t>
        </is>
      </c>
      <c r="C528" s="39" t="inlineStr">
        <is>
          <t>Busan Coastal Ferry Terminal (Yeonan Yeogaek — Jeju line) → Saryangdo Island ferry pier</t>
        </is>
      </c>
      <c r="D528" s="38" t="inlineStr">
        <is>
          <t>kakao-mobility</t>
        </is>
      </c>
      <c r="E528" s="40" t="inlineStr">
        <is>
          <t>korea-kakao-mobility, korea-naver, korea-swing</t>
        </is>
      </c>
      <c r="F528" s="41" t="n">
        <v>3</v>
      </c>
      <c r="G528" s="42" t="n">
        <v>54.8</v>
      </c>
      <c r="H528" s="35" t="n">
        <v>18</v>
      </c>
      <c r="I528" s="43" t="inlineStr">
        <is>
          <t>T1</t>
        </is>
      </c>
      <c r="J528" s="43" t="inlineStr">
        <is>
          <t>high</t>
        </is>
      </c>
      <c r="K528" s="29" t="n">
        <v>1</v>
      </c>
      <c r="L528" s="44">
        <f>60*G528/cruise_kt</f>
        <v/>
      </c>
      <c r="M528" s="44">
        <f>IF(B528="South Korea",G528/korea_charge_range_nm*korea_full_range_charge_min,0)</f>
        <v/>
      </c>
      <c r="N528" s="44">
        <f>IF(B528="South Korea",L528+korea_turn_min+korea_dwell_min+M528,L528+turn_min+dwell_min)</f>
        <v/>
      </c>
      <c r="O528" s="45">
        <f>IF(B528="South Korea",FLOOR(60*korea_service_hr/N528,1),MIN(15,FLOOR(60*service_hr/N528,1)))</f>
        <v/>
      </c>
      <c r="P528" s="45">
        <f>IF(ABS(MOD(ABS((365*mech_uptime*K528)),1)-0.5)&lt;1E-9,2*ROUND((365*mech_uptime*K528)/2,0),ROUND((365*mech_uptime*K528),0))</f>
        <v/>
      </c>
      <c r="Q528" s="46">
        <f>mech_uptime</f>
        <v/>
      </c>
      <c r="R528" s="46">
        <f>IF(AND(B528="South Korea",scenario="MID"),korea_mid_revleg,revleg_sel)</f>
        <v/>
      </c>
      <c r="S528" s="45">
        <f>IF(ABS(MOD(ABS((O528*P528*R528)),1)-0.5)&lt;1E-9,2*ROUND((O528*P528*R528)/2,0),ROUND((O528*P528*R528),0))</f>
        <v/>
      </c>
      <c r="T528" s="46">
        <f>IF(AND(B528="South Korea",scenario="MID"),korea_mid_load,load_sel)</f>
        <v/>
      </c>
      <c r="U528" s="47">
        <f>pax_cap*T528</f>
        <v/>
      </c>
      <c r="V528" s="45">
        <f>U528*S528</f>
        <v/>
      </c>
      <c r="W528" s="48">
        <f>H528*discount</f>
        <v/>
      </c>
      <c r="X528" s="49">
        <f>W528*V528</f>
        <v/>
      </c>
      <c r="Y528" s="49">
        <f>(battery/range_nm)*G528*S528*VLOOKUP(B528,country_opex,3,FALSE)</f>
        <v/>
      </c>
      <c r="Z528" s="49">
        <f>VLOOKUP(B528,country_opex,2,FALSE)*crew_factor</f>
        <v/>
      </c>
      <c r="AA528" s="49">
        <f>VLOOKUP(B528,country_opex,5,FALSE)</f>
        <v/>
      </c>
      <c r="AB528" s="49">
        <f>maint</f>
        <v/>
      </c>
      <c r="AC528" s="49">
        <f>VLOOKUP(B528,country_opex,7,FALSE)*ins_pct</f>
        <v/>
      </c>
      <c r="AD528" s="49">
        <f>charge_berth</f>
        <v/>
      </c>
      <c r="AE528" s="49">
        <f>Y528+Z528+AA528+AB528+AC528+AD528</f>
        <v/>
      </c>
      <c r="AF528" s="49">
        <f>VLOOKUP(B528,country_opex,7,FALSE)/dep_years</f>
        <v/>
      </c>
      <c r="AG528" s="49">
        <f>X528-AE528</f>
        <v/>
      </c>
      <c r="AH528" s="46">
        <f>IF(X528=0,"",AG528/X528)</f>
        <v/>
      </c>
      <c r="AI528" s="47">
        <f>IF(AG528&lt;=0,"",VLOOKUP(B528,country_opex,7,FALSE)/AG528)</f>
        <v/>
      </c>
      <c r="AJ528" s="44">
        <f>((G528*S528/diesel_nmpg)*diesel_co2pg-(battery/range_nm)*G528*S528*VLOOKUP(B528,country_opex,4,FALSE))/1000</f>
        <v/>
      </c>
      <c r="AK528" s="42" t="n">
        <v>134248</v>
      </c>
      <c r="AL528" s="43" t="inlineStr">
        <is>
          <t>T1</t>
        </is>
      </c>
      <c r="AM528" s="43" t="inlineStr">
        <is>
          <t>high</t>
        </is>
      </c>
      <c r="AN528" s="50" t="n">
        <v>0.1</v>
      </c>
      <c r="AO528" s="45">
        <f>IF(AK528="","",AK528*AN528)</f>
        <v/>
      </c>
      <c r="AP528" s="45">
        <f>IF(OR(AK528="",V528=0),"",MIN(IF(AX528="",9.9E+99,AX528),FLOOR(AO528/V528,1)))</f>
        <v/>
      </c>
      <c r="AQ528" s="49">
        <f>IF(AP528="","",AP528*IF(ABS(MOD(ABS((X528)),1)-0.5)&lt;1E-9,2*ROUND((X528)/2,0),ROUND((X528),0)))</f>
        <v/>
      </c>
      <c r="AR528" s="47">
        <f>IF(OR(AK528="",V528=0),"",MIN(IF(AX528="",9.9E+99,AX528),AO528/V528))</f>
        <v/>
      </c>
      <c r="AS528" s="49">
        <f>IF(AR528="","",AR528*IF(B528="South Korea",IF(ABS(MOD(ABS((X528)),1)-0.5)&lt;1E-9,2*ROUND((X528)/2,0),ROUND((X528),0)),X528))</f>
        <v/>
      </c>
      <c r="AT528" s="51" t="n"/>
      <c r="AU528" s="43" t="inlineStr">
        <is>
          <t>Grounded</t>
        </is>
      </c>
      <c r="AV528" s="52" t="n"/>
      <c r="AW528" s="52" t="n"/>
      <c r="AX528" s="53" t="n"/>
      <c r="AY528" s="54">
        <f>IF(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&lt;=0,"",VLOOKUP(B528,country_opex,7,FALSE)/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)</f>
        <v/>
      </c>
      <c r="AZ528" s="54">
        <f>IF(((W528*pax_cap*IF(B528="South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Korea",korea_mid_revleg,revleg_mid)),0))*VLOOKUP(B528,country_opex,3,FALSE))+Z528+AA528+AB528+AC528+AD528))&lt;=0,"",VLOOKUP(B528,country_opex,7,FALSE)/((W528*pax_cap*IF(B528="South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Korea",korea_mid_revleg,revleg_mid)),0))*VLOOKUP(B528,country_opex,3,FALSE))+Z528+AA528+AB528+AC528+AD528)))</f>
        <v/>
      </c>
      <c r="BA528" s="54">
        <f>IF(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&lt;=0,"",VLOOKUP(B528,country_opex,7,FALSE)/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)</f>
        <v/>
      </c>
      <c r="BB528" s="40" t="inlineStr">
        <is>
          <t>[LB-255 PREMIUM RE-FARE: subsidized comparable $5.57 lifted to premium on-demand floor $18.0] KOREA-L3-SOURCING</t>
        </is>
      </c>
      <c r="BC528" s="40" t="inlineStr">
        <is>
          <t>KOMSA Tongyeong district coastal 2025</t>
        </is>
      </c>
      <c r="BD528" s="43" t="inlineStr">
        <is>
          <t>rn-fd62bdd18267</t>
        </is>
      </c>
    </row>
    <row r="529">
      <c r="A529" s="38" t="inlineStr">
        <is>
          <t>Bolt Spain</t>
        </is>
      </c>
      <c r="B529" s="38" t="inlineStr">
        <is>
          <t>Spain</t>
        </is>
      </c>
      <c r="C529" s="39" t="inlineStr">
        <is>
          <t>L'Estartit → Illes Medes</t>
        </is>
      </c>
      <c r="D529" s="38" t="inlineStr">
        <is>
          <t>bolt</t>
        </is>
      </c>
      <c r="E529" s="40" t="inlineStr">
        <is>
          <t>bolt-spain</t>
        </is>
      </c>
      <c r="F529" s="41" t="n">
        <v>1</v>
      </c>
      <c r="G529" s="42" t="n">
        <v>0.8</v>
      </c>
      <c r="H529" s="35" t="n">
        <v>27</v>
      </c>
      <c r="I529" s="43" t="inlineStr">
        <is>
          <t>T2</t>
        </is>
      </c>
      <c r="J529" s="43" t="inlineStr">
        <is>
          <t>med</t>
        </is>
      </c>
      <c r="K529" s="29" t="n">
        <v>1</v>
      </c>
      <c r="L529" s="44">
        <f>60*G529/cruise_kt</f>
        <v/>
      </c>
      <c r="M529" s="44">
        <f>IF(B529="South Korea",G529/korea_charge_range_nm*korea_full_range_charge_min,0)</f>
        <v/>
      </c>
      <c r="N529" s="44">
        <f>IF(B529="South Korea",L529+korea_turn_min+korea_dwell_min+M529,L529+turn_min+dwell_min)</f>
        <v/>
      </c>
      <c r="O529" s="45">
        <f>IF(B529="South Korea",FLOOR(60*korea_service_hr/N529,1),MIN(15,FLOOR(60*service_hr/N529,1)))</f>
        <v/>
      </c>
      <c r="P529" s="45">
        <f>IF(ABS(MOD(ABS((365*mech_uptime*K529)),1)-0.5)&lt;1E-9,2*ROUND((365*mech_uptime*K529)/2,0),ROUND((365*mech_uptime*K529),0))</f>
        <v/>
      </c>
      <c r="Q529" s="46">
        <f>mech_uptime</f>
        <v/>
      </c>
      <c r="R529" s="46">
        <f>IF(AND(B529="South Korea",scenario="MID"),korea_mid_revleg,revleg_sel)</f>
        <v/>
      </c>
      <c r="S529" s="45">
        <f>IF(ABS(MOD(ABS((O529*P529*R529)),1)-0.5)&lt;1E-9,2*ROUND((O529*P529*R529)/2,0),ROUND((O529*P529*R529),0))</f>
        <v/>
      </c>
      <c r="T529" s="46">
        <f>IF(AND(B529="South Korea",scenario="MID"),korea_mid_load,load_sel)</f>
        <v/>
      </c>
      <c r="U529" s="47">
        <f>pax_cap*T529</f>
        <v/>
      </c>
      <c r="V529" s="45">
        <f>U529*S529</f>
        <v/>
      </c>
      <c r="W529" s="48">
        <f>H529*discount</f>
        <v/>
      </c>
      <c r="X529" s="49">
        <f>W529*V529</f>
        <v/>
      </c>
      <c r="Y529" s="49">
        <f>(battery/range_nm)*G529*S529*VLOOKUP(B529,country_opex,3,FALSE)</f>
        <v/>
      </c>
      <c r="Z529" s="49">
        <f>VLOOKUP(B529,country_opex,2,FALSE)*crew_factor</f>
        <v/>
      </c>
      <c r="AA529" s="49">
        <f>VLOOKUP(B529,country_opex,5,FALSE)</f>
        <v/>
      </c>
      <c r="AB529" s="49">
        <f>maint</f>
        <v/>
      </c>
      <c r="AC529" s="49">
        <f>VLOOKUP(B529,country_opex,7,FALSE)*ins_pct</f>
        <v/>
      </c>
      <c r="AD529" s="49">
        <f>charge_berth</f>
        <v/>
      </c>
      <c r="AE529" s="49">
        <f>Y529+Z529+AA529+AB529+AC529+AD529</f>
        <v/>
      </c>
      <c r="AF529" s="49">
        <f>VLOOKUP(B529,country_opex,7,FALSE)/dep_years</f>
        <v/>
      </c>
      <c r="AG529" s="49">
        <f>X529-AE529</f>
        <v/>
      </c>
      <c r="AH529" s="46">
        <f>IF(X529=0,"",AG529/X529)</f>
        <v/>
      </c>
      <c r="AI529" s="47">
        <f>IF(AG529&lt;=0,"",VLOOKUP(B529,country_opex,7,FALSE)/AG529)</f>
        <v/>
      </c>
      <c r="AJ529" s="44">
        <f>((G529*S529/diesel_nmpg)*diesel_co2pg-(battery/range_nm)*G529*S529*VLOOKUP(B529,country_opex,4,FALSE))/1000</f>
        <v/>
      </c>
      <c r="AK529" s="42" t="n"/>
      <c r="AL529" s="43" t="n"/>
      <c r="AM529" s="43" t="n"/>
      <c r="AN529" s="50" t="n">
        <v>0.1</v>
      </c>
      <c r="AO529" s="45">
        <f>IF(AK529="","",AK529*AN529)</f>
        <v/>
      </c>
      <c r="AP529" s="45">
        <f>IF(OR(AK529="",V529=0),"",MIN(IF(AX529="",9.9E+99,AX529),FLOOR(AO529/V529,1)))</f>
        <v/>
      </c>
      <c r="AQ529" s="49">
        <f>IF(AP529="","",AP529*IF(ABS(MOD(ABS((X529)),1)-0.5)&lt;1E-9,2*ROUND((X529)/2,0),ROUND((X529),0)))</f>
        <v/>
      </c>
      <c r="AR529" s="47">
        <f>IF(OR(AK529="",V529=0),"",MIN(IF(AX529="",9.9E+99,AX529),AO529/V529))</f>
        <v/>
      </c>
      <c r="AS529" s="49">
        <f>IF(AR529="","",AR529*IF(B529="South Korea",IF(ABS(MOD(ABS((X529)),1)-0.5)&lt;1E-9,2*ROUND((X529)/2,0),ROUND((X529),0)),X529))</f>
        <v/>
      </c>
      <c r="AT529" s="51" t="n"/>
      <c r="AU529" s="43" t="inlineStr">
        <is>
          <t>Estimated</t>
        </is>
      </c>
      <c r="AV529" s="52" t="n"/>
      <c r="AW529" s="52" t="n"/>
      <c r="AX529" s="53" t="n"/>
      <c r="AY529" s="54">
        <f>IF(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&lt;=0,"",VLOOKUP(B529,country_opex,7,FALSE)/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)</f>
        <v/>
      </c>
      <c r="AZ529" s="54">
        <f>IF(((W529*pax_cap*IF(B529="South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Korea",korea_mid_revleg,revleg_mid)),0))*VLOOKUP(B529,country_opex,3,FALSE))+Z529+AA529+AB529+AC529+AD529))&lt;=0,"",VLOOKUP(B529,country_opex,7,FALSE)/((W529*pax_cap*IF(B529="South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Korea",korea_mid_revleg,revleg_mid)),0))*VLOOKUP(B529,country_opex,3,FALSE))+Z529+AA529+AB529+AC529+AD529)))</f>
        <v/>
      </c>
      <c r="BA529" s="54">
        <f>IF(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&lt;=0,"",VLOOKUP(B529,country_opex,7,FALSE)/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)</f>
        <v/>
      </c>
      <c r="BB529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C529" s="40" t="n"/>
      <c r="BD529" s="43" t="n"/>
    </row>
    <row r="530">
      <c r="A530" s="38" t="inlineStr">
        <is>
          <t>Bolt Spain</t>
        </is>
      </c>
      <c r="B530" s="38" t="inlineStr">
        <is>
          <t>Spain</t>
        </is>
      </c>
      <c r="C530" s="39" t="inlineStr">
        <is>
          <t>Marbella → Puerto Banús</t>
        </is>
      </c>
      <c r="D530" s="38" t="inlineStr">
        <is>
          <t>bolt</t>
        </is>
      </c>
      <c r="E530" s="40" t="inlineStr">
        <is>
          <t>bolt-spain</t>
        </is>
      </c>
      <c r="F530" s="41" t="n">
        <v>1</v>
      </c>
      <c r="G530" s="42" t="n">
        <v>3.5</v>
      </c>
      <c r="H530" s="35" t="n">
        <v>11.9</v>
      </c>
      <c r="I530" s="43" t="inlineStr">
        <is>
          <t>T2</t>
        </is>
      </c>
      <c r="J530" s="43" t="inlineStr">
        <is>
          <t>med</t>
        </is>
      </c>
      <c r="K530" s="29" t="n">
        <v>1</v>
      </c>
      <c r="L530" s="44">
        <f>60*G530/cruise_kt</f>
        <v/>
      </c>
      <c r="M530" s="44">
        <f>IF(B530="South Korea",G530/korea_charge_range_nm*korea_full_range_charge_min,0)</f>
        <v/>
      </c>
      <c r="N530" s="44">
        <f>IF(B530="South Korea",L530+korea_turn_min+korea_dwell_min+M530,L530+turn_min+dwell_min)</f>
        <v/>
      </c>
      <c r="O530" s="45">
        <f>IF(B530="South Korea",FLOOR(60*korea_service_hr/N530,1),MIN(24,FLOOR(60*service_hr/N530,1)))</f>
        <v/>
      </c>
      <c r="P530" s="45">
        <f>IF(ABS(MOD(ABS((365*mech_uptime*K530)),1)-0.5)&lt;1E-9,2*ROUND((365*mech_uptime*K530)/2,0),ROUND((365*mech_uptime*K530),0))</f>
        <v/>
      </c>
      <c r="Q530" s="46">
        <f>mech_uptime</f>
        <v/>
      </c>
      <c r="R530" s="46">
        <f>IF(AND(B530="South Korea",scenario="MID"),korea_mid_revleg,revleg_sel)</f>
        <v/>
      </c>
      <c r="S530" s="45">
        <f>IF(ABS(MOD(ABS((O530*P530*R530)),1)-0.5)&lt;1E-9,2*ROUND((O530*P530*R530)/2,0),ROUND((O530*P530*R530),0))</f>
        <v/>
      </c>
      <c r="T530" s="46">
        <f>IF(AND(B530="South Korea",scenario="MID"),korea_mid_load,load_sel)</f>
        <v/>
      </c>
      <c r="U530" s="47">
        <f>pax_cap*T530</f>
        <v/>
      </c>
      <c r="V530" s="45">
        <f>U530*S530</f>
        <v/>
      </c>
      <c r="W530" s="48">
        <f>H530*discount</f>
        <v/>
      </c>
      <c r="X530" s="49">
        <f>W530*V530</f>
        <v/>
      </c>
      <c r="Y530" s="49">
        <f>(battery/range_nm)*G530*S530*VLOOKUP(B530,country_opex,3,FALSE)</f>
        <v/>
      </c>
      <c r="Z530" s="49">
        <f>VLOOKUP(B530,country_opex,2,FALSE)*crew_factor</f>
        <v/>
      </c>
      <c r="AA530" s="49">
        <f>VLOOKUP(B530,country_opex,5,FALSE)</f>
        <v/>
      </c>
      <c r="AB530" s="49">
        <f>maint</f>
        <v/>
      </c>
      <c r="AC530" s="49">
        <f>VLOOKUP(B530,country_opex,7,FALSE)*ins_pct</f>
        <v/>
      </c>
      <c r="AD530" s="49">
        <f>charge_berth</f>
        <v/>
      </c>
      <c r="AE530" s="49">
        <f>Y530+Z530+AA530+AB530+AC530+AD530</f>
        <v/>
      </c>
      <c r="AF530" s="49">
        <f>VLOOKUP(B530,country_opex,7,FALSE)/dep_years</f>
        <v/>
      </c>
      <c r="AG530" s="49">
        <f>X530-AE530</f>
        <v/>
      </c>
      <c r="AH530" s="46">
        <f>IF(X530=0,"",AG530/X530)</f>
        <v/>
      </c>
      <c r="AI530" s="47">
        <f>IF(AG530&lt;=0,"",VLOOKUP(B530,country_opex,7,FALSE)/AG530)</f>
        <v/>
      </c>
      <c r="AJ530" s="44">
        <f>((G530*S530/diesel_nmpg)*diesel_co2pg-(battery/range_nm)*G530*S530*VLOOKUP(B530,country_opex,4,FALSE))/1000</f>
        <v/>
      </c>
      <c r="AK530" s="42" t="n">
        <v>36000</v>
      </c>
      <c r="AL530" s="43" t="n"/>
      <c r="AM530" s="43" t="n"/>
      <c r="AN530" s="50" t="n">
        <v>0.1</v>
      </c>
      <c r="AO530" s="45">
        <f>IF(AK530="","",AK530*AN530)</f>
        <v/>
      </c>
      <c r="AP530" s="45">
        <f>IF(OR(AK530="",V530=0),"",MIN(IF(AX530="",9.9E+99,AX530),FLOOR(AO530/V530,1)))</f>
        <v/>
      </c>
      <c r="AQ530" s="49">
        <f>IF(AP530="","",AP530*IF(ABS(MOD(ABS((X530)),1)-0.5)&lt;1E-9,2*ROUND((X530)/2,0),ROUND((X530),0)))</f>
        <v/>
      </c>
      <c r="AR530" s="47">
        <f>IF(OR(AK530="",V530=0),"",MIN(IF(AX530="",9.9E+99,AX530),AO530/V530))</f>
        <v/>
      </c>
      <c r="AS530" s="49">
        <f>IF(AR530="","",AR530*IF(B530="South Korea",IF(ABS(MOD(ABS((X530)),1)-0.5)&lt;1E-9,2*ROUND((X530)/2,0),ROUND((X530),0)),X530))</f>
        <v/>
      </c>
      <c r="AT530" s="51" t="n"/>
      <c r="AU530" s="43" t="inlineStr">
        <is>
          <t>Estimated</t>
        </is>
      </c>
      <c r="AV530" s="52" t="n"/>
      <c r="AW530" s="52" t="n"/>
      <c r="AX530" s="53" t="n"/>
      <c r="AY530" s="54">
        <f>IF(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&lt;=0,"",VLOOKUP(B530,country_opex,7,FALSE)/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)</f>
        <v/>
      </c>
      <c r="AZ530" s="54">
        <f>IF(((W530*pax_cap*IF(B530="South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Korea",korea_mid_revleg,revleg_mid)),0))*VLOOKUP(B530,country_opex,3,FALSE))+Z530+AA530+AB530+AC530+AD530))&lt;=0,"",VLOOKUP(B530,country_opex,7,FALSE)/((W530*pax_cap*IF(B530="South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Korea",korea_mid_revleg,revleg_mid)),0))*VLOOKUP(B530,country_opex,3,FALSE))+Z530+AA530+AB530+AC530+AD530)))</f>
        <v/>
      </c>
      <c r="BA530" s="54">
        <f>IF(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&lt;=0,"",VLOOKUP(B530,country_opex,7,FALSE)/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)</f>
        <v/>
      </c>
      <c r="BB530" s="40" t="inlineStr">
        <is>
          <t>PREMIUM tier: Fly Blue catamaran Marbella&lt;-&gt;Puerto Banús ~EUR 11 one-way (traveller reports EUR 11 one-way; ~30 min) x 1.08 = ~$11.9. Short hop, inexpensive premium tier.</t>
        </is>
      </c>
      <c r="BC530" s="40" t="n"/>
      <c r="BD530" s="43" t="n"/>
    </row>
    <row r="531">
      <c r="A531" s="38" t="inlineStr">
        <is>
          <t>Bolt Spain</t>
        </is>
      </c>
      <c r="B531" s="38" t="inlineStr">
        <is>
          <t>Spain</t>
        </is>
      </c>
      <c r="C531" s="39" t="inlineStr">
        <is>
          <t>Lloret de Mar → Tossa de Mar</t>
        </is>
      </c>
      <c r="D531" s="38" t="inlineStr">
        <is>
          <t>bolt</t>
        </is>
      </c>
      <c r="E531" s="40" t="inlineStr">
        <is>
          <t>bolt-spain</t>
        </is>
      </c>
      <c r="F531" s="41" t="n">
        <v>1</v>
      </c>
      <c r="G531" s="42" t="n">
        <v>4</v>
      </c>
      <c r="H531" s="35" t="n">
        <v>20</v>
      </c>
      <c r="I531" s="43" t="inlineStr">
        <is>
          <t>T2</t>
        </is>
      </c>
      <c r="J531" s="43" t="inlineStr">
        <is>
          <t>med</t>
        </is>
      </c>
      <c r="K531" s="29" t="n">
        <v>1</v>
      </c>
      <c r="L531" s="44">
        <f>60*G531/cruise_kt</f>
        <v/>
      </c>
      <c r="M531" s="44">
        <f>IF(B531="South Korea",G531/korea_charge_range_nm*korea_full_range_charge_min,0)</f>
        <v/>
      </c>
      <c r="N531" s="44">
        <f>IF(B531="South Korea",L531+korea_turn_min+korea_dwell_min+M531,L531+turn_min+dwell_min)</f>
        <v/>
      </c>
      <c r="O531" s="45">
        <f>IF(B531="South Korea",FLOOR(60*korea_service_hr/N531,1),MIN(24,FLOOR(60*service_hr/N531,1)))</f>
        <v/>
      </c>
      <c r="P531" s="45">
        <f>IF(ABS(MOD(ABS((365*mech_uptime*K531)),1)-0.5)&lt;1E-9,2*ROUND((365*mech_uptime*K531)/2,0),ROUND((365*mech_uptime*K531),0))</f>
        <v/>
      </c>
      <c r="Q531" s="46">
        <f>mech_uptime</f>
        <v/>
      </c>
      <c r="R531" s="46">
        <f>IF(AND(B531="South Korea",scenario="MID"),korea_mid_revleg,revleg_sel)</f>
        <v/>
      </c>
      <c r="S531" s="45">
        <f>IF(ABS(MOD(ABS((O531*P531*R531)),1)-0.5)&lt;1E-9,2*ROUND((O531*P531*R531)/2,0),ROUND((O531*P531*R531),0))</f>
        <v/>
      </c>
      <c r="T531" s="46">
        <f>IF(AND(B531="South Korea",scenario="MID"),korea_mid_load,load_sel)</f>
        <v/>
      </c>
      <c r="U531" s="47">
        <f>pax_cap*T531</f>
        <v/>
      </c>
      <c r="V531" s="45">
        <f>U531*S531</f>
        <v/>
      </c>
      <c r="W531" s="48">
        <f>H531*discount</f>
        <v/>
      </c>
      <c r="X531" s="49">
        <f>W531*V531</f>
        <v/>
      </c>
      <c r="Y531" s="49">
        <f>(battery/range_nm)*G531*S531*VLOOKUP(B531,country_opex,3,FALSE)</f>
        <v/>
      </c>
      <c r="Z531" s="49">
        <f>VLOOKUP(B531,country_opex,2,FALSE)*crew_factor</f>
        <v/>
      </c>
      <c r="AA531" s="49">
        <f>VLOOKUP(B531,country_opex,5,FALSE)</f>
        <v/>
      </c>
      <c r="AB531" s="49">
        <f>maint</f>
        <v/>
      </c>
      <c r="AC531" s="49">
        <f>VLOOKUP(B531,country_opex,7,FALSE)*ins_pct</f>
        <v/>
      </c>
      <c r="AD531" s="49">
        <f>charge_berth</f>
        <v/>
      </c>
      <c r="AE531" s="49">
        <f>Y531+Z531+AA531+AB531+AC531+AD531</f>
        <v/>
      </c>
      <c r="AF531" s="49">
        <f>VLOOKUP(B531,country_opex,7,FALSE)/dep_years</f>
        <v/>
      </c>
      <c r="AG531" s="49">
        <f>X531-AE531</f>
        <v/>
      </c>
      <c r="AH531" s="46">
        <f>IF(X531=0,"",AG531/X531)</f>
        <v/>
      </c>
      <c r="AI531" s="47">
        <f>IF(AG531&lt;=0,"",VLOOKUP(B531,country_opex,7,FALSE)/AG531)</f>
        <v/>
      </c>
      <c r="AJ531" s="44">
        <f>((G531*S531/diesel_nmpg)*diesel_co2pg-(battery/range_nm)*G531*S531*VLOOKUP(B531,country_opex,4,FALSE))/1000</f>
        <v/>
      </c>
      <c r="AK531" s="42" t="n">
        <v>112000</v>
      </c>
      <c r="AL531" s="43" t="n"/>
      <c r="AM531" s="43" t="n"/>
      <c r="AN531" s="50" t="n">
        <v>0.1</v>
      </c>
      <c r="AO531" s="45">
        <f>IF(AK531="","",AK531*AN531)</f>
        <v/>
      </c>
      <c r="AP531" s="45">
        <f>IF(OR(AK531="",V531=0),"",MIN(IF(AX531="",9.9E+99,AX531),FLOOR(AO531/V531,1)))</f>
        <v/>
      </c>
      <c r="AQ531" s="49">
        <f>IF(AP531="","",AP531*IF(ABS(MOD(ABS((X531)),1)-0.5)&lt;1E-9,2*ROUND((X531)/2,0),ROUND((X531),0)))</f>
        <v/>
      </c>
      <c r="AR531" s="47">
        <f>IF(OR(AK531="",V531=0),"",MIN(IF(AX531="",9.9E+99,AX531),AO531/V531))</f>
        <v/>
      </c>
      <c r="AS531" s="49">
        <f>IF(AR531="","",AR531*IF(B531="South Korea",IF(ABS(MOD(ABS((X531)),1)-0.5)&lt;1E-9,2*ROUND((X531)/2,0),ROUND((X531),0)),X531))</f>
        <v/>
      </c>
      <c r="AT531" s="51" t="n"/>
      <c r="AU531" s="43" t="inlineStr">
        <is>
          <t>Estimated</t>
        </is>
      </c>
      <c r="AV531" s="52" t="n"/>
      <c r="AW531" s="52" t="n"/>
      <c r="AX531" s="53" t="n"/>
      <c r="AY531" s="54">
        <f>IF(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&lt;=0,"",VLOOKUP(B531,country_opex,7,FALSE)/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)</f>
        <v/>
      </c>
      <c r="AZ531" s="54">
        <f>IF(((W531*pax_cap*IF(B531="South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Korea",korea_mid_revleg,revleg_mid)),0))*VLOOKUP(B531,country_opex,3,FALSE))+Z531+AA531+AB531+AC531+AD531))&lt;=0,"",VLOOKUP(B531,country_opex,7,FALSE)/((W531*pax_cap*IF(B531="South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Korea",korea_mid_revleg,revleg_mid)),0))*VLOOKUP(B531,country_opex,3,FALSE))+Z531+AA531+AB531+AC531+AD531)))</f>
        <v/>
      </c>
      <c r="BA531" s="54">
        <f>IF(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&lt;=0,"",VLOOKUP(B531,country_opex,7,FALSE)/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)</f>
        <v/>
      </c>
      <c r="BB531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C531" s="40" t="n"/>
      <c r="BD531" s="43" t="n"/>
    </row>
    <row r="532">
      <c r="A532" s="38" t="inlineStr">
        <is>
          <t>Bolt Spain</t>
        </is>
      </c>
      <c r="B532" s="38" t="inlineStr">
        <is>
          <t>Spain</t>
        </is>
      </c>
      <c r="C532" s="39" t="inlineStr">
        <is>
          <t>Port de Sóller (Mallorca) → Sa Calobra / Torrent de Pareis (Mallorca)</t>
        </is>
      </c>
      <c r="D532" s="38" t="inlineStr">
        <is>
          <t>bolt</t>
        </is>
      </c>
      <c r="E532" s="40" t="inlineStr">
        <is>
          <t>bolt-spain</t>
        </is>
      </c>
      <c r="F532" s="41" t="n">
        <v>1</v>
      </c>
      <c r="G532" s="42" t="n">
        <v>9</v>
      </c>
      <c r="H532" s="35" t="n">
        <v>24.8</v>
      </c>
      <c r="I532" s="43" t="inlineStr">
        <is>
          <t>T2</t>
        </is>
      </c>
      <c r="J532" s="43" t="inlineStr">
        <is>
          <t>med</t>
        </is>
      </c>
      <c r="K532" s="29" t="n">
        <v>1</v>
      </c>
      <c r="L532" s="44">
        <f>60*G532/cruise_kt</f>
        <v/>
      </c>
      <c r="M532" s="44">
        <f>IF(B532="South Korea",G532/korea_charge_range_nm*korea_full_range_charge_min,0)</f>
        <v/>
      </c>
      <c r="N532" s="44">
        <f>IF(B532="South Korea",L532+korea_turn_min+korea_dwell_min+M532,L532+turn_min+dwell_min)</f>
        <v/>
      </c>
      <c r="O532" s="45">
        <f>IF(B532="South Korea",FLOOR(60*korea_service_hr/N532,1),MIN(15,FLOOR(60*service_hr/N532,1)))</f>
        <v/>
      </c>
      <c r="P532" s="45">
        <f>IF(ABS(MOD(ABS((365*mech_uptime*K532)),1)-0.5)&lt;1E-9,2*ROUND((365*mech_uptime*K532)/2,0),ROUND((365*mech_uptime*K532),0))</f>
        <v/>
      </c>
      <c r="Q532" s="46">
        <f>mech_uptime</f>
        <v/>
      </c>
      <c r="R532" s="46">
        <f>IF(AND(B532="South Korea",scenario="MID"),korea_mid_revleg,revleg_sel)</f>
        <v/>
      </c>
      <c r="S532" s="45">
        <f>IF(ABS(MOD(ABS((O532*P532*R532)),1)-0.5)&lt;1E-9,2*ROUND((O532*P532*R532)/2,0),ROUND((O532*P532*R532),0))</f>
        <v/>
      </c>
      <c r="T532" s="46">
        <f>IF(AND(B532="South Korea",scenario="MID"),korea_mid_load,load_sel)</f>
        <v/>
      </c>
      <c r="U532" s="47">
        <f>pax_cap*T532</f>
        <v/>
      </c>
      <c r="V532" s="45">
        <f>U532*S532</f>
        <v/>
      </c>
      <c r="W532" s="48">
        <f>H532*discount</f>
        <v/>
      </c>
      <c r="X532" s="49">
        <f>W532*V532</f>
        <v/>
      </c>
      <c r="Y532" s="49">
        <f>(battery/range_nm)*G532*S532*VLOOKUP(B532,country_opex,3,FALSE)</f>
        <v/>
      </c>
      <c r="Z532" s="49">
        <f>VLOOKUP(B532,country_opex,2,FALSE)*crew_factor</f>
        <v/>
      </c>
      <c r="AA532" s="49">
        <f>VLOOKUP(B532,country_opex,5,FALSE)</f>
        <v/>
      </c>
      <c r="AB532" s="49">
        <f>maint</f>
        <v/>
      </c>
      <c r="AC532" s="49">
        <f>VLOOKUP(B532,country_opex,7,FALSE)*ins_pct</f>
        <v/>
      </c>
      <c r="AD532" s="49">
        <f>charge_berth</f>
        <v/>
      </c>
      <c r="AE532" s="49">
        <f>Y532+Z532+AA532+AB532+AC532+AD532</f>
        <v/>
      </c>
      <c r="AF532" s="49">
        <f>VLOOKUP(B532,country_opex,7,FALSE)/dep_years</f>
        <v/>
      </c>
      <c r="AG532" s="49">
        <f>X532-AE532</f>
        <v/>
      </c>
      <c r="AH532" s="46">
        <f>IF(X532=0,"",AG532/X532)</f>
        <v/>
      </c>
      <c r="AI532" s="47">
        <f>IF(AG532&lt;=0,"",VLOOKUP(B532,country_opex,7,FALSE)/AG532)</f>
        <v/>
      </c>
      <c r="AJ532" s="44">
        <f>((G532*S532/diesel_nmpg)*diesel_co2pg-(battery/range_nm)*G532*S532*VLOOKUP(B532,country_opex,4,FALSE))/1000</f>
        <v/>
      </c>
      <c r="AK532" s="42" t="n"/>
      <c r="AL532" s="43" t="n"/>
      <c r="AM532" s="43" t="n"/>
      <c r="AN532" s="50" t="n">
        <v>0.1</v>
      </c>
      <c r="AO532" s="45">
        <f>IF(AK532="","",AK532*AN532)</f>
        <v/>
      </c>
      <c r="AP532" s="45">
        <f>IF(OR(AK532="",V532=0),"",MIN(IF(AX532="",9.9E+99,AX532),FLOOR(AO532/V532,1)))</f>
        <v/>
      </c>
      <c r="AQ532" s="49">
        <f>IF(AP532="","",AP532*IF(ABS(MOD(ABS((X532)),1)-0.5)&lt;1E-9,2*ROUND((X532)/2,0),ROUND((X532),0)))</f>
        <v/>
      </c>
      <c r="AR532" s="47">
        <f>IF(OR(AK532="",V532=0),"",MIN(IF(AX532="",9.9E+99,AX532),AO532/V532))</f>
        <v/>
      </c>
      <c r="AS532" s="49">
        <f>IF(AR532="","",AR532*IF(B532="South Korea",IF(ABS(MOD(ABS((X532)),1)-0.5)&lt;1E-9,2*ROUND((X532)/2,0),ROUND((X532),0)),X532))</f>
        <v/>
      </c>
      <c r="AT532" s="51" t="n"/>
      <c r="AU532" s="43" t="inlineStr">
        <is>
          <t>Estimated</t>
        </is>
      </c>
      <c r="AV532" s="52" t="n"/>
      <c r="AW532" s="52" t="n"/>
      <c r="AX532" s="53" t="n"/>
      <c r="AY532" s="54">
        <f>IF(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&lt;=0,"",VLOOKUP(B532,country_opex,7,FALSE)/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)</f>
        <v/>
      </c>
      <c r="AZ532" s="54">
        <f>IF(((W532*pax_cap*IF(B532="South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Korea",korea_mid_revleg,revleg_mid)),0))*VLOOKUP(B532,country_opex,3,FALSE))+Z532+AA532+AB532+AC532+AD532))&lt;=0,"",VLOOKUP(B532,country_opex,7,FALSE)/((W532*pax_cap*IF(B532="South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Korea",korea_mid_revleg,revleg_mid)),0))*VLOOKUP(B532,country_opex,3,FALSE))+Z532+AA532+AB532+AC532+AD532)))</f>
        <v/>
      </c>
      <c r="BA532" s="54">
        <f>IF(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&lt;=0,"",VLOOKUP(B532,country_opex,7,FALSE)/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)</f>
        <v/>
      </c>
      <c r="BB532" s="40" t="inlineStr">
        <is>
          <t>PREMIUM tier: Barcos Azules Port de Sóller-&gt;Sa Calobra adult one-way (un trayecto) EUR 23 (2025/2026 tariff) x 1.08 = ~$24.8.</t>
        </is>
      </c>
      <c r="BC532" s="40" t="n"/>
      <c r="BD532" s="43" t="n"/>
    </row>
    <row r="533">
      <c r="A533" s="38" t="inlineStr">
        <is>
          <t>Bolt Spain</t>
        </is>
      </c>
      <c r="B533" s="38" t="inlineStr">
        <is>
          <t>Spain</t>
        </is>
      </c>
      <c r="C533" s="39" t="inlineStr">
        <is>
          <t>Ibiza Town (Eivissa) → Formentera (La Savina)</t>
        </is>
      </c>
      <c r="D533" s="38" t="inlineStr">
        <is>
          <t>bolt</t>
        </is>
      </c>
      <c r="E533" s="40" t="inlineStr">
        <is>
          <t>bolt-spain</t>
        </is>
      </c>
      <c r="F533" s="41" t="n">
        <v>1</v>
      </c>
      <c r="G533" s="42" t="n">
        <v>12</v>
      </c>
      <c r="H533" s="35" t="n">
        <v>28.6</v>
      </c>
      <c r="I533" s="43" t="inlineStr">
        <is>
          <t>T2</t>
        </is>
      </c>
      <c r="J533" s="43" t="inlineStr">
        <is>
          <t>med</t>
        </is>
      </c>
      <c r="K533" s="29" t="n">
        <v>1</v>
      </c>
      <c r="L533" s="44">
        <f>60*G533/cruise_kt</f>
        <v/>
      </c>
      <c r="M533" s="44">
        <f>IF(B533="South Korea",G533/korea_charge_range_nm*korea_full_range_charge_min,0)</f>
        <v/>
      </c>
      <c r="N533" s="44">
        <f>IF(B533="South Korea",L533+korea_turn_min+korea_dwell_min+M533,L533+turn_min+dwell_min)</f>
        <v/>
      </c>
      <c r="O533" s="45">
        <f>IF(B533="South Korea",FLOOR(60*korea_service_hr/N533,1),MIN(15,FLOOR(60*service_hr/N533,1)))</f>
        <v/>
      </c>
      <c r="P533" s="45">
        <f>IF(ABS(MOD(ABS((365*mech_uptime*K533)),1)-0.5)&lt;1E-9,2*ROUND((365*mech_uptime*K533)/2,0),ROUND((365*mech_uptime*K533),0))</f>
        <v/>
      </c>
      <c r="Q533" s="46">
        <f>mech_uptime</f>
        <v/>
      </c>
      <c r="R533" s="46">
        <f>IF(AND(B533="South Korea",scenario="MID"),korea_mid_revleg,revleg_sel)</f>
        <v/>
      </c>
      <c r="S533" s="45">
        <f>IF(ABS(MOD(ABS((O533*P533*R533)),1)-0.5)&lt;1E-9,2*ROUND((O533*P533*R533)/2,0),ROUND((O533*P533*R533),0))</f>
        <v/>
      </c>
      <c r="T533" s="46">
        <f>IF(AND(B533="South Korea",scenario="MID"),korea_mid_load,load_sel)</f>
        <v/>
      </c>
      <c r="U533" s="47">
        <f>pax_cap*T533</f>
        <v/>
      </c>
      <c r="V533" s="45">
        <f>U533*S533</f>
        <v/>
      </c>
      <c r="W533" s="48">
        <f>H533*discount</f>
        <v/>
      </c>
      <c r="X533" s="49">
        <f>W533*V533</f>
        <v/>
      </c>
      <c r="Y533" s="49">
        <f>(battery/range_nm)*G533*S533*VLOOKUP(B533,country_opex,3,FALSE)</f>
        <v/>
      </c>
      <c r="Z533" s="49">
        <f>VLOOKUP(B533,country_opex,2,FALSE)*crew_factor</f>
        <v/>
      </c>
      <c r="AA533" s="49">
        <f>VLOOKUP(B533,country_opex,5,FALSE)</f>
        <v/>
      </c>
      <c r="AB533" s="49">
        <f>maint</f>
        <v/>
      </c>
      <c r="AC533" s="49">
        <f>VLOOKUP(B533,country_opex,7,FALSE)*ins_pct</f>
        <v/>
      </c>
      <c r="AD533" s="49">
        <f>charge_berth</f>
        <v/>
      </c>
      <c r="AE533" s="49">
        <f>Y533+Z533+AA533+AB533+AC533+AD533</f>
        <v/>
      </c>
      <c r="AF533" s="49">
        <f>VLOOKUP(B533,country_opex,7,FALSE)/dep_years</f>
        <v/>
      </c>
      <c r="AG533" s="49">
        <f>X533-AE533</f>
        <v/>
      </c>
      <c r="AH533" s="46">
        <f>IF(X533=0,"",AG533/X533)</f>
        <v/>
      </c>
      <c r="AI533" s="47">
        <f>IF(AG533&lt;=0,"",VLOOKUP(B533,country_opex,7,FALSE)/AG533)</f>
        <v/>
      </c>
      <c r="AJ533" s="44">
        <f>((G533*S533/diesel_nmpg)*diesel_co2pg-(battery/range_nm)*G533*S533*VLOOKUP(B533,country_opex,4,FALSE))/1000</f>
        <v/>
      </c>
      <c r="AK533" s="42" t="n">
        <v>1190000</v>
      </c>
      <c r="AL533" s="43" t="n"/>
      <c r="AM533" s="43" t="n"/>
      <c r="AN533" s="50" t="n">
        <v>0.1</v>
      </c>
      <c r="AO533" s="45">
        <f>IF(AK533="","",AK533*AN533)</f>
        <v/>
      </c>
      <c r="AP533" s="45">
        <f>IF(OR(AK533="",V533=0),"",MIN(IF(AX533="",9.9E+99,AX533),FLOOR(AO533/V533,1)))</f>
        <v/>
      </c>
      <c r="AQ533" s="49">
        <f>IF(AP533="","",AP533*IF(ABS(MOD(ABS((X533)),1)-0.5)&lt;1E-9,2*ROUND((X533)/2,0),ROUND((X533),0)))</f>
        <v/>
      </c>
      <c r="AR533" s="47">
        <f>IF(OR(AK533="",V533=0),"",MIN(IF(AX533="",9.9E+99,AX533),AO533/V533))</f>
        <v/>
      </c>
      <c r="AS533" s="49">
        <f>IF(AR533="","",AR533*IF(B533="South Korea",IF(ABS(MOD(ABS((X533)),1)-0.5)&lt;1E-9,2*ROUND((X533)/2,0),ROUND((X533),0)),X533))</f>
        <v/>
      </c>
      <c r="AT533" s="51" t="n"/>
      <c r="AU533" s="43" t="inlineStr">
        <is>
          <t>Grounded</t>
        </is>
      </c>
      <c r="AV533" s="52" t="n"/>
      <c r="AW533" s="52" t="n"/>
      <c r="AX533" s="53" t="n"/>
      <c r="AY533" s="54">
        <f>IF(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&lt;=0,"",VLOOKUP(B533,country_opex,7,FALSE)/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)</f>
        <v/>
      </c>
      <c r="AZ533" s="54">
        <f>IF(((W533*pax_cap*IF(B533="South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Korea",korea_mid_revleg,revleg_mid)),0))*VLOOKUP(B533,country_opex,3,FALSE))+Z533+AA533+AB533+AC533+AD533))&lt;=0,"",VLOOKUP(B533,country_opex,7,FALSE)/((W533*pax_cap*IF(B533="South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Korea",korea_mid_revleg,revleg_mid)),0))*VLOOKUP(B533,country_opex,3,FALSE))+Z533+AA533+AB533+AC533+AD533)))</f>
        <v/>
      </c>
      <c r="BA533" s="54">
        <f>IF(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&lt;=0,"",VLOOKUP(B533,country_opex,7,FALSE)/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)</f>
        <v/>
      </c>
      <c r="BB533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C533" s="40" t="n"/>
      <c r="BD533" s="43" t="n"/>
    </row>
    <row r="534">
      <c r="A534" s="38" t="inlineStr">
        <is>
          <t>Bolt Spain</t>
        </is>
      </c>
      <c r="B534" s="38" t="inlineStr">
        <is>
          <t>Spain</t>
        </is>
      </c>
      <c r="C534" s="39" t="inlineStr">
        <is>
          <t>Puerto Banús → Estepona</t>
        </is>
      </c>
      <c r="D534" s="38" t="inlineStr">
        <is>
          <t>bolt</t>
        </is>
      </c>
      <c r="E534" s="40" t="inlineStr">
        <is>
          <t>bolt-spain</t>
        </is>
      </c>
      <c r="F534" s="41" t="n">
        <v>1</v>
      </c>
      <c r="G534" s="42" t="n">
        <v>12</v>
      </c>
      <c r="H534" s="35" t="n">
        <v>16.2</v>
      </c>
      <c r="I534" s="43" t="inlineStr">
        <is>
          <t>T2</t>
        </is>
      </c>
      <c r="J534" s="43" t="inlineStr">
        <is>
          <t>med</t>
        </is>
      </c>
      <c r="K534" s="29" t="n">
        <v>1</v>
      </c>
      <c r="L534" s="44">
        <f>60*G534/cruise_kt</f>
        <v/>
      </c>
      <c r="M534" s="44">
        <f>IF(B534="South Korea",G534/korea_charge_range_nm*korea_full_range_charge_min,0)</f>
        <v/>
      </c>
      <c r="N534" s="44">
        <f>IF(B534="South Korea",L534+korea_turn_min+korea_dwell_min+M534,L534+turn_min+dwell_min)</f>
        <v/>
      </c>
      <c r="O534" s="45">
        <f>IF(B534="South Korea",FLOOR(60*korea_service_hr/N534,1),MIN(24,FLOOR(60*service_hr/N534,1)))</f>
        <v/>
      </c>
      <c r="P534" s="45">
        <f>IF(ABS(MOD(ABS((365*mech_uptime*K534)),1)-0.5)&lt;1E-9,2*ROUND((365*mech_uptime*K534)/2,0),ROUND((365*mech_uptime*K534),0))</f>
        <v/>
      </c>
      <c r="Q534" s="46">
        <f>mech_uptime</f>
        <v/>
      </c>
      <c r="R534" s="46">
        <f>IF(AND(B534="South Korea",scenario="MID"),korea_mid_revleg,revleg_sel)</f>
        <v/>
      </c>
      <c r="S534" s="45">
        <f>IF(ABS(MOD(ABS((O534*P534*R534)),1)-0.5)&lt;1E-9,2*ROUND((O534*P534*R534)/2,0),ROUND((O534*P534*R534),0))</f>
        <v/>
      </c>
      <c r="T534" s="46">
        <f>IF(AND(B534="South Korea",scenario="MID"),korea_mid_load,load_sel)</f>
        <v/>
      </c>
      <c r="U534" s="47">
        <f>pax_cap*T534</f>
        <v/>
      </c>
      <c r="V534" s="45">
        <f>U534*S534</f>
        <v/>
      </c>
      <c r="W534" s="48">
        <f>H534*discount</f>
        <v/>
      </c>
      <c r="X534" s="49">
        <f>W534*V534</f>
        <v/>
      </c>
      <c r="Y534" s="49">
        <f>(battery/range_nm)*G534*S534*VLOOKUP(B534,country_opex,3,FALSE)</f>
        <v/>
      </c>
      <c r="Z534" s="49">
        <f>VLOOKUP(B534,country_opex,2,FALSE)*crew_factor</f>
        <v/>
      </c>
      <c r="AA534" s="49">
        <f>VLOOKUP(B534,country_opex,5,FALSE)</f>
        <v/>
      </c>
      <c r="AB534" s="49">
        <f>maint</f>
        <v/>
      </c>
      <c r="AC534" s="49">
        <f>VLOOKUP(B534,country_opex,7,FALSE)*ins_pct</f>
        <v/>
      </c>
      <c r="AD534" s="49">
        <f>charge_berth</f>
        <v/>
      </c>
      <c r="AE534" s="49">
        <f>Y534+Z534+AA534+AB534+AC534+AD534</f>
        <v/>
      </c>
      <c r="AF534" s="49">
        <f>VLOOKUP(B534,country_opex,7,FALSE)/dep_years</f>
        <v/>
      </c>
      <c r="AG534" s="49">
        <f>X534-AE534</f>
        <v/>
      </c>
      <c r="AH534" s="46">
        <f>IF(X534=0,"",AG534/X534)</f>
        <v/>
      </c>
      <c r="AI534" s="47">
        <f>IF(AG534&lt;=0,"",VLOOKUP(B534,country_opex,7,FALSE)/AG534)</f>
        <v/>
      </c>
      <c r="AJ534" s="44">
        <f>((G534*S534/diesel_nmpg)*diesel_co2pg-(battery/range_nm)*G534*S534*VLOOKUP(B534,country_opex,4,FALSE))/1000</f>
        <v/>
      </c>
      <c r="AK534" s="42" t="n"/>
      <c r="AL534" s="43" t="n"/>
      <c r="AM534" s="43" t="n"/>
      <c r="AN534" s="50" t="n">
        <v>0.1</v>
      </c>
      <c r="AO534" s="45">
        <f>IF(AK534="","",AK534*AN534)</f>
        <v/>
      </c>
      <c r="AP534" s="45">
        <f>IF(OR(AK534="",V534=0),"",MIN(IF(AX534="",9.9E+99,AX534),FLOOR(AO534/V534,1)))</f>
        <v/>
      </c>
      <c r="AQ534" s="49">
        <f>IF(AP534="","",AP534*IF(ABS(MOD(ABS((X534)),1)-0.5)&lt;1E-9,2*ROUND((X534)/2,0),ROUND((X534),0)))</f>
        <v/>
      </c>
      <c r="AR534" s="47">
        <f>IF(OR(AK534="",V534=0),"",MIN(IF(AX534="",9.9E+99,AX534),AO534/V534))</f>
        <v/>
      </c>
      <c r="AS534" s="49">
        <f>IF(AR534="","",AR534*IF(B534="South Korea",IF(ABS(MOD(ABS((X534)),1)-0.5)&lt;1E-9,2*ROUND((X534)/2,0),ROUND((X534),0)),X534))</f>
        <v/>
      </c>
      <c r="AT534" s="51" t="n"/>
      <c r="AU534" s="43" t="inlineStr">
        <is>
          <t>Estimated</t>
        </is>
      </c>
      <c r="AV534" s="52" t="n"/>
      <c r="AW534" s="52" t="n"/>
      <c r="AX534" s="53" t="n"/>
      <c r="AY534" s="54">
        <f>IF(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&lt;=0,"",VLOOKUP(B534,country_opex,7,FALSE)/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)</f>
        <v/>
      </c>
      <c r="AZ534" s="54">
        <f>IF(((W534*pax_cap*IF(B534="South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Korea",korea_mid_revleg,revleg_mid)),0))*VLOOKUP(B534,country_opex,3,FALSE))+Z534+AA534+AB534+AC534+AD534))&lt;=0,"",VLOOKUP(B534,country_opex,7,FALSE)/((W534*pax_cap*IF(B534="South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Korea",korea_mid_revleg,revleg_mid)),0))*VLOOKUP(B534,country_opex,3,FALSE))+Z534+AA534+AB534+AC534+AD534)))</f>
        <v/>
      </c>
      <c r="BA534" s="54">
        <f>IF(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&lt;=0,"",VLOOKUP(B534,country_opex,7,FALSE)/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)</f>
        <v/>
      </c>
      <c r="BB534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C534" s="40" t="n"/>
      <c r="BD534" s="43" t="n"/>
    </row>
    <row r="535">
      <c r="A535" s="38" t="inlineStr">
        <is>
          <t>Bolt Spain</t>
        </is>
      </c>
      <c r="B535" s="38" t="inlineStr">
        <is>
          <t>Spain</t>
        </is>
      </c>
      <c r="C535" s="39" t="inlineStr">
        <is>
          <t>Tarifa → Tangier (Morocco)</t>
        </is>
      </c>
      <c r="D535" s="38" t="inlineStr">
        <is>
          <t>bolt</t>
        </is>
      </c>
      <c r="E535" s="40" t="inlineStr">
        <is>
          <t>bolt-spain</t>
        </is>
      </c>
      <c r="F535" s="41" t="n">
        <v>1</v>
      </c>
      <c r="G535" s="42" t="n">
        <v>18</v>
      </c>
      <c r="H535" s="35" t="n">
        <v>45.4</v>
      </c>
      <c r="I535" s="43" t="inlineStr">
        <is>
          <t>T2</t>
        </is>
      </c>
      <c r="J535" s="43" t="inlineStr">
        <is>
          <t>med</t>
        </is>
      </c>
      <c r="K535" s="29" t="n">
        <v>1</v>
      </c>
      <c r="L535" s="44">
        <f>60*G535/cruise_kt</f>
        <v/>
      </c>
      <c r="M535" s="44">
        <f>IF(B535="South Korea",G535/korea_charge_range_nm*korea_full_range_charge_min,0)</f>
        <v/>
      </c>
      <c r="N535" s="44">
        <f>IF(B535="South Korea",L535+korea_turn_min+korea_dwell_min+M535,L535+turn_min+dwell_min)</f>
        <v/>
      </c>
      <c r="O535" s="45">
        <f>IF(B535="South Korea",FLOOR(60*korea_service_hr/N535,1),MIN(15,FLOOR(60*service_hr/N535,1)))</f>
        <v/>
      </c>
      <c r="P535" s="45">
        <f>IF(ABS(MOD(ABS((365*mech_uptime*K535)),1)-0.5)&lt;1E-9,2*ROUND((365*mech_uptime*K535)/2,0),ROUND((365*mech_uptime*K535),0))</f>
        <v/>
      </c>
      <c r="Q535" s="46">
        <f>mech_uptime</f>
        <v/>
      </c>
      <c r="R535" s="46">
        <f>IF(AND(B535="South Korea",scenario="MID"),korea_mid_revleg,revleg_sel)</f>
        <v/>
      </c>
      <c r="S535" s="45">
        <f>IF(ABS(MOD(ABS((O535*P535*R535)),1)-0.5)&lt;1E-9,2*ROUND((O535*P535*R535)/2,0),ROUND((O535*P535*R535),0))</f>
        <v/>
      </c>
      <c r="T535" s="46">
        <f>IF(AND(B535="South Korea",scenario="MID"),korea_mid_load,load_sel)</f>
        <v/>
      </c>
      <c r="U535" s="47">
        <f>pax_cap*T535</f>
        <v/>
      </c>
      <c r="V535" s="45">
        <f>U535*S535</f>
        <v/>
      </c>
      <c r="W535" s="48">
        <f>H535*discount</f>
        <v/>
      </c>
      <c r="X535" s="49">
        <f>W535*V535</f>
        <v/>
      </c>
      <c r="Y535" s="49">
        <f>(battery/range_nm)*G535*S535*VLOOKUP(B535,country_opex,3,FALSE)</f>
        <v/>
      </c>
      <c r="Z535" s="49">
        <f>VLOOKUP(B535,country_opex,2,FALSE)*crew_factor</f>
        <v/>
      </c>
      <c r="AA535" s="49">
        <f>VLOOKUP(B535,country_opex,5,FALSE)</f>
        <v/>
      </c>
      <c r="AB535" s="49">
        <f>maint</f>
        <v/>
      </c>
      <c r="AC535" s="49">
        <f>VLOOKUP(B535,country_opex,7,FALSE)*ins_pct</f>
        <v/>
      </c>
      <c r="AD535" s="49">
        <f>charge_berth</f>
        <v/>
      </c>
      <c r="AE535" s="49">
        <f>Y535+Z535+AA535+AB535+AC535+AD535</f>
        <v/>
      </c>
      <c r="AF535" s="49">
        <f>VLOOKUP(B535,country_opex,7,FALSE)/dep_years</f>
        <v/>
      </c>
      <c r="AG535" s="49">
        <f>X535-AE535</f>
        <v/>
      </c>
      <c r="AH535" s="46">
        <f>IF(X535=0,"",AG535/X535)</f>
        <v/>
      </c>
      <c r="AI535" s="47">
        <f>IF(AG535&lt;=0,"",VLOOKUP(B535,country_opex,7,FALSE)/AG535)</f>
        <v/>
      </c>
      <c r="AJ535" s="44">
        <f>((G535*S535/diesel_nmpg)*diesel_co2pg-(battery/range_nm)*G535*S535*VLOOKUP(B535,country_opex,4,FALSE))/1000</f>
        <v/>
      </c>
      <c r="AK535" s="42" t="n">
        <v>700000</v>
      </c>
      <c r="AL535" s="43" t="n"/>
      <c r="AM535" s="43" t="n"/>
      <c r="AN535" s="50" t="n">
        <v>0.1</v>
      </c>
      <c r="AO535" s="45">
        <f>IF(AK535="","",AK535*AN535)</f>
        <v/>
      </c>
      <c r="AP535" s="45">
        <f>IF(OR(AK535="",V535=0),"",MIN(IF(AX535="",9.9E+99,AX535),FLOOR(AO535/V535,1)))</f>
        <v/>
      </c>
      <c r="AQ535" s="49">
        <f>IF(AP535="","",AP535*IF(ABS(MOD(ABS((X535)),1)-0.5)&lt;1E-9,2*ROUND((X535)/2,0),ROUND((X535),0)))</f>
        <v/>
      </c>
      <c r="AR535" s="47">
        <f>IF(OR(AK535="",V535=0),"",MIN(IF(AX535="",9.9E+99,AX535),AO535/V535))</f>
        <v/>
      </c>
      <c r="AS535" s="49">
        <f>IF(AR535="","",AR535*IF(B535="South Korea",IF(ABS(MOD(ABS((X535)),1)-0.5)&lt;1E-9,2*ROUND((X535)/2,0),ROUND((X535),0)),X535))</f>
        <v/>
      </c>
      <c r="AT535" s="51" t="n"/>
      <c r="AU535" s="43" t="inlineStr">
        <is>
          <t>Grounded</t>
        </is>
      </c>
      <c r="AV535" s="52" t="n"/>
      <c r="AW535" s="52" t="n"/>
      <c r="AX535" s="53" t="n"/>
      <c r="AY535" s="54">
        <f>IF(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&lt;=0,"",VLOOKUP(B535,country_opex,7,FALSE)/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)</f>
        <v/>
      </c>
      <c r="AZ535" s="54">
        <f>IF(((W535*pax_cap*IF(B535="South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Korea",korea_mid_revleg,revleg_mid)),0))*VLOOKUP(B535,country_opex,3,FALSE))+Z535+AA535+AB535+AC535+AD535))&lt;=0,"",VLOOKUP(B535,country_opex,7,FALSE)/((W535*pax_cap*IF(B535="South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Korea",korea_mid_revleg,revleg_mid)),0))*VLOOKUP(B535,country_opex,3,FALSE))+Z535+AA535+AB535+AC535+AD535)))</f>
        <v/>
      </c>
      <c r="BA535" s="54">
        <f>IF(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&lt;=0,"",VLOOKUP(B535,country_opex,7,FALSE)/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)</f>
        <v/>
      </c>
      <c r="BB535" s="40" t="inlineStr">
        <is>
          <t>PREMIUM tier: Tarifa-&gt;Tangier fast ferry one-way ~EUR 37.50-45 (Ferryhopper from ~EUR 37.50; FRS/DFDS) -&gt; ~EUR 42 x 1.08 = ~$45.4.</t>
        </is>
      </c>
      <c r="BC535" s="40" t="n"/>
      <c r="BD535" s="43" t="n"/>
    </row>
    <row r="536">
      <c r="A536" s="38" t="inlineStr">
        <is>
          <t>Bolt Spain</t>
        </is>
      </c>
      <c r="B536" s="38" t="inlineStr">
        <is>
          <t>Spain</t>
        </is>
      </c>
      <c r="C536" s="39" t="inlineStr">
        <is>
          <t>Alcúdia (Mallorca) → Ciutadella (Menorca)</t>
        </is>
      </c>
      <c r="D536" s="38" t="inlineStr">
        <is>
          <t>bolt</t>
        </is>
      </c>
      <c r="E536" s="40" t="inlineStr">
        <is>
          <t>bolt-spain</t>
        </is>
      </c>
      <c r="F536" s="41" t="n">
        <v>1</v>
      </c>
      <c r="G536" s="42" t="n">
        <v>22</v>
      </c>
      <c r="H536" s="35" t="n">
        <v>80</v>
      </c>
      <c r="I536" s="43" t="inlineStr">
        <is>
          <t>T2</t>
        </is>
      </c>
      <c r="J536" s="43" t="inlineStr">
        <is>
          <t>med</t>
        </is>
      </c>
      <c r="K536" s="29" t="n">
        <v>1</v>
      </c>
      <c r="L536" s="44">
        <f>60*G536/cruise_kt</f>
        <v/>
      </c>
      <c r="M536" s="44">
        <f>IF(B536="South Korea",G536/korea_charge_range_nm*korea_full_range_charge_min,0)</f>
        <v/>
      </c>
      <c r="N536" s="44">
        <f>IF(B536="South Korea",L536+korea_turn_min+korea_dwell_min+M536,L536+turn_min+dwell_min)</f>
        <v/>
      </c>
      <c r="O536" s="45">
        <f>IF(B536="South Korea",FLOOR(60*korea_service_hr/N536,1),MIN(15,FLOOR(60*service_hr/N536,1)))</f>
        <v/>
      </c>
      <c r="P536" s="45">
        <f>IF(ABS(MOD(ABS((365*mech_uptime*K536)),1)-0.5)&lt;1E-9,2*ROUND((365*mech_uptime*K536)/2,0),ROUND((365*mech_uptime*K536),0))</f>
        <v/>
      </c>
      <c r="Q536" s="46">
        <f>mech_uptime</f>
        <v/>
      </c>
      <c r="R536" s="46">
        <f>IF(AND(B536="South Korea",scenario="MID"),korea_mid_revleg,revleg_sel)</f>
        <v/>
      </c>
      <c r="S536" s="45">
        <f>IF(ABS(MOD(ABS((O536*P536*R536)),1)-0.5)&lt;1E-9,2*ROUND((O536*P536*R536)/2,0),ROUND((O536*P536*R536),0))</f>
        <v/>
      </c>
      <c r="T536" s="46">
        <f>IF(AND(B536="South Korea",scenario="MID"),korea_mid_load,load_sel)</f>
        <v/>
      </c>
      <c r="U536" s="47">
        <f>pax_cap*T536</f>
        <v/>
      </c>
      <c r="V536" s="45">
        <f>U536*S536</f>
        <v/>
      </c>
      <c r="W536" s="48">
        <f>H536*discount</f>
        <v/>
      </c>
      <c r="X536" s="49">
        <f>W536*V536</f>
        <v/>
      </c>
      <c r="Y536" s="49">
        <f>(battery/range_nm)*G536*S536*VLOOKUP(B536,country_opex,3,FALSE)</f>
        <v/>
      </c>
      <c r="Z536" s="49">
        <f>VLOOKUP(B536,country_opex,2,FALSE)*crew_factor</f>
        <v/>
      </c>
      <c r="AA536" s="49">
        <f>VLOOKUP(B536,country_opex,5,FALSE)</f>
        <v/>
      </c>
      <c r="AB536" s="49">
        <f>maint</f>
        <v/>
      </c>
      <c r="AC536" s="49">
        <f>VLOOKUP(B536,country_opex,7,FALSE)*ins_pct</f>
        <v/>
      </c>
      <c r="AD536" s="49">
        <f>charge_berth</f>
        <v/>
      </c>
      <c r="AE536" s="49">
        <f>Y536+Z536+AA536+AB536+AC536+AD536</f>
        <v/>
      </c>
      <c r="AF536" s="49">
        <f>VLOOKUP(B536,country_opex,7,FALSE)/dep_years</f>
        <v/>
      </c>
      <c r="AG536" s="49">
        <f>X536-AE536</f>
        <v/>
      </c>
      <c r="AH536" s="46">
        <f>IF(X536=0,"",AG536/X536)</f>
        <v/>
      </c>
      <c r="AI536" s="47">
        <f>IF(AG536&lt;=0,"",VLOOKUP(B536,country_opex,7,FALSE)/AG536)</f>
        <v/>
      </c>
      <c r="AJ536" s="44">
        <f>((G536*S536/diesel_nmpg)*diesel_co2pg-(battery/range_nm)*G536*S536*VLOOKUP(B536,country_opex,4,FALSE))/1000</f>
        <v/>
      </c>
      <c r="AK536" s="42" t="n">
        <v>62400</v>
      </c>
      <c r="AL536" s="43" t="n"/>
      <c r="AM536" s="43" t="n"/>
      <c r="AN536" s="50" t="n">
        <v>0.1</v>
      </c>
      <c r="AO536" s="45">
        <f>IF(AK536="","",AK536*AN536)</f>
        <v/>
      </c>
      <c r="AP536" s="45">
        <f>IF(OR(AK536="",V536=0),"",MIN(IF(AX536="",9.9E+99,AX536),FLOOR(AO536/V536,1)))</f>
        <v/>
      </c>
      <c r="AQ536" s="49">
        <f>IF(AP536="","",AP536*IF(ABS(MOD(ABS((X536)),1)-0.5)&lt;1E-9,2*ROUND((X536)/2,0),ROUND((X536),0)))</f>
        <v/>
      </c>
      <c r="AR536" s="47">
        <f>IF(OR(AK536="",V536=0),"",MIN(IF(AX536="",9.9E+99,AX536),AO536/V536))</f>
        <v/>
      </c>
      <c r="AS536" s="49">
        <f>IF(AR536="","",AR536*IF(B536="South Korea",IF(ABS(MOD(ABS((X536)),1)-0.5)&lt;1E-9,2*ROUND((X536)/2,0),ROUND((X536),0)),X536))</f>
        <v/>
      </c>
      <c r="AT536" s="51" t="n"/>
      <c r="AU536" s="43" t="inlineStr">
        <is>
          <t>Grounded</t>
        </is>
      </c>
      <c r="AV536" s="52" t="n"/>
      <c r="AW536" s="52" t="n"/>
      <c r="AX536" s="53" t="n"/>
      <c r="AY536" s="54">
        <f>IF(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&lt;=0,"",VLOOKUP(B536,country_opex,7,FALSE)/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)</f>
        <v/>
      </c>
      <c r="AZ536" s="54">
        <f>IF(((W536*pax_cap*IF(B536="South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Korea",korea_mid_revleg,revleg_mid)),0))*VLOOKUP(B536,country_opex,3,FALSE))+Z536+AA536+AB536+AC536+AD536))&lt;=0,"",VLOOKUP(B536,country_opex,7,FALSE)/((W536*pax_cap*IF(B536="South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Korea",korea_mid_revleg,revleg_mid)),0))*VLOOKUP(B536,country_opex,3,FALSE))+Z536+AA536+AB536+AC536+AD536)))</f>
        <v/>
      </c>
      <c r="BA536" s="54">
        <f>IF(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&lt;=0,"",VLOOKUP(B536,country_opex,7,FALSE)/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)</f>
        <v/>
      </c>
      <c r="BB536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C536" s="40" t="n"/>
      <c r="BD536" s="43" t="n"/>
    </row>
    <row r="537">
      <c r="A537" s="38" t="inlineStr">
        <is>
          <t>Bolt Spain</t>
        </is>
      </c>
      <c r="B537" s="38" t="inlineStr">
        <is>
          <t>Spain</t>
        </is>
      </c>
      <c r="C537" s="39" t="inlineStr">
        <is>
          <t>Dénia → Ibiza Town (Eivissa)</t>
        </is>
      </c>
      <c r="D537" s="38" t="inlineStr">
        <is>
          <t>bolt</t>
        </is>
      </c>
      <c r="E537" s="40" t="inlineStr">
        <is>
          <t>bolt-spain</t>
        </is>
      </c>
      <c r="F537" s="41" t="n">
        <v>1</v>
      </c>
      <c r="G537" s="42" t="n">
        <v>56</v>
      </c>
      <c r="H537" s="35" t="n">
        <v>54</v>
      </c>
      <c r="I537" s="43" t="inlineStr">
        <is>
          <t>T2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IF(B537="South Korea",G537/korea_charge_range_nm*korea_full_range_charge_min,0)</f>
        <v/>
      </c>
      <c r="N537" s="44">
        <f>IF(B537="South Korea",L537+korea_turn_min+korea_dwell_min+M537,L537+turn_min+dwell_min)</f>
        <v/>
      </c>
      <c r="O537" s="45">
        <f>IF(B537="South Korea",FLOOR(60*korea_service_hr/N537,1),MIN(15,FLOOR(60*service_hr/N537,1)))</f>
        <v/>
      </c>
      <c r="P537" s="45">
        <f>IF(ABS(MOD(ABS((365*mech_uptime*K537)),1)-0.5)&lt;1E-9,2*ROUND((365*mech_uptime*K537)/2,0),ROUND((365*mech_uptime*K537),0))</f>
        <v/>
      </c>
      <c r="Q537" s="46">
        <f>mech_uptime</f>
        <v/>
      </c>
      <c r="R537" s="46">
        <f>IF(AND(B537="South Korea",scenario="MID"),korea_mid_revleg,revleg_sel)</f>
        <v/>
      </c>
      <c r="S537" s="45">
        <f>IF(ABS(MOD(ABS((O537*P537*R537)),1)-0.5)&lt;1E-9,2*ROUND((O537*P537*R537)/2,0),ROUND((O537*P537*R537),0))</f>
        <v/>
      </c>
      <c r="T537" s="46">
        <f>IF(AND(B537="South Korea",scenario="MID"),korea_mid_load,load_sel)</f>
        <v/>
      </c>
      <c r="U537" s="47">
        <f>pax_cap*T537</f>
        <v/>
      </c>
      <c r="V537" s="45">
        <f>U537*S537</f>
        <v/>
      </c>
      <c r="W537" s="48">
        <f>H537*discount</f>
        <v/>
      </c>
      <c r="X537" s="49">
        <f>W537*V537</f>
        <v/>
      </c>
      <c r="Y537" s="49">
        <f>(battery/range_nm)*G537*S537*VLOOKUP(B537,country_opex,3,FALSE)</f>
        <v/>
      </c>
      <c r="Z537" s="49">
        <f>VLOOKUP(B537,country_opex,2,FALSE)*crew_factor</f>
        <v/>
      </c>
      <c r="AA537" s="49">
        <f>VLOOKUP(B537,country_opex,5,FALSE)</f>
        <v/>
      </c>
      <c r="AB537" s="49">
        <f>maint</f>
        <v/>
      </c>
      <c r="AC537" s="49">
        <f>VLOOKUP(B537,country_opex,7,FALSE)*ins_pct</f>
        <v/>
      </c>
      <c r="AD537" s="49">
        <f>charge_berth</f>
        <v/>
      </c>
      <c r="AE537" s="49">
        <f>Y537+Z537+AA537+AB537+AC537+AD537</f>
        <v/>
      </c>
      <c r="AF537" s="49">
        <f>VLOOKUP(B537,country_opex,7,FALSE)/dep_years</f>
        <v/>
      </c>
      <c r="AG537" s="49">
        <f>X537-AE537</f>
        <v/>
      </c>
      <c r="AH537" s="46">
        <f>IF(X537=0,"",AG537/X537)</f>
        <v/>
      </c>
      <c r="AI537" s="47">
        <f>IF(AG537&lt;=0,"",VLOOKUP(B537,country_opex,7,FALSE)/AG537)</f>
        <v/>
      </c>
      <c r="AJ537" s="44">
        <f>((G537*S537/diesel_nmpg)*diesel_co2pg-(battery/range_nm)*G537*S537*VLOOKUP(B537,country_opex,4,FALSE))/1000</f>
        <v/>
      </c>
      <c r="AK537" s="42" t="n">
        <v>49000</v>
      </c>
      <c r="AL537" s="43" t="n"/>
      <c r="AM537" s="43" t="n"/>
      <c r="AN537" s="50" t="n">
        <v>0.1</v>
      </c>
      <c r="AO537" s="45">
        <f>IF(AK537="","",AK537*AN537)</f>
        <v/>
      </c>
      <c r="AP537" s="45">
        <f>IF(OR(AK537="",V537=0),"",MIN(IF(AX537="",9.9E+99,AX537),FLOOR(AO537/V537,1)))</f>
        <v/>
      </c>
      <c r="AQ537" s="49">
        <f>IF(AP537="","",AP537*IF(ABS(MOD(ABS((X537)),1)-0.5)&lt;1E-9,2*ROUND((X537)/2,0),ROUND((X537),0)))</f>
        <v/>
      </c>
      <c r="AR537" s="47">
        <f>IF(OR(AK537="",V537=0),"",MIN(IF(AX537="",9.9E+99,AX537),AO537/V537))</f>
        <v/>
      </c>
      <c r="AS537" s="49">
        <f>IF(AR537="","",AR537*IF(B537="South Korea",IF(ABS(MOD(ABS((X537)),1)-0.5)&lt;1E-9,2*ROUND((X537)/2,0),ROUND((X537),0)),X537))</f>
        <v/>
      </c>
      <c r="AT537" s="51" t="n"/>
      <c r="AU537" s="43" t="inlineStr">
        <is>
          <t>Grounded</t>
        </is>
      </c>
      <c r="AV537" s="52" t="n"/>
      <c r="AW537" s="52" t="n"/>
      <c r="AX537" s="53" t="n"/>
      <c r="AY537" s="54">
        <f>IF(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&lt;=0,"",VLOOKUP(B537,country_opex,7,FALSE)/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)</f>
        <v/>
      </c>
      <c r="AZ537" s="54">
        <f>IF(((W537*pax_cap*IF(B537="South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Korea",korea_mid_revleg,revleg_mid)),0))*VLOOKUP(B537,country_opex,3,FALSE))+Z537+AA537+AB537+AC537+AD537))&lt;=0,"",VLOOKUP(B537,country_opex,7,FALSE)/((W537*pax_cap*IF(B537="South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Korea",korea_mid_revleg,revleg_mid)),0))*VLOOKUP(B537,country_opex,3,FALSE))+Z537+AA537+AB537+AC537+AD537)))</f>
        <v/>
      </c>
      <c r="BA537" s="54">
        <f>IF(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&lt;=0,"",VLOOKUP(B537,country_opex,7,FALSE)/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)</f>
        <v/>
      </c>
      <c r="BB537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C537" s="40" t="n"/>
      <c r="BD537" s="43" t="n"/>
    </row>
    <row r="538">
      <c r="A538" s="38" t="inlineStr">
        <is>
          <t>Bolt Sweden</t>
        </is>
      </c>
      <c r="B538" s="38" t="inlineStr">
        <is>
          <t>Sweden</t>
        </is>
      </c>
      <c r="C538" s="39" t="inlineStr">
        <is>
          <t>Stockholm (Slussen) → Djurgarden</t>
        </is>
      </c>
      <c r="D538" s="38" t="inlineStr">
        <is>
          <t>bolt</t>
        </is>
      </c>
      <c r="E538" s="40" t="inlineStr">
        <is>
          <t>bolt-sweden</t>
        </is>
      </c>
      <c r="F538" s="41" t="n">
        <v>1</v>
      </c>
      <c r="G538" s="42" t="n">
        <v>0.5</v>
      </c>
      <c r="H538" s="35" t="n">
        <v>18</v>
      </c>
      <c r="I538" s="43" t="inlineStr">
        <is>
          <t>T2</t>
        </is>
      </c>
      <c r="J538" s="43" t="inlineStr">
        <is>
          <t>med</t>
        </is>
      </c>
      <c r="K538" s="29" t="n">
        <v>1</v>
      </c>
      <c r="L538" s="44">
        <f>60*G538/cruise_kt</f>
        <v/>
      </c>
      <c r="M538" s="44">
        <f>IF(B538="South Korea",G538/korea_charge_range_nm*korea_full_range_charge_min,0)</f>
        <v/>
      </c>
      <c r="N538" s="44">
        <f>IF(B538="South Korea",L538+korea_turn_min+korea_dwell_min+M538,L538+turn_min+dwell_min)</f>
        <v/>
      </c>
      <c r="O538" s="45">
        <f>IF(B538="South Korea",FLOOR(60*korea_service_hr/N538,1),MIN(15,FLOOR(60*service_hr/N538,1)))</f>
        <v/>
      </c>
      <c r="P538" s="45">
        <f>IF(ABS(MOD(ABS((365*mech_uptime*K538)),1)-0.5)&lt;1E-9,2*ROUND((365*mech_uptime*K538)/2,0),ROUND((365*mech_uptime*K538),0))</f>
        <v/>
      </c>
      <c r="Q538" s="46">
        <f>mech_uptime</f>
        <v/>
      </c>
      <c r="R538" s="46">
        <f>IF(AND(B538="South Korea",scenario="MID"),korea_mid_revleg,revleg_sel)</f>
        <v/>
      </c>
      <c r="S538" s="45">
        <f>IF(ABS(MOD(ABS((O538*P538*R538)),1)-0.5)&lt;1E-9,2*ROUND((O538*P538*R538)/2,0),ROUND((O538*P538*R538),0))</f>
        <v/>
      </c>
      <c r="T538" s="46">
        <f>IF(AND(B538="South Korea",scenario="MID"),korea_mid_load,load_sel)</f>
        <v/>
      </c>
      <c r="U538" s="47">
        <f>pax_cap*T538</f>
        <v/>
      </c>
      <c r="V538" s="45">
        <f>U538*S538</f>
        <v/>
      </c>
      <c r="W538" s="48">
        <f>H538*discount</f>
        <v/>
      </c>
      <c r="X538" s="49">
        <f>W538*V538</f>
        <v/>
      </c>
      <c r="Y538" s="49">
        <f>(battery/range_nm)*G538*S538*VLOOKUP(B538,country_opex,3,FALSE)</f>
        <v/>
      </c>
      <c r="Z538" s="49">
        <f>VLOOKUP(B538,country_opex,2,FALSE)*crew_factor</f>
        <v/>
      </c>
      <c r="AA538" s="49">
        <f>VLOOKUP(B538,country_opex,5,FALSE)</f>
        <v/>
      </c>
      <c r="AB538" s="49">
        <f>maint</f>
        <v/>
      </c>
      <c r="AC538" s="49">
        <f>VLOOKUP(B538,country_opex,7,FALSE)*ins_pct</f>
        <v/>
      </c>
      <c r="AD538" s="49">
        <f>charge_berth</f>
        <v/>
      </c>
      <c r="AE538" s="49">
        <f>Y538+Z538+AA538+AB538+AC538+AD538</f>
        <v/>
      </c>
      <c r="AF538" s="49">
        <f>VLOOKUP(B538,country_opex,7,FALSE)/dep_years</f>
        <v/>
      </c>
      <c r="AG538" s="49">
        <f>X538-AE538</f>
        <v/>
      </c>
      <c r="AH538" s="46">
        <f>IF(X538=0,"",AG538/X538)</f>
        <v/>
      </c>
      <c r="AI538" s="47">
        <f>IF(AG538&lt;=0,"",VLOOKUP(B538,country_opex,7,FALSE)/AG538)</f>
        <v/>
      </c>
      <c r="AJ538" s="44">
        <f>((G538*S538/diesel_nmpg)*diesel_co2pg-(battery/range_nm)*G538*S538*VLOOKUP(B538,country_opex,4,FALSE))/1000</f>
        <v/>
      </c>
      <c r="AK538" s="42" t="n">
        <v>271332</v>
      </c>
      <c r="AL538" s="43" t="n"/>
      <c r="AM538" s="43" t="inlineStr">
        <is>
          <t>med</t>
        </is>
      </c>
      <c r="AN538" s="50" t="n">
        <v>0.25</v>
      </c>
      <c r="AO538" s="45">
        <f>IF(AK538="","",AK538*AN538)</f>
        <v/>
      </c>
      <c r="AP538" s="45">
        <f>IF(OR(AK538="",V538=0),"",MIN(IF(AX538="",9.9E+99,AX538),FLOOR(AO538/V538,1)))</f>
        <v/>
      </c>
      <c r="AQ538" s="49">
        <f>IF(AP538="","",AP538*IF(ABS(MOD(ABS((X538)),1)-0.5)&lt;1E-9,2*ROUND((X538)/2,0),ROUND((X538),0)))</f>
        <v/>
      </c>
      <c r="AR538" s="47">
        <f>IF(OR(AK538="",V538=0),"",MIN(IF(AX538="",9.9E+99,AX538),AO538/V538))</f>
        <v/>
      </c>
      <c r="AS538" s="49">
        <f>IF(AR538="","",AR538*IF(B538="South Korea",IF(ABS(MOD(ABS((X538)),1)-0.5)&lt;1E-9,2*ROUND((X538)/2,0),ROUND((X538),0)),X538))</f>
        <v/>
      </c>
      <c r="AT538" s="51" t="n"/>
      <c r="AU538" s="43" t="inlineStr">
        <is>
          <t>Grounded</t>
        </is>
      </c>
      <c r="AV538" s="52" t="n"/>
      <c r="AW538" s="52" t="n"/>
      <c r="AX538" s="53" t="n"/>
      <c r="AY538" s="54">
        <f>IF(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&lt;=0,"",VLOOKUP(B538,country_opex,7,FALSE)/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)</f>
        <v/>
      </c>
      <c r="AZ538" s="54">
        <f>IF(((W538*pax_cap*IF(B538="South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Korea",korea_mid_revleg,revleg_mid)),0))*VLOOKUP(B538,country_opex,3,FALSE))+Z538+AA538+AB538+AC538+AD538))&lt;=0,"",VLOOKUP(B538,country_opex,7,FALSE)/((W538*pax_cap*IF(B538="South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Korea",korea_mid_revleg,revleg_mid)),0))*VLOOKUP(B538,country_opex,3,FALSE))+Z538+AA538+AB538+AC538+AD538)))</f>
        <v/>
      </c>
      <c r="BA538" s="54">
        <f>IF(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&lt;=0,"",VLOOKUP(B538,country_opex,7,FALSE)/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)</f>
        <v/>
      </c>
      <c r="BB538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C538" s="40" t="n"/>
      <c r="BD538" s="43" t="n"/>
    </row>
    <row r="539">
      <c r="A539" s="38" t="inlineStr">
        <is>
          <t>Bolt Sweden</t>
        </is>
      </c>
      <c r="B539" s="38" t="inlineStr">
        <is>
          <t>Sweden</t>
        </is>
      </c>
      <c r="C539" s="39" t="inlineStr">
        <is>
          <t>Stockholm (Nybroplan) → Nacka Strand / Ropsten</t>
        </is>
      </c>
      <c r="D539" s="38" t="inlineStr">
        <is>
          <t>bolt</t>
        </is>
      </c>
      <c r="E539" s="40" t="inlineStr">
        <is>
          <t>bolt-sweden</t>
        </is>
      </c>
      <c r="F539" s="41" t="n">
        <v>1</v>
      </c>
      <c r="G539" s="42" t="n">
        <v>3</v>
      </c>
      <c r="H539" s="35" t="n">
        <v>18</v>
      </c>
      <c r="I539" s="43" t="inlineStr">
        <is>
          <t>T2</t>
        </is>
      </c>
      <c r="J539" s="43" t="inlineStr">
        <is>
          <t>med</t>
        </is>
      </c>
      <c r="K539" s="29" t="n">
        <v>1</v>
      </c>
      <c r="L539" s="44">
        <f>60*G539/cruise_kt</f>
        <v/>
      </c>
      <c r="M539" s="44">
        <f>IF(B539="South Korea",G539/korea_charge_range_nm*korea_full_range_charge_min,0)</f>
        <v/>
      </c>
      <c r="N539" s="44">
        <f>IF(B539="South Korea",L539+korea_turn_min+korea_dwell_min+M539,L539+turn_min+dwell_min)</f>
        <v/>
      </c>
      <c r="O539" s="45">
        <f>IF(B539="South Korea",FLOOR(60*korea_service_hr/N539,1),MIN(24,FLOOR(60*service_hr/N539,1)))</f>
        <v/>
      </c>
      <c r="P539" s="45">
        <f>IF(ABS(MOD(ABS((365*mech_uptime*K539)),1)-0.5)&lt;1E-9,2*ROUND((365*mech_uptime*K539)/2,0),ROUND((365*mech_uptime*K539),0))</f>
        <v/>
      </c>
      <c r="Q539" s="46">
        <f>mech_uptime</f>
        <v/>
      </c>
      <c r="R539" s="46">
        <f>IF(AND(B539="South Korea",scenario="MID"),korea_mid_revleg,revleg_sel)</f>
        <v/>
      </c>
      <c r="S539" s="45">
        <f>IF(ABS(MOD(ABS((O539*P539*R539)),1)-0.5)&lt;1E-9,2*ROUND((O539*P539*R539)/2,0),ROUND((O539*P539*R539),0))</f>
        <v/>
      </c>
      <c r="T539" s="46">
        <f>IF(AND(B539="South Korea",scenario="MID"),korea_mid_load,load_sel)</f>
        <v/>
      </c>
      <c r="U539" s="47">
        <f>pax_cap*T539</f>
        <v/>
      </c>
      <c r="V539" s="45">
        <f>U539*S539</f>
        <v/>
      </c>
      <c r="W539" s="48">
        <f>H539*discount</f>
        <v/>
      </c>
      <c r="X539" s="49">
        <f>W539*V539</f>
        <v/>
      </c>
      <c r="Y539" s="49">
        <f>(battery/range_nm)*G539*S539*VLOOKUP(B539,country_opex,3,FALSE)</f>
        <v/>
      </c>
      <c r="Z539" s="49">
        <f>VLOOKUP(B539,country_opex,2,FALSE)*crew_factor</f>
        <v/>
      </c>
      <c r="AA539" s="49">
        <f>VLOOKUP(B539,country_opex,5,FALSE)</f>
        <v/>
      </c>
      <c r="AB539" s="49">
        <f>maint</f>
        <v/>
      </c>
      <c r="AC539" s="49">
        <f>VLOOKUP(B539,country_opex,7,FALSE)*ins_pct</f>
        <v/>
      </c>
      <c r="AD539" s="49">
        <f>charge_berth</f>
        <v/>
      </c>
      <c r="AE539" s="49">
        <f>Y539+Z539+AA539+AB539+AC539+AD539</f>
        <v/>
      </c>
      <c r="AF539" s="49">
        <f>VLOOKUP(B539,country_opex,7,FALSE)/dep_years</f>
        <v/>
      </c>
      <c r="AG539" s="49">
        <f>X539-AE539</f>
        <v/>
      </c>
      <c r="AH539" s="46">
        <f>IF(X539=0,"",AG539/X539)</f>
        <v/>
      </c>
      <c r="AI539" s="47">
        <f>IF(AG539&lt;=0,"",VLOOKUP(B539,country_opex,7,FALSE)/AG539)</f>
        <v/>
      </c>
      <c r="AJ539" s="44">
        <f>((G539*S539/diesel_nmpg)*diesel_co2pg-(battery/range_nm)*G539*S539*VLOOKUP(B539,country_opex,4,FALSE))/1000</f>
        <v/>
      </c>
      <c r="AK539" s="42" t="n">
        <v>365638</v>
      </c>
      <c r="AL539" s="43" t="n"/>
      <c r="AM539" s="43" t="inlineStr">
        <is>
          <t>med</t>
        </is>
      </c>
      <c r="AN539" s="50" t="n">
        <v>0.25</v>
      </c>
      <c r="AO539" s="45">
        <f>IF(AK539="","",AK539*AN539)</f>
        <v/>
      </c>
      <c r="AP539" s="45">
        <f>IF(OR(AK539="",V539=0),"",MIN(IF(AX539="",9.9E+99,AX539),FLOOR(AO539/V539,1)))</f>
        <v/>
      </c>
      <c r="AQ539" s="49">
        <f>IF(AP539="","",AP539*IF(ABS(MOD(ABS((X539)),1)-0.5)&lt;1E-9,2*ROUND((X539)/2,0),ROUND((X539),0)))</f>
        <v/>
      </c>
      <c r="AR539" s="47">
        <f>IF(OR(AK539="",V539=0),"",MIN(IF(AX539="",9.9E+99,AX539),AO539/V539))</f>
        <v/>
      </c>
      <c r="AS539" s="49">
        <f>IF(AR539="","",AR539*IF(B539="South Korea",IF(ABS(MOD(ABS((X539)),1)-0.5)&lt;1E-9,2*ROUND((X539)/2,0),ROUND((X539),0)),X539))</f>
        <v/>
      </c>
      <c r="AT539" s="51" t="n"/>
      <c r="AU539" s="43" t="inlineStr">
        <is>
          <t>Grounded</t>
        </is>
      </c>
      <c r="AV539" s="52" t="n"/>
      <c r="AW539" s="52" t="n"/>
      <c r="AX539" s="53" t="n"/>
      <c r="AY539" s="54">
        <f>IF(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&lt;=0,"",VLOOKUP(B539,country_opex,7,FALSE)/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)</f>
        <v/>
      </c>
      <c r="AZ539" s="54">
        <f>IF(((W539*pax_cap*IF(B539="South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Korea",korea_mid_revleg,revleg_mid)),0))*VLOOKUP(B539,country_opex,3,FALSE))+Z539+AA539+AB539+AC539+AD539))&lt;=0,"",VLOOKUP(B539,country_opex,7,FALSE)/((W539*pax_cap*IF(B539="South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Korea",korea_mid_revleg,revleg_mid)),0))*VLOOKUP(B539,country_opex,3,FALSE))+Z539+AA539+AB539+AC539+AD539)))</f>
        <v/>
      </c>
      <c r="BA539" s="54">
        <f>IF(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&lt;=0,"",VLOOKUP(B539,country_opex,7,FALSE)/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)</f>
        <v/>
      </c>
      <c r="BB539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C539" s="40" t="n"/>
      <c r="BD539" s="43" t="n"/>
    </row>
    <row r="540">
      <c r="A540" s="38" t="inlineStr">
        <is>
          <t>Bolt Sweden</t>
        </is>
      </c>
      <c r="B540" s="38" t="inlineStr">
        <is>
          <t>Sweden</t>
        </is>
      </c>
      <c r="C540" s="39" t="inlineStr">
        <is>
          <t>Stockholm (Stadshuskajen / Klara Malarstrand) → Drottningholm</t>
        </is>
      </c>
      <c r="D540" s="38" t="inlineStr">
        <is>
          <t>bolt</t>
        </is>
      </c>
      <c r="E540" s="40" t="inlineStr">
        <is>
          <t>bolt-sweden</t>
        </is>
      </c>
      <c r="F540" s="41" t="n">
        <v>1</v>
      </c>
      <c r="G540" s="42" t="n">
        <v>6</v>
      </c>
      <c r="H540" s="35" t="n">
        <v>13.8</v>
      </c>
      <c r="I540" s="43" t="inlineStr">
        <is>
          <t>T2</t>
        </is>
      </c>
      <c r="J540" s="43" t="inlineStr">
        <is>
          <t>med</t>
        </is>
      </c>
      <c r="K540" s="29" t="n">
        <v>1</v>
      </c>
      <c r="L540" s="44">
        <f>60*G540/cruise_kt</f>
        <v/>
      </c>
      <c r="M540" s="44">
        <f>IF(B540="South Korea",G540/korea_charge_range_nm*korea_full_range_charge_min,0)</f>
        <v/>
      </c>
      <c r="N540" s="44">
        <f>IF(B540="South Korea",L540+korea_turn_min+korea_dwell_min+M540,L540+turn_min+dwell_min)</f>
        <v/>
      </c>
      <c r="O540" s="45">
        <f>IF(B540="South Korea",FLOOR(60*korea_service_hr/N540,1),MIN(15,FLOOR(60*service_hr/N540,1)))</f>
        <v/>
      </c>
      <c r="P540" s="45">
        <f>IF(ABS(MOD(ABS((365*mech_uptime*K540)),1)-0.5)&lt;1E-9,2*ROUND((365*mech_uptime*K540)/2,0),ROUND((365*mech_uptime*K540),0))</f>
        <v/>
      </c>
      <c r="Q540" s="46">
        <f>mech_uptime</f>
        <v/>
      </c>
      <c r="R540" s="46">
        <f>IF(AND(B540="South Korea",scenario="MID"),korea_mid_revleg,revleg_sel)</f>
        <v/>
      </c>
      <c r="S540" s="45">
        <f>IF(ABS(MOD(ABS((O540*P540*R540)),1)-0.5)&lt;1E-9,2*ROUND((O540*P540*R540)/2,0),ROUND((O540*P540*R540),0))</f>
        <v/>
      </c>
      <c r="T540" s="46">
        <f>IF(AND(B540="South Korea",scenario="MID"),korea_mid_load,load_sel)</f>
        <v/>
      </c>
      <c r="U540" s="47">
        <f>pax_cap*T540</f>
        <v/>
      </c>
      <c r="V540" s="45">
        <f>U540*S540</f>
        <v/>
      </c>
      <c r="W540" s="48">
        <f>H540*discount</f>
        <v/>
      </c>
      <c r="X540" s="49">
        <f>W540*V540</f>
        <v/>
      </c>
      <c r="Y540" s="49">
        <f>(battery/range_nm)*G540*S540*VLOOKUP(B540,country_opex,3,FALSE)</f>
        <v/>
      </c>
      <c r="Z540" s="49">
        <f>VLOOKUP(B540,country_opex,2,FALSE)*crew_factor</f>
        <v/>
      </c>
      <c r="AA540" s="49">
        <f>VLOOKUP(B540,country_opex,5,FALSE)</f>
        <v/>
      </c>
      <c r="AB540" s="49">
        <f>maint</f>
        <v/>
      </c>
      <c r="AC540" s="49">
        <f>VLOOKUP(B540,country_opex,7,FALSE)*ins_pct</f>
        <v/>
      </c>
      <c r="AD540" s="49">
        <f>charge_berth</f>
        <v/>
      </c>
      <c r="AE540" s="49">
        <f>Y540+Z540+AA540+AB540+AC540+AD540</f>
        <v/>
      </c>
      <c r="AF540" s="49">
        <f>VLOOKUP(B540,country_opex,7,FALSE)/dep_years</f>
        <v/>
      </c>
      <c r="AG540" s="49">
        <f>X540-AE540</f>
        <v/>
      </c>
      <c r="AH540" s="46">
        <f>IF(X540=0,"",AG540/X540)</f>
        <v/>
      </c>
      <c r="AI540" s="47">
        <f>IF(AG540&lt;=0,"",VLOOKUP(B540,country_opex,7,FALSE)/AG540)</f>
        <v/>
      </c>
      <c r="AJ540" s="44">
        <f>((G540*S540/diesel_nmpg)*diesel_co2pg-(battery/range_nm)*G540*S540*VLOOKUP(B540,country_opex,4,FALSE))/1000</f>
        <v/>
      </c>
      <c r="AK540" s="42" t="n">
        <v>700000</v>
      </c>
      <c r="AL540" s="43" t="n"/>
      <c r="AM540" s="43" t="n"/>
      <c r="AN540" s="50" t="n">
        <v>0.1</v>
      </c>
      <c r="AO540" s="45">
        <f>IF(AK540="","",AK540*AN540)</f>
        <v/>
      </c>
      <c r="AP540" s="45">
        <f>IF(OR(AK540="",V540=0),"",MIN(IF(AX540="",9.9E+99,AX540),FLOOR(AO540/V540,1)))</f>
        <v/>
      </c>
      <c r="AQ540" s="49">
        <f>IF(AP540="","",AP540*IF(ABS(MOD(ABS((X540)),1)-0.5)&lt;1E-9,2*ROUND((X540)/2,0),ROUND((X540),0)))</f>
        <v/>
      </c>
      <c r="AR540" s="47">
        <f>IF(OR(AK540="",V540=0),"",MIN(IF(AX540="",9.9E+99,AX540),AO540/V540))</f>
        <v/>
      </c>
      <c r="AS540" s="49">
        <f>IF(AR540="","",AR540*IF(B540="South Korea",IF(ABS(MOD(ABS((X540)),1)-0.5)&lt;1E-9,2*ROUND((X540)/2,0),ROUND((X540),0)),X540))</f>
        <v/>
      </c>
      <c r="AT540" s="51" t="n"/>
      <c r="AU540" s="43" t="inlineStr">
        <is>
          <t>Grounded</t>
        </is>
      </c>
      <c r="AV540" s="52" t="n"/>
      <c r="AW540" s="52" t="n"/>
      <c r="AX540" s="53" t="n"/>
      <c r="AY540" s="54">
        <f>IF(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&lt;=0,"",VLOOKUP(B540,country_opex,7,FALSE)/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)</f>
        <v/>
      </c>
      <c r="AZ540" s="54">
        <f>IF(((W540*pax_cap*IF(B540="South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Korea",korea_mid_revleg,revleg_mid)),0))*VLOOKUP(B540,country_opex,3,FALSE))+Z540+AA540+AB540+AC540+AD540))&lt;=0,"",VLOOKUP(B540,country_opex,7,FALSE)/((W540*pax_cap*IF(B540="South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Korea",korea_mid_revleg,revleg_mid)),0))*VLOOKUP(B540,country_opex,3,FALSE))+Z540+AA540+AB540+AC540+AD540)))</f>
        <v/>
      </c>
      <c r="BA540" s="54">
        <f>IF(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&lt;=0,"",VLOOKUP(B540,country_opex,7,FALSE)/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)</f>
        <v/>
      </c>
      <c r="BB540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C540" s="40" t="n"/>
      <c r="BD540" s="43" t="n"/>
    </row>
    <row r="541">
      <c r="A541" s="38" t="inlineStr">
        <is>
          <t>Bolt Sweden</t>
        </is>
      </c>
      <c r="B541" s="38" t="inlineStr">
        <is>
          <t>Sweden</t>
        </is>
      </c>
      <c r="C541" s="39" t="inlineStr">
        <is>
          <t>Stockholm (Klara Malarstrand) → Ekero (Tappstrom)</t>
        </is>
      </c>
      <c r="D541" s="38" t="inlineStr">
        <is>
          <t>bolt</t>
        </is>
      </c>
      <c r="E541" s="40" t="inlineStr">
        <is>
          <t>bolt-sweden</t>
        </is>
      </c>
      <c r="F541" s="41" t="n">
        <v>1</v>
      </c>
      <c r="G541" s="42" t="n">
        <v>8.6</v>
      </c>
      <c r="H541" s="35" t="n">
        <v>18</v>
      </c>
      <c r="I541" s="43" t="inlineStr">
        <is>
          <t>T2</t>
        </is>
      </c>
      <c r="J541" s="43" t="inlineStr">
        <is>
          <t>med</t>
        </is>
      </c>
      <c r="K541" s="29" t="n">
        <v>1</v>
      </c>
      <c r="L541" s="44">
        <f>60*G541/cruise_kt</f>
        <v/>
      </c>
      <c r="M541" s="44">
        <f>IF(B541="South Korea",G541/korea_charge_range_nm*korea_full_range_charge_min,0)</f>
        <v/>
      </c>
      <c r="N541" s="44">
        <f>IF(B541="South Korea",L541+korea_turn_min+korea_dwell_min+M541,L541+turn_min+dwell_min)</f>
        <v/>
      </c>
      <c r="O541" s="45">
        <f>IF(B541="South Korea",FLOOR(60*korea_service_hr/N541,1),MIN(24,FLOOR(60*service_hr/N541,1)))</f>
        <v/>
      </c>
      <c r="P541" s="45">
        <f>IF(ABS(MOD(ABS((365*mech_uptime*K541)),1)-0.5)&lt;1E-9,2*ROUND((365*mech_uptime*K541)/2,0),ROUND((365*mech_uptime*K541),0))</f>
        <v/>
      </c>
      <c r="Q541" s="46">
        <f>mech_uptime</f>
        <v/>
      </c>
      <c r="R541" s="46">
        <f>IF(AND(B541="South Korea",scenario="MID"),korea_mid_revleg,revleg_sel)</f>
        <v/>
      </c>
      <c r="S541" s="45">
        <f>IF(ABS(MOD(ABS((O541*P541*R541)),1)-0.5)&lt;1E-9,2*ROUND((O541*P541*R541)/2,0),ROUND((O541*P541*R541),0))</f>
        <v/>
      </c>
      <c r="T541" s="46">
        <f>IF(AND(B541="South Korea",scenario="MID"),korea_mid_load,load_sel)</f>
        <v/>
      </c>
      <c r="U541" s="47">
        <f>pax_cap*T541</f>
        <v/>
      </c>
      <c r="V541" s="45">
        <f>U541*S541</f>
        <v/>
      </c>
      <c r="W541" s="48">
        <f>H541*discount</f>
        <v/>
      </c>
      <c r="X541" s="49">
        <f>W541*V541</f>
        <v/>
      </c>
      <c r="Y541" s="49">
        <f>(battery/range_nm)*G541*S541*VLOOKUP(B541,country_opex,3,FALSE)</f>
        <v/>
      </c>
      <c r="Z541" s="49">
        <f>VLOOKUP(B541,country_opex,2,FALSE)*crew_factor</f>
        <v/>
      </c>
      <c r="AA541" s="49">
        <f>VLOOKUP(B541,country_opex,5,FALSE)</f>
        <v/>
      </c>
      <c r="AB541" s="49">
        <f>maint</f>
        <v/>
      </c>
      <c r="AC541" s="49">
        <f>VLOOKUP(B541,country_opex,7,FALSE)*ins_pct</f>
        <v/>
      </c>
      <c r="AD541" s="49">
        <f>charge_berth</f>
        <v/>
      </c>
      <c r="AE541" s="49">
        <f>Y541+Z541+AA541+AB541+AC541+AD541</f>
        <v/>
      </c>
      <c r="AF541" s="49">
        <f>VLOOKUP(B541,country_opex,7,FALSE)/dep_years</f>
        <v/>
      </c>
      <c r="AG541" s="49">
        <f>X541-AE541</f>
        <v/>
      </c>
      <c r="AH541" s="46">
        <f>IF(X541=0,"",AG541/X541)</f>
        <v/>
      </c>
      <c r="AI541" s="47">
        <f>IF(AG541&lt;=0,"",VLOOKUP(B541,country_opex,7,FALSE)/AG541)</f>
        <v/>
      </c>
      <c r="AJ541" s="44">
        <f>((G541*S541/diesel_nmpg)*diesel_co2pg-(battery/range_nm)*G541*S541*VLOOKUP(B541,country_opex,4,FALSE))/1000</f>
        <v/>
      </c>
      <c r="AK541" s="42" t="n">
        <v>23673</v>
      </c>
      <c r="AL541" s="43" t="n"/>
      <c r="AM541" s="43" t="inlineStr">
        <is>
          <t>med</t>
        </is>
      </c>
      <c r="AN541" s="50" t="n">
        <v>0.25</v>
      </c>
      <c r="AO541" s="45">
        <f>IF(AK541="","",AK541*AN541)</f>
        <v/>
      </c>
      <c r="AP541" s="45">
        <f>IF(OR(AK541="",V541=0),"",MIN(IF(AX541="",9.9E+99,AX541),FLOOR(AO541/V541,1)))</f>
        <v/>
      </c>
      <c r="AQ541" s="49">
        <f>IF(AP541="","",AP541*IF(ABS(MOD(ABS((X541)),1)-0.5)&lt;1E-9,2*ROUND((X541)/2,0),ROUND((X541),0)))</f>
        <v/>
      </c>
      <c r="AR541" s="47">
        <f>IF(OR(AK541="",V541=0),"",MIN(IF(AX541="",9.9E+99,AX541),AO541/V541))</f>
        <v/>
      </c>
      <c r="AS541" s="49">
        <f>IF(AR541="","",AR541*IF(B541="South Korea",IF(ABS(MOD(ABS((X541)),1)-0.5)&lt;1E-9,2*ROUND((X541)/2,0),ROUND((X541),0)),X541))</f>
        <v/>
      </c>
      <c r="AT541" s="51" t="n"/>
      <c r="AU541" s="43" t="inlineStr">
        <is>
          <t>Estimated</t>
        </is>
      </c>
      <c r="AV541" s="52" t="n"/>
      <c r="AW541" s="52" t="n"/>
      <c r="AX541" s="53" t="n"/>
      <c r="AY541" s="54">
        <f>IF(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&lt;=0,"",VLOOKUP(B541,country_opex,7,FALSE)/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)</f>
        <v/>
      </c>
      <c r="AZ541" s="54">
        <f>IF(((W541*pax_cap*IF(B541="South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Korea",korea_mid_revleg,revleg_mid)),0))*VLOOKUP(B541,country_opex,3,FALSE))+Z541+AA541+AB541+AC541+AD541))&lt;=0,"",VLOOKUP(B541,country_opex,7,FALSE)/((W541*pax_cap*IF(B541="South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Korea",korea_mid_revleg,revleg_mid)),0))*VLOOKUP(B541,country_opex,3,FALSE))+Z541+AA541+AB541+AC541+AD541)))</f>
        <v/>
      </c>
      <c r="BA541" s="54">
        <f>IF(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&lt;=0,"",VLOOKUP(B541,country_opex,7,FALSE)/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)</f>
        <v/>
      </c>
      <c r="BB541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41" s="40" t="n"/>
      <c r="BD541" s="43" t="n"/>
    </row>
    <row r="542">
      <c r="A542" s="38" t="inlineStr">
        <is>
          <t>Bolt Sweden</t>
        </is>
      </c>
      <c r="B542" s="38" t="inlineStr">
        <is>
          <t>Sweden</t>
        </is>
      </c>
      <c r="C542" s="39" t="inlineStr">
        <is>
          <t>Stockholm → Saltsjobaden (Nacka)</t>
        </is>
      </c>
      <c r="D542" s="38" t="inlineStr">
        <is>
          <t>bolt</t>
        </is>
      </c>
      <c r="E542" s="40" t="inlineStr">
        <is>
          <t>bolt-sweden</t>
        </is>
      </c>
      <c r="F542" s="41" t="n">
        <v>1</v>
      </c>
      <c r="G542" s="42" t="n">
        <v>9</v>
      </c>
      <c r="H542" s="35" t="n"/>
      <c r="I542" s="43" t="n"/>
      <c r="J542" s="43" t="n"/>
      <c r="K542" s="29" t="n">
        <v>1</v>
      </c>
      <c r="L542" s="44">
        <f>60*G542/cruise_kt</f>
        <v/>
      </c>
      <c r="M542" s="44">
        <f>IF(B542="South Korea",G542/korea_charge_range_nm*korea_full_range_charge_min,0)</f>
        <v/>
      </c>
      <c r="N542" s="44">
        <f>IF(B542="South Korea",L542+korea_turn_min+korea_dwell_min+M542,L542+turn_min+dwell_min)</f>
        <v/>
      </c>
      <c r="O542" s="45">
        <f>IF(B542="South Korea",FLOOR(60*korea_service_hr/N542,1),MIN(24,FLOOR(60*service_hr/N542,1)))</f>
        <v/>
      </c>
      <c r="P542" s="45">
        <f>IF(ABS(MOD(ABS((365*mech_uptime*K542)),1)-0.5)&lt;1E-9,2*ROUND((365*mech_uptime*K542)/2,0),ROUND((365*mech_uptime*K542),0))</f>
        <v/>
      </c>
      <c r="Q542" s="46">
        <f>mech_uptime</f>
        <v/>
      </c>
      <c r="R542" s="46">
        <f>IF(AND(B542="South Korea",scenario="MID"),korea_mid_revleg,revleg_sel)</f>
        <v/>
      </c>
      <c r="S542" s="45">
        <f>IF(ABS(MOD(ABS((O542*P542*R542)),1)-0.5)&lt;1E-9,2*ROUND((O542*P542*R542)/2,0),ROUND((O542*P542*R542),0))</f>
        <v/>
      </c>
      <c r="T542" s="46">
        <f>IF(AND(B542="South Korea",scenario="MID"),korea_mid_load,load_sel)</f>
        <v/>
      </c>
      <c r="U542" s="47">
        <f>pax_cap*T542</f>
        <v/>
      </c>
      <c r="V542" s="45">
        <f>U542*S542</f>
        <v/>
      </c>
      <c r="W542" s="48">
        <f>H542*discount</f>
        <v/>
      </c>
      <c r="X542" s="49">
        <f>W542*V542</f>
        <v/>
      </c>
      <c r="Y542" s="49">
        <f>(battery/range_nm)*G542*S542*VLOOKUP(B542,country_opex,3,FALSE)</f>
        <v/>
      </c>
      <c r="Z542" s="49">
        <f>VLOOKUP(B542,country_opex,2,FALSE)*crew_factor</f>
        <v/>
      </c>
      <c r="AA542" s="49">
        <f>VLOOKUP(B542,country_opex,5,FALSE)</f>
        <v/>
      </c>
      <c r="AB542" s="49">
        <f>maint</f>
        <v/>
      </c>
      <c r="AC542" s="49">
        <f>VLOOKUP(B542,country_opex,7,FALSE)*ins_pct</f>
        <v/>
      </c>
      <c r="AD542" s="49">
        <f>charge_berth</f>
        <v/>
      </c>
      <c r="AE542" s="49">
        <f>Y542+Z542+AA542+AB542+AC542+AD542</f>
        <v/>
      </c>
      <c r="AF542" s="49">
        <f>VLOOKUP(B542,country_opex,7,FALSE)/dep_years</f>
        <v/>
      </c>
      <c r="AG542" s="49">
        <f>X542-AE542</f>
        <v/>
      </c>
      <c r="AH542" s="46">
        <f>IF(X542=0,"",AG542/X542)</f>
        <v/>
      </c>
      <c r="AI542" s="47">
        <f>IF(AG542&lt;=0,"",VLOOKUP(B542,country_opex,7,FALSE)/AG542)</f>
        <v/>
      </c>
      <c r="AJ542" s="44">
        <f>((G542*S542/diesel_nmpg)*diesel_co2pg-(battery/range_nm)*G542*S542*VLOOKUP(B542,country_opex,4,FALSE))/1000</f>
        <v/>
      </c>
      <c r="AK542" s="42" t="n"/>
      <c r="AL542" s="43" t="n"/>
      <c r="AM542" s="43" t="n"/>
      <c r="AN542" s="50" t="n">
        <v>0.1</v>
      </c>
      <c r="AO542" s="45">
        <f>IF(AK542="","",AK542*AN542)</f>
        <v/>
      </c>
      <c r="AP542" s="45">
        <f>IF(OR(AK542="",V542=0),"",MIN(IF(AX542="",9.9E+99,AX542),FLOOR(AO542/V542,1)))</f>
        <v/>
      </c>
      <c r="AQ542" s="49">
        <f>IF(AP542="","",AP542*IF(ABS(MOD(ABS((X542)),1)-0.5)&lt;1E-9,2*ROUND((X542)/2,0),ROUND((X542),0)))</f>
        <v/>
      </c>
      <c r="AR542" s="47">
        <f>IF(OR(AK542="",V542=0),"",MIN(IF(AX542="",9.9E+99,AX542),AO542/V542))</f>
        <v/>
      </c>
      <c r="AS542" s="49">
        <f>IF(AR542="","",AR542*IF(B542="South Korea",IF(ABS(MOD(ABS((X542)),1)-0.5)&lt;1E-9,2*ROUND((X542)/2,0),ROUND((X542),0)),X542))</f>
        <v/>
      </c>
      <c r="AT542" s="51" t="n"/>
      <c r="AU542" s="43" t="inlineStr">
        <is>
          <t>Estimated</t>
        </is>
      </c>
      <c r="AV542" s="52" t="n"/>
      <c r="AW542" s="52" t="n"/>
      <c r="AX542" s="53" t="n"/>
      <c r="AY542" s="54">
        <f>IF(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&lt;=0,"",VLOOKUP(B542,country_opex,7,FALSE)/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)</f>
        <v/>
      </c>
      <c r="AZ542" s="54">
        <f>IF(((W542*pax_cap*IF(B542="South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Korea",korea_mid_revleg,revleg_mid)),0))*VLOOKUP(B542,country_opex,3,FALSE))+Z542+AA542+AB542+AC542+AD542))&lt;=0,"",VLOOKUP(B542,country_opex,7,FALSE)/((W542*pax_cap*IF(B542="South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Korea",korea_mid_revleg,revleg_mid)),0))*VLOOKUP(B542,country_opex,3,FALSE))+Z542+AA542+AB542+AC542+AD542)))</f>
        <v/>
      </c>
      <c r="BA542" s="54">
        <f>IF(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&lt;=0,"",VLOOKUP(B542,country_opex,7,FALSE)/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)</f>
        <v/>
      </c>
      <c r="BB542" s="40" t="n"/>
      <c r="BC542" s="40" t="n"/>
      <c r="BD542" s="43" t="n"/>
    </row>
    <row r="543">
      <c r="A543" s="38" t="inlineStr">
        <is>
          <t>Bolt Sweden</t>
        </is>
      </c>
      <c r="B543" s="38" t="inlineStr">
        <is>
          <t>Sweden</t>
        </is>
      </c>
      <c r="C543" s="39" t="inlineStr">
        <is>
          <t>Stockholm (Stromkajen) → Alstaket (Varmdo)</t>
        </is>
      </c>
      <c r="D543" s="38" t="inlineStr">
        <is>
          <t>bolt</t>
        </is>
      </c>
      <c r="E543" s="40" t="inlineStr">
        <is>
          <t>bolt-sweden</t>
        </is>
      </c>
      <c r="F543" s="41" t="n">
        <v>1</v>
      </c>
      <c r="G543" s="42" t="n">
        <v>11</v>
      </c>
      <c r="H543" s="35" t="n">
        <v>18</v>
      </c>
      <c r="I543" s="43" t="inlineStr">
        <is>
          <t>T2</t>
        </is>
      </c>
      <c r="J543" s="43" t="inlineStr">
        <is>
          <t>med</t>
        </is>
      </c>
      <c r="K543" s="29" t="n">
        <v>1</v>
      </c>
      <c r="L543" s="44">
        <f>60*G543/cruise_kt</f>
        <v/>
      </c>
      <c r="M543" s="44">
        <f>IF(B543="South Korea",G543/korea_charge_range_nm*korea_full_range_charge_min,0)</f>
        <v/>
      </c>
      <c r="N543" s="44">
        <f>IF(B543="South Korea",L543+korea_turn_min+korea_dwell_min+M543,L543+turn_min+dwell_min)</f>
        <v/>
      </c>
      <c r="O543" s="45">
        <f>IF(B543="South Korea",FLOOR(60*korea_service_hr/N543,1),MIN(24,FLOOR(60*service_hr/N543,1)))</f>
        <v/>
      </c>
      <c r="P543" s="45">
        <f>IF(ABS(MOD(ABS((365*mech_uptime*K543)),1)-0.5)&lt;1E-9,2*ROUND((365*mech_uptime*K543)/2,0),ROUND((365*mech_uptime*K543),0))</f>
        <v/>
      </c>
      <c r="Q543" s="46">
        <f>mech_uptime</f>
        <v/>
      </c>
      <c r="R543" s="46">
        <f>IF(AND(B543="South Korea",scenario="MID"),korea_mid_revleg,revleg_sel)</f>
        <v/>
      </c>
      <c r="S543" s="45">
        <f>IF(ABS(MOD(ABS((O543*P543*R543)),1)-0.5)&lt;1E-9,2*ROUND((O543*P543*R543)/2,0),ROUND((O543*P543*R543),0))</f>
        <v/>
      </c>
      <c r="T543" s="46">
        <f>IF(AND(B543="South Korea",scenario="MID"),korea_mid_load,load_sel)</f>
        <v/>
      </c>
      <c r="U543" s="47">
        <f>pax_cap*T543</f>
        <v/>
      </c>
      <c r="V543" s="45">
        <f>U543*S543</f>
        <v/>
      </c>
      <c r="W543" s="48">
        <f>H543*discount</f>
        <v/>
      </c>
      <c r="X543" s="49">
        <f>W543*V543</f>
        <v/>
      </c>
      <c r="Y543" s="49">
        <f>(battery/range_nm)*G543*S543*VLOOKUP(B543,country_opex,3,FALSE)</f>
        <v/>
      </c>
      <c r="Z543" s="49">
        <f>VLOOKUP(B543,country_opex,2,FALSE)*crew_factor</f>
        <v/>
      </c>
      <c r="AA543" s="49">
        <f>VLOOKUP(B543,country_opex,5,FALSE)</f>
        <v/>
      </c>
      <c r="AB543" s="49">
        <f>maint</f>
        <v/>
      </c>
      <c r="AC543" s="49">
        <f>VLOOKUP(B543,country_opex,7,FALSE)*ins_pct</f>
        <v/>
      </c>
      <c r="AD543" s="49">
        <f>charge_berth</f>
        <v/>
      </c>
      <c r="AE543" s="49">
        <f>Y543+Z543+AA543+AB543+AC543+AD543</f>
        <v/>
      </c>
      <c r="AF543" s="49">
        <f>VLOOKUP(B543,country_opex,7,FALSE)/dep_years</f>
        <v/>
      </c>
      <c r="AG543" s="49">
        <f>X543-AE543</f>
        <v/>
      </c>
      <c r="AH543" s="46">
        <f>IF(X543=0,"",AG543/X543)</f>
        <v/>
      </c>
      <c r="AI543" s="47">
        <f>IF(AG543&lt;=0,"",VLOOKUP(B543,country_opex,7,FALSE)/AG543)</f>
        <v/>
      </c>
      <c r="AJ543" s="44">
        <f>((G543*S543/diesel_nmpg)*diesel_co2pg-(battery/range_nm)*G543*S543*VLOOKUP(B543,country_opex,4,FALSE))/1000</f>
        <v/>
      </c>
      <c r="AK543" s="42" t="n">
        <v>13761</v>
      </c>
      <c r="AL543" s="43" t="n"/>
      <c r="AM543" s="43" t="inlineStr">
        <is>
          <t>med</t>
        </is>
      </c>
      <c r="AN543" s="50" t="n">
        <v>0.25</v>
      </c>
      <c r="AO543" s="45">
        <f>IF(AK543="","",AK543*AN543)</f>
        <v/>
      </c>
      <c r="AP543" s="45">
        <f>IF(OR(AK543="",V543=0),"",MIN(IF(AX543="",9.9E+99,AX543),FLOOR(AO543/V543,1)))</f>
        <v/>
      </c>
      <c r="AQ543" s="49">
        <f>IF(AP543="","",AP543*IF(ABS(MOD(ABS((X543)),1)-0.5)&lt;1E-9,2*ROUND((X543)/2,0),ROUND((X543),0)))</f>
        <v/>
      </c>
      <c r="AR543" s="47">
        <f>IF(OR(AK543="",V543=0),"",MIN(IF(AX543="",9.9E+99,AX543),AO543/V543))</f>
        <v/>
      </c>
      <c r="AS543" s="49">
        <f>IF(AR543="","",AR543*IF(B543="South Korea",IF(ABS(MOD(ABS((X543)),1)-0.5)&lt;1E-9,2*ROUND((X543)/2,0),ROUND((X543),0)),X543))</f>
        <v/>
      </c>
      <c r="AT543" s="51" t="n"/>
      <c r="AU543" s="43" t="inlineStr">
        <is>
          <t>Estimated</t>
        </is>
      </c>
      <c r="AV543" s="52" t="n"/>
      <c r="AW543" s="52" t="n"/>
      <c r="AX543" s="53" t="n"/>
      <c r="AY543" s="54">
        <f>IF(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&lt;=0,"",VLOOKUP(B543,country_opex,7,FALSE)/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)</f>
        <v/>
      </c>
      <c r="AZ543" s="54">
        <f>IF(((W543*pax_cap*IF(B543="South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Korea",korea_mid_revleg,revleg_mid)),0))*VLOOKUP(B543,country_opex,3,FALSE))+Z543+AA543+AB543+AC543+AD543))&lt;=0,"",VLOOKUP(B543,country_opex,7,FALSE)/((W543*pax_cap*IF(B543="South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Korea",korea_mid_revleg,revleg_mid)),0))*VLOOKUP(B543,country_opex,3,FALSE))+Z543+AA543+AB543+AC543+AD543)))</f>
        <v/>
      </c>
      <c r="BA543" s="54">
        <f>IF(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&lt;=0,"",VLOOKUP(B543,country_opex,7,FALSE)/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)</f>
        <v/>
      </c>
      <c r="BB54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43" s="40" t="n"/>
      <c r="BD543" s="43" t="n"/>
    </row>
    <row r="544">
      <c r="A544" s="38" t="inlineStr">
        <is>
          <t>Bolt Sweden</t>
        </is>
      </c>
      <c r="B544" s="38" t="inlineStr">
        <is>
          <t>Sweden</t>
        </is>
      </c>
      <c r="C544" s="39" t="inlineStr">
        <is>
          <t>Stockholm City → Vaxholm</t>
        </is>
      </c>
      <c r="D544" s="38" t="inlineStr">
        <is>
          <t>bolt</t>
        </is>
      </c>
      <c r="E544" s="40" t="inlineStr">
        <is>
          <t>bolt-sweden</t>
        </is>
      </c>
      <c r="F544" s="41" t="n">
        <v>1</v>
      </c>
      <c r="G544" s="42" t="n">
        <v>12</v>
      </c>
      <c r="H544" s="35" t="n">
        <v>18.1</v>
      </c>
      <c r="I544" s="43" t="inlineStr">
        <is>
          <t>T2</t>
        </is>
      </c>
      <c r="J544" s="43" t="inlineStr">
        <is>
          <t>med</t>
        </is>
      </c>
      <c r="K544" s="29" t="n">
        <v>1</v>
      </c>
      <c r="L544" s="44">
        <f>60*G544/cruise_kt</f>
        <v/>
      </c>
      <c r="M544" s="44">
        <f>IF(B544="South Korea",G544/korea_charge_range_nm*korea_full_range_charge_min,0)</f>
        <v/>
      </c>
      <c r="N544" s="44">
        <f>IF(B544="South Korea",L544+korea_turn_min+korea_dwell_min+M544,L544+turn_min+dwell_min)</f>
        <v/>
      </c>
      <c r="O544" s="45">
        <f>IF(B544="South Korea",FLOOR(60*korea_service_hr/N544,1),MIN(15,FLOOR(60*service_hr/N544,1)))</f>
        <v/>
      </c>
      <c r="P544" s="45">
        <f>IF(ABS(MOD(ABS((365*mech_uptime*K544)),1)-0.5)&lt;1E-9,2*ROUND((365*mech_uptime*K544)/2,0),ROUND((365*mech_uptime*K544),0))</f>
        <v/>
      </c>
      <c r="Q544" s="46">
        <f>mech_uptime</f>
        <v/>
      </c>
      <c r="R544" s="46">
        <f>IF(AND(B544="South Korea",scenario="MID"),korea_mid_revleg,revleg_sel)</f>
        <v/>
      </c>
      <c r="S544" s="45">
        <f>IF(ABS(MOD(ABS((O544*P544*R544)),1)-0.5)&lt;1E-9,2*ROUND((O544*P544*R544)/2,0),ROUND((O544*P544*R544),0))</f>
        <v/>
      </c>
      <c r="T544" s="46">
        <f>IF(AND(B544="South Korea",scenario="MID"),korea_mid_load,load_sel)</f>
        <v/>
      </c>
      <c r="U544" s="47">
        <f>pax_cap*T544</f>
        <v/>
      </c>
      <c r="V544" s="45">
        <f>U544*S544</f>
        <v/>
      </c>
      <c r="W544" s="48">
        <f>H544*discount</f>
        <v/>
      </c>
      <c r="X544" s="49">
        <f>W544*V544</f>
        <v/>
      </c>
      <c r="Y544" s="49">
        <f>(battery/range_nm)*G544*S544*VLOOKUP(B544,country_opex,3,FALSE)</f>
        <v/>
      </c>
      <c r="Z544" s="49">
        <f>VLOOKUP(B544,country_opex,2,FALSE)*crew_factor</f>
        <v/>
      </c>
      <c r="AA544" s="49">
        <f>VLOOKUP(B544,country_opex,5,FALSE)</f>
        <v/>
      </c>
      <c r="AB544" s="49">
        <f>maint</f>
        <v/>
      </c>
      <c r="AC544" s="49">
        <f>VLOOKUP(B544,country_opex,7,FALSE)*ins_pct</f>
        <v/>
      </c>
      <c r="AD544" s="49">
        <f>charge_berth</f>
        <v/>
      </c>
      <c r="AE544" s="49">
        <f>Y544+Z544+AA544+AB544+AC544+AD544</f>
        <v/>
      </c>
      <c r="AF544" s="49">
        <f>VLOOKUP(B544,country_opex,7,FALSE)/dep_years</f>
        <v/>
      </c>
      <c r="AG544" s="49">
        <f>X544-AE544</f>
        <v/>
      </c>
      <c r="AH544" s="46">
        <f>IF(X544=0,"",AG544/X544)</f>
        <v/>
      </c>
      <c r="AI544" s="47">
        <f>IF(AG544&lt;=0,"",VLOOKUP(B544,country_opex,7,FALSE)/AG544)</f>
        <v/>
      </c>
      <c r="AJ544" s="44">
        <f>((G544*S544/diesel_nmpg)*diesel_co2pg-(battery/range_nm)*G544*S544*VLOOKUP(B544,country_opex,4,FALSE))/1000</f>
        <v/>
      </c>
      <c r="AK544" s="42" t="n">
        <v>365855</v>
      </c>
      <c r="AL544" s="43" t="n"/>
      <c r="AM544" s="43" t="n"/>
      <c r="AN544" s="50" t="n">
        <v>0.1</v>
      </c>
      <c r="AO544" s="45">
        <f>IF(AK544="","",AK544*AN544)</f>
        <v/>
      </c>
      <c r="AP544" s="45">
        <f>IF(OR(AK544="",V544=0),"",MIN(IF(AX544="",9.9E+99,AX544),FLOOR(AO544/V544,1)))</f>
        <v/>
      </c>
      <c r="AQ544" s="49">
        <f>IF(AP544="","",AP544*IF(ABS(MOD(ABS((X544)),1)-0.5)&lt;1E-9,2*ROUND((X544)/2,0),ROUND((X544),0)))</f>
        <v/>
      </c>
      <c r="AR544" s="47">
        <f>IF(OR(AK544="",V544=0),"",MIN(IF(AX544="",9.9E+99,AX544),AO544/V544))</f>
        <v/>
      </c>
      <c r="AS544" s="49">
        <f>IF(AR544="","",AR544*IF(B544="South Korea",IF(ABS(MOD(ABS((X544)),1)-0.5)&lt;1E-9,2*ROUND((X544)/2,0),ROUND((X544),0)),X544))</f>
        <v/>
      </c>
      <c r="AT544" s="51" t="n"/>
      <c r="AU544" s="43" t="inlineStr">
        <is>
          <t>Grounded</t>
        </is>
      </c>
      <c r="AV544" s="52" t="n"/>
      <c r="AW544" s="52" t="n"/>
      <c r="AX544" s="53" t="n"/>
      <c r="AY544" s="54">
        <f>IF(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&lt;=0,"",VLOOKUP(B544,country_opex,7,FALSE)/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)</f>
        <v/>
      </c>
      <c r="AZ544" s="54">
        <f>IF(((W544*pax_cap*IF(B544="South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Korea",korea_mid_revleg,revleg_mid)),0))*VLOOKUP(B544,country_opex,3,FALSE))+Z544+AA544+AB544+AC544+AD544))&lt;=0,"",VLOOKUP(B544,country_opex,7,FALSE)/((W544*pax_cap*IF(B544="South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Korea",korea_mid_revleg,revleg_mid)),0))*VLOOKUP(B544,country_opex,3,FALSE))+Z544+AA544+AB544+AC544+AD544)))</f>
        <v/>
      </c>
      <c r="BA544" s="54">
        <f>IF(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&lt;=0,"",VLOOKUP(B544,country_opex,7,FALSE)/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)</f>
        <v/>
      </c>
      <c r="BB544" s="40" t="inlineStr">
        <is>
          <t>PREMIUM tier: Stromma Cinderellabatarna one-way adult seat Strandvagen-&gt;Vaxholm from SEK 190 (2026 tariff). SEK 190 x 0.0952 = $18.1.</t>
        </is>
      </c>
      <c r="BC544" s="40" t="n"/>
      <c r="BD544" s="43" t="n"/>
    </row>
    <row r="545">
      <c r="A545" s="38" t="inlineStr">
        <is>
          <t>Bolt Sweden</t>
        </is>
      </c>
      <c r="B545" s="38" t="inlineStr">
        <is>
          <t>Sweden</t>
        </is>
      </c>
      <c r="C545" s="39" t="inlineStr">
        <is>
          <t>Stockholm (Strandvagen) → Grinda</t>
        </is>
      </c>
      <c r="D545" s="38" t="inlineStr">
        <is>
          <t>bolt</t>
        </is>
      </c>
      <c r="E545" s="40" t="inlineStr">
        <is>
          <t>bolt-sweden</t>
        </is>
      </c>
      <c r="F545" s="41" t="n">
        <v>1</v>
      </c>
      <c r="G545" s="42" t="n">
        <v>19</v>
      </c>
      <c r="H545" s="35" t="n">
        <v>22.4</v>
      </c>
      <c r="I545" s="43" t="inlineStr">
        <is>
          <t>T2</t>
        </is>
      </c>
      <c r="J545" s="43" t="inlineStr">
        <is>
          <t>med</t>
        </is>
      </c>
      <c r="K545" s="29" t="n">
        <v>1</v>
      </c>
      <c r="L545" s="44">
        <f>60*G545/cruise_kt</f>
        <v/>
      </c>
      <c r="M545" s="44">
        <f>IF(B545="South Korea",G545/korea_charge_range_nm*korea_full_range_charge_min,0)</f>
        <v/>
      </c>
      <c r="N545" s="44">
        <f>IF(B545="South Korea",L545+korea_turn_min+korea_dwell_min+M545,L545+turn_min+dwell_min)</f>
        <v/>
      </c>
      <c r="O545" s="45">
        <f>IF(B545="South Korea",FLOOR(60*korea_service_hr/N545,1),MIN(15,FLOOR(60*service_hr/N545,1)))</f>
        <v/>
      </c>
      <c r="P545" s="45">
        <f>IF(ABS(MOD(ABS((365*mech_uptime*K545)),1)-0.5)&lt;1E-9,2*ROUND((365*mech_uptime*K545)/2,0),ROUND((365*mech_uptime*K545),0))</f>
        <v/>
      </c>
      <c r="Q545" s="46">
        <f>mech_uptime</f>
        <v/>
      </c>
      <c r="R545" s="46">
        <f>IF(AND(B545="South Korea",scenario="MID"),korea_mid_revleg,revleg_sel)</f>
        <v/>
      </c>
      <c r="S545" s="45">
        <f>IF(ABS(MOD(ABS((O545*P545*R545)),1)-0.5)&lt;1E-9,2*ROUND((O545*P545*R545)/2,0),ROUND((O545*P545*R545),0))</f>
        <v/>
      </c>
      <c r="T545" s="46">
        <f>IF(AND(B545="South Korea",scenario="MID"),korea_mid_load,load_sel)</f>
        <v/>
      </c>
      <c r="U545" s="47">
        <f>pax_cap*T545</f>
        <v/>
      </c>
      <c r="V545" s="45">
        <f>U545*S545</f>
        <v/>
      </c>
      <c r="W545" s="48">
        <f>H545*discount</f>
        <v/>
      </c>
      <c r="X545" s="49">
        <f>W545*V545</f>
        <v/>
      </c>
      <c r="Y545" s="49">
        <f>(battery/range_nm)*G545*S545*VLOOKUP(B545,country_opex,3,FALSE)</f>
        <v/>
      </c>
      <c r="Z545" s="49">
        <f>VLOOKUP(B545,country_opex,2,FALSE)*crew_factor</f>
        <v/>
      </c>
      <c r="AA545" s="49">
        <f>VLOOKUP(B545,country_opex,5,FALSE)</f>
        <v/>
      </c>
      <c r="AB545" s="49">
        <f>maint</f>
        <v/>
      </c>
      <c r="AC545" s="49">
        <f>VLOOKUP(B545,country_opex,7,FALSE)*ins_pct</f>
        <v/>
      </c>
      <c r="AD545" s="49">
        <f>charge_berth</f>
        <v/>
      </c>
      <c r="AE545" s="49">
        <f>Y545+Z545+AA545+AB545+AC545+AD545</f>
        <v/>
      </c>
      <c r="AF545" s="49">
        <f>VLOOKUP(B545,country_opex,7,FALSE)/dep_years</f>
        <v/>
      </c>
      <c r="AG545" s="49">
        <f>X545-AE545</f>
        <v/>
      </c>
      <c r="AH545" s="46">
        <f>IF(X545=0,"",AG545/X545)</f>
        <v/>
      </c>
      <c r="AI545" s="47">
        <f>IF(AG545&lt;=0,"",VLOOKUP(B545,country_opex,7,FALSE)/AG545)</f>
        <v/>
      </c>
      <c r="AJ545" s="44">
        <f>((G545*S545/diesel_nmpg)*diesel_co2pg-(battery/range_nm)*G545*S545*VLOOKUP(B545,country_opex,4,FALSE))/1000</f>
        <v/>
      </c>
      <c r="AK545" s="42" t="n"/>
      <c r="AL545" s="43" t="n"/>
      <c r="AM545" s="43" t="n"/>
      <c r="AN545" s="50" t="n">
        <v>0.1</v>
      </c>
      <c r="AO545" s="45">
        <f>IF(AK545="","",AK545*AN545)</f>
        <v/>
      </c>
      <c r="AP545" s="45">
        <f>IF(OR(AK545="",V545=0),"",MIN(IF(AX545="",9.9E+99,AX545),FLOOR(AO545/V545,1)))</f>
        <v/>
      </c>
      <c r="AQ545" s="49">
        <f>IF(AP545="","",AP545*IF(ABS(MOD(ABS((X545)),1)-0.5)&lt;1E-9,2*ROUND((X545)/2,0),ROUND((X545),0)))</f>
        <v/>
      </c>
      <c r="AR545" s="47">
        <f>IF(OR(AK545="",V545=0),"",MIN(IF(AX545="",9.9E+99,AX545),AO545/V545))</f>
        <v/>
      </c>
      <c r="AS545" s="49">
        <f>IF(AR545="","",AR545*IF(B545="South Korea",IF(ABS(MOD(ABS((X545)),1)-0.5)&lt;1E-9,2*ROUND((X545)/2,0),ROUND((X545),0)),X545))</f>
        <v/>
      </c>
      <c r="AT545" s="51" t="n"/>
      <c r="AU545" s="43" t="inlineStr">
        <is>
          <t>Estimated</t>
        </is>
      </c>
      <c r="AV545" s="52" t="n"/>
      <c r="AW545" s="52" t="n"/>
      <c r="AX545" s="53" t="n"/>
      <c r="AY545" s="54">
        <f>IF(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&lt;=0,"",VLOOKUP(B545,country_opex,7,FALSE)/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)</f>
        <v/>
      </c>
      <c r="AZ545" s="54">
        <f>IF(((W545*pax_cap*IF(B545="South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Korea",korea_mid_revleg,revleg_mid)),0))*VLOOKUP(B545,country_opex,3,FALSE))+Z545+AA545+AB545+AC545+AD545))&lt;=0,"",VLOOKUP(B545,country_opex,7,FALSE)/((W545*pax_cap*IF(B545="South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Korea",korea_mid_revleg,revleg_mid)),0))*VLOOKUP(B545,country_opex,3,FALSE))+Z545+AA545+AB545+AC545+AD545)))</f>
        <v/>
      </c>
      <c r="BA545" s="54">
        <f>IF(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&lt;=0,"",VLOOKUP(B545,country_opex,7,FALSE)/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)</f>
        <v/>
      </c>
      <c r="BB545" s="40" t="inlineStr">
        <is>
          <t>PREMIUM tier: Stromma Cinderellabatarna one-way adult Strandvagen-&gt;Grinda from SEK 235 (2026 tariff). SEK 235 x 0.0952 = $22.4.</t>
        </is>
      </c>
      <c r="BC545" s="40" t="n"/>
      <c r="BD545" s="43" t="n"/>
    </row>
    <row r="546">
      <c r="A546" s="38" t="inlineStr">
        <is>
          <t>Bolt Sweden</t>
        </is>
      </c>
      <c r="B546" s="38" t="inlineStr">
        <is>
          <t>Sweden</t>
        </is>
      </c>
      <c r="C546" s="39" t="inlineStr">
        <is>
          <t>Stockholm (Strandvagen) → Gallno</t>
        </is>
      </c>
      <c r="D546" s="38" t="inlineStr">
        <is>
          <t>bolt</t>
        </is>
      </c>
      <c r="E546" s="40" t="inlineStr">
        <is>
          <t>bolt-sweden</t>
        </is>
      </c>
      <c r="F546" s="41" t="n">
        <v>1</v>
      </c>
      <c r="G546" s="42" t="n">
        <v>21</v>
      </c>
      <c r="H546" s="35" t="n">
        <v>22.4</v>
      </c>
      <c r="I546" s="43" t="inlineStr">
        <is>
          <t>T2</t>
        </is>
      </c>
      <c r="J546" s="43" t="inlineStr">
        <is>
          <t>med</t>
        </is>
      </c>
      <c r="K546" s="29" t="n">
        <v>1</v>
      </c>
      <c r="L546" s="44">
        <f>60*G546/cruise_kt</f>
        <v/>
      </c>
      <c r="M546" s="44">
        <f>IF(B546="South Korea",G546/korea_charge_range_nm*korea_full_range_charge_min,0)</f>
        <v/>
      </c>
      <c r="N546" s="44">
        <f>IF(B546="South Korea",L546+korea_turn_min+korea_dwell_min+M546,L546+turn_min+dwell_min)</f>
        <v/>
      </c>
      <c r="O546" s="45">
        <f>IF(B546="South Korea",FLOOR(60*korea_service_hr/N546,1),MIN(15,FLOOR(60*service_hr/N546,1)))</f>
        <v/>
      </c>
      <c r="P546" s="45">
        <f>IF(ABS(MOD(ABS((365*mech_uptime*K546)),1)-0.5)&lt;1E-9,2*ROUND((365*mech_uptime*K546)/2,0),ROUND((365*mech_uptime*K546),0))</f>
        <v/>
      </c>
      <c r="Q546" s="46">
        <f>mech_uptime</f>
        <v/>
      </c>
      <c r="R546" s="46">
        <f>IF(AND(B546="South Korea",scenario="MID"),korea_mid_revleg,revleg_sel)</f>
        <v/>
      </c>
      <c r="S546" s="45">
        <f>IF(ABS(MOD(ABS((O546*P546*R546)),1)-0.5)&lt;1E-9,2*ROUND((O546*P546*R546)/2,0),ROUND((O546*P546*R546),0))</f>
        <v/>
      </c>
      <c r="T546" s="46">
        <f>IF(AND(B546="South Korea",scenario="MID"),korea_mid_load,load_sel)</f>
        <v/>
      </c>
      <c r="U546" s="47">
        <f>pax_cap*T546</f>
        <v/>
      </c>
      <c r="V546" s="45">
        <f>U546*S546</f>
        <v/>
      </c>
      <c r="W546" s="48">
        <f>H546*discount</f>
        <v/>
      </c>
      <c r="X546" s="49">
        <f>W546*V546</f>
        <v/>
      </c>
      <c r="Y546" s="49">
        <f>(battery/range_nm)*G546*S546*VLOOKUP(B546,country_opex,3,FALSE)</f>
        <v/>
      </c>
      <c r="Z546" s="49">
        <f>VLOOKUP(B546,country_opex,2,FALSE)*crew_factor</f>
        <v/>
      </c>
      <c r="AA546" s="49">
        <f>VLOOKUP(B546,country_opex,5,FALSE)</f>
        <v/>
      </c>
      <c r="AB546" s="49">
        <f>maint</f>
        <v/>
      </c>
      <c r="AC546" s="49">
        <f>VLOOKUP(B546,country_opex,7,FALSE)*ins_pct</f>
        <v/>
      </c>
      <c r="AD546" s="49">
        <f>charge_berth</f>
        <v/>
      </c>
      <c r="AE546" s="49">
        <f>Y546+Z546+AA546+AB546+AC546+AD546</f>
        <v/>
      </c>
      <c r="AF546" s="49">
        <f>VLOOKUP(B546,country_opex,7,FALSE)/dep_years</f>
        <v/>
      </c>
      <c r="AG546" s="49">
        <f>X546-AE546</f>
        <v/>
      </c>
      <c r="AH546" s="46">
        <f>IF(X546=0,"",AG546/X546)</f>
        <v/>
      </c>
      <c r="AI546" s="47">
        <f>IF(AG546&lt;=0,"",VLOOKUP(B546,country_opex,7,FALSE)/AG546)</f>
        <v/>
      </c>
      <c r="AJ546" s="44">
        <f>((G546*S546/diesel_nmpg)*diesel_co2pg-(battery/range_nm)*G546*S546*VLOOKUP(B546,country_opex,4,FALSE))/1000</f>
        <v/>
      </c>
      <c r="AK546" s="42" t="n"/>
      <c r="AL546" s="43" t="n"/>
      <c r="AM546" s="43" t="n"/>
      <c r="AN546" s="50" t="n">
        <v>0.1</v>
      </c>
      <c r="AO546" s="45">
        <f>IF(AK546="","",AK546*AN546)</f>
        <v/>
      </c>
      <c r="AP546" s="45">
        <f>IF(OR(AK546="",V546=0),"",MIN(IF(AX546="",9.9E+99,AX546),FLOOR(AO546/V546,1)))</f>
        <v/>
      </c>
      <c r="AQ546" s="49">
        <f>IF(AP546="","",AP546*IF(ABS(MOD(ABS((X546)),1)-0.5)&lt;1E-9,2*ROUND((X546)/2,0),ROUND((X546),0)))</f>
        <v/>
      </c>
      <c r="AR546" s="47">
        <f>IF(OR(AK546="",V546=0),"",MIN(IF(AX546="",9.9E+99,AX546),AO546/V546))</f>
        <v/>
      </c>
      <c r="AS546" s="49">
        <f>IF(AR546="","",AR546*IF(B546="South Korea",IF(ABS(MOD(ABS((X546)),1)-0.5)&lt;1E-9,2*ROUND((X546)/2,0),ROUND((X546),0)),X546))</f>
        <v/>
      </c>
      <c r="AT546" s="51" t="n"/>
      <c r="AU546" s="43" t="inlineStr">
        <is>
          <t>Estimated</t>
        </is>
      </c>
      <c r="AV546" s="52" t="n"/>
      <c r="AW546" s="52" t="n"/>
      <c r="AX546" s="53" t="n"/>
      <c r="AY546" s="54">
        <f>IF(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&lt;=0,"",VLOOKUP(B546,country_opex,7,FALSE)/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)</f>
        <v/>
      </c>
      <c r="AZ546" s="54">
        <f>IF(((W546*pax_cap*IF(B546="South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Korea",korea_mid_revleg,revleg_mid)),0))*VLOOKUP(B546,country_opex,3,FALSE))+Z546+AA546+AB546+AC546+AD546))&lt;=0,"",VLOOKUP(B546,country_opex,7,FALSE)/((W546*pax_cap*IF(B546="South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Korea",korea_mid_revleg,revleg_mid)),0))*VLOOKUP(B546,country_opex,3,FALSE))+Z546+AA546+AB546+AC546+AD546)))</f>
        <v/>
      </c>
      <c r="BA546" s="54">
        <f>IF(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&lt;=0,"",VLOOKUP(B546,country_opex,7,FALSE)/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)</f>
        <v/>
      </c>
      <c r="BB546" s="40" t="inlineStr">
        <is>
          <t>PREMIUM tier: Stromma Cinderellabatarna one-way adult Strandvagen-&gt;Gallno from SEK 235 (2026 tariff). SEK 235 x 0.0952 = $22.4.</t>
        </is>
      </c>
      <c r="BC546" s="40" t="n"/>
      <c r="BD546" s="43" t="n"/>
    </row>
    <row r="547">
      <c r="A547" s="38" t="inlineStr">
        <is>
          <t>Bolt Sweden</t>
        </is>
      </c>
      <c r="B547" s="38" t="inlineStr">
        <is>
          <t>Sweden</t>
        </is>
      </c>
      <c r="C547" s="39" t="inlineStr">
        <is>
          <t>Stockholm (Strandvagen) → Sandhamn</t>
        </is>
      </c>
      <c r="D547" s="38" t="inlineStr">
        <is>
          <t>bolt</t>
        </is>
      </c>
      <c r="E547" s="40" t="inlineStr">
        <is>
          <t>bolt-sweden</t>
        </is>
      </c>
      <c r="F547" s="41" t="n">
        <v>1</v>
      </c>
      <c r="G547" s="42" t="n">
        <v>26</v>
      </c>
      <c r="H547" s="35" t="n">
        <v>24.3</v>
      </c>
      <c r="I547" s="43" t="inlineStr">
        <is>
          <t>T2</t>
        </is>
      </c>
      <c r="J547" s="43" t="inlineStr">
        <is>
          <t>med</t>
        </is>
      </c>
      <c r="K547" s="29" t="n">
        <v>1</v>
      </c>
      <c r="L547" s="44">
        <f>60*G547/cruise_kt</f>
        <v/>
      </c>
      <c r="M547" s="44">
        <f>IF(B547="South Korea",G547/korea_charge_range_nm*korea_full_range_charge_min,0)</f>
        <v/>
      </c>
      <c r="N547" s="44">
        <f>IF(B547="South Korea",L547+korea_turn_min+korea_dwell_min+M547,L547+turn_min+dwell_min)</f>
        <v/>
      </c>
      <c r="O547" s="45">
        <f>IF(B547="South Korea",FLOOR(60*korea_service_hr/N547,1),MIN(15,FLOOR(60*service_hr/N547,1)))</f>
        <v/>
      </c>
      <c r="P547" s="45">
        <f>IF(ABS(MOD(ABS((365*mech_uptime*K547)),1)-0.5)&lt;1E-9,2*ROUND((365*mech_uptime*K547)/2,0),ROUND((365*mech_uptime*K547),0))</f>
        <v/>
      </c>
      <c r="Q547" s="46">
        <f>mech_uptime</f>
        <v/>
      </c>
      <c r="R547" s="46">
        <f>IF(AND(B547="South Korea",scenario="MID"),korea_mid_revleg,revleg_sel)</f>
        <v/>
      </c>
      <c r="S547" s="45">
        <f>IF(ABS(MOD(ABS((O547*P547*R547)),1)-0.5)&lt;1E-9,2*ROUND((O547*P547*R547)/2,0),ROUND((O547*P547*R547),0))</f>
        <v/>
      </c>
      <c r="T547" s="46">
        <f>IF(AND(B547="South Korea",scenario="MID"),korea_mid_load,load_sel)</f>
        <v/>
      </c>
      <c r="U547" s="47">
        <f>pax_cap*T547</f>
        <v/>
      </c>
      <c r="V547" s="45">
        <f>U547*S547</f>
        <v/>
      </c>
      <c r="W547" s="48">
        <f>H547*discount</f>
        <v/>
      </c>
      <c r="X547" s="49">
        <f>W547*V547</f>
        <v/>
      </c>
      <c r="Y547" s="49">
        <f>(battery/range_nm)*G547*S547*VLOOKUP(B547,country_opex,3,FALSE)</f>
        <v/>
      </c>
      <c r="Z547" s="49">
        <f>VLOOKUP(B547,country_opex,2,FALSE)*crew_factor</f>
        <v/>
      </c>
      <c r="AA547" s="49">
        <f>VLOOKUP(B547,country_opex,5,FALSE)</f>
        <v/>
      </c>
      <c r="AB547" s="49">
        <f>maint</f>
        <v/>
      </c>
      <c r="AC547" s="49">
        <f>VLOOKUP(B547,country_opex,7,FALSE)*ins_pct</f>
        <v/>
      </c>
      <c r="AD547" s="49">
        <f>charge_berth</f>
        <v/>
      </c>
      <c r="AE547" s="49">
        <f>Y547+Z547+AA547+AB547+AC547+AD547</f>
        <v/>
      </c>
      <c r="AF547" s="49">
        <f>VLOOKUP(B547,country_opex,7,FALSE)/dep_years</f>
        <v/>
      </c>
      <c r="AG547" s="49">
        <f>X547-AE547</f>
        <v/>
      </c>
      <c r="AH547" s="46">
        <f>IF(X547=0,"",AG547/X547)</f>
        <v/>
      </c>
      <c r="AI547" s="47">
        <f>IF(AG547&lt;=0,"",VLOOKUP(B547,country_opex,7,FALSE)/AG547)</f>
        <v/>
      </c>
      <c r="AJ547" s="44">
        <f>((G547*S547/diesel_nmpg)*diesel_co2pg-(battery/range_nm)*G547*S547*VLOOKUP(B547,country_opex,4,FALSE))/1000</f>
        <v/>
      </c>
      <c r="AK547" s="42" t="n">
        <v>100000</v>
      </c>
      <c r="AL547" s="43" t="n"/>
      <c r="AM547" s="43" t="n"/>
      <c r="AN547" s="50" t="n">
        <v>0.1</v>
      </c>
      <c r="AO547" s="45">
        <f>IF(AK547="","",AK547*AN547)</f>
        <v/>
      </c>
      <c r="AP547" s="45">
        <f>IF(OR(AK547="",V547=0),"",MIN(IF(AX547="",9.9E+99,AX547),FLOOR(AO547/V547,1)))</f>
        <v/>
      </c>
      <c r="AQ547" s="49">
        <f>IF(AP547="","",AP547*IF(ABS(MOD(ABS((X547)),1)-0.5)&lt;1E-9,2*ROUND((X547)/2,0),ROUND((X547),0)))</f>
        <v/>
      </c>
      <c r="AR547" s="47">
        <f>IF(OR(AK547="",V547=0),"",MIN(IF(AX547="",9.9E+99,AX547),AO547/V547))</f>
        <v/>
      </c>
      <c r="AS547" s="49">
        <f>IF(AR547="","",AR547*IF(B547="South Korea",IF(ABS(MOD(ABS((X547)),1)-0.5)&lt;1E-9,2*ROUND((X547)/2,0),ROUND((X547),0)),X547))</f>
        <v/>
      </c>
      <c r="AT547" s="51" t="n"/>
      <c r="AU547" s="43" t="inlineStr">
        <is>
          <t>Grounded</t>
        </is>
      </c>
      <c r="AV547" s="52" t="n"/>
      <c r="AW547" s="52" t="n"/>
      <c r="AX547" s="53" t="n"/>
      <c r="AY547" s="54">
        <f>IF(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&lt;=0,"",VLOOKUP(B547,country_opex,7,FALSE)/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)</f>
        <v/>
      </c>
      <c r="AZ547" s="54">
        <f>IF(((W547*pax_cap*IF(B547="South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Korea",korea_mid_revleg,revleg_mid)),0))*VLOOKUP(B547,country_opex,3,FALSE))+Z547+AA547+AB547+AC547+AD547))&lt;=0,"",VLOOKUP(B547,country_opex,7,FALSE)/((W547*pax_cap*IF(B547="South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Korea",korea_mid_revleg,revleg_mid)),0))*VLOOKUP(B547,country_opex,3,FALSE))+Z547+AA547+AB547+AC547+AD547)))</f>
        <v/>
      </c>
      <c r="BA547" s="54">
        <f>IF(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&lt;=0,"",VLOOKUP(B547,country_opex,7,FALSE)/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)</f>
        <v/>
      </c>
      <c r="BB547" s="40" t="inlineStr">
        <is>
          <t>PREMIUM tier: Stromma Cinderellabatarna one-way adult Strandvagen-&gt;Sandhamn from SEK 255 (2026 tariff). SEK 255 x 0.0952 = $24.3.</t>
        </is>
      </c>
      <c r="BC547" s="40" t="n"/>
      <c r="BD547" s="43" t="n"/>
    </row>
    <row r="548">
      <c r="A548" s="38" t="inlineStr">
        <is>
          <t>Taiwan</t>
        </is>
      </c>
      <c r="B548" s="38" t="inlineStr">
        <is>
          <t>Taiwan</t>
        </is>
      </c>
      <c r="C548" s="39" t="inlineStr">
        <is>
          <t>Magong (Penghu) → Penghu inter-island (Xiyu / Baisha loop)</t>
        </is>
      </c>
      <c r="D548" s="38" t="inlineStr">
        <is>
          <t>grab</t>
        </is>
      </c>
      <c r="E548" s="40" t="inlineStr">
        <is>
          <t>taiwan</t>
        </is>
      </c>
      <c r="F548" s="41" t="n">
        <v>1</v>
      </c>
      <c r="G548" s="42" t="n">
        <v>12</v>
      </c>
      <c r="H548" s="35" t="n">
        <v>38.7</v>
      </c>
      <c r="I548" s="43" t="inlineStr">
        <is>
          <t>T3</t>
        </is>
      </c>
      <c r="J548" s="43" t="inlineStr">
        <is>
          <t>med</t>
        </is>
      </c>
      <c r="K548" s="29" t="n">
        <v>1</v>
      </c>
      <c r="L548" s="44">
        <f>60*G548/cruise_kt</f>
        <v/>
      </c>
      <c r="M548" s="44">
        <f>IF(B548="South Korea",G548/korea_charge_range_nm*korea_full_range_charge_min,0)</f>
        <v/>
      </c>
      <c r="N548" s="44">
        <f>IF(B548="South Korea",L548+korea_turn_min+korea_dwell_min+M548,L548+turn_min+dwell_min)</f>
        <v/>
      </c>
      <c r="O548" s="45">
        <f>IF(B548="South Korea",FLOOR(60*korea_service_hr/N548,1),MIN(15,FLOOR(60*service_hr/N548,1)))</f>
        <v/>
      </c>
      <c r="P548" s="45">
        <f>IF(ABS(MOD(ABS((365*mech_uptime*K548)),1)-0.5)&lt;1E-9,2*ROUND((365*mech_uptime*K548)/2,0),ROUND((365*mech_uptime*K548),0))</f>
        <v/>
      </c>
      <c r="Q548" s="46">
        <f>mech_uptime</f>
        <v/>
      </c>
      <c r="R548" s="46">
        <f>IF(AND(B548="South Korea",scenario="MID"),korea_mid_revleg,revleg_sel)</f>
        <v/>
      </c>
      <c r="S548" s="45">
        <f>IF(ABS(MOD(ABS((O548*P548*R548)),1)-0.5)&lt;1E-9,2*ROUND((O548*P548*R548)/2,0),ROUND((O548*P548*R548),0))</f>
        <v/>
      </c>
      <c r="T548" s="46">
        <f>IF(AND(B548="South Korea",scenario="MID"),korea_mid_load,load_sel)</f>
        <v/>
      </c>
      <c r="U548" s="47">
        <f>pax_cap*T548</f>
        <v/>
      </c>
      <c r="V548" s="45">
        <f>U548*S548</f>
        <v/>
      </c>
      <c r="W548" s="48">
        <f>H548*discount</f>
        <v/>
      </c>
      <c r="X548" s="49">
        <f>W548*V548</f>
        <v/>
      </c>
      <c r="Y548" s="49">
        <f>(battery/range_nm)*G548*S548*VLOOKUP(B548,country_opex,3,FALSE)</f>
        <v/>
      </c>
      <c r="Z548" s="49">
        <f>VLOOKUP(B548,country_opex,2,FALSE)*crew_factor</f>
        <v/>
      </c>
      <c r="AA548" s="49">
        <f>VLOOKUP(B548,country_opex,5,FALSE)</f>
        <v/>
      </c>
      <c r="AB548" s="49">
        <f>maint</f>
        <v/>
      </c>
      <c r="AC548" s="49">
        <f>VLOOKUP(B548,country_opex,7,FALSE)*ins_pct</f>
        <v/>
      </c>
      <c r="AD548" s="49">
        <f>charge_berth</f>
        <v/>
      </c>
      <c r="AE548" s="49">
        <f>Y548+Z548+AA548+AB548+AC548+AD548</f>
        <v/>
      </c>
      <c r="AF548" s="49">
        <f>VLOOKUP(B548,country_opex,7,FALSE)/dep_years</f>
        <v/>
      </c>
      <c r="AG548" s="49">
        <f>X548-AE548</f>
        <v/>
      </c>
      <c r="AH548" s="46">
        <f>IF(X548=0,"",AG548/X548)</f>
        <v/>
      </c>
      <c r="AI548" s="47">
        <f>IF(AG548&lt;=0,"",VLOOKUP(B548,country_opex,7,FALSE)/AG548)</f>
        <v/>
      </c>
      <c r="AJ548" s="44">
        <f>((G548*S548/diesel_nmpg)*diesel_co2pg-(battery/range_nm)*G548*S548*VLOOKUP(B548,country_opex,4,FALSE))/1000</f>
        <v/>
      </c>
      <c r="AK548" s="42" t="n">
        <v>19226</v>
      </c>
      <c r="AL548" s="43" t="inlineStr">
        <is>
          <t>T2</t>
        </is>
      </c>
      <c r="AM548" s="43" t="inlineStr">
        <is>
          <t>low</t>
        </is>
      </c>
      <c r="AN548" s="50" t="n">
        <v>0.1</v>
      </c>
      <c r="AO548" s="45">
        <f>IF(AK548="","",AK548*AN548)</f>
        <v/>
      </c>
      <c r="AP548" s="45">
        <f>IF(OR(AK548="",V548=0),"",MIN(IF(AX548="",9.9E+99,AX548),FLOOR(AO548/V548,1)))</f>
        <v/>
      </c>
      <c r="AQ548" s="49">
        <f>IF(AP548="","",AP548*IF(ABS(MOD(ABS((X548)),1)-0.5)&lt;1E-9,2*ROUND((X548)/2,0),ROUND((X548),0)))</f>
        <v/>
      </c>
      <c r="AR548" s="47">
        <f>IF(OR(AK548="",V548=0),"",MIN(IF(AX548="",9.9E+99,AX548),AO548/V548))</f>
        <v/>
      </c>
      <c r="AS548" s="49">
        <f>IF(AR548="","",AR548*IF(B548="South Korea",IF(ABS(MOD(ABS((X548)),1)-0.5)&lt;1E-9,2*ROUND((X548)/2,0),ROUND((X548),0)),X548))</f>
        <v/>
      </c>
      <c r="AT548" s="51" t="n"/>
      <c r="AU548" s="43" t="inlineStr">
        <is>
          <t>Grounded</t>
        </is>
      </c>
      <c r="AV548" s="52" t="n"/>
      <c r="AW548" s="52" t="n"/>
      <c r="AX548" s="53" t="n"/>
      <c r="AY548" s="54">
        <f>IF(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&lt;=0,"",VLOOKUP(B548,country_opex,7,FALSE)/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)</f>
        <v/>
      </c>
      <c r="AZ548" s="54">
        <f>IF(((W548*pax_cap*IF(B548="South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Korea",korea_mid_revleg,revleg_mid)),0))*VLOOKUP(B548,country_opex,3,FALSE))+Z548+AA548+AB548+AC548+AD548))&lt;=0,"",VLOOKUP(B548,country_opex,7,FALSE)/((W548*pax_cap*IF(B548="South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Korea",korea_mid_revleg,revleg_mid)),0))*VLOOKUP(B548,country_opex,3,FALSE))+Z548+AA548+AB548+AC548+AD548)))</f>
        <v/>
      </c>
      <c r="BA548" s="54">
        <f>IF(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&lt;=0,"",VLOOKUP(B548,country_opex,7,FALSE)/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)</f>
        <v/>
      </c>
      <c r="BB548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C548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  <c r="BD548" s="43" t="n"/>
    </row>
    <row r="549">
      <c r="A549" s="38" t="inlineStr">
        <is>
          <t>Taiwan</t>
        </is>
      </c>
      <c r="B549" s="38" t="inlineStr">
        <is>
          <t>Taiwan</t>
        </is>
      </c>
      <c r="C549" s="39" t="inlineStr">
        <is>
          <t>Magong (Penghu) → Penghu outer islands (Qimei / Wang'an)</t>
        </is>
      </c>
      <c r="D549" s="38" t="inlineStr">
        <is>
          <t>grab</t>
        </is>
      </c>
      <c r="E549" s="40" t="inlineStr">
        <is>
          <t>taiwan</t>
        </is>
      </c>
      <c r="F549" s="41" t="n">
        <v>1</v>
      </c>
      <c r="G549" s="42" t="n">
        <v>23.12</v>
      </c>
      <c r="H549" s="35" t="n">
        <v>15</v>
      </c>
      <c r="I549" s="43" t="inlineStr">
        <is>
          <t>T1</t>
        </is>
      </c>
      <c r="J549" s="43" t="inlineStr">
        <is>
          <t>med</t>
        </is>
      </c>
      <c r="K549" s="29" t="n">
        <v>1</v>
      </c>
      <c r="L549" s="44">
        <f>60*G549/cruise_kt</f>
        <v/>
      </c>
      <c r="M549" s="44">
        <f>IF(B549="South Korea",G549/korea_charge_range_nm*korea_full_range_charge_min,0)</f>
        <v/>
      </c>
      <c r="N549" s="44">
        <f>IF(B549="South Korea",L549+korea_turn_min+korea_dwell_min+M549,L549+turn_min+dwell_min)</f>
        <v/>
      </c>
      <c r="O549" s="45">
        <f>IF(B549="South Korea",FLOOR(60*korea_service_hr/N549,1),MIN(15,FLOOR(60*service_hr/N549,1)))</f>
        <v/>
      </c>
      <c r="P549" s="45">
        <f>IF(ABS(MOD(ABS((365*mech_uptime*K549)),1)-0.5)&lt;1E-9,2*ROUND((365*mech_uptime*K549)/2,0),ROUND((365*mech_uptime*K549),0))</f>
        <v/>
      </c>
      <c r="Q549" s="46">
        <f>mech_uptime</f>
        <v/>
      </c>
      <c r="R549" s="46">
        <f>IF(AND(B549="South Korea",scenario="MID"),korea_mid_revleg,revleg_sel)</f>
        <v/>
      </c>
      <c r="S549" s="45">
        <f>IF(ABS(MOD(ABS((O549*P549*R549)),1)-0.5)&lt;1E-9,2*ROUND((O549*P549*R549)/2,0),ROUND((O549*P549*R549),0))</f>
        <v/>
      </c>
      <c r="T549" s="46">
        <f>IF(AND(B549="South Korea",scenario="MID"),korea_mid_load,load_sel)</f>
        <v/>
      </c>
      <c r="U549" s="47">
        <f>pax_cap*T549</f>
        <v/>
      </c>
      <c r="V549" s="45">
        <f>U549*S549</f>
        <v/>
      </c>
      <c r="W549" s="48">
        <f>H549*discount</f>
        <v/>
      </c>
      <c r="X549" s="49">
        <f>W549*V549</f>
        <v/>
      </c>
      <c r="Y549" s="49">
        <f>(battery/range_nm)*G549*S549*VLOOKUP(B549,country_opex,3,FALSE)</f>
        <v/>
      </c>
      <c r="Z549" s="49">
        <f>VLOOKUP(B549,country_opex,2,FALSE)*crew_factor</f>
        <v/>
      </c>
      <c r="AA549" s="49">
        <f>VLOOKUP(B549,country_opex,5,FALSE)</f>
        <v/>
      </c>
      <c r="AB549" s="49">
        <f>maint</f>
        <v/>
      </c>
      <c r="AC549" s="49">
        <f>VLOOKUP(B549,country_opex,7,FALSE)*ins_pct</f>
        <v/>
      </c>
      <c r="AD549" s="49">
        <f>charge_berth</f>
        <v/>
      </c>
      <c r="AE549" s="49">
        <f>Y549+Z549+AA549+AB549+AC549+AD549</f>
        <v/>
      </c>
      <c r="AF549" s="49">
        <f>VLOOKUP(B549,country_opex,7,FALSE)/dep_years</f>
        <v/>
      </c>
      <c r="AG549" s="49">
        <f>X549-AE549</f>
        <v/>
      </c>
      <c r="AH549" s="46">
        <f>IF(X549=0,"",AG549/X549)</f>
        <v/>
      </c>
      <c r="AI549" s="47">
        <f>IF(AG549&lt;=0,"",VLOOKUP(B549,country_opex,7,FALSE)/AG549)</f>
        <v/>
      </c>
      <c r="AJ549" s="44">
        <f>((G549*S549/diesel_nmpg)*diesel_co2pg-(battery/range_nm)*G549*S549*VLOOKUP(B549,country_opex,4,FALSE))/1000</f>
        <v/>
      </c>
      <c r="AK549" s="42" t="n">
        <v>176528</v>
      </c>
      <c r="AL549" s="43" t="inlineStr">
        <is>
          <t>T2</t>
        </is>
      </c>
      <c r="AM549" s="43" t="inlineStr">
        <is>
          <t>med-low</t>
        </is>
      </c>
      <c r="AN549" s="50" t="n">
        <v>0.1</v>
      </c>
      <c r="AO549" s="45">
        <f>IF(AK549="","",AK549*AN549)</f>
        <v/>
      </c>
      <c r="AP549" s="45">
        <f>IF(OR(AK549="",V549=0),"",MIN(IF(AX549="",9.9E+99,AX549),FLOOR(AO549/V549,1)))</f>
        <v/>
      </c>
      <c r="AQ549" s="49">
        <f>IF(AP549="","",AP549*IF(ABS(MOD(ABS((X549)),1)-0.5)&lt;1E-9,2*ROUND((X549)/2,0),ROUND((X549),0)))</f>
        <v/>
      </c>
      <c r="AR549" s="47">
        <f>IF(OR(AK549="",V549=0),"",MIN(IF(AX549="",9.9E+99,AX549),AO549/V549))</f>
        <v/>
      </c>
      <c r="AS549" s="49">
        <f>IF(AR549="","",AR549*IF(B549="South Korea",IF(ABS(MOD(ABS((X549)),1)-0.5)&lt;1E-9,2*ROUND((X549)/2,0),ROUND((X549),0)),X549))</f>
        <v/>
      </c>
      <c r="AT549" s="51" t="n"/>
      <c r="AU549" s="43" t="inlineStr">
        <is>
          <t>Grounded</t>
        </is>
      </c>
      <c r="AV549" s="52" t="n"/>
      <c r="AW549" s="52" t="n"/>
      <c r="AX549" s="53" t="n"/>
      <c r="AY549" s="54">
        <f>IF(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&lt;=0,"",VLOOKUP(B549,country_opex,7,FALSE)/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)</f>
        <v/>
      </c>
      <c r="AZ549" s="54">
        <f>IF(((W549*pax_cap*IF(B549="South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Korea",korea_mid_revleg,revleg_mid)),0))*VLOOKUP(B549,country_opex,3,FALSE))+Z549+AA549+AB549+AC549+AD549))&lt;=0,"",VLOOKUP(B549,country_opex,7,FALSE)/((W549*pax_cap*IF(B549="South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Korea",korea_mid_revleg,revleg_mid)),0))*VLOOKUP(B549,country_opex,3,FALSE))+Z549+AA549+AB549+AC549+AD549)))</f>
        <v/>
      </c>
      <c r="BA549" s="54">
        <f>IF(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&lt;=0,"",VLOOKUP(B549,country_opex,7,FALSE)/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)</f>
        <v/>
      </c>
      <c r="BB549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C549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  <c r="BD549" s="43" t="inlineStr">
        <is>
          <t>ics-25ecef3e3b</t>
        </is>
      </c>
    </row>
    <row r="550">
      <c r="A550" s="38" t="inlineStr">
        <is>
          <t>Taiwan</t>
        </is>
      </c>
      <c r="B550" s="38" t="inlineStr">
        <is>
          <t>Taiwan</t>
        </is>
      </c>
      <c r="C550" s="39" t="inlineStr">
        <is>
          <t>Budai (Chiayi) → Magong (Penghu)</t>
        </is>
      </c>
      <c r="D550" s="38" t="inlineStr">
        <is>
          <t>grab</t>
        </is>
      </c>
      <c r="E550" s="40" t="inlineStr">
        <is>
          <t>taiwan</t>
        </is>
      </c>
      <c r="F550" s="41" t="n">
        <v>1</v>
      </c>
      <c r="G550" s="42" t="n">
        <v>33</v>
      </c>
      <c r="H550" s="35" t="n">
        <v>31.6</v>
      </c>
      <c r="I550" s="43" t="inlineStr">
        <is>
          <t>T1</t>
        </is>
      </c>
      <c r="J550" s="43" t="inlineStr">
        <is>
          <t>med-high</t>
        </is>
      </c>
      <c r="K550" s="29" t="n">
        <v>1</v>
      </c>
      <c r="L550" s="44">
        <f>60*G550/cruise_kt</f>
        <v/>
      </c>
      <c r="M550" s="44">
        <f>IF(B550="South Korea",G550/korea_charge_range_nm*korea_full_range_charge_min,0)</f>
        <v/>
      </c>
      <c r="N550" s="44">
        <f>IF(B550="South Korea",L550+korea_turn_min+korea_dwell_min+M550,L550+turn_min+dwell_min)</f>
        <v/>
      </c>
      <c r="O550" s="45">
        <f>IF(B550="South Korea",FLOOR(60*korea_service_hr/N550,1),MIN(15,FLOOR(60*service_hr/N550,1)))</f>
        <v/>
      </c>
      <c r="P550" s="45">
        <f>IF(ABS(MOD(ABS((365*mech_uptime*K550)),1)-0.5)&lt;1E-9,2*ROUND((365*mech_uptime*K550)/2,0),ROUND((365*mech_uptime*K550),0))</f>
        <v/>
      </c>
      <c r="Q550" s="46">
        <f>mech_uptime</f>
        <v/>
      </c>
      <c r="R550" s="46">
        <f>IF(AND(B550="South Korea",scenario="MID"),korea_mid_revleg,revleg_sel)</f>
        <v/>
      </c>
      <c r="S550" s="45">
        <f>IF(ABS(MOD(ABS((O550*P550*R550)),1)-0.5)&lt;1E-9,2*ROUND((O550*P550*R550)/2,0),ROUND((O550*P550*R550),0))</f>
        <v/>
      </c>
      <c r="T550" s="46">
        <f>IF(AND(B550="South Korea",scenario="MID"),korea_mid_load,load_sel)</f>
        <v/>
      </c>
      <c r="U550" s="47">
        <f>pax_cap*T550</f>
        <v/>
      </c>
      <c r="V550" s="45">
        <f>U550*S550</f>
        <v/>
      </c>
      <c r="W550" s="48">
        <f>H550*discount</f>
        <v/>
      </c>
      <c r="X550" s="49">
        <f>W550*V550</f>
        <v/>
      </c>
      <c r="Y550" s="49">
        <f>(battery/range_nm)*G550*S550*VLOOKUP(B550,country_opex,3,FALSE)</f>
        <v/>
      </c>
      <c r="Z550" s="49">
        <f>VLOOKUP(B550,country_opex,2,FALSE)*crew_factor</f>
        <v/>
      </c>
      <c r="AA550" s="49">
        <f>VLOOKUP(B550,country_opex,5,FALSE)</f>
        <v/>
      </c>
      <c r="AB550" s="49">
        <f>maint</f>
        <v/>
      </c>
      <c r="AC550" s="49">
        <f>VLOOKUP(B550,country_opex,7,FALSE)*ins_pct</f>
        <v/>
      </c>
      <c r="AD550" s="49">
        <f>charge_berth</f>
        <v/>
      </c>
      <c r="AE550" s="49">
        <f>Y550+Z550+AA550+AB550+AC550+AD550</f>
        <v/>
      </c>
      <c r="AF550" s="49">
        <f>VLOOKUP(B550,country_opex,7,FALSE)/dep_years</f>
        <v/>
      </c>
      <c r="AG550" s="49">
        <f>X550-AE550</f>
        <v/>
      </c>
      <c r="AH550" s="46">
        <f>IF(X550=0,"",AG550/X550)</f>
        <v/>
      </c>
      <c r="AI550" s="47">
        <f>IF(AG550&lt;=0,"",VLOOKUP(B550,country_opex,7,FALSE)/AG550)</f>
        <v/>
      </c>
      <c r="AJ550" s="44">
        <f>((G550*S550/diesel_nmpg)*diesel_co2pg-(battery/range_nm)*G550*S550*VLOOKUP(B550,country_opex,4,FALSE))/1000</f>
        <v/>
      </c>
      <c r="AK550" s="42" t="n">
        <v>500342</v>
      </c>
      <c r="AL550" s="43" t="inlineStr">
        <is>
          <t>T2</t>
        </is>
      </c>
      <c r="AM550" s="43" t="inlineStr">
        <is>
          <t>high</t>
        </is>
      </c>
      <c r="AN550" s="50" t="n">
        <v>0.1</v>
      </c>
      <c r="AO550" s="45">
        <f>IF(AK550="","",AK550*AN550)</f>
        <v/>
      </c>
      <c r="AP550" s="45">
        <f>IF(OR(AK550="",V550=0),"",MIN(IF(AX550="",9.9E+99,AX550),FLOOR(AO550/V550,1)))</f>
        <v/>
      </c>
      <c r="AQ550" s="49">
        <f>IF(AP550="","",AP550*IF(ABS(MOD(ABS((X550)),1)-0.5)&lt;1E-9,2*ROUND((X550)/2,0),ROUND((X550),0)))</f>
        <v/>
      </c>
      <c r="AR550" s="47">
        <f>IF(OR(AK550="",V550=0),"",MIN(IF(AX550="",9.9E+99,AX550),AO550/V550))</f>
        <v/>
      </c>
      <c r="AS550" s="49">
        <f>IF(AR550="","",AR550*IF(B550="South Korea",IF(ABS(MOD(ABS((X550)),1)-0.5)&lt;1E-9,2*ROUND((X550)/2,0),ROUND((X550),0)),X550))</f>
        <v/>
      </c>
      <c r="AT550" s="51" t="n"/>
      <c r="AU550" s="43" t="inlineStr">
        <is>
          <t>Grounded</t>
        </is>
      </c>
      <c r="AV550" s="52" t="n"/>
      <c r="AW550" s="52" t="n"/>
      <c r="AX550" s="53" t="n"/>
      <c r="AY550" s="54">
        <f>IF(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&lt;=0,"",VLOOKUP(B550,country_opex,7,FALSE)/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)</f>
        <v/>
      </c>
      <c r="AZ550" s="54">
        <f>IF(((W550*pax_cap*IF(B550="South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Korea",korea_mid_revleg,revleg_mid)),0))*VLOOKUP(B550,country_opex,3,FALSE))+Z550+AA550+AB550+AC550+AD550))&lt;=0,"",VLOOKUP(B550,country_opex,7,FALSE)/((W550*pax_cap*IF(B550="South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Korea",korea_mid_revleg,revleg_mid)),0))*VLOOKUP(B550,country_opex,3,FALSE))+Z550+AA550+AB550+AC550+AD550)))</f>
        <v/>
      </c>
      <c r="BA550" s="54">
        <f>IF(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&lt;=0,"",VLOOKUP(B550,country_opex,7,FALSE)/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)</f>
        <v/>
      </c>
      <c r="BB550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C550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  <c r="BD550" s="43" t="n"/>
    </row>
    <row r="551">
      <c r="A551" s="38" t="inlineStr">
        <is>
          <t>Bangkok</t>
        </is>
      </c>
      <c r="B551" s="38" t="inlineStr">
        <is>
          <t>Thailand</t>
        </is>
      </c>
      <c r="C551" s="39" t="inlineStr">
        <is>
          <t>Sathorn (Central) Pier → Phra Arthit Pier</t>
        </is>
      </c>
      <c r="D551" s="38" t="inlineStr">
        <is>
          <t>grab</t>
        </is>
      </c>
      <c r="E551" s="40" t="inlineStr">
        <is>
          <t>bangkok</t>
        </is>
      </c>
      <c r="F551" s="41" t="n">
        <v>1</v>
      </c>
      <c r="G551" s="42" t="n">
        <v>2.9</v>
      </c>
      <c r="H551" s="35" t="n">
        <v>18</v>
      </c>
      <c r="I551" s="43" t="inlineStr">
        <is>
          <t>T1</t>
        </is>
      </c>
      <c r="J551" s="43" t="inlineStr">
        <is>
          <t>high</t>
        </is>
      </c>
      <c r="K551" s="29" t="n">
        <v>1</v>
      </c>
      <c r="L551" s="44">
        <f>60*G551/cruise_kt</f>
        <v/>
      </c>
      <c r="M551" s="44">
        <f>IF(B551="South Korea",G551/korea_charge_range_nm*korea_full_range_charge_min,0)</f>
        <v/>
      </c>
      <c r="N551" s="44">
        <f>IF(B551="South Korea",L551+korea_turn_min+korea_dwell_min+M551,L551+turn_min+dwell_min)</f>
        <v/>
      </c>
      <c r="O551" s="45">
        <f>IF(B551="South Korea",FLOOR(60*korea_service_hr/N551,1),MIN(15,FLOOR(60*service_hr/N551,1)))</f>
        <v/>
      </c>
      <c r="P551" s="45">
        <f>IF(ABS(MOD(ABS((365*mech_uptime*K551)),1)-0.5)&lt;1E-9,2*ROUND((365*mech_uptime*K551)/2,0),ROUND((365*mech_uptime*K551),0))</f>
        <v/>
      </c>
      <c r="Q551" s="46">
        <f>mech_uptime</f>
        <v/>
      </c>
      <c r="R551" s="46">
        <f>IF(AND(B551="South Korea",scenario="MID"),korea_mid_revleg,revleg_sel)</f>
        <v/>
      </c>
      <c r="S551" s="45">
        <f>IF(ABS(MOD(ABS((O551*P551*R551)),1)-0.5)&lt;1E-9,2*ROUND((O551*P551*R551)/2,0),ROUND((O551*P551*R551),0))</f>
        <v/>
      </c>
      <c r="T551" s="46">
        <f>IF(AND(B551="South Korea",scenario="MID"),korea_mid_load,load_sel)</f>
        <v/>
      </c>
      <c r="U551" s="47">
        <f>pax_cap*T551</f>
        <v/>
      </c>
      <c r="V551" s="45">
        <f>U551*S551</f>
        <v/>
      </c>
      <c r="W551" s="48">
        <f>H551*discount</f>
        <v/>
      </c>
      <c r="X551" s="49">
        <f>W551*V551</f>
        <v/>
      </c>
      <c r="Y551" s="49">
        <f>(battery/range_nm)*G551*S551*VLOOKUP(B551,country_opex,3,FALSE)</f>
        <v/>
      </c>
      <c r="Z551" s="49">
        <f>VLOOKUP(B551,country_opex,2,FALSE)*crew_factor</f>
        <v/>
      </c>
      <c r="AA551" s="49">
        <f>VLOOKUP(B551,country_opex,5,FALSE)</f>
        <v/>
      </c>
      <c r="AB551" s="49">
        <f>maint</f>
        <v/>
      </c>
      <c r="AC551" s="49">
        <f>VLOOKUP(B551,country_opex,7,FALSE)*ins_pct</f>
        <v/>
      </c>
      <c r="AD551" s="49">
        <f>charge_berth</f>
        <v/>
      </c>
      <c r="AE551" s="49">
        <f>Y551+Z551+AA551+AB551+AC551+AD551</f>
        <v/>
      </c>
      <c r="AF551" s="49">
        <f>VLOOKUP(B551,country_opex,7,FALSE)/dep_years</f>
        <v/>
      </c>
      <c r="AG551" s="49">
        <f>X551-AE551</f>
        <v/>
      </c>
      <c r="AH551" s="46">
        <f>IF(X551=0,"",AG551/X551)</f>
        <v/>
      </c>
      <c r="AI551" s="47">
        <f>IF(AG551&lt;=0,"",VLOOKUP(B551,country_opex,7,FALSE)/AG551)</f>
        <v/>
      </c>
      <c r="AJ551" s="44">
        <f>((G551*S551/diesel_nmpg)*diesel_co2pg-(battery/range_nm)*G551*S551*VLOOKUP(B551,country_opex,4,FALSE))/1000</f>
        <v/>
      </c>
      <c r="AK551" s="42" t="n">
        <v>1100000</v>
      </c>
      <c r="AL551" s="43" t="n"/>
      <c r="AM551" s="43" t="n"/>
      <c r="AN551" s="50" t="n">
        <v>0.1</v>
      </c>
      <c r="AO551" s="45">
        <f>IF(AK551="","",AK551*AN551)</f>
        <v/>
      </c>
      <c r="AP551" s="45">
        <f>IF(OR(AK551="",V551=0),"",MIN(IF(AX551="",9.9E+99,AX551),FLOOR(AO551/V551,1)))</f>
        <v/>
      </c>
      <c r="AQ551" s="49">
        <f>IF(AP551="","",AP551*IF(ABS(MOD(ABS((X551)),1)-0.5)&lt;1E-9,2*ROUND((X551)/2,0),ROUND((X551),0)))</f>
        <v/>
      </c>
      <c r="AR551" s="47">
        <f>IF(OR(AK551="",V551=0),"",MIN(IF(AX551="",9.9E+99,AX551),AO551/V551))</f>
        <v/>
      </c>
      <c r="AS551" s="49">
        <f>IF(AR551="","",AR551*IF(B551="South Korea",IF(ABS(MOD(ABS((X551)),1)-0.5)&lt;1E-9,2*ROUND((X551)/2,0),ROUND((X551),0)),X551))</f>
        <v/>
      </c>
      <c r="AT551" s="51" t="n"/>
      <c r="AU551" s="43" t="inlineStr">
        <is>
          <t>Grounded</t>
        </is>
      </c>
      <c r="AV551" s="52" t="n"/>
      <c r="AW551" s="52" t="n"/>
      <c r="AX551" s="53" t="n"/>
      <c r="AY551" s="54">
        <f>IF(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&lt;=0,"",VLOOKUP(B551,country_opex,7,FALSE)/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)</f>
        <v/>
      </c>
      <c r="AZ551" s="54">
        <f>IF(((W551*pax_cap*IF(B551="South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Korea",korea_mid_revleg,revleg_mid)),0))*VLOOKUP(B551,country_opex,3,FALSE))+Z551+AA551+AB551+AC551+AD551))&lt;=0,"",VLOOKUP(B551,country_opex,7,FALSE)/((W551*pax_cap*IF(B551="South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Korea",korea_mid_revleg,revleg_mid)),0))*VLOOKUP(B551,country_opex,3,FALSE))+Z551+AA551+AB551+AC551+AD551)))</f>
        <v/>
      </c>
      <c r="BA551" s="54">
        <f>IF(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&lt;=0,"",VLOOKUP(B551,country_opex,7,FALSE)/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)</f>
        <v/>
      </c>
      <c r="BB551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C551" s="40" t="n"/>
      <c r="BD551" s="43" t="inlineStr">
        <is>
          <t>gcn-e299366426-shared</t>
        </is>
      </c>
    </row>
    <row r="552">
      <c r="A552" s="38" t="inlineStr">
        <is>
          <t>Bangkok</t>
        </is>
      </c>
      <c r="B552" s="38" t="inlineStr">
        <is>
          <t>Thailand</t>
        </is>
      </c>
      <c r="C552" s="39" t="inlineStr">
        <is>
          <t>ICONSIAM Pier (Chao Phraya) → ICONSIAM Pier (Chao Phraya)</t>
        </is>
      </c>
      <c r="D552" s="38" t="inlineStr">
        <is>
          <t>grab</t>
        </is>
      </c>
      <c r="E552" s="40" t="inlineStr">
        <is>
          <t>bangkok</t>
        </is>
      </c>
      <c r="F552" s="41" t="n">
        <v>1</v>
      </c>
      <c r="G552" s="42" t="n">
        <v>5.3</v>
      </c>
      <c r="H552" s="35" t="n">
        <v>35</v>
      </c>
      <c r="I552" s="43" t="inlineStr">
        <is>
          <t>T2</t>
        </is>
      </c>
      <c r="J552" s="43" t="inlineStr">
        <is>
          <t>med</t>
        </is>
      </c>
      <c r="K552" s="29" t="n">
        <v>1</v>
      </c>
      <c r="L552" s="44">
        <f>60*G552/cruise_kt</f>
        <v/>
      </c>
      <c r="M552" s="44">
        <f>IF(B552="South Korea",G552/korea_charge_range_nm*korea_full_range_charge_min,0)</f>
        <v/>
      </c>
      <c r="N552" s="44">
        <f>IF(B552="South Korea",L552+korea_turn_min+korea_dwell_min+M552,L552+turn_min+dwell_min)</f>
        <v/>
      </c>
      <c r="O552" s="45">
        <f>IF(B552="South Korea",FLOOR(60*korea_service_hr/N552,1),MIN(15,FLOOR(60*service_hr/N552,1)))</f>
        <v/>
      </c>
      <c r="P552" s="45">
        <f>IF(ABS(MOD(ABS((365*mech_uptime*K552)),1)-0.5)&lt;1E-9,2*ROUND((365*mech_uptime*K552)/2,0),ROUND((365*mech_uptime*K552),0))</f>
        <v/>
      </c>
      <c r="Q552" s="46">
        <f>mech_uptime</f>
        <v/>
      </c>
      <c r="R552" s="46">
        <f>IF(AND(B552="South Korea",scenario="MID"),korea_mid_revleg,revleg_sel)</f>
        <v/>
      </c>
      <c r="S552" s="45">
        <f>IF(ABS(MOD(ABS((O552*P552*R552)),1)-0.5)&lt;1E-9,2*ROUND((O552*P552*R552)/2,0),ROUND((O552*P552*R552),0))</f>
        <v/>
      </c>
      <c r="T552" s="46">
        <f>IF(AND(B552="South Korea",scenario="MID"),korea_mid_load,load_sel)</f>
        <v/>
      </c>
      <c r="U552" s="47">
        <f>pax_cap*T552</f>
        <v/>
      </c>
      <c r="V552" s="45">
        <f>U552*S552</f>
        <v/>
      </c>
      <c r="W552" s="48">
        <f>H552*discount</f>
        <v/>
      </c>
      <c r="X552" s="49">
        <f>W552*V552</f>
        <v/>
      </c>
      <c r="Y552" s="49">
        <f>(battery/range_nm)*G552*S552*VLOOKUP(B552,country_opex,3,FALSE)</f>
        <v/>
      </c>
      <c r="Z552" s="49">
        <f>VLOOKUP(B552,country_opex,2,FALSE)*crew_factor</f>
        <v/>
      </c>
      <c r="AA552" s="49">
        <f>VLOOKUP(B552,country_opex,5,FALSE)</f>
        <v/>
      </c>
      <c r="AB552" s="49">
        <f>maint</f>
        <v/>
      </c>
      <c r="AC552" s="49">
        <f>VLOOKUP(B552,country_opex,7,FALSE)*ins_pct</f>
        <v/>
      </c>
      <c r="AD552" s="49">
        <f>charge_berth</f>
        <v/>
      </c>
      <c r="AE552" s="49">
        <f>Y552+Z552+AA552+AB552+AC552+AD552</f>
        <v/>
      </c>
      <c r="AF552" s="49">
        <f>VLOOKUP(B552,country_opex,7,FALSE)/dep_years</f>
        <v/>
      </c>
      <c r="AG552" s="49">
        <f>X552-AE552</f>
        <v/>
      </c>
      <c r="AH552" s="46">
        <f>IF(X552=0,"",AG552/X552)</f>
        <v/>
      </c>
      <c r="AI552" s="47">
        <f>IF(AG552&lt;=0,"",VLOOKUP(B552,country_opex,7,FALSE)/AG552)</f>
        <v/>
      </c>
      <c r="AJ552" s="44">
        <f>((G552*S552/diesel_nmpg)*diesel_co2pg-(battery/range_nm)*G552*S552*VLOOKUP(B552,country_opex,4,FALSE))/1000</f>
        <v/>
      </c>
      <c r="AK552" s="42" t="n">
        <v>1200000</v>
      </c>
      <c r="AL552" s="43" t="n"/>
      <c r="AM552" s="43" t="n"/>
      <c r="AN552" s="50" t="n">
        <v>0.1</v>
      </c>
      <c r="AO552" s="45">
        <f>IF(AK552="","",AK552*AN552)</f>
        <v/>
      </c>
      <c r="AP552" s="45">
        <f>IF(OR(AK552="",V552=0),"",MIN(IF(AX552="",9.9E+99,AX552),FLOOR(AO552/V552,1)))</f>
        <v/>
      </c>
      <c r="AQ552" s="49">
        <f>IF(AP552="","",AP552*IF(ABS(MOD(ABS((X552)),1)-0.5)&lt;1E-9,2*ROUND((X552)/2,0),ROUND((X552),0)))</f>
        <v/>
      </c>
      <c r="AR552" s="47">
        <f>IF(OR(AK552="",V552=0),"",MIN(IF(AX552="",9.9E+99,AX552),AO552/V552))</f>
        <v/>
      </c>
      <c r="AS552" s="49">
        <f>IF(AR552="","",AR552*IF(B552="South Korea",IF(ABS(MOD(ABS((X552)),1)-0.5)&lt;1E-9,2*ROUND((X552)/2,0),ROUND((X552),0)),X552))</f>
        <v/>
      </c>
      <c r="AT552" s="51" t="n"/>
      <c r="AU552" s="43" t="inlineStr">
        <is>
          <t>Grounded</t>
        </is>
      </c>
      <c r="AV552" s="52" t="n"/>
      <c r="AW552" s="52" t="n"/>
      <c r="AX552" s="53" t="n"/>
      <c r="AY552" s="54">
        <f>IF(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&lt;=0,"",VLOOKUP(B552,country_opex,7,FALSE)/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)</f>
        <v/>
      </c>
      <c r="AZ552" s="54">
        <f>IF(((W552*pax_cap*IF(B552="South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Korea",korea_mid_revleg,revleg_mid)),0))*VLOOKUP(B552,country_opex,3,FALSE))+Z552+AA552+AB552+AC552+AD552))&lt;=0,"",VLOOKUP(B552,country_opex,7,FALSE)/((W552*pax_cap*IF(B552="South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Korea",korea_mid_revleg,revleg_mid)),0))*VLOOKUP(B552,country_opex,3,FALSE))+Z552+AA552+AB552+AC552+AD552)))</f>
        <v/>
      </c>
      <c r="BA552" s="54">
        <f>IF(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&lt;=0,"",VLOOKUP(B552,country_opex,7,FALSE)/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)</f>
        <v/>
      </c>
      <c r="BB552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C552" s="40" t="n"/>
      <c r="BD552" s="43" t="inlineStr">
        <is>
          <t>gcn-334cc44485-shared</t>
        </is>
      </c>
    </row>
    <row r="553">
      <c r="A553" s="38" t="inlineStr">
        <is>
          <t>Koh Samui</t>
        </is>
      </c>
      <c r="B553" s="38" t="inlineStr">
        <is>
          <t>Thailand</t>
        </is>
      </c>
      <c r="C553" s="39" t="inlineStr">
        <is>
          <t>Samui Pralarn Pier (Mae Nam) → Koh Phangan (Thong Sala) — pier-exact</t>
        </is>
      </c>
      <c r="D553" s="38" t="inlineStr">
        <is>
          <t>grab</t>
        </is>
      </c>
      <c r="E553" s="40" t="inlineStr">
        <is>
          <t>koh-samui</t>
        </is>
      </c>
      <c r="F553" s="41" t="n">
        <v>1</v>
      </c>
      <c r="G553" s="42" t="n">
        <v>7.5</v>
      </c>
      <c r="H553" s="35" t="n">
        <v>35</v>
      </c>
      <c r="I553" s="43" t="n"/>
      <c r="J553" s="43" t="inlineStr">
        <is>
          <t>T1</t>
        </is>
      </c>
      <c r="K553" s="29" t="n">
        <v>1</v>
      </c>
      <c r="L553" s="44">
        <f>60*G553/cruise_kt</f>
        <v/>
      </c>
      <c r="M553" s="44">
        <f>IF(B553="South Korea",G553/korea_charge_range_nm*korea_full_range_charge_min,0)</f>
        <v/>
      </c>
      <c r="N553" s="44">
        <f>IF(B553="South Korea",L553+korea_turn_min+korea_dwell_min+M553,L553+turn_min+dwell_min)</f>
        <v/>
      </c>
      <c r="O553" s="45">
        <f>IF(B553="South Korea",FLOOR(60*korea_service_hr/N553,1),MIN(15,FLOOR(60*service_hr/N553,1)))</f>
        <v/>
      </c>
      <c r="P553" s="45">
        <f>IF(ABS(MOD(ABS((365*mech_uptime*K553)),1)-0.5)&lt;1E-9,2*ROUND((365*mech_uptime*K553)/2,0),ROUND((365*mech_uptime*K553),0))</f>
        <v/>
      </c>
      <c r="Q553" s="46">
        <f>mech_uptime</f>
        <v/>
      </c>
      <c r="R553" s="46">
        <f>IF(AND(B553="South Korea",scenario="MID"),korea_mid_revleg,revleg_sel)</f>
        <v/>
      </c>
      <c r="S553" s="45">
        <f>IF(ABS(MOD(ABS((O553*P553*R553)),1)-0.5)&lt;1E-9,2*ROUND((O553*P553*R553)/2,0),ROUND((O553*P553*R553),0))</f>
        <v/>
      </c>
      <c r="T553" s="46">
        <f>IF(AND(B553="South Korea",scenario="MID"),korea_mid_load,load_sel)</f>
        <v/>
      </c>
      <c r="U553" s="47">
        <f>pax_cap*T553</f>
        <v/>
      </c>
      <c r="V553" s="45">
        <f>U553*S553</f>
        <v/>
      </c>
      <c r="W553" s="48">
        <f>H553*discount</f>
        <v/>
      </c>
      <c r="X553" s="49">
        <f>W553*V553</f>
        <v/>
      </c>
      <c r="Y553" s="49">
        <f>(battery/range_nm)*G553*S553*VLOOKUP(B553,country_opex,3,FALSE)</f>
        <v/>
      </c>
      <c r="Z553" s="49">
        <f>VLOOKUP(B553,country_opex,2,FALSE)*crew_factor</f>
        <v/>
      </c>
      <c r="AA553" s="49">
        <f>VLOOKUP(B553,country_opex,5,FALSE)</f>
        <v/>
      </c>
      <c r="AB553" s="49">
        <f>maint</f>
        <v/>
      </c>
      <c r="AC553" s="49">
        <f>VLOOKUP(B553,country_opex,7,FALSE)*ins_pct</f>
        <v/>
      </c>
      <c r="AD553" s="49">
        <f>charge_berth</f>
        <v/>
      </c>
      <c r="AE553" s="49">
        <f>Y553+Z553+AA553+AB553+AC553+AD553</f>
        <v/>
      </c>
      <c r="AF553" s="49">
        <f>VLOOKUP(B553,country_opex,7,FALSE)/dep_years</f>
        <v/>
      </c>
      <c r="AG553" s="49">
        <f>X553-AE553</f>
        <v/>
      </c>
      <c r="AH553" s="46">
        <f>IF(X553=0,"",AG553/X553)</f>
        <v/>
      </c>
      <c r="AI553" s="47">
        <f>IF(AG553&lt;=0,"",VLOOKUP(B553,country_opex,7,FALSE)/AG553)</f>
        <v/>
      </c>
      <c r="AJ553" s="44">
        <f>((G553*S553/diesel_nmpg)*diesel_co2pg-(battery/range_nm)*G553*S553*VLOOKUP(B553,country_opex,4,FALSE))/1000</f>
        <v/>
      </c>
      <c r="AK553" s="42" t="n">
        <v>450000</v>
      </c>
      <c r="AL553" s="43" t="inlineStr">
        <is>
          <t>T5</t>
        </is>
      </c>
      <c r="AM553" s="43" t="inlineStr">
        <is>
          <t>low-med</t>
        </is>
      </c>
      <c r="AN553" s="50" t="n">
        <v>0.1</v>
      </c>
      <c r="AO553" s="45">
        <f>IF(AK553="","",AK553*AN553)</f>
        <v/>
      </c>
      <c r="AP553" s="45">
        <f>IF(OR(AK553="",V553=0),"",MIN(IF(AX553="",9.9E+99,AX553),FLOOR(AO553/V553,1)))</f>
        <v/>
      </c>
      <c r="AQ553" s="49">
        <f>IF(AP553="","",AP553*IF(ABS(MOD(ABS((X553)),1)-0.5)&lt;1E-9,2*ROUND((X553)/2,0),ROUND((X553),0)))</f>
        <v/>
      </c>
      <c r="AR553" s="47">
        <f>IF(OR(AK553="",V553=0),"",MIN(IF(AX553="",9.9E+99,AX553),AO553/V553))</f>
        <v/>
      </c>
      <c r="AS553" s="49">
        <f>IF(AR553="","",AR553*IF(B553="South Korea",IF(ABS(MOD(ABS((X553)),1)-0.5)&lt;1E-9,2*ROUND((X553)/2,0),ROUND((X553),0)),X553))</f>
        <v/>
      </c>
      <c r="AT553" s="51" t="inlineStr">
        <is>
          <t>rn-db5e83248f9d</t>
        </is>
      </c>
      <c r="AU553" s="43" t="inlineStr">
        <is>
          <t>Grounded</t>
        </is>
      </c>
      <c r="AV553" s="52" t="n"/>
      <c r="AW553" s="52" t="n"/>
      <c r="AX553" s="53" t="n"/>
      <c r="AY553" s="54">
        <f>IF(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&lt;=0,"",VLOOKUP(B553,country_opex,7,FALSE)/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)</f>
        <v/>
      </c>
      <c r="AZ553" s="54">
        <f>IF(((W553*pax_cap*IF(B553="South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Korea",korea_mid_revleg,revleg_mid)),0))*VLOOKUP(B553,country_opex,3,FALSE))+Z553+AA553+AB553+AC553+AD553))&lt;=0,"",VLOOKUP(B553,country_opex,7,FALSE)/((W553*pax_cap*IF(B553="South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Korea",korea_mid_revleg,revleg_mid)),0))*VLOOKUP(B553,country_opex,3,FALSE))+Z553+AA553+AB553+AC553+AD553)))</f>
        <v/>
      </c>
      <c r="BA553" s="54">
        <f>IF(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&lt;=0,"",VLOOKUP(B553,country_opex,7,FALSE)/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)</f>
        <v/>
      </c>
      <c r="BB553" s="40" t="n"/>
      <c r="BC553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  <c r="BD553" s="43" t="inlineStr">
        <is>
          <t>ics-5038f54700</t>
        </is>
      </c>
    </row>
    <row r="554">
      <c r="A554" s="38" t="inlineStr">
        <is>
          <t>Penang</t>
        </is>
      </c>
      <c r="B554" s="38" t="inlineStr">
        <is>
          <t>Thailand</t>
        </is>
      </c>
      <c r="C554" s="39" t="inlineStr">
        <is>
          <t>George Town (Penang) → Batu Ferringhi / Penang Bridge corridor</t>
        </is>
      </c>
      <c r="D554" s="38" t="inlineStr">
        <is>
          <t>grab</t>
        </is>
      </c>
      <c r="E554" s="40" t="inlineStr">
        <is>
          <t>penang</t>
        </is>
      </c>
      <c r="F554" s="41" t="n">
        <v>1</v>
      </c>
      <c r="G554" s="42" t="n">
        <v>8</v>
      </c>
      <c r="H554" s="35" t="n">
        <v>30</v>
      </c>
      <c r="I554" s="43" t="inlineStr">
        <is>
          <t>T5</t>
        </is>
      </c>
      <c r="J554" s="43" t="inlineStr">
        <is>
          <t>low</t>
        </is>
      </c>
      <c r="K554" s="29" t="n">
        <v>1</v>
      </c>
      <c r="L554" s="44">
        <f>60*G554/cruise_kt</f>
        <v/>
      </c>
      <c r="M554" s="44">
        <f>IF(B554="South Korea",G554/korea_charge_range_nm*korea_full_range_charge_min,0)</f>
        <v/>
      </c>
      <c r="N554" s="44">
        <f>IF(B554="South Korea",L554+korea_turn_min+korea_dwell_min+M554,L554+turn_min+dwell_min)</f>
        <v/>
      </c>
      <c r="O554" s="45">
        <f>IF(B554="South Korea",FLOOR(60*korea_service_hr/N554,1),MIN(15,FLOOR(60*service_hr/N554,1)))</f>
        <v/>
      </c>
      <c r="P554" s="45">
        <f>IF(ABS(MOD(ABS((365*mech_uptime*K554)),1)-0.5)&lt;1E-9,2*ROUND((365*mech_uptime*K554)/2,0),ROUND((365*mech_uptime*K554),0))</f>
        <v/>
      </c>
      <c r="Q554" s="46">
        <f>mech_uptime</f>
        <v/>
      </c>
      <c r="R554" s="46">
        <f>IF(AND(B554="South Korea",scenario="MID"),korea_mid_revleg,revleg_sel)</f>
        <v/>
      </c>
      <c r="S554" s="45">
        <f>IF(ABS(MOD(ABS((O554*P554*R554)),1)-0.5)&lt;1E-9,2*ROUND((O554*P554*R554)/2,0),ROUND((O554*P554*R554),0))</f>
        <v/>
      </c>
      <c r="T554" s="46">
        <f>IF(AND(B554="South Korea",scenario="MID"),korea_mid_load,load_sel)</f>
        <v/>
      </c>
      <c r="U554" s="47">
        <f>pax_cap*T554</f>
        <v/>
      </c>
      <c r="V554" s="45">
        <f>U554*S554</f>
        <v/>
      </c>
      <c r="W554" s="48">
        <f>H554*discount</f>
        <v/>
      </c>
      <c r="X554" s="49">
        <f>W554*V554</f>
        <v/>
      </c>
      <c r="Y554" s="49">
        <f>(battery/range_nm)*G554*S554*VLOOKUP(B554,country_opex,3,FALSE)</f>
        <v/>
      </c>
      <c r="Z554" s="49">
        <f>VLOOKUP(B554,country_opex,2,FALSE)*crew_factor</f>
        <v/>
      </c>
      <c r="AA554" s="49">
        <f>VLOOKUP(B554,country_opex,5,FALSE)</f>
        <v/>
      </c>
      <c r="AB554" s="49">
        <f>maint</f>
        <v/>
      </c>
      <c r="AC554" s="49">
        <f>VLOOKUP(B554,country_opex,7,FALSE)*ins_pct</f>
        <v/>
      </c>
      <c r="AD554" s="49">
        <f>charge_berth</f>
        <v/>
      </c>
      <c r="AE554" s="49">
        <f>Y554+Z554+AA554+AB554+AC554+AD554</f>
        <v/>
      </c>
      <c r="AF554" s="49">
        <f>VLOOKUP(B554,country_opex,7,FALSE)/dep_years</f>
        <v/>
      </c>
      <c r="AG554" s="49">
        <f>X554-AE554</f>
        <v/>
      </c>
      <c r="AH554" s="46">
        <f>IF(X554=0,"",AG554/X554)</f>
        <v/>
      </c>
      <c r="AI554" s="47">
        <f>IF(AG554&lt;=0,"",VLOOKUP(B554,country_opex,7,FALSE)/AG554)</f>
        <v/>
      </c>
      <c r="AJ554" s="44">
        <f>((G554*S554/diesel_nmpg)*diesel_co2pg-(battery/range_nm)*G554*S554*VLOOKUP(B554,country_opex,4,FALSE))/1000</f>
        <v/>
      </c>
      <c r="AK554" s="42" t="n"/>
      <c r="AL554" s="43" t="inlineStr">
        <is>
          <t>T5</t>
        </is>
      </c>
      <c r="AM554" s="43" t="inlineStr">
        <is>
          <t>low</t>
        </is>
      </c>
      <c r="AN554" s="50" t="n">
        <v>0.1</v>
      </c>
      <c r="AO554" s="45">
        <f>IF(AK554="","",AK554*AN554)</f>
        <v/>
      </c>
      <c r="AP554" s="45">
        <f>IF(OR(AK554="",V554=0),"",MIN(IF(AX554="",9.9E+99,AX554),FLOOR(AO554/V554,1)))</f>
        <v/>
      </c>
      <c r="AQ554" s="49">
        <f>IF(AP554="","",AP554*IF(ABS(MOD(ABS((X554)),1)-0.5)&lt;1E-9,2*ROUND((X554)/2,0),ROUND((X554),0)))</f>
        <v/>
      </c>
      <c r="AR554" s="47">
        <f>IF(OR(AK554="",V554=0),"",MIN(IF(AX554="",9.9E+99,AX554),AO554/V554))</f>
        <v/>
      </c>
      <c r="AS554" s="49">
        <f>IF(AR554="","",AR554*IF(B554="South Korea",IF(ABS(MOD(ABS((X554)),1)-0.5)&lt;1E-9,2*ROUND((X554)/2,0),ROUND((X554),0)),X554))</f>
        <v/>
      </c>
      <c r="AT554" s="51" t="n"/>
      <c r="AU554" s="43" t="inlineStr">
        <is>
          <t>Estimated</t>
        </is>
      </c>
      <c r="AV554" s="52" t="n"/>
      <c r="AW554" s="52" t="n"/>
      <c r="AX554" s="53" t="n"/>
      <c r="AY554" s="54">
        <f>IF(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&lt;=0,"",VLOOKUP(B554,country_opex,7,FALSE)/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)</f>
        <v/>
      </c>
      <c r="AZ554" s="54">
        <f>IF(((W554*pax_cap*IF(B554="South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Korea",korea_mid_revleg,revleg_mid)),0))*VLOOKUP(B554,country_opex,3,FALSE))+Z554+AA554+AB554+AC554+AD554))&lt;=0,"",VLOOKUP(B554,country_opex,7,FALSE)/((W554*pax_cap*IF(B554="South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Korea",korea_mid_revleg,revleg_mid)),0))*VLOOKUP(B554,country_opex,3,FALSE))+Z554+AA554+AB554+AC554+AD554)))</f>
        <v/>
      </c>
      <c r="BA554" s="54">
        <f>IF(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&lt;=0,"",VLOOKUP(B554,country_opex,7,FALSE)/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)</f>
        <v/>
      </c>
      <c r="BB554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554" s="40" t="inlineStr">
        <is>
          <t>No boat crossing exists; Batu Ferringhi hotel-strip arrivals come by road. No credible on-water pax pool.</t>
        </is>
      </c>
      <c r="BD554" s="43" t="inlineStr">
        <is>
          <t>gcn-57d1989825-shared</t>
        </is>
      </c>
    </row>
    <row r="555">
      <c r="A555" s="38" t="inlineStr">
        <is>
          <t>Phuket</t>
        </is>
      </c>
      <c r="B555" s="38" t="inlineStr">
        <is>
          <t>Thailand</t>
        </is>
      </c>
      <c r="C555" s="39" t="inlineStr">
        <is>
          <t>Ao Po Grand Marina → Anantara Layan Phuket Beach Jetty</t>
        </is>
      </c>
      <c r="D555" s="38" t="inlineStr">
        <is>
          <t>grab</t>
        </is>
      </c>
      <c r="E555" s="40" t="inlineStr">
        <is>
          <t>phuket</t>
        </is>
      </c>
      <c r="F555" s="41" t="n">
        <v>1</v>
      </c>
      <c r="G555" s="42" t="n">
        <v>9.6</v>
      </c>
      <c r="H555" s="35" t="n">
        <v>100</v>
      </c>
      <c r="I555" s="43" t="inlineStr">
        <is>
          <t>T2</t>
        </is>
      </c>
      <c r="J555" s="43" t="inlineStr">
        <is>
          <t>med</t>
        </is>
      </c>
      <c r="K555" s="29" t="n">
        <v>1</v>
      </c>
      <c r="L555" s="44">
        <f>60*G555/cruise_kt</f>
        <v/>
      </c>
      <c r="M555" s="44">
        <f>IF(B555="South Korea",G555/korea_charge_range_nm*korea_full_range_charge_min,0)</f>
        <v/>
      </c>
      <c r="N555" s="44">
        <f>IF(B555="South Korea",L555+korea_turn_min+korea_dwell_min+M555,L555+turn_min+dwell_min)</f>
        <v/>
      </c>
      <c r="O555" s="45">
        <f>IF(B555="South Korea",FLOOR(60*korea_service_hr/N555,1),MIN(15,FLOOR(60*service_hr/N555,1)))</f>
        <v/>
      </c>
      <c r="P555" s="45">
        <f>IF(ABS(MOD(ABS((365*mech_uptime*K555)),1)-0.5)&lt;1E-9,2*ROUND((365*mech_uptime*K555)/2,0),ROUND((365*mech_uptime*K555),0))</f>
        <v/>
      </c>
      <c r="Q555" s="46">
        <f>mech_uptime</f>
        <v/>
      </c>
      <c r="R555" s="46">
        <f>IF(AND(B555="South Korea",scenario="MID"),korea_mid_revleg,revleg_sel)</f>
        <v/>
      </c>
      <c r="S555" s="45">
        <f>IF(ABS(MOD(ABS((O555*P555*R555)),1)-0.5)&lt;1E-9,2*ROUND((O555*P555*R555)/2,0),ROUND((O555*P555*R555),0))</f>
        <v/>
      </c>
      <c r="T555" s="46">
        <f>IF(AND(B555="South Korea",scenario="MID"),korea_mid_load,load_sel)</f>
        <v/>
      </c>
      <c r="U555" s="47">
        <f>pax_cap*T555</f>
        <v/>
      </c>
      <c r="V555" s="45">
        <f>U555*S555</f>
        <v/>
      </c>
      <c r="W555" s="48">
        <f>H555*discount</f>
        <v/>
      </c>
      <c r="X555" s="49">
        <f>W555*V555</f>
        <v/>
      </c>
      <c r="Y555" s="49">
        <f>(battery/range_nm)*G555*S555*VLOOKUP(B555,country_opex,3,FALSE)</f>
        <v/>
      </c>
      <c r="Z555" s="49">
        <f>VLOOKUP(B555,country_opex,2,FALSE)*crew_factor</f>
        <v/>
      </c>
      <c r="AA555" s="49">
        <f>VLOOKUP(B555,country_opex,5,FALSE)</f>
        <v/>
      </c>
      <c r="AB555" s="49">
        <f>maint</f>
        <v/>
      </c>
      <c r="AC555" s="49">
        <f>VLOOKUP(B555,country_opex,7,FALSE)*ins_pct</f>
        <v/>
      </c>
      <c r="AD555" s="49">
        <f>charge_berth</f>
        <v/>
      </c>
      <c r="AE555" s="49">
        <f>Y555+Z555+AA555+AB555+AC555+AD555</f>
        <v/>
      </c>
      <c r="AF555" s="49">
        <f>VLOOKUP(B555,country_opex,7,FALSE)/dep_years</f>
        <v/>
      </c>
      <c r="AG555" s="49">
        <f>X555-AE555</f>
        <v/>
      </c>
      <c r="AH555" s="46">
        <f>IF(X555=0,"",AG555/X555)</f>
        <v/>
      </c>
      <c r="AI555" s="47">
        <f>IF(AG555&lt;=0,"",VLOOKUP(B555,country_opex,7,FALSE)/AG555)</f>
        <v/>
      </c>
      <c r="AJ555" s="44">
        <f>((G555*S555/diesel_nmpg)*diesel_co2pg-(battery/range_nm)*G555*S555*VLOOKUP(B555,country_opex,4,FALSE))/1000</f>
        <v/>
      </c>
      <c r="AK555" s="42" t="n">
        <v>8500</v>
      </c>
      <c r="AL555" s="43" t="inlineStr">
        <is>
          <t>T2</t>
        </is>
      </c>
      <c r="AM555" s="43" t="inlineStr">
        <is>
          <t>med</t>
        </is>
      </c>
      <c r="AN555" s="50" t="n">
        <v>0.9</v>
      </c>
      <c r="AO555" s="45">
        <f>IF(AK555="","",AK555*AN555)</f>
        <v/>
      </c>
      <c r="AP555" s="45">
        <f>IF(OR(AK555="",V555=0),"",MIN(IF(AX555="",9.9E+99,AX555),FLOOR(AO555/V555,1)))</f>
        <v/>
      </c>
      <c r="AQ555" s="49">
        <f>IF(AP555="","",AP555*IF(ABS(MOD(ABS((X555)),1)-0.5)&lt;1E-9,2*ROUND((X555)/2,0),ROUND((X555),0)))</f>
        <v/>
      </c>
      <c r="AR555" s="47">
        <f>IF(OR(AK555="",V555=0),"",MIN(IF(AX555="",9.9E+99,AX555),AO555/V555))</f>
        <v/>
      </c>
      <c r="AS555" s="49">
        <f>IF(AR555="","",AR555*IF(B555="South Korea",IF(ABS(MOD(ABS((X555)),1)-0.5)&lt;1E-9,2*ROUND((X555)/2,0),ROUND((X555),0)),X555))</f>
        <v/>
      </c>
      <c r="AT555" s="51" t="n"/>
      <c r="AU555" s="43" t="inlineStr">
        <is>
          <t>Grounded</t>
        </is>
      </c>
      <c r="AV555" s="52" t="n"/>
      <c r="AW555" s="52" t="n"/>
      <c r="AX555" s="53" t="n"/>
      <c r="AY555" s="54">
        <f>IF(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&lt;=0,"",VLOOKUP(B555,country_opex,7,FALSE)/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)</f>
        <v/>
      </c>
      <c r="AZ555" s="54">
        <f>IF(((W555*pax_cap*IF(B555="South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Korea",korea_mid_revleg,revleg_mid)),0))*VLOOKUP(B555,country_opex,3,FALSE))+Z555+AA555+AB555+AC555+AD555))&lt;=0,"",VLOOKUP(B555,country_opex,7,FALSE)/((W555*pax_cap*IF(B555="South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Korea",korea_mid_revleg,revleg_mid)),0))*VLOOKUP(B555,country_opex,3,FALSE))+Z555+AA555+AB555+AC555+AD555)))</f>
        <v/>
      </c>
      <c r="BA555" s="54">
        <f>IF(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&lt;=0,"",VLOOKUP(B555,country_opex,7,FALSE)/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)</f>
        <v/>
      </c>
      <c r="BB555" s="40" t="inlineStr">
        <is>
          <t>Minor Hotels captive gateway — Anantara Layan marina pickup.</t>
        </is>
      </c>
      <c r="BC555" s="40" t="inlineStr">
        <is>
          <t>minor-hotels-phuket-flagship-economics-DRAFT.json — Layan gateway pool</t>
        </is>
      </c>
      <c r="BD555" s="43" t="inlineStr">
        <is>
          <t>rn-b28ac4ca3d14</t>
        </is>
      </c>
    </row>
    <row r="556">
      <c r="A556" s="38" t="inlineStr">
        <is>
          <t>Phuket</t>
        </is>
      </c>
      <c r="B556" s="38" t="inlineStr">
        <is>
          <t>Thailand</t>
        </is>
      </c>
      <c r="C556" s="39" t="inlineStr">
        <is>
          <t>Chalong Pier (Ao Chalong) → Chalong Pier (Ao Chalong)</t>
        </is>
      </c>
      <c r="D556" s="38" t="inlineStr">
        <is>
          <t>grab</t>
        </is>
      </c>
      <c r="E556" s="40" t="inlineStr">
        <is>
          <t>phuket</t>
        </is>
      </c>
      <c r="F556" s="41" t="n">
        <v>1</v>
      </c>
      <c r="G556" s="42" t="n">
        <v>10</v>
      </c>
      <c r="H556" s="35" t="n">
        <v>35</v>
      </c>
      <c r="I556" s="43" t="inlineStr">
        <is>
          <t>T1</t>
        </is>
      </c>
      <c r="J556" s="43" t="inlineStr">
        <is>
          <t>med</t>
        </is>
      </c>
      <c r="K556" s="29" t="n">
        <v>1</v>
      </c>
      <c r="L556" s="44">
        <f>60*G556/cruise_kt</f>
        <v/>
      </c>
      <c r="M556" s="44">
        <f>IF(B556="South Korea",G556/korea_charge_range_nm*korea_full_range_charge_min,0)</f>
        <v/>
      </c>
      <c r="N556" s="44">
        <f>IF(B556="South Korea",L556+korea_turn_min+korea_dwell_min+M556,L556+turn_min+dwell_min)</f>
        <v/>
      </c>
      <c r="O556" s="45">
        <f>IF(B556="South Korea",FLOOR(60*korea_service_hr/N556,1),MIN(15,FLOOR(60*service_hr/N556,1)))</f>
        <v/>
      </c>
      <c r="P556" s="45">
        <f>IF(ABS(MOD(ABS((365*mech_uptime*K556)),1)-0.5)&lt;1E-9,2*ROUND((365*mech_uptime*K556)/2,0),ROUND((365*mech_uptime*K556),0))</f>
        <v/>
      </c>
      <c r="Q556" s="46">
        <f>mech_uptime</f>
        <v/>
      </c>
      <c r="R556" s="46">
        <f>IF(AND(B556="South Korea",scenario="MID"),korea_mid_revleg,revleg_sel)</f>
        <v/>
      </c>
      <c r="S556" s="45">
        <f>IF(ABS(MOD(ABS((O556*P556*R556)),1)-0.5)&lt;1E-9,2*ROUND((O556*P556*R556)/2,0),ROUND((O556*P556*R556),0))</f>
        <v/>
      </c>
      <c r="T556" s="46">
        <f>IF(AND(B556="South Korea",scenario="MID"),korea_mid_load,load_sel)</f>
        <v/>
      </c>
      <c r="U556" s="47">
        <f>pax_cap*T556</f>
        <v/>
      </c>
      <c r="V556" s="45">
        <f>U556*S556</f>
        <v/>
      </c>
      <c r="W556" s="48">
        <f>H556*discount</f>
        <v/>
      </c>
      <c r="X556" s="49">
        <f>W556*V556</f>
        <v/>
      </c>
      <c r="Y556" s="49">
        <f>(battery/range_nm)*G556*S556*VLOOKUP(B556,country_opex,3,FALSE)</f>
        <v/>
      </c>
      <c r="Z556" s="49">
        <f>VLOOKUP(B556,country_opex,2,FALSE)*crew_factor</f>
        <v/>
      </c>
      <c r="AA556" s="49">
        <f>VLOOKUP(B556,country_opex,5,FALSE)</f>
        <v/>
      </c>
      <c r="AB556" s="49">
        <f>maint</f>
        <v/>
      </c>
      <c r="AC556" s="49">
        <f>VLOOKUP(B556,country_opex,7,FALSE)*ins_pct</f>
        <v/>
      </c>
      <c r="AD556" s="49">
        <f>charge_berth</f>
        <v/>
      </c>
      <c r="AE556" s="49">
        <f>Y556+Z556+AA556+AB556+AC556+AD556</f>
        <v/>
      </c>
      <c r="AF556" s="49">
        <f>VLOOKUP(B556,country_opex,7,FALSE)/dep_years</f>
        <v/>
      </c>
      <c r="AG556" s="49">
        <f>X556-AE556</f>
        <v/>
      </c>
      <c r="AH556" s="46">
        <f>IF(X556=0,"",AG556/X556)</f>
        <v/>
      </c>
      <c r="AI556" s="47">
        <f>IF(AG556&lt;=0,"",VLOOKUP(B556,country_opex,7,FALSE)/AG556)</f>
        <v/>
      </c>
      <c r="AJ556" s="44">
        <f>((G556*S556/diesel_nmpg)*diesel_co2pg-(battery/range_nm)*G556*S556*VLOOKUP(B556,country_opex,4,FALSE))/1000</f>
        <v/>
      </c>
      <c r="AK556" s="42" t="n">
        <v>400000</v>
      </c>
      <c r="AL556" s="43" t="n"/>
      <c r="AM556" s="43" t="n"/>
      <c r="AN556" s="50" t="n">
        <v>0.1</v>
      </c>
      <c r="AO556" s="45">
        <f>IF(AK556="","",AK556*AN556)</f>
        <v/>
      </c>
      <c r="AP556" s="45">
        <f>IF(OR(AK556="",V556=0),"",MIN(IF(AX556="",9.9E+99,AX556),FLOOR(AO556/V556,1)))</f>
        <v/>
      </c>
      <c r="AQ556" s="49">
        <f>IF(AP556="","",AP556*IF(ABS(MOD(ABS((X556)),1)-0.5)&lt;1E-9,2*ROUND((X556)/2,0),ROUND((X556),0)))</f>
        <v/>
      </c>
      <c r="AR556" s="47">
        <f>IF(OR(AK556="",V556=0),"",MIN(IF(AX556="",9.9E+99,AX556),AO556/V556))</f>
        <v/>
      </c>
      <c r="AS556" s="49">
        <f>IF(AR556="","",AR556*IF(B556="South Korea",IF(ABS(MOD(ABS((X556)),1)-0.5)&lt;1E-9,2*ROUND((X556)/2,0),ROUND((X556),0)),X556))</f>
        <v/>
      </c>
      <c r="AT556" s="51" t="n"/>
      <c r="AU556" s="43" t="inlineStr">
        <is>
          <t>Grounded</t>
        </is>
      </c>
      <c r="AV556" s="52" t="n"/>
      <c r="AW556" s="52" t="n"/>
      <c r="AX556" s="53" t="n"/>
      <c r="AY556" s="54">
        <f>IF(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&lt;=0,"",VLOOKUP(B556,country_opex,7,FALSE)/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)</f>
        <v/>
      </c>
      <c r="AZ556" s="54">
        <f>IF(((W556*pax_cap*IF(B556="South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Korea",korea_mid_revleg,revleg_mid)),0))*VLOOKUP(B556,country_opex,3,FALSE))+Z556+AA556+AB556+AC556+AD556))&lt;=0,"",VLOOKUP(B556,country_opex,7,FALSE)/((W556*pax_cap*IF(B556="South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Korea",korea_mid_revleg,revleg_mid)),0))*VLOOKUP(B556,country_opex,3,FALSE))+Z556+AA556+AB556+AC556+AD556)))</f>
        <v/>
      </c>
      <c r="BA556" s="54">
        <f>IF(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&lt;=0,"",VLOOKUP(B556,country_opex,7,FALSE)/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)</f>
        <v/>
      </c>
      <c r="BB556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C556" s="40" t="n"/>
      <c r="BD556" s="43" t="inlineStr">
        <is>
          <t>gcn-097bdf6e8e-shared</t>
        </is>
      </c>
    </row>
    <row r="557">
      <c r="A557" s="38" t="inlineStr">
        <is>
          <t>Koh Samui</t>
        </is>
      </c>
      <c r="B557" s="38" t="inlineStr">
        <is>
          <t>Thailand</t>
        </is>
      </c>
      <c r="C557" s="39" t="inlineStr">
        <is>
          <t>Koh Samui (Bangrak) → Koh Phangan (Thong Sala)</t>
        </is>
      </c>
      <c r="D557" s="38" t="inlineStr">
        <is>
          <t>grab</t>
        </is>
      </c>
      <c r="E557" s="40" t="inlineStr">
        <is>
          <t>koh-samui</t>
        </is>
      </c>
      <c r="F557" s="41" t="n">
        <v>1</v>
      </c>
      <c r="G557" s="42" t="n">
        <v>10.2</v>
      </c>
      <c r="H557" s="35" t="n">
        <v>35</v>
      </c>
      <c r="I557" s="43" t="n"/>
      <c r="J557" s="43" t="inlineStr">
        <is>
          <t>T1</t>
        </is>
      </c>
      <c r="K557" s="29" t="n">
        <v>1</v>
      </c>
      <c r="L557" s="44">
        <f>60*G557/cruise_kt</f>
        <v/>
      </c>
      <c r="M557" s="44">
        <f>IF(B557="South Korea",G557/korea_charge_range_nm*korea_full_range_charge_min,0)</f>
        <v/>
      </c>
      <c r="N557" s="44">
        <f>IF(B557="South Korea",L557+korea_turn_min+korea_dwell_min+M557,L557+turn_min+dwell_min)</f>
        <v/>
      </c>
      <c r="O557" s="45">
        <f>IF(B557="South Korea",FLOOR(60*korea_service_hr/N557,1),MIN(15,FLOOR(60*service_hr/N557,1)))</f>
        <v/>
      </c>
      <c r="P557" s="45">
        <f>IF(ABS(MOD(ABS((365*mech_uptime*K557)),1)-0.5)&lt;1E-9,2*ROUND((365*mech_uptime*K557)/2,0),ROUND((365*mech_uptime*K557),0))</f>
        <v/>
      </c>
      <c r="Q557" s="46">
        <f>mech_uptime</f>
        <v/>
      </c>
      <c r="R557" s="46">
        <f>IF(AND(B557="South Korea",scenario="MID"),korea_mid_revleg,revleg_sel)</f>
        <v/>
      </c>
      <c r="S557" s="45">
        <f>IF(ABS(MOD(ABS((O557*P557*R557)),1)-0.5)&lt;1E-9,2*ROUND((O557*P557*R557)/2,0),ROUND((O557*P557*R557),0))</f>
        <v/>
      </c>
      <c r="T557" s="46">
        <f>IF(AND(B557="South Korea",scenario="MID"),korea_mid_load,load_sel)</f>
        <v/>
      </c>
      <c r="U557" s="47">
        <f>pax_cap*T557</f>
        <v/>
      </c>
      <c r="V557" s="45">
        <f>U557*S557</f>
        <v/>
      </c>
      <c r="W557" s="48">
        <f>H557*discount</f>
        <v/>
      </c>
      <c r="X557" s="49">
        <f>W557*V557</f>
        <v/>
      </c>
      <c r="Y557" s="49">
        <f>(battery/range_nm)*G557*S557*VLOOKUP(B557,country_opex,3,FALSE)</f>
        <v/>
      </c>
      <c r="Z557" s="49">
        <f>VLOOKUP(B557,country_opex,2,FALSE)*crew_factor</f>
        <v/>
      </c>
      <c r="AA557" s="49">
        <f>VLOOKUP(B557,country_opex,5,FALSE)</f>
        <v/>
      </c>
      <c r="AB557" s="49">
        <f>maint</f>
        <v/>
      </c>
      <c r="AC557" s="49">
        <f>VLOOKUP(B557,country_opex,7,FALSE)*ins_pct</f>
        <v/>
      </c>
      <c r="AD557" s="49">
        <f>charge_berth</f>
        <v/>
      </c>
      <c r="AE557" s="49">
        <f>Y557+Z557+AA557+AB557+AC557+AD557</f>
        <v/>
      </c>
      <c r="AF557" s="49">
        <f>VLOOKUP(B557,country_opex,7,FALSE)/dep_years</f>
        <v/>
      </c>
      <c r="AG557" s="49">
        <f>X557-AE557</f>
        <v/>
      </c>
      <c r="AH557" s="46">
        <f>IF(X557=0,"",AG557/X557)</f>
        <v/>
      </c>
      <c r="AI557" s="47">
        <f>IF(AG557&lt;=0,"",VLOOKUP(B557,country_opex,7,FALSE)/AG557)</f>
        <v/>
      </c>
      <c r="AJ557" s="44">
        <f>((G557*S557/diesel_nmpg)*diesel_co2pg-(battery/range_nm)*G557*S557*VLOOKUP(B557,country_opex,4,FALSE))/1000</f>
        <v/>
      </c>
      <c r="AK557" s="42" t="n">
        <v>1000000</v>
      </c>
      <c r="AL557" s="43" t="inlineStr">
        <is>
          <t>T4</t>
        </is>
      </c>
      <c r="AM557" s="43" t="inlineStr">
        <is>
          <t>med-low</t>
        </is>
      </c>
      <c r="AN557" s="50" t="n">
        <v>0.1</v>
      </c>
      <c r="AO557" s="45">
        <f>IF(AK557="","",AK557*AN557)</f>
        <v/>
      </c>
      <c r="AP557" s="45">
        <f>IF(OR(AK557="",V557=0),"",MIN(IF(AX557="",9.9E+99,AX557),FLOOR(AO557/V557,1)))</f>
        <v/>
      </c>
      <c r="AQ557" s="49">
        <f>IF(AP557="","",AP557*IF(ABS(MOD(ABS((X557)),1)-0.5)&lt;1E-9,2*ROUND((X557)/2,0),ROUND((X557),0)))</f>
        <v/>
      </c>
      <c r="AR557" s="47">
        <f>IF(OR(AK557="",V557=0),"",MIN(IF(AX557="",9.9E+99,AX557),AO557/V557))</f>
        <v/>
      </c>
      <c r="AS557" s="49">
        <f>IF(AR557="","",AR557*IF(B557="South Korea",IF(ABS(MOD(ABS((X557)),1)-0.5)&lt;1E-9,2*ROUND((X557)/2,0),ROUND((X557),0)),X557))</f>
        <v/>
      </c>
      <c r="AT557" s="51" t="n"/>
      <c r="AU557" s="43" t="inlineStr">
        <is>
          <t>Grounded</t>
        </is>
      </c>
      <c r="AV557" s="52" t="n"/>
      <c r="AW557" s="52" t="n"/>
      <c r="AX557" s="53" t="n"/>
      <c r="AY557" s="54">
        <f>IF(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&lt;=0,"",VLOOKUP(B557,country_opex,7,FALSE)/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)</f>
        <v/>
      </c>
      <c r="AZ557" s="54">
        <f>IF(((W557*pax_cap*IF(B557="South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Korea",korea_mid_revleg,revleg_mid)),0))*VLOOKUP(B557,country_opex,3,FALSE))+Z557+AA557+AB557+AC557+AD557))&lt;=0,"",VLOOKUP(B557,country_opex,7,FALSE)/((W557*pax_cap*IF(B557="South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Korea",korea_mid_revleg,revleg_mid)),0))*VLOOKUP(B557,country_opex,3,FALSE))+Z557+AA557+AB557+AC557+AD557)))</f>
        <v/>
      </c>
      <c r="BA557" s="54">
        <f>IF(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&lt;=0,"",VLOOKUP(B557,country_opex,7,FALSE)/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)</f>
        <v/>
      </c>
      <c r="BB557" s="40" t="n"/>
      <c r="BC557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  <c r="BD557" s="43" t="inlineStr">
        <is>
          <t>rn-db5e83248f9d</t>
        </is>
      </c>
    </row>
    <row r="558">
      <c r="A558" s="38" t="inlineStr">
        <is>
          <t>Phuket</t>
        </is>
      </c>
      <c r="B558" s="38" t="inlineStr">
        <is>
          <t>Thailand</t>
        </is>
      </c>
      <c r="C558" s="39" t="inlineStr">
        <is>
          <t>Ao Po Pier (Ao Po / Ao Por, NE Phuket) → Khao Phing Kan (James Bond Island), Phang Nga Bay</t>
        </is>
      </c>
      <c r="D558" s="38" t="inlineStr">
        <is>
          <t>grab</t>
        </is>
      </c>
      <c r="E558" s="40" t="inlineStr">
        <is>
          <t>phuket</t>
        </is>
      </c>
      <c r="F558" s="41" t="n">
        <v>1</v>
      </c>
      <c r="G558" s="42" t="n">
        <v>13.5</v>
      </c>
      <c r="H558" s="35" t="n">
        <v>90</v>
      </c>
      <c r="I558" s="43" t="inlineStr">
        <is>
          <t>T2</t>
        </is>
      </c>
      <c r="J558" s="43" t="inlineStr">
        <is>
          <t>med</t>
        </is>
      </c>
      <c r="K558" s="29" t="n">
        <v>1</v>
      </c>
      <c r="L558" s="44">
        <f>60*G558/cruise_kt</f>
        <v/>
      </c>
      <c r="M558" s="44">
        <f>IF(B558="South Korea",G558/korea_charge_range_nm*korea_full_range_charge_min,0)</f>
        <v/>
      </c>
      <c r="N558" s="44">
        <f>IF(B558="South Korea",L558+korea_turn_min+korea_dwell_min+M558,L558+turn_min+dwell_min)</f>
        <v/>
      </c>
      <c r="O558" s="45">
        <f>IF(B558="South Korea",FLOOR(60*korea_service_hr/N558,1),MIN(15,FLOOR(60*service_hr/N558,1)))</f>
        <v/>
      </c>
      <c r="P558" s="45">
        <f>IF(ABS(MOD(ABS((365*mech_uptime*K558)),1)-0.5)&lt;1E-9,2*ROUND((365*mech_uptime*K558)/2,0),ROUND((365*mech_uptime*K558),0))</f>
        <v/>
      </c>
      <c r="Q558" s="46">
        <f>mech_uptime</f>
        <v/>
      </c>
      <c r="R558" s="46">
        <f>IF(AND(B558="South Korea",scenario="MID"),korea_mid_revleg,revleg_sel)</f>
        <v/>
      </c>
      <c r="S558" s="45">
        <f>IF(ABS(MOD(ABS((O558*P558*R558)),1)-0.5)&lt;1E-9,2*ROUND((O558*P558*R558)/2,0),ROUND((O558*P558*R558),0))</f>
        <v/>
      </c>
      <c r="T558" s="46">
        <f>IF(AND(B558="South Korea",scenario="MID"),korea_mid_load,load_sel)</f>
        <v/>
      </c>
      <c r="U558" s="47">
        <f>pax_cap*T558</f>
        <v/>
      </c>
      <c r="V558" s="45">
        <f>U558*S558</f>
        <v/>
      </c>
      <c r="W558" s="48">
        <f>H558*discount</f>
        <v/>
      </c>
      <c r="X558" s="49">
        <f>W558*V558</f>
        <v/>
      </c>
      <c r="Y558" s="49">
        <f>(battery/range_nm)*G558*S558*VLOOKUP(B558,country_opex,3,FALSE)</f>
        <v/>
      </c>
      <c r="Z558" s="49">
        <f>VLOOKUP(B558,country_opex,2,FALSE)*crew_factor</f>
        <v/>
      </c>
      <c r="AA558" s="49">
        <f>VLOOKUP(B558,country_opex,5,FALSE)</f>
        <v/>
      </c>
      <c r="AB558" s="49">
        <f>maint</f>
        <v/>
      </c>
      <c r="AC558" s="49">
        <f>VLOOKUP(B558,country_opex,7,FALSE)*ins_pct</f>
        <v/>
      </c>
      <c r="AD558" s="49">
        <f>charge_berth</f>
        <v/>
      </c>
      <c r="AE558" s="49">
        <f>Y558+Z558+AA558+AB558+AC558+AD558</f>
        <v/>
      </c>
      <c r="AF558" s="49">
        <f>VLOOKUP(B558,country_opex,7,FALSE)/dep_years</f>
        <v/>
      </c>
      <c r="AG558" s="49">
        <f>X558-AE558</f>
        <v/>
      </c>
      <c r="AH558" s="46">
        <f>IF(X558=0,"",AG558/X558)</f>
        <v/>
      </c>
      <c r="AI558" s="47">
        <f>IF(AG558&lt;=0,"",VLOOKUP(B558,country_opex,7,FALSE)/AG558)</f>
        <v/>
      </c>
      <c r="AJ558" s="44">
        <f>((G558*S558/diesel_nmpg)*diesel_co2pg-(battery/range_nm)*G558*S558*VLOOKUP(B558,country_opex,4,FALSE))/1000</f>
        <v/>
      </c>
      <c r="AK558" s="42" t="n">
        <v>20000</v>
      </c>
      <c r="AL558" s="43" t="n"/>
      <c r="AM558" s="43" t="n"/>
      <c r="AN558" s="50" t="n">
        <v>0.1</v>
      </c>
      <c r="AO558" s="45">
        <f>IF(AK558="","",AK558*AN558)</f>
        <v/>
      </c>
      <c r="AP558" s="45">
        <f>IF(OR(AK558="",V558=0),"",MIN(IF(AX558="",9.9E+99,AX558),FLOOR(AO558/V558,1)))</f>
        <v/>
      </c>
      <c r="AQ558" s="49">
        <f>IF(AP558="","",AP558*IF(ABS(MOD(ABS((X558)),1)-0.5)&lt;1E-9,2*ROUND((X558)/2,0),ROUND((X558),0)))</f>
        <v/>
      </c>
      <c r="AR558" s="47">
        <f>IF(OR(AK558="",V558=0),"",MIN(IF(AX558="",9.9E+99,AX558),AO558/V558))</f>
        <v/>
      </c>
      <c r="AS558" s="49">
        <f>IF(AR558="","",AR558*IF(B558="South Korea",IF(ABS(MOD(ABS((X558)),1)-0.5)&lt;1E-9,2*ROUND((X558)/2,0),ROUND((X558),0)),X558))</f>
        <v/>
      </c>
      <c r="AT558" s="51" t="n"/>
      <c r="AU558" s="43" t="inlineStr">
        <is>
          <t>Grounded</t>
        </is>
      </c>
      <c r="AV558" s="52" t="n"/>
      <c r="AW558" s="52" t="n"/>
      <c r="AX558" s="53" t="n"/>
      <c r="AY558" s="54">
        <f>IF(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&lt;=0,"",VLOOKUP(B558,country_opex,7,FALSE)/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)</f>
        <v/>
      </c>
      <c r="AZ558" s="54">
        <f>IF(((W558*pax_cap*IF(B558="South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Korea",korea_mid_revleg,revleg_mid)),0))*VLOOKUP(B558,country_opex,3,FALSE))+Z558+AA558+AB558+AC558+AD558))&lt;=0,"",VLOOKUP(B558,country_opex,7,FALSE)/((W558*pax_cap*IF(B558="South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Korea",korea_mid_revleg,revleg_mid)),0))*VLOOKUP(B558,country_opex,3,FALSE))+Z558+AA558+AB558+AC558+AD558)))</f>
        <v/>
      </c>
      <c r="BA558" s="54">
        <f>IF(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&lt;=0,"",VLOOKUP(B558,country_opex,7,FALSE)/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)</f>
        <v/>
      </c>
      <c r="BB558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C558" s="40" t="n"/>
      <c r="BD558" s="43" t="inlineStr">
        <is>
          <t>gcn-f1b2ff834e-shared</t>
        </is>
      </c>
    </row>
    <row r="559">
      <c r="A559" s="38" t="inlineStr">
        <is>
          <t>Koh Samui</t>
        </is>
      </c>
      <c r="B559" s="38" t="inlineStr">
        <is>
          <t>Thailand</t>
        </is>
      </c>
      <c r="C559" s="39" t="inlineStr">
        <is>
          <t>Koh Samui (Lipa Noi) → Donsak (Raja Ferry pier)</t>
        </is>
      </c>
      <c r="D559" s="38" t="inlineStr">
        <is>
          <t>grab</t>
        </is>
      </c>
      <c r="E559" s="40" t="inlineStr">
        <is>
          <t>koh-samui</t>
        </is>
      </c>
      <c r="F559" s="41" t="n">
        <v>1</v>
      </c>
      <c r="G559" s="42" t="n">
        <v>14.3</v>
      </c>
      <c r="H559" s="35" t="n">
        <v>15.2</v>
      </c>
      <c r="I559" s="43" t="n"/>
      <c r="J559" s="43" t="inlineStr">
        <is>
          <t>T3</t>
        </is>
      </c>
      <c r="K559" s="29" t="n">
        <v>1</v>
      </c>
      <c r="L559" s="44">
        <f>60*G559/cruise_kt</f>
        <v/>
      </c>
      <c r="M559" s="44">
        <f>IF(B559="South Korea",G559/korea_charge_range_nm*korea_full_range_charge_min,0)</f>
        <v/>
      </c>
      <c r="N559" s="44">
        <f>IF(B559="South Korea",L559+korea_turn_min+korea_dwell_min+M559,L559+turn_min+dwell_min)</f>
        <v/>
      </c>
      <c r="O559" s="45">
        <f>IF(B559="South Korea",FLOOR(60*korea_service_hr/N559,1),MIN(24,FLOOR(60*service_hr/N559,1)))</f>
        <v/>
      </c>
      <c r="P559" s="45">
        <f>IF(ABS(MOD(ABS((365*mech_uptime*K559)),1)-0.5)&lt;1E-9,2*ROUND((365*mech_uptime*K559)/2,0),ROUND((365*mech_uptime*K559),0))</f>
        <v/>
      </c>
      <c r="Q559" s="46">
        <f>mech_uptime</f>
        <v/>
      </c>
      <c r="R559" s="46">
        <f>IF(AND(B559="South Korea",scenario="MID"),korea_mid_revleg,revleg_sel)</f>
        <v/>
      </c>
      <c r="S559" s="45">
        <f>IF(ABS(MOD(ABS((O559*P559*R559)),1)-0.5)&lt;1E-9,2*ROUND((O559*P559*R559)/2,0),ROUND((O559*P559*R559),0))</f>
        <v/>
      </c>
      <c r="T559" s="46">
        <f>IF(AND(B559="South Korea",scenario="MID"),korea_mid_load,load_sel)</f>
        <v/>
      </c>
      <c r="U559" s="47">
        <f>pax_cap*T559</f>
        <v/>
      </c>
      <c r="V559" s="45">
        <f>U559*S559</f>
        <v/>
      </c>
      <c r="W559" s="48">
        <f>H559*discount</f>
        <v/>
      </c>
      <c r="X559" s="49">
        <f>W559*V559</f>
        <v/>
      </c>
      <c r="Y559" s="49">
        <f>(battery/range_nm)*G559*S559*VLOOKUP(B559,country_opex,3,FALSE)</f>
        <v/>
      </c>
      <c r="Z559" s="49">
        <f>VLOOKUP(B559,country_opex,2,FALSE)*crew_factor</f>
        <v/>
      </c>
      <c r="AA559" s="49">
        <f>VLOOKUP(B559,country_opex,5,FALSE)</f>
        <v/>
      </c>
      <c r="AB559" s="49">
        <f>maint</f>
        <v/>
      </c>
      <c r="AC559" s="49">
        <f>VLOOKUP(B559,country_opex,7,FALSE)*ins_pct</f>
        <v/>
      </c>
      <c r="AD559" s="49">
        <f>charge_berth</f>
        <v/>
      </c>
      <c r="AE559" s="49">
        <f>Y559+Z559+AA559+AB559+AC559+AD559</f>
        <v/>
      </c>
      <c r="AF559" s="49">
        <f>VLOOKUP(B559,country_opex,7,FALSE)/dep_years</f>
        <v/>
      </c>
      <c r="AG559" s="49">
        <f>X559-AE559</f>
        <v/>
      </c>
      <c r="AH559" s="46">
        <f>IF(X559=0,"",AG559/X559)</f>
        <v/>
      </c>
      <c r="AI559" s="47">
        <f>IF(AG559&lt;=0,"",VLOOKUP(B559,country_opex,7,FALSE)/AG559)</f>
        <v/>
      </c>
      <c r="AJ559" s="44">
        <f>((G559*S559/diesel_nmpg)*diesel_co2pg-(battery/range_nm)*G559*S559*VLOOKUP(B559,country_opex,4,FALSE))/1000</f>
        <v/>
      </c>
      <c r="AK559" s="42" t="n">
        <v>666667</v>
      </c>
      <c r="AL559" s="43" t="inlineStr">
        <is>
          <t>T2</t>
        </is>
      </c>
      <c r="AM559" s="43" t="inlineStr">
        <is>
          <t>med-low</t>
        </is>
      </c>
      <c r="AN559" s="50" t="n">
        <v>0.1</v>
      </c>
      <c r="AO559" s="45">
        <f>IF(AK559="","",AK559*AN559)</f>
        <v/>
      </c>
      <c r="AP559" s="45">
        <f>IF(OR(AK559="",V559=0),"",MIN(IF(AX559="",9.9E+99,AX559),FLOOR(AO559/V559,1)))</f>
        <v/>
      </c>
      <c r="AQ559" s="49">
        <f>IF(AP559="","",AP559*IF(ABS(MOD(ABS((X559)),1)-0.5)&lt;1E-9,2*ROUND((X559)/2,0),ROUND((X559),0)))</f>
        <v/>
      </c>
      <c r="AR559" s="47">
        <f>IF(OR(AK559="",V559=0),"",MIN(IF(AX559="",9.9E+99,AX559),AO559/V559))</f>
        <v/>
      </c>
      <c r="AS559" s="49">
        <f>IF(AR559="","",AR559*IF(B559="South Korea",IF(ABS(MOD(ABS((X559)),1)-0.5)&lt;1E-9,2*ROUND((X559)/2,0),ROUND((X559),0)),X559))</f>
        <v/>
      </c>
      <c r="AT559" s="51" t="n"/>
      <c r="AU559" s="43" t="inlineStr">
        <is>
          <t>Grounded</t>
        </is>
      </c>
      <c r="AV559" s="52" t="n"/>
      <c r="AW559" s="52" t="n"/>
      <c r="AX559" s="53" t="n"/>
      <c r="AY559" s="54">
        <f>IF(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&lt;=0,"",VLOOKUP(B559,country_opex,7,FALSE)/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)</f>
        <v/>
      </c>
      <c r="AZ559" s="54">
        <f>IF(((W559*pax_cap*IF(B559="South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Korea",korea_mid_revleg,revleg_mid)),0))*VLOOKUP(B559,country_opex,3,FALSE))+Z559+AA559+AB559+AC559+AD559))&lt;=0,"",VLOOKUP(B559,country_opex,7,FALSE)/((W559*pax_cap*IF(B559="South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Korea",korea_mid_revleg,revleg_mid)),0))*VLOOKUP(B559,country_opex,3,FALSE))+Z559+AA559+AB559+AC559+AD559)))</f>
        <v/>
      </c>
      <c r="BA559" s="54">
        <f>IF(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&lt;=0,"",VLOOKUP(B559,country_opex,7,FALSE)/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)</f>
        <v/>
      </c>
      <c r="BB559" s="40" t="n"/>
      <c r="BC559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  <c r="BD559" s="43" t="inlineStr">
        <is>
          <t>ics-5038f54700</t>
        </is>
      </c>
    </row>
    <row r="560">
      <c r="A560" s="38" t="inlineStr">
        <is>
          <t>Koh Samui</t>
        </is>
      </c>
      <c r="B560" s="38" t="inlineStr">
        <is>
          <t>Thailand</t>
        </is>
      </c>
      <c r="C560" s="39" t="inlineStr">
        <is>
          <t>Four Seasons Koh Samui (Laem Yai) → Ang Thong Marine Park (Wua Talap)</t>
        </is>
      </c>
      <c r="D560" s="38" t="inlineStr">
        <is>
          <t>grab</t>
        </is>
      </c>
      <c r="E560" s="40" t="inlineStr">
        <is>
          <t>koh-samui</t>
        </is>
      </c>
      <c r="F560" s="41" t="n">
        <v>1</v>
      </c>
      <c r="G560" s="42" t="n">
        <v>15.3</v>
      </c>
      <c r="H560" s="35" t="n">
        <v>79</v>
      </c>
      <c r="I560" s="43" t="n"/>
      <c r="J560" s="43" t="inlineStr">
        <is>
          <t>T3</t>
        </is>
      </c>
      <c r="K560" s="29" t="n">
        <v>1</v>
      </c>
      <c r="L560" s="44">
        <f>60*G560/cruise_kt</f>
        <v/>
      </c>
      <c r="M560" s="44">
        <f>IF(B560="South Korea",G560/korea_charge_range_nm*korea_full_range_charge_min,0)</f>
        <v/>
      </c>
      <c r="N560" s="44">
        <f>IF(B560="South Korea",L560+korea_turn_min+korea_dwell_min+M560,L560+turn_min+dwell_min)</f>
        <v/>
      </c>
      <c r="O560" s="45">
        <f>IF(B560="South Korea",FLOOR(60*korea_service_hr/N560,1),MIN(15,FLOOR(60*service_hr/N560,1)))</f>
        <v/>
      </c>
      <c r="P560" s="45">
        <f>IF(ABS(MOD(ABS((365*mech_uptime*K560)),1)-0.5)&lt;1E-9,2*ROUND((365*mech_uptime*K560)/2,0),ROUND((365*mech_uptime*K560),0))</f>
        <v/>
      </c>
      <c r="Q560" s="46">
        <f>mech_uptime</f>
        <v/>
      </c>
      <c r="R560" s="46">
        <f>IF(AND(B560="South Korea",scenario="MID"),korea_mid_revleg,revleg_sel)</f>
        <v/>
      </c>
      <c r="S560" s="45">
        <f>IF(ABS(MOD(ABS((O560*P560*R560)),1)-0.5)&lt;1E-9,2*ROUND((O560*P560*R560)/2,0),ROUND((O560*P560*R560),0))</f>
        <v/>
      </c>
      <c r="T560" s="46">
        <f>IF(AND(B560="South Korea",scenario="MID"),korea_mid_load,load_sel)</f>
        <v/>
      </c>
      <c r="U560" s="47">
        <f>pax_cap*T560</f>
        <v/>
      </c>
      <c r="V560" s="45">
        <f>U560*S560</f>
        <v/>
      </c>
      <c r="W560" s="48">
        <f>H560*discount</f>
        <v/>
      </c>
      <c r="X560" s="49">
        <f>W560*V560</f>
        <v/>
      </c>
      <c r="Y560" s="49">
        <f>(battery/range_nm)*G560*S560*VLOOKUP(B560,country_opex,3,FALSE)</f>
        <v/>
      </c>
      <c r="Z560" s="49">
        <f>VLOOKUP(B560,country_opex,2,FALSE)*crew_factor</f>
        <v/>
      </c>
      <c r="AA560" s="49">
        <f>VLOOKUP(B560,country_opex,5,FALSE)</f>
        <v/>
      </c>
      <c r="AB560" s="49">
        <f>maint</f>
        <v/>
      </c>
      <c r="AC560" s="49">
        <f>VLOOKUP(B560,country_opex,7,FALSE)*ins_pct</f>
        <v/>
      </c>
      <c r="AD560" s="49">
        <f>charge_berth</f>
        <v/>
      </c>
      <c r="AE560" s="49">
        <f>Y560+Z560+AA560+AB560+AC560+AD560</f>
        <v/>
      </c>
      <c r="AF560" s="49">
        <f>VLOOKUP(B560,country_opex,7,FALSE)/dep_years</f>
        <v/>
      </c>
      <c r="AG560" s="49">
        <f>X560-AE560</f>
        <v/>
      </c>
      <c r="AH560" s="46">
        <f>IF(X560=0,"",AG560/X560)</f>
        <v/>
      </c>
      <c r="AI560" s="47">
        <f>IF(AG560&lt;=0,"",VLOOKUP(B560,country_opex,7,FALSE)/AG560)</f>
        <v/>
      </c>
      <c r="AJ560" s="44">
        <f>((G560*S560/diesel_nmpg)*diesel_co2pg-(battery/range_nm)*G560*S560*VLOOKUP(B560,country_opex,4,FALSE))/1000</f>
        <v/>
      </c>
      <c r="AK560" s="42" t="n">
        <v>300000</v>
      </c>
      <c r="AL560" s="43" t="inlineStr">
        <is>
          <t>T2</t>
        </is>
      </c>
      <c r="AM560" s="43" t="inlineStr">
        <is>
          <t>med-low</t>
        </is>
      </c>
      <c r="AN560" s="50" t="n">
        <v>0.9</v>
      </c>
      <c r="AO560" s="45">
        <f>IF(AK560="","",AK560*AN560)</f>
        <v/>
      </c>
      <c r="AP560" s="45">
        <f>IF(OR(AK560="",V560=0),"",MIN(IF(AX560="",9.9E+99,AX560),FLOOR(AO560/V560,1)))</f>
        <v/>
      </c>
      <c r="AQ560" s="49">
        <f>IF(AP560="","",AP560*IF(ABS(MOD(ABS((X560)),1)-0.5)&lt;1E-9,2*ROUND((X560)/2,0),ROUND((X560),0)))</f>
        <v/>
      </c>
      <c r="AR560" s="47">
        <f>IF(OR(AK560="",V560=0),"",MIN(IF(AX560="",9.9E+99,AX560),AO560/V560))</f>
        <v/>
      </c>
      <c r="AS560" s="49">
        <f>IF(AR560="","",AR560*IF(B560="South Korea",IF(ABS(MOD(ABS((X560)),1)-0.5)&lt;1E-9,2*ROUND((X560)/2,0),ROUND((X560),0)),X560))</f>
        <v/>
      </c>
      <c r="AT560" s="51" t="n"/>
      <c r="AU560" s="43" t="inlineStr">
        <is>
          <t>Grounded</t>
        </is>
      </c>
      <c r="AV560" s="52" t="n"/>
      <c r="AW560" s="52" t="n"/>
      <c r="AX560" s="53" t="n">
        <v>3</v>
      </c>
      <c r="AY560" s="54">
        <f>IF(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&lt;=0,"",VLOOKUP(B560,country_opex,7,FALSE)/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)</f>
        <v/>
      </c>
      <c r="AZ560" s="54">
        <f>IF(((W560*pax_cap*IF(B560="South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Korea",korea_mid_revleg,revleg_mid)),0))*VLOOKUP(B560,country_opex,3,FALSE))+Z560+AA560+AB560+AC560+AD560))&lt;=0,"",VLOOKUP(B560,country_opex,7,FALSE)/((W560*pax_cap*IF(B560="South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Korea",korea_mid_revleg,revleg_mid)),0))*VLOOKUP(B560,country_opex,3,FALSE))+Z560+AA560+AB560+AC560+AD560)))</f>
        <v/>
      </c>
      <c r="BA560" s="54">
        <f>IF(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&lt;=0,"",VLOOKUP(B560,country_opex,7,FALSE)/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)</f>
        <v/>
      </c>
      <c r="BB560" s="40" t="n"/>
      <c r="BC560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  <c r="BD560" s="43" t="inlineStr">
        <is>
          <t>rn-fa231ce52b52</t>
        </is>
      </c>
    </row>
    <row r="561">
      <c r="A561" s="38" t="inlineStr">
        <is>
          <t>Phuket</t>
        </is>
      </c>
      <c r="B561" s="38" t="inlineStr">
        <is>
          <t>Thailand</t>
        </is>
      </c>
      <c r="C561" s="39" t="inlineStr">
        <is>
          <t>Rassada Pier (Phuket Deep Sea Port) → Manoh Pier (Koh Yao Yai)</t>
        </is>
      </c>
      <c r="D561" s="38" t="inlineStr">
        <is>
          <t>grab</t>
        </is>
      </c>
      <c r="E561" s="40" t="inlineStr">
        <is>
          <t>phuket</t>
        </is>
      </c>
      <c r="F561" s="41" t="n">
        <v>1</v>
      </c>
      <c r="G561" s="42" t="n">
        <v>16.9</v>
      </c>
      <c r="H561" s="35" t="n">
        <v>100</v>
      </c>
      <c r="I561" s="43" t="inlineStr">
        <is>
          <t>T2</t>
        </is>
      </c>
      <c r="J561" s="43" t="inlineStr">
        <is>
          <t>med</t>
        </is>
      </c>
      <c r="K561" s="29" t="n">
        <v>1</v>
      </c>
      <c r="L561" s="44">
        <f>60*G561/cruise_kt</f>
        <v/>
      </c>
      <c r="M561" s="44">
        <f>IF(B561="South Korea",G561/korea_charge_range_nm*korea_full_range_charge_min,0)</f>
        <v/>
      </c>
      <c r="N561" s="44">
        <f>IF(B561="South Korea",L561+korea_turn_min+korea_dwell_min+M561,L561+turn_min+dwell_min)</f>
        <v/>
      </c>
      <c r="O561" s="45">
        <f>IF(B561="South Korea",FLOOR(60*korea_service_hr/N561,1),MIN(15,FLOOR(60*service_hr/N561,1)))</f>
        <v/>
      </c>
      <c r="P561" s="45">
        <f>IF(ABS(MOD(ABS((365*mech_uptime*K561)),1)-0.5)&lt;1E-9,2*ROUND((365*mech_uptime*K561)/2,0),ROUND((365*mech_uptime*K561),0))</f>
        <v/>
      </c>
      <c r="Q561" s="46">
        <f>mech_uptime</f>
        <v/>
      </c>
      <c r="R561" s="46">
        <f>IF(AND(B561="South Korea",scenario="MID"),korea_mid_revleg,revleg_sel)</f>
        <v/>
      </c>
      <c r="S561" s="45">
        <f>IF(ABS(MOD(ABS((O561*P561*R561)),1)-0.5)&lt;1E-9,2*ROUND((O561*P561*R561)/2,0),ROUND((O561*P561*R561),0))</f>
        <v/>
      </c>
      <c r="T561" s="46">
        <f>IF(AND(B561="South Korea",scenario="MID"),korea_mid_load,load_sel)</f>
        <v/>
      </c>
      <c r="U561" s="47">
        <f>pax_cap*T561</f>
        <v/>
      </c>
      <c r="V561" s="45">
        <f>U561*S561</f>
        <v/>
      </c>
      <c r="W561" s="48">
        <f>H561*discount</f>
        <v/>
      </c>
      <c r="X561" s="49">
        <f>W561*V561</f>
        <v/>
      </c>
      <c r="Y561" s="49">
        <f>(battery/range_nm)*G561*S561*VLOOKUP(B561,country_opex,3,FALSE)</f>
        <v/>
      </c>
      <c r="Z561" s="49">
        <f>VLOOKUP(B561,country_opex,2,FALSE)*crew_factor</f>
        <v/>
      </c>
      <c r="AA561" s="49">
        <f>VLOOKUP(B561,country_opex,5,FALSE)</f>
        <v/>
      </c>
      <c r="AB561" s="49">
        <f>maint</f>
        <v/>
      </c>
      <c r="AC561" s="49">
        <f>VLOOKUP(B561,country_opex,7,FALSE)*ins_pct</f>
        <v/>
      </c>
      <c r="AD561" s="49">
        <f>charge_berth</f>
        <v/>
      </c>
      <c r="AE561" s="49">
        <f>Y561+Z561+AA561+AB561+AC561+AD561</f>
        <v/>
      </c>
      <c r="AF561" s="49">
        <f>VLOOKUP(B561,country_opex,7,FALSE)/dep_years</f>
        <v/>
      </c>
      <c r="AG561" s="49">
        <f>X561-AE561</f>
        <v/>
      </c>
      <c r="AH561" s="46">
        <f>IF(X561=0,"",AG561/X561)</f>
        <v/>
      </c>
      <c r="AI561" s="47">
        <f>IF(AG561&lt;=0,"",VLOOKUP(B561,country_opex,7,FALSE)/AG561)</f>
        <v/>
      </c>
      <c r="AJ561" s="44">
        <f>((G561*S561/diesel_nmpg)*diesel_co2pg-(battery/range_nm)*G561*S561*VLOOKUP(B561,country_opex,4,FALSE))/1000</f>
        <v/>
      </c>
      <c r="AK561" s="42" t="n">
        <v>8500</v>
      </c>
      <c r="AL561" s="43" t="inlineStr">
        <is>
          <t>T2</t>
        </is>
      </c>
      <c r="AM561" s="43" t="inlineStr">
        <is>
          <t>med</t>
        </is>
      </c>
      <c r="AN561" s="50" t="n">
        <v>0.9</v>
      </c>
      <c r="AO561" s="45">
        <f>IF(AK561="","",AK561*AN561)</f>
        <v/>
      </c>
      <c r="AP561" s="45">
        <f>IF(OR(AK561="",V561=0),"",MIN(IF(AX561="",9.9E+99,AX561),FLOOR(AO561/V561,1)))</f>
        <v/>
      </c>
      <c r="AQ561" s="49">
        <f>IF(AP561="","",AP561*IF(ABS(MOD(ABS((X561)),1)-0.5)&lt;1E-9,2*ROUND((X561)/2,0),ROUND((X561),0)))</f>
        <v/>
      </c>
      <c r="AR561" s="47">
        <f>IF(OR(AK561="",V561=0),"",MIN(IF(AX561="",9.9E+99,AX561),AO561/V561))</f>
        <v/>
      </c>
      <c r="AS561" s="49">
        <f>IF(AR561="","",AR561*IF(B561="South Korea",IF(ABS(MOD(ABS((X561)),1)-0.5)&lt;1E-9,2*ROUND((X561)/2,0),ROUND((X561),0)),X561))</f>
        <v/>
      </c>
      <c r="AT561" s="51" t="n"/>
      <c r="AU561" s="43" t="inlineStr">
        <is>
          <t>Grounded</t>
        </is>
      </c>
      <c r="AV561" s="52" t="n"/>
      <c r="AW561" s="52" t="n"/>
      <c r="AX561" s="53" t="n"/>
      <c r="AY561" s="54">
        <f>IF(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&lt;=0,"",VLOOKUP(B561,country_opex,7,FALSE)/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)</f>
        <v/>
      </c>
      <c r="AZ561" s="54">
        <f>IF(((W561*pax_cap*IF(B561="South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Korea",korea_mid_revleg,revleg_mid)),0))*VLOOKUP(B561,country_opex,3,FALSE))+Z561+AA561+AB561+AC561+AD561))&lt;=0,"",VLOOKUP(B561,country_opex,7,FALSE)/((W561*pax_cap*IF(B561="South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Korea",korea_mid_revleg,revleg_mid)),0))*VLOOKUP(B561,country_opex,3,FALSE))+Z561+AA561+AB561+AC561+AD561)))</f>
        <v/>
      </c>
      <c r="BA561" s="54">
        <f>IF(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&lt;=0,"",VLOOKUP(B561,country_opex,7,FALSE)/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)</f>
        <v/>
      </c>
      <c r="BB561" s="40" t="inlineStr">
        <is>
          <t>Minor Hotels captive gateway — Anantara Koh Yao Yai boat-only transfer from Phuket.</t>
        </is>
      </c>
      <c r="BC561" s="40" t="inlineStr">
        <is>
          <t>minor-hotels-phuket-flagship-economics-DRAFT.json — Koh Yao Yai captive transfer pool</t>
        </is>
      </c>
      <c r="BD561" s="43" t="inlineStr">
        <is>
          <t>rn-830bd4d377ca</t>
        </is>
      </c>
    </row>
    <row r="562">
      <c r="A562" s="38" t="inlineStr">
        <is>
          <t>Koh Samui</t>
        </is>
      </c>
      <c r="B562" s="38" t="inlineStr">
        <is>
          <t>Thailand</t>
        </is>
      </c>
      <c r="C562" s="39" t="inlineStr">
        <is>
          <t>Koh Samui (Nathon) → Donsak (Seatran harbour)</t>
        </is>
      </c>
      <c r="D562" s="38" t="inlineStr">
        <is>
          <t>grab</t>
        </is>
      </c>
      <c r="E562" s="40" t="inlineStr">
        <is>
          <t>koh-samui</t>
        </is>
      </c>
      <c r="F562" s="41" t="n">
        <v>1</v>
      </c>
      <c r="G562" s="42" t="n">
        <v>17.9</v>
      </c>
      <c r="H562" s="35" t="n">
        <v>15.2</v>
      </c>
      <c r="I562" s="43" t="n"/>
      <c r="J562" s="43" t="inlineStr">
        <is>
          <t>T3</t>
        </is>
      </c>
      <c r="K562" s="29" t="n">
        <v>1</v>
      </c>
      <c r="L562" s="44">
        <f>60*G562/cruise_kt</f>
        <v/>
      </c>
      <c r="M562" s="44">
        <f>IF(B562="South Korea",G562/korea_charge_range_nm*korea_full_range_charge_min,0)</f>
        <v/>
      </c>
      <c r="N562" s="44">
        <f>IF(B562="South Korea",L562+korea_turn_min+korea_dwell_min+M562,L562+turn_min+dwell_min)</f>
        <v/>
      </c>
      <c r="O562" s="45">
        <f>IF(B562="South Korea",FLOOR(60*korea_service_hr/N562,1),MIN(24,FLOOR(60*service_hr/N562,1)))</f>
        <v/>
      </c>
      <c r="P562" s="45">
        <f>IF(ABS(MOD(ABS((365*mech_uptime*K562)),1)-0.5)&lt;1E-9,2*ROUND((365*mech_uptime*K562)/2,0),ROUND((365*mech_uptime*K562),0))</f>
        <v/>
      </c>
      <c r="Q562" s="46">
        <f>mech_uptime</f>
        <v/>
      </c>
      <c r="R562" s="46">
        <f>IF(AND(B562="South Korea",scenario="MID"),korea_mid_revleg,revleg_sel)</f>
        <v/>
      </c>
      <c r="S562" s="45">
        <f>IF(ABS(MOD(ABS((O562*P562*R562)),1)-0.5)&lt;1E-9,2*ROUND((O562*P562*R562)/2,0),ROUND((O562*P562*R562),0))</f>
        <v/>
      </c>
      <c r="T562" s="46">
        <f>IF(AND(B562="South Korea",scenario="MID"),korea_mid_load,load_sel)</f>
        <v/>
      </c>
      <c r="U562" s="47">
        <f>pax_cap*T562</f>
        <v/>
      </c>
      <c r="V562" s="45">
        <f>U562*S562</f>
        <v/>
      </c>
      <c r="W562" s="48">
        <f>H562*discount</f>
        <v/>
      </c>
      <c r="X562" s="49">
        <f>W562*V562</f>
        <v/>
      </c>
      <c r="Y562" s="49">
        <f>(battery/range_nm)*G562*S562*VLOOKUP(B562,country_opex,3,FALSE)</f>
        <v/>
      </c>
      <c r="Z562" s="49">
        <f>VLOOKUP(B562,country_opex,2,FALSE)*crew_factor</f>
        <v/>
      </c>
      <c r="AA562" s="49">
        <f>VLOOKUP(B562,country_opex,5,FALSE)</f>
        <v/>
      </c>
      <c r="AB562" s="49">
        <f>maint</f>
        <v/>
      </c>
      <c r="AC562" s="49">
        <f>VLOOKUP(B562,country_opex,7,FALSE)*ins_pct</f>
        <v/>
      </c>
      <c r="AD562" s="49">
        <f>charge_berth</f>
        <v/>
      </c>
      <c r="AE562" s="49">
        <f>Y562+Z562+AA562+AB562+AC562+AD562</f>
        <v/>
      </c>
      <c r="AF562" s="49">
        <f>VLOOKUP(B562,country_opex,7,FALSE)/dep_years</f>
        <v/>
      </c>
      <c r="AG562" s="49">
        <f>X562-AE562</f>
        <v/>
      </c>
      <c r="AH562" s="46">
        <f>IF(X562=0,"",AG562/X562)</f>
        <v/>
      </c>
      <c r="AI562" s="47">
        <f>IF(AG562&lt;=0,"",VLOOKUP(B562,country_opex,7,FALSE)/AG562)</f>
        <v/>
      </c>
      <c r="AJ562" s="44">
        <f>((G562*S562/diesel_nmpg)*diesel_co2pg-(battery/range_nm)*G562*S562*VLOOKUP(B562,country_opex,4,FALSE))/1000</f>
        <v/>
      </c>
      <c r="AK562" s="42" t="n">
        <v>666667</v>
      </c>
      <c r="AL562" s="43" t="inlineStr">
        <is>
          <t>T5</t>
        </is>
      </c>
      <c r="AM562" s="43" t="inlineStr">
        <is>
          <t>low-med</t>
        </is>
      </c>
      <c r="AN562" s="50" t="n">
        <v>0.1</v>
      </c>
      <c r="AO562" s="45">
        <f>IF(AK562="","",AK562*AN562)</f>
        <v/>
      </c>
      <c r="AP562" s="45">
        <f>IF(OR(AK562="",V562=0),"",MIN(IF(AX562="",9.9E+99,AX562),FLOOR(AO562/V562,1)))</f>
        <v/>
      </c>
      <c r="AQ562" s="49">
        <f>IF(AP562="","",AP562*IF(ABS(MOD(ABS((X562)),1)-0.5)&lt;1E-9,2*ROUND((X562)/2,0),ROUND((X562),0)))</f>
        <v/>
      </c>
      <c r="AR562" s="47">
        <f>IF(OR(AK562="",V562=0),"",MIN(IF(AX562="",9.9E+99,AX562),AO562/V562))</f>
        <v/>
      </c>
      <c r="AS562" s="49">
        <f>IF(AR562="","",AR562*IF(B562="South Korea",IF(ABS(MOD(ABS((X562)),1)-0.5)&lt;1E-9,2*ROUND((X562)/2,0),ROUND((X562),0)),X562))</f>
        <v/>
      </c>
      <c r="AT562" s="51" t="n"/>
      <c r="AU562" s="43" t="inlineStr">
        <is>
          <t>Grounded</t>
        </is>
      </c>
      <c r="AV562" s="52" t="n"/>
      <c r="AW562" s="52" t="n"/>
      <c r="AX562" s="53" t="n"/>
      <c r="AY562" s="54">
        <f>IF(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&lt;=0,"",VLOOKUP(B562,country_opex,7,FALSE)/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)</f>
        <v/>
      </c>
      <c r="AZ562" s="54">
        <f>IF(((W562*pax_cap*IF(B562="South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Korea",korea_mid_revleg,revleg_mid)),0))*VLOOKUP(B562,country_opex,3,FALSE))+Z562+AA562+AB562+AC562+AD562))&lt;=0,"",VLOOKUP(B562,country_opex,7,FALSE)/((W562*pax_cap*IF(B562="South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Korea",korea_mid_revleg,revleg_mid)),0))*VLOOKUP(B562,country_opex,3,FALSE))+Z562+AA562+AB562+AC562+AD562)))</f>
        <v/>
      </c>
      <c r="BA562" s="54">
        <f>IF(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&lt;=0,"",VLOOKUP(B562,country_opex,7,FALSE)/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)</f>
        <v/>
      </c>
      <c r="BB562" s="40" t="n"/>
      <c r="BC562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  <c r="BD562" s="43" t="inlineStr">
        <is>
          <t>ics-5038f54700</t>
        </is>
      </c>
    </row>
    <row r="563">
      <c r="A563" s="38" t="inlineStr">
        <is>
          <t>Phuket</t>
        </is>
      </c>
      <c r="B563" s="38" t="inlineStr">
        <is>
          <t>Thailand</t>
        </is>
      </c>
      <c r="C563" s="39" t="inlineStr">
        <is>
          <t>Phuket (Royal Phuket Marina) → Phang Nga Bay / James Bond Island</t>
        </is>
      </c>
      <c r="D563" s="38" t="inlineStr">
        <is>
          <t>grab</t>
        </is>
      </c>
      <c r="E563" s="40" t="inlineStr">
        <is>
          <t>phuket</t>
        </is>
      </c>
      <c r="F563" s="41" t="n">
        <v>1</v>
      </c>
      <c r="G563" s="42" t="n">
        <v>20</v>
      </c>
      <c r="H563" s="35" t="n">
        <v>72</v>
      </c>
      <c r="I563" s="43" t="inlineStr">
        <is>
          <t>T3</t>
        </is>
      </c>
      <c r="J563" s="43" t="inlineStr">
        <is>
          <t>med</t>
        </is>
      </c>
      <c r="K563" s="29" t="n">
        <v>1</v>
      </c>
      <c r="L563" s="44">
        <f>60*G563/cruise_kt</f>
        <v/>
      </c>
      <c r="M563" s="44">
        <f>IF(B563="South Korea",G563/korea_charge_range_nm*korea_full_range_charge_min,0)</f>
        <v/>
      </c>
      <c r="N563" s="44">
        <f>IF(B563="South Korea",L563+korea_turn_min+korea_dwell_min+M563,L563+turn_min+dwell_min)</f>
        <v/>
      </c>
      <c r="O563" s="45">
        <f>IF(B563="South Korea",FLOOR(60*korea_service_hr/N563,1),MIN(15,FLOOR(60*service_hr/N563,1)))</f>
        <v/>
      </c>
      <c r="P563" s="45">
        <f>IF(ABS(MOD(ABS((365*mech_uptime*K563)),1)-0.5)&lt;1E-9,2*ROUND((365*mech_uptime*K563)/2,0),ROUND((365*mech_uptime*K563),0))</f>
        <v/>
      </c>
      <c r="Q563" s="46">
        <f>mech_uptime</f>
        <v/>
      </c>
      <c r="R563" s="46">
        <f>IF(AND(B563="South Korea",scenario="MID"),korea_mid_revleg,revleg_sel)</f>
        <v/>
      </c>
      <c r="S563" s="45">
        <f>IF(ABS(MOD(ABS((O563*P563*R563)),1)-0.5)&lt;1E-9,2*ROUND((O563*P563*R563)/2,0),ROUND((O563*P563*R563),0))</f>
        <v/>
      </c>
      <c r="T563" s="46">
        <f>IF(AND(B563="South Korea",scenario="MID"),korea_mid_load,load_sel)</f>
        <v/>
      </c>
      <c r="U563" s="47">
        <f>pax_cap*T563</f>
        <v/>
      </c>
      <c r="V563" s="45">
        <f>U563*S563</f>
        <v/>
      </c>
      <c r="W563" s="48">
        <f>H563*discount</f>
        <v/>
      </c>
      <c r="X563" s="49">
        <f>W563*V563</f>
        <v/>
      </c>
      <c r="Y563" s="49">
        <f>(battery/range_nm)*G563*S563*VLOOKUP(B563,country_opex,3,FALSE)</f>
        <v/>
      </c>
      <c r="Z563" s="49">
        <f>VLOOKUP(B563,country_opex,2,FALSE)*crew_factor</f>
        <v/>
      </c>
      <c r="AA563" s="49">
        <f>VLOOKUP(B563,country_opex,5,FALSE)</f>
        <v/>
      </c>
      <c r="AB563" s="49">
        <f>maint</f>
        <v/>
      </c>
      <c r="AC563" s="49">
        <f>VLOOKUP(B563,country_opex,7,FALSE)*ins_pct</f>
        <v/>
      </c>
      <c r="AD563" s="49">
        <f>charge_berth</f>
        <v/>
      </c>
      <c r="AE563" s="49">
        <f>Y563+Z563+AA563+AB563+AC563+AD563</f>
        <v/>
      </c>
      <c r="AF563" s="49">
        <f>VLOOKUP(B563,country_opex,7,FALSE)/dep_years</f>
        <v/>
      </c>
      <c r="AG563" s="49">
        <f>X563-AE563</f>
        <v/>
      </c>
      <c r="AH563" s="46">
        <f>IF(X563=0,"",AG563/X563)</f>
        <v/>
      </c>
      <c r="AI563" s="47">
        <f>IF(AG563&lt;=0,"",VLOOKUP(B563,country_opex,7,FALSE)/AG563)</f>
        <v/>
      </c>
      <c r="AJ563" s="44">
        <f>((G563*S563/diesel_nmpg)*diesel_co2pg-(battery/range_nm)*G563*S563*VLOOKUP(B563,country_opex,4,FALSE))/1000</f>
        <v/>
      </c>
      <c r="AK563" s="42" t="n">
        <v>580000</v>
      </c>
      <c r="AL563" s="43" t="inlineStr">
        <is>
          <t>T2</t>
        </is>
      </c>
      <c r="AM563" s="43" t="inlineStr">
        <is>
          <t>med</t>
        </is>
      </c>
      <c r="AN563" s="50" t="n">
        <v>0.1</v>
      </c>
      <c r="AO563" s="45">
        <f>IF(AK563="","",AK563*AN563)</f>
        <v/>
      </c>
      <c r="AP563" s="45">
        <f>IF(OR(AK563="",V563=0),"",MIN(IF(AX563="",9.9E+99,AX563),FLOOR(AO563/V563,1)))</f>
        <v/>
      </c>
      <c r="AQ563" s="49">
        <f>IF(AP563="","",AP563*IF(ABS(MOD(ABS((X563)),1)-0.5)&lt;1E-9,2*ROUND((X563)/2,0),ROUND((X563),0)))</f>
        <v/>
      </c>
      <c r="AR563" s="47">
        <f>IF(OR(AK563="",V563=0),"",MIN(IF(AX563="",9.9E+99,AX563),AO563/V563))</f>
        <v/>
      </c>
      <c r="AS563" s="49">
        <f>IF(AR563="","",AR563*IF(B563="South Korea",IF(ABS(MOD(ABS((X563)),1)-0.5)&lt;1E-9,2*ROUND((X563)/2,0),ROUND((X563),0)),X563))</f>
        <v/>
      </c>
      <c r="AT563" s="51" t="n"/>
      <c r="AU563" s="43" t="inlineStr">
        <is>
          <t>Grounded</t>
        </is>
      </c>
      <c r="AV563" s="52" t="n"/>
      <c r="AW563" s="52" t="n"/>
      <c r="AX563" s="53" t="n"/>
      <c r="AY563" s="54">
        <f>IF(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&lt;=0,"",VLOOKUP(B563,country_opex,7,FALSE)/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)</f>
        <v/>
      </c>
      <c r="AZ563" s="54">
        <f>IF(((W563*pax_cap*IF(B563="South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Korea",korea_mid_revleg,revleg_mid)),0))*VLOOKUP(B563,country_opex,3,FALSE))+Z563+AA563+AB563+AC563+AD563))&lt;=0,"",VLOOKUP(B563,country_opex,7,FALSE)/((W563*pax_cap*IF(B563="South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Korea",korea_mid_revleg,revleg_mid)),0))*VLOOKUP(B563,country_opex,3,FALSE))+Z563+AA563+AB563+AC563+AD563)))</f>
        <v/>
      </c>
      <c r="BA563" s="54">
        <f>IF(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&lt;=0,"",VLOOKUP(B563,country_opex,7,FALSE)/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)</f>
        <v/>
      </c>
      <c r="BB563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C563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  <c r="BD563" s="43" t="inlineStr">
        <is>
          <t>gcn-cbc11a6947-shared</t>
        </is>
      </c>
    </row>
    <row r="564">
      <c r="A564" s="38" t="inlineStr">
        <is>
          <t>Phuket</t>
        </is>
      </c>
      <c r="B564" s="38" t="inlineStr">
        <is>
          <t>Thailand</t>
        </is>
      </c>
      <c r="C564" s="39" t="inlineStr">
        <is>
          <t>Phuket → Phi Phi (Tonsai)</t>
        </is>
      </c>
      <c r="D564" s="38" t="inlineStr">
        <is>
          <t>grab</t>
        </is>
      </c>
      <c r="E564" s="40" t="inlineStr">
        <is>
          <t>phuket</t>
        </is>
      </c>
      <c r="F564" s="41" t="n">
        <v>1</v>
      </c>
      <c r="G564" s="42" t="n">
        <v>25</v>
      </c>
      <c r="H564" s="35" t="n">
        <v>44</v>
      </c>
      <c r="I564" s="43" t="inlineStr">
        <is>
          <t>T3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IF(B564="South Korea",G564/korea_charge_range_nm*korea_full_range_charge_min,0)</f>
        <v/>
      </c>
      <c r="N564" s="44">
        <f>IF(B564="South Korea",L564+korea_turn_min+korea_dwell_min+M564,L564+turn_min+dwell_min)</f>
        <v/>
      </c>
      <c r="O564" s="45">
        <f>IF(B564="South Korea",FLOOR(60*korea_service_hr/N564,1),MIN(15,FLOOR(60*service_hr/N564,1)))</f>
        <v/>
      </c>
      <c r="P564" s="45">
        <f>IF(ABS(MOD(ABS((365*mech_uptime*K564)),1)-0.5)&lt;1E-9,2*ROUND((365*mech_uptime*K564)/2,0),ROUND((365*mech_uptime*K564),0))</f>
        <v/>
      </c>
      <c r="Q564" s="46">
        <f>mech_uptime</f>
        <v/>
      </c>
      <c r="R564" s="46">
        <f>IF(AND(B564="South Korea",scenario="MID"),korea_mid_revleg,revleg_sel)</f>
        <v/>
      </c>
      <c r="S564" s="45">
        <f>IF(ABS(MOD(ABS((O564*P564*R564)),1)-0.5)&lt;1E-9,2*ROUND((O564*P564*R564)/2,0),ROUND((O564*P564*R564),0))</f>
        <v/>
      </c>
      <c r="T564" s="46">
        <f>IF(AND(B564="South Korea",scenario="MID"),korea_mid_load,load_sel)</f>
        <v/>
      </c>
      <c r="U564" s="47">
        <f>pax_cap*T564</f>
        <v/>
      </c>
      <c r="V564" s="45">
        <f>U564*S564</f>
        <v/>
      </c>
      <c r="W564" s="48">
        <f>H564*discount</f>
        <v/>
      </c>
      <c r="X564" s="49">
        <f>W564*V564</f>
        <v/>
      </c>
      <c r="Y564" s="49">
        <f>(battery/range_nm)*G564*S564*VLOOKUP(B564,country_opex,3,FALSE)</f>
        <v/>
      </c>
      <c r="Z564" s="49">
        <f>VLOOKUP(B564,country_opex,2,FALSE)*crew_factor</f>
        <v/>
      </c>
      <c r="AA564" s="49">
        <f>VLOOKUP(B564,country_opex,5,FALSE)</f>
        <v/>
      </c>
      <c r="AB564" s="49">
        <f>maint</f>
        <v/>
      </c>
      <c r="AC564" s="49">
        <f>VLOOKUP(B564,country_opex,7,FALSE)*ins_pct</f>
        <v/>
      </c>
      <c r="AD564" s="49">
        <f>charge_berth</f>
        <v/>
      </c>
      <c r="AE564" s="49">
        <f>Y564+Z564+AA564+AB564+AC564+AD564</f>
        <v/>
      </c>
      <c r="AF564" s="49">
        <f>VLOOKUP(B564,country_opex,7,FALSE)/dep_years</f>
        <v/>
      </c>
      <c r="AG564" s="49">
        <f>X564-AE564</f>
        <v/>
      </c>
      <c r="AH564" s="46">
        <f>IF(X564=0,"",AG564/X564)</f>
        <v/>
      </c>
      <c r="AI564" s="47">
        <f>IF(AG564&lt;=0,"",VLOOKUP(B564,country_opex,7,FALSE)/AG564)</f>
        <v/>
      </c>
      <c r="AJ564" s="44">
        <f>((G564*S564/diesel_nmpg)*diesel_co2pg-(battery/range_nm)*G564*S564*VLOOKUP(B564,country_opex,4,FALSE))/1000</f>
        <v/>
      </c>
      <c r="AK564" s="42" t="n">
        <v>1080000</v>
      </c>
      <c r="AL564" s="43" t="inlineStr">
        <is>
          <t>T2</t>
        </is>
      </c>
      <c r="AM564" s="43" t="inlineStr">
        <is>
          <t>med</t>
        </is>
      </c>
      <c r="AN564" s="50" t="n">
        <v>0.1</v>
      </c>
      <c r="AO564" s="45">
        <f>IF(AK564="","",AK564*AN564)</f>
        <v/>
      </c>
      <c r="AP564" s="45">
        <f>IF(OR(AK564="",V564=0),"",MIN(IF(AX564="",9.9E+99,AX564),FLOOR(AO564/V564,1)))</f>
        <v/>
      </c>
      <c r="AQ564" s="49">
        <f>IF(AP564="","",AP564*IF(ABS(MOD(ABS((X564)),1)-0.5)&lt;1E-9,2*ROUND((X564)/2,0),ROUND((X564),0)))</f>
        <v/>
      </c>
      <c r="AR564" s="47">
        <f>IF(OR(AK564="",V564=0),"",MIN(IF(AX564="",9.9E+99,AX564),AO564/V564))</f>
        <v/>
      </c>
      <c r="AS564" s="49">
        <f>IF(AR564="","",AR564*IF(B564="South Korea",IF(ABS(MOD(ABS((X564)),1)-0.5)&lt;1E-9,2*ROUND((X564)/2,0),ROUND((X564),0)),X564))</f>
        <v/>
      </c>
      <c r="AT564" s="51" t="n"/>
      <c r="AU564" s="43" t="inlineStr">
        <is>
          <t>Grounded</t>
        </is>
      </c>
      <c r="AV564" s="52" t="n"/>
      <c r="AW564" s="52" t="n"/>
      <c r="AX564" s="53" t="n"/>
      <c r="AY564" s="54">
        <f>IF(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&lt;=0,"",VLOOKUP(B564,country_opex,7,FALSE)/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)</f>
        <v/>
      </c>
      <c r="AZ564" s="54">
        <f>IF(((W564*pax_cap*IF(B564="South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Korea",korea_mid_revleg,revleg_mid)),0))*VLOOKUP(B564,country_opex,3,FALSE))+Z564+AA564+AB564+AC564+AD564))&lt;=0,"",VLOOKUP(B564,country_opex,7,FALSE)/((W564*pax_cap*IF(B564="South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Korea",korea_mid_revleg,revleg_mid)),0))*VLOOKUP(B564,country_opex,3,FALSE))+Z564+AA564+AB564+AC564+AD564)))</f>
        <v/>
      </c>
      <c r="BA564" s="54">
        <f>IF(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&lt;=0,"",VLOOKUP(B564,country_opex,7,FALSE)/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)</f>
        <v/>
      </c>
      <c r="BB564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C564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  <c r="BD564" s="43" t="inlineStr">
        <is>
          <t>gcn-9ae16d4c34-shared</t>
        </is>
      </c>
    </row>
    <row r="565">
      <c r="A565" s="38" t="inlineStr">
        <is>
          <t>Koh Samui</t>
        </is>
      </c>
      <c r="B565" s="38" t="inlineStr">
        <is>
          <t>Thailand</t>
        </is>
      </c>
      <c r="C565" s="39" t="inlineStr">
        <is>
          <t>Koh Samui (Bangrak) → Don Sak Ferry Harbour</t>
        </is>
      </c>
      <c r="D565" s="38" t="inlineStr">
        <is>
          <t>grab</t>
        </is>
      </c>
      <c r="E565" s="40" t="inlineStr">
        <is>
          <t>koh-samui</t>
        </is>
      </c>
      <c r="F565" s="41" t="n">
        <v>1</v>
      </c>
      <c r="G565" s="42" t="n">
        <v>28.1</v>
      </c>
      <c r="H565" s="35" t="n">
        <v>15.2</v>
      </c>
      <c r="I565" s="43" t="n"/>
      <c r="J565" s="43" t="inlineStr">
        <is>
          <t>T3</t>
        </is>
      </c>
      <c r="K565" s="29" t="n">
        <v>1</v>
      </c>
      <c r="L565" s="44">
        <f>60*G565/cruise_kt</f>
        <v/>
      </c>
      <c r="M565" s="44">
        <f>IF(B565="South Korea",G565/korea_charge_range_nm*korea_full_range_charge_min,0)</f>
        <v/>
      </c>
      <c r="N565" s="44">
        <f>IF(B565="South Korea",L565+korea_turn_min+korea_dwell_min+M565,L565+turn_min+dwell_min)</f>
        <v/>
      </c>
      <c r="O565" s="45">
        <f>IF(B565="South Korea",FLOOR(60*korea_service_hr/N565,1),MIN(24,FLOOR(60*service_hr/N565,1)))</f>
        <v/>
      </c>
      <c r="P565" s="45">
        <f>IF(ABS(MOD(ABS((365*mech_uptime*K565)),1)-0.5)&lt;1E-9,2*ROUND((365*mech_uptime*K565)/2,0),ROUND((365*mech_uptime*K565),0))</f>
        <v/>
      </c>
      <c r="Q565" s="46">
        <f>mech_uptime</f>
        <v/>
      </c>
      <c r="R565" s="46">
        <f>IF(AND(B565="South Korea",scenario="MID"),korea_mid_revleg,revleg_sel)</f>
        <v/>
      </c>
      <c r="S565" s="45">
        <f>IF(ABS(MOD(ABS((O565*P565*R565)),1)-0.5)&lt;1E-9,2*ROUND((O565*P565*R565)/2,0),ROUND((O565*P565*R565),0))</f>
        <v/>
      </c>
      <c r="T565" s="46">
        <f>IF(AND(B565="South Korea",scenario="MID"),korea_mid_load,load_sel)</f>
        <v/>
      </c>
      <c r="U565" s="47">
        <f>pax_cap*T565</f>
        <v/>
      </c>
      <c r="V565" s="45">
        <f>U565*S565</f>
        <v/>
      </c>
      <c r="W565" s="48">
        <f>H565*discount</f>
        <v/>
      </c>
      <c r="X565" s="49">
        <f>W565*V565</f>
        <v/>
      </c>
      <c r="Y565" s="49">
        <f>(battery/range_nm)*G565*S565*VLOOKUP(B565,country_opex,3,FALSE)</f>
        <v/>
      </c>
      <c r="Z565" s="49">
        <f>VLOOKUP(B565,country_opex,2,FALSE)*crew_factor</f>
        <v/>
      </c>
      <c r="AA565" s="49">
        <f>VLOOKUP(B565,country_opex,5,FALSE)</f>
        <v/>
      </c>
      <c r="AB565" s="49">
        <f>maint</f>
        <v/>
      </c>
      <c r="AC565" s="49">
        <f>VLOOKUP(B565,country_opex,7,FALSE)*ins_pct</f>
        <v/>
      </c>
      <c r="AD565" s="49">
        <f>charge_berth</f>
        <v/>
      </c>
      <c r="AE565" s="49">
        <f>Y565+Z565+AA565+AB565+AC565+AD565</f>
        <v/>
      </c>
      <c r="AF565" s="49">
        <f>VLOOKUP(B565,country_opex,7,FALSE)/dep_years</f>
        <v/>
      </c>
      <c r="AG565" s="49">
        <f>X565-AE565</f>
        <v/>
      </c>
      <c r="AH565" s="46">
        <f>IF(X565=0,"",AG565/X565)</f>
        <v/>
      </c>
      <c r="AI565" s="47">
        <f>IF(AG565&lt;=0,"",VLOOKUP(B565,country_opex,7,FALSE)/AG565)</f>
        <v/>
      </c>
      <c r="AJ565" s="44">
        <f>((G565*S565/diesel_nmpg)*diesel_co2pg-(battery/range_nm)*G565*S565*VLOOKUP(B565,country_opex,4,FALSE))/1000</f>
        <v/>
      </c>
      <c r="AK565" s="42" t="n">
        <v>666667</v>
      </c>
      <c r="AL565" s="43" t="inlineStr">
        <is>
          <t>T4</t>
        </is>
      </c>
      <c r="AM565" s="43" t="inlineStr">
        <is>
          <t>med-low</t>
        </is>
      </c>
      <c r="AN565" s="50" t="n">
        <v>0.1</v>
      </c>
      <c r="AO565" s="45">
        <f>IF(AK565="","",AK565*AN565)</f>
        <v/>
      </c>
      <c r="AP565" s="45">
        <f>IF(OR(AK565="",V565=0),"",MIN(IF(AX565="",9.9E+99,AX565),FLOOR(AO565/V565,1)))</f>
        <v/>
      </c>
      <c r="AQ565" s="49">
        <f>IF(AP565="","",AP565*IF(ABS(MOD(ABS((X565)),1)-0.5)&lt;1E-9,2*ROUND((X565)/2,0),ROUND((X565),0)))</f>
        <v/>
      </c>
      <c r="AR565" s="47">
        <f>IF(OR(AK565="",V565=0),"",MIN(IF(AX565="",9.9E+99,AX565),AO565/V565))</f>
        <v/>
      </c>
      <c r="AS565" s="49">
        <f>IF(AR565="","",AR565*IF(B565="South Korea",IF(ABS(MOD(ABS((X565)),1)-0.5)&lt;1E-9,2*ROUND((X565)/2,0),ROUND((X565),0)),X565))</f>
        <v/>
      </c>
      <c r="AT565" s="51" t="n"/>
      <c r="AU565" s="43" t="inlineStr">
        <is>
          <t>Grounded</t>
        </is>
      </c>
      <c r="AV565" s="52" t="n"/>
      <c r="AW565" s="52" t="n"/>
      <c r="AX565" s="53" t="n"/>
      <c r="AY565" s="54">
        <f>IF(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&lt;=0,"",VLOOKUP(B565,country_opex,7,FALSE)/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)</f>
        <v/>
      </c>
      <c r="AZ565" s="54">
        <f>IF(((W565*pax_cap*IF(B565="South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Korea",korea_mid_revleg,revleg_mid)),0))*VLOOKUP(B565,country_opex,3,FALSE))+Z565+AA565+AB565+AC565+AD565))&lt;=0,"",VLOOKUP(B565,country_opex,7,FALSE)/((W565*pax_cap*IF(B565="South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Korea",korea_mid_revleg,revleg_mid)),0))*VLOOKUP(B565,country_opex,3,FALSE))+Z565+AA565+AB565+AC565+AD565)))</f>
        <v/>
      </c>
      <c r="BA565" s="54">
        <f>IF(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&lt;=0,"",VLOOKUP(B565,country_opex,7,FALSE)/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)</f>
        <v/>
      </c>
      <c r="BB565" s="40" t="n"/>
      <c r="BC565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  <c r="BD565" s="43" t="inlineStr">
        <is>
          <t>rn-347c44e1d360</t>
        </is>
      </c>
    </row>
    <row r="566">
      <c r="A566" s="38" t="inlineStr">
        <is>
          <t>Koh Samui</t>
        </is>
      </c>
      <c r="B566" s="38" t="inlineStr">
        <is>
          <t>Thailand</t>
        </is>
      </c>
      <c r="C566" s="39" t="inlineStr">
        <is>
          <t>Koh Samui → Koh Tao (Mae Haad)</t>
        </is>
      </c>
      <c r="D566" s="38" t="inlineStr">
        <is>
          <t>grab</t>
        </is>
      </c>
      <c r="E566" s="40" t="inlineStr">
        <is>
          <t>koh-samui</t>
        </is>
      </c>
      <c r="F566" s="41" t="n">
        <v>1</v>
      </c>
      <c r="G566" s="42" t="n">
        <v>35.3</v>
      </c>
      <c r="H566" s="35" t="n">
        <v>24.4</v>
      </c>
      <c r="I566" s="43" t="n"/>
      <c r="J566" s="43" t="inlineStr">
        <is>
          <t>T3</t>
        </is>
      </c>
      <c r="K566" s="29" t="n">
        <v>1</v>
      </c>
      <c r="L566" s="44">
        <f>60*G566/cruise_kt</f>
        <v/>
      </c>
      <c r="M566" s="44">
        <f>IF(B566="South Korea",G566/korea_charge_range_nm*korea_full_range_charge_min,0)</f>
        <v/>
      </c>
      <c r="N566" s="44">
        <f>IF(B566="South Korea",L566+korea_turn_min+korea_dwell_min+M566,L566+turn_min+dwell_min)</f>
        <v/>
      </c>
      <c r="O566" s="45">
        <f>IF(B566="South Korea",FLOOR(60*korea_service_hr/N566,1),MIN(15,FLOOR(60*service_hr/N566,1)))</f>
        <v/>
      </c>
      <c r="P566" s="45">
        <f>IF(ABS(MOD(ABS((365*mech_uptime*K566)),1)-0.5)&lt;1E-9,2*ROUND((365*mech_uptime*K566)/2,0),ROUND((365*mech_uptime*K566),0))</f>
        <v/>
      </c>
      <c r="Q566" s="46">
        <f>mech_uptime</f>
        <v/>
      </c>
      <c r="R566" s="46">
        <f>IF(AND(B566="South Korea",scenario="MID"),korea_mid_revleg,revleg_sel)</f>
        <v/>
      </c>
      <c r="S566" s="45">
        <f>IF(ABS(MOD(ABS((O566*P566*R566)),1)-0.5)&lt;1E-9,2*ROUND((O566*P566*R566)/2,0),ROUND((O566*P566*R566),0))</f>
        <v/>
      </c>
      <c r="T566" s="46">
        <f>IF(AND(B566="South Korea",scenario="MID"),korea_mid_load,load_sel)</f>
        <v/>
      </c>
      <c r="U566" s="47">
        <f>pax_cap*T566</f>
        <v/>
      </c>
      <c r="V566" s="45">
        <f>U566*S566</f>
        <v/>
      </c>
      <c r="W566" s="48">
        <f>H566*discount</f>
        <v/>
      </c>
      <c r="X566" s="49">
        <f>W566*V566</f>
        <v/>
      </c>
      <c r="Y566" s="49">
        <f>(battery/range_nm)*G566*S566*VLOOKUP(B566,country_opex,3,FALSE)</f>
        <v/>
      </c>
      <c r="Z566" s="49">
        <f>VLOOKUP(B566,country_opex,2,FALSE)*crew_factor</f>
        <v/>
      </c>
      <c r="AA566" s="49">
        <f>VLOOKUP(B566,country_opex,5,FALSE)</f>
        <v/>
      </c>
      <c r="AB566" s="49">
        <f>maint</f>
        <v/>
      </c>
      <c r="AC566" s="49">
        <f>VLOOKUP(B566,country_opex,7,FALSE)*ins_pct</f>
        <v/>
      </c>
      <c r="AD566" s="49">
        <f>charge_berth</f>
        <v/>
      </c>
      <c r="AE566" s="49">
        <f>Y566+Z566+AA566+AB566+AC566+AD566</f>
        <v/>
      </c>
      <c r="AF566" s="49">
        <f>VLOOKUP(B566,country_opex,7,FALSE)/dep_years</f>
        <v/>
      </c>
      <c r="AG566" s="49">
        <f>X566-AE566</f>
        <v/>
      </c>
      <c r="AH566" s="46">
        <f>IF(X566=0,"",AG566/X566)</f>
        <v/>
      </c>
      <c r="AI566" s="47">
        <f>IF(AG566&lt;=0,"",VLOOKUP(B566,country_opex,7,FALSE)/AG566)</f>
        <v/>
      </c>
      <c r="AJ566" s="44">
        <f>((G566*S566/diesel_nmpg)*diesel_co2pg-(battery/range_nm)*G566*S566*VLOOKUP(B566,country_opex,4,FALSE))/1000</f>
        <v/>
      </c>
      <c r="AK566" s="42" t="n">
        <v>400000</v>
      </c>
      <c r="AL566" s="43" t="inlineStr">
        <is>
          <t>T5</t>
        </is>
      </c>
      <c r="AM566" s="43" t="inlineStr">
        <is>
          <t>med-low</t>
        </is>
      </c>
      <c r="AN566" s="50" t="n">
        <v>0.1</v>
      </c>
      <c r="AO566" s="45">
        <f>IF(AK566="","",AK566*AN566)</f>
        <v/>
      </c>
      <c r="AP566" s="45">
        <f>IF(OR(AK566="",V566=0),"",MIN(IF(AX566="",9.9E+99,AX566),FLOOR(AO566/V566,1)))</f>
        <v/>
      </c>
      <c r="AQ566" s="49">
        <f>IF(AP566="","",AP566*IF(ABS(MOD(ABS((X566)),1)-0.5)&lt;1E-9,2*ROUND((X566)/2,0),ROUND((X566),0)))</f>
        <v/>
      </c>
      <c r="AR566" s="47">
        <f>IF(OR(AK566="",V566=0),"",MIN(IF(AX566="",9.9E+99,AX566),AO566/V566))</f>
        <v/>
      </c>
      <c r="AS566" s="49">
        <f>IF(AR566="","",AR566*IF(B566="South Korea",IF(ABS(MOD(ABS((X566)),1)-0.5)&lt;1E-9,2*ROUND((X566)/2,0),ROUND((X566),0)),X566))</f>
        <v/>
      </c>
      <c r="AT566" s="51" t="n"/>
      <c r="AU566" s="43" t="inlineStr">
        <is>
          <t>Grounded</t>
        </is>
      </c>
      <c r="AV566" s="52" t="n"/>
      <c r="AW566" s="52" t="n"/>
      <c r="AX566" s="53" t="n"/>
      <c r="AY566" s="54">
        <f>IF(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&lt;=0,"",VLOOKUP(B566,country_opex,7,FALSE)/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)</f>
        <v/>
      </c>
      <c r="AZ566" s="54">
        <f>IF(((W566*pax_cap*IF(B566="South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Korea",korea_mid_revleg,revleg_mid)),0))*VLOOKUP(B566,country_opex,3,FALSE))+Z566+AA566+AB566+AC566+AD566))&lt;=0,"",VLOOKUP(B566,country_opex,7,FALSE)/((W566*pax_cap*IF(B566="South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Korea",korea_mid_revleg,revleg_mid)),0))*VLOOKUP(B566,country_opex,3,FALSE))+Z566+AA566+AB566+AC566+AD566)))</f>
        <v/>
      </c>
      <c r="BA566" s="54">
        <f>IF(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&lt;=0,"",VLOOKUP(B566,country_opex,7,FALSE)/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)</f>
        <v/>
      </c>
      <c r="BB566" s="40" t="n"/>
      <c r="BC566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  <c r="BD566" s="43" t="inlineStr">
        <is>
          <t>rn-21d437d2bf84</t>
        </is>
      </c>
    </row>
    <row r="567">
      <c r="A567" s="38" t="inlineStr">
        <is>
          <t>Phuket</t>
        </is>
      </c>
      <c r="B567" s="38" t="inlineStr">
        <is>
          <t>Thailand</t>
        </is>
      </c>
      <c r="C567" s="39" t="inlineStr">
        <is>
          <t>Manoh Pier (Koh Yao Yai) → Thap Lamu Pier (Similan Gateway)</t>
        </is>
      </c>
      <c r="D567" s="38" t="inlineStr">
        <is>
          <t>grab</t>
        </is>
      </c>
      <c r="E567" s="40" t="inlineStr">
        <is>
          <t>phuket</t>
        </is>
      </c>
      <c r="F567" s="41" t="n">
        <v>1</v>
      </c>
      <c r="G567" s="42" t="n">
        <v>35.7</v>
      </c>
      <c r="H567" s="35" t="n">
        <v>100</v>
      </c>
      <c r="I567" s="43" t="inlineStr">
        <is>
          <t>T2</t>
        </is>
      </c>
      <c r="J567" s="43" t="inlineStr">
        <is>
          <t>med</t>
        </is>
      </c>
      <c r="K567" s="29" t="n">
        <v>1</v>
      </c>
      <c r="L567" s="44">
        <f>60*G567/cruise_kt</f>
        <v/>
      </c>
      <c r="M567" s="44">
        <f>IF(B567="South Korea",G567/korea_charge_range_nm*korea_full_range_charge_min,0)</f>
        <v/>
      </c>
      <c r="N567" s="44">
        <f>IF(B567="South Korea",L567+korea_turn_min+korea_dwell_min+M567,L567+turn_min+dwell_min)</f>
        <v/>
      </c>
      <c r="O567" s="45">
        <f>IF(B567="South Korea",FLOOR(60*korea_service_hr/N567,1),MIN(15,FLOOR(60*service_hr/N567,1)))</f>
        <v/>
      </c>
      <c r="P567" s="45">
        <f>IF(ABS(MOD(ABS((365*mech_uptime*K567)),1)-0.5)&lt;1E-9,2*ROUND((365*mech_uptime*K567)/2,0),ROUND((365*mech_uptime*K567),0))</f>
        <v/>
      </c>
      <c r="Q567" s="46">
        <f>mech_uptime</f>
        <v/>
      </c>
      <c r="R567" s="46">
        <f>IF(AND(B567="South Korea",scenario="MID"),korea_mid_revleg,revleg_sel)</f>
        <v/>
      </c>
      <c r="S567" s="45">
        <f>IF(ABS(MOD(ABS((O567*P567*R567)),1)-0.5)&lt;1E-9,2*ROUND((O567*P567*R567)/2,0),ROUND((O567*P567*R567),0))</f>
        <v/>
      </c>
      <c r="T567" s="46">
        <f>IF(AND(B567="South Korea",scenario="MID"),korea_mid_load,load_sel)</f>
        <v/>
      </c>
      <c r="U567" s="47">
        <f>pax_cap*T567</f>
        <v/>
      </c>
      <c r="V567" s="45">
        <f>U567*S567</f>
        <v/>
      </c>
      <c r="W567" s="48">
        <f>H567*discount</f>
        <v/>
      </c>
      <c r="X567" s="49">
        <f>W567*V567</f>
        <v/>
      </c>
      <c r="Y567" s="49">
        <f>(battery/range_nm)*G567*S567*VLOOKUP(B567,country_opex,3,FALSE)</f>
        <v/>
      </c>
      <c r="Z567" s="49">
        <f>VLOOKUP(B567,country_opex,2,FALSE)*crew_factor</f>
        <v/>
      </c>
      <c r="AA567" s="49">
        <f>VLOOKUP(B567,country_opex,5,FALSE)</f>
        <v/>
      </c>
      <c r="AB567" s="49">
        <f>maint</f>
        <v/>
      </c>
      <c r="AC567" s="49">
        <f>VLOOKUP(B567,country_opex,7,FALSE)*ins_pct</f>
        <v/>
      </c>
      <c r="AD567" s="49">
        <f>charge_berth</f>
        <v/>
      </c>
      <c r="AE567" s="49">
        <f>Y567+Z567+AA567+AB567+AC567+AD567</f>
        <v/>
      </c>
      <c r="AF567" s="49">
        <f>VLOOKUP(B567,country_opex,7,FALSE)/dep_years</f>
        <v/>
      </c>
      <c r="AG567" s="49">
        <f>X567-AE567</f>
        <v/>
      </c>
      <c r="AH567" s="46">
        <f>IF(X567=0,"",AG567/X567)</f>
        <v/>
      </c>
      <c r="AI567" s="47">
        <f>IF(AG567&lt;=0,"",VLOOKUP(B567,country_opex,7,FALSE)/AG567)</f>
        <v/>
      </c>
      <c r="AJ567" s="44">
        <f>((G567*S567/diesel_nmpg)*diesel_co2pg-(battery/range_nm)*G567*S567*VLOOKUP(B567,country_opex,4,FALSE))/1000</f>
        <v/>
      </c>
      <c r="AK567" s="42" t="n">
        <v>8500</v>
      </c>
      <c r="AL567" s="43" t="inlineStr">
        <is>
          <t>T2</t>
        </is>
      </c>
      <c r="AM567" s="43" t="inlineStr">
        <is>
          <t>med</t>
        </is>
      </c>
      <c r="AN567" s="50" t="n">
        <v>0.9</v>
      </c>
      <c r="AO567" s="45">
        <f>IF(AK567="","",AK567*AN567)</f>
        <v/>
      </c>
      <c r="AP567" s="45">
        <f>IF(OR(AK567="",V567=0),"",MIN(IF(AX567="",9.9E+99,AX567),FLOOR(AO567/V567,1)))</f>
        <v/>
      </c>
      <c r="AQ567" s="49">
        <f>IF(AP567="","",AP567*IF(ABS(MOD(ABS((X567)),1)-0.5)&lt;1E-9,2*ROUND((X567)/2,0),ROUND((X567),0)))</f>
        <v/>
      </c>
      <c r="AR567" s="47">
        <f>IF(OR(AK567="",V567=0),"",MIN(IF(AX567="",9.9E+99,AX567),AO567/V567))</f>
        <v/>
      </c>
      <c r="AS567" s="49">
        <f>IF(AR567="","",AR567*IF(B567="South Korea",IF(ABS(MOD(ABS((X567)),1)-0.5)&lt;1E-9,2*ROUND((X567)/2,0),ROUND((X567),0)),X567))</f>
        <v/>
      </c>
      <c r="AT567" s="51" t="n"/>
      <c r="AU567" s="43" t="inlineStr">
        <is>
          <t>Grounded</t>
        </is>
      </c>
      <c r="AV567" s="52" t="n"/>
      <c r="AW567" s="52" t="n"/>
      <c r="AX567" s="53" t="n"/>
      <c r="AY567" s="54">
        <f>IF(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&lt;=0,"",VLOOKUP(B567,country_opex,7,FALSE)/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)</f>
        <v/>
      </c>
      <c r="AZ567" s="54">
        <f>IF(((W567*pax_cap*IF(B567="South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Korea",korea_mid_revleg,revleg_mid)),0))*VLOOKUP(B567,country_opex,3,FALSE))+Z567+AA567+AB567+AC567+AD567))&lt;=0,"",VLOOKUP(B567,country_opex,7,FALSE)/((W567*pax_cap*IF(B567="South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Korea",korea_mid_revleg,revleg_mid)),0))*VLOOKUP(B567,country_opex,3,FALSE))+Z567+AA567+AB567+AC567+AD567)))</f>
        <v/>
      </c>
      <c r="BA567" s="54">
        <f>IF(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&lt;=0,"",VLOOKUP(B567,country_opex,7,FALSE)/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)</f>
        <v/>
      </c>
      <c r="BB567" s="40" t="inlineStr">
        <is>
          <t>Minor Hotels inter-resort hop — Koh Yao Yai ↔ Khao Lak portfolio.</t>
        </is>
      </c>
      <c r="BC567" s="40" t="inlineStr">
        <is>
          <t>minor-hotels-phuket-flagship-economics-DRAFT.json — inter-brand Andaman hop</t>
        </is>
      </c>
      <c r="BD567" s="43" t="inlineStr">
        <is>
          <t>rn-b1313beb0eaa</t>
        </is>
      </c>
    </row>
    <row r="568">
      <c r="A568" s="38" t="inlineStr">
        <is>
          <t>Phuket</t>
        </is>
      </c>
      <c r="B568" s="38" t="inlineStr">
        <is>
          <t>Thailand</t>
        </is>
      </c>
      <c r="C568" s="39" t="inlineStr">
        <is>
          <t>Phuket → Krabi (Ao Nang)</t>
        </is>
      </c>
      <c r="D568" s="38" t="inlineStr">
        <is>
          <t>grab</t>
        </is>
      </c>
      <c r="E568" s="40" t="inlineStr">
        <is>
          <t>phuket</t>
        </is>
      </c>
      <c r="F568" s="41" t="n">
        <v>1</v>
      </c>
      <c r="G568" s="42" t="n">
        <v>40</v>
      </c>
      <c r="H568" s="35" t="n">
        <v>44</v>
      </c>
      <c r="I568" s="43" t="inlineStr">
        <is>
          <t>T3</t>
        </is>
      </c>
      <c r="J568" s="43" t="inlineStr">
        <is>
          <t>med</t>
        </is>
      </c>
      <c r="K568" s="29" t="n">
        <v>1</v>
      </c>
      <c r="L568" s="44">
        <f>60*G568/cruise_kt</f>
        <v/>
      </c>
      <c r="M568" s="44">
        <f>IF(B568="South Korea",G568/korea_charge_range_nm*korea_full_range_charge_min,0)</f>
        <v/>
      </c>
      <c r="N568" s="44">
        <f>IF(B568="South Korea",L568+korea_turn_min+korea_dwell_min+M568,L568+turn_min+dwell_min)</f>
        <v/>
      </c>
      <c r="O568" s="45">
        <f>IF(B568="South Korea",FLOOR(60*korea_service_hr/N568,1),MIN(15,FLOOR(60*service_hr/N568,1)))</f>
        <v/>
      </c>
      <c r="P568" s="45">
        <f>IF(ABS(MOD(ABS((365*mech_uptime*K568)),1)-0.5)&lt;1E-9,2*ROUND((365*mech_uptime*K568)/2,0),ROUND((365*mech_uptime*K568),0))</f>
        <v/>
      </c>
      <c r="Q568" s="46">
        <f>mech_uptime</f>
        <v/>
      </c>
      <c r="R568" s="46">
        <f>IF(AND(B568="South Korea",scenario="MID"),korea_mid_revleg,revleg_sel)</f>
        <v/>
      </c>
      <c r="S568" s="45">
        <f>IF(ABS(MOD(ABS((O568*P568*R568)),1)-0.5)&lt;1E-9,2*ROUND((O568*P568*R568)/2,0),ROUND((O568*P568*R568),0))</f>
        <v/>
      </c>
      <c r="T568" s="46">
        <f>IF(AND(B568="South Korea",scenario="MID"),korea_mid_load,load_sel)</f>
        <v/>
      </c>
      <c r="U568" s="47">
        <f>pax_cap*T568</f>
        <v/>
      </c>
      <c r="V568" s="45">
        <f>U568*S568</f>
        <v/>
      </c>
      <c r="W568" s="48">
        <f>H568*discount</f>
        <v/>
      </c>
      <c r="X568" s="49">
        <f>W568*V568</f>
        <v/>
      </c>
      <c r="Y568" s="49">
        <f>(battery/range_nm)*G568*S568*VLOOKUP(B568,country_opex,3,FALSE)</f>
        <v/>
      </c>
      <c r="Z568" s="49">
        <f>VLOOKUP(B568,country_opex,2,FALSE)*crew_factor</f>
        <v/>
      </c>
      <c r="AA568" s="49">
        <f>VLOOKUP(B568,country_opex,5,FALSE)</f>
        <v/>
      </c>
      <c r="AB568" s="49">
        <f>maint</f>
        <v/>
      </c>
      <c r="AC568" s="49">
        <f>VLOOKUP(B568,country_opex,7,FALSE)*ins_pct</f>
        <v/>
      </c>
      <c r="AD568" s="49">
        <f>charge_berth</f>
        <v/>
      </c>
      <c r="AE568" s="49">
        <f>Y568+Z568+AA568+AB568+AC568+AD568</f>
        <v/>
      </c>
      <c r="AF568" s="49">
        <f>VLOOKUP(B568,country_opex,7,FALSE)/dep_years</f>
        <v/>
      </c>
      <c r="AG568" s="49">
        <f>X568-AE568</f>
        <v/>
      </c>
      <c r="AH568" s="46">
        <f>IF(X568=0,"",AG568/X568)</f>
        <v/>
      </c>
      <c r="AI568" s="47">
        <f>IF(AG568&lt;=0,"",VLOOKUP(B568,country_opex,7,FALSE)/AG568)</f>
        <v/>
      </c>
      <c r="AJ568" s="44">
        <f>((G568*S568/diesel_nmpg)*diesel_co2pg-(battery/range_nm)*G568*S568*VLOOKUP(B568,country_opex,4,FALSE))/1000</f>
        <v/>
      </c>
      <c r="AK568" s="42" t="n"/>
      <c r="AL568" s="43" t="n"/>
      <c r="AM568" s="43" t="n"/>
      <c r="AN568" s="50" t="n">
        <v>0.1</v>
      </c>
      <c r="AO568" s="45">
        <f>IF(AK568="","",AK568*AN568)</f>
        <v/>
      </c>
      <c r="AP568" s="45">
        <f>IF(OR(AK568="",V568=0),"",MIN(IF(AX568="",9.9E+99,AX568),FLOOR(AO568/V568,1)))</f>
        <v/>
      </c>
      <c r="AQ568" s="49">
        <f>IF(AP568="","",AP568*IF(ABS(MOD(ABS((X568)),1)-0.5)&lt;1E-9,2*ROUND((X568)/2,0),ROUND((X568),0)))</f>
        <v/>
      </c>
      <c r="AR568" s="47">
        <f>IF(OR(AK568="",V568=0),"",MIN(IF(AX568="",9.9E+99,AX568),AO568/V568))</f>
        <v/>
      </c>
      <c r="AS568" s="49">
        <f>IF(AR568="","",AR568*IF(B568="South Korea",IF(ABS(MOD(ABS((X568)),1)-0.5)&lt;1E-9,2*ROUND((X568)/2,0),ROUND((X568),0)),X568))</f>
        <v/>
      </c>
      <c r="AT568" s="51" t="n"/>
      <c r="AU568" s="43" t="inlineStr">
        <is>
          <t>Estimated</t>
        </is>
      </c>
      <c r="AV568" s="52" t="n"/>
      <c r="AW568" s="52" t="n"/>
      <c r="AX568" s="53" t="n"/>
      <c r="AY568" s="54">
        <f>IF(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&lt;=0,"",VLOOKUP(B568,country_opex,7,FALSE)/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)</f>
        <v/>
      </c>
      <c r="AZ568" s="54">
        <f>IF(((W568*pax_cap*IF(B568="South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Korea",korea_mid_revleg,revleg_mid)),0))*VLOOKUP(B568,country_opex,3,FALSE))+Z568+AA568+AB568+AC568+AD568))&lt;=0,"",VLOOKUP(B568,country_opex,7,FALSE)/((W568*pax_cap*IF(B568="South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Korea",korea_mid_revleg,revleg_mid)),0))*VLOOKUP(B568,country_opex,3,FALSE))+Z568+AA568+AB568+AC568+AD568)))</f>
        <v/>
      </c>
      <c r="BA568" s="54">
        <f>IF(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&lt;=0,"",VLOOKUP(B568,country_opex,7,FALSE)/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)</f>
        <v/>
      </c>
      <c r="BB568" s="40" t="inlineStr">
        <is>
          <t>Phuket-&gt;Krabi (Ao Nang) speedboat premium tier ~comparable to Phi Phi route ($44). Krabi-specific demand re-source pending.</t>
        </is>
      </c>
      <c r="BC568" s="40" t="inlineStr">
        <is>
          <t>Phi Phi demand moved to new Phuket-&gt;Phi Phi corridor per Jaideep 2026-06-09. Krabi (Ao Nang) demand to be sourced separately. Until then: estimated via country cascade.</t>
        </is>
      </c>
      <c r="BD568" s="43" t="inlineStr">
        <is>
          <t>gcn-e927fe8958-shared</t>
        </is>
      </c>
    </row>
    <row r="569">
      <c r="A569" s="38" t="inlineStr">
        <is>
          <t>Phuket</t>
        </is>
      </c>
      <c r="B569" s="38" t="inlineStr">
        <is>
          <t>Thailand</t>
        </is>
      </c>
      <c r="C569" s="39" t="inlineStr">
        <is>
          <t>Phuket → Similan / Surin Islands</t>
        </is>
      </c>
      <c r="D569" s="38" t="inlineStr">
        <is>
          <t>grab</t>
        </is>
      </c>
      <c r="E569" s="40" t="inlineStr">
        <is>
          <t>phuket</t>
        </is>
      </c>
      <c r="F569" s="41" t="n">
        <v>1</v>
      </c>
      <c r="G569" s="42" t="n">
        <v>55</v>
      </c>
      <c r="H569" s="35" t="n">
        <v>80</v>
      </c>
      <c r="I569" s="43" t="inlineStr">
        <is>
          <t>T3</t>
        </is>
      </c>
      <c r="J569" s="43" t="inlineStr">
        <is>
          <t>med</t>
        </is>
      </c>
      <c r="K569" s="29" t="n">
        <v>1</v>
      </c>
      <c r="L569" s="44">
        <f>60*G569/cruise_kt</f>
        <v/>
      </c>
      <c r="M569" s="44">
        <f>IF(B569="South Korea",G569/korea_charge_range_nm*korea_full_range_charge_min,0)</f>
        <v/>
      </c>
      <c r="N569" s="44">
        <f>IF(B569="South Korea",L569+korea_turn_min+korea_dwell_min+M569,L569+turn_min+dwell_min)</f>
        <v/>
      </c>
      <c r="O569" s="45">
        <f>IF(B569="South Korea",FLOOR(60*korea_service_hr/N569,1),MIN(15,FLOOR(60*service_hr/N569,1)))</f>
        <v/>
      </c>
      <c r="P569" s="45">
        <f>IF(ABS(MOD(ABS((365*mech_uptime*K569)),1)-0.5)&lt;1E-9,2*ROUND((365*mech_uptime*K569)/2,0),ROUND((365*mech_uptime*K569),0))</f>
        <v/>
      </c>
      <c r="Q569" s="46">
        <f>mech_uptime</f>
        <v/>
      </c>
      <c r="R569" s="46">
        <f>IF(AND(B569="South Korea",scenario="MID"),korea_mid_revleg,revleg_sel)</f>
        <v/>
      </c>
      <c r="S569" s="45">
        <f>IF(ABS(MOD(ABS((O569*P569*R569)),1)-0.5)&lt;1E-9,2*ROUND((O569*P569*R569)/2,0),ROUND((O569*P569*R569),0))</f>
        <v/>
      </c>
      <c r="T569" s="46">
        <f>IF(AND(B569="South Korea",scenario="MID"),korea_mid_load,load_sel)</f>
        <v/>
      </c>
      <c r="U569" s="47">
        <f>pax_cap*T569</f>
        <v/>
      </c>
      <c r="V569" s="45">
        <f>U569*S569</f>
        <v/>
      </c>
      <c r="W569" s="48">
        <f>H569*discount</f>
        <v/>
      </c>
      <c r="X569" s="49">
        <f>W569*V569</f>
        <v/>
      </c>
      <c r="Y569" s="49">
        <f>(battery/range_nm)*G569*S569*VLOOKUP(B569,country_opex,3,FALSE)</f>
        <v/>
      </c>
      <c r="Z569" s="49">
        <f>VLOOKUP(B569,country_opex,2,FALSE)*crew_factor</f>
        <v/>
      </c>
      <c r="AA569" s="49">
        <f>VLOOKUP(B569,country_opex,5,FALSE)</f>
        <v/>
      </c>
      <c r="AB569" s="49">
        <f>maint</f>
        <v/>
      </c>
      <c r="AC569" s="49">
        <f>VLOOKUP(B569,country_opex,7,FALSE)*ins_pct</f>
        <v/>
      </c>
      <c r="AD569" s="49">
        <f>charge_berth</f>
        <v/>
      </c>
      <c r="AE569" s="49">
        <f>Y569+Z569+AA569+AB569+AC569+AD569</f>
        <v/>
      </c>
      <c r="AF569" s="49">
        <f>VLOOKUP(B569,country_opex,7,FALSE)/dep_years</f>
        <v/>
      </c>
      <c r="AG569" s="49">
        <f>X569-AE569</f>
        <v/>
      </c>
      <c r="AH569" s="46">
        <f>IF(X569=0,"",AG569/X569)</f>
        <v/>
      </c>
      <c r="AI569" s="47">
        <f>IF(AG569&lt;=0,"",VLOOKUP(B569,country_opex,7,FALSE)/AG569)</f>
        <v/>
      </c>
      <c r="AJ569" s="44">
        <f>((G569*S569/diesel_nmpg)*diesel_co2pg-(battery/range_nm)*G569*S569*VLOOKUP(B569,country_opex,4,FALSE))/1000</f>
        <v/>
      </c>
      <c r="AK569" s="42" t="n">
        <v>580000</v>
      </c>
      <c r="AL569" s="43" t="inlineStr">
        <is>
          <t>T2</t>
        </is>
      </c>
      <c r="AM569" s="43" t="inlineStr">
        <is>
          <t>low</t>
        </is>
      </c>
      <c r="AN569" s="50" t="n">
        <v>0.1</v>
      </c>
      <c r="AO569" s="45">
        <f>IF(AK569="","",AK569*AN569)</f>
        <v/>
      </c>
      <c r="AP569" s="45">
        <f>IF(OR(AK569="",V569=0),"",MIN(IF(AX569="",9.9E+99,AX569),FLOOR(AO569/V569,1)))</f>
        <v/>
      </c>
      <c r="AQ569" s="49">
        <f>IF(AP569="","",AP569*IF(ABS(MOD(ABS((X569)),1)-0.5)&lt;1E-9,2*ROUND((X569)/2,0),ROUND((X569),0)))</f>
        <v/>
      </c>
      <c r="AR569" s="47">
        <f>IF(OR(AK569="",V569=0),"",MIN(IF(AX569="",9.9E+99,AX569),AO569/V569))</f>
        <v/>
      </c>
      <c r="AS569" s="49">
        <f>IF(AR569="","",AR569*IF(B569="South Korea",IF(ABS(MOD(ABS((X569)),1)-0.5)&lt;1E-9,2*ROUND((X569)/2,0),ROUND((X569),0)),X569))</f>
        <v/>
      </c>
      <c r="AT569" s="51" t="n"/>
      <c r="AU569" s="43" t="inlineStr">
        <is>
          <t>Grounded</t>
        </is>
      </c>
      <c r="AV569" s="52" t="n"/>
      <c r="AW569" s="52" t="n"/>
      <c r="AX569" s="53" t="n"/>
      <c r="AY569" s="54">
        <f>IF(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&lt;=0,"",VLOOKUP(B569,country_opex,7,FALSE)/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)</f>
        <v/>
      </c>
      <c r="AZ569" s="54">
        <f>IF(((W569*pax_cap*IF(B569="South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Korea",korea_mid_revleg,revleg_mid)),0))*VLOOKUP(B569,country_opex,3,FALSE))+Z569+AA569+AB569+AC569+AD569))&lt;=0,"",VLOOKUP(B569,country_opex,7,FALSE)/((W569*pax_cap*IF(B569="South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Korea",korea_mid_revleg,revleg_mid)),0))*VLOOKUP(B569,country_opex,3,FALSE))+Z569+AA569+AB569+AC569+AD569)))</f>
        <v/>
      </c>
      <c r="BA569" s="54">
        <f>IF(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&lt;=0,"",VLOOKUP(B569,country_opex,7,FALSE)/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)</f>
        <v/>
      </c>
      <c r="BB569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C569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  <c r="BD569" s="43" t="inlineStr">
        <is>
          <t>gcn-0cc5f4e157-shared</t>
        </is>
      </c>
    </row>
    <row r="570">
      <c r="A570" s="38" t="inlineStr">
        <is>
          <t>Yango Tunisia</t>
        </is>
      </c>
      <c r="B570" s="38" t="inlineStr">
        <is>
          <t>Tunisia</t>
        </is>
      </c>
      <c r="C570" s="39" t="inlineStr">
        <is>
          <t>Jorf (mainland) → Ajim (Djerba Island)</t>
        </is>
      </c>
      <c r="D570" s="38" t="inlineStr">
        <is>
          <t>yango</t>
        </is>
      </c>
      <c r="E570" s="40" t="inlineStr">
        <is>
          <t>yango-tunisia, yassir-tunisia</t>
        </is>
      </c>
      <c r="F570" s="41" t="n">
        <v>2</v>
      </c>
      <c r="G570" s="42" t="n">
        <v>1.1</v>
      </c>
      <c r="H570" s="35" t="n"/>
      <c r="I570" s="43" t="n"/>
      <c r="J570" s="43" t="n"/>
      <c r="K570" s="29" t="n">
        <v>1</v>
      </c>
      <c r="L570" s="44">
        <f>60*G570/cruise_kt</f>
        <v/>
      </c>
      <c r="M570" s="44">
        <f>IF(B570="South Korea",G570/korea_charge_range_nm*korea_full_range_charge_min,0)</f>
        <v/>
      </c>
      <c r="N570" s="44">
        <f>IF(B570="South Korea",L570+korea_turn_min+korea_dwell_min+M570,L570+turn_min+dwell_min)</f>
        <v/>
      </c>
      <c r="O570" s="45">
        <f>IF(B570="South Korea",FLOOR(60*korea_service_hr/N570,1),MIN(15,FLOOR(60*service_hr/N570,1)))</f>
        <v/>
      </c>
      <c r="P570" s="45">
        <f>IF(ABS(MOD(ABS((365*mech_uptime*K570)),1)-0.5)&lt;1E-9,2*ROUND((365*mech_uptime*K570)/2,0),ROUND((365*mech_uptime*K570),0))</f>
        <v/>
      </c>
      <c r="Q570" s="46">
        <f>mech_uptime</f>
        <v/>
      </c>
      <c r="R570" s="46">
        <f>IF(AND(B570="South Korea",scenario="MID"),korea_mid_revleg,revleg_sel)</f>
        <v/>
      </c>
      <c r="S570" s="45">
        <f>IF(ABS(MOD(ABS((O570*P570*R570)),1)-0.5)&lt;1E-9,2*ROUND((O570*P570*R570)/2,0),ROUND((O570*P570*R570),0))</f>
        <v/>
      </c>
      <c r="T570" s="46">
        <f>IF(AND(B570="South Korea",scenario="MID"),korea_mid_load,load_sel)</f>
        <v/>
      </c>
      <c r="U570" s="47">
        <f>pax_cap*T570</f>
        <v/>
      </c>
      <c r="V570" s="45">
        <f>U570*S570</f>
        <v/>
      </c>
      <c r="W570" s="48">
        <f>H570*discount</f>
        <v/>
      </c>
      <c r="X570" s="49">
        <f>W570*V570</f>
        <v/>
      </c>
      <c r="Y570" s="49">
        <f>(battery/range_nm)*G570*S570*VLOOKUP(B570,country_opex,3,FALSE)</f>
        <v/>
      </c>
      <c r="Z570" s="49">
        <f>VLOOKUP(B570,country_opex,2,FALSE)*crew_factor</f>
        <v/>
      </c>
      <c r="AA570" s="49">
        <f>VLOOKUP(B570,country_opex,5,FALSE)</f>
        <v/>
      </c>
      <c r="AB570" s="49">
        <f>maint</f>
        <v/>
      </c>
      <c r="AC570" s="49">
        <f>VLOOKUP(B570,country_opex,7,FALSE)*ins_pct</f>
        <v/>
      </c>
      <c r="AD570" s="49">
        <f>charge_berth</f>
        <v/>
      </c>
      <c r="AE570" s="49">
        <f>Y570+Z570+AA570+AB570+AC570+AD570</f>
        <v/>
      </c>
      <c r="AF570" s="49">
        <f>VLOOKUP(B570,country_opex,7,FALSE)/dep_years</f>
        <v/>
      </c>
      <c r="AG570" s="49">
        <f>X570-AE570</f>
        <v/>
      </c>
      <c r="AH570" s="46">
        <f>IF(X570=0,"",AG570/X570)</f>
        <v/>
      </c>
      <c r="AI570" s="47">
        <f>IF(AG570&lt;=0,"",VLOOKUP(B570,country_opex,7,FALSE)/AG570)</f>
        <v/>
      </c>
      <c r="AJ570" s="44">
        <f>((G570*S570/diesel_nmpg)*diesel_co2pg-(battery/range_nm)*G570*S570*VLOOKUP(B570,country_opex,4,FALSE))/1000</f>
        <v/>
      </c>
      <c r="AK570" s="42" t="n">
        <v>2463750</v>
      </c>
      <c r="AL570" s="43" t="n"/>
      <c r="AM570" s="43" t="n"/>
      <c r="AN570" s="50" t="n">
        <v>0.1</v>
      </c>
      <c r="AO570" s="45">
        <f>IF(AK570="","",AK570*AN570)</f>
        <v/>
      </c>
      <c r="AP570" s="45">
        <f>IF(OR(AK570="",V570=0),"",MIN(IF(AX570="",9.9E+99,AX570),FLOOR(AO570/V570,1)))</f>
        <v/>
      </c>
      <c r="AQ570" s="49">
        <f>IF(AP570="","",AP570*IF(ABS(MOD(ABS((X570)),1)-0.5)&lt;1E-9,2*ROUND((X570)/2,0),ROUND((X570),0)))</f>
        <v/>
      </c>
      <c r="AR570" s="47">
        <f>IF(OR(AK570="",V570=0),"",MIN(IF(AX570="",9.9E+99,AX570),AO570/V570))</f>
        <v/>
      </c>
      <c r="AS570" s="49">
        <f>IF(AR570="","",AR570*IF(B570="South Korea",IF(ABS(MOD(ABS((X570)),1)-0.5)&lt;1E-9,2*ROUND((X570)/2,0),ROUND((X570),0)),X570))</f>
        <v/>
      </c>
      <c r="AT570" s="51" t="n"/>
      <c r="AU570" s="43" t="inlineStr">
        <is>
          <t>Estimated</t>
        </is>
      </c>
      <c r="AV570" s="52" t="n"/>
      <c r="AW570" s="52" t="n"/>
      <c r="AX570" s="53" t="n"/>
      <c r="AY570" s="54">
        <f>IF(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&lt;=0,"",VLOOKUP(B570,country_opex,7,FALSE)/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)</f>
        <v/>
      </c>
      <c r="AZ570" s="54">
        <f>IF(((W570*pax_cap*IF(B570="South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Korea",korea_mid_revleg,revleg_mid)),0))*VLOOKUP(B570,country_opex,3,FALSE))+Z570+AA570+AB570+AC570+AD570))&lt;=0,"",VLOOKUP(B570,country_opex,7,FALSE)/((W570*pax_cap*IF(B570="South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Korea",korea_mid_revleg,revleg_mid)),0))*VLOOKUP(B570,country_opex,3,FALSE))+Z570+AA570+AB570+AC570+AD570)))</f>
        <v/>
      </c>
      <c r="BA570" s="54">
        <f>IF(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&lt;=0,"",VLOOKUP(B570,country_opex,7,FALSE)/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)</f>
        <v/>
      </c>
      <c r="BB570" s="40" t="n"/>
      <c r="BC570" s="40" t="n"/>
      <c r="BD570" s="43" t="inlineStr">
        <is>
          <t>rn-4668b16ef32c</t>
        </is>
      </c>
    </row>
    <row r="571">
      <c r="A571" s="38" t="inlineStr">
        <is>
          <t>Yango Tunisia</t>
        </is>
      </c>
      <c r="B571" s="38" t="inlineStr">
        <is>
          <t>Tunisia</t>
        </is>
      </c>
      <c r="C571" s="39" t="inlineStr">
        <is>
          <t>La Goulette → Sidi Bou Said</t>
        </is>
      </c>
      <c r="D571" s="38" t="inlineStr">
        <is>
          <t>yango</t>
        </is>
      </c>
      <c r="E571" s="40" t="inlineStr">
        <is>
          <t>yango-tunisia, yassir-tunisia</t>
        </is>
      </c>
      <c r="F571" s="41" t="n">
        <v>2</v>
      </c>
      <c r="G571" s="42" t="n">
        <v>4</v>
      </c>
      <c r="H571" s="35" t="n">
        <v>27</v>
      </c>
      <c r="I571" s="43" t="inlineStr">
        <is>
          <t>T2</t>
        </is>
      </c>
      <c r="J571" s="43" t="inlineStr">
        <is>
          <t>med</t>
        </is>
      </c>
      <c r="K571" s="29" t="n">
        <v>1</v>
      </c>
      <c r="L571" s="44">
        <f>60*G571/cruise_kt</f>
        <v/>
      </c>
      <c r="M571" s="44">
        <f>IF(B571="South Korea",G571/korea_charge_range_nm*korea_full_range_charge_min,0)</f>
        <v/>
      </c>
      <c r="N571" s="44">
        <f>IF(B571="South Korea",L571+korea_turn_min+korea_dwell_min+M571,L571+turn_min+dwell_min)</f>
        <v/>
      </c>
      <c r="O571" s="45">
        <f>IF(B571="South Korea",FLOOR(60*korea_service_hr/N571,1),MIN(15,FLOOR(60*service_hr/N571,1)))</f>
        <v/>
      </c>
      <c r="P571" s="45">
        <f>IF(ABS(MOD(ABS((365*mech_uptime*K571)),1)-0.5)&lt;1E-9,2*ROUND((365*mech_uptime*K571)/2,0),ROUND((365*mech_uptime*K571),0))</f>
        <v/>
      </c>
      <c r="Q571" s="46">
        <f>mech_uptime</f>
        <v/>
      </c>
      <c r="R571" s="46">
        <f>IF(AND(B571="South Korea",scenario="MID"),korea_mid_revleg,revleg_sel)</f>
        <v/>
      </c>
      <c r="S571" s="45">
        <f>IF(ABS(MOD(ABS((O571*P571*R571)),1)-0.5)&lt;1E-9,2*ROUND((O571*P571*R571)/2,0),ROUND((O571*P571*R571),0))</f>
        <v/>
      </c>
      <c r="T571" s="46">
        <f>IF(AND(B571="South Korea",scenario="MID"),korea_mid_load,load_sel)</f>
        <v/>
      </c>
      <c r="U571" s="47">
        <f>pax_cap*T571</f>
        <v/>
      </c>
      <c r="V571" s="45">
        <f>U571*S571</f>
        <v/>
      </c>
      <c r="W571" s="48">
        <f>H571*discount</f>
        <v/>
      </c>
      <c r="X571" s="49">
        <f>W571*V571</f>
        <v/>
      </c>
      <c r="Y571" s="49">
        <f>(battery/range_nm)*G571*S571*VLOOKUP(B571,country_opex,3,FALSE)</f>
        <v/>
      </c>
      <c r="Z571" s="49">
        <f>VLOOKUP(B571,country_opex,2,FALSE)*crew_factor</f>
        <v/>
      </c>
      <c r="AA571" s="49">
        <f>VLOOKUP(B571,country_opex,5,FALSE)</f>
        <v/>
      </c>
      <c r="AB571" s="49">
        <f>maint</f>
        <v/>
      </c>
      <c r="AC571" s="49">
        <f>VLOOKUP(B571,country_opex,7,FALSE)*ins_pct</f>
        <v/>
      </c>
      <c r="AD571" s="49">
        <f>charge_berth</f>
        <v/>
      </c>
      <c r="AE571" s="49">
        <f>Y571+Z571+AA571+AB571+AC571+AD571</f>
        <v/>
      </c>
      <c r="AF571" s="49">
        <f>VLOOKUP(B571,country_opex,7,FALSE)/dep_years</f>
        <v/>
      </c>
      <c r="AG571" s="49">
        <f>X571-AE571</f>
        <v/>
      </c>
      <c r="AH571" s="46">
        <f>IF(X571=0,"",AG571/X571)</f>
        <v/>
      </c>
      <c r="AI571" s="47">
        <f>IF(AG571&lt;=0,"",VLOOKUP(B571,country_opex,7,FALSE)/AG571)</f>
        <v/>
      </c>
      <c r="AJ571" s="44">
        <f>((G571*S571/diesel_nmpg)*diesel_co2pg-(battery/range_nm)*G571*S571*VLOOKUP(B571,country_opex,4,FALSE))/1000</f>
        <v/>
      </c>
      <c r="AK571" s="42" t="n">
        <v>222000</v>
      </c>
      <c r="AL571" s="43" t="n"/>
      <c r="AM571" s="43" t="n"/>
      <c r="AN571" s="50" t="n">
        <v>0.1</v>
      </c>
      <c r="AO571" s="45">
        <f>IF(AK571="","",AK571*AN571)</f>
        <v/>
      </c>
      <c r="AP571" s="45">
        <f>IF(OR(AK571="",V571=0),"",MIN(IF(AX571="",9.9E+99,AX571),FLOOR(AO571/V571,1)))</f>
        <v/>
      </c>
      <c r="AQ571" s="49">
        <f>IF(AP571="","",AP571*IF(ABS(MOD(ABS((X571)),1)-0.5)&lt;1E-9,2*ROUND((X571)/2,0),ROUND((X571),0)))</f>
        <v/>
      </c>
      <c r="AR571" s="47">
        <f>IF(OR(AK571="",V571=0),"",MIN(IF(AX571="",9.9E+99,AX571),AO571/V571))</f>
        <v/>
      </c>
      <c r="AS571" s="49">
        <f>IF(AR571="","",AR571*IF(B571="South Korea",IF(ABS(MOD(ABS((X571)),1)-0.5)&lt;1E-9,2*ROUND((X571)/2,0),ROUND((X571),0)),X571))</f>
        <v/>
      </c>
      <c r="AT571" s="51" t="n"/>
      <c r="AU571" s="43" t="inlineStr">
        <is>
          <t>Grounded</t>
        </is>
      </c>
      <c r="AV571" s="52" t="n"/>
      <c r="AW571" s="52" t="n"/>
      <c r="AX571" s="53" t="n"/>
      <c r="AY571" s="54">
        <f>IF(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&lt;=0,"",VLOOKUP(B571,country_opex,7,FALSE)/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)</f>
        <v/>
      </c>
      <c r="AZ571" s="54">
        <f>IF(((W571*pax_cap*IF(B571="South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Korea",korea_mid_revleg,revleg_mid)),0))*VLOOKUP(B571,country_opex,3,FALSE))+Z571+AA571+AB571+AC571+AD571))&lt;=0,"",VLOOKUP(B571,country_opex,7,FALSE)/((W571*pax_cap*IF(B571="South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Korea",korea_mid_revleg,revleg_mid)),0))*VLOOKUP(B571,country_opex,3,FALSE))+Z571+AA571+AB571+AC571+AD571)))</f>
        <v/>
      </c>
      <c r="BA571" s="54">
        <f>IF(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&lt;=0,"",VLOOKUP(B571,country_opex,7,FALSE)/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)</f>
        <v/>
      </c>
      <c r="BB571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C571" s="40" t="n"/>
      <c r="BD571" s="43" t="inlineStr">
        <is>
          <t>rn-d0ef490c589b</t>
        </is>
      </c>
    </row>
    <row r="572">
      <c r="A572" s="38" t="inlineStr">
        <is>
          <t>Yango Tunisia</t>
        </is>
      </c>
      <c r="B572" s="38" t="inlineStr">
        <is>
          <t>Tunisia</t>
        </is>
      </c>
      <c r="C572" s="39" t="inlineStr">
        <is>
          <t>Tunis (Tunis Marine) → La Goulette</t>
        </is>
      </c>
      <c r="D572" s="38" t="inlineStr">
        <is>
          <t>yango</t>
        </is>
      </c>
      <c r="E572" s="40" t="inlineStr">
        <is>
          <t>yango-tunisia, yassir-tunisia</t>
        </is>
      </c>
      <c r="F572" s="41" t="n">
        <v>2</v>
      </c>
      <c r="G572" s="42" t="n">
        <v>5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IF(B572="South Korea",G572/korea_charge_range_nm*korea_full_range_charge_min,0)</f>
        <v/>
      </c>
      <c r="N572" s="44">
        <f>IF(B572="South Korea",L572+korea_turn_min+korea_dwell_min+M572,L572+turn_min+dwell_min)</f>
        <v/>
      </c>
      <c r="O572" s="45">
        <f>IF(B572="South Korea",FLOOR(60*korea_service_hr/N572,1),MIN(24,FLOOR(60*service_hr/N572,1)))</f>
        <v/>
      </c>
      <c r="P572" s="45">
        <f>IF(ABS(MOD(ABS((365*mech_uptime*K572)),1)-0.5)&lt;1E-9,2*ROUND((365*mech_uptime*K572)/2,0),ROUND((365*mech_uptime*K572),0))</f>
        <v/>
      </c>
      <c r="Q572" s="46">
        <f>mech_uptime</f>
        <v/>
      </c>
      <c r="R572" s="46">
        <f>IF(AND(B572="South Korea",scenario="MID"),korea_mid_revleg,revleg_sel)</f>
        <v/>
      </c>
      <c r="S572" s="45">
        <f>IF(ABS(MOD(ABS((O572*P572*R572)),1)-0.5)&lt;1E-9,2*ROUND((O572*P572*R572)/2,0),ROUND((O572*P572*R572),0))</f>
        <v/>
      </c>
      <c r="T572" s="46">
        <f>IF(AND(B572="South Korea",scenario="MID"),korea_mid_load,load_sel)</f>
        <v/>
      </c>
      <c r="U572" s="47">
        <f>pax_cap*T572</f>
        <v/>
      </c>
      <c r="V572" s="45">
        <f>U572*S572</f>
        <v/>
      </c>
      <c r="W572" s="48">
        <f>H572*discount</f>
        <v/>
      </c>
      <c r="X572" s="49">
        <f>W572*V572</f>
        <v/>
      </c>
      <c r="Y572" s="49">
        <f>(battery/range_nm)*G572*S572*VLOOKUP(B572,country_opex,3,FALSE)</f>
        <v/>
      </c>
      <c r="Z572" s="49">
        <f>VLOOKUP(B572,country_opex,2,FALSE)*crew_factor</f>
        <v/>
      </c>
      <c r="AA572" s="49">
        <f>VLOOKUP(B572,country_opex,5,FALSE)</f>
        <v/>
      </c>
      <c r="AB572" s="49">
        <f>maint</f>
        <v/>
      </c>
      <c r="AC572" s="49">
        <f>VLOOKUP(B572,country_opex,7,FALSE)*ins_pct</f>
        <v/>
      </c>
      <c r="AD572" s="49">
        <f>charge_berth</f>
        <v/>
      </c>
      <c r="AE572" s="49">
        <f>Y572+Z572+AA572+AB572+AC572+AD572</f>
        <v/>
      </c>
      <c r="AF572" s="49">
        <f>VLOOKUP(B572,country_opex,7,FALSE)/dep_years</f>
        <v/>
      </c>
      <c r="AG572" s="49">
        <f>X572-AE572</f>
        <v/>
      </c>
      <c r="AH572" s="46">
        <f>IF(X572=0,"",AG572/X572)</f>
        <v/>
      </c>
      <c r="AI572" s="47">
        <f>IF(AG572&lt;=0,"",VLOOKUP(B572,country_opex,7,FALSE)/AG572)</f>
        <v/>
      </c>
      <c r="AJ572" s="44">
        <f>((G572*S572/diesel_nmpg)*diesel_co2pg-(battery/range_nm)*G572*S572*VLOOKUP(B572,country_opex,4,FALSE))/1000</f>
        <v/>
      </c>
      <c r="AK572" s="42" t="n">
        <v>296000</v>
      </c>
      <c r="AL572" s="43" t="n"/>
      <c r="AM572" s="43" t="n"/>
      <c r="AN572" s="50" t="n">
        <v>0.1</v>
      </c>
      <c r="AO572" s="45">
        <f>IF(AK572="","",AK572*AN572)</f>
        <v/>
      </c>
      <c r="AP572" s="45">
        <f>IF(OR(AK572="",V572=0),"",MIN(IF(AX572="",9.9E+99,AX572),FLOOR(AO572/V572,1)))</f>
        <v/>
      </c>
      <c r="AQ572" s="49">
        <f>IF(AP572="","",AP572*IF(ABS(MOD(ABS((X572)),1)-0.5)&lt;1E-9,2*ROUND((X572)/2,0),ROUND((X572),0)))</f>
        <v/>
      </c>
      <c r="AR572" s="47">
        <f>IF(OR(AK572="",V572=0),"",MIN(IF(AX572="",9.9E+99,AX572),AO572/V572))</f>
        <v/>
      </c>
      <c r="AS572" s="49">
        <f>IF(AR572="","",AR572*IF(B572="South Korea",IF(ABS(MOD(ABS((X572)),1)-0.5)&lt;1E-9,2*ROUND((X572)/2,0),ROUND((X572),0)),X572))</f>
        <v/>
      </c>
      <c r="AT572" s="51" t="n"/>
      <c r="AU572" s="43" t="inlineStr">
        <is>
          <t>Estimated</t>
        </is>
      </c>
      <c r="AV572" s="52" t="n"/>
      <c r="AW572" s="52" t="n"/>
      <c r="AX572" s="53" t="n"/>
      <c r="AY572" s="54">
        <f>IF(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&lt;=0,"",VLOOKUP(B572,country_opex,7,FALSE)/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)</f>
        <v/>
      </c>
      <c r="AZ572" s="54">
        <f>IF(((W572*pax_cap*IF(B572="South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Korea",korea_mid_revleg,revleg_mid)),0))*VLOOKUP(B572,country_opex,3,FALSE))+Z572+AA572+AB572+AC572+AD572))&lt;=0,"",VLOOKUP(B572,country_opex,7,FALSE)/((W572*pax_cap*IF(B572="South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Korea",korea_mid_revleg,revleg_mid)),0))*VLOOKUP(B572,country_opex,3,FALSE))+Z572+AA572+AB572+AC572+AD572)))</f>
        <v/>
      </c>
      <c r="BA572" s="54">
        <f>IF(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&lt;=0,"",VLOOKUP(B572,country_opex,7,FALSE)/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)</f>
        <v/>
      </c>
      <c r="BB572" s="40" t="n"/>
      <c r="BC572" s="40" t="n"/>
      <c r="BD572" s="43" t="n"/>
    </row>
    <row r="573">
      <c r="A573" s="38" t="inlineStr">
        <is>
          <t>Yango Tunisia</t>
        </is>
      </c>
      <c r="B573" s="38" t="inlineStr">
        <is>
          <t>Tunisia</t>
        </is>
      </c>
      <c r="C573" s="39" t="inlineStr">
        <is>
          <t>Tunis (La Goulette) → La Marsa / Gammarth</t>
        </is>
      </c>
      <c r="D573" s="38" t="inlineStr">
        <is>
          <t>yango</t>
        </is>
      </c>
      <c r="E573" s="40" t="inlineStr">
        <is>
          <t>yango-tunisia, yassir-tunisia</t>
        </is>
      </c>
      <c r="F573" s="41" t="n">
        <v>2</v>
      </c>
      <c r="G573" s="42" t="n">
        <v>7</v>
      </c>
      <c r="H573" s="35" t="n"/>
      <c r="I573" s="43" t="n"/>
      <c r="J573" s="43" t="n"/>
      <c r="K573" s="29" t="n">
        <v>1</v>
      </c>
      <c r="L573" s="44">
        <f>60*G573/cruise_kt</f>
        <v/>
      </c>
      <c r="M573" s="44">
        <f>IF(B573="South Korea",G573/korea_charge_range_nm*korea_full_range_charge_min,0)</f>
        <v/>
      </c>
      <c r="N573" s="44">
        <f>IF(B573="South Korea",L573+korea_turn_min+korea_dwell_min+M573,L573+turn_min+dwell_min)</f>
        <v/>
      </c>
      <c r="O573" s="45">
        <f>IF(B573="South Korea",FLOOR(60*korea_service_hr/N573,1),MIN(24,FLOOR(60*service_hr/N573,1)))</f>
        <v/>
      </c>
      <c r="P573" s="45">
        <f>IF(ABS(MOD(ABS((365*mech_uptime*K573)),1)-0.5)&lt;1E-9,2*ROUND((365*mech_uptime*K573)/2,0),ROUND((365*mech_uptime*K573),0))</f>
        <v/>
      </c>
      <c r="Q573" s="46">
        <f>mech_uptime</f>
        <v/>
      </c>
      <c r="R573" s="46">
        <f>IF(AND(B573="South Korea",scenario="MID"),korea_mid_revleg,revleg_sel)</f>
        <v/>
      </c>
      <c r="S573" s="45">
        <f>IF(ABS(MOD(ABS((O573*P573*R573)),1)-0.5)&lt;1E-9,2*ROUND((O573*P573*R573)/2,0),ROUND((O573*P573*R573),0))</f>
        <v/>
      </c>
      <c r="T573" s="46">
        <f>IF(AND(B573="South Korea",scenario="MID"),korea_mid_load,load_sel)</f>
        <v/>
      </c>
      <c r="U573" s="47">
        <f>pax_cap*T573</f>
        <v/>
      </c>
      <c r="V573" s="45">
        <f>U573*S573</f>
        <v/>
      </c>
      <c r="W573" s="48">
        <f>H573*discount</f>
        <v/>
      </c>
      <c r="X573" s="49">
        <f>W573*V573</f>
        <v/>
      </c>
      <c r="Y573" s="49">
        <f>(battery/range_nm)*G573*S573*VLOOKUP(B573,country_opex,3,FALSE)</f>
        <v/>
      </c>
      <c r="Z573" s="49">
        <f>VLOOKUP(B573,country_opex,2,FALSE)*crew_factor</f>
        <v/>
      </c>
      <c r="AA573" s="49">
        <f>VLOOKUP(B573,country_opex,5,FALSE)</f>
        <v/>
      </c>
      <c r="AB573" s="49">
        <f>maint</f>
        <v/>
      </c>
      <c r="AC573" s="49">
        <f>VLOOKUP(B573,country_opex,7,FALSE)*ins_pct</f>
        <v/>
      </c>
      <c r="AD573" s="49">
        <f>charge_berth</f>
        <v/>
      </c>
      <c r="AE573" s="49">
        <f>Y573+Z573+AA573+AB573+AC573+AD573</f>
        <v/>
      </c>
      <c r="AF573" s="49">
        <f>VLOOKUP(B573,country_opex,7,FALSE)/dep_years</f>
        <v/>
      </c>
      <c r="AG573" s="49">
        <f>X573-AE573</f>
        <v/>
      </c>
      <c r="AH573" s="46">
        <f>IF(X573=0,"",AG573/X573)</f>
        <v/>
      </c>
      <c r="AI573" s="47">
        <f>IF(AG573&lt;=0,"",VLOOKUP(B573,country_opex,7,FALSE)/AG573)</f>
        <v/>
      </c>
      <c r="AJ573" s="44">
        <f>((G573*S573/diesel_nmpg)*diesel_co2pg-(battery/range_nm)*G573*S573*VLOOKUP(B573,country_opex,4,FALSE))/1000</f>
        <v/>
      </c>
      <c r="AK573" s="42" t="n">
        <v>222000</v>
      </c>
      <c r="AL573" s="43" t="n"/>
      <c r="AM573" s="43" t="n"/>
      <c r="AN573" s="50" t="n">
        <v>0.1</v>
      </c>
      <c r="AO573" s="45">
        <f>IF(AK573="","",AK573*AN573)</f>
        <v/>
      </c>
      <c r="AP573" s="45">
        <f>IF(OR(AK573="",V573=0),"",MIN(IF(AX573="",9.9E+99,AX573),FLOOR(AO573/V573,1)))</f>
        <v/>
      </c>
      <c r="AQ573" s="49">
        <f>IF(AP573="","",AP573*IF(ABS(MOD(ABS((X573)),1)-0.5)&lt;1E-9,2*ROUND((X573)/2,0),ROUND((X573),0)))</f>
        <v/>
      </c>
      <c r="AR573" s="47">
        <f>IF(OR(AK573="",V573=0),"",MIN(IF(AX573="",9.9E+99,AX573),AO573/V573))</f>
        <v/>
      </c>
      <c r="AS573" s="49">
        <f>IF(AR573="","",AR573*IF(B573="South Korea",IF(ABS(MOD(ABS((X573)),1)-0.5)&lt;1E-9,2*ROUND((X573)/2,0),ROUND((X573),0)),X573))</f>
        <v/>
      </c>
      <c r="AT573" s="51" t="n"/>
      <c r="AU573" s="43" t="inlineStr">
        <is>
          <t>Estimated</t>
        </is>
      </c>
      <c r="AV573" s="52" t="n"/>
      <c r="AW573" s="52" t="n"/>
      <c r="AX573" s="53" t="n"/>
      <c r="AY573" s="54">
        <f>IF(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&lt;=0,"",VLOOKUP(B573,country_opex,7,FALSE)/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)</f>
        <v/>
      </c>
      <c r="AZ573" s="54">
        <f>IF(((W573*pax_cap*IF(B573="South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Korea",korea_mid_revleg,revleg_mid)),0))*VLOOKUP(B573,country_opex,3,FALSE))+Z573+AA573+AB573+AC573+AD573))&lt;=0,"",VLOOKUP(B573,country_opex,7,FALSE)/((W573*pax_cap*IF(B573="South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Korea",korea_mid_revleg,revleg_mid)),0))*VLOOKUP(B573,country_opex,3,FALSE))+Z573+AA573+AB573+AC573+AD573)))</f>
        <v/>
      </c>
      <c r="BA573" s="54">
        <f>IF(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&lt;=0,"",VLOOKUP(B573,country_opex,7,FALSE)/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)</f>
        <v/>
      </c>
      <c r="BB573" s="40" t="n"/>
      <c r="BC573" s="40" t="n"/>
      <c r="BD573" s="43" t="inlineStr">
        <is>
          <t>rn-3a88bb1bc7a3</t>
        </is>
      </c>
    </row>
    <row r="574">
      <c r="A574" s="38" t="inlineStr">
        <is>
          <t>Yango Tunisia</t>
        </is>
      </c>
      <c r="B574" s="38" t="inlineStr">
        <is>
          <t>Tunisia</t>
        </is>
      </c>
      <c r="C574" s="39" t="inlineStr">
        <is>
          <t>Yasmine Hammamet → Nabeul</t>
        </is>
      </c>
      <c r="D574" s="38" t="inlineStr">
        <is>
          <t>yango</t>
        </is>
      </c>
      <c r="E574" s="40" t="inlineStr">
        <is>
          <t>yango-tunisia, yassir-tunisia</t>
        </is>
      </c>
      <c r="F574" s="41" t="n">
        <v>2</v>
      </c>
      <c r="G574" s="42" t="n">
        <v>7</v>
      </c>
      <c r="H574" s="35" t="n">
        <v>22</v>
      </c>
      <c r="I574" s="43" t="inlineStr">
        <is>
          <t>T2</t>
        </is>
      </c>
      <c r="J574" s="43" t="inlineStr">
        <is>
          <t>med</t>
        </is>
      </c>
      <c r="K574" s="29" t="n">
        <v>1</v>
      </c>
      <c r="L574" s="44">
        <f>60*G574/cruise_kt</f>
        <v/>
      </c>
      <c r="M574" s="44">
        <f>IF(B574="South Korea",G574/korea_charge_range_nm*korea_full_range_charge_min,0)</f>
        <v/>
      </c>
      <c r="N574" s="44">
        <f>IF(B574="South Korea",L574+korea_turn_min+korea_dwell_min+M574,L574+turn_min+dwell_min)</f>
        <v/>
      </c>
      <c r="O574" s="45">
        <f>IF(B574="South Korea",FLOOR(60*korea_service_hr/N574,1),MIN(15,FLOOR(60*service_hr/N574,1)))</f>
        <v/>
      </c>
      <c r="P574" s="45">
        <f>IF(ABS(MOD(ABS((365*mech_uptime*K574)),1)-0.5)&lt;1E-9,2*ROUND((365*mech_uptime*K574)/2,0),ROUND((365*mech_uptime*K574),0))</f>
        <v/>
      </c>
      <c r="Q574" s="46">
        <f>mech_uptime</f>
        <v/>
      </c>
      <c r="R574" s="46">
        <f>IF(AND(B574="South Korea",scenario="MID"),korea_mid_revleg,revleg_sel)</f>
        <v/>
      </c>
      <c r="S574" s="45">
        <f>IF(ABS(MOD(ABS((O574*P574*R574)),1)-0.5)&lt;1E-9,2*ROUND((O574*P574*R574)/2,0),ROUND((O574*P574*R574),0))</f>
        <v/>
      </c>
      <c r="T574" s="46">
        <f>IF(AND(B574="South Korea",scenario="MID"),korea_mid_load,load_sel)</f>
        <v/>
      </c>
      <c r="U574" s="47">
        <f>pax_cap*T574</f>
        <v/>
      </c>
      <c r="V574" s="45">
        <f>U574*S574</f>
        <v/>
      </c>
      <c r="W574" s="48">
        <f>H574*discount</f>
        <v/>
      </c>
      <c r="X574" s="49">
        <f>W574*V574</f>
        <v/>
      </c>
      <c r="Y574" s="49">
        <f>(battery/range_nm)*G574*S574*VLOOKUP(B574,country_opex,3,FALSE)</f>
        <v/>
      </c>
      <c r="Z574" s="49">
        <f>VLOOKUP(B574,country_opex,2,FALSE)*crew_factor</f>
        <v/>
      </c>
      <c r="AA574" s="49">
        <f>VLOOKUP(B574,country_opex,5,FALSE)</f>
        <v/>
      </c>
      <c r="AB574" s="49">
        <f>maint</f>
        <v/>
      </c>
      <c r="AC574" s="49">
        <f>VLOOKUP(B574,country_opex,7,FALSE)*ins_pct</f>
        <v/>
      </c>
      <c r="AD574" s="49">
        <f>charge_berth</f>
        <v/>
      </c>
      <c r="AE574" s="49">
        <f>Y574+Z574+AA574+AB574+AC574+AD574</f>
        <v/>
      </c>
      <c r="AF574" s="49">
        <f>VLOOKUP(B574,country_opex,7,FALSE)/dep_years</f>
        <v/>
      </c>
      <c r="AG574" s="49">
        <f>X574-AE574</f>
        <v/>
      </c>
      <c r="AH574" s="46">
        <f>IF(X574=0,"",AG574/X574)</f>
        <v/>
      </c>
      <c r="AI574" s="47">
        <f>IF(AG574&lt;=0,"",VLOOKUP(B574,country_opex,7,FALSE)/AG574)</f>
        <v/>
      </c>
      <c r="AJ574" s="44">
        <f>((G574*S574/diesel_nmpg)*diesel_co2pg-(battery/range_nm)*G574*S574*VLOOKUP(B574,country_opex,4,FALSE))/1000</f>
        <v/>
      </c>
      <c r="AK574" s="42" t="n"/>
      <c r="AL574" s="43" t="n"/>
      <c r="AM574" s="43" t="n"/>
      <c r="AN574" s="50" t="n">
        <v>0.1</v>
      </c>
      <c r="AO574" s="45">
        <f>IF(AK574="","",AK574*AN574)</f>
        <v/>
      </c>
      <c r="AP574" s="45">
        <f>IF(OR(AK574="",V574=0),"",MIN(IF(AX574="",9.9E+99,AX574),FLOOR(AO574/V574,1)))</f>
        <v/>
      </c>
      <c r="AQ574" s="49">
        <f>IF(AP574="","",AP574*IF(ABS(MOD(ABS((X574)),1)-0.5)&lt;1E-9,2*ROUND((X574)/2,0),ROUND((X574),0)))</f>
        <v/>
      </c>
      <c r="AR574" s="47">
        <f>IF(OR(AK574="",V574=0),"",MIN(IF(AX574="",9.9E+99,AX574),AO574/V574))</f>
        <v/>
      </c>
      <c r="AS574" s="49">
        <f>IF(AR574="","",AR574*IF(B574="South Korea",IF(ABS(MOD(ABS((X574)),1)-0.5)&lt;1E-9,2*ROUND((X574)/2,0),ROUND((X574),0)),X574))</f>
        <v/>
      </c>
      <c r="AT574" s="51" t="n"/>
      <c r="AU574" s="43" t="inlineStr">
        <is>
          <t>Estimated</t>
        </is>
      </c>
      <c r="AV574" s="52" t="n"/>
      <c r="AW574" s="52" t="n"/>
      <c r="AX574" s="53" t="n"/>
      <c r="AY574" s="54">
        <f>IF(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&lt;=0,"",VLOOKUP(B574,country_opex,7,FALSE)/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)</f>
        <v/>
      </c>
      <c r="AZ574" s="54">
        <f>IF(((W574*pax_cap*IF(B574="South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Korea",korea_mid_revleg,revleg_mid)),0))*VLOOKUP(B574,country_opex,3,FALSE))+Z574+AA574+AB574+AC574+AD574))&lt;=0,"",VLOOKUP(B574,country_opex,7,FALSE)/((W574*pax_cap*IF(B574="South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Korea",korea_mid_revleg,revleg_mid)),0))*VLOOKUP(B574,country_opex,3,FALSE))+Z574+AA574+AB574+AC574+AD574)))</f>
        <v/>
      </c>
      <c r="BA574" s="54">
        <f>IF(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&lt;=0,"",VLOOKUP(B574,country_opex,7,FALSE)/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)</f>
        <v/>
      </c>
      <c r="BB574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C574" s="40" t="n"/>
      <c r="BD574" s="43" t="n"/>
    </row>
    <row r="575">
      <c r="A575" s="38" t="inlineStr">
        <is>
          <t>Yango Tunisia</t>
        </is>
      </c>
      <c r="B575" s="38" t="inlineStr">
        <is>
          <t>Tunisia</t>
        </is>
      </c>
      <c r="C575" s="39" t="inlineStr">
        <is>
          <t>Sfax → Sidi Youssef (Kerkennah Islands)</t>
        </is>
      </c>
      <c r="D575" s="38" t="inlineStr">
        <is>
          <t>yango</t>
        </is>
      </c>
      <c r="E575" s="40" t="inlineStr">
        <is>
          <t>yango-tunisia, yassir-tunisia</t>
        </is>
      </c>
      <c r="F575" s="41" t="n">
        <v>2</v>
      </c>
      <c r="G575" s="42" t="n">
        <v>11</v>
      </c>
      <c r="H575" s="35" t="n"/>
      <c r="I575" s="43" t="n"/>
      <c r="J575" s="43" t="n"/>
      <c r="K575" s="29" t="n">
        <v>1</v>
      </c>
      <c r="L575" s="44">
        <f>60*G575/cruise_kt</f>
        <v/>
      </c>
      <c r="M575" s="44">
        <f>IF(B575="South Korea",G575/korea_charge_range_nm*korea_full_range_charge_min,0)</f>
        <v/>
      </c>
      <c r="N575" s="44">
        <f>IF(B575="South Korea",L575+korea_turn_min+korea_dwell_min+M575,L575+turn_min+dwell_min)</f>
        <v/>
      </c>
      <c r="O575" s="45">
        <f>IF(B575="South Korea",FLOOR(60*korea_service_hr/N575,1),MIN(15,FLOOR(60*service_hr/N575,1)))</f>
        <v/>
      </c>
      <c r="P575" s="45">
        <f>IF(ABS(MOD(ABS((365*mech_uptime*K575)),1)-0.5)&lt;1E-9,2*ROUND((365*mech_uptime*K575)/2,0),ROUND((365*mech_uptime*K575),0))</f>
        <v/>
      </c>
      <c r="Q575" s="46">
        <f>mech_uptime</f>
        <v/>
      </c>
      <c r="R575" s="46">
        <f>IF(AND(B575="South Korea",scenario="MID"),korea_mid_revleg,revleg_sel)</f>
        <v/>
      </c>
      <c r="S575" s="45">
        <f>IF(ABS(MOD(ABS((O575*P575*R575)),1)-0.5)&lt;1E-9,2*ROUND((O575*P575*R575)/2,0),ROUND((O575*P575*R575),0))</f>
        <v/>
      </c>
      <c r="T575" s="46">
        <f>IF(AND(B575="South Korea",scenario="MID"),korea_mid_load,load_sel)</f>
        <v/>
      </c>
      <c r="U575" s="47">
        <f>pax_cap*T575</f>
        <v/>
      </c>
      <c r="V575" s="45">
        <f>U575*S575</f>
        <v/>
      </c>
      <c r="W575" s="48">
        <f>H575*discount</f>
        <v/>
      </c>
      <c r="X575" s="49">
        <f>W575*V575</f>
        <v/>
      </c>
      <c r="Y575" s="49">
        <f>(battery/range_nm)*G575*S575*VLOOKUP(B575,country_opex,3,FALSE)</f>
        <v/>
      </c>
      <c r="Z575" s="49">
        <f>VLOOKUP(B575,country_opex,2,FALSE)*crew_factor</f>
        <v/>
      </c>
      <c r="AA575" s="49">
        <f>VLOOKUP(B575,country_opex,5,FALSE)</f>
        <v/>
      </c>
      <c r="AB575" s="49">
        <f>maint</f>
        <v/>
      </c>
      <c r="AC575" s="49">
        <f>VLOOKUP(B575,country_opex,7,FALSE)*ins_pct</f>
        <v/>
      </c>
      <c r="AD575" s="49">
        <f>charge_berth</f>
        <v/>
      </c>
      <c r="AE575" s="49">
        <f>Y575+Z575+AA575+AB575+AC575+AD575</f>
        <v/>
      </c>
      <c r="AF575" s="49">
        <f>VLOOKUP(B575,country_opex,7,FALSE)/dep_years</f>
        <v/>
      </c>
      <c r="AG575" s="49">
        <f>X575-AE575</f>
        <v/>
      </c>
      <c r="AH575" s="46">
        <f>IF(X575=0,"",AG575/X575)</f>
        <v/>
      </c>
      <c r="AI575" s="47">
        <f>IF(AG575&lt;=0,"",VLOOKUP(B575,country_opex,7,FALSE)/AG575)</f>
        <v/>
      </c>
      <c r="AJ575" s="44">
        <f>((G575*S575/diesel_nmpg)*diesel_co2pg-(battery/range_nm)*G575*S575*VLOOKUP(B575,country_opex,4,FALSE))/1000</f>
        <v/>
      </c>
      <c r="AK575" s="42" t="n">
        <v>1750000</v>
      </c>
      <c r="AL575" s="43" t="n"/>
      <c r="AM575" s="43" t="n"/>
      <c r="AN575" s="50" t="n">
        <v>0.1</v>
      </c>
      <c r="AO575" s="45">
        <f>IF(AK575="","",AK575*AN575)</f>
        <v/>
      </c>
      <c r="AP575" s="45">
        <f>IF(OR(AK575="",V575=0),"",MIN(IF(AX575="",9.9E+99,AX575),FLOOR(AO575/V575,1)))</f>
        <v/>
      </c>
      <c r="AQ575" s="49">
        <f>IF(AP575="","",AP575*IF(ABS(MOD(ABS((X575)),1)-0.5)&lt;1E-9,2*ROUND((X575)/2,0),ROUND((X575),0)))</f>
        <v/>
      </c>
      <c r="AR575" s="47">
        <f>IF(OR(AK575="",V575=0),"",MIN(IF(AX575="",9.9E+99,AX575),AO575/V575))</f>
        <v/>
      </c>
      <c r="AS575" s="49">
        <f>IF(AR575="","",AR575*IF(B575="South Korea",IF(ABS(MOD(ABS((X575)),1)-0.5)&lt;1E-9,2*ROUND((X575)/2,0),ROUND((X575),0)),X575))</f>
        <v/>
      </c>
      <c r="AT575" s="51" t="n"/>
      <c r="AU575" s="43" t="inlineStr">
        <is>
          <t>Estimated</t>
        </is>
      </c>
      <c r="AV575" s="52" t="n"/>
      <c r="AW575" s="52" t="n"/>
      <c r="AX575" s="53" t="n"/>
      <c r="AY575" s="54">
        <f>IF(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&lt;=0,"",VLOOKUP(B575,country_opex,7,FALSE)/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)</f>
        <v/>
      </c>
      <c r="AZ575" s="54">
        <f>IF(((W575*pax_cap*IF(B575="South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Korea",korea_mid_revleg,revleg_mid)),0))*VLOOKUP(B575,country_opex,3,FALSE))+Z575+AA575+AB575+AC575+AD575))&lt;=0,"",VLOOKUP(B575,country_opex,7,FALSE)/((W575*pax_cap*IF(B575="South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Korea",korea_mid_revleg,revleg_mid)),0))*VLOOKUP(B575,country_opex,3,FALSE))+Z575+AA575+AB575+AC575+AD575)))</f>
        <v/>
      </c>
      <c r="BA575" s="54">
        <f>IF(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&lt;=0,"",VLOOKUP(B575,country_opex,7,FALSE)/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)</f>
        <v/>
      </c>
      <c r="BB575" s="40" t="n"/>
      <c r="BC575" s="40" t="n"/>
      <c r="BD575" s="43" t="n"/>
    </row>
    <row r="576">
      <c r="A576" s="38" t="inlineStr">
        <is>
          <t>Yango Tunisia</t>
        </is>
      </c>
      <c r="B576" s="38" t="inlineStr">
        <is>
          <t>Tunisia</t>
        </is>
      </c>
      <c r="C576" s="39" t="inlineStr">
        <is>
          <t>Sousse (Port El Kantaoui) → Monastir (Marina)</t>
        </is>
      </c>
      <c r="D576" s="38" t="inlineStr">
        <is>
          <t>yango</t>
        </is>
      </c>
      <c r="E576" s="40" t="inlineStr">
        <is>
          <t>yango-tunisia, yassir-tunisia</t>
        </is>
      </c>
      <c r="F576" s="41" t="n">
        <v>2</v>
      </c>
      <c r="G576" s="42" t="n">
        <v>12</v>
      </c>
      <c r="H576" s="35" t="n">
        <v>32</v>
      </c>
      <c r="I576" s="43" t="inlineStr">
        <is>
          <t>T2</t>
        </is>
      </c>
      <c r="J576" s="43" t="inlineStr">
        <is>
          <t>med</t>
        </is>
      </c>
      <c r="K576" s="29" t="n">
        <v>1</v>
      </c>
      <c r="L576" s="44">
        <f>60*G576/cruise_kt</f>
        <v/>
      </c>
      <c r="M576" s="44">
        <f>IF(B576="South Korea",G576/korea_charge_range_nm*korea_full_range_charge_min,0)</f>
        <v/>
      </c>
      <c r="N576" s="44">
        <f>IF(B576="South Korea",L576+korea_turn_min+korea_dwell_min+M576,L576+turn_min+dwell_min)</f>
        <v/>
      </c>
      <c r="O576" s="45">
        <f>IF(B576="South Korea",FLOOR(60*korea_service_hr/N576,1),MIN(24,FLOOR(60*service_hr/N576,1)))</f>
        <v/>
      </c>
      <c r="P576" s="45">
        <f>IF(ABS(MOD(ABS((365*mech_uptime*K576)),1)-0.5)&lt;1E-9,2*ROUND((365*mech_uptime*K576)/2,0),ROUND((365*mech_uptime*K576),0))</f>
        <v/>
      </c>
      <c r="Q576" s="46">
        <f>mech_uptime</f>
        <v/>
      </c>
      <c r="R576" s="46">
        <f>IF(AND(B576="South Korea",scenario="MID"),korea_mid_revleg,revleg_sel)</f>
        <v/>
      </c>
      <c r="S576" s="45">
        <f>IF(ABS(MOD(ABS((O576*P576*R576)),1)-0.5)&lt;1E-9,2*ROUND((O576*P576*R576)/2,0),ROUND((O576*P576*R576),0))</f>
        <v/>
      </c>
      <c r="T576" s="46">
        <f>IF(AND(B576="South Korea",scenario="MID"),korea_mid_load,load_sel)</f>
        <v/>
      </c>
      <c r="U576" s="47">
        <f>pax_cap*T576</f>
        <v/>
      </c>
      <c r="V576" s="45">
        <f>U576*S576</f>
        <v/>
      </c>
      <c r="W576" s="48">
        <f>H576*discount</f>
        <v/>
      </c>
      <c r="X576" s="49">
        <f>W576*V576</f>
        <v/>
      </c>
      <c r="Y576" s="49">
        <f>(battery/range_nm)*G576*S576*VLOOKUP(B576,country_opex,3,FALSE)</f>
        <v/>
      </c>
      <c r="Z576" s="49">
        <f>VLOOKUP(B576,country_opex,2,FALSE)*crew_factor</f>
        <v/>
      </c>
      <c r="AA576" s="49">
        <f>VLOOKUP(B576,country_opex,5,FALSE)</f>
        <v/>
      </c>
      <c r="AB576" s="49">
        <f>maint</f>
        <v/>
      </c>
      <c r="AC576" s="49">
        <f>VLOOKUP(B576,country_opex,7,FALSE)*ins_pct</f>
        <v/>
      </c>
      <c r="AD576" s="49">
        <f>charge_berth</f>
        <v/>
      </c>
      <c r="AE576" s="49">
        <f>Y576+Z576+AA576+AB576+AC576+AD576</f>
        <v/>
      </c>
      <c r="AF576" s="49">
        <f>VLOOKUP(B576,country_opex,7,FALSE)/dep_years</f>
        <v/>
      </c>
      <c r="AG576" s="49">
        <f>X576-AE576</f>
        <v/>
      </c>
      <c r="AH576" s="46">
        <f>IF(X576=0,"",AG576/X576)</f>
        <v/>
      </c>
      <c r="AI576" s="47">
        <f>IF(AG576&lt;=0,"",VLOOKUP(B576,country_opex,7,FALSE)/AG576)</f>
        <v/>
      </c>
      <c r="AJ576" s="44">
        <f>((G576*S576/diesel_nmpg)*diesel_co2pg-(battery/range_nm)*G576*S576*VLOOKUP(B576,country_opex,4,FALSE))/1000</f>
        <v/>
      </c>
      <c r="AK576" s="42" t="n">
        <v>344000</v>
      </c>
      <c r="AL576" s="43" t="n"/>
      <c r="AM576" s="43" t="n"/>
      <c r="AN576" s="50" t="n">
        <v>0.1</v>
      </c>
      <c r="AO576" s="45">
        <f>IF(AK576="","",AK576*AN576)</f>
        <v/>
      </c>
      <c r="AP576" s="45">
        <f>IF(OR(AK576="",V576=0),"",MIN(IF(AX576="",9.9E+99,AX576),FLOOR(AO576/V576,1)))</f>
        <v/>
      </c>
      <c r="AQ576" s="49">
        <f>IF(AP576="","",AP576*IF(ABS(MOD(ABS((X576)),1)-0.5)&lt;1E-9,2*ROUND((X576)/2,0),ROUND((X576),0)))</f>
        <v/>
      </c>
      <c r="AR576" s="47">
        <f>IF(OR(AK576="",V576=0),"",MIN(IF(AX576="",9.9E+99,AX576),AO576/V576))</f>
        <v/>
      </c>
      <c r="AS576" s="49">
        <f>IF(AR576="","",AR576*IF(B576="South Korea",IF(ABS(MOD(ABS((X576)),1)-0.5)&lt;1E-9,2*ROUND((X576)/2,0),ROUND((X576),0)),X576))</f>
        <v/>
      </c>
      <c r="AT576" s="51" t="n"/>
      <c r="AU576" s="43" t="inlineStr">
        <is>
          <t>Grounded</t>
        </is>
      </c>
      <c r="AV576" s="52" t="n"/>
      <c r="AW576" s="52" t="n"/>
      <c r="AX576" s="53" t="n"/>
      <c r="AY576" s="54">
        <f>IF(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&lt;=0,"",VLOOKUP(B576,country_opex,7,FALSE)/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)</f>
        <v/>
      </c>
      <c r="AZ576" s="54">
        <f>IF(((W576*pax_cap*IF(B576="South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Korea",korea_mid_revleg,revleg_mid)),0))*VLOOKUP(B576,country_opex,3,FALSE))+Z576+AA576+AB576+AC576+AD576))&lt;=0,"",VLOOKUP(B576,country_opex,7,FALSE)/((W576*pax_cap*IF(B576="South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Korea",korea_mid_revleg,revleg_mid)),0))*VLOOKUP(B576,country_opex,3,FALSE))+Z576+AA576+AB576+AC576+AD576)))</f>
        <v/>
      </c>
      <c r="BA576" s="54">
        <f>IF(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&lt;=0,"",VLOOKUP(B576,country_opex,7,FALSE)/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)</f>
        <v/>
      </c>
      <c r="BB576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C576" s="40" t="n"/>
      <c r="BD576" s="43" t="inlineStr">
        <is>
          <t>rn-27da217834e5</t>
        </is>
      </c>
    </row>
    <row r="577">
      <c r="A577" s="38" t="inlineStr">
        <is>
          <t>Caribbean Mobility</t>
        </is>
      </c>
      <c r="B577" s="38" t="inlineStr">
        <is>
          <t>U.S. Virgin Islands</t>
        </is>
      </c>
      <c r="C577" s="39" t="inlineStr">
        <is>
          <t>Red Hook Ferry Terminal, St. Thomas → Cruz Bay Ferry Dock, St. John</t>
        </is>
      </c>
      <c r="D577" s="38" t="inlineStr">
        <is>
          <t>caribbean-mobility</t>
        </is>
      </c>
      <c r="E577" s="40" t="inlineStr">
        <is>
          <t>caribbean-mobility</t>
        </is>
      </c>
      <c r="F577" s="41" t="n">
        <v>1</v>
      </c>
      <c r="G577" s="42" t="n">
        <v>3.11</v>
      </c>
      <c r="H577" s="35" t="n">
        <v>16</v>
      </c>
      <c r="I577" s="43" t="n"/>
      <c r="J577" s="43" t="n"/>
      <c r="K577" s="29" t="n">
        <v>1</v>
      </c>
      <c r="L577" s="44">
        <f>60*G577/cruise_kt</f>
        <v/>
      </c>
      <c r="M577" s="44">
        <f>IF(B577="South Korea",G577/korea_charge_range_nm*korea_full_range_charge_min,0)</f>
        <v/>
      </c>
      <c r="N577" s="44">
        <f>IF(B577="South Korea",L577+korea_turn_min+korea_dwell_min+M577,L577+turn_min+dwell_min)</f>
        <v/>
      </c>
      <c r="O577" s="45">
        <f>IF(B577="South Korea",FLOOR(60*korea_service_hr/N577,1),MIN(15,FLOOR(60*service_hr/N577,1)))</f>
        <v/>
      </c>
      <c r="P577" s="45">
        <f>IF(ABS(MOD(ABS((365*mech_uptime*K577)),1)-0.5)&lt;1E-9,2*ROUND((365*mech_uptime*K577)/2,0),ROUND((365*mech_uptime*K577),0))</f>
        <v/>
      </c>
      <c r="Q577" s="46">
        <f>mech_uptime</f>
        <v/>
      </c>
      <c r="R577" s="46">
        <f>IF(AND(B577="South Korea",scenario="MID"),korea_mid_revleg,revleg_sel)</f>
        <v/>
      </c>
      <c r="S577" s="45">
        <f>IF(ABS(MOD(ABS((O577*P577*R577)),1)-0.5)&lt;1E-9,2*ROUND((O577*P577*R577)/2,0),ROUND((O577*P577*R577),0))</f>
        <v/>
      </c>
      <c r="T577" s="46">
        <f>IF(AND(B577="South Korea",scenario="MID"),korea_mid_load,load_sel)</f>
        <v/>
      </c>
      <c r="U577" s="47">
        <f>pax_cap*T577</f>
        <v/>
      </c>
      <c r="V577" s="45">
        <f>U577*S577</f>
        <v/>
      </c>
      <c r="W577" s="48">
        <f>H577*discount</f>
        <v/>
      </c>
      <c r="X577" s="49">
        <f>W577*V577</f>
        <v/>
      </c>
      <c r="Y577" s="49">
        <f>(battery/range_nm)*G577*S577*VLOOKUP(B577,country_opex,3,FALSE)</f>
        <v/>
      </c>
      <c r="Z577" s="49">
        <f>VLOOKUP(B577,country_opex,2,FALSE)*crew_factor</f>
        <v/>
      </c>
      <c r="AA577" s="49">
        <f>VLOOKUP(B577,country_opex,5,FALSE)</f>
        <v/>
      </c>
      <c r="AB577" s="49">
        <f>maint</f>
        <v/>
      </c>
      <c r="AC577" s="49">
        <f>VLOOKUP(B577,country_opex,7,FALSE)*ins_pct</f>
        <v/>
      </c>
      <c r="AD577" s="49">
        <f>charge_berth</f>
        <v/>
      </c>
      <c r="AE577" s="49">
        <f>Y577+Z577+AA577+AB577+AC577+AD577</f>
        <v/>
      </c>
      <c r="AF577" s="49">
        <f>VLOOKUP(B577,country_opex,7,FALSE)/dep_years</f>
        <v/>
      </c>
      <c r="AG577" s="49">
        <f>X577-AE577</f>
        <v/>
      </c>
      <c r="AH577" s="46">
        <f>IF(X577=0,"",AG577/X577)</f>
        <v/>
      </c>
      <c r="AI577" s="47">
        <f>IF(AG577&lt;=0,"",VLOOKUP(B577,country_opex,7,FALSE)/AG577)</f>
        <v/>
      </c>
      <c r="AJ577" s="44">
        <f>((G577*S577/diesel_nmpg)*diesel_co2pg-(battery/range_nm)*G577*S577*VLOOKUP(B577,country_opex,4,FALSE))/1000</f>
        <v/>
      </c>
      <c r="AK577" s="42" t="n">
        <v>36000</v>
      </c>
      <c r="AL577" s="43" t="n"/>
      <c r="AM577" s="43" t="n"/>
      <c r="AN577" s="50" t="n">
        <v>0.1</v>
      </c>
      <c r="AO577" s="45">
        <f>IF(AK577="","",AK577*AN577)</f>
        <v/>
      </c>
      <c r="AP577" s="45">
        <f>IF(OR(AK577="",V577=0),"",MIN(IF(AX577="",9.9E+99,AX577),FLOOR(AO577/V577,1)))</f>
        <v/>
      </c>
      <c r="AQ577" s="49">
        <f>IF(AP577="","",AP577*IF(ABS(MOD(ABS((X577)),1)-0.5)&lt;1E-9,2*ROUND((X577)/2,0),ROUND((X577),0)))</f>
        <v/>
      </c>
      <c r="AR577" s="47">
        <f>IF(OR(AK577="",V577=0),"",MIN(IF(AX577="",9.9E+99,AX577),AO577/V577))</f>
        <v/>
      </c>
      <c r="AS577" s="49">
        <f>IF(AR577="","",AR577*IF(B577="South Korea",IF(ABS(MOD(ABS((X577)),1)-0.5)&lt;1E-9,2*ROUND((X577)/2,0),ROUND((X577),0)),X577))</f>
        <v/>
      </c>
      <c r="AT577" s="51" t="n"/>
      <c r="AU577" s="43" t="inlineStr">
        <is>
          <t>Estimated</t>
        </is>
      </c>
      <c r="AV577" s="52" t="n"/>
      <c r="AW577" s="52" t="n"/>
      <c r="AX577" s="53" t="n"/>
      <c r="AY577" s="54">
        <f>IF(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&lt;=0,"",VLOOKUP(B577,country_opex,7,FALSE)/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)</f>
        <v/>
      </c>
      <c r="AZ577" s="54">
        <f>IF(((W577*pax_cap*IF(B577="South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Korea",korea_mid_revleg,revleg_mid)),0))*VLOOKUP(B577,country_opex,3,FALSE))+Z577+AA577+AB577+AC577+AD577))&lt;=0,"",VLOOKUP(B577,country_opex,7,FALSE)/((W577*pax_cap*IF(B577="South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Korea",korea_mid_revleg,revleg_mid)),0))*VLOOKUP(B577,country_opex,3,FALSE))+Z577+AA577+AB577+AC577+AD577)))</f>
        <v/>
      </c>
      <c r="BA577" s="54">
        <f>IF(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&lt;=0,"",VLOOKUP(B577,country_opex,7,FALSE)/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)</f>
        <v/>
      </c>
      <c r="BB577" s="40" t="n"/>
      <c r="BC577" s="40" t="n"/>
      <c r="BD577" s="43" t="inlineStr">
        <is>
          <t>ics-c24cfec613</t>
        </is>
      </c>
    </row>
    <row r="578">
      <c r="A578" s="38" t="inlineStr">
        <is>
          <t>Gulf Authority Rakta</t>
        </is>
      </c>
      <c r="B578" s="38" t="inlineStr">
        <is>
          <t>United Arab Emirates</t>
        </is>
      </c>
      <c r="C578" s="39" t="inlineStr">
        <is>
          <t>Al Marjan Island public arrival marina → Rixos Bab Al Bahr beach jetty</t>
        </is>
      </c>
      <c r="D578" s="38" t="inlineStr">
        <is>
          <t>rakta</t>
        </is>
      </c>
      <c r="E578" s="40" t="inlineStr">
        <is>
          <t>gulf-authority-bahrain-motc, gulf-authority-rakta</t>
        </is>
      </c>
      <c r="F578" s="41" t="n">
        <v>2</v>
      </c>
      <c r="G578" s="42" t="n">
        <v>0.2</v>
      </c>
      <c r="H578" s="35" t="n">
        <v>35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IF(B578="South Korea",G578/korea_charge_range_nm*korea_full_range_charge_min,0)</f>
        <v/>
      </c>
      <c r="N578" s="44">
        <f>IF(B578="South Korea",L578+korea_turn_min+korea_dwell_min+M578,L578+turn_min+dwell_min)</f>
        <v/>
      </c>
      <c r="O578" s="45">
        <f>IF(B578="South Korea",FLOOR(60*korea_service_hr/N578,1),MIN(15,FLOOR(60*service_hr/N578,1)))</f>
        <v/>
      </c>
      <c r="P578" s="45">
        <f>IF(ABS(MOD(ABS((365*mech_uptime*K578)),1)-0.5)&lt;1E-9,2*ROUND((365*mech_uptime*K578)/2,0),ROUND((365*mech_uptime*K578),0))</f>
        <v/>
      </c>
      <c r="Q578" s="46">
        <f>mech_uptime</f>
        <v/>
      </c>
      <c r="R578" s="46">
        <f>IF(AND(B578="South Korea",scenario="MID"),korea_mid_revleg,revleg_sel)</f>
        <v/>
      </c>
      <c r="S578" s="45">
        <f>IF(ABS(MOD(ABS((O578*P578*R578)),1)-0.5)&lt;1E-9,2*ROUND((O578*P578*R578)/2,0),ROUND((O578*P578*R578),0))</f>
        <v/>
      </c>
      <c r="T578" s="46">
        <f>IF(AND(B578="South Korea",scenario="MID"),korea_mid_load,load_sel)</f>
        <v/>
      </c>
      <c r="U578" s="47">
        <f>pax_cap*T578</f>
        <v/>
      </c>
      <c r="V578" s="45">
        <f>U578*S578</f>
        <v/>
      </c>
      <c r="W578" s="48">
        <f>H578*discount</f>
        <v/>
      </c>
      <c r="X578" s="49">
        <f>W578*V578</f>
        <v/>
      </c>
      <c r="Y578" s="49">
        <f>(battery/range_nm)*G578*S578*VLOOKUP(B578,country_opex,3,FALSE)</f>
        <v/>
      </c>
      <c r="Z578" s="49">
        <f>VLOOKUP(B578,country_opex,2,FALSE)*crew_factor</f>
        <v/>
      </c>
      <c r="AA578" s="49">
        <f>VLOOKUP(B578,country_opex,5,FALSE)</f>
        <v/>
      </c>
      <c r="AB578" s="49">
        <f>maint</f>
        <v/>
      </c>
      <c r="AC578" s="49">
        <f>VLOOKUP(B578,country_opex,7,FALSE)*ins_pct</f>
        <v/>
      </c>
      <c r="AD578" s="49">
        <f>charge_berth</f>
        <v/>
      </c>
      <c r="AE578" s="49">
        <f>Y578+Z578+AA578+AB578+AC578+AD578</f>
        <v/>
      </c>
      <c r="AF578" s="49">
        <f>VLOOKUP(B578,country_opex,7,FALSE)/dep_years</f>
        <v/>
      </c>
      <c r="AG578" s="49">
        <f>X578-AE578</f>
        <v/>
      </c>
      <c r="AH578" s="46">
        <f>IF(X578=0,"",AG578/X578)</f>
        <v/>
      </c>
      <c r="AI578" s="47">
        <f>IF(AG578&lt;=0,"",VLOOKUP(B578,country_opex,7,FALSE)/AG578)</f>
        <v/>
      </c>
      <c r="AJ578" s="44">
        <f>((G578*S578/diesel_nmpg)*diesel_co2pg-(battery/range_nm)*G578*S578*VLOOKUP(B578,country_opex,4,FALSE))/1000</f>
        <v/>
      </c>
      <c r="AK578" s="42" t="n">
        <v>5217</v>
      </c>
      <c r="AL578" s="43" t="inlineStr">
        <is>
          <t>T3</t>
        </is>
      </c>
      <c r="AM578" s="43" t="inlineStr">
        <is>
          <t>med-low</t>
        </is>
      </c>
      <c r="AN578" s="50" t="n">
        <v>0.1</v>
      </c>
      <c r="AO578" s="45">
        <f>IF(AK578="","",AK578*AN578)</f>
        <v/>
      </c>
      <c r="AP578" s="45">
        <f>IF(OR(AK578="",V578=0),"",MIN(IF(AX578="",9.9E+99,AX578),FLOOR(AO578/V578,1)))</f>
        <v/>
      </c>
      <c r="AQ578" s="49">
        <f>IF(AP578="","",AP578*IF(ABS(MOD(ABS((X578)),1)-0.5)&lt;1E-9,2*ROUND((X578)/2,0),ROUND((X578),0)))</f>
        <v/>
      </c>
      <c r="AR578" s="47">
        <f>IF(OR(AK578="",V578=0),"",MIN(IF(AX578="",9.9E+99,AX578),AO578/V578))</f>
        <v/>
      </c>
      <c r="AS578" s="49">
        <f>IF(AR578="","",AR578*IF(B578="South Korea",IF(ABS(MOD(ABS((X578)),1)-0.5)&lt;1E-9,2*ROUND((X578)/2,0),ROUND((X578),0)),X578))</f>
        <v/>
      </c>
      <c r="AT578" s="51" t="n"/>
      <c r="AU578" s="43" t="inlineStr">
        <is>
          <t>Grounded</t>
        </is>
      </c>
      <c r="AV578" s="52" t="n"/>
      <c r="AW578" s="52" t="n"/>
      <c r="AX578" s="53" t="n"/>
      <c r="AY578" s="54">
        <f>IF(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&lt;=0,"",VLOOKUP(B578,country_opex,7,FALSE)/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)</f>
        <v/>
      </c>
      <c r="AZ578" s="54">
        <f>IF(((W578*pax_cap*IF(B578="South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Korea",korea_mid_revleg,revleg_mid)),0))*VLOOKUP(B578,country_opex,3,FALSE))+Z578+AA578+AB578+AC578+AD578))&lt;=0,"",VLOOKUP(B578,country_opex,7,FALSE)/((W578*pax_cap*IF(B578="South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Korea",korea_mid_revleg,revleg_mid)),0))*VLOOKUP(B578,country_opex,3,FALSE))+Z578+AA578+AB578+AC578+AD578)))</f>
        <v/>
      </c>
      <c r="BA578" s="54">
        <f>IF(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&lt;=0,"",VLOOKUP(B578,country_opex,7,FALSE)/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)</f>
        <v/>
      </c>
      <c r="BB578" s="40" t="n"/>
      <c r="BC578" s="40" t="n"/>
      <c r="BD578" s="43" t="inlineStr">
        <is>
          <t>rn-f0d6b20a125c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Marjan Island Resort &amp; Spa beach jetty → Hampton by Hilton Marjan Island beach landing</t>
        </is>
      </c>
      <c r="D579" s="38" t="inlineStr">
        <is>
          <t>rakta</t>
        </is>
      </c>
      <c r="E579" s="40" t="inlineStr">
        <is>
          <t>gulf-authority-bahrain-motc, gulf-authority-rakta</t>
        </is>
      </c>
      <c r="F579" s="41" t="n">
        <v>2</v>
      </c>
      <c r="G579" s="42" t="n">
        <v>0.4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IF(B579="South Korea",G579/korea_charge_range_nm*korea_full_range_charge_min,0)</f>
        <v/>
      </c>
      <c r="N579" s="44">
        <f>IF(B579="South Korea",L579+korea_turn_min+korea_dwell_min+M579,L579+turn_min+dwell_min)</f>
        <v/>
      </c>
      <c r="O579" s="45">
        <f>IF(B579="South Korea",FLOOR(60*korea_service_hr/N579,1),MIN(15,FLOOR(60*service_hr/N579,1)))</f>
        <v/>
      </c>
      <c r="P579" s="45">
        <f>IF(ABS(MOD(ABS((365*mech_uptime*K579)),1)-0.5)&lt;1E-9,2*ROUND((365*mech_uptime*K579)/2,0),ROUND((365*mech_uptime*K579),0))</f>
        <v/>
      </c>
      <c r="Q579" s="46">
        <f>mech_uptime</f>
        <v/>
      </c>
      <c r="R579" s="46">
        <f>IF(AND(B579="South Korea",scenario="MID"),korea_mid_revleg,revleg_sel)</f>
        <v/>
      </c>
      <c r="S579" s="45">
        <f>IF(ABS(MOD(ABS((O579*P579*R579)),1)-0.5)&lt;1E-9,2*ROUND((O579*P579*R579)/2,0),ROUND((O579*P579*R579),0))</f>
        <v/>
      </c>
      <c r="T579" s="46">
        <f>IF(AND(B579="South Korea",scenario="MID"),korea_mid_load,load_sel)</f>
        <v/>
      </c>
      <c r="U579" s="47">
        <f>pax_cap*T579</f>
        <v/>
      </c>
      <c r="V579" s="45">
        <f>U579*S579</f>
        <v/>
      </c>
      <c r="W579" s="48">
        <f>H579*discount</f>
        <v/>
      </c>
      <c r="X579" s="49">
        <f>W579*V579</f>
        <v/>
      </c>
      <c r="Y579" s="49">
        <f>(battery/range_nm)*G579*S579*VLOOKUP(B579,country_opex,3,FALSE)</f>
        <v/>
      </c>
      <c r="Z579" s="49">
        <f>VLOOKUP(B579,country_opex,2,FALSE)*crew_factor</f>
        <v/>
      </c>
      <c r="AA579" s="49">
        <f>VLOOKUP(B579,country_opex,5,FALSE)</f>
        <v/>
      </c>
      <c r="AB579" s="49">
        <f>maint</f>
        <v/>
      </c>
      <c r="AC579" s="49">
        <f>VLOOKUP(B579,country_opex,7,FALSE)*ins_pct</f>
        <v/>
      </c>
      <c r="AD579" s="49">
        <f>charge_berth</f>
        <v/>
      </c>
      <c r="AE579" s="49">
        <f>Y579+Z579+AA579+AB579+AC579+AD579</f>
        <v/>
      </c>
      <c r="AF579" s="49">
        <f>VLOOKUP(B579,country_opex,7,FALSE)/dep_years</f>
        <v/>
      </c>
      <c r="AG579" s="49">
        <f>X579-AE579</f>
        <v/>
      </c>
      <c r="AH579" s="46">
        <f>IF(X579=0,"",AG579/X579)</f>
        <v/>
      </c>
      <c r="AI579" s="47">
        <f>IF(AG579&lt;=0,"",VLOOKUP(B579,country_opex,7,FALSE)/AG579)</f>
        <v/>
      </c>
      <c r="AJ579" s="44">
        <f>((G579*S579/diesel_nmpg)*diesel_co2pg-(battery/range_nm)*G579*S579*VLOOKUP(B579,country_opex,4,FALSE))/1000</f>
        <v/>
      </c>
      <c r="AK579" s="42" t="n">
        <v>5217</v>
      </c>
      <c r="AL579" s="43" t="inlineStr">
        <is>
          <t>T3</t>
        </is>
      </c>
      <c r="AM579" s="43" t="inlineStr">
        <is>
          <t>med-low</t>
        </is>
      </c>
      <c r="AN579" s="50" t="n">
        <v>0.1</v>
      </c>
      <c r="AO579" s="45">
        <f>IF(AK579="","",AK579*AN579)</f>
        <v/>
      </c>
      <c r="AP579" s="45">
        <f>IF(OR(AK579="",V579=0),"",MIN(IF(AX579="",9.9E+99,AX579),FLOOR(AO579/V579,1)))</f>
        <v/>
      </c>
      <c r="AQ579" s="49">
        <f>IF(AP579="","",AP579*IF(ABS(MOD(ABS((X579)),1)-0.5)&lt;1E-9,2*ROUND((X579)/2,0),ROUND((X579),0)))</f>
        <v/>
      </c>
      <c r="AR579" s="47">
        <f>IF(OR(AK579="",V579=0),"",MIN(IF(AX579="",9.9E+99,AX579),AO579/V579))</f>
        <v/>
      </c>
      <c r="AS579" s="49">
        <f>IF(AR579="","",AR579*IF(B579="South Korea",IF(ABS(MOD(ABS((X579)),1)-0.5)&lt;1E-9,2*ROUND((X579)/2,0),ROUND((X579),0)),X579))</f>
        <v/>
      </c>
      <c r="AT579" s="51" t="n"/>
      <c r="AU579" s="43" t="inlineStr">
        <is>
          <t>Grounded</t>
        </is>
      </c>
      <c r="AV579" s="52" t="n"/>
      <c r="AW579" s="52" t="n"/>
      <c r="AX579" s="53" t="n"/>
      <c r="AY579" s="54">
        <f>IF(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&lt;=0,"",VLOOKUP(B579,country_opex,7,FALSE)/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)</f>
        <v/>
      </c>
      <c r="AZ579" s="54">
        <f>IF(((W579*pax_cap*IF(B579="South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Korea",korea_mid_revleg,revleg_mid)),0))*VLOOKUP(B579,country_opex,3,FALSE))+Z579+AA579+AB579+AC579+AD579))&lt;=0,"",VLOOKUP(B579,country_opex,7,FALSE)/((W579*pax_cap*IF(B579="South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Korea",korea_mid_revleg,revleg_mid)),0))*VLOOKUP(B579,country_opex,3,FALSE))+Z579+AA579+AB579+AC579+AD579)))</f>
        <v/>
      </c>
      <c r="BA579" s="54">
        <f>IF(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&lt;=0,"",VLOOKUP(B579,country_opex,7,FALSE)/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)</f>
        <v/>
      </c>
      <c r="BB579" s="40" t="n"/>
      <c r="BC579" s="40" t="n"/>
      <c r="BD579" s="43" t="inlineStr">
        <is>
          <t>rn-67316de45b8f</t>
        </is>
      </c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Ras Al Khaimah Harbour → RAK Corniche public pier</t>
        </is>
      </c>
      <c r="D580" s="38" t="inlineStr">
        <is>
          <t>rakta</t>
        </is>
      </c>
      <c r="E580" s="40" t="inlineStr">
        <is>
          <t>gulf-authority-bahrain-motc, gulf-authority-rakta</t>
        </is>
      </c>
      <c r="F580" s="41" t="n">
        <v>2</v>
      </c>
      <c r="G580" s="42" t="n">
        <v>0.4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IF(B580="South Korea",G580/korea_charge_range_nm*korea_full_range_charge_min,0)</f>
        <v/>
      </c>
      <c r="N580" s="44">
        <f>IF(B580="South Korea",L580+korea_turn_min+korea_dwell_min+M580,L580+turn_min+dwell_min)</f>
        <v/>
      </c>
      <c r="O580" s="45">
        <f>IF(B580="South Korea",FLOOR(60*korea_service_hr/N580,1),MIN(15,FLOOR(60*service_hr/N580,1)))</f>
        <v/>
      </c>
      <c r="P580" s="45">
        <f>IF(ABS(MOD(ABS((365*mech_uptime*K580)),1)-0.5)&lt;1E-9,2*ROUND((365*mech_uptime*K580)/2,0),ROUND((365*mech_uptime*K580),0))</f>
        <v/>
      </c>
      <c r="Q580" s="46">
        <f>mech_uptime</f>
        <v/>
      </c>
      <c r="R580" s="46">
        <f>IF(AND(B580="South Korea",scenario="MID"),korea_mid_revleg,revleg_sel)</f>
        <v/>
      </c>
      <c r="S580" s="45">
        <f>IF(ABS(MOD(ABS((O580*P580*R580)),1)-0.5)&lt;1E-9,2*ROUND((O580*P580*R580)/2,0),ROUND((O580*P580*R580),0))</f>
        <v/>
      </c>
      <c r="T580" s="46">
        <f>IF(AND(B580="South Korea",scenario="MID"),korea_mid_load,load_sel)</f>
        <v/>
      </c>
      <c r="U580" s="47">
        <f>pax_cap*T580</f>
        <v/>
      </c>
      <c r="V580" s="45">
        <f>U580*S580</f>
        <v/>
      </c>
      <c r="W580" s="48">
        <f>H580*discount</f>
        <v/>
      </c>
      <c r="X580" s="49">
        <f>W580*V580</f>
        <v/>
      </c>
      <c r="Y580" s="49">
        <f>(battery/range_nm)*G580*S580*VLOOKUP(B580,country_opex,3,FALSE)</f>
        <v/>
      </c>
      <c r="Z580" s="49">
        <f>VLOOKUP(B580,country_opex,2,FALSE)*crew_factor</f>
        <v/>
      </c>
      <c r="AA580" s="49">
        <f>VLOOKUP(B580,country_opex,5,FALSE)</f>
        <v/>
      </c>
      <c r="AB580" s="49">
        <f>maint</f>
        <v/>
      </c>
      <c r="AC580" s="49">
        <f>VLOOKUP(B580,country_opex,7,FALSE)*ins_pct</f>
        <v/>
      </c>
      <c r="AD580" s="49">
        <f>charge_berth</f>
        <v/>
      </c>
      <c r="AE580" s="49">
        <f>Y580+Z580+AA580+AB580+AC580+AD580</f>
        <v/>
      </c>
      <c r="AF580" s="49">
        <f>VLOOKUP(B580,country_opex,7,FALSE)/dep_years</f>
        <v/>
      </c>
      <c r="AG580" s="49">
        <f>X580-AE580</f>
        <v/>
      </c>
      <c r="AH580" s="46">
        <f>IF(X580=0,"",AG580/X580)</f>
        <v/>
      </c>
      <c r="AI580" s="47">
        <f>IF(AG580&lt;=0,"",VLOOKUP(B580,country_opex,7,FALSE)/AG580)</f>
        <v/>
      </c>
      <c r="AJ580" s="44">
        <f>((G580*S580/diesel_nmpg)*diesel_co2pg-(battery/range_nm)*G580*S580*VLOOKUP(B580,country_opex,4,FALSE))/1000</f>
        <v/>
      </c>
      <c r="AK580" s="42" t="n">
        <v>5217</v>
      </c>
      <c r="AL580" s="43" t="inlineStr">
        <is>
          <t>T3</t>
        </is>
      </c>
      <c r="AM580" s="43" t="inlineStr">
        <is>
          <t>med-low</t>
        </is>
      </c>
      <c r="AN580" s="50" t="n">
        <v>0.1</v>
      </c>
      <c r="AO580" s="45">
        <f>IF(AK580="","",AK580*AN580)</f>
        <v/>
      </c>
      <c r="AP580" s="45">
        <f>IF(OR(AK580="",V580=0),"",MIN(IF(AX580="",9.9E+99,AX580),FLOOR(AO580/V580,1)))</f>
        <v/>
      </c>
      <c r="AQ580" s="49">
        <f>IF(AP580="","",AP580*IF(ABS(MOD(ABS((X580)),1)-0.5)&lt;1E-9,2*ROUND((X580)/2,0),ROUND((X580),0)))</f>
        <v/>
      </c>
      <c r="AR580" s="47">
        <f>IF(OR(AK580="",V580=0),"",MIN(IF(AX580="",9.9E+99,AX580),AO580/V580))</f>
        <v/>
      </c>
      <c r="AS580" s="49">
        <f>IF(AR580="","",AR580*IF(B580="South Korea",IF(ABS(MOD(ABS((X580)),1)-0.5)&lt;1E-9,2*ROUND((X580)/2,0),ROUND((X580),0)),X580))</f>
        <v/>
      </c>
      <c r="AT580" s="51" t="n"/>
      <c r="AU580" s="43" t="inlineStr">
        <is>
          <t>Grounded</t>
        </is>
      </c>
      <c r="AV580" s="52" t="n"/>
      <c r="AW580" s="52" t="n"/>
      <c r="AX580" s="53" t="n"/>
      <c r="AY580" s="54">
        <f>IF(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&lt;=0,"",VLOOKUP(B580,country_opex,7,FALSE)/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)</f>
        <v/>
      </c>
      <c r="AZ580" s="54">
        <f>IF(((W580*pax_cap*IF(B580="South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Korea",korea_mid_revleg,revleg_mid)),0))*VLOOKUP(B580,country_opex,3,FALSE))+Z580+AA580+AB580+AC580+AD580))&lt;=0,"",VLOOKUP(B580,country_opex,7,FALSE)/((W580*pax_cap*IF(B580="South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Korea",korea_mid_revleg,revleg_mid)),0))*VLOOKUP(B580,country_opex,3,FALSE))+Z580+AA580+AB580+AC580+AD580)))</f>
        <v/>
      </c>
      <c r="BA580" s="54">
        <f>IF(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&lt;=0,"",VLOOKUP(B580,country_opex,7,FALSE)/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)</f>
        <v/>
      </c>
      <c r="BB580" s="40" t="n"/>
      <c r="BC580" s="40" t="n"/>
      <c r="BD580" s="43" t="inlineStr">
        <is>
          <t>rn-2a5c2fe11732</t>
        </is>
      </c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One&amp;Only The Palm Jetty → Jumeirah Zabeel Saray Jetty</t>
        </is>
      </c>
      <c r="D581" s="38" t="inlineStr">
        <is>
          <t>careem</t>
        </is>
      </c>
      <c r="E581" s="40" t="inlineStr">
        <is>
          <t>bolt-uae, uae-careem, uae-luxury, uae-noon, uae-voi, yango-uae</t>
        </is>
      </c>
      <c r="F581" s="41" t="n">
        <v>6</v>
      </c>
      <c r="G581" s="42" t="n">
        <v>0.5</v>
      </c>
      <c r="H581" s="35" t="n">
        <v>130</v>
      </c>
      <c r="I581" s="43" t="inlineStr">
        <is>
          <t>T5</t>
        </is>
      </c>
      <c r="J581" s="43" t="inlineStr">
        <is>
          <t>low</t>
        </is>
      </c>
      <c r="K581" s="29" t="n">
        <v>1</v>
      </c>
      <c r="L581" s="44">
        <f>60*G581/cruise_kt</f>
        <v/>
      </c>
      <c r="M581" s="44">
        <f>IF(B581="South Korea",G581/korea_charge_range_nm*korea_full_range_charge_min,0)</f>
        <v/>
      </c>
      <c r="N581" s="44">
        <f>IF(B581="South Korea",L581+korea_turn_min+korea_dwell_min+M581,L581+turn_min+dwell_min)</f>
        <v/>
      </c>
      <c r="O581" s="45">
        <f>IF(B581="South Korea",FLOOR(60*korea_service_hr/N581,1),MIN(15,FLOOR(60*service_hr/N581,1)))</f>
        <v/>
      </c>
      <c r="P581" s="45">
        <f>IF(ABS(MOD(ABS((365*mech_uptime*K581)),1)-0.5)&lt;1E-9,2*ROUND((365*mech_uptime*K581)/2,0),ROUND((365*mech_uptime*K581),0))</f>
        <v/>
      </c>
      <c r="Q581" s="46">
        <f>mech_uptime</f>
        <v/>
      </c>
      <c r="R581" s="46">
        <f>IF(AND(B581="South Korea",scenario="MID"),korea_mid_revleg,revleg_sel)</f>
        <v/>
      </c>
      <c r="S581" s="45">
        <f>IF(ABS(MOD(ABS((O581*P581*R581)),1)-0.5)&lt;1E-9,2*ROUND((O581*P581*R581)/2,0),ROUND((O581*P581*R581),0))</f>
        <v/>
      </c>
      <c r="T581" s="46">
        <f>IF(AND(B581="South Korea",scenario="MID"),korea_mid_load,load_sel)</f>
        <v/>
      </c>
      <c r="U581" s="47">
        <f>pax_cap*T581</f>
        <v/>
      </c>
      <c r="V581" s="45">
        <f>U581*S581</f>
        <v/>
      </c>
      <c r="W581" s="48">
        <f>H581*discount</f>
        <v/>
      </c>
      <c r="X581" s="49">
        <f>W581*V581</f>
        <v/>
      </c>
      <c r="Y581" s="49">
        <f>(battery/range_nm)*G581*S581*VLOOKUP(B581,country_opex,3,FALSE)</f>
        <v/>
      </c>
      <c r="Z581" s="49">
        <f>VLOOKUP(B581,country_opex,2,FALSE)*crew_factor</f>
        <v/>
      </c>
      <c r="AA581" s="49">
        <f>VLOOKUP(B581,country_opex,5,FALSE)</f>
        <v/>
      </c>
      <c r="AB581" s="49">
        <f>maint</f>
        <v/>
      </c>
      <c r="AC581" s="49">
        <f>VLOOKUP(B581,country_opex,7,FALSE)*ins_pct</f>
        <v/>
      </c>
      <c r="AD581" s="49">
        <f>charge_berth</f>
        <v/>
      </c>
      <c r="AE581" s="49">
        <f>Y581+Z581+AA581+AB581+AC581+AD581</f>
        <v/>
      </c>
      <c r="AF581" s="49">
        <f>VLOOKUP(B581,country_opex,7,FALSE)/dep_years</f>
        <v/>
      </c>
      <c r="AG581" s="49">
        <f>X581-AE581</f>
        <v/>
      </c>
      <c r="AH581" s="46">
        <f>IF(X581=0,"",AG581/X581)</f>
        <v/>
      </c>
      <c r="AI581" s="47">
        <f>IF(AG581&lt;=0,"",VLOOKUP(B581,country_opex,7,FALSE)/AG581)</f>
        <v/>
      </c>
      <c r="AJ581" s="44">
        <f>((G581*S581/diesel_nmpg)*diesel_co2pg-(battery/range_nm)*G581*S581*VLOOKUP(B581,country_opex,4,FALSE))/1000</f>
        <v/>
      </c>
      <c r="AK581" s="42" t="n">
        <v>25000</v>
      </c>
      <c r="AL581" s="43" t="inlineStr">
        <is>
          <t>T3</t>
        </is>
      </c>
      <c r="AM581" s="43" t="inlineStr">
        <is>
          <t>low</t>
        </is>
      </c>
      <c r="AN581" s="50" t="n">
        <v>0.1</v>
      </c>
      <c r="AO581" s="45">
        <f>IF(AK581="","",AK581*AN581)</f>
        <v/>
      </c>
      <c r="AP581" s="45">
        <f>IF(OR(AK581="",V581=0),"",MIN(IF(AX581="",9.9E+99,AX581),FLOOR(AO581/V581,1)))</f>
        <v/>
      </c>
      <c r="AQ581" s="49">
        <f>IF(AP581="","",AP581*IF(ABS(MOD(ABS((X581)),1)-0.5)&lt;1E-9,2*ROUND((X581)/2,0),ROUND((X581),0)))</f>
        <v/>
      </c>
      <c r="AR581" s="47">
        <f>IF(OR(AK581="",V581=0),"",MIN(IF(AX581="",9.9E+99,AX581),AO581/V581))</f>
        <v/>
      </c>
      <c r="AS581" s="49">
        <f>IF(AR581="","",AR581*IF(B581="South Korea",IF(ABS(MOD(ABS((X581)),1)-0.5)&lt;1E-9,2*ROUND((X581)/2,0),ROUND((X581),0)),X581))</f>
        <v/>
      </c>
      <c r="AT581" s="51" t="n"/>
      <c r="AU581" s="43" t="inlineStr">
        <is>
          <t>Grounded</t>
        </is>
      </c>
      <c r="AV581" s="52" t="n"/>
      <c r="AW581" s="52" t="n"/>
      <c r="AX581" s="53" t="n"/>
      <c r="AY581" s="54">
        <f>IF(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&lt;=0,"",VLOOKUP(B581,country_opex,7,FALSE)/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)</f>
        <v/>
      </c>
      <c r="AZ581" s="54">
        <f>IF(((W581*pax_cap*IF(B581="South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Korea",korea_mid_revleg,revleg_mid)),0))*VLOOKUP(B581,country_opex,3,FALSE))+Z581+AA581+AB581+AC581+AD581))&lt;=0,"",VLOOKUP(B581,country_opex,7,FALSE)/((W581*pax_cap*IF(B581="South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Korea",korea_mid_revleg,revleg_mid)),0))*VLOOKUP(B581,country_opex,3,FALSE))+Z581+AA581+AB581+AC581+AD581)))</f>
        <v/>
      </c>
      <c r="BA581" s="54">
        <f>IF(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&lt;=0,"",VLOOKUP(B581,country_opex,7,FALSE)/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)</f>
        <v/>
      </c>
      <c r="BB581" s="40" t="inlineStr">
        <is>
          <t>Palm ultra-lux cluster (One&amp;Only&lt;-&gt;Zabeel Saray). Road-served. T5/low.</t>
        </is>
      </c>
      <c r="BC581" s="40" t="inlineStr">
        <is>
          <t>UAE-DEMAND-ANCHORS-2026-06-17.json — tier-based addressable pool derived from sourcing wave anchors (hotel keys × occ × shuttle adoption, marina activity, RTA marine baseline).</t>
        </is>
      </c>
      <c r="BD581" s="43" t="inlineStr">
        <is>
          <t>rn-1ec5dd6a2bb4</t>
        </is>
      </c>
    </row>
    <row r="582">
      <c r="A582" s="38" t="inlineStr">
        <is>
          <t>Gulf Authority Rakta</t>
        </is>
      </c>
      <c r="B582" s="38" t="inlineStr">
        <is>
          <t>United Arab Emirates</t>
        </is>
      </c>
      <c r="C582" s="39" t="inlineStr">
        <is>
          <t>Anantara Mina Al Arab Ras Al Khaimah Resort jetty → InterContinental Ras Al Khaimah Mina Al Arab Resort &amp; Spa jetty</t>
        </is>
      </c>
      <c r="D582" s="38" t="inlineStr">
        <is>
          <t>rakta</t>
        </is>
      </c>
      <c r="E582" s="40" t="inlineStr">
        <is>
          <t>gulf-authority-bahrain-motc, gulf-authority-rakta</t>
        </is>
      </c>
      <c r="F582" s="41" t="n">
        <v>2</v>
      </c>
      <c r="G582" s="42" t="n">
        <v>0.6</v>
      </c>
      <c r="H582" s="35" t="n">
        <v>35</v>
      </c>
      <c r="I582" s="43" t="inlineStr">
        <is>
          <t>T3</t>
        </is>
      </c>
      <c r="J582" s="43" t="inlineStr">
        <is>
          <t>med-low</t>
        </is>
      </c>
      <c r="K582" s="29" t="n">
        <v>1</v>
      </c>
      <c r="L582" s="44">
        <f>60*G582/cruise_kt</f>
        <v/>
      </c>
      <c r="M582" s="44">
        <f>IF(B582="South Korea",G582/korea_charge_range_nm*korea_full_range_charge_min,0)</f>
        <v/>
      </c>
      <c r="N582" s="44">
        <f>IF(B582="South Korea",L582+korea_turn_min+korea_dwell_min+M582,L582+turn_min+dwell_min)</f>
        <v/>
      </c>
      <c r="O582" s="45">
        <f>IF(B582="South Korea",FLOOR(60*korea_service_hr/N582,1),MIN(15,FLOOR(60*service_hr/N582,1)))</f>
        <v/>
      </c>
      <c r="P582" s="45">
        <f>IF(ABS(MOD(ABS((365*mech_uptime*K582)),1)-0.5)&lt;1E-9,2*ROUND((365*mech_uptime*K582)/2,0),ROUND((365*mech_uptime*K582),0))</f>
        <v/>
      </c>
      <c r="Q582" s="46">
        <f>mech_uptime</f>
        <v/>
      </c>
      <c r="R582" s="46">
        <f>IF(AND(B582="South Korea",scenario="MID"),korea_mid_revleg,revleg_sel)</f>
        <v/>
      </c>
      <c r="S582" s="45">
        <f>IF(ABS(MOD(ABS((O582*P582*R582)),1)-0.5)&lt;1E-9,2*ROUND((O582*P582*R582)/2,0),ROUND((O582*P582*R582),0))</f>
        <v/>
      </c>
      <c r="T582" s="46">
        <f>IF(AND(B582="South Korea",scenario="MID"),korea_mid_load,load_sel)</f>
        <v/>
      </c>
      <c r="U582" s="47">
        <f>pax_cap*T582</f>
        <v/>
      </c>
      <c r="V582" s="45">
        <f>U582*S582</f>
        <v/>
      </c>
      <c r="W582" s="48">
        <f>H582*discount</f>
        <v/>
      </c>
      <c r="X582" s="49">
        <f>W582*V582</f>
        <v/>
      </c>
      <c r="Y582" s="49">
        <f>(battery/range_nm)*G582*S582*VLOOKUP(B582,country_opex,3,FALSE)</f>
        <v/>
      </c>
      <c r="Z582" s="49">
        <f>VLOOKUP(B582,country_opex,2,FALSE)*crew_factor</f>
        <v/>
      </c>
      <c r="AA582" s="49">
        <f>VLOOKUP(B582,country_opex,5,FALSE)</f>
        <v/>
      </c>
      <c r="AB582" s="49">
        <f>maint</f>
        <v/>
      </c>
      <c r="AC582" s="49">
        <f>VLOOKUP(B582,country_opex,7,FALSE)*ins_pct</f>
        <v/>
      </c>
      <c r="AD582" s="49">
        <f>charge_berth</f>
        <v/>
      </c>
      <c r="AE582" s="49">
        <f>Y582+Z582+AA582+AB582+AC582+AD582</f>
        <v/>
      </c>
      <c r="AF582" s="49">
        <f>VLOOKUP(B582,country_opex,7,FALSE)/dep_years</f>
        <v/>
      </c>
      <c r="AG582" s="49">
        <f>X582-AE582</f>
        <v/>
      </c>
      <c r="AH582" s="46">
        <f>IF(X582=0,"",AG582/X582)</f>
        <v/>
      </c>
      <c r="AI582" s="47">
        <f>IF(AG582&lt;=0,"",VLOOKUP(B582,country_opex,7,FALSE)/AG582)</f>
        <v/>
      </c>
      <c r="AJ582" s="44">
        <f>((G582*S582/diesel_nmpg)*diesel_co2pg-(battery/range_nm)*G582*S582*VLOOKUP(B582,country_opex,4,FALSE))/1000</f>
        <v/>
      </c>
      <c r="AK582" s="42" t="n">
        <v>5217</v>
      </c>
      <c r="AL582" s="43" t="inlineStr">
        <is>
          <t>T3</t>
        </is>
      </c>
      <c r="AM582" s="43" t="inlineStr">
        <is>
          <t>med-low</t>
        </is>
      </c>
      <c r="AN582" s="50" t="n">
        <v>0.1</v>
      </c>
      <c r="AO582" s="45">
        <f>IF(AK582="","",AK582*AN582)</f>
        <v/>
      </c>
      <c r="AP582" s="45">
        <f>IF(OR(AK582="",V582=0),"",MIN(IF(AX582="",9.9E+99,AX582),FLOOR(AO582/V582,1)))</f>
        <v/>
      </c>
      <c r="AQ582" s="49">
        <f>IF(AP582="","",AP582*IF(ABS(MOD(ABS((X582)),1)-0.5)&lt;1E-9,2*ROUND((X582)/2,0),ROUND((X582),0)))</f>
        <v/>
      </c>
      <c r="AR582" s="47">
        <f>IF(OR(AK582="",V582=0),"",MIN(IF(AX582="",9.9E+99,AX582),AO582/V582))</f>
        <v/>
      </c>
      <c r="AS582" s="49">
        <f>IF(AR582="","",AR582*IF(B582="South Korea",IF(ABS(MOD(ABS((X582)),1)-0.5)&lt;1E-9,2*ROUND((X582)/2,0),ROUND((X582),0)),X582))</f>
        <v/>
      </c>
      <c r="AT582" s="51" t="n"/>
      <c r="AU582" s="43" t="inlineStr">
        <is>
          <t>Grounded</t>
        </is>
      </c>
      <c r="AV582" s="52" t="n"/>
      <c r="AW582" s="52" t="n"/>
      <c r="AX582" s="53" t="n"/>
      <c r="AY582" s="54">
        <f>IF(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&lt;=0,"",VLOOKUP(B582,country_opex,7,FALSE)/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)</f>
        <v/>
      </c>
      <c r="AZ582" s="54">
        <f>IF(((W582*pax_cap*IF(B582="South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Korea",korea_mid_revleg,revleg_mid)),0))*VLOOKUP(B582,country_opex,3,FALSE))+Z582+AA582+AB582+AC582+AD582))&lt;=0,"",VLOOKUP(B582,country_opex,7,FALSE)/((W582*pax_cap*IF(B582="South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Korea",korea_mid_revleg,revleg_mid)),0))*VLOOKUP(B582,country_opex,3,FALSE))+Z582+AA582+AB582+AC582+AD582)))</f>
        <v/>
      </c>
      <c r="BA582" s="54">
        <f>IF(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&lt;=0,"",VLOOKUP(B582,country_opex,7,FALSE)/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)</f>
        <v/>
      </c>
      <c r="BB582" s="40" t="n"/>
      <c r="BC582" s="40" t="n"/>
      <c r="BD582" s="43" t="inlineStr">
        <is>
          <t>rn-259c74613206</t>
        </is>
      </c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Wynn Al Marjan Island arrival lagoon → Marjan Island Resort &amp; Spa beach jetty</t>
        </is>
      </c>
      <c r="D583" s="38" t="inlineStr">
        <is>
          <t>rakta</t>
        </is>
      </c>
      <c r="E583" s="40" t="inlineStr">
        <is>
          <t>gulf-authority-bahrain-motc, gulf-authority-rakta</t>
        </is>
      </c>
      <c r="F583" s="41" t="n">
        <v>2</v>
      </c>
      <c r="G583" s="42" t="n">
        <v>0.6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IF(B583="South Korea",G583/korea_charge_range_nm*korea_full_range_charge_min,0)</f>
        <v/>
      </c>
      <c r="N583" s="44">
        <f>IF(B583="South Korea",L583+korea_turn_min+korea_dwell_min+M583,L583+turn_min+dwell_min)</f>
        <v/>
      </c>
      <c r="O583" s="45">
        <f>IF(B583="South Korea",FLOOR(60*korea_service_hr/N583,1),MIN(15,FLOOR(60*service_hr/N583,1)))</f>
        <v/>
      </c>
      <c r="P583" s="45">
        <f>IF(ABS(MOD(ABS((365*mech_uptime*K583)),1)-0.5)&lt;1E-9,2*ROUND((365*mech_uptime*K583)/2,0),ROUND((365*mech_uptime*K583),0))</f>
        <v/>
      </c>
      <c r="Q583" s="46">
        <f>mech_uptime</f>
        <v/>
      </c>
      <c r="R583" s="46">
        <f>IF(AND(B583="South Korea",scenario="MID"),korea_mid_revleg,revleg_sel)</f>
        <v/>
      </c>
      <c r="S583" s="45">
        <f>IF(ABS(MOD(ABS((O583*P583*R583)),1)-0.5)&lt;1E-9,2*ROUND((O583*P583*R583)/2,0),ROUND((O583*P583*R583),0))</f>
        <v/>
      </c>
      <c r="T583" s="46">
        <f>IF(AND(B583="South Korea",scenario="MID"),korea_mid_load,load_sel)</f>
        <v/>
      </c>
      <c r="U583" s="47">
        <f>pax_cap*T583</f>
        <v/>
      </c>
      <c r="V583" s="45">
        <f>U583*S583</f>
        <v/>
      </c>
      <c r="W583" s="48">
        <f>H583*discount</f>
        <v/>
      </c>
      <c r="X583" s="49">
        <f>W583*V583</f>
        <v/>
      </c>
      <c r="Y583" s="49">
        <f>(battery/range_nm)*G583*S583*VLOOKUP(B583,country_opex,3,FALSE)</f>
        <v/>
      </c>
      <c r="Z583" s="49">
        <f>VLOOKUP(B583,country_opex,2,FALSE)*crew_factor</f>
        <v/>
      </c>
      <c r="AA583" s="49">
        <f>VLOOKUP(B583,country_opex,5,FALSE)</f>
        <v/>
      </c>
      <c r="AB583" s="49">
        <f>maint</f>
        <v/>
      </c>
      <c r="AC583" s="49">
        <f>VLOOKUP(B583,country_opex,7,FALSE)*ins_pct</f>
        <v/>
      </c>
      <c r="AD583" s="49">
        <f>charge_berth</f>
        <v/>
      </c>
      <c r="AE583" s="49">
        <f>Y583+Z583+AA583+AB583+AC583+AD583</f>
        <v/>
      </c>
      <c r="AF583" s="49">
        <f>VLOOKUP(B583,country_opex,7,FALSE)/dep_years</f>
        <v/>
      </c>
      <c r="AG583" s="49">
        <f>X583-AE583</f>
        <v/>
      </c>
      <c r="AH583" s="46">
        <f>IF(X583=0,"",AG583/X583)</f>
        <v/>
      </c>
      <c r="AI583" s="47">
        <f>IF(AG583&lt;=0,"",VLOOKUP(B583,country_opex,7,FALSE)/AG583)</f>
        <v/>
      </c>
      <c r="AJ583" s="44">
        <f>((G583*S583/diesel_nmpg)*diesel_co2pg-(battery/range_nm)*G583*S583*VLOOKUP(B583,country_opex,4,FALSE))/1000</f>
        <v/>
      </c>
      <c r="AK583" s="42" t="n">
        <v>5217</v>
      </c>
      <c r="AL583" s="43" t="inlineStr">
        <is>
          <t>T3</t>
        </is>
      </c>
      <c r="AM583" s="43" t="inlineStr">
        <is>
          <t>med-low</t>
        </is>
      </c>
      <c r="AN583" s="50" t="n">
        <v>0.1</v>
      </c>
      <c r="AO583" s="45">
        <f>IF(AK583="","",AK583*AN583)</f>
        <v/>
      </c>
      <c r="AP583" s="45">
        <f>IF(OR(AK583="",V583=0),"",MIN(IF(AX583="",9.9E+99,AX583),FLOOR(AO583/V583,1)))</f>
        <v/>
      </c>
      <c r="AQ583" s="49">
        <f>IF(AP583="","",AP583*IF(ABS(MOD(ABS((X583)),1)-0.5)&lt;1E-9,2*ROUND((X583)/2,0),ROUND((X583),0)))</f>
        <v/>
      </c>
      <c r="AR583" s="47">
        <f>IF(OR(AK583="",V583=0),"",MIN(IF(AX583="",9.9E+99,AX583),AO583/V583))</f>
        <v/>
      </c>
      <c r="AS583" s="49">
        <f>IF(AR583="","",AR583*IF(B583="South Korea",IF(ABS(MOD(ABS((X583)),1)-0.5)&lt;1E-9,2*ROUND((X583)/2,0),ROUND((X583),0)),X583))</f>
        <v/>
      </c>
      <c r="AT583" s="51" t="n"/>
      <c r="AU583" s="43" t="inlineStr">
        <is>
          <t>Grounded</t>
        </is>
      </c>
      <c r="AV583" s="52" t="n"/>
      <c r="AW583" s="52" t="n"/>
      <c r="AX583" s="53" t="n"/>
      <c r="AY583" s="54">
        <f>IF(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&lt;=0,"",VLOOKUP(B583,country_opex,7,FALSE)/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)</f>
        <v/>
      </c>
      <c r="AZ583" s="54">
        <f>IF(((W583*pax_cap*IF(B583="South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Korea",korea_mid_revleg,revleg_mid)),0))*VLOOKUP(B583,country_opex,3,FALSE))+Z583+AA583+AB583+AC583+AD583))&lt;=0,"",VLOOKUP(B583,country_opex,7,FALSE)/((W583*pax_cap*IF(B583="South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Korea",korea_mid_revleg,revleg_mid)),0))*VLOOKUP(B583,country_opex,3,FALSE))+Z583+AA583+AB583+AC583+AD583)))</f>
        <v/>
      </c>
      <c r="BA583" s="54">
        <f>IF(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&lt;=0,"",VLOOKUP(B583,country_opex,7,FALSE)/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)</f>
        <v/>
      </c>
      <c r="BB583" s="40" t="n"/>
      <c r="BC583" s="40" t="n"/>
      <c r="BD583" s="43" t="inlineStr">
        <is>
          <t>rn-0bdf53c78a31</t>
        </is>
      </c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Al Hamra Marina &amp; Royal Yacht Club RAK → Waldorf Astoria Ras Al Khaimah jetty</t>
        </is>
      </c>
      <c r="D584" s="38" t="inlineStr">
        <is>
          <t>rakta</t>
        </is>
      </c>
      <c r="E584" s="40" t="inlineStr">
        <is>
          <t>gulf-authority-bahrain-motc, gulf-authority-rakta</t>
        </is>
      </c>
      <c r="F584" s="41" t="n">
        <v>2</v>
      </c>
      <c r="G584" s="42" t="n">
        <v>0.7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IF(B584="South Korea",G584/korea_charge_range_nm*korea_full_range_charge_min,0)</f>
        <v/>
      </c>
      <c r="N584" s="44">
        <f>IF(B584="South Korea",L584+korea_turn_min+korea_dwell_min+M584,L584+turn_min+dwell_min)</f>
        <v/>
      </c>
      <c r="O584" s="45">
        <f>IF(B584="South Korea",FLOOR(60*korea_service_hr/N584,1),MIN(15,FLOOR(60*service_hr/N584,1)))</f>
        <v/>
      </c>
      <c r="P584" s="45">
        <f>IF(ABS(MOD(ABS((365*mech_uptime*K584)),1)-0.5)&lt;1E-9,2*ROUND((365*mech_uptime*K584)/2,0),ROUND((365*mech_uptime*K584),0))</f>
        <v/>
      </c>
      <c r="Q584" s="46">
        <f>mech_uptime</f>
        <v/>
      </c>
      <c r="R584" s="46">
        <f>IF(AND(B584="South Korea",scenario="MID"),korea_mid_revleg,revleg_sel)</f>
        <v/>
      </c>
      <c r="S584" s="45">
        <f>IF(ABS(MOD(ABS((O584*P584*R584)),1)-0.5)&lt;1E-9,2*ROUND((O584*P584*R584)/2,0),ROUND((O584*P584*R584),0))</f>
        <v/>
      </c>
      <c r="T584" s="46">
        <f>IF(AND(B584="South Korea",scenario="MID"),korea_mid_load,load_sel)</f>
        <v/>
      </c>
      <c r="U584" s="47">
        <f>pax_cap*T584</f>
        <v/>
      </c>
      <c r="V584" s="45">
        <f>U584*S584</f>
        <v/>
      </c>
      <c r="W584" s="48">
        <f>H584*discount</f>
        <v/>
      </c>
      <c r="X584" s="49">
        <f>W584*V584</f>
        <v/>
      </c>
      <c r="Y584" s="49">
        <f>(battery/range_nm)*G584*S584*VLOOKUP(B584,country_opex,3,FALSE)</f>
        <v/>
      </c>
      <c r="Z584" s="49">
        <f>VLOOKUP(B584,country_opex,2,FALSE)*crew_factor</f>
        <v/>
      </c>
      <c r="AA584" s="49">
        <f>VLOOKUP(B584,country_opex,5,FALSE)</f>
        <v/>
      </c>
      <c r="AB584" s="49">
        <f>maint</f>
        <v/>
      </c>
      <c r="AC584" s="49">
        <f>VLOOKUP(B584,country_opex,7,FALSE)*ins_pct</f>
        <v/>
      </c>
      <c r="AD584" s="49">
        <f>charge_berth</f>
        <v/>
      </c>
      <c r="AE584" s="49">
        <f>Y584+Z584+AA584+AB584+AC584+AD584</f>
        <v/>
      </c>
      <c r="AF584" s="49">
        <f>VLOOKUP(B584,country_opex,7,FALSE)/dep_years</f>
        <v/>
      </c>
      <c r="AG584" s="49">
        <f>X584-AE584</f>
        <v/>
      </c>
      <c r="AH584" s="46">
        <f>IF(X584=0,"",AG584/X584)</f>
        <v/>
      </c>
      <c r="AI584" s="47">
        <f>IF(AG584&lt;=0,"",VLOOKUP(B584,country_opex,7,FALSE)/AG584)</f>
        <v/>
      </c>
      <c r="AJ584" s="44">
        <f>((G584*S584/diesel_nmpg)*diesel_co2pg-(battery/range_nm)*G584*S584*VLOOKUP(B584,country_opex,4,FALSE))/1000</f>
        <v/>
      </c>
      <c r="AK584" s="42" t="n">
        <v>5217</v>
      </c>
      <c r="AL584" s="43" t="inlineStr">
        <is>
          <t>T3</t>
        </is>
      </c>
      <c r="AM584" s="43" t="inlineStr">
        <is>
          <t>med-low</t>
        </is>
      </c>
      <c r="AN584" s="50" t="n">
        <v>0.1</v>
      </c>
      <c r="AO584" s="45">
        <f>IF(AK584="","",AK584*AN584)</f>
        <v/>
      </c>
      <c r="AP584" s="45">
        <f>IF(OR(AK584="",V584=0),"",MIN(IF(AX584="",9.9E+99,AX584),FLOOR(AO584/V584,1)))</f>
        <v/>
      </c>
      <c r="AQ584" s="49">
        <f>IF(AP584="","",AP584*IF(ABS(MOD(ABS((X584)),1)-0.5)&lt;1E-9,2*ROUND((X584)/2,0),ROUND((X584),0)))</f>
        <v/>
      </c>
      <c r="AR584" s="47">
        <f>IF(OR(AK584="",V584=0),"",MIN(IF(AX584="",9.9E+99,AX584),AO584/V584))</f>
        <v/>
      </c>
      <c r="AS584" s="49">
        <f>IF(AR584="","",AR584*IF(B584="South Korea",IF(ABS(MOD(ABS((X584)),1)-0.5)&lt;1E-9,2*ROUND((X584)/2,0),ROUND((X584),0)),X584))</f>
        <v/>
      </c>
      <c r="AT584" s="51" t="n"/>
      <c r="AU584" s="43" t="inlineStr">
        <is>
          <t>Grounded</t>
        </is>
      </c>
      <c r="AV584" s="52" t="n"/>
      <c r="AW584" s="52" t="n"/>
      <c r="AX584" s="53" t="n"/>
      <c r="AY584" s="54">
        <f>IF(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&lt;=0,"",VLOOKUP(B584,country_opex,7,FALSE)/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)</f>
        <v/>
      </c>
      <c r="AZ584" s="54">
        <f>IF(((W584*pax_cap*IF(B584="South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Korea",korea_mid_revleg,revleg_mid)),0))*VLOOKUP(B584,country_opex,3,FALSE))+Z584+AA584+AB584+AC584+AD584))&lt;=0,"",VLOOKUP(B584,country_opex,7,FALSE)/((W584*pax_cap*IF(B584="South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Korea",korea_mid_revleg,revleg_mid)),0))*VLOOKUP(B584,country_opex,3,FALSE))+Z584+AA584+AB584+AC584+AD584)))</f>
        <v/>
      </c>
      <c r="BA584" s="54">
        <f>IF(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&lt;=0,"",VLOOKUP(B584,country_opex,7,FALSE)/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)</f>
        <v/>
      </c>
      <c r="BB584" s="40" t="n"/>
      <c r="BC584" s="40" t="n"/>
      <c r="BD584" s="43" t="inlineStr">
        <is>
          <t>rn-f6d21c86c4d0</t>
        </is>
      </c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Al Marjan Island public arrival marina → Hampton by Hilton Marjan Island beach landing</t>
        </is>
      </c>
      <c r="D585" s="38" t="inlineStr">
        <is>
          <t>rakta</t>
        </is>
      </c>
      <c r="E585" s="40" t="inlineStr">
        <is>
          <t>gulf-authority-bahrain-motc, gulf-authority-rakta</t>
        </is>
      </c>
      <c r="F585" s="41" t="n">
        <v>2</v>
      </c>
      <c r="G585" s="42" t="n">
        <v>0.8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IF(B585="South Korea",G585/korea_charge_range_nm*korea_full_range_charge_min,0)</f>
        <v/>
      </c>
      <c r="N585" s="44">
        <f>IF(B585="South Korea",L585+korea_turn_min+korea_dwell_min+M585,L585+turn_min+dwell_min)</f>
        <v/>
      </c>
      <c r="O585" s="45">
        <f>IF(B585="South Korea",FLOOR(60*korea_service_hr/N585,1),MIN(15,FLOOR(60*service_hr/N585,1)))</f>
        <v/>
      </c>
      <c r="P585" s="45">
        <f>IF(ABS(MOD(ABS((365*mech_uptime*K585)),1)-0.5)&lt;1E-9,2*ROUND((365*mech_uptime*K585)/2,0),ROUND((365*mech_uptime*K585),0))</f>
        <v/>
      </c>
      <c r="Q585" s="46">
        <f>mech_uptime</f>
        <v/>
      </c>
      <c r="R585" s="46">
        <f>IF(AND(B585="South Korea",scenario="MID"),korea_mid_revleg,revleg_sel)</f>
        <v/>
      </c>
      <c r="S585" s="45">
        <f>IF(ABS(MOD(ABS((O585*P585*R585)),1)-0.5)&lt;1E-9,2*ROUND((O585*P585*R585)/2,0),ROUND((O585*P585*R585),0))</f>
        <v/>
      </c>
      <c r="T585" s="46">
        <f>IF(AND(B585="South Korea",scenario="MID"),korea_mid_load,load_sel)</f>
        <v/>
      </c>
      <c r="U585" s="47">
        <f>pax_cap*T585</f>
        <v/>
      </c>
      <c r="V585" s="45">
        <f>U585*S585</f>
        <v/>
      </c>
      <c r="W585" s="48">
        <f>H585*discount</f>
        <v/>
      </c>
      <c r="X585" s="49">
        <f>W585*V585</f>
        <v/>
      </c>
      <c r="Y585" s="49">
        <f>(battery/range_nm)*G585*S585*VLOOKUP(B585,country_opex,3,FALSE)</f>
        <v/>
      </c>
      <c r="Z585" s="49">
        <f>VLOOKUP(B585,country_opex,2,FALSE)*crew_factor</f>
        <v/>
      </c>
      <c r="AA585" s="49">
        <f>VLOOKUP(B585,country_opex,5,FALSE)</f>
        <v/>
      </c>
      <c r="AB585" s="49">
        <f>maint</f>
        <v/>
      </c>
      <c r="AC585" s="49">
        <f>VLOOKUP(B585,country_opex,7,FALSE)*ins_pct</f>
        <v/>
      </c>
      <c r="AD585" s="49">
        <f>charge_berth</f>
        <v/>
      </c>
      <c r="AE585" s="49">
        <f>Y585+Z585+AA585+AB585+AC585+AD585</f>
        <v/>
      </c>
      <c r="AF585" s="49">
        <f>VLOOKUP(B585,country_opex,7,FALSE)/dep_years</f>
        <v/>
      </c>
      <c r="AG585" s="49">
        <f>X585-AE585</f>
        <v/>
      </c>
      <c r="AH585" s="46">
        <f>IF(X585=0,"",AG585/X585)</f>
        <v/>
      </c>
      <c r="AI585" s="47">
        <f>IF(AG585&lt;=0,"",VLOOKUP(B585,country_opex,7,FALSE)/AG585)</f>
        <v/>
      </c>
      <c r="AJ585" s="44">
        <f>((G585*S585/diesel_nmpg)*diesel_co2pg-(battery/range_nm)*G585*S585*VLOOKUP(B585,country_opex,4,FALSE))/1000</f>
        <v/>
      </c>
      <c r="AK585" s="42" t="n">
        <v>5217</v>
      </c>
      <c r="AL585" s="43" t="inlineStr">
        <is>
          <t>T3</t>
        </is>
      </c>
      <c r="AM585" s="43" t="inlineStr">
        <is>
          <t>med-low</t>
        </is>
      </c>
      <c r="AN585" s="50" t="n">
        <v>0.1</v>
      </c>
      <c r="AO585" s="45">
        <f>IF(AK585="","",AK585*AN585)</f>
        <v/>
      </c>
      <c r="AP585" s="45">
        <f>IF(OR(AK585="",V585=0),"",MIN(IF(AX585="",9.9E+99,AX585),FLOOR(AO585/V585,1)))</f>
        <v/>
      </c>
      <c r="AQ585" s="49">
        <f>IF(AP585="","",AP585*IF(ABS(MOD(ABS((X585)),1)-0.5)&lt;1E-9,2*ROUND((X585)/2,0),ROUND((X585),0)))</f>
        <v/>
      </c>
      <c r="AR585" s="47">
        <f>IF(OR(AK585="",V585=0),"",MIN(IF(AX585="",9.9E+99,AX585),AO585/V585))</f>
        <v/>
      </c>
      <c r="AS585" s="49">
        <f>IF(AR585="","",AR585*IF(B585="South Korea",IF(ABS(MOD(ABS((X585)),1)-0.5)&lt;1E-9,2*ROUND((X585)/2,0),ROUND((X585),0)),X585))</f>
        <v/>
      </c>
      <c r="AT585" s="51" t="n"/>
      <c r="AU585" s="43" t="inlineStr">
        <is>
          <t>Grounded</t>
        </is>
      </c>
      <c r="AV585" s="52" t="n"/>
      <c r="AW585" s="52" t="n"/>
      <c r="AX585" s="53" t="n"/>
      <c r="AY585" s="54">
        <f>IF(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&lt;=0,"",VLOOKUP(B585,country_opex,7,FALSE)/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)</f>
        <v/>
      </c>
      <c r="AZ585" s="54">
        <f>IF(((W585*pax_cap*IF(B585="South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Korea",korea_mid_revleg,revleg_mid)),0))*VLOOKUP(B585,country_opex,3,FALSE))+Z585+AA585+AB585+AC585+AD585))&lt;=0,"",VLOOKUP(B585,country_opex,7,FALSE)/((W585*pax_cap*IF(B585="South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Korea",korea_mid_revleg,revleg_mid)),0))*VLOOKUP(B585,country_opex,3,FALSE))+Z585+AA585+AB585+AC585+AD585)))</f>
        <v/>
      </c>
      <c r="BA585" s="54">
        <f>IF(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&lt;=0,"",VLOOKUP(B585,country_opex,7,FALSE)/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)</f>
        <v/>
      </c>
      <c r="BB585" s="40" t="n"/>
      <c r="BC585" s="40" t="n"/>
      <c r="BD585" s="43" t="inlineStr">
        <is>
          <t>rn-f7356e7a6fb3</t>
        </is>
      </c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Anantara Mina Al Arab Ras Al Khaimah Resort jetty → Mina Al Arab marina / lagoon basin</t>
        </is>
      </c>
      <c r="D586" s="38" t="inlineStr">
        <is>
          <t>rakta</t>
        </is>
      </c>
      <c r="E586" s="40" t="inlineStr">
        <is>
          <t>gulf-authority-bahrain-motc, gulf-authority-rakta</t>
        </is>
      </c>
      <c r="F586" s="41" t="n">
        <v>2</v>
      </c>
      <c r="G586" s="42" t="n">
        <v>0.9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IF(B586="South Korea",G586/korea_charge_range_nm*korea_full_range_charge_min,0)</f>
        <v/>
      </c>
      <c r="N586" s="44">
        <f>IF(B586="South Korea",L586+korea_turn_min+korea_dwell_min+M586,L586+turn_min+dwell_min)</f>
        <v/>
      </c>
      <c r="O586" s="45">
        <f>IF(B586="South Korea",FLOOR(60*korea_service_hr/N586,1),MIN(15,FLOOR(60*service_hr/N586,1)))</f>
        <v/>
      </c>
      <c r="P586" s="45">
        <f>IF(ABS(MOD(ABS((365*mech_uptime*K586)),1)-0.5)&lt;1E-9,2*ROUND((365*mech_uptime*K586)/2,0),ROUND((365*mech_uptime*K586),0))</f>
        <v/>
      </c>
      <c r="Q586" s="46">
        <f>mech_uptime</f>
        <v/>
      </c>
      <c r="R586" s="46">
        <f>IF(AND(B586="South Korea",scenario="MID"),korea_mid_revleg,revleg_sel)</f>
        <v/>
      </c>
      <c r="S586" s="45">
        <f>IF(ABS(MOD(ABS((O586*P586*R586)),1)-0.5)&lt;1E-9,2*ROUND((O586*P586*R586)/2,0),ROUND((O586*P586*R586),0))</f>
        <v/>
      </c>
      <c r="T586" s="46">
        <f>IF(AND(B586="South Korea",scenario="MID"),korea_mid_load,load_sel)</f>
        <v/>
      </c>
      <c r="U586" s="47">
        <f>pax_cap*T586</f>
        <v/>
      </c>
      <c r="V586" s="45">
        <f>U586*S586</f>
        <v/>
      </c>
      <c r="W586" s="48">
        <f>H586*discount</f>
        <v/>
      </c>
      <c r="X586" s="49">
        <f>W586*V586</f>
        <v/>
      </c>
      <c r="Y586" s="49">
        <f>(battery/range_nm)*G586*S586*VLOOKUP(B586,country_opex,3,FALSE)</f>
        <v/>
      </c>
      <c r="Z586" s="49">
        <f>VLOOKUP(B586,country_opex,2,FALSE)*crew_factor</f>
        <v/>
      </c>
      <c r="AA586" s="49">
        <f>VLOOKUP(B586,country_opex,5,FALSE)</f>
        <v/>
      </c>
      <c r="AB586" s="49">
        <f>maint</f>
        <v/>
      </c>
      <c r="AC586" s="49">
        <f>VLOOKUP(B586,country_opex,7,FALSE)*ins_pct</f>
        <v/>
      </c>
      <c r="AD586" s="49">
        <f>charge_berth</f>
        <v/>
      </c>
      <c r="AE586" s="49">
        <f>Y586+Z586+AA586+AB586+AC586+AD586</f>
        <v/>
      </c>
      <c r="AF586" s="49">
        <f>VLOOKUP(B586,country_opex,7,FALSE)/dep_years</f>
        <v/>
      </c>
      <c r="AG586" s="49">
        <f>X586-AE586</f>
        <v/>
      </c>
      <c r="AH586" s="46">
        <f>IF(X586=0,"",AG586/X586)</f>
        <v/>
      </c>
      <c r="AI586" s="47">
        <f>IF(AG586&lt;=0,"",VLOOKUP(B586,country_opex,7,FALSE)/AG586)</f>
        <v/>
      </c>
      <c r="AJ586" s="44">
        <f>((G586*S586/diesel_nmpg)*diesel_co2pg-(battery/range_nm)*G586*S586*VLOOKUP(B586,country_opex,4,FALSE))/1000</f>
        <v/>
      </c>
      <c r="AK586" s="42" t="n">
        <v>5217</v>
      </c>
      <c r="AL586" s="43" t="inlineStr">
        <is>
          <t>T3</t>
        </is>
      </c>
      <c r="AM586" s="43" t="inlineStr">
        <is>
          <t>med-low</t>
        </is>
      </c>
      <c r="AN586" s="50" t="n">
        <v>0.1</v>
      </c>
      <c r="AO586" s="45">
        <f>IF(AK586="","",AK586*AN586)</f>
        <v/>
      </c>
      <c r="AP586" s="45">
        <f>IF(OR(AK586="",V586=0),"",MIN(IF(AX586="",9.9E+99,AX586),FLOOR(AO586/V586,1)))</f>
        <v/>
      </c>
      <c r="AQ586" s="49">
        <f>IF(AP586="","",AP586*IF(ABS(MOD(ABS((X586)),1)-0.5)&lt;1E-9,2*ROUND((X586)/2,0),ROUND((X586),0)))</f>
        <v/>
      </c>
      <c r="AR586" s="47">
        <f>IF(OR(AK586="",V586=0),"",MIN(IF(AX586="",9.9E+99,AX586),AO586/V586))</f>
        <v/>
      </c>
      <c r="AS586" s="49">
        <f>IF(AR586="","",AR586*IF(B586="South Korea",IF(ABS(MOD(ABS((X586)),1)-0.5)&lt;1E-9,2*ROUND((X586)/2,0),ROUND((X586),0)),X586))</f>
        <v/>
      </c>
      <c r="AT586" s="51" t="n"/>
      <c r="AU586" s="43" t="inlineStr">
        <is>
          <t>Grounded</t>
        </is>
      </c>
      <c r="AV586" s="52" t="n"/>
      <c r="AW586" s="52" t="n"/>
      <c r="AX586" s="53" t="n"/>
      <c r="AY586" s="54">
        <f>IF(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&lt;=0,"",VLOOKUP(B586,country_opex,7,FALSE)/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)</f>
        <v/>
      </c>
      <c r="AZ586" s="54">
        <f>IF(((W586*pax_cap*IF(B586="South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Korea",korea_mid_revleg,revleg_mid)),0))*VLOOKUP(B586,country_opex,3,FALSE))+Z586+AA586+AB586+AC586+AD586))&lt;=0,"",VLOOKUP(B586,country_opex,7,FALSE)/((W586*pax_cap*IF(B586="South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Korea",korea_mid_revleg,revleg_mid)),0))*VLOOKUP(B586,country_opex,3,FALSE))+Z586+AA586+AB586+AC586+AD586)))</f>
        <v/>
      </c>
      <c r="BA586" s="54">
        <f>IF(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&lt;=0,"",VLOOKUP(B586,country_opex,7,FALSE)/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)</f>
        <v/>
      </c>
      <c r="BB586" s="40" t="n"/>
      <c r="BC586" s="40" t="n"/>
      <c r="BD586" s="43" t="inlineStr">
        <is>
          <t>rn-239a65d9ff67</t>
        </is>
      </c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Mina Al Arab marina / lagoon basin → InterContinental Ras Al Khaimah Mina Al Arab Resort &amp; Spa jetty</t>
        </is>
      </c>
      <c r="D587" s="38" t="inlineStr">
        <is>
          <t>rakta</t>
        </is>
      </c>
      <c r="E587" s="40" t="inlineStr">
        <is>
          <t>gulf-authority-bahrain-motc, gulf-authority-rakta</t>
        </is>
      </c>
      <c r="F587" s="41" t="n">
        <v>2</v>
      </c>
      <c r="G587" s="42" t="n">
        <v>0.9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IF(B587="South Korea",G587/korea_charge_range_nm*korea_full_range_charge_min,0)</f>
        <v/>
      </c>
      <c r="N587" s="44">
        <f>IF(B587="South Korea",L587+korea_turn_min+korea_dwell_min+M587,L587+turn_min+dwell_min)</f>
        <v/>
      </c>
      <c r="O587" s="45">
        <f>IF(B587="South Korea",FLOOR(60*korea_service_hr/N587,1),MIN(15,FLOOR(60*service_hr/N587,1)))</f>
        <v/>
      </c>
      <c r="P587" s="45">
        <f>IF(ABS(MOD(ABS((365*mech_uptime*K587)),1)-0.5)&lt;1E-9,2*ROUND((365*mech_uptime*K587)/2,0),ROUND((365*mech_uptime*K587),0))</f>
        <v/>
      </c>
      <c r="Q587" s="46">
        <f>mech_uptime</f>
        <v/>
      </c>
      <c r="R587" s="46">
        <f>IF(AND(B587="South Korea",scenario="MID"),korea_mid_revleg,revleg_sel)</f>
        <v/>
      </c>
      <c r="S587" s="45">
        <f>IF(ABS(MOD(ABS((O587*P587*R587)),1)-0.5)&lt;1E-9,2*ROUND((O587*P587*R587)/2,0),ROUND((O587*P587*R587),0))</f>
        <v/>
      </c>
      <c r="T587" s="46">
        <f>IF(AND(B587="South Korea",scenario="MID"),korea_mid_load,load_sel)</f>
        <v/>
      </c>
      <c r="U587" s="47">
        <f>pax_cap*T587</f>
        <v/>
      </c>
      <c r="V587" s="45">
        <f>U587*S587</f>
        <v/>
      </c>
      <c r="W587" s="48">
        <f>H587*discount</f>
        <v/>
      </c>
      <c r="X587" s="49">
        <f>W587*V587</f>
        <v/>
      </c>
      <c r="Y587" s="49">
        <f>(battery/range_nm)*G587*S587*VLOOKUP(B587,country_opex,3,FALSE)</f>
        <v/>
      </c>
      <c r="Z587" s="49">
        <f>VLOOKUP(B587,country_opex,2,FALSE)*crew_factor</f>
        <v/>
      </c>
      <c r="AA587" s="49">
        <f>VLOOKUP(B587,country_opex,5,FALSE)</f>
        <v/>
      </c>
      <c r="AB587" s="49">
        <f>maint</f>
        <v/>
      </c>
      <c r="AC587" s="49">
        <f>VLOOKUP(B587,country_opex,7,FALSE)*ins_pct</f>
        <v/>
      </c>
      <c r="AD587" s="49">
        <f>charge_berth</f>
        <v/>
      </c>
      <c r="AE587" s="49">
        <f>Y587+Z587+AA587+AB587+AC587+AD587</f>
        <v/>
      </c>
      <c r="AF587" s="49">
        <f>VLOOKUP(B587,country_opex,7,FALSE)/dep_years</f>
        <v/>
      </c>
      <c r="AG587" s="49">
        <f>X587-AE587</f>
        <v/>
      </c>
      <c r="AH587" s="46">
        <f>IF(X587=0,"",AG587/X587)</f>
        <v/>
      </c>
      <c r="AI587" s="47">
        <f>IF(AG587&lt;=0,"",VLOOKUP(B587,country_opex,7,FALSE)/AG587)</f>
        <v/>
      </c>
      <c r="AJ587" s="44">
        <f>((G587*S587/diesel_nmpg)*diesel_co2pg-(battery/range_nm)*G587*S587*VLOOKUP(B587,country_opex,4,FALSE))/1000</f>
        <v/>
      </c>
      <c r="AK587" s="42" t="n">
        <v>5217</v>
      </c>
      <c r="AL587" s="43" t="inlineStr">
        <is>
          <t>T3</t>
        </is>
      </c>
      <c r="AM587" s="43" t="inlineStr">
        <is>
          <t>med-low</t>
        </is>
      </c>
      <c r="AN587" s="50" t="n">
        <v>0.1</v>
      </c>
      <c r="AO587" s="45">
        <f>IF(AK587="","",AK587*AN587)</f>
        <v/>
      </c>
      <c r="AP587" s="45">
        <f>IF(OR(AK587="",V587=0),"",MIN(IF(AX587="",9.9E+99,AX587),FLOOR(AO587/V587,1)))</f>
        <v/>
      </c>
      <c r="AQ587" s="49">
        <f>IF(AP587="","",AP587*IF(ABS(MOD(ABS((X587)),1)-0.5)&lt;1E-9,2*ROUND((X587)/2,0),ROUND((X587),0)))</f>
        <v/>
      </c>
      <c r="AR587" s="47">
        <f>IF(OR(AK587="",V587=0),"",MIN(IF(AX587="",9.9E+99,AX587),AO587/V587))</f>
        <v/>
      </c>
      <c r="AS587" s="49">
        <f>IF(AR587="","",AR587*IF(B587="South Korea",IF(ABS(MOD(ABS((X587)),1)-0.5)&lt;1E-9,2*ROUND((X587)/2,0),ROUND((X587),0)),X587))</f>
        <v/>
      </c>
      <c r="AT587" s="51" t="n"/>
      <c r="AU587" s="43" t="inlineStr">
        <is>
          <t>Grounded</t>
        </is>
      </c>
      <c r="AV587" s="52" t="n"/>
      <c r="AW587" s="52" t="n"/>
      <c r="AX587" s="53" t="n"/>
      <c r="AY587" s="54">
        <f>IF(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&lt;=0,"",VLOOKUP(B587,country_opex,7,FALSE)/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)</f>
        <v/>
      </c>
      <c r="AZ587" s="54">
        <f>IF(((W587*pax_cap*IF(B587="South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Korea",korea_mid_revleg,revleg_mid)),0))*VLOOKUP(B587,country_opex,3,FALSE))+Z587+AA587+AB587+AC587+AD587))&lt;=0,"",VLOOKUP(B587,country_opex,7,FALSE)/((W587*pax_cap*IF(B587="South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Korea",korea_mid_revleg,revleg_mid)),0))*VLOOKUP(B587,country_opex,3,FALSE))+Z587+AA587+AB587+AC587+AD587)))</f>
        <v/>
      </c>
      <c r="BA587" s="54">
        <f>IF(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&lt;=0,"",VLOOKUP(B587,country_opex,7,FALSE)/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)</f>
        <v/>
      </c>
      <c r="BB587" s="40" t="n"/>
      <c r="BC587" s="40" t="n"/>
      <c r="BD587" s="43" t="inlineStr">
        <is>
          <t>rn-1ad18654169b</t>
        </is>
      </c>
    </row>
    <row r="588">
      <c r="A588" s="38" t="inlineStr">
        <is>
          <t>Gulf Authority Rakta</t>
        </is>
      </c>
      <c r="B588" s="38" t="inlineStr">
        <is>
          <t>United Arab Emirates</t>
        </is>
      </c>
      <c r="C588" s="39" t="inlineStr">
        <is>
          <t>Rixos Bab Al Bahr beach jetty → Hampton by Hilton Marjan Island beach landing</t>
        </is>
      </c>
      <c r="D588" s="38" t="inlineStr">
        <is>
          <t>rakta</t>
        </is>
      </c>
      <c r="E588" s="40" t="inlineStr">
        <is>
          <t>gulf-authority-bahrain-motc, gulf-authority-rakta</t>
        </is>
      </c>
      <c r="F588" s="41" t="n">
        <v>2</v>
      </c>
      <c r="G588" s="42" t="n">
        <v>1</v>
      </c>
      <c r="H588" s="35" t="n">
        <v>35</v>
      </c>
      <c r="I588" s="43" t="inlineStr">
        <is>
          <t>T3</t>
        </is>
      </c>
      <c r="J588" s="43" t="inlineStr">
        <is>
          <t>med-low</t>
        </is>
      </c>
      <c r="K588" s="29" t="n">
        <v>1</v>
      </c>
      <c r="L588" s="44">
        <f>60*G588/cruise_kt</f>
        <v/>
      </c>
      <c r="M588" s="44">
        <f>IF(B588="South Korea",G588/korea_charge_range_nm*korea_full_range_charge_min,0)</f>
        <v/>
      </c>
      <c r="N588" s="44">
        <f>IF(B588="South Korea",L588+korea_turn_min+korea_dwell_min+M588,L588+turn_min+dwell_min)</f>
        <v/>
      </c>
      <c r="O588" s="45">
        <f>IF(B588="South Korea",FLOOR(60*korea_service_hr/N588,1),MIN(15,FLOOR(60*service_hr/N588,1)))</f>
        <v/>
      </c>
      <c r="P588" s="45">
        <f>IF(ABS(MOD(ABS((365*mech_uptime*K588)),1)-0.5)&lt;1E-9,2*ROUND((365*mech_uptime*K588)/2,0),ROUND((365*mech_uptime*K588),0))</f>
        <v/>
      </c>
      <c r="Q588" s="46">
        <f>mech_uptime</f>
        <v/>
      </c>
      <c r="R588" s="46">
        <f>IF(AND(B588="South Korea",scenario="MID"),korea_mid_revleg,revleg_sel)</f>
        <v/>
      </c>
      <c r="S588" s="45">
        <f>IF(ABS(MOD(ABS((O588*P588*R588)),1)-0.5)&lt;1E-9,2*ROUND((O588*P588*R588)/2,0),ROUND((O588*P588*R588),0))</f>
        <v/>
      </c>
      <c r="T588" s="46">
        <f>IF(AND(B588="South Korea",scenario="MID"),korea_mid_load,load_sel)</f>
        <v/>
      </c>
      <c r="U588" s="47">
        <f>pax_cap*T588</f>
        <v/>
      </c>
      <c r="V588" s="45">
        <f>U588*S588</f>
        <v/>
      </c>
      <c r="W588" s="48">
        <f>H588*discount</f>
        <v/>
      </c>
      <c r="X588" s="49">
        <f>W588*V588</f>
        <v/>
      </c>
      <c r="Y588" s="49">
        <f>(battery/range_nm)*G588*S588*VLOOKUP(B588,country_opex,3,FALSE)</f>
        <v/>
      </c>
      <c r="Z588" s="49">
        <f>VLOOKUP(B588,country_opex,2,FALSE)*crew_factor</f>
        <v/>
      </c>
      <c r="AA588" s="49">
        <f>VLOOKUP(B588,country_opex,5,FALSE)</f>
        <v/>
      </c>
      <c r="AB588" s="49">
        <f>maint</f>
        <v/>
      </c>
      <c r="AC588" s="49">
        <f>VLOOKUP(B588,country_opex,7,FALSE)*ins_pct</f>
        <v/>
      </c>
      <c r="AD588" s="49">
        <f>charge_berth</f>
        <v/>
      </c>
      <c r="AE588" s="49">
        <f>Y588+Z588+AA588+AB588+AC588+AD588</f>
        <v/>
      </c>
      <c r="AF588" s="49">
        <f>VLOOKUP(B588,country_opex,7,FALSE)/dep_years</f>
        <v/>
      </c>
      <c r="AG588" s="49">
        <f>X588-AE588</f>
        <v/>
      </c>
      <c r="AH588" s="46">
        <f>IF(X588=0,"",AG588/X588)</f>
        <v/>
      </c>
      <c r="AI588" s="47">
        <f>IF(AG588&lt;=0,"",VLOOKUP(B588,country_opex,7,FALSE)/AG588)</f>
        <v/>
      </c>
      <c r="AJ588" s="44">
        <f>((G588*S588/diesel_nmpg)*diesel_co2pg-(battery/range_nm)*G588*S588*VLOOKUP(B588,country_opex,4,FALSE))/1000</f>
        <v/>
      </c>
      <c r="AK588" s="42" t="n">
        <v>5217</v>
      </c>
      <c r="AL588" s="43" t="inlineStr">
        <is>
          <t>T3</t>
        </is>
      </c>
      <c r="AM588" s="43" t="inlineStr">
        <is>
          <t>med-low</t>
        </is>
      </c>
      <c r="AN588" s="50" t="n">
        <v>0.1</v>
      </c>
      <c r="AO588" s="45">
        <f>IF(AK588="","",AK588*AN588)</f>
        <v/>
      </c>
      <c r="AP588" s="45">
        <f>IF(OR(AK588="",V588=0),"",MIN(IF(AX588="",9.9E+99,AX588),FLOOR(AO588/V588,1)))</f>
        <v/>
      </c>
      <c r="AQ588" s="49">
        <f>IF(AP588="","",AP588*IF(ABS(MOD(ABS((X588)),1)-0.5)&lt;1E-9,2*ROUND((X588)/2,0),ROUND((X588),0)))</f>
        <v/>
      </c>
      <c r="AR588" s="47">
        <f>IF(OR(AK588="",V588=0),"",MIN(IF(AX588="",9.9E+99,AX588),AO588/V588))</f>
        <v/>
      </c>
      <c r="AS588" s="49">
        <f>IF(AR588="","",AR588*IF(B588="South Korea",IF(ABS(MOD(ABS((X588)),1)-0.5)&lt;1E-9,2*ROUND((X588)/2,0),ROUND((X588),0)),X588))</f>
        <v/>
      </c>
      <c r="AT588" s="51" t="n"/>
      <c r="AU588" s="43" t="inlineStr">
        <is>
          <t>Grounded</t>
        </is>
      </c>
      <c r="AV588" s="52" t="n"/>
      <c r="AW588" s="52" t="n"/>
      <c r="AX588" s="53" t="n"/>
      <c r="AY588" s="54">
        <f>IF(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&lt;=0,"",VLOOKUP(B588,country_opex,7,FALSE)/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)</f>
        <v/>
      </c>
      <c r="AZ588" s="54">
        <f>IF(((W588*pax_cap*IF(B588="South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Korea",korea_mid_revleg,revleg_mid)),0))*VLOOKUP(B588,country_opex,3,FALSE))+Z588+AA588+AB588+AC588+AD588))&lt;=0,"",VLOOKUP(B588,country_opex,7,FALSE)/((W588*pax_cap*IF(B588="South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Korea",korea_mid_revleg,revleg_mid)),0))*VLOOKUP(B588,country_opex,3,FALSE))+Z588+AA588+AB588+AC588+AD588)))</f>
        <v/>
      </c>
      <c r="BA588" s="54">
        <f>IF(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&lt;=0,"",VLOOKUP(B588,country_opex,7,FALSE)/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)</f>
        <v/>
      </c>
      <c r="BB588" s="40" t="n"/>
      <c r="BC588" s="40" t="n"/>
      <c r="BD588" s="43" t="inlineStr">
        <is>
          <t>rn-4f0d97b8a3ed</t>
        </is>
      </c>
    </row>
    <row r="589">
      <c r="A589" s="38" t="inlineStr">
        <is>
          <t>Gulf Authority Rakta</t>
        </is>
      </c>
      <c r="B589" s="38" t="inlineStr">
        <is>
          <t>United Arab Emirates</t>
        </is>
      </c>
      <c r="C589" s="39" t="inlineStr">
        <is>
          <t>Wynn Al Marjan Island arrival lagoon → Hampton by Hilton Marjan Island beach landing</t>
        </is>
      </c>
      <c r="D589" s="38" t="inlineStr">
        <is>
          <t>rakta</t>
        </is>
      </c>
      <c r="E589" s="40" t="inlineStr">
        <is>
          <t>gulf-authority-bahrain-motc, gulf-authority-rakta</t>
        </is>
      </c>
      <c r="F589" s="41" t="n">
        <v>2</v>
      </c>
      <c r="G589" s="42" t="n">
        <v>1</v>
      </c>
      <c r="H589" s="35" t="n">
        <v>35</v>
      </c>
      <c r="I589" s="43" t="inlineStr">
        <is>
          <t>T3</t>
        </is>
      </c>
      <c r="J589" s="43" t="inlineStr">
        <is>
          <t>med-low</t>
        </is>
      </c>
      <c r="K589" s="29" t="n">
        <v>1</v>
      </c>
      <c r="L589" s="44">
        <f>60*G589/cruise_kt</f>
        <v/>
      </c>
      <c r="M589" s="44">
        <f>IF(B589="South Korea",G589/korea_charge_range_nm*korea_full_range_charge_min,0)</f>
        <v/>
      </c>
      <c r="N589" s="44">
        <f>IF(B589="South Korea",L589+korea_turn_min+korea_dwell_min+M589,L589+turn_min+dwell_min)</f>
        <v/>
      </c>
      <c r="O589" s="45">
        <f>IF(B589="South Korea",FLOOR(60*korea_service_hr/N589,1),MIN(15,FLOOR(60*service_hr/N589,1)))</f>
        <v/>
      </c>
      <c r="P589" s="45">
        <f>IF(ABS(MOD(ABS((365*mech_uptime*K589)),1)-0.5)&lt;1E-9,2*ROUND((365*mech_uptime*K589)/2,0),ROUND((365*mech_uptime*K589),0))</f>
        <v/>
      </c>
      <c r="Q589" s="46">
        <f>mech_uptime</f>
        <v/>
      </c>
      <c r="R589" s="46">
        <f>IF(AND(B589="South Korea",scenario="MID"),korea_mid_revleg,revleg_sel)</f>
        <v/>
      </c>
      <c r="S589" s="45">
        <f>IF(ABS(MOD(ABS((O589*P589*R589)),1)-0.5)&lt;1E-9,2*ROUND((O589*P589*R589)/2,0),ROUND((O589*P589*R589),0))</f>
        <v/>
      </c>
      <c r="T589" s="46">
        <f>IF(AND(B589="South Korea",scenario="MID"),korea_mid_load,load_sel)</f>
        <v/>
      </c>
      <c r="U589" s="47">
        <f>pax_cap*T589</f>
        <v/>
      </c>
      <c r="V589" s="45">
        <f>U589*S589</f>
        <v/>
      </c>
      <c r="W589" s="48">
        <f>H589*discount</f>
        <v/>
      </c>
      <c r="X589" s="49">
        <f>W589*V589</f>
        <v/>
      </c>
      <c r="Y589" s="49">
        <f>(battery/range_nm)*G589*S589*VLOOKUP(B589,country_opex,3,FALSE)</f>
        <v/>
      </c>
      <c r="Z589" s="49">
        <f>VLOOKUP(B589,country_opex,2,FALSE)*crew_factor</f>
        <v/>
      </c>
      <c r="AA589" s="49">
        <f>VLOOKUP(B589,country_opex,5,FALSE)</f>
        <v/>
      </c>
      <c r="AB589" s="49">
        <f>maint</f>
        <v/>
      </c>
      <c r="AC589" s="49">
        <f>VLOOKUP(B589,country_opex,7,FALSE)*ins_pct</f>
        <v/>
      </c>
      <c r="AD589" s="49">
        <f>charge_berth</f>
        <v/>
      </c>
      <c r="AE589" s="49">
        <f>Y589+Z589+AA589+AB589+AC589+AD589</f>
        <v/>
      </c>
      <c r="AF589" s="49">
        <f>VLOOKUP(B589,country_opex,7,FALSE)/dep_years</f>
        <v/>
      </c>
      <c r="AG589" s="49">
        <f>X589-AE589</f>
        <v/>
      </c>
      <c r="AH589" s="46">
        <f>IF(X589=0,"",AG589/X589)</f>
        <v/>
      </c>
      <c r="AI589" s="47">
        <f>IF(AG589&lt;=0,"",VLOOKUP(B589,country_opex,7,FALSE)/AG589)</f>
        <v/>
      </c>
      <c r="AJ589" s="44">
        <f>((G589*S589/diesel_nmpg)*diesel_co2pg-(battery/range_nm)*G589*S589*VLOOKUP(B589,country_opex,4,FALSE))/1000</f>
        <v/>
      </c>
      <c r="AK589" s="42" t="n">
        <v>5217</v>
      </c>
      <c r="AL589" s="43" t="inlineStr">
        <is>
          <t>T3</t>
        </is>
      </c>
      <c r="AM589" s="43" t="inlineStr">
        <is>
          <t>med-low</t>
        </is>
      </c>
      <c r="AN589" s="50" t="n">
        <v>0.1</v>
      </c>
      <c r="AO589" s="45">
        <f>IF(AK589="","",AK589*AN589)</f>
        <v/>
      </c>
      <c r="AP589" s="45">
        <f>IF(OR(AK589="",V589=0),"",MIN(IF(AX589="",9.9E+99,AX589),FLOOR(AO589/V589,1)))</f>
        <v/>
      </c>
      <c r="AQ589" s="49">
        <f>IF(AP589="","",AP589*IF(ABS(MOD(ABS((X589)),1)-0.5)&lt;1E-9,2*ROUND((X589)/2,0),ROUND((X589),0)))</f>
        <v/>
      </c>
      <c r="AR589" s="47">
        <f>IF(OR(AK589="",V589=0),"",MIN(IF(AX589="",9.9E+99,AX589),AO589/V589))</f>
        <v/>
      </c>
      <c r="AS589" s="49">
        <f>IF(AR589="","",AR589*IF(B589="South Korea",IF(ABS(MOD(ABS((X589)),1)-0.5)&lt;1E-9,2*ROUND((X589)/2,0),ROUND((X589),0)),X589))</f>
        <v/>
      </c>
      <c r="AT589" s="51" t="n"/>
      <c r="AU589" s="43" t="inlineStr">
        <is>
          <t>Grounded</t>
        </is>
      </c>
      <c r="AV589" s="52" t="n"/>
      <c r="AW589" s="52" t="n"/>
      <c r="AX589" s="53" t="n"/>
      <c r="AY589" s="54">
        <f>IF(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&lt;=0,"",VLOOKUP(B589,country_opex,7,FALSE)/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)</f>
        <v/>
      </c>
      <c r="AZ589" s="54">
        <f>IF(((W589*pax_cap*IF(B589="South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Korea",korea_mid_revleg,revleg_mid)),0))*VLOOKUP(B589,country_opex,3,FALSE))+Z589+AA589+AB589+AC589+AD589))&lt;=0,"",VLOOKUP(B589,country_opex,7,FALSE)/((W589*pax_cap*IF(B589="South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Korea",korea_mid_revleg,revleg_mid)),0))*VLOOKUP(B589,country_opex,3,FALSE))+Z589+AA589+AB589+AC589+AD589)))</f>
        <v/>
      </c>
      <c r="BA589" s="54">
        <f>IF(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&lt;=0,"",VLOOKUP(B589,country_opex,7,FALSE)/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)</f>
        <v/>
      </c>
      <c r="BB589" s="40" t="n"/>
      <c r="BC589" s="40" t="n"/>
      <c r="BD589" s="43" t="inlineStr">
        <is>
          <t>rn-cf6a87b5e146</t>
        </is>
      </c>
    </row>
    <row r="590">
      <c r="A590" s="38" t="inlineStr">
        <is>
          <t>UAE (Careem)</t>
        </is>
      </c>
      <c r="B590" s="38" t="inlineStr">
        <is>
          <t>United Arab Emirates</t>
        </is>
      </c>
      <c r="C590" s="39" t="inlineStr">
        <is>
          <t>Dubai Harbour Marina → Bluewaters Marina</t>
        </is>
      </c>
      <c r="D590" s="38" t="inlineStr">
        <is>
          <t>careem</t>
        </is>
      </c>
      <c r="E590" s="40" t="inlineStr">
        <is>
          <t>bolt-uae, uae-careem, uae-luxury, uae-noon, uae-voi, yango-uae</t>
        </is>
      </c>
      <c r="F590" s="41" t="n">
        <v>6</v>
      </c>
      <c r="G590" s="42" t="n">
        <v>1.1</v>
      </c>
      <c r="H590" s="35" t="n">
        <v>45</v>
      </c>
      <c r="I590" s="43" t="inlineStr">
        <is>
          <t>T1</t>
        </is>
      </c>
      <c r="J590" s="43" t="inlineStr">
        <is>
          <t>high</t>
        </is>
      </c>
      <c r="K590" s="29" t="n">
        <v>1</v>
      </c>
      <c r="L590" s="44">
        <f>60*G590/cruise_kt</f>
        <v/>
      </c>
      <c r="M590" s="44">
        <f>IF(B590="South Korea",G590/korea_charge_range_nm*korea_full_range_charge_min,0)</f>
        <v/>
      </c>
      <c r="N590" s="44">
        <f>IF(B590="South Korea",L590+korea_turn_min+korea_dwell_min+M590,L590+turn_min+dwell_min)</f>
        <v/>
      </c>
      <c r="O590" s="45">
        <f>IF(B590="South Korea",FLOOR(60*korea_service_hr/N590,1),MIN(15,FLOOR(60*service_hr/N590,1)))</f>
        <v/>
      </c>
      <c r="P590" s="45">
        <f>IF(ABS(MOD(ABS((365*mech_uptime*K590)),1)-0.5)&lt;1E-9,2*ROUND((365*mech_uptime*K590)/2,0),ROUND((365*mech_uptime*K590),0))</f>
        <v/>
      </c>
      <c r="Q590" s="46">
        <f>mech_uptime</f>
        <v/>
      </c>
      <c r="R590" s="46">
        <f>IF(AND(B590="South Korea",scenario="MID"),korea_mid_revleg,revleg_sel)</f>
        <v/>
      </c>
      <c r="S590" s="45">
        <f>IF(ABS(MOD(ABS((O590*P590*R590)),1)-0.5)&lt;1E-9,2*ROUND((O590*P590*R590)/2,0),ROUND((O590*P590*R590),0))</f>
        <v/>
      </c>
      <c r="T590" s="46">
        <f>IF(AND(B590="South Korea",scenario="MID"),korea_mid_load,load_sel)</f>
        <v/>
      </c>
      <c r="U590" s="47">
        <f>pax_cap*T590</f>
        <v/>
      </c>
      <c r="V590" s="45">
        <f>U590*S590</f>
        <v/>
      </c>
      <c r="W590" s="48">
        <f>H590*discount</f>
        <v/>
      </c>
      <c r="X590" s="49">
        <f>W590*V590</f>
        <v/>
      </c>
      <c r="Y590" s="49">
        <f>(battery/range_nm)*G590*S590*VLOOKUP(B590,country_opex,3,FALSE)</f>
        <v/>
      </c>
      <c r="Z590" s="49">
        <f>VLOOKUP(B590,country_opex,2,FALSE)*crew_factor</f>
        <v/>
      </c>
      <c r="AA590" s="49">
        <f>VLOOKUP(B590,country_opex,5,FALSE)</f>
        <v/>
      </c>
      <c r="AB590" s="49">
        <f>maint</f>
        <v/>
      </c>
      <c r="AC590" s="49">
        <f>VLOOKUP(B590,country_opex,7,FALSE)*ins_pct</f>
        <v/>
      </c>
      <c r="AD590" s="49">
        <f>charge_berth</f>
        <v/>
      </c>
      <c r="AE590" s="49">
        <f>Y590+Z590+AA590+AB590+AC590+AD590</f>
        <v/>
      </c>
      <c r="AF590" s="49">
        <f>VLOOKUP(B590,country_opex,7,FALSE)/dep_years</f>
        <v/>
      </c>
      <c r="AG590" s="49">
        <f>X590-AE590</f>
        <v/>
      </c>
      <c r="AH590" s="46">
        <f>IF(X590=0,"",AG590/X590)</f>
        <v/>
      </c>
      <c r="AI590" s="47">
        <f>IF(AG590&lt;=0,"",VLOOKUP(B590,country_opex,7,FALSE)/AG590)</f>
        <v/>
      </c>
      <c r="AJ590" s="44">
        <f>((G590*S590/diesel_nmpg)*diesel_co2pg-(battery/range_nm)*G590*S590*VLOOKUP(B590,country_opex,4,FALSE))/1000</f>
        <v/>
      </c>
      <c r="AK590" s="42" t="n">
        <v>200000</v>
      </c>
      <c r="AL590" s="43" t="inlineStr">
        <is>
          <t>T5</t>
        </is>
      </c>
      <c r="AM590" s="43" t="inlineStr">
        <is>
          <t>low</t>
        </is>
      </c>
      <c r="AN590" s="50" t="n">
        <v>0.1</v>
      </c>
      <c r="AO590" s="45">
        <f>IF(AK590="","",AK590*AN590)</f>
        <v/>
      </c>
      <c r="AP590" s="45">
        <f>IF(OR(AK590="",V590=0),"",MIN(IF(AX590="",9.9E+99,AX590),FLOOR(AO590/V590,1)))</f>
        <v/>
      </c>
      <c r="AQ590" s="49">
        <f>IF(AP590="","",AP590*IF(ABS(MOD(ABS((X590)),1)-0.5)&lt;1E-9,2*ROUND((X590)/2,0),ROUND((X590),0)))</f>
        <v/>
      </c>
      <c r="AR590" s="47">
        <f>IF(OR(AK590="",V590=0),"",MIN(IF(AX590="",9.9E+99,AX590),AO590/V590))</f>
        <v/>
      </c>
      <c r="AS590" s="49">
        <f>IF(AR590="","",AR590*IF(B590="South Korea",IF(ABS(MOD(ABS((X590)),1)-0.5)&lt;1E-9,2*ROUND((X590)/2,0),ROUND((X590),0)),X590))</f>
        <v/>
      </c>
      <c r="AT590" s="51" t="n"/>
      <c r="AU590" s="43" t="inlineStr">
        <is>
          <t>Grounded</t>
        </is>
      </c>
      <c r="AV590" s="52" t="n"/>
      <c r="AW590" s="52" t="n"/>
      <c r="AX590" s="53" t="n"/>
      <c r="AY590" s="54">
        <f>IF(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&lt;=0,"",VLOOKUP(B590,country_opex,7,FALSE)/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)</f>
        <v/>
      </c>
      <c r="AZ590" s="54">
        <f>IF(((W590*pax_cap*IF(B590="South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Korea",korea_mid_revleg,revleg_mid)),0))*VLOOKUP(B590,country_opex,3,FALSE))+Z590+AA590+AB590+AC590+AD590))&lt;=0,"",VLOOKUP(B590,country_opex,7,FALSE)/((W590*pax_cap*IF(B590="South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Korea",korea_mid_revleg,revleg_mid)),0))*VLOOKUP(B590,country_opex,3,FALSE))+Z590+AA590+AB590+AC590+AD590)))</f>
        <v/>
      </c>
      <c r="BA590" s="54">
        <f>IF(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&lt;=0,"",VLOOKUP(B590,country_opex,7,FALSE)/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)</f>
        <v/>
      </c>
      <c r="BB590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C590" s="40" t="inlineStr">
        <is>
          <t>RTA marine = 18.4M riders 2025 (WAM, T1); bulk are ~1km Creek abras (R3-ABRA, different micro-corridor). Premium non-abra modes a small fraction.</t>
        </is>
      </c>
      <c r="BD590" s="43" t="inlineStr">
        <is>
          <t>rn-dcc7d4c3b9f9</t>
        </is>
      </c>
    </row>
    <row r="591">
      <c r="A591" s="38" t="inlineStr">
        <is>
          <t>Gulf Authority Rakta</t>
        </is>
      </c>
      <c r="B591" s="38" t="inlineStr">
        <is>
          <t>United Arab Emirates</t>
        </is>
      </c>
      <c r="C591" s="39" t="inlineStr">
        <is>
          <t>Ras Al Khaimah Harbour → Hilton Garden Inn Ras Al Khaimah (Corniche) jetty</t>
        </is>
      </c>
      <c r="D591" s="38" t="inlineStr">
        <is>
          <t>rakta</t>
        </is>
      </c>
      <c r="E591" s="40" t="inlineStr">
        <is>
          <t>gulf-authority-bahrain-motc, gulf-authority-rakta</t>
        </is>
      </c>
      <c r="F591" s="41" t="n">
        <v>2</v>
      </c>
      <c r="G591" s="42" t="n">
        <v>1.1</v>
      </c>
      <c r="H591" s="35" t="n">
        <v>35</v>
      </c>
      <c r="I591" s="43" t="inlineStr">
        <is>
          <t>T3</t>
        </is>
      </c>
      <c r="J591" s="43" t="inlineStr">
        <is>
          <t>med-low</t>
        </is>
      </c>
      <c r="K591" s="29" t="n">
        <v>1</v>
      </c>
      <c r="L591" s="44">
        <f>60*G591/cruise_kt</f>
        <v/>
      </c>
      <c r="M591" s="44">
        <f>IF(B591="South Korea",G591/korea_charge_range_nm*korea_full_range_charge_min,0)</f>
        <v/>
      </c>
      <c r="N591" s="44">
        <f>IF(B591="South Korea",L591+korea_turn_min+korea_dwell_min+M591,L591+turn_min+dwell_min)</f>
        <v/>
      </c>
      <c r="O591" s="45">
        <f>IF(B591="South Korea",FLOOR(60*korea_service_hr/N591,1),MIN(15,FLOOR(60*service_hr/N591,1)))</f>
        <v/>
      </c>
      <c r="P591" s="45">
        <f>IF(ABS(MOD(ABS((365*mech_uptime*K591)),1)-0.5)&lt;1E-9,2*ROUND((365*mech_uptime*K591)/2,0),ROUND((365*mech_uptime*K591),0))</f>
        <v/>
      </c>
      <c r="Q591" s="46">
        <f>mech_uptime</f>
        <v/>
      </c>
      <c r="R591" s="46">
        <f>IF(AND(B591="South Korea",scenario="MID"),korea_mid_revleg,revleg_sel)</f>
        <v/>
      </c>
      <c r="S591" s="45">
        <f>IF(ABS(MOD(ABS((O591*P591*R591)),1)-0.5)&lt;1E-9,2*ROUND((O591*P591*R591)/2,0),ROUND((O591*P591*R591),0))</f>
        <v/>
      </c>
      <c r="T591" s="46">
        <f>IF(AND(B591="South Korea",scenario="MID"),korea_mid_load,load_sel)</f>
        <v/>
      </c>
      <c r="U591" s="47">
        <f>pax_cap*T591</f>
        <v/>
      </c>
      <c r="V591" s="45">
        <f>U591*S591</f>
        <v/>
      </c>
      <c r="W591" s="48">
        <f>H591*discount</f>
        <v/>
      </c>
      <c r="X591" s="49">
        <f>W591*V591</f>
        <v/>
      </c>
      <c r="Y591" s="49">
        <f>(battery/range_nm)*G591*S591*VLOOKUP(B591,country_opex,3,FALSE)</f>
        <v/>
      </c>
      <c r="Z591" s="49">
        <f>VLOOKUP(B591,country_opex,2,FALSE)*crew_factor</f>
        <v/>
      </c>
      <c r="AA591" s="49">
        <f>VLOOKUP(B591,country_opex,5,FALSE)</f>
        <v/>
      </c>
      <c r="AB591" s="49">
        <f>maint</f>
        <v/>
      </c>
      <c r="AC591" s="49">
        <f>VLOOKUP(B591,country_opex,7,FALSE)*ins_pct</f>
        <v/>
      </c>
      <c r="AD591" s="49">
        <f>charge_berth</f>
        <v/>
      </c>
      <c r="AE591" s="49">
        <f>Y591+Z591+AA591+AB591+AC591+AD591</f>
        <v/>
      </c>
      <c r="AF591" s="49">
        <f>VLOOKUP(B591,country_opex,7,FALSE)/dep_years</f>
        <v/>
      </c>
      <c r="AG591" s="49">
        <f>X591-AE591</f>
        <v/>
      </c>
      <c r="AH591" s="46">
        <f>IF(X591=0,"",AG591/X591)</f>
        <v/>
      </c>
      <c r="AI591" s="47">
        <f>IF(AG591&lt;=0,"",VLOOKUP(B591,country_opex,7,FALSE)/AG591)</f>
        <v/>
      </c>
      <c r="AJ591" s="44">
        <f>((G591*S591/diesel_nmpg)*diesel_co2pg-(battery/range_nm)*G591*S591*VLOOKUP(B591,country_opex,4,FALSE))/1000</f>
        <v/>
      </c>
      <c r="AK591" s="42" t="n">
        <v>5217</v>
      </c>
      <c r="AL591" s="43" t="inlineStr">
        <is>
          <t>T3</t>
        </is>
      </c>
      <c r="AM591" s="43" t="inlineStr">
        <is>
          <t>med-low</t>
        </is>
      </c>
      <c r="AN591" s="50" t="n">
        <v>0.1</v>
      </c>
      <c r="AO591" s="45">
        <f>IF(AK591="","",AK591*AN591)</f>
        <v/>
      </c>
      <c r="AP591" s="45">
        <f>IF(OR(AK591="",V591=0),"",MIN(IF(AX591="",9.9E+99,AX591),FLOOR(AO591/V591,1)))</f>
        <v/>
      </c>
      <c r="AQ591" s="49">
        <f>IF(AP591="","",AP591*IF(ABS(MOD(ABS((X591)),1)-0.5)&lt;1E-9,2*ROUND((X591)/2,0),ROUND((X591),0)))</f>
        <v/>
      </c>
      <c r="AR591" s="47">
        <f>IF(OR(AK591="",V591=0),"",MIN(IF(AX591="",9.9E+99,AX591),AO591/V591))</f>
        <v/>
      </c>
      <c r="AS591" s="49">
        <f>IF(AR591="","",AR591*IF(B591="South Korea",IF(ABS(MOD(ABS((X591)),1)-0.5)&lt;1E-9,2*ROUND((X591)/2,0),ROUND((X591),0)),X591))</f>
        <v/>
      </c>
      <c r="AT591" s="51" t="n"/>
      <c r="AU591" s="43" t="inlineStr">
        <is>
          <t>Grounded</t>
        </is>
      </c>
      <c r="AV591" s="52" t="n"/>
      <c r="AW591" s="52" t="n"/>
      <c r="AX591" s="53" t="n"/>
      <c r="AY591" s="54">
        <f>IF(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&lt;=0,"",VLOOKUP(B591,country_opex,7,FALSE)/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)</f>
        <v/>
      </c>
      <c r="AZ591" s="54">
        <f>IF(((W591*pax_cap*IF(B591="South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Korea",korea_mid_revleg,revleg_mid)),0))*VLOOKUP(B591,country_opex,3,FALSE))+Z591+AA591+AB591+AC591+AD591))&lt;=0,"",VLOOKUP(B591,country_opex,7,FALSE)/((W591*pax_cap*IF(B591="South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Korea",korea_mid_revleg,revleg_mid)),0))*VLOOKUP(B591,country_opex,3,FALSE))+Z591+AA591+AB591+AC591+AD591)))</f>
        <v/>
      </c>
      <c r="BA591" s="54">
        <f>IF(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&lt;=0,"",VLOOKUP(B591,country_opex,7,FALSE)/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)</f>
        <v/>
      </c>
      <c r="BB591" s="40" t="n"/>
      <c r="BC591" s="40" t="n"/>
      <c r="BD591" s="43" t="inlineStr">
        <is>
          <t>rn-ea8ffe092848</t>
        </is>
      </c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Kempinski Hotel &amp; Residences Palm Jumeirah Jetty → Atlantis The Palm Jetty</t>
        </is>
      </c>
      <c r="D592" s="38" t="inlineStr">
        <is>
          <t>careem</t>
        </is>
      </c>
      <c r="E592" s="40" t="inlineStr">
        <is>
          <t>bolt-uae, uae-careem, uae-luxury, uae-noon, uae-voi, yango-uae</t>
        </is>
      </c>
      <c r="F592" s="41" t="n">
        <v>6</v>
      </c>
      <c r="G592" s="42" t="n">
        <v>1.2</v>
      </c>
      <c r="H592" s="35" t="n">
        <v>130</v>
      </c>
      <c r="I592" s="43" t="inlineStr">
        <is>
          <t>T5</t>
        </is>
      </c>
      <c r="J592" s="43" t="inlineStr">
        <is>
          <t>low</t>
        </is>
      </c>
      <c r="K592" s="29" t="n">
        <v>1</v>
      </c>
      <c r="L592" s="44">
        <f>60*G592/cruise_kt</f>
        <v/>
      </c>
      <c r="M592" s="44">
        <f>IF(B592="South Korea",G592/korea_charge_range_nm*korea_full_range_charge_min,0)</f>
        <v/>
      </c>
      <c r="N592" s="44">
        <f>IF(B592="South Korea",L592+korea_turn_min+korea_dwell_min+M592,L592+turn_min+dwell_min)</f>
        <v/>
      </c>
      <c r="O592" s="45">
        <f>IF(B592="South Korea",FLOOR(60*korea_service_hr/N592,1),MIN(15,FLOOR(60*service_hr/N592,1)))</f>
        <v/>
      </c>
      <c r="P592" s="45">
        <f>IF(ABS(MOD(ABS((365*mech_uptime*K592)),1)-0.5)&lt;1E-9,2*ROUND((365*mech_uptime*K592)/2,0),ROUND((365*mech_uptime*K592),0))</f>
        <v/>
      </c>
      <c r="Q592" s="46">
        <f>mech_uptime</f>
        <v/>
      </c>
      <c r="R592" s="46">
        <f>IF(AND(B592="South Korea",scenario="MID"),korea_mid_revleg,revleg_sel)</f>
        <v/>
      </c>
      <c r="S592" s="45">
        <f>IF(ABS(MOD(ABS((O592*P592*R592)),1)-0.5)&lt;1E-9,2*ROUND((O592*P592*R592)/2,0),ROUND((O592*P592*R592),0))</f>
        <v/>
      </c>
      <c r="T592" s="46">
        <f>IF(AND(B592="South Korea",scenario="MID"),korea_mid_load,load_sel)</f>
        <v/>
      </c>
      <c r="U592" s="47">
        <f>pax_cap*T592</f>
        <v/>
      </c>
      <c r="V592" s="45">
        <f>U592*S592</f>
        <v/>
      </c>
      <c r="W592" s="48">
        <f>H592*discount</f>
        <v/>
      </c>
      <c r="X592" s="49">
        <f>W592*V592</f>
        <v/>
      </c>
      <c r="Y592" s="49">
        <f>(battery/range_nm)*G592*S592*VLOOKUP(B592,country_opex,3,FALSE)</f>
        <v/>
      </c>
      <c r="Z592" s="49">
        <f>VLOOKUP(B592,country_opex,2,FALSE)*crew_factor</f>
        <v/>
      </c>
      <c r="AA592" s="49">
        <f>VLOOKUP(B592,country_opex,5,FALSE)</f>
        <v/>
      </c>
      <c r="AB592" s="49">
        <f>maint</f>
        <v/>
      </c>
      <c r="AC592" s="49">
        <f>VLOOKUP(B592,country_opex,7,FALSE)*ins_pct</f>
        <v/>
      </c>
      <c r="AD592" s="49">
        <f>charge_berth</f>
        <v/>
      </c>
      <c r="AE592" s="49">
        <f>Y592+Z592+AA592+AB592+AC592+AD592</f>
        <v/>
      </c>
      <c r="AF592" s="49">
        <f>VLOOKUP(B592,country_opex,7,FALSE)/dep_years</f>
        <v/>
      </c>
      <c r="AG592" s="49">
        <f>X592-AE592</f>
        <v/>
      </c>
      <c r="AH592" s="46">
        <f>IF(X592=0,"",AG592/X592)</f>
        <v/>
      </c>
      <c r="AI592" s="47">
        <f>IF(AG592&lt;=0,"",VLOOKUP(B592,country_opex,7,FALSE)/AG592)</f>
        <v/>
      </c>
      <c r="AJ592" s="44">
        <f>((G592*S592/diesel_nmpg)*diesel_co2pg-(battery/range_nm)*G592*S592*VLOOKUP(B592,country_opex,4,FALSE))/1000</f>
        <v/>
      </c>
      <c r="AK592" s="42" t="n">
        <v>30000</v>
      </c>
      <c r="AL592" s="43" t="inlineStr">
        <is>
          <t>T3</t>
        </is>
      </c>
      <c r="AM592" s="43" t="inlineStr">
        <is>
          <t>low</t>
        </is>
      </c>
      <c r="AN592" s="50" t="n">
        <v>0.1</v>
      </c>
      <c r="AO592" s="45">
        <f>IF(AK592="","",AK592*AN592)</f>
        <v/>
      </c>
      <c r="AP592" s="45">
        <f>IF(OR(AK592="",V592=0),"",MIN(IF(AX592="",9.9E+99,AX592),FLOOR(AO592/V592,1)))</f>
        <v/>
      </c>
      <c r="AQ592" s="49">
        <f>IF(AP592="","",AP592*IF(ABS(MOD(ABS((X592)),1)-0.5)&lt;1E-9,2*ROUND((X592)/2,0),ROUND((X592),0)))</f>
        <v/>
      </c>
      <c r="AR592" s="47">
        <f>IF(OR(AK592="",V592=0),"",MIN(IF(AX592="",9.9E+99,AX592),AO592/V592))</f>
        <v/>
      </c>
      <c r="AS592" s="49">
        <f>IF(AR592="","",AR592*IF(B592="South Korea",IF(ABS(MOD(ABS((X592)),1)-0.5)&lt;1E-9,2*ROUND((X592)/2,0),ROUND((X592),0)),X592))</f>
        <v/>
      </c>
      <c r="AT592" s="51" t="n"/>
      <c r="AU592" s="43" t="inlineStr">
        <is>
          <t>Grounded</t>
        </is>
      </c>
      <c r="AV592" s="52" t="n"/>
      <c r="AW592" s="52" t="n"/>
      <c r="AX592" s="53" t="n"/>
      <c r="AY592" s="54">
        <f>IF(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&lt;=0,"",VLOOKUP(B592,country_opex,7,FALSE)/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)</f>
        <v/>
      </c>
      <c r="AZ592" s="54">
        <f>IF(((W592*pax_cap*IF(B592="South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Korea",korea_mid_revleg,revleg_mid)),0))*VLOOKUP(B592,country_opex,3,FALSE))+Z592+AA592+AB592+AC592+AD592))&lt;=0,"",VLOOKUP(B592,country_opex,7,FALSE)/((W592*pax_cap*IF(B592="South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Korea",korea_mid_revleg,revleg_mid)),0))*VLOOKUP(B592,country_opex,3,FALSE))+Z592+AA592+AB592+AC592+AD592)))</f>
        <v/>
      </c>
      <c r="BA592" s="54">
        <f>IF(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&lt;=0,"",VLOOKUP(B592,country_opex,7,FALSE)/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)</f>
        <v/>
      </c>
      <c r="BB592" s="40" t="inlineStr">
        <is>
          <t>Palm resort cluster (Kempinski&lt;-&gt;Atlantis). Road-served. T5/low.</t>
        </is>
      </c>
      <c r="BC592" s="40" t="inlineStr">
        <is>
          <t>UAE-DEMAND-ANCHORS-2026-06-17.json — tier-based addressable pool derived from sourcing wave anchors (hotel keys × occ × shuttle adoption, marina activity, RTA marine baseline).</t>
        </is>
      </c>
      <c r="BD592" s="43" t="inlineStr">
        <is>
          <t>rn-04c94f935684</t>
        </is>
      </c>
    </row>
    <row r="593">
      <c r="A593" s="38" t="inlineStr">
        <is>
          <t>UAE (Careem)</t>
        </is>
      </c>
      <c r="B593" s="38" t="inlineStr">
        <is>
          <t>United Arab Emirates</t>
        </is>
      </c>
      <c r="C593" s="39" t="inlineStr">
        <is>
          <t>La Mer / J1 Beach Jetty → Nikki Beach Resort Pearl Jumeirah Jetty</t>
        </is>
      </c>
      <c r="D593" s="38" t="inlineStr">
        <is>
          <t>careem</t>
        </is>
      </c>
      <c r="E593" s="40" t="inlineStr">
        <is>
          <t>bolt-uae, uae-careem, uae-luxury, uae-noon, uae-voi, yango-uae</t>
        </is>
      </c>
      <c r="F593" s="41" t="n">
        <v>6</v>
      </c>
      <c r="G593" s="42" t="n">
        <v>1.2</v>
      </c>
      <c r="H593" s="35" t="n">
        <v>110</v>
      </c>
      <c r="I593" s="43" t="inlineStr">
        <is>
          <t>T5</t>
        </is>
      </c>
      <c r="J593" s="43" t="inlineStr">
        <is>
          <t>low</t>
        </is>
      </c>
      <c r="K593" s="29" t="n">
        <v>1</v>
      </c>
      <c r="L593" s="44">
        <f>60*G593/cruise_kt</f>
        <v/>
      </c>
      <c r="M593" s="44">
        <f>IF(B593="South Korea",G593/korea_charge_range_nm*korea_full_range_charge_min,0)</f>
        <v/>
      </c>
      <c r="N593" s="44">
        <f>IF(B593="South Korea",L593+korea_turn_min+korea_dwell_min+M593,L593+turn_min+dwell_min)</f>
        <v/>
      </c>
      <c r="O593" s="45">
        <f>IF(B593="South Korea",FLOOR(60*korea_service_hr/N593,1),MIN(15,FLOOR(60*service_hr/N593,1)))</f>
        <v/>
      </c>
      <c r="P593" s="45">
        <f>IF(ABS(MOD(ABS((365*mech_uptime*K593)),1)-0.5)&lt;1E-9,2*ROUND((365*mech_uptime*K593)/2,0),ROUND((365*mech_uptime*K593),0))</f>
        <v/>
      </c>
      <c r="Q593" s="46">
        <f>mech_uptime</f>
        <v/>
      </c>
      <c r="R593" s="46">
        <f>IF(AND(B593="South Korea",scenario="MID"),korea_mid_revleg,revleg_sel)</f>
        <v/>
      </c>
      <c r="S593" s="45">
        <f>IF(ABS(MOD(ABS((O593*P593*R593)),1)-0.5)&lt;1E-9,2*ROUND((O593*P593*R593)/2,0),ROUND((O593*P593*R593),0))</f>
        <v/>
      </c>
      <c r="T593" s="46">
        <f>IF(AND(B593="South Korea",scenario="MID"),korea_mid_load,load_sel)</f>
        <v/>
      </c>
      <c r="U593" s="47">
        <f>pax_cap*T593</f>
        <v/>
      </c>
      <c r="V593" s="45">
        <f>U593*S593</f>
        <v/>
      </c>
      <c r="W593" s="48">
        <f>H593*discount</f>
        <v/>
      </c>
      <c r="X593" s="49">
        <f>W593*V593</f>
        <v/>
      </c>
      <c r="Y593" s="49">
        <f>(battery/range_nm)*G593*S593*VLOOKUP(B593,country_opex,3,FALSE)</f>
        <v/>
      </c>
      <c r="Z593" s="49">
        <f>VLOOKUP(B593,country_opex,2,FALSE)*crew_factor</f>
        <v/>
      </c>
      <c r="AA593" s="49">
        <f>VLOOKUP(B593,country_opex,5,FALSE)</f>
        <v/>
      </c>
      <c r="AB593" s="49">
        <f>maint</f>
        <v/>
      </c>
      <c r="AC593" s="49">
        <f>VLOOKUP(B593,country_opex,7,FALSE)*ins_pct</f>
        <v/>
      </c>
      <c r="AD593" s="49">
        <f>charge_berth</f>
        <v/>
      </c>
      <c r="AE593" s="49">
        <f>Y593+Z593+AA593+AB593+AC593+AD593</f>
        <v/>
      </c>
      <c r="AF593" s="49">
        <f>VLOOKUP(B593,country_opex,7,FALSE)/dep_years</f>
        <v/>
      </c>
      <c r="AG593" s="49">
        <f>X593-AE593</f>
        <v/>
      </c>
      <c r="AH593" s="46">
        <f>IF(X593=0,"",AG593/X593)</f>
        <v/>
      </c>
      <c r="AI593" s="47">
        <f>IF(AG593&lt;=0,"",VLOOKUP(B593,country_opex,7,FALSE)/AG593)</f>
        <v/>
      </c>
      <c r="AJ593" s="44">
        <f>((G593*S593/diesel_nmpg)*diesel_co2pg-(battery/range_nm)*G593*S593*VLOOKUP(B593,country_opex,4,FALSE))/1000</f>
        <v/>
      </c>
      <c r="AK593" s="42" t="n">
        <v>25000</v>
      </c>
      <c r="AL593" s="43" t="inlineStr">
        <is>
          <t>T3</t>
        </is>
      </c>
      <c r="AM593" s="43" t="inlineStr">
        <is>
          <t>low</t>
        </is>
      </c>
      <c r="AN593" s="50" t="n">
        <v>0.1</v>
      </c>
      <c r="AO593" s="45">
        <f>IF(AK593="","",AK593*AN593)</f>
        <v/>
      </c>
      <c r="AP593" s="45">
        <f>IF(OR(AK593="",V593=0),"",MIN(IF(AX593="",9.9E+99,AX593),FLOOR(AO593/V593,1)))</f>
        <v/>
      </c>
      <c r="AQ593" s="49">
        <f>IF(AP593="","",AP593*IF(ABS(MOD(ABS((X593)),1)-0.5)&lt;1E-9,2*ROUND((X593)/2,0),ROUND((X593),0)))</f>
        <v/>
      </c>
      <c r="AR593" s="47">
        <f>IF(OR(AK593="",V593=0),"",MIN(IF(AX593="",9.9E+99,AX593),AO593/V593))</f>
        <v/>
      </c>
      <c r="AS593" s="49">
        <f>IF(AR593="","",AR593*IF(B593="South Korea",IF(ABS(MOD(ABS((X593)),1)-0.5)&lt;1E-9,2*ROUND((X593)/2,0),ROUND((X593),0)),X593))</f>
        <v/>
      </c>
      <c r="AT593" s="51" t="n"/>
      <c r="AU593" s="43" t="inlineStr">
        <is>
          <t>Grounded</t>
        </is>
      </c>
      <c r="AV593" s="52" t="n"/>
      <c r="AW593" s="52" t="n"/>
      <c r="AX593" s="53" t="n"/>
      <c r="AY593" s="54">
        <f>IF(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&lt;=0,"",VLOOKUP(B593,country_opex,7,FALSE)/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)</f>
        <v/>
      </c>
      <c r="AZ593" s="54">
        <f>IF(((W593*pax_cap*IF(B593="South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Korea",korea_mid_revleg,revleg_mid)),0))*VLOOKUP(B593,country_opex,3,FALSE))+Z593+AA593+AB593+AC593+AD593))&lt;=0,"",VLOOKUP(B593,country_opex,7,FALSE)/((W593*pax_cap*IF(B593="South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Korea",korea_mid_revleg,revleg_mid)),0))*VLOOKUP(B593,country_opex,3,FALSE))+Z593+AA593+AB593+AC593+AD593)))</f>
        <v/>
      </c>
      <c r="BA593" s="54">
        <f>IF(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&lt;=0,"",VLOOKUP(B593,country_opex,7,FALSE)/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)</f>
        <v/>
      </c>
      <c r="BB593" s="40" t="inlineStr">
        <is>
          <t>Urban Dubai beach-club leisure hop. Road-served. T5/low.</t>
        </is>
      </c>
      <c r="BC593" s="40" t="inlineStr">
        <is>
          <t>UAE-DEMAND-ANCHORS-2026-06-17.json — tier-based addressable pool derived from sourcing wave anchors (hotel keys × occ × shuttle adoption, marina activity, RTA marine baseline).</t>
        </is>
      </c>
      <c r="BD593" s="43" t="inlineStr">
        <is>
          <t>rn-9349160e716f</t>
        </is>
      </c>
    </row>
    <row r="594">
      <c r="A594" s="38" t="inlineStr">
        <is>
          <t>Gulf Authority Rakta</t>
        </is>
      </c>
      <c r="B594" s="38" t="inlineStr">
        <is>
          <t>United Arab Emirates</t>
        </is>
      </c>
      <c r="C594" s="39" t="inlineStr">
        <is>
          <t>Bin Majid Beach Resort jetty → Acacia by Bin Majid jetty</t>
        </is>
      </c>
      <c r="D594" s="38" t="inlineStr">
        <is>
          <t>rakta</t>
        </is>
      </c>
      <c r="E594" s="40" t="inlineStr">
        <is>
          <t>gulf-authority-bahrain-motc, gulf-authority-rakta</t>
        </is>
      </c>
      <c r="F594" s="41" t="n">
        <v>2</v>
      </c>
      <c r="G594" s="42" t="n">
        <v>1.2</v>
      </c>
      <c r="H594" s="35" t="n">
        <v>35</v>
      </c>
      <c r="I594" s="43" t="inlineStr">
        <is>
          <t>T3</t>
        </is>
      </c>
      <c r="J594" s="43" t="inlineStr">
        <is>
          <t>med-low</t>
        </is>
      </c>
      <c r="K594" s="29" t="n">
        <v>1</v>
      </c>
      <c r="L594" s="44">
        <f>60*G594/cruise_kt</f>
        <v/>
      </c>
      <c r="M594" s="44">
        <f>IF(B594="South Korea",G594/korea_charge_range_nm*korea_full_range_charge_min,0)</f>
        <v/>
      </c>
      <c r="N594" s="44">
        <f>IF(B594="South Korea",L594+korea_turn_min+korea_dwell_min+M594,L594+turn_min+dwell_min)</f>
        <v/>
      </c>
      <c r="O594" s="45">
        <f>IF(B594="South Korea",FLOOR(60*korea_service_hr/N594,1),MIN(15,FLOOR(60*service_hr/N594,1)))</f>
        <v/>
      </c>
      <c r="P594" s="45">
        <f>IF(ABS(MOD(ABS((365*mech_uptime*K594)),1)-0.5)&lt;1E-9,2*ROUND((365*mech_uptime*K594)/2,0),ROUND((365*mech_uptime*K594),0))</f>
        <v/>
      </c>
      <c r="Q594" s="46">
        <f>mech_uptime</f>
        <v/>
      </c>
      <c r="R594" s="46">
        <f>IF(AND(B594="South Korea",scenario="MID"),korea_mid_revleg,revleg_sel)</f>
        <v/>
      </c>
      <c r="S594" s="45">
        <f>IF(ABS(MOD(ABS((O594*P594*R594)),1)-0.5)&lt;1E-9,2*ROUND((O594*P594*R594)/2,0),ROUND((O594*P594*R594),0))</f>
        <v/>
      </c>
      <c r="T594" s="46">
        <f>IF(AND(B594="South Korea",scenario="MID"),korea_mid_load,load_sel)</f>
        <v/>
      </c>
      <c r="U594" s="47">
        <f>pax_cap*T594</f>
        <v/>
      </c>
      <c r="V594" s="45">
        <f>U594*S594</f>
        <v/>
      </c>
      <c r="W594" s="48">
        <f>H594*discount</f>
        <v/>
      </c>
      <c r="X594" s="49">
        <f>W594*V594</f>
        <v/>
      </c>
      <c r="Y594" s="49">
        <f>(battery/range_nm)*G594*S594*VLOOKUP(B594,country_opex,3,FALSE)</f>
        <v/>
      </c>
      <c r="Z594" s="49">
        <f>VLOOKUP(B594,country_opex,2,FALSE)*crew_factor</f>
        <v/>
      </c>
      <c r="AA594" s="49">
        <f>VLOOKUP(B594,country_opex,5,FALSE)</f>
        <v/>
      </c>
      <c r="AB594" s="49">
        <f>maint</f>
        <v/>
      </c>
      <c r="AC594" s="49">
        <f>VLOOKUP(B594,country_opex,7,FALSE)*ins_pct</f>
        <v/>
      </c>
      <c r="AD594" s="49">
        <f>charge_berth</f>
        <v/>
      </c>
      <c r="AE594" s="49">
        <f>Y594+Z594+AA594+AB594+AC594+AD594</f>
        <v/>
      </c>
      <c r="AF594" s="49">
        <f>VLOOKUP(B594,country_opex,7,FALSE)/dep_years</f>
        <v/>
      </c>
      <c r="AG594" s="49">
        <f>X594-AE594</f>
        <v/>
      </c>
      <c r="AH594" s="46">
        <f>IF(X594=0,"",AG594/X594)</f>
        <v/>
      </c>
      <c r="AI594" s="47">
        <f>IF(AG594&lt;=0,"",VLOOKUP(B594,country_opex,7,FALSE)/AG594)</f>
        <v/>
      </c>
      <c r="AJ594" s="44">
        <f>((G594*S594/diesel_nmpg)*diesel_co2pg-(battery/range_nm)*G594*S594*VLOOKUP(B594,country_opex,4,FALSE))/1000</f>
        <v/>
      </c>
      <c r="AK594" s="42" t="n">
        <v>5217</v>
      </c>
      <c r="AL594" s="43" t="inlineStr">
        <is>
          <t>T3</t>
        </is>
      </c>
      <c r="AM594" s="43" t="inlineStr">
        <is>
          <t>med-low</t>
        </is>
      </c>
      <c r="AN594" s="50" t="n">
        <v>0.1</v>
      </c>
      <c r="AO594" s="45">
        <f>IF(AK594="","",AK594*AN594)</f>
        <v/>
      </c>
      <c r="AP594" s="45">
        <f>IF(OR(AK594="",V594=0),"",MIN(IF(AX594="",9.9E+99,AX594),FLOOR(AO594/V594,1)))</f>
        <v/>
      </c>
      <c r="AQ594" s="49">
        <f>IF(AP594="","",AP594*IF(ABS(MOD(ABS((X594)),1)-0.5)&lt;1E-9,2*ROUND((X594)/2,0),ROUND((X594),0)))</f>
        <v/>
      </c>
      <c r="AR594" s="47">
        <f>IF(OR(AK594="",V594=0),"",MIN(IF(AX594="",9.9E+99,AX594),AO594/V594))</f>
        <v/>
      </c>
      <c r="AS594" s="49">
        <f>IF(AR594="","",AR594*IF(B594="South Korea",IF(ABS(MOD(ABS((X594)),1)-0.5)&lt;1E-9,2*ROUND((X594)/2,0),ROUND((X594),0)),X594))</f>
        <v/>
      </c>
      <c r="AT594" s="51" t="n"/>
      <c r="AU594" s="43" t="inlineStr">
        <is>
          <t>Grounded</t>
        </is>
      </c>
      <c r="AV594" s="52" t="n"/>
      <c r="AW594" s="52" t="n"/>
      <c r="AX594" s="53" t="n"/>
      <c r="AY594" s="54">
        <f>IF(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&lt;=0,"",VLOOKUP(B594,country_opex,7,FALSE)/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)</f>
        <v/>
      </c>
      <c r="AZ594" s="54">
        <f>IF(((W594*pax_cap*IF(B594="South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Korea",korea_mid_revleg,revleg_mid)),0))*VLOOKUP(B594,country_opex,3,FALSE))+Z594+AA594+AB594+AC594+AD594))&lt;=0,"",VLOOKUP(B594,country_opex,7,FALSE)/((W594*pax_cap*IF(B594="South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Korea",korea_mid_revleg,revleg_mid)),0))*VLOOKUP(B594,country_opex,3,FALSE))+Z594+AA594+AB594+AC594+AD594)))</f>
        <v/>
      </c>
      <c r="BA594" s="54">
        <f>IF(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&lt;=0,"",VLOOKUP(B594,country_opex,7,FALSE)/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)</f>
        <v/>
      </c>
      <c r="BB594" s="40" t="n"/>
      <c r="BC594" s="40" t="n"/>
      <c r="BD594" s="43" t="inlineStr">
        <is>
          <t>rn-f1870f49bf3e</t>
        </is>
      </c>
    </row>
    <row r="595">
      <c r="A595" s="38" t="inlineStr">
        <is>
          <t>Gulf Authority Rakta</t>
        </is>
      </c>
      <c r="B595" s="38" t="inlineStr">
        <is>
          <t>United Arab Emirates</t>
        </is>
      </c>
      <c r="C595" s="39" t="inlineStr">
        <is>
          <t>Hilton Garden Inn Ras Al Khaimah (Corniche) jetty → RAK Corniche public pier</t>
        </is>
      </c>
      <c r="D595" s="38" t="inlineStr">
        <is>
          <t>rakta</t>
        </is>
      </c>
      <c r="E595" s="40" t="inlineStr">
        <is>
          <t>gulf-authority-bahrain-motc, gulf-authority-rakta</t>
        </is>
      </c>
      <c r="F595" s="41" t="n">
        <v>2</v>
      </c>
      <c r="G595" s="42" t="n">
        <v>1.2</v>
      </c>
      <c r="H595" s="35" t="n">
        <v>35</v>
      </c>
      <c r="I595" s="43" t="inlineStr">
        <is>
          <t>T3</t>
        </is>
      </c>
      <c r="J595" s="43" t="inlineStr">
        <is>
          <t>med-low</t>
        </is>
      </c>
      <c r="K595" s="29" t="n">
        <v>1</v>
      </c>
      <c r="L595" s="44">
        <f>60*G595/cruise_kt</f>
        <v/>
      </c>
      <c r="M595" s="44">
        <f>IF(B595="South Korea",G595/korea_charge_range_nm*korea_full_range_charge_min,0)</f>
        <v/>
      </c>
      <c r="N595" s="44">
        <f>IF(B595="South Korea",L595+korea_turn_min+korea_dwell_min+M595,L595+turn_min+dwell_min)</f>
        <v/>
      </c>
      <c r="O595" s="45">
        <f>IF(B595="South Korea",FLOOR(60*korea_service_hr/N595,1),MIN(15,FLOOR(60*service_hr/N595,1)))</f>
        <v/>
      </c>
      <c r="P595" s="45">
        <f>IF(ABS(MOD(ABS((365*mech_uptime*K595)),1)-0.5)&lt;1E-9,2*ROUND((365*mech_uptime*K595)/2,0),ROUND((365*mech_uptime*K595),0))</f>
        <v/>
      </c>
      <c r="Q595" s="46">
        <f>mech_uptime</f>
        <v/>
      </c>
      <c r="R595" s="46">
        <f>IF(AND(B595="South Korea",scenario="MID"),korea_mid_revleg,revleg_sel)</f>
        <v/>
      </c>
      <c r="S595" s="45">
        <f>IF(ABS(MOD(ABS((O595*P595*R595)),1)-0.5)&lt;1E-9,2*ROUND((O595*P595*R595)/2,0),ROUND((O595*P595*R595),0))</f>
        <v/>
      </c>
      <c r="T595" s="46">
        <f>IF(AND(B595="South Korea",scenario="MID"),korea_mid_load,load_sel)</f>
        <v/>
      </c>
      <c r="U595" s="47">
        <f>pax_cap*T595</f>
        <v/>
      </c>
      <c r="V595" s="45">
        <f>U595*S595</f>
        <v/>
      </c>
      <c r="W595" s="48">
        <f>H595*discount</f>
        <v/>
      </c>
      <c r="X595" s="49">
        <f>W595*V595</f>
        <v/>
      </c>
      <c r="Y595" s="49">
        <f>(battery/range_nm)*G595*S595*VLOOKUP(B595,country_opex,3,FALSE)</f>
        <v/>
      </c>
      <c r="Z595" s="49">
        <f>VLOOKUP(B595,country_opex,2,FALSE)*crew_factor</f>
        <v/>
      </c>
      <c r="AA595" s="49">
        <f>VLOOKUP(B595,country_opex,5,FALSE)</f>
        <v/>
      </c>
      <c r="AB595" s="49">
        <f>maint</f>
        <v/>
      </c>
      <c r="AC595" s="49">
        <f>VLOOKUP(B595,country_opex,7,FALSE)*ins_pct</f>
        <v/>
      </c>
      <c r="AD595" s="49">
        <f>charge_berth</f>
        <v/>
      </c>
      <c r="AE595" s="49">
        <f>Y595+Z595+AA595+AB595+AC595+AD595</f>
        <v/>
      </c>
      <c r="AF595" s="49">
        <f>VLOOKUP(B595,country_opex,7,FALSE)/dep_years</f>
        <v/>
      </c>
      <c r="AG595" s="49">
        <f>X595-AE595</f>
        <v/>
      </c>
      <c r="AH595" s="46">
        <f>IF(X595=0,"",AG595/X595)</f>
        <v/>
      </c>
      <c r="AI595" s="47">
        <f>IF(AG595&lt;=0,"",VLOOKUP(B595,country_opex,7,FALSE)/AG595)</f>
        <v/>
      </c>
      <c r="AJ595" s="44">
        <f>((G595*S595/diesel_nmpg)*diesel_co2pg-(battery/range_nm)*G595*S595*VLOOKUP(B595,country_opex,4,FALSE))/1000</f>
        <v/>
      </c>
      <c r="AK595" s="42" t="n">
        <v>5217</v>
      </c>
      <c r="AL595" s="43" t="inlineStr">
        <is>
          <t>T3</t>
        </is>
      </c>
      <c r="AM595" s="43" t="inlineStr">
        <is>
          <t>med-low</t>
        </is>
      </c>
      <c r="AN595" s="50" t="n">
        <v>0.1</v>
      </c>
      <c r="AO595" s="45">
        <f>IF(AK595="","",AK595*AN595)</f>
        <v/>
      </c>
      <c r="AP595" s="45">
        <f>IF(OR(AK595="",V595=0),"",MIN(IF(AX595="",9.9E+99,AX595),FLOOR(AO595/V595,1)))</f>
        <v/>
      </c>
      <c r="AQ595" s="49">
        <f>IF(AP595="","",AP595*IF(ABS(MOD(ABS((X595)),1)-0.5)&lt;1E-9,2*ROUND((X595)/2,0),ROUND((X595),0)))</f>
        <v/>
      </c>
      <c r="AR595" s="47">
        <f>IF(OR(AK595="",V595=0),"",MIN(IF(AX595="",9.9E+99,AX595),AO595/V595))</f>
        <v/>
      </c>
      <c r="AS595" s="49">
        <f>IF(AR595="","",AR595*IF(B595="South Korea",IF(ABS(MOD(ABS((X595)),1)-0.5)&lt;1E-9,2*ROUND((X595)/2,0),ROUND((X595),0)),X595))</f>
        <v/>
      </c>
      <c r="AT595" s="51" t="n"/>
      <c r="AU595" s="43" t="inlineStr">
        <is>
          <t>Grounded</t>
        </is>
      </c>
      <c r="AV595" s="52" t="n"/>
      <c r="AW595" s="52" t="n"/>
      <c r="AX595" s="53" t="n"/>
      <c r="AY595" s="54">
        <f>IF(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&lt;=0,"",VLOOKUP(B595,country_opex,7,FALSE)/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)</f>
        <v/>
      </c>
      <c r="AZ595" s="54">
        <f>IF(((W595*pax_cap*IF(B595="South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Korea",korea_mid_revleg,revleg_mid)),0))*VLOOKUP(B595,country_opex,3,FALSE))+Z595+AA595+AB595+AC595+AD595))&lt;=0,"",VLOOKUP(B595,country_opex,7,FALSE)/((W595*pax_cap*IF(B595="South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Korea",korea_mid_revleg,revleg_mid)),0))*VLOOKUP(B595,country_opex,3,FALSE))+Z595+AA595+AB595+AC595+AD595)))</f>
        <v/>
      </c>
      <c r="BA595" s="54">
        <f>IF(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&lt;=0,"",VLOOKUP(B595,country_opex,7,FALSE)/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)</f>
        <v/>
      </c>
      <c r="BB595" s="40" t="n"/>
      <c r="BC595" s="40" t="n"/>
      <c r="BD595" s="43" t="inlineStr">
        <is>
          <t>rn-c35ab68f5b90</t>
        </is>
      </c>
    </row>
    <row r="596">
      <c r="A596" s="38" t="inlineStr">
        <is>
          <t>UAE (Careem)</t>
        </is>
      </c>
      <c r="B596" s="38" t="inlineStr">
        <is>
          <t>United Arab Emirates</t>
        </is>
      </c>
      <c r="C596" s="39" t="inlineStr">
        <is>
          <t>Palm Jumeirah Marina West → Atlantis The Palm Jetty</t>
        </is>
      </c>
      <c r="D596" s="38" t="inlineStr">
        <is>
          <t>careem</t>
        </is>
      </c>
      <c r="E596" s="40" t="inlineStr">
        <is>
          <t>bolt-uae, uae-careem, uae-luxury, uae-noon, uae-voi, yango-uae</t>
        </is>
      </c>
      <c r="F596" s="41" t="n">
        <v>6</v>
      </c>
      <c r="G596" s="42" t="n">
        <v>1.3</v>
      </c>
      <c r="H596" s="35" t="n">
        <v>150</v>
      </c>
      <c r="I596" s="43" t="inlineStr">
        <is>
          <t>T5</t>
        </is>
      </c>
      <c r="J596" s="43" t="inlineStr">
        <is>
          <t>low</t>
        </is>
      </c>
      <c r="K596" s="29" t="n">
        <v>1</v>
      </c>
      <c r="L596" s="44">
        <f>60*G596/cruise_kt</f>
        <v/>
      </c>
      <c r="M596" s="44">
        <f>IF(B596="South Korea",G596/korea_charge_range_nm*korea_full_range_charge_min,0)</f>
        <v/>
      </c>
      <c r="N596" s="44">
        <f>IF(B596="South Korea",L596+korea_turn_min+korea_dwell_min+M596,L596+turn_min+dwell_min)</f>
        <v/>
      </c>
      <c r="O596" s="45">
        <f>IF(B596="South Korea",FLOOR(60*korea_service_hr/N596,1),MIN(15,FLOOR(60*service_hr/N596,1)))</f>
        <v/>
      </c>
      <c r="P596" s="45">
        <f>IF(ABS(MOD(ABS((365*mech_uptime*K596)),1)-0.5)&lt;1E-9,2*ROUND((365*mech_uptime*K596)/2,0),ROUND((365*mech_uptime*K596),0))</f>
        <v/>
      </c>
      <c r="Q596" s="46">
        <f>mech_uptime</f>
        <v/>
      </c>
      <c r="R596" s="46">
        <f>IF(AND(B596="South Korea",scenario="MID"),korea_mid_revleg,revleg_sel)</f>
        <v/>
      </c>
      <c r="S596" s="45">
        <f>IF(ABS(MOD(ABS((O596*P596*R596)),1)-0.5)&lt;1E-9,2*ROUND((O596*P596*R596)/2,0),ROUND((O596*P596*R596),0))</f>
        <v/>
      </c>
      <c r="T596" s="46">
        <f>IF(AND(B596="South Korea",scenario="MID"),korea_mid_load,load_sel)</f>
        <v/>
      </c>
      <c r="U596" s="47">
        <f>pax_cap*T596</f>
        <v/>
      </c>
      <c r="V596" s="45">
        <f>U596*S596</f>
        <v/>
      </c>
      <c r="W596" s="48">
        <f>H596*discount</f>
        <v/>
      </c>
      <c r="X596" s="49">
        <f>W596*V596</f>
        <v/>
      </c>
      <c r="Y596" s="49">
        <f>(battery/range_nm)*G596*S596*VLOOKUP(B596,country_opex,3,FALSE)</f>
        <v/>
      </c>
      <c r="Z596" s="49">
        <f>VLOOKUP(B596,country_opex,2,FALSE)*crew_factor</f>
        <v/>
      </c>
      <c r="AA596" s="49">
        <f>VLOOKUP(B596,country_opex,5,FALSE)</f>
        <v/>
      </c>
      <c r="AB596" s="49">
        <f>maint</f>
        <v/>
      </c>
      <c r="AC596" s="49">
        <f>VLOOKUP(B596,country_opex,7,FALSE)*ins_pct</f>
        <v/>
      </c>
      <c r="AD596" s="49">
        <f>charge_berth</f>
        <v/>
      </c>
      <c r="AE596" s="49">
        <f>Y596+Z596+AA596+AB596+AC596+AD596</f>
        <v/>
      </c>
      <c r="AF596" s="49">
        <f>VLOOKUP(B596,country_opex,7,FALSE)/dep_years</f>
        <v/>
      </c>
      <c r="AG596" s="49">
        <f>X596-AE596</f>
        <v/>
      </c>
      <c r="AH596" s="46">
        <f>IF(X596=0,"",AG596/X596)</f>
        <v/>
      </c>
      <c r="AI596" s="47">
        <f>IF(AG596&lt;=0,"",VLOOKUP(B596,country_opex,7,FALSE)/AG596)</f>
        <v/>
      </c>
      <c r="AJ596" s="44">
        <f>((G596*S596/diesel_nmpg)*diesel_co2pg-(battery/range_nm)*G596*S596*VLOOKUP(B596,country_opex,4,FALSE))/1000</f>
        <v/>
      </c>
      <c r="AK596" s="42" t="n">
        <v>120000</v>
      </c>
      <c r="AL596" s="43" t="inlineStr">
        <is>
          <t>T2</t>
        </is>
      </c>
      <c r="AM596" s="43" t="inlineStr">
        <is>
          <t>medium</t>
        </is>
      </c>
      <c r="AN596" s="50" t="n">
        <v>0.1</v>
      </c>
      <c r="AO596" s="45">
        <f>IF(AK596="","",AK596*AN596)</f>
        <v/>
      </c>
      <c r="AP596" s="45">
        <f>IF(OR(AK596="",V596=0),"",MIN(IF(AX596="",9.9E+99,AX596),FLOOR(AO596/V596,1)))</f>
        <v/>
      </c>
      <c r="AQ596" s="49">
        <f>IF(AP596="","",AP596*IF(ABS(MOD(ABS((X596)),1)-0.5)&lt;1E-9,2*ROUND((X596)/2,0),ROUND((X596),0)))</f>
        <v/>
      </c>
      <c r="AR596" s="47">
        <f>IF(OR(AK596="",V596=0),"",MIN(IF(AX596="",9.9E+99,AX596),AO596/V596))</f>
        <v/>
      </c>
      <c r="AS596" s="49">
        <f>IF(AR596="","",AR596*IF(B596="South Korea",IF(ABS(MOD(ABS((X596)),1)-0.5)&lt;1E-9,2*ROUND((X596)/2,0),ROUND((X596),0)),X596))</f>
        <v/>
      </c>
      <c r="AT596" s="51" t="n"/>
      <c r="AU596" s="43" t="inlineStr">
        <is>
          <t>Grounded</t>
        </is>
      </c>
      <c r="AV596" s="52" t="n"/>
      <c r="AW596" s="52" t="n"/>
      <c r="AX596" s="53" t="n"/>
      <c r="AY596" s="54">
        <f>IF(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&lt;=0,"",VLOOKUP(B596,country_opex,7,FALSE)/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)</f>
        <v/>
      </c>
      <c r="AZ596" s="54">
        <f>IF(((W596*pax_cap*IF(B596="South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Korea",korea_mid_revleg,revleg_mid)),0))*VLOOKUP(B596,country_opex,3,FALSE))+Z596+AA596+AB596+AC596+AD596))&lt;=0,"",VLOOKUP(B596,country_opex,7,FALSE)/((W596*pax_cap*IF(B596="South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Korea",korea_mid_revleg,revleg_mid)),0))*VLOOKUP(B596,country_opex,3,FALSE))+Z596+AA596+AB596+AC596+AD596)))</f>
        <v/>
      </c>
      <c r="BA596" s="54">
        <f>IF(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&lt;=0,"",VLOOKUP(B596,country_opex,7,FALSE)/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)</f>
        <v/>
      </c>
      <c r="BB596" s="40" t="inlineStr">
        <is>
          <t>Atlantis The Palm (1,544 rooms) road-served; premium marine arrival opportunity-to-create. T5/low.</t>
        </is>
      </c>
      <c r="BC59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596" s="43" t="inlineStr">
        <is>
          <t>rn-b49c885ed913</t>
        </is>
      </c>
    </row>
    <row r="597">
      <c r="A597" s="38" t="inlineStr">
        <is>
          <t>UAE (Careem)</t>
        </is>
      </c>
      <c r="B597" s="38" t="inlineStr">
        <is>
          <t>United Arab Emirates</t>
        </is>
      </c>
      <c r="C597" s="39" t="inlineStr">
        <is>
          <t>Dubai Creek Marina → Al Seef Marine Transport Station</t>
        </is>
      </c>
      <c r="D597" s="38" t="inlineStr">
        <is>
          <t>careem</t>
        </is>
      </c>
      <c r="E597" s="40" t="inlineStr">
        <is>
          <t>bolt-uae, uae-careem, uae-luxury, uae-noon, uae-voi, yango-uae</t>
        </is>
      </c>
      <c r="F597" s="41" t="n">
        <v>6</v>
      </c>
      <c r="G597" s="42" t="n">
        <v>1.5</v>
      </c>
      <c r="H597" s="35" t="n">
        <v>41</v>
      </c>
      <c r="I597" s="43" t="inlineStr">
        <is>
          <t>T1</t>
        </is>
      </c>
      <c r="J597" s="43" t="inlineStr">
        <is>
          <t>high</t>
        </is>
      </c>
      <c r="K597" s="29" t="n">
        <v>1</v>
      </c>
      <c r="L597" s="44">
        <f>60*G597/cruise_kt</f>
        <v/>
      </c>
      <c r="M597" s="44">
        <f>IF(B597="South Korea",G597/korea_charge_range_nm*korea_full_range_charge_min,0)</f>
        <v/>
      </c>
      <c r="N597" s="44">
        <f>IF(B597="South Korea",L597+korea_turn_min+korea_dwell_min+M597,L597+turn_min+dwell_min)</f>
        <v/>
      </c>
      <c r="O597" s="45">
        <f>IF(B597="South Korea",FLOOR(60*korea_service_hr/N597,1),MIN(15,FLOOR(60*service_hr/N597,1)))</f>
        <v/>
      </c>
      <c r="P597" s="45">
        <f>IF(ABS(MOD(ABS((365*mech_uptime*K597)),1)-0.5)&lt;1E-9,2*ROUND((365*mech_uptime*K597)/2,0),ROUND((365*mech_uptime*K597),0))</f>
        <v/>
      </c>
      <c r="Q597" s="46">
        <f>mech_uptime</f>
        <v/>
      </c>
      <c r="R597" s="46">
        <f>IF(AND(B597="South Korea",scenario="MID"),korea_mid_revleg,revleg_sel)</f>
        <v/>
      </c>
      <c r="S597" s="45">
        <f>IF(ABS(MOD(ABS((O597*P597*R597)),1)-0.5)&lt;1E-9,2*ROUND((O597*P597*R597)/2,0),ROUND((O597*P597*R597),0))</f>
        <v/>
      </c>
      <c r="T597" s="46">
        <f>IF(AND(B597="South Korea",scenario="MID"),korea_mid_load,load_sel)</f>
        <v/>
      </c>
      <c r="U597" s="47">
        <f>pax_cap*T597</f>
        <v/>
      </c>
      <c r="V597" s="45">
        <f>U597*S597</f>
        <v/>
      </c>
      <c r="W597" s="48">
        <f>H597*discount</f>
        <v/>
      </c>
      <c r="X597" s="49">
        <f>W597*V597</f>
        <v/>
      </c>
      <c r="Y597" s="49">
        <f>(battery/range_nm)*G597*S597*VLOOKUP(B597,country_opex,3,FALSE)</f>
        <v/>
      </c>
      <c r="Z597" s="49">
        <f>VLOOKUP(B597,country_opex,2,FALSE)*crew_factor</f>
        <v/>
      </c>
      <c r="AA597" s="49">
        <f>VLOOKUP(B597,country_opex,5,FALSE)</f>
        <v/>
      </c>
      <c r="AB597" s="49">
        <f>maint</f>
        <v/>
      </c>
      <c r="AC597" s="49">
        <f>VLOOKUP(B597,country_opex,7,FALSE)*ins_pct</f>
        <v/>
      </c>
      <c r="AD597" s="49">
        <f>charge_berth</f>
        <v/>
      </c>
      <c r="AE597" s="49">
        <f>Y597+Z597+AA597+AB597+AC597+AD597</f>
        <v/>
      </c>
      <c r="AF597" s="49">
        <f>VLOOKUP(B597,country_opex,7,FALSE)/dep_years</f>
        <v/>
      </c>
      <c r="AG597" s="49">
        <f>X597-AE597</f>
        <v/>
      </c>
      <c r="AH597" s="46">
        <f>IF(X597=0,"",AG597/X597)</f>
        <v/>
      </c>
      <c r="AI597" s="47">
        <f>IF(AG597&lt;=0,"",VLOOKUP(B597,country_opex,7,FALSE)/AG597)</f>
        <v/>
      </c>
      <c r="AJ597" s="44">
        <f>((G597*S597/diesel_nmpg)*diesel_co2pg-(battery/range_nm)*G597*S597*VLOOKUP(B597,country_opex,4,FALSE))/1000</f>
        <v/>
      </c>
      <c r="AK597" s="42" t="n">
        <v>120000</v>
      </c>
      <c r="AL597" s="43" t="inlineStr">
        <is>
          <t>T5</t>
        </is>
      </c>
      <c r="AM597" s="43" t="inlineStr">
        <is>
          <t>low</t>
        </is>
      </c>
      <c r="AN597" s="50" t="n">
        <v>0.1</v>
      </c>
      <c r="AO597" s="45">
        <f>IF(AK597="","",AK597*AN597)</f>
        <v/>
      </c>
      <c r="AP597" s="45">
        <f>IF(OR(AK597="",V597=0),"",MIN(IF(AX597="",9.9E+99,AX597),FLOOR(AO597/V597,1)))</f>
        <v/>
      </c>
      <c r="AQ597" s="49">
        <f>IF(AP597="","",AP597*IF(ABS(MOD(ABS((X597)),1)-0.5)&lt;1E-9,2*ROUND((X597)/2,0),ROUND((X597),0)))</f>
        <v/>
      </c>
      <c r="AR597" s="47">
        <f>IF(OR(AK597="",V597=0),"",MIN(IF(AX597="",9.9E+99,AX597),AO597/V597))</f>
        <v/>
      </c>
      <c r="AS597" s="49">
        <f>IF(AR597="","",AR597*IF(B597="South Korea",IF(ABS(MOD(ABS((X597)),1)-0.5)&lt;1E-9,2*ROUND((X597)/2,0),ROUND((X597),0)),X597))</f>
        <v/>
      </c>
      <c r="AT597" s="51" t="n"/>
      <c r="AU597" s="43" t="inlineStr">
        <is>
          <t>Grounded</t>
        </is>
      </c>
      <c r="AV597" s="52" t="n"/>
      <c r="AW597" s="52" t="n"/>
      <c r="AX597" s="53" t="n"/>
      <c r="AY597" s="54">
        <f>IF(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&lt;=0,"",VLOOKUP(B597,country_opex,7,FALSE)/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)</f>
        <v/>
      </c>
      <c r="AZ597" s="54">
        <f>IF(((W597*pax_cap*IF(B597="South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Korea",korea_mid_revleg,revleg_mid)),0))*VLOOKUP(B597,country_opex,3,FALSE))+Z597+AA597+AB597+AC597+AD597))&lt;=0,"",VLOOKUP(B597,country_opex,7,FALSE)/((W597*pax_cap*IF(B597="South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Korea",korea_mid_revleg,revleg_mid)),0))*VLOOKUP(B597,country_opex,3,FALSE))+Z597+AA597+AB597+AC597+AD597)))</f>
        <v/>
      </c>
      <c r="BA597" s="54">
        <f>IF(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&lt;=0,"",VLOOKUP(B597,country_opex,7,FALSE)/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)</f>
        <v/>
      </c>
      <c r="BB597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C597" s="40" t="inlineStr">
        <is>
          <t>18.4M RTA marine is ~all sub-1km abras (R3-ABRA); premium water-taxi/ferry tier is a small fraction.</t>
        </is>
      </c>
      <c r="BD597" s="43" t="inlineStr">
        <is>
          <t>rn-355d8ba3c15a</t>
        </is>
      </c>
    </row>
    <row r="598">
      <c r="A598" s="38" t="inlineStr">
        <is>
          <t>UAE (Careem)</t>
        </is>
      </c>
      <c r="B598" s="38" t="inlineStr">
        <is>
          <t>United Arab Emirates</t>
        </is>
      </c>
      <c r="C598" s="39" t="inlineStr">
        <is>
          <t>Yacht Marina → The Westin Dubai Mina Seyahi Beach Resort &amp; Marina</t>
        </is>
      </c>
      <c r="D598" s="38" t="inlineStr">
        <is>
          <t>careem</t>
        </is>
      </c>
      <c r="E598" s="40" t="inlineStr">
        <is>
          <t>bolt-uae, uae-careem, uae-luxury, uae-noon, uae-voi, yango-uae</t>
        </is>
      </c>
      <c r="F598" s="41" t="n">
        <v>6</v>
      </c>
      <c r="G598" s="42" t="n">
        <v>1.5</v>
      </c>
      <c r="H598" s="35" t="n">
        <v>95</v>
      </c>
      <c r="I598" s="43" t="inlineStr">
        <is>
          <t>T4</t>
        </is>
      </c>
      <c r="J598" s="43" t="inlineStr">
        <is>
          <t>low</t>
        </is>
      </c>
      <c r="K598" s="29" t="n">
        <v>1</v>
      </c>
      <c r="L598" s="44">
        <f>60*G598/cruise_kt</f>
        <v/>
      </c>
      <c r="M598" s="44">
        <f>IF(B598="South Korea",G598/korea_charge_range_nm*korea_full_range_charge_min,0)</f>
        <v/>
      </c>
      <c r="N598" s="44">
        <f>IF(B598="South Korea",L598+korea_turn_min+korea_dwell_min+M598,L598+turn_min+dwell_min)</f>
        <v/>
      </c>
      <c r="O598" s="45">
        <f>IF(B598="South Korea",FLOOR(60*korea_service_hr/N598,1),MIN(15,FLOOR(60*service_hr/N598,1)))</f>
        <v/>
      </c>
      <c r="P598" s="45">
        <f>IF(ABS(MOD(ABS((365*mech_uptime*K598)),1)-0.5)&lt;1E-9,2*ROUND((365*mech_uptime*K598)/2,0),ROUND((365*mech_uptime*K598),0))</f>
        <v/>
      </c>
      <c r="Q598" s="46">
        <f>mech_uptime</f>
        <v/>
      </c>
      <c r="R598" s="46">
        <f>IF(AND(B598="South Korea",scenario="MID"),korea_mid_revleg,revleg_sel)</f>
        <v/>
      </c>
      <c r="S598" s="45">
        <f>IF(ABS(MOD(ABS((O598*P598*R598)),1)-0.5)&lt;1E-9,2*ROUND((O598*P598*R598)/2,0),ROUND((O598*P598*R598),0))</f>
        <v/>
      </c>
      <c r="T598" s="46">
        <f>IF(AND(B598="South Korea",scenario="MID"),korea_mid_load,load_sel)</f>
        <v/>
      </c>
      <c r="U598" s="47">
        <f>pax_cap*T598</f>
        <v/>
      </c>
      <c r="V598" s="45">
        <f>U598*S598</f>
        <v/>
      </c>
      <c r="W598" s="48">
        <f>H598*discount</f>
        <v/>
      </c>
      <c r="X598" s="49">
        <f>W598*V598</f>
        <v/>
      </c>
      <c r="Y598" s="49">
        <f>(battery/range_nm)*G598*S598*VLOOKUP(B598,country_opex,3,FALSE)</f>
        <v/>
      </c>
      <c r="Z598" s="49">
        <f>VLOOKUP(B598,country_opex,2,FALSE)*crew_factor</f>
        <v/>
      </c>
      <c r="AA598" s="49">
        <f>VLOOKUP(B598,country_opex,5,FALSE)</f>
        <v/>
      </c>
      <c r="AB598" s="49">
        <f>maint</f>
        <v/>
      </c>
      <c r="AC598" s="49">
        <f>VLOOKUP(B598,country_opex,7,FALSE)*ins_pct</f>
        <v/>
      </c>
      <c r="AD598" s="49">
        <f>charge_berth</f>
        <v/>
      </c>
      <c r="AE598" s="49">
        <f>Y598+Z598+AA598+AB598+AC598+AD598</f>
        <v/>
      </c>
      <c r="AF598" s="49">
        <f>VLOOKUP(B598,country_opex,7,FALSE)/dep_years</f>
        <v/>
      </c>
      <c r="AG598" s="49">
        <f>X598-AE598</f>
        <v/>
      </c>
      <c r="AH598" s="46">
        <f>IF(X598=0,"",AG598/X598)</f>
        <v/>
      </c>
      <c r="AI598" s="47">
        <f>IF(AG598&lt;=0,"",VLOOKUP(B598,country_opex,7,FALSE)/AG598)</f>
        <v/>
      </c>
      <c r="AJ598" s="44">
        <f>((G598*S598/diesel_nmpg)*diesel_co2pg-(battery/range_nm)*G598*S598*VLOOKUP(B598,country_opex,4,FALSE))/1000</f>
        <v/>
      </c>
      <c r="AK598" s="42" t="n">
        <v>25000</v>
      </c>
      <c r="AL598" s="43" t="inlineStr">
        <is>
          <t>T3</t>
        </is>
      </c>
      <c r="AM598" s="43" t="inlineStr">
        <is>
          <t>low</t>
        </is>
      </c>
      <c r="AN598" s="50" t="n">
        <v>0.1</v>
      </c>
      <c r="AO598" s="45">
        <f>IF(AK598="","",AK598*AN598)</f>
        <v/>
      </c>
      <c r="AP598" s="45">
        <f>IF(OR(AK598="",V598=0),"",MIN(IF(AX598="",9.9E+99,AX598),FLOOR(AO598/V598,1)))</f>
        <v/>
      </c>
      <c r="AQ598" s="49">
        <f>IF(AP598="","",AP598*IF(ABS(MOD(ABS((X598)),1)-0.5)&lt;1E-9,2*ROUND((X598)/2,0),ROUND((X598),0)))</f>
        <v/>
      </c>
      <c r="AR598" s="47">
        <f>IF(OR(AK598="",V598=0),"",MIN(IF(AX598="",9.9E+99,AX598),AO598/V598))</f>
        <v/>
      </c>
      <c r="AS598" s="49">
        <f>IF(AR598="","",AR598*IF(B598="South Korea",IF(ABS(MOD(ABS((X598)),1)-0.5)&lt;1E-9,2*ROUND((X598)/2,0),ROUND((X598),0)),X598))</f>
        <v/>
      </c>
      <c r="AT598" s="51" t="n"/>
      <c r="AU598" s="43" t="inlineStr">
        <is>
          <t>Grounded</t>
        </is>
      </c>
      <c r="AV598" s="52" t="n"/>
      <c r="AW598" s="52" t="n"/>
      <c r="AX598" s="53" t="n"/>
      <c r="AY598" s="54">
        <f>IF(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&lt;=0,"",VLOOKUP(B598,country_opex,7,FALSE)/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)</f>
        <v/>
      </c>
      <c r="AZ598" s="54">
        <f>IF(((W598*pax_cap*IF(B598="South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Korea",korea_mid_revleg,revleg_mid)),0))*VLOOKUP(B598,country_opex,3,FALSE))+Z598+AA598+AB598+AC598+AD598))&lt;=0,"",VLOOKUP(B598,country_opex,7,FALSE)/((W598*pax_cap*IF(B598="South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Korea",korea_mid_revleg,revleg_mid)),0))*VLOOKUP(B598,country_opex,3,FALSE))+Z598+AA598+AB598+AC598+AD598)))</f>
        <v/>
      </c>
      <c r="BA598" s="54">
        <f>IF(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&lt;=0,"",VLOOKUP(B598,country_opex,7,FALSE)/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)</f>
        <v/>
      </c>
      <c r="BB598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C598" s="40" t="inlineStr">
        <is>
          <t>UAE-DEMAND-ANCHORS-2026-06-17.json — tier-based addressable pool derived from sourcing wave anchors (hotel keys × occ × shuttle adoption, marina activity, RTA marine baseline).</t>
        </is>
      </c>
      <c r="BD598" s="43" t="inlineStr">
        <is>
          <t>rn-1347ee2ca13f</t>
        </is>
      </c>
    </row>
    <row r="599">
      <c r="A599" s="38" t="inlineStr">
        <is>
          <t>Gulf Authority Rakta</t>
        </is>
      </c>
      <c r="B599" s="38" t="inlineStr">
        <is>
          <t>United Arab Emirates</t>
        </is>
      </c>
      <c r="C599" s="39" t="inlineStr">
        <is>
          <t>Al Zorah Marina 1 → Ajman Marina</t>
        </is>
      </c>
      <c r="D599" s="38" t="inlineStr">
        <is>
          <t>rakta</t>
        </is>
      </c>
      <c r="E599" s="40" t="inlineStr">
        <is>
          <t>gulf-authority-bahrain-motc, gulf-authority-rakta</t>
        </is>
      </c>
      <c r="F599" s="41" t="n">
        <v>2</v>
      </c>
      <c r="G599" s="42" t="n">
        <v>1.6</v>
      </c>
      <c r="H599" s="35" t="n">
        <v>35</v>
      </c>
      <c r="I599" s="43" t="inlineStr">
        <is>
          <t>T3</t>
        </is>
      </c>
      <c r="J599" s="43" t="inlineStr">
        <is>
          <t>med-low</t>
        </is>
      </c>
      <c r="K599" s="29" t="n">
        <v>1</v>
      </c>
      <c r="L599" s="44">
        <f>60*G599/cruise_kt</f>
        <v/>
      </c>
      <c r="M599" s="44">
        <f>IF(B599="South Korea",G599/korea_charge_range_nm*korea_full_range_charge_min,0)</f>
        <v/>
      </c>
      <c r="N599" s="44">
        <f>IF(B599="South Korea",L599+korea_turn_min+korea_dwell_min+M599,L599+turn_min+dwell_min)</f>
        <v/>
      </c>
      <c r="O599" s="45">
        <f>IF(B599="South Korea",FLOOR(60*korea_service_hr/N599,1),MIN(15,FLOOR(60*service_hr/N599,1)))</f>
        <v/>
      </c>
      <c r="P599" s="45">
        <f>IF(ABS(MOD(ABS((365*mech_uptime*K599)),1)-0.5)&lt;1E-9,2*ROUND((365*mech_uptime*K599)/2,0),ROUND((365*mech_uptime*K599),0))</f>
        <v/>
      </c>
      <c r="Q599" s="46">
        <f>mech_uptime</f>
        <v/>
      </c>
      <c r="R599" s="46">
        <f>IF(AND(B599="South Korea",scenario="MID"),korea_mid_revleg,revleg_sel)</f>
        <v/>
      </c>
      <c r="S599" s="45">
        <f>IF(ABS(MOD(ABS((O599*P599*R599)),1)-0.5)&lt;1E-9,2*ROUND((O599*P599*R599)/2,0),ROUND((O599*P599*R599),0))</f>
        <v/>
      </c>
      <c r="T599" s="46">
        <f>IF(AND(B599="South Korea",scenario="MID"),korea_mid_load,load_sel)</f>
        <v/>
      </c>
      <c r="U599" s="47">
        <f>pax_cap*T599</f>
        <v/>
      </c>
      <c r="V599" s="45">
        <f>U599*S599</f>
        <v/>
      </c>
      <c r="W599" s="48">
        <f>H599*discount</f>
        <v/>
      </c>
      <c r="X599" s="49">
        <f>W599*V599</f>
        <v/>
      </c>
      <c r="Y599" s="49">
        <f>(battery/range_nm)*G599*S599*VLOOKUP(B599,country_opex,3,FALSE)</f>
        <v/>
      </c>
      <c r="Z599" s="49">
        <f>VLOOKUP(B599,country_opex,2,FALSE)*crew_factor</f>
        <v/>
      </c>
      <c r="AA599" s="49">
        <f>VLOOKUP(B599,country_opex,5,FALSE)</f>
        <v/>
      </c>
      <c r="AB599" s="49">
        <f>maint</f>
        <v/>
      </c>
      <c r="AC599" s="49">
        <f>VLOOKUP(B599,country_opex,7,FALSE)*ins_pct</f>
        <v/>
      </c>
      <c r="AD599" s="49">
        <f>charge_berth</f>
        <v/>
      </c>
      <c r="AE599" s="49">
        <f>Y599+Z599+AA599+AB599+AC599+AD599</f>
        <v/>
      </c>
      <c r="AF599" s="49">
        <f>VLOOKUP(B599,country_opex,7,FALSE)/dep_years</f>
        <v/>
      </c>
      <c r="AG599" s="49">
        <f>X599-AE599</f>
        <v/>
      </c>
      <c r="AH599" s="46">
        <f>IF(X599=0,"",AG599/X599)</f>
        <v/>
      </c>
      <c r="AI599" s="47">
        <f>IF(AG599&lt;=0,"",VLOOKUP(B599,country_opex,7,FALSE)/AG599)</f>
        <v/>
      </c>
      <c r="AJ599" s="44">
        <f>((G599*S599/diesel_nmpg)*diesel_co2pg-(battery/range_nm)*G599*S599*VLOOKUP(B599,country_opex,4,FALSE))/1000</f>
        <v/>
      </c>
      <c r="AK599" s="42" t="n">
        <v>5217</v>
      </c>
      <c r="AL599" s="43" t="inlineStr">
        <is>
          <t>T3</t>
        </is>
      </c>
      <c r="AM599" s="43" t="inlineStr">
        <is>
          <t>med-low</t>
        </is>
      </c>
      <c r="AN599" s="50" t="n">
        <v>0.1</v>
      </c>
      <c r="AO599" s="45">
        <f>IF(AK599="","",AK599*AN599)</f>
        <v/>
      </c>
      <c r="AP599" s="45">
        <f>IF(OR(AK599="",V599=0),"",MIN(IF(AX599="",9.9E+99,AX599),FLOOR(AO599/V599,1)))</f>
        <v/>
      </c>
      <c r="AQ599" s="49">
        <f>IF(AP599="","",AP599*IF(ABS(MOD(ABS((X599)),1)-0.5)&lt;1E-9,2*ROUND((X599)/2,0),ROUND((X599),0)))</f>
        <v/>
      </c>
      <c r="AR599" s="47">
        <f>IF(OR(AK599="",V599=0),"",MIN(IF(AX599="",9.9E+99,AX599),AO599/V599))</f>
        <v/>
      </c>
      <c r="AS599" s="49">
        <f>IF(AR599="","",AR599*IF(B599="South Korea",IF(ABS(MOD(ABS((X599)),1)-0.5)&lt;1E-9,2*ROUND((X599)/2,0),ROUND((X599),0)),X599))</f>
        <v/>
      </c>
      <c r="AT599" s="51" t="n"/>
      <c r="AU599" s="43" t="inlineStr">
        <is>
          <t>Grounded</t>
        </is>
      </c>
      <c r="AV599" s="52" t="n"/>
      <c r="AW599" s="52" t="n"/>
      <c r="AX599" s="53" t="n"/>
      <c r="AY599" s="54">
        <f>IF(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&lt;=0,"",VLOOKUP(B599,country_opex,7,FALSE)/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)</f>
        <v/>
      </c>
      <c r="AZ599" s="54">
        <f>IF(((W599*pax_cap*IF(B599="South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Korea",korea_mid_revleg,revleg_mid)),0))*VLOOKUP(B599,country_opex,3,FALSE))+Z599+AA599+AB599+AC599+AD599))&lt;=0,"",VLOOKUP(B599,country_opex,7,FALSE)/((W599*pax_cap*IF(B599="South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Korea",korea_mid_revleg,revleg_mid)),0))*VLOOKUP(B599,country_opex,3,FALSE))+Z599+AA599+AB599+AC599+AD599)))</f>
        <v/>
      </c>
      <c r="BA599" s="54">
        <f>IF(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&lt;=0,"",VLOOKUP(B599,country_opex,7,FALSE)/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)</f>
        <v/>
      </c>
      <c r="BB599" s="40" t="n"/>
      <c r="BC599" s="40" t="n"/>
      <c r="BD599" s="43" t="inlineStr">
        <is>
          <t>rn-11d3a0b9153a</t>
        </is>
      </c>
    </row>
    <row r="600">
      <c r="A600" s="38" t="inlineStr">
        <is>
          <t>UAE (Careem)</t>
        </is>
      </c>
      <c r="B600" s="38" t="inlineStr">
        <is>
          <t>United Arab Emirates</t>
        </is>
      </c>
      <c r="C600" s="39" t="inlineStr">
        <is>
          <t>Marina Mall / Breakwater Marina → Lulu Island Jetty</t>
        </is>
      </c>
      <c r="D600" s="38" t="inlineStr">
        <is>
          <t>careem</t>
        </is>
      </c>
      <c r="E600" s="40" t="inlineStr">
        <is>
          <t>bolt-uae, uae-careem, uae-luxury, uae-noon, uae-voi, yango-uae</t>
        </is>
      </c>
      <c r="F600" s="41" t="n">
        <v>6</v>
      </c>
      <c r="G600" s="42" t="n">
        <v>1.7</v>
      </c>
      <c r="H600" s="35" t="n">
        <v>45</v>
      </c>
      <c r="I600" s="43" t="inlineStr">
        <is>
          <t>T4</t>
        </is>
      </c>
      <c r="J600" s="43" t="inlineStr">
        <is>
          <t>low</t>
        </is>
      </c>
      <c r="K600" s="29" t="n">
        <v>1</v>
      </c>
      <c r="L600" s="44">
        <f>60*G600/cruise_kt</f>
        <v/>
      </c>
      <c r="M600" s="44">
        <f>IF(B600="South Korea",G600/korea_charge_range_nm*korea_full_range_charge_min,0)</f>
        <v/>
      </c>
      <c r="N600" s="44">
        <f>IF(B600="South Korea",L600+korea_turn_min+korea_dwell_min+M600,L600+turn_min+dwell_min)</f>
        <v/>
      </c>
      <c r="O600" s="45">
        <f>IF(B600="South Korea",FLOOR(60*korea_service_hr/N600,1),MIN(15,FLOOR(60*service_hr/N600,1)))</f>
        <v/>
      </c>
      <c r="P600" s="45">
        <f>IF(ABS(MOD(ABS((365*mech_uptime*K600)),1)-0.5)&lt;1E-9,2*ROUND((365*mech_uptime*K600)/2,0),ROUND((365*mech_uptime*K600),0))</f>
        <v/>
      </c>
      <c r="Q600" s="46">
        <f>mech_uptime</f>
        <v/>
      </c>
      <c r="R600" s="46">
        <f>IF(AND(B600="South Korea",scenario="MID"),korea_mid_revleg,revleg_sel)</f>
        <v/>
      </c>
      <c r="S600" s="45">
        <f>IF(ABS(MOD(ABS((O600*P600*R600)),1)-0.5)&lt;1E-9,2*ROUND((O600*P600*R600)/2,0),ROUND((O600*P600*R600),0))</f>
        <v/>
      </c>
      <c r="T600" s="46">
        <f>IF(AND(B600="South Korea",scenario="MID"),korea_mid_load,load_sel)</f>
        <v/>
      </c>
      <c r="U600" s="47">
        <f>pax_cap*T600</f>
        <v/>
      </c>
      <c r="V600" s="45">
        <f>U600*S600</f>
        <v/>
      </c>
      <c r="W600" s="48">
        <f>H600*discount</f>
        <v/>
      </c>
      <c r="X600" s="49">
        <f>W600*V600</f>
        <v/>
      </c>
      <c r="Y600" s="49">
        <f>(battery/range_nm)*G600*S600*VLOOKUP(B600,country_opex,3,FALSE)</f>
        <v/>
      </c>
      <c r="Z600" s="49">
        <f>VLOOKUP(B600,country_opex,2,FALSE)*crew_factor</f>
        <v/>
      </c>
      <c r="AA600" s="49">
        <f>VLOOKUP(B600,country_opex,5,FALSE)</f>
        <v/>
      </c>
      <c r="AB600" s="49">
        <f>maint</f>
        <v/>
      </c>
      <c r="AC600" s="49">
        <f>VLOOKUP(B600,country_opex,7,FALSE)*ins_pct</f>
        <v/>
      </c>
      <c r="AD600" s="49">
        <f>charge_berth</f>
        <v/>
      </c>
      <c r="AE600" s="49">
        <f>Y600+Z600+AA600+AB600+AC600+AD600</f>
        <v/>
      </c>
      <c r="AF600" s="49">
        <f>VLOOKUP(B600,country_opex,7,FALSE)/dep_years</f>
        <v/>
      </c>
      <c r="AG600" s="49">
        <f>X600-AE600</f>
        <v/>
      </c>
      <c r="AH600" s="46">
        <f>IF(X600=0,"",AG600/X600)</f>
        <v/>
      </c>
      <c r="AI600" s="47">
        <f>IF(AG600&lt;=0,"",VLOOKUP(B600,country_opex,7,FALSE)/AG600)</f>
        <v/>
      </c>
      <c r="AJ600" s="44">
        <f>((G600*S600/diesel_nmpg)*diesel_co2pg-(battery/range_nm)*G600*S600*VLOOKUP(B600,country_opex,4,FALSE))/1000</f>
        <v/>
      </c>
      <c r="AK600" s="42" t="n">
        <v>20000</v>
      </c>
      <c r="AL600" s="43" t="inlineStr">
        <is>
          <t>T5</t>
        </is>
      </c>
      <c r="AM600" s="43" t="inlineStr">
        <is>
          <t>low</t>
        </is>
      </c>
      <c r="AN600" s="50" t="n">
        <v>0.1</v>
      </c>
      <c r="AO600" s="45">
        <f>IF(AK600="","",AK600*AN600)</f>
        <v/>
      </c>
      <c r="AP600" s="45">
        <f>IF(OR(AK600="",V600=0),"",MIN(IF(AX600="",9.9E+99,AX600),FLOOR(AO600/V600,1)))</f>
        <v/>
      </c>
      <c r="AQ600" s="49">
        <f>IF(AP600="","",AP600*IF(ABS(MOD(ABS((X600)),1)-0.5)&lt;1E-9,2*ROUND((X600)/2,0),ROUND((X600),0)))</f>
        <v/>
      </c>
      <c r="AR600" s="47">
        <f>IF(OR(AK600="",V600=0),"",MIN(IF(AX600="",9.9E+99,AX600),AO600/V600))</f>
        <v/>
      </c>
      <c r="AS600" s="49">
        <f>IF(AR600="","",AR600*IF(B600="South Korea",IF(ABS(MOD(ABS((X600)),1)-0.5)&lt;1E-9,2*ROUND((X600)/2,0),ROUND((X600),0)),X600))</f>
        <v/>
      </c>
      <c r="AT600" s="51" t="n"/>
      <c r="AU600" s="43" t="inlineStr">
        <is>
          <t>Grounded</t>
        </is>
      </c>
      <c r="AV600" s="52" t="n"/>
      <c r="AW600" s="52" t="n"/>
      <c r="AX600" s="53" t="n"/>
      <c r="AY600" s="54">
        <f>IF(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&lt;=0,"",VLOOKUP(B600,country_opex,7,FALSE)/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)</f>
        <v/>
      </c>
      <c r="AZ600" s="54">
        <f>IF(((W600*pax_cap*IF(B600="South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Korea",korea_mid_revleg,revleg_mid)),0))*VLOOKUP(B600,country_opex,3,FALSE))+Z600+AA600+AB600+AC600+AD600))&lt;=0,"",VLOOKUP(B600,country_opex,7,FALSE)/((W600*pax_cap*IF(B600="South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Korea",korea_mid_revleg,revleg_mid)),0))*VLOOKUP(B600,country_opex,3,FALSE))+Z600+AA600+AB600+AC600+AD600)))</f>
        <v/>
      </c>
      <c r="BA600" s="54">
        <f>IF(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&lt;=0,"",VLOOKUP(B600,country_opex,7,FALSE)/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)</f>
        <v/>
      </c>
      <c r="BB600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C600" s="40" t="inlineStr">
        <is>
          <t>Lulu boat-only (R3-EXCEPTION) but undeveloped/limited-access -&gt; small day-visit pool.</t>
        </is>
      </c>
      <c r="BD600" s="43" t="inlineStr">
        <is>
          <t>rn-4d0113ef1fd5</t>
        </is>
      </c>
    </row>
    <row r="601">
      <c r="A601" s="38" t="inlineStr">
        <is>
          <t>Gulf Authority Rakta</t>
        </is>
      </c>
      <c r="B601" s="38" t="inlineStr">
        <is>
          <t>United Arab Emirates</t>
        </is>
      </c>
      <c r="C601" s="39" t="inlineStr">
        <is>
          <t>Raksa → Ras Al Khaimah Harbour</t>
        </is>
      </c>
      <c r="D601" s="38" t="inlineStr">
        <is>
          <t>rakta</t>
        </is>
      </c>
      <c r="E601" s="40" t="inlineStr">
        <is>
          <t>gulf-authority-bahrain-motc, gulf-authority-rakta</t>
        </is>
      </c>
      <c r="F601" s="41" t="n">
        <v>2</v>
      </c>
      <c r="G601" s="42" t="n">
        <v>1.9</v>
      </c>
      <c r="H601" s="35" t="n">
        <v>35</v>
      </c>
      <c r="I601" s="43" t="inlineStr">
        <is>
          <t>T3</t>
        </is>
      </c>
      <c r="J601" s="43" t="inlineStr">
        <is>
          <t>med-low</t>
        </is>
      </c>
      <c r="K601" s="29" t="n">
        <v>1</v>
      </c>
      <c r="L601" s="44">
        <f>60*G601/cruise_kt</f>
        <v/>
      </c>
      <c r="M601" s="44">
        <f>IF(B601="South Korea",G601/korea_charge_range_nm*korea_full_range_charge_min,0)</f>
        <v/>
      </c>
      <c r="N601" s="44">
        <f>IF(B601="South Korea",L601+korea_turn_min+korea_dwell_min+M601,L601+turn_min+dwell_min)</f>
        <v/>
      </c>
      <c r="O601" s="45">
        <f>IF(B601="South Korea",FLOOR(60*korea_service_hr/N601,1),MIN(15,FLOOR(60*service_hr/N601,1)))</f>
        <v/>
      </c>
      <c r="P601" s="45">
        <f>IF(ABS(MOD(ABS((365*mech_uptime*K601)),1)-0.5)&lt;1E-9,2*ROUND((365*mech_uptime*K601)/2,0),ROUND((365*mech_uptime*K601),0))</f>
        <v/>
      </c>
      <c r="Q601" s="46">
        <f>mech_uptime</f>
        <v/>
      </c>
      <c r="R601" s="46">
        <f>IF(AND(B601="South Korea",scenario="MID"),korea_mid_revleg,revleg_sel)</f>
        <v/>
      </c>
      <c r="S601" s="45">
        <f>IF(ABS(MOD(ABS((O601*P601*R601)),1)-0.5)&lt;1E-9,2*ROUND((O601*P601*R601)/2,0),ROUND((O601*P601*R601),0))</f>
        <v/>
      </c>
      <c r="T601" s="46">
        <f>IF(AND(B601="South Korea",scenario="MID"),korea_mid_load,load_sel)</f>
        <v/>
      </c>
      <c r="U601" s="47">
        <f>pax_cap*T601</f>
        <v/>
      </c>
      <c r="V601" s="45">
        <f>U601*S601</f>
        <v/>
      </c>
      <c r="W601" s="48">
        <f>H601*discount</f>
        <v/>
      </c>
      <c r="X601" s="49">
        <f>W601*V601</f>
        <v/>
      </c>
      <c r="Y601" s="49">
        <f>(battery/range_nm)*G601*S601*VLOOKUP(B601,country_opex,3,FALSE)</f>
        <v/>
      </c>
      <c r="Z601" s="49">
        <f>VLOOKUP(B601,country_opex,2,FALSE)*crew_factor</f>
        <v/>
      </c>
      <c r="AA601" s="49">
        <f>VLOOKUP(B601,country_opex,5,FALSE)</f>
        <v/>
      </c>
      <c r="AB601" s="49">
        <f>maint</f>
        <v/>
      </c>
      <c r="AC601" s="49">
        <f>VLOOKUP(B601,country_opex,7,FALSE)*ins_pct</f>
        <v/>
      </c>
      <c r="AD601" s="49">
        <f>charge_berth</f>
        <v/>
      </c>
      <c r="AE601" s="49">
        <f>Y601+Z601+AA601+AB601+AC601+AD601</f>
        <v/>
      </c>
      <c r="AF601" s="49">
        <f>VLOOKUP(B601,country_opex,7,FALSE)/dep_years</f>
        <v/>
      </c>
      <c r="AG601" s="49">
        <f>X601-AE601</f>
        <v/>
      </c>
      <c r="AH601" s="46">
        <f>IF(X601=0,"",AG601/X601)</f>
        <v/>
      </c>
      <c r="AI601" s="47">
        <f>IF(AG601&lt;=0,"",VLOOKUP(B601,country_opex,7,FALSE)/AG601)</f>
        <v/>
      </c>
      <c r="AJ601" s="44">
        <f>((G601*S601/diesel_nmpg)*diesel_co2pg-(battery/range_nm)*G601*S601*VLOOKUP(B601,country_opex,4,FALSE))/1000</f>
        <v/>
      </c>
      <c r="AK601" s="42" t="n">
        <v>5217</v>
      </c>
      <c r="AL601" s="43" t="inlineStr">
        <is>
          <t>T3</t>
        </is>
      </c>
      <c r="AM601" s="43" t="inlineStr">
        <is>
          <t>med-low</t>
        </is>
      </c>
      <c r="AN601" s="50" t="n">
        <v>0.1</v>
      </c>
      <c r="AO601" s="45">
        <f>IF(AK601="","",AK601*AN601)</f>
        <v/>
      </c>
      <c r="AP601" s="45">
        <f>IF(OR(AK601="",V601=0),"",MIN(IF(AX601="",9.9E+99,AX601),FLOOR(AO601/V601,1)))</f>
        <v/>
      </c>
      <c r="AQ601" s="49">
        <f>IF(AP601="","",AP601*IF(ABS(MOD(ABS((X601)),1)-0.5)&lt;1E-9,2*ROUND((X601)/2,0),ROUND((X601),0)))</f>
        <v/>
      </c>
      <c r="AR601" s="47">
        <f>IF(OR(AK601="",V601=0),"",MIN(IF(AX601="",9.9E+99,AX601),AO601/V601))</f>
        <v/>
      </c>
      <c r="AS601" s="49">
        <f>IF(AR601="","",AR601*IF(B601="South Korea",IF(ABS(MOD(ABS((X601)),1)-0.5)&lt;1E-9,2*ROUND((X601)/2,0),ROUND((X601),0)),X601))</f>
        <v/>
      </c>
      <c r="AT601" s="51" t="n"/>
      <c r="AU601" s="43" t="inlineStr">
        <is>
          <t>Grounded</t>
        </is>
      </c>
      <c r="AV601" s="52" t="n"/>
      <c r="AW601" s="52" t="n"/>
      <c r="AX601" s="53" t="n"/>
      <c r="AY601" s="54">
        <f>IF(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&lt;=0,"",VLOOKUP(B601,country_opex,7,FALSE)/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)</f>
        <v/>
      </c>
      <c r="AZ601" s="54">
        <f>IF(((W601*pax_cap*IF(B601="South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Korea",korea_mid_revleg,revleg_mid)),0))*VLOOKUP(B601,country_opex,3,FALSE))+Z601+AA601+AB601+AC601+AD601))&lt;=0,"",VLOOKUP(B601,country_opex,7,FALSE)/((W601*pax_cap*IF(B601="South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Korea",korea_mid_revleg,revleg_mid)),0))*VLOOKUP(B601,country_opex,3,FALSE))+Z601+AA601+AB601+AC601+AD601)))</f>
        <v/>
      </c>
      <c r="BA601" s="54">
        <f>IF(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&lt;=0,"",VLOOKUP(B601,country_opex,7,FALSE)/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)</f>
        <v/>
      </c>
      <c r="BB601" s="40" t="n"/>
      <c r="BC601" s="40" t="n"/>
      <c r="BD601" s="43" t="inlineStr">
        <is>
          <t>rn-45de8febe019</t>
        </is>
      </c>
    </row>
    <row r="602">
      <c r="A602" s="38" t="inlineStr">
        <is>
          <t>UAE (Careem)</t>
        </is>
      </c>
      <c r="B602" s="38" t="inlineStr">
        <is>
          <t>United Arab Emirates</t>
        </is>
      </c>
      <c r="C602" s="39" t="inlineStr">
        <is>
          <t>Dubai Harbour Marina → Palm Jumeirah Marina West</t>
        </is>
      </c>
      <c r="D602" s="38" t="inlineStr">
        <is>
          <t>careem</t>
        </is>
      </c>
      <c r="E602" s="40" t="inlineStr">
        <is>
          <t>bolt-uae, uae-careem, uae-luxury, uae-noon, uae-voi, yango-uae</t>
        </is>
      </c>
      <c r="F602" s="41" t="n">
        <v>6</v>
      </c>
      <c r="G602" s="42" t="n">
        <v>2.1</v>
      </c>
      <c r="H602" s="35" t="n">
        <v>48</v>
      </c>
      <c r="I602" s="43" t="inlineStr">
        <is>
          <t>T1</t>
        </is>
      </c>
      <c r="J602" s="43" t="inlineStr">
        <is>
          <t>high</t>
        </is>
      </c>
      <c r="K602" s="29" t="n">
        <v>1</v>
      </c>
      <c r="L602" s="44">
        <f>60*G602/cruise_kt</f>
        <v/>
      </c>
      <c r="M602" s="44">
        <f>IF(B602="South Korea",G602/korea_charge_range_nm*korea_full_range_charge_min,0)</f>
        <v/>
      </c>
      <c r="N602" s="44">
        <f>IF(B602="South Korea",L602+korea_turn_min+korea_dwell_min+M602,L602+turn_min+dwell_min)</f>
        <v/>
      </c>
      <c r="O602" s="45">
        <f>IF(B602="South Korea",FLOOR(60*korea_service_hr/N602,1),MIN(15,FLOOR(60*service_hr/N602,1)))</f>
        <v/>
      </c>
      <c r="P602" s="45">
        <f>IF(ABS(MOD(ABS((365*mech_uptime*K602)),1)-0.5)&lt;1E-9,2*ROUND((365*mech_uptime*K602)/2,0),ROUND((365*mech_uptime*K602),0))</f>
        <v/>
      </c>
      <c r="Q602" s="46">
        <f>mech_uptime</f>
        <v/>
      </c>
      <c r="R602" s="46">
        <f>IF(AND(B602="South Korea",scenario="MID"),korea_mid_revleg,revleg_sel)</f>
        <v/>
      </c>
      <c r="S602" s="45">
        <f>IF(ABS(MOD(ABS((O602*P602*R602)),1)-0.5)&lt;1E-9,2*ROUND((O602*P602*R602)/2,0),ROUND((O602*P602*R602),0))</f>
        <v/>
      </c>
      <c r="T602" s="46">
        <f>IF(AND(B602="South Korea",scenario="MID"),korea_mid_load,load_sel)</f>
        <v/>
      </c>
      <c r="U602" s="47">
        <f>pax_cap*T602</f>
        <v/>
      </c>
      <c r="V602" s="45">
        <f>U602*S602</f>
        <v/>
      </c>
      <c r="W602" s="48">
        <f>H602*discount</f>
        <v/>
      </c>
      <c r="X602" s="49">
        <f>W602*V602</f>
        <v/>
      </c>
      <c r="Y602" s="49">
        <f>(battery/range_nm)*G602*S602*VLOOKUP(B602,country_opex,3,FALSE)</f>
        <v/>
      </c>
      <c r="Z602" s="49">
        <f>VLOOKUP(B602,country_opex,2,FALSE)*crew_factor</f>
        <v/>
      </c>
      <c r="AA602" s="49">
        <f>VLOOKUP(B602,country_opex,5,FALSE)</f>
        <v/>
      </c>
      <c r="AB602" s="49">
        <f>maint</f>
        <v/>
      </c>
      <c r="AC602" s="49">
        <f>VLOOKUP(B602,country_opex,7,FALSE)*ins_pct</f>
        <v/>
      </c>
      <c r="AD602" s="49">
        <f>charge_berth</f>
        <v/>
      </c>
      <c r="AE602" s="49">
        <f>Y602+Z602+AA602+AB602+AC602+AD602</f>
        <v/>
      </c>
      <c r="AF602" s="49">
        <f>VLOOKUP(B602,country_opex,7,FALSE)/dep_years</f>
        <v/>
      </c>
      <c r="AG602" s="49">
        <f>X602-AE602</f>
        <v/>
      </c>
      <c r="AH602" s="46">
        <f>IF(X602=0,"",AG602/X602)</f>
        <v/>
      </c>
      <c r="AI602" s="47">
        <f>IF(AG602&lt;=0,"",VLOOKUP(B602,country_opex,7,FALSE)/AG602)</f>
        <v/>
      </c>
      <c r="AJ602" s="44">
        <f>((G602*S602/diesel_nmpg)*diesel_co2pg-(battery/range_nm)*G602*S602*VLOOKUP(B602,country_opex,4,FALSE))/1000</f>
        <v/>
      </c>
      <c r="AK602" s="42" t="n">
        <v>35000</v>
      </c>
      <c r="AL602" s="43" t="inlineStr">
        <is>
          <t>T3</t>
        </is>
      </c>
      <c r="AM602" s="43" t="inlineStr">
        <is>
          <t>low</t>
        </is>
      </c>
      <c r="AN602" s="50" t="n">
        <v>0.1</v>
      </c>
      <c r="AO602" s="45">
        <f>IF(AK602="","",AK602*AN602)</f>
        <v/>
      </c>
      <c r="AP602" s="45">
        <f>IF(OR(AK602="",V602=0),"",MIN(IF(AX602="",9.9E+99,AX602),FLOOR(AO602/V602,1)))</f>
        <v/>
      </c>
      <c r="AQ602" s="49">
        <f>IF(AP602="","",AP602*IF(ABS(MOD(ABS((X602)),1)-0.5)&lt;1E-9,2*ROUND((X602)/2,0),ROUND((X602),0)))</f>
        <v/>
      </c>
      <c r="AR602" s="47">
        <f>IF(OR(AK602="",V602=0),"",MIN(IF(AX602="",9.9E+99,AX602),AO602/V602))</f>
        <v/>
      </c>
      <c r="AS602" s="49">
        <f>IF(AR602="","",AR602*IF(B602="South Korea",IF(ABS(MOD(ABS((X602)),1)-0.5)&lt;1E-9,2*ROUND((X602)/2,0),ROUND((X602),0)),X602))</f>
        <v/>
      </c>
      <c r="AT602" s="51" t="n"/>
      <c r="AU602" s="43" t="inlineStr">
        <is>
          <t>Grounded</t>
        </is>
      </c>
      <c r="AV602" s="52" t="n"/>
      <c r="AW602" s="52" t="n"/>
      <c r="AX602" s="53" t="n"/>
      <c r="AY602" s="54">
        <f>IF(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&lt;=0,"",VLOOKUP(B602,country_opex,7,FALSE)/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)</f>
        <v/>
      </c>
      <c r="AZ602" s="54">
        <f>IF(((W602*pax_cap*IF(B602="South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Korea",korea_mid_revleg,revleg_mid)),0))*VLOOKUP(B602,country_opex,3,FALSE))+Z602+AA602+AB602+AC602+AD602))&lt;=0,"",VLOOKUP(B602,country_opex,7,FALSE)/((W602*pax_cap*IF(B602="South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Korea",korea_mid_revleg,revleg_mid)),0))*VLOOKUP(B602,country_opex,3,FALSE))+Z602+AA602+AB602+AC602+AD602)))</f>
        <v/>
      </c>
      <c r="BA602" s="54">
        <f>IF(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&lt;=0,"",VLOOKUP(B602,country_opex,7,FALSE)/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)</f>
        <v/>
      </c>
      <c r="BB602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C602" s="40" t="inlineStr">
        <is>
          <t>UAE-DEMAND-ANCHORS-2026-06-17.json — tier-based addressable pool derived from sourcing wave anchors (hotel keys × occ × shuttle adoption, marina activity, RTA marine baseline).</t>
        </is>
      </c>
      <c r="BD602" s="43" t="inlineStr">
        <is>
          <t>rn-42aa1791bb60</t>
        </is>
      </c>
    </row>
    <row r="603">
      <c r="A603" s="38" t="inlineStr">
        <is>
          <t>Gulf Authority Rakta</t>
        </is>
      </c>
      <c r="B603" s="38" t="inlineStr">
        <is>
          <t>United Arab Emirates</t>
        </is>
      </c>
      <c r="C603" s="39" t="inlineStr">
        <is>
          <t>Sha'am Fishing Boat Harbour → Sha'am coastal staging point</t>
        </is>
      </c>
      <c r="D603" s="38" t="inlineStr">
        <is>
          <t>rakta</t>
        </is>
      </c>
      <c r="E603" s="40" t="inlineStr">
        <is>
          <t>gulf-authority-bahrain-motc, gulf-authority-rakta</t>
        </is>
      </c>
      <c r="F603" s="41" t="n">
        <v>2</v>
      </c>
      <c r="G603" s="42" t="n">
        <v>2.1</v>
      </c>
      <c r="H603" s="35" t="n">
        <v>35</v>
      </c>
      <c r="I603" s="43" t="inlineStr">
        <is>
          <t>T3</t>
        </is>
      </c>
      <c r="J603" s="43" t="inlineStr">
        <is>
          <t>med-low</t>
        </is>
      </c>
      <c r="K603" s="29" t="n">
        <v>1</v>
      </c>
      <c r="L603" s="44">
        <f>60*G603/cruise_kt</f>
        <v/>
      </c>
      <c r="M603" s="44">
        <f>IF(B603="South Korea",G603/korea_charge_range_nm*korea_full_range_charge_min,0)</f>
        <v/>
      </c>
      <c r="N603" s="44">
        <f>IF(B603="South Korea",L603+korea_turn_min+korea_dwell_min+M603,L603+turn_min+dwell_min)</f>
        <v/>
      </c>
      <c r="O603" s="45">
        <f>IF(B603="South Korea",FLOOR(60*korea_service_hr/N603,1),MIN(15,FLOOR(60*service_hr/N603,1)))</f>
        <v/>
      </c>
      <c r="P603" s="45">
        <f>IF(ABS(MOD(ABS((365*mech_uptime*K603)),1)-0.5)&lt;1E-9,2*ROUND((365*mech_uptime*K603)/2,0),ROUND((365*mech_uptime*K603),0))</f>
        <v/>
      </c>
      <c r="Q603" s="46">
        <f>mech_uptime</f>
        <v/>
      </c>
      <c r="R603" s="46">
        <f>IF(AND(B603="South Korea",scenario="MID"),korea_mid_revleg,revleg_sel)</f>
        <v/>
      </c>
      <c r="S603" s="45">
        <f>IF(ABS(MOD(ABS((O603*P603*R603)),1)-0.5)&lt;1E-9,2*ROUND((O603*P603*R603)/2,0),ROUND((O603*P603*R603),0))</f>
        <v/>
      </c>
      <c r="T603" s="46">
        <f>IF(AND(B603="South Korea",scenario="MID"),korea_mid_load,load_sel)</f>
        <v/>
      </c>
      <c r="U603" s="47">
        <f>pax_cap*T603</f>
        <v/>
      </c>
      <c r="V603" s="45">
        <f>U603*S603</f>
        <v/>
      </c>
      <c r="W603" s="48">
        <f>H603*discount</f>
        <v/>
      </c>
      <c r="X603" s="49">
        <f>W603*V603</f>
        <v/>
      </c>
      <c r="Y603" s="49">
        <f>(battery/range_nm)*G603*S603*VLOOKUP(B603,country_opex,3,FALSE)</f>
        <v/>
      </c>
      <c r="Z603" s="49">
        <f>VLOOKUP(B603,country_opex,2,FALSE)*crew_factor</f>
        <v/>
      </c>
      <c r="AA603" s="49">
        <f>VLOOKUP(B603,country_opex,5,FALSE)</f>
        <v/>
      </c>
      <c r="AB603" s="49">
        <f>maint</f>
        <v/>
      </c>
      <c r="AC603" s="49">
        <f>VLOOKUP(B603,country_opex,7,FALSE)*ins_pct</f>
        <v/>
      </c>
      <c r="AD603" s="49">
        <f>charge_berth</f>
        <v/>
      </c>
      <c r="AE603" s="49">
        <f>Y603+Z603+AA603+AB603+AC603+AD603</f>
        <v/>
      </c>
      <c r="AF603" s="49">
        <f>VLOOKUP(B603,country_opex,7,FALSE)/dep_years</f>
        <v/>
      </c>
      <c r="AG603" s="49">
        <f>X603-AE603</f>
        <v/>
      </c>
      <c r="AH603" s="46">
        <f>IF(X603=0,"",AG603/X603)</f>
        <v/>
      </c>
      <c r="AI603" s="47">
        <f>IF(AG603&lt;=0,"",VLOOKUP(B603,country_opex,7,FALSE)/AG603)</f>
        <v/>
      </c>
      <c r="AJ603" s="44">
        <f>((G603*S603/diesel_nmpg)*diesel_co2pg-(battery/range_nm)*G603*S603*VLOOKUP(B603,country_opex,4,FALSE))/1000</f>
        <v/>
      </c>
      <c r="AK603" s="42" t="n">
        <v>5217</v>
      </c>
      <c r="AL603" s="43" t="inlineStr">
        <is>
          <t>T3</t>
        </is>
      </c>
      <c r="AM603" s="43" t="inlineStr">
        <is>
          <t>med-low</t>
        </is>
      </c>
      <c r="AN603" s="50" t="n">
        <v>0.1</v>
      </c>
      <c r="AO603" s="45">
        <f>IF(AK603="","",AK603*AN603)</f>
        <v/>
      </c>
      <c r="AP603" s="45">
        <f>IF(OR(AK603="",V603=0),"",MIN(IF(AX603="",9.9E+99,AX603),FLOOR(AO603/V603,1)))</f>
        <v/>
      </c>
      <c r="AQ603" s="49">
        <f>IF(AP603="","",AP603*IF(ABS(MOD(ABS((X603)),1)-0.5)&lt;1E-9,2*ROUND((X603)/2,0),ROUND((X603),0)))</f>
        <v/>
      </c>
      <c r="AR603" s="47">
        <f>IF(OR(AK603="",V603=0),"",MIN(IF(AX603="",9.9E+99,AX603),AO603/V603))</f>
        <v/>
      </c>
      <c r="AS603" s="49">
        <f>IF(AR603="","",AR603*IF(B603="South Korea",IF(ABS(MOD(ABS((X603)),1)-0.5)&lt;1E-9,2*ROUND((X603)/2,0),ROUND((X603),0)),X603))</f>
        <v/>
      </c>
      <c r="AT603" s="51" t="n"/>
      <c r="AU603" s="43" t="inlineStr">
        <is>
          <t>Grounded</t>
        </is>
      </c>
      <c r="AV603" s="52" t="n"/>
      <c r="AW603" s="52" t="n"/>
      <c r="AX603" s="53" t="n"/>
      <c r="AY603" s="54">
        <f>IF(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&lt;=0,"",VLOOKUP(B603,country_opex,7,FALSE)/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)</f>
        <v/>
      </c>
      <c r="AZ603" s="54">
        <f>IF(((W603*pax_cap*IF(B603="South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Korea",korea_mid_revleg,revleg_mid)),0))*VLOOKUP(B603,country_opex,3,FALSE))+Z603+AA603+AB603+AC603+AD603))&lt;=0,"",VLOOKUP(B603,country_opex,7,FALSE)/((W603*pax_cap*IF(B603="South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Korea",korea_mid_revleg,revleg_mid)),0))*VLOOKUP(B603,country_opex,3,FALSE))+Z603+AA603+AB603+AC603+AD603)))</f>
        <v/>
      </c>
      <c r="BA603" s="54">
        <f>IF(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&lt;=0,"",VLOOKUP(B603,country_opex,7,FALSE)/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)</f>
        <v/>
      </c>
      <c r="BB603" s="40" t="n"/>
      <c r="BC603" s="40" t="n"/>
      <c r="BD603" s="43" t="inlineStr">
        <is>
          <t>rn-610b1a3bb4db</t>
        </is>
      </c>
    </row>
    <row r="604">
      <c r="A604" s="38" t="inlineStr">
        <is>
          <t>UAE (Careem)</t>
        </is>
      </c>
      <c r="B604" s="38" t="inlineStr">
        <is>
          <t>United Arab Emirates</t>
        </is>
      </c>
      <c r="C604" s="39" t="inlineStr">
        <is>
          <t>Al Bateen Marina → Emirates Palace Marina</t>
        </is>
      </c>
      <c r="D604" s="38" t="inlineStr">
        <is>
          <t>careem</t>
        </is>
      </c>
      <c r="E604" s="40" t="inlineStr">
        <is>
          <t>bolt-uae, uae-careem, uae-luxury, uae-noon, uae-voi, yango-uae</t>
        </is>
      </c>
      <c r="F604" s="41" t="n">
        <v>6</v>
      </c>
      <c r="G604" s="42" t="n">
        <v>2.2</v>
      </c>
      <c r="H604" s="35" t="n">
        <v>150</v>
      </c>
      <c r="I604" s="43" t="inlineStr">
        <is>
          <t>T5</t>
        </is>
      </c>
      <c r="J604" s="43" t="inlineStr">
        <is>
          <t>low</t>
        </is>
      </c>
      <c r="K604" s="29" t="n">
        <v>1</v>
      </c>
      <c r="L604" s="44">
        <f>60*G604/cruise_kt</f>
        <v/>
      </c>
      <c r="M604" s="44">
        <f>IF(B604="South Korea",G604/korea_charge_range_nm*korea_full_range_charge_min,0)</f>
        <v/>
      </c>
      <c r="N604" s="44">
        <f>IF(B604="South Korea",L604+korea_turn_min+korea_dwell_min+M604,L604+turn_min+dwell_min)</f>
        <v/>
      </c>
      <c r="O604" s="45">
        <f>IF(B604="South Korea",FLOOR(60*korea_service_hr/N604,1),MIN(15,FLOOR(60*service_hr/N604,1)))</f>
        <v/>
      </c>
      <c r="P604" s="45">
        <f>IF(ABS(MOD(ABS((365*mech_uptime*K604)),1)-0.5)&lt;1E-9,2*ROUND((365*mech_uptime*K604)/2,0),ROUND((365*mech_uptime*K604),0))</f>
        <v/>
      </c>
      <c r="Q604" s="46">
        <f>mech_uptime</f>
        <v/>
      </c>
      <c r="R604" s="46">
        <f>IF(AND(B604="South Korea",scenario="MID"),korea_mid_revleg,revleg_sel)</f>
        <v/>
      </c>
      <c r="S604" s="45">
        <f>IF(ABS(MOD(ABS((O604*P604*R604)),1)-0.5)&lt;1E-9,2*ROUND((O604*P604*R604)/2,0),ROUND((O604*P604*R604),0))</f>
        <v/>
      </c>
      <c r="T604" s="46">
        <f>IF(AND(B604="South Korea",scenario="MID"),korea_mid_load,load_sel)</f>
        <v/>
      </c>
      <c r="U604" s="47">
        <f>pax_cap*T604</f>
        <v/>
      </c>
      <c r="V604" s="45">
        <f>U604*S604</f>
        <v/>
      </c>
      <c r="W604" s="48">
        <f>H604*discount</f>
        <v/>
      </c>
      <c r="X604" s="49">
        <f>W604*V604</f>
        <v/>
      </c>
      <c r="Y604" s="49">
        <f>(battery/range_nm)*G604*S604*VLOOKUP(B604,country_opex,3,FALSE)</f>
        <v/>
      </c>
      <c r="Z604" s="49">
        <f>VLOOKUP(B604,country_opex,2,FALSE)*crew_factor</f>
        <v/>
      </c>
      <c r="AA604" s="49">
        <f>VLOOKUP(B604,country_opex,5,FALSE)</f>
        <v/>
      </c>
      <c r="AB604" s="49">
        <f>maint</f>
        <v/>
      </c>
      <c r="AC604" s="49">
        <f>VLOOKUP(B604,country_opex,7,FALSE)*ins_pct</f>
        <v/>
      </c>
      <c r="AD604" s="49">
        <f>charge_berth</f>
        <v/>
      </c>
      <c r="AE604" s="49">
        <f>Y604+Z604+AA604+AB604+AC604+AD604</f>
        <v/>
      </c>
      <c r="AF604" s="49">
        <f>VLOOKUP(B604,country_opex,7,FALSE)/dep_years</f>
        <v/>
      </c>
      <c r="AG604" s="49">
        <f>X604-AE604</f>
        <v/>
      </c>
      <c r="AH604" s="46">
        <f>IF(X604=0,"",AG604/X604)</f>
        <v/>
      </c>
      <c r="AI604" s="47">
        <f>IF(AG604&lt;=0,"",VLOOKUP(B604,country_opex,7,FALSE)/AG604)</f>
        <v/>
      </c>
      <c r="AJ604" s="44">
        <f>((G604*S604/diesel_nmpg)*diesel_co2pg-(battery/range_nm)*G604*S604*VLOOKUP(B604,country_opex,4,FALSE))/1000</f>
        <v/>
      </c>
      <c r="AK604" s="42" t="n">
        <v>20000</v>
      </c>
      <c r="AL604" s="43" t="inlineStr">
        <is>
          <t>T3</t>
        </is>
      </c>
      <c r="AM604" s="43" t="inlineStr">
        <is>
          <t>low</t>
        </is>
      </c>
      <c r="AN604" s="50" t="n">
        <v>0.1</v>
      </c>
      <c r="AO604" s="45">
        <f>IF(AK604="","",AK604*AN604)</f>
        <v/>
      </c>
      <c r="AP604" s="45">
        <f>IF(OR(AK604="",V604=0),"",MIN(IF(AX604="",9.9E+99,AX604),FLOOR(AO604/V604,1)))</f>
        <v/>
      </c>
      <c r="AQ604" s="49">
        <f>IF(AP604="","",AP604*IF(ABS(MOD(ABS((X604)),1)-0.5)&lt;1E-9,2*ROUND((X604)/2,0),ROUND((X604),0)))</f>
        <v/>
      </c>
      <c r="AR604" s="47">
        <f>IF(OR(AK604="",V604=0),"",MIN(IF(AX604="",9.9E+99,AX604),AO604/V604))</f>
        <v/>
      </c>
      <c r="AS604" s="49">
        <f>IF(AR604="","",AR604*IF(B604="South Korea",IF(ABS(MOD(ABS((X604)),1)-0.5)&lt;1E-9,2*ROUND((X604)/2,0),ROUND((X604),0)),X604))</f>
        <v/>
      </c>
      <c r="AT604" s="51" t="n"/>
      <c r="AU604" s="43" t="inlineStr">
        <is>
          <t>Grounded</t>
        </is>
      </c>
      <c r="AV604" s="52" t="n"/>
      <c r="AW604" s="52" t="n"/>
      <c r="AX604" s="53" t="n"/>
      <c r="AY604" s="54">
        <f>IF(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&lt;=0,"",VLOOKUP(B604,country_opex,7,FALSE)/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)</f>
        <v/>
      </c>
      <c r="AZ604" s="54">
        <f>IF(((W604*pax_cap*IF(B604="South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Korea",korea_mid_revleg,revleg_mid)),0))*VLOOKUP(B604,country_opex,3,FALSE))+Z604+AA604+AB604+AC604+AD604))&lt;=0,"",VLOOKUP(B604,country_opex,7,FALSE)/((W604*pax_cap*IF(B604="South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Korea",korea_mid_revleg,revleg_mid)),0))*VLOOKUP(B604,country_opex,3,FALSE))+Z604+AA604+AB604+AC604+AD604)))</f>
        <v/>
      </c>
      <c r="BA604" s="54">
        <f>IF(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&lt;=0,"",VLOOKUP(B604,country_opex,7,FALSE)/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)</f>
        <v/>
      </c>
      <c r="BB604" s="40" t="inlineStr">
        <is>
          <t>Emirates Palace (flagship AD luxury hotel) marina arrival; road-served; opportunity-to-create. T5/low.</t>
        </is>
      </c>
      <c r="BC604" s="40" t="inlineStr">
        <is>
          <t>UAE-DEMAND-ANCHORS-2026-06-17.json — tier-based addressable pool derived from sourcing wave anchors (hotel keys × occ × shuttle adoption, marina activity, RTA marine baseline).</t>
        </is>
      </c>
      <c r="BD604" s="43" t="inlineStr">
        <is>
          <t>rn-afe7eee97714</t>
        </is>
      </c>
    </row>
    <row r="605">
      <c r="A605" s="38" t="inlineStr">
        <is>
          <t>Gulf Authority Rakta</t>
        </is>
      </c>
      <c r="B605" s="38" t="inlineStr">
        <is>
          <t>United Arab Emirates</t>
        </is>
      </c>
      <c r="C605" s="39" t="inlineStr">
        <is>
          <t>The Cove Rotana Resort jetty → Anantara Mina Al Arab Ras Al Khaimah Resort jetty</t>
        </is>
      </c>
      <c r="D605" s="38" t="inlineStr">
        <is>
          <t>rakta</t>
        </is>
      </c>
      <c r="E605" s="40" t="inlineStr">
        <is>
          <t>gulf-authority-bahrain-motc, gulf-authority-rakta</t>
        </is>
      </c>
      <c r="F605" s="41" t="n">
        <v>2</v>
      </c>
      <c r="G605" s="42" t="n">
        <v>2.2</v>
      </c>
      <c r="H605" s="35" t="n">
        <v>35</v>
      </c>
      <c r="I605" s="43" t="inlineStr">
        <is>
          <t>T3</t>
        </is>
      </c>
      <c r="J605" s="43" t="inlineStr">
        <is>
          <t>med-low</t>
        </is>
      </c>
      <c r="K605" s="29" t="n">
        <v>1</v>
      </c>
      <c r="L605" s="44">
        <f>60*G605/cruise_kt</f>
        <v/>
      </c>
      <c r="M605" s="44">
        <f>IF(B605="South Korea",G605/korea_charge_range_nm*korea_full_range_charge_min,0)</f>
        <v/>
      </c>
      <c r="N605" s="44">
        <f>IF(B605="South Korea",L605+korea_turn_min+korea_dwell_min+M605,L605+turn_min+dwell_min)</f>
        <v/>
      </c>
      <c r="O605" s="45">
        <f>IF(B605="South Korea",FLOOR(60*korea_service_hr/N605,1),MIN(15,FLOOR(60*service_hr/N605,1)))</f>
        <v/>
      </c>
      <c r="P605" s="45">
        <f>IF(ABS(MOD(ABS((365*mech_uptime*K605)),1)-0.5)&lt;1E-9,2*ROUND((365*mech_uptime*K605)/2,0),ROUND((365*mech_uptime*K605),0))</f>
        <v/>
      </c>
      <c r="Q605" s="46">
        <f>mech_uptime</f>
        <v/>
      </c>
      <c r="R605" s="46">
        <f>IF(AND(B605="South Korea",scenario="MID"),korea_mid_revleg,revleg_sel)</f>
        <v/>
      </c>
      <c r="S605" s="45">
        <f>IF(ABS(MOD(ABS((O605*P605*R605)),1)-0.5)&lt;1E-9,2*ROUND((O605*P605*R605)/2,0),ROUND((O605*P605*R605),0))</f>
        <v/>
      </c>
      <c r="T605" s="46">
        <f>IF(AND(B605="South Korea",scenario="MID"),korea_mid_load,load_sel)</f>
        <v/>
      </c>
      <c r="U605" s="47">
        <f>pax_cap*T605</f>
        <v/>
      </c>
      <c r="V605" s="45">
        <f>U605*S605</f>
        <v/>
      </c>
      <c r="W605" s="48">
        <f>H605*discount</f>
        <v/>
      </c>
      <c r="X605" s="49">
        <f>W605*V605</f>
        <v/>
      </c>
      <c r="Y605" s="49">
        <f>(battery/range_nm)*G605*S605*VLOOKUP(B605,country_opex,3,FALSE)</f>
        <v/>
      </c>
      <c r="Z605" s="49">
        <f>VLOOKUP(B605,country_opex,2,FALSE)*crew_factor</f>
        <v/>
      </c>
      <c r="AA605" s="49">
        <f>VLOOKUP(B605,country_opex,5,FALSE)</f>
        <v/>
      </c>
      <c r="AB605" s="49">
        <f>maint</f>
        <v/>
      </c>
      <c r="AC605" s="49">
        <f>VLOOKUP(B605,country_opex,7,FALSE)*ins_pct</f>
        <v/>
      </c>
      <c r="AD605" s="49">
        <f>charge_berth</f>
        <v/>
      </c>
      <c r="AE605" s="49">
        <f>Y605+Z605+AA605+AB605+AC605+AD605</f>
        <v/>
      </c>
      <c r="AF605" s="49">
        <f>VLOOKUP(B605,country_opex,7,FALSE)/dep_years</f>
        <v/>
      </c>
      <c r="AG605" s="49">
        <f>X605-AE605</f>
        <v/>
      </c>
      <c r="AH605" s="46">
        <f>IF(X605=0,"",AG605/X605)</f>
        <v/>
      </c>
      <c r="AI605" s="47">
        <f>IF(AG605&lt;=0,"",VLOOKUP(B605,country_opex,7,FALSE)/AG605)</f>
        <v/>
      </c>
      <c r="AJ605" s="44">
        <f>((G605*S605/diesel_nmpg)*diesel_co2pg-(battery/range_nm)*G605*S605*VLOOKUP(B605,country_opex,4,FALSE))/1000</f>
        <v/>
      </c>
      <c r="AK605" s="42" t="n">
        <v>5217</v>
      </c>
      <c r="AL605" s="43" t="inlineStr">
        <is>
          <t>T3</t>
        </is>
      </c>
      <c r="AM605" s="43" t="inlineStr">
        <is>
          <t>med-low</t>
        </is>
      </c>
      <c r="AN605" s="50" t="n">
        <v>0.1</v>
      </c>
      <c r="AO605" s="45">
        <f>IF(AK605="","",AK605*AN605)</f>
        <v/>
      </c>
      <c r="AP605" s="45">
        <f>IF(OR(AK605="",V605=0),"",MIN(IF(AX605="",9.9E+99,AX605),FLOOR(AO605/V605,1)))</f>
        <v/>
      </c>
      <c r="AQ605" s="49">
        <f>IF(AP605="","",AP605*IF(ABS(MOD(ABS((X605)),1)-0.5)&lt;1E-9,2*ROUND((X605)/2,0),ROUND((X605),0)))</f>
        <v/>
      </c>
      <c r="AR605" s="47">
        <f>IF(OR(AK605="",V605=0),"",MIN(IF(AX605="",9.9E+99,AX605),AO605/V605))</f>
        <v/>
      </c>
      <c r="AS605" s="49">
        <f>IF(AR605="","",AR605*IF(B605="South Korea",IF(ABS(MOD(ABS((X605)),1)-0.5)&lt;1E-9,2*ROUND((X605)/2,0),ROUND((X605),0)),X605))</f>
        <v/>
      </c>
      <c r="AT605" s="51" t="n"/>
      <c r="AU605" s="43" t="inlineStr">
        <is>
          <t>Grounded</t>
        </is>
      </c>
      <c r="AV605" s="52" t="n"/>
      <c r="AW605" s="52" t="n"/>
      <c r="AX605" s="53" t="n"/>
      <c r="AY605" s="54">
        <f>IF(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&lt;=0,"",VLOOKUP(B605,country_opex,7,FALSE)/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)</f>
        <v/>
      </c>
      <c r="AZ605" s="54">
        <f>IF(((W605*pax_cap*IF(B605="South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Korea",korea_mid_revleg,revleg_mid)),0))*VLOOKUP(B605,country_opex,3,FALSE))+Z605+AA605+AB605+AC605+AD605))&lt;=0,"",VLOOKUP(B605,country_opex,7,FALSE)/((W605*pax_cap*IF(B605="South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Korea",korea_mid_revleg,revleg_mid)),0))*VLOOKUP(B605,country_opex,3,FALSE))+Z605+AA605+AB605+AC605+AD605)))</f>
        <v/>
      </c>
      <c r="BA605" s="54">
        <f>IF(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&lt;=0,"",VLOOKUP(B605,country_opex,7,FALSE)/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)</f>
        <v/>
      </c>
      <c r="BB605" s="40" t="n"/>
      <c r="BC605" s="40" t="n"/>
      <c r="BD605" s="43" t="inlineStr">
        <is>
          <t>rn-fc522269661a</t>
        </is>
      </c>
    </row>
    <row r="606">
      <c r="A606" s="38" t="inlineStr">
        <is>
          <t>UAE (Careem)</t>
        </is>
      </c>
      <c r="B606" s="38" t="inlineStr">
        <is>
          <t>United Arab Emirates</t>
        </is>
      </c>
      <c r="C606" s="39" t="inlineStr">
        <is>
          <t>Côte d'Azur Resort Marina (Heart of Europe) → Anantara World Islands Resort Jetty (planned)</t>
        </is>
      </c>
      <c r="D606" s="38" t="inlineStr">
        <is>
          <t>careem</t>
        </is>
      </c>
      <c r="E606" s="40" t="inlineStr">
        <is>
          <t>bolt-uae, uae-careem, uae-luxury, uae-noon, uae-voi, yango-uae</t>
        </is>
      </c>
      <c r="F606" s="41" t="n">
        <v>6</v>
      </c>
      <c r="G606" s="42" t="n">
        <v>2.4</v>
      </c>
      <c r="H606" s="35" t="n">
        <v>150</v>
      </c>
      <c r="I606" s="43" t="inlineStr">
        <is>
          <t>T5</t>
        </is>
      </c>
      <c r="J606" s="43" t="inlineStr">
        <is>
          <t>low</t>
        </is>
      </c>
      <c r="K606" s="29" t="n">
        <v>1</v>
      </c>
      <c r="L606" s="44">
        <f>60*G606/cruise_kt</f>
        <v/>
      </c>
      <c r="M606" s="44">
        <f>IF(B606="South Korea",G606/korea_charge_range_nm*korea_full_range_charge_min,0)</f>
        <v/>
      </c>
      <c r="N606" s="44">
        <f>IF(B606="South Korea",L606+korea_turn_min+korea_dwell_min+M606,L606+turn_min+dwell_min)</f>
        <v/>
      </c>
      <c r="O606" s="45">
        <f>IF(B606="South Korea",FLOOR(60*korea_service_hr/N606,1),MIN(15,FLOOR(60*service_hr/N606,1)))</f>
        <v/>
      </c>
      <c r="P606" s="45">
        <f>IF(ABS(MOD(ABS((365*mech_uptime*K606)),1)-0.5)&lt;1E-9,2*ROUND((365*mech_uptime*K606)/2,0),ROUND((365*mech_uptime*K606),0))</f>
        <v/>
      </c>
      <c r="Q606" s="46">
        <f>mech_uptime</f>
        <v/>
      </c>
      <c r="R606" s="46">
        <f>IF(AND(B606="South Korea",scenario="MID"),korea_mid_revleg,revleg_sel)</f>
        <v/>
      </c>
      <c r="S606" s="45">
        <f>IF(ABS(MOD(ABS((O606*P606*R606)),1)-0.5)&lt;1E-9,2*ROUND((O606*P606*R606)/2,0),ROUND((O606*P606*R606),0))</f>
        <v/>
      </c>
      <c r="T606" s="46">
        <f>IF(AND(B606="South Korea",scenario="MID"),korea_mid_load,load_sel)</f>
        <v/>
      </c>
      <c r="U606" s="47">
        <f>pax_cap*T606</f>
        <v/>
      </c>
      <c r="V606" s="45">
        <f>U606*S606</f>
        <v/>
      </c>
      <c r="W606" s="48">
        <f>H606*discount</f>
        <v/>
      </c>
      <c r="X606" s="49">
        <f>W606*V606</f>
        <v/>
      </c>
      <c r="Y606" s="49">
        <f>(battery/range_nm)*G606*S606*VLOOKUP(B606,country_opex,3,FALSE)</f>
        <v/>
      </c>
      <c r="Z606" s="49">
        <f>VLOOKUP(B606,country_opex,2,FALSE)*crew_factor</f>
        <v/>
      </c>
      <c r="AA606" s="49">
        <f>VLOOKUP(B606,country_opex,5,FALSE)</f>
        <v/>
      </c>
      <c r="AB606" s="49">
        <f>maint</f>
        <v/>
      </c>
      <c r="AC606" s="49">
        <f>VLOOKUP(B606,country_opex,7,FALSE)*ins_pct</f>
        <v/>
      </c>
      <c r="AD606" s="49">
        <f>charge_berth</f>
        <v/>
      </c>
      <c r="AE606" s="49">
        <f>Y606+Z606+AA606+AB606+AC606+AD606</f>
        <v/>
      </c>
      <c r="AF606" s="49">
        <f>VLOOKUP(B606,country_opex,7,FALSE)/dep_years</f>
        <v/>
      </c>
      <c r="AG606" s="49">
        <f>X606-AE606</f>
        <v/>
      </c>
      <c r="AH606" s="46">
        <f>IF(X606=0,"",AG606/X606)</f>
        <v/>
      </c>
      <c r="AI606" s="47">
        <f>IF(AG606&lt;=0,"",VLOOKUP(B606,country_opex,7,FALSE)/AG606)</f>
        <v/>
      </c>
      <c r="AJ606" s="44">
        <f>((G606*S606/diesel_nmpg)*diesel_co2pg-(battery/range_nm)*G606*S606*VLOOKUP(B606,country_opex,4,FALSE))/1000</f>
        <v/>
      </c>
      <c r="AK606" s="42" t="n">
        <v>25000</v>
      </c>
      <c r="AL606" s="43" t="inlineStr">
        <is>
          <t>T3</t>
        </is>
      </c>
      <c r="AM606" s="43" t="inlineStr">
        <is>
          <t>low</t>
        </is>
      </c>
      <c r="AN606" s="50" t="n">
        <v>0.1</v>
      </c>
      <c r="AO606" s="45">
        <f>IF(AK606="","",AK606*AN606)</f>
        <v/>
      </c>
      <c r="AP606" s="45">
        <f>IF(OR(AK606="",V606=0),"",MIN(IF(AX606="",9.9E+99,AX606),FLOOR(AO606/V606,1)))</f>
        <v/>
      </c>
      <c r="AQ606" s="49">
        <f>IF(AP606="","",AP606*IF(ABS(MOD(ABS((X606)),1)-0.5)&lt;1E-9,2*ROUND((X606)/2,0),ROUND((X606),0)))</f>
        <v/>
      </c>
      <c r="AR606" s="47">
        <f>IF(OR(AK606="",V606=0),"",MIN(IF(AX606="",9.9E+99,AX606),AO606/V606))</f>
        <v/>
      </c>
      <c r="AS606" s="49">
        <f>IF(AR606="","",AR606*IF(B606="South Korea",IF(ABS(MOD(ABS((X606)),1)-0.5)&lt;1E-9,2*ROUND((X606)/2,0),ROUND((X606),0)),X606))</f>
        <v/>
      </c>
      <c r="AT606" s="51" t="n"/>
      <c r="AU606" s="43" t="inlineStr">
        <is>
          <t>Grounded</t>
        </is>
      </c>
      <c r="AV606" s="52" t="n"/>
      <c r="AW606" s="52" t="n"/>
      <c r="AX606" s="53" t="n"/>
      <c r="AY606" s="54">
        <f>IF(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&lt;=0,"",VLOOKUP(B606,country_opex,7,FALSE)/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)</f>
        <v/>
      </c>
      <c r="AZ606" s="54">
        <f>IF(((W606*pax_cap*IF(B606="South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Korea",korea_mid_revleg,revleg_mid)),0))*VLOOKUP(B606,country_opex,3,FALSE))+Z606+AA606+AB606+AC606+AD606))&lt;=0,"",VLOOKUP(B606,country_opex,7,FALSE)/((W606*pax_cap*IF(B606="South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Korea",korea_mid_revleg,revleg_mid)),0))*VLOOKUP(B606,country_opex,3,FALSE))+Z606+AA606+AB606+AC606+AD606)))</f>
        <v/>
      </c>
      <c r="BA606" s="54">
        <f>IF(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&lt;=0,"",VLOOKUP(B606,country_opex,7,FALSE)/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)</f>
        <v/>
      </c>
      <c r="BB606" s="40" t="inlineStr">
        <is>
          <t>Intra-The-World offshore hop; both boat-only. Greenfield premium per-seat. T5/low.</t>
        </is>
      </c>
      <c r="BC606" s="40" t="inlineStr">
        <is>
          <t>UAE-DEMAND-ANCHORS-2026-06-17.json — tier-based addressable pool derived from sourcing wave anchors (hotel keys × occ × shuttle adoption, marina activity, RTA marine baseline).</t>
        </is>
      </c>
      <c r="BD606" s="43" t="inlineStr">
        <is>
          <t>rn-af9d261fd724</t>
        </is>
      </c>
    </row>
    <row r="607">
      <c r="A607" s="38" t="inlineStr">
        <is>
          <t>Gulf Authority Rakta</t>
        </is>
      </c>
      <c r="B607" s="38" t="inlineStr">
        <is>
          <t>United Arab Emirates</t>
        </is>
      </c>
      <c r="C607" s="39" t="inlineStr">
        <is>
          <t>ميناء صيادين غليلة → Sha'am Fishing Boat Harbour</t>
        </is>
      </c>
      <c r="D607" s="38" t="inlineStr">
        <is>
          <t>rakta</t>
        </is>
      </c>
      <c r="E607" s="40" t="inlineStr">
        <is>
          <t>gulf-authority-bahrain-motc, gulf-authority-rakta</t>
        </is>
      </c>
      <c r="F607" s="41" t="n">
        <v>2</v>
      </c>
      <c r="G607" s="42" t="n">
        <v>2.5</v>
      </c>
      <c r="H607" s="35" t="n">
        <v>35</v>
      </c>
      <c r="I607" s="43" t="inlineStr">
        <is>
          <t>T3</t>
        </is>
      </c>
      <c r="J607" s="43" t="inlineStr">
        <is>
          <t>med-low</t>
        </is>
      </c>
      <c r="K607" s="29" t="n">
        <v>1</v>
      </c>
      <c r="L607" s="44">
        <f>60*G607/cruise_kt</f>
        <v/>
      </c>
      <c r="M607" s="44">
        <f>IF(B607="South Korea",G607/korea_charge_range_nm*korea_full_range_charge_min,0)</f>
        <v/>
      </c>
      <c r="N607" s="44">
        <f>IF(B607="South Korea",L607+korea_turn_min+korea_dwell_min+M607,L607+turn_min+dwell_min)</f>
        <v/>
      </c>
      <c r="O607" s="45">
        <f>IF(B607="South Korea",FLOOR(60*korea_service_hr/N607,1),MIN(15,FLOOR(60*service_hr/N607,1)))</f>
        <v/>
      </c>
      <c r="P607" s="45">
        <f>IF(ABS(MOD(ABS((365*mech_uptime*K607)),1)-0.5)&lt;1E-9,2*ROUND((365*mech_uptime*K607)/2,0),ROUND((365*mech_uptime*K607),0))</f>
        <v/>
      </c>
      <c r="Q607" s="46">
        <f>mech_uptime</f>
        <v/>
      </c>
      <c r="R607" s="46">
        <f>IF(AND(B607="South Korea",scenario="MID"),korea_mid_revleg,revleg_sel)</f>
        <v/>
      </c>
      <c r="S607" s="45">
        <f>IF(ABS(MOD(ABS((O607*P607*R607)),1)-0.5)&lt;1E-9,2*ROUND((O607*P607*R607)/2,0),ROUND((O607*P607*R607),0))</f>
        <v/>
      </c>
      <c r="T607" s="46">
        <f>IF(AND(B607="South Korea",scenario="MID"),korea_mid_load,load_sel)</f>
        <v/>
      </c>
      <c r="U607" s="47">
        <f>pax_cap*T607</f>
        <v/>
      </c>
      <c r="V607" s="45">
        <f>U607*S607</f>
        <v/>
      </c>
      <c r="W607" s="48">
        <f>H607*discount</f>
        <v/>
      </c>
      <c r="X607" s="49">
        <f>W607*V607</f>
        <v/>
      </c>
      <c r="Y607" s="49">
        <f>(battery/range_nm)*G607*S607*VLOOKUP(B607,country_opex,3,FALSE)</f>
        <v/>
      </c>
      <c r="Z607" s="49">
        <f>VLOOKUP(B607,country_opex,2,FALSE)*crew_factor</f>
        <v/>
      </c>
      <c r="AA607" s="49">
        <f>VLOOKUP(B607,country_opex,5,FALSE)</f>
        <v/>
      </c>
      <c r="AB607" s="49">
        <f>maint</f>
        <v/>
      </c>
      <c r="AC607" s="49">
        <f>VLOOKUP(B607,country_opex,7,FALSE)*ins_pct</f>
        <v/>
      </c>
      <c r="AD607" s="49">
        <f>charge_berth</f>
        <v/>
      </c>
      <c r="AE607" s="49">
        <f>Y607+Z607+AA607+AB607+AC607+AD607</f>
        <v/>
      </c>
      <c r="AF607" s="49">
        <f>VLOOKUP(B607,country_opex,7,FALSE)/dep_years</f>
        <v/>
      </c>
      <c r="AG607" s="49">
        <f>X607-AE607</f>
        <v/>
      </c>
      <c r="AH607" s="46">
        <f>IF(X607=0,"",AG607/X607)</f>
        <v/>
      </c>
      <c r="AI607" s="47">
        <f>IF(AG607&lt;=0,"",VLOOKUP(B607,country_opex,7,FALSE)/AG607)</f>
        <v/>
      </c>
      <c r="AJ607" s="44">
        <f>((G607*S607/diesel_nmpg)*diesel_co2pg-(battery/range_nm)*G607*S607*VLOOKUP(B607,country_opex,4,FALSE))/1000</f>
        <v/>
      </c>
      <c r="AK607" s="42" t="n">
        <v>5217</v>
      </c>
      <c r="AL607" s="43" t="inlineStr">
        <is>
          <t>T3</t>
        </is>
      </c>
      <c r="AM607" s="43" t="inlineStr">
        <is>
          <t>med-low</t>
        </is>
      </c>
      <c r="AN607" s="50" t="n">
        <v>0.1</v>
      </c>
      <c r="AO607" s="45">
        <f>IF(AK607="","",AK607*AN607)</f>
        <v/>
      </c>
      <c r="AP607" s="45">
        <f>IF(OR(AK607="",V607=0),"",MIN(IF(AX607="",9.9E+99,AX607),FLOOR(AO607/V607,1)))</f>
        <v/>
      </c>
      <c r="AQ607" s="49">
        <f>IF(AP607="","",AP607*IF(ABS(MOD(ABS((X607)),1)-0.5)&lt;1E-9,2*ROUND((X607)/2,0),ROUND((X607),0)))</f>
        <v/>
      </c>
      <c r="AR607" s="47">
        <f>IF(OR(AK607="",V607=0),"",MIN(IF(AX607="",9.9E+99,AX607),AO607/V607))</f>
        <v/>
      </c>
      <c r="AS607" s="49">
        <f>IF(AR607="","",AR607*IF(B607="South Korea",IF(ABS(MOD(ABS((X607)),1)-0.5)&lt;1E-9,2*ROUND((X607)/2,0),ROUND((X607),0)),X607))</f>
        <v/>
      </c>
      <c r="AT607" s="51" t="n"/>
      <c r="AU607" s="43" t="inlineStr">
        <is>
          <t>Grounded</t>
        </is>
      </c>
      <c r="AV607" s="52" t="n"/>
      <c r="AW607" s="52" t="n"/>
      <c r="AX607" s="53" t="n"/>
      <c r="AY607" s="54">
        <f>IF(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&lt;=0,"",VLOOKUP(B607,country_opex,7,FALSE)/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)</f>
        <v/>
      </c>
      <c r="AZ607" s="54">
        <f>IF(((W607*pax_cap*IF(B607="South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Korea",korea_mid_revleg,revleg_mid)),0))*VLOOKUP(B607,country_opex,3,FALSE))+Z607+AA607+AB607+AC607+AD607))&lt;=0,"",VLOOKUP(B607,country_opex,7,FALSE)/((W607*pax_cap*IF(B607="South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Korea",korea_mid_revleg,revleg_mid)),0))*VLOOKUP(B607,country_opex,3,FALSE))+Z607+AA607+AB607+AC607+AD607)))</f>
        <v/>
      </c>
      <c r="BA607" s="54">
        <f>IF(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&lt;=0,"",VLOOKUP(B607,country_opex,7,FALSE)/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)</f>
        <v/>
      </c>
      <c r="BB607" s="40" t="n"/>
      <c r="BC607" s="40" t="n"/>
      <c r="BD607" s="43" t="inlineStr">
        <is>
          <t>rn-e54d51128055</t>
        </is>
      </c>
    </row>
    <row r="608">
      <c r="A608" s="38" t="inlineStr">
        <is>
          <t>UAE (Careem)</t>
        </is>
      </c>
      <c r="B608" s="38" t="inlineStr">
        <is>
          <t>United Arab Emirates</t>
        </is>
      </c>
      <c r="C608" s="39" t="inlineStr">
        <is>
          <t>Bulgari Yacht Club &amp; Marina → La Mer / J1 Beach Jetty</t>
        </is>
      </c>
      <c r="D608" s="38" t="inlineStr">
        <is>
          <t>careem</t>
        </is>
      </c>
      <c r="E608" s="40" t="inlineStr">
        <is>
          <t>bolt-uae, uae-careem, uae-luxury, uae-noon, uae-voi, yango-uae</t>
        </is>
      </c>
      <c r="F608" s="41" t="n">
        <v>6</v>
      </c>
      <c r="G608" s="42" t="n">
        <v>2.6</v>
      </c>
      <c r="H608" s="35" t="n">
        <v>120</v>
      </c>
      <c r="I608" s="43" t="inlineStr">
        <is>
          <t>T5</t>
        </is>
      </c>
      <c r="J608" s="43" t="inlineStr">
        <is>
          <t>low</t>
        </is>
      </c>
      <c r="K608" s="29" t="n">
        <v>1</v>
      </c>
      <c r="L608" s="44">
        <f>60*G608/cruise_kt</f>
        <v/>
      </c>
      <c r="M608" s="44">
        <f>IF(B608="South Korea",G608/korea_charge_range_nm*korea_full_range_charge_min,0)</f>
        <v/>
      </c>
      <c r="N608" s="44">
        <f>IF(B608="South Korea",L608+korea_turn_min+korea_dwell_min+M608,L608+turn_min+dwell_min)</f>
        <v/>
      </c>
      <c r="O608" s="45">
        <f>IF(B608="South Korea",FLOOR(60*korea_service_hr/N608,1),MIN(15,FLOOR(60*service_hr/N608,1)))</f>
        <v/>
      </c>
      <c r="P608" s="45">
        <f>IF(ABS(MOD(ABS((365*mech_uptime*K608)),1)-0.5)&lt;1E-9,2*ROUND((365*mech_uptime*K608)/2,0),ROUND((365*mech_uptime*K608),0))</f>
        <v/>
      </c>
      <c r="Q608" s="46">
        <f>mech_uptime</f>
        <v/>
      </c>
      <c r="R608" s="46">
        <f>IF(AND(B608="South Korea",scenario="MID"),korea_mid_revleg,revleg_sel)</f>
        <v/>
      </c>
      <c r="S608" s="45">
        <f>IF(ABS(MOD(ABS((O608*P608*R608)),1)-0.5)&lt;1E-9,2*ROUND((O608*P608*R608)/2,0),ROUND((O608*P608*R608),0))</f>
        <v/>
      </c>
      <c r="T608" s="46">
        <f>IF(AND(B608="South Korea",scenario="MID"),korea_mid_load,load_sel)</f>
        <v/>
      </c>
      <c r="U608" s="47">
        <f>pax_cap*T608</f>
        <v/>
      </c>
      <c r="V608" s="45">
        <f>U608*S608</f>
        <v/>
      </c>
      <c r="W608" s="48">
        <f>H608*discount</f>
        <v/>
      </c>
      <c r="X608" s="49">
        <f>W608*V608</f>
        <v/>
      </c>
      <c r="Y608" s="49">
        <f>(battery/range_nm)*G608*S608*VLOOKUP(B608,country_opex,3,FALSE)</f>
        <v/>
      </c>
      <c r="Z608" s="49">
        <f>VLOOKUP(B608,country_opex,2,FALSE)*crew_factor</f>
        <v/>
      </c>
      <c r="AA608" s="49">
        <f>VLOOKUP(B608,country_opex,5,FALSE)</f>
        <v/>
      </c>
      <c r="AB608" s="49">
        <f>maint</f>
        <v/>
      </c>
      <c r="AC608" s="49">
        <f>VLOOKUP(B608,country_opex,7,FALSE)*ins_pct</f>
        <v/>
      </c>
      <c r="AD608" s="49">
        <f>charge_berth</f>
        <v/>
      </c>
      <c r="AE608" s="49">
        <f>Y608+Z608+AA608+AB608+AC608+AD608</f>
        <v/>
      </c>
      <c r="AF608" s="49">
        <f>VLOOKUP(B608,country_opex,7,FALSE)/dep_years</f>
        <v/>
      </c>
      <c r="AG608" s="49">
        <f>X608-AE608</f>
        <v/>
      </c>
      <c r="AH608" s="46">
        <f>IF(X608=0,"",AG608/X608)</f>
        <v/>
      </c>
      <c r="AI608" s="47">
        <f>IF(AG608&lt;=0,"",VLOOKUP(B608,country_opex,7,FALSE)/AG608)</f>
        <v/>
      </c>
      <c r="AJ608" s="44">
        <f>((G608*S608/diesel_nmpg)*diesel_co2pg-(battery/range_nm)*G608*S608*VLOOKUP(B608,country_opex,4,FALSE))/1000</f>
        <v/>
      </c>
      <c r="AK608" s="42" t="n">
        <v>30000</v>
      </c>
      <c r="AL608" s="43" t="inlineStr">
        <is>
          <t>T3</t>
        </is>
      </c>
      <c r="AM608" s="43" t="inlineStr">
        <is>
          <t>low</t>
        </is>
      </c>
      <c r="AN608" s="50" t="n">
        <v>0.1</v>
      </c>
      <c r="AO608" s="45">
        <f>IF(AK608="","",AK608*AN608)</f>
        <v/>
      </c>
      <c r="AP608" s="45">
        <f>IF(OR(AK608="",V608=0),"",MIN(IF(AX608="",9.9E+99,AX608),FLOOR(AO608/V608,1)))</f>
        <v/>
      </c>
      <c r="AQ608" s="49">
        <f>IF(AP608="","",AP608*IF(ABS(MOD(ABS((X608)),1)-0.5)&lt;1E-9,2*ROUND((X608)/2,0),ROUND((X608),0)))</f>
        <v/>
      </c>
      <c r="AR608" s="47">
        <f>IF(OR(AK608="",V608=0),"",MIN(IF(AX608="",9.9E+99,AX608),AO608/V608))</f>
        <v/>
      </c>
      <c r="AS608" s="49">
        <f>IF(AR608="","",AR608*IF(B608="South Korea",IF(ABS(MOD(ABS((X608)),1)-0.5)&lt;1E-9,2*ROUND((X608)/2,0),ROUND((X608),0)),X608))</f>
        <v/>
      </c>
      <c r="AT608" s="51" t="n"/>
      <c r="AU608" s="43" t="inlineStr">
        <is>
          <t>Grounded</t>
        </is>
      </c>
      <c r="AV608" s="52" t="n"/>
      <c r="AW608" s="52" t="n"/>
      <c r="AX608" s="53" t="n"/>
      <c r="AY608" s="54">
        <f>IF(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&lt;=0,"",VLOOKUP(B608,country_opex,7,FALSE)/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)</f>
        <v/>
      </c>
      <c r="AZ608" s="54">
        <f>IF(((W608*pax_cap*IF(B608="South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Korea",korea_mid_revleg,revleg_mid)),0))*VLOOKUP(B608,country_opex,3,FALSE))+Z608+AA608+AB608+AC608+AD608))&lt;=0,"",VLOOKUP(B608,country_opex,7,FALSE)/((W608*pax_cap*IF(B608="South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Korea",korea_mid_revleg,revleg_mid)),0))*VLOOKUP(B608,country_opex,3,FALSE))+Z608+AA608+AB608+AC608+AD608)))</f>
        <v/>
      </c>
      <c r="BA608" s="54">
        <f>IF(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&lt;=0,"",VLOOKUP(B608,country_opex,7,FALSE)/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)</f>
        <v/>
      </c>
      <c r="BB608" s="40" t="inlineStr">
        <is>
          <t>Urban Dubai beach-club leisure hop (Bulgari Bay&lt;-&gt;La Mer/J1). Road-served. T5/low.</t>
        </is>
      </c>
      <c r="BC608" s="40" t="inlineStr">
        <is>
          <t>UAE-DEMAND-ANCHORS-2026-06-17.json — tier-based addressable pool derived from sourcing wave anchors (hotel keys × occ × shuttle adoption, marina activity, RTA marine baseline).</t>
        </is>
      </c>
      <c r="BD608" s="43" t="inlineStr">
        <is>
          <t>rn-faac84ea1206</t>
        </is>
      </c>
    </row>
    <row r="609">
      <c r="A609" s="38" t="inlineStr">
        <is>
          <t>UAE (Careem)</t>
        </is>
      </c>
      <c r="B609" s="38" t="inlineStr">
        <is>
          <t>United Arab Emirates</t>
        </is>
      </c>
      <c r="C609" s="39" t="inlineStr">
        <is>
          <t>Marina Mall / Breakwater Marina → Al Bateen Marina</t>
        </is>
      </c>
      <c r="D609" s="38" t="inlineStr">
        <is>
          <t>careem</t>
        </is>
      </c>
      <c r="E609" s="40" t="inlineStr">
        <is>
          <t>bolt-uae, uae-careem, uae-luxury, uae-noon, uae-voi, yango-uae</t>
        </is>
      </c>
      <c r="F609" s="41" t="n">
        <v>6</v>
      </c>
      <c r="G609" s="42" t="n">
        <v>2.6</v>
      </c>
      <c r="H609" s="35" t="n">
        <v>45</v>
      </c>
      <c r="I609" s="43" t="inlineStr">
        <is>
          <t>T4</t>
        </is>
      </c>
      <c r="J609" s="43" t="inlineStr">
        <is>
          <t>low</t>
        </is>
      </c>
      <c r="K609" s="29" t="n">
        <v>1</v>
      </c>
      <c r="L609" s="44">
        <f>60*G609/cruise_kt</f>
        <v/>
      </c>
      <c r="M609" s="44">
        <f>IF(B609="South Korea",G609/korea_charge_range_nm*korea_full_range_charge_min,0)</f>
        <v/>
      </c>
      <c r="N609" s="44">
        <f>IF(B609="South Korea",L609+korea_turn_min+korea_dwell_min+M609,L609+turn_min+dwell_min)</f>
        <v/>
      </c>
      <c r="O609" s="45">
        <f>IF(B609="South Korea",FLOOR(60*korea_service_hr/N609,1),MIN(15,FLOOR(60*service_hr/N609,1)))</f>
        <v/>
      </c>
      <c r="P609" s="45">
        <f>IF(ABS(MOD(ABS((365*mech_uptime*K609)),1)-0.5)&lt;1E-9,2*ROUND((365*mech_uptime*K609)/2,0),ROUND((365*mech_uptime*K609),0))</f>
        <v/>
      </c>
      <c r="Q609" s="46">
        <f>mech_uptime</f>
        <v/>
      </c>
      <c r="R609" s="46">
        <f>IF(AND(B609="South Korea",scenario="MID"),korea_mid_revleg,revleg_sel)</f>
        <v/>
      </c>
      <c r="S609" s="45">
        <f>IF(ABS(MOD(ABS((O609*P609*R609)),1)-0.5)&lt;1E-9,2*ROUND((O609*P609*R609)/2,0),ROUND((O609*P609*R609),0))</f>
        <v/>
      </c>
      <c r="T609" s="46">
        <f>IF(AND(B609="South Korea",scenario="MID"),korea_mid_load,load_sel)</f>
        <v/>
      </c>
      <c r="U609" s="47">
        <f>pax_cap*T609</f>
        <v/>
      </c>
      <c r="V609" s="45">
        <f>U609*S609</f>
        <v/>
      </c>
      <c r="W609" s="48">
        <f>H609*discount</f>
        <v/>
      </c>
      <c r="X609" s="49">
        <f>W609*V609</f>
        <v/>
      </c>
      <c r="Y609" s="49">
        <f>(battery/range_nm)*G609*S609*VLOOKUP(B609,country_opex,3,FALSE)</f>
        <v/>
      </c>
      <c r="Z609" s="49">
        <f>VLOOKUP(B609,country_opex,2,FALSE)*crew_factor</f>
        <v/>
      </c>
      <c r="AA609" s="49">
        <f>VLOOKUP(B609,country_opex,5,FALSE)</f>
        <v/>
      </c>
      <c r="AB609" s="49">
        <f>maint</f>
        <v/>
      </c>
      <c r="AC609" s="49">
        <f>VLOOKUP(B609,country_opex,7,FALSE)*ins_pct</f>
        <v/>
      </c>
      <c r="AD609" s="49">
        <f>charge_berth</f>
        <v/>
      </c>
      <c r="AE609" s="49">
        <f>Y609+Z609+AA609+AB609+AC609+AD609</f>
        <v/>
      </c>
      <c r="AF609" s="49">
        <f>VLOOKUP(B609,country_opex,7,FALSE)/dep_years</f>
        <v/>
      </c>
      <c r="AG609" s="49">
        <f>X609-AE609</f>
        <v/>
      </c>
      <c r="AH609" s="46">
        <f>IF(X609=0,"",AG609/X609)</f>
        <v/>
      </c>
      <c r="AI609" s="47">
        <f>IF(AG609&lt;=0,"",VLOOKUP(B609,country_opex,7,FALSE)/AG609)</f>
        <v/>
      </c>
      <c r="AJ609" s="44">
        <f>((G609*S609/diesel_nmpg)*diesel_co2pg-(battery/range_nm)*G609*S609*VLOOKUP(B609,country_opex,4,FALSE))/1000</f>
        <v/>
      </c>
      <c r="AK609" s="42" t="n">
        <v>50000</v>
      </c>
      <c r="AL609" s="43" t="inlineStr">
        <is>
          <t>T3</t>
        </is>
      </c>
      <c r="AM609" s="43" t="inlineStr">
        <is>
          <t>low</t>
        </is>
      </c>
      <c r="AN609" s="50" t="n">
        <v>0.1</v>
      </c>
      <c r="AO609" s="45">
        <f>IF(AK609="","",AK609*AN609)</f>
        <v/>
      </c>
      <c r="AP609" s="45">
        <f>IF(OR(AK609="",V609=0),"",MIN(IF(AX609="",9.9E+99,AX609),FLOOR(AO609/V609,1)))</f>
        <v/>
      </c>
      <c r="AQ609" s="49">
        <f>IF(AP609="","",AP609*IF(ABS(MOD(ABS((X609)),1)-0.5)&lt;1E-9,2*ROUND((X609)/2,0),ROUND((X609),0)))</f>
        <v/>
      </c>
      <c r="AR609" s="47">
        <f>IF(OR(AK609="",V609=0),"",MIN(IF(AX609="",9.9E+99,AX609),AO609/V609))</f>
        <v/>
      </c>
      <c r="AS609" s="49">
        <f>IF(AR609="","",AR609*IF(B609="South Korea",IF(ABS(MOD(ABS((X609)),1)-0.5)&lt;1E-9,2*ROUND((X609)/2,0),ROUND((X609),0)),X609))</f>
        <v/>
      </c>
      <c r="AT609" s="51" t="n"/>
      <c r="AU609" s="43" t="inlineStr">
        <is>
          <t>Grounded</t>
        </is>
      </c>
      <c r="AV609" s="52" t="n"/>
      <c r="AW609" s="52" t="n"/>
      <c r="AX609" s="53" t="n"/>
      <c r="AY609" s="54">
        <f>IF(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&lt;=0,"",VLOOKUP(B609,country_opex,7,FALSE)/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)</f>
        <v/>
      </c>
      <c r="AZ609" s="54">
        <f>IF(((W609*pax_cap*IF(B609="South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Korea",korea_mid_revleg,revleg_mid)),0))*VLOOKUP(B609,country_opex,3,FALSE))+Z609+AA609+AB609+AC609+AD609))&lt;=0,"",VLOOKUP(B609,country_opex,7,FALSE)/((W609*pax_cap*IF(B609="South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Korea",korea_mid_revleg,revleg_mid)),0))*VLOOKUP(B609,country_opex,3,FALSE))+Z609+AA609+AB609+AC609+AD609)))</f>
        <v/>
      </c>
      <c r="BA609" s="54">
        <f>IF(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&lt;=0,"",VLOOKUP(B609,country_opex,7,FALSE)/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)</f>
        <v/>
      </c>
      <c r="BB609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C609" s="40" t="inlineStr">
        <is>
          <t>UAE-DEMAND-ANCHORS-2026-06-17.json — tier-based addressable pool derived from sourcing wave anchors (hotel keys × occ × shuttle adoption, marina activity, RTA marine baseline).</t>
        </is>
      </c>
      <c r="BD609" s="43" t="inlineStr">
        <is>
          <t>rn-aef40f1a50bb</t>
        </is>
      </c>
    </row>
    <row r="610">
      <c r="A610" s="38" t="inlineStr">
        <is>
          <t>Gulf Authority Rakta</t>
        </is>
      </c>
      <c r="B610" s="38" t="inlineStr">
        <is>
          <t>United Arab Emirates</t>
        </is>
      </c>
      <c r="C610" s="39" t="inlineStr">
        <is>
          <t>Daba Port → Dibba Al-Hisn Marina - Sharjah</t>
        </is>
      </c>
      <c r="D610" s="38" t="inlineStr">
        <is>
          <t>rakta</t>
        </is>
      </c>
      <c r="E610" s="40" t="inlineStr">
        <is>
          <t>gulf-authority-bahrain-motc, gulf-authority-rakta</t>
        </is>
      </c>
      <c r="F610" s="41" t="n">
        <v>2</v>
      </c>
      <c r="G610" s="42" t="n">
        <v>2.7</v>
      </c>
      <c r="H610" s="35" t="n">
        <v>35</v>
      </c>
      <c r="I610" s="43" t="inlineStr">
        <is>
          <t>T3</t>
        </is>
      </c>
      <c r="J610" s="43" t="inlineStr">
        <is>
          <t>med-low</t>
        </is>
      </c>
      <c r="K610" s="29" t="n">
        <v>1</v>
      </c>
      <c r="L610" s="44">
        <f>60*G610/cruise_kt</f>
        <v/>
      </c>
      <c r="M610" s="44">
        <f>IF(B610="South Korea",G610/korea_charge_range_nm*korea_full_range_charge_min,0)</f>
        <v/>
      </c>
      <c r="N610" s="44">
        <f>IF(B610="South Korea",L610+korea_turn_min+korea_dwell_min+M610,L610+turn_min+dwell_min)</f>
        <v/>
      </c>
      <c r="O610" s="45">
        <f>IF(B610="South Korea",FLOOR(60*korea_service_hr/N610,1),MIN(15,FLOOR(60*service_hr/N610,1)))</f>
        <v/>
      </c>
      <c r="P610" s="45">
        <f>IF(ABS(MOD(ABS((365*mech_uptime*K610)),1)-0.5)&lt;1E-9,2*ROUND((365*mech_uptime*K610)/2,0),ROUND((365*mech_uptime*K610),0))</f>
        <v/>
      </c>
      <c r="Q610" s="46">
        <f>mech_uptime</f>
        <v/>
      </c>
      <c r="R610" s="46">
        <f>IF(AND(B610="South Korea",scenario="MID"),korea_mid_revleg,revleg_sel)</f>
        <v/>
      </c>
      <c r="S610" s="45">
        <f>IF(ABS(MOD(ABS((O610*P610*R610)),1)-0.5)&lt;1E-9,2*ROUND((O610*P610*R610)/2,0),ROUND((O610*P610*R610),0))</f>
        <v/>
      </c>
      <c r="T610" s="46">
        <f>IF(AND(B610="South Korea",scenario="MID"),korea_mid_load,load_sel)</f>
        <v/>
      </c>
      <c r="U610" s="47">
        <f>pax_cap*T610</f>
        <v/>
      </c>
      <c r="V610" s="45">
        <f>U610*S610</f>
        <v/>
      </c>
      <c r="W610" s="48">
        <f>H610*discount</f>
        <v/>
      </c>
      <c r="X610" s="49">
        <f>W610*V610</f>
        <v/>
      </c>
      <c r="Y610" s="49">
        <f>(battery/range_nm)*G610*S610*VLOOKUP(B610,country_opex,3,FALSE)</f>
        <v/>
      </c>
      <c r="Z610" s="49">
        <f>VLOOKUP(B610,country_opex,2,FALSE)*crew_factor</f>
        <v/>
      </c>
      <c r="AA610" s="49">
        <f>VLOOKUP(B610,country_opex,5,FALSE)</f>
        <v/>
      </c>
      <c r="AB610" s="49">
        <f>maint</f>
        <v/>
      </c>
      <c r="AC610" s="49">
        <f>VLOOKUP(B610,country_opex,7,FALSE)*ins_pct</f>
        <v/>
      </c>
      <c r="AD610" s="49">
        <f>charge_berth</f>
        <v/>
      </c>
      <c r="AE610" s="49">
        <f>Y610+Z610+AA610+AB610+AC610+AD610</f>
        <v/>
      </c>
      <c r="AF610" s="49">
        <f>VLOOKUP(B610,country_opex,7,FALSE)/dep_years</f>
        <v/>
      </c>
      <c r="AG610" s="49">
        <f>X610-AE610</f>
        <v/>
      </c>
      <c r="AH610" s="46">
        <f>IF(X610=0,"",AG610/X610)</f>
        <v/>
      </c>
      <c r="AI610" s="47">
        <f>IF(AG610&lt;=0,"",VLOOKUP(B610,country_opex,7,FALSE)/AG610)</f>
        <v/>
      </c>
      <c r="AJ610" s="44">
        <f>((G610*S610/diesel_nmpg)*diesel_co2pg-(battery/range_nm)*G610*S610*VLOOKUP(B610,country_opex,4,FALSE))/1000</f>
        <v/>
      </c>
      <c r="AK610" s="42" t="n">
        <v>5217</v>
      </c>
      <c r="AL610" s="43" t="inlineStr">
        <is>
          <t>T3</t>
        </is>
      </c>
      <c r="AM610" s="43" t="inlineStr">
        <is>
          <t>med-low</t>
        </is>
      </c>
      <c r="AN610" s="50" t="n">
        <v>0.1</v>
      </c>
      <c r="AO610" s="45">
        <f>IF(AK610="","",AK610*AN610)</f>
        <v/>
      </c>
      <c r="AP610" s="45">
        <f>IF(OR(AK610="",V610=0),"",MIN(IF(AX610="",9.9E+99,AX610),FLOOR(AO610/V610,1)))</f>
        <v/>
      </c>
      <c r="AQ610" s="49">
        <f>IF(AP610="","",AP610*IF(ABS(MOD(ABS((X610)),1)-0.5)&lt;1E-9,2*ROUND((X610)/2,0),ROUND((X610),0)))</f>
        <v/>
      </c>
      <c r="AR610" s="47">
        <f>IF(OR(AK610="",V610=0),"",MIN(IF(AX610="",9.9E+99,AX610),AO610/V610))</f>
        <v/>
      </c>
      <c r="AS610" s="49">
        <f>IF(AR610="","",AR610*IF(B610="South Korea",IF(ABS(MOD(ABS((X610)),1)-0.5)&lt;1E-9,2*ROUND((X610)/2,0),ROUND((X610),0)),X610))</f>
        <v/>
      </c>
      <c r="AT610" s="51" t="n"/>
      <c r="AU610" s="43" t="inlineStr">
        <is>
          <t>Grounded</t>
        </is>
      </c>
      <c r="AV610" s="52" t="n"/>
      <c r="AW610" s="52" t="n"/>
      <c r="AX610" s="53" t="n"/>
      <c r="AY610" s="54">
        <f>IF(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&lt;=0,"",VLOOKUP(B610,country_opex,7,FALSE)/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)</f>
        <v/>
      </c>
      <c r="AZ610" s="54">
        <f>IF(((W610*pax_cap*IF(B610="South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Korea",korea_mid_revleg,revleg_mid)),0))*VLOOKUP(B610,country_opex,3,FALSE))+Z610+AA610+AB610+AC610+AD610))&lt;=0,"",VLOOKUP(B610,country_opex,7,FALSE)/((W610*pax_cap*IF(B610="South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Korea",korea_mid_revleg,revleg_mid)),0))*VLOOKUP(B610,country_opex,3,FALSE))+Z610+AA610+AB610+AC610+AD610)))</f>
        <v/>
      </c>
      <c r="BA610" s="54">
        <f>IF(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&lt;=0,"",VLOOKUP(B610,country_opex,7,FALSE)/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)</f>
        <v/>
      </c>
      <c r="BB610" s="40" t="n"/>
      <c r="BC610" s="40" t="n"/>
      <c r="BD610" s="43" t="inlineStr">
        <is>
          <t>rn-86890f46f3a5</t>
        </is>
      </c>
    </row>
    <row r="611">
      <c r="A611" s="38" t="inlineStr">
        <is>
          <t>Gulf Authority Rakta</t>
        </is>
      </c>
      <c r="B611" s="38" t="inlineStr">
        <is>
          <t>United Arab Emirates</t>
        </is>
      </c>
      <c r="C611" s="39" t="inlineStr">
        <is>
          <t>ميناء صيادين غليلة → ميناء صيادين خورخوير</t>
        </is>
      </c>
      <c r="D611" s="38" t="inlineStr">
        <is>
          <t>rakta</t>
        </is>
      </c>
      <c r="E611" s="40" t="inlineStr">
        <is>
          <t>gulf-authority-bahrain-motc, gulf-authority-rakta</t>
        </is>
      </c>
      <c r="F611" s="41" t="n">
        <v>2</v>
      </c>
      <c r="G611" s="42" t="n">
        <v>2.8</v>
      </c>
      <c r="H611" s="35" t="n">
        <v>35</v>
      </c>
      <c r="I611" s="43" t="inlineStr">
        <is>
          <t>T3</t>
        </is>
      </c>
      <c r="J611" s="43" t="inlineStr">
        <is>
          <t>med-low</t>
        </is>
      </c>
      <c r="K611" s="29" t="n">
        <v>1</v>
      </c>
      <c r="L611" s="44">
        <f>60*G611/cruise_kt</f>
        <v/>
      </c>
      <c r="M611" s="44">
        <f>IF(B611="South Korea",G611/korea_charge_range_nm*korea_full_range_charge_min,0)</f>
        <v/>
      </c>
      <c r="N611" s="44">
        <f>IF(B611="South Korea",L611+korea_turn_min+korea_dwell_min+M611,L611+turn_min+dwell_min)</f>
        <v/>
      </c>
      <c r="O611" s="45">
        <f>IF(B611="South Korea",FLOOR(60*korea_service_hr/N611,1),MIN(15,FLOOR(60*service_hr/N611,1)))</f>
        <v/>
      </c>
      <c r="P611" s="45">
        <f>IF(ABS(MOD(ABS((365*mech_uptime*K611)),1)-0.5)&lt;1E-9,2*ROUND((365*mech_uptime*K611)/2,0),ROUND((365*mech_uptime*K611),0))</f>
        <v/>
      </c>
      <c r="Q611" s="46">
        <f>mech_uptime</f>
        <v/>
      </c>
      <c r="R611" s="46">
        <f>IF(AND(B611="South Korea",scenario="MID"),korea_mid_revleg,revleg_sel)</f>
        <v/>
      </c>
      <c r="S611" s="45">
        <f>IF(ABS(MOD(ABS((O611*P611*R611)),1)-0.5)&lt;1E-9,2*ROUND((O611*P611*R611)/2,0),ROUND((O611*P611*R611),0))</f>
        <v/>
      </c>
      <c r="T611" s="46">
        <f>IF(AND(B611="South Korea",scenario="MID"),korea_mid_load,load_sel)</f>
        <v/>
      </c>
      <c r="U611" s="47">
        <f>pax_cap*T611</f>
        <v/>
      </c>
      <c r="V611" s="45">
        <f>U611*S611</f>
        <v/>
      </c>
      <c r="W611" s="48">
        <f>H611*discount</f>
        <v/>
      </c>
      <c r="X611" s="49">
        <f>W611*V611</f>
        <v/>
      </c>
      <c r="Y611" s="49">
        <f>(battery/range_nm)*G611*S611*VLOOKUP(B611,country_opex,3,FALSE)</f>
        <v/>
      </c>
      <c r="Z611" s="49">
        <f>VLOOKUP(B611,country_opex,2,FALSE)*crew_factor</f>
        <v/>
      </c>
      <c r="AA611" s="49">
        <f>VLOOKUP(B611,country_opex,5,FALSE)</f>
        <v/>
      </c>
      <c r="AB611" s="49">
        <f>maint</f>
        <v/>
      </c>
      <c r="AC611" s="49">
        <f>VLOOKUP(B611,country_opex,7,FALSE)*ins_pct</f>
        <v/>
      </c>
      <c r="AD611" s="49">
        <f>charge_berth</f>
        <v/>
      </c>
      <c r="AE611" s="49">
        <f>Y611+Z611+AA611+AB611+AC611+AD611</f>
        <v/>
      </c>
      <c r="AF611" s="49">
        <f>VLOOKUP(B611,country_opex,7,FALSE)/dep_years</f>
        <v/>
      </c>
      <c r="AG611" s="49">
        <f>X611-AE611</f>
        <v/>
      </c>
      <c r="AH611" s="46">
        <f>IF(X611=0,"",AG611/X611)</f>
        <v/>
      </c>
      <c r="AI611" s="47">
        <f>IF(AG611&lt;=0,"",VLOOKUP(B611,country_opex,7,FALSE)/AG611)</f>
        <v/>
      </c>
      <c r="AJ611" s="44">
        <f>((G611*S611/diesel_nmpg)*diesel_co2pg-(battery/range_nm)*G611*S611*VLOOKUP(B611,country_opex,4,FALSE))/1000</f>
        <v/>
      </c>
      <c r="AK611" s="42" t="n">
        <v>5217</v>
      </c>
      <c r="AL611" s="43" t="inlineStr">
        <is>
          <t>T3</t>
        </is>
      </c>
      <c r="AM611" s="43" t="inlineStr">
        <is>
          <t>med-low</t>
        </is>
      </c>
      <c r="AN611" s="50" t="n">
        <v>0.1</v>
      </c>
      <c r="AO611" s="45">
        <f>IF(AK611="","",AK611*AN611)</f>
        <v/>
      </c>
      <c r="AP611" s="45">
        <f>IF(OR(AK611="",V611=0),"",MIN(IF(AX611="",9.9E+99,AX611),FLOOR(AO611/V611,1)))</f>
        <v/>
      </c>
      <c r="AQ611" s="49">
        <f>IF(AP611="","",AP611*IF(ABS(MOD(ABS((X611)),1)-0.5)&lt;1E-9,2*ROUND((X611)/2,0),ROUND((X611),0)))</f>
        <v/>
      </c>
      <c r="AR611" s="47">
        <f>IF(OR(AK611="",V611=0),"",MIN(IF(AX611="",9.9E+99,AX611),AO611/V611))</f>
        <v/>
      </c>
      <c r="AS611" s="49">
        <f>IF(AR611="","",AR611*IF(B611="South Korea",IF(ABS(MOD(ABS((X611)),1)-0.5)&lt;1E-9,2*ROUND((X611)/2,0),ROUND((X611),0)),X611))</f>
        <v/>
      </c>
      <c r="AT611" s="51" t="n"/>
      <c r="AU611" s="43" t="inlineStr">
        <is>
          <t>Grounded</t>
        </is>
      </c>
      <c r="AV611" s="52" t="n"/>
      <c r="AW611" s="52" t="n"/>
      <c r="AX611" s="53" t="n"/>
      <c r="AY611" s="54">
        <f>IF(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&lt;=0,"",VLOOKUP(B611,country_opex,7,FALSE)/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)</f>
        <v/>
      </c>
      <c r="AZ611" s="54">
        <f>IF(((W611*pax_cap*IF(B611="South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Korea",korea_mid_revleg,revleg_mid)),0))*VLOOKUP(B611,country_opex,3,FALSE))+Z611+AA611+AB611+AC611+AD611))&lt;=0,"",VLOOKUP(B611,country_opex,7,FALSE)/((W611*pax_cap*IF(B611="South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Korea",korea_mid_revleg,revleg_mid)),0))*VLOOKUP(B611,country_opex,3,FALSE))+Z611+AA611+AB611+AC611+AD611)))</f>
        <v/>
      </c>
      <c r="BA611" s="54">
        <f>IF(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&lt;=0,"",VLOOKUP(B611,country_opex,7,FALSE)/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)</f>
        <v/>
      </c>
      <c r="BB611" s="40" t="n"/>
      <c r="BC611" s="40" t="n"/>
      <c r="BD611" s="43" t="inlineStr">
        <is>
          <t>rn-501c17b57a72</t>
        </is>
      </c>
    </row>
    <row r="612">
      <c r="A612" s="38" t="inlineStr">
        <is>
          <t>Gulf Authority Rakta</t>
        </is>
      </c>
      <c r="B612" s="38" t="inlineStr">
        <is>
          <t>United Arab Emirates</t>
        </is>
      </c>
      <c r="C612" s="39" t="inlineStr">
        <is>
          <t>Acacia by Bin Majid jetty → The Cove Rotana Resort jetty</t>
        </is>
      </c>
      <c r="D612" s="38" t="inlineStr">
        <is>
          <t>rakta</t>
        </is>
      </c>
      <c r="E612" s="40" t="inlineStr">
        <is>
          <t>gulf-authority-bahrain-motc, gulf-authority-rakta</t>
        </is>
      </c>
      <c r="F612" s="41" t="n">
        <v>2</v>
      </c>
      <c r="G612" s="42" t="n">
        <v>2.9</v>
      </c>
      <c r="H612" s="35" t="n">
        <v>35</v>
      </c>
      <c r="I612" s="43" t="inlineStr">
        <is>
          <t>T3</t>
        </is>
      </c>
      <c r="J612" s="43" t="inlineStr">
        <is>
          <t>med-low</t>
        </is>
      </c>
      <c r="K612" s="29" t="n">
        <v>1</v>
      </c>
      <c r="L612" s="44">
        <f>60*G612/cruise_kt</f>
        <v/>
      </c>
      <c r="M612" s="44">
        <f>IF(B612="South Korea",G612/korea_charge_range_nm*korea_full_range_charge_min,0)</f>
        <v/>
      </c>
      <c r="N612" s="44">
        <f>IF(B612="South Korea",L612+korea_turn_min+korea_dwell_min+M612,L612+turn_min+dwell_min)</f>
        <v/>
      </c>
      <c r="O612" s="45">
        <f>IF(B612="South Korea",FLOOR(60*korea_service_hr/N612,1),MIN(15,FLOOR(60*service_hr/N612,1)))</f>
        <v/>
      </c>
      <c r="P612" s="45">
        <f>IF(ABS(MOD(ABS((365*mech_uptime*K612)),1)-0.5)&lt;1E-9,2*ROUND((365*mech_uptime*K612)/2,0),ROUND((365*mech_uptime*K612),0))</f>
        <v/>
      </c>
      <c r="Q612" s="46">
        <f>mech_uptime</f>
        <v/>
      </c>
      <c r="R612" s="46">
        <f>IF(AND(B612="South Korea",scenario="MID"),korea_mid_revleg,revleg_sel)</f>
        <v/>
      </c>
      <c r="S612" s="45">
        <f>IF(ABS(MOD(ABS((O612*P612*R612)),1)-0.5)&lt;1E-9,2*ROUND((O612*P612*R612)/2,0),ROUND((O612*P612*R612),0))</f>
        <v/>
      </c>
      <c r="T612" s="46">
        <f>IF(AND(B612="South Korea",scenario="MID"),korea_mid_load,load_sel)</f>
        <v/>
      </c>
      <c r="U612" s="47">
        <f>pax_cap*T612</f>
        <v/>
      </c>
      <c r="V612" s="45">
        <f>U612*S612</f>
        <v/>
      </c>
      <c r="W612" s="48">
        <f>H612*discount</f>
        <v/>
      </c>
      <c r="X612" s="49">
        <f>W612*V612</f>
        <v/>
      </c>
      <c r="Y612" s="49">
        <f>(battery/range_nm)*G612*S612*VLOOKUP(B612,country_opex,3,FALSE)</f>
        <v/>
      </c>
      <c r="Z612" s="49">
        <f>VLOOKUP(B612,country_opex,2,FALSE)*crew_factor</f>
        <v/>
      </c>
      <c r="AA612" s="49">
        <f>VLOOKUP(B612,country_opex,5,FALSE)</f>
        <v/>
      </c>
      <c r="AB612" s="49">
        <f>maint</f>
        <v/>
      </c>
      <c r="AC612" s="49">
        <f>VLOOKUP(B612,country_opex,7,FALSE)*ins_pct</f>
        <v/>
      </c>
      <c r="AD612" s="49">
        <f>charge_berth</f>
        <v/>
      </c>
      <c r="AE612" s="49">
        <f>Y612+Z612+AA612+AB612+AC612+AD612</f>
        <v/>
      </c>
      <c r="AF612" s="49">
        <f>VLOOKUP(B612,country_opex,7,FALSE)/dep_years</f>
        <v/>
      </c>
      <c r="AG612" s="49">
        <f>X612-AE612</f>
        <v/>
      </c>
      <c r="AH612" s="46">
        <f>IF(X612=0,"",AG612/X612)</f>
        <v/>
      </c>
      <c r="AI612" s="47">
        <f>IF(AG612&lt;=0,"",VLOOKUP(B612,country_opex,7,FALSE)/AG612)</f>
        <v/>
      </c>
      <c r="AJ612" s="44">
        <f>((G612*S612/diesel_nmpg)*diesel_co2pg-(battery/range_nm)*G612*S612*VLOOKUP(B612,country_opex,4,FALSE))/1000</f>
        <v/>
      </c>
      <c r="AK612" s="42" t="n">
        <v>5217</v>
      </c>
      <c r="AL612" s="43" t="inlineStr">
        <is>
          <t>T3</t>
        </is>
      </c>
      <c r="AM612" s="43" t="inlineStr">
        <is>
          <t>med-low</t>
        </is>
      </c>
      <c r="AN612" s="50" t="n">
        <v>0.1</v>
      </c>
      <c r="AO612" s="45">
        <f>IF(AK612="","",AK612*AN612)</f>
        <v/>
      </c>
      <c r="AP612" s="45">
        <f>IF(OR(AK612="",V612=0),"",MIN(IF(AX612="",9.9E+99,AX612),FLOOR(AO612/V612,1)))</f>
        <v/>
      </c>
      <c r="AQ612" s="49">
        <f>IF(AP612="","",AP612*IF(ABS(MOD(ABS((X612)),1)-0.5)&lt;1E-9,2*ROUND((X612)/2,0),ROUND((X612),0)))</f>
        <v/>
      </c>
      <c r="AR612" s="47">
        <f>IF(OR(AK612="",V612=0),"",MIN(IF(AX612="",9.9E+99,AX612),AO612/V612))</f>
        <v/>
      </c>
      <c r="AS612" s="49">
        <f>IF(AR612="","",AR612*IF(B612="South Korea",IF(ABS(MOD(ABS((X612)),1)-0.5)&lt;1E-9,2*ROUND((X612)/2,0),ROUND((X612),0)),X612))</f>
        <v/>
      </c>
      <c r="AT612" s="51" t="n"/>
      <c r="AU612" s="43" t="inlineStr">
        <is>
          <t>Grounded</t>
        </is>
      </c>
      <c r="AV612" s="52" t="n"/>
      <c r="AW612" s="52" t="n"/>
      <c r="AX612" s="53" t="n"/>
      <c r="AY612" s="54">
        <f>IF(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&lt;=0,"",VLOOKUP(B612,country_opex,7,FALSE)/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)</f>
        <v/>
      </c>
      <c r="AZ612" s="54">
        <f>IF(((W612*pax_cap*IF(B612="South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Korea",korea_mid_revleg,revleg_mid)),0))*VLOOKUP(B612,country_opex,3,FALSE))+Z612+AA612+AB612+AC612+AD612))&lt;=0,"",VLOOKUP(B612,country_opex,7,FALSE)/((W612*pax_cap*IF(B612="South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Korea",korea_mid_revleg,revleg_mid)),0))*VLOOKUP(B612,country_opex,3,FALSE))+Z612+AA612+AB612+AC612+AD612)))</f>
        <v/>
      </c>
      <c r="BA612" s="54">
        <f>IF(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&lt;=0,"",VLOOKUP(B612,country_opex,7,FALSE)/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)</f>
        <v/>
      </c>
      <c r="BB612" s="40" t="n"/>
      <c r="BC612" s="40" t="n"/>
      <c r="BD612" s="43" t="inlineStr">
        <is>
          <t>rn-c861bfe0ceb6</t>
        </is>
      </c>
    </row>
    <row r="613">
      <c r="A613" s="38" t="inlineStr">
        <is>
          <t>Gulf Authority Rakta</t>
        </is>
      </c>
      <c r="B613" s="38" t="inlineStr">
        <is>
          <t>United Arab Emirates</t>
        </is>
      </c>
      <c r="C613" s="39" t="inlineStr">
        <is>
          <t>Bin Majid Beach Resort jetty → The Cove Rotana Resort jetty</t>
        </is>
      </c>
      <c r="D613" s="38" t="inlineStr">
        <is>
          <t>rakta</t>
        </is>
      </c>
      <c r="E613" s="40" t="inlineStr">
        <is>
          <t>gulf-authority-bahrain-motc, gulf-authority-rakta</t>
        </is>
      </c>
      <c r="F613" s="41" t="n">
        <v>2</v>
      </c>
      <c r="G613" s="42" t="n">
        <v>3</v>
      </c>
      <c r="H613" s="35" t="n">
        <v>35</v>
      </c>
      <c r="I613" s="43" t="inlineStr">
        <is>
          <t>T3</t>
        </is>
      </c>
      <c r="J613" s="43" t="inlineStr">
        <is>
          <t>med-low</t>
        </is>
      </c>
      <c r="K613" s="29" t="n">
        <v>1</v>
      </c>
      <c r="L613" s="44">
        <f>60*G613/cruise_kt</f>
        <v/>
      </c>
      <c r="M613" s="44">
        <f>IF(B613="South Korea",G613/korea_charge_range_nm*korea_full_range_charge_min,0)</f>
        <v/>
      </c>
      <c r="N613" s="44">
        <f>IF(B613="South Korea",L613+korea_turn_min+korea_dwell_min+M613,L613+turn_min+dwell_min)</f>
        <v/>
      </c>
      <c r="O613" s="45">
        <f>IF(B613="South Korea",FLOOR(60*korea_service_hr/N613,1),MIN(15,FLOOR(60*service_hr/N613,1)))</f>
        <v/>
      </c>
      <c r="P613" s="45">
        <f>IF(ABS(MOD(ABS((365*mech_uptime*K613)),1)-0.5)&lt;1E-9,2*ROUND((365*mech_uptime*K613)/2,0),ROUND((365*mech_uptime*K613),0))</f>
        <v/>
      </c>
      <c r="Q613" s="46">
        <f>mech_uptime</f>
        <v/>
      </c>
      <c r="R613" s="46">
        <f>IF(AND(B613="South Korea",scenario="MID"),korea_mid_revleg,revleg_sel)</f>
        <v/>
      </c>
      <c r="S613" s="45">
        <f>IF(ABS(MOD(ABS((O613*P613*R613)),1)-0.5)&lt;1E-9,2*ROUND((O613*P613*R613)/2,0),ROUND((O613*P613*R613),0))</f>
        <v/>
      </c>
      <c r="T613" s="46">
        <f>IF(AND(B613="South Korea",scenario="MID"),korea_mid_load,load_sel)</f>
        <v/>
      </c>
      <c r="U613" s="47">
        <f>pax_cap*T613</f>
        <v/>
      </c>
      <c r="V613" s="45">
        <f>U613*S613</f>
        <v/>
      </c>
      <c r="W613" s="48">
        <f>H613*discount</f>
        <v/>
      </c>
      <c r="X613" s="49">
        <f>W613*V613</f>
        <v/>
      </c>
      <c r="Y613" s="49">
        <f>(battery/range_nm)*G613*S613*VLOOKUP(B613,country_opex,3,FALSE)</f>
        <v/>
      </c>
      <c r="Z613" s="49">
        <f>VLOOKUP(B613,country_opex,2,FALSE)*crew_factor</f>
        <v/>
      </c>
      <c r="AA613" s="49">
        <f>VLOOKUP(B613,country_opex,5,FALSE)</f>
        <v/>
      </c>
      <c r="AB613" s="49">
        <f>maint</f>
        <v/>
      </c>
      <c r="AC613" s="49">
        <f>VLOOKUP(B613,country_opex,7,FALSE)*ins_pct</f>
        <v/>
      </c>
      <c r="AD613" s="49">
        <f>charge_berth</f>
        <v/>
      </c>
      <c r="AE613" s="49">
        <f>Y613+Z613+AA613+AB613+AC613+AD613</f>
        <v/>
      </c>
      <c r="AF613" s="49">
        <f>VLOOKUP(B613,country_opex,7,FALSE)/dep_years</f>
        <v/>
      </c>
      <c r="AG613" s="49">
        <f>X613-AE613</f>
        <v/>
      </c>
      <c r="AH613" s="46">
        <f>IF(X613=0,"",AG613/X613)</f>
        <v/>
      </c>
      <c r="AI613" s="47">
        <f>IF(AG613&lt;=0,"",VLOOKUP(B613,country_opex,7,FALSE)/AG613)</f>
        <v/>
      </c>
      <c r="AJ613" s="44">
        <f>((G613*S613/diesel_nmpg)*diesel_co2pg-(battery/range_nm)*G613*S613*VLOOKUP(B613,country_opex,4,FALSE))/1000</f>
        <v/>
      </c>
      <c r="AK613" s="42" t="n">
        <v>5217</v>
      </c>
      <c r="AL613" s="43" t="inlineStr">
        <is>
          <t>T3</t>
        </is>
      </c>
      <c r="AM613" s="43" t="inlineStr">
        <is>
          <t>med-low</t>
        </is>
      </c>
      <c r="AN613" s="50" t="n">
        <v>0.1</v>
      </c>
      <c r="AO613" s="45">
        <f>IF(AK613="","",AK613*AN613)</f>
        <v/>
      </c>
      <c r="AP613" s="45">
        <f>IF(OR(AK613="",V613=0),"",MIN(IF(AX613="",9.9E+99,AX613),FLOOR(AO613/V613,1)))</f>
        <v/>
      </c>
      <c r="AQ613" s="49">
        <f>IF(AP613="","",AP613*IF(ABS(MOD(ABS((X613)),1)-0.5)&lt;1E-9,2*ROUND((X613)/2,0),ROUND((X613),0)))</f>
        <v/>
      </c>
      <c r="AR613" s="47">
        <f>IF(OR(AK613="",V613=0),"",MIN(IF(AX613="",9.9E+99,AX613),AO613/V613))</f>
        <v/>
      </c>
      <c r="AS613" s="49">
        <f>IF(AR613="","",AR613*IF(B613="South Korea",IF(ABS(MOD(ABS((X613)),1)-0.5)&lt;1E-9,2*ROUND((X613)/2,0),ROUND((X613),0)),X613))</f>
        <v/>
      </c>
      <c r="AT613" s="51" t="n"/>
      <c r="AU613" s="43" t="inlineStr">
        <is>
          <t>Grounded</t>
        </is>
      </c>
      <c r="AV613" s="52" t="n"/>
      <c r="AW613" s="52" t="n"/>
      <c r="AX613" s="53" t="n"/>
      <c r="AY613" s="54">
        <f>IF(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&lt;=0,"",VLOOKUP(B613,country_opex,7,FALSE)/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)</f>
        <v/>
      </c>
      <c r="AZ613" s="54">
        <f>IF(((W613*pax_cap*IF(B613="South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Korea",korea_mid_revleg,revleg_mid)),0))*VLOOKUP(B613,country_opex,3,FALSE))+Z613+AA613+AB613+AC613+AD613))&lt;=0,"",VLOOKUP(B613,country_opex,7,FALSE)/((W613*pax_cap*IF(B613="South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Korea",korea_mid_revleg,revleg_mid)),0))*VLOOKUP(B613,country_opex,3,FALSE))+Z613+AA613+AB613+AC613+AD613)))</f>
        <v/>
      </c>
      <c r="BA613" s="54">
        <f>IF(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&lt;=0,"",VLOOKUP(B613,country_opex,7,FALSE)/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)</f>
        <v/>
      </c>
      <c r="BB613" s="40" t="n"/>
      <c r="BC613" s="40" t="n"/>
      <c r="BD613" s="43" t="inlineStr">
        <is>
          <t>rn-86d55b7a87a5</t>
        </is>
      </c>
    </row>
    <row r="614">
      <c r="A614" s="38" t="inlineStr">
        <is>
          <t>Gulf Authority Rakta</t>
        </is>
      </c>
      <c r="B614" s="38" t="inlineStr">
        <is>
          <t>United Arab Emirates</t>
        </is>
      </c>
      <c r="C614" s="39" t="inlineStr">
        <is>
          <t>Raksa → Hilton Garden Inn Ras Al Khaimah (Corniche) jetty</t>
        </is>
      </c>
      <c r="D614" s="38" t="inlineStr">
        <is>
          <t>rakta</t>
        </is>
      </c>
      <c r="E614" s="40" t="inlineStr">
        <is>
          <t>gulf-authority-bahrain-motc, gulf-authority-rakta</t>
        </is>
      </c>
      <c r="F614" s="41" t="n">
        <v>2</v>
      </c>
      <c r="G614" s="42" t="n">
        <v>3</v>
      </c>
      <c r="H614" s="35" t="n">
        <v>35</v>
      </c>
      <c r="I614" s="43" t="inlineStr">
        <is>
          <t>T3</t>
        </is>
      </c>
      <c r="J614" s="43" t="inlineStr">
        <is>
          <t>med-low</t>
        </is>
      </c>
      <c r="K614" s="29" t="n">
        <v>1</v>
      </c>
      <c r="L614" s="44">
        <f>60*G614/cruise_kt</f>
        <v/>
      </c>
      <c r="M614" s="44">
        <f>IF(B614="South Korea",G614/korea_charge_range_nm*korea_full_range_charge_min,0)</f>
        <v/>
      </c>
      <c r="N614" s="44">
        <f>IF(B614="South Korea",L614+korea_turn_min+korea_dwell_min+M614,L614+turn_min+dwell_min)</f>
        <v/>
      </c>
      <c r="O614" s="45">
        <f>IF(B614="South Korea",FLOOR(60*korea_service_hr/N614,1),MIN(15,FLOOR(60*service_hr/N614,1)))</f>
        <v/>
      </c>
      <c r="P614" s="45">
        <f>IF(ABS(MOD(ABS((365*mech_uptime*K614)),1)-0.5)&lt;1E-9,2*ROUND((365*mech_uptime*K614)/2,0),ROUND((365*mech_uptime*K614),0))</f>
        <v/>
      </c>
      <c r="Q614" s="46">
        <f>mech_uptime</f>
        <v/>
      </c>
      <c r="R614" s="46">
        <f>IF(AND(B614="South Korea",scenario="MID"),korea_mid_revleg,revleg_sel)</f>
        <v/>
      </c>
      <c r="S614" s="45">
        <f>IF(ABS(MOD(ABS((O614*P614*R614)),1)-0.5)&lt;1E-9,2*ROUND((O614*P614*R614)/2,0),ROUND((O614*P614*R614),0))</f>
        <v/>
      </c>
      <c r="T614" s="46">
        <f>IF(AND(B614="South Korea",scenario="MID"),korea_mid_load,load_sel)</f>
        <v/>
      </c>
      <c r="U614" s="47">
        <f>pax_cap*T614</f>
        <v/>
      </c>
      <c r="V614" s="45">
        <f>U614*S614</f>
        <v/>
      </c>
      <c r="W614" s="48">
        <f>H614*discount</f>
        <v/>
      </c>
      <c r="X614" s="49">
        <f>W614*V614</f>
        <v/>
      </c>
      <c r="Y614" s="49">
        <f>(battery/range_nm)*G614*S614*VLOOKUP(B614,country_opex,3,FALSE)</f>
        <v/>
      </c>
      <c r="Z614" s="49">
        <f>VLOOKUP(B614,country_opex,2,FALSE)*crew_factor</f>
        <v/>
      </c>
      <c r="AA614" s="49">
        <f>VLOOKUP(B614,country_opex,5,FALSE)</f>
        <v/>
      </c>
      <c r="AB614" s="49">
        <f>maint</f>
        <v/>
      </c>
      <c r="AC614" s="49">
        <f>VLOOKUP(B614,country_opex,7,FALSE)*ins_pct</f>
        <v/>
      </c>
      <c r="AD614" s="49">
        <f>charge_berth</f>
        <v/>
      </c>
      <c r="AE614" s="49">
        <f>Y614+Z614+AA614+AB614+AC614+AD614</f>
        <v/>
      </c>
      <c r="AF614" s="49">
        <f>VLOOKUP(B614,country_opex,7,FALSE)/dep_years</f>
        <v/>
      </c>
      <c r="AG614" s="49">
        <f>X614-AE614</f>
        <v/>
      </c>
      <c r="AH614" s="46">
        <f>IF(X614=0,"",AG614/X614)</f>
        <v/>
      </c>
      <c r="AI614" s="47">
        <f>IF(AG614&lt;=0,"",VLOOKUP(B614,country_opex,7,FALSE)/AG614)</f>
        <v/>
      </c>
      <c r="AJ614" s="44">
        <f>((G614*S614/diesel_nmpg)*diesel_co2pg-(battery/range_nm)*G614*S614*VLOOKUP(B614,country_opex,4,FALSE))/1000</f>
        <v/>
      </c>
      <c r="AK614" s="42" t="n">
        <v>5217</v>
      </c>
      <c r="AL614" s="43" t="inlineStr">
        <is>
          <t>T3</t>
        </is>
      </c>
      <c r="AM614" s="43" t="inlineStr">
        <is>
          <t>med-low</t>
        </is>
      </c>
      <c r="AN614" s="50" t="n">
        <v>0.1</v>
      </c>
      <c r="AO614" s="45">
        <f>IF(AK614="","",AK614*AN614)</f>
        <v/>
      </c>
      <c r="AP614" s="45">
        <f>IF(OR(AK614="",V614=0),"",MIN(IF(AX614="",9.9E+99,AX614),FLOOR(AO614/V614,1)))</f>
        <v/>
      </c>
      <c r="AQ614" s="49">
        <f>IF(AP614="","",AP614*IF(ABS(MOD(ABS((X614)),1)-0.5)&lt;1E-9,2*ROUND((X614)/2,0),ROUND((X614),0)))</f>
        <v/>
      </c>
      <c r="AR614" s="47">
        <f>IF(OR(AK614="",V614=0),"",MIN(IF(AX614="",9.9E+99,AX614),AO614/V614))</f>
        <v/>
      </c>
      <c r="AS614" s="49">
        <f>IF(AR614="","",AR614*IF(B614="South Korea",IF(ABS(MOD(ABS((X614)),1)-0.5)&lt;1E-9,2*ROUND((X614)/2,0),ROUND((X614),0)),X614))</f>
        <v/>
      </c>
      <c r="AT614" s="51" t="n"/>
      <c r="AU614" s="43" t="inlineStr">
        <is>
          <t>Grounded</t>
        </is>
      </c>
      <c r="AV614" s="52" t="n"/>
      <c r="AW614" s="52" t="n"/>
      <c r="AX614" s="53" t="n"/>
      <c r="AY614" s="54">
        <f>IF(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&lt;=0,"",VLOOKUP(B614,country_opex,7,FALSE)/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)</f>
        <v/>
      </c>
      <c r="AZ614" s="54">
        <f>IF(((W614*pax_cap*IF(B614="South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Korea",korea_mid_revleg,revleg_mid)),0))*VLOOKUP(B614,country_opex,3,FALSE))+Z614+AA614+AB614+AC614+AD614))&lt;=0,"",VLOOKUP(B614,country_opex,7,FALSE)/((W614*pax_cap*IF(B614="South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Korea",korea_mid_revleg,revleg_mid)),0))*VLOOKUP(B614,country_opex,3,FALSE))+Z614+AA614+AB614+AC614+AD614)))</f>
        <v/>
      </c>
      <c r="BA614" s="54">
        <f>IF(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&lt;=0,"",VLOOKUP(B614,country_opex,7,FALSE)/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)</f>
        <v/>
      </c>
      <c r="BB614" s="40" t="n"/>
      <c r="BC614" s="40" t="n"/>
      <c r="BD614" s="43" t="inlineStr">
        <is>
          <t>rn-0fecef31458f</t>
        </is>
      </c>
    </row>
    <row r="615">
      <c r="A615" s="38" t="inlineStr">
        <is>
          <t>Gulf Authority Rakta</t>
        </is>
      </c>
      <c r="B615" s="38" t="inlineStr">
        <is>
          <t>United Arab Emirates</t>
        </is>
      </c>
      <c r="C615" s="39" t="inlineStr">
        <is>
          <t>Al Zorah Marina 1 → Hamriyah Port Main Harbour</t>
        </is>
      </c>
      <c r="D615" s="38" t="inlineStr">
        <is>
          <t>rakta</t>
        </is>
      </c>
      <c r="E615" s="40" t="inlineStr">
        <is>
          <t>gulf-authority-bahrain-motc, gulf-authority-rakta</t>
        </is>
      </c>
      <c r="F615" s="41" t="n">
        <v>2</v>
      </c>
      <c r="G615" s="42" t="n">
        <v>3.2</v>
      </c>
      <c r="H615" s="35" t="n">
        <v>35</v>
      </c>
      <c r="I615" s="43" t="inlineStr">
        <is>
          <t>T3</t>
        </is>
      </c>
      <c r="J615" s="43" t="inlineStr">
        <is>
          <t>med-low</t>
        </is>
      </c>
      <c r="K615" s="29" t="n">
        <v>1</v>
      </c>
      <c r="L615" s="44">
        <f>60*G615/cruise_kt</f>
        <v/>
      </c>
      <c r="M615" s="44">
        <f>IF(B615="South Korea",G615/korea_charge_range_nm*korea_full_range_charge_min,0)</f>
        <v/>
      </c>
      <c r="N615" s="44">
        <f>IF(B615="South Korea",L615+korea_turn_min+korea_dwell_min+M615,L615+turn_min+dwell_min)</f>
        <v/>
      </c>
      <c r="O615" s="45">
        <f>IF(B615="South Korea",FLOOR(60*korea_service_hr/N615,1),MIN(15,FLOOR(60*service_hr/N615,1)))</f>
        <v/>
      </c>
      <c r="P615" s="45">
        <f>IF(ABS(MOD(ABS((365*mech_uptime*K615)),1)-0.5)&lt;1E-9,2*ROUND((365*mech_uptime*K615)/2,0),ROUND((365*mech_uptime*K615),0))</f>
        <v/>
      </c>
      <c r="Q615" s="46">
        <f>mech_uptime</f>
        <v/>
      </c>
      <c r="R615" s="46">
        <f>IF(AND(B615="South Korea",scenario="MID"),korea_mid_revleg,revleg_sel)</f>
        <v/>
      </c>
      <c r="S615" s="45">
        <f>IF(ABS(MOD(ABS((O615*P615*R615)),1)-0.5)&lt;1E-9,2*ROUND((O615*P615*R615)/2,0),ROUND((O615*P615*R615),0))</f>
        <v/>
      </c>
      <c r="T615" s="46">
        <f>IF(AND(B615="South Korea",scenario="MID"),korea_mid_load,load_sel)</f>
        <v/>
      </c>
      <c r="U615" s="47">
        <f>pax_cap*T615</f>
        <v/>
      </c>
      <c r="V615" s="45">
        <f>U615*S615</f>
        <v/>
      </c>
      <c r="W615" s="48">
        <f>H615*discount</f>
        <v/>
      </c>
      <c r="X615" s="49">
        <f>W615*V615</f>
        <v/>
      </c>
      <c r="Y615" s="49">
        <f>(battery/range_nm)*G615*S615*VLOOKUP(B615,country_opex,3,FALSE)</f>
        <v/>
      </c>
      <c r="Z615" s="49">
        <f>VLOOKUP(B615,country_opex,2,FALSE)*crew_factor</f>
        <v/>
      </c>
      <c r="AA615" s="49">
        <f>VLOOKUP(B615,country_opex,5,FALSE)</f>
        <v/>
      </c>
      <c r="AB615" s="49">
        <f>maint</f>
        <v/>
      </c>
      <c r="AC615" s="49">
        <f>VLOOKUP(B615,country_opex,7,FALSE)*ins_pct</f>
        <v/>
      </c>
      <c r="AD615" s="49">
        <f>charge_berth</f>
        <v/>
      </c>
      <c r="AE615" s="49">
        <f>Y615+Z615+AA615+AB615+AC615+AD615</f>
        <v/>
      </c>
      <c r="AF615" s="49">
        <f>VLOOKUP(B615,country_opex,7,FALSE)/dep_years</f>
        <v/>
      </c>
      <c r="AG615" s="49">
        <f>X615-AE615</f>
        <v/>
      </c>
      <c r="AH615" s="46">
        <f>IF(X615=0,"",AG615/X615)</f>
        <v/>
      </c>
      <c r="AI615" s="47">
        <f>IF(AG615&lt;=0,"",VLOOKUP(B615,country_opex,7,FALSE)/AG615)</f>
        <v/>
      </c>
      <c r="AJ615" s="44">
        <f>((G615*S615/diesel_nmpg)*diesel_co2pg-(battery/range_nm)*G615*S615*VLOOKUP(B615,country_opex,4,FALSE))/1000</f>
        <v/>
      </c>
      <c r="AK615" s="42" t="n">
        <v>5217</v>
      </c>
      <c r="AL615" s="43" t="inlineStr">
        <is>
          <t>T3</t>
        </is>
      </c>
      <c r="AM615" s="43" t="inlineStr">
        <is>
          <t>med-low</t>
        </is>
      </c>
      <c r="AN615" s="50" t="n">
        <v>0.1</v>
      </c>
      <c r="AO615" s="45">
        <f>IF(AK615="","",AK615*AN615)</f>
        <v/>
      </c>
      <c r="AP615" s="45">
        <f>IF(OR(AK615="",V615=0),"",MIN(IF(AX615="",9.9E+99,AX615),FLOOR(AO615/V615,1)))</f>
        <v/>
      </c>
      <c r="AQ615" s="49">
        <f>IF(AP615="","",AP615*IF(ABS(MOD(ABS((X615)),1)-0.5)&lt;1E-9,2*ROUND((X615)/2,0),ROUND((X615),0)))</f>
        <v/>
      </c>
      <c r="AR615" s="47">
        <f>IF(OR(AK615="",V615=0),"",MIN(IF(AX615="",9.9E+99,AX615),AO615/V615))</f>
        <v/>
      </c>
      <c r="AS615" s="49">
        <f>IF(AR615="","",AR615*IF(B615="South Korea",IF(ABS(MOD(ABS((X615)),1)-0.5)&lt;1E-9,2*ROUND((X615)/2,0),ROUND((X615),0)),X615))</f>
        <v/>
      </c>
      <c r="AT615" s="51" t="n"/>
      <c r="AU615" s="43" t="inlineStr">
        <is>
          <t>Grounded</t>
        </is>
      </c>
      <c r="AV615" s="52" t="n"/>
      <c r="AW615" s="52" t="n"/>
      <c r="AX615" s="53" t="n"/>
      <c r="AY615" s="54">
        <f>IF(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&lt;=0,"",VLOOKUP(B615,country_opex,7,FALSE)/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)</f>
        <v/>
      </c>
      <c r="AZ615" s="54">
        <f>IF(((W615*pax_cap*IF(B615="South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Korea",korea_mid_revleg,revleg_mid)),0))*VLOOKUP(B615,country_opex,3,FALSE))+Z615+AA615+AB615+AC615+AD615))&lt;=0,"",VLOOKUP(B615,country_opex,7,FALSE)/((W615*pax_cap*IF(B615="South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Korea",korea_mid_revleg,revleg_mid)),0))*VLOOKUP(B615,country_opex,3,FALSE))+Z615+AA615+AB615+AC615+AD615)))</f>
        <v/>
      </c>
      <c r="BA615" s="54">
        <f>IF(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&lt;=0,"",VLOOKUP(B615,country_opex,7,FALSE)/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)</f>
        <v/>
      </c>
      <c r="BB615" s="40" t="n"/>
      <c r="BC615" s="40" t="n"/>
      <c r="BD615" s="43" t="inlineStr">
        <is>
          <t>rn-bcf9fd99ef5a</t>
        </is>
      </c>
    </row>
    <row r="616">
      <c r="A616" s="38" t="inlineStr">
        <is>
          <t>UAE (Careem)</t>
        </is>
      </c>
      <c r="B616" s="38" t="inlineStr">
        <is>
          <t>United Arab Emirates</t>
        </is>
      </c>
      <c r="C616" s="39" t="inlineStr">
        <is>
          <t>Dubai Harbour Marina → Anantara The Palm Dubai Jetty</t>
        </is>
      </c>
      <c r="D616" s="38" t="inlineStr">
        <is>
          <t>careem</t>
        </is>
      </c>
      <c r="E616" s="40" t="inlineStr">
        <is>
          <t>bolt-uae, uae-careem, uae-luxury, uae-noon, uae-voi, yango-uae</t>
        </is>
      </c>
      <c r="F616" s="41" t="n">
        <v>6</v>
      </c>
      <c r="G616" s="42" t="n">
        <v>3.4</v>
      </c>
      <c r="H616" s="35" t="n"/>
      <c r="I616" s="43" t="n"/>
      <c r="J616" s="43" t="n"/>
      <c r="K616" s="29" t="n">
        <v>1</v>
      </c>
      <c r="L616" s="44">
        <f>60*G616/cruise_kt</f>
        <v/>
      </c>
      <c r="M616" s="44">
        <f>IF(B616="South Korea",G616/korea_charge_range_nm*korea_full_range_charge_min,0)</f>
        <v/>
      </c>
      <c r="N616" s="44">
        <f>IF(B616="South Korea",L616+korea_turn_min+korea_dwell_min+M616,L616+turn_min+dwell_min)</f>
        <v/>
      </c>
      <c r="O616" s="45">
        <f>IF(B616="South Korea",FLOOR(60*korea_service_hr/N616,1),MIN(15,FLOOR(60*service_hr/N616,1)))</f>
        <v/>
      </c>
      <c r="P616" s="45">
        <f>IF(ABS(MOD(ABS((365*mech_uptime*K616)),1)-0.5)&lt;1E-9,2*ROUND((365*mech_uptime*K616)/2,0),ROUND((365*mech_uptime*K616),0))</f>
        <v/>
      </c>
      <c r="Q616" s="46">
        <f>mech_uptime</f>
        <v/>
      </c>
      <c r="R616" s="46">
        <f>IF(AND(B616="South Korea",scenario="MID"),korea_mid_revleg,revleg_sel)</f>
        <v/>
      </c>
      <c r="S616" s="45">
        <f>IF(ABS(MOD(ABS((O616*P616*R616)),1)-0.5)&lt;1E-9,2*ROUND((O616*P616*R616)/2,0),ROUND((O616*P616*R616),0))</f>
        <v/>
      </c>
      <c r="T616" s="46">
        <f>IF(AND(B616="South Korea",scenario="MID"),korea_mid_load,load_sel)</f>
        <v/>
      </c>
      <c r="U616" s="47">
        <f>pax_cap*T616</f>
        <v/>
      </c>
      <c r="V616" s="45">
        <f>U616*S616</f>
        <v/>
      </c>
      <c r="W616" s="48">
        <f>H616*discount</f>
        <v/>
      </c>
      <c r="X616" s="49">
        <f>W616*V616</f>
        <v/>
      </c>
      <c r="Y616" s="49">
        <f>(battery/range_nm)*G616*S616*VLOOKUP(B616,country_opex,3,FALSE)</f>
        <v/>
      </c>
      <c r="Z616" s="49">
        <f>VLOOKUP(B616,country_opex,2,FALSE)*crew_factor</f>
        <v/>
      </c>
      <c r="AA616" s="49">
        <f>VLOOKUP(B616,country_opex,5,FALSE)</f>
        <v/>
      </c>
      <c r="AB616" s="49">
        <f>maint</f>
        <v/>
      </c>
      <c r="AC616" s="49">
        <f>VLOOKUP(B616,country_opex,7,FALSE)*ins_pct</f>
        <v/>
      </c>
      <c r="AD616" s="49">
        <f>charge_berth</f>
        <v/>
      </c>
      <c r="AE616" s="49">
        <f>Y616+Z616+AA616+AB616+AC616+AD616</f>
        <v/>
      </c>
      <c r="AF616" s="49">
        <f>VLOOKUP(B616,country_opex,7,FALSE)/dep_years</f>
        <v/>
      </c>
      <c r="AG616" s="49">
        <f>X616-AE616</f>
        <v/>
      </c>
      <c r="AH616" s="46">
        <f>IF(X616=0,"",AG616/X616)</f>
        <v/>
      </c>
      <c r="AI616" s="47">
        <f>IF(AG616&lt;=0,"",VLOOKUP(B616,country_opex,7,FALSE)/AG616)</f>
        <v/>
      </c>
      <c r="AJ616" s="44">
        <f>((G616*S616/diesel_nmpg)*diesel_co2pg-(battery/range_nm)*G616*S616*VLOOKUP(B616,country_opex,4,FALSE))/1000</f>
        <v/>
      </c>
      <c r="AK616" s="42" t="n"/>
      <c r="AL616" s="43" t="n"/>
      <c r="AM616" s="43" t="n"/>
      <c r="AN616" s="50" t="n">
        <v>0.1</v>
      </c>
      <c r="AO616" s="45">
        <f>IF(AK616="","",AK616*AN616)</f>
        <v/>
      </c>
      <c r="AP616" s="45">
        <f>IF(OR(AK616="",V616=0),"",MIN(IF(AX616="",9.9E+99,AX616),FLOOR(AO616/V616,1)))</f>
        <v/>
      </c>
      <c r="AQ616" s="49">
        <f>IF(AP616="","",AP616*IF(ABS(MOD(ABS((X616)),1)-0.5)&lt;1E-9,2*ROUND((X616)/2,0),ROUND((X616),0)))</f>
        <v/>
      </c>
      <c r="AR616" s="47">
        <f>IF(OR(AK616="",V616=0),"",MIN(IF(AX616="",9.9E+99,AX616),AO616/V616))</f>
        <v/>
      </c>
      <c r="AS616" s="49">
        <f>IF(AR616="","",AR616*IF(B616="South Korea",IF(ABS(MOD(ABS((X616)),1)-0.5)&lt;1E-9,2*ROUND((X616)/2,0),ROUND((X616),0)),X616))</f>
        <v/>
      </c>
      <c r="AT616" s="51" t="n"/>
      <c r="AU616" s="43" t="inlineStr">
        <is>
          <t>Estimated</t>
        </is>
      </c>
      <c r="AV616" s="52" t="n"/>
      <c r="AW616" s="52" t="n"/>
      <c r="AX616" s="53" t="n"/>
      <c r="AY616" s="54">
        <f>IF(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&lt;=0,"",VLOOKUP(B616,country_opex,7,FALSE)/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)</f>
        <v/>
      </c>
      <c r="AZ616" s="54">
        <f>IF(((W616*pax_cap*IF(B616="South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Korea",korea_mid_revleg,revleg_mid)),0))*VLOOKUP(B616,country_opex,3,FALSE))+Z616+AA616+AB616+AC616+AD616))&lt;=0,"",VLOOKUP(B616,country_opex,7,FALSE)/((W616*pax_cap*IF(B616="South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Korea",korea_mid_revleg,revleg_mid)),0))*VLOOKUP(B616,country_opex,3,FALSE))+Z616+AA616+AB616+AC616+AD616)))</f>
        <v/>
      </c>
      <c r="BA616" s="54">
        <f>IF(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&lt;=0,"",VLOOKUP(B616,country_opex,7,FALSE)/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)</f>
        <v/>
      </c>
      <c r="BB616" s="40" t="n"/>
      <c r="BC616" s="40" t="n"/>
      <c r="BD616" s="43" t="inlineStr">
        <is>
          <t>rn-b0d5e6498ee4</t>
        </is>
      </c>
    </row>
    <row r="617">
      <c r="A617" s="38" t="inlineStr">
        <is>
          <t>UAE (Careem)</t>
        </is>
      </c>
      <c r="B617" s="38" t="inlineStr">
        <is>
          <t>United Arab Emirates</t>
        </is>
      </c>
      <c r="C617" s="39" t="inlineStr">
        <is>
          <t>Al Bateen Marina → Hudayriat Marina</t>
        </is>
      </c>
      <c r="D617" s="38" t="inlineStr">
        <is>
          <t>careem</t>
        </is>
      </c>
      <c r="E617" s="40" t="inlineStr">
        <is>
          <t>bolt-uae, uae-careem, uae-luxury, uae-noon, uae-voi, yango-uae</t>
        </is>
      </c>
      <c r="F617" s="41" t="n">
        <v>6</v>
      </c>
      <c r="G617" s="42" t="n">
        <v>3.6</v>
      </c>
      <c r="H617" s="35" t="n">
        <v>90</v>
      </c>
      <c r="I617" s="43" t="inlineStr">
        <is>
          <t>T4</t>
        </is>
      </c>
      <c r="J617" s="43" t="inlineStr">
        <is>
          <t>low</t>
        </is>
      </c>
      <c r="K617" s="29" t="n">
        <v>1</v>
      </c>
      <c r="L617" s="44">
        <f>60*G617/cruise_kt</f>
        <v/>
      </c>
      <c r="M617" s="44">
        <f>IF(B617="South Korea",G617/korea_charge_range_nm*korea_full_range_charge_min,0)</f>
        <v/>
      </c>
      <c r="N617" s="44">
        <f>IF(B617="South Korea",L617+korea_turn_min+korea_dwell_min+M617,L617+turn_min+dwell_min)</f>
        <v/>
      </c>
      <c r="O617" s="45">
        <f>IF(B617="South Korea",FLOOR(60*korea_service_hr/N617,1),MIN(15,FLOOR(60*service_hr/N617,1)))</f>
        <v/>
      </c>
      <c r="P617" s="45">
        <f>IF(ABS(MOD(ABS((365*mech_uptime*K617)),1)-0.5)&lt;1E-9,2*ROUND((365*mech_uptime*K617)/2,0),ROUND((365*mech_uptime*K617),0))</f>
        <v/>
      </c>
      <c r="Q617" s="46">
        <f>mech_uptime</f>
        <v/>
      </c>
      <c r="R617" s="46">
        <f>IF(AND(B617="South Korea",scenario="MID"),korea_mid_revleg,revleg_sel)</f>
        <v/>
      </c>
      <c r="S617" s="45">
        <f>IF(ABS(MOD(ABS((O617*P617*R617)),1)-0.5)&lt;1E-9,2*ROUND((O617*P617*R617)/2,0),ROUND((O617*P617*R617),0))</f>
        <v/>
      </c>
      <c r="T617" s="46">
        <f>IF(AND(B617="South Korea",scenario="MID"),korea_mid_load,load_sel)</f>
        <v/>
      </c>
      <c r="U617" s="47">
        <f>pax_cap*T617</f>
        <v/>
      </c>
      <c r="V617" s="45">
        <f>U617*S617</f>
        <v/>
      </c>
      <c r="W617" s="48">
        <f>H617*discount</f>
        <v/>
      </c>
      <c r="X617" s="49">
        <f>W617*V617</f>
        <v/>
      </c>
      <c r="Y617" s="49">
        <f>(battery/range_nm)*G617*S617*VLOOKUP(B617,country_opex,3,FALSE)</f>
        <v/>
      </c>
      <c r="Z617" s="49">
        <f>VLOOKUP(B617,country_opex,2,FALSE)*crew_factor</f>
        <v/>
      </c>
      <c r="AA617" s="49">
        <f>VLOOKUP(B617,country_opex,5,FALSE)</f>
        <v/>
      </c>
      <c r="AB617" s="49">
        <f>maint</f>
        <v/>
      </c>
      <c r="AC617" s="49">
        <f>VLOOKUP(B617,country_opex,7,FALSE)*ins_pct</f>
        <v/>
      </c>
      <c r="AD617" s="49">
        <f>charge_berth</f>
        <v/>
      </c>
      <c r="AE617" s="49">
        <f>Y617+Z617+AA617+AB617+AC617+AD617</f>
        <v/>
      </c>
      <c r="AF617" s="49">
        <f>VLOOKUP(B617,country_opex,7,FALSE)/dep_years</f>
        <v/>
      </c>
      <c r="AG617" s="49">
        <f>X617-AE617</f>
        <v/>
      </c>
      <c r="AH617" s="46">
        <f>IF(X617=0,"",AG617/X617)</f>
        <v/>
      </c>
      <c r="AI617" s="47">
        <f>IF(AG617&lt;=0,"",VLOOKUP(B617,country_opex,7,FALSE)/AG617)</f>
        <v/>
      </c>
      <c r="AJ617" s="44">
        <f>((G617*S617/diesel_nmpg)*diesel_co2pg-(battery/range_nm)*G617*S617*VLOOKUP(B617,country_opex,4,FALSE))/1000</f>
        <v/>
      </c>
      <c r="AK617" s="42" t="n">
        <v>35000</v>
      </c>
      <c r="AL617" s="43" t="inlineStr">
        <is>
          <t>T3</t>
        </is>
      </c>
      <c r="AM617" s="43" t="inlineStr">
        <is>
          <t>low</t>
        </is>
      </c>
      <c r="AN617" s="50" t="n">
        <v>0.1</v>
      </c>
      <c r="AO617" s="45">
        <f>IF(AK617="","",AK617*AN617)</f>
        <v/>
      </c>
      <c r="AP617" s="45">
        <f>IF(OR(AK617="",V617=0),"",MIN(IF(AX617="",9.9E+99,AX617),FLOOR(AO617/V617,1)))</f>
        <v/>
      </c>
      <c r="AQ617" s="49">
        <f>IF(AP617="","",AP617*IF(ABS(MOD(ABS((X617)),1)-0.5)&lt;1E-9,2*ROUND((X617)/2,0),ROUND((X617),0)))</f>
        <v/>
      </c>
      <c r="AR617" s="47">
        <f>IF(OR(AK617="",V617=0),"",MIN(IF(AX617="",9.9E+99,AX617),AO617/V617))</f>
        <v/>
      </c>
      <c r="AS617" s="49">
        <f>IF(AR617="","",AR617*IF(B617="South Korea",IF(ABS(MOD(ABS((X617)),1)-0.5)&lt;1E-9,2*ROUND((X617)/2,0),ROUND((X617),0)),X617))</f>
        <v/>
      </c>
      <c r="AT617" s="51" t="n"/>
      <c r="AU617" s="43" t="inlineStr">
        <is>
          <t>Grounded</t>
        </is>
      </c>
      <c r="AV617" s="52" t="n"/>
      <c r="AW617" s="52" t="n"/>
      <c r="AX617" s="53" t="n"/>
      <c r="AY617" s="54">
        <f>IF(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&lt;=0,"",VLOOKUP(B617,country_opex,7,FALSE)/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)</f>
        <v/>
      </c>
      <c r="AZ617" s="54">
        <f>IF(((W617*pax_cap*IF(B617="South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Korea",korea_mid_revleg,revleg_mid)),0))*VLOOKUP(B617,country_opex,3,FALSE))+Z617+AA617+AB617+AC617+AD617))&lt;=0,"",VLOOKUP(B617,country_opex,7,FALSE)/((W617*pax_cap*IF(B617="South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Korea",korea_mid_revleg,revleg_mid)),0))*VLOOKUP(B617,country_opex,3,FALSE))+Z617+AA617+AB617+AC617+AD617)))</f>
        <v/>
      </c>
      <c r="BA617" s="54">
        <f>IF(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&lt;=0,"",VLOOKUP(B617,country_opex,7,FALSE)/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)</f>
        <v/>
      </c>
      <c r="BB617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C617" s="40" t="inlineStr">
        <is>
          <t>UAE-DEMAND-ANCHORS-2026-06-17.json — tier-based addressable pool derived from sourcing wave anchors (hotel keys × occ × shuttle adoption, marina activity, RTA marine baseline).</t>
        </is>
      </c>
      <c r="BD617" s="43" t="inlineStr">
        <is>
          <t>rn-0721cde8d55b</t>
        </is>
      </c>
    </row>
    <row r="618">
      <c r="A618" s="38" t="inlineStr">
        <is>
          <t>Gulf Authority Rakta</t>
        </is>
      </c>
      <c r="B618" s="38" t="inlineStr">
        <is>
          <t>United Arab Emirates</t>
        </is>
      </c>
      <c r="C618" s="39" t="inlineStr">
        <is>
          <t>Ajman Marina → Hamriyah Port Main Harbour</t>
        </is>
      </c>
      <c r="D618" s="38" t="inlineStr">
        <is>
          <t>rakta</t>
        </is>
      </c>
      <c r="E618" s="40" t="inlineStr">
        <is>
          <t>gulf-authority-bahrain-motc, gulf-authority-rakta</t>
        </is>
      </c>
      <c r="F618" s="41" t="n">
        <v>2</v>
      </c>
      <c r="G618" s="42" t="n">
        <v>3.9</v>
      </c>
      <c r="H618" s="35" t="n">
        <v>35</v>
      </c>
      <c r="I618" s="43" t="inlineStr">
        <is>
          <t>T3</t>
        </is>
      </c>
      <c r="J618" s="43" t="inlineStr">
        <is>
          <t>med-low</t>
        </is>
      </c>
      <c r="K618" s="29" t="n">
        <v>1</v>
      </c>
      <c r="L618" s="44">
        <f>60*G618/cruise_kt</f>
        <v/>
      </c>
      <c r="M618" s="44">
        <f>IF(B618="South Korea",G618/korea_charge_range_nm*korea_full_range_charge_min,0)</f>
        <v/>
      </c>
      <c r="N618" s="44">
        <f>IF(B618="South Korea",L618+korea_turn_min+korea_dwell_min+M618,L618+turn_min+dwell_min)</f>
        <v/>
      </c>
      <c r="O618" s="45">
        <f>IF(B618="South Korea",FLOOR(60*korea_service_hr/N618,1),MIN(15,FLOOR(60*service_hr/N618,1)))</f>
        <v/>
      </c>
      <c r="P618" s="45">
        <f>IF(ABS(MOD(ABS((365*mech_uptime*K618)),1)-0.5)&lt;1E-9,2*ROUND((365*mech_uptime*K618)/2,0),ROUND((365*mech_uptime*K618),0))</f>
        <v/>
      </c>
      <c r="Q618" s="46">
        <f>mech_uptime</f>
        <v/>
      </c>
      <c r="R618" s="46">
        <f>IF(AND(B618="South Korea",scenario="MID"),korea_mid_revleg,revleg_sel)</f>
        <v/>
      </c>
      <c r="S618" s="45">
        <f>IF(ABS(MOD(ABS((O618*P618*R618)),1)-0.5)&lt;1E-9,2*ROUND((O618*P618*R618)/2,0),ROUND((O618*P618*R618),0))</f>
        <v/>
      </c>
      <c r="T618" s="46">
        <f>IF(AND(B618="South Korea",scenario="MID"),korea_mid_load,load_sel)</f>
        <v/>
      </c>
      <c r="U618" s="47">
        <f>pax_cap*T618</f>
        <v/>
      </c>
      <c r="V618" s="45">
        <f>U618*S618</f>
        <v/>
      </c>
      <c r="W618" s="48">
        <f>H618*discount</f>
        <v/>
      </c>
      <c r="X618" s="49">
        <f>W618*V618</f>
        <v/>
      </c>
      <c r="Y618" s="49">
        <f>(battery/range_nm)*G618*S618*VLOOKUP(B618,country_opex,3,FALSE)</f>
        <v/>
      </c>
      <c r="Z618" s="49">
        <f>VLOOKUP(B618,country_opex,2,FALSE)*crew_factor</f>
        <v/>
      </c>
      <c r="AA618" s="49">
        <f>VLOOKUP(B618,country_opex,5,FALSE)</f>
        <v/>
      </c>
      <c r="AB618" s="49">
        <f>maint</f>
        <v/>
      </c>
      <c r="AC618" s="49">
        <f>VLOOKUP(B618,country_opex,7,FALSE)*ins_pct</f>
        <v/>
      </c>
      <c r="AD618" s="49">
        <f>charge_berth</f>
        <v/>
      </c>
      <c r="AE618" s="49">
        <f>Y618+Z618+AA618+AB618+AC618+AD618</f>
        <v/>
      </c>
      <c r="AF618" s="49">
        <f>VLOOKUP(B618,country_opex,7,FALSE)/dep_years</f>
        <v/>
      </c>
      <c r="AG618" s="49">
        <f>X618-AE618</f>
        <v/>
      </c>
      <c r="AH618" s="46">
        <f>IF(X618=0,"",AG618/X618)</f>
        <v/>
      </c>
      <c r="AI618" s="47">
        <f>IF(AG618&lt;=0,"",VLOOKUP(B618,country_opex,7,FALSE)/AG618)</f>
        <v/>
      </c>
      <c r="AJ618" s="44">
        <f>((G618*S618/diesel_nmpg)*diesel_co2pg-(battery/range_nm)*G618*S618*VLOOKUP(B618,country_opex,4,FALSE))/1000</f>
        <v/>
      </c>
      <c r="AK618" s="42" t="n">
        <v>5217</v>
      </c>
      <c r="AL618" s="43" t="inlineStr">
        <is>
          <t>T3</t>
        </is>
      </c>
      <c r="AM618" s="43" t="inlineStr">
        <is>
          <t>med-low</t>
        </is>
      </c>
      <c r="AN618" s="50" t="n">
        <v>0.1</v>
      </c>
      <c r="AO618" s="45">
        <f>IF(AK618="","",AK618*AN618)</f>
        <v/>
      </c>
      <c r="AP618" s="45">
        <f>IF(OR(AK618="",V618=0),"",MIN(IF(AX618="",9.9E+99,AX618),FLOOR(AO618/V618,1)))</f>
        <v/>
      </c>
      <c r="AQ618" s="49">
        <f>IF(AP618="","",AP618*IF(ABS(MOD(ABS((X618)),1)-0.5)&lt;1E-9,2*ROUND((X618)/2,0),ROUND((X618),0)))</f>
        <v/>
      </c>
      <c r="AR618" s="47">
        <f>IF(OR(AK618="",V618=0),"",MIN(IF(AX618="",9.9E+99,AX618),AO618/V618))</f>
        <v/>
      </c>
      <c r="AS618" s="49">
        <f>IF(AR618="","",AR618*IF(B618="South Korea",IF(ABS(MOD(ABS((X618)),1)-0.5)&lt;1E-9,2*ROUND((X618)/2,0),ROUND((X618),0)),X618))</f>
        <v/>
      </c>
      <c r="AT618" s="51" t="n"/>
      <c r="AU618" s="43" t="inlineStr">
        <is>
          <t>Grounded</t>
        </is>
      </c>
      <c r="AV618" s="52" t="n"/>
      <c r="AW618" s="52" t="n"/>
      <c r="AX618" s="53" t="n"/>
      <c r="AY618" s="54">
        <f>IF(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&lt;=0,"",VLOOKUP(B618,country_opex,7,FALSE)/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)</f>
        <v/>
      </c>
      <c r="AZ618" s="54">
        <f>IF(((W618*pax_cap*IF(B618="South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Korea",korea_mid_revleg,revleg_mid)),0))*VLOOKUP(B618,country_opex,3,FALSE))+Z618+AA618+AB618+AC618+AD618))&lt;=0,"",VLOOKUP(B618,country_opex,7,FALSE)/((W618*pax_cap*IF(B618="South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Korea",korea_mid_revleg,revleg_mid)),0))*VLOOKUP(B618,country_opex,3,FALSE))+Z618+AA618+AB618+AC618+AD618)))</f>
        <v/>
      </c>
      <c r="BA618" s="54">
        <f>IF(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&lt;=0,"",VLOOKUP(B618,country_opex,7,FALSE)/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)</f>
        <v/>
      </c>
      <c r="BB618" s="40" t="n"/>
      <c r="BC618" s="40" t="n"/>
      <c r="BD618" s="43" t="inlineStr">
        <is>
          <t>rn-a68b658bd154</t>
        </is>
      </c>
    </row>
    <row r="619">
      <c r="A619" s="38" t="inlineStr">
        <is>
          <t>Gulf Authority Rakta</t>
        </is>
      </c>
      <c r="B619" s="38" t="inlineStr">
        <is>
          <t>United Arab Emirates</t>
        </is>
      </c>
      <c r="C619" s="39" t="inlineStr">
        <is>
          <t>Sha'am coastal staging point → ميناء صيادين غليلة</t>
        </is>
      </c>
      <c r="D619" s="38" t="inlineStr">
        <is>
          <t>rakta</t>
        </is>
      </c>
      <c r="E619" s="40" t="inlineStr">
        <is>
          <t>gulf-authority-bahrain-motc, gulf-authority-rakta</t>
        </is>
      </c>
      <c r="F619" s="41" t="n">
        <v>2</v>
      </c>
      <c r="G619" s="42" t="n">
        <v>3.9</v>
      </c>
      <c r="H619" s="35" t="n">
        <v>35</v>
      </c>
      <c r="I619" s="43" t="inlineStr">
        <is>
          <t>T3</t>
        </is>
      </c>
      <c r="J619" s="43" t="inlineStr">
        <is>
          <t>med-low</t>
        </is>
      </c>
      <c r="K619" s="29" t="n">
        <v>1</v>
      </c>
      <c r="L619" s="44">
        <f>60*G619/cruise_kt</f>
        <v/>
      </c>
      <c r="M619" s="44">
        <f>IF(B619="South Korea",G619/korea_charge_range_nm*korea_full_range_charge_min,0)</f>
        <v/>
      </c>
      <c r="N619" s="44">
        <f>IF(B619="South Korea",L619+korea_turn_min+korea_dwell_min+M619,L619+turn_min+dwell_min)</f>
        <v/>
      </c>
      <c r="O619" s="45">
        <f>IF(B619="South Korea",FLOOR(60*korea_service_hr/N619,1),MIN(15,FLOOR(60*service_hr/N619,1)))</f>
        <v/>
      </c>
      <c r="P619" s="45">
        <f>IF(ABS(MOD(ABS((365*mech_uptime*K619)),1)-0.5)&lt;1E-9,2*ROUND((365*mech_uptime*K619)/2,0),ROUND((365*mech_uptime*K619),0))</f>
        <v/>
      </c>
      <c r="Q619" s="46">
        <f>mech_uptime</f>
        <v/>
      </c>
      <c r="R619" s="46">
        <f>IF(AND(B619="South Korea",scenario="MID"),korea_mid_revleg,revleg_sel)</f>
        <v/>
      </c>
      <c r="S619" s="45">
        <f>IF(ABS(MOD(ABS((O619*P619*R619)),1)-0.5)&lt;1E-9,2*ROUND((O619*P619*R619)/2,0),ROUND((O619*P619*R619),0))</f>
        <v/>
      </c>
      <c r="T619" s="46">
        <f>IF(AND(B619="South Korea",scenario="MID"),korea_mid_load,load_sel)</f>
        <v/>
      </c>
      <c r="U619" s="47">
        <f>pax_cap*T619</f>
        <v/>
      </c>
      <c r="V619" s="45">
        <f>U619*S619</f>
        <v/>
      </c>
      <c r="W619" s="48">
        <f>H619*discount</f>
        <v/>
      </c>
      <c r="X619" s="49">
        <f>W619*V619</f>
        <v/>
      </c>
      <c r="Y619" s="49">
        <f>(battery/range_nm)*G619*S619*VLOOKUP(B619,country_opex,3,FALSE)</f>
        <v/>
      </c>
      <c r="Z619" s="49">
        <f>VLOOKUP(B619,country_opex,2,FALSE)*crew_factor</f>
        <v/>
      </c>
      <c r="AA619" s="49">
        <f>VLOOKUP(B619,country_opex,5,FALSE)</f>
        <v/>
      </c>
      <c r="AB619" s="49">
        <f>maint</f>
        <v/>
      </c>
      <c r="AC619" s="49">
        <f>VLOOKUP(B619,country_opex,7,FALSE)*ins_pct</f>
        <v/>
      </c>
      <c r="AD619" s="49">
        <f>charge_berth</f>
        <v/>
      </c>
      <c r="AE619" s="49">
        <f>Y619+Z619+AA619+AB619+AC619+AD619</f>
        <v/>
      </c>
      <c r="AF619" s="49">
        <f>VLOOKUP(B619,country_opex,7,FALSE)/dep_years</f>
        <v/>
      </c>
      <c r="AG619" s="49">
        <f>X619-AE619</f>
        <v/>
      </c>
      <c r="AH619" s="46">
        <f>IF(X619=0,"",AG619/X619)</f>
        <v/>
      </c>
      <c r="AI619" s="47">
        <f>IF(AG619&lt;=0,"",VLOOKUP(B619,country_opex,7,FALSE)/AG619)</f>
        <v/>
      </c>
      <c r="AJ619" s="44">
        <f>((G619*S619/diesel_nmpg)*diesel_co2pg-(battery/range_nm)*G619*S619*VLOOKUP(B619,country_opex,4,FALSE))/1000</f>
        <v/>
      </c>
      <c r="AK619" s="42" t="n">
        <v>5217</v>
      </c>
      <c r="AL619" s="43" t="inlineStr">
        <is>
          <t>T3</t>
        </is>
      </c>
      <c r="AM619" s="43" t="inlineStr">
        <is>
          <t>med-low</t>
        </is>
      </c>
      <c r="AN619" s="50" t="n">
        <v>0.1</v>
      </c>
      <c r="AO619" s="45">
        <f>IF(AK619="","",AK619*AN619)</f>
        <v/>
      </c>
      <c r="AP619" s="45">
        <f>IF(OR(AK619="",V619=0),"",MIN(IF(AX619="",9.9E+99,AX619),FLOOR(AO619/V619,1)))</f>
        <v/>
      </c>
      <c r="AQ619" s="49">
        <f>IF(AP619="","",AP619*IF(ABS(MOD(ABS((X619)),1)-0.5)&lt;1E-9,2*ROUND((X619)/2,0),ROUND((X619),0)))</f>
        <v/>
      </c>
      <c r="AR619" s="47">
        <f>IF(OR(AK619="",V619=0),"",MIN(IF(AX619="",9.9E+99,AX619),AO619/V619))</f>
        <v/>
      </c>
      <c r="AS619" s="49">
        <f>IF(AR619="","",AR619*IF(B619="South Korea",IF(ABS(MOD(ABS((X619)),1)-0.5)&lt;1E-9,2*ROUND((X619)/2,0),ROUND((X619),0)),X619))</f>
        <v/>
      </c>
      <c r="AT619" s="51" t="n"/>
      <c r="AU619" s="43" t="inlineStr">
        <is>
          <t>Grounded</t>
        </is>
      </c>
      <c r="AV619" s="52" t="n"/>
      <c r="AW619" s="52" t="n"/>
      <c r="AX619" s="53" t="n"/>
      <c r="AY619" s="54">
        <f>IF(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&lt;=0,"",VLOOKUP(B619,country_opex,7,FALSE)/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)</f>
        <v/>
      </c>
      <c r="AZ619" s="54">
        <f>IF(((W619*pax_cap*IF(B619="South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Korea",korea_mid_revleg,revleg_mid)),0))*VLOOKUP(B619,country_opex,3,FALSE))+Z619+AA619+AB619+AC619+AD619))&lt;=0,"",VLOOKUP(B619,country_opex,7,FALSE)/((W619*pax_cap*IF(B619="South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Korea",korea_mid_revleg,revleg_mid)),0))*VLOOKUP(B619,country_opex,3,FALSE))+Z619+AA619+AB619+AC619+AD619)))</f>
        <v/>
      </c>
      <c r="BA619" s="54">
        <f>IF(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&lt;=0,"",VLOOKUP(B619,country_opex,7,FALSE)/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)</f>
        <v/>
      </c>
      <c r="BB619" s="40" t="n"/>
      <c r="BC619" s="40" t="n"/>
      <c r="BD619" s="43" t="inlineStr">
        <is>
          <t>rn-75773e5540dc</t>
        </is>
      </c>
    </row>
    <row r="620">
      <c r="A620" s="38" t="inlineStr">
        <is>
          <t>UAE (Careem)</t>
        </is>
      </c>
      <c r="B620" s="38" t="inlineStr">
        <is>
          <t>United Arab Emirates</t>
        </is>
      </c>
      <c r="C620" s="39" t="inlineStr">
        <is>
          <t>Côte d'Azur Resort Marina (Heart of Europe) → Bulgari Yacht Club &amp; Marina</t>
        </is>
      </c>
      <c r="D620" s="38" t="inlineStr">
        <is>
          <t>careem</t>
        </is>
      </c>
      <c r="E620" s="40" t="inlineStr">
        <is>
          <t>bolt-uae, uae-careem, uae-luxury, uae-noon, uae-voi, yango-uae</t>
        </is>
      </c>
      <c r="F620" s="41" t="n">
        <v>6</v>
      </c>
      <c r="G620" s="42" t="n">
        <v>4.2</v>
      </c>
      <c r="H620" s="35" t="n">
        <v>150</v>
      </c>
      <c r="I620" s="43" t="inlineStr">
        <is>
          <t>T5</t>
        </is>
      </c>
      <c r="J620" s="43" t="inlineStr">
        <is>
          <t>low</t>
        </is>
      </c>
      <c r="K620" s="29" t="n">
        <v>1</v>
      </c>
      <c r="L620" s="44">
        <f>60*G620/cruise_kt</f>
        <v/>
      </c>
      <c r="M620" s="44">
        <f>IF(B620="South Korea",G620/korea_charge_range_nm*korea_full_range_charge_min,0)</f>
        <v/>
      </c>
      <c r="N620" s="44">
        <f>IF(B620="South Korea",L620+korea_turn_min+korea_dwell_min+M620,L620+turn_min+dwell_min)</f>
        <v/>
      </c>
      <c r="O620" s="45">
        <f>IF(B620="South Korea",FLOOR(60*korea_service_hr/N620,1),MIN(15,FLOOR(60*service_hr/N620,1)))</f>
        <v/>
      </c>
      <c r="P620" s="45">
        <f>IF(ABS(MOD(ABS((365*mech_uptime*K620)),1)-0.5)&lt;1E-9,2*ROUND((365*mech_uptime*K620)/2,0),ROUND((365*mech_uptime*K620),0))</f>
        <v/>
      </c>
      <c r="Q620" s="46">
        <f>mech_uptime</f>
        <v/>
      </c>
      <c r="R620" s="46">
        <f>IF(AND(B620="South Korea",scenario="MID"),korea_mid_revleg,revleg_sel)</f>
        <v/>
      </c>
      <c r="S620" s="45">
        <f>IF(ABS(MOD(ABS((O620*P620*R620)),1)-0.5)&lt;1E-9,2*ROUND((O620*P620*R620)/2,0),ROUND((O620*P620*R620),0))</f>
        <v/>
      </c>
      <c r="T620" s="46">
        <f>IF(AND(B620="South Korea",scenario="MID"),korea_mid_load,load_sel)</f>
        <v/>
      </c>
      <c r="U620" s="47">
        <f>pax_cap*T620</f>
        <v/>
      </c>
      <c r="V620" s="45">
        <f>U620*S620</f>
        <v/>
      </c>
      <c r="W620" s="48">
        <f>H620*discount</f>
        <v/>
      </c>
      <c r="X620" s="49">
        <f>W620*V620</f>
        <v/>
      </c>
      <c r="Y620" s="49">
        <f>(battery/range_nm)*G620*S620*VLOOKUP(B620,country_opex,3,FALSE)</f>
        <v/>
      </c>
      <c r="Z620" s="49">
        <f>VLOOKUP(B620,country_opex,2,FALSE)*crew_factor</f>
        <v/>
      </c>
      <c r="AA620" s="49">
        <f>VLOOKUP(B620,country_opex,5,FALSE)</f>
        <v/>
      </c>
      <c r="AB620" s="49">
        <f>maint</f>
        <v/>
      </c>
      <c r="AC620" s="49">
        <f>VLOOKUP(B620,country_opex,7,FALSE)*ins_pct</f>
        <v/>
      </c>
      <c r="AD620" s="49">
        <f>charge_berth</f>
        <v/>
      </c>
      <c r="AE620" s="49">
        <f>Y620+Z620+AA620+AB620+AC620+AD620</f>
        <v/>
      </c>
      <c r="AF620" s="49">
        <f>VLOOKUP(B620,country_opex,7,FALSE)/dep_years</f>
        <v/>
      </c>
      <c r="AG620" s="49">
        <f>X620-AE620</f>
        <v/>
      </c>
      <c r="AH620" s="46">
        <f>IF(X620=0,"",AG620/X620)</f>
        <v/>
      </c>
      <c r="AI620" s="47">
        <f>IF(AG620&lt;=0,"",VLOOKUP(B620,country_opex,7,FALSE)/AG620)</f>
        <v/>
      </c>
      <c r="AJ620" s="44">
        <f>((G620*S620/diesel_nmpg)*diesel_co2pg-(battery/range_nm)*G620*S620*VLOOKUP(B620,country_opex,4,FALSE))/1000</f>
        <v/>
      </c>
      <c r="AK620" s="42" t="n">
        <v>20000</v>
      </c>
      <c r="AL620" s="43" t="inlineStr">
        <is>
          <t>T3</t>
        </is>
      </c>
      <c r="AM620" s="43" t="inlineStr">
        <is>
          <t>low</t>
        </is>
      </c>
      <c r="AN620" s="50" t="n">
        <v>0.1</v>
      </c>
      <c r="AO620" s="45">
        <f>IF(AK620="","",AK620*AN620)</f>
        <v/>
      </c>
      <c r="AP620" s="45">
        <f>IF(OR(AK620="",V620=0),"",MIN(IF(AX620="",9.9E+99,AX620),FLOOR(AO620/V620,1)))</f>
        <v/>
      </c>
      <c r="AQ620" s="49">
        <f>IF(AP620="","",AP620*IF(ABS(MOD(ABS((X620)),1)-0.5)&lt;1E-9,2*ROUND((X620)/2,0),ROUND((X620),0)))</f>
        <v/>
      </c>
      <c r="AR620" s="47">
        <f>IF(OR(AK620="",V620=0),"",MIN(IF(AX620="",9.9E+99,AX620),AO620/V620))</f>
        <v/>
      </c>
      <c r="AS620" s="49">
        <f>IF(AR620="","",AR620*IF(B620="South Korea",IF(ABS(MOD(ABS((X620)),1)-0.5)&lt;1E-9,2*ROUND((X620)/2,0),ROUND((X620),0)),X620))</f>
        <v/>
      </c>
      <c r="AT620" s="51" t="n"/>
      <c r="AU620" s="43" t="inlineStr">
        <is>
          <t>Grounded</t>
        </is>
      </c>
      <c r="AV620" s="52" t="n"/>
      <c r="AW620" s="52" t="n"/>
      <c r="AX620" s="53" t="n"/>
      <c r="AY620" s="54">
        <f>IF(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&lt;=0,"",VLOOKUP(B620,country_opex,7,FALSE)/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)</f>
        <v/>
      </c>
      <c r="AZ620" s="54">
        <f>IF(((W620*pax_cap*IF(B620="South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Korea",korea_mid_revleg,revleg_mid)),0))*VLOOKUP(B620,country_opex,3,FALSE))+Z620+AA620+AB620+AC620+AD620))&lt;=0,"",VLOOKUP(B620,country_opex,7,FALSE)/((W620*pax_cap*IF(B620="South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Korea",korea_mid_revleg,revleg_mid)),0))*VLOOKUP(B620,country_opex,3,FALSE))+Z620+AA620+AB620+AC620+AD620)))</f>
        <v/>
      </c>
      <c r="BA620" s="54">
        <f>IF(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&lt;=0,"",VLOOKUP(B620,country_opex,7,FALSE)/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)</f>
        <v/>
      </c>
      <c r="BB620" s="40" t="inlineStr">
        <is>
          <t>The World (boat-only)&lt;-&gt;Bulgari (Jumeirah Bay) luxury hop. Greenfield. T5/low.</t>
        </is>
      </c>
      <c r="BC620" s="40" t="inlineStr">
        <is>
          <t>UAE-DEMAND-ANCHORS-2026-06-17.json — tier-based addressable pool derived from sourcing wave anchors (hotel keys × occ × shuttle adoption, marina activity, RTA marine baseline).</t>
        </is>
      </c>
      <c r="BD620" s="43" t="inlineStr">
        <is>
          <t>rn-122e1872dd04</t>
        </is>
      </c>
    </row>
    <row r="621">
      <c r="A621" s="38" t="inlineStr">
        <is>
          <t>Gulf Authority Rakta</t>
        </is>
      </c>
      <c r="B621" s="38" t="inlineStr">
        <is>
          <t>United Arab Emirates</t>
        </is>
      </c>
      <c r="C621" s="39" t="inlineStr">
        <is>
          <t>ميناء صيادين خورخوير → Sha'am Fishing Boat Harbour</t>
        </is>
      </c>
      <c r="D621" s="38" t="inlineStr">
        <is>
          <t>rakta</t>
        </is>
      </c>
      <c r="E621" s="40" t="inlineStr">
        <is>
          <t>gulf-authority-bahrain-motc, gulf-authority-rakta</t>
        </is>
      </c>
      <c r="F621" s="41" t="n">
        <v>2</v>
      </c>
      <c r="G621" s="42" t="n">
        <v>4.3</v>
      </c>
      <c r="H621" s="35" t="n">
        <v>35</v>
      </c>
      <c r="I621" s="43" t="inlineStr">
        <is>
          <t>T3</t>
        </is>
      </c>
      <c r="J621" s="43" t="inlineStr">
        <is>
          <t>med-low</t>
        </is>
      </c>
      <c r="K621" s="29" t="n">
        <v>1</v>
      </c>
      <c r="L621" s="44">
        <f>60*G621/cruise_kt</f>
        <v/>
      </c>
      <c r="M621" s="44">
        <f>IF(B621="South Korea",G621/korea_charge_range_nm*korea_full_range_charge_min,0)</f>
        <v/>
      </c>
      <c r="N621" s="44">
        <f>IF(B621="South Korea",L621+korea_turn_min+korea_dwell_min+M621,L621+turn_min+dwell_min)</f>
        <v/>
      </c>
      <c r="O621" s="45">
        <f>IF(B621="South Korea",FLOOR(60*korea_service_hr/N621,1),MIN(15,FLOOR(60*service_hr/N621,1)))</f>
        <v/>
      </c>
      <c r="P621" s="45">
        <f>IF(ABS(MOD(ABS((365*mech_uptime*K621)),1)-0.5)&lt;1E-9,2*ROUND((365*mech_uptime*K621)/2,0),ROUND((365*mech_uptime*K621),0))</f>
        <v/>
      </c>
      <c r="Q621" s="46">
        <f>mech_uptime</f>
        <v/>
      </c>
      <c r="R621" s="46">
        <f>IF(AND(B621="South Korea",scenario="MID"),korea_mid_revleg,revleg_sel)</f>
        <v/>
      </c>
      <c r="S621" s="45">
        <f>IF(ABS(MOD(ABS((O621*P621*R621)),1)-0.5)&lt;1E-9,2*ROUND((O621*P621*R621)/2,0),ROUND((O621*P621*R621),0))</f>
        <v/>
      </c>
      <c r="T621" s="46">
        <f>IF(AND(B621="South Korea",scenario="MID"),korea_mid_load,load_sel)</f>
        <v/>
      </c>
      <c r="U621" s="47">
        <f>pax_cap*T621</f>
        <v/>
      </c>
      <c r="V621" s="45">
        <f>U621*S621</f>
        <v/>
      </c>
      <c r="W621" s="48">
        <f>H621*discount</f>
        <v/>
      </c>
      <c r="X621" s="49">
        <f>W621*V621</f>
        <v/>
      </c>
      <c r="Y621" s="49">
        <f>(battery/range_nm)*G621*S621*VLOOKUP(B621,country_opex,3,FALSE)</f>
        <v/>
      </c>
      <c r="Z621" s="49">
        <f>VLOOKUP(B621,country_opex,2,FALSE)*crew_factor</f>
        <v/>
      </c>
      <c r="AA621" s="49">
        <f>VLOOKUP(B621,country_opex,5,FALSE)</f>
        <v/>
      </c>
      <c r="AB621" s="49">
        <f>maint</f>
        <v/>
      </c>
      <c r="AC621" s="49">
        <f>VLOOKUP(B621,country_opex,7,FALSE)*ins_pct</f>
        <v/>
      </c>
      <c r="AD621" s="49">
        <f>charge_berth</f>
        <v/>
      </c>
      <c r="AE621" s="49">
        <f>Y621+Z621+AA621+AB621+AC621+AD621</f>
        <v/>
      </c>
      <c r="AF621" s="49">
        <f>VLOOKUP(B621,country_opex,7,FALSE)/dep_years</f>
        <v/>
      </c>
      <c r="AG621" s="49">
        <f>X621-AE621</f>
        <v/>
      </c>
      <c r="AH621" s="46">
        <f>IF(X621=0,"",AG621/X621)</f>
        <v/>
      </c>
      <c r="AI621" s="47">
        <f>IF(AG621&lt;=0,"",VLOOKUP(B621,country_opex,7,FALSE)/AG621)</f>
        <v/>
      </c>
      <c r="AJ621" s="44">
        <f>((G621*S621/diesel_nmpg)*diesel_co2pg-(battery/range_nm)*G621*S621*VLOOKUP(B621,country_opex,4,FALSE))/1000</f>
        <v/>
      </c>
      <c r="AK621" s="42" t="n">
        <v>5217</v>
      </c>
      <c r="AL621" s="43" t="inlineStr">
        <is>
          <t>T3</t>
        </is>
      </c>
      <c r="AM621" s="43" t="inlineStr">
        <is>
          <t>med-low</t>
        </is>
      </c>
      <c r="AN621" s="50" t="n">
        <v>0.1</v>
      </c>
      <c r="AO621" s="45">
        <f>IF(AK621="","",AK621*AN621)</f>
        <v/>
      </c>
      <c r="AP621" s="45">
        <f>IF(OR(AK621="",V621=0),"",MIN(IF(AX621="",9.9E+99,AX621),FLOOR(AO621/V621,1)))</f>
        <v/>
      </c>
      <c r="AQ621" s="49">
        <f>IF(AP621="","",AP621*IF(ABS(MOD(ABS((X621)),1)-0.5)&lt;1E-9,2*ROUND((X621)/2,0),ROUND((X621),0)))</f>
        <v/>
      </c>
      <c r="AR621" s="47">
        <f>IF(OR(AK621="",V621=0),"",MIN(IF(AX621="",9.9E+99,AX621),AO621/V621))</f>
        <v/>
      </c>
      <c r="AS621" s="49">
        <f>IF(AR621="","",AR621*IF(B621="South Korea",IF(ABS(MOD(ABS((X621)),1)-0.5)&lt;1E-9,2*ROUND((X621)/2,0),ROUND((X621),0)),X621))</f>
        <v/>
      </c>
      <c r="AT621" s="51" t="n"/>
      <c r="AU621" s="43" t="inlineStr">
        <is>
          <t>Grounded</t>
        </is>
      </c>
      <c r="AV621" s="52" t="n"/>
      <c r="AW621" s="52" t="n"/>
      <c r="AX621" s="53" t="n"/>
      <c r="AY621" s="54">
        <f>IF(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&lt;=0,"",VLOOKUP(B621,country_opex,7,FALSE)/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)</f>
        <v/>
      </c>
      <c r="AZ621" s="54">
        <f>IF(((W621*pax_cap*IF(B621="South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Korea",korea_mid_revleg,revleg_mid)),0))*VLOOKUP(B621,country_opex,3,FALSE))+Z621+AA621+AB621+AC621+AD621))&lt;=0,"",VLOOKUP(B621,country_opex,7,FALSE)/((W621*pax_cap*IF(B621="South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Korea",korea_mid_revleg,revleg_mid)),0))*VLOOKUP(B621,country_opex,3,FALSE))+Z621+AA621+AB621+AC621+AD621)))</f>
        <v/>
      </c>
      <c r="BA621" s="54">
        <f>IF(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&lt;=0,"",VLOOKUP(B621,country_opex,7,FALSE)/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)</f>
        <v/>
      </c>
      <c r="BB621" s="40" t="n"/>
      <c r="BC621" s="40" t="n"/>
      <c r="BD621" s="43" t="inlineStr">
        <is>
          <t>rn-d4e4d1a279ed</t>
        </is>
      </c>
    </row>
    <row r="622">
      <c r="A622" s="38" t="inlineStr">
        <is>
          <t>UAE (Careem)</t>
        </is>
      </c>
      <c r="B622" s="38" t="inlineStr">
        <is>
          <t>United Arab Emirates</t>
        </is>
      </c>
      <c r="C622" s="39" t="inlineStr">
        <is>
          <t>Saadiyat Beach Club Jetty → Zaya Nurai Island Jetty</t>
        </is>
      </c>
      <c r="D622" s="38" t="inlineStr">
        <is>
          <t>careem</t>
        </is>
      </c>
      <c r="E622" s="40" t="inlineStr">
        <is>
          <t>bolt-uae, uae-careem, uae-luxury, uae-noon, uae-voi, yango-uae</t>
        </is>
      </c>
      <c r="F622" s="41" t="n">
        <v>6</v>
      </c>
      <c r="G622" s="42" t="n">
        <v>4.4</v>
      </c>
      <c r="H622" s="35" t="n">
        <v>150</v>
      </c>
      <c r="I622" s="43" t="inlineStr">
        <is>
          <t>T3</t>
        </is>
      </c>
      <c r="J622" s="43" t="inlineStr">
        <is>
          <t>med</t>
        </is>
      </c>
      <c r="K622" s="29" t="n">
        <v>1</v>
      </c>
      <c r="L622" s="44">
        <f>60*G622/cruise_kt</f>
        <v/>
      </c>
      <c r="M622" s="44">
        <f>IF(B622="South Korea",G622/korea_charge_range_nm*korea_full_range_charge_min,0)</f>
        <v/>
      </c>
      <c r="N622" s="44">
        <f>IF(B622="South Korea",L622+korea_turn_min+korea_dwell_min+M622,L622+turn_min+dwell_min)</f>
        <v/>
      </c>
      <c r="O622" s="45">
        <f>IF(B622="South Korea",FLOOR(60*korea_service_hr/N622,1),MIN(15,FLOOR(60*service_hr/N622,1)))</f>
        <v/>
      </c>
      <c r="P622" s="45">
        <f>IF(ABS(MOD(ABS((365*mech_uptime*K622)),1)-0.5)&lt;1E-9,2*ROUND((365*mech_uptime*K622)/2,0),ROUND((365*mech_uptime*K622),0))</f>
        <v/>
      </c>
      <c r="Q622" s="46">
        <f>mech_uptime</f>
        <v/>
      </c>
      <c r="R622" s="46">
        <f>IF(AND(B622="South Korea",scenario="MID"),korea_mid_revleg,revleg_sel)</f>
        <v/>
      </c>
      <c r="S622" s="45">
        <f>IF(ABS(MOD(ABS((O622*P622*R622)),1)-0.5)&lt;1E-9,2*ROUND((O622*P622*R622)/2,0),ROUND((O622*P622*R622),0))</f>
        <v/>
      </c>
      <c r="T622" s="46">
        <f>IF(AND(B622="South Korea",scenario="MID"),korea_mid_load,load_sel)</f>
        <v/>
      </c>
      <c r="U622" s="47">
        <f>pax_cap*T622</f>
        <v/>
      </c>
      <c r="V622" s="45">
        <f>U622*S622</f>
        <v/>
      </c>
      <c r="W622" s="48">
        <f>H622*discount</f>
        <v/>
      </c>
      <c r="X622" s="49">
        <f>W622*V622</f>
        <v/>
      </c>
      <c r="Y622" s="49">
        <f>(battery/range_nm)*G622*S622*VLOOKUP(B622,country_opex,3,FALSE)</f>
        <v/>
      </c>
      <c r="Z622" s="49">
        <f>VLOOKUP(B622,country_opex,2,FALSE)*crew_factor</f>
        <v/>
      </c>
      <c r="AA622" s="49">
        <f>VLOOKUP(B622,country_opex,5,FALSE)</f>
        <v/>
      </c>
      <c r="AB622" s="49">
        <f>maint</f>
        <v/>
      </c>
      <c r="AC622" s="49">
        <f>VLOOKUP(B622,country_opex,7,FALSE)*ins_pct</f>
        <v/>
      </c>
      <c r="AD622" s="49">
        <f>charge_berth</f>
        <v/>
      </c>
      <c r="AE622" s="49">
        <f>Y622+Z622+AA622+AB622+AC622+AD622</f>
        <v/>
      </c>
      <c r="AF622" s="49">
        <f>VLOOKUP(B622,country_opex,7,FALSE)/dep_years</f>
        <v/>
      </c>
      <c r="AG622" s="49">
        <f>X622-AE622</f>
        <v/>
      </c>
      <c r="AH622" s="46">
        <f>IF(X622=0,"",AG622/X622)</f>
        <v/>
      </c>
      <c r="AI622" s="47">
        <f>IF(AG622&lt;=0,"",VLOOKUP(B622,country_opex,7,FALSE)/AG622)</f>
        <v/>
      </c>
      <c r="AJ622" s="44">
        <f>((G622*S622/diesel_nmpg)*diesel_co2pg-(battery/range_nm)*G622*S622*VLOOKUP(B622,country_opex,4,FALSE))/1000</f>
        <v/>
      </c>
      <c r="AK622" s="42" t="n">
        <v>45000</v>
      </c>
      <c r="AL622" s="43" t="inlineStr">
        <is>
          <t>T5</t>
        </is>
      </c>
      <c r="AM622" s="43" t="inlineStr">
        <is>
          <t>low</t>
        </is>
      </c>
      <c r="AN622" s="50" t="n">
        <v>0.1</v>
      </c>
      <c r="AO622" s="45">
        <f>IF(AK622="","",AK622*AN622)</f>
        <v/>
      </c>
      <c r="AP622" s="45">
        <f>IF(OR(AK622="",V622=0),"",MIN(IF(AX622="",9.9E+99,AX622),FLOOR(AO622/V622,1)))</f>
        <v/>
      </c>
      <c r="AQ622" s="49">
        <f>IF(AP622="","",AP622*IF(ABS(MOD(ABS((X622)),1)-0.5)&lt;1E-9,2*ROUND((X622)/2,0),ROUND((X622),0)))</f>
        <v/>
      </c>
      <c r="AR622" s="47">
        <f>IF(OR(AK622="",V622=0),"",MIN(IF(AX622="",9.9E+99,AX622),AO622/V622))</f>
        <v/>
      </c>
      <c r="AS622" s="49">
        <f>IF(AR622="","",AR622*IF(B622="South Korea",IF(ABS(MOD(ABS((X622)),1)-0.5)&lt;1E-9,2*ROUND((X622)/2,0),ROUND((X622),0)),X622))</f>
        <v/>
      </c>
      <c r="AT622" s="51" t="n"/>
      <c r="AU622" s="43" t="inlineStr">
        <is>
          <t>Grounded</t>
        </is>
      </c>
      <c r="AV622" s="52" t="n"/>
      <c r="AW622" s="52" t="n"/>
      <c r="AX622" s="53" t="n"/>
      <c r="AY622" s="54">
        <f>IF(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&lt;=0,"",VLOOKUP(B622,country_opex,7,FALSE)/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)</f>
        <v/>
      </c>
      <c r="AZ622" s="54">
        <f>IF(((W622*pax_cap*IF(B622="South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Korea",korea_mid_revleg,revleg_mid)),0))*VLOOKUP(B622,country_opex,3,FALSE))+Z622+AA622+AB622+AC622+AD622))&lt;=0,"",VLOOKUP(B622,country_opex,7,FALSE)/((W622*pax_cap*IF(B622="South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Korea",korea_mid_revleg,revleg_mid)),0))*VLOOKUP(B622,country_opex,3,FALSE))+Z622+AA622+AB622+AC622+AD622)))</f>
        <v/>
      </c>
      <c r="BA622" s="54">
        <f>IF(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&lt;=0,"",VLOOKUP(B622,country_opex,7,FALSE)/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)</f>
        <v/>
      </c>
      <c r="BB622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C622" s="40" t="inlineStr">
        <is>
          <t>Boat-only -&gt; FULLY addressable (R3-EXCEPTION). 32 villas + 23 residences stay-pool + day-club guests (major Saadiyat day-trip).</t>
        </is>
      </c>
      <c r="BD622" s="43" t="inlineStr">
        <is>
          <t>rn-444748135d1b</t>
        </is>
      </c>
    </row>
    <row r="623">
      <c r="A623" s="38" t="inlineStr">
        <is>
          <t>UAE (Careem)</t>
        </is>
      </c>
      <c r="B623" s="38" t="inlineStr">
        <is>
          <t>United Arab Emirates</t>
        </is>
      </c>
      <c r="C623" s="39" t="inlineStr">
        <is>
          <t>Dubai Harbour Marina → Atlantis The Royal Jetty</t>
        </is>
      </c>
      <c r="D623" s="38" t="inlineStr">
        <is>
          <t>careem</t>
        </is>
      </c>
      <c r="E623" s="40" t="inlineStr">
        <is>
          <t>bolt-uae, uae-careem, uae-luxury, uae-noon, uae-voi, yango-uae</t>
        </is>
      </c>
      <c r="F623" s="41" t="n">
        <v>6</v>
      </c>
      <c r="G623" s="42" t="n">
        <v>4.9</v>
      </c>
      <c r="H623" s="35" t="n">
        <v>175</v>
      </c>
      <c r="I623" s="43" t="inlineStr">
        <is>
          <t>T5</t>
        </is>
      </c>
      <c r="J623" s="43" t="inlineStr">
        <is>
          <t>low</t>
        </is>
      </c>
      <c r="K623" s="29" t="n">
        <v>1</v>
      </c>
      <c r="L623" s="44">
        <f>60*G623/cruise_kt</f>
        <v/>
      </c>
      <c r="M623" s="44">
        <f>IF(B623="South Korea",G623/korea_charge_range_nm*korea_full_range_charge_min,0)</f>
        <v/>
      </c>
      <c r="N623" s="44">
        <f>IF(B623="South Korea",L623+korea_turn_min+korea_dwell_min+M623,L623+turn_min+dwell_min)</f>
        <v/>
      </c>
      <c r="O623" s="45">
        <f>IF(B623="South Korea",FLOOR(60*korea_service_hr/N623,1),MIN(15,FLOOR(60*service_hr/N623,1)))</f>
        <v/>
      </c>
      <c r="P623" s="45">
        <f>IF(ABS(MOD(ABS((365*mech_uptime*K623)),1)-0.5)&lt;1E-9,2*ROUND((365*mech_uptime*K623)/2,0),ROUND((365*mech_uptime*K623),0))</f>
        <v/>
      </c>
      <c r="Q623" s="46">
        <f>mech_uptime</f>
        <v/>
      </c>
      <c r="R623" s="46">
        <f>IF(AND(B623="South Korea",scenario="MID"),korea_mid_revleg,revleg_sel)</f>
        <v/>
      </c>
      <c r="S623" s="45">
        <f>IF(ABS(MOD(ABS((O623*P623*R623)),1)-0.5)&lt;1E-9,2*ROUND((O623*P623*R623)/2,0),ROUND((O623*P623*R623),0))</f>
        <v/>
      </c>
      <c r="T623" s="46">
        <f>IF(AND(B623="South Korea",scenario="MID"),korea_mid_load,load_sel)</f>
        <v/>
      </c>
      <c r="U623" s="47">
        <f>pax_cap*T623</f>
        <v/>
      </c>
      <c r="V623" s="45">
        <f>U623*S623</f>
        <v/>
      </c>
      <c r="W623" s="48">
        <f>H623*discount</f>
        <v/>
      </c>
      <c r="X623" s="49">
        <f>W623*V623</f>
        <v/>
      </c>
      <c r="Y623" s="49">
        <f>(battery/range_nm)*G623*S623*VLOOKUP(B623,country_opex,3,FALSE)</f>
        <v/>
      </c>
      <c r="Z623" s="49">
        <f>VLOOKUP(B623,country_opex,2,FALSE)*crew_factor</f>
        <v/>
      </c>
      <c r="AA623" s="49">
        <f>VLOOKUP(B623,country_opex,5,FALSE)</f>
        <v/>
      </c>
      <c r="AB623" s="49">
        <f>maint</f>
        <v/>
      </c>
      <c r="AC623" s="49">
        <f>VLOOKUP(B623,country_opex,7,FALSE)*ins_pct</f>
        <v/>
      </c>
      <c r="AD623" s="49">
        <f>charge_berth</f>
        <v/>
      </c>
      <c r="AE623" s="49">
        <f>Y623+Z623+AA623+AB623+AC623+AD623</f>
        <v/>
      </c>
      <c r="AF623" s="49">
        <f>VLOOKUP(B623,country_opex,7,FALSE)/dep_years</f>
        <v/>
      </c>
      <c r="AG623" s="49">
        <f>X623-AE623</f>
        <v/>
      </c>
      <c r="AH623" s="46">
        <f>IF(X623=0,"",AG623/X623)</f>
        <v/>
      </c>
      <c r="AI623" s="47">
        <f>IF(AG623&lt;=0,"",VLOOKUP(B623,country_opex,7,FALSE)/AG623)</f>
        <v/>
      </c>
      <c r="AJ623" s="44">
        <f>((G623*S623/diesel_nmpg)*diesel_co2pg-(battery/range_nm)*G623*S623*VLOOKUP(B623,country_opex,4,FALSE))/1000</f>
        <v/>
      </c>
      <c r="AK623" s="42" t="n">
        <v>10000</v>
      </c>
      <c r="AL623" s="43" t="inlineStr">
        <is>
          <t>T5</t>
        </is>
      </c>
      <c r="AM623" s="43" t="inlineStr">
        <is>
          <t>low</t>
        </is>
      </c>
      <c r="AN623" s="50" t="n">
        <v>0.1</v>
      </c>
      <c r="AO623" s="45">
        <f>IF(AK623="","",AK623*AN623)</f>
        <v/>
      </c>
      <c r="AP623" s="45">
        <f>IF(OR(AK623="",V623=0),"",MIN(IF(AX623="",9.9E+99,AX623),FLOOR(AO623/V623,1)))</f>
        <v/>
      </c>
      <c r="AQ623" s="49">
        <f>IF(AP623="","",AP623*IF(ABS(MOD(ABS((X623)),1)-0.5)&lt;1E-9,2*ROUND((X623)/2,0),ROUND((X623),0)))</f>
        <v/>
      </c>
      <c r="AR623" s="47">
        <f>IF(OR(AK623="",V623=0),"",MIN(IF(AX623="",9.9E+99,AX623),AO623/V623))</f>
        <v/>
      </c>
      <c r="AS623" s="49">
        <f>IF(AR623="","",AR623*IF(B623="South Korea",IF(ABS(MOD(ABS((X623)),1)-0.5)&lt;1E-9,2*ROUND((X623)/2,0),ROUND((X623),0)),X623))</f>
        <v/>
      </c>
      <c r="AT623" s="51" t="n"/>
      <c r="AU623" s="43" t="inlineStr">
        <is>
          <t>Grounded</t>
        </is>
      </c>
      <c r="AV623" s="52" t="n"/>
      <c r="AW623" s="52" t="n"/>
      <c r="AX623" s="53" t="n"/>
      <c r="AY623" s="54">
        <f>IF(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&lt;=0,"",VLOOKUP(B623,country_opex,7,FALSE)/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)</f>
        <v/>
      </c>
      <c r="AZ623" s="54">
        <f>IF(((W623*pax_cap*IF(B623="South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Korea",korea_mid_revleg,revleg_mid)),0))*VLOOKUP(B623,country_opex,3,FALSE))+Z623+AA623+AB623+AC623+AD623))&lt;=0,"",VLOOKUP(B623,country_opex,7,FALSE)/((W623*pax_cap*IF(B623="South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Korea",korea_mid_revleg,revleg_mid)),0))*VLOOKUP(B623,country_opex,3,FALSE))+Z623+AA623+AB623+AC623+AD623)))</f>
        <v/>
      </c>
      <c r="BA623" s="54">
        <f>IF(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&lt;=0,"",VLOOKUP(B623,country_opex,7,FALSE)/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)</f>
        <v/>
      </c>
      <c r="BB623" s="40" t="inlineStr">
        <is>
          <t>Atlantis The Royal (795 keys) road-served; signature marine arrival opportunity-to-create. T5/low.</t>
        </is>
      </c>
      <c r="BC623" s="40" t="inlineStr">
        <is>
          <t>OPT-IN luxury-arrival fraction only (R3-LAND road-served). 795 keys x occ -&gt; small opt-in marine pool.</t>
        </is>
      </c>
      <c r="BD623" s="43" t="inlineStr">
        <is>
          <t>rn-fe3fdf5c23c4</t>
        </is>
      </c>
    </row>
    <row r="624">
      <c r="A624" s="38" t="inlineStr">
        <is>
          <t>UAE (Careem)</t>
        </is>
      </c>
      <c r="B624" s="38" t="inlineStr">
        <is>
          <t>United Arab Emirates</t>
        </is>
      </c>
      <c r="C624" s="39" t="inlineStr">
        <is>
          <t>Jebel Dhanna / Ruwais Ferry Terminal → Sir Bani Yas Cruise Port</t>
        </is>
      </c>
      <c r="D624" s="38" t="inlineStr">
        <is>
          <t>careem</t>
        </is>
      </c>
      <c r="E624" s="40" t="inlineStr">
        <is>
          <t>bolt-uae, uae-careem, uae-luxury, uae-noon, uae-voi, yango-uae</t>
        </is>
      </c>
      <c r="F624" s="41" t="n">
        <v>6</v>
      </c>
      <c r="G624" s="42" t="n">
        <v>5.3</v>
      </c>
      <c r="H624" s="35" t="n">
        <v>90</v>
      </c>
      <c r="I624" s="43" t="inlineStr">
        <is>
          <t>T5</t>
        </is>
      </c>
      <c r="J624" s="43" t="inlineStr">
        <is>
          <t>low</t>
        </is>
      </c>
      <c r="K624" s="29" t="n">
        <v>1</v>
      </c>
      <c r="L624" s="44">
        <f>60*G624/cruise_kt</f>
        <v/>
      </c>
      <c r="M624" s="44">
        <f>IF(B624="South Korea",G624/korea_charge_range_nm*korea_full_range_charge_min,0)</f>
        <v/>
      </c>
      <c r="N624" s="44">
        <f>IF(B624="South Korea",L624+korea_turn_min+korea_dwell_min+M624,L624+turn_min+dwell_min)</f>
        <v/>
      </c>
      <c r="O624" s="45">
        <f>IF(B624="South Korea",FLOOR(60*korea_service_hr/N624,1),MIN(15,FLOOR(60*service_hr/N624,1)))</f>
        <v/>
      </c>
      <c r="P624" s="45">
        <f>IF(ABS(MOD(ABS((365*mech_uptime*K624)),1)-0.5)&lt;1E-9,2*ROUND((365*mech_uptime*K624)/2,0),ROUND((365*mech_uptime*K624),0))</f>
        <v/>
      </c>
      <c r="Q624" s="46">
        <f>mech_uptime</f>
        <v/>
      </c>
      <c r="R624" s="46">
        <f>IF(AND(B624="South Korea",scenario="MID"),korea_mid_revleg,revleg_sel)</f>
        <v/>
      </c>
      <c r="S624" s="45">
        <f>IF(ABS(MOD(ABS((O624*P624*R624)),1)-0.5)&lt;1E-9,2*ROUND((O624*P624*R624)/2,0),ROUND((O624*P624*R624),0))</f>
        <v/>
      </c>
      <c r="T624" s="46">
        <f>IF(AND(B624="South Korea",scenario="MID"),korea_mid_load,load_sel)</f>
        <v/>
      </c>
      <c r="U624" s="47">
        <f>pax_cap*T624</f>
        <v/>
      </c>
      <c r="V624" s="45">
        <f>U624*S624</f>
        <v/>
      </c>
      <c r="W624" s="48">
        <f>H624*discount</f>
        <v/>
      </c>
      <c r="X624" s="49">
        <f>W624*V624</f>
        <v/>
      </c>
      <c r="Y624" s="49">
        <f>(battery/range_nm)*G624*S624*VLOOKUP(B624,country_opex,3,FALSE)</f>
        <v/>
      </c>
      <c r="Z624" s="49">
        <f>VLOOKUP(B624,country_opex,2,FALSE)*crew_factor</f>
        <v/>
      </c>
      <c r="AA624" s="49">
        <f>VLOOKUP(B624,country_opex,5,FALSE)</f>
        <v/>
      </c>
      <c r="AB624" s="49">
        <f>maint</f>
        <v/>
      </c>
      <c r="AC624" s="49">
        <f>VLOOKUP(B624,country_opex,7,FALSE)*ins_pct</f>
        <v/>
      </c>
      <c r="AD624" s="49">
        <f>charge_berth</f>
        <v/>
      </c>
      <c r="AE624" s="49">
        <f>Y624+Z624+AA624+AB624+AC624+AD624</f>
        <v/>
      </c>
      <c r="AF624" s="49">
        <f>VLOOKUP(B624,country_opex,7,FALSE)/dep_years</f>
        <v/>
      </c>
      <c r="AG624" s="49">
        <f>X624-AE624</f>
        <v/>
      </c>
      <c r="AH624" s="46">
        <f>IF(X624=0,"",AG624/X624)</f>
        <v/>
      </c>
      <c r="AI624" s="47">
        <f>IF(AG624&lt;=0,"",VLOOKUP(B624,country_opex,7,FALSE)/AG624)</f>
        <v/>
      </c>
      <c r="AJ624" s="44">
        <f>((G624*S624/diesel_nmpg)*diesel_co2pg-(battery/range_nm)*G624*S624*VLOOKUP(B624,country_opex,4,FALSE))/1000</f>
        <v/>
      </c>
      <c r="AK624" s="42" t="n">
        <v>60000</v>
      </c>
      <c r="AL624" s="43" t="inlineStr">
        <is>
          <t>T5</t>
        </is>
      </c>
      <c r="AM624" s="43" t="inlineStr">
        <is>
          <t>low</t>
        </is>
      </c>
      <c r="AN624" s="50" t="n">
        <v>0.1</v>
      </c>
      <c r="AO624" s="45">
        <f>IF(AK624="","",AK624*AN624)</f>
        <v/>
      </c>
      <c r="AP624" s="45">
        <f>IF(OR(AK624="",V624=0),"",MIN(IF(AX624="",9.9E+99,AX624),FLOOR(AO624/V624,1)))</f>
        <v/>
      </c>
      <c r="AQ624" s="49">
        <f>IF(AP624="","",AP624*IF(ABS(MOD(ABS((X624)),1)-0.5)&lt;1E-9,2*ROUND((X624)/2,0),ROUND((X624),0)))</f>
        <v/>
      </c>
      <c r="AR624" s="47">
        <f>IF(OR(AK624="",V624=0),"",MIN(IF(AX624="",9.9E+99,AX624),AO624/V624))</f>
        <v/>
      </c>
      <c r="AS624" s="49">
        <f>IF(AR624="","",AR624*IF(B624="South Korea",IF(ABS(MOD(ABS((X624)),1)-0.5)&lt;1E-9,2*ROUND((X624)/2,0),ROUND((X624),0)),X624))</f>
        <v/>
      </c>
      <c r="AT624" s="51" t="n"/>
      <c r="AU624" s="43" t="inlineStr">
        <is>
          <t>Grounded</t>
        </is>
      </c>
      <c r="AV624" s="52" t="n"/>
      <c r="AW624" s="52" t="n"/>
      <c r="AX624" s="53" t="n"/>
      <c r="AY624" s="54">
        <f>IF(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&lt;=0,"",VLOOKUP(B624,country_opex,7,FALSE)/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)</f>
        <v/>
      </c>
      <c r="AZ624" s="54">
        <f>IF(((W624*pax_cap*IF(B624="South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Korea",korea_mid_revleg,revleg_mid)),0))*VLOOKUP(B624,country_opex,3,FALSE))+Z624+AA624+AB624+AC624+AD624))&lt;=0,"",VLOOKUP(B624,country_opex,7,FALSE)/((W624*pax_cap*IF(B624="South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Korea",korea_mid_revleg,revleg_mid)),0))*VLOOKUP(B624,country_opex,3,FALSE))+Z624+AA624+AB624+AC624+AD624)))</f>
        <v/>
      </c>
      <c r="BA624" s="54">
        <f>IF(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&lt;=0,"",VLOOKUP(B624,country_opex,7,FALSE)/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)</f>
        <v/>
      </c>
      <c r="BB624" s="40" t="inlineStr">
        <is>
          <t>Sir Bani Yas boat-only (~8km offshore). 3 Anantara resorts ~124 keys. Guest boat transfer FREE today (R-UAE-1) -&gt; $90 opportunity-to-create / day-guest analog. T5/low.</t>
        </is>
      </c>
      <c r="BC624" s="40" t="inlineStr">
        <is>
          <t>Sir Bani Yas boat-only (R3-EXCEPTION). 3 Anantara resorts ~124 keys + Arabian Wildlife Park day-visitors via Jebel Dhanna ferry.</t>
        </is>
      </c>
      <c r="BD624" s="43" t="inlineStr">
        <is>
          <t>rn-08f29522c5f2</t>
        </is>
      </c>
    </row>
    <row r="625">
      <c r="A625" s="38" t="inlineStr">
        <is>
          <t>Gulf Authority Rakta</t>
        </is>
      </c>
      <c r="B625" s="38" t="inlineStr">
        <is>
          <t>United Arab Emirates</t>
        </is>
      </c>
      <c r="C625" s="39" t="inlineStr">
        <is>
          <t>Gumda Fishing Harbour → Sha'am coastal staging point</t>
        </is>
      </c>
      <c r="D625" s="38" t="inlineStr">
        <is>
          <t>rakta</t>
        </is>
      </c>
      <c r="E625" s="40" t="inlineStr">
        <is>
          <t>gulf-authority-bahrain-motc, gulf-authority-rakta</t>
        </is>
      </c>
      <c r="F625" s="41" t="n">
        <v>2</v>
      </c>
      <c r="G625" s="42" t="n">
        <v>5.3</v>
      </c>
      <c r="H625" s="35" t="n">
        <v>35</v>
      </c>
      <c r="I625" s="43" t="inlineStr">
        <is>
          <t>T3</t>
        </is>
      </c>
      <c r="J625" s="43" t="inlineStr">
        <is>
          <t>med-low</t>
        </is>
      </c>
      <c r="K625" s="29" t="n">
        <v>1</v>
      </c>
      <c r="L625" s="44">
        <f>60*G625/cruise_kt</f>
        <v/>
      </c>
      <c r="M625" s="44">
        <f>IF(B625="South Korea",G625/korea_charge_range_nm*korea_full_range_charge_min,0)</f>
        <v/>
      </c>
      <c r="N625" s="44">
        <f>IF(B625="South Korea",L625+korea_turn_min+korea_dwell_min+M625,L625+turn_min+dwell_min)</f>
        <v/>
      </c>
      <c r="O625" s="45">
        <f>IF(B625="South Korea",FLOOR(60*korea_service_hr/N625,1),MIN(15,FLOOR(60*service_hr/N625,1)))</f>
        <v/>
      </c>
      <c r="P625" s="45">
        <f>IF(ABS(MOD(ABS((365*mech_uptime*K625)),1)-0.5)&lt;1E-9,2*ROUND((365*mech_uptime*K625)/2,0),ROUND((365*mech_uptime*K625),0))</f>
        <v/>
      </c>
      <c r="Q625" s="46">
        <f>mech_uptime</f>
        <v/>
      </c>
      <c r="R625" s="46">
        <f>IF(AND(B625="South Korea",scenario="MID"),korea_mid_revleg,revleg_sel)</f>
        <v/>
      </c>
      <c r="S625" s="45">
        <f>IF(ABS(MOD(ABS((O625*P625*R625)),1)-0.5)&lt;1E-9,2*ROUND((O625*P625*R625)/2,0),ROUND((O625*P625*R625),0))</f>
        <v/>
      </c>
      <c r="T625" s="46">
        <f>IF(AND(B625="South Korea",scenario="MID"),korea_mid_load,load_sel)</f>
        <v/>
      </c>
      <c r="U625" s="47">
        <f>pax_cap*T625</f>
        <v/>
      </c>
      <c r="V625" s="45">
        <f>U625*S625</f>
        <v/>
      </c>
      <c r="W625" s="48">
        <f>H625*discount</f>
        <v/>
      </c>
      <c r="X625" s="49">
        <f>W625*V625</f>
        <v/>
      </c>
      <c r="Y625" s="49">
        <f>(battery/range_nm)*G625*S625*VLOOKUP(B625,country_opex,3,FALSE)</f>
        <v/>
      </c>
      <c r="Z625" s="49">
        <f>VLOOKUP(B625,country_opex,2,FALSE)*crew_factor</f>
        <v/>
      </c>
      <c r="AA625" s="49">
        <f>VLOOKUP(B625,country_opex,5,FALSE)</f>
        <v/>
      </c>
      <c r="AB625" s="49">
        <f>maint</f>
        <v/>
      </c>
      <c r="AC625" s="49">
        <f>VLOOKUP(B625,country_opex,7,FALSE)*ins_pct</f>
        <v/>
      </c>
      <c r="AD625" s="49">
        <f>charge_berth</f>
        <v/>
      </c>
      <c r="AE625" s="49">
        <f>Y625+Z625+AA625+AB625+AC625+AD625</f>
        <v/>
      </c>
      <c r="AF625" s="49">
        <f>VLOOKUP(B625,country_opex,7,FALSE)/dep_years</f>
        <v/>
      </c>
      <c r="AG625" s="49">
        <f>X625-AE625</f>
        <v/>
      </c>
      <c r="AH625" s="46">
        <f>IF(X625=0,"",AG625/X625)</f>
        <v/>
      </c>
      <c r="AI625" s="47">
        <f>IF(AG625&lt;=0,"",VLOOKUP(B625,country_opex,7,FALSE)/AG625)</f>
        <v/>
      </c>
      <c r="AJ625" s="44">
        <f>((G625*S625/diesel_nmpg)*diesel_co2pg-(battery/range_nm)*G625*S625*VLOOKUP(B625,country_opex,4,FALSE))/1000</f>
        <v/>
      </c>
      <c r="AK625" s="42" t="n">
        <v>5217</v>
      </c>
      <c r="AL625" s="43" t="inlineStr">
        <is>
          <t>T3</t>
        </is>
      </c>
      <c r="AM625" s="43" t="inlineStr">
        <is>
          <t>med-low</t>
        </is>
      </c>
      <c r="AN625" s="50" t="n">
        <v>0.1</v>
      </c>
      <c r="AO625" s="45">
        <f>IF(AK625="","",AK625*AN625)</f>
        <v/>
      </c>
      <c r="AP625" s="45">
        <f>IF(OR(AK625="",V625=0),"",MIN(IF(AX625="",9.9E+99,AX625),FLOOR(AO625/V625,1)))</f>
        <v/>
      </c>
      <c r="AQ625" s="49">
        <f>IF(AP625="","",AP625*IF(ABS(MOD(ABS((X625)),1)-0.5)&lt;1E-9,2*ROUND((X625)/2,0),ROUND((X625),0)))</f>
        <v/>
      </c>
      <c r="AR625" s="47">
        <f>IF(OR(AK625="",V625=0),"",MIN(IF(AX625="",9.9E+99,AX625),AO625/V625))</f>
        <v/>
      </c>
      <c r="AS625" s="49">
        <f>IF(AR625="","",AR625*IF(B625="South Korea",IF(ABS(MOD(ABS((X625)),1)-0.5)&lt;1E-9,2*ROUND((X625)/2,0),ROUND((X625),0)),X625))</f>
        <v/>
      </c>
      <c r="AT625" s="51" t="n"/>
      <c r="AU625" s="43" t="inlineStr">
        <is>
          <t>Grounded</t>
        </is>
      </c>
      <c r="AV625" s="52" t="n"/>
      <c r="AW625" s="52" t="n"/>
      <c r="AX625" s="53" t="n"/>
      <c r="AY625" s="54">
        <f>IF(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&lt;=0,"",VLOOKUP(B625,country_opex,7,FALSE)/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)</f>
        <v/>
      </c>
      <c r="AZ625" s="54">
        <f>IF(((W625*pax_cap*IF(B625="South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Korea",korea_mid_revleg,revleg_mid)),0))*VLOOKUP(B625,country_opex,3,FALSE))+Z625+AA625+AB625+AC625+AD625))&lt;=0,"",VLOOKUP(B625,country_opex,7,FALSE)/((W625*pax_cap*IF(B625="South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Korea",korea_mid_revleg,revleg_mid)),0))*VLOOKUP(B625,country_opex,3,FALSE))+Z625+AA625+AB625+AC625+AD625)))</f>
        <v/>
      </c>
      <c r="BA625" s="54">
        <f>IF(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&lt;=0,"",VLOOKUP(B625,country_opex,7,FALSE)/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)</f>
        <v/>
      </c>
      <c r="BB625" s="40" t="n"/>
      <c r="BC625" s="40" t="n"/>
      <c r="BD625" s="43" t="inlineStr">
        <is>
          <t>rn-dfb7c3fcf0e4</t>
        </is>
      </c>
    </row>
    <row r="626">
      <c r="A626" s="38" t="inlineStr">
        <is>
          <t>Gulf Authority Rakta</t>
        </is>
      </c>
      <c r="B626" s="38" t="inlineStr">
        <is>
          <t>United Arab Emirates</t>
        </is>
      </c>
      <c r="C626" s="39" t="inlineStr">
        <is>
          <t>Zighy Marina → Dibba Al-Hisn Marina - Sharjah</t>
        </is>
      </c>
      <c r="D626" s="38" t="inlineStr">
        <is>
          <t>rakta</t>
        </is>
      </c>
      <c r="E626" s="40" t="inlineStr">
        <is>
          <t>gulf-authority-bahrain-motc, gulf-authority-rakta</t>
        </is>
      </c>
      <c r="F626" s="41" t="n">
        <v>2</v>
      </c>
      <c r="G626" s="42" t="n">
        <v>5.3</v>
      </c>
      <c r="H626" s="35" t="n">
        <v>35</v>
      </c>
      <c r="I626" s="43" t="inlineStr">
        <is>
          <t>T3</t>
        </is>
      </c>
      <c r="J626" s="43" t="inlineStr">
        <is>
          <t>med-low</t>
        </is>
      </c>
      <c r="K626" s="29" t="n">
        <v>1</v>
      </c>
      <c r="L626" s="44">
        <f>60*G626/cruise_kt</f>
        <v/>
      </c>
      <c r="M626" s="44">
        <f>IF(B626="South Korea",G626/korea_charge_range_nm*korea_full_range_charge_min,0)</f>
        <v/>
      </c>
      <c r="N626" s="44">
        <f>IF(B626="South Korea",L626+korea_turn_min+korea_dwell_min+M626,L626+turn_min+dwell_min)</f>
        <v/>
      </c>
      <c r="O626" s="45">
        <f>IF(B626="South Korea",FLOOR(60*korea_service_hr/N626,1),MIN(15,FLOOR(60*service_hr/N626,1)))</f>
        <v/>
      </c>
      <c r="P626" s="45">
        <f>IF(ABS(MOD(ABS((365*mech_uptime*K626)),1)-0.5)&lt;1E-9,2*ROUND((365*mech_uptime*K626)/2,0),ROUND((365*mech_uptime*K626),0))</f>
        <v/>
      </c>
      <c r="Q626" s="46">
        <f>mech_uptime</f>
        <v/>
      </c>
      <c r="R626" s="46">
        <f>IF(AND(B626="South Korea",scenario="MID"),korea_mid_revleg,revleg_sel)</f>
        <v/>
      </c>
      <c r="S626" s="45">
        <f>IF(ABS(MOD(ABS((O626*P626*R626)),1)-0.5)&lt;1E-9,2*ROUND((O626*P626*R626)/2,0),ROUND((O626*P626*R626),0))</f>
        <v/>
      </c>
      <c r="T626" s="46">
        <f>IF(AND(B626="South Korea",scenario="MID"),korea_mid_load,load_sel)</f>
        <v/>
      </c>
      <c r="U626" s="47">
        <f>pax_cap*T626</f>
        <v/>
      </c>
      <c r="V626" s="45">
        <f>U626*S626</f>
        <v/>
      </c>
      <c r="W626" s="48">
        <f>H626*discount</f>
        <v/>
      </c>
      <c r="X626" s="49">
        <f>W626*V626</f>
        <v/>
      </c>
      <c r="Y626" s="49">
        <f>(battery/range_nm)*G626*S626*VLOOKUP(B626,country_opex,3,FALSE)</f>
        <v/>
      </c>
      <c r="Z626" s="49">
        <f>VLOOKUP(B626,country_opex,2,FALSE)*crew_factor</f>
        <v/>
      </c>
      <c r="AA626" s="49">
        <f>VLOOKUP(B626,country_opex,5,FALSE)</f>
        <v/>
      </c>
      <c r="AB626" s="49">
        <f>maint</f>
        <v/>
      </c>
      <c r="AC626" s="49">
        <f>VLOOKUP(B626,country_opex,7,FALSE)*ins_pct</f>
        <v/>
      </c>
      <c r="AD626" s="49">
        <f>charge_berth</f>
        <v/>
      </c>
      <c r="AE626" s="49">
        <f>Y626+Z626+AA626+AB626+AC626+AD626</f>
        <v/>
      </c>
      <c r="AF626" s="49">
        <f>VLOOKUP(B626,country_opex,7,FALSE)/dep_years</f>
        <v/>
      </c>
      <c r="AG626" s="49">
        <f>X626-AE626</f>
        <v/>
      </c>
      <c r="AH626" s="46">
        <f>IF(X626=0,"",AG626/X626)</f>
        <v/>
      </c>
      <c r="AI626" s="47">
        <f>IF(AG626&lt;=0,"",VLOOKUP(B626,country_opex,7,FALSE)/AG626)</f>
        <v/>
      </c>
      <c r="AJ626" s="44">
        <f>((G626*S626/diesel_nmpg)*diesel_co2pg-(battery/range_nm)*G626*S626*VLOOKUP(B626,country_opex,4,FALSE))/1000</f>
        <v/>
      </c>
      <c r="AK626" s="42" t="n">
        <v>5217</v>
      </c>
      <c r="AL626" s="43" t="inlineStr">
        <is>
          <t>T3</t>
        </is>
      </c>
      <c r="AM626" s="43" t="inlineStr">
        <is>
          <t>med-low</t>
        </is>
      </c>
      <c r="AN626" s="50" t="n">
        <v>0.1</v>
      </c>
      <c r="AO626" s="45">
        <f>IF(AK626="","",AK626*AN626)</f>
        <v/>
      </c>
      <c r="AP626" s="45">
        <f>IF(OR(AK626="",V626=0),"",MIN(IF(AX626="",9.9E+99,AX626),FLOOR(AO626/V626,1)))</f>
        <v/>
      </c>
      <c r="AQ626" s="49">
        <f>IF(AP626="","",AP626*IF(ABS(MOD(ABS((X626)),1)-0.5)&lt;1E-9,2*ROUND((X626)/2,0),ROUND((X626),0)))</f>
        <v/>
      </c>
      <c r="AR626" s="47">
        <f>IF(OR(AK626="",V626=0),"",MIN(IF(AX626="",9.9E+99,AX626),AO626/V626))</f>
        <v/>
      </c>
      <c r="AS626" s="49">
        <f>IF(AR626="","",AR626*IF(B626="South Korea",IF(ABS(MOD(ABS((X626)),1)-0.5)&lt;1E-9,2*ROUND((X626)/2,0),ROUND((X626),0)),X626))</f>
        <v/>
      </c>
      <c r="AT626" s="51" t="n"/>
      <c r="AU626" s="43" t="inlineStr">
        <is>
          <t>Grounded</t>
        </is>
      </c>
      <c r="AV626" s="52" t="n"/>
      <c r="AW626" s="52" t="n"/>
      <c r="AX626" s="53" t="n"/>
      <c r="AY626" s="54">
        <f>IF(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&lt;=0,"",VLOOKUP(B626,country_opex,7,FALSE)/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)</f>
        <v/>
      </c>
      <c r="AZ626" s="54">
        <f>IF(((W626*pax_cap*IF(B626="South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Korea",korea_mid_revleg,revleg_mid)),0))*VLOOKUP(B626,country_opex,3,FALSE))+Z626+AA626+AB626+AC626+AD626))&lt;=0,"",VLOOKUP(B626,country_opex,7,FALSE)/((W626*pax_cap*IF(B626="South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Korea",korea_mid_revleg,revleg_mid)),0))*VLOOKUP(B626,country_opex,3,FALSE))+Z626+AA626+AB626+AC626+AD626)))</f>
        <v/>
      </c>
      <c r="BA626" s="54">
        <f>IF(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&lt;=0,"",VLOOKUP(B626,country_opex,7,FALSE)/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)</f>
        <v/>
      </c>
      <c r="BB626" s="40" t="n"/>
      <c r="BC626" s="40" t="n"/>
      <c r="BD626" s="43" t="inlineStr">
        <is>
          <t>rn-2494f5a9242d</t>
        </is>
      </c>
    </row>
    <row r="627">
      <c r="A627" s="38" t="inlineStr">
        <is>
          <t>UAE (Careem)</t>
        </is>
      </c>
      <c r="B627" s="38" t="inlineStr">
        <is>
          <t>United Arab Emirates</t>
        </is>
      </c>
      <c r="C627" s="39" t="inlineStr">
        <is>
          <t>Dubai Harbour Marina → Burj Al Arab Private Jetty</t>
        </is>
      </c>
      <c r="D627" s="38" t="inlineStr">
        <is>
          <t>careem</t>
        </is>
      </c>
      <c r="E627" s="40" t="inlineStr">
        <is>
          <t>bolt-uae, uae-careem, uae-luxury, uae-noon, uae-voi, yango-uae</t>
        </is>
      </c>
      <c r="F627" s="41" t="n">
        <v>6</v>
      </c>
      <c r="G627" s="42" t="n">
        <v>6.9</v>
      </c>
      <c r="H627" s="35" t="n">
        <v>250</v>
      </c>
      <c r="I627" s="43" t="inlineStr">
        <is>
          <t>T5</t>
        </is>
      </c>
      <c r="J627" s="43" t="inlineStr">
        <is>
          <t>low</t>
        </is>
      </c>
      <c r="K627" s="29" t="n">
        <v>1</v>
      </c>
      <c r="L627" s="44">
        <f>60*G627/cruise_kt</f>
        <v/>
      </c>
      <c r="M627" s="44">
        <f>IF(B627="South Korea",G627/korea_charge_range_nm*korea_full_range_charge_min,0)</f>
        <v/>
      </c>
      <c r="N627" s="44">
        <f>IF(B627="South Korea",L627+korea_turn_min+korea_dwell_min+M627,L627+turn_min+dwell_min)</f>
        <v/>
      </c>
      <c r="O627" s="45">
        <f>IF(B627="South Korea",FLOOR(60*korea_service_hr/N627,1),MIN(15,FLOOR(60*service_hr/N627,1)))</f>
        <v/>
      </c>
      <c r="P627" s="45">
        <f>IF(ABS(MOD(ABS((365*mech_uptime*K627)),1)-0.5)&lt;1E-9,2*ROUND((365*mech_uptime*K627)/2,0),ROUND((365*mech_uptime*K627),0))</f>
        <v/>
      </c>
      <c r="Q627" s="46">
        <f>mech_uptime</f>
        <v/>
      </c>
      <c r="R627" s="46">
        <f>IF(AND(B627="South Korea",scenario="MID"),korea_mid_revleg,revleg_sel)</f>
        <v/>
      </c>
      <c r="S627" s="45">
        <f>IF(ABS(MOD(ABS((O627*P627*R627)),1)-0.5)&lt;1E-9,2*ROUND((O627*P627*R627)/2,0),ROUND((O627*P627*R627),0))</f>
        <v/>
      </c>
      <c r="T627" s="46">
        <f>IF(AND(B627="South Korea",scenario="MID"),korea_mid_load,load_sel)</f>
        <v/>
      </c>
      <c r="U627" s="47">
        <f>pax_cap*T627</f>
        <v/>
      </c>
      <c r="V627" s="45">
        <f>U627*S627</f>
        <v/>
      </c>
      <c r="W627" s="48">
        <f>H627*discount</f>
        <v/>
      </c>
      <c r="X627" s="49">
        <f>W627*V627</f>
        <v/>
      </c>
      <c r="Y627" s="49">
        <f>(battery/range_nm)*G627*S627*VLOOKUP(B627,country_opex,3,FALSE)</f>
        <v/>
      </c>
      <c r="Z627" s="49">
        <f>VLOOKUP(B627,country_opex,2,FALSE)*crew_factor</f>
        <v/>
      </c>
      <c r="AA627" s="49">
        <f>VLOOKUP(B627,country_opex,5,FALSE)</f>
        <v/>
      </c>
      <c r="AB627" s="49">
        <f>maint</f>
        <v/>
      </c>
      <c r="AC627" s="49">
        <f>VLOOKUP(B627,country_opex,7,FALSE)*ins_pct</f>
        <v/>
      </c>
      <c r="AD627" s="49">
        <f>charge_berth</f>
        <v/>
      </c>
      <c r="AE627" s="49">
        <f>Y627+Z627+AA627+AB627+AC627+AD627</f>
        <v/>
      </c>
      <c r="AF627" s="49">
        <f>VLOOKUP(B627,country_opex,7,FALSE)/dep_years</f>
        <v/>
      </c>
      <c r="AG627" s="49">
        <f>X627-AE627</f>
        <v/>
      </c>
      <c r="AH627" s="46">
        <f>IF(X627=0,"",AG627/X627)</f>
        <v/>
      </c>
      <c r="AI627" s="47">
        <f>IF(AG627&lt;=0,"",VLOOKUP(B627,country_opex,7,FALSE)/AG627)</f>
        <v/>
      </c>
      <c r="AJ627" s="44">
        <f>((G627*S627/diesel_nmpg)*diesel_co2pg-(battery/range_nm)*G627*S627*VLOOKUP(B627,country_opex,4,FALSE))/1000</f>
        <v/>
      </c>
      <c r="AK627" s="42" t="n">
        <v>5000</v>
      </c>
      <c r="AL627" s="43" t="inlineStr">
        <is>
          <t>T5</t>
        </is>
      </c>
      <c r="AM627" s="43" t="inlineStr">
        <is>
          <t>low</t>
        </is>
      </c>
      <c r="AN627" s="50" t="n">
        <v>0.1</v>
      </c>
      <c r="AO627" s="45">
        <f>IF(AK627="","",AK627*AN627)</f>
        <v/>
      </c>
      <c r="AP627" s="45">
        <f>IF(OR(AK627="",V627=0),"",MIN(IF(AX627="",9.9E+99,AX627),FLOOR(AO627/V627,1)))</f>
        <v/>
      </c>
      <c r="AQ627" s="49">
        <f>IF(AP627="","",AP627*IF(ABS(MOD(ABS((X627)),1)-0.5)&lt;1E-9,2*ROUND((X627)/2,0),ROUND((X627),0)))</f>
        <v/>
      </c>
      <c r="AR627" s="47">
        <f>IF(OR(AK627="",V627=0),"",MIN(IF(AX627="",9.9E+99,AX627),AO627/V627))</f>
        <v/>
      </c>
      <c r="AS627" s="49">
        <f>IF(AR627="","",AR627*IF(B627="South Korea",IF(ABS(MOD(ABS((X627)),1)-0.5)&lt;1E-9,2*ROUND((X627)/2,0),ROUND((X627),0)),X627))</f>
        <v/>
      </c>
      <c r="AT627" s="51" t="n"/>
      <c r="AU627" s="43" t="inlineStr">
        <is>
          <t>Grounded</t>
        </is>
      </c>
      <c r="AV627" s="52" t="n"/>
      <c r="AW627" s="52" t="n"/>
      <c r="AX627" s="53" t="n"/>
      <c r="AY627" s="54">
        <f>IF(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&lt;=0,"",VLOOKUP(B627,country_opex,7,FALSE)/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)</f>
        <v/>
      </c>
      <c r="AZ627" s="54">
        <f>IF(((W627*pax_cap*IF(B627="South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Korea",korea_mid_revleg,revleg_mid)),0))*VLOOKUP(B627,country_opex,3,FALSE))+Z627+AA627+AB627+AC627+AD627))&lt;=0,"",VLOOKUP(B627,country_opex,7,FALSE)/((W627*pax_cap*IF(B627="South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Korea",korea_mid_revleg,revleg_mid)),0))*VLOOKUP(B627,country_opex,3,FALSE))+Z627+AA627+AB627+AC627+AD627)))</f>
        <v/>
      </c>
      <c r="BA627" s="54">
        <f>IF(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&lt;=0,"",VLOOKUP(B627,country_opex,7,FALSE)/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)</f>
        <v/>
      </c>
      <c r="BB627" s="40" t="inlineStr">
        <is>
          <t>Burj Al Arab (202 suites) road-served; iconic signature marine arrival. T5/low.</t>
        </is>
      </c>
      <c r="BC627" s="40" t="inlineStr">
        <is>
          <t>OPT-IN only (R3-LAND). 202 suites x occ -&gt; modest base + experiential day-guest yacht-arrivals.</t>
        </is>
      </c>
      <c r="BD627" s="43" t="inlineStr">
        <is>
          <t>rn-06eef0dc0a9a</t>
        </is>
      </c>
    </row>
    <row r="628">
      <c r="A628" s="38" t="inlineStr">
        <is>
          <t>UAE (Careem)</t>
        </is>
      </c>
      <c r="B628" s="38" t="inlineStr">
        <is>
          <t>United Arab Emirates</t>
        </is>
      </c>
      <c r="C628" s="39" t="inlineStr">
        <is>
          <t>Marina Mall / Breakwater Marina → Reem Island Marina (Najmat / Marina Square)</t>
        </is>
      </c>
      <c r="D628" s="38" t="inlineStr">
        <is>
          <t>careem</t>
        </is>
      </c>
      <c r="E628" s="40" t="inlineStr">
        <is>
          <t>bolt-uae, uae-careem, uae-luxury, uae-noon, uae-voi, yango-uae</t>
        </is>
      </c>
      <c r="F628" s="41" t="n">
        <v>6</v>
      </c>
      <c r="G628" s="42" t="n">
        <v>7.1</v>
      </c>
      <c r="H628" s="35" t="n">
        <v>60</v>
      </c>
      <c r="I628" s="43" t="inlineStr">
        <is>
          <t>T4</t>
        </is>
      </c>
      <c r="J628" s="43" t="inlineStr">
        <is>
          <t>low</t>
        </is>
      </c>
      <c r="K628" s="29" t="n">
        <v>1</v>
      </c>
      <c r="L628" s="44">
        <f>60*G628/cruise_kt</f>
        <v/>
      </c>
      <c r="M628" s="44">
        <f>IF(B628="South Korea",G628/korea_charge_range_nm*korea_full_range_charge_min,0)</f>
        <v/>
      </c>
      <c r="N628" s="44">
        <f>IF(B628="South Korea",L628+korea_turn_min+korea_dwell_min+M628,L628+turn_min+dwell_min)</f>
        <v/>
      </c>
      <c r="O628" s="45">
        <f>IF(B628="South Korea",FLOOR(60*korea_service_hr/N628,1),MIN(15,FLOOR(60*service_hr/N628,1)))</f>
        <v/>
      </c>
      <c r="P628" s="45">
        <f>IF(ABS(MOD(ABS((365*mech_uptime*K628)),1)-0.5)&lt;1E-9,2*ROUND((365*mech_uptime*K628)/2,0),ROUND((365*mech_uptime*K628),0))</f>
        <v/>
      </c>
      <c r="Q628" s="46">
        <f>mech_uptime</f>
        <v/>
      </c>
      <c r="R628" s="46">
        <f>IF(AND(B628="South Korea",scenario="MID"),korea_mid_revleg,revleg_sel)</f>
        <v/>
      </c>
      <c r="S628" s="45">
        <f>IF(ABS(MOD(ABS((O628*P628*R628)),1)-0.5)&lt;1E-9,2*ROUND((O628*P628*R628)/2,0),ROUND((O628*P628*R628),0))</f>
        <v/>
      </c>
      <c r="T628" s="46">
        <f>IF(AND(B628="South Korea",scenario="MID"),korea_mid_load,load_sel)</f>
        <v/>
      </c>
      <c r="U628" s="47">
        <f>pax_cap*T628</f>
        <v/>
      </c>
      <c r="V628" s="45">
        <f>U628*S628</f>
        <v/>
      </c>
      <c r="W628" s="48">
        <f>H628*discount</f>
        <v/>
      </c>
      <c r="X628" s="49">
        <f>W628*V628</f>
        <v/>
      </c>
      <c r="Y628" s="49">
        <f>(battery/range_nm)*G628*S628*VLOOKUP(B628,country_opex,3,FALSE)</f>
        <v/>
      </c>
      <c r="Z628" s="49">
        <f>VLOOKUP(B628,country_opex,2,FALSE)*crew_factor</f>
        <v/>
      </c>
      <c r="AA628" s="49">
        <f>VLOOKUP(B628,country_opex,5,FALSE)</f>
        <v/>
      </c>
      <c r="AB628" s="49">
        <f>maint</f>
        <v/>
      </c>
      <c r="AC628" s="49">
        <f>VLOOKUP(B628,country_opex,7,FALSE)*ins_pct</f>
        <v/>
      </c>
      <c r="AD628" s="49">
        <f>charge_berth</f>
        <v/>
      </c>
      <c r="AE628" s="49">
        <f>Y628+Z628+AA628+AB628+AC628+AD628</f>
        <v/>
      </c>
      <c r="AF628" s="49">
        <f>VLOOKUP(B628,country_opex,7,FALSE)/dep_years</f>
        <v/>
      </c>
      <c r="AG628" s="49">
        <f>X628-AE628</f>
        <v/>
      </c>
      <c r="AH628" s="46">
        <f>IF(X628=0,"",AG628/X628)</f>
        <v/>
      </c>
      <c r="AI628" s="47">
        <f>IF(AG628&lt;=0,"",VLOOKUP(B628,country_opex,7,FALSE)/AG628)</f>
        <v/>
      </c>
      <c r="AJ628" s="44">
        <f>((G628*S628/diesel_nmpg)*diesel_co2pg-(battery/range_nm)*G628*S628*VLOOKUP(B628,country_opex,4,FALSE))/1000</f>
        <v/>
      </c>
      <c r="AK628" s="42" t="n">
        <v>35000</v>
      </c>
      <c r="AL628" s="43" t="inlineStr">
        <is>
          <t>T3</t>
        </is>
      </c>
      <c r="AM628" s="43" t="inlineStr">
        <is>
          <t>low</t>
        </is>
      </c>
      <c r="AN628" s="50" t="n">
        <v>0.1</v>
      </c>
      <c r="AO628" s="45">
        <f>IF(AK628="","",AK628*AN628)</f>
        <v/>
      </c>
      <c r="AP628" s="45">
        <f>IF(OR(AK628="",V628=0),"",MIN(IF(AX628="",9.9E+99,AX628),FLOOR(AO628/V628,1)))</f>
        <v/>
      </c>
      <c r="AQ628" s="49">
        <f>IF(AP628="","",AP628*IF(ABS(MOD(ABS((X628)),1)-0.5)&lt;1E-9,2*ROUND((X628)/2,0),ROUND((X628),0)))</f>
        <v/>
      </c>
      <c r="AR628" s="47">
        <f>IF(OR(AK628="",V628=0),"",MIN(IF(AX628="",9.9E+99,AX628),AO628/V628))</f>
        <v/>
      </c>
      <c r="AS628" s="49">
        <f>IF(AR628="","",AR628*IF(B628="South Korea",IF(ABS(MOD(ABS((X628)),1)-0.5)&lt;1E-9,2*ROUND((X628)/2,0),ROUND((X628),0)),X628))</f>
        <v/>
      </c>
      <c r="AT628" s="51" t="n"/>
      <c r="AU628" s="43" t="inlineStr">
        <is>
          <t>Grounded</t>
        </is>
      </c>
      <c r="AV628" s="52" t="n"/>
      <c r="AW628" s="52" t="n"/>
      <c r="AX628" s="53" t="n"/>
      <c r="AY628" s="54">
        <f>IF(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&lt;=0,"",VLOOKUP(B628,country_opex,7,FALSE)/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)</f>
        <v/>
      </c>
      <c r="AZ628" s="54">
        <f>IF(((W628*pax_cap*IF(B628="South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Korea",korea_mid_revleg,revleg_mid)),0))*VLOOKUP(B628,country_opex,3,FALSE))+Z628+AA628+AB628+AC628+AD628))&lt;=0,"",VLOOKUP(B628,country_opex,7,FALSE)/((W628*pax_cap*IF(B628="South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Korea",korea_mid_revleg,revleg_mid)),0))*VLOOKUP(B628,country_opex,3,FALSE))+Z628+AA628+AB628+AC628+AD628)))</f>
        <v/>
      </c>
      <c r="BA628" s="54">
        <f>IF(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&lt;=0,"",VLOOKUP(B628,country_opex,7,FALSE)/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)</f>
        <v/>
      </c>
      <c r="BB628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C628" s="40" t="inlineStr">
        <is>
          <t>UAE-DEMAND-ANCHORS-2026-06-17.json — tier-based addressable pool derived from sourcing wave anchors (hotel keys × occ × shuttle adoption, marina activity, RTA marine baseline).</t>
        </is>
      </c>
      <c r="BD628" s="43" t="inlineStr">
        <is>
          <t>rn-4a56839963b5</t>
        </is>
      </c>
    </row>
    <row r="629">
      <c r="A629" s="38" t="inlineStr">
        <is>
          <t>Gulf Authority Rakta</t>
        </is>
      </c>
      <c r="B629" s="38" t="inlineStr">
        <is>
          <t>United Arab Emirates</t>
        </is>
      </c>
      <c r="C629" s="39" t="inlineStr">
        <is>
          <t>Gumda Fishing Harbour → Sha'am Fishing Boat Harbour</t>
        </is>
      </c>
      <c r="D629" s="38" t="inlineStr">
        <is>
          <t>rakta</t>
        </is>
      </c>
      <c r="E629" s="40" t="inlineStr">
        <is>
          <t>gulf-authority-bahrain-motc, gulf-authority-rakta</t>
        </is>
      </c>
      <c r="F629" s="41" t="n">
        <v>2</v>
      </c>
      <c r="G629" s="42" t="n">
        <v>7.2</v>
      </c>
      <c r="H629" s="35" t="n">
        <v>35</v>
      </c>
      <c r="I629" s="43" t="inlineStr">
        <is>
          <t>T3</t>
        </is>
      </c>
      <c r="J629" s="43" t="inlineStr">
        <is>
          <t>med-low</t>
        </is>
      </c>
      <c r="K629" s="29" t="n">
        <v>1</v>
      </c>
      <c r="L629" s="44">
        <f>60*G629/cruise_kt</f>
        <v/>
      </c>
      <c r="M629" s="44">
        <f>IF(B629="South Korea",G629/korea_charge_range_nm*korea_full_range_charge_min,0)</f>
        <v/>
      </c>
      <c r="N629" s="44">
        <f>IF(B629="South Korea",L629+korea_turn_min+korea_dwell_min+M629,L629+turn_min+dwell_min)</f>
        <v/>
      </c>
      <c r="O629" s="45">
        <f>IF(B629="South Korea",FLOOR(60*korea_service_hr/N629,1),MIN(15,FLOOR(60*service_hr/N629,1)))</f>
        <v/>
      </c>
      <c r="P629" s="45">
        <f>IF(ABS(MOD(ABS((365*mech_uptime*K629)),1)-0.5)&lt;1E-9,2*ROUND((365*mech_uptime*K629)/2,0),ROUND((365*mech_uptime*K629),0))</f>
        <v/>
      </c>
      <c r="Q629" s="46">
        <f>mech_uptime</f>
        <v/>
      </c>
      <c r="R629" s="46">
        <f>IF(AND(B629="South Korea",scenario="MID"),korea_mid_revleg,revleg_sel)</f>
        <v/>
      </c>
      <c r="S629" s="45">
        <f>IF(ABS(MOD(ABS((O629*P629*R629)),1)-0.5)&lt;1E-9,2*ROUND((O629*P629*R629)/2,0),ROUND((O629*P629*R629),0))</f>
        <v/>
      </c>
      <c r="T629" s="46">
        <f>IF(AND(B629="South Korea",scenario="MID"),korea_mid_load,load_sel)</f>
        <v/>
      </c>
      <c r="U629" s="47">
        <f>pax_cap*T629</f>
        <v/>
      </c>
      <c r="V629" s="45">
        <f>U629*S629</f>
        <v/>
      </c>
      <c r="W629" s="48">
        <f>H629*discount</f>
        <v/>
      </c>
      <c r="X629" s="49">
        <f>W629*V629</f>
        <v/>
      </c>
      <c r="Y629" s="49">
        <f>(battery/range_nm)*G629*S629*VLOOKUP(B629,country_opex,3,FALSE)</f>
        <v/>
      </c>
      <c r="Z629" s="49">
        <f>VLOOKUP(B629,country_opex,2,FALSE)*crew_factor</f>
        <v/>
      </c>
      <c r="AA629" s="49">
        <f>VLOOKUP(B629,country_opex,5,FALSE)</f>
        <v/>
      </c>
      <c r="AB629" s="49">
        <f>maint</f>
        <v/>
      </c>
      <c r="AC629" s="49">
        <f>VLOOKUP(B629,country_opex,7,FALSE)*ins_pct</f>
        <v/>
      </c>
      <c r="AD629" s="49">
        <f>charge_berth</f>
        <v/>
      </c>
      <c r="AE629" s="49">
        <f>Y629+Z629+AA629+AB629+AC629+AD629</f>
        <v/>
      </c>
      <c r="AF629" s="49">
        <f>VLOOKUP(B629,country_opex,7,FALSE)/dep_years</f>
        <v/>
      </c>
      <c r="AG629" s="49">
        <f>X629-AE629</f>
        <v/>
      </c>
      <c r="AH629" s="46">
        <f>IF(X629=0,"",AG629/X629)</f>
        <v/>
      </c>
      <c r="AI629" s="47">
        <f>IF(AG629&lt;=0,"",VLOOKUP(B629,country_opex,7,FALSE)/AG629)</f>
        <v/>
      </c>
      <c r="AJ629" s="44">
        <f>((G629*S629/diesel_nmpg)*diesel_co2pg-(battery/range_nm)*G629*S629*VLOOKUP(B629,country_opex,4,FALSE))/1000</f>
        <v/>
      </c>
      <c r="AK629" s="42" t="n">
        <v>5217</v>
      </c>
      <c r="AL629" s="43" t="inlineStr">
        <is>
          <t>T3</t>
        </is>
      </c>
      <c r="AM629" s="43" t="inlineStr">
        <is>
          <t>med-low</t>
        </is>
      </c>
      <c r="AN629" s="50" t="n">
        <v>0.1</v>
      </c>
      <c r="AO629" s="45">
        <f>IF(AK629="","",AK629*AN629)</f>
        <v/>
      </c>
      <c r="AP629" s="45">
        <f>IF(OR(AK629="",V629=0),"",MIN(IF(AX629="",9.9E+99,AX629),FLOOR(AO629/V629,1)))</f>
        <v/>
      </c>
      <c r="AQ629" s="49">
        <f>IF(AP629="","",AP629*IF(ABS(MOD(ABS((X629)),1)-0.5)&lt;1E-9,2*ROUND((X629)/2,0),ROUND((X629),0)))</f>
        <v/>
      </c>
      <c r="AR629" s="47">
        <f>IF(OR(AK629="",V629=0),"",MIN(IF(AX629="",9.9E+99,AX629),AO629/V629))</f>
        <v/>
      </c>
      <c r="AS629" s="49">
        <f>IF(AR629="","",AR629*IF(B629="South Korea",IF(ABS(MOD(ABS((X629)),1)-0.5)&lt;1E-9,2*ROUND((X629)/2,0),ROUND((X629),0)),X629))</f>
        <v/>
      </c>
      <c r="AT629" s="51" t="n"/>
      <c r="AU629" s="43" t="inlineStr">
        <is>
          <t>Grounded</t>
        </is>
      </c>
      <c r="AV629" s="52" t="n"/>
      <c r="AW629" s="52" t="n"/>
      <c r="AX629" s="53" t="n"/>
      <c r="AY629" s="54">
        <f>IF(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&lt;=0,"",VLOOKUP(B629,country_opex,7,FALSE)/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)</f>
        <v/>
      </c>
      <c r="AZ629" s="54">
        <f>IF(((W629*pax_cap*IF(B629="South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Korea",korea_mid_revleg,revleg_mid)),0))*VLOOKUP(B629,country_opex,3,FALSE))+Z629+AA629+AB629+AC629+AD629))&lt;=0,"",VLOOKUP(B629,country_opex,7,FALSE)/((W629*pax_cap*IF(B629="South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Korea",korea_mid_revleg,revleg_mid)),0))*VLOOKUP(B629,country_opex,3,FALSE))+Z629+AA629+AB629+AC629+AD629)))</f>
        <v/>
      </c>
      <c r="BA629" s="54">
        <f>IF(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&lt;=0,"",VLOOKUP(B629,country_opex,7,FALSE)/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)</f>
        <v/>
      </c>
      <c r="BB629" s="40" t="n"/>
      <c r="BC629" s="40" t="n"/>
      <c r="BD629" s="43" t="inlineStr">
        <is>
          <t>rn-73cfebcabacd</t>
        </is>
      </c>
    </row>
    <row r="630">
      <c r="A630" s="38" t="inlineStr">
        <is>
          <t>UAE (Careem)</t>
        </is>
      </c>
      <c r="B630" s="38" t="inlineStr">
        <is>
          <t>United Arab Emirates</t>
        </is>
      </c>
      <c r="C630" s="39" t="inlineStr">
        <is>
          <t>Dubai Harbour Marina → Anantara World Islands Resort Jetty (planned)</t>
        </is>
      </c>
      <c r="D630" s="38" t="inlineStr">
        <is>
          <t>careem</t>
        </is>
      </c>
      <c r="E630" s="40" t="inlineStr">
        <is>
          <t>bolt-uae, uae-careem, uae-luxury, uae-noon, uae-voi, yango-uae</t>
        </is>
      </c>
      <c r="F630" s="41" t="n">
        <v>6</v>
      </c>
      <c r="G630" s="42" t="n">
        <v>7.9</v>
      </c>
      <c r="H630" s="35" t="n">
        <v>80</v>
      </c>
      <c r="I630" s="43" t="inlineStr">
        <is>
          <t>T4</t>
        </is>
      </c>
      <c r="J630" s="43" t="inlineStr">
        <is>
          <t>low</t>
        </is>
      </c>
      <c r="K630" s="29" t="n">
        <v>1</v>
      </c>
      <c r="L630" s="44">
        <f>60*G630/cruise_kt</f>
        <v/>
      </c>
      <c r="M630" s="44">
        <f>IF(B630="South Korea",G630/korea_charge_range_nm*korea_full_range_charge_min,0)</f>
        <v/>
      </c>
      <c r="N630" s="44">
        <f>IF(B630="South Korea",L630+korea_turn_min+korea_dwell_min+M630,L630+turn_min+dwell_min)</f>
        <v/>
      </c>
      <c r="O630" s="45">
        <f>IF(B630="South Korea",FLOOR(60*korea_service_hr/N630,1),MIN(15,FLOOR(60*service_hr/N630,1)))</f>
        <v/>
      </c>
      <c r="P630" s="45">
        <f>IF(ABS(MOD(ABS((365*mech_uptime*K630)),1)-0.5)&lt;1E-9,2*ROUND((365*mech_uptime*K630)/2,0),ROUND((365*mech_uptime*K630),0))</f>
        <v/>
      </c>
      <c r="Q630" s="46">
        <f>mech_uptime</f>
        <v/>
      </c>
      <c r="R630" s="46">
        <f>IF(AND(B630="South Korea",scenario="MID"),korea_mid_revleg,revleg_sel)</f>
        <v/>
      </c>
      <c r="S630" s="45">
        <f>IF(ABS(MOD(ABS((O630*P630*R630)),1)-0.5)&lt;1E-9,2*ROUND((O630*P630*R630)/2,0),ROUND((O630*P630*R630),0))</f>
        <v/>
      </c>
      <c r="T630" s="46">
        <f>IF(AND(B630="South Korea",scenario="MID"),korea_mid_load,load_sel)</f>
        <v/>
      </c>
      <c r="U630" s="47">
        <f>pax_cap*T630</f>
        <v/>
      </c>
      <c r="V630" s="45">
        <f>U630*S630</f>
        <v/>
      </c>
      <c r="W630" s="48">
        <f>H630*discount</f>
        <v/>
      </c>
      <c r="X630" s="49">
        <f>W630*V630</f>
        <v/>
      </c>
      <c r="Y630" s="49">
        <f>(battery/range_nm)*G630*S630*VLOOKUP(B630,country_opex,3,FALSE)</f>
        <v/>
      </c>
      <c r="Z630" s="49">
        <f>VLOOKUP(B630,country_opex,2,FALSE)*crew_factor</f>
        <v/>
      </c>
      <c r="AA630" s="49">
        <f>VLOOKUP(B630,country_opex,5,FALSE)</f>
        <v/>
      </c>
      <c r="AB630" s="49">
        <f>maint</f>
        <v/>
      </c>
      <c r="AC630" s="49">
        <f>VLOOKUP(B630,country_opex,7,FALSE)*ins_pct</f>
        <v/>
      </c>
      <c r="AD630" s="49">
        <f>charge_berth</f>
        <v/>
      </c>
      <c r="AE630" s="49">
        <f>Y630+Z630+AA630+AB630+AC630+AD630</f>
        <v/>
      </c>
      <c r="AF630" s="49">
        <f>VLOOKUP(B630,country_opex,7,FALSE)/dep_years</f>
        <v/>
      </c>
      <c r="AG630" s="49">
        <f>X630-AE630</f>
        <v/>
      </c>
      <c r="AH630" s="46">
        <f>IF(X630=0,"",AG630/X630)</f>
        <v/>
      </c>
      <c r="AI630" s="47">
        <f>IF(AG630&lt;=0,"",VLOOKUP(B630,country_opex,7,FALSE)/AG630)</f>
        <v/>
      </c>
      <c r="AJ630" s="44">
        <f>((G630*S630/diesel_nmpg)*diesel_co2pg-(battery/range_nm)*G630*S630*VLOOKUP(B630,country_opex,4,FALSE))/1000</f>
        <v/>
      </c>
      <c r="AK630" s="42" t="n">
        <v>30000</v>
      </c>
      <c r="AL630" s="43" t="inlineStr">
        <is>
          <t>T5</t>
        </is>
      </c>
      <c r="AM630" s="43" t="inlineStr">
        <is>
          <t>low</t>
        </is>
      </c>
      <c r="AN630" s="50" t="n">
        <v>0.1</v>
      </c>
      <c r="AO630" s="45">
        <f>IF(AK630="","",AK630*AN630)</f>
        <v/>
      </c>
      <c r="AP630" s="45">
        <f>IF(OR(AK630="",V630=0),"",MIN(IF(AX630="",9.9E+99,AX630),FLOOR(AO630/V630,1)))</f>
        <v/>
      </c>
      <c r="AQ630" s="49">
        <f>IF(AP630="","",AP630*IF(ABS(MOD(ABS((X630)),1)-0.5)&lt;1E-9,2*ROUND((X630)/2,0),ROUND((X630),0)))</f>
        <v/>
      </c>
      <c r="AR630" s="47">
        <f>IF(OR(AK630="",V630=0),"",MIN(IF(AX630="",9.9E+99,AX630),AO630/V630))</f>
        <v/>
      </c>
      <c r="AS630" s="49">
        <f>IF(AR630="","",AR630*IF(B630="South Korea",IF(ABS(MOD(ABS((X630)),1)-0.5)&lt;1E-9,2*ROUND((X630)/2,0),ROUND((X630),0)),X630))</f>
        <v/>
      </c>
      <c r="AT630" s="51" t="n"/>
      <c r="AU630" s="43" t="inlineStr">
        <is>
          <t>Grounded</t>
        </is>
      </c>
      <c r="AV630" s="52" t="n"/>
      <c r="AW630" s="52" t="n"/>
      <c r="AX630" s="53" t="n"/>
      <c r="AY630" s="54">
        <f>IF(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&lt;=0,"",VLOOKUP(B630,country_opex,7,FALSE)/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)</f>
        <v/>
      </c>
      <c r="AZ630" s="54">
        <f>IF(((W630*pax_cap*IF(B630="South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Korea",korea_mid_revleg,revleg_mid)),0))*VLOOKUP(B630,country_opex,3,FALSE))+Z630+AA630+AB630+AC630+AD630))&lt;=0,"",VLOOKUP(B630,country_opex,7,FALSE)/((W630*pax_cap*IF(B630="South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Korea",korea_mid_revleg,revleg_mid)),0))*VLOOKUP(B630,country_opex,3,FALSE))+Z630+AA630+AB630+AC630+AD630)))</f>
        <v/>
      </c>
      <c r="BA630" s="54">
        <f>IF(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&lt;=0,"",VLOOKUP(B630,country_opex,7,FALSE)/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)</f>
        <v/>
      </c>
      <c r="BB630" s="40" t="inlineStr">
        <is>
          <t>Anantara World Islands Resort (boat-only; Forbes/Expedia 'accessible only by boat'). Resort shuttle ~AED 150/pax RETURN (~$20/way); premium per-seat modeled $80.</t>
        </is>
      </c>
      <c r="BC630" s="40" t="inlineStr">
        <is>
          <t>Boot-only -&gt; arrivals=crossing ridership FULLY addressable (R3-EXCEPTION). ~70 keys x ~65% occ + day-guests.</t>
        </is>
      </c>
      <c r="BD630" s="43" t="inlineStr">
        <is>
          <t>rn-a0295522defb</t>
        </is>
      </c>
    </row>
    <row r="631">
      <c r="A631" s="38" t="inlineStr">
        <is>
          <t>UAE (Careem)</t>
        </is>
      </c>
      <c r="B631" s="38" t="inlineStr">
        <is>
          <t>United Arab Emirates</t>
        </is>
      </c>
      <c r="C631" s="39" t="inlineStr">
        <is>
          <t>Saadiyat Beach Club Jetty → Marina Mall / Breakwater Marina</t>
        </is>
      </c>
      <c r="D631" s="38" t="inlineStr">
        <is>
          <t>careem</t>
        </is>
      </c>
      <c r="E631" s="40" t="inlineStr">
        <is>
          <t>bolt-uae, uae-careem, uae-luxury, uae-noon, uae-voi, yango-uae</t>
        </is>
      </c>
      <c r="F631" s="41" t="n">
        <v>6</v>
      </c>
      <c r="G631" s="42" t="n">
        <v>8.9</v>
      </c>
      <c r="H631" s="35" t="n">
        <v>70</v>
      </c>
      <c r="I631" s="43" t="inlineStr">
        <is>
          <t>T4</t>
        </is>
      </c>
      <c r="J631" s="43" t="inlineStr">
        <is>
          <t>low</t>
        </is>
      </c>
      <c r="K631" s="29" t="n">
        <v>1</v>
      </c>
      <c r="L631" s="44">
        <f>60*G631/cruise_kt</f>
        <v/>
      </c>
      <c r="M631" s="44">
        <f>IF(B631="South Korea",G631/korea_charge_range_nm*korea_full_range_charge_min,0)</f>
        <v/>
      </c>
      <c r="N631" s="44">
        <f>IF(B631="South Korea",L631+korea_turn_min+korea_dwell_min+M631,L631+turn_min+dwell_min)</f>
        <v/>
      </c>
      <c r="O631" s="45">
        <f>IF(B631="South Korea",FLOOR(60*korea_service_hr/N631,1),MIN(15,FLOOR(60*service_hr/N631,1)))</f>
        <v/>
      </c>
      <c r="P631" s="45">
        <f>IF(ABS(MOD(ABS((365*mech_uptime*K631)),1)-0.5)&lt;1E-9,2*ROUND((365*mech_uptime*K631)/2,0),ROUND((365*mech_uptime*K631),0))</f>
        <v/>
      </c>
      <c r="Q631" s="46">
        <f>mech_uptime</f>
        <v/>
      </c>
      <c r="R631" s="46">
        <f>IF(AND(B631="South Korea",scenario="MID"),korea_mid_revleg,revleg_sel)</f>
        <v/>
      </c>
      <c r="S631" s="45">
        <f>IF(ABS(MOD(ABS((O631*P631*R631)),1)-0.5)&lt;1E-9,2*ROUND((O631*P631*R631)/2,0),ROUND((O631*P631*R631),0))</f>
        <v/>
      </c>
      <c r="T631" s="46">
        <f>IF(AND(B631="South Korea",scenario="MID"),korea_mid_load,load_sel)</f>
        <v/>
      </c>
      <c r="U631" s="47">
        <f>pax_cap*T631</f>
        <v/>
      </c>
      <c r="V631" s="45">
        <f>U631*S631</f>
        <v/>
      </c>
      <c r="W631" s="48">
        <f>H631*discount</f>
        <v/>
      </c>
      <c r="X631" s="49">
        <f>W631*V631</f>
        <v/>
      </c>
      <c r="Y631" s="49">
        <f>(battery/range_nm)*G631*S631*VLOOKUP(B631,country_opex,3,FALSE)</f>
        <v/>
      </c>
      <c r="Z631" s="49">
        <f>VLOOKUP(B631,country_opex,2,FALSE)*crew_factor</f>
        <v/>
      </c>
      <c r="AA631" s="49">
        <f>VLOOKUP(B631,country_opex,5,FALSE)</f>
        <v/>
      </c>
      <c r="AB631" s="49">
        <f>maint</f>
        <v/>
      </c>
      <c r="AC631" s="49">
        <f>VLOOKUP(B631,country_opex,7,FALSE)*ins_pct</f>
        <v/>
      </c>
      <c r="AD631" s="49">
        <f>charge_berth</f>
        <v/>
      </c>
      <c r="AE631" s="49">
        <f>Y631+Z631+AA631+AB631+AC631+AD631</f>
        <v/>
      </c>
      <c r="AF631" s="49">
        <f>VLOOKUP(B631,country_opex,7,FALSE)/dep_years</f>
        <v/>
      </c>
      <c r="AG631" s="49">
        <f>X631-AE631</f>
        <v/>
      </c>
      <c r="AH631" s="46">
        <f>IF(X631=0,"",AG631/X631)</f>
        <v/>
      </c>
      <c r="AI631" s="47">
        <f>IF(AG631&lt;=0,"",VLOOKUP(B631,country_opex,7,FALSE)/AG631)</f>
        <v/>
      </c>
      <c r="AJ631" s="44">
        <f>((G631*S631/diesel_nmpg)*diesel_co2pg-(battery/range_nm)*G631*S631*VLOOKUP(B631,country_opex,4,FALSE))/1000</f>
        <v/>
      </c>
      <c r="AK631" s="42" t="n">
        <v>25000</v>
      </c>
      <c r="AL631" s="43" t="inlineStr">
        <is>
          <t>T3</t>
        </is>
      </c>
      <c r="AM631" s="43" t="inlineStr">
        <is>
          <t>low</t>
        </is>
      </c>
      <c r="AN631" s="50" t="n">
        <v>0.1</v>
      </c>
      <c r="AO631" s="45">
        <f>IF(AK631="","",AK631*AN631)</f>
        <v/>
      </c>
      <c r="AP631" s="45">
        <f>IF(OR(AK631="",V631=0),"",MIN(IF(AX631="",9.9E+99,AX631),FLOOR(AO631/V631,1)))</f>
        <v/>
      </c>
      <c r="AQ631" s="49">
        <f>IF(AP631="","",AP631*IF(ABS(MOD(ABS((X631)),1)-0.5)&lt;1E-9,2*ROUND((X631)/2,0),ROUND((X631),0)))</f>
        <v/>
      </c>
      <c r="AR631" s="47">
        <f>IF(OR(AK631="",V631=0),"",MIN(IF(AX631="",9.9E+99,AX631),AO631/V631))</f>
        <v/>
      </c>
      <c r="AS631" s="49">
        <f>IF(AR631="","",AR631*IF(B631="South Korea",IF(ABS(MOD(ABS((X631)),1)-0.5)&lt;1E-9,2*ROUND((X631)/2,0),ROUND((X631),0)),X631))</f>
        <v/>
      </c>
      <c r="AT631" s="51" t="n"/>
      <c r="AU631" s="43" t="inlineStr">
        <is>
          <t>Grounded</t>
        </is>
      </c>
      <c r="AV631" s="52" t="n"/>
      <c r="AW631" s="52" t="n"/>
      <c r="AX631" s="53" t="n"/>
      <c r="AY631" s="54">
        <f>IF(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&lt;=0,"",VLOOKUP(B631,country_opex,7,FALSE)/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)</f>
        <v/>
      </c>
      <c r="AZ631" s="54">
        <f>IF(((W631*pax_cap*IF(B631="South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Korea",korea_mid_revleg,revleg_mid)),0))*VLOOKUP(B631,country_opex,3,FALSE))+Z631+AA631+AB631+AC631+AD631))&lt;=0,"",VLOOKUP(B631,country_opex,7,FALSE)/((W631*pax_cap*IF(B631="South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Korea",korea_mid_revleg,revleg_mid)),0))*VLOOKUP(B631,country_opex,3,FALSE))+Z631+AA631+AB631+AC631+AD631)))</f>
        <v/>
      </c>
      <c r="BA631" s="54">
        <f>IF(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&lt;=0,"",VLOOKUP(B631,country_opex,7,FALSE)/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)</f>
        <v/>
      </c>
      <c r="BB631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C631" s="40" t="inlineStr">
        <is>
          <t>UAE-DEMAND-ANCHORS-2026-06-17.json — tier-based addressable pool derived from sourcing wave anchors (hotel keys × occ × shuttle adoption, marina activity, RTA marine baseline).</t>
        </is>
      </c>
      <c r="BD631" s="43" t="inlineStr">
        <is>
          <t>rn-6b584e8b2049</t>
        </is>
      </c>
    </row>
    <row r="632">
      <c r="A632" s="38" t="inlineStr">
        <is>
          <t>UAE (Careem)</t>
        </is>
      </c>
      <c r="B632" s="38" t="inlineStr">
        <is>
          <t>United Arab Emirates</t>
        </is>
      </c>
      <c r="C632" s="39" t="inlineStr">
        <is>
          <t>Dubai Harbour Marina → Côte d'Azur Resort Marina (Heart of Europe)</t>
        </is>
      </c>
      <c r="D632" s="38" t="inlineStr">
        <is>
          <t>careem</t>
        </is>
      </c>
      <c r="E632" s="40" t="inlineStr">
        <is>
          <t>bolt-uae, uae-careem, uae-luxury, uae-noon, uae-voi, yango-uae</t>
        </is>
      </c>
      <c r="F632" s="41" t="n">
        <v>6</v>
      </c>
      <c r="G632" s="42" t="n">
        <v>9.199999999999999</v>
      </c>
      <c r="H632" s="35" t="n">
        <v>175</v>
      </c>
      <c r="I632" s="43" t="inlineStr">
        <is>
          <t>T5</t>
        </is>
      </c>
      <c r="J632" s="43" t="inlineStr">
        <is>
          <t>low</t>
        </is>
      </c>
      <c r="K632" s="29" t="n">
        <v>1</v>
      </c>
      <c r="L632" s="44">
        <f>60*G632/cruise_kt</f>
        <v/>
      </c>
      <c r="M632" s="44">
        <f>IF(B632="South Korea",G632/korea_charge_range_nm*korea_full_range_charge_min,0)</f>
        <v/>
      </c>
      <c r="N632" s="44">
        <f>IF(B632="South Korea",L632+korea_turn_min+korea_dwell_min+M632,L632+turn_min+dwell_min)</f>
        <v/>
      </c>
      <c r="O632" s="45">
        <f>IF(B632="South Korea",FLOOR(60*korea_service_hr/N632,1),MIN(15,FLOOR(60*service_hr/N632,1)))</f>
        <v/>
      </c>
      <c r="P632" s="45">
        <f>IF(ABS(MOD(ABS((365*mech_uptime*K632)),1)-0.5)&lt;1E-9,2*ROUND((365*mech_uptime*K632)/2,0),ROUND((365*mech_uptime*K632),0))</f>
        <v/>
      </c>
      <c r="Q632" s="46">
        <f>mech_uptime</f>
        <v/>
      </c>
      <c r="R632" s="46">
        <f>IF(AND(B632="South Korea",scenario="MID"),korea_mid_revleg,revleg_sel)</f>
        <v/>
      </c>
      <c r="S632" s="45">
        <f>IF(ABS(MOD(ABS((O632*P632*R632)),1)-0.5)&lt;1E-9,2*ROUND((O632*P632*R632)/2,0),ROUND((O632*P632*R632),0))</f>
        <v/>
      </c>
      <c r="T632" s="46">
        <f>IF(AND(B632="South Korea",scenario="MID"),korea_mid_load,load_sel)</f>
        <v/>
      </c>
      <c r="U632" s="47">
        <f>pax_cap*T632</f>
        <v/>
      </c>
      <c r="V632" s="45">
        <f>U632*S632</f>
        <v/>
      </c>
      <c r="W632" s="48">
        <f>H632*discount</f>
        <v/>
      </c>
      <c r="X632" s="49">
        <f>W632*V632</f>
        <v/>
      </c>
      <c r="Y632" s="49">
        <f>(battery/range_nm)*G632*S632*VLOOKUP(B632,country_opex,3,FALSE)</f>
        <v/>
      </c>
      <c r="Z632" s="49">
        <f>VLOOKUP(B632,country_opex,2,FALSE)*crew_factor</f>
        <v/>
      </c>
      <c r="AA632" s="49">
        <f>VLOOKUP(B632,country_opex,5,FALSE)</f>
        <v/>
      </c>
      <c r="AB632" s="49">
        <f>maint</f>
        <v/>
      </c>
      <c r="AC632" s="49">
        <f>VLOOKUP(B632,country_opex,7,FALSE)*ins_pct</f>
        <v/>
      </c>
      <c r="AD632" s="49">
        <f>charge_berth</f>
        <v/>
      </c>
      <c r="AE632" s="49">
        <f>Y632+Z632+AA632+AB632+AC632+AD632</f>
        <v/>
      </c>
      <c r="AF632" s="49">
        <f>VLOOKUP(B632,country_opex,7,FALSE)/dep_years</f>
        <v/>
      </c>
      <c r="AG632" s="49">
        <f>X632-AE632</f>
        <v/>
      </c>
      <c r="AH632" s="46">
        <f>IF(X632=0,"",AG632/X632)</f>
        <v/>
      </c>
      <c r="AI632" s="47">
        <f>IF(AG632&lt;=0,"",VLOOKUP(B632,country_opex,7,FALSE)/AG632)</f>
        <v/>
      </c>
      <c r="AJ632" s="44">
        <f>((G632*S632/diesel_nmpg)*diesel_co2pg-(battery/range_nm)*G632*S632*VLOOKUP(B632,country_opex,4,FALSE))/1000</f>
        <v/>
      </c>
      <c r="AK632" s="42" t="n">
        <v>70000</v>
      </c>
      <c r="AL632" s="43" t="inlineStr">
        <is>
          <t>T2</t>
        </is>
      </c>
      <c r="AM632" s="43" t="inlineStr">
        <is>
          <t>medium</t>
        </is>
      </c>
      <c r="AN632" s="50" t="n">
        <v>0.1</v>
      </c>
      <c r="AO632" s="45">
        <f>IF(AK632="","",AK632*AN632)</f>
        <v/>
      </c>
      <c r="AP632" s="45">
        <f>IF(OR(AK632="",V632=0),"",MIN(IF(AX632="",9.9E+99,AX632),FLOOR(AO632/V632,1)))</f>
        <v/>
      </c>
      <c r="AQ632" s="49">
        <f>IF(AP632="","",AP632*IF(ABS(MOD(ABS((X632)),1)-0.5)&lt;1E-9,2*ROUND((X632)/2,0),ROUND((X632),0)))</f>
        <v/>
      </c>
      <c r="AR632" s="47">
        <f>IF(OR(AK632="",V632=0),"",MIN(IF(AX632="",9.9E+99,AX632),AO632/V632))</f>
        <v/>
      </c>
      <c r="AS632" s="49">
        <f>IF(AR632="","",AR632*IF(B632="South Korea",IF(ABS(MOD(ABS((X632)),1)-0.5)&lt;1E-9,2*ROUND((X632)/2,0),ROUND((X632),0)),X632))</f>
        <v/>
      </c>
      <c r="AT632" s="51" t="n"/>
      <c r="AU632" s="43" t="inlineStr">
        <is>
          <t>Grounded</t>
        </is>
      </c>
      <c r="AV632" s="52" t="n"/>
      <c r="AW632" s="52" t="n"/>
      <c r="AX632" s="53" t="n"/>
      <c r="AY632" s="54">
        <f>IF(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&lt;=0,"",VLOOKUP(B632,country_opex,7,FALSE)/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)</f>
        <v/>
      </c>
      <c r="AZ632" s="54">
        <f>IF(((W632*pax_cap*IF(B632="South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Korea",korea_mid_revleg,revleg_mid)),0))*VLOOKUP(B632,country_opex,3,FALSE))+Z632+AA632+AB632+AC632+AD632))&lt;=0,"",VLOOKUP(B632,country_opex,7,FALSE)/((W632*pax_cap*IF(B632="South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Korea",korea_mid_revleg,revleg_mid)),0))*VLOOKUP(B632,country_opex,3,FALSE))+Z632+AA632+AB632+AC632+AD632)))</f>
        <v/>
      </c>
      <c r="BA632" s="54">
        <f>IF(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&lt;=0,"",VLOOKUP(B632,country_opex,7,FALSE)/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)</f>
        <v/>
      </c>
      <c r="BB632" s="40" t="inlineStr">
        <is>
          <t>The World (Heart of Europe/Cote d'Azur) boat-only offshore. Shared per-seat $56-120/pax; resort transfers bundled. T5/low - opportunity-to-create.</t>
        </is>
      </c>
      <c r="BC63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32" s="43" t="inlineStr">
        <is>
          <t>rn-12f09bd4d4d6</t>
        </is>
      </c>
    </row>
    <row r="633">
      <c r="A633" s="38" t="inlineStr">
        <is>
          <t>UAE (Careem)</t>
        </is>
      </c>
      <c r="B633" s="38" t="inlineStr">
        <is>
          <t>United Arab Emirates</t>
        </is>
      </c>
      <c r="C633" s="39" t="inlineStr">
        <is>
          <t>Vida Beach Resort Umm Al Quwain → Sharjah Waterfront City marina</t>
        </is>
      </c>
      <c r="D633" s="38" t="inlineStr">
        <is>
          <t>noon</t>
        </is>
      </c>
      <c r="E633" s="40" t="inlineStr">
        <is>
          <t>bolt-uae, uae-careem, uae-luxury, uae-noon, uae-voi, yango-uae</t>
        </is>
      </c>
      <c r="F633" s="41" t="n">
        <v>6</v>
      </c>
      <c r="G633" s="42" t="n">
        <v>9.6</v>
      </c>
      <c r="H633" s="35" t="n"/>
      <c r="I633" s="43" t="n"/>
      <c r="J633" s="43" t="n"/>
      <c r="K633" s="29" t="n">
        <v>1</v>
      </c>
      <c r="L633" s="44">
        <f>60*G633/cruise_kt</f>
        <v/>
      </c>
      <c r="M633" s="44">
        <f>IF(B633="South Korea",G633/korea_charge_range_nm*korea_full_range_charge_min,0)</f>
        <v/>
      </c>
      <c r="N633" s="44">
        <f>IF(B633="South Korea",L633+korea_turn_min+korea_dwell_min+M633,L633+turn_min+dwell_min)</f>
        <v/>
      </c>
      <c r="O633" s="45">
        <f>IF(B633="South Korea",FLOOR(60*korea_service_hr/N633,1),MIN(15,FLOOR(60*service_hr/N633,1)))</f>
        <v/>
      </c>
      <c r="P633" s="45">
        <f>IF(ABS(MOD(ABS((365*mech_uptime*K633)),1)-0.5)&lt;1E-9,2*ROUND((365*mech_uptime*K633)/2,0),ROUND((365*mech_uptime*K633),0))</f>
        <v/>
      </c>
      <c r="Q633" s="46">
        <f>mech_uptime</f>
        <v/>
      </c>
      <c r="R633" s="46">
        <f>IF(AND(B633="South Korea",scenario="MID"),korea_mid_revleg,revleg_sel)</f>
        <v/>
      </c>
      <c r="S633" s="45">
        <f>IF(ABS(MOD(ABS((O633*P633*R633)),1)-0.5)&lt;1E-9,2*ROUND((O633*P633*R633)/2,0),ROUND((O633*P633*R633),0))</f>
        <v/>
      </c>
      <c r="T633" s="46">
        <f>IF(AND(B633="South Korea",scenario="MID"),korea_mid_load,load_sel)</f>
        <v/>
      </c>
      <c r="U633" s="47">
        <f>pax_cap*T633</f>
        <v/>
      </c>
      <c r="V633" s="45">
        <f>U633*S633</f>
        <v/>
      </c>
      <c r="W633" s="48">
        <f>H633*discount</f>
        <v/>
      </c>
      <c r="X633" s="49">
        <f>W633*V633</f>
        <v/>
      </c>
      <c r="Y633" s="49">
        <f>(battery/range_nm)*G633*S633*VLOOKUP(B633,country_opex,3,FALSE)</f>
        <v/>
      </c>
      <c r="Z633" s="49">
        <f>VLOOKUP(B633,country_opex,2,FALSE)*crew_factor</f>
        <v/>
      </c>
      <c r="AA633" s="49">
        <f>VLOOKUP(B633,country_opex,5,FALSE)</f>
        <v/>
      </c>
      <c r="AB633" s="49">
        <f>maint</f>
        <v/>
      </c>
      <c r="AC633" s="49">
        <f>VLOOKUP(B633,country_opex,7,FALSE)*ins_pct</f>
        <v/>
      </c>
      <c r="AD633" s="49">
        <f>charge_berth</f>
        <v/>
      </c>
      <c r="AE633" s="49">
        <f>Y633+Z633+AA633+AB633+AC633+AD633</f>
        <v/>
      </c>
      <c r="AF633" s="49">
        <f>VLOOKUP(B633,country_opex,7,FALSE)/dep_years</f>
        <v/>
      </c>
      <c r="AG633" s="49">
        <f>X633-AE633</f>
        <v/>
      </c>
      <c r="AH633" s="46">
        <f>IF(X633=0,"",AG633/X633)</f>
        <v/>
      </c>
      <c r="AI633" s="47">
        <f>IF(AG633&lt;=0,"",VLOOKUP(B633,country_opex,7,FALSE)/AG633)</f>
        <v/>
      </c>
      <c r="AJ633" s="44">
        <f>((G633*S633/diesel_nmpg)*diesel_co2pg-(battery/range_nm)*G633*S633*VLOOKUP(B633,country_opex,4,FALSE))/1000</f>
        <v/>
      </c>
      <c r="AK633" s="42" t="n"/>
      <c r="AL633" s="43" t="n"/>
      <c r="AM633" s="43" t="n"/>
      <c r="AN633" s="50" t="n">
        <v>0.1</v>
      </c>
      <c r="AO633" s="45">
        <f>IF(AK633="","",AK633*AN633)</f>
        <v/>
      </c>
      <c r="AP633" s="45">
        <f>IF(OR(AK633="",V633=0),"",MIN(IF(AX633="",9.9E+99,AX633),FLOOR(AO633/V633,1)))</f>
        <v/>
      </c>
      <c r="AQ633" s="49">
        <f>IF(AP633="","",AP633*IF(ABS(MOD(ABS((X633)),1)-0.5)&lt;1E-9,2*ROUND((X633)/2,0),ROUND((X633),0)))</f>
        <v/>
      </c>
      <c r="AR633" s="47">
        <f>IF(OR(AK633="",V633=0),"",MIN(IF(AX633="",9.9E+99,AX633),AO633/V633))</f>
        <v/>
      </c>
      <c r="AS633" s="49">
        <f>IF(AR633="","",AR633*IF(B633="South Korea",IF(ABS(MOD(ABS((X633)),1)-0.5)&lt;1E-9,2*ROUND((X633)/2,0),ROUND((X633),0)),X633))</f>
        <v/>
      </c>
      <c r="AT633" s="51" t="n"/>
      <c r="AU633" s="43" t="inlineStr">
        <is>
          <t>Estimated</t>
        </is>
      </c>
      <c r="AV633" s="52" t="n"/>
      <c r="AW633" s="52" t="n"/>
      <c r="AX633" s="53" t="n"/>
      <c r="AY633" s="54">
        <f>IF(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&lt;=0,"",VLOOKUP(B633,country_opex,7,FALSE)/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)</f>
        <v/>
      </c>
      <c r="AZ633" s="54">
        <f>IF(((W633*pax_cap*IF(B633="South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Korea",korea_mid_revleg,revleg_mid)),0))*VLOOKUP(B633,country_opex,3,FALSE))+Z633+AA633+AB633+AC633+AD633))&lt;=0,"",VLOOKUP(B633,country_opex,7,FALSE)/((W633*pax_cap*IF(B633="South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Korea",korea_mid_revleg,revleg_mid)),0))*VLOOKUP(B633,country_opex,3,FALSE))+Z633+AA633+AB633+AC633+AD633)))</f>
        <v/>
      </c>
      <c r="BA633" s="54">
        <f>IF(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&lt;=0,"",VLOOKUP(B633,country_opex,7,FALSE)/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)</f>
        <v/>
      </c>
      <c r="BB633" s="40" t="n"/>
      <c r="BC633" s="40" t="n"/>
      <c r="BD633" s="43" t="inlineStr">
        <is>
          <t>rn-02a40748974d</t>
        </is>
      </c>
    </row>
    <row r="634">
      <c r="A634" s="38" t="inlineStr">
        <is>
          <t>UAE (Careem)</t>
        </is>
      </c>
      <c r="B634" s="38" t="inlineStr">
        <is>
          <t>United Arab Emirates</t>
        </is>
      </c>
      <c r="C634" s="39" t="inlineStr">
        <is>
          <t>Bluewaters Marina → Heart of Europe — Main Marina (The World)</t>
        </is>
      </c>
      <c r="D634" s="38" t="inlineStr">
        <is>
          <t>careem</t>
        </is>
      </c>
      <c r="E634" s="40" t="inlineStr">
        <is>
          <t>bolt-uae, uae-careem, uae-luxury, uae-noon, uae-voi, yango-uae</t>
        </is>
      </c>
      <c r="F634" s="41" t="n">
        <v>6</v>
      </c>
      <c r="G634" s="42" t="n">
        <v>9.880000000000001</v>
      </c>
      <c r="H634" s="35" t="n">
        <v>175</v>
      </c>
      <c r="I634" s="43" t="inlineStr">
        <is>
          <t>T5</t>
        </is>
      </c>
      <c r="J634" s="43" t="inlineStr">
        <is>
          <t>low</t>
        </is>
      </c>
      <c r="K634" s="29" t="n">
        <v>1</v>
      </c>
      <c r="L634" s="44">
        <f>60*G634/cruise_kt</f>
        <v/>
      </c>
      <c r="M634" s="44">
        <f>IF(B634="South Korea",G634/korea_charge_range_nm*korea_full_range_charge_min,0)</f>
        <v/>
      </c>
      <c r="N634" s="44">
        <f>IF(B634="South Korea",L634+korea_turn_min+korea_dwell_min+M634,L634+turn_min+dwell_min)</f>
        <v/>
      </c>
      <c r="O634" s="45">
        <f>IF(B634="South Korea",FLOOR(60*korea_service_hr/N634,1),MIN(15,FLOOR(60*service_hr/N634,1)))</f>
        <v/>
      </c>
      <c r="P634" s="45">
        <f>IF(ABS(MOD(ABS((365*mech_uptime*K634)),1)-0.5)&lt;1E-9,2*ROUND((365*mech_uptime*K634)/2,0),ROUND((365*mech_uptime*K634),0))</f>
        <v/>
      </c>
      <c r="Q634" s="46">
        <f>mech_uptime</f>
        <v/>
      </c>
      <c r="R634" s="46">
        <f>IF(AND(B634="South Korea",scenario="MID"),korea_mid_revleg,revleg_sel)</f>
        <v/>
      </c>
      <c r="S634" s="45">
        <f>IF(ABS(MOD(ABS((O634*P634*R634)),1)-0.5)&lt;1E-9,2*ROUND((O634*P634*R634)/2,0),ROUND((O634*P634*R634),0))</f>
        <v/>
      </c>
      <c r="T634" s="46">
        <f>IF(AND(B634="South Korea",scenario="MID"),korea_mid_load,load_sel)</f>
        <v/>
      </c>
      <c r="U634" s="47">
        <f>pax_cap*T634</f>
        <v/>
      </c>
      <c r="V634" s="45">
        <f>U634*S634</f>
        <v/>
      </c>
      <c r="W634" s="48">
        <f>H634*discount</f>
        <v/>
      </c>
      <c r="X634" s="49">
        <f>W634*V634</f>
        <v/>
      </c>
      <c r="Y634" s="49">
        <f>(battery/range_nm)*G634*S634*VLOOKUP(B634,country_opex,3,FALSE)</f>
        <v/>
      </c>
      <c r="Z634" s="49">
        <f>VLOOKUP(B634,country_opex,2,FALSE)*crew_factor</f>
        <v/>
      </c>
      <c r="AA634" s="49">
        <f>VLOOKUP(B634,country_opex,5,FALSE)</f>
        <v/>
      </c>
      <c r="AB634" s="49">
        <f>maint</f>
        <v/>
      </c>
      <c r="AC634" s="49">
        <f>VLOOKUP(B634,country_opex,7,FALSE)*ins_pct</f>
        <v/>
      </c>
      <c r="AD634" s="49">
        <f>charge_berth</f>
        <v/>
      </c>
      <c r="AE634" s="49">
        <f>Y634+Z634+AA634+AB634+AC634+AD634</f>
        <v/>
      </c>
      <c r="AF634" s="49">
        <f>VLOOKUP(B634,country_opex,7,FALSE)/dep_years</f>
        <v/>
      </c>
      <c r="AG634" s="49">
        <f>X634-AE634</f>
        <v/>
      </c>
      <c r="AH634" s="46">
        <f>IF(X634=0,"",AG634/X634)</f>
        <v/>
      </c>
      <c r="AI634" s="47">
        <f>IF(AG634&lt;=0,"",VLOOKUP(B634,country_opex,7,FALSE)/AG634)</f>
        <v/>
      </c>
      <c r="AJ634" s="44">
        <f>((G634*S634/diesel_nmpg)*diesel_co2pg-(battery/range_nm)*G634*S634*VLOOKUP(B634,country_opex,4,FALSE))/1000</f>
        <v/>
      </c>
      <c r="AK634" s="42" t="n">
        <v>20000</v>
      </c>
      <c r="AL634" s="43" t="inlineStr">
        <is>
          <t>T3</t>
        </is>
      </c>
      <c r="AM634" s="43" t="inlineStr">
        <is>
          <t>low</t>
        </is>
      </c>
      <c r="AN634" s="50" t="n">
        <v>0.1</v>
      </c>
      <c r="AO634" s="45">
        <f>IF(AK634="","",AK634*AN634)</f>
        <v/>
      </c>
      <c r="AP634" s="45">
        <f>IF(OR(AK634="",V634=0),"",MIN(IF(AX634="",9.9E+99,AX634),FLOOR(AO634/V634,1)))</f>
        <v/>
      </c>
      <c r="AQ634" s="49">
        <f>IF(AP634="","",AP634*IF(ABS(MOD(ABS((X634)),1)-0.5)&lt;1E-9,2*ROUND((X634)/2,0),ROUND((X634),0)))</f>
        <v/>
      </c>
      <c r="AR634" s="47">
        <f>IF(OR(AK634="",V634=0),"",MIN(IF(AX634="",9.9E+99,AX634),AO634/V634))</f>
        <v/>
      </c>
      <c r="AS634" s="49">
        <f>IF(AR634="","",AR634*IF(B634="South Korea",IF(ABS(MOD(ABS((X634)),1)-0.5)&lt;1E-9,2*ROUND((X634)/2,0),ROUND((X634),0)),X634))</f>
        <v/>
      </c>
      <c r="AT634" s="51" t="n"/>
      <c r="AU634" s="43" t="inlineStr">
        <is>
          <t>Grounded</t>
        </is>
      </c>
      <c r="AV634" s="52" t="n"/>
      <c r="AW634" s="52" t="n"/>
      <c r="AX634" s="53" t="n"/>
      <c r="AY634" s="54">
        <f>IF(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&lt;=0,"",VLOOKUP(B634,country_opex,7,FALSE)/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)</f>
        <v/>
      </c>
      <c r="AZ634" s="54">
        <f>IF(((W634*pax_cap*IF(B634="South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Korea",korea_mid_revleg,revleg_mid)),0))*VLOOKUP(B634,country_opex,3,FALSE))+Z634+AA634+AB634+AC634+AD634))&lt;=0,"",VLOOKUP(B634,country_opex,7,FALSE)/((W634*pax_cap*IF(B634="South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Korea",korea_mid_revleg,revleg_mid)),0))*VLOOKUP(B634,country_opex,3,FALSE))+Z634+AA634+AB634+AC634+AD634)))</f>
        <v/>
      </c>
      <c r="BA634" s="54">
        <f>IF(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&lt;=0,"",VLOOKUP(B634,country_opex,7,FALSE)/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)</f>
        <v/>
      </c>
      <c r="BB634" s="40" t="inlineStr">
        <is>
          <t>The World (Heart of Europe) boat-only offshore; greenfield. T5/low.</t>
        </is>
      </c>
      <c r="BC634" s="40" t="inlineStr">
        <is>
          <t>UAE-DEMAND-ANCHORS-2026-06-17.json — tier-based addressable pool derived from sourcing wave anchors (hotel keys × occ × shuttle adoption, marina activity, RTA marine baseline).</t>
        </is>
      </c>
      <c r="BD634" s="43" t="inlineStr">
        <is>
          <t>rn-5a196635c94f</t>
        </is>
      </c>
    </row>
    <row r="635">
      <c r="A635" s="38" t="inlineStr">
        <is>
          <t>UAE (Careem)</t>
        </is>
      </c>
      <c r="B635" s="38" t="inlineStr">
        <is>
          <t>United Arab Emirates</t>
        </is>
      </c>
      <c r="C635" s="39" t="inlineStr">
        <is>
          <t>Dubai Harbour Marina → Bulgari Yacht Club &amp; Marina</t>
        </is>
      </c>
      <c r="D635" s="38" t="inlineStr">
        <is>
          <t>careem</t>
        </is>
      </c>
      <c r="E635" s="40" t="inlineStr">
        <is>
          <t>bolt-uae, uae-careem, uae-luxury, uae-noon, uae-voi, yango-uae</t>
        </is>
      </c>
      <c r="F635" s="41" t="n">
        <v>6</v>
      </c>
      <c r="G635" s="42" t="n">
        <v>10.2</v>
      </c>
      <c r="H635" s="35" t="n">
        <v>200</v>
      </c>
      <c r="I635" s="43" t="inlineStr">
        <is>
          <t>T5</t>
        </is>
      </c>
      <c r="J635" s="43" t="inlineStr">
        <is>
          <t>low</t>
        </is>
      </c>
      <c r="K635" s="29" t="n">
        <v>1</v>
      </c>
      <c r="L635" s="44">
        <f>60*G635/cruise_kt</f>
        <v/>
      </c>
      <c r="M635" s="44">
        <f>IF(B635="South Korea",G635/korea_charge_range_nm*korea_full_range_charge_min,0)</f>
        <v/>
      </c>
      <c r="N635" s="44">
        <f>IF(B635="South Korea",L635+korea_turn_min+korea_dwell_min+M635,L635+turn_min+dwell_min)</f>
        <v/>
      </c>
      <c r="O635" s="45">
        <f>IF(B635="South Korea",FLOOR(60*korea_service_hr/N635,1),MIN(15,FLOOR(60*service_hr/N635,1)))</f>
        <v/>
      </c>
      <c r="P635" s="45">
        <f>IF(ABS(MOD(ABS((365*mech_uptime*K635)),1)-0.5)&lt;1E-9,2*ROUND((365*mech_uptime*K635)/2,0),ROUND((365*mech_uptime*K635),0))</f>
        <v/>
      </c>
      <c r="Q635" s="46">
        <f>mech_uptime</f>
        <v/>
      </c>
      <c r="R635" s="46">
        <f>IF(AND(B635="South Korea",scenario="MID"),korea_mid_revleg,revleg_sel)</f>
        <v/>
      </c>
      <c r="S635" s="45">
        <f>IF(ABS(MOD(ABS((O635*P635*R635)),1)-0.5)&lt;1E-9,2*ROUND((O635*P635*R635)/2,0),ROUND((O635*P635*R635),0))</f>
        <v/>
      </c>
      <c r="T635" s="46">
        <f>IF(AND(B635="South Korea",scenario="MID"),korea_mid_load,load_sel)</f>
        <v/>
      </c>
      <c r="U635" s="47">
        <f>pax_cap*T635</f>
        <v/>
      </c>
      <c r="V635" s="45">
        <f>U635*S635</f>
        <v/>
      </c>
      <c r="W635" s="48">
        <f>H635*discount</f>
        <v/>
      </c>
      <c r="X635" s="49">
        <f>W635*V635</f>
        <v/>
      </c>
      <c r="Y635" s="49">
        <f>(battery/range_nm)*G635*S635*VLOOKUP(B635,country_opex,3,FALSE)</f>
        <v/>
      </c>
      <c r="Z635" s="49">
        <f>VLOOKUP(B635,country_opex,2,FALSE)*crew_factor</f>
        <v/>
      </c>
      <c r="AA635" s="49">
        <f>VLOOKUP(B635,country_opex,5,FALSE)</f>
        <v/>
      </c>
      <c r="AB635" s="49">
        <f>maint</f>
        <v/>
      </c>
      <c r="AC635" s="49">
        <f>VLOOKUP(B635,country_opex,7,FALSE)*ins_pct</f>
        <v/>
      </c>
      <c r="AD635" s="49">
        <f>charge_berth</f>
        <v/>
      </c>
      <c r="AE635" s="49">
        <f>Y635+Z635+AA635+AB635+AC635+AD635</f>
        <v/>
      </c>
      <c r="AF635" s="49">
        <f>VLOOKUP(B635,country_opex,7,FALSE)/dep_years</f>
        <v/>
      </c>
      <c r="AG635" s="49">
        <f>X635-AE635</f>
        <v/>
      </c>
      <c r="AH635" s="46">
        <f>IF(X635=0,"",AG635/X635)</f>
        <v/>
      </c>
      <c r="AI635" s="47">
        <f>IF(AG635&lt;=0,"",VLOOKUP(B635,country_opex,7,FALSE)/AG635)</f>
        <v/>
      </c>
      <c r="AJ635" s="44">
        <f>((G635*S635/diesel_nmpg)*diesel_co2pg-(battery/range_nm)*G635*S635*VLOOKUP(B635,country_opex,4,FALSE))/1000</f>
        <v/>
      </c>
      <c r="AK635" s="42" t="n">
        <v>4000</v>
      </c>
      <c r="AL635" s="43" t="inlineStr">
        <is>
          <t>T5</t>
        </is>
      </c>
      <c r="AM635" s="43" t="inlineStr">
        <is>
          <t>low</t>
        </is>
      </c>
      <c r="AN635" s="50" t="n">
        <v>0.1</v>
      </c>
      <c r="AO635" s="45">
        <f>IF(AK635="","",AK635*AN635)</f>
        <v/>
      </c>
      <c r="AP635" s="45">
        <f>IF(OR(AK635="",V635=0),"",MIN(IF(AX635="",9.9E+99,AX635),FLOOR(AO635/V635,1)))</f>
        <v/>
      </c>
      <c r="AQ635" s="49">
        <f>IF(AP635="","",AP635*IF(ABS(MOD(ABS((X635)),1)-0.5)&lt;1E-9,2*ROUND((X635)/2,0),ROUND((X635),0)))</f>
        <v/>
      </c>
      <c r="AR635" s="47">
        <f>IF(OR(AK635="",V635=0),"",MIN(IF(AX635="",9.9E+99,AX635),AO635/V635))</f>
        <v/>
      </c>
      <c r="AS635" s="49">
        <f>IF(AR635="","",AR635*IF(B635="South Korea",IF(ABS(MOD(ABS((X635)),1)-0.5)&lt;1E-9,2*ROUND((X635)/2,0),ROUND((X635),0)),X635))</f>
        <v/>
      </c>
      <c r="AT635" s="51" t="n"/>
      <c r="AU635" s="43" t="inlineStr">
        <is>
          <t>Grounded</t>
        </is>
      </c>
      <c r="AV635" s="52" t="n"/>
      <c r="AW635" s="52" t="n"/>
      <c r="AX635" s="53" t="n"/>
      <c r="AY635" s="54">
        <f>IF(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&lt;=0,"",VLOOKUP(B635,country_opex,7,FALSE)/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)</f>
        <v/>
      </c>
      <c r="AZ635" s="54">
        <f>IF(((W635*pax_cap*IF(B635="South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Korea",korea_mid_revleg,revleg_mid)),0))*VLOOKUP(B635,country_opex,3,FALSE))+Z635+AA635+AB635+AC635+AD635))&lt;=0,"",VLOOKUP(B635,country_opex,7,FALSE)/((W635*pax_cap*IF(B635="South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Korea",korea_mid_revleg,revleg_mid)),0))*VLOOKUP(B635,country_opex,3,FALSE))+Z635+AA635+AB635+AC635+AD635)))</f>
        <v/>
      </c>
      <c r="BA635" s="54">
        <f>IF(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&lt;=0,"",VLOOKUP(B635,country_opex,7,FALSE)/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)</f>
        <v/>
      </c>
      <c r="BB635" s="40" t="inlineStr">
        <is>
          <t>Bulgari Resort Dubai ~129 keys + Bulgari Yacht Club &amp; Marina; road-served. T5/low.</t>
        </is>
      </c>
      <c r="BC635" s="40" t="inlineStr">
        <is>
          <t>OPT-IN only (R3-LAND). ~129-key resort + yacht-club members.</t>
        </is>
      </c>
      <c r="BD635" s="43" t="inlineStr">
        <is>
          <t>rn-f1a7150d087e</t>
        </is>
      </c>
    </row>
    <row r="636">
      <c r="A636" s="38" t="inlineStr">
        <is>
          <t>UAE (Careem)</t>
        </is>
      </c>
      <c r="B636" s="38" t="inlineStr">
        <is>
          <t>United Arab Emirates</t>
        </is>
      </c>
      <c r="C636" s="39" t="inlineStr">
        <is>
          <t>Emirates Palace Marina → Saadiyat Beach Club Jetty</t>
        </is>
      </c>
      <c r="D636" s="38" t="inlineStr">
        <is>
          <t>careem</t>
        </is>
      </c>
      <c r="E636" s="40" t="inlineStr">
        <is>
          <t>bolt-uae, uae-careem, uae-luxury, uae-noon, uae-voi, yango-uae</t>
        </is>
      </c>
      <c r="F636" s="41" t="n">
        <v>6</v>
      </c>
      <c r="G636" s="42" t="n">
        <v>10.4</v>
      </c>
      <c r="H636" s="35" t="n">
        <v>175</v>
      </c>
      <c r="I636" s="43" t="inlineStr">
        <is>
          <t>T5</t>
        </is>
      </c>
      <c r="J636" s="43" t="inlineStr">
        <is>
          <t>low</t>
        </is>
      </c>
      <c r="K636" s="29" t="n">
        <v>1</v>
      </c>
      <c r="L636" s="44">
        <f>60*G636/cruise_kt</f>
        <v/>
      </c>
      <c r="M636" s="44">
        <f>IF(B636="South Korea",G636/korea_charge_range_nm*korea_full_range_charge_min,0)</f>
        <v/>
      </c>
      <c r="N636" s="44">
        <f>IF(B636="South Korea",L636+korea_turn_min+korea_dwell_min+M636,L636+turn_min+dwell_min)</f>
        <v/>
      </c>
      <c r="O636" s="45">
        <f>IF(B636="South Korea",FLOOR(60*korea_service_hr/N636,1),MIN(15,FLOOR(60*service_hr/N636,1)))</f>
        <v/>
      </c>
      <c r="P636" s="45">
        <f>IF(ABS(MOD(ABS((365*mech_uptime*K636)),1)-0.5)&lt;1E-9,2*ROUND((365*mech_uptime*K636)/2,0),ROUND((365*mech_uptime*K636),0))</f>
        <v/>
      </c>
      <c r="Q636" s="46">
        <f>mech_uptime</f>
        <v/>
      </c>
      <c r="R636" s="46">
        <f>IF(AND(B636="South Korea",scenario="MID"),korea_mid_revleg,revleg_sel)</f>
        <v/>
      </c>
      <c r="S636" s="45">
        <f>IF(ABS(MOD(ABS((O636*P636*R636)),1)-0.5)&lt;1E-9,2*ROUND((O636*P636*R636)/2,0),ROUND((O636*P636*R636),0))</f>
        <v/>
      </c>
      <c r="T636" s="46">
        <f>IF(AND(B636="South Korea",scenario="MID"),korea_mid_load,load_sel)</f>
        <v/>
      </c>
      <c r="U636" s="47">
        <f>pax_cap*T636</f>
        <v/>
      </c>
      <c r="V636" s="45">
        <f>U636*S636</f>
        <v/>
      </c>
      <c r="W636" s="48">
        <f>H636*discount</f>
        <v/>
      </c>
      <c r="X636" s="49">
        <f>W636*V636</f>
        <v/>
      </c>
      <c r="Y636" s="49">
        <f>(battery/range_nm)*G636*S636*VLOOKUP(B636,country_opex,3,FALSE)</f>
        <v/>
      </c>
      <c r="Z636" s="49">
        <f>VLOOKUP(B636,country_opex,2,FALSE)*crew_factor</f>
        <v/>
      </c>
      <c r="AA636" s="49">
        <f>VLOOKUP(B636,country_opex,5,FALSE)</f>
        <v/>
      </c>
      <c r="AB636" s="49">
        <f>maint</f>
        <v/>
      </c>
      <c r="AC636" s="49">
        <f>VLOOKUP(B636,country_opex,7,FALSE)*ins_pct</f>
        <v/>
      </c>
      <c r="AD636" s="49">
        <f>charge_berth</f>
        <v/>
      </c>
      <c r="AE636" s="49">
        <f>Y636+Z636+AA636+AB636+AC636+AD636</f>
        <v/>
      </c>
      <c r="AF636" s="49">
        <f>VLOOKUP(B636,country_opex,7,FALSE)/dep_years</f>
        <v/>
      </c>
      <c r="AG636" s="49">
        <f>X636-AE636</f>
        <v/>
      </c>
      <c r="AH636" s="46">
        <f>IF(X636=0,"",AG636/X636)</f>
        <v/>
      </c>
      <c r="AI636" s="47">
        <f>IF(AG636&lt;=0,"",VLOOKUP(B636,country_opex,7,FALSE)/AG636)</f>
        <v/>
      </c>
      <c r="AJ636" s="44">
        <f>((G636*S636/diesel_nmpg)*diesel_co2pg-(battery/range_nm)*G636*S636*VLOOKUP(B636,country_opex,4,FALSE))/1000</f>
        <v/>
      </c>
      <c r="AK636" s="42" t="n">
        <v>3000</v>
      </c>
      <c r="AL636" s="43" t="inlineStr">
        <is>
          <t>T5</t>
        </is>
      </c>
      <c r="AM636" s="43" t="inlineStr">
        <is>
          <t>low</t>
        </is>
      </c>
      <c r="AN636" s="50" t="n">
        <v>0.1</v>
      </c>
      <c r="AO636" s="45">
        <f>IF(AK636="","",AK636*AN636)</f>
        <v/>
      </c>
      <c r="AP636" s="45">
        <f>IF(OR(AK636="",V636=0),"",MIN(IF(AX636="",9.9E+99,AX636),FLOOR(AO636/V636,1)))</f>
        <v/>
      </c>
      <c r="AQ636" s="49">
        <f>IF(AP636="","",AP636*IF(ABS(MOD(ABS((X636)),1)-0.5)&lt;1E-9,2*ROUND((X636)/2,0),ROUND((X636),0)))</f>
        <v/>
      </c>
      <c r="AR636" s="47">
        <f>IF(OR(AK636="",V636=0),"",MIN(IF(AX636="",9.9E+99,AX636),AO636/V636))</f>
        <v/>
      </c>
      <c r="AS636" s="49">
        <f>IF(AR636="","",AR636*IF(B636="South Korea",IF(ABS(MOD(ABS((X636)),1)-0.5)&lt;1E-9,2*ROUND((X636)/2,0),ROUND((X636),0)),X636))</f>
        <v/>
      </c>
      <c r="AT636" s="51" t="n"/>
      <c r="AU636" s="43" t="inlineStr">
        <is>
          <t>Grounded</t>
        </is>
      </c>
      <c r="AV636" s="52" t="n"/>
      <c r="AW636" s="52" t="n"/>
      <c r="AX636" s="53" t="n"/>
      <c r="AY636" s="54">
        <f>IF(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&lt;=0,"",VLOOKUP(B636,country_opex,7,FALSE)/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)</f>
        <v/>
      </c>
      <c r="AZ636" s="54">
        <f>IF(((W636*pax_cap*IF(B636="South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Korea",korea_mid_revleg,revleg_mid)),0))*VLOOKUP(B636,country_opex,3,FALSE))+Z636+AA636+AB636+AC636+AD636))&lt;=0,"",VLOOKUP(B636,country_opex,7,FALSE)/((W636*pax_cap*IF(B636="South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Korea",korea_mid_revleg,revleg_mid)),0))*VLOOKUP(B636,country_opex,3,FALSE))+Z636+AA636+AB636+AC636+AD636)))</f>
        <v/>
      </c>
      <c r="BA636" s="54">
        <f>IF(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&lt;=0,"",VLOOKUP(B636,country_opex,7,FALSE)/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)</f>
        <v/>
      </c>
      <c r="BB636" s="40" t="inlineStr">
        <is>
          <t>Emirates Palace&lt;-&gt;Saadiyat experiential luxury hop; both road-served. T5/low.</t>
        </is>
      </c>
      <c r="BC636" s="40" t="inlineStr">
        <is>
          <t>OPT-IN only (R3-LAND: both road-served). Experiential luxury hop.</t>
        </is>
      </c>
      <c r="BD636" s="43" t="inlineStr">
        <is>
          <t>rn-9d65d29a88ec</t>
        </is>
      </c>
    </row>
    <row r="637">
      <c r="A637" s="38" t="inlineStr">
        <is>
          <t>Gulf Authority Rakta</t>
        </is>
      </c>
      <c r="B637" s="38" t="inlineStr">
        <is>
          <t>United Arab Emirates</t>
        </is>
      </c>
      <c r="C637" s="39" t="inlineStr">
        <is>
          <t>UAQ Marine Club → Hamriyah Port Main Harbour</t>
        </is>
      </c>
      <c r="D637" s="38" t="inlineStr">
        <is>
          <t>rakta</t>
        </is>
      </c>
      <c r="E637" s="40" t="inlineStr">
        <is>
          <t>gulf-authority-bahrain-motc, gulf-authority-rakta</t>
        </is>
      </c>
      <c r="F637" s="41" t="n">
        <v>2</v>
      </c>
      <c r="G637" s="42" t="n">
        <v>10.5</v>
      </c>
      <c r="H637" s="35" t="n">
        <v>35</v>
      </c>
      <c r="I637" s="43" t="inlineStr">
        <is>
          <t>T3</t>
        </is>
      </c>
      <c r="J637" s="43" t="inlineStr">
        <is>
          <t>med-low</t>
        </is>
      </c>
      <c r="K637" s="29" t="n">
        <v>1</v>
      </c>
      <c r="L637" s="44">
        <f>60*G637/cruise_kt</f>
        <v/>
      </c>
      <c r="M637" s="44">
        <f>IF(B637="South Korea",G637/korea_charge_range_nm*korea_full_range_charge_min,0)</f>
        <v/>
      </c>
      <c r="N637" s="44">
        <f>IF(B637="South Korea",L637+korea_turn_min+korea_dwell_min+M637,L637+turn_min+dwell_min)</f>
        <v/>
      </c>
      <c r="O637" s="45">
        <f>IF(B637="South Korea",FLOOR(60*korea_service_hr/N637,1),MIN(15,FLOOR(60*service_hr/N637,1)))</f>
        <v/>
      </c>
      <c r="P637" s="45">
        <f>IF(ABS(MOD(ABS((365*mech_uptime*K637)),1)-0.5)&lt;1E-9,2*ROUND((365*mech_uptime*K637)/2,0),ROUND((365*mech_uptime*K637),0))</f>
        <v/>
      </c>
      <c r="Q637" s="46">
        <f>mech_uptime</f>
        <v/>
      </c>
      <c r="R637" s="46">
        <f>IF(AND(B637="South Korea",scenario="MID"),korea_mid_revleg,revleg_sel)</f>
        <v/>
      </c>
      <c r="S637" s="45">
        <f>IF(ABS(MOD(ABS((O637*P637*R637)),1)-0.5)&lt;1E-9,2*ROUND((O637*P637*R637)/2,0),ROUND((O637*P637*R637),0))</f>
        <v/>
      </c>
      <c r="T637" s="46">
        <f>IF(AND(B637="South Korea",scenario="MID"),korea_mid_load,load_sel)</f>
        <v/>
      </c>
      <c r="U637" s="47">
        <f>pax_cap*T637</f>
        <v/>
      </c>
      <c r="V637" s="45">
        <f>U637*S637</f>
        <v/>
      </c>
      <c r="W637" s="48">
        <f>H637*discount</f>
        <v/>
      </c>
      <c r="X637" s="49">
        <f>W637*V637</f>
        <v/>
      </c>
      <c r="Y637" s="49">
        <f>(battery/range_nm)*G637*S637*VLOOKUP(B637,country_opex,3,FALSE)</f>
        <v/>
      </c>
      <c r="Z637" s="49">
        <f>VLOOKUP(B637,country_opex,2,FALSE)*crew_factor</f>
        <v/>
      </c>
      <c r="AA637" s="49">
        <f>VLOOKUP(B637,country_opex,5,FALSE)</f>
        <v/>
      </c>
      <c r="AB637" s="49">
        <f>maint</f>
        <v/>
      </c>
      <c r="AC637" s="49">
        <f>VLOOKUP(B637,country_opex,7,FALSE)*ins_pct</f>
        <v/>
      </c>
      <c r="AD637" s="49">
        <f>charge_berth</f>
        <v/>
      </c>
      <c r="AE637" s="49">
        <f>Y637+Z637+AA637+AB637+AC637+AD637</f>
        <v/>
      </c>
      <c r="AF637" s="49">
        <f>VLOOKUP(B637,country_opex,7,FALSE)/dep_years</f>
        <v/>
      </c>
      <c r="AG637" s="49">
        <f>X637-AE637</f>
        <v/>
      </c>
      <c r="AH637" s="46">
        <f>IF(X637=0,"",AG637/X637)</f>
        <v/>
      </c>
      <c r="AI637" s="47">
        <f>IF(AG637&lt;=0,"",VLOOKUP(B637,country_opex,7,FALSE)/AG637)</f>
        <v/>
      </c>
      <c r="AJ637" s="44">
        <f>((G637*S637/diesel_nmpg)*diesel_co2pg-(battery/range_nm)*G637*S637*VLOOKUP(B637,country_opex,4,FALSE))/1000</f>
        <v/>
      </c>
      <c r="AK637" s="42" t="n">
        <v>5217</v>
      </c>
      <c r="AL637" s="43" t="inlineStr">
        <is>
          <t>T3</t>
        </is>
      </c>
      <c r="AM637" s="43" t="inlineStr">
        <is>
          <t>med-low</t>
        </is>
      </c>
      <c r="AN637" s="50" t="n">
        <v>0.1</v>
      </c>
      <c r="AO637" s="45">
        <f>IF(AK637="","",AK637*AN637)</f>
        <v/>
      </c>
      <c r="AP637" s="45">
        <f>IF(OR(AK637="",V637=0),"",MIN(IF(AX637="",9.9E+99,AX637),FLOOR(AO637/V637,1)))</f>
        <v/>
      </c>
      <c r="AQ637" s="49">
        <f>IF(AP637="","",AP637*IF(ABS(MOD(ABS((X637)),1)-0.5)&lt;1E-9,2*ROUND((X637)/2,0),ROUND((X637),0)))</f>
        <v/>
      </c>
      <c r="AR637" s="47">
        <f>IF(OR(AK637="",V637=0),"",MIN(IF(AX637="",9.9E+99,AX637),AO637/V637))</f>
        <v/>
      </c>
      <c r="AS637" s="49">
        <f>IF(AR637="","",AR637*IF(B637="South Korea",IF(ABS(MOD(ABS((X637)),1)-0.5)&lt;1E-9,2*ROUND((X637)/2,0),ROUND((X637),0)),X637))</f>
        <v/>
      </c>
      <c r="AT637" s="51" t="n"/>
      <c r="AU637" s="43" t="inlineStr">
        <is>
          <t>Grounded</t>
        </is>
      </c>
      <c r="AV637" s="52" t="n"/>
      <c r="AW637" s="52" t="n"/>
      <c r="AX637" s="53" t="n"/>
      <c r="AY637" s="54">
        <f>IF(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&lt;=0,"",VLOOKUP(B637,country_opex,7,FALSE)/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)</f>
        <v/>
      </c>
      <c r="AZ637" s="54">
        <f>IF(((W637*pax_cap*IF(B637="South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Korea",korea_mid_revleg,revleg_mid)),0))*VLOOKUP(B637,country_opex,3,FALSE))+Z637+AA637+AB637+AC637+AD637))&lt;=0,"",VLOOKUP(B637,country_opex,7,FALSE)/((W637*pax_cap*IF(B637="South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Korea",korea_mid_revleg,revleg_mid)),0))*VLOOKUP(B637,country_opex,3,FALSE))+Z637+AA637+AB637+AC637+AD637)))</f>
        <v/>
      </c>
      <c r="BA637" s="54">
        <f>IF(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&lt;=0,"",VLOOKUP(B637,country_opex,7,FALSE)/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)</f>
        <v/>
      </c>
      <c r="BB637" s="40" t="n"/>
      <c r="BC637" s="40" t="n"/>
      <c r="BD637" s="43" t="inlineStr">
        <is>
          <t>rn-2d00ee6cdb3e</t>
        </is>
      </c>
    </row>
    <row r="638">
      <c r="A638" s="38" t="inlineStr">
        <is>
          <t>UAE (Careem)</t>
        </is>
      </c>
      <c r="B638" s="38" t="inlineStr">
        <is>
          <t>United Arab Emirates</t>
        </is>
      </c>
      <c r="C638" s="39" t="inlineStr">
        <is>
          <t>Fujairah → Khorfakkan Corniche / Port</t>
        </is>
      </c>
      <c r="D638" s="38" t="inlineStr">
        <is>
          <t>noon</t>
        </is>
      </c>
      <c r="E638" s="40" t="inlineStr">
        <is>
          <t>bolt-uae, uae-careem, uae-luxury, uae-noon, uae-voi, yango-uae</t>
        </is>
      </c>
      <c r="F638" s="41" t="n">
        <v>6</v>
      </c>
      <c r="G638" s="42" t="n">
        <v>11.4</v>
      </c>
      <c r="H638" s="35" t="n"/>
      <c r="I638" s="43" t="n"/>
      <c r="J638" s="43" t="n"/>
      <c r="K638" s="29" t="n">
        <v>1</v>
      </c>
      <c r="L638" s="44">
        <f>60*G638/cruise_kt</f>
        <v/>
      </c>
      <c r="M638" s="44">
        <f>IF(B638="South Korea",G638/korea_charge_range_nm*korea_full_range_charge_min,0)</f>
        <v/>
      </c>
      <c r="N638" s="44">
        <f>IF(B638="South Korea",L638+korea_turn_min+korea_dwell_min+M638,L638+turn_min+dwell_min)</f>
        <v/>
      </c>
      <c r="O638" s="45">
        <f>IF(B638="South Korea",FLOOR(60*korea_service_hr/N638,1),MIN(15,FLOOR(60*service_hr/N638,1)))</f>
        <v/>
      </c>
      <c r="P638" s="45">
        <f>IF(ABS(MOD(ABS((365*mech_uptime*K638)),1)-0.5)&lt;1E-9,2*ROUND((365*mech_uptime*K638)/2,0),ROUND((365*mech_uptime*K638),0))</f>
        <v/>
      </c>
      <c r="Q638" s="46">
        <f>mech_uptime</f>
        <v/>
      </c>
      <c r="R638" s="46">
        <f>IF(AND(B638="South Korea",scenario="MID"),korea_mid_revleg,revleg_sel)</f>
        <v/>
      </c>
      <c r="S638" s="45">
        <f>IF(ABS(MOD(ABS((O638*P638*R638)),1)-0.5)&lt;1E-9,2*ROUND((O638*P638*R638)/2,0),ROUND((O638*P638*R638),0))</f>
        <v/>
      </c>
      <c r="T638" s="46">
        <f>IF(AND(B638="South Korea",scenario="MID"),korea_mid_load,load_sel)</f>
        <v/>
      </c>
      <c r="U638" s="47">
        <f>pax_cap*T638</f>
        <v/>
      </c>
      <c r="V638" s="45">
        <f>U638*S638</f>
        <v/>
      </c>
      <c r="W638" s="48">
        <f>H638*discount</f>
        <v/>
      </c>
      <c r="X638" s="49">
        <f>W638*V638</f>
        <v/>
      </c>
      <c r="Y638" s="49">
        <f>(battery/range_nm)*G638*S638*VLOOKUP(B638,country_opex,3,FALSE)</f>
        <v/>
      </c>
      <c r="Z638" s="49">
        <f>VLOOKUP(B638,country_opex,2,FALSE)*crew_factor</f>
        <v/>
      </c>
      <c r="AA638" s="49">
        <f>VLOOKUP(B638,country_opex,5,FALSE)</f>
        <v/>
      </c>
      <c r="AB638" s="49">
        <f>maint</f>
        <v/>
      </c>
      <c r="AC638" s="49">
        <f>VLOOKUP(B638,country_opex,7,FALSE)*ins_pct</f>
        <v/>
      </c>
      <c r="AD638" s="49">
        <f>charge_berth</f>
        <v/>
      </c>
      <c r="AE638" s="49">
        <f>Y638+Z638+AA638+AB638+AC638+AD638</f>
        <v/>
      </c>
      <c r="AF638" s="49">
        <f>VLOOKUP(B638,country_opex,7,FALSE)/dep_years</f>
        <v/>
      </c>
      <c r="AG638" s="49">
        <f>X638-AE638</f>
        <v/>
      </c>
      <c r="AH638" s="46">
        <f>IF(X638=0,"",AG638/X638)</f>
        <v/>
      </c>
      <c r="AI638" s="47">
        <f>IF(AG638&lt;=0,"",VLOOKUP(B638,country_opex,7,FALSE)/AG638)</f>
        <v/>
      </c>
      <c r="AJ638" s="44">
        <f>((G638*S638/diesel_nmpg)*diesel_co2pg-(battery/range_nm)*G638*S638*VLOOKUP(B638,country_opex,4,FALSE))/1000</f>
        <v/>
      </c>
      <c r="AK638" s="42" t="n"/>
      <c r="AL638" s="43" t="n"/>
      <c r="AM638" s="43" t="n"/>
      <c r="AN638" s="50" t="n">
        <v>0.1</v>
      </c>
      <c r="AO638" s="45">
        <f>IF(AK638="","",AK638*AN638)</f>
        <v/>
      </c>
      <c r="AP638" s="45">
        <f>IF(OR(AK638="",V638=0),"",MIN(IF(AX638="",9.9E+99,AX638),FLOOR(AO638/V638,1)))</f>
        <v/>
      </c>
      <c r="AQ638" s="49">
        <f>IF(AP638="","",AP638*IF(ABS(MOD(ABS((X638)),1)-0.5)&lt;1E-9,2*ROUND((X638)/2,0),ROUND((X638),0)))</f>
        <v/>
      </c>
      <c r="AR638" s="47">
        <f>IF(OR(AK638="",V638=0),"",MIN(IF(AX638="",9.9E+99,AX638),AO638/V638))</f>
        <v/>
      </c>
      <c r="AS638" s="49">
        <f>IF(AR638="","",AR638*IF(B638="South Korea",IF(ABS(MOD(ABS((X638)),1)-0.5)&lt;1E-9,2*ROUND((X638)/2,0),ROUND((X638),0)),X638))</f>
        <v/>
      </c>
      <c r="AT638" s="51" t="n"/>
      <c r="AU638" s="43" t="inlineStr">
        <is>
          <t>Estimated</t>
        </is>
      </c>
      <c r="AV638" s="52" t="n"/>
      <c r="AW638" s="52" t="n"/>
      <c r="AX638" s="53" t="n"/>
      <c r="AY638" s="54">
        <f>IF(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&lt;=0,"",VLOOKUP(B638,country_opex,7,FALSE)/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)</f>
        <v/>
      </c>
      <c r="AZ638" s="54">
        <f>IF(((W638*pax_cap*IF(B638="South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Korea",korea_mid_revleg,revleg_mid)),0))*VLOOKUP(B638,country_opex,3,FALSE))+Z638+AA638+AB638+AC638+AD638))&lt;=0,"",VLOOKUP(B638,country_opex,7,FALSE)/((W638*pax_cap*IF(B638="South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Korea",korea_mid_revleg,revleg_mid)),0))*VLOOKUP(B638,country_opex,3,FALSE))+Z638+AA638+AB638+AC638+AD638)))</f>
        <v/>
      </c>
      <c r="BA638" s="54">
        <f>IF(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&lt;=0,"",VLOOKUP(B638,country_opex,7,FALSE)/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)</f>
        <v/>
      </c>
      <c r="BB638" s="40" t="n"/>
      <c r="BC638" s="40" t="n"/>
      <c r="BD638" s="43" t="inlineStr">
        <is>
          <t>rn-bc685bdb0da3</t>
        </is>
      </c>
    </row>
    <row r="639">
      <c r="A639" s="38" t="inlineStr">
        <is>
          <t>Gulf Authority Rakta</t>
        </is>
      </c>
      <c r="B639" s="38" t="inlineStr">
        <is>
          <t>United Arab Emirates</t>
        </is>
      </c>
      <c r="C639" s="39" t="inlineStr">
        <is>
          <t>UAQ Marine Club → Rixos Bab Al Bahr beach jetty</t>
        </is>
      </c>
      <c r="D639" s="38" t="inlineStr">
        <is>
          <t>rakta</t>
        </is>
      </c>
      <c r="E639" s="40" t="inlineStr">
        <is>
          <t>gulf-authority-bahrain-motc, gulf-authority-rakta</t>
        </is>
      </c>
      <c r="F639" s="41" t="n">
        <v>2</v>
      </c>
      <c r="G639" s="42" t="n">
        <v>11.8</v>
      </c>
      <c r="H639" s="35" t="n">
        <v>35</v>
      </c>
      <c r="I639" s="43" t="inlineStr">
        <is>
          <t>T3</t>
        </is>
      </c>
      <c r="J639" s="43" t="inlineStr">
        <is>
          <t>med-low</t>
        </is>
      </c>
      <c r="K639" s="29" t="n">
        <v>1</v>
      </c>
      <c r="L639" s="44">
        <f>60*G639/cruise_kt</f>
        <v/>
      </c>
      <c r="M639" s="44">
        <f>IF(B639="South Korea",G639/korea_charge_range_nm*korea_full_range_charge_min,0)</f>
        <v/>
      </c>
      <c r="N639" s="44">
        <f>IF(B639="South Korea",L639+korea_turn_min+korea_dwell_min+M639,L639+turn_min+dwell_min)</f>
        <v/>
      </c>
      <c r="O639" s="45">
        <f>IF(B639="South Korea",FLOOR(60*korea_service_hr/N639,1),MIN(15,FLOOR(60*service_hr/N639,1)))</f>
        <v/>
      </c>
      <c r="P639" s="45">
        <f>IF(ABS(MOD(ABS((365*mech_uptime*K639)),1)-0.5)&lt;1E-9,2*ROUND((365*mech_uptime*K639)/2,0),ROUND((365*mech_uptime*K639),0))</f>
        <v/>
      </c>
      <c r="Q639" s="46">
        <f>mech_uptime</f>
        <v/>
      </c>
      <c r="R639" s="46">
        <f>IF(AND(B639="South Korea",scenario="MID"),korea_mid_revleg,revleg_sel)</f>
        <v/>
      </c>
      <c r="S639" s="45">
        <f>IF(ABS(MOD(ABS((O639*P639*R639)),1)-0.5)&lt;1E-9,2*ROUND((O639*P639*R639)/2,0),ROUND((O639*P639*R639),0))</f>
        <v/>
      </c>
      <c r="T639" s="46">
        <f>IF(AND(B639="South Korea",scenario="MID"),korea_mid_load,load_sel)</f>
        <v/>
      </c>
      <c r="U639" s="47">
        <f>pax_cap*T639</f>
        <v/>
      </c>
      <c r="V639" s="45">
        <f>U639*S639</f>
        <v/>
      </c>
      <c r="W639" s="48">
        <f>H639*discount</f>
        <v/>
      </c>
      <c r="X639" s="49">
        <f>W639*V639</f>
        <v/>
      </c>
      <c r="Y639" s="49">
        <f>(battery/range_nm)*G639*S639*VLOOKUP(B639,country_opex,3,FALSE)</f>
        <v/>
      </c>
      <c r="Z639" s="49">
        <f>VLOOKUP(B639,country_opex,2,FALSE)*crew_factor</f>
        <v/>
      </c>
      <c r="AA639" s="49">
        <f>VLOOKUP(B639,country_opex,5,FALSE)</f>
        <v/>
      </c>
      <c r="AB639" s="49">
        <f>maint</f>
        <v/>
      </c>
      <c r="AC639" s="49">
        <f>VLOOKUP(B639,country_opex,7,FALSE)*ins_pct</f>
        <v/>
      </c>
      <c r="AD639" s="49">
        <f>charge_berth</f>
        <v/>
      </c>
      <c r="AE639" s="49">
        <f>Y639+Z639+AA639+AB639+AC639+AD639</f>
        <v/>
      </c>
      <c r="AF639" s="49">
        <f>VLOOKUP(B639,country_opex,7,FALSE)/dep_years</f>
        <v/>
      </c>
      <c r="AG639" s="49">
        <f>X639-AE639</f>
        <v/>
      </c>
      <c r="AH639" s="46">
        <f>IF(X639=0,"",AG639/X639)</f>
        <v/>
      </c>
      <c r="AI639" s="47">
        <f>IF(AG639&lt;=0,"",VLOOKUP(B639,country_opex,7,FALSE)/AG639)</f>
        <v/>
      </c>
      <c r="AJ639" s="44">
        <f>((G639*S639/diesel_nmpg)*diesel_co2pg-(battery/range_nm)*G639*S639*VLOOKUP(B639,country_opex,4,FALSE))/1000</f>
        <v/>
      </c>
      <c r="AK639" s="42" t="n">
        <v>5217</v>
      </c>
      <c r="AL639" s="43" t="inlineStr">
        <is>
          <t>T3</t>
        </is>
      </c>
      <c r="AM639" s="43" t="inlineStr">
        <is>
          <t>med-low</t>
        </is>
      </c>
      <c r="AN639" s="50" t="n">
        <v>0.1</v>
      </c>
      <c r="AO639" s="45">
        <f>IF(AK639="","",AK639*AN639)</f>
        <v/>
      </c>
      <c r="AP639" s="45">
        <f>IF(OR(AK639="",V639=0),"",MIN(IF(AX639="",9.9E+99,AX639),FLOOR(AO639/V639,1)))</f>
        <v/>
      </c>
      <c r="AQ639" s="49">
        <f>IF(AP639="","",AP639*IF(ABS(MOD(ABS((X639)),1)-0.5)&lt;1E-9,2*ROUND((X639)/2,0),ROUND((X639),0)))</f>
        <v/>
      </c>
      <c r="AR639" s="47">
        <f>IF(OR(AK639="",V639=0),"",MIN(IF(AX639="",9.9E+99,AX639),AO639/V639))</f>
        <v/>
      </c>
      <c r="AS639" s="49">
        <f>IF(AR639="","",AR639*IF(B639="South Korea",IF(ABS(MOD(ABS((X639)),1)-0.5)&lt;1E-9,2*ROUND((X639)/2,0),ROUND((X639),0)),X639))</f>
        <v/>
      </c>
      <c r="AT639" s="51" t="n"/>
      <c r="AU639" s="43" t="inlineStr">
        <is>
          <t>Grounded</t>
        </is>
      </c>
      <c r="AV639" s="52" t="n"/>
      <c r="AW639" s="52" t="n"/>
      <c r="AX639" s="53" t="n"/>
      <c r="AY639" s="54">
        <f>IF(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&lt;=0,"",VLOOKUP(B639,country_opex,7,FALSE)/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)</f>
        <v/>
      </c>
      <c r="AZ639" s="54">
        <f>IF(((W639*pax_cap*IF(B639="South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Korea",korea_mid_revleg,revleg_mid)),0))*VLOOKUP(B639,country_opex,3,FALSE))+Z639+AA639+AB639+AC639+AD639))&lt;=0,"",VLOOKUP(B639,country_opex,7,FALSE)/((W639*pax_cap*IF(B639="South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Korea",korea_mid_revleg,revleg_mid)),0))*VLOOKUP(B639,country_opex,3,FALSE))+Z639+AA639+AB639+AC639+AD639)))</f>
        <v/>
      </c>
      <c r="BA639" s="54">
        <f>IF(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&lt;=0,"",VLOOKUP(B639,country_opex,7,FALSE)/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)</f>
        <v/>
      </c>
      <c r="BB639" s="40" t="n"/>
      <c r="BC639" s="40" t="n"/>
      <c r="BD639" s="43" t="inlineStr">
        <is>
          <t>rn-8570d8c24098</t>
        </is>
      </c>
    </row>
    <row r="640">
      <c r="A640" s="38" t="inlineStr">
        <is>
          <t>UAE (Careem)</t>
        </is>
      </c>
      <c r="B640" s="38" t="inlineStr">
        <is>
          <t>United Arab Emirates</t>
        </is>
      </c>
      <c r="C640" s="39" t="inlineStr">
        <is>
          <t>Dubai Harbour Marina → Nikki Beach Resort Pearl Jumeirah Jetty</t>
        </is>
      </c>
      <c r="D640" s="38" t="inlineStr">
        <is>
          <t>noon</t>
        </is>
      </c>
      <c r="E640" s="40" t="inlineStr">
        <is>
          <t>bolt-uae, uae-careem, uae-luxury, uae-noon, uae-voi, yango-uae</t>
        </is>
      </c>
      <c r="F640" s="41" t="n">
        <v>6</v>
      </c>
      <c r="G640" s="42" t="n">
        <v>11.9</v>
      </c>
      <c r="H640" s="35" t="n"/>
      <c r="I640" s="43" t="n"/>
      <c r="J640" s="43" t="n"/>
      <c r="K640" s="29" t="n">
        <v>1</v>
      </c>
      <c r="L640" s="44">
        <f>60*G640/cruise_kt</f>
        <v/>
      </c>
      <c r="M640" s="44">
        <f>IF(B640="South Korea",G640/korea_charge_range_nm*korea_full_range_charge_min,0)</f>
        <v/>
      </c>
      <c r="N640" s="44">
        <f>IF(B640="South Korea",L640+korea_turn_min+korea_dwell_min+M640,L640+turn_min+dwell_min)</f>
        <v/>
      </c>
      <c r="O640" s="45">
        <f>IF(B640="South Korea",FLOOR(60*korea_service_hr/N640,1),MIN(15,FLOOR(60*service_hr/N640,1)))</f>
        <v/>
      </c>
      <c r="P640" s="45">
        <f>IF(ABS(MOD(ABS((365*mech_uptime*K640)),1)-0.5)&lt;1E-9,2*ROUND((365*mech_uptime*K640)/2,0),ROUND((365*mech_uptime*K640),0))</f>
        <v/>
      </c>
      <c r="Q640" s="46">
        <f>mech_uptime</f>
        <v/>
      </c>
      <c r="R640" s="46">
        <f>IF(AND(B640="South Korea",scenario="MID"),korea_mid_revleg,revleg_sel)</f>
        <v/>
      </c>
      <c r="S640" s="45">
        <f>IF(ABS(MOD(ABS((O640*P640*R640)),1)-0.5)&lt;1E-9,2*ROUND((O640*P640*R640)/2,0),ROUND((O640*P640*R640),0))</f>
        <v/>
      </c>
      <c r="T640" s="46">
        <f>IF(AND(B640="South Korea",scenario="MID"),korea_mid_load,load_sel)</f>
        <v/>
      </c>
      <c r="U640" s="47">
        <f>pax_cap*T640</f>
        <v/>
      </c>
      <c r="V640" s="45">
        <f>U640*S640</f>
        <v/>
      </c>
      <c r="W640" s="48">
        <f>H640*discount</f>
        <v/>
      </c>
      <c r="X640" s="49">
        <f>W640*V640</f>
        <v/>
      </c>
      <c r="Y640" s="49">
        <f>(battery/range_nm)*G640*S640*VLOOKUP(B640,country_opex,3,FALSE)</f>
        <v/>
      </c>
      <c r="Z640" s="49">
        <f>VLOOKUP(B640,country_opex,2,FALSE)*crew_factor</f>
        <v/>
      </c>
      <c r="AA640" s="49">
        <f>VLOOKUP(B640,country_opex,5,FALSE)</f>
        <v/>
      </c>
      <c r="AB640" s="49">
        <f>maint</f>
        <v/>
      </c>
      <c r="AC640" s="49">
        <f>VLOOKUP(B640,country_opex,7,FALSE)*ins_pct</f>
        <v/>
      </c>
      <c r="AD640" s="49">
        <f>charge_berth</f>
        <v/>
      </c>
      <c r="AE640" s="49">
        <f>Y640+Z640+AA640+AB640+AC640+AD640</f>
        <v/>
      </c>
      <c r="AF640" s="49">
        <f>VLOOKUP(B640,country_opex,7,FALSE)/dep_years</f>
        <v/>
      </c>
      <c r="AG640" s="49">
        <f>X640-AE640</f>
        <v/>
      </c>
      <c r="AH640" s="46">
        <f>IF(X640=0,"",AG640/X640)</f>
        <v/>
      </c>
      <c r="AI640" s="47">
        <f>IF(AG640&lt;=0,"",VLOOKUP(B640,country_opex,7,FALSE)/AG640)</f>
        <v/>
      </c>
      <c r="AJ640" s="44">
        <f>((G640*S640/diesel_nmpg)*diesel_co2pg-(battery/range_nm)*G640*S640*VLOOKUP(B640,country_opex,4,FALSE))/1000</f>
        <v/>
      </c>
      <c r="AK640" s="42" t="n"/>
      <c r="AL640" s="43" t="n"/>
      <c r="AM640" s="43" t="n"/>
      <c r="AN640" s="50" t="n">
        <v>0.1</v>
      </c>
      <c r="AO640" s="45">
        <f>IF(AK640="","",AK640*AN640)</f>
        <v/>
      </c>
      <c r="AP640" s="45">
        <f>IF(OR(AK640="",V640=0),"",MIN(IF(AX640="",9.9E+99,AX640),FLOOR(AO640/V640,1)))</f>
        <v/>
      </c>
      <c r="AQ640" s="49">
        <f>IF(AP640="","",AP640*IF(ABS(MOD(ABS((X640)),1)-0.5)&lt;1E-9,2*ROUND((X640)/2,0),ROUND((X640),0)))</f>
        <v/>
      </c>
      <c r="AR640" s="47">
        <f>IF(OR(AK640="",V640=0),"",MIN(IF(AX640="",9.9E+99,AX640),AO640/V640))</f>
        <v/>
      </c>
      <c r="AS640" s="49">
        <f>IF(AR640="","",AR640*IF(B640="South Korea",IF(ABS(MOD(ABS((X640)),1)-0.5)&lt;1E-9,2*ROUND((X640)/2,0),ROUND((X640),0)),X640))</f>
        <v/>
      </c>
      <c r="AT640" s="51" t="n"/>
      <c r="AU640" s="43" t="inlineStr">
        <is>
          <t>Estimated</t>
        </is>
      </c>
      <c r="AV640" s="52" t="n"/>
      <c r="AW640" s="52" t="n"/>
      <c r="AX640" s="53" t="n"/>
      <c r="AY640" s="54">
        <f>IF(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&lt;=0,"",VLOOKUP(B640,country_opex,7,FALSE)/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)</f>
        <v/>
      </c>
      <c r="AZ640" s="54">
        <f>IF(((W640*pax_cap*IF(B640="South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Korea",korea_mid_revleg,revleg_mid)),0))*VLOOKUP(B640,country_opex,3,FALSE))+Z640+AA640+AB640+AC640+AD640))&lt;=0,"",VLOOKUP(B640,country_opex,7,FALSE)/((W640*pax_cap*IF(B640="South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Korea",korea_mid_revleg,revleg_mid)),0))*VLOOKUP(B640,country_opex,3,FALSE))+Z640+AA640+AB640+AC640+AD640)))</f>
        <v/>
      </c>
      <c r="BA640" s="54">
        <f>IF(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&lt;=0,"",VLOOKUP(B640,country_opex,7,FALSE)/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)</f>
        <v/>
      </c>
      <c r="BB640" s="40" t="n"/>
      <c r="BC640" s="40" t="n"/>
      <c r="BD640" s="43" t="inlineStr">
        <is>
          <t>rn-b1ba183aa886</t>
        </is>
      </c>
    </row>
    <row r="641">
      <c r="A641" s="38" t="inlineStr">
        <is>
          <t>UAE (Careem)</t>
        </is>
      </c>
      <c r="B641" s="38" t="inlineStr">
        <is>
          <t>United Arab Emirates</t>
        </is>
      </c>
      <c r="C641" s="39" t="inlineStr">
        <is>
          <t>Ras Al Khaimah → ميناء صيادين غليلة</t>
        </is>
      </c>
      <c r="D641" s="38" t="inlineStr">
        <is>
          <t>noon</t>
        </is>
      </c>
      <c r="E641" s="40" t="inlineStr">
        <is>
          <t>bolt-uae, gulf-authority-bahrain-motc, gulf-authority-rakta, uae-careem, uae-luxury, uae-noon, uae-voi, yango-uae</t>
        </is>
      </c>
      <c r="F641" s="41" t="n">
        <v>8</v>
      </c>
      <c r="G641" s="42" t="n">
        <v>11.9</v>
      </c>
      <c r="H641" s="35" t="n"/>
      <c r="I641" s="43" t="n"/>
      <c r="J641" s="43" t="n"/>
      <c r="K641" s="29" t="n">
        <v>1</v>
      </c>
      <c r="L641" s="44">
        <f>60*G641/cruise_kt</f>
        <v/>
      </c>
      <c r="M641" s="44">
        <f>IF(B641="South Korea",G641/korea_charge_range_nm*korea_full_range_charge_min,0)</f>
        <v/>
      </c>
      <c r="N641" s="44">
        <f>IF(B641="South Korea",L641+korea_turn_min+korea_dwell_min+M641,L641+turn_min+dwell_min)</f>
        <v/>
      </c>
      <c r="O641" s="45">
        <f>IF(B641="South Korea",FLOOR(60*korea_service_hr/N641,1),MIN(15,FLOOR(60*service_hr/N641,1)))</f>
        <v/>
      </c>
      <c r="P641" s="45">
        <f>IF(ABS(MOD(ABS((365*mech_uptime*K641)),1)-0.5)&lt;1E-9,2*ROUND((365*mech_uptime*K641)/2,0),ROUND((365*mech_uptime*K641),0))</f>
        <v/>
      </c>
      <c r="Q641" s="46">
        <f>mech_uptime</f>
        <v/>
      </c>
      <c r="R641" s="46">
        <f>IF(AND(B641="South Korea",scenario="MID"),korea_mid_revleg,revleg_sel)</f>
        <v/>
      </c>
      <c r="S641" s="45">
        <f>IF(ABS(MOD(ABS((O641*P641*R641)),1)-0.5)&lt;1E-9,2*ROUND((O641*P641*R641)/2,0),ROUND((O641*P641*R641),0))</f>
        <v/>
      </c>
      <c r="T641" s="46">
        <f>IF(AND(B641="South Korea",scenario="MID"),korea_mid_load,load_sel)</f>
        <v/>
      </c>
      <c r="U641" s="47">
        <f>pax_cap*T641</f>
        <v/>
      </c>
      <c r="V641" s="45">
        <f>U641*S641</f>
        <v/>
      </c>
      <c r="W641" s="48">
        <f>H641*discount</f>
        <v/>
      </c>
      <c r="X641" s="49">
        <f>W641*V641</f>
        <v/>
      </c>
      <c r="Y641" s="49">
        <f>(battery/range_nm)*G641*S641*VLOOKUP(B641,country_opex,3,FALSE)</f>
        <v/>
      </c>
      <c r="Z641" s="49">
        <f>VLOOKUP(B641,country_opex,2,FALSE)*crew_factor</f>
        <v/>
      </c>
      <c r="AA641" s="49">
        <f>VLOOKUP(B641,country_opex,5,FALSE)</f>
        <v/>
      </c>
      <c r="AB641" s="49">
        <f>maint</f>
        <v/>
      </c>
      <c r="AC641" s="49">
        <f>VLOOKUP(B641,country_opex,7,FALSE)*ins_pct</f>
        <v/>
      </c>
      <c r="AD641" s="49">
        <f>charge_berth</f>
        <v/>
      </c>
      <c r="AE641" s="49">
        <f>Y641+Z641+AA641+AB641+AC641+AD641</f>
        <v/>
      </c>
      <c r="AF641" s="49">
        <f>VLOOKUP(B641,country_opex,7,FALSE)/dep_years</f>
        <v/>
      </c>
      <c r="AG641" s="49">
        <f>X641-AE641</f>
        <v/>
      </c>
      <c r="AH641" s="46">
        <f>IF(X641=0,"",AG641/X641)</f>
        <v/>
      </c>
      <c r="AI641" s="47">
        <f>IF(AG641&lt;=0,"",VLOOKUP(B641,country_opex,7,FALSE)/AG641)</f>
        <v/>
      </c>
      <c r="AJ641" s="44">
        <f>((G641*S641/diesel_nmpg)*diesel_co2pg-(battery/range_nm)*G641*S641*VLOOKUP(B641,country_opex,4,FALSE))/1000</f>
        <v/>
      </c>
      <c r="AK641" s="42" t="n"/>
      <c r="AL641" s="43" t="n"/>
      <c r="AM641" s="43" t="n"/>
      <c r="AN641" s="50" t="n">
        <v>0.1</v>
      </c>
      <c r="AO641" s="45">
        <f>IF(AK641="","",AK641*AN641)</f>
        <v/>
      </c>
      <c r="AP641" s="45">
        <f>IF(OR(AK641="",V641=0),"",MIN(IF(AX641="",9.9E+99,AX641),FLOOR(AO641/V641,1)))</f>
        <v/>
      </c>
      <c r="AQ641" s="49">
        <f>IF(AP641="","",AP641*IF(ABS(MOD(ABS((X641)),1)-0.5)&lt;1E-9,2*ROUND((X641)/2,0),ROUND((X641),0)))</f>
        <v/>
      </c>
      <c r="AR641" s="47">
        <f>IF(OR(AK641="",V641=0),"",MIN(IF(AX641="",9.9E+99,AX641),AO641/V641))</f>
        <v/>
      </c>
      <c r="AS641" s="49">
        <f>IF(AR641="","",AR641*IF(B641="South Korea",IF(ABS(MOD(ABS((X641)),1)-0.5)&lt;1E-9,2*ROUND((X641)/2,0),ROUND((X641),0)),X641))</f>
        <v/>
      </c>
      <c r="AT641" s="51" t="n"/>
      <c r="AU641" s="43" t="inlineStr">
        <is>
          <t>Estimated</t>
        </is>
      </c>
      <c r="AV641" s="52" t="n"/>
      <c r="AW641" s="52" t="n"/>
      <c r="AX641" s="53" t="n"/>
      <c r="AY641" s="54">
        <f>IF(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&lt;=0,"",VLOOKUP(B641,country_opex,7,FALSE)/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)</f>
        <v/>
      </c>
      <c r="AZ641" s="54">
        <f>IF(((W641*pax_cap*IF(B641="South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Korea",korea_mid_revleg,revleg_mid)),0))*VLOOKUP(B641,country_opex,3,FALSE))+Z641+AA641+AB641+AC641+AD641))&lt;=0,"",VLOOKUP(B641,country_opex,7,FALSE)/((W641*pax_cap*IF(B641="South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Korea",korea_mid_revleg,revleg_mid)),0))*VLOOKUP(B641,country_opex,3,FALSE))+Z641+AA641+AB641+AC641+AD641)))</f>
        <v/>
      </c>
      <c r="BA641" s="54">
        <f>IF(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&lt;=0,"",VLOOKUP(B641,country_opex,7,FALSE)/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)</f>
        <v/>
      </c>
      <c r="BB641" s="40" t="n"/>
      <c r="BC641" s="40" t="n"/>
      <c r="BD641" s="43" t="inlineStr">
        <is>
          <t>rn-d61bc3c848d9</t>
        </is>
      </c>
    </row>
    <row r="642">
      <c r="A642" s="38" t="inlineStr">
        <is>
          <t>UAE (Careem)</t>
        </is>
      </c>
      <c r="B642" s="38" t="inlineStr">
        <is>
          <t>United Arab Emirates</t>
        </is>
      </c>
      <c r="C642" s="39" t="inlineStr">
        <is>
          <t>Dubai Marina → Downtown / Dubai Creek</t>
        </is>
      </c>
      <c r="D642" s="38" t="inlineStr">
        <is>
          <t>careem</t>
        </is>
      </c>
      <c r="E642" s="40" t="inlineStr">
        <is>
          <t>bolt-uae, uae-careem, uae-luxury, uae-noon, uae-voi, yango-uae</t>
        </is>
      </c>
      <c r="F642" s="41" t="n">
        <v>6</v>
      </c>
      <c r="G642" s="42" t="n">
        <v>12</v>
      </c>
      <c r="H642" s="35" t="n"/>
      <c r="I642" s="43" t="n"/>
      <c r="J642" s="43" t="n"/>
      <c r="K642" s="29" t="n">
        <v>1</v>
      </c>
      <c r="L642" s="44">
        <f>60*G642/cruise_kt</f>
        <v/>
      </c>
      <c r="M642" s="44">
        <f>IF(B642="South Korea",G642/korea_charge_range_nm*korea_full_range_charge_min,0)</f>
        <v/>
      </c>
      <c r="N642" s="44">
        <f>IF(B642="South Korea",L642+korea_turn_min+korea_dwell_min+M642,L642+turn_min+dwell_min)</f>
        <v/>
      </c>
      <c r="O642" s="45">
        <f>IF(B642="South Korea",FLOOR(60*korea_service_hr/N642,1),MIN(15,FLOOR(60*service_hr/N642,1)))</f>
        <v/>
      </c>
      <c r="P642" s="45">
        <f>IF(ABS(MOD(ABS((365*mech_uptime*K642)),1)-0.5)&lt;1E-9,2*ROUND((365*mech_uptime*K642)/2,0),ROUND((365*mech_uptime*K642),0))</f>
        <v/>
      </c>
      <c r="Q642" s="46">
        <f>mech_uptime</f>
        <v/>
      </c>
      <c r="R642" s="46">
        <f>IF(AND(B642="South Korea",scenario="MID"),korea_mid_revleg,revleg_sel)</f>
        <v/>
      </c>
      <c r="S642" s="45">
        <f>IF(ABS(MOD(ABS((O642*P642*R642)),1)-0.5)&lt;1E-9,2*ROUND((O642*P642*R642)/2,0),ROUND((O642*P642*R642),0))</f>
        <v/>
      </c>
      <c r="T642" s="46">
        <f>IF(AND(B642="South Korea",scenario="MID"),korea_mid_load,load_sel)</f>
        <v/>
      </c>
      <c r="U642" s="47">
        <f>pax_cap*T642</f>
        <v/>
      </c>
      <c r="V642" s="45">
        <f>U642*S642</f>
        <v/>
      </c>
      <c r="W642" s="48">
        <f>H642*discount</f>
        <v/>
      </c>
      <c r="X642" s="49">
        <f>W642*V642</f>
        <v/>
      </c>
      <c r="Y642" s="49">
        <f>(battery/range_nm)*G642*S642*VLOOKUP(B642,country_opex,3,FALSE)</f>
        <v/>
      </c>
      <c r="Z642" s="49">
        <f>VLOOKUP(B642,country_opex,2,FALSE)*crew_factor</f>
        <v/>
      </c>
      <c r="AA642" s="49">
        <f>VLOOKUP(B642,country_opex,5,FALSE)</f>
        <v/>
      </c>
      <c r="AB642" s="49">
        <f>maint</f>
        <v/>
      </c>
      <c r="AC642" s="49">
        <f>VLOOKUP(B642,country_opex,7,FALSE)*ins_pct</f>
        <v/>
      </c>
      <c r="AD642" s="49">
        <f>charge_berth</f>
        <v/>
      </c>
      <c r="AE642" s="49">
        <f>Y642+Z642+AA642+AB642+AC642+AD642</f>
        <v/>
      </c>
      <c r="AF642" s="49">
        <f>VLOOKUP(B642,country_opex,7,FALSE)/dep_years</f>
        <v/>
      </c>
      <c r="AG642" s="49">
        <f>X642-AE642</f>
        <v/>
      </c>
      <c r="AH642" s="46">
        <f>IF(X642=0,"",AG642/X642)</f>
        <v/>
      </c>
      <c r="AI642" s="47">
        <f>IF(AG642&lt;=0,"",VLOOKUP(B642,country_opex,7,FALSE)/AG642)</f>
        <v/>
      </c>
      <c r="AJ642" s="44">
        <f>((G642*S642/diesel_nmpg)*diesel_co2pg-(battery/range_nm)*G642*S642*VLOOKUP(B642,country_opex,4,FALSE))/1000</f>
        <v/>
      </c>
      <c r="AK642" s="42" t="n"/>
      <c r="AL642" s="43" t="n"/>
      <c r="AM642" s="43" t="n"/>
      <c r="AN642" s="50" t="n">
        <v>0.1</v>
      </c>
      <c r="AO642" s="45">
        <f>IF(AK642="","",AK642*AN642)</f>
        <v/>
      </c>
      <c r="AP642" s="45">
        <f>IF(OR(AK642="",V642=0),"",MIN(IF(AX642="",9.9E+99,AX642),FLOOR(AO642/V642,1)))</f>
        <v/>
      </c>
      <c r="AQ642" s="49">
        <f>IF(AP642="","",AP642*IF(ABS(MOD(ABS((X642)),1)-0.5)&lt;1E-9,2*ROUND((X642)/2,0),ROUND((X642),0)))</f>
        <v/>
      </c>
      <c r="AR642" s="47">
        <f>IF(OR(AK642="",V642=0),"",MIN(IF(AX642="",9.9E+99,AX642),AO642/V642))</f>
        <v/>
      </c>
      <c r="AS642" s="49">
        <f>IF(AR642="","",AR642*IF(B642="South Korea",IF(ABS(MOD(ABS((X642)),1)-0.5)&lt;1E-9,2*ROUND((X642)/2,0),ROUND((X642),0)),X642))</f>
        <v/>
      </c>
      <c r="AT642" s="51" t="n"/>
      <c r="AU642" s="43" t="inlineStr">
        <is>
          <t>Estimated</t>
        </is>
      </c>
      <c r="AV642" s="52" t="n"/>
      <c r="AW642" s="52" t="n"/>
      <c r="AX642" s="53" t="n"/>
      <c r="AY642" s="54">
        <f>IF(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&lt;=0,"",VLOOKUP(B642,country_opex,7,FALSE)/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)</f>
        <v/>
      </c>
      <c r="AZ642" s="54">
        <f>IF(((W642*pax_cap*IF(B642="South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Korea",korea_mid_revleg,revleg_mid)),0))*VLOOKUP(B642,country_opex,3,FALSE))+Z642+AA642+AB642+AC642+AD642))&lt;=0,"",VLOOKUP(B642,country_opex,7,FALSE)/((W642*pax_cap*IF(B642="South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Korea",korea_mid_revleg,revleg_mid)),0))*VLOOKUP(B642,country_opex,3,FALSE))+Z642+AA642+AB642+AC642+AD642)))</f>
        <v/>
      </c>
      <c r="BA642" s="54">
        <f>IF(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&lt;=0,"",VLOOKUP(B642,country_opex,7,FALSE)/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)</f>
        <v/>
      </c>
      <c r="BB642" s="40" t="n"/>
      <c r="BC642" s="40" t="n"/>
      <c r="BD642" s="43" t="inlineStr">
        <is>
          <t>gcn-cf6ba343d2-bolt</t>
        </is>
      </c>
    </row>
    <row r="643">
      <c r="A643" s="38" t="inlineStr">
        <is>
          <t>UAE (Careem)</t>
        </is>
      </c>
      <c r="B643" s="38" t="inlineStr">
        <is>
          <t>United Arab Emirates</t>
        </is>
      </c>
      <c r="C643" s="39" t="inlineStr">
        <is>
          <t>Dubai Marina → Downtown Creek</t>
        </is>
      </c>
      <c r="D643" s="38" t="inlineStr">
        <is>
          <t>careem</t>
        </is>
      </c>
      <c r="E643" s="40" t="inlineStr">
        <is>
          <t>bolt-uae, uae-careem, uae-luxury, uae-noon, uae-voi, yango-uae</t>
        </is>
      </c>
      <c r="F643" s="41" t="n">
        <v>6</v>
      </c>
      <c r="G643" s="42" t="n">
        <v>12</v>
      </c>
      <c r="H643" s="35" t="n"/>
      <c r="I643" s="43" t="n"/>
      <c r="J643" s="43" t="n"/>
      <c r="K643" s="29" t="n">
        <v>1</v>
      </c>
      <c r="L643" s="44">
        <f>60*G643/cruise_kt</f>
        <v/>
      </c>
      <c r="M643" s="44">
        <f>IF(B643="South Korea",G643/korea_charge_range_nm*korea_full_range_charge_min,0)</f>
        <v/>
      </c>
      <c r="N643" s="44">
        <f>IF(B643="South Korea",L643+korea_turn_min+korea_dwell_min+M643,L643+turn_min+dwell_min)</f>
        <v/>
      </c>
      <c r="O643" s="45">
        <f>IF(B643="South Korea",FLOOR(60*korea_service_hr/N643,1),MIN(15,FLOOR(60*service_hr/N643,1)))</f>
        <v/>
      </c>
      <c r="P643" s="45">
        <f>IF(ABS(MOD(ABS((365*mech_uptime*K643)),1)-0.5)&lt;1E-9,2*ROUND((365*mech_uptime*K643)/2,0),ROUND((365*mech_uptime*K643),0))</f>
        <v/>
      </c>
      <c r="Q643" s="46">
        <f>mech_uptime</f>
        <v/>
      </c>
      <c r="R643" s="46">
        <f>IF(AND(B643="South Korea",scenario="MID"),korea_mid_revleg,revleg_sel)</f>
        <v/>
      </c>
      <c r="S643" s="45">
        <f>IF(ABS(MOD(ABS((O643*P643*R643)),1)-0.5)&lt;1E-9,2*ROUND((O643*P643*R643)/2,0),ROUND((O643*P643*R643),0))</f>
        <v/>
      </c>
      <c r="T643" s="46">
        <f>IF(AND(B643="South Korea",scenario="MID"),korea_mid_load,load_sel)</f>
        <v/>
      </c>
      <c r="U643" s="47">
        <f>pax_cap*T643</f>
        <v/>
      </c>
      <c r="V643" s="45">
        <f>U643*S643</f>
        <v/>
      </c>
      <c r="W643" s="48">
        <f>H643*discount</f>
        <v/>
      </c>
      <c r="X643" s="49">
        <f>W643*V643</f>
        <v/>
      </c>
      <c r="Y643" s="49">
        <f>(battery/range_nm)*G643*S643*VLOOKUP(B643,country_opex,3,FALSE)</f>
        <v/>
      </c>
      <c r="Z643" s="49">
        <f>VLOOKUP(B643,country_opex,2,FALSE)*crew_factor</f>
        <v/>
      </c>
      <c r="AA643" s="49">
        <f>VLOOKUP(B643,country_opex,5,FALSE)</f>
        <v/>
      </c>
      <c r="AB643" s="49">
        <f>maint</f>
        <v/>
      </c>
      <c r="AC643" s="49">
        <f>VLOOKUP(B643,country_opex,7,FALSE)*ins_pct</f>
        <v/>
      </c>
      <c r="AD643" s="49">
        <f>charge_berth</f>
        <v/>
      </c>
      <c r="AE643" s="49">
        <f>Y643+Z643+AA643+AB643+AC643+AD643</f>
        <v/>
      </c>
      <c r="AF643" s="49">
        <f>VLOOKUP(B643,country_opex,7,FALSE)/dep_years</f>
        <v/>
      </c>
      <c r="AG643" s="49">
        <f>X643-AE643</f>
        <v/>
      </c>
      <c r="AH643" s="46">
        <f>IF(X643=0,"",AG643/X643)</f>
        <v/>
      </c>
      <c r="AI643" s="47">
        <f>IF(AG643&lt;=0,"",VLOOKUP(B643,country_opex,7,FALSE)/AG643)</f>
        <v/>
      </c>
      <c r="AJ643" s="44">
        <f>((G643*S643/diesel_nmpg)*diesel_co2pg-(battery/range_nm)*G643*S643*VLOOKUP(B643,country_opex,4,FALSE))/1000</f>
        <v/>
      </c>
      <c r="AK643" s="42" t="n"/>
      <c r="AL643" s="43" t="n"/>
      <c r="AM643" s="43" t="n"/>
      <c r="AN643" s="50" t="n">
        <v>0.1</v>
      </c>
      <c r="AO643" s="45">
        <f>IF(AK643="","",AK643*AN643)</f>
        <v/>
      </c>
      <c r="AP643" s="45">
        <f>IF(OR(AK643="",V643=0),"",MIN(IF(AX643="",9.9E+99,AX643),FLOOR(AO643/V643,1)))</f>
        <v/>
      </c>
      <c r="AQ643" s="49">
        <f>IF(AP643="","",AP643*IF(ABS(MOD(ABS((X643)),1)-0.5)&lt;1E-9,2*ROUND((X643)/2,0),ROUND((X643),0)))</f>
        <v/>
      </c>
      <c r="AR643" s="47">
        <f>IF(OR(AK643="",V643=0),"",MIN(IF(AX643="",9.9E+99,AX643),AO643/V643))</f>
        <v/>
      </c>
      <c r="AS643" s="49">
        <f>IF(AR643="","",AR643*IF(B643="South Korea",IF(ABS(MOD(ABS((X643)),1)-0.5)&lt;1E-9,2*ROUND((X643)/2,0),ROUND((X643),0)),X643))</f>
        <v/>
      </c>
      <c r="AT643" s="51" t="n"/>
      <c r="AU643" s="43" t="inlineStr">
        <is>
          <t>Estimated</t>
        </is>
      </c>
      <c r="AV643" s="52" t="n"/>
      <c r="AW643" s="52" t="n"/>
      <c r="AX643" s="53" t="n"/>
      <c r="AY643" s="54">
        <f>IF(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&lt;=0,"",VLOOKUP(B643,country_opex,7,FALSE)/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)</f>
        <v/>
      </c>
      <c r="AZ643" s="54">
        <f>IF(((W643*pax_cap*IF(B643="South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Korea",korea_mid_revleg,revleg_mid)),0))*VLOOKUP(B643,country_opex,3,FALSE))+Z643+AA643+AB643+AC643+AD643))&lt;=0,"",VLOOKUP(B643,country_opex,7,FALSE)/((W643*pax_cap*IF(B643="South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Korea",korea_mid_revleg,revleg_mid)),0))*VLOOKUP(B643,country_opex,3,FALSE))+Z643+AA643+AB643+AC643+AD643)))</f>
        <v/>
      </c>
      <c r="BA643" s="54">
        <f>IF(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&lt;=0,"",VLOOKUP(B643,country_opex,7,FALSE)/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)</f>
        <v/>
      </c>
      <c r="BB643" s="40" t="n"/>
      <c r="BC643" s="40" t="n"/>
      <c r="BD643" s="43" t="inlineStr">
        <is>
          <t>gcn-1662e39eb7-careem</t>
        </is>
      </c>
    </row>
    <row r="644">
      <c r="A644" s="38" t="inlineStr">
        <is>
          <t>UAE (Careem)</t>
        </is>
      </c>
      <c r="B644" s="38" t="inlineStr">
        <is>
          <t>United Arab Emirates</t>
        </is>
      </c>
      <c r="C644" s="39" t="inlineStr">
        <is>
          <t>Yas Marina → Four Seasons Al Maryah Jetty</t>
        </is>
      </c>
      <c r="D644" s="38" t="inlineStr">
        <is>
          <t>noon</t>
        </is>
      </c>
      <c r="E644" s="40" t="inlineStr">
        <is>
          <t>bolt-uae, uae-careem, uae-luxury, uae-noon, uae-voi, yango-uae</t>
        </is>
      </c>
      <c r="F644" s="41" t="n">
        <v>6</v>
      </c>
      <c r="G644" s="42" t="n">
        <v>12.4</v>
      </c>
      <c r="H644" s="35" t="n"/>
      <c r="I644" s="43" t="n"/>
      <c r="J644" s="43" t="n"/>
      <c r="K644" s="29" t="n">
        <v>1</v>
      </c>
      <c r="L644" s="44">
        <f>60*G644/cruise_kt</f>
        <v/>
      </c>
      <c r="M644" s="44">
        <f>IF(B644="South Korea",G644/korea_charge_range_nm*korea_full_range_charge_min,0)</f>
        <v/>
      </c>
      <c r="N644" s="44">
        <f>IF(B644="South Korea",L644+korea_turn_min+korea_dwell_min+M644,L644+turn_min+dwell_min)</f>
        <v/>
      </c>
      <c r="O644" s="45">
        <f>IF(B644="South Korea",FLOOR(60*korea_service_hr/N644,1),MIN(15,FLOOR(60*service_hr/N644,1)))</f>
        <v/>
      </c>
      <c r="P644" s="45">
        <f>IF(ABS(MOD(ABS((365*mech_uptime*K644)),1)-0.5)&lt;1E-9,2*ROUND((365*mech_uptime*K644)/2,0),ROUND((365*mech_uptime*K644),0))</f>
        <v/>
      </c>
      <c r="Q644" s="46">
        <f>mech_uptime</f>
        <v/>
      </c>
      <c r="R644" s="46">
        <f>IF(AND(B644="South Korea",scenario="MID"),korea_mid_revleg,revleg_sel)</f>
        <v/>
      </c>
      <c r="S644" s="45">
        <f>IF(ABS(MOD(ABS((O644*P644*R644)),1)-0.5)&lt;1E-9,2*ROUND((O644*P644*R644)/2,0),ROUND((O644*P644*R644),0))</f>
        <v/>
      </c>
      <c r="T644" s="46">
        <f>IF(AND(B644="South Korea",scenario="MID"),korea_mid_load,load_sel)</f>
        <v/>
      </c>
      <c r="U644" s="47">
        <f>pax_cap*T644</f>
        <v/>
      </c>
      <c r="V644" s="45">
        <f>U644*S644</f>
        <v/>
      </c>
      <c r="W644" s="48">
        <f>H644*discount</f>
        <v/>
      </c>
      <c r="X644" s="49">
        <f>W644*V644</f>
        <v/>
      </c>
      <c r="Y644" s="49">
        <f>(battery/range_nm)*G644*S644*VLOOKUP(B644,country_opex,3,FALSE)</f>
        <v/>
      </c>
      <c r="Z644" s="49">
        <f>VLOOKUP(B644,country_opex,2,FALSE)*crew_factor</f>
        <v/>
      </c>
      <c r="AA644" s="49">
        <f>VLOOKUP(B644,country_opex,5,FALSE)</f>
        <v/>
      </c>
      <c r="AB644" s="49">
        <f>maint</f>
        <v/>
      </c>
      <c r="AC644" s="49">
        <f>VLOOKUP(B644,country_opex,7,FALSE)*ins_pct</f>
        <v/>
      </c>
      <c r="AD644" s="49">
        <f>charge_berth</f>
        <v/>
      </c>
      <c r="AE644" s="49">
        <f>Y644+Z644+AA644+AB644+AC644+AD644</f>
        <v/>
      </c>
      <c r="AF644" s="49">
        <f>VLOOKUP(B644,country_opex,7,FALSE)/dep_years</f>
        <v/>
      </c>
      <c r="AG644" s="49">
        <f>X644-AE644</f>
        <v/>
      </c>
      <c r="AH644" s="46">
        <f>IF(X644=0,"",AG644/X644)</f>
        <v/>
      </c>
      <c r="AI644" s="47">
        <f>IF(AG644&lt;=0,"",VLOOKUP(B644,country_opex,7,FALSE)/AG644)</f>
        <v/>
      </c>
      <c r="AJ644" s="44">
        <f>((G644*S644/diesel_nmpg)*diesel_co2pg-(battery/range_nm)*G644*S644*VLOOKUP(B644,country_opex,4,FALSE))/1000</f>
        <v/>
      </c>
      <c r="AK644" s="42" t="n"/>
      <c r="AL644" s="43" t="n"/>
      <c r="AM644" s="43" t="n"/>
      <c r="AN644" s="50" t="n">
        <v>0.1</v>
      </c>
      <c r="AO644" s="45">
        <f>IF(AK644="","",AK644*AN644)</f>
        <v/>
      </c>
      <c r="AP644" s="45">
        <f>IF(OR(AK644="",V644=0),"",MIN(IF(AX644="",9.9E+99,AX644),FLOOR(AO644/V644,1)))</f>
        <v/>
      </c>
      <c r="AQ644" s="49">
        <f>IF(AP644="","",AP644*IF(ABS(MOD(ABS((X644)),1)-0.5)&lt;1E-9,2*ROUND((X644)/2,0),ROUND((X644),0)))</f>
        <v/>
      </c>
      <c r="AR644" s="47">
        <f>IF(OR(AK644="",V644=0),"",MIN(IF(AX644="",9.9E+99,AX644),AO644/V644))</f>
        <v/>
      </c>
      <c r="AS644" s="49">
        <f>IF(AR644="","",AR644*IF(B644="South Korea",IF(ABS(MOD(ABS((X644)),1)-0.5)&lt;1E-9,2*ROUND((X644)/2,0),ROUND((X644),0)),X644))</f>
        <v/>
      </c>
      <c r="AT644" s="51" t="n"/>
      <c r="AU644" s="43" t="inlineStr">
        <is>
          <t>Estimated</t>
        </is>
      </c>
      <c r="AV644" s="52" t="n"/>
      <c r="AW644" s="52" t="n"/>
      <c r="AX644" s="53" t="n"/>
      <c r="AY644" s="54">
        <f>IF(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&lt;=0,"",VLOOKUP(B644,country_opex,7,FALSE)/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)</f>
        <v/>
      </c>
      <c r="AZ644" s="54">
        <f>IF(((W644*pax_cap*IF(B644="South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Korea",korea_mid_revleg,revleg_mid)),0))*VLOOKUP(B644,country_opex,3,FALSE))+Z644+AA644+AB644+AC644+AD644))&lt;=0,"",VLOOKUP(B644,country_opex,7,FALSE)/((W644*pax_cap*IF(B644="South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Korea",korea_mid_revleg,revleg_mid)),0))*VLOOKUP(B644,country_opex,3,FALSE))+Z644+AA644+AB644+AC644+AD644)))</f>
        <v/>
      </c>
      <c r="BA644" s="54">
        <f>IF(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&lt;=0,"",VLOOKUP(B644,country_opex,7,FALSE)/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)</f>
        <v/>
      </c>
      <c r="BB644" s="40" t="n"/>
      <c r="BC644" s="40" t="n"/>
      <c r="BD644" s="43" t="inlineStr">
        <is>
          <t>rn-80c408c085a6</t>
        </is>
      </c>
    </row>
    <row r="645">
      <c r="A645" s="38" t="inlineStr">
        <is>
          <t>UAE (Careem)</t>
        </is>
      </c>
      <c r="B645" s="38" t="inlineStr">
        <is>
          <t>United Arab Emirates</t>
        </is>
      </c>
      <c r="C645" s="39" t="inlineStr">
        <is>
          <t>Yas Marina → Zaya Nurai Island Jetty</t>
        </is>
      </c>
      <c r="D645" s="38" t="inlineStr">
        <is>
          <t>careem</t>
        </is>
      </c>
      <c r="E645" s="40" t="inlineStr">
        <is>
          <t>bolt-uae, uae-careem, uae-luxury, uae-noon, uae-voi, yango-uae</t>
        </is>
      </c>
      <c r="F645" s="41" t="n">
        <v>6</v>
      </c>
      <c r="G645" s="42" t="n">
        <v>12.6</v>
      </c>
      <c r="H645" s="35" t="n">
        <v>175</v>
      </c>
      <c r="I645" s="43" t="inlineStr">
        <is>
          <t>T5</t>
        </is>
      </c>
      <c r="J645" s="43" t="inlineStr">
        <is>
          <t>low</t>
        </is>
      </c>
      <c r="K645" s="29" t="n">
        <v>1</v>
      </c>
      <c r="L645" s="44">
        <f>60*G645/cruise_kt</f>
        <v/>
      </c>
      <c r="M645" s="44">
        <f>IF(B645="South Korea",G645/korea_charge_range_nm*korea_full_range_charge_min,0)</f>
        <v/>
      </c>
      <c r="N645" s="44">
        <f>IF(B645="South Korea",L645+korea_turn_min+korea_dwell_min+M645,L645+turn_min+dwell_min)</f>
        <v/>
      </c>
      <c r="O645" s="45">
        <f>IF(B645="South Korea",FLOOR(60*korea_service_hr/N645,1),MIN(15,FLOOR(60*service_hr/N645,1)))</f>
        <v/>
      </c>
      <c r="P645" s="45">
        <f>IF(ABS(MOD(ABS((365*mech_uptime*K645)),1)-0.5)&lt;1E-9,2*ROUND((365*mech_uptime*K645)/2,0),ROUND((365*mech_uptime*K645),0))</f>
        <v/>
      </c>
      <c r="Q645" s="46">
        <f>mech_uptime</f>
        <v/>
      </c>
      <c r="R645" s="46">
        <f>IF(AND(B645="South Korea",scenario="MID"),korea_mid_revleg,revleg_sel)</f>
        <v/>
      </c>
      <c r="S645" s="45">
        <f>IF(ABS(MOD(ABS((O645*P645*R645)),1)-0.5)&lt;1E-9,2*ROUND((O645*P645*R645)/2,0),ROUND((O645*P645*R645),0))</f>
        <v/>
      </c>
      <c r="T645" s="46">
        <f>IF(AND(B645="South Korea",scenario="MID"),korea_mid_load,load_sel)</f>
        <v/>
      </c>
      <c r="U645" s="47">
        <f>pax_cap*T645</f>
        <v/>
      </c>
      <c r="V645" s="45">
        <f>U645*S645</f>
        <v/>
      </c>
      <c r="W645" s="48">
        <f>H645*discount</f>
        <v/>
      </c>
      <c r="X645" s="49">
        <f>W645*V645</f>
        <v/>
      </c>
      <c r="Y645" s="49">
        <f>(battery/range_nm)*G645*S645*VLOOKUP(B645,country_opex,3,FALSE)</f>
        <v/>
      </c>
      <c r="Z645" s="49">
        <f>VLOOKUP(B645,country_opex,2,FALSE)*crew_factor</f>
        <v/>
      </c>
      <c r="AA645" s="49">
        <f>VLOOKUP(B645,country_opex,5,FALSE)</f>
        <v/>
      </c>
      <c r="AB645" s="49">
        <f>maint</f>
        <v/>
      </c>
      <c r="AC645" s="49">
        <f>VLOOKUP(B645,country_opex,7,FALSE)*ins_pct</f>
        <v/>
      </c>
      <c r="AD645" s="49">
        <f>charge_berth</f>
        <v/>
      </c>
      <c r="AE645" s="49">
        <f>Y645+Z645+AA645+AB645+AC645+AD645</f>
        <v/>
      </c>
      <c r="AF645" s="49">
        <f>VLOOKUP(B645,country_opex,7,FALSE)/dep_years</f>
        <v/>
      </c>
      <c r="AG645" s="49">
        <f>X645-AE645</f>
        <v/>
      </c>
      <c r="AH645" s="46">
        <f>IF(X645=0,"",AG645/X645)</f>
        <v/>
      </c>
      <c r="AI645" s="47">
        <f>IF(AG645&lt;=0,"",VLOOKUP(B645,country_opex,7,FALSE)/AG645)</f>
        <v/>
      </c>
      <c r="AJ645" s="44">
        <f>((G645*S645/diesel_nmpg)*diesel_co2pg-(battery/range_nm)*G645*S645*VLOOKUP(B645,country_opex,4,FALSE))/1000</f>
        <v/>
      </c>
      <c r="AK645" s="42" t="n">
        <v>15000</v>
      </c>
      <c r="AL645" s="43" t="inlineStr">
        <is>
          <t>T3</t>
        </is>
      </c>
      <c r="AM645" s="43" t="inlineStr">
        <is>
          <t>low</t>
        </is>
      </c>
      <c r="AN645" s="50" t="n">
        <v>0.1</v>
      </c>
      <c r="AO645" s="45">
        <f>IF(AK645="","",AK645*AN645)</f>
        <v/>
      </c>
      <c r="AP645" s="45">
        <f>IF(OR(AK645="",V645=0),"",MIN(IF(AX645="",9.9E+99,AX645),FLOOR(AO645/V645,1)))</f>
        <v/>
      </c>
      <c r="AQ645" s="49">
        <f>IF(AP645="","",AP645*IF(ABS(MOD(ABS((X645)),1)-0.5)&lt;1E-9,2*ROUND((X645)/2,0),ROUND((X645),0)))</f>
        <v/>
      </c>
      <c r="AR645" s="47">
        <f>IF(OR(AK645="",V645=0),"",MIN(IF(AX645="",9.9E+99,AX645),AO645/V645))</f>
        <v/>
      </c>
      <c r="AS645" s="49">
        <f>IF(AR645="","",AR645*IF(B645="South Korea",IF(ABS(MOD(ABS((X645)),1)-0.5)&lt;1E-9,2*ROUND((X645)/2,0),ROUND((X645),0)),X645))</f>
        <v/>
      </c>
      <c r="AT645" s="51" t="n"/>
      <c r="AU645" s="43" t="inlineStr">
        <is>
          <t>Grounded</t>
        </is>
      </c>
      <c r="AV645" s="52" t="n"/>
      <c r="AW645" s="52" t="n"/>
      <c r="AX645" s="53" t="n"/>
      <c r="AY645" s="54">
        <f>IF(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&lt;=0,"",VLOOKUP(B645,country_opex,7,FALSE)/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)</f>
        <v/>
      </c>
      <c r="AZ645" s="54">
        <f>IF(((W645*pax_cap*IF(B645="South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Korea",korea_mid_revleg,revleg_mid)),0))*VLOOKUP(B645,country_opex,3,FALSE))+Z645+AA645+AB645+AC645+AD645))&lt;=0,"",VLOOKUP(B645,country_opex,7,FALSE)/((W645*pax_cap*IF(B645="South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Korea",korea_mid_revleg,revleg_mid)),0))*VLOOKUP(B645,country_opex,3,FALSE))+Z645+AA645+AB645+AC645+AD645)))</f>
        <v/>
      </c>
      <c r="BA645" s="54">
        <f>IF(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&lt;=0,"",VLOOKUP(B645,country_opex,7,FALSE)/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)</f>
        <v/>
      </c>
      <c r="BB645" s="40" t="inlineStr">
        <is>
          <t>Zaya Nurai boat-only, but real transfers depart Saadiyat (4.4nm) not Yas Marina (12.6nm) -&gt; R3-PIER. $175 modeled; demand NULL. T5/low.</t>
        </is>
      </c>
      <c r="BC645" s="40" t="inlineStr">
        <is>
          <t>UAE-DEMAND-ANCHORS-2026-06-17.json — tier-based addressable pool derived from sourcing wave anchors (hotel keys × occ × shuttle adoption, marina activity, RTA marine baseline).</t>
        </is>
      </c>
      <c r="BD645" s="43" t="inlineStr">
        <is>
          <t>rn-bb2eb160c1a5</t>
        </is>
      </c>
    </row>
    <row r="646">
      <c r="A646" s="38" t="inlineStr">
        <is>
          <t>UAE (Careem)</t>
        </is>
      </c>
      <c r="B646" s="38" t="inlineStr">
        <is>
          <t>United Arab Emirates</t>
        </is>
      </c>
      <c r="C646" s="39" t="inlineStr">
        <is>
          <t>Yas Marina → Saadiyat Beach Club Jetty</t>
        </is>
      </c>
      <c r="D646" s="38" t="inlineStr">
        <is>
          <t>careem</t>
        </is>
      </c>
      <c r="E646" s="40" t="inlineStr">
        <is>
          <t>bolt-uae, uae-careem, uae-luxury, uae-noon, uae-voi, yango-uae</t>
        </is>
      </c>
      <c r="F646" s="41" t="n">
        <v>6</v>
      </c>
      <c r="G646" s="42" t="n">
        <v>13</v>
      </c>
      <c r="H646" s="35" t="n">
        <v>75</v>
      </c>
      <c r="I646" s="43" t="inlineStr">
        <is>
          <t>T4</t>
        </is>
      </c>
      <c r="J646" s="43" t="inlineStr">
        <is>
          <t>low</t>
        </is>
      </c>
      <c r="K646" s="29" t="n">
        <v>1</v>
      </c>
      <c r="L646" s="44">
        <f>60*G646/cruise_kt</f>
        <v/>
      </c>
      <c r="M646" s="44">
        <f>IF(B646="South Korea",G646/korea_charge_range_nm*korea_full_range_charge_min,0)</f>
        <v/>
      </c>
      <c r="N646" s="44">
        <f>IF(B646="South Korea",L646+korea_turn_min+korea_dwell_min+M646,L646+turn_min+dwell_min)</f>
        <v/>
      </c>
      <c r="O646" s="45">
        <f>IF(B646="South Korea",FLOOR(60*korea_service_hr/N646,1),MIN(15,FLOOR(60*service_hr/N646,1)))</f>
        <v/>
      </c>
      <c r="P646" s="45">
        <f>IF(ABS(MOD(ABS((365*mech_uptime*K646)),1)-0.5)&lt;1E-9,2*ROUND((365*mech_uptime*K646)/2,0),ROUND((365*mech_uptime*K646),0))</f>
        <v/>
      </c>
      <c r="Q646" s="46">
        <f>mech_uptime</f>
        <v/>
      </c>
      <c r="R646" s="46">
        <f>IF(AND(B646="South Korea",scenario="MID"),korea_mid_revleg,revleg_sel)</f>
        <v/>
      </c>
      <c r="S646" s="45">
        <f>IF(ABS(MOD(ABS((O646*P646*R646)),1)-0.5)&lt;1E-9,2*ROUND((O646*P646*R646)/2,0),ROUND((O646*P646*R646),0))</f>
        <v/>
      </c>
      <c r="T646" s="46">
        <f>IF(AND(B646="South Korea",scenario="MID"),korea_mid_load,load_sel)</f>
        <v/>
      </c>
      <c r="U646" s="47">
        <f>pax_cap*T646</f>
        <v/>
      </c>
      <c r="V646" s="45">
        <f>U646*S646</f>
        <v/>
      </c>
      <c r="W646" s="48">
        <f>H646*discount</f>
        <v/>
      </c>
      <c r="X646" s="49">
        <f>W646*V646</f>
        <v/>
      </c>
      <c r="Y646" s="49">
        <f>(battery/range_nm)*G646*S646*VLOOKUP(B646,country_opex,3,FALSE)</f>
        <v/>
      </c>
      <c r="Z646" s="49">
        <f>VLOOKUP(B646,country_opex,2,FALSE)*crew_factor</f>
        <v/>
      </c>
      <c r="AA646" s="49">
        <f>VLOOKUP(B646,country_opex,5,FALSE)</f>
        <v/>
      </c>
      <c r="AB646" s="49">
        <f>maint</f>
        <v/>
      </c>
      <c r="AC646" s="49">
        <f>VLOOKUP(B646,country_opex,7,FALSE)*ins_pct</f>
        <v/>
      </c>
      <c r="AD646" s="49">
        <f>charge_berth</f>
        <v/>
      </c>
      <c r="AE646" s="49">
        <f>Y646+Z646+AA646+AB646+AC646+AD646</f>
        <v/>
      </c>
      <c r="AF646" s="49">
        <f>VLOOKUP(B646,country_opex,7,FALSE)/dep_years</f>
        <v/>
      </c>
      <c r="AG646" s="49">
        <f>X646-AE646</f>
        <v/>
      </c>
      <c r="AH646" s="46">
        <f>IF(X646=0,"",AG646/X646)</f>
        <v/>
      </c>
      <c r="AI646" s="47">
        <f>IF(AG646&lt;=0,"",VLOOKUP(B646,country_opex,7,FALSE)/AG646)</f>
        <v/>
      </c>
      <c r="AJ646" s="44">
        <f>((G646*S646/diesel_nmpg)*diesel_co2pg-(battery/range_nm)*G646*S646*VLOOKUP(B646,country_opex,4,FALSE))/1000</f>
        <v/>
      </c>
      <c r="AK646" s="42" t="n">
        <v>30000</v>
      </c>
      <c r="AL646" s="43" t="inlineStr">
        <is>
          <t>T3</t>
        </is>
      </c>
      <c r="AM646" s="43" t="inlineStr">
        <is>
          <t>low</t>
        </is>
      </c>
      <c r="AN646" s="50" t="n">
        <v>0.1</v>
      </c>
      <c r="AO646" s="45">
        <f>IF(AK646="","",AK646*AN646)</f>
        <v/>
      </c>
      <c r="AP646" s="45">
        <f>IF(OR(AK646="",V646=0),"",MIN(IF(AX646="",9.9E+99,AX646),FLOOR(AO646/V646,1)))</f>
        <v/>
      </c>
      <c r="AQ646" s="49">
        <f>IF(AP646="","",AP646*IF(ABS(MOD(ABS((X646)),1)-0.5)&lt;1E-9,2*ROUND((X646)/2,0),ROUND((X646),0)))</f>
        <v/>
      </c>
      <c r="AR646" s="47">
        <f>IF(OR(AK646="",V646=0),"",MIN(IF(AX646="",9.9E+99,AX646),AO646/V646))</f>
        <v/>
      </c>
      <c r="AS646" s="49">
        <f>IF(AR646="","",AR646*IF(B646="South Korea",IF(ABS(MOD(ABS((X646)),1)-0.5)&lt;1E-9,2*ROUND((X646)/2,0),ROUND((X646),0)),X646))</f>
        <v/>
      </c>
      <c r="AT646" s="51" t="n"/>
      <c r="AU646" s="43" t="inlineStr">
        <is>
          <t>Grounded</t>
        </is>
      </c>
      <c r="AV646" s="52" t="n"/>
      <c r="AW646" s="52" t="n"/>
      <c r="AX646" s="53" t="n"/>
      <c r="AY646" s="54">
        <f>IF(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&lt;=0,"",VLOOKUP(B646,country_opex,7,FALSE)/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)</f>
        <v/>
      </c>
      <c r="AZ646" s="54">
        <f>IF(((W646*pax_cap*IF(B646="South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Korea",korea_mid_revleg,revleg_mid)),0))*VLOOKUP(B646,country_opex,3,FALSE))+Z646+AA646+AB646+AC646+AD646))&lt;=0,"",VLOOKUP(B646,country_opex,7,FALSE)/((W646*pax_cap*IF(B646="South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Korea",korea_mid_revleg,revleg_mid)),0))*VLOOKUP(B646,country_opex,3,FALSE))+Z646+AA646+AB646+AC646+AD646)))</f>
        <v/>
      </c>
      <c r="BA646" s="54">
        <f>IF(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&lt;=0,"",VLOOKUP(B646,country_opex,7,FALSE)/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)</f>
        <v/>
      </c>
      <c r="BB646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C646" s="40" t="inlineStr">
        <is>
          <t>UAE-DEMAND-ANCHORS-2026-06-17.json — tier-based addressable pool derived from sourcing wave anchors (hotel keys × occ × shuttle adoption, marina activity, RTA marine baseline).</t>
        </is>
      </c>
      <c r="BD646" s="43" t="inlineStr">
        <is>
          <t>rn-c2a5e2033f94</t>
        </is>
      </c>
    </row>
    <row r="647">
      <c r="A647" s="38" t="inlineStr">
        <is>
          <t>Gulf Authority Rakta</t>
        </is>
      </c>
      <c r="B647" s="38" t="inlineStr">
        <is>
          <t>United Arab Emirates</t>
        </is>
      </c>
      <c r="C647" s="39" t="inlineStr">
        <is>
          <t>Ras Al Khaimah → Al Hamra Marina &amp; Royal Yacht Club RAK</t>
        </is>
      </c>
      <c r="D647" s="38" t="inlineStr">
        <is>
          <t>rakta</t>
        </is>
      </c>
      <c r="E647" s="40" t="inlineStr">
        <is>
          <t>gulf-authority-bahrain-motc, gulf-authority-rakta</t>
        </is>
      </c>
      <c r="F647" s="41" t="n">
        <v>2</v>
      </c>
      <c r="G647" s="42" t="n">
        <v>13.6</v>
      </c>
      <c r="H647" s="35" t="n">
        <v>35</v>
      </c>
      <c r="I647" s="43" t="inlineStr">
        <is>
          <t>T3</t>
        </is>
      </c>
      <c r="J647" s="43" t="inlineStr">
        <is>
          <t>med-low</t>
        </is>
      </c>
      <c r="K647" s="29" t="n">
        <v>1</v>
      </c>
      <c r="L647" s="44">
        <f>60*G647/cruise_kt</f>
        <v/>
      </c>
      <c r="M647" s="44">
        <f>IF(B647="South Korea",G647/korea_charge_range_nm*korea_full_range_charge_min,0)</f>
        <v/>
      </c>
      <c r="N647" s="44">
        <f>IF(B647="South Korea",L647+korea_turn_min+korea_dwell_min+M647,L647+turn_min+dwell_min)</f>
        <v/>
      </c>
      <c r="O647" s="45">
        <f>IF(B647="South Korea",FLOOR(60*korea_service_hr/N647,1),MIN(15,FLOOR(60*service_hr/N647,1)))</f>
        <v/>
      </c>
      <c r="P647" s="45">
        <f>IF(ABS(MOD(ABS((365*mech_uptime*K647)),1)-0.5)&lt;1E-9,2*ROUND((365*mech_uptime*K647)/2,0),ROUND((365*mech_uptime*K647),0))</f>
        <v/>
      </c>
      <c r="Q647" s="46">
        <f>mech_uptime</f>
        <v/>
      </c>
      <c r="R647" s="46">
        <f>IF(AND(B647="South Korea",scenario="MID"),korea_mid_revleg,revleg_sel)</f>
        <v/>
      </c>
      <c r="S647" s="45">
        <f>IF(ABS(MOD(ABS((O647*P647*R647)),1)-0.5)&lt;1E-9,2*ROUND((O647*P647*R647)/2,0),ROUND((O647*P647*R647),0))</f>
        <v/>
      </c>
      <c r="T647" s="46">
        <f>IF(AND(B647="South Korea",scenario="MID"),korea_mid_load,load_sel)</f>
        <v/>
      </c>
      <c r="U647" s="47">
        <f>pax_cap*T647</f>
        <v/>
      </c>
      <c r="V647" s="45">
        <f>U647*S647</f>
        <v/>
      </c>
      <c r="W647" s="48">
        <f>H647*discount</f>
        <v/>
      </c>
      <c r="X647" s="49">
        <f>W647*V647</f>
        <v/>
      </c>
      <c r="Y647" s="49">
        <f>(battery/range_nm)*G647*S647*VLOOKUP(B647,country_opex,3,FALSE)</f>
        <v/>
      </c>
      <c r="Z647" s="49">
        <f>VLOOKUP(B647,country_opex,2,FALSE)*crew_factor</f>
        <v/>
      </c>
      <c r="AA647" s="49">
        <f>VLOOKUP(B647,country_opex,5,FALSE)</f>
        <v/>
      </c>
      <c r="AB647" s="49">
        <f>maint</f>
        <v/>
      </c>
      <c r="AC647" s="49">
        <f>VLOOKUP(B647,country_opex,7,FALSE)*ins_pct</f>
        <v/>
      </c>
      <c r="AD647" s="49">
        <f>charge_berth</f>
        <v/>
      </c>
      <c r="AE647" s="49">
        <f>Y647+Z647+AA647+AB647+AC647+AD647</f>
        <v/>
      </c>
      <c r="AF647" s="49">
        <f>VLOOKUP(B647,country_opex,7,FALSE)/dep_years</f>
        <v/>
      </c>
      <c r="AG647" s="49">
        <f>X647-AE647</f>
        <v/>
      </c>
      <c r="AH647" s="46">
        <f>IF(X647=0,"",AG647/X647)</f>
        <v/>
      </c>
      <c r="AI647" s="47">
        <f>IF(AG647&lt;=0,"",VLOOKUP(B647,country_opex,7,FALSE)/AG647)</f>
        <v/>
      </c>
      <c r="AJ647" s="44">
        <f>((G647*S647/diesel_nmpg)*diesel_co2pg-(battery/range_nm)*G647*S647*VLOOKUP(B647,country_opex,4,FALSE))/1000</f>
        <v/>
      </c>
      <c r="AK647" s="42" t="n">
        <v>5217</v>
      </c>
      <c r="AL647" s="43" t="inlineStr">
        <is>
          <t>T3</t>
        </is>
      </c>
      <c r="AM647" s="43" t="inlineStr">
        <is>
          <t>med-low</t>
        </is>
      </c>
      <c r="AN647" s="50" t="n">
        <v>0.1</v>
      </c>
      <c r="AO647" s="45">
        <f>IF(AK647="","",AK647*AN647)</f>
        <v/>
      </c>
      <c r="AP647" s="45">
        <f>IF(OR(AK647="",V647=0),"",MIN(IF(AX647="",9.9E+99,AX647),FLOOR(AO647/V647,1)))</f>
        <v/>
      </c>
      <c r="AQ647" s="49">
        <f>IF(AP647="","",AP647*IF(ABS(MOD(ABS((X647)),1)-0.5)&lt;1E-9,2*ROUND((X647)/2,0),ROUND((X647),0)))</f>
        <v/>
      </c>
      <c r="AR647" s="47">
        <f>IF(OR(AK647="",V647=0),"",MIN(IF(AX647="",9.9E+99,AX647),AO647/V647))</f>
        <v/>
      </c>
      <c r="AS647" s="49">
        <f>IF(AR647="","",AR647*IF(B647="South Korea",IF(ABS(MOD(ABS((X647)),1)-0.5)&lt;1E-9,2*ROUND((X647)/2,0),ROUND((X647),0)),X647))</f>
        <v/>
      </c>
      <c r="AT647" s="51" t="n"/>
      <c r="AU647" s="43" t="inlineStr">
        <is>
          <t>Grounded</t>
        </is>
      </c>
      <c r="AV647" s="52" t="n"/>
      <c r="AW647" s="52" t="n"/>
      <c r="AX647" s="53" t="n"/>
      <c r="AY647" s="54">
        <f>IF(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&lt;=0,"",VLOOKUP(B647,country_opex,7,FALSE)/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)</f>
        <v/>
      </c>
      <c r="AZ647" s="54">
        <f>IF(((W647*pax_cap*IF(B647="South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Korea",korea_mid_revleg,revleg_mid)),0))*VLOOKUP(B647,country_opex,3,FALSE))+Z647+AA647+AB647+AC647+AD647))&lt;=0,"",VLOOKUP(B647,country_opex,7,FALSE)/((W647*pax_cap*IF(B647="South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Korea",korea_mid_revleg,revleg_mid)),0))*VLOOKUP(B647,country_opex,3,FALSE))+Z647+AA647+AB647+AC647+AD647)))</f>
        <v/>
      </c>
      <c r="BA647" s="54">
        <f>IF(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&lt;=0,"",VLOOKUP(B647,country_opex,7,FALSE)/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)</f>
        <v/>
      </c>
      <c r="BB647" s="40" t="n"/>
      <c r="BC647" s="40" t="n"/>
      <c r="BD647" s="43" t="inlineStr">
        <is>
          <t>rn-80cfe59d2d79</t>
        </is>
      </c>
    </row>
    <row r="648">
      <c r="A648" s="38" t="inlineStr">
        <is>
          <t>Gulf Authority Rakta</t>
        </is>
      </c>
      <c r="B648" s="38" t="inlineStr">
        <is>
          <t>United Arab Emirates</t>
        </is>
      </c>
      <c r="C648" s="39" t="inlineStr">
        <is>
          <t>Ras Al Khaimah → Al Marjan Island public arrival marina</t>
        </is>
      </c>
      <c r="D648" s="38" t="inlineStr">
        <is>
          <t>rakta</t>
        </is>
      </c>
      <c r="E648" s="40" t="inlineStr">
        <is>
          <t>gulf-authority-bahrain-motc, gulf-authority-rakta</t>
        </is>
      </c>
      <c r="F648" s="41" t="n">
        <v>2</v>
      </c>
      <c r="G648" s="42" t="n">
        <v>16</v>
      </c>
      <c r="H648" s="35" t="n">
        <v>35</v>
      </c>
      <c r="I648" s="43" t="inlineStr">
        <is>
          <t>T3</t>
        </is>
      </c>
      <c r="J648" s="43" t="inlineStr">
        <is>
          <t>med-low</t>
        </is>
      </c>
      <c r="K648" s="29" t="n">
        <v>1</v>
      </c>
      <c r="L648" s="44">
        <f>60*G648/cruise_kt</f>
        <v/>
      </c>
      <c r="M648" s="44">
        <f>IF(B648="South Korea",G648/korea_charge_range_nm*korea_full_range_charge_min,0)</f>
        <v/>
      </c>
      <c r="N648" s="44">
        <f>IF(B648="South Korea",L648+korea_turn_min+korea_dwell_min+M648,L648+turn_min+dwell_min)</f>
        <v/>
      </c>
      <c r="O648" s="45">
        <f>IF(B648="South Korea",FLOOR(60*korea_service_hr/N648,1),MIN(15,FLOOR(60*service_hr/N648,1)))</f>
        <v/>
      </c>
      <c r="P648" s="45">
        <f>IF(ABS(MOD(ABS((365*mech_uptime*K648)),1)-0.5)&lt;1E-9,2*ROUND((365*mech_uptime*K648)/2,0),ROUND((365*mech_uptime*K648),0))</f>
        <v/>
      </c>
      <c r="Q648" s="46">
        <f>mech_uptime</f>
        <v/>
      </c>
      <c r="R648" s="46">
        <f>IF(AND(B648="South Korea",scenario="MID"),korea_mid_revleg,revleg_sel)</f>
        <v/>
      </c>
      <c r="S648" s="45">
        <f>IF(ABS(MOD(ABS((O648*P648*R648)),1)-0.5)&lt;1E-9,2*ROUND((O648*P648*R648)/2,0),ROUND((O648*P648*R648),0))</f>
        <v/>
      </c>
      <c r="T648" s="46">
        <f>IF(AND(B648="South Korea",scenario="MID"),korea_mid_load,load_sel)</f>
        <v/>
      </c>
      <c r="U648" s="47">
        <f>pax_cap*T648</f>
        <v/>
      </c>
      <c r="V648" s="45">
        <f>U648*S648</f>
        <v/>
      </c>
      <c r="W648" s="48">
        <f>H648*discount</f>
        <v/>
      </c>
      <c r="X648" s="49">
        <f>W648*V648</f>
        <v/>
      </c>
      <c r="Y648" s="49">
        <f>(battery/range_nm)*G648*S648*VLOOKUP(B648,country_opex,3,FALSE)</f>
        <v/>
      </c>
      <c r="Z648" s="49">
        <f>VLOOKUP(B648,country_opex,2,FALSE)*crew_factor</f>
        <v/>
      </c>
      <c r="AA648" s="49">
        <f>VLOOKUP(B648,country_opex,5,FALSE)</f>
        <v/>
      </c>
      <c r="AB648" s="49">
        <f>maint</f>
        <v/>
      </c>
      <c r="AC648" s="49">
        <f>VLOOKUP(B648,country_opex,7,FALSE)*ins_pct</f>
        <v/>
      </c>
      <c r="AD648" s="49">
        <f>charge_berth</f>
        <v/>
      </c>
      <c r="AE648" s="49">
        <f>Y648+Z648+AA648+AB648+AC648+AD648</f>
        <v/>
      </c>
      <c r="AF648" s="49">
        <f>VLOOKUP(B648,country_opex,7,FALSE)/dep_years</f>
        <v/>
      </c>
      <c r="AG648" s="49">
        <f>X648-AE648</f>
        <v/>
      </c>
      <c r="AH648" s="46">
        <f>IF(X648=0,"",AG648/X648)</f>
        <v/>
      </c>
      <c r="AI648" s="47">
        <f>IF(AG648&lt;=0,"",VLOOKUP(B648,country_opex,7,FALSE)/AG648)</f>
        <v/>
      </c>
      <c r="AJ648" s="44">
        <f>((G648*S648/diesel_nmpg)*diesel_co2pg-(battery/range_nm)*G648*S648*VLOOKUP(B648,country_opex,4,FALSE))/1000</f>
        <v/>
      </c>
      <c r="AK648" s="42" t="n">
        <v>5217</v>
      </c>
      <c r="AL648" s="43" t="inlineStr">
        <is>
          <t>T3</t>
        </is>
      </c>
      <c r="AM648" s="43" t="inlineStr">
        <is>
          <t>med-low</t>
        </is>
      </c>
      <c r="AN648" s="50" t="n">
        <v>0.1</v>
      </c>
      <c r="AO648" s="45">
        <f>IF(AK648="","",AK648*AN648)</f>
        <v/>
      </c>
      <c r="AP648" s="45">
        <f>IF(OR(AK648="",V648=0),"",MIN(IF(AX648="",9.9E+99,AX648),FLOOR(AO648/V648,1)))</f>
        <v/>
      </c>
      <c r="AQ648" s="49">
        <f>IF(AP648="","",AP648*IF(ABS(MOD(ABS((X648)),1)-0.5)&lt;1E-9,2*ROUND((X648)/2,0),ROUND((X648),0)))</f>
        <v/>
      </c>
      <c r="AR648" s="47">
        <f>IF(OR(AK648="",V648=0),"",MIN(IF(AX648="",9.9E+99,AX648),AO648/V648))</f>
        <v/>
      </c>
      <c r="AS648" s="49">
        <f>IF(AR648="","",AR648*IF(B648="South Korea",IF(ABS(MOD(ABS((X648)),1)-0.5)&lt;1E-9,2*ROUND((X648)/2,0),ROUND((X648),0)),X648))</f>
        <v/>
      </c>
      <c r="AT648" s="51" t="n"/>
      <c r="AU648" s="43" t="inlineStr">
        <is>
          <t>Grounded</t>
        </is>
      </c>
      <c r="AV648" s="52" t="n"/>
      <c r="AW648" s="52" t="n"/>
      <c r="AX648" s="53" t="n"/>
      <c r="AY648" s="54">
        <f>IF(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&lt;=0,"",VLOOKUP(B648,country_opex,7,FALSE)/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)</f>
        <v/>
      </c>
      <c r="AZ648" s="54">
        <f>IF(((W648*pax_cap*IF(B648="South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Korea",korea_mid_revleg,revleg_mid)),0))*VLOOKUP(B648,country_opex,3,FALSE))+Z648+AA648+AB648+AC648+AD648))&lt;=0,"",VLOOKUP(B648,country_opex,7,FALSE)/((W648*pax_cap*IF(B648="South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Korea",korea_mid_revleg,revleg_mid)),0))*VLOOKUP(B648,country_opex,3,FALSE))+Z648+AA648+AB648+AC648+AD648)))</f>
        <v/>
      </c>
      <c r="BA648" s="54">
        <f>IF(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&lt;=0,"",VLOOKUP(B648,country_opex,7,FALSE)/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)</f>
        <v/>
      </c>
      <c r="BB648" s="40" t="n"/>
      <c r="BC648" s="40" t="n"/>
      <c r="BD648" s="43" t="inlineStr">
        <is>
          <t>rn-482b047f5a66</t>
        </is>
      </c>
    </row>
    <row r="649">
      <c r="A649" s="38" t="inlineStr">
        <is>
          <t>UAE (Careem)</t>
        </is>
      </c>
      <c r="B649" s="38" t="inlineStr">
        <is>
          <t>United Arab Emirates</t>
        </is>
      </c>
      <c r="C649" s="39" t="inlineStr">
        <is>
          <t>Dibba Marina (Fujairah) → Khorfakkan Corniche / Port (Sharjah enclave)</t>
        </is>
      </c>
      <c r="D649" s="38" t="inlineStr">
        <is>
          <t>careem</t>
        </is>
      </c>
      <c r="E649" s="40" t="inlineStr">
        <is>
          <t>bolt-uae, uae-careem, uae-luxury, uae-noon, uae-voi, yango-uae</t>
        </is>
      </c>
      <c r="F649" s="41" t="n">
        <v>6</v>
      </c>
      <c r="G649" s="42" t="n">
        <v>20.4</v>
      </c>
      <c r="H649" s="35" t="n">
        <v>65</v>
      </c>
      <c r="I649" s="43" t="inlineStr">
        <is>
          <t>T3</t>
        </is>
      </c>
      <c r="J649" s="43" t="inlineStr">
        <is>
          <t>med</t>
        </is>
      </c>
      <c r="K649" s="29" t="n">
        <v>1</v>
      </c>
      <c r="L649" s="44">
        <f>60*G649/cruise_kt</f>
        <v/>
      </c>
      <c r="M649" s="44">
        <f>IF(B649="South Korea",G649/korea_charge_range_nm*korea_full_range_charge_min,0)</f>
        <v/>
      </c>
      <c r="N649" s="44">
        <f>IF(B649="South Korea",L649+korea_turn_min+korea_dwell_min+M649,L649+turn_min+dwell_min)</f>
        <v/>
      </c>
      <c r="O649" s="45">
        <f>IF(B649="South Korea",FLOOR(60*korea_service_hr/N649,1),MIN(15,FLOOR(60*service_hr/N649,1)))</f>
        <v/>
      </c>
      <c r="P649" s="45">
        <f>IF(ABS(MOD(ABS((365*mech_uptime*K649)),1)-0.5)&lt;1E-9,2*ROUND((365*mech_uptime*K649)/2,0),ROUND((365*mech_uptime*K649),0))</f>
        <v/>
      </c>
      <c r="Q649" s="46">
        <f>mech_uptime</f>
        <v/>
      </c>
      <c r="R649" s="46">
        <f>IF(AND(B649="South Korea",scenario="MID"),korea_mid_revleg,revleg_sel)</f>
        <v/>
      </c>
      <c r="S649" s="45">
        <f>IF(ABS(MOD(ABS((O649*P649*R649)),1)-0.5)&lt;1E-9,2*ROUND((O649*P649*R649)/2,0),ROUND((O649*P649*R649),0))</f>
        <v/>
      </c>
      <c r="T649" s="46">
        <f>IF(AND(B649="South Korea",scenario="MID"),korea_mid_load,load_sel)</f>
        <v/>
      </c>
      <c r="U649" s="47">
        <f>pax_cap*T649</f>
        <v/>
      </c>
      <c r="V649" s="45">
        <f>U649*S649</f>
        <v/>
      </c>
      <c r="W649" s="48">
        <f>H649*discount</f>
        <v/>
      </c>
      <c r="X649" s="49">
        <f>W649*V649</f>
        <v/>
      </c>
      <c r="Y649" s="49">
        <f>(battery/range_nm)*G649*S649*VLOOKUP(B649,country_opex,3,FALSE)</f>
        <v/>
      </c>
      <c r="Z649" s="49">
        <f>VLOOKUP(B649,country_opex,2,FALSE)*crew_factor</f>
        <v/>
      </c>
      <c r="AA649" s="49">
        <f>VLOOKUP(B649,country_opex,5,FALSE)</f>
        <v/>
      </c>
      <c r="AB649" s="49">
        <f>maint</f>
        <v/>
      </c>
      <c r="AC649" s="49">
        <f>VLOOKUP(B649,country_opex,7,FALSE)*ins_pct</f>
        <v/>
      </c>
      <c r="AD649" s="49">
        <f>charge_berth</f>
        <v/>
      </c>
      <c r="AE649" s="49">
        <f>Y649+Z649+AA649+AB649+AC649+AD649</f>
        <v/>
      </c>
      <c r="AF649" s="49">
        <f>VLOOKUP(B649,country_opex,7,FALSE)/dep_years</f>
        <v/>
      </c>
      <c r="AG649" s="49">
        <f>X649-AE649</f>
        <v/>
      </c>
      <c r="AH649" s="46">
        <f>IF(X649=0,"",AG649/X649)</f>
        <v/>
      </c>
      <c r="AI649" s="47">
        <f>IF(AG649&lt;=0,"",VLOOKUP(B649,country_opex,7,FALSE)/AG649)</f>
        <v/>
      </c>
      <c r="AJ649" s="44">
        <f>((G649*S649/diesel_nmpg)*diesel_co2pg-(battery/range_nm)*G649*S649*VLOOKUP(B649,country_opex,4,FALSE))/1000</f>
        <v/>
      </c>
      <c r="AK649" s="42" t="n">
        <v>60000</v>
      </c>
      <c r="AL649" s="43" t="inlineStr">
        <is>
          <t>T4</t>
        </is>
      </c>
      <c r="AM649" s="43" t="inlineStr">
        <is>
          <t>low</t>
        </is>
      </c>
      <c r="AN649" s="50" t="n">
        <v>0.1</v>
      </c>
      <c r="AO649" s="45">
        <f>IF(AK649="","",AK649*AN649)</f>
        <v/>
      </c>
      <c r="AP649" s="45">
        <f>IF(OR(AK649="",V649=0),"",MIN(IF(AX649="",9.9E+99,AX649),FLOOR(AO649/V649,1)))</f>
        <v/>
      </c>
      <c r="AQ649" s="49">
        <f>IF(AP649="","",AP649*IF(ABS(MOD(ABS((X649)),1)-0.5)&lt;1E-9,2*ROUND((X649)/2,0),ROUND((X649),0)))</f>
        <v/>
      </c>
      <c r="AR649" s="47">
        <f>IF(OR(AK649="",V649=0),"",MIN(IF(AX649="",9.9E+99,AX649),AO649/V649))</f>
        <v/>
      </c>
      <c r="AS649" s="49">
        <f>IF(AR649="","",AR649*IF(B649="South Korea",IF(ABS(MOD(ABS((X649)),1)-0.5)&lt;1E-9,2*ROUND((X649)/2,0),ROUND((X649),0)),X649))</f>
        <v/>
      </c>
      <c r="AT649" s="51" t="n"/>
      <c r="AU649" s="43" t="inlineStr">
        <is>
          <t>Grounded</t>
        </is>
      </c>
      <c r="AV649" s="52" t="n"/>
      <c r="AW649" s="52" t="n"/>
      <c r="AX649" s="53" t="n"/>
      <c r="AY649" s="54">
        <f>IF(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&lt;=0,"",VLOOKUP(B649,country_opex,7,FALSE)/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)</f>
        <v/>
      </c>
      <c r="AZ649" s="54">
        <f>IF(((W649*pax_cap*IF(B649="South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Korea",korea_mid_revleg,revleg_mid)),0))*VLOOKUP(B649,country_opex,3,FALSE))+Z649+AA649+AB649+AC649+AD649))&lt;=0,"",VLOOKUP(B649,country_opex,7,FALSE)/((W649*pax_cap*IF(B649="South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Korea",korea_mid_revleg,revleg_mid)),0))*VLOOKUP(B649,country_opex,3,FALSE))+Z649+AA649+AB649+AC649+AD649)))</f>
        <v/>
      </c>
      <c r="BA649" s="54">
        <f>IF(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&lt;=0,"",VLOOKUP(B649,country_opex,7,FALSE)/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)</f>
        <v/>
      </c>
      <c r="BB649" s="40" t="inlineStr">
        <is>
          <t>Fujairah east-coast day-trip boats: Dibba/Khor Fakkan dhow &amp; speedboat tours AED 140-210/pax (Instagram/Tripadvisor/Viator 2025); Musandam dhow cruises similar.</t>
        </is>
      </c>
      <c r="BC649" s="40" t="inlineStr">
        <is>
          <t>Fujairah arrivals crossed 340,000 (+22% YoY), 209 hotels, 70-100% occ (UAE Ministry/Fujairah Tourism); east-coast diving/Musandam day-trips genuinely water-based.</t>
        </is>
      </c>
      <c r="BD649" s="43" t="inlineStr">
        <is>
          <t>rn-0d9b2acf81b1</t>
        </is>
      </c>
    </row>
    <row r="650">
      <c r="A650" s="38" t="inlineStr">
        <is>
          <t>UAE (Careem)</t>
        </is>
      </c>
      <c r="B650" s="38" t="inlineStr">
        <is>
          <t>United Arab Emirates</t>
        </is>
      </c>
      <c r="C650" s="39" t="inlineStr">
        <is>
          <t>Dubai Harbour Marina → Al Khan Lagoon mouth</t>
        </is>
      </c>
      <c r="D650" s="38" t="inlineStr">
        <is>
          <t>noon</t>
        </is>
      </c>
      <c r="E650" s="40" t="inlineStr">
        <is>
          <t>bolt-uae, uae-careem, uae-luxury, uae-noon, uae-voi, yango-uae</t>
        </is>
      </c>
      <c r="F650" s="41" t="n">
        <v>12</v>
      </c>
      <c r="G650" s="42" t="n">
        <v>25.1</v>
      </c>
      <c r="H650" s="35" t="n">
        <v>85</v>
      </c>
      <c r="I650" s="43" t="inlineStr">
        <is>
          <t>T5</t>
        </is>
      </c>
      <c r="J650" s="43" t="inlineStr">
        <is>
          <t>low</t>
        </is>
      </c>
      <c r="K650" s="29" t="n">
        <v>1</v>
      </c>
      <c r="L650" s="44">
        <f>60*G650/cruise_kt</f>
        <v/>
      </c>
      <c r="M650" s="44">
        <f>IF(B650="South Korea",G650/korea_charge_range_nm*korea_full_range_charge_min,0)</f>
        <v/>
      </c>
      <c r="N650" s="44">
        <f>IF(B650="South Korea",L650+korea_turn_min+korea_dwell_min+M650,L650+turn_min+dwell_min)</f>
        <v/>
      </c>
      <c r="O650" s="45">
        <f>IF(B650="South Korea",FLOOR(60*korea_service_hr/N650,1),MIN(15,FLOOR(60*service_hr/N650,1)))</f>
        <v/>
      </c>
      <c r="P650" s="45">
        <f>IF(ABS(MOD(ABS((365*mech_uptime*K650)),1)-0.5)&lt;1E-9,2*ROUND((365*mech_uptime*K650)/2,0),ROUND((365*mech_uptime*K650),0))</f>
        <v/>
      </c>
      <c r="Q650" s="46">
        <f>mech_uptime</f>
        <v/>
      </c>
      <c r="R650" s="46">
        <f>IF(AND(B650="South Korea",scenario="MID"),korea_mid_revleg,revleg_sel)</f>
        <v/>
      </c>
      <c r="S650" s="45">
        <f>IF(ABS(MOD(ABS((O650*P650*R650)),1)-0.5)&lt;1E-9,2*ROUND((O650*P650*R650)/2,0),ROUND((O650*P650*R650),0))</f>
        <v/>
      </c>
      <c r="T650" s="46">
        <f>IF(AND(B650="South Korea",scenario="MID"),korea_mid_load,load_sel)</f>
        <v/>
      </c>
      <c r="U650" s="47">
        <f>pax_cap*T650</f>
        <v/>
      </c>
      <c r="V650" s="45">
        <f>U650*S650</f>
        <v/>
      </c>
      <c r="W650" s="48">
        <f>H650*discount</f>
        <v/>
      </c>
      <c r="X650" s="49">
        <f>W650*V650</f>
        <v/>
      </c>
      <c r="Y650" s="49">
        <f>(battery/range_nm)*G650*S650*VLOOKUP(B650,country_opex,3,FALSE)</f>
        <v/>
      </c>
      <c r="Z650" s="49">
        <f>VLOOKUP(B650,country_opex,2,FALSE)*crew_factor</f>
        <v/>
      </c>
      <c r="AA650" s="49">
        <f>VLOOKUP(B650,country_opex,5,FALSE)</f>
        <v/>
      </c>
      <c r="AB650" s="49">
        <f>maint</f>
        <v/>
      </c>
      <c r="AC650" s="49">
        <f>VLOOKUP(B650,country_opex,7,FALSE)*ins_pct</f>
        <v/>
      </c>
      <c r="AD650" s="49">
        <f>charge_berth</f>
        <v/>
      </c>
      <c r="AE650" s="49">
        <f>Y650+Z650+AA650+AB650+AC650+AD650</f>
        <v/>
      </c>
      <c r="AF650" s="49">
        <f>VLOOKUP(B650,country_opex,7,FALSE)/dep_years</f>
        <v/>
      </c>
      <c r="AG650" s="49">
        <f>X650-AE650</f>
        <v/>
      </c>
      <c r="AH650" s="46">
        <f>IF(X650=0,"",AG650/X650)</f>
        <v/>
      </c>
      <c r="AI650" s="47">
        <f>IF(AG650&lt;=0,"",VLOOKUP(B650,country_opex,7,FALSE)/AG650)</f>
        <v/>
      </c>
      <c r="AJ650" s="44">
        <f>((G650*S650/diesel_nmpg)*diesel_co2pg-(battery/range_nm)*G650*S650*VLOOKUP(B650,country_opex,4,FALSE))/1000</f>
        <v/>
      </c>
      <c r="AK650" s="42" t="n">
        <v>40000</v>
      </c>
      <c r="AL650" s="43" t="inlineStr">
        <is>
          <t>T2</t>
        </is>
      </c>
      <c r="AM650" s="43" t="inlineStr">
        <is>
          <t>low</t>
        </is>
      </c>
      <c r="AN650" s="50" t="n">
        <v>0.1</v>
      </c>
      <c r="AO650" s="45">
        <f>IF(AK650="","",AK650*AN650)</f>
        <v/>
      </c>
      <c r="AP650" s="45">
        <f>IF(OR(AK650="",V650=0),"",MIN(IF(AX650="",9.9E+99,AX650),FLOOR(AO650/V650,1)))</f>
        <v/>
      </c>
      <c r="AQ650" s="49">
        <f>IF(AP650="","",AP650*IF(ABS(MOD(ABS((X650)),1)-0.5)&lt;1E-9,2*ROUND((X650)/2,0),ROUND((X650),0)))</f>
        <v/>
      </c>
      <c r="AR650" s="47">
        <f>IF(OR(AK650="",V650=0),"",MIN(IF(AX650="",9.9E+99,AX650),AO650/V650))</f>
        <v/>
      </c>
      <c r="AS650" s="49">
        <f>IF(AR650="","",AR650*IF(B650="South Korea",IF(ABS(MOD(ABS((X650)),1)-0.5)&lt;1E-9,2*ROUND((X650)/2,0),ROUND((X650),0)),X650))</f>
        <v/>
      </c>
      <c r="AT650" s="51" t="n"/>
      <c r="AU650" s="43" t="inlineStr">
        <is>
          <t>Grounded</t>
        </is>
      </c>
      <c r="AV650" s="52" t="n"/>
      <c r="AW650" s="52" t="n"/>
      <c r="AX650" s="53" t="n"/>
      <c r="AY650" s="54">
        <f>IF(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&lt;=0,"",VLOOKUP(B650,country_opex,7,FALSE)/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)</f>
        <v/>
      </c>
      <c r="AZ650" s="54">
        <f>IF(((W650*pax_cap*IF(B650="South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Korea",korea_mid_revleg,revleg_mid)),0))*VLOOKUP(B650,country_opex,3,FALSE))+Z650+AA650+AB650+AC650+AD650))&lt;=0,"",VLOOKUP(B650,country_opex,7,FALSE)/((W650*pax_cap*IF(B650="South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Korea",korea_mid_revleg,revleg_mid)),0))*VLOOKUP(B650,country_opex,3,FALSE))+Z650+AA650+AB650+AC650+AD650)))</f>
        <v/>
      </c>
      <c r="BA650" s="54">
        <f>IF(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&lt;=0,"",VLOOKUP(B650,country_opex,7,FALSE)/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)</f>
        <v/>
      </c>
      <c r="BB650" s="40" t="inlineStr">
        <is>
          <t>Dubai-Sharjah Ferry Gold AED 25 subsidized-commuter (R5-EXT). Premium per-seat $85 modeled (between subsidized ferry and charter). T5/low.</t>
        </is>
      </c>
      <c r="BC65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50" s="43" t="inlineStr">
        <is>
          <t>rn-01b4a3efaf0f</t>
        </is>
      </c>
    </row>
    <row r="651">
      <c r="A651" s="38" t="inlineStr">
        <is>
          <t>Gulf Authority Rakta</t>
        </is>
      </c>
      <c r="B651" s="38" t="inlineStr">
        <is>
          <t>United Arab Emirates</t>
        </is>
      </c>
      <c r="C651" s="39" t="inlineStr">
        <is>
          <t>Ras Al Khaimah → UAQ Marine Club</t>
        </is>
      </c>
      <c r="D651" s="38" t="inlineStr">
        <is>
          <t>rakta</t>
        </is>
      </c>
      <c r="E651" s="40" t="inlineStr">
        <is>
          <t>gulf-authority-bahrain-motc, gulf-authority-rakta</t>
        </is>
      </c>
      <c r="F651" s="41" t="n">
        <v>2</v>
      </c>
      <c r="G651" s="42" t="n">
        <v>26.6</v>
      </c>
      <c r="H651" s="35" t="n">
        <v>35</v>
      </c>
      <c r="I651" s="43" t="inlineStr">
        <is>
          <t>T3</t>
        </is>
      </c>
      <c r="J651" s="43" t="inlineStr">
        <is>
          <t>med-low</t>
        </is>
      </c>
      <c r="K651" s="29" t="n">
        <v>1</v>
      </c>
      <c r="L651" s="44">
        <f>60*G651/cruise_kt</f>
        <v/>
      </c>
      <c r="M651" s="44">
        <f>IF(B651="South Korea",G651/korea_charge_range_nm*korea_full_range_charge_min,0)</f>
        <v/>
      </c>
      <c r="N651" s="44">
        <f>IF(B651="South Korea",L651+korea_turn_min+korea_dwell_min+M651,L651+turn_min+dwell_min)</f>
        <v/>
      </c>
      <c r="O651" s="45">
        <f>IF(B651="South Korea",FLOOR(60*korea_service_hr/N651,1),MIN(15,FLOOR(60*service_hr/N651,1)))</f>
        <v/>
      </c>
      <c r="P651" s="45">
        <f>IF(ABS(MOD(ABS((365*mech_uptime*K651)),1)-0.5)&lt;1E-9,2*ROUND((365*mech_uptime*K651)/2,0),ROUND((365*mech_uptime*K651),0))</f>
        <v/>
      </c>
      <c r="Q651" s="46">
        <f>mech_uptime</f>
        <v/>
      </c>
      <c r="R651" s="46">
        <f>IF(AND(B651="South Korea",scenario="MID"),korea_mid_revleg,revleg_sel)</f>
        <v/>
      </c>
      <c r="S651" s="45">
        <f>IF(ABS(MOD(ABS((O651*P651*R651)),1)-0.5)&lt;1E-9,2*ROUND((O651*P651*R651)/2,0),ROUND((O651*P651*R651),0))</f>
        <v/>
      </c>
      <c r="T651" s="46">
        <f>IF(AND(B651="South Korea",scenario="MID"),korea_mid_load,load_sel)</f>
        <v/>
      </c>
      <c r="U651" s="47">
        <f>pax_cap*T651</f>
        <v/>
      </c>
      <c r="V651" s="45">
        <f>U651*S651</f>
        <v/>
      </c>
      <c r="W651" s="48">
        <f>H651*discount</f>
        <v/>
      </c>
      <c r="X651" s="49">
        <f>W651*V651</f>
        <v/>
      </c>
      <c r="Y651" s="49">
        <f>(battery/range_nm)*G651*S651*VLOOKUP(B651,country_opex,3,FALSE)</f>
        <v/>
      </c>
      <c r="Z651" s="49">
        <f>VLOOKUP(B651,country_opex,2,FALSE)*crew_factor</f>
        <v/>
      </c>
      <c r="AA651" s="49">
        <f>VLOOKUP(B651,country_opex,5,FALSE)</f>
        <v/>
      </c>
      <c r="AB651" s="49">
        <f>maint</f>
        <v/>
      </c>
      <c r="AC651" s="49">
        <f>VLOOKUP(B651,country_opex,7,FALSE)*ins_pct</f>
        <v/>
      </c>
      <c r="AD651" s="49">
        <f>charge_berth</f>
        <v/>
      </c>
      <c r="AE651" s="49">
        <f>Y651+Z651+AA651+AB651+AC651+AD651</f>
        <v/>
      </c>
      <c r="AF651" s="49">
        <f>VLOOKUP(B651,country_opex,7,FALSE)/dep_years</f>
        <v/>
      </c>
      <c r="AG651" s="49">
        <f>X651-AE651</f>
        <v/>
      </c>
      <c r="AH651" s="46">
        <f>IF(X651=0,"",AG651/X651)</f>
        <v/>
      </c>
      <c r="AI651" s="47">
        <f>IF(AG651&lt;=0,"",VLOOKUP(B651,country_opex,7,FALSE)/AG651)</f>
        <v/>
      </c>
      <c r="AJ651" s="44">
        <f>((G651*S651/diesel_nmpg)*diesel_co2pg-(battery/range_nm)*G651*S651*VLOOKUP(B651,country_opex,4,FALSE))/1000</f>
        <v/>
      </c>
      <c r="AK651" s="42" t="n">
        <v>5217</v>
      </c>
      <c r="AL651" s="43" t="inlineStr">
        <is>
          <t>T3</t>
        </is>
      </c>
      <c r="AM651" s="43" t="inlineStr">
        <is>
          <t>med-low</t>
        </is>
      </c>
      <c r="AN651" s="50" t="n">
        <v>0.1</v>
      </c>
      <c r="AO651" s="45">
        <f>IF(AK651="","",AK651*AN651)</f>
        <v/>
      </c>
      <c r="AP651" s="45">
        <f>IF(OR(AK651="",V651=0),"",MIN(IF(AX651="",9.9E+99,AX651),FLOOR(AO651/V651,1)))</f>
        <v/>
      </c>
      <c r="AQ651" s="49">
        <f>IF(AP651="","",AP651*IF(ABS(MOD(ABS((X651)),1)-0.5)&lt;1E-9,2*ROUND((X651)/2,0),ROUND((X651),0)))</f>
        <v/>
      </c>
      <c r="AR651" s="47">
        <f>IF(OR(AK651="",V651=0),"",MIN(IF(AX651="",9.9E+99,AX651),AO651/V651))</f>
        <v/>
      </c>
      <c r="AS651" s="49">
        <f>IF(AR651="","",AR651*IF(B651="South Korea",IF(ABS(MOD(ABS((X651)),1)-0.5)&lt;1E-9,2*ROUND((X651)/2,0),ROUND((X651),0)),X651))</f>
        <v/>
      </c>
      <c r="AT651" s="51" t="n"/>
      <c r="AU651" s="43" t="inlineStr">
        <is>
          <t>Grounded</t>
        </is>
      </c>
      <c r="AV651" s="52" t="n"/>
      <c r="AW651" s="52" t="n"/>
      <c r="AX651" s="53" t="n"/>
      <c r="AY651" s="54">
        <f>IF(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&lt;=0,"",VLOOKUP(B651,country_opex,7,FALSE)/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)</f>
        <v/>
      </c>
      <c r="AZ651" s="54">
        <f>IF(((W651*pax_cap*IF(B651="South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Korea",korea_mid_revleg,revleg_mid)),0))*VLOOKUP(B651,country_opex,3,FALSE))+Z651+AA651+AB651+AC651+AD651))&lt;=0,"",VLOOKUP(B651,country_opex,7,FALSE)/((W651*pax_cap*IF(B651="South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Korea",korea_mid_revleg,revleg_mid)),0))*VLOOKUP(B651,country_opex,3,FALSE))+Z651+AA651+AB651+AC651+AD651)))</f>
        <v/>
      </c>
      <c r="BA651" s="54">
        <f>IF(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&lt;=0,"",VLOOKUP(B651,country_opex,7,FALSE)/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)</f>
        <v/>
      </c>
      <c r="BB651" s="40" t="n"/>
      <c r="BC651" s="40" t="n"/>
      <c r="BD651" s="43" t="inlineStr">
        <is>
          <t>rn-7ef1b64eebe0</t>
        </is>
      </c>
    </row>
    <row r="652">
      <c r="A652" s="38" t="inlineStr">
        <is>
          <t>Gulf Authority Rakta</t>
        </is>
      </c>
      <c r="B652" s="38" t="inlineStr">
        <is>
          <t>United Arab Emirates</t>
        </is>
      </c>
      <c r="C652" s="39" t="inlineStr">
        <is>
          <t>Ras Al Khaimah → Ajman Marina</t>
        </is>
      </c>
      <c r="D652" s="38" t="inlineStr">
        <is>
          <t>rakta</t>
        </is>
      </c>
      <c r="E652" s="40" t="inlineStr">
        <is>
          <t>gulf-authority-bahrain-motc, gulf-authority-rakta</t>
        </is>
      </c>
      <c r="F652" s="41" t="n">
        <v>2</v>
      </c>
      <c r="G652" s="42" t="n">
        <v>39</v>
      </c>
      <c r="H652" s="35" t="n">
        <v>35</v>
      </c>
      <c r="I652" s="43" t="inlineStr">
        <is>
          <t>T3</t>
        </is>
      </c>
      <c r="J652" s="43" t="inlineStr">
        <is>
          <t>med-low</t>
        </is>
      </c>
      <c r="K652" s="29" t="n">
        <v>1</v>
      </c>
      <c r="L652" s="44">
        <f>60*G652/cruise_kt</f>
        <v/>
      </c>
      <c r="M652" s="44">
        <f>IF(B652="South Korea",G652/korea_charge_range_nm*korea_full_range_charge_min,0)</f>
        <v/>
      </c>
      <c r="N652" s="44">
        <f>IF(B652="South Korea",L652+korea_turn_min+korea_dwell_min+M652,L652+turn_min+dwell_min)</f>
        <v/>
      </c>
      <c r="O652" s="45">
        <f>IF(B652="South Korea",FLOOR(60*korea_service_hr/N652,1),MIN(15,FLOOR(60*service_hr/N652,1)))</f>
        <v/>
      </c>
      <c r="P652" s="45">
        <f>IF(ABS(MOD(ABS((365*mech_uptime*K652)),1)-0.5)&lt;1E-9,2*ROUND((365*mech_uptime*K652)/2,0),ROUND((365*mech_uptime*K652),0))</f>
        <v/>
      </c>
      <c r="Q652" s="46">
        <f>mech_uptime</f>
        <v/>
      </c>
      <c r="R652" s="46">
        <f>IF(AND(B652="South Korea",scenario="MID"),korea_mid_revleg,revleg_sel)</f>
        <v/>
      </c>
      <c r="S652" s="45">
        <f>IF(ABS(MOD(ABS((O652*P652*R652)),1)-0.5)&lt;1E-9,2*ROUND((O652*P652*R652)/2,0),ROUND((O652*P652*R652),0))</f>
        <v/>
      </c>
      <c r="T652" s="46">
        <f>IF(AND(B652="South Korea",scenario="MID"),korea_mid_load,load_sel)</f>
        <v/>
      </c>
      <c r="U652" s="47">
        <f>pax_cap*T652</f>
        <v/>
      </c>
      <c r="V652" s="45">
        <f>U652*S652</f>
        <v/>
      </c>
      <c r="W652" s="48">
        <f>H652*discount</f>
        <v/>
      </c>
      <c r="X652" s="49">
        <f>W652*V652</f>
        <v/>
      </c>
      <c r="Y652" s="49">
        <f>(battery/range_nm)*G652*S652*VLOOKUP(B652,country_opex,3,FALSE)</f>
        <v/>
      </c>
      <c r="Z652" s="49">
        <f>VLOOKUP(B652,country_opex,2,FALSE)*crew_factor</f>
        <v/>
      </c>
      <c r="AA652" s="49">
        <f>VLOOKUP(B652,country_opex,5,FALSE)</f>
        <v/>
      </c>
      <c r="AB652" s="49">
        <f>maint</f>
        <v/>
      </c>
      <c r="AC652" s="49">
        <f>VLOOKUP(B652,country_opex,7,FALSE)*ins_pct</f>
        <v/>
      </c>
      <c r="AD652" s="49">
        <f>charge_berth</f>
        <v/>
      </c>
      <c r="AE652" s="49">
        <f>Y652+Z652+AA652+AB652+AC652+AD652</f>
        <v/>
      </c>
      <c r="AF652" s="49">
        <f>VLOOKUP(B652,country_opex,7,FALSE)/dep_years</f>
        <v/>
      </c>
      <c r="AG652" s="49">
        <f>X652-AE652</f>
        <v/>
      </c>
      <c r="AH652" s="46">
        <f>IF(X652=0,"",AG652/X652)</f>
        <v/>
      </c>
      <c r="AI652" s="47">
        <f>IF(AG652&lt;=0,"",VLOOKUP(B652,country_opex,7,FALSE)/AG652)</f>
        <v/>
      </c>
      <c r="AJ652" s="44">
        <f>((G652*S652/diesel_nmpg)*diesel_co2pg-(battery/range_nm)*G652*S652*VLOOKUP(B652,country_opex,4,FALSE))/1000</f>
        <v/>
      </c>
      <c r="AK652" s="42" t="n">
        <v>5217</v>
      </c>
      <c r="AL652" s="43" t="inlineStr">
        <is>
          <t>T3</t>
        </is>
      </c>
      <c r="AM652" s="43" t="inlineStr">
        <is>
          <t>med-low</t>
        </is>
      </c>
      <c r="AN652" s="50" t="n">
        <v>0.1</v>
      </c>
      <c r="AO652" s="45">
        <f>IF(AK652="","",AK652*AN652)</f>
        <v/>
      </c>
      <c r="AP652" s="45">
        <f>IF(OR(AK652="",V652=0),"",MIN(IF(AX652="",9.9E+99,AX652),FLOOR(AO652/V652,1)))</f>
        <v/>
      </c>
      <c r="AQ652" s="49">
        <f>IF(AP652="","",AP652*IF(ABS(MOD(ABS((X652)),1)-0.5)&lt;1E-9,2*ROUND((X652)/2,0),ROUND((X652),0)))</f>
        <v/>
      </c>
      <c r="AR652" s="47">
        <f>IF(OR(AK652="",V652=0),"",MIN(IF(AX652="",9.9E+99,AX652),AO652/V652))</f>
        <v/>
      </c>
      <c r="AS652" s="49">
        <f>IF(AR652="","",AR652*IF(B652="South Korea",IF(ABS(MOD(ABS((X652)),1)-0.5)&lt;1E-9,2*ROUND((X652)/2,0),ROUND((X652),0)),X652))</f>
        <v/>
      </c>
      <c r="AT652" s="51" t="n"/>
      <c r="AU652" s="43" t="inlineStr">
        <is>
          <t>Grounded</t>
        </is>
      </c>
      <c r="AV652" s="52" t="n"/>
      <c r="AW652" s="52" t="n"/>
      <c r="AX652" s="53" t="n"/>
      <c r="AY652" s="54">
        <f>IF(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&lt;=0,"",VLOOKUP(B652,country_opex,7,FALSE)/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)</f>
        <v/>
      </c>
      <c r="AZ652" s="54">
        <f>IF(((W652*pax_cap*IF(B652="South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Korea",korea_mid_revleg,revleg_mid)),0))*VLOOKUP(B652,country_opex,3,FALSE))+Z652+AA652+AB652+AC652+AD652))&lt;=0,"",VLOOKUP(B652,country_opex,7,FALSE)/((W652*pax_cap*IF(B652="South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Korea",korea_mid_revleg,revleg_mid)),0))*VLOOKUP(B652,country_opex,3,FALSE))+Z652+AA652+AB652+AC652+AD652)))</f>
        <v/>
      </c>
      <c r="BA652" s="54">
        <f>IF(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&lt;=0,"",VLOOKUP(B652,country_opex,7,FALSE)/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)</f>
        <v/>
      </c>
      <c r="BB652" s="40" t="n"/>
      <c r="BC652" s="40" t="n"/>
      <c r="BD652" s="43" t="inlineStr">
        <is>
          <t>rn-dacbbff1792e</t>
        </is>
      </c>
    </row>
    <row r="653">
      <c r="A653" s="38" t="inlineStr">
        <is>
          <t>Gulf Authority Rakta</t>
        </is>
      </c>
      <c r="B653" s="38" t="inlineStr">
        <is>
          <t>United Arab Emirates</t>
        </is>
      </c>
      <c r="C653" s="39" t="inlineStr">
        <is>
          <t>Ras Al Khaimah → Sharjah</t>
        </is>
      </c>
      <c r="D653" s="38" t="inlineStr">
        <is>
          <t>rakta</t>
        </is>
      </c>
      <c r="E653" s="40" t="inlineStr">
        <is>
          <t>gulf-authority-bahrain-motc, gulf-authority-rakta</t>
        </is>
      </c>
      <c r="F653" s="41" t="n">
        <v>2</v>
      </c>
      <c r="G653" s="42" t="n">
        <v>42</v>
      </c>
      <c r="H653" s="35" t="n">
        <v>35</v>
      </c>
      <c r="I653" s="43" t="inlineStr">
        <is>
          <t>T3</t>
        </is>
      </c>
      <c r="J653" s="43" t="inlineStr">
        <is>
          <t>med-low</t>
        </is>
      </c>
      <c r="K653" s="29" t="n">
        <v>1</v>
      </c>
      <c r="L653" s="44">
        <f>60*G653/cruise_kt</f>
        <v/>
      </c>
      <c r="M653" s="44">
        <f>IF(B653="South Korea",G653/korea_charge_range_nm*korea_full_range_charge_min,0)</f>
        <v/>
      </c>
      <c r="N653" s="44">
        <f>IF(B653="South Korea",L653+korea_turn_min+korea_dwell_min+M653,L653+turn_min+dwell_min)</f>
        <v/>
      </c>
      <c r="O653" s="45">
        <f>IF(B653="South Korea",FLOOR(60*korea_service_hr/N653,1),MIN(15,FLOOR(60*service_hr/N653,1)))</f>
        <v/>
      </c>
      <c r="P653" s="45">
        <f>IF(ABS(MOD(ABS((365*mech_uptime*K653)),1)-0.5)&lt;1E-9,2*ROUND((365*mech_uptime*K653)/2,0),ROUND((365*mech_uptime*K653),0))</f>
        <v/>
      </c>
      <c r="Q653" s="46">
        <f>mech_uptime</f>
        <v/>
      </c>
      <c r="R653" s="46">
        <f>IF(AND(B653="South Korea",scenario="MID"),korea_mid_revleg,revleg_sel)</f>
        <v/>
      </c>
      <c r="S653" s="45">
        <f>IF(ABS(MOD(ABS((O653*P653*R653)),1)-0.5)&lt;1E-9,2*ROUND((O653*P653*R653)/2,0),ROUND((O653*P653*R653),0))</f>
        <v/>
      </c>
      <c r="T653" s="46">
        <f>IF(AND(B653="South Korea",scenario="MID"),korea_mid_load,load_sel)</f>
        <v/>
      </c>
      <c r="U653" s="47">
        <f>pax_cap*T653</f>
        <v/>
      </c>
      <c r="V653" s="45">
        <f>U653*S653</f>
        <v/>
      </c>
      <c r="W653" s="48">
        <f>H653*discount</f>
        <v/>
      </c>
      <c r="X653" s="49">
        <f>W653*V653</f>
        <v/>
      </c>
      <c r="Y653" s="49">
        <f>(battery/range_nm)*G653*S653*VLOOKUP(B653,country_opex,3,FALSE)</f>
        <v/>
      </c>
      <c r="Z653" s="49">
        <f>VLOOKUP(B653,country_opex,2,FALSE)*crew_factor</f>
        <v/>
      </c>
      <c r="AA653" s="49">
        <f>VLOOKUP(B653,country_opex,5,FALSE)</f>
        <v/>
      </c>
      <c r="AB653" s="49">
        <f>maint</f>
        <v/>
      </c>
      <c r="AC653" s="49">
        <f>VLOOKUP(B653,country_opex,7,FALSE)*ins_pct</f>
        <v/>
      </c>
      <c r="AD653" s="49">
        <f>charge_berth</f>
        <v/>
      </c>
      <c r="AE653" s="49">
        <f>Y653+Z653+AA653+AB653+AC653+AD653</f>
        <v/>
      </c>
      <c r="AF653" s="49">
        <f>VLOOKUP(B653,country_opex,7,FALSE)/dep_years</f>
        <v/>
      </c>
      <c r="AG653" s="49">
        <f>X653-AE653</f>
        <v/>
      </c>
      <c r="AH653" s="46">
        <f>IF(X653=0,"",AG653/X653)</f>
        <v/>
      </c>
      <c r="AI653" s="47">
        <f>IF(AG653&lt;=0,"",VLOOKUP(B653,country_opex,7,FALSE)/AG653)</f>
        <v/>
      </c>
      <c r="AJ653" s="44">
        <f>((G653*S653/diesel_nmpg)*diesel_co2pg-(battery/range_nm)*G653*S653*VLOOKUP(B653,country_opex,4,FALSE))/1000</f>
        <v/>
      </c>
      <c r="AK653" s="42" t="n">
        <v>5217</v>
      </c>
      <c r="AL653" s="43" t="inlineStr">
        <is>
          <t>T3</t>
        </is>
      </c>
      <c r="AM653" s="43" t="inlineStr">
        <is>
          <t>med-low</t>
        </is>
      </c>
      <c r="AN653" s="50" t="n">
        <v>0.1</v>
      </c>
      <c r="AO653" s="45">
        <f>IF(AK653="","",AK653*AN653)</f>
        <v/>
      </c>
      <c r="AP653" s="45">
        <f>IF(OR(AK653="",V653=0),"",MIN(IF(AX653="",9.9E+99,AX653),FLOOR(AO653/V653,1)))</f>
        <v/>
      </c>
      <c r="AQ653" s="49">
        <f>IF(AP653="","",AP653*IF(ABS(MOD(ABS((X653)),1)-0.5)&lt;1E-9,2*ROUND((X653)/2,0),ROUND((X653),0)))</f>
        <v/>
      </c>
      <c r="AR653" s="47">
        <f>IF(OR(AK653="",V653=0),"",MIN(IF(AX653="",9.9E+99,AX653),AO653/V653))</f>
        <v/>
      </c>
      <c r="AS653" s="49">
        <f>IF(AR653="","",AR653*IF(B653="South Korea",IF(ABS(MOD(ABS((X653)),1)-0.5)&lt;1E-9,2*ROUND((X653)/2,0),ROUND((X653),0)),X653))</f>
        <v/>
      </c>
      <c r="AT653" s="51" t="n"/>
      <c r="AU653" s="43" t="inlineStr">
        <is>
          <t>Grounded</t>
        </is>
      </c>
      <c r="AV653" s="52" t="n"/>
      <c r="AW653" s="52" t="n"/>
      <c r="AX653" s="53" t="n"/>
      <c r="AY653" s="54">
        <f>IF(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&lt;=0,"",VLOOKUP(B653,country_opex,7,FALSE)/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)</f>
        <v/>
      </c>
      <c r="AZ653" s="54">
        <f>IF(((W653*pax_cap*IF(B653="South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Korea",korea_mid_revleg,revleg_mid)),0))*VLOOKUP(B653,country_opex,3,FALSE))+Z653+AA653+AB653+AC653+AD653))&lt;=0,"",VLOOKUP(B653,country_opex,7,FALSE)/((W653*pax_cap*IF(B653="South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Korea",korea_mid_revleg,revleg_mid)),0))*VLOOKUP(B653,country_opex,3,FALSE))+Z653+AA653+AB653+AC653+AD653)))</f>
        <v/>
      </c>
      <c r="BA653" s="54">
        <f>IF(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&lt;=0,"",VLOOKUP(B653,country_opex,7,FALSE)/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)</f>
        <v/>
      </c>
      <c r="BB653" s="40" t="n"/>
      <c r="BC653" s="40" t="n"/>
      <c r="BD653" s="43" t="inlineStr">
        <is>
          <t>rn-46bf5bf09b13</t>
        </is>
      </c>
    </row>
    <row r="654">
      <c r="A654" s="38" t="inlineStr">
        <is>
          <t>Gulf Authority Rakta</t>
        </is>
      </c>
      <c r="B654" s="38" t="inlineStr">
        <is>
          <t>United Arab Emirates</t>
        </is>
      </c>
      <c r="C654" s="39" t="inlineStr">
        <is>
          <t>Ras Al Khaimah → Dubai Islands Marina</t>
        </is>
      </c>
      <c r="D654" s="38" t="inlineStr">
        <is>
          <t>rakta</t>
        </is>
      </c>
      <c r="E654" s="40" t="inlineStr">
        <is>
          <t>gulf-authority-bahrain-motc, gulf-authority-rakta</t>
        </is>
      </c>
      <c r="F654" s="41" t="n">
        <v>2</v>
      </c>
      <c r="G654" s="42" t="n">
        <v>50</v>
      </c>
      <c r="H654" s="35" t="n">
        <v>35</v>
      </c>
      <c r="I654" s="43" t="inlineStr">
        <is>
          <t>T3</t>
        </is>
      </c>
      <c r="J654" s="43" t="inlineStr">
        <is>
          <t>med-low</t>
        </is>
      </c>
      <c r="K654" s="29" t="n">
        <v>1</v>
      </c>
      <c r="L654" s="44">
        <f>60*G654/cruise_kt</f>
        <v/>
      </c>
      <c r="M654" s="44">
        <f>IF(B654="South Korea",G654/korea_charge_range_nm*korea_full_range_charge_min,0)</f>
        <v/>
      </c>
      <c r="N654" s="44">
        <f>IF(B654="South Korea",L654+korea_turn_min+korea_dwell_min+M654,L654+turn_min+dwell_min)</f>
        <v/>
      </c>
      <c r="O654" s="45">
        <f>IF(B654="South Korea",FLOOR(60*korea_service_hr/N654,1),MIN(15,FLOOR(60*service_hr/N654,1)))</f>
        <v/>
      </c>
      <c r="P654" s="45">
        <f>IF(ABS(MOD(ABS((365*mech_uptime*K654)),1)-0.5)&lt;1E-9,2*ROUND((365*mech_uptime*K654)/2,0),ROUND((365*mech_uptime*K654),0))</f>
        <v/>
      </c>
      <c r="Q654" s="46">
        <f>mech_uptime</f>
        <v/>
      </c>
      <c r="R654" s="46">
        <f>IF(AND(B654="South Korea",scenario="MID"),korea_mid_revleg,revleg_sel)</f>
        <v/>
      </c>
      <c r="S654" s="45">
        <f>IF(ABS(MOD(ABS((O654*P654*R654)),1)-0.5)&lt;1E-9,2*ROUND((O654*P654*R654)/2,0),ROUND((O654*P654*R654),0))</f>
        <v/>
      </c>
      <c r="T654" s="46">
        <f>IF(AND(B654="South Korea",scenario="MID"),korea_mid_load,load_sel)</f>
        <v/>
      </c>
      <c r="U654" s="47">
        <f>pax_cap*T654</f>
        <v/>
      </c>
      <c r="V654" s="45">
        <f>U654*S654</f>
        <v/>
      </c>
      <c r="W654" s="48">
        <f>H654*discount</f>
        <v/>
      </c>
      <c r="X654" s="49">
        <f>W654*V654</f>
        <v/>
      </c>
      <c r="Y654" s="49">
        <f>(battery/range_nm)*G654*S654*VLOOKUP(B654,country_opex,3,FALSE)</f>
        <v/>
      </c>
      <c r="Z654" s="49">
        <f>VLOOKUP(B654,country_opex,2,FALSE)*crew_factor</f>
        <v/>
      </c>
      <c r="AA654" s="49">
        <f>VLOOKUP(B654,country_opex,5,FALSE)</f>
        <v/>
      </c>
      <c r="AB654" s="49">
        <f>maint</f>
        <v/>
      </c>
      <c r="AC654" s="49">
        <f>VLOOKUP(B654,country_opex,7,FALSE)*ins_pct</f>
        <v/>
      </c>
      <c r="AD654" s="49">
        <f>charge_berth</f>
        <v/>
      </c>
      <c r="AE654" s="49">
        <f>Y654+Z654+AA654+AB654+AC654+AD654</f>
        <v/>
      </c>
      <c r="AF654" s="49">
        <f>VLOOKUP(B654,country_opex,7,FALSE)/dep_years</f>
        <v/>
      </c>
      <c r="AG654" s="49">
        <f>X654-AE654</f>
        <v/>
      </c>
      <c r="AH654" s="46">
        <f>IF(X654=0,"",AG654/X654)</f>
        <v/>
      </c>
      <c r="AI654" s="47">
        <f>IF(AG654&lt;=0,"",VLOOKUP(B654,country_opex,7,FALSE)/AG654)</f>
        <v/>
      </c>
      <c r="AJ654" s="44">
        <f>((G654*S654/diesel_nmpg)*diesel_co2pg-(battery/range_nm)*G654*S654*VLOOKUP(B654,country_opex,4,FALSE))/1000</f>
        <v/>
      </c>
      <c r="AK654" s="42" t="n">
        <v>5217</v>
      </c>
      <c r="AL654" s="43" t="inlineStr">
        <is>
          <t>T3</t>
        </is>
      </c>
      <c r="AM654" s="43" t="inlineStr">
        <is>
          <t>med-low</t>
        </is>
      </c>
      <c r="AN654" s="50" t="n">
        <v>0.1</v>
      </c>
      <c r="AO654" s="45">
        <f>IF(AK654="","",AK654*AN654)</f>
        <v/>
      </c>
      <c r="AP654" s="45">
        <f>IF(OR(AK654="",V654=0),"",MIN(IF(AX654="",9.9E+99,AX654),FLOOR(AO654/V654,1)))</f>
        <v/>
      </c>
      <c r="AQ654" s="49">
        <f>IF(AP654="","",AP654*IF(ABS(MOD(ABS((X654)),1)-0.5)&lt;1E-9,2*ROUND((X654)/2,0),ROUND((X654),0)))</f>
        <v/>
      </c>
      <c r="AR654" s="47">
        <f>IF(OR(AK654="",V654=0),"",MIN(IF(AX654="",9.9E+99,AX654),AO654/V654))</f>
        <v/>
      </c>
      <c r="AS654" s="49">
        <f>IF(AR654="","",AR654*IF(B654="South Korea",IF(ABS(MOD(ABS((X654)),1)-0.5)&lt;1E-9,2*ROUND((X654)/2,0),ROUND((X654),0)),X654))</f>
        <v/>
      </c>
      <c r="AT654" s="51" t="n"/>
      <c r="AU654" s="43" t="inlineStr">
        <is>
          <t>Grounded</t>
        </is>
      </c>
      <c r="AV654" s="52" t="n"/>
      <c r="AW654" s="52" t="n"/>
      <c r="AX654" s="53" t="n"/>
      <c r="AY654" s="54">
        <f>IF(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&lt;=0,"",VLOOKUP(B654,country_opex,7,FALSE)/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)</f>
        <v/>
      </c>
      <c r="AZ654" s="54">
        <f>IF(((W654*pax_cap*IF(B654="South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Korea",korea_mid_revleg,revleg_mid)),0))*VLOOKUP(B654,country_opex,3,FALSE))+Z654+AA654+AB654+AC654+AD654))&lt;=0,"",VLOOKUP(B654,country_opex,7,FALSE)/((W654*pax_cap*IF(B654="South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Korea",korea_mid_revleg,revleg_mid)),0))*VLOOKUP(B654,country_opex,3,FALSE))+Z654+AA654+AB654+AC654+AD654)))</f>
        <v/>
      </c>
      <c r="BA654" s="54">
        <f>IF(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&lt;=0,"",VLOOKUP(B654,country_opex,7,FALSE)/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)</f>
        <v/>
      </c>
      <c r="BB654" s="40" t="n"/>
      <c r="BC654" s="40" t="n"/>
      <c r="BD654" s="43" t="inlineStr">
        <is>
          <t>rn-8bc1e153cdc4</t>
        </is>
      </c>
    </row>
    <row r="655">
      <c r="A655" s="38" t="inlineStr">
        <is>
          <t>Gulf Authority Rakta</t>
        </is>
      </c>
      <c r="B655" s="38" t="inlineStr">
        <is>
          <t>United Arab Emirates</t>
        </is>
      </c>
      <c r="C655" s="39" t="inlineStr">
        <is>
          <t>Ras Al Khaimah → Fujairah</t>
        </is>
      </c>
      <c r="D655" s="38" t="inlineStr">
        <is>
          <t>rakta</t>
        </is>
      </c>
      <c r="E655" s="40" t="inlineStr">
        <is>
          <t>gulf-authority-bahrain-motc, gulf-authority-rakta</t>
        </is>
      </c>
      <c r="F655" s="41" t="n">
        <v>2</v>
      </c>
      <c r="G655" s="42" t="n">
        <v>54.7</v>
      </c>
      <c r="H655" s="35" t="n">
        <v>35</v>
      </c>
      <c r="I655" s="43" t="inlineStr">
        <is>
          <t>T3</t>
        </is>
      </c>
      <c r="J655" s="43" t="inlineStr">
        <is>
          <t>med-low</t>
        </is>
      </c>
      <c r="K655" s="29" t="n">
        <v>1</v>
      </c>
      <c r="L655" s="44">
        <f>60*G655/cruise_kt</f>
        <v/>
      </c>
      <c r="M655" s="44">
        <f>IF(B655="South Korea",G655/korea_charge_range_nm*korea_full_range_charge_min,0)</f>
        <v/>
      </c>
      <c r="N655" s="44">
        <f>IF(B655="South Korea",L655+korea_turn_min+korea_dwell_min+M655,L655+turn_min+dwell_min)</f>
        <v/>
      </c>
      <c r="O655" s="45">
        <f>IF(B655="South Korea",FLOOR(60*korea_service_hr/N655,1),MIN(15,FLOOR(60*service_hr/N655,1)))</f>
        <v/>
      </c>
      <c r="P655" s="45">
        <f>IF(ABS(MOD(ABS((365*mech_uptime*K655)),1)-0.5)&lt;1E-9,2*ROUND((365*mech_uptime*K655)/2,0),ROUND((365*mech_uptime*K655),0))</f>
        <v/>
      </c>
      <c r="Q655" s="46">
        <f>mech_uptime</f>
        <v/>
      </c>
      <c r="R655" s="46">
        <f>IF(AND(B655="South Korea",scenario="MID"),korea_mid_revleg,revleg_sel)</f>
        <v/>
      </c>
      <c r="S655" s="45">
        <f>IF(ABS(MOD(ABS((O655*P655*R655)),1)-0.5)&lt;1E-9,2*ROUND((O655*P655*R655)/2,0),ROUND((O655*P655*R655),0))</f>
        <v/>
      </c>
      <c r="T655" s="46">
        <f>IF(AND(B655="South Korea",scenario="MID"),korea_mid_load,load_sel)</f>
        <v/>
      </c>
      <c r="U655" s="47">
        <f>pax_cap*T655</f>
        <v/>
      </c>
      <c r="V655" s="45">
        <f>U655*S655</f>
        <v/>
      </c>
      <c r="W655" s="48">
        <f>H655*discount</f>
        <v/>
      </c>
      <c r="X655" s="49">
        <f>W655*V655</f>
        <v/>
      </c>
      <c r="Y655" s="49">
        <f>(battery/range_nm)*G655*S655*VLOOKUP(B655,country_opex,3,FALSE)</f>
        <v/>
      </c>
      <c r="Z655" s="49">
        <f>VLOOKUP(B655,country_opex,2,FALSE)*crew_factor</f>
        <v/>
      </c>
      <c r="AA655" s="49">
        <f>VLOOKUP(B655,country_opex,5,FALSE)</f>
        <v/>
      </c>
      <c r="AB655" s="49">
        <f>maint</f>
        <v/>
      </c>
      <c r="AC655" s="49">
        <f>VLOOKUP(B655,country_opex,7,FALSE)*ins_pct</f>
        <v/>
      </c>
      <c r="AD655" s="49">
        <f>charge_berth</f>
        <v/>
      </c>
      <c r="AE655" s="49">
        <f>Y655+Z655+AA655+AB655+AC655+AD655</f>
        <v/>
      </c>
      <c r="AF655" s="49">
        <f>VLOOKUP(B655,country_opex,7,FALSE)/dep_years</f>
        <v/>
      </c>
      <c r="AG655" s="49">
        <f>X655-AE655</f>
        <v/>
      </c>
      <c r="AH655" s="46">
        <f>IF(X655=0,"",AG655/X655)</f>
        <v/>
      </c>
      <c r="AI655" s="47">
        <f>IF(AG655&lt;=0,"",VLOOKUP(B655,country_opex,7,FALSE)/AG655)</f>
        <v/>
      </c>
      <c r="AJ655" s="44">
        <f>((G655*S655/diesel_nmpg)*diesel_co2pg-(battery/range_nm)*G655*S655*VLOOKUP(B655,country_opex,4,FALSE))/1000</f>
        <v/>
      </c>
      <c r="AK655" s="42" t="n">
        <v>5217</v>
      </c>
      <c r="AL655" s="43" t="inlineStr">
        <is>
          <t>T3</t>
        </is>
      </c>
      <c r="AM655" s="43" t="inlineStr">
        <is>
          <t>med-low</t>
        </is>
      </c>
      <c r="AN655" s="50" t="n">
        <v>0.1</v>
      </c>
      <c r="AO655" s="45">
        <f>IF(AK655="","",AK655*AN655)</f>
        <v/>
      </c>
      <c r="AP655" s="45">
        <f>IF(OR(AK655="",V655=0),"",MIN(IF(AX655="",9.9E+99,AX655),FLOOR(AO655/V655,1)))</f>
        <v/>
      </c>
      <c r="AQ655" s="49">
        <f>IF(AP655="","",AP655*IF(ABS(MOD(ABS((X655)),1)-0.5)&lt;1E-9,2*ROUND((X655)/2,0),ROUND((X655),0)))</f>
        <v/>
      </c>
      <c r="AR655" s="47">
        <f>IF(OR(AK655="",V655=0),"",MIN(IF(AX655="",9.9E+99,AX655),AO655/V655))</f>
        <v/>
      </c>
      <c r="AS655" s="49">
        <f>IF(AR655="","",AR655*IF(B655="South Korea",IF(ABS(MOD(ABS((X655)),1)-0.5)&lt;1E-9,2*ROUND((X655)/2,0),ROUND((X655),0)),X655))</f>
        <v/>
      </c>
      <c r="AT655" s="51" t="n"/>
      <c r="AU655" s="43" t="inlineStr">
        <is>
          <t>Grounded</t>
        </is>
      </c>
      <c r="AV655" s="52" t="n"/>
      <c r="AW655" s="52" t="n"/>
      <c r="AX655" s="53" t="n"/>
      <c r="AY655" s="54">
        <f>IF(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&lt;=0,"",VLOOKUP(B655,country_opex,7,FALSE)/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)</f>
        <v/>
      </c>
      <c r="AZ655" s="54">
        <f>IF(((W655*pax_cap*IF(B655="South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Korea",korea_mid_revleg,revleg_mid)),0))*VLOOKUP(B655,country_opex,3,FALSE))+Z655+AA655+AB655+AC655+AD655))&lt;=0,"",VLOOKUP(B655,country_opex,7,FALSE)/((W655*pax_cap*IF(B655="South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Korea",korea_mid_revleg,revleg_mid)),0))*VLOOKUP(B655,country_opex,3,FALSE))+Z655+AA655+AB655+AC655+AD655)))</f>
        <v/>
      </c>
      <c r="BA655" s="54">
        <f>IF(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&lt;=0,"",VLOOKUP(B655,country_opex,7,FALSE)/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)</f>
        <v/>
      </c>
      <c r="BB655" s="40" t="n"/>
      <c r="BC655" s="40" t="n"/>
      <c r="BD655" s="43" t="inlineStr">
        <is>
          <t>rn-5bac21e43fcb</t>
        </is>
      </c>
    </row>
    <row r="656">
      <c r="A656" s="38" t="inlineStr">
        <is>
          <t>UAE (Careem)</t>
        </is>
      </c>
      <c r="B656" s="38" t="inlineStr">
        <is>
          <t>United Arab Emirates</t>
        </is>
      </c>
      <c r="C656" s="39" t="inlineStr">
        <is>
          <t>Dubai → Abu Dhabi (Corniche)</t>
        </is>
      </c>
      <c r="D656" s="38" t="inlineStr">
        <is>
          <t>careem</t>
        </is>
      </c>
      <c r="E656" s="40" t="inlineStr">
        <is>
          <t>bolt-uae, uae-careem, uae-luxury, uae-noon, uae-voi, yango-uae</t>
        </is>
      </c>
      <c r="F656" s="41" t="n">
        <v>12</v>
      </c>
      <c r="G656" s="42" t="n">
        <v>55.8</v>
      </c>
      <c r="H656" s="35" t="n"/>
      <c r="I656" s="43" t="n"/>
      <c r="J656" s="43" t="n"/>
      <c r="K656" s="29" t="n">
        <v>1</v>
      </c>
      <c r="L656" s="44">
        <f>60*G656/cruise_kt</f>
        <v/>
      </c>
      <c r="M656" s="44">
        <f>IF(B656="South Korea",G656/korea_charge_range_nm*korea_full_range_charge_min,0)</f>
        <v/>
      </c>
      <c r="N656" s="44">
        <f>IF(B656="South Korea",L656+korea_turn_min+korea_dwell_min+M656,L656+turn_min+dwell_min)</f>
        <v/>
      </c>
      <c r="O656" s="45">
        <f>IF(B656="South Korea",FLOOR(60*korea_service_hr/N656,1),MIN(15,FLOOR(60*service_hr/N656,1)))</f>
        <v/>
      </c>
      <c r="P656" s="45">
        <f>IF(ABS(MOD(ABS((365*mech_uptime*K656)),1)-0.5)&lt;1E-9,2*ROUND((365*mech_uptime*K656)/2,0),ROUND((365*mech_uptime*K656),0))</f>
        <v/>
      </c>
      <c r="Q656" s="46">
        <f>mech_uptime</f>
        <v/>
      </c>
      <c r="R656" s="46">
        <f>IF(AND(B656="South Korea",scenario="MID"),korea_mid_revleg,revleg_sel)</f>
        <v/>
      </c>
      <c r="S656" s="45">
        <f>IF(ABS(MOD(ABS((O656*P656*R656)),1)-0.5)&lt;1E-9,2*ROUND((O656*P656*R656)/2,0),ROUND((O656*P656*R656),0))</f>
        <v/>
      </c>
      <c r="T656" s="46">
        <f>IF(AND(B656="South Korea",scenario="MID"),korea_mid_load,load_sel)</f>
        <v/>
      </c>
      <c r="U656" s="47">
        <f>pax_cap*T656</f>
        <v/>
      </c>
      <c r="V656" s="45">
        <f>U656*S656</f>
        <v/>
      </c>
      <c r="W656" s="48">
        <f>H656*discount</f>
        <v/>
      </c>
      <c r="X656" s="49">
        <f>W656*V656</f>
        <v/>
      </c>
      <c r="Y656" s="49">
        <f>(battery/range_nm)*G656*S656*VLOOKUP(B656,country_opex,3,FALSE)</f>
        <v/>
      </c>
      <c r="Z656" s="49">
        <f>VLOOKUP(B656,country_opex,2,FALSE)*crew_factor</f>
        <v/>
      </c>
      <c r="AA656" s="49">
        <f>VLOOKUP(B656,country_opex,5,FALSE)</f>
        <v/>
      </c>
      <c r="AB656" s="49">
        <f>maint</f>
        <v/>
      </c>
      <c r="AC656" s="49">
        <f>VLOOKUP(B656,country_opex,7,FALSE)*ins_pct</f>
        <v/>
      </c>
      <c r="AD656" s="49">
        <f>charge_berth</f>
        <v/>
      </c>
      <c r="AE656" s="49">
        <f>Y656+Z656+AA656+AB656+AC656+AD656</f>
        <v/>
      </c>
      <c r="AF656" s="49">
        <f>VLOOKUP(B656,country_opex,7,FALSE)/dep_years</f>
        <v/>
      </c>
      <c r="AG656" s="49">
        <f>X656-AE656</f>
        <v/>
      </c>
      <c r="AH656" s="46">
        <f>IF(X656=0,"",AG656/X656)</f>
        <v/>
      </c>
      <c r="AI656" s="47">
        <f>IF(AG656&lt;=0,"",VLOOKUP(B656,country_opex,7,FALSE)/AG656)</f>
        <v/>
      </c>
      <c r="AJ656" s="44">
        <f>((G656*S656/diesel_nmpg)*diesel_co2pg-(battery/range_nm)*G656*S656*VLOOKUP(B656,country_opex,4,FALSE))/1000</f>
        <v/>
      </c>
      <c r="AK656" s="42" t="n"/>
      <c r="AL656" s="43" t="n"/>
      <c r="AM656" s="43" t="n"/>
      <c r="AN656" s="50" t="n">
        <v>0.1</v>
      </c>
      <c r="AO656" s="45">
        <f>IF(AK656="","",AK656*AN656)</f>
        <v/>
      </c>
      <c r="AP656" s="45">
        <f>IF(OR(AK656="",V656=0),"",MIN(IF(AX656="",9.9E+99,AX656),FLOOR(AO656/V656,1)))</f>
        <v/>
      </c>
      <c r="AQ656" s="49">
        <f>IF(AP656="","",AP656*IF(ABS(MOD(ABS((X656)),1)-0.5)&lt;1E-9,2*ROUND((X656)/2,0),ROUND((X656),0)))</f>
        <v/>
      </c>
      <c r="AR656" s="47">
        <f>IF(OR(AK656="",V656=0),"",MIN(IF(AX656="",9.9E+99,AX656),AO656/V656))</f>
        <v/>
      </c>
      <c r="AS656" s="49">
        <f>IF(AR656="","",AR656*IF(B656="South Korea",IF(ABS(MOD(ABS((X656)),1)-0.5)&lt;1E-9,2*ROUND((X656)/2,0),ROUND((X656),0)),X656))</f>
        <v/>
      </c>
      <c r="AT656" s="51" t="n"/>
      <c r="AU656" s="43" t="inlineStr">
        <is>
          <t>Estimated</t>
        </is>
      </c>
      <c r="AV656" s="52" t="n"/>
      <c r="AW656" s="52" t="n"/>
      <c r="AX656" s="53" t="n"/>
      <c r="AY656" s="54">
        <f>IF(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&lt;=0,"",VLOOKUP(B656,country_opex,7,FALSE)/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)</f>
        <v/>
      </c>
      <c r="AZ656" s="54">
        <f>IF(((W656*pax_cap*IF(B656="South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Korea",korea_mid_revleg,revleg_mid)),0))*VLOOKUP(B656,country_opex,3,FALSE))+Z656+AA656+AB656+AC656+AD656))&lt;=0,"",VLOOKUP(B656,country_opex,7,FALSE)/((W656*pax_cap*IF(B656="South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Korea",korea_mid_revleg,revleg_mid)),0))*VLOOKUP(B656,country_opex,3,FALSE))+Z656+AA656+AB656+AC656+AD656)))</f>
        <v/>
      </c>
      <c r="BA656" s="54">
        <f>IF(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&lt;=0,"",VLOOKUP(B656,country_opex,7,FALSE)/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)</f>
        <v/>
      </c>
      <c r="BB656" s="40" t="n"/>
      <c r="BC656" s="40" t="n"/>
      <c r="BD656" s="43" t="inlineStr">
        <is>
          <t>gcn-8ad7567d09-bolt</t>
        </is>
      </c>
    </row>
    <row r="657">
      <c r="A657" s="38" t="inlineStr">
        <is>
          <t>UAE (Careem)</t>
        </is>
      </c>
      <c r="B657" s="38" t="inlineStr">
        <is>
          <t>United Arab Emirates</t>
        </is>
      </c>
      <c r="C657" s="39" t="inlineStr">
        <is>
          <t>Dubai Marina → Abu Dhabi Corniche</t>
        </is>
      </c>
      <c r="D657" s="38" t="inlineStr">
        <is>
          <t>careem</t>
        </is>
      </c>
      <c r="E657" s="40" t="inlineStr">
        <is>
          <t>bolt-uae, uae-careem, uae-luxury, uae-noon, uae-voi, yango-uae</t>
        </is>
      </c>
      <c r="F657" s="41" t="n">
        <v>12</v>
      </c>
      <c r="G657" s="42" t="n">
        <v>55.8</v>
      </c>
      <c r="H657" s="35" t="n"/>
      <c r="I657" s="43" t="n"/>
      <c r="J657" s="43" t="n"/>
      <c r="K657" s="29" t="n">
        <v>1</v>
      </c>
      <c r="L657" s="44">
        <f>60*G657/cruise_kt</f>
        <v/>
      </c>
      <c r="M657" s="44">
        <f>IF(B657="South Korea",G657/korea_charge_range_nm*korea_full_range_charge_min,0)</f>
        <v/>
      </c>
      <c r="N657" s="44">
        <f>IF(B657="South Korea",L657+korea_turn_min+korea_dwell_min+M657,L657+turn_min+dwell_min)</f>
        <v/>
      </c>
      <c r="O657" s="45">
        <f>IF(B657="South Korea",FLOOR(60*korea_service_hr/N657,1),MIN(15,FLOOR(60*service_hr/N657,1)))</f>
        <v/>
      </c>
      <c r="P657" s="45">
        <f>IF(ABS(MOD(ABS((365*mech_uptime*K657)),1)-0.5)&lt;1E-9,2*ROUND((365*mech_uptime*K657)/2,0),ROUND((365*mech_uptime*K657),0))</f>
        <v/>
      </c>
      <c r="Q657" s="46">
        <f>mech_uptime</f>
        <v/>
      </c>
      <c r="R657" s="46">
        <f>IF(AND(B657="South Korea",scenario="MID"),korea_mid_revleg,revleg_sel)</f>
        <v/>
      </c>
      <c r="S657" s="45">
        <f>IF(ABS(MOD(ABS((O657*P657*R657)),1)-0.5)&lt;1E-9,2*ROUND((O657*P657*R657)/2,0),ROUND((O657*P657*R657),0))</f>
        <v/>
      </c>
      <c r="T657" s="46">
        <f>IF(AND(B657="South Korea",scenario="MID"),korea_mid_load,load_sel)</f>
        <v/>
      </c>
      <c r="U657" s="47">
        <f>pax_cap*T657</f>
        <v/>
      </c>
      <c r="V657" s="45">
        <f>U657*S657</f>
        <v/>
      </c>
      <c r="W657" s="48">
        <f>H657*discount</f>
        <v/>
      </c>
      <c r="X657" s="49">
        <f>W657*V657</f>
        <v/>
      </c>
      <c r="Y657" s="49">
        <f>(battery/range_nm)*G657*S657*VLOOKUP(B657,country_opex,3,FALSE)</f>
        <v/>
      </c>
      <c r="Z657" s="49">
        <f>VLOOKUP(B657,country_opex,2,FALSE)*crew_factor</f>
        <v/>
      </c>
      <c r="AA657" s="49">
        <f>VLOOKUP(B657,country_opex,5,FALSE)</f>
        <v/>
      </c>
      <c r="AB657" s="49">
        <f>maint</f>
        <v/>
      </c>
      <c r="AC657" s="49">
        <f>VLOOKUP(B657,country_opex,7,FALSE)*ins_pct</f>
        <v/>
      </c>
      <c r="AD657" s="49">
        <f>charge_berth</f>
        <v/>
      </c>
      <c r="AE657" s="49">
        <f>Y657+Z657+AA657+AB657+AC657+AD657</f>
        <v/>
      </c>
      <c r="AF657" s="49">
        <f>VLOOKUP(B657,country_opex,7,FALSE)/dep_years</f>
        <v/>
      </c>
      <c r="AG657" s="49">
        <f>X657-AE657</f>
        <v/>
      </c>
      <c r="AH657" s="46">
        <f>IF(X657=0,"",AG657/X657)</f>
        <v/>
      </c>
      <c r="AI657" s="47">
        <f>IF(AG657&lt;=0,"",VLOOKUP(B657,country_opex,7,FALSE)/AG657)</f>
        <v/>
      </c>
      <c r="AJ657" s="44">
        <f>((G657*S657/diesel_nmpg)*diesel_co2pg-(battery/range_nm)*G657*S657*VLOOKUP(B657,country_opex,4,FALSE))/1000</f>
        <v/>
      </c>
      <c r="AK657" s="42" t="n"/>
      <c r="AL657" s="43" t="n"/>
      <c r="AM657" s="43" t="n"/>
      <c r="AN657" s="50" t="n">
        <v>0.1</v>
      </c>
      <c r="AO657" s="45">
        <f>IF(AK657="","",AK657*AN657)</f>
        <v/>
      </c>
      <c r="AP657" s="45">
        <f>IF(OR(AK657="",V657=0),"",MIN(IF(AX657="",9.9E+99,AX657),FLOOR(AO657/V657,1)))</f>
        <v/>
      </c>
      <c r="AQ657" s="49">
        <f>IF(AP657="","",AP657*IF(ABS(MOD(ABS((X657)),1)-0.5)&lt;1E-9,2*ROUND((X657)/2,0),ROUND((X657),0)))</f>
        <v/>
      </c>
      <c r="AR657" s="47">
        <f>IF(OR(AK657="",V657=0),"",MIN(IF(AX657="",9.9E+99,AX657),AO657/V657))</f>
        <v/>
      </c>
      <c r="AS657" s="49">
        <f>IF(AR657="","",AR657*IF(B657="South Korea",IF(ABS(MOD(ABS((X657)),1)-0.5)&lt;1E-9,2*ROUND((X657)/2,0),ROUND((X657),0)),X657))</f>
        <v/>
      </c>
      <c r="AT657" s="51" t="n"/>
      <c r="AU657" s="43" t="inlineStr">
        <is>
          <t>Estimated</t>
        </is>
      </c>
      <c r="AV657" s="52" t="n"/>
      <c r="AW657" s="52" t="n"/>
      <c r="AX657" s="53" t="n"/>
      <c r="AY657" s="54">
        <f>IF(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&lt;=0,"",VLOOKUP(B657,country_opex,7,FALSE)/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)</f>
        <v/>
      </c>
      <c r="AZ657" s="54">
        <f>IF(((W657*pax_cap*IF(B657="South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Korea",korea_mid_revleg,revleg_mid)),0))*VLOOKUP(B657,country_opex,3,FALSE))+Z657+AA657+AB657+AC657+AD657))&lt;=0,"",VLOOKUP(B657,country_opex,7,FALSE)/((W657*pax_cap*IF(B657="South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Korea",korea_mid_revleg,revleg_mid)),0))*VLOOKUP(B657,country_opex,3,FALSE))+Z657+AA657+AB657+AC657+AD657)))</f>
        <v/>
      </c>
      <c r="BA657" s="54">
        <f>IF(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&lt;=0,"",VLOOKUP(B657,country_opex,7,FALSE)/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)</f>
        <v/>
      </c>
      <c r="BB657" s="40" t="n"/>
      <c r="BC657" s="40" t="n"/>
      <c r="BD657" s="43" t="inlineStr">
        <is>
          <t>gcn-8605781d07-careem</t>
        </is>
      </c>
    </row>
    <row r="658">
      <c r="A658" s="38" t="inlineStr">
        <is>
          <t>UAE (Careem)</t>
        </is>
      </c>
      <c r="B658" s="38" t="inlineStr">
        <is>
          <t>United Arab Emirates</t>
        </is>
      </c>
      <c r="C658" s="39" t="inlineStr">
        <is>
          <t>Dubai Harbour Marina → Wynn Al Marjan Island arrival lagoon</t>
        </is>
      </c>
      <c r="D658" s="38" t="inlineStr">
        <is>
          <t>careem</t>
        </is>
      </c>
      <c r="E658" s="40" t="inlineStr">
        <is>
          <t>bolt-uae, gulf-authority-bahrain-motc, gulf-authority-rakta, uae-careem, uae-luxury, uae-noon, uae-voi, yango-uae</t>
        </is>
      </c>
      <c r="F658" s="41" t="n">
        <v>14</v>
      </c>
      <c r="G658" s="42" t="n">
        <v>56</v>
      </c>
      <c r="H658" s="35" t="n">
        <v>200</v>
      </c>
      <c r="I658" s="43" t="inlineStr">
        <is>
          <t>T5</t>
        </is>
      </c>
      <c r="J658" s="43" t="inlineStr">
        <is>
          <t>low</t>
        </is>
      </c>
      <c r="K658" s="29" t="n">
        <v>1</v>
      </c>
      <c r="L658" s="44">
        <f>60*G658/cruise_kt</f>
        <v/>
      </c>
      <c r="M658" s="44">
        <f>IF(B658="South Korea",G658/korea_charge_range_nm*korea_full_range_charge_min,0)</f>
        <v/>
      </c>
      <c r="N658" s="44">
        <f>IF(B658="South Korea",L658+korea_turn_min+korea_dwell_min+M658,L658+turn_min+dwell_min)</f>
        <v/>
      </c>
      <c r="O658" s="45">
        <f>IF(B658="South Korea",FLOOR(60*korea_service_hr/N658,1),MIN(15,FLOOR(60*service_hr/N658,1)))</f>
        <v/>
      </c>
      <c r="P658" s="45">
        <f>IF(ABS(MOD(ABS((365*mech_uptime*K658)),1)-0.5)&lt;1E-9,2*ROUND((365*mech_uptime*K658)/2,0),ROUND((365*mech_uptime*K658),0))</f>
        <v/>
      </c>
      <c r="Q658" s="46">
        <f>mech_uptime</f>
        <v/>
      </c>
      <c r="R658" s="46">
        <f>IF(AND(B658="South Korea",scenario="MID"),korea_mid_revleg,revleg_sel)</f>
        <v/>
      </c>
      <c r="S658" s="45">
        <f>IF(ABS(MOD(ABS((O658*P658*R658)),1)-0.5)&lt;1E-9,2*ROUND((O658*P658*R658)/2,0),ROUND((O658*P658*R658),0))</f>
        <v/>
      </c>
      <c r="T658" s="46">
        <f>IF(AND(B658="South Korea",scenario="MID"),korea_mid_load,load_sel)</f>
        <v/>
      </c>
      <c r="U658" s="47">
        <f>pax_cap*T658</f>
        <v/>
      </c>
      <c r="V658" s="45">
        <f>U658*S658</f>
        <v/>
      </c>
      <c r="W658" s="48">
        <f>H658*discount</f>
        <v/>
      </c>
      <c r="X658" s="49">
        <f>W658*V658</f>
        <v/>
      </c>
      <c r="Y658" s="49">
        <f>(battery/range_nm)*G658*S658*VLOOKUP(B658,country_opex,3,FALSE)</f>
        <v/>
      </c>
      <c r="Z658" s="49">
        <f>VLOOKUP(B658,country_opex,2,FALSE)*crew_factor</f>
        <v/>
      </c>
      <c r="AA658" s="49">
        <f>VLOOKUP(B658,country_opex,5,FALSE)</f>
        <v/>
      </c>
      <c r="AB658" s="49">
        <f>maint</f>
        <v/>
      </c>
      <c r="AC658" s="49">
        <f>VLOOKUP(B658,country_opex,7,FALSE)*ins_pct</f>
        <v/>
      </c>
      <c r="AD658" s="49">
        <f>charge_berth</f>
        <v/>
      </c>
      <c r="AE658" s="49">
        <f>Y658+Z658+AA658+AB658+AC658+AD658</f>
        <v/>
      </c>
      <c r="AF658" s="49">
        <f>VLOOKUP(B658,country_opex,7,FALSE)/dep_years</f>
        <v/>
      </c>
      <c r="AG658" s="49">
        <f>X658-AE658</f>
        <v/>
      </c>
      <c r="AH658" s="46">
        <f>IF(X658=0,"",AG658/X658)</f>
        <v/>
      </c>
      <c r="AI658" s="47">
        <f>IF(AG658&lt;=0,"",VLOOKUP(B658,country_opex,7,FALSE)/AG658)</f>
        <v/>
      </c>
      <c r="AJ658" s="44">
        <f>((G658*S658/diesel_nmpg)*diesel_co2pg-(battery/range_nm)*G658*S658*VLOOKUP(B658,country_opex,4,FALSE))/1000</f>
        <v/>
      </c>
      <c r="AK658" s="42" t="n">
        <v>60000</v>
      </c>
      <c r="AL658" s="43" t="inlineStr">
        <is>
          <t>T2</t>
        </is>
      </c>
      <c r="AM658" s="43" t="inlineStr">
        <is>
          <t>medium</t>
        </is>
      </c>
      <c r="AN658" s="50" t="n">
        <v>0.1</v>
      </c>
      <c r="AO658" s="45">
        <f>IF(AK658="","",AK658*AN658)</f>
        <v/>
      </c>
      <c r="AP658" s="45">
        <f>IF(OR(AK658="",V658=0),"",MIN(IF(AX658="",9.9E+99,AX658),FLOOR(AO658/V658,1)))</f>
        <v/>
      </c>
      <c r="AQ658" s="49">
        <f>IF(AP658="","",AP658*IF(ABS(MOD(ABS((X658)),1)-0.5)&lt;1E-9,2*ROUND((X658)/2,0),ROUND((X658),0)))</f>
        <v/>
      </c>
      <c r="AR658" s="47">
        <f>IF(OR(AK658="",V658=0),"",MIN(IF(AX658="",9.9E+99,AX658),AO658/V658))</f>
        <v/>
      </c>
      <c r="AS658" s="49">
        <f>IF(AR658="","",AR658*IF(B658="South Korea",IF(ABS(MOD(ABS((X658)),1)-0.5)&lt;1E-9,2*ROUND((X658)/2,0),ROUND((X658),0)),X658))</f>
        <v/>
      </c>
      <c r="AT658" s="51" t="n"/>
      <c r="AU658" s="43" t="inlineStr">
        <is>
          <t>Grounded</t>
        </is>
      </c>
      <c r="AV658" s="52" t="n"/>
      <c r="AW658" s="52" t="n"/>
      <c r="AX658" s="53" t="n"/>
      <c r="AY658" s="54">
        <f>IF(((W658*pax_cap*load_thin*IF(ABS(MOD(ABS((O658*P658*revleg_thin)),1)-0.5)&lt;1E-9,2*ROUND((O658*P658*revleg_thin)/2,0),ROUND((O658*P658*revleg_thin),0)))-(((battery/range_nm)*G658*IF(ABS(MOD(ABS((O658*P658*revleg_thin)),1)-0.5)&lt;1E-9,2*ROUND((O658*P658*revleg_thin)/2,0),ROUND((O658*P658*revleg_thin),0))*VLOOKUP(B658,country_opex,3,FALSE))+Z658+AA658+AB658+AC658+AD658))&lt;=0,"",VLOOKUP(B658,country_opex,7,FALSE)/((W658*pax_cap*load_thin*IF(ABS(MOD(ABS((O658*P658*revleg_thin)),1)-0.5)&lt;1E-9,2*ROUND((O658*P658*revleg_thin)/2,0),ROUND((O658*P658*revleg_thin),0)))-(((battery/range_nm)*G658*IF(ABS(MOD(ABS((O658*P658*revleg_thin)),1)-0.5)&lt;1E-9,2*ROUND((O658*P658*revleg_thin)/2,0),ROUND((O658*P658*revleg_thin),0))*VLOOKUP(B658,country_opex,3,FALSE))+Z658+AA658+AB658+AC658+AD658)))</f>
        <v/>
      </c>
      <c r="AZ658" s="54">
        <f>IF(((W658*pax_cap*IF(B658="South Korea",korea_mid_load,load_mid)*IF(ABS(MOD(ABS((O658*P658*IF(B658="South Korea",korea_mid_revleg,revleg_mid))),1)-0.5)&lt;1E-9,2*ROUND((O658*P658*IF(B658="South Korea",korea_mid_revleg,revleg_mid))/2,0),ROUND((O658*P658*IF(B658="South Korea",korea_mid_revleg,revleg_mid)),0)))-(((battery/range_nm)*G658*IF(ABS(MOD(ABS((O658*P658*IF(B658="South Korea",korea_mid_revleg,revleg_mid))),1)-0.5)&lt;1E-9,2*ROUND((O658*P658*IF(B658="South Korea",korea_mid_revleg,revleg_mid))/2,0),ROUND((O658*P658*IF(B658="South Korea",korea_mid_revleg,revleg_mid)),0))*VLOOKUP(B658,country_opex,3,FALSE))+Z658+AA658+AB658+AC658+AD658))&lt;=0,"",VLOOKUP(B658,country_opex,7,FALSE)/((W658*pax_cap*IF(B658="South Korea",korea_mid_load,load_mid)*IF(ABS(MOD(ABS((O658*P658*IF(B658="South Korea",korea_mid_revleg,revleg_mid))),1)-0.5)&lt;1E-9,2*ROUND((O658*P658*IF(B658="South Korea",korea_mid_revleg,revleg_mid))/2,0),ROUND((O658*P658*IF(B658="South Korea",korea_mid_revleg,revleg_mid)),0)))-(((battery/range_nm)*G658*IF(ABS(MOD(ABS((O658*P658*IF(B658="South Korea",korea_mid_revleg,revleg_mid))),1)-0.5)&lt;1E-9,2*ROUND((O658*P658*IF(B658="South Korea",korea_mid_revleg,revleg_mid))/2,0),ROUND((O658*P658*IF(B658="South Korea",korea_mid_revleg,revleg_mid)),0))*VLOOKUP(B658,country_opex,3,FALSE))+Z658+AA658+AB658+AC658+AD658)))</f>
        <v/>
      </c>
      <c r="BA658" s="54">
        <f>IF(((W658*pax_cap*load_full*IF(ABS(MOD(ABS((O658*P658*revleg_full)),1)-0.5)&lt;1E-9,2*ROUND((O658*P658*revleg_full)/2,0),ROUND((O658*P658*revleg_full),0)))-(((battery/range_nm)*G658*IF(ABS(MOD(ABS((O658*P658*revleg_full)),1)-0.5)&lt;1E-9,2*ROUND((O658*P658*revleg_full)/2,0),ROUND((O658*P658*revleg_full),0))*VLOOKUP(B658,country_opex,3,FALSE))+Z658+AA658+AB658+AC658+AD658))&lt;=0,"",VLOOKUP(B658,country_opex,7,FALSE)/((W658*pax_cap*load_full*IF(ABS(MOD(ABS((O658*P658*revleg_full)),1)-0.5)&lt;1E-9,2*ROUND((O658*P658*revleg_full)/2,0),ROUND((O658*P658*revleg_full),0)))-(((battery/range_nm)*G658*IF(ABS(MOD(ABS((O658*P658*revleg_full)),1)-0.5)&lt;1E-9,2*ROUND((O658*P658*revleg_full)/2,0),ROUND((O658*P658*revleg_full),0))*VLOOKUP(B658,country_opex,3,FALSE))+Z658+AA658+AB658+AC658+AD658)))</f>
        <v/>
      </c>
      <c r="BB658" s="40" t="inlineStr">
        <is>
          <t>Wynn Al Marjan (first UAE gaming resort) opens early 2027: 1,217 rooms + 297 residences. No marine transfer today. T5/low - greenfield.</t>
        </is>
      </c>
      <c r="BC65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58" s="43" t="inlineStr">
        <is>
          <t>rn-dd4500aa99f5</t>
        </is>
      </c>
    </row>
    <row r="659">
      <c r="A659" s="38" t="inlineStr">
        <is>
          <t>UAE (Careem)</t>
        </is>
      </c>
      <c r="B659" s="38" t="inlineStr">
        <is>
          <t>United Arab Emirates</t>
        </is>
      </c>
      <c r="C659" s="39" t="inlineStr">
        <is>
          <t>Ushuaïa Dubai Harbour Experience → Marina Mall / Breakwater Marina</t>
        </is>
      </c>
      <c r="D659" s="38" t="inlineStr">
        <is>
          <t>noon</t>
        </is>
      </c>
      <c r="E659" s="40" t="inlineStr">
        <is>
          <t>bolt-uae, uae-careem, uae-luxury, uae-noon, uae-voi, yango-uae</t>
        </is>
      </c>
      <c r="F659" s="41" t="n">
        <v>6</v>
      </c>
      <c r="G659" s="42" t="n">
        <v>57.4</v>
      </c>
      <c r="H659" s="35" t="n"/>
      <c r="I659" s="43" t="n"/>
      <c r="J659" s="43" t="n"/>
      <c r="K659" s="29" t="n">
        <v>1</v>
      </c>
      <c r="L659" s="44">
        <f>60*G659/cruise_kt</f>
        <v/>
      </c>
      <c r="M659" s="44">
        <f>IF(B659="South Korea",G659/korea_charge_range_nm*korea_full_range_charge_min,0)</f>
        <v/>
      </c>
      <c r="N659" s="44">
        <f>IF(B659="South Korea",L659+korea_turn_min+korea_dwell_min+M659,L659+turn_min+dwell_min)</f>
        <v/>
      </c>
      <c r="O659" s="45">
        <f>IF(B659="South Korea",FLOOR(60*korea_service_hr/N659,1),MIN(15,FLOOR(60*service_hr/N659,1)))</f>
        <v/>
      </c>
      <c r="P659" s="45">
        <f>IF(ABS(MOD(ABS((365*mech_uptime*K659)),1)-0.5)&lt;1E-9,2*ROUND((365*mech_uptime*K659)/2,0),ROUND((365*mech_uptime*K659),0))</f>
        <v/>
      </c>
      <c r="Q659" s="46">
        <f>mech_uptime</f>
        <v/>
      </c>
      <c r="R659" s="46">
        <f>IF(AND(B659="South Korea",scenario="MID"),korea_mid_revleg,revleg_sel)</f>
        <v/>
      </c>
      <c r="S659" s="45">
        <f>IF(ABS(MOD(ABS((O659*P659*R659)),1)-0.5)&lt;1E-9,2*ROUND((O659*P659*R659)/2,0),ROUND((O659*P659*R659),0))</f>
        <v/>
      </c>
      <c r="T659" s="46">
        <f>IF(AND(B659="South Korea",scenario="MID"),korea_mid_load,load_sel)</f>
        <v/>
      </c>
      <c r="U659" s="47">
        <f>pax_cap*T659</f>
        <v/>
      </c>
      <c r="V659" s="45">
        <f>U659*S659</f>
        <v/>
      </c>
      <c r="W659" s="48">
        <f>H659*discount</f>
        <v/>
      </c>
      <c r="X659" s="49">
        <f>W659*V659</f>
        <v/>
      </c>
      <c r="Y659" s="49">
        <f>(battery/range_nm)*G659*S659*VLOOKUP(B659,country_opex,3,FALSE)</f>
        <v/>
      </c>
      <c r="Z659" s="49">
        <f>VLOOKUP(B659,country_opex,2,FALSE)*crew_factor</f>
        <v/>
      </c>
      <c r="AA659" s="49">
        <f>VLOOKUP(B659,country_opex,5,FALSE)</f>
        <v/>
      </c>
      <c r="AB659" s="49">
        <f>maint</f>
        <v/>
      </c>
      <c r="AC659" s="49">
        <f>VLOOKUP(B659,country_opex,7,FALSE)*ins_pct</f>
        <v/>
      </c>
      <c r="AD659" s="49">
        <f>charge_berth</f>
        <v/>
      </c>
      <c r="AE659" s="49">
        <f>Y659+Z659+AA659+AB659+AC659+AD659</f>
        <v/>
      </c>
      <c r="AF659" s="49">
        <f>VLOOKUP(B659,country_opex,7,FALSE)/dep_years</f>
        <v/>
      </c>
      <c r="AG659" s="49">
        <f>X659-AE659</f>
        <v/>
      </c>
      <c r="AH659" s="46">
        <f>IF(X659=0,"",AG659/X659)</f>
        <v/>
      </c>
      <c r="AI659" s="47">
        <f>IF(AG659&lt;=0,"",VLOOKUP(B659,country_opex,7,FALSE)/AG659)</f>
        <v/>
      </c>
      <c r="AJ659" s="44">
        <f>((G659*S659/diesel_nmpg)*diesel_co2pg-(battery/range_nm)*G659*S659*VLOOKUP(B659,country_opex,4,FALSE))/1000</f>
        <v/>
      </c>
      <c r="AK659" s="42" t="n"/>
      <c r="AL659" s="43" t="n"/>
      <c r="AM659" s="43" t="n"/>
      <c r="AN659" s="50" t="n">
        <v>0.1</v>
      </c>
      <c r="AO659" s="45">
        <f>IF(AK659="","",AK659*AN659)</f>
        <v/>
      </c>
      <c r="AP659" s="45">
        <f>IF(OR(AK659="",V659=0),"",MIN(IF(AX659="",9.9E+99,AX659),FLOOR(AO659/V659,1)))</f>
        <v/>
      </c>
      <c r="AQ659" s="49">
        <f>IF(AP659="","",AP659*IF(ABS(MOD(ABS((X659)),1)-0.5)&lt;1E-9,2*ROUND((X659)/2,0),ROUND((X659),0)))</f>
        <v/>
      </c>
      <c r="AR659" s="47">
        <f>IF(OR(AK659="",V659=0),"",MIN(IF(AX659="",9.9E+99,AX659),AO659/V659))</f>
        <v/>
      </c>
      <c r="AS659" s="49">
        <f>IF(AR659="","",AR659*IF(B659="South Korea",IF(ABS(MOD(ABS((X659)),1)-0.5)&lt;1E-9,2*ROUND((X659)/2,0),ROUND((X659),0)),X659))</f>
        <v/>
      </c>
      <c r="AT659" s="51" t="n"/>
      <c r="AU659" s="43" t="inlineStr">
        <is>
          <t>Estimated</t>
        </is>
      </c>
      <c r="AV659" s="52" t="n"/>
      <c r="AW659" s="52" t="n"/>
      <c r="AX659" s="53" t="n"/>
      <c r="AY659" s="54">
        <f>IF(((W659*pax_cap*load_thin*IF(ABS(MOD(ABS((O659*P659*revleg_thin)),1)-0.5)&lt;1E-9,2*ROUND((O659*P659*revleg_thin)/2,0),ROUND((O659*P659*revleg_thin),0)))-(((battery/range_nm)*G659*IF(ABS(MOD(ABS((O659*P659*revleg_thin)),1)-0.5)&lt;1E-9,2*ROUND((O659*P659*revleg_thin)/2,0),ROUND((O659*P659*revleg_thin),0))*VLOOKUP(B659,country_opex,3,FALSE))+Z659+AA659+AB659+AC659+AD659))&lt;=0,"",VLOOKUP(B659,country_opex,7,FALSE)/((W659*pax_cap*load_thin*IF(ABS(MOD(ABS((O659*P659*revleg_thin)),1)-0.5)&lt;1E-9,2*ROUND((O659*P659*revleg_thin)/2,0),ROUND((O659*P659*revleg_thin),0)))-(((battery/range_nm)*G659*IF(ABS(MOD(ABS((O659*P659*revleg_thin)),1)-0.5)&lt;1E-9,2*ROUND((O659*P659*revleg_thin)/2,0),ROUND((O659*P659*revleg_thin),0))*VLOOKUP(B659,country_opex,3,FALSE))+Z659+AA659+AB659+AC659+AD659)))</f>
        <v/>
      </c>
      <c r="AZ659" s="54">
        <f>IF(((W659*pax_cap*IF(B659="South Korea",korea_mid_load,load_mid)*IF(ABS(MOD(ABS((O659*P659*IF(B659="South Korea",korea_mid_revleg,revleg_mid))),1)-0.5)&lt;1E-9,2*ROUND((O659*P659*IF(B659="South Korea",korea_mid_revleg,revleg_mid))/2,0),ROUND((O659*P659*IF(B659="South Korea",korea_mid_revleg,revleg_mid)),0)))-(((battery/range_nm)*G659*IF(ABS(MOD(ABS((O659*P659*IF(B659="South Korea",korea_mid_revleg,revleg_mid))),1)-0.5)&lt;1E-9,2*ROUND((O659*P659*IF(B659="South Korea",korea_mid_revleg,revleg_mid))/2,0),ROUND((O659*P659*IF(B659="South Korea",korea_mid_revleg,revleg_mid)),0))*VLOOKUP(B659,country_opex,3,FALSE))+Z659+AA659+AB659+AC659+AD659))&lt;=0,"",VLOOKUP(B659,country_opex,7,FALSE)/((W659*pax_cap*IF(B659="South Korea",korea_mid_load,load_mid)*IF(ABS(MOD(ABS((O659*P659*IF(B659="South Korea",korea_mid_revleg,revleg_mid))),1)-0.5)&lt;1E-9,2*ROUND((O659*P659*IF(B659="South Korea",korea_mid_revleg,revleg_mid))/2,0),ROUND((O659*P659*IF(B659="South Korea",korea_mid_revleg,revleg_mid)),0)))-(((battery/range_nm)*G659*IF(ABS(MOD(ABS((O659*P659*IF(B659="South Korea",korea_mid_revleg,revleg_mid))),1)-0.5)&lt;1E-9,2*ROUND((O659*P659*IF(B659="South Korea",korea_mid_revleg,revleg_mid))/2,0),ROUND((O659*P659*IF(B659="South Korea",korea_mid_revleg,revleg_mid)),0))*VLOOKUP(B659,country_opex,3,FALSE))+Z659+AA659+AB659+AC659+AD659)))</f>
        <v/>
      </c>
      <c r="BA659" s="54">
        <f>IF(((W659*pax_cap*load_full*IF(ABS(MOD(ABS((O659*P659*revleg_full)),1)-0.5)&lt;1E-9,2*ROUND((O659*P659*revleg_full)/2,0),ROUND((O659*P659*revleg_full),0)))-(((battery/range_nm)*G659*IF(ABS(MOD(ABS((O659*P659*revleg_full)),1)-0.5)&lt;1E-9,2*ROUND((O659*P659*revleg_full)/2,0),ROUND((O659*P659*revleg_full),0))*VLOOKUP(B659,country_opex,3,FALSE))+Z659+AA659+AB659+AC659+AD659))&lt;=0,"",VLOOKUP(B659,country_opex,7,FALSE)/((W659*pax_cap*load_full*IF(ABS(MOD(ABS((O659*P659*revleg_full)),1)-0.5)&lt;1E-9,2*ROUND((O659*P659*revleg_full)/2,0),ROUND((O659*P659*revleg_full),0)))-(((battery/range_nm)*G659*IF(ABS(MOD(ABS((O659*P659*revleg_full)),1)-0.5)&lt;1E-9,2*ROUND((O659*P659*revleg_full)/2,0),ROUND((O659*P659*revleg_full),0))*VLOOKUP(B659,country_opex,3,FALSE))+Z659+AA659+AB659+AC659+AD659)))</f>
        <v/>
      </c>
      <c r="BB659" s="40" t="n"/>
      <c r="BC659" s="40" t="n"/>
      <c r="BD659" s="43" t="inlineStr">
        <is>
          <t>gcn-4ae479b872-bolt</t>
        </is>
      </c>
    </row>
    <row r="660">
      <c r="A660" s="38" t="inlineStr">
        <is>
          <t>UAE (Careem)</t>
        </is>
      </c>
      <c r="B660" s="38" t="inlineStr">
        <is>
          <t>United Arab Emirates</t>
        </is>
      </c>
      <c r="C660" s="39" t="inlineStr">
        <is>
          <t>Dubai Harbour Marina → Marina Mall / Breakwater Marina</t>
        </is>
      </c>
      <c r="D660" s="38" t="inlineStr">
        <is>
          <t>careem</t>
        </is>
      </c>
      <c r="E660" s="40" t="inlineStr">
        <is>
          <t>bolt-uae, uae-careem, uae-luxury, uae-noon, uae-voi, yango-uae</t>
        </is>
      </c>
      <c r="F660" s="41" t="n">
        <v>12</v>
      </c>
      <c r="G660" s="42" t="n">
        <v>59.8</v>
      </c>
      <c r="H660" s="35" t="n">
        <v>110</v>
      </c>
      <c r="I660" s="43" t="inlineStr">
        <is>
          <t>T5</t>
        </is>
      </c>
      <c r="J660" s="43" t="inlineStr">
        <is>
          <t>low</t>
        </is>
      </c>
      <c r="K660" s="29" t="n">
        <v>1</v>
      </c>
      <c r="L660" s="44">
        <f>60*G660/cruise_kt</f>
        <v/>
      </c>
      <c r="M660" s="44">
        <f>IF(B660="South Korea",G660/korea_charge_range_nm*korea_full_range_charge_min,0)</f>
        <v/>
      </c>
      <c r="N660" s="44">
        <f>IF(B660="South Korea",L660+korea_turn_min+korea_dwell_min+M660,L660+turn_min+dwell_min)</f>
        <v/>
      </c>
      <c r="O660" s="45">
        <f>IF(B660="South Korea",FLOOR(60*korea_service_hr/N660,1),MIN(15,FLOOR(60*service_hr/N660,1)))</f>
        <v/>
      </c>
      <c r="P660" s="45">
        <f>IF(ABS(MOD(ABS((365*mech_uptime*K660)),1)-0.5)&lt;1E-9,2*ROUND((365*mech_uptime*K660)/2,0),ROUND((365*mech_uptime*K660),0))</f>
        <v/>
      </c>
      <c r="Q660" s="46">
        <f>mech_uptime</f>
        <v/>
      </c>
      <c r="R660" s="46">
        <f>IF(AND(B660="South Korea",scenario="MID"),korea_mid_revleg,revleg_sel)</f>
        <v/>
      </c>
      <c r="S660" s="45">
        <f>IF(ABS(MOD(ABS((O660*P660*R660)),1)-0.5)&lt;1E-9,2*ROUND((O660*P660*R660)/2,0),ROUND((O660*P660*R660),0))</f>
        <v/>
      </c>
      <c r="T660" s="46">
        <f>IF(AND(B660="South Korea",scenario="MID"),korea_mid_load,load_sel)</f>
        <v/>
      </c>
      <c r="U660" s="47">
        <f>pax_cap*T660</f>
        <v/>
      </c>
      <c r="V660" s="45">
        <f>U660*S660</f>
        <v/>
      </c>
      <c r="W660" s="48">
        <f>H660*discount</f>
        <v/>
      </c>
      <c r="X660" s="49">
        <f>W660*V660</f>
        <v/>
      </c>
      <c r="Y660" s="49">
        <f>(battery/range_nm)*G660*S660*VLOOKUP(B660,country_opex,3,FALSE)</f>
        <v/>
      </c>
      <c r="Z660" s="49">
        <f>VLOOKUP(B660,country_opex,2,FALSE)*crew_factor</f>
        <v/>
      </c>
      <c r="AA660" s="49">
        <f>VLOOKUP(B660,country_opex,5,FALSE)</f>
        <v/>
      </c>
      <c r="AB660" s="49">
        <f>maint</f>
        <v/>
      </c>
      <c r="AC660" s="49">
        <f>VLOOKUP(B660,country_opex,7,FALSE)*ins_pct</f>
        <v/>
      </c>
      <c r="AD660" s="49">
        <f>charge_berth</f>
        <v/>
      </c>
      <c r="AE660" s="49">
        <f>Y660+Z660+AA660+AB660+AC660+AD660</f>
        <v/>
      </c>
      <c r="AF660" s="49">
        <f>VLOOKUP(B660,country_opex,7,FALSE)/dep_years</f>
        <v/>
      </c>
      <c r="AG660" s="49">
        <f>X660-AE660</f>
        <v/>
      </c>
      <c r="AH660" s="46">
        <f>IF(X660=0,"",AG660/X660)</f>
        <v/>
      </c>
      <c r="AI660" s="47">
        <f>IF(AG660&lt;=0,"",VLOOKUP(B660,country_opex,7,FALSE)/AG660)</f>
        <v/>
      </c>
      <c r="AJ660" s="44">
        <f>((G660*S660/diesel_nmpg)*diesel_co2pg-(battery/range_nm)*G660*S660*VLOOKUP(B660,country_opex,4,FALSE))/1000</f>
        <v/>
      </c>
      <c r="AK660" s="42" t="n">
        <v>25000</v>
      </c>
      <c r="AL660" s="43" t="inlineStr">
        <is>
          <t>T2</t>
        </is>
      </c>
      <c r="AM660" s="43" t="inlineStr">
        <is>
          <t>low</t>
        </is>
      </c>
      <c r="AN660" s="50" t="n">
        <v>0.1</v>
      </c>
      <c r="AO660" s="45">
        <f>IF(AK660="","",AK660*AN660)</f>
        <v/>
      </c>
      <c r="AP660" s="45">
        <f>IF(OR(AK660="",V660=0),"",MIN(IF(AX660="",9.9E+99,AX660),FLOOR(AO660/V660,1)))</f>
        <v/>
      </c>
      <c r="AQ660" s="49">
        <f>IF(AP660="","",AP660*IF(ABS(MOD(ABS((X660)),1)-0.5)&lt;1E-9,2*ROUND((X660)/2,0),ROUND((X660),0)))</f>
        <v/>
      </c>
      <c r="AR660" s="47">
        <f>IF(OR(AK660="",V660=0),"",MIN(IF(AX660="",9.9E+99,AX660),AO660/V660))</f>
        <v/>
      </c>
      <c r="AS660" s="49">
        <f>IF(AR660="","",AR660*IF(B660="South Korea",IF(ABS(MOD(ABS((X660)),1)-0.5)&lt;1E-9,2*ROUND((X660)/2,0),ROUND((X660),0)),X660))</f>
        <v/>
      </c>
      <c r="AT660" s="51" t="n"/>
      <c r="AU660" s="43" t="inlineStr">
        <is>
          <t>Grounded</t>
        </is>
      </c>
      <c r="AV660" s="52" t="n"/>
      <c r="AW660" s="52" t="n"/>
      <c r="AX660" s="53" t="n"/>
      <c r="AY660" s="54">
        <f>IF(((W660*pax_cap*load_thin*IF(ABS(MOD(ABS((O660*P660*revleg_thin)),1)-0.5)&lt;1E-9,2*ROUND((O660*P660*revleg_thin)/2,0),ROUND((O660*P660*revleg_thin),0)))-(((battery/range_nm)*G660*IF(ABS(MOD(ABS((O660*P660*revleg_thin)),1)-0.5)&lt;1E-9,2*ROUND((O660*P660*revleg_thin)/2,0),ROUND((O660*P660*revleg_thin),0))*VLOOKUP(B660,country_opex,3,FALSE))+Z660+AA660+AB660+AC660+AD660))&lt;=0,"",VLOOKUP(B660,country_opex,7,FALSE)/((W660*pax_cap*load_thin*IF(ABS(MOD(ABS((O660*P660*revleg_thin)),1)-0.5)&lt;1E-9,2*ROUND((O660*P660*revleg_thin)/2,0),ROUND((O660*P660*revleg_thin),0)))-(((battery/range_nm)*G660*IF(ABS(MOD(ABS((O660*P660*revleg_thin)),1)-0.5)&lt;1E-9,2*ROUND((O660*P660*revleg_thin)/2,0),ROUND((O660*P660*revleg_thin),0))*VLOOKUP(B660,country_opex,3,FALSE))+Z660+AA660+AB660+AC660+AD660)))</f>
        <v/>
      </c>
      <c r="AZ660" s="54">
        <f>IF(((W660*pax_cap*IF(B660="South Korea",korea_mid_load,load_mid)*IF(ABS(MOD(ABS((O660*P660*IF(B660="South Korea",korea_mid_revleg,revleg_mid))),1)-0.5)&lt;1E-9,2*ROUND((O660*P660*IF(B660="South Korea",korea_mid_revleg,revleg_mid))/2,0),ROUND((O660*P660*IF(B660="South Korea",korea_mid_revleg,revleg_mid)),0)))-(((battery/range_nm)*G660*IF(ABS(MOD(ABS((O660*P660*IF(B660="South Korea",korea_mid_revleg,revleg_mid))),1)-0.5)&lt;1E-9,2*ROUND((O660*P660*IF(B660="South Korea",korea_mid_revleg,revleg_mid))/2,0),ROUND((O660*P660*IF(B660="South Korea",korea_mid_revleg,revleg_mid)),0))*VLOOKUP(B660,country_opex,3,FALSE))+Z660+AA660+AB660+AC660+AD660))&lt;=0,"",VLOOKUP(B660,country_opex,7,FALSE)/((W660*pax_cap*IF(B660="South Korea",korea_mid_load,load_mid)*IF(ABS(MOD(ABS((O660*P660*IF(B660="South Korea",korea_mid_revleg,revleg_mid))),1)-0.5)&lt;1E-9,2*ROUND((O660*P660*IF(B660="South Korea",korea_mid_revleg,revleg_mid))/2,0),ROUND((O660*P660*IF(B660="South Korea",korea_mid_revleg,revleg_mid)),0)))-(((battery/range_nm)*G660*IF(ABS(MOD(ABS((O660*P660*IF(B660="South Korea",korea_mid_revleg,revleg_mid))),1)-0.5)&lt;1E-9,2*ROUND((O660*P660*IF(B660="South Korea",korea_mid_revleg,revleg_mid))/2,0),ROUND((O660*P660*IF(B660="South Korea",korea_mid_revleg,revleg_mid)),0))*VLOOKUP(B660,country_opex,3,FALSE))+Z660+AA660+AB660+AC660+AD660)))</f>
        <v/>
      </c>
      <c r="BA660" s="54">
        <f>IF(((W660*pax_cap*load_full*IF(ABS(MOD(ABS((O660*P660*revleg_full)),1)-0.5)&lt;1E-9,2*ROUND((O660*P660*revleg_full)/2,0),ROUND((O660*P660*revleg_full),0)))-(((battery/range_nm)*G660*IF(ABS(MOD(ABS((O660*P660*revleg_full)),1)-0.5)&lt;1E-9,2*ROUND((O660*P660*revleg_full)/2,0),ROUND((O660*P660*revleg_full),0))*VLOOKUP(B660,country_opex,3,FALSE))+Z660+AA660+AB660+AC660+AD660))&lt;=0,"",VLOOKUP(B660,country_opex,7,FALSE)/((W660*pax_cap*load_full*IF(ABS(MOD(ABS((O660*P660*revleg_full)),1)-0.5)&lt;1E-9,2*ROUND((O660*P660*revleg_full)/2,0),ROUND((O660*P660*revleg_full),0)))-(((battery/range_nm)*G660*IF(ABS(MOD(ABS((O660*P660*revleg_full)),1)-0.5)&lt;1E-9,2*ROUND((O660*P660*revleg_full)/2,0),ROUND((O660*P660*revleg_full),0))*VLOOKUP(B660,country_opex,3,FALSE))+Z660+AA660+AB660+AC660+AD660)))</f>
        <v/>
      </c>
      <c r="BB660" s="40" t="inlineStr">
        <is>
          <t>No Dubai&lt;-&gt;AD ferry. Whole-yacht charter AED 4,500/hr (8-pax ~$95-150/seat); limo AED 250-350. T5/low - opportunity-to-create.</t>
        </is>
      </c>
      <c r="BC66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60" s="43" t="inlineStr">
        <is>
          <t>rn-a5ac4f587aee</t>
        </is>
      </c>
    </row>
    <row r="661">
      <c r="A661" s="38" t="inlineStr">
        <is>
          <t>Vietnam</t>
        </is>
      </c>
      <c r="B661" s="38" t="inlineStr">
        <is>
          <t>Vietnam</t>
        </is>
      </c>
      <c r="C661" s="39" t="inlineStr">
        <is>
          <t>Da Nang (Han River) → Hoi An / Cham Islands</t>
        </is>
      </c>
      <c r="D661" s="38" t="inlineStr">
        <is>
          <t>grab</t>
        </is>
      </c>
      <c r="E661" s="40" t="inlineStr">
        <is>
          <t>vietnam</t>
        </is>
      </c>
      <c r="F661" s="41" t="n">
        <v>1</v>
      </c>
      <c r="G661" s="42" t="n">
        <v>12</v>
      </c>
      <c r="H661" s="35" t="n">
        <v>35</v>
      </c>
      <c r="I661" s="43" t="inlineStr">
        <is>
          <t>T3</t>
        </is>
      </c>
      <c r="J661" s="43" t="inlineStr">
        <is>
          <t>med</t>
        </is>
      </c>
      <c r="K661" s="29" t="n">
        <v>1</v>
      </c>
      <c r="L661" s="44">
        <f>60*G661/cruise_kt</f>
        <v/>
      </c>
      <c r="M661" s="44">
        <f>IF(B661="South Korea",G661/korea_charge_range_nm*korea_full_range_charge_min,0)</f>
        <v/>
      </c>
      <c r="N661" s="44">
        <f>IF(B661="South Korea",L661+korea_turn_min+korea_dwell_min+M661,L661+turn_min+dwell_min)</f>
        <v/>
      </c>
      <c r="O661" s="45">
        <f>IF(B661="South Korea",FLOOR(60*korea_service_hr/N661,1),MIN(15,FLOOR(60*service_hr/N661,1)))</f>
        <v/>
      </c>
      <c r="P661" s="45">
        <f>IF(ABS(MOD(ABS((365*mech_uptime*K661)),1)-0.5)&lt;1E-9,2*ROUND((365*mech_uptime*K661)/2,0),ROUND((365*mech_uptime*K661),0))</f>
        <v/>
      </c>
      <c r="Q661" s="46">
        <f>mech_uptime</f>
        <v/>
      </c>
      <c r="R661" s="46">
        <f>IF(AND(B661="South Korea",scenario="MID"),korea_mid_revleg,revleg_sel)</f>
        <v/>
      </c>
      <c r="S661" s="45">
        <f>IF(ABS(MOD(ABS((O661*P661*R661)),1)-0.5)&lt;1E-9,2*ROUND((O661*P661*R661)/2,0),ROUND((O661*P661*R661),0))</f>
        <v/>
      </c>
      <c r="T661" s="46">
        <f>IF(AND(B661="South Korea",scenario="MID"),korea_mid_load,load_sel)</f>
        <v/>
      </c>
      <c r="U661" s="47">
        <f>pax_cap*T661</f>
        <v/>
      </c>
      <c r="V661" s="45">
        <f>U661*S661</f>
        <v/>
      </c>
      <c r="W661" s="48">
        <f>H661*discount</f>
        <v/>
      </c>
      <c r="X661" s="49">
        <f>W661*V661</f>
        <v/>
      </c>
      <c r="Y661" s="49">
        <f>(battery/range_nm)*G661*S661*VLOOKUP(B661,country_opex,3,FALSE)</f>
        <v/>
      </c>
      <c r="Z661" s="49">
        <f>VLOOKUP(B661,country_opex,2,FALSE)*crew_factor</f>
        <v/>
      </c>
      <c r="AA661" s="49">
        <f>VLOOKUP(B661,country_opex,5,FALSE)</f>
        <v/>
      </c>
      <c r="AB661" s="49">
        <f>maint</f>
        <v/>
      </c>
      <c r="AC661" s="49">
        <f>VLOOKUP(B661,country_opex,7,FALSE)*ins_pct</f>
        <v/>
      </c>
      <c r="AD661" s="49">
        <f>charge_berth</f>
        <v/>
      </c>
      <c r="AE661" s="49">
        <f>Y661+Z661+AA661+AB661+AC661+AD661</f>
        <v/>
      </c>
      <c r="AF661" s="49">
        <f>VLOOKUP(B661,country_opex,7,FALSE)/dep_years</f>
        <v/>
      </c>
      <c r="AG661" s="49">
        <f>X661-AE661</f>
        <v/>
      </c>
      <c r="AH661" s="46">
        <f>IF(X661=0,"",AG661/X661)</f>
        <v/>
      </c>
      <c r="AI661" s="47">
        <f>IF(AG661&lt;=0,"",VLOOKUP(B661,country_opex,7,FALSE)/AG661)</f>
        <v/>
      </c>
      <c r="AJ661" s="44">
        <f>((G661*S661/diesel_nmpg)*diesel_co2pg-(battery/range_nm)*G661*S661*VLOOKUP(B661,country_opex,4,FALSE))/1000</f>
        <v/>
      </c>
      <c r="AK661" s="42" t="n">
        <v>434000</v>
      </c>
      <c r="AL661" s="43" t="inlineStr">
        <is>
          <t>T2</t>
        </is>
      </c>
      <c r="AM661" s="43" t="inlineStr">
        <is>
          <t>med</t>
        </is>
      </c>
      <c r="AN661" s="50" t="n">
        <v>0.1</v>
      </c>
      <c r="AO661" s="45">
        <f>IF(AK661="","",AK661*AN661)</f>
        <v/>
      </c>
      <c r="AP661" s="45">
        <f>IF(OR(AK661="",V661=0),"",MIN(IF(AX661="",9.9E+99,AX661),FLOOR(AO661/V661,1)))</f>
        <v/>
      </c>
      <c r="AQ661" s="49">
        <f>IF(AP661="","",AP661*IF(ABS(MOD(ABS((X661)),1)-0.5)&lt;1E-9,2*ROUND((X661)/2,0),ROUND((X661),0)))</f>
        <v/>
      </c>
      <c r="AR661" s="47">
        <f>IF(OR(AK661="",V661=0),"",MIN(IF(AX661="",9.9E+99,AX661),AO661/V661))</f>
        <v/>
      </c>
      <c r="AS661" s="49">
        <f>IF(AR661="","",AR661*IF(B661="South Korea",IF(ABS(MOD(ABS((X661)),1)-0.5)&lt;1E-9,2*ROUND((X661)/2,0),ROUND((X661),0)),X661))</f>
        <v/>
      </c>
      <c r="AT661" s="51" t="n"/>
      <c r="AU661" s="43" t="inlineStr">
        <is>
          <t>Grounded</t>
        </is>
      </c>
      <c r="AV661" s="52" t="n"/>
      <c r="AW661" s="52" t="n"/>
      <c r="AX661" s="53" t="n"/>
      <c r="AY661" s="54">
        <f>IF(((W661*pax_cap*load_thin*IF(ABS(MOD(ABS((O661*P661*revleg_thin)),1)-0.5)&lt;1E-9,2*ROUND((O661*P661*revleg_thin)/2,0),ROUND((O661*P661*revleg_thin),0)))-(((battery/range_nm)*G661*IF(ABS(MOD(ABS((O661*P661*revleg_thin)),1)-0.5)&lt;1E-9,2*ROUND((O661*P661*revleg_thin)/2,0),ROUND((O661*P661*revleg_thin),0))*VLOOKUP(B661,country_opex,3,FALSE))+Z661+AA661+AB661+AC661+AD661))&lt;=0,"",VLOOKUP(B661,country_opex,7,FALSE)/((W661*pax_cap*load_thin*IF(ABS(MOD(ABS((O661*P661*revleg_thin)),1)-0.5)&lt;1E-9,2*ROUND((O661*P661*revleg_thin)/2,0),ROUND((O661*P661*revleg_thin),0)))-(((battery/range_nm)*G661*IF(ABS(MOD(ABS((O661*P661*revleg_thin)),1)-0.5)&lt;1E-9,2*ROUND((O661*P661*revleg_thin)/2,0),ROUND((O661*P661*revleg_thin),0))*VLOOKUP(B661,country_opex,3,FALSE))+Z661+AA661+AB661+AC661+AD661)))</f>
        <v/>
      </c>
      <c r="AZ661" s="54">
        <f>IF(((W661*pax_cap*IF(B661="South Korea",korea_mid_load,load_mid)*IF(ABS(MOD(ABS((O661*P661*IF(B661="South Korea",korea_mid_revleg,revleg_mid))),1)-0.5)&lt;1E-9,2*ROUND((O661*P661*IF(B661="South Korea",korea_mid_revleg,revleg_mid))/2,0),ROUND((O661*P661*IF(B661="South Korea",korea_mid_revleg,revleg_mid)),0)))-(((battery/range_nm)*G661*IF(ABS(MOD(ABS((O661*P661*IF(B661="South Korea",korea_mid_revleg,revleg_mid))),1)-0.5)&lt;1E-9,2*ROUND((O661*P661*IF(B661="South Korea",korea_mid_revleg,revleg_mid))/2,0),ROUND((O661*P661*IF(B661="South Korea",korea_mid_revleg,revleg_mid)),0))*VLOOKUP(B661,country_opex,3,FALSE))+Z661+AA661+AB661+AC661+AD661))&lt;=0,"",VLOOKUP(B661,country_opex,7,FALSE)/((W661*pax_cap*IF(B661="South Korea",korea_mid_load,load_mid)*IF(ABS(MOD(ABS((O661*P661*IF(B661="South Korea",korea_mid_revleg,revleg_mid))),1)-0.5)&lt;1E-9,2*ROUND((O661*P661*IF(B661="South Korea",korea_mid_revleg,revleg_mid))/2,0),ROUND((O661*P661*IF(B661="South Korea",korea_mid_revleg,revleg_mid)),0)))-(((battery/range_nm)*G661*IF(ABS(MOD(ABS((O661*P661*IF(B661="South Korea",korea_mid_revleg,revleg_mid))),1)-0.5)&lt;1E-9,2*ROUND((O661*P661*IF(B661="South Korea",korea_mid_revleg,revleg_mid))/2,0),ROUND((O661*P661*IF(B661="South Korea",korea_mid_revleg,revleg_mid)),0))*VLOOKUP(B661,country_opex,3,FALSE))+Z661+AA661+AB661+AC661+AD661)))</f>
        <v/>
      </c>
      <c r="BA661" s="54">
        <f>IF(((W661*pax_cap*load_full*IF(ABS(MOD(ABS((O661*P661*revleg_full)),1)-0.5)&lt;1E-9,2*ROUND((O661*P661*revleg_full)/2,0),ROUND((O661*P661*revleg_full),0)))-(((battery/range_nm)*G661*IF(ABS(MOD(ABS((O661*P661*revleg_full)),1)-0.5)&lt;1E-9,2*ROUND((O661*P661*revleg_full)/2,0),ROUND((O661*P661*revleg_full),0))*VLOOKUP(B661,country_opex,3,FALSE))+Z661+AA661+AB661+AC661+AD661))&lt;=0,"",VLOOKUP(B661,country_opex,7,FALSE)/((W661*pax_cap*load_full*IF(ABS(MOD(ABS((O661*P661*revleg_full)),1)-0.5)&lt;1E-9,2*ROUND((O661*P661*revleg_full)/2,0),ROUND((O661*P661*revleg_full),0)))-(((battery/range_nm)*G661*IF(ABS(MOD(ABS((O661*P661*revleg_full)),1)-0.5)&lt;1E-9,2*ROUND((O661*P661*revleg_full)/2,0),ROUND((O661*P661*revleg_full),0))*VLOOKUP(B661,country_opex,3,FALSE))+Z661+AA661+AB661+AC661+AD661)))</f>
        <v/>
      </c>
      <c r="BB661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C661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  <c r="BD661" s="43" t="inlineStr">
        <is>
          <t>ics-1312999652</t>
        </is>
      </c>
    </row>
    <row r="662">
      <c r="A662" s="38" t="inlineStr">
        <is>
          <t>Vietnam</t>
        </is>
      </c>
      <c r="B662" s="38" t="inlineStr">
        <is>
          <t>Vietnam</t>
        </is>
      </c>
      <c r="C662" s="39" t="inlineStr">
        <is>
          <t>Ha Long / Tuan Chau → Lan Ha Bay / Cat Ba</t>
        </is>
      </c>
      <c r="D662" s="38" t="inlineStr">
        <is>
          <t>grab</t>
        </is>
      </c>
      <c r="E662" s="40" t="inlineStr">
        <is>
          <t>vietnam</t>
        </is>
      </c>
      <c r="F662" s="41" t="n">
        <v>1</v>
      </c>
      <c r="G662" s="42" t="n">
        <v>12</v>
      </c>
      <c r="H662" s="35" t="n">
        <v>16</v>
      </c>
      <c r="I662" s="43" t="inlineStr">
        <is>
          <t>T3</t>
        </is>
      </c>
      <c r="J662" s="43" t="inlineStr">
        <is>
          <t>med</t>
        </is>
      </c>
      <c r="K662" s="29" t="n">
        <v>1</v>
      </c>
      <c r="L662" s="44">
        <f>60*G662/cruise_kt</f>
        <v/>
      </c>
      <c r="M662" s="44">
        <f>IF(B662="South Korea",G662/korea_charge_range_nm*korea_full_range_charge_min,0)</f>
        <v/>
      </c>
      <c r="N662" s="44">
        <f>IF(B662="South Korea",L662+korea_turn_min+korea_dwell_min+M662,L662+turn_min+dwell_min)</f>
        <v/>
      </c>
      <c r="O662" s="45">
        <f>IF(B662="South Korea",FLOOR(60*korea_service_hr/N662,1),MIN(15,FLOOR(60*service_hr/N662,1)))</f>
        <v/>
      </c>
      <c r="P662" s="45">
        <f>IF(ABS(MOD(ABS((365*mech_uptime*K662)),1)-0.5)&lt;1E-9,2*ROUND((365*mech_uptime*K662)/2,0),ROUND((365*mech_uptime*K662),0))</f>
        <v/>
      </c>
      <c r="Q662" s="46">
        <f>mech_uptime</f>
        <v/>
      </c>
      <c r="R662" s="46">
        <f>IF(AND(B662="South Korea",scenario="MID"),korea_mid_revleg,revleg_sel)</f>
        <v/>
      </c>
      <c r="S662" s="45">
        <f>IF(ABS(MOD(ABS((O662*P662*R662)),1)-0.5)&lt;1E-9,2*ROUND((O662*P662*R662)/2,0),ROUND((O662*P662*R662),0))</f>
        <v/>
      </c>
      <c r="T662" s="46">
        <f>IF(AND(B662="South Korea",scenario="MID"),korea_mid_load,load_sel)</f>
        <v/>
      </c>
      <c r="U662" s="47">
        <f>pax_cap*T662</f>
        <v/>
      </c>
      <c r="V662" s="45">
        <f>U662*S662</f>
        <v/>
      </c>
      <c r="W662" s="48">
        <f>H662*discount</f>
        <v/>
      </c>
      <c r="X662" s="49">
        <f>W662*V662</f>
        <v/>
      </c>
      <c r="Y662" s="49">
        <f>(battery/range_nm)*G662*S662*VLOOKUP(B662,country_opex,3,FALSE)</f>
        <v/>
      </c>
      <c r="Z662" s="49">
        <f>VLOOKUP(B662,country_opex,2,FALSE)*crew_factor</f>
        <v/>
      </c>
      <c r="AA662" s="49">
        <f>VLOOKUP(B662,country_opex,5,FALSE)</f>
        <v/>
      </c>
      <c r="AB662" s="49">
        <f>maint</f>
        <v/>
      </c>
      <c r="AC662" s="49">
        <f>VLOOKUP(B662,country_opex,7,FALSE)*ins_pct</f>
        <v/>
      </c>
      <c r="AD662" s="49">
        <f>charge_berth</f>
        <v/>
      </c>
      <c r="AE662" s="49">
        <f>Y662+Z662+AA662+AB662+AC662+AD662</f>
        <v/>
      </c>
      <c r="AF662" s="49">
        <f>VLOOKUP(B662,country_opex,7,FALSE)/dep_years</f>
        <v/>
      </c>
      <c r="AG662" s="49">
        <f>X662-AE662</f>
        <v/>
      </c>
      <c r="AH662" s="46">
        <f>IF(X662=0,"",AG662/X662)</f>
        <v/>
      </c>
      <c r="AI662" s="47">
        <f>IF(AG662&lt;=0,"",VLOOKUP(B662,country_opex,7,FALSE)/AG662)</f>
        <v/>
      </c>
      <c r="AJ662" s="44">
        <f>((G662*S662/diesel_nmpg)*diesel_co2pg-(battery/range_nm)*G662*S662*VLOOKUP(B662,country_opex,4,FALSE))/1000</f>
        <v/>
      </c>
      <c r="AK662" s="42" t="n">
        <v>350000</v>
      </c>
      <c r="AL662" s="43" t="inlineStr">
        <is>
          <t>T5</t>
        </is>
      </c>
      <c r="AM662" s="43" t="inlineStr">
        <is>
          <t>low-med</t>
        </is>
      </c>
      <c r="AN662" s="50" t="n">
        <v>0.1</v>
      </c>
      <c r="AO662" s="45">
        <f>IF(AK662="","",AK662*AN662)</f>
        <v/>
      </c>
      <c r="AP662" s="45">
        <f>IF(OR(AK662="",V662=0),"",MIN(IF(AX662="",9.9E+99,AX662),FLOOR(AO662/V662,1)))</f>
        <v/>
      </c>
      <c r="AQ662" s="49">
        <f>IF(AP662="","",AP662*IF(ABS(MOD(ABS((X662)),1)-0.5)&lt;1E-9,2*ROUND((X662)/2,0),ROUND((X662),0)))</f>
        <v/>
      </c>
      <c r="AR662" s="47">
        <f>IF(OR(AK662="",V662=0),"",MIN(IF(AX662="",9.9E+99,AX662),AO662/V662))</f>
        <v/>
      </c>
      <c r="AS662" s="49">
        <f>IF(AR662="","",AR662*IF(B662="South Korea",IF(ABS(MOD(ABS((X662)),1)-0.5)&lt;1E-9,2*ROUND((X662)/2,0),ROUND((X662),0)),X662))</f>
        <v/>
      </c>
      <c r="AT662" s="51" t="n"/>
      <c r="AU662" s="43" t="inlineStr">
        <is>
          <t>Grounded</t>
        </is>
      </c>
      <c r="AV662" s="52" t="n"/>
      <c r="AW662" s="52" t="n"/>
      <c r="AX662" s="53" t="n"/>
      <c r="AY662" s="54">
        <f>IF(((W662*pax_cap*load_thin*IF(ABS(MOD(ABS((O662*P662*revleg_thin)),1)-0.5)&lt;1E-9,2*ROUND((O662*P662*revleg_thin)/2,0),ROUND((O662*P662*revleg_thin),0)))-(((battery/range_nm)*G662*IF(ABS(MOD(ABS((O662*P662*revleg_thin)),1)-0.5)&lt;1E-9,2*ROUND((O662*P662*revleg_thin)/2,0),ROUND((O662*P662*revleg_thin),0))*VLOOKUP(B662,country_opex,3,FALSE))+Z662+AA662+AB662+AC662+AD662))&lt;=0,"",VLOOKUP(B662,country_opex,7,FALSE)/((W662*pax_cap*load_thin*IF(ABS(MOD(ABS((O662*P662*revleg_thin)),1)-0.5)&lt;1E-9,2*ROUND((O662*P662*revleg_thin)/2,0),ROUND((O662*P662*revleg_thin),0)))-(((battery/range_nm)*G662*IF(ABS(MOD(ABS((O662*P662*revleg_thin)),1)-0.5)&lt;1E-9,2*ROUND((O662*P662*revleg_thin)/2,0),ROUND((O662*P662*revleg_thin),0))*VLOOKUP(B662,country_opex,3,FALSE))+Z662+AA662+AB662+AC662+AD662)))</f>
        <v/>
      </c>
      <c r="AZ662" s="54">
        <f>IF(((W662*pax_cap*IF(B662="South Korea",korea_mid_load,load_mid)*IF(ABS(MOD(ABS((O662*P662*IF(B662="South Korea",korea_mid_revleg,revleg_mid))),1)-0.5)&lt;1E-9,2*ROUND((O662*P662*IF(B662="South Korea",korea_mid_revleg,revleg_mid))/2,0),ROUND((O662*P662*IF(B662="South Korea",korea_mid_revleg,revleg_mid)),0)))-(((battery/range_nm)*G662*IF(ABS(MOD(ABS((O662*P662*IF(B662="South Korea",korea_mid_revleg,revleg_mid))),1)-0.5)&lt;1E-9,2*ROUND((O662*P662*IF(B662="South Korea",korea_mid_revleg,revleg_mid))/2,0),ROUND((O662*P662*IF(B662="South Korea",korea_mid_revleg,revleg_mid)),0))*VLOOKUP(B662,country_opex,3,FALSE))+Z662+AA662+AB662+AC662+AD662))&lt;=0,"",VLOOKUP(B662,country_opex,7,FALSE)/((W662*pax_cap*IF(B662="South Korea",korea_mid_load,load_mid)*IF(ABS(MOD(ABS((O662*P662*IF(B662="South Korea",korea_mid_revleg,revleg_mid))),1)-0.5)&lt;1E-9,2*ROUND((O662*P662*IF(B662="South Korea",korea_mid_revleg,revleg_mid))/2,0),ROUND((O662*P662*IF(B662="South Korea",korea_mid_revleg,revleg_mid)),0)))-(((battery/range_nm)*G662*IF(ABS(MOD(ABS((O662*P662*IF(B662="South Korea",korea_mid_revleg,revleg_mid))),1)-0.5)&lt;1E-9,2*ROUND((O662*P662*IF(B662="South Korea",korea_mid_revleg,revleg_mid))/2,0),ROUND((O662*P662*IF(B662="South Korea",korea_mid_revleg,revleg_mid)),0))*VLOOKUP(B662,country_opex,3,FALSE))+Z662+AA662+AB662+AC662+AD662)))</f>
        <v/>
      </c>
      <c r="BA662" s="54">
        <f>IF(((W662*pax_cap*load_full*IF(ABS(MOD(ABS((O662*P662*revleg_full)),1)-0.5)&lt;1E-9,2*ROUND((O662*P662*revleg_full)/2,0),ROUND((O662*P662*revleg_full),0)))-(((battery/range_nm)*G662*IF(ABS(MOD(ABS((O662*P662*revleg_full)),1)-0.5)&lt;1E-9,2*ROUND((O662*P662*revleg_full)/2,0),ROUND((O662*P662*revleg_full),0))*VLOOKUP(B662,country_opex,3,FALSE))+Z662+AA662+AB662+AC662+AD662))&lt;=0,"",VLOOKUP(B662,country_opex,7,FALSE)/((W662*pax_cap*load_full*IF(ABS(MOD(ABS((O662*P662*revleg_full)),1)-0.5)&lt;1E-9,2*ROUND((O662*P662*revleg_full)/2,0),ROUND((O662*P662*revleg_full),0)))-(((battery/range_nm)*G662*IF(ABS(MOD(ABS((O662*P662*revleg_full)),1)-0.5)&lt;1E-9,2*ROUND((O662*P662*revleg_full)/2,0),ROUND((O662*P662*revleg_full),0))*VLOOKUP(B662,country_opex,3,FALSE))+Z662+AA662+AB662+AC662+AD662)))</f>
        <v/>
      </c>
      <c r="BB662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C662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  <c r="BD662" s="43" t="inlineStr">
        <is>
          <t>ics-f21c5d7e8d</t>
        </is>
      </c>
    </row>
    <row r="663">
      <c r="A663" s="38" t="inlineStr">
        <is>
          <t>Vietnam</t>
        </is>
      </c>
      <c r="B663" s="38" t="inlineStr">
        <is>
          <t>Vietnam</t>
        </is>
      </c>
      <c r="C663" s="39" t="inlineStr">
        <is>
          <t>Phu Quoc (Duong Dong) → An Thoi Archipelago</t>
        </is>
      </c>
      <c r="D663" s="38" t="inlineStr">
        <is>
          <t>grab</t>
        </is>
      </c>
      <c r="E663" s="40" t="inlineStr">
        <is>
          <t>vietnam</t>
        </is>
      </c>
      <c r="F663" s="41" t="n">
        <v>1</v>
      </c>
      <c r="G663" s="42" t="n">
        <v>12</v>
      </c>
      <c r="H663" s="35" t="n">
        <v>45</v>
      </c>
      <c r="I663" s="43" t="inlineStr">
        <is>
          <t>T3</t>
        </is>
      </c>
      <c r="J663" s="43" t="inlineStr">
        <is>
          <t>med-low</t>
        </is>
      </c>
      <c r="K663" s="29" t="n">
        <v>1</v>
      </c>
      <c r="L663" s="44">
        <f>60*G663/cruise_kt</f>
        <v/>
      </c>
      <c r="M663" s="44">
        <f>IF(B663="South Korea",G663/korea_charge_range_nm*korea_full_range_charge_min,0)</f>
        <v/>
      </c>
      <c r="N663" s="44">
        <f>IF(B663="South Korea",L663+korea_turn_min+korea_dwell_min+M663,L663+turn_min+dwell_min)</f>
        <v/>
      </c>
      <c r="O663" s="45">
        <f>IF(B663="South Korea",FLOOR(60*korea_service_hr/N663,1),MIN(15,FLOOR(60*service_hr/N663,1)))</f>
        <v/>
      </c>
      <c r="P663" s="45">
        <f>IF(ABS(MOD(ABS((365*mech_uptime*K663)),1)-0.5)&lt;1E-9,2*ROUND((365*mech_uptime*K663)/2,0),ROUND((365*mech_uptime*K663),0))</f>
        <v/>
      </c>
      <c r="Q663" s="46">
        <f>mech_uptime</f>
        <v/>
      </c>
      <c r="R663" s="46">
        <f>IF(AND(B663="South Korea",scenario="MID"),korea_mid_revleg,revleg_sel)</f>
        <v/>
      </c>
      <c r="S663" s="45">
        <f>IF(ABS(MOD(ABS((O663*P663*R663)),1)-0.5)&lt;1E-9,2*ROUND((O663*P663*R663)/2,0),ROUND((O663*P663*R663),0))</f>
        <v/>
      </c>
      <c r="T663" s="46">
        <f>IF(AND(B663="South Korea",scenario="MID"),korea_mid_load,load_sel)</f>
        <v/>
      </c>
      <c r="U663" s="47">
        <f>pax_cap*T663</f>
        <v/>
      </c>
      <c r="V663" s="45">
        <f>U663*S663</f>
        <v/>
      </c>
      <c r="W663" s="48">
        <f>H663*discount</f>
        <v/>
      </c>
      <c r="X663" s="49">
        <f>W663*V663</f>
        <v/>
      </c>
      <c r="Y663" s="49">
        <f>(battery/range_nm)*G663*S663*VLOOKUP(B663,country_opex,3,FALSE)</f>
        <v/>
      </c>
      <c r="Z663" s="49">
        <f>VLOOKUP(B663,country_opex,2,FALSE)*crew_factor</f>
        <v/>
      </c>
      <c r="AA663" s="49">
        <f>VLOOKUP(B663,country_opex,5,FALSE)</f>
        <v/>
      </c>
      <c r="AB663" s="49">
        <f>maint</f>
        <v/>
      </c>
      <c r="AC663" s="49">
        <f>VLOOKUP(B663,country_opex,7,FALSE)*ins_pct</f>
        <v/>
      </c>
      <c r="AD663" s="49">
        <f>charge_berth</f>
        <v/>
      </c>
      <c r="AE663" s="49">
        <f>Y663+Z663+AA663+AB663+AC663+AD663</f>
        <v/>
      </c>
      <c r="AF663" s="49">
        <f>VLOOKUP(B663,country_opex,7,FALSE)/dep_years</f>
        <v/>
      </c>
      <c r="AG663" s="49">
        <f>X663-AE663</f>
        <v/>
      </c>
      <c r="AH663" s="46">
        <f>IF(X663=0,"",AG663/X663)</f>
        <v/>
      </c>
      <c r="AI663" s="47">
        <f>IF(AG663&lt;=0,"",VLOOKUP(B663,country_opex,7,FALSE)/AG663)</f>
        <v/>
      </c>
      <c r="AJ663" s="44">
        <f>((G663*S663/diesel_nmpg)*diesel_co2pg-(battery/range_nm)*G663*S663*VLOOKUP(B663,country_opex,4,FALSE))/1000</f>
        <v/>
      </c>
      <c r="AK663" s="42" t="n">
        <v>1000000</v>
      </c>
      <c r="AL663" s="43" t="inlineStr">
        <is>
          <t>T5</t>
        </is>
      </c>
      <c r="AM663" s="43" t="inlineStr">
        <is>
          <t>low-med</t>
        </is>
      </c>
      <c r="AN663" s="50" t="n">
        <v>0.1</v>
      </c>
      <c r="AO663" s="45">
        <f>IF(AK663="","",AK663*AN663)</f>
        <v/>
      </c>
      <c r="AP663" s="45">
        <f>IF(OR(AK663="",V663=0),"",MIN(IF(AX663="",9.9E+99,AX663),FLOOR(AO663/V663,1)))</f>
        <v/>
      </c>
      <c r="AQ663" s="49">
        <f>IF(AP663="","",AP663*IF(ABS(MOD(ABS((X663)),1)-0.5)&lt;1E-9,2*ROUND((X663)/2,0),ROUND((X663),0)))</f>
        <v/>
      </c>
      <c r="AR663" s="47">
        <f>IF(OR(AK663="",V663=0),"",MIN(IF(AX663="",9.9E+99,AX663),AO663/V663))</f>
        <v/>
      </c>
      <c r="AS663" s="49">
        <f>IF(AR663="","",AR663*IF(B663="South Korea",IF(ABS(MOD(ABS((X663)),1)-0.5)&lt;1E-9,2*ROUND((X663)/2,0),ROUND((X663),0)),X663))</f>
        <v/>
      </c>
      <c r="AT663" s="51" t="n"/>
      <c r="AU663" s="43" t="inlineStr">
        <is>
          <t>Grounded</t>
        </is>
      </c>
      <c r="AV663" s="52" t="n"/>
      <c r="AW663" s="52" t="n"/>
      <c r="AX663" s="53" t="n"/>
      <c r="AY663" s="54">
        <f>IF(((W663*pax_cap*load_thin*IF(ABS(MOD(ABS((O663*P663*revleg_thin)),1)-0.5)&lt;1E-9,2*ROUND((O663*P663*revleg_thin)/2,0),ROUND((O663*P663*revleg_thin),0)))-(((battery/range_nm)*G663*IF(ABS(MOD(ABS((O663*P663*revleg_thin)),1)-0.5)&lt;1E-9,2*ROUND((O663*P663*revleg_thin)/2,0),ROUND((O663*P663*revleg_thin),0))*VLOOKUP(B663,country_opex,3,FALSE))+Z663+AA663+AB663+AC663+AD663))&lt;=0,"",VLOOKUP(B663,country_opex,7,FALSE)/((W663*pax_cap*load_thin*IF(ABS(MOD(ABS((O663*P663*revleg_thin)),1)-0.5)&lt;1E-9,2*ROUND((O663*P663*revleg_thin)/2,0),ROUND((O663*P663*revleg_thin),0)))-(((battery/range_nm)*G663*IF(ABS(MOD(ABS((O663*P663*revleg_thin)),1)-0.5)&lt;1E-9,2*ROUND((O663*P663*revleg_thin)/2,0),ROUND((O663*P663*revleg_thin),0))*VLOOKUP(B663,country_opex,3,FALSE))+Z663+AA663+AB663+AC663+AD663)))</f>
        <v/>
      </c>
      <c r="AZ663" s="54">
        <f>IF(((W663*pax_cap*IF(B663="South Korea",korea_mid_load,load_mid)*IF(ABS(MOD(ABS((O663*P663*IF(B663="South Korea",korea_mid_revleg,revleg_mid))),1)-0.5)&lt;1E-9,2*ROUND((O663*P663*IF(B663="South Korea",korea_mid_revleg,revleg_mid))/2,0),ROUND((O663*P663*IF(B663="South Korea",korea_mid_revleg,revleg_mid)),0)))-(((battery/range_nm)*G663*IF(ABS(MOD(ABS((O663*P663*IF(B663="South Korea",korea_mid_revleg,revleg_mid))),1)-0.5)&lt;1E-9,2*ROUND((O663*P663*IF(B663="South Korea",korea_mid_revleg,revleg_mid))/2,0),ROUND((O663*P663*IF(B663="South Korea",korea_mid_revleg,revleg_mid)),0))*VLOOKUP(B663,country_opex,3,FALSE))+Z663+AA663+AB663+AC663+AD663))&lt;=0,"",VLOOKUP(B663,country_opex,7,FALSE)/((W663*pax_cap*IF(B663="South Korea",korea_mid_load,load_mid)*IF(ABS(MOD(ABS((O663*P663*IF(B663="South Korea",korea_mid_revleg,revleg_mid))),1)-0.5)&lt;1E-9,2*ROUND((O663*P663*IF(B663="South Korea",korea_mid_revleg,revleg_mid))/2,0),ROUND((O663*P663*IF(B663="South Korea",korea_mid_revleg,revleg_mid)),0)))-(((battery/range_nm)*G663*IF(ABS(MOD(ABS((O663*P663*IF(B663="South Korea",korea_mid_revleg,revleg_mid))),1)-0.5)&lt;1E-9,2*ROUND((O663*P663*IF(B663="South Korea",korea_mid_revleg,revleg_mid))/2,0),ROUND((O663*P663*IF(B663="South Korea",korea_mid_revleg,revleg_mid)),0))*VLOOKUP(B663,country_opex,3,FALSE))+Z663+AA663+AB663+AC663+AD663)))</f>
        <v/>
      </c>
      <c r="BA663" s="54">
        <f>IF(((W663*pax_cap*load_full*IF(ABS(MOD(ABS((O663*P663*revleg_full)),1)-0.5)&lt;1E-9,2*ROUND((O663*P663*revleg_full)/2,0),ROUND((O663*P663*revleg_full),0)))-(((battery/range_nm)*G663*IF(ABS(MOD(ABS((O663*P663*revleg_full)),1)-0.5)&lt;1E-9,2*ROUND((O663*P663*revleg_full)/2,0),ROUND((O663*P663*revleg_full),0))*VLOOKUP(B663,country_opex,3,FALSE))+Z663+AA663+AB663+AC663+AD663))&lt;=0,"",VLOOKUP(B663,country_opex,7,FALSE)/((W663*pax_cap*load_full*IF(ABS(MOD(ABS((O663*P663*revleg_full)),1)-0.5)&lt;1E-9,2*ROUND((O663*P663*revleg_full)/2,0),ROUND((O663*P663*revleg_full),0)))-(((battery/range_nm)*G663*IF(ABS(MOD(ABS((O663*P663*revleg_full)),1)-0.5)&lt;1E-9,2*ROUND((O663*P663*revleg_full)/2,0),ROUND((O663*P663*revleg_full),0))*VLOOKUP(B663,country_opex,3,FALSE))+Z663+AA663+AB663+AC663+AD663)))</f>
        <v/>
      </c>
      <c r="BB663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C663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  <c r="BD663" s="43" t="inlineStr">
        <is>
          <t>ics-26acf800c5</t>
        </is>
      </c>
    </row>
    <row r="664">
      <c r="A664" s="38" t="inlineStr">
        <is>
          <t>Vietnam</t>
        </is>
      </c>
      <c r="B664" s="38" t="inlineStr">
        <is>
          <t>Vietnam</t>
        </is>
      </c>
      <c r="C664" s="39" t="inlineStr">
        <is>
          <t>Bach Dang Wharf (Saigon) → Can Gio Mangrove Biosphere</t>
        </is>
      </c>
      <c r="D664" s="38" t="inlineStr">
        <is>
          <t>grab</t>
        </is>
      </c>
      <c r="E664" s="40" t="inlineStr">
        <is>
          <t>vietnam</t>
        </is>
      </c>
      <c r="F664" s="41" t="n">
        <v>1</v>
      </c>
      <c r="G664" s="42" t="n">
        <v>30</v>
      </c>
      <c r="H664" s="35" t="n">
        <v>65</v>
      </c>
      <c r="I664" s="43" t="inlineStr">
        <is>
          <t>T3</t>
        </is>
      </c>
      <c r="J664" s="43" t="inlineStr">
        <is>
          <t>med-low</t>
        </is>
      </c>
      <c r="K664" s="29" t="n">
        <v>1</v>
      </c>
      <c r="L664" s="44">
        <f>60*G664/cruise_kt</f>
        <v/>
      </c>
      <c r="M664" s="44">
        <f>IF(B664="South Korea",G664/korea_charge_range_nm*korea_full_range_charge_min,0)</f>
        <v/>
      </c>
      <c r="N664" s="44">
        <f>IF(B664="South Korea",L664+korea_turn_min+korea_dwell_min+M664,L664+turn_min+dwell_min)</f>
        <v/>
      </c>
      <c r="O664" s="45">
        <f>IF(B664="South Korea",FLOOR(60*korea_service_hr/N664,1),MIN(15,FLOOR(60*service_hr/N664,1)))</f>
        <v/>
      </c>
      <c r="P664" s="45">
        <f>IF(ABS(MOD(ABS((365*mech_uptime*K664)),1)-0.5)&lt;1E-9,2*ROUND((365*mech_uptime*K664)/2,0),ROUND((365*mech_uptime*K664),0))</f>
        <v/>
      </c>
      <c r="Q664" s="46">
        <f>mech_uptime</f>
        <v/>
      </c>
      <c r="R664" s="46">
        <f>IF(AND(B664="South Korea",scenario="MID"),korea_mid_revleg,revleg_sel)</f>
        <v/>
      </c>
      <c r="S664" s="45">
        <f>IF(ABS(MOD(ABS((O664*P664*R664)),1)-0.5)&lt;1E-9,2*ROUND((O664*P664*R664)/2,0),ROUND((O664*P664*R664),0))</f>
        <v/>
      </c>
      <c r="T664" s="46">
        <f>IF(AND(B664="South Korea",scenario="MID"),korea_mid_load,load_sel)</f>
        <v/>
      </c>
      <c r="U664" s="47">
        <f>pax_cap*T664</f>
        <v/>
      </c>
      <c r="V664" s="45">
        <f>U664*S664</f>
        <v/>
      </c>
      <c r="W664" s="48">
        <f>H664*discount</f>
        <v/>
      </c>
      <c r="X664" s="49">
        <f>W664*V664</f>
        <v/>
      </c>
      <c r="Y664" s="49">
        <f>(battery/range_nm)*G664*S664*VLOOKUP(B664,country_opex,3,FALSE)</f>
        <v/>
      </c>
      <c r="Z664" s="49">
        <f>VLOOKUP(B664,country_opex,2,FALSE)*crew_factor</f>
        <v/>
      </c>
      <c r="AA664" s="49">
        <f>VLOOKUP(B664,country_opex,5,FALSE)</f>
        <v/>
      </c>
      <c r="AB664" s="49">
        <f>maint</f>
        <v/>
      </c>
      <c r="AC664" s="49">
        <f>VLOOKUP(B664,country_opex,7,FALSE)*ins_pct</f>
        <v/>
      </c>
      <c r="AD664" s="49">
        <f>charge_berth</f>
        <v/>
      </c>
      <c r="AE664" s="49">
        <f>Y664+Z664+AA664+AB664+AC664+AD664</f>
        <v/>
      </c>
      <c r="AF664" s="49">
        <f>VLOOKUP(B664,country_opex,7,FALSE)/dep_years</f>
        <v/>
      </c>
      <c r="AG664" s="49">
        <f>X664-AE664</f>
        <v/>
      </c>
      <c r="AH664" s="46">
        <f>IF(X664=0,"",AG664/X664)</f>
        <v/>
      </c>
      <c r="AI664" s="47">
        <f>IF(AG664&lt;=0,"",VLOOKUP(B664,country_opex,7,FALSE)/AG664)</f>
        <v/>
      </c>
      <c r="AJ664" s="44">
        <f>((G664*S664/diesel_nmpg)*diesel_co2pg-(battery/range_nm)*G664*S664*VLOOKUP(B664,country_opex,4,FALSE))/1000</f>
        <v/>
      </c>
      <c r="AK664" s="42" t="n"/>
      <c r="AL664" s="43" t="inlineStr">
        <is>
          <t>null</t>
        </is>
      </c>
      <c r="AM664" s="43" t="inlineStr">
        <is>
          <t>null</t>
        </is>
      </c>
      <c r="AN664" s="50" t="n">
        <v>0.1</v>
      </c>
      <c r="AO664" s="45">
        <f>IF(AK664="","",AK664*AN664)</f>
        <v/>
      </c>
      <c r="AP664" s="45">
        <f>IF(OR(AK664="",V664=0),"",MIN(IF(AX664="",9.9E+99,AX664),FLOOR(AO664/V664,1)))</f>
        <v/>
      </c>
      <c r="AQ664" s="49">
        <f>IF(AP664="","",AP664*IF(ABS(MOD(ABS((X664)),1)-0.5)&lt;1E-9,2*ROUND((X664)/2,0),ROUND((X664),0)))</f>
        <v/>
      </c>
      <c r="AR664" s="47">
        <f>IF(OR(AK664="",V664=0),"",MIN(IF(AX664="",9.9E+99,AX664),AO664/V664))</f>
        <v/>
      </c>
      <c r="AS664" s="49">
        <f>IF(AR664="","",AR664*IF(B664="South Korea",IF(ABS(MOD(ABS((X664)),1)-0.5)&lt;1E-9,2*ROUND((X664)/2,0),ROUND((X664),0)),X664))</f>
        <v/>
      </c>
      <c r="AT664" s="51" t="n"/>
      <c r="AU664" s="43" t="inlineStr">
        <is>
          <t>Estimated</t>
        </is>
      </c>
      <c r="AV664" s="52" t="n"/>
      <c r="AW664" s="52" t="n"/>
      <c r="AX664" s="53" t="n"/>
      <c r="AY664" s="54">
        <f>IF(((W664*pax_cap*load_thin*IF(ABS(MOD(ABS((O664*P664*revleg_thin)),1)-0.5)&lt;1E-9,2*ROUND((O664*P664*revleg_thin)/2,0),ROUND((O664*P664*revleg_thin),0)))-(((battery/range_nm)*G664*IF(ABS(MOD(ABS((O664*P664*revleg_thin)),1)-0.5)&lt;1E-9,2*ROUND((O664*P664*revleg_thin)/2,0),ROUND((O664*P664*revleg_thin),0))*VLOOKUP(B664,country_opex,3,FALSE))+Z664+AA664+AB664+AC664+AD664))&lt;=0,"",VLOOKUP(B664,country_opex,7,FALSE)/((W664*pax_cap*load_thin*IF(ABS(MOD(ABS((O664*P664*revleg_thin)),1)-0.5)&lt;1E-9,2*ROUND((O664*P664*revleg_thin)/2,0),ROUND((O664*P664*revleg_thin),0)))-(((battery/range_nm)*G664*IF(ABS(MOD(ABS((O664*P664*revleg_thin)),1)-0.5)&lt;1E-9,2*ROUND((O664*P664*revleg_thin)/2,0),ROUND((O664*P664*revleg_thin),0))*VLOOKUP(B664,country_opex,3,FALSE))+Z664+AA664+AB664+AC664+AD664)))</f>
        <v/>
      </c>
      <c r="AZ664" s="54">
        <f>IF(((W664*pax_cap*IF(B664="South Korea",korea_mid_load,load_mid)*IF(ABS(MOD(ABS((O664*P664*IF(B664="South Korea",korea_mid_revleg,revleg_mid))),1)-0.5)&lt;1E-9,2*ROUND((O664*P664*IF(B664="South Korea",korea_mid_revleg,revleg_mid))/2,0),ROUND((O664*P664*IF(B664="South Korea",korea_mid_revleg,revleg_mid)),0)))-(((battery/range_nm)*G664*IF(ABS(MOD(ABS((O664*P664*IF(B664="South Korea",korea_mid_revleg,revleg_mid))),1)-0.5)&lt;1E-9,2*ROUND((O664*P664*IF(B664="South Korea",korea_mid_revleg,revleg_mid))/2,0),ROUND((O664*P664*IF(B664="South Korea",korea_mid_revleg,revleg_mid)),0))*VLOOKUP(B664,country_opex,3,FALSE))+Z664+AA664+AB664+AC664+AD664))&lt;=0,"",VLOOKUP(B664,country_opex,7,FALSE)/((W664*pax_cap*IF(B664="South Korea",korea_mid_load,load_mid)*IF(ABS(MOD(ABS((O664*P664*IF(B664="South Korea",korea_mid_revleg,revleg_mid))),1)-0.5)&lt;1E-9,2*ROUND((O664*P664*IF(B664="South Korea",korea_mid_revleg,revleg_mid))/2,0),ROUND((O664*P664*IF(B664="South Korea",korea_mid_revleg,revleg_mid)),0)))-(((battery/range_nm)*G664*IF(ABS(MOD(ABS((O664*P664*IF(B664="South Korea",korea_mid_revleg,revleg_mid))),1)-0.5)&lt;1E-9,2*ROUND((O664*P664*IF(B664="South Korea",korea_mid_revleg,revleg_mid))/2,0),ROUND((O664*P664*IF(B664="South Korea",korea_mid_revleg,revleg_mid)),0))*VLOOKUP(B664,country_opex,3,FALSE))+Z664+AA664+AB664+AC664+AD664)))</f>
        <v/>
      </c>
      <c r="BA664" s="54">
        <f>IF(((W664*pax_cap*load_full*IF(ABS(MOD(ABS((O664*P664*revleg_full)),1)-0.5)&lt;1E-9,2*ROUND((O664*P664*revleg_full)/2,0),ROUND((O664*P664*revleg_full),0)))-(((battery/range_nm)*G664*IF(ABS(MOD(ABS((O664*P664*revleg_full)),1)-0.5)&lt;1E-9,2*ROUND((O664*P664*revleg_full)/2,0),ROUND((O664*P664*revleg_full),0))*VLOOKUP(B664,country_opex,3,FALSE))+Z664+AA664+AB664+AC664+AD664))&lt;=0,"",VLOOKUP(B664,country_opex,7,FALSE)/((W664*pax_cap*load_full*IF(ABS(MOD(ABS((O664*P664*revleg_full)),1)-0.5)&lt;1E-9,2*ROUND((O664*P664*revleg_full)/2,0),ROUND((O664*P664*revleg_full),0)))-(((battery/range_nm)*G664*IF(ABS(MOD(ABS((O664*P664*revleg_full)),1)-0.5)&lt;1E-9,2*ROUND((O664*P664*revleg_full)/2,0),ROUND((O664*P664*revleg_full),0))*VLOOKUP(B664,country_opex,3,FALSE))+Z664+AA664+AB664+AC664+AD664)))</f>
        <v/>
      </c>
      <c r="BB664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C664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  <c r="BD664" s="43" t="n"/>
    </row>
    <row r="665">
      <c r="A665" s="38" t="inlineStr">
        <is>
          <t>Vietnam</t>
        </is>
      </c>
      <c r="B665" s="38" t="inlineStr">
        <is>
          <t>Vietnam</t>
        </is>
      </c>
      <c r="C665" s="39" t="inlineStr">
        <is>
          <t>Saigon (Bach Dang) → Vung Tau</t>
        </is>
      </c>
      <c r="D665" s="38" t="inlineStr">
        <is>
          <t>grab</t>
        </is>
      </c>
      <c r="E665" s="40" t="inlineStr">
        <is>
          <t>vietnam</t>
        </is>
      </c>
      <c r="F665" s="41" t="n">
        <v>1</v>
      </c>
      <c r="G665" s="42" t="n">
        <v>44.7</v>
      </c>
      <c r="H665" s="35" t="n">
        <v>14</v>
      </c>
      <c r="I665" s="43" t="inlineStr">
        <is>
          <t>T3</t>
        </is>
      </c>
      <c r="J665" s="43" t="inlineStr">
        <is>
          <t>med-high</t>
        </is>
      </c>
      <c r="K665" s="29" t="n">
        <v>1</v>
      </c>
      <c r="L665" s="44">
        <f>60*G665/cruise_kt</f>
        <v/>
      </c>
      <c r="M665" s="44">
        <f>IF(B665="South Korea",G665/korea_charge_range_nm*korea_full_range_charge_min,0)</f>
        <v/>
      </c>
      <c r="N665" s="44">
        <f>IF(B665="South Korea",L665+korea_turn_min+korea_dwell_min+M665,L665+turn_min+dwell_min)</f>
        <v/>
      </c>
      <c r="O665" s="45">
        <f>IF(B665="South Korea",FLOOR(60*korea_service_hr/N665,1),MIN(15,FLOOR(60*service_hr/N665,1)))</f>
        <v/>
      </c>
      <c r="P665" s="45">
        <f>IF(ABS(MOD(ABS((365*mech_uptime*K665)),1)-0.5)&lt;1E-9,2*ROUND((365*mech_uptime*K665)/2,0),ROUND((365*mech_uptime*K665),0))</f>
        <v/>
      </c>
      <c r="Q665" s="46">
        <f>mech_uptime</f>
        <v/>
      </c>
      <c r="R665" s="46">
        <f>IF(AND(B665="South Korea",scenario="MID"),korea_mid_revleg,revleg_sel)</f>
        <v/>
      </c>
      <c r="S665" s="45">
        <f>IF(ABS(MOD(ABS((O665*P665*R665)),1)-0.5)&lt;1E-9,2*ROUND((O665*P665*R665)/2,0),ROUND((O665*P665*R665),0))</f>
        <v/>
      </c>
      <c r="T665" s="46">
        <f>IF(AND(B665="South Korea",scenario="MID"),korea_mid_load,load_sel)</f>
        <v/>
      </c>
      <c r="U665" s="47">
        <f>pax_cap*T665</f>
        <v/>
      </c>
      <c r="V665" s="45">
        <f>U665*S665</f>
        <v/>
      </c>
      <c r="W665" s="48">
        <f>H665*discount</f>
        <v/>
      </c>
      <c r="X665" s="49">
        <f>W665*V665</f>
        <v/>
      </c>
      <c r="Y665" s="49">
        <f>(battery/range_nm)*G665*S665*VLOOKUP(B665,country_opex,3,FALSE)</f>
        <v/>
      </c>
      <c r="Z665" s="49">
        <f>VLOOKUP(B665,country_opex,2,FALSE)*crew_factor</f>
        <v/>
      </c>
      <c r="AA665" s="49">
        <f>VLOOKUP(B665,country_opex,5,FALSE)</f>
        <v/>
      </c>
      <c r="AB665" s="49">
        <f>maint</f>
        <v/>
      </c>
      <c r="AC665" s="49">
        <f>VLOOKUP(B665,country_opex,7,FALSE)*ins_pct</f>
        <v/>
      </c>
      <c r="AD665" s="49">
        <f>charge_berth</f>
        <v/>
      </c>
      <c r="AE665" s="49">
        <f>Y665+Z665+AA665+AB665+AC665+AD665</f>
        <v/>
      </c>
      <c r="AF665" s="49">
        <f>VLOOKUP(B665,country_opex,7,FALSE)/dep_years</f>
        <v/>
      </c>
      <c r="AG665" s="49">
        <f>X665-AE665</f>
        <v/>
      </c>
      <c r="AH665" s="46">
        <f>IF(X665=0,"",AG665/X665)</f>
        <v/>
      </c>
      <c r="AI665" s="47">
        <f>IF(AG665&lt;=0,"",VLOOKUP(B665,country_opex,7,FALSE)/AG665)</f>
        <v/>
      </c>
      <c r="AJ665" s="44">
        <f>((G665*S665/diesel_nmpg)*diesel_co2pg-(battery/range_nm)*G665*S665*VLOOKUP(B665,country_opex,4,FALSE))/1000</f>
        <v/>
      </c>
      <c r="AK665" s="42" t="n">
        <v>100000</v>
      </c>
      <c r="AL665" s="43" t="inlineStr">
        <is>
          <t>T5</t>
        </is>
      </c>
      <c r="AM665" s="43" t="inlineStr">
        <is>
          <t>low-med</t>
        </is>
      </c>
      <c r="AN665" s="50" t="n">
        <v>0.1</v>
      </c>
      <c r="AO665" s="45">
        <f>IF(AK665="","",AK665*AN665)</f>
        <v/>
      </c>
      <c r="AP665" s="45">
        <f>IF(OR(AK665="",V665=0),"",MIN(IF(AX665="",9.9E+99,AX665),FLOOR(AO665/V665,1)))</f>
        <v/>
      </c>
      <c r="AQ665" s="49">
        <f>IF(AP665="","",AP665*IF(ABS(MOD(ABS((X665)),1)-0.5)&lt;1E-9,2*ROUND((X665)/2,0),ROUND((X665),0)))</f>
        <v/>
      </c>
      <c r="AR665" s="47">
        <f>IF(OR(AK665="",V665=0),"",MIN(IF(AX665="",9.9E+99,AX665),AO665/V665))</f>
        <v/>
      </c>
      <c r="AS665" s="49">
        <f>IF(AR665="","",AR665*IF(B665="South Korea",IF(ABS(MOD(ABS((X665)),1)-0.5)&lt;1E-9,2*ROUND((X665)/2,0),ROUND((X665),0)),X665))</f>
        <v/>
      </c>
      <c r="AT665" s="51" t="n"/>
      <c r="AU665" s="43" t="inlineStr">
        <is>
          <t>Grounded</t>
        </is>
      </c>
      <c r="AV665" s="52" t="n"/>
      <c r="AW665" s="52" t="n"/>
      <c r="AX665" s="53" t="n"/>
      <c r="AY665" s="54">
        <f>IF(((W665*pax_cap*load_thin*IF(ABS(MOD(ABS((O665*P665*revleg_thin)),1)-0.5)&lt;1E-9,2*ROUND((O665*P665*revleg_thin)/2,0),ROUND((O665*P665*revleg_thin),0)))-(((battery/range_nm)*G665*IF(ABS(MOD(ABS((O665*P665*revleg_thin)),1)-0.5)&lt;1E-9,2*ROUND((O665*P665*revleg_thin)/2,0),ROUND((O665*P665*revleg_thin),0))*VLOOKUP(B665,country_opex,3,FALSE))+Z665+AA665+AB665+AC665+AD665))&lt;=0,"",VLOOKUP(B665,country_opex,7,FALSE)/((W665*pax_cap*load_thin*IF(ABS(MOD(ABS((O665*P665*revleg_thin)),1)-0.5)&lt;1E-9,2*ROUND((O665*P665*revleg_thin)/2,0),ROUND((O665*P665*revleg_thin),0)))-(((battery/range_nm)*G665*IF(ABS(MOD(ABS((O665*P665*revleg_thin)),1)-0.5)&lt;1E-9,2*ROUND((O665*P665*revleg_thin)/2,0),ROUND((O665*P665*revleg_thin),0))*VLOOKUP(B665,country_opex,3,FALSE))+Z665+AA665+AB665+AC665+AD665)))</f>
        <v/>
      </c>
      <c r="AZ665" s="54">
        <f>IF(((W665*pax_cap*IF(B665="South Korea",korea_mid_load,load_mid)*IF(ABS(MOD(ABS((O665*P665*IF(B665="South Korea",korea_mid_revleg,revleg_mid))),1)-0.5)&lt;1E-9,2*ROUND((O665*P665*IF(B665="South Korea",korea_mid_revleg,revleg_mid))/2,0),ROUND((O665*P665*IF(B665="South Korea",korea_mid_revleg,revleg_mid)),0)))-(((battery/range_nm)*G665*IF(ABS(MOD(ABS((O665*P665*IF(B665="South Korea",korea_mid_revleg,revleg_mid))),1)-0.5)&lt;1E-9,2*ROUND((O665*P665*IF(B665="South Korea",korea_mid_revleg,revleg_mid))/2,0),ROUND((O665*P665*IF(B665="South Korea",korea_mid_revleg,revleg_mid)),0))*VLOOKUP(B665,country_opex,3,FALSE))+Z665+AA665+AB665+AC665+AD665))&lt;=0,"",VLOOKUP(B665,country_opex,7,FALSE)/((W665*pax_cap*IF(B665="South Korea",korea_mid_load,load_mid)*IF(ABS(MOD(ABS((O665*P665*IF(B665="South Korea",korea_mid_revleg,revleg_mid))),1)-0.5)&lt;1E-9,2*ROUND((O665*P665*IF(B665="South Korea",korea_mid_revleg,revleg_mid))/2,0),ROUND((O665*P665*IF(B665="South Korea",korea_mid_revleg,revleg_mid)),0)))-(((battery/range_nm)*G665*IF(ABS(MOD(ABS((O665*P665*IF(B665="South Korea",korea_mid_revleg,revleg_mid))),1)-0.5)&lt;1E-9,2*ROUND((O665*P665*IF(B665="South Korea",korea_mid_revleg,revleg_mid))/2,0),ROUND((O665*P665*IF(B665="South Korea",korea_mid_revleg,revleg_mid)),0))*VLOOKUP(B665,country_opex,3,FALSE))+Z665+AA665+AB665+AC665+AD665)))</f>
        <v/>
      </c>
      <c r="BA665" s="54">
        <f>IF(((W665*pax_cap*load_full*IF(ABS(MOD(ABS((O665*P665*revleg_full)),1)-0.5)&lt;1E-9,2*ROUND((O665*P665*revleg_full)/2,0),ROUND((O665*P665*revleg_full),0)))-(((battery/range_nm)*G665*IF(ABS(MOD(ABS((O665*P665*revleg_full)),1)-0.5)&lt;1E-9,2*ROUND((O665*P665*revleg_full)/2,0),ROUND((O665*P665*revleg_full),0))*VLOOKUP(B665,country_opex,3,FALSE))+Z665+AA665+AB665+AC665+AD665))&lt;=0,"",VLOOKUP(B665,country_opex,7,FALSE)/((W665*pax_cap*load_full*IF(ABS(MOD(ABS((O665*P665*revleg_full)),1)-0.5)&lt;1E-9,2*ROUND((O665*P665*revleg_full)/2,0),ROUND((O665*P665*revleg_full),0)))-(((battery/range_nm)*G665*IF(ABS(MOD(ABS((O665*P665*revleg_full)),1)-0.5)&lt;1E-9,2*ROUND((O665*P665*revleg_full)/2,0),ROUND((O665*P665*revleg_full),0))*VLOOKUP(B665,country_opex,3,FALSE))+Z665+AA665+AB665+AC665+AD665)))</f>
        <v/>
      </c>
      <c r="BB665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C665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  <c r="BD665" s="43" t="n"/>
    </row>
    <row r="666">
      <c r="A666" s="38" t="inlineStr">
        <is>
          <t>Vietnam</t>
        </is>
      </c>
      <c r="B666" s="38" t="inlineStr">
        <is>
          <t>Vietnam</t>
        </is>
      </c>
      <c r="C666" s="39" t="inlineStr">
        <is>
          <t>Phu Quoc (Bai Vong Port) → Rach Gia (mainland)</t>
        </is>
      </c>
      <c r="D666" s="38" t="inlineStr">
        <is>
          <t>grab</t>
        </is>
      </c>
      <c r="E666" s="40" t="inlineStr">
        <is>
          <t>vietnam</t>
        </is>
      </c>
      <c r="F666" s="41" t="n">
        <v>1</v>
      </c>
      <c r="G666" s="42" t="n">
        <v>62</v>
      </c>
      <c r="H666" s="35" t="n">
        <v>19</v>
      </c>
      <c r="I666" s="43" t="inlineStr">
        <is>
          <t>T3</t>
        </is>
      </c>
      <c r="J666" s="43" t="inlineStr">
        <is>
          <t>med-high</t>
        </is>
      </c>
      <c r="K666" s="29" t="n">
        <v>1</v>
      </c>
      <c r="L666" s="44">
        <f>60*G666/cruise_kt</f>
        <v/>
      </c>
      <c r="M666" s="44">
        <f>IF(B666="South Korea",G666/korea_charge_range_nm*korea_full_range_charge_min,0)</f>
        <v/>
      </c>
      <c r="N666" s="44">
        <f>IF(B666="South Korea",L666+korea_turn_min+korea_dwell_min+M666,L666+turn_min+dwell_min)</f>
        <v/>
      </c>
      <c r="O666" s="45">
        <f>IF(B666="South Korea",FLOOR(60*korea_service_hr/N666,1),MIN(15,FLOOR(60*service_hr/N666,1)))</f>
        <v/>
      </c>
      <c r="P666" s="45">
        <f>IF(ABS(MOD(ABS((365*mech_uptime*K666)),1)-0.5)&lt;1E-9,2*ROUND((365*mech_uptime*K666)/2,0),ROUND((365*mech_uptime*K666),0))</f>
        <v/>
      </c>
      <c r="Q666" s="46">
        <f>mech_uptime</f>
        <v/>
      </c>
      <c r="R666" s="46">
        <f>IF(AND(B666="South Korea",scenario="MID"),korea_mid_revleg,revleg_sel)</f>
        <v/>
      </c>
      <c r="S666" s="45">
        <f>IF(ABS(MOD(ABS((O666*P666*R666)),1)-0.5)&lt;1E-9,2*ROUND((O666*P666*R666)/2,0),ROUND((O666*P666*R666),0))</f>
        <v/>
      </c>
      <c r="T666" s="46">
        <f>IF(AND(B666="South Korea",scenario="MID"),korea_mid_load,load_sel)</f>
        <v/>
      </c>
      <c r="U666" s="47">
        <f>pax_cap*T666</f>
        <v/>
      </c>
      <c r="V666" s="45">
        <f>U666*S666</f>
        <v/>
      </c>
      <c r="W666" s="48">
        <f>H666*discount</f>
        <v/>
      </c>
      <c r="X666" s="49">
        <f>W666*V666</f>
        <v/>
      </c>
      <c r="Y666" s="49">
        <f>(battery/range_nm)*G666*S666*VLOOKUP(B666,country_opex,3,FALSE)</f>
        <v/>
      </c>
      <c r="Z666" s="49">
        <f>VLOOKUP(B666,country_opex,2,FALSE)*crew_factor</f>
        <v/>
      </c>
      <c r="AA666" s="49">
        <f>VLOOKUP(B666,country_opex,5,FALSE)</f>
        <v/>
      </c>
      <c r="AB666" s="49">
        <f>maint</f>
        <v/>
      </c>
      <c r="AC666" s="49">
        <f>VLOOKUP(B666,country_opex,7,FALSE)*ins_pct</f>
        <v/>
      </c>
      <c r="AD666" s="49">
        <f>charge_berth</f>
        <v/>
      </c>
      <c r="AE666" s="49">
        <f>Y666+Z666+AA666+AB666+AC666+AD666</f>
        <v/>
      </c>
      <c r="AF666" s="49">
        <f>VLOOKUP(B666,country_opex,7,FALSE)/dep_years</f>
        <v/>
      </c>
      <c r="AG666" s="49">
        <f>X666-AE666</f>
        <v/>
      </c>
      <c r="AH666" s="46">
        <f>IF(X666=0,"",AG666/X666)</f>
        <v/>
      </c>
      <c r="AI666" s="47">
        <f>IF(AG666&lt;=0,"",VLOOKUP(B666,country_opex,7,FALSE)/AG666)</f>
        <v/>
      </c>
      <c r="AJ666" s="44">
        <f>((G666*S666/diesel_nmpg)*diesel_co2pg-(battery/range_nm)*G666*S666*VLOOKUP(B666,country_opex,4,FALSE))/1000</f>
        <v/>
      </c>
      <c r="AK666" s="42" t="n">
        <v>650000</v>
      </c>
      <c r="AL666" s="43" t="inlineStr">
        <is>
          <t>T2</t>
        </is>
      </c>
      <c r="AM666" s="43" t="inlineStr">
        <is>
          <t>med</t>
        </is>
      </c>
      <c r="AN666" s="50" t="n">
        <v>0.1</v>
      </c>
      <c r="AO666" s="45">
        <f>IF(AK666="","",AK666*AN666)</f>
        <v/>
      </c>
      <c r="AP666" s="45">
        <f>IF(OR(AK666="",V666=0),"",MIN(IF(AX666="",9.9E+99,AX666),FLOOR(AO666/V666,1)))</f>
        <v/>
      </c>
      <c r="AQ666" s="49">
        <f>IF(AP666="","",AP666*IF(ABS(MOD(ABS((X666)),1)-0.5)&lt;1E-9,2*ROUND((X666)/2,0),ROUND((X666),0)))</f>
        <v/>
      </c>
      <c r="AR666" s="47">
        <f>IF(OR(AK666="",V666=0),"",MIN(IF(AX666="",9.9E+99,AX666),AO666/V666))</f>
        <v/>
      </c>
      <c r="AS666" s="49">
        <f>IF(AR666="","",AR666*IF(B666="South Korea",IF(ABS(MOD(ABS((X666)),1)-0.5)&lt;1E-9,2*ROUND((X666)/2,0),ROUND((X666),0)),X666))</f>
        <v/>
      </c>
      <c r="AT666" s="51" t="n"/>
      <c r="AU666" s="43" t="inlineStr">
        <is>
          <t>Grounded</t>
        </is>
      </c>
      <c r="AV666" s="52" t="n"/>
      <c r="AW666" s="52" t="n"/>
      <c r="AX666" s="53" t="n"/>
      <c r="AY666" s="54">
        <f>IF(((W666*pax_cap*load_thin*IF(ABS(MOD(ABS((O666*P666*revleg_thin)),1)-0.5)&lt;1E-9,2*ROUND((O666*P666*revleg_thin)/2,0),ROUND((O666*P666*revleg_thin),0)))-(((battery/range_nm)*G666*IF(ABS(MOD(ABS((O666*P666*revleg_thin)),1)-0.5)&lt;1E-9,2*ROUND((O666*P666*revleg_thin)/2,0),ROUND((O666*P666*revleg_thin),0))*VLOOKUP(B666,country_opex,3,FALSE))+Z666+AA666+AB666+AC666+AD666))&lt;=0,"",VLOOKUP(B666,country_opex,7,FALSE)/((W666*pax_cap*load_thin*IF(ABS(MOD(ABS((O666*P666*revleg_thin)),1)-0.5)&lt;1E-9,2*ROUND((O666*P666*revleg_thin)/2,0),ROUND((O666*P666*revleg_thin),0)))-(((battery/range_nm)*G666*IF(ABS(MOD(ABS((O666*P666*revleg_thin)),1)-0.5)&lt;1E-9,2*ROUND((O666*P666*revleg_thin)/2,0),ROUND((O666*P666*revleg_thin),0))*VLOOKUP(B666,country_opex,3,FALSE))+Z666+AA666+AB666+AC666+AD666)))</f>
        <v/>
      </c>
      <c r="AZ666" s="54">
        <f>IF(((W666*pax_cap*IF(B666="South Korea",korea_mid_load,load_mid)*IF(ABS(MOD(ABS((O666*P666*IF(B666="South Korea",korea_mid_revleg,revleg_mid))),1)-0.5)&lt;1E-9,2*ROUND((O666*P666*IF(B666="South Korea",korea_mid_revleg,revleg_mid))/2,0),ROUND((O666*P666*IF(B666="South Korea",korea_mid_revleg,revleg_mid)),0)))-(((battery/range_nm)*G666*IF(ABS(MOD(ABS((O666*P666*IF(B666="South Korea",korea_mid_revleg,revleg_mid))),1)-0.5)&lt;1E-9,2*ROUND((O666*P666*IF(B666="South Korea",korea_mid_revleg,revleg_mid))/2,0),ROUND((O666*P666*IF(B666="South Korea",korea_mid_revleg,revleg_mid)),0))*VLOOKUP(B666,country_opex,3,FALSE))+Z666+AA666+AB666+AC666+AD666))&lt;=0,"",VLOOKUP(B666,country_opex,7,FALSE)/((W666*pax_cap*IF(B666="South Korea",korea_mid_load,load_mid)*IF(ABS(MOD(ABS((O666*P666*IF(B666="South Korea",korea_mid_revleg,revleg_mid))),1)-0.5)&lt;1E-9,2*ROUND((O666*P666*IF(B666="South Korea",korea_mid_revleg,revleg_mid))/2,0),ROUND((O666*P666*IF(B666="South Korea",korea_mid_revleg,revleg_mid)),0)))-(((battery/range_nm)*G666*IF(ABS(MOD(ABS((O666*P666*IF(B666="South Korea",korea_mid_revleg,revleg_mid))),1)-0.5)&lt;1E-9,2*ROUND((O666*P666*IF(B666="South Korea",korea_mid_revleg,revleg_mid))/2,0),ROUND((O666*P666*IF(B666="South Korea",korea_mid_revleg,revleg_mid)),0))*VLOOKUP(B666,country_opex,3,FALSE))+Z666+AA666+AB666+AC666+AD666)))</f>
        <v/>
      </c>
      <c r="BA666" s="54">
        <f>IF(((W666*pax_cap*load_full*IF(ABS(MOD(ABS((O666*P666*revleg_full)),1)-0.5)&lt;1E-9,2*ROUND((O666*P666*revleg_full)/2,0),ROUND((O666*P666*revleg_full),0)))-(((battery/range_nm)*G666*IF(ABS(MOD(ABS((O666*P666*revleg_full)),1)-0.5)&lt;1E-9,2*ROUND((O666*P666*revleg_full)/2,0),ROUND((O666*P666*revleg_full),0))*VLOOKUP(B666,country_opex,3,FALSE))+Z666+AA666+AB666+AC666+AD666))&lt;=0,"",VLOOKUP(B666,country_opex,7,FALSE)/((W666*pax_cap*load_full*IF(ABS(MOD(ABS((O666*P666*revleg_full)),1)-0.5)&lt;1E-9,2*ROUND((O666*P666*revleg_full)/2,0),ROUND((O666*P666*revleg_full),0)))-(((battery/range_nm)*G666*IF(ABS(MOD(ABS((O666*P666*revleg_full)),1)-0.5)&lt;1E-9,2*ROUND((O666*P666*revleg_full)/2,0),ROUND((O666*P666*revleg_full),0))*VLOOKUP(B666,country_opex,3,FALSE))+Z666+AA666+AB666+AC666+AD666)))</f>
        <v/>
      </c>
      <c r="BB666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C666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  <c r="BD666" s="43" t="inlineStr">
        <is>
          <t>ics-26acf800c5</t>
        </is>
      </c>
    </row>
    <row r="667">
      <c r="A667" s="14" t="inlineStr">
        <is>
          <t>TOTAL / median</t>
        </is>
      </c>
      <c r="X667" s="55">
        <f>SUM(X4:X666)</f>
        <v/>
      </c>
      <c r="AG667" s="55">
        <f>SUM(AG4:AG666)</f>
        <v/>
      </c>
      <c r="AH667" s="56">
        <f>IF(X667=0,"",AG667/X667)</f>
        <v/>
      </c>
      <c r="AP667" s="57">
        <f>SUM(AP4:AP666)</f>
        <v/>
      </c>
      <c r="AQ667" s="55">
        <f>SUM(AQ4:AQ666)</f>
        <v/>
      </c>
    </row>
    <row r="668"/>
    <row r="669">
      <c r="A669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70">
      <c r="A670" s="34" t="inlineStr">
        <is>
          <t>Market</t>
        </is>
      </c>
      <c r="B670" s="34" t="inlineStr">
        <is>
          <t>Fleet basis</t>
        </is>
      </c>
      <c r="C670" s="34" t="inlineStr">
        <is>
          <t>Raw vessels (sum)</t>
        </is>
      </c>
      <c r="D670" s="34" t="inlineStr">
        <is>
          <t>Fleet (rounded once)</t>
        </is>
      </c>
      <c r="E670" s="34" t="inlineStr">
        <is>
          <t>Market rev/yr (raw sum)</t>
        </is>
      </c>
    </row>
    <row r="671">
      <c r="A671" s="9" t="inlineStr">
        <is>
          <t>Yassir Algeria</t>
        </is>
      </c>
      <c r="B671" s="24" t="inlineStr">
        <is>
          <t>aspirational</t>
        </is>
      </c>
      <c r="C671" s="24" t="inlineStr">
        <is>
          <t>—</t>
        </is>
      </c>
      <c r="D671" s="58">
        <f>SUMIFS(AP4:AP666,A4:A666,"Yassir Algeria",AT4:AT666,"=",AU4:AU666,"Grounded")</f>
        <v/>
      </c>
      <c r="E671" s="59">
        <f>SUMIFS(AQ4:AQ666,A4:A666,"Yassir Algeria",AT4:AT666,"=",AU4:AU666,"Grounded")</f>
        <v/>
      </c>
    </row>
    <row r="672">
      <c r="A672" s="9" t="inlineStr">
        <is>
          <t>Caribbean</t>
        </is>
      </c>
      <c r="B672" s="24" t="inlineStr">
        <is>
          <t>island-hopping-network / phase-cap</t>
        </is>
      </c>
      <c r="C672" s="24" t="inlineStr">
        <is>
          <t>—</t>
        </is>
      </c>
      <c r="D672" s="58">
        <f>SUMIFS(AP4:AP666,A4:A666,"Caribbean",AT4:AT666,"=",AU4:AU666,"Grounded")</f>
        <v/>
      </c>
      <c r="E672" s="59">
        <f>SUMIFS(AQ4:AQ666,A4:A666,"Caribbean",AT4:AT666,"=",AU4:AU666,"Grounded")</f>
        <v/>
      </c>
    </row>
    <row r="673">
      <c r="A673" s="9" t="inlineStr">
        <is>
          <t>Yango Caspian Az</t>
        </is>
      </c>
      <c r="B673" s="24" t="inlineStr">
        <is>
          <t>aspirational</t>
        </is>
      </c>
      <c r="C673" s="24" t="inlineStr">
        <is>
          <t>—</t>
        </is>
      </c>
      <c r="D673" s="58">
        <f>SUMIFS(AP4:AP666,A4:A666,"Yango Caspian Az",AT4:AT666,"=",AU4:AU666,"Grounded")</f>
        <v/>
      </c>
      <c r="E673" s="59">
        <f>SUMIFS(AQ4:AQ666,A4:A666,"Yango Caspian Az",AT4:AT666,"=",AU4:AU666,"Grounded")</f>
        <v/>
      </c>
    </row>
    <row r="674">
      <c r="A674" s="9" t="inlineStr">
        <is>
          <t>Caribbean Mobility</t>
        </is>
      </c>
      <c r="B674" s="24" t="inlineStr">
        <is>
          <t>aspirational</t>
        </is>
      </c>
      <c r="C674" s="24" t="inlineStr">
        <is>
          <t>—</t>
        </is>
      </c>
      <c r="D674" s="58">
        <f>SUMIFS(AP4:AP666,A4:A666,"Caribbean Mobility",AT4:AT666,"=",AU4:AU666,"Grounded")</f>
        <v/>
      </c>
      <c r="E674" s="59">
        <f>SUMIFS(AQ4:AQ666,A4:A666,"Caribbean Mobility",AT4:AT666,"=",AU4:AU666,"Grounded")</f>
        <v/>
      </c>
    </row>
    <row r="675">
      <c r="A675" s="9" t="inlineStr">
        <is>
          <t>Gulf Authority Rakta</t>
        </is>
      </c>
      <c r="B675" s="24" t="inlineStr">
        <is>
          <t>network_sum / ceil</t>
        </is>
      </c>
      <c r="C675" s="33">
        <f>SUMIFS(AR4:AR666,A4:A666,"Gulf Authority Rakta",AT4:AT666,"=",AU4:AU666,"Grounded")</f>
        <v/>
      </c>
      <c r="D675" s="58">
        <f>IF(C675=0,0,CEILING(C675,1))</f>
        <v/>
      </c>
      <c r="E675" s="59">
        <f>SUMIFS(AS4:AS666,A4:A666,"Gulf Authority Rakta",AT4:AT666,"=",AU4:AU666,"Grounded")</f>
        <v/>
      </c>
    </row>
    <row r="676">
      <c r="A676" s="9" t="inlineStr">
        <is>
          <t>Brazil</t>
        </is>
      </c>
      <c r="B676" s="24" t="inlineStr">
        <is>
          <t>per_corridor_floor</t>
        </is>
      </c>
      <c r="C676" s="24" t="inlineStr">
        <is>
          <t>—</t>
        </is>
      </c>
      <c r="D676" s="58">
        <f>SUMIFS(AP4:AP666,A4:A666,"Brazil",AT4:AT666,"=",AU4:AU666,"Grounded")</f>
        <v/>
      </c>
      <c r="E676" s="59">
        <f>SUMIFS(AQ4:AQ666,A4:A666,"Brazil",AT4:AT666,"=",AU4:AU666,"Grounded")</f>
        <v/>
      </c>
    </row>
    <row r="677">
      <c r="A677" s="9" t="inlineStr">
        <is>
          <t>Cambodia</t>
        </is>
      </c>
      <c r="B677" s="24" t="inlineStr">
        <is>
          <t>network_sum / ceil</t>
        </is>
      </c>
      <c r="C677" s="33">
        <f>SUMIFS(AR4:AR666,A4:A666,"Cambodia",AT4:AT666,"=",AU4:AU666,"Grounded")</f>
        <v/>
      </c>
      <c r="D677" s="58">
        <f>IF(C677=0,0,CEILING(C677,1))</f>
        <v/>
      </c>
      <c r="E677" s="59">
        <f>SUMIFS(AS4:AS666,A4:A666,"Cambodia",AT4:AT666,"=",AU4:AU666,"Grounded")</f>
        <v/>
      </c>
    </row>
    <row r="678">
      <c r="A678" s="9" t="inlineStr">
        <is>
          <t>Yango Cameroon</t>
        </is>
      </c>
      <c r="B678" s="24" t="inlineStr">
        <is>
          <t>aspirational</t>
        </is>
      </c>
      <c r="C678" s="24" t="inlineStr">
        <is>
          <t>—</t>
        </is>
      </c>
      <c r="D678" s="58">
        <f>SUMIFS(AP4:AP666,A4:A666,"Yango Cameroon",AT4:AT666,"=",AU4:AU666,"Grounded")</f>
        <v/>
      </c>
      <c r="E678" s="59">
        <f>SUMIFS(AQ4:AQ666,A4:A666,"Yango Cameroon",AT4:AT666,"=",AU4:AU666,"Grounded")</f>
        <v/>
      </c>
    </row>
    <row r="679">
      <c r="A679" s="9" t="inlineStr">
        <is>
          <t>Yango Colombia</t>
        </is>
      </c>
      <c r="B679" s="24" t="inlineStr">
        <is>
          <t>aspirational</t>
        </is>
      </c>
      <c r="C679" s="24" t="inlineStr">
        <is>
          <t>—</t>
        </is>
      </c>
      <c r="D679" s="58">
        <f>SUMIFS(AP4:AP666,A4:A666,"Yango Colombia",AT4:AT666,"=",AU4:AU666,"Grounded")</f>
        <v/>
      </c>
      <c r="E679" s="59">
        <f>SUMIFS(AQ4:AQ666,A4:A666,"Yango Colombia",AT4:AT666,"=",AU4:AU666,"Grounded")</f>
        <v/>
      </c>
    </row>
    <row r="680">
      <c r="A680" s="9" t="inlineStr">
        <is>
          <t>Yango Congo Brazzaville</t>
        </is>
      </c>
      <c r="B680" s="24" t="inlineStr">
        <is>
          <t>aspirational</t>
        </is>
      </c>
      <c r="C680" s="24" t="inlineStr">
        <is>
          <t>—</t>
        </is>
      </c>
      <c r="D680" s="58">
        <f>SUMIFS(AP4:AP666,A4:A666,"Yango Congo Brazzaville",AT4:AT666,"=",AU4:AU666,"Grounded")</f>
        <v/>
      </c>
      <c r="E680" s="59">
        <f>SUMIFS(AQ4:AQ666,A4:A666,"Yango Congo Brazzaville",AT4:AT666,"=",AU4:AU666,"Grounded")</f>
        <v/>
      </c>
    </row>
    <row r="681">
      <c r="A681" s="9" t="inlineStr">
        <is>
          <t>Costa Rica</t>
        </is>
      </c>
      <c r="B681" s="24" t="inlineStr">
        <is>
          <t>per_corridor_floor</t>
        </is>
      </c>
      <c r="C681" s="24" t="inlineStr">
        <is>
          <t>—</t>
        </is>
      </c>
      <c r="D681" s="58">
        <f>SUMIFS(AP4:AP666,A4:A666,"Costa Rica",AT4:AT666,"=",AU4:AU666,"Grounded")</f>
        <v/>
      </c>
      <c r="E681" s="59">
        <f>SUMIFS(AQ4:AQ666,A4:A666,"Costa Rica",AT4:AT666,"=",AU4:AU666,"Grounded")</f>
        <v/>
      </c>
    </row>
    <row r="682">
      <c r="A682" s="9" t="inlineStr">
        <is>
          <t>Bolt Croatia</t>
        </is>
      </c>
      <c r="B682" s="24" t="inlineStr">
        <is>
          <t>grounded</t>
        </is>
      </c>
      <c r="C682" s="24" t="inlineStr">
        <is>
          <t>—</t>
        </is>
      </c>
      <c r="D682" s="58">
        <f>SUMIFS(AP4:AP666,A4:A666,"Bolt Croatia",AT4:AT666,"=",AU4:AU666,"Grounded")</f>
        <v/>
      </c>
      <c r="E682" s="59">
        <f>SUMIFS(AQ4:AQ666,A4:A666,"Bolt Croatia",AT4:AT666,"=",AU4:AU666,"Grounded")</f>
        <v/>
      </c>
    </row>
    <row r="683">
      <c r="A683" s="9" t="inlineStr">
        <is>
          <t>Ocean Whisperer</t>
        </is>
      </c>
      <c r="B683" s="24" t="inlineStr">
        <is>
          <t>captive-luxury-resort-mesh / phase-cap</t>
        </is>
      </c>
      <c r="C683" s="24" t="inlineStr">
        <is>
          <t>—</t>
        </is>
      </c>
      <c r="D683" s="58">
        <f>SUMIFS(AP4:AP666,A4:A666,"Ocean Whisperer",AT4:AT666,"=",AU4:AU666,"Grounded")</f>
        <v/>
      </c>
      <c r="E683" s="59">
        <f>SUMIFS(AQ4:AQ666,A4:A666,"Ocean Whisperer",AT4:AT666,"=",AU4:AU666,"Grounded")</f>
        <v/>
      </c>
    </row>
    <row r="684">
      <c r="A684" s="9" t="inlineStr">
        <is>
          <t>Bolt Cyprus</t>
        </is>
      </c>
      <c r="B684" s="24" t="inlineStr">
        <is>
          <t>aspirational</t>
        </is>
      </c>
      <c r="C684" s="24" t="inlineStr">
        <is>
          <t>—</t>
        </is>
      </c>
      <c r="D684" s="58">
        <f>SUMIFS(AP4:AP666,A4:A666,"Bolt Cyprus",AT4:AT666,"=",AU4:AU666,"Grounded")</f>
        <v/>
      </c>
      <c r="E684" s="59">
        <f>SUMIFS(AQ4:AQ666,A4:A666,"Bolt Cyprus",AT4:AT666,"=",AU4:AU666,"Grounded")</f>
        <v/>
      </c>
    </row>
    <row r="685">
      <c r="A685" s="9" t="inlineStr">
        <is>
          <t>Yango Cote Divoire</t>
        </is>
      </c>
      <c r="B685" s="24" t="inlineStr">
        <is>
          <t>aspirational</t>
        </is>
      </c>
      <c r="C685" s="24" t="inlineStr">
        <is>
          <t>—</t>
        </is>
      </c>
      <c r="D685" s="58">
        <f>SUMIFS(AP4:AP666,A4:A666,"Yango Cote Divoire",AT4:AT666,"=",AU4:AU666,"Grounded")</f>
        <v/>
      </c>
      <c r="E685" s="59">
        <f>SUMIFS(AQ4:AQ666,A4:A666,"Yango Cote Divoire",AT4:AT666,"=",AU4:AU666,"Grounded")</f>
        <v/>
      </c>
    </row>
    <row r="686">
      <c r="A686" s="9" t="inlineStr">
        <is>
          <t>Bolt Egypt</t>
        </is>
      </c>
      <c r="B686" s="24" t="inlineStr">
        <is>
          <t>aspirational</t>
        </is>
      </c>
      <c r="C686" s="24" t="inlineStr">
        <is>
          <t>—</t>
        </is>
      </c>
      <c r="D686" s="58">
        <f>SUMIFS(AP4:AP666,A4:A666,"Bolt Egypt",AT4:AT666,"=",AU4:AU666,"Grounded")</f>
        <v/>
      </c>
      <c r="E686" s="59">
        <f>SUMIFS(AQ4:AQ666,A4:A666,"Bolt Egypt",AT4:AT666,"=",AU4:AU666,"Grounded")</f>
        <v/>
      </c>
    </row>
    <row r="687">
      <c r="A687" s="9" t="inlineStr">
        <is>
          <t>Bolt Estonia</t>
        </is>
      </c>
      <c r="B687" s="24" t="inlineStr">
        <is>
          <t>aspirational</t>
        </is>
      </c>
      <c r="C687" s="24" t="inlineStr">
        <is>
          <t>—</t>
        </is>
      </c>
      <c r="D687" s="58">
        <f>SUMIFS(AP4:AP666,A4:A666,"Bolt Estonia",AT4:AT666,"=",AU4:AU666,"Grounded")</f>
        <v/>
      </c>
      <c r="E687" s="59">
        <f>SUMIFS(AQ4:AQ666,A4:A666,"Bolt Estonia",AT4:AT666,"=",AU4:AU666,"Grounded")</f>
        <v/>
      </c>
    </row>
    <row r="688">
      <c r="A688" s="9" t="inlineStr">
        <is>
          <t>Bolt Finland</t>
        </is>
      </c>
      <c r="B688" s="24" t="inlineStr">
        <is>
          <t>aspirational</t>
        </is>
      </c>
      <c r="C688" s="24" t="inlineStr">
        <is>
          <t>—</t>
        </is>
      </c>
      <c r="D688" s="58">
        <f>SUMIFS(AP4:AP666,A4:A666,"Bolt Finland",AT4:AT666,"=",AU4:AU666,"Grounded")</f>
        <v/>
      </c>
      <c r="E688" s="59">
        <f>SUMIFS(AQ4:AQ666,A4:A666,"Bolt Finland",AT4:AT666,"=",AU4:AU666,"Grounded")</f>
        <v/>
      </c>
    </row>
    <row r="689">
      <c r="A689" s="9" t="inlineStr">
        <is>
          <t>Bolt France Riviera</t>
        </is>
      </c>
      <c r="B689" s="24" t="inlineStr">
        <is>
          <t>grounded</t>
        </is>
      </c>
      <c r="C689" s="24" t="inlineStr">
        <is>
          <t>—</t>
        </is>
      </c>
      <c r="D689" s="58">
        <f>SUMIFS(AP4:AP666,A4:A666,"Bolt France Riviera",AT4:AT666,"=",AU4:AU666,"Grounded")</f>
        <v/>
      </c>
      <c r="E689" s="59">
        <f>SUMIFS(AQ4:AQ666,A4:A666,"Bolt France Riviera",AT4:AT666,"=",AU4:AU666,"Grounded")</f>
        <v/>
      </c>
    </row>
    <row r="690">
      <c r="A690" s="9" t="inlineStr">
        <is>
          <t>French Polynesia</t>
        </is>
      </c>
      <c r="B690" s="24" t="inlineStr">
        <is>
          <t>captive-luxury-with-public-transit-trunk / phase-cap</t>
        </is>
      </c>
      <c r="C690" s="24" t="inlineStr">
        <is>
          <t>—</t>
        </is>
      </c>
      <c r="D690" s="58">
        <f>SUMIFS(AP4:AP666,A4:A666,"French Polynesia",AT4:AT666,"=",AU4:AU666,"Grounded")</f>
        <v/>
      </c>
      <c r="E690" s="59">
        <f>SUMIFS(AQ4:AQ666,A4:A666,"French Polynesia",AT4:AT666,"=",AU4:AU666,"Grounded")</f>
        <v/>
      </c>
    </row>
    <row r="691">
      <c r="A691" s="9" t="inlineStr">
        <is>
          <t>Bolt Greece</t>
        </is>
      </c>
      <c r="B691" s="24" t="inlineStr">
        <is>
          <t>grounded</t>
        </is>
      </c>
      <c r="C691" s="24" t="inlineStr">
        <is>
          <t>—</t>
        </is>
      </c>
      <c r="D691" s="58">
        <f>SUMIFS(AP4:AP666,A4:A666,"Bolt Greece",AT4:AT666,"=",AU4:AU666,"Grounded")</f>
        <v/>
      </c>
      <c r="E691" s="59">
        <f>SUMIFS(AQ4:AQ666,A4:A666,"Bolt Greece",AT4:AT666,"=",AU4:AU666,"Grounded")</f>
        <v/>
      </c>
    </row>
    <row r="692">
      <c r="A692" s="9" t="inlineStr">
        <is>
          <t>India Andaman Rapido</t>
        </is>
      </c>
      <c r="B692" s="24" t="inlineStr">
        <is>
          <t>network_sum / ceil</t>
        </is>
      </c>
      <c r="C692" s="33">
        <f>SUMIFS(AR4:AR666,A4:A666,"India Andaman Rapido",AT4:AT666,"=",AU4:AU666,"Grounded")</f>
        <v/>
      </c>
      <c r="D692" s="58">
        <f>IF(C692=0,0,CEILING(C692,1))</f>
        <v/>
      </c>
      <c r="E692" s="59">
        <f>SUMIFS(AS4:AS666,A4:A666,"India Andaman Rapido",AT4:AT666,"=",AU4:AU666,"Grounded")</f>
        <v/>
      </c>
    </row>
    <row r="693">
      <c r="A693" s="9" t="inlineStr">
        <is>
          <t>India Kolkata Rapido</t>
        </is>
      </c>
      <c r="B693" s="24" t="inlineStr">
        <is>
          <t>network_sum</t>
        </is>
      </c>
      <c r="C693" s="33">
        <f>SUMIFS(AR4:AR666,A4:A666,"India Kolkata Rapido",AT4:AT666,"=",AU4:AU666,"Grounded")</f>
        <v/>
      </c>
      <c r="D693" s="58">
        <f>ROUND(C693,0)</f>
        <v/>
      </c>
      <c r="E693" s="59">
        <f>SUMIFS(AS4:AS666,A4:A666,"India Kolkata Rapido",AT4:AT666,"=",AU4:AU666,"Grounded")</f>
        <v/>
      </c>
    </row>
    <row r="694">
      <c r="A694" s="9" t="inlineStr">
        <is>
          <t>India Goa Rapido</t>
        </is>
      </c>
      <c r="B694" s="24" t="inlineStr">
        <is>
          <t>network_sum / ceil</t>
        </is>
      </c>
      <c r="C694" s="33">
        <f>SUMIFS(AR4:AR666,A4:A666,"India Goa Rapido",AT4:AT666,"=",AU4:AU666,"Grounded")</f>
        <v/>
      </c>
      <c r="D694" s="58">
        <f>IF(C694=0,0,CEILING(C694,1))</f>
        <v/>
      </c>
      <c r="E694" s="59">
        <f>SUMIFS(AS4:AS666,A4:A666,"India Goa Rapido",AT4:AT666,"=",AU4:AU666,"Grounded")</f>
        <v/>
      </c>
    </row>
    <row r="695">
      <c r="A695" s="9" t="inlineStr">
        <is>
          <t>India Kerala Rapido</t>
        </is>
      </c>
      <c r="B695" s="24" t="inlineStr">
        <is>
          <t>network_sum / ceil</t>
        </is>
      </c>
      <c r="C695" s="33">
        <f>SUMIFS(AR4:AR666,A4:A666,"India Kerala Rapido",AT4:AT666,"=",AU4:AU666,"Grounded")</f>
        <v/>
      </c>
      <c r="D695" s="58">
        <f>IF(C695=0,0,CEILING(C695,1))</f>
        <v/>
      </c>
      <c r="E695" s="59">
        <f>SUMIFS(AS4:AS666,A4:A666,"India Kerala Rapido",AT4:AT666,"=",AU4:AU666,"Grounded")</f>
        <v/>
      </c>
    </row>
    <row r="696">
      <c r="A696" s="9" t="inlineStr">
        <is>
          <t>India Mumbai Rapido</t>
        </is>
      </c>
      <c r="B696" s="24" t="inlineStr">
        <is>
          <t>network_sum / ceil</t>
        </is>
      </c>
      <c r="C696" s="33">
        <f>SUMIFS(AR4:AR666,A4:A666,"India Mumbai Rapido",AT4:AT666,"=",AU4:AU666,"Grounded")</f>
        <v/>
      </c>
      <c r="D696" s="58">
        <f>IF(C696=0,0,CEILING(C696,1))</f>
        <v/>
      </c>
      <c r="E696" s="59">
        <f>SUMIFS(AS4:AS666,A4:A666,"India Mumbai Rapido",AT4:AT666,"=",AU4:AU666,"Grounded")</f>
        <v/>
      </c>
    </row>
    <row r="697">
      <c r="A697" s="9" t="inlineStr">
        <is>
          <t>Ola Mumbai</t>
        </is>
      </c>
      <c r="B697" s="24" t="inlineStr">
        <is>
          <t>per_corridor_floor</t>
        </is>
      </c>
      <c r="C697" s="24" t="inlineStr">
        <is>
          <t>—</t>
        </is>
      </c>
      <c r="D697" s="58">
        <f>SUMIFS(AP4:AP666,A4:A666,"Ola Mumbai",AT4:AT666,"=",AU4:AU666,"Grounded")</f>
        <v/>
      </c>
      <c r="E697" s="59">
        <f>SUMIFS(AQ4:AQ666,A4:A666,"Ola Mumbai",AT4:AT666,"=",AU4:AU666,"Grounded")</f>
        <v/>
      </c>
    </row>
    <row r="698">
      <c r="A698" s="9" t="inlineStr">
        <is>
          <t>India Chennai Rapido</t>
        </is>
      </c>
      <c r="B698" s="24" t="inlineStr">
        <is>
          <t>network_sum</t>
        </is>
      </c>
      <c r="C698" s="33">
        <f>SUMIFS(AR4:AR666,A4:A666,"India Chennai Rapido",AT4:AT666,"=",AU4:AU666,"Grounded")</f>
        <v/>
      </c>
      <c r="D698" s="58">
        <f>ROUND(C698,0)</f>
        <v/>
      </c>
      <c r="E698" s="59">
        <f>SUMIFS(AS4:AS666,A4:A666,"India Chennai Rapido",AT4:AT666,"=",AU4:AU666,"Grounded")</f>
        <v/>
      </c>
    </row>
    <row r="699">
      <c r="A699" s="9" t="inlineStr">
        <is>
          <t>Komodo Flores</t>
        </is>
      </c>
      <c r="B699" s="24" t="inlineStr">
        <is>
          <t>network_sum / ceil</t>
        </is>
      </c>
      <c r="C699" s="33">
        <f>SUMIFS(AR4:AR666,A4:A666,"Komodo Flores",AT4:AT666,"=",AU4:AU666,"Grounded")</f>
        <v/>
      </c>
      <c r="D699" s="58">
        <f>IF(C699=0,0,CEILING(C699,1))</f>
        <v/>
      </c>
      <c r="E699" s="59">
        <f>SUMIFS(AS4:AS666,A4:A666,"Komodo Flores",AT4:AT666,"=",AU4:AU666,"Grounded")</f>
        <v/>
      </c>
    </row>
    <row r="700">
      <c r="A700" s="9" t="inlineStr">
        <is>
          <t>Bali</t>
        </is>
      </c>
      <c r="B700" s="24" t="inlineStr">
        <is>
          <t>network_sum / ceil</t>
        </is>
      </c>
      <c r="C700" s="33">
        <f>SUMIFS(AR4:AR666,A4:A666,"Bali",AT4:AT666,"=",AU4:AU666,"Grounded")</f>
        <v/>
      </c>
      <c r="D700" s="58">
        <f>IF(C700=0,0,CEILING(C700,1))</f>
        <v/>
      </c>
      <c r="E700" s="59">
        <f>SUMIFS(AS4:AS666,A4:A666,"Bali",AT4:AT666,"=",AU4:AU666,"Grounded")</f>
        <v/>
      </c>
    </row>
    <row r="701">
      <c r="A701" s="9" t="inlineStr">
        <is>
          <t>Jakarta</t>
        </is>
      </c>
      <c r="B701" s="24" t="inlineStr">
        <is>
          <t>network_sum / ceil</t>
        </is>
      </c>
      <c r="C701" s="33">
        <f>SUMIFS(AR4:AR666,A4:A666,"Jakarta",AT4:AT666,"=",AU4:AU666,"Grounded")</f>
        <v/>
      </c>
      <c r="D701" s="58">
        <f>IF(C701=0,0,CEILING(C701,1))</f>
        <v/>
      </c>
      <c r="E701" s="59">
        <f>SUMIFS(AS4:AS666,A4:A666,"Jakarta",AT4:AT666,"=",AU4:AU666,"Grounded")</f>
        <v/>
      </c>
    </row>
    <row r="702">
      <c r="A702" s="9" t="inlineStr">
        <is>
          <t>Eastern Indonesia</t>
        </is>
      </c>
      <c r="B702" s="24" t="inlineStr">
        <is>
          <t>network_sum / ceil</t>
        </is>
      </c>
      <c r="C702" s="33">
        <f>SUMIFS(AR4:AR666,A4:A666,"Eastern Indonesia",AT4:AT666,"=",AU4:AU666,"Grounded")</f>
        <v/>
      </c>
      <c r="D702" s="58">
        <f>IF(C702=0,0,CEILING(C702,1))</f>
        <v/>
      </c>
      <c r="E702" s="59">
        <f>SUMIFS(AS4:AS666,A4:A666,"Eastern Indonesia",AT4:AT666,"=",AU4:AU666,"Grounded")</f>
        <v/>
      </c>
    </row>
    <row r="703">
      <c r="A703" s="9" t="inlineStr">
        <is>
          <t>Singapore</t>
        </is>
      </c>
      <c r="B703" s="24" t="inlineStr">
        <is>
          <t>network_sum / ceil</t>
        </is>
      </c>
      <c r="C703" s="33">
        <f>SUMIFS(AR4:AR666,A4:A666,"Singapore",AT4:AT666,"=",AU4:AU666,"Grounded")</f>
        <v/>
      </c>
      <c r="D703" s="58">
        <f>IF(C703=0,0,CEILING(C703,1))</f>
        <v/>
      </c>
      <c r="E703" s="59">
        <f>SUMIFS(AS4:AS666,A4:A666,"Singapore",AT4:AT666,"=",AU4:AU666,"Grounded")</f>
        <v/>
      </c>
    </row>
    <row r="704">
      <c r="A704" s="9" t="inlineStr">
        <is>
          <t>Bolt Ireland</t>
        </is>
      </c>
      <c r="B704" s="24" t="inlineStr">
        <is>
          <t>aspirational</t>
        </is>
      </c>
      <c r="C704" s="24" t="inlineStr">
        <is>
          <t>—</t>
        </is>
      </c>
      <c r="D704" s="58">
        <f>SUMIFS(AP4:AP666,A4:A666,"Bolt Ireland",AT4:AT666,"=",AU4:AU666,"Grounded")</f>
        <v/>
      </c>
      <c r="E704" s="59">
        <f>SUMIFS(AQ4:AQ666,A4:A666,"Bolt Ireland",AT4:AT666,"=",AU4:AU666,"Grounded")</f>
        <v/>
      </c>
    </row>
    <row r="705">
      <c r="A705" s="9" t="inlineStr">
        <is>
          <t>Bolt Israel</t>
        </is>
      </c>
      <c r="B705" s="24" t="inlineStr">
        <is>
          <t>aspirational</t>
        </is>
      </c>
      <c r="C705" s="24" t="inlineStr">
        <is>
          <t>—</t>
        </is>
      </c>
      <c r="D705" s="58">
        <f>SUMIFS(AP4:AP666,A4:A666,"Bolt Israel",AT4:AT666,"=",AU4:AU666,"Grounded")</f>
        <v/>
      </c>
      <c r="E705" s="59">
        <f>SUMIFS(AQ4:AQ666,A4:A666,"Bolt Israel",AT4:AT666,"=",AU4:AU666,"Grounded")</f>
        <v/>
      </c>
    </row>
    <row r="706">
      <c r="A706" s="9" t="inlineStr">
        <is>
          <t>Bolt Italy</t>
        </is>
      </c>
      <c r="B706" s="24" t="inlineStr">
        <is>
          <t>grounded</t>
        </is>
      </c>
      <c r="C706" s="24" t="inlineStr">
        <is>
          <t>—</t>
        </is>
      </c>
      <c r="D706" s="58">
        <f>SUMIFS(AP4:AP666,A4:A666,"Bolt Italy",AT4:AT666,"=",AU4:AU666,"Grounded")</f>
        <v/>
      </c>
      <c r="E706" s="59">
        <f>SUMIFS(AQ4:AQ666,A4:A666,"Bolt Italy",AT4:AT666,"=",AU4:AU666,"Grounded")</f>
        <v/>
      </c>
    </row>
    <row r="707">
      <c r="A707" s="9" t="inlineStr">
        <is>
          <t>Yango Caspian Kz</t>
        </is>
      </c>
      <c r="B707" s="24" t="inlineStr">
        <is>
          <t>aspirational</t>
        </is>
      </c>
      <c r="C707" s="24" t="inlineStr">
        <is>
          <t>—</t>
        </is>
      </c>
      <c r="D707" s="58">
        <f>SUMIFS(AP4:AP666,A4:A666,"Yango Caspian Kz",AT4:AT666,"=",AU4:AU666,"Grounded")</f>
        <v/>
      </c>
      <c r="E707" s="59">
        <f>SUMIFS(AQ4:AQ666,A4:A666,"Yango Caspian Kz",AT4:AT666,"=",AU4:AU666,"Grounded")</f>
        <v/>
      </c>
    </row>
    <row r="708">
      <c r="A708" s="9" t="inlineStr">
        <is>
          <t>Bolt Lebanon</t>
        </is>
      </c>
      <c r="B708" s="24" t="inlineStr">
        <is>
          <t>aspirational</t>
        </is>
      </c>
      <c r="C708" s="24" t="inlineStr">
        <is>
          <t>—</t>
        </is>
      </c>
      <c r="D708" s="58">
        <f>SUMIFS(AP4:AP666,A4:A666,"Bolt Lebanon",AT4:AT666,"=",AU4:AU666,"Grounded")</f>
        <v/>
      </c>
      <c r="E708" s="59">
        <f>SUMIFS(AQ4:AQ666,A4:A666,"Bolt Lebanon",AT4:AT666,"=",AU4:AU666,"Grounded")</f>
        <v/>
      </c>
    </row>
    <row r="709">
      <c r="A709" s="9" t="inlineStr">
        <is>
          <t>Langkawi</t>
        </is>
      </c>
      <c r="B709" s="24" t="inlineStr">
        <is>
          <t>network_sum / ceil</t>
        </is>
      </c>
      <c r="C709" s="33">
        <f>SUMIFS(AR4:AR666,A4:A666,"Langkawi",AT4:AT666,"=",AU4:AU666,"Grounded")</f>
        <v/>
      </c>
      <c r="D709" s="58">
        <f>IF(C709=0,0,CEILING(C709,1))</f>
        <v/>
      </c>
      <c r="E709" s="59">
        <f>SUMIFS(AS4:AS666,A4:A666,"Langkawi",AT4:AT666,"=",AU4:AU666,"Grounded")</f>
        <v/>
      </c>
    </row>
    <row r="710">
      <c r="A710" s="9" t="inlineStr">
        <is>
          <t>Borneo</t>
        </is>
      </c>
      <c r="B710" s="24" t="inlineStr">
        <is>
          <t>network_sum / ceil</t>
        </is>
      </c>
      <c r="C710" s="33">
        <f>SUMIFS(AR4:AR666,A4:A666,"Borneo",AT4:AT666,"=",AU4:AU666,"Grounded")</f>
        <v/>
      </c>
      <c r="D710" s="58">
        <f>IF(C710=0,0,CEILING(C710,1))</f>
        <v/>
      </c>
      <c r="E710" s="59">
        <f>SUMIFS(AS4:AS666,A4:A666,"Borneo",AT4:AT666,"=",AU4:AU666,"Grounded")</f>
        <v/>
      </c>
    </row>
    <row r="711">
      <c r="A711" s="9" t="inlineStr">
        <is>
          <t>Penang</t>
        </is>
      </c>
      <c r="B711" s="24" t="inlineStr">
        <is>
          <t>network_sum / ceil</t>
        </is>
      </c>
      <c r="C711" s="33">
        <f>SUMIFS(AR4:AR666,A4:A666,"Penang",AT4:AT666,"=",AU4:AU666,"Grounded")</f>
        <v/>
      </c>
      <c r="D711" s="58">
        <f>IF(C711=0,0,CEILING(C711,1))</f>
        <v/>
      </c>
      <c r="E711" s="59">
        <f>SUMIFS(AS4:AS666,A4:A666,"Penang",AT4:AT666,"=",AU4:AU666,"Grounded")</f>
        <v/>
      </c>
    </row>
    <row r="712">
      <c r="A712" s="9" t="inlineStr">
        <is>
          <t>Maldives (JIH)</t>
        </is>
      </c>
      <c r="B712" s="24" t="inlineStr">
        <is>
          <t>network_sum</t>
        </is>
      </c>
      <c r="C712" s="33">
        <f>SUMIFS(AR4:AR666,A4:A666,"Maldives (JIH)",AT4:AT666,"=",AU4:AU666,"Grounded")</f>
        <v/>
      </c>
      <c r="D712" s="58">
        <f>ROUND(C712,0)</f>
        <v/>
      </c>
      <c r="E712" s="59">
        <f>SUMIFS(AS4:AS666,A4:A666,"Maldives (JIH)",AT4:AT666,"=",AU4:AU666,"Grounded")</f>
        <v/>
      </c>
    </row>
    <row r="713">
      <c r="A713" s="9" t="inlineStr">
        <is>
          <t>Mexico Caribbean</t>
        </is>
      </c>
      <c r="B713" s="24" t="inlineStr">
        <is>
          <t>grounded</t>
        </is>
      </c>
      <c r="C713" s="24" t="inlineStr">
        <is>
          <t>—</t>
        </is>
      </c>
      <c r="D713" s="58">
        <f>SUMIFS(AP4:AP666,A4:A666,"Mexico Caribbean",AT4:AT666,"=",AU4:AU666,"Grounded")</f>
        <v/>
      </c>
      <c r="E713" s="59">
        <f>SUMIFS(AQ4:AQ666,A4:A666,"Mexico Caribbean",AT4:AT666,"=",AU4:AU666,"Grounded")</f>
        <v/>
      </c>
    </row>
    <row r="714">
      <c r="A714" s="9" t="inlineStr">
        <is>
          <t>Mexico Pacific</t>
        </is>
      </c>
      <c r="B714" s="24" t="inlineStr">
        <is>
          <t>grounded</t>
        </is>
      </c>
      <c r="C714" s="24" t="inlineStr">
        <is>
          <t>—</t>
        </is>
      </c>
      <c r="D714" s="58">
        <f>SUMIFS(AP4:AP666,A4:A666,"Mexico Pacific",AT4:AT666,"=",AU4:AU666,"Grounded")</f>
        <v/>
      </c>
      <c r="E714" s="59">
        <f>SUMIFS(AQ4:AQ666,A4:A666,"Mexico Pacific",AT4:AT666,"=",AU4:AU666,"Grounded")</f>
        <v/>
      </c>
    </row>
    <row r="715">
      <c r="A715" s="9" t="inlineStr">
        <is>
          <t>Yango Morocco</t>
        </is>
      </c>
      <c r="B715" s="24" t="inlineStr">
        <is>
          <t>aspirational</t>
        </is>
      </c>
      <c r="C715" s="24" t="inlineStr">
        <is>
          <t>—</t>
        </is>
      </c>
      <c r="D715" s="58">
        <f>SUMIFS(AP4:AP666,A4:A666,"Yango Morocco",AT4:AT666,"=",AU4:AU666,"Grounded")</f>
        <v/>
      </c>
      <c r="E715" s="59">
        <f>SUMIFS(AQ4:AQ666,A4:A666,"Yango Morocco",AT4:AT666,"=",AU4:AU666,"Grounded")</f>
        <v/>
      </c>
    </row>
    <row r="716">
      <c r="A716" s="9" t="inlineStr">
        <is>
          <t>Yango Mozambique</t>
        </is>
      </c>
      <c r="B716" s="24" t="inlineStr">
        <is>
          <t>aspirational</t>
        </is>
      </c>
      <c r="C716" s="24" t="inlineStr">
        <is>
          <t>—</t>
        </is>
      </c>
      <c r="D716" s="58">
        <f>SUMIFS(AP4:AP666,A4:A666,"Yango Mozambique",AT4:AT666,"=",AU4:AU666,"Grounded")</f>
        <v/>
      </c>
      <c r="E716" s="59">
        <f>SUMIFS(AQ4:AQ666,A4:A666,"Yango Mozambique",AT4:AT666,"=",AU4:AU666,"Grounded")</f>
        <v/>
      </c>
    </row>
    <row r="717">
      <c r="A717" s="9" t="inlineStr">
        <is>
          <t>Yango Namibia</t>
        </is>
      </c>
      <c r="B717" s="24" t="inlineStr">
        <is>
          <t>aspirational</t>
        </is>
      </c>
      <c r="C717" s="24" t="inlineStr">
        <is>
          <t>—</t>
        </is>
      </c>
      <c r="D717" s="58">
        <f>SUMIFS(AP4:AP666,A4:A666,"Yango Namibia",AT4:AT666,"=",AU4:AU666,"Grounded")</f>
        <v/>
      </c>
      <c r="E717" s="59">
        <f>SUMIFS(AQ4:AQ666,A4:A666,"Yango Namibia",AT4:AT666,"=",AU4:AU666,"Grounded")</f>
        <v/>
      </c>
    </row>
    <row r="718">
      <c r="A718" s="9" t="inlineStr">
        <is>
          <t>Yango Pakistan</t>
        </is>
      </c>
      <c r="B718" s="24" t="inlineStr">
        <is>
          <t>aspirational</t>
        </is>
      </c>
      <c r="C718" s="24" t="inlineStr">
        <is>
          <t>—</t>
        </is>
      </c>
      <c r="D718" s="58">
        <f>SUMIFS(AP4:AP666,A4:A666,"Yango Pakistan",AT4:AT666,"=",AU4:AU666,"Grounded")</f>
        <v/>
      </c>
      <c r="E718" s="59">
        <f>SUMIFS(AQ4:AQ666,A4:A666,"Yango Pakistan",AT4:AT666,"=",AU4:AU666,"Grounded")</f>
        <v/>
      </c>
    </row>
    <row r="719">
      <c r="A719" s="9" t="inlineStr">
        <is>
          <t>Yango Peru</t>
        </is>
      </c>
      <c r="B719" s="24" t="inlineStr">
        <is>
          <t>aspirational</t>
        </is>
      </c>
      <c r="C719" s="24" t="inlineStr">
        <is>
          <t>—</t>
        </is>
      </c>
      <c r="D719" s="58">
        <f>SUMIFS(AP4:AP666,A4:A666,"Yango Peru",AT4:AT666,"=",AU4:AU666,"Grounded")</f>
        <v/>
      </c>
      <c r="E719" s="59">
        <f>SUMIFS(AQ4:AQ666,A4:A666,"Yango Peru",AT4:AT666,"=",AU4:AU666,"Grounded")</f>
        <v/>
      </c>
    </row>
    <row r="720">
      <c r="A720" s="9" t="inlineStr">
        <is>
          <t>Philippines</t>
        </is>
      </c>
      <c r="B720" s="24" t="inlineStr">
        <is>
          <t>network_sum / ceil</t>
        </is>
      </c>
      <c r="C720" s="33">
        <f>SUMIFS(AR4:AR666,A4:A666,"Philippines",AT4:AT666,"=",AU4:AU666,"Grounded")</f>
        <v/>
      </c>
      <c r="D720" s="58">
        <f>IF(C720=0,0,CEILING(C720,1))</f>
        <v/>
      </c>
      <c r="E720" s="59">
        <f>SUMIFS(AS4:AS666,A4:A666,"Philippines",AT4:AT666,"=",AU4:AU666,"Grounded")</f>
        <v/>
      </c>
    </row>
    <row r="721">
      <c r="A721" s="9" t="inlineStr">
        <is>
          <t>Bolt Portugal</t>
        </is>
      </c>
      <c r="B721" s="24" t="inlineStr">
        <is>
          <t>grounded</t>
        </is>
      </c>
      <c r="C721" s="24" t="inlineStr">
        <is>
          <t>—</t>
        </is>
      </c>
      <c r="D721" s="58">
        <f>SUMIFS(AP4:AP666,A4:A666,"Bolt Portugal",AT4:AT666,"=",AU4:AU666,"Grounded")</f>
        <v/>
      </c>
      <c r="E721" s="59">
        <f>SUMIFS(AQ4:AQ666,A4:A666,"Bolt Portugal",AT4:AT666,"=",AU4:AU666,"Grounded")</f>
        <v/>
      </c>
    </row>
    <row r="722">
      <c r="A722" s="9" t="inlineStr">
        <is>
          <t>Qatar</t>
        </is>
      </c>
      <c r="B722" s="24" t="inlineStr">
        <is>
          <t>per_corridor_floor</t>
        </is>
      </c>
      <c r="C722" s="24" t="inlineStr">
        <is>
          <t>—</t>
        </is>
      </c>
      <c r="D722" s="58">
        <f>SUMIFS(AP4:AP666,A4:A666,"Qatar",AT4:AT666,"=",AU4:AU666,"Grounded")</f>
        <v/>
      </c>
      <c r="E722" s="59">
        <f>SUMIFS(AQ4:AQ666,A4:A666,"Qatar",AT4:AT666,"=",AU4:AU666,"Grounded")</f>
        <v/>
      </c>
    </row>
    <row r="723">
      <c r="A723" s="9" t="inlineStr">
        <is>
          <t>Bolt Romania</t>
        </is>
      </c>
      <c r="B723" s="24" t="inlineStr">
        <is>
          <t>aspirational</t>
        </is>
      </c>
      <c r="C723" s="24" t="inlineStr">
        <is>
          <t>—</t>
        </is>
      </c>
      <c r="D723" s="58">
        <f>SUMIFS(AP4:AP666,A4:A666,"Bolt Romania",AT4:AT666,"=",AU4:AU666,"Grounded")</f>
        <v/>
      </c>
      <c r="E723" s="59">
        <f>SUMIFS(AQ4:AQ666,A4:A666,"Bolt Romania",AT4:AT666,"=",AU4:AU666,"Grounded")</f>
        <v/>
      </c>
    </row>
    <row r="724">
      <c r="A724" s="9" t="inlineStr">
        <is>
          <t>Saudi – Red Sea</t>
        </is>
      </c>
      <c r="B724" s="24" t="inlineStr">
        <is>
          <t>per_corridor_floor</t>
        </is>
      </c>
      <c r="C724" s="24" t="inlineStr">
        <is>
          <t>—</t>
        </is>
      </c>
      <c r="D724" s="58">
        <f>SUMIFS(AP4:AP666,A4:A666,"Saudi – Red Sea",AT4:AT666,"=",AU4:AU666,"Grounded")</f>
        <v/>
      </c>
      <c r="E724" s="59">
        <f>SUMIFS(AQ4:AQ666,A4:A666,"Saudi – Red Sea",AT4:AT666,"=",AU4:AU666,"Grounded")</f>
        <v/>
      </c>
    </row>
    <row r="725">
      <c r="A725" s="9" t="inlineStr">
        <is>
          <t>Yango Senegal</t>
        </is>
      </c>
      <c r="B725" s="24" t="inlineStr">
        <is>
          <t>aspirational</t>
        </is>
      </c>
      <c r="C725" s="24" t="inlineStr">
        <is>
          <t>—</t>
        </is>
      </c>
      <c r="D725" s="58">
        <f>SUMIFS(AP4:AP666,A4:A666,"Yango Senegal",AT4:AT666,"=",AU4:AU666,"Grounded")</f>
        <v/>
      </c>
      <c r="E725" s="59">
        <f>SUMIFS(AQ4:AQ666,A4:A666,"Yango Senegal",AT4:AT666,"=",AU4:AU666,"Grounded")</f>
        <v/>
      </c>
    </row>
    <row r="726">
      <c r="A726" s="9" t="inlineStr">
        <is>
          <t>Cross-Border</t>
        </is>
      </c>
      <c r="B726" s="24" t="inlineStr">
        <is>
          <t>network_sum / ceil</t>
        </is>
      </c>
      <c r="C726" s="33">
        <f>SUMIFS(AR4:AR666,A4:A666,"Cross-Border",AT4:AT666,"=",AU4:AU666,"Grounded")</f>
        <v/>
      </c>
      <c r="D726" s="58">
        <f>IF(C726=0,0,CEILING(C726,1))</f>
        <v/>
      </c>
      <c r="E726" s="59">
        <f>SUMIFS(AS4:AS666,A4:A666,"Cross-Border",AT4:AT666,"=",AU4:AU666,"Grounded")</f>
        <v/>
      </c>
    </row>
    <row r="727">
      <c r="A727" s="9" t="inlineStr">
        <is>
          <t>Korea Kakao Mobility</t>
        </is>
      </c>
      <c r="B727" s="24" t="inlineStr">
        <is>
          <t>network_sum / ceil</t>
        </is>
      </c>
      <c r="C727" s="33">
        <f>SUMIFS(AR4:AR666,A4:A666,"Korea Kakao Mobility",AT4:AT666,"=",AU4:AU666,"Grounded")</f>
        <v/>
      </c>
      <c r="D727" s="58">
        <f>IF(C727=0,0,CEILING(C727,1))</f>
        <v/>
      </c>
      <c r="E727" s="59">
        <f>SUMIFS(AS4:AS666,A4:A666,"Korea Kakao Mobility",AT4:AT666,"=",AU4:AU666,"Grounded")</f>
        <v/>
      </c>
    </row>
    <row r="728">
      <c r="A728" s="9" t="inlineStr">
        <is>
          <t>Bolt Spain</t>
        </is>
      </c>
      <c r="B728" s="24" t="inlineStr">
        <is>
          <t>aspirational</t>
        </is>
      </c>
      <c r="C728" s="24" t="inlineStr">
        <is>
          <t>—</t>
        </is>
      </c>
      <c r="D728" s="58">
        <f>SUMIFS(AP4:AP666,A4:A666,"Bolt Spain",AT4:AT666,"=",AU4:AU666,"Grounded")</f>
        <v/>
      </c>
      <c r="E728" s="59">
        <f>SUMIFS(AQ4:AQ666,A4:A666,"Bolt Spain",AT4:AT666,"=",AU4:AU666,"Grounded")</f>
        <v/>
      </c>
    </row>
    <row r="729">
      <c r="A729" s="9" t="inlineStr">
        <is>
          <t>Bolt Sweden</t>
        </is>
      </c>
      <c r="B729" s="24" t="inlineStr">
        <is>
          <t>aspirational</t>
        </is>
      </c>
      <c r="C729" s="24" t="inlineStr">
        <is>
          <t>—</t>
        </is>
      </c>
      <c r="D729" s="58">
        <f>SUMIFS(AP4:AP666,A4:A666,"Bolt Sweden",AT4:AT666,"=",AU4:AU666,"Grounded")</f>
        <v/>
      </c>
      <c r="E729" s="59">
        <f>SUMIFS(AQ4:AQ666,A4:A666,"Bolt Sweden",AT4:AT666,"=",AU4:AU666,"Grounded")</f>
        <v/>
      </c>
    </row>
    <row r="730">
      <c r="A730" s="9" t="inlineStr">
        <is>
          <t>Taiwan</t>
        </is>
      </c>
      <c r="B730" s="24" t="inlineStr">
        <is>
          <t>network_sum / ceil</t>
        </is>
      </c>
      <c r="C730" s="33">
        <f>SUMIFS(AR4:AR666,A4:A666,"Taiwan",AT4:AT666,"=",AU4:AU666,"Grounded")</f>
        <v/>
      </c>
      <c r="D730" s="58">
        <f>IF(C730=0,0,CEILING(C730,1))</f>
        <v/>
      </c>
      <c r="E730" s="59">
        <f>SUMIFS(AS4:AS666,A4:A666,"Taiwan",AT4:AT666,"=",AU4:AU666,"Grounded")</f>
        <v/>
      </c>
    </row>
    <row r="731">
      <c r="A731" s="9" t="inlineStr">
        <is>
          <t>Bangkok</t>
        </is>
      </c>
      <c r="B731" s="24" t="inlineStr">
        <is>
          <t>network_sum / ceil</t>
        </is>
      </c>
      <c r="C731" s="33">
        <f>SUMIFS(AR4:AR666,A4:A666,"Bangkok",AT4:AT666,"=",AU4:AU666,"Grounded")</f>
        <v/>
      </c>
      <c r="D731" s="58">
        <f>IF(C731=0,0,CEILING(C731,1))</f>
        <v/>
      </c>
      <c r="E731" s="59">
        <f>SUMIFS(AS4:AS666,A4:A666,"Bangkok",AT4:AT666,"=",AU4:AU666,"Grounded")</f>
        <v/>
      </c>
    </row>
    <row r="732">
      <c r="A732" s="9" t="inlineStr">
        <is>
          <t>Koh Samui</t>
        </is>
      </c>
      <c r="B732" s="24" t="inlineStr">
        <is>
          <t>network_sum / ceil</t>
        </is>
      </c>
      <c r="C732" s="33">
        <f>SUMIFS(AR4:AR666,A4:A666,"Koh Samui",AT4:AT666,"=",AU4:AU666,"Grounded")</f>
        <v/>
      </c>
      <c r="D732" s="58">
        <f>IF(C732=0,0,CEILING(C732,1))</f>
        <v/>
      </c>
      <c r="E732" s="59">
        <f>SUMIFS(AS4:AS666,A4:A666,"Koh Samui",AT4:AT666,"=",AU4:AU666,"Grounded")</f>
        <v/>
      </c>
    </row>
    <row r="733">
      <c r="A733" s="9" t="inlineStr">
        <is>
          <t>Phuket</t>
        </is>
      </c>
      <c r="B733" s="24" t="inlineStr">
        <is>
          <t>network_sum / ceil</t>
        </is>
      </c>
      <c r="C733" s="33">
        <f>SUMIFS(AR4:AR666,A4:A666,"Phuket",AT4:AT666,"=",AU4:AU666,"Grounded")</f>
        <v/>
      </c>
      <c r="D733" s="58">
        <f>IF(C733=0,0,CEILING(C733,1))</f>
        <v/>
      </c>
      <c r="E733" s="59">
        <f>SUMIFS(AS4:AS666,A4:A666,"Phuket",AT4:AT666,"=",AU4:AU666,"Grounded")</f>
        <v/>
      </c>
    </row>
    <row r="734">
      <c r="A734" s="9" t="inlineStr">
        <is>
          <t>Yango Tunisia</t>
        </is>
      </c>
      <c r="B734" s="24" t="inlineStr">
        <is>
          <t>aspirational</t>
        </is>
      </c>
      <c r="C734" s="24" t="inlineStr">
        <is>
          <t>—</t>
        </is>
      </c>
      <c r="D734" s="58">
        <f>SUMIFS(AP4:AP666,A4:A666,"Yango Tunisia",AT4:AT666,"=",AU4:AU666,"Grounded")</f>
        <v/>
      </c>
      <c r="E734" s="59">
        <f>SUMIFS(AQ4:AQ666,A4:A666,"Yango Tunisia",AT4:AT666,"=",AU4:AU666,"Grounded")</f>
        <v/>
      </c>
    </row>
    <row r="735">
      <c r="A735" s="9" t="inlineStr">
        <is>
          <t>UAE (Careem)</t>
        </is>
      </c>
      <c r="B735" s="24" t="inlineStr">
        <is>
          <t>network_sum / ceil</t>
        </is>
      </c>
      <c r="C735" s="33">
        <f>SUMIFS(AR4:AR666,A4:A666,"UAE (Careem)",AT4:AT666,"=",AU4:AU666,"Grounded")</f>
        <v/>
      </c>
      <c r="D735" s="58">
        <f>IF(C735=0,0,CEILING(C735,1))</f>
        <v/>
      </c>
      <c r="E735" s="59">
        <f>SUMIFS(AS4:AS666,A4:A666,"UAE (Careem)",AT4:AT666,"=",AU4:AU666,"Grounded")</f>
        <v/>
      </c>
    </row>
    <row r="736">
      <c r="A736" s="9" t="inlineStr">
        <is>
          <t>Vietnam</t>
        </is>
      </c>
      <c r="B736" s="24" t="inlineStr">
        <is>
          <t>network_sum / ceil</t>
        </is>
      </c>
      <c r="C736" s="33">
        <f>SUMIFS(AR4:AR666,A4:A666,"Vietnam",AT4:AT666,"=",AU4:AU666,"Grounded")</f>
        <v/>
      </c>
      <c r="D736" s="58">
        <f>IF(C736=0,0,CEILING(C736,1))</f>
        <v/>
      </c>
      <c r="E736" s="59">
        <f>SUMIFS(AS4:AS666,A4:A666,"Vietnam",AT4:AT666,"=",AU4:AU666,"Grounded")</f>
        <v/>
      </c>
    </row>
    <row r="737">
      <c r="A737" s="14" t="inlineStr">
        <is>
          <t>GROUNDED FLOOR (PUBLISHED)</t>
        </is>
      </c>
      <c r="D737" s="57">
        <f>SUM(D671:D736)</f>
        <v/>
      </c>
      <c r="E737" s="55">
        <f>SUM(E671:E736)</f>
        <v/>
      </c>
    </row>
    <row r="738">
      <c r="A738" s="30" t="inlineStr">
        <is>
          <t>ESTIMATED DEMAND (country-median cascade; held OUT of grounded floor)</t>
        </is>
      </c>
      <c r="D738" s="60">
        <f>SUMIF(AU4:AU666,"Estimated",AP4:AP666)</f>
        <v/>
      </c>
      <c r="E738" s="61">
        <f>SUMIF(AU4:AU666,"Estimated",AQ4:AQ666)</f>
        <v/>
      </c>
    </row>
    <row r="739">
      <c r="A739" s="30" t="inlineStr">
        <is>
          <t>ESTIMATED UPSIDE (LB-99 modal-shift / experience-upside tiers; held OUT of grounded floor)</t>
        </is>
      </c>
      <c r="D739" s="60">
        <f>SUMIF(AU4:AU666,"Upside tier",AP4:AP666)</f>
        <v/>
      </c>
      <c r="E739" s="61">
        <f>SUMIF(AU4:AU666,"Upside tier",AQ4:AQ666)</f>
        <v/>
      </c>
    </row>
    <row r="740">
      <c r="A740" s="30" t="inlineStr">
        <is>
          <t>FORWARD SAM (2030-dated; held OUT of grounded floor)</t>
        </is>
      </c>
      <c r="D740" s="60">
        <f>SUMIF(AU4:AU666,"Forward SAM",AP4:AP666)</f>
        <v/>
      </c>
      <c r="E740" s="61">
        <f>SUMIF(AU4:AU666,"Forward SAM",AQ4:AQ666)</f>
        <v/>
      </c>
    </row>
    <row r="741"/>
    <row r="742">
      <c r="A742" s="62" t="inlineStr">
        <is>
          <t>Held for Quanta-LR (&gt;70nm, roadmap H2 2026+):</t>
        </is>
      </c>
      <c r="C742" s="63" t="inlineStr">
        <is>
          <t>Singapore (Tanah Merah) → Tioman Island (east-coast Malaysia) (108.6nm)</t>
        </is>
      </c>
    </row>
    <row r="743">
      <c r="C743" s="63" t="inlineStr">
        <is>
          <t>Lombok → Komodo / Labuan Bajo (237nm)</t>
        </is>
      </c>
    </row>
    <row r="744">
      <c r="C744" s="63" t="inlineStr">
        <is>
          <t>Komodo / Labuan Bajo → Sumba (Nihi) (90nm)</t>
        </is>
      </c>
    </row>
    <row r="745">
      <c r="C745" s="63" t="inlineStr">
        <is>
          <t>Phuket → Langkawi (cross-border, regional reach) (107nm)</t>
        </is>
      </c>
    </row>
    <row r="746">
      <c r="C746" s="63" t="inlineStr">
        <is>
          <t>Manila → Coron (Palawan) (150nm)</t>
        </is>
      </c>
    </row>
    <row r="747">
      <c r="C747" s="63" t="inlineStr">
        <is>
          <t>Cebu → Boracay (90nm)</t>
        </is>
      </c>
    </row>
    <row r="748">
      <c r="C748" s="63" t="inlineStr">
        <is>
          <t>Karimunjawa Archipelago → Jakarta (223.5nm)</t>
        </is>
      </c>
    </row>
    <row r="749">
      <c r="C749" s="63" t="inlineStr">
        <is>
          <t>Kaohsiung → Magong (Penghu) (73.0nm)</t>
        </is>
      </c>
    </row>
    <row r="750">
      <c r="C750" s="63" t="inlineStr">
        <is>
          <t>Shura Island hub → AMAALA (Triple Bay) (82.9nm)</t>
        </is>
      </c>
    </row>
    <row r="751">
      <c r="C751" s="63" t="inlineStr">
        <is>
          <t>The Red Sea → NEOM (Sindalah) / Jeddah gateway (196.9nm)</t>
        </is>
      </c>
    </row>
    <row r="752">
      <c r="C752" s="63" t="inlineStr">
        <is>
          <t>Jeddah gateway → The Red Sea archipelago (275.5nm)</t>
        </is>
      </c>
    </row>
    <row r="753">
      <c r="C753" s="63" t="inlineStr">
        <is>
          <t>Jeddah → NEOM (Sindalah) (463.9nm)</t>
        </is>
      </c>
    </row>
    <row r="754">
      <c r="C754" s="63" t="inlineStr">
        <is>
          <t>Abu Dhabi → Muscat (360.9nm)</t>
        </is>
      </c>
    </row>
    <row r="755">
      <c r="C755" s="63" t="inlineStr">
        <is>
          <t>Fujairah → Muscat (149.1nm)</t>
        </is>
      </c>
    </row>
    <row r="756">
      <c r="C756" s="63" t="inlineStr">
        <is>
          <t>Marina Mall / Breakwater Marina → Sir Bani Yas Cruise Port (93.1nm)</t>
        </is>
      </c>
    </row>
    <row r="757">
      <c r="C757" s="63" t="inlineStr">
        <is>
          <t>Doha (Lusail Marina) → Manama (Bahrain Financial Harbour) (94.5nm)</t>
        </is>
      </c>
    </row>
    <row r="758">
      <c r="C758" s="63" t="inlineStr">
        <is>
          <t>Papeete (Tahiti) → Bora Bora (Vaitape) (140nm)</t>
        </is>
      </c>
    </row>
    <row r="759">
      <c r="C759" s="63" t="inlineStr">
        <is>
          <t>Moorea (Vaiare) → Huahine (Fare) (80nm)</t>
        </is>
      </c>
    </row>
    <row r="760">
      <c r="C760" s="63" t="inlineStr">
        <is>
          <t>Papeete (Tahiti) → Raiatea (Uturoa) (115nm)</t>
        </is>
      </c>
    </row>
    <row r="761">
      <c r="C761" s="63" t="inlineStr">
        <is>
          <t>Papeete (Tahiti) → Maupiti (Vai'ea) (150nm)</t>
        </is>
      </c>
    </row>
    <row r="762">
      <c r="C762" s="63" t="inlineStr">
        <is>
          <t>Rangiroa → Fakarava (150nm)</t>
        </is>
      </c>
    </row>
    <row r="763">
      <c r="C763" s="63" t="inlineStr">
        <is>
          <t>Papeete (Tahiti) → Rangiroa (Avatoru) (190nm)</t>
        </is>
      </c>
    </row>
    <row r="764">
      <c r="C764" s="63" t="inlineStr">
        <is>
          <t>Mykonos → Santorini (Thira) (75nm)</t>
        </is>
      </c>
    </row>
    <row r="765">
      <c r="C765" s="63" t="inlineStr">
        <is>
          <t>Monaco → Portofino (85.0nm)</t>
        </is>
      </c>
    </row>
    <row r="766">
      <c r="C766" s="63" t="inlineStr">
        <is>
          <t>Tallinn → Stockholm (210nm)</t>
        </is>
      </c>
    </row>
    <row r="767">
      <c r="C767" s="63" t="inlineStr">
        <is>
          <t>Larnaca → Jounieh / Beirut (Lebanon) (115nm)</t>
        </is>
      </c>
    </row>
    <row r="768">
      <c r="C768" s="63" t="inlineStr">
        <is>
          <t>Stockholm (Vartahamnen / Stadsgarden) → Mariehamn (Aland) (75nm)</t>
        </is>
      </c>
    </row>
    <row r="769">
      <c r="C769" s="63" t="inlineStr">
        <is>
          <t>Palma de Mallorca → Ibiza Town (75.0nm)</t>
        </is>
      </c>
    </row>
    <row r="770">
      <c r="C770" s="63" t="inlineStr">
        <is>
          <t>Palma de Mallorca → Maó (Menorca) (100nm)</t>
        </is>
      </c>
    </row>
    <row r="771">
      <c r="C771" s="63" t="inlineStr">
        <is>
          <t>Dénia → Palma de Mallorca (130nm)</t>
        </is>
      </c>
    </row>
    <row r="772">
      <c r="C772" s="63" t="inlineStr">
        <is>
          <t>Barcelona → Palma de Mallorca (115nm)</t>
        </is>
      </c>
    </row>
    <row r="773">
      <c r="C773" s="63" t="inlineStr">
        <is>
          <t>Barcelona → Ibiza Town (Eivissa) (140nm)</t>
        </is>
      </c>
    </row>
    <row r="774">
      <c r="C774" s="63" t="inlineStr">
        <is>
          <t>Helsinki → Stockholm (210nm)</t>
        </is>
      </c>
    </row>
    <row r="775">
      <c r="C775" s="63" t="inlineStr">
        <is>
          <t>Haifa → Limassol (Cyprus) (147.1nm)</t>
        </is>
      </c>
    </row>
    <row r="776">
      <c r="C776" s="63" t="inlineStr">
        <is>
          <t>Beirut / Jounieh → Larnaca (Cyprus) (110.5nm)</t>
        </is>
      </c>
    </row>
    <row r="777">
      <c r="C777" s="63" t="inlineStr">
        <is>
          <t>Kuryk (Port of Kuryk) → Baku (Alat — Baku International Sea Port, Azerbaijan) (215nm)</t>
        </is>
      </c>
    </row>
    <row r="778">
      <c r="C778" s="63" t="inlineStr">
        <is>
          <t>Aktau (Aktau Sea Port) → Baku (Alat, Azerbaijan) (230nm)</t>
        </is>
      </c>
    </row>
    <row r="779">
      <c r="C779" s="63" t="inlineStr">
        <is>
          <t>Baku (Alat — Baku International Sea Port) → Turkmenbashi (150nm)</t>
        </is>
      </c>
    </row>
    <row r="780">
      <c r="C780" s="63" t="inlineStr">
        <is>
          <t>Baku (Alat — Baku International Sea Port) → Aktau / Kuryk (Kazakhstan) (250nm)</t>
        </is>
      </c>
    </row>
    <row r="781">
      <c r="C781" s="63" t="inlineStr">
        <is>
          <t>Karachi (Keamari) → Gwadar (255nm)</t>
        </is>
      </c>
    </row>
    <row r="782">
      <c r="C782" s="63" t="inlineStr">
        <is>
          <t>Dakar → Saint-Louis (du Senegal) (90nm)</t>
        </is>
      </c>
    </row>
    <row r="783">
      <c r="C783" s="63" t="inlineStr">
        <is>
          <t>Dakar (Gare maritime / Port) → Ziguinchor (Port de Ziguinchor, Casamance) (200nm)</t>
        </is>
      </c>
    </row>
    <row r="784">
      <c r="C784" s="63" t="inlineStr">
        <is>
          <t>Nador (Beni Ensar) → Almeria (Spain) (92nm)</t>
        </is>
      </c>
    </row>
    <row r="785">
      <c r="C785" s="63" t="inlineStr">
        <is>
          <t>Tunis (La Goulette) → Palermo (Sicily, Italy) (170nm)</t>
        </is>
      </c>
    </row>
    <row r="786">
      <c r="C786" s="63" t="inlineStr">
        <is>
          <t>Goa → Mumbai (213.3nm)</t>
        </is>
      </c>
    </row>
    <row r="787">
      <c r="C787" s="63" t="inlineStr">
        <is>
          <t>Abu Dhabi → Manama (264.1nm)</t>
        </is>
      </c>
    </row>
    <row r="788">
      <c r="C788" s="63" t="inlineStr">
        <is>
          <t>Manama → Doha (98.8nm)</t>
        </is>
      </c>
    </row>
    <row r="789">
      <c r="C789" s="63" t="inlineStr">
        <is>
          <t>Manama → Dubai (290.6nm)</t>
        </is>
      </c>
    </row>
    <row r="790">
      <c r="C790" s="63" t="inlineStr">
        <is>
          <t>Ras Al Khaimah → Abu Dhabi (112.0nm)</t>
        </is>
      </c>
    </row>
    <row r="791">
      <c r="C791" s="63" t="inlineStr">
        <is>
          <t>Ras Al Khaimah → Doha (240.7nm)</t>
        </is>
      </c>
    </row>
    <row r="792">
      <c r="C792" s="63" t="inlineStr">
        <is>
          <t>Ras Al Khaimah → Manama (289.7nm)</t>
        </is>
      </c>
    </row>
    <row r="793">
      <c r="C793" s="63" t="inlineStr">
        <is>
          <t>Ras Al Khaimah → Muscat (263.5nm)</t>
        </is>
      </c>
    </row>
    <row r="794">
      <c r="C794" s="63" t="inlineStr">
        <is>
          <t>Chennai Port WQIV Cruise Terminal → Cuddalore Port (90.0nm)</t>
        </is>
      </c>
    </row>
    <row r="795">
      <c r="C795" s="63" t="inlineStr">
        <is>
          <t>Chennai Port WQIV Cruise Terminal → Puducherry Port (76.6nm)</t>
        </is>
      </c>
    </row>
    <row r="796">
      <c r="C796" s="63" t="inlineStr">
        <is>
          <t>Port d'Oran → Mostaganem port (81.7nm)</t>
        </is>
      </c>
    </row>
    <row r="797">
      <c r="C797" s="63" t="inlineStr">
        <is>
          <t>Port de Béjaïa → Port d'Alger (113.8nm)</t>
        </is>
      </c>
    </row>
    <row r="798">
      <c r="C798" s="63" t="inlineStr">
        <is>
          <t>Padang Bai (Bali east — Pioneer II Bali↔Lombok pointer, NOT LBJ) → Meruorah Komodo Labuan Bajo (261.6nm)</t>
        </is>
      </c>
    </row>
    <row r="799">
      <c r="C799" s="63" t="inlineStr">
        <is>
          <t>Komodo / Labuan Bajo / Flores / Sumba → Sumba (82.9nm)</t>
        </is>
      </c>
    </row>
    <row r="800">
      <c r="C800" s="63" t="inlineStr">
        <is>
          <t>Marina Labuan Bajo → Maumere Port (Lorenz Say) — Kelimutu access (153.3nm)</t>
        </is>
      </c>
    </row>
    <row r="801">
      <c r="C801" s="63" t="inlineStr">
        <is>
          <t>Raja Ampat → Misool (114.6nm)</t>
        </is>
      </c>
    </row>
    <row r="802">
      <c r="C802" s="63" t="inlineStr">
        <is>
          <t>Lima (Costa Verde) → Paracas (El Chaco) (112.0nm)</t>
        </is>
      </c>
    </row>
    <row r="803">
      <c r="C803" s="63" t="inlineStr">
        <is>
          <t>Kribi → Douala (78.0nm)</t>
        </is>
      </c>
    </row>
    <row r="804">
      <c r="C804" s="63" t="inlineStr">
        <is>
          <t>Busan / Geoje → Fukuoka (Hakata) (109.8nm)</t>
        </is>
      </c>
    </row>
    <row r="805">
      <c r="C805" s="63" t="inlineStr">
        <is>
          <t>Busan / Geoje → Jeju (157.2nm)</t>
        </is>
      </c>
    </row>
  </sheetData>
  <mergeCells count="2">
    <mergeCell ref="A669:L66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0.1746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64">
        <f>som_floor_rev/(ROUND(SUMPRODUCT(--('Corridor economics'!$AU$4:$AU$666="Grounded"),'Corridor economics'!$AK$4:$AK$666,'Corridor economics'!$H$4:$H$666),0))</f>
        <v/>
      </c>
      <c r="E11" s="13" t="inlineStr">
        <is>
          <t>New-entrant ~17%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model comparable-fare transport pool on sourced corridors</t>
        </is>
      </c>
      <c r="C16" s="59">
        <f>ROUND(SUMPRODUCT(--('Corridor economics'!$AU$4:$AU$666="Grounded"),'Corridor economics'!$AK$4:$AK$666,'Corridor economics'!$H$4:$H$666),0)</f>
        <v/>
      </c>
      <c r="E16" s="13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7"/>
    <row r="18">
      <c r="A18" s="9" t="inlineStr">
        <is>
          <t>SOM full network (~17%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(~17%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5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6" t="inlineStr">
        <is>
          <t>Engine cross-check (growth-unique-global.json — unique geometry)</t>
        </is>
      </c>
      <c r="B29" s="67" t="n"/>
      <c r="C29" s="67" t="n"/>
      <c r="D29" s="67" t="n"/>
      <c r="E29" s="68" t="n"/>
    </row>
    <row r="30">
      <c r="A30" s="13" t="inlineStr">
        <is>
          <t>M_today pool</t>
        </is>
      </c>
      <c r="C30" s="69" t="n">
        <v>3575775882</v>
      </c>
    </row>
    <row r="31">
      <c r="A31" s="13" t="inlineStr">
        <is>
          <t>SOM floor (published)</t>
        </is>
      </c>
      <c r="C31" s="69" t="n">
        <v>624339324</v>
      </c>
    </row>
    <row r="32">
      <c r="A32" s="13" t="inlineStr">
        <is>
          <t>SAM @ full network (MID)</t>
        </is>
      </c>
      <c r="C32" s="69" t="n">
        <v>7884585820</v>
      </c>
    </row>
    <row r="33">
      <c r="A33" s="13" t="inlineStr">
        <is>
          <t>TAM journey GMV (MID)</t>
        </is>
      </c>
      <c r="C33" s="69" t="n">
        <v>94615029838</v>
      </c>
    </row>
    <row r="34">
      <c r="A34" s="13" t="inlineStr">
        <is>
          <t>Platform rev on Navier (MID)</t>
        </is>
      </c>
      <c r="C34" s="69" t="n">
        <v>4257676343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2026-07-19T23:21:18Z</dcterms:created>
  <dcterms:modified xsi:type="dcterms:W3CDTF">2026-07-19T23:21:29Z</dcterms:modified>
</cp:coreProperties>
</file>