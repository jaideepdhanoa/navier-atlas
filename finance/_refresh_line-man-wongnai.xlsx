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opex'!$A$4:$G$4</definedName>
    <definedName name="som_floor_fleet">'Corridor economics'!$D$39</definedName>
    <definedName name="som_floor_rev">'Corridor economics'!$E$39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Line-Man-Wongnai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Thailand</t>
        </is>
      </c>
      <c r="B4" s="26" t="n">
        <v>24000</v>
      </c>
      <c r="C4" s="27" t="n">
        <v>0.116</v>
      </c>
      <c r="D4" s="19" t="n">
        <v>0.5</v>
      </c>
      <c r="E4" s="26" t="n">
        <v>12000</v>
      </c>
      <c r="F4" s="19" t="n">
        <v>0.55</v>
      </c>
      <c r="G4" s="26" t="n">
        <v>600000</v>
      </c>
      <c r="H4" s="14" t="inlineStr">
        <is>
          <t>ERI Thailand boat captain ~876k THB/yr | MEA/PEA business tariff ~4.18 THB/kWh | Modeled Phuket marine ops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Line-Man-Wongnai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Bangkok</t>
        </is>
      </c>
      <c r="B4" s="29" t="inlineStr">
        <is>
          <t>Thailand</t>
        </is>
      </c>
      <c r="C4" s="30" t="inlineStr">
        <is>
          <t>Sathorn (Central) Pier → Phra Arthit Pier</t>
        </is>
      </c>
      <c r="D4" s="31" t="n">
        <v>2.9</v>
      </c>
      <c r="E4" s="26" t="n">
        <v>18</v>
      </c>
      <c r="F4" s="32" t="n"/>
      <c r="G4" s="32" t="inlineStr">
        <is>
          <t>derived_pending_validation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345600</v>
      </c>
      <c r="AH4" s="32" t="n"/>
      <c r="AI4" s="32" t="inlineStr">
        <is>
          <t>derived_pending_validation</t>
        </is>
      </c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Grounded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[LB-255 PREMIUM RE-FARE: subsidized comparable $4.29 lifted to premium on-demand floor $18.0] Chao Phraya river spine: Sathorn (CEN) &lt;-&gt; ICONSIAM (N2/1) &lt;-&gt; Phra Arthit (N13) corridor</t>
        </is>
      </c>
      <c r="AY4" s="44" t="inlineStr">
        <is>
          <t>Chao Phraya river spine: Sathorn (CEN) &lt;-&gt; ICONSIAM (N2/1) &lt;-&gt; Phra Arthit (N13) corridor</t>
        </is>
      </c>
    </row>
    <row r="5">
      <c r="A5" s="29" t="inlineStr">
        <is>
          <t>Eastern_Seaboard</t>
        </is>
      </c>
      <c r="B5" s="29" t="inlineStr">
        <is>
          <t>Thailand</t>
        </is>
      </c>
      <c r="C5" s="30" t="inlineStr">
        <is>
          <t>Ban Phe Pier → Koh Samet (Na Dan Pier)</t>
        </is>
      </c>
      <c r="D5" s="31" t="n">
        <v>3.3</v>
      </c>
      <c r="E5" s="26" t="n">
        <v>14</v>
      </c>
      <c r="F5" s="32" t="inlineStr">
        <is>
          <t>T5</t>
        </is>
      </c>
      <c r="G5" s="32" t="inlineStr">
        <is>
          <t>low-med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92000</v>
      </c>
      <c r="AH5" s="32" t="inlineStr">
        <is>
          <t>T4</t>
        </is>
      </c>
      <c r="AI5" s="32" t="inlineStr">
        <is>
          <t>low-med</t>
        </is>
      </c>
      <c r="AJ5" s="39" t="n">
        <v>0.1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Proven high-frequency Ban Phe speedboat gateway; premium upgrade of dense leg.</t>
        </is>
      </c>
      <c r="AY5" s="44" t="inlineStr">
        <is>
          <t>Proven high-frequency Ban Phe speedboat gateway; premium upgrade of dense leg.</t>
        </is>
      </c>
    </row>
    <row r="6">
      <c r="A6" s="29" t="inlineStr">
        <is>
          <t>Bangkok</t>
        </is>
      </c>
      <c r="B6" s="29" t="inlineStr">
        <is>
          <t>Thailand</t>
        </is>
      </c>
      <c r="C6" s="30" t="inlineStr">
        <is>
          <t>ICONSIAM Pier (Chao Phraya) → ICONSIAM Pier (Chao Phraya)</t>
        </is>
      </c>
      <c r="D6" s="31" t="n">
        <v>5.3</v>
      </c>
      <c r="E6" s="26" t="n">
        <v>35</v>
      </c>
      <c r="F6" s="32" t="inlineStr">
        <is>
          <t>T2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1200000</v>
      </c>
      <c r="AH6" s="32" t="n"/>
      <c r="AI6" s="32" t="n"/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Grounded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>Conservative mid of the live Jun-2026 promo band across 24 listed dinner-round products (899-2,000 THB; cluster at 1,150-1,550): click2gothailand.com top-10 guide (updated 1-Jun-2026); Bangkok Chaophraya Cruise operator site lists 1,550 THB/pax rack. Navier 8-pax product would be drinks/canape-class, not galley-buffet-class, hence mid-band anchor not premium.</t>
        </is>
      </c>
      <c r="AY6" s="44" t="n"/>
    </row>
    <row r="7">
      <c r="A7" s="29" t="inlineStr">
        <is>
          <t>Koh Samui</t>
        </is>
      </c>
      <c r="B7" s="29" t="inlineStr">
        <is>
          <t>Thailand</t>
        </is>
      </c>
      <c r="C7" s="30" t="inlineStr">
        <is>
          <t>Samui Pralarn Pier (Mae Nam) → Koh Phangan (Thong Sala) — pier-exact</t>
        </is>
      </c>
      <c r="D7" s="31" t="n">
        <v>7.5</v>
      </c>
      <c r="E7" s="26" t="n">
        <v>35</v>
      </c>
      <c r="F7" s="32" t="n"/>
      <c r="G7" s="32" t="inlineStr">
        <is>
          <t>T1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450000</v>
      </c>
      <c r="AH7" s="32" t="inlineStr">
        <is>
          <t>T5</t>
        </is>
      </c>
      <c r="AI7" s="32" t="inlineStr">
        <is>
          <t>low-med</t>
        </is>
      </c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inlineStr">
        <is>
          <t>rn-db5e83248f9d</t>
        </is>
      </c>
      <c r="AQ7" s="32" t="inlineStr">
        <is>
          <t>Grounded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n"/>
      <c r="AY7" s="44" t="inlineStr">
        <is>
          <t>SUBSET of rn-db5e83248f9d (do not sum). Lomprayah operates the Pralarn (Mae Nam) terminal with ~4-6 daily fast-cat departures/direction to Thong Sala (lomprayah.com 2026 timetable; ferryadvice.com: Pralarn-&gt;Thong Sala 20 min, THB 300); Lomprayah is the highest-frequency operator on the crossing.</t>
        </is>
      </c>
    </row>
    <row r="8">
      <c r="A8" s="29" t="inlineStr">
        <is>
          <t>Phuket</t>
        </is>
      </c>
      <c r="B8" s="29" t="inlineStr">
        <is>
          <t>Thailand</t>
        </is>
      </c>
      <c r="C8" s="30" t="inlineStr">
        <is>
          <t>Ao Po Grand Marina → Anantara Layan Phuket Beach Jetty</t>
        </is>
      </c>
      <c r="D8" s="31" t="n">
        <v>9.6</v>
      </c>
      <c r="E8" s="26" t="n">
        <v>100</v>
      </c>
      <c r="F8" s="32" t="inlineStr">
        <is>
          <t>T2</t>
        </is>
      </c>
      <c r="G8" s="32" t="inlineStr">
        <is>
          <t>med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8500</v>
      </c>
      <c r="AH8" s="32" t="inlineStr">
        <is>
          <t>T2</t>
        </is>
      </c>
      <c r="AI8" s="32" t="inlineStr">
        <is>
          <t>med</t>
        </is>
      </c>
      <c r="AJ8" s="39" t="n">
        <v>0.9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Grounded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Minor Hotels captive gateway — Anantara Layan marina pickup.</t>
        </is>
      </c>
      <c r="AY8" s="44" t="inlineStr">
        <is>
          <t>minor-hotels-phuket-flagship-economics-DRAFT.json — Layan gateway pool</t>
        </is>
      </c>
    </row>
    <row r="9">
      <c r="A9" s="29" t="inlineStr">
        <is>
          <t>Phuket</t>
        </is>
      </c>
      <c r="B9" s="29" t="inlineStr">
        <is>
          <t>Thailand</t>
        </is>
      </c>
      <c r="C9" s="30" t="inlineStr">
        <is>
          <t>Chalong Pier (Ao Chalong) → Chalong Pier (Ao Chalong)</t>
        </is>
      </c>
      <c r="D9" s="31" t="n">
        <v>10</v>
      </c>
      <c r="E9" s="26" t="n">
        <v>35</v>
      </c>
      <c r="F9" s="32" t="inlineStr">
        <is>
          <t>T1</t>
        </is>
      </c>
      <c r="G9" s="32" t="inlineStr">
        <is>
          <t>med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400000</v>
      </c>
      <c r="AH9" s="32" t="n"/>
      <c r="AI9" s="32" t="n"/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Modal product = shared speedboat Coral Island half/one-day trip ex-Chalong: Love Sea Tour Racha+Coral speedboat 1,200 THB adult (promo 1,050) (loveseatour.com/racha-coral-speed-boat/); JC Tour Coral+snorkel 1,200 THB (jctour-thai.com/coral); Andamarine one-day Racha Yai+Coral 1,250 THB/pax incl. buffet lunch (operator IG, 2026). Premium top of ladder: HYPE join-in day cruise 3,900 THB adult incl. transfer (operator rate sheet via boatingo.com/boats/hype-catamaran/). Anchor = modal speedboat product ~1,250 THB = ~USD 35, NOT the premium cat.</t>
        </is>
      </c>
      <c r="AY9" s="44" t="n"/>
    </row>
    <row r="10">
      <c r="A10" s="29" t="inlineStr">
        <is>
          <t>Koh Samui</t>
        </is>
      </c>
      <c r="B10" s="29" t="inlineStr">
        <is>
          <t>Thailand</t>
        </is>
      </c>
      <c r="C10" s="30" t="inlineStr">
        <is>
          <t>Koh Samui (Bangrak) → Koh Phangan (Thong Sala)</t>
        </is>
      </c>
      <c r="D10" s="31" t="n">
        <v>10.2</v>
      </c>
      <c r="E10" s="26" t="n">
        <v>10</v>
      </c>
      <c r="F10" s="32" t="n"/>
      <c r="G10" s="32" t="inlineStr">
        <is>
          <t>derived_pending_validation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19404</v>
      </c>
      <c r="AH10" s="32" t="n"/>
      <c r="AI10" s="32" t="inlineStr">
        <is>
          <t>derived_pending_validation</t>
        </is>
      </c>
      <c r="AJ10" s="39" t="n">
        <v>0.1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Grounded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inlineStr">
        <is>
          <t>Koh Samui (Bangrak/Maenam) -&gt; Koh Phangan (Thong Sala)</t>
        </is>
      </c>
      <c r="AY10" s="44" t="inlineStr">
        <is>
          <t>Koh Samui (Bangrak/Maenam) -&gt; Koh Phangan (Thong Sala)</t>
        </is>
      </c>
    </row>
    <row r="11">
      <c r="A11" s="29" t="inlineStr">
        <is>
          <t>Royal_Coast</t>
        </is>
      </c>
      <c r="B11" s="29" t="inlineStr">
        <is>
          <t>Thailand</t>
        </is>
      </c>
      <c r="C11" s="30" t="inlineStr">
        <is>
          <t>Hua Hin (pier) → Cha-Am (pier)</t>
        </is>
      </c>
      <c r="D11" s="31" t="n">
        <v>13.4</v>
      </c>
      <c r="E11" s="26" t="n">
        <v>24</v>
      </c>
      <c r="F11" s="32" t="inlineStr">
        <is>
          <t>T5</t>
        </is>
      </c>
      <c r="G11" s="32" t="inlineStr">
        <is>
          <t>low-med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28000</v>
      </c>
      <c r="AH11" s="32" t="inlineStr">
        <is>
          <t>T4</t>
        </is>
      </c>
      <c r="AI11" s="32" t="inlineStr">
        <is>
          <t>low-med</t>
        </is>
      </c>
      <c r="AJ11" s="39" t="n">
        <v>0.1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Grounded</t>
        </is>
      </c>
      <c r="AR11" s="41" t="n"/>
      <c r="AS11" s="41" t="n"/>
      <c r="AT11" s="42" t="n"/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inlineStr">
        <is>
          <t>Royal-coast resort weekend hop; modeled premium slice.</t>
        </is>
      </c>
      <c r="AY11" s="44" t="inlineStr">
        <is>
          <t>Royal-coast resort weekend hop; modeled premium slice.</t>
        </is>
      </c>
    </row>
    <row r="12">
      <c r="A12" s="29" t="inlineStr">
        <is>
          <t>Phuket</t>
        </is>
      </c>
      <c r="B12" s="29" t="inlineStr">
        <is>
          <t>Thailand</t>
        </is>
      </c>
      <c r="C12" s="30" t="inlineStr">
        <is>
          <t>Ao Po Pier (Ao Po / Ao Por, NE Phuket) → Khao Phing Kan (James Bond Island), Phang Nga Bay</t>
        </is>
      </c>
      <c r="D12" s="31" t="n">
        <v>13.5</v>
      </c>
      <c r="E12" s="26" t="n">
        <v>90</v>
      </c>
      <c r="F12" s="32" t="inlineStr">
        <is>
          <t>T2</t>
        </is>
      </c>
      <c r="G12" s="32" t="inlineStr">
        <is>
          <t>med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MIN(15,FLOOR(60*service_hr/J12,1))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20000</v>
      </c>
      <c r="AH12" s="32" t="n"/>
      <c r="AI12" s="32" t="n"/>
      <c r="AJ12" s="39" t="n">
        <v>0.1</v>
      </c>
      <c r="AK12" s="34">
        <f>IF(AG12="","",AG12*AJ12)</f>
        <v/>
      </c>
      <c r="AL12" s="34">
        <f>IF(OR(AG12="",R12=0),"",MIN(IF(AT12="",9.9E+99,AT12),FLOOR(AK12/R12,1)))</f>
        <v/>
      </c>
      <c r="AM12" s="38">
        <f>IF(AL12="","",AL12*T12)</f>
        <v/>
      </c>
      <c r="AN12" s="36">
        <f>IF(OR(AG12="",R12=0),"",MIN(IF(AT12="",9.9E+99,AT12),AK12/R12))</f>
        <v/>
      </c>
      <c r="AO12" s="38">
        <f>IF(AN12="","",AN12*T12)</f>
        <v/>
      </c>
      <c r="AP12" s="40" t="n"/>
      <c r="AQ12" s="32" t="inlineStr">
        <is>
          <t>Grounded</t>
        </is>
      </c>
      <c r="AR12" s="41" t="n"/>
      <c r="AS12" s="41" t="n"/>
      <c r="AT12" s="42" t="n"/>
      <c r="AU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V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W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X12" s="44" t="inlineStr">
        <is>
          <t>John Gray's Hong by Starlight 3,350 THB/pax agent rate (phukettoursdirect.com/hong-by-starlight.html) / USD 108.89 retail (Agoda activities listing); Phuket Sail Tours sunset/day band 2,200-2,800 THB (phuketexpatguide.com operator comparison, 2026); Simba Sea Trips premium small-group products (TripAdvisor-listed, 18-adult cap, award-positioned above mass market). Anchor = conservative mid of the 2,500-3,900 THB premium band ~ USD 90.</t>
        </is>
      </c>
      <c r="AY12" s="44" t="n"/>
    </row>
    <row r="13">
      <c r="A13" s="29" t="inlineStr">
        <is>
          <t>Koh Samui</t>
        </is>
      </c>
      <c r="B13" s="29" t="inlineStr">
        <is>
          <t>Thailand</t>
        </is>
      </c>
      <c r="C13" s="30" t="inlineStr">
        <is>
          <t>Koh Samui (Lipa Noi) → Donsak (Raja Ferry pier)</t>
        </is>
      </c>
      <c r="D13" s="31" t="n">
        <v>14.3</v>
      </c>
      <c r="E13" s="26" t="n">
        <v>15.2</v>
      </c>
      <c r="F13" s="32" t="n"/>
      <c r="G13" s="32" t="inlineStr">
        <is>
          <t>T3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MIN(24,FLOOR(60*service_hr/J13,1))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666667</v>
      </c>
      <c r="AH13" s="32" t="inlineStr">
        <is>
          <t>T2</t>
        </is>
      </c>
      <c r="AI13" s="32" t="inlineStr">
        <is>
          <t>med-low</t>
        </is>
      </c>
      <c r="AJ13" s="39" t="n">
        <v>0.1</v>
      </c>
      <c r="AK13" s="34">
        <f>IF(AG13="","",AG13*AJ13)</f>
        <v/>
      </c>
      <c r="AL13" s="34">
        <f>IF(OR(AG13="",R13=0),"",MIN(IF(AT13="",9.9E+99,AT13),FLOOR(AK13/R13,1)))</f>
        <v/>
      </c>
      <c r="AM13" s="38">
        <f>IF(AL13="","",AL13*T13)</f>
        <v/>
      </c>
      <c r="AN13" s="36">
        <f>IF(OR(AG13="",R13=0),"",MIN(IF(AT13="",9.9E+99,AT13),AK13/R13))</f>
        <v/>
      </c>
      <c r="AO13" s="38">
        <f>IF(AN13="","",AN13*T13)</f>
        <v/>
      </c>
      <c r="AP13" s="40" t="n"/>
      <c r="AQ13" s="32" t="inlineStr">
        <is>
          <t>Grounded</t>
        </is>
      </c>
      <c r="AR13" s="41" t="n"/>
      <c r="AS13" s="41" t="n"/>
      <c r="AT13" s="42" t="n"/>
      <c r="AU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V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W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X13" s="44" t="n"/>
      <c r="AY13" s="44" t="inlineStr">
        <is>
          <t>SUBSET of rn-347c44e1d360 (do not sum). Raja Ferry Port (SET-listed, RP) company disclosure: ~1.2M passengers + ~600k vehicles carried in 2017 (+20% over 2016) across Donsak-Lipa Noi (Samui) and Donsak-Phangan routes; ~14 ferries, up to 50 trips/day (RP business plan via Koh Samui News/Samui Times; CreditRiskMonitor profile). RP FY2024 (2567) one-report exists but is a scanned PDF; per-route pax not machine-readable.</t>
        </is>
      </c>
    </row>
    <row r="14">
      <c r="A14" s="29" t="inlineStr">
        <is>
          <t>Koh Samui</t>
        </is>
      </c>
      <c r="B14" s="29" t="inlineStr">
        <is>
          <t>Thailand</t>
        </is>
      </c>
      <c r="C14" s="30" t="inlineStr">
        <is>
          <t>Four Seasons Koh Samui (Laem Yai) → Ang Thong Marine Park (Wua Talap)</t>
        </is>
      </c>
      <c r="D14" s="31" t="n">
        <v>15.3</v>
      </c>
      <c r="E14" s="26" t="n">
        <v>79</v>
      </c>
      <c r="F14" s="32" t="n"/>
      <c r="G14" s="32" t="inlineStr">
        <is>
          <t>T3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300000</v>
      </c>
      <c r="AH14" s="32" t="inlineStr">
        <is>
          <t>T2</t>
        </is>
      </c>
      <c r="AI14" s="32" t="inlineStr">
        <is>
          <t>med-low</t>
        </is>
      </c>
      <c r="AJ14" s="39" t="n">
        <v>0.9</v>
      </c>
      <c r="AK14" s="34">
        <f>IF(AG14="","",AG14*AJ14)</f>
        <v/>
      </c>
      <c r="AL14" s="34">
        <f>IF(OR(AG14="",R14=0),"",MIN(IF(AT14="",9.9E+99,AT14),FLOOR(AK14/R14,1)))</f>
        <v/>
      </c>
      <c r="AM14" s="38">
        <f>IF(AL14="","",AL14*T14)</f>
        <v/>
      </c>
      <c r="AN14" s="36">
        <f>IF(OR(AG14="",R14=0),"",MIN(IF(AT14="",9.9E+99,AT14),AK14/R14))</f>
        <v/>
      </c>
      <c r="AO14" s="38">
        <f>IF(AN14="","",AN14*T14)</f>
        <v/>
      </c>
      <c r="AP14" s="40" t="n"/>
      <c r="AQ14" s="32" t="inlineStr">
        <is>
          <t>Grounded</t>
        </is>
      </c>
      <c r="AR14" s="41" t="n"/>
      <c r="AS14" s="41" t="n"/>
      <c r="AT14" s="42" t="n">
        <v>3</v>
      </c>
      <c r="AU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V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W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X14" s="44" t="n"/>
      <c r="AY14" s="44" t="inlineStr">
        <is>
          <t>Mu Ko Ang Thong National Marine Park: ~160,000 park visitors/yr, ~85% foreign, &gt;THB 40M annual fee revenue (Thai PBS citing park authority, ~2024; DNP visitor-stats system catalog.dnp.go.th is the underlying register - R3-GOLD park-authority class). Park is boat-only and closed annually 1 Nov-15 Dec. Licensed speedboat day tours depart Samui (and Phangan) daily in season.</t>
        </is>
      </c>
    </row>
    <row r="15">
      <c r="A15" s="29" t="inlineStr">
        <is>
          <t>Phuket</t>
        </is>
      </c>
      <c r="B15" s="29" t="inlineStr">
        <is>
          <t>Thailand</t>
        </is>
      </c>
      <c r="C15" s="30" t="inlineStr">
        <is>
          <t>Rassada Pier (Phuket Deep Sea Port) → Manoh Pier (Koh Yao Yai)</t>
        </is>
      </c>
      <c r="D15" s="31" t="n">
        <v>16.9</v>
      </c>
      <c r="E15" s="26" t="n">
        <v>100</v>
      </c>
      <c r="F15" s="32" t="inlineStr">
        <is>
          <t>T2</t>
        </is>
      </c>
      <c r="G15" s="32" t="inlineStr">
        <is>
          <t>med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MIN(15,FLOOR(60*service_hr/J15,1))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8500</v>
      </c>
      <c r="AH15" s="32" t="inlineStr">
        <is>
          <t>T2</t>
        </is>
      </c>
      <c r="AI15" s="32" t="inlineStr">
        <is>
          <t>med</t>
        </is>
      </c>
      <c r="AJ15" s="39" t="n">
        <v>0.9</v>
      </c>
      <c r="AK15" s="34">
        <f>IF(AG15="","",AG15*AJ15)</f>
        <v/>
      </c>
      <c r="AL15" s="34">
        <f>IF(OR(AG15="",R15=0),"",MIN(IF(AT15="",9.9E+99,AT15),FLOOR(AK15/R15,1)))</f>
        <v/>
      </c>
      <c r="AM15" s="38">
        <f>IF(AL15="","",AL15*T15)</f>
        <v/>
      </c>
      <c r="AN15" s="36">
        <f>IF(OR(AG15="",R15=0),"",MIN(IF(AT15="",9.9E+99,AT15),AK15/R15))</f>
        <v/>
      </c>
      <c r="AO15" s="38">
        <f>IF(AN15="","",AN15*T15)</f>
        <v/>
      </c>
      <c r="AP15" s="40" t="n"/>
      <c r="AQ15" s="32" t="inlineStr">
        <is>
          <t>Grounded</t>
        </is>
      </c>
      <c r="AR15" s="41" t="n"/>
      <c r="AS15" s="41" t="n"/>
      <c r="AT15" s="42" t="n"/>
      <c r="AU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V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W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X15" s="44" t="inlineStr">
        <is>
          <t>Minor Hotels captive gateway — Anantara Koh Yao Yai boat-only transfer from Phuket.</t>
        </is>
      </c>
      <c r="AY15" s="44" t="inlineStr">
        <is>
          <t>minor-hotels-phuket-flagship-economics-DRAFT.json — Koh Yao Yai captive transfer pool</t>
        </is>
      </c>
    </row>
    <row r="16">
      <c r="A16" s="29" t="inlineStr">
        <is>
          <t>Phuket</t>
        </is>
      </c>
      <c r="B16" s="29" t="inlineStr">
        <is>
          <t>Thailand</t>
        </is>
      </c>
      <c r="C16" s="30" t="inlineStr">
        <is>
          <t>Ko Lanta (Saladan Pier) → Koh Phi Phi (Tonsai)</t>
        </is>
      </c>
      <c r="D16" s="31" t="n">
        <v>17</v>
      </c>
      <c r="E16" s="26" t="n">
        <v>28</v>
      </c>
      <c r="F16" s="32" t="inlineStr">
        <is>
          <t>T5</t>
        </is>
      </c>
      <c r="G16" s="32" t="inlineStr">
        <is>
          <t>low-med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MIN(15,FLOOR(60*service_hr/J16,1))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62000</v>
      </c>
      <c r="AH16" s="32" t="inlineStr">
        <is>
          <t>T4</t>
        </is>
      </c>
      <c r="AI16" s="32" t="inlineStr">
        <is>
          <t>low-med</t>
        </is>
      </c>
      <c r="AJ16" s="39" t="n">
        <v>0.1</v>
      </c>
      <c r="AK16" s="34">
        <f>IF(AG16="","",AG16*AJ16)</f>
        <v/>
      </c>
      <c r="AL16" s="34">
        <f>IF(OR(AG16="",R16=0),"",MIN(IF(AT16="",9.9E+99,AT16),FLOOR(AK16/R16,1)))</f>
        <v/>
      </c>
      <c r="AM16" s="38">
        <f>IF(AL16="","",AL16*T16)</f>
        <v/>
      </c>
      <c r="AN16" s="36">
        <f>IF(OR(AG16="",R16=0),"",MIN(IF(AT16="",9.9E+99,AT16),AK16/R16))</f>
        <v/>
      </c>
      <c r="AO16" s="38">
        <f>IF(AN16="","",AN16*T16)</f>
        <v/>
      </c>
      <c r="AP16" s="40" t="n"/>
      <c r="AQ16" s="32" t="inlineStr">
        <is>
          <t>Grounded</t>
        </is>
      </c>
      <c r="AR16" s="41" t="n"/>
      <c r="AS16" s="41" t="n"/>
      <c r="AT16" s="42" t="n"/>
      <c r="AU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V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W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X16" s="44" t="inlineStr">
        <is>
          <t>MODELED premium foiling fare</t>
        </is>
      </c>
      <c r="AY16" s="44" t="inlineStr">
        <is>
          <t>MODELED tier demand</t>
        </is>
      </c>
    </row>
    <row r="17">
      <c r="A17" s="29" t="inlineStr">
        <is>
          <t>Koh Samui</t>
        </is>
      </c>
      <c r="B17" s="29" t="inlineStr">
        <is>
          <t>Thailand</t>
        </is>
      </c>
      <c r="C17" s="30" t="inlineStr">
        <is>
          <t>Koh Samui (Nathon) → Donsak (Seatran harbour)</t>
        </is>
      </c>
      <c r="D17" s="31" t="n">
        <v>17.9</v>
      </c>
      <c r="E17" s="26" t="n">
        <v>15.2</v>
      </c>
      <c r="F17" s="32" t="n"/>
      <c r="G17" s="32" t="inlineStr">
        <is>
          <t>T3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MIN(24,FLOOR(60*service_hr/J17,1))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666667</v>
      </c>
      <c r="AH17" s="32" t="inlineStr">
        <is>
          <t>T5</t>
        </is>
      </c>
      <c r="AI17" s="32" t="inlineStr">
        <is>
          <t>low-med</t>
        </is>
      </c>
      <c r="AJ17" s="39" t="n">
        <v>0.1</v>
      </c>
      <c r="AK17" s="34">
        <f>IF(AG17="","",AG17*AJ17)</f>
        <v/>
      </c>
      <c r="AL17" s="34">
        <f>IF(OR(AG17="",R17=0),"",MIN(IF(AT17="",9.9E+99,AT17),FLOOR(AK17/R17,1)))</f>
        <v/>
      </c>
      <c r="AM17" s="38">
        <f>IF(AL17="","",AL17*T17)</f>
        <v/>
      </c>
      <c r="AN17" s="36">
        <f>IF(OR(AG17="",R17=0),"",MIN(IF(AT17="",9.9E+99,AT17),AK17/R17))</f>
        <v/>
      </c>
      <c r="AO17" s="38">
        <f>IF(AN17="","",AN17*T17)</f>
        <v/>
      </c>
      <c r="AP17" s="40" t="n"/>
      <c r="AQ17" s="32" t="inlineStr">
        <is>
          <t>Grounded</t>
        </is>
      </c>
      <c r="AR17" s="41" t="n"/>
      <c r="AS17" s="41" t="n"/>
      <c r="AT17" s="42" t="n"/>
      <c r="AU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V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W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X17" s="44" t="n"/>
      <c r="AY17" s="44" t="inlineStr">
        <is>
          <t>SUBSET of rn-347c44e1d360 (do not sum). Seatran Ferry: 6 vessels, ~hourly departures 05:00-19:00 each way, 13-16 kt, ~1.5h crossing, ~450-pax + ~70-car capacity per vessel (Tripadvisor operator page; thailandboattickets.com; C9 Hotelworks cited in city brief). No published Seatran annual ridership found.</t>
        </is>
      </c>
    </row>
    <row r="18">
      <c r="A18" s="29" t="inlineStr">
        <is>
          <t>Phuket</t>
        </is>
      </c>
      <c r="B18" s="29" t="inlineStr">
        <is>
          <t>Thailand</t>
        </is>
      </c>
      <c r="C18" s="30" t="inlineStr">
        <is>
          <t>Phuket (Royal Phuket Marina) → Phang Nga Bay / James Bond Island</t>
        </is>
      </c>
      <c r="D18" s="31" t="n">
        <v>20</v>
      </c>
      <c r="E18" s="26" t="n">
        <v>72</v>
      </c>
      <c r="F18" s="32" t="inlineStr">
        <is>
          <t>T3</t>
        </is>
      </c>
      <c r="G18" s="32" t="inlineStr">
        <is>
          <t>med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580000</v>
      </c>
      <c r="AH18" s="32" t="inlineStr">
        <is>
          <t>T2</t>
        </is>
      </c>
      <c r="AI18" s="32" t="inlineStr">
        <is>
          <t>med</t>
        </is>
      </c>
      <c r="AJ18" s="39" t="n">
        <v>0.1</v>
      </c>
      <c r="AK18" s="34">
        <f>IF(AG18="","",AG18*AJ18)</f>
        <v/>
      </c>
      <c r="AL18" s="34">
        <f>IF(OR(AG18="",R18=0),"",MIN(IF(AT18="",9.9E+99,AT18),FLOOR(AK18/R18,1)))</f>
        <v/>
      </c>
      <c r="AM18" s="38">
        <f>IF(AL18="","",AL18*T18)</f>
        <v/>
      </c>
      <c r="AN18" s="36">
        <f>IF(OR(AG18="",R18=0),"",MIN(IF(AT18="",9.9E+99,AT18),AK18/R18))</f>
        <v/>
      </c>
      <c r="AO18" s="38">
        <f>IF(AN18="","",AN18*T18)</f>
        <v/>
      </c>
      <c r="AP18" s="40" t="n"/>
      <c r="AQ18" s="32" t="inlineStr">
        <is>
          <t>Grounded</t>
        </is>
      </c>
      <c r="AR18" s="41" t="n"/>
      <c r="AS18" s="41" t="n"/>
      <c r="AT18" s="42" t="n"/>
      <c r="AU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V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W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X18" s="44" t="inlineStr">
        <is>
          <t>Phuket-&gt;Phang Nga Bay/James Bond Island speedboat day-tour ladder (THB/USD 36): budget longtail ~1,400 THB ($39, phukettoursdirect); standard shared speedboat ~2,500 THB ($69); PREMIUM shared speedboat ~2,600-3,700 THB ($72-103, phiphitours/mythailandtours '$55 low-season' to ~3,700 quoted); private charter speedboat ~29,000-40,900 THB/boat/day (yacht-rental-phuket, phuketdreamcompany) = whole-boat, excluded as overclaim. Premium per-seat anchored ~2,600 THB net of 400 THB park fee = $72.</t>
        </is>
      </c>
      <c r="AY18" s="44" t="inlineStr">
        <is>
          <t>Ao Phang Nga National Park visitors FY2567 (Oct-2023..Sep-2024) = 530,204 (DNP top-10 ranking, #7 by visitors; reported by Prachachat, https://www.prachachat.net/hilight-prachachat/news-1796245, Apr-2025). Park is reachable ONLY by tour boat/longtail/speedboat (no road/air to Khao Phing Kan/Ko Tapu) -&gt; R3-EXCEPTION holds: park arrivals = crossing ridership. DNP also runs e-ticketing at this park (one of 6 pilot parks). Pre-covid FY2019 was ~1M+ (payload note), so FY2024 is the conservative post-covid actual.</t>
        </is>
      </c>
    </row>
    <row r="19">
      <c r="A19" s="29" t="inlineStr">
        <is>
          <t>Phuket</t>
        </is>
      </c>
      <c r="B19" s="29" t="inlineStr">
        <is>
          <t>Thailand</t>
        </is>
      </c>
      <c r="C19" s="30" t="inlineStr">
        <is>
          <t>Ko Lanta (Saladan Pier) → Krabi (Klong Jilad)</t>
        </is>
      </c>
      <c r="D19" s="31" t="n">
        <v>24</v>
      </c>
      <c r="E19" s="26" t="n">
        <v>32</v>
      </c>
      <c r="F19" s="32" t="inlineStr">
        <is>
          <t>T5</t>
        </is>
      </c>
      <c r="G19" s="32" t="inlineStr">
        <is>
          <t>low-med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MIN(15,FLOOR(60*service_hr/J19,1))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28000</v>
      </c>
      <c r="AH19" s="32" t="inlineStr">
        <is>
          <t>T4</t>
        </is>
      </c>
      <c r="AI19" s="32" t="inlineStr">
        <is>
          <t>low-med</t>
        </is>
      </c>
      <c r="AJ19" s="39" t="n">
        <v>0.1</v>
      </c>
      <c r="AK19" s="34">
        <f>IF(AG19="","",AG19*AJ19)</f>
        <v/>
      </c>
      <c r="AL19" s="34">
        <f>IF(OR(AG19="",R19=0),"",MIN(IF(AT19="",9.9E+99,AT19),FLOOR(AK19/R19,1)))</f>
        <v/>
      </c>
      <c r="AM19" s="38">
        <f>IF(AL19="","",AL19*T19)</f>
        <v/>
      </c>
      <c r="AN19" s="36">
        <f>IF(OR(AG19="",R19=0),"",MIN(IF(AT19="",9.9E+99,AT19),AK19/R19))</f>
        <v/>
      </c>
      <c r="AO19" s="38">
        <f>IF(AN19="","",AN19*T19)</f>
        <v/>
      </c>
      <c r="AP19" s="40" t="n"/>
      <c r="AQ19" s="32" t="inlineStr">
        <is>
          <t>Grounded</t>
        </is>
      </c>
      <c r="AR19" s="41" t="n"/>
      <c r="AS19" s="41" t="n"/>
      <c r="AT19" s="42" t="n"/>
      <c r="AU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V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W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X19" s="44" t="inlineStr">
        <is>
          <t>MODELED premium foiling fare</t>
        </is>
      </c>
      <c r="AY19" s="44" t="inlineStr">
        <is>
          <t>MODELED tier demand</t>
        </is>
      </c>
    </row>
    <row r="20">
      <c r="A20" s="29" t="inlineStr">
        <is>
          <t>Phuket</t>
        </is>
      </c>
      <c r="B20" s="29" t="inlineStr">
        <is>
          <t>Thailand</t>
        </is>
      </c>
      <c r="C20" s="30" t="inlineStr">
        <is>
          <t>Phuket → Phi Phi (Tonsai)</t>
        </is>
      </c>
      <c r="D20" s="31" t="n">
        <v>25</v>
      </c>
      <c r="E20" s="26" t="n">
        <v>17.14</v>
      </c>
      <c r="F20" s="32" t="n"/>
      <c r="G20" s="32" t="inlineStr">
        <is>
          <t>derived_pending_validation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MIN(15,FLOOR(60*service_hr/J20,1))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98124</v>
      </c>
      <c r="AH20" s="32" t="n"/>
      <c r="AI20" s="32" t="inlineStr">
        <is>
          <t>derived_pending_validation</t>
        </is>
      </c>
      <c r="AJ20" s="39" t="n">
        <v>0.1</v>
      </c>
      <c r="AK20" s="34">
        <f>IF(AG20="","",AG20*AJ20)</f>
        <v/>
      </c>
      <c r="AL20" s="34">
        <f>IF(OR(AG20="",R20=0),"",MIN(IF(AT20="",9.9E+99,AT20),FLOOR(AK20/R20,1)))</f>
        <v/>
      </c>
      <c r="AM20" s="38">
        <f>IF(AL20="","",AL20*T20)</f>
        <v/>
      </c>
      <c r="AN20" s="36">
        <f>IF(OR(AG20="",R20=0),"",MIN(IF(AT20="",9.9E+99,AT20),AK20/R20))</f>
        <v/>
      </c>
      <c r="AO20" s="38">
        <f>IF(AN20="","",AN20*T20)</f>
        <v/>
      </c>
      <c r="AP20" s="40" t="n"/>
      <c r="AQ20" s="32" t="inlineStr">
        <is>
          <t>Grounded</t>
        </is>
      </c>
      <c r="AR20" s="41" t="n"/>
      <c r="AS20" s="41" t="n"/>
      <c r="AT20" s="42" t="n"/>
      <c r="AU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V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W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X20" s="44" t="inlineStr">
        <is>
          <t>Phuket (Rassada Pier) -&gt; Koh Phi Phi (Tonsai)</t>
        </is>
      </c>
      <c r="AY20" s="44" t="inlineStr">
        <is>
          <t>Phuket (Rassada Pier) -&gt; Koh Phi Phi (Tonsai)</t>
        </is>
      </c>
    </row>
    <row r="21">
      <c r="A21" s="29" t="inlineStr">
        <is>
          <t>Koh Samui</t>
        </is>
      </c>
      <c r="B21" s="29" t="inlineStr">
        <is>
          <t>Thailand</t>
        </is>
      </c>
      <c r="C21" s="30" t="inlineStr">
        <is>
          <t>Koh Samui (Bangrak) → Don Sak Ferry Harbour</t>
        </is>
      </c>
      <c r="D21" s="31" t="n">
        <v>28.1</v>
      </c>
      <c r="E21" s="26" t="n">
        <v>15.2</v>
      </c>
      <c r="F21" s="32" t="n"/>
      <c r="G21" s="32" t="inlineStr">
        <is>
          <t>T3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MIN(24,FLOOR(60*service_hr/J21,1))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666667</v>
      </c>
      <c r="AH21" s="32" t="inlineStr">
        <is>
          <t>T4</t>
        </is>
      </c>
      <c r="AI21" s="32" t="inlineStr">
        <is>
          <t>med-low</t>
        </is>
      </c>
      <c r="AJ21" s="39" t="n">
        <v>0.1</v>
      </c>
      <c r="AK21" s="34">
        <f>IF(AG21="","",AG21*AJ21)</f>
        <v/>
      </c>
      <c r="AL21" s="34">
        <f>IF(OR(AG21="",R21=0),"",MIN(IF(AT21="",9.9E+99,AT21),FLOOR(AK21/R21,1)))</f>
        <v/>
      </c>
      <c r="AM21" s="38">
        <f>IF(AL21="","",AL21*T21)</f>
        <v/>
      </c>
      <c r="AN21" s="36">
        <f>IF(OR(AG21="",R21=0),"",MIN(IF(AT21="",9.9E+99,AT21),AK21/R21))</f>
        <v/>
      </c>
      <c r="AO21" s="38">
        <f>IF(AN21="","",AN21*T21)</f>
        <v/>
      </c>
      <c r="AP21" s="40" t="n"/>
      <c r="AQ21" s="32" t="inlineStr">
        <is>
          <t>Grounded</t>
        </is>
      </c>
      <c r="AR21" s="41" t="n"/>
      <c r="AS21" s="41" t="n"/>
      <c r="AT21" s="42" t="n"/>
      <c r="AU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V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W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X21" s="44" t="n"/>
      <c r="AY21" s="44" t="inlineStr">
        <is>
          <t>Total Samui&lt;-&gt;Donsak crossing (all operators/piers). Raja Ferry Port (SET: RP) disclosed ~1.2M passengers carried in 2017 (+20% YoY) across its Donsak-Samui(Lipa Noi)/Donsak-Phangan network, with a 1.5M target (Samui Times / Koh Samui News quoting RP business plan; RP IPO-era disclosure ~600k/yr 2014, Nation Thailand). Seatran runs 6 vessels ~hourly 05:00-19:00 Nathon&lt;-&gt;Donsak (Tripadvisor/operator). Mode balance: Samui drew ~3.54M tourists 2023 (Forbes/C9) vs ~1.4M airport arrivals (Samui Airport 2.8M total pax 2024, BAREIT one-report 56-1) - the majority of non-air arrivals cross at Donsak.</t>
        </is>
      </c>
    </row>
    <row r="22">
      <c r="A22" s="29" t="inlineStr">
        <is>
          <t>Koh Samui</t>
        </is>
      </c>
      <c r="B22" s="29" t="inlineStr">
        <is>
          <t>Thailand</t>
        </is>
      </c>
      <c r="C22" s="30" t="inlineStr">
        <is>
          <t>Koh Samui → Koh Tao (Mae Haad)</t>
        </is>
      </c>
      <c r="D22" s="31" t="n">
        <v>35.3</v>
      </c>
      <c r="E22" s="26" t="n">
        <v>24.4</v>
      </c>
      <c r="F22" s="32" t="n"/>
      <c r="G22" s="32" t="inlineStr">
        <is>
          <t>T3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MIN(15,FLOOR(60*service_hr/J22,1))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400000</v>
      </c>
      <c r="AH22" s="32" t="inlineStr">
        <is>
          <t>T5</t>
        </is>
      </c>
      <c r="AI22" s="32" t="inlineStr">
        <is>
          <t>med-low</t>
        </is>
      </c>
      <c r="AJ22" s="39" t="n">
        <v>0.1</v>
      </c>
      <c r="AK22" s="34">
        <f>IF(AG22="","",AG22*AJ22)</f>
        <v/>
      </c>
      <c r="AL22" s="34">
        <f>IF(OR(AG22="",R22=0),"",MIN(IF(AT22="",9.9E+99,AT22),FLOOR(AK22/R22,1)))</f>
        <v/>
      </c>
      <c r="AM22" s="38">
        <f>IF(AL22="","",AL22*T22)</f>
        <v/>
      </c>
      <c r="AN22" s="36">
        <f>IF(OR(AG22="",R22=0),"",MIN(IF(AT22="",9.9E+99,AT22),AK22/R22))</f>
        <v/>
      </c>
      <c r="AO22" s="38">
        <f>IF(AN22="","",AN22*T22)</f>
        <v/>
      </c>
      <c r="AP22" s="40" t="n"/>
      <c r="AQ22" s="32" t="inlineStr">
        <is>
          <t>Grounded</t>
        </is>
      </c>
      <c r="AR22" s="41" t="n"/>
      <c r="AS22" s="41" t="n"/>
      <c r="AT22" s="42" t="n"/>
      <c r="AU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V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W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X22" s="44" t="n"/>
      <c r="AY22" s="44" t="inlineStr">
        <is>
          <t>Koh Tao: 666,778 visitors in 2024 (above pre-Covid; record), 327,000 Jan-May 2025, full-year 2025 forecast &gt;700,000 - Koh Tao Tourism Association / TAT figures via Thairath &amp; Daily News (T2 base). Koh Tao is boat-only (no airport, R3-EXCEPTION: arrivals = crossing ridership). Access splits between the Chumphon side (Bangkok route) and the Samui/Phangan side.</t>
        </is>
      </c>
    </row>
    <row r="23">
      <c r="A23" s="29" t="inlineStr">
        <is>
          <t>Phuket</t>
        </is>
      </c>
      <c r="B23" s="29" t="inlineStr">
        <is>
          <t>Thailand</t>
        </is>
      </c>
      <c r="C23" s="30" t="inlineStr">
        <is>
          <t>Manoh Pier (Koh Yao Yai) → Thap Lamu Pier (Similan Gateway)</t>
        </is>
      </c>
      <c r="D23" s="31" t="n">
        <v>35.7</v>
      </c>
      <c r="E23" s="26" t="n">
        <v>100</v>
      </c>
      <c r="F23" s="32" t="inlineStr">
        <is>
          <t>T2</t>
        </is>
      </c>
      <c r="G23" s="32" t="inlineStr">
        <is>
          <t>med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MIN(15,FLOOR(60*service_hr/J23,1))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>
        <v>8500</v>
      </c>
      <c r="AH23" s="32" t="inlineStr">
        <is>
          <t>T2</t>
        </is>
      </c>
      <c r="AI23" s="32" t="inlineStr">
        <is>
          <t>med</t>
        </is>
      </c>
      <c r="AJ23" s="39" t="n">
        <v>0.9</v>
      </c>
      <c r="AK23" s="34">
        <f>IF(AG23="","",AG23*AJ23)</f>
        <v/>
      </c>
      <c r="AL23" s="34">
        <f>IF(OR(AG23="",R23=0),"",MIN(IF(AT23="",9.9E+99,AT23),FLOOR(AK23/R23,1)))</f>
        <v/>
      </c>
      <c r="AM23" s="38">
        <f>IF(AL23="","",AL23*T23)</f>
        <v/>
      </c>
      <c r="AN23" s="36">
        <f>IF(OR(AG23="",R23=0),"",MIN(IF(AT23="",9.9E+99,AT23),AK23/R23))</f>
        <v/>
      </c>
      <c r="AO23" s="38">
        <f>IF(AN23="","",AN23*T23)</f>
        <v/>
      </c>
      <c r="AP23" s="40" t="n"/>
      <c r="AQ23" s="32" t="inlineStr">
        <is>
          <t>Grounded</t>
        </is>
      </c>
      <c r="AR23" s="41" t="n"/>
      <c r="AS23" s="41" t="n"/>
      <c r="AT23" s="42" t="n"/>
      <c r="AU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V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W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X23" s="44" t="inlineStr">
        <is>
          <t>Minor Hotels inter-resort hop — Koh Yao Yai ↔ Khao Lak portfolio.</t>
        </is>
      </c>
      <c r="AY23" s="44" t="inlineStr">
        <is>
          <t>minor-hotels-phuket-flagship-economics-DRAFT.json — inter-brand Andaman hop</t>
        </is>
      </c>
    </row>
    <row r="24">
      <c r="A24" s="29" t="inlineStr">
        <is>
          <t>Eastern_Seaboard</t>
        </is>
      </c>
      <c r="B24" s="29" t="inlineStr">
        <is>
          <t>Thailand</t>
        </is>
      </c>
      <c r="C24" s="30" t="inlineStr">
        <is>
          <t>Pattaya (Bali Hai Pier) → Koh Samet (Na Dan Pier)</t>
        </is>
      </c>
      <c r="D24" s="31" t="n">
        <v>37</v>
      </c>
      <c r="E24" s="26" t="n">
        <v>42</v>
      </c>
      <c r="F24" s="32" t="inlineStr">
        <is>
          <t>T5</t>
        </is>
      </c>
      <c r="G24" s="32" t="inlineStr">
        <is>
          <t>low-med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MIN(15,FLOOR(60*service_hr/J24,1))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28000</v>
      </c>
      <c r="AH24" s="32" t="inlineStr">
        <is>
          <t>T4</t>
        </is>
      </c>
      <c r="AI24" s="32" t="inlineStr">
        <is>
          <t>low-med</t>
        </is>
      </c>
      <c r="AJ24" s="39" t="n">
        <v>0.1</v>
      </c>
      <c r="AK24" s="34">
        <f>IF(AG24="","",AG24*AJ24)</f>
        <v/>
      </c>
      <c r="AL24" s="34">
        <f>IF(OR(AG24="",R24=0),"",MIN(IF(AT24="",9.9E+99,AT24),FLOOR(AK24/R24,1)))</f>
        <v/>
      </c>
      <c r="AM24" s="38">
        <f>IF(AL24="","",AL24*T24)</f>
        <v/>
      </c>
      <c r="AN24" s="36">
        <f>IF(OR(AG24="",R24=0),"",MIN(IF(AT24="",9.9E+99,AT24),AK24/R24))</f>
        <v/>
      </c>
      <c r="AO24" s="38">
        <f>IF(AN24="","",AN24*T24)</f>
        <v/>
      </c>
      <c r="AP24" s="40" t="n"/>
      <c r="AQ24" s="32" t="inlineStr">
        <is>
          <t>Grounded</t>
        </is>
      </c>
      <c r="AR24" s="41" t="n"/>
      <c r="AS24" s="41" t="n"/>
      <c r="AT24" s="42" t="n"/>
      <c r="AU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V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W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X24" s="44" t="inlineStr">
        <is>
          <t>Premium slice of Ban Phe-origin Samet day-trip flow rerouted from Pattaya.</t>
        </is>
      </c>
      <c r="AY24" s="44" t="inlineStr">
        <is>
          <t>Premium slice of Ban Phe-origin Samet day-trip flow rerouted from Pattaya.</t>
        </is>
      </c>
    </row>
    <row r="25">
      <c r="A25" s="29" t="inlineStr">
        <is>
          <t>Phuket</t>
        </is>
      </c>
      <c r="B25" s="29" t="inlineStr">
        <is>
          <t>Thailand</t>
        </is>
      </c>
      <c r="C25" s="30" t="inlineStr">
        <is>
          <t>Phuket → Krabi (Ao Nang)</t>
        </is>
      </c>
      <c r="D25" s="31" t="n">
        <v>40</v>
      </c>
      <c r="E25" s="26" t="n">
        <v>44</v>
      </c>
      <c r="F25" s="32" t="inlineStr">
        <is>
          <t>T3</t>
        </is>
      </c>
      <c r="G25" s="32" t="inlineStr">
        <is>
          <t>med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MIN(15,FLOOR(60*service_hr/J25,1))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/>
      <c r="AH25" s="32" t="n"/>
      <c r="AI25" s="32" t="n"/>
      <c r="AJ25" s="39" t="n">
        <v>0.1</v>
      </c>
      <c r="AK25" s="34">
        <f>IF(AG25="","",AG25*AJ25)</f>
        <v/>
      </c>
      <c r="AL25" s="34">
        <f>IF(OR(AG25="",R25=0),"",MIN(IF(AT25="",9.9E+99,AT25),FLOOR(AK25/R25,1)))</f>
        <v/>
      </c>
      <c r="AM25" s="38">
        <f>IF(AL25="","",AL25*T25)</f>
        <v/>
      </c>
      <c r="AN25" s="36">
        <f>IF(OR(AG25="",R25=0),"",MIN(IF(AT25="",9.9E+99,AT25),AK25/R25))</f>
        <v/>
      </c>
      <c r="AO25" s="38">
        <f>IF(AN25="","",AN25*T25)</f>
        <v/>
      </c>
      <c r="AP25" s="40" t="n"/>
      <c r="AQ25" s="32" t="inlineStr">
        <is>
          <t>Estimated</t>
        </is>
      </c>
      <c r="AR25" s="41" t="n"/>
      <c r="AS25" s="41" t="n"/>
      <c r="AT25" s="42" t="n"/>
      <c r="AU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V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W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X25" s="44" t="inlineStr">
        <is>
          <t>Phuket-&gt;Krabi (Ao Nang) speedboat premium tier ~comparable to Phi Phi route ($44). Krabi-specific demand re-source pending.</t>
        </is>
      </c>
      <c r="AY25" s="44" t="inlineStr">
        <is>
          <t>Phi Phi demand moved to new Phuket-&gt;Phi Phi corridor per Jaideep 2026-06-09. Krabi (Ao Nang) demand to be sourced separately. Until then: estimated via country cascade.</t>
        </is>
      </c>
    </row>
    <row r="26">
      <c r="A26" s="29" t="inlineStr">
        <is>
          <t>Phuket</t>
        </is>
      </c>
      <c r="B26" s="29" t="inlineStr">
        <is>
          <t>Thailand</t>
        </is>
      </c>
      <c r="C26" s="30" t="inlineStr">
        <is>
          <t>Phuket (Rassada Pier) → Ko Lanta (Saladan Pier)</t>
        </is>
      </c>
      <c r="D26" s="31" t="n">
        <v>42.4</v>
      </c>
      <c r="E26" s="26" t="n">
        <v>55</v>
      </c>
      <c r="F26" s="32" t="inlineStr">
        <is>
          <t>T5</t>
        </is>
      </c>
      <c r="G26" s="32" t="inlineStr">
        <is>
          <t>low-med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MIN(15,FLOOR(60*service_hr/J26,1))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31000</v>
      </c>
      <c r="AH26" s="32" t="inlineStr">
        <is>
          <t>T4</t>
        </is>
      </c>
      <c r="AI26" s="32" t="inlineStr">
        <is>
          <t>low-med</t>
        </is>
      </c>
      <c r="AJ26" s="39" t="n">
        <v>0.1</v>
      </c>
      <c r="AK26" s="34">
        <f>IF(AG26="","",AG26*AJ26)</f>
        <v/>
      </c>
      <c r="AL26" s="34">
        <f>IF(OR(AG26="",R26=0),"",MIN(IF(AT26="",9.9E+99,AT26),FLOOR(AK26/R26,1)))</f>
        <v/>
      </c>
      <c r="AM26" s="38">
        <f>IF(AL26="","",AL26*T26)</f>
        <v/>
      </c>
      <c r="AN26" s="36">
        <f>IF(OR(AG26="",R26=0),"",MIN(IF(AT26="",9.9E+99,AT26),AK26/R26))</f>
        <v/>
      </c>
      <c r="AO26" s="38">
        <f>IF(AN26="","",AN26*T26)</f>
        <v/>
      </c>
      <c r="AP26" s="40" t="n"/>
      <c r="AQ26" s="32" t="inlineStr">
        <is>
          <t>Grounded</t>
        </is>
      </c>
      <c r="AR26" s="41" t="n"/>
      <c r="AS26" s="41" t="n"/>
      <c r="AT26" s="42" t="n"/>
      <c r="AU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V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W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X26" s="44" t="inlineStr">
        <is>
          <t>MODELED premium foiling fare</t>
        </is>
      </c>
      <c r="AY26" s="44" t="inlineStr">
        <is>
          <t>MODELED tier demand</t>
        </is>
      </c>
    </row>
    <row r="27">
      <c r="A27" s="29" t="inlineStr">
        <is>
          <t>Eastern_Seaboard</t>
        </is>
      </c>
      <c r="B27" s="29" t="inlineStr">
        <is>
          <t>Thailand</t>
        </is>
      </c>
      <c r="C27" s="30" t="inlineStr">
        <is>
          <t>Bangkok (Chao Phraya / Gulf gateway) → Pattaya (Bali Hai Pier)</t>
        </is>
      </c>
      <c r="D27" s="31" t="n">
        <v>52.6</v>
      </c>
      <c r="E27" s="26" t="n">
        <v>52</v>
      </c>
      <c r="F27" s="32" t="inlineStr">
        <is>
          <t>T5</t>
        </is>
      </c>
      <c r="G27" s="32" t="inlineStr">
        <is>
          <t>low-med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MIN(15,FLOOR(60*service_hr/J27,1))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148000</v>
      </c>
      <c r="AH27" s="32" t="inlineStr">
        <is>
          <t>T4</t>
        </is>
      </c>
      <c r="AI27" s="32" t="inlineStr">
        <is>
          <t>low-med</t>
        </is>
      </c>
      <c r="AJ27" s="39" t="n">
        <v>0.1</v>
      </c>
      <c r="AK27" s="34">
        <f>IF(AG27="","",AG27*AJ27)</f>
        <v/>
      </c>
      <c r="AL27" s="34">
        <f>IF(OR(AG27="",R27=0),"",MIN(IF(AT27="",9.9E+99,AT27),FLOOR(AK27/R27,1)))</f>
        <v/>
      </c>
      <c r="AM27" s="38">
        <f>IF(AL27="","",AL27*T27)</f>
        <v/>
      </c>
      <c r="AN27" s="36">
        <f>IF(OR(AG27="",R27=0),"",MIN(IF(AT27="",9.9E+99,AT27),AK27/R27))</f>
        <v/>
      </c>
      <c r="AO27" s="38">
        <f>IF(AN27="","",AN27*T27)</f>
        <v/>
      </c>
      <c r="AP27" s="40" t="n"/>
      <c r="AQ27" s="32" t="inlineStr">
        <is>
          <t>Grounded</t>
        </is>
      </c>
      <c r="AR27" s="41" t="n"/>
      <c r="AS27" s="41" t="n"/>
      <c r="AT27" s="42" t="n"/>
      <c r="AU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V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W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X27" s="44" t="inlineStr">
        <is>
          <t>Premium slice of Bangkok-Pattaya leisure+EEC road flow; modeled pending operator validation.</t>
        </is>
      </c>
      <c r="AY27" s="44" t="inlineStr">
        <is>
          <t>Premium slice of Bangkok-Pattaya leisure+EEC road flow; modeled pending operator validation.</t>
        </is>
      </c>
    </row>
    <row r="28">
      <c r="A28" s="29" t="inlineStr">
        <is>
          <t>Phuket</t>
        </is>
      </c>
      <c r="B28" s="29" t="inlineStr">
        <is>
          <t>Thailand</t>
        </is>
      </c>
      <c r="C28" s="30" t="inlineStr">
        <is>
          <t>Phuket → Similan / Surin Islands</t>
        </is>
      </c>
      <c r="D28" s="31" t="n">
        <v>55</v>
      </c>
      <c r="E28" s="26" t="n">
        <v>80</v>
      </c>
      <c r="F28" s="32" t="inlineStr">
        <is>
          <t>T3</t>
        </is>
      </c>
      <c r="G28" s="32" t="inlineStr">
        <is>
          <t>med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MIN(15,FLOOR(60*service_hr/J28,1))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580000</v>
      </c>
      <c r="AH28" s="32" t="inlineStr">
        <is>
          <t>T2</t>
        </is>
      </c>
      <c r="AI28" s="32" t="inlineStr">
        <is>
          <t>low</t>
        </is>
      </c>
      <c r="AJ28" s="39" t="n">
        <v>0.1</v>
      </c>
      <c r="AK28" s="34">
        <f>IF(AG28="","",AG28*AJ28)</f>
        <v/>
      </c>
      <c r="AL28" s="34">
        <f>IF(OR(AG28="",R28=0),"",MIN(IF(AT28="",9.9E+99,AT28),FLOOR(AK28/R28,1)))</f>
        <v/>
      </c>
      <c r="AM28" s="38">
        <f>IF(AL28="","",AL28*T28)</f>
        <v/>
      </c>
      <c r="AN28" s="36">
        <f>IF(OR(AG28="",R28=0),"",MIN(IF(AT28="",9.9E+99,AT28),AK28/R28))</f>
        <v/>
      </c>
      <c r="AO28" s="38">
        <f>IF(AN28="","",AN28*T28)</f>
        <v/>
      </c>
      <c r="AP28" s="40" t="n"/>
      <c r="AQ28" s="32" t="inlineStr">
        <is>
          <t>Grounded</t>
        </is>
      </c>
      <c r="AR28" s="41" t="n"/>
      <c r="AS28" s="41" t="n"/>
      <c r="AT28" s="42" t="n"/>
      <c r="AU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V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W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X28" s="44" t="inlineStr">
        <is>
          <t>Phuket-&gt;Similan/Surin premium shared speedboat day-tour (THB/USD 36): premium catamaran-speedboat tours ~2,500-2,600 THB incl 500 THB park fee+meals from Khao Lak (phiphitours 2,590 THB=$72); Phuket-origin runs higher ~2,900-3,500 THB ($80-97) for the longer 55nm leg. Private charter Phuket-&gt;Similan 50,000-80,000 THB/boat/day (forbesandpartners) = whole-boat, excluded. Premium per-seat anchored ~2,900 THB ($80) net for the longer Phuket origin.</t>
        </is>
      </c>
      <c r="AY28" s="44" t="inlineStr">
        <is>
          <t>Mu Ko Similan NP official visitor statistics (DNP/park clarification, May-2025, via MGR Online https://mgronline.com/uptodate/detail/9680000041761): FY2561(2018)=912,566; FY2562(2019)=676,793; FY2566(2023)=352,701; FY2567(2024)=578,535; FY2568=503,142 as of 30-Apr-2025. Daily cap 3,850 visitors/day (DNP, http://news.dnp.go.th/news/7966). Season: park CLOSED ~May 16 - Oct 14; open season ~212 days/yr (reopened 15-Oct each year, prd.go.th).</t>
        </is>
      </c>
    </row>
    <row r="29">
      <c r="A29" s="29" t="inlineStr">
        <is>
          <t>Royal_Coast</t>
        </is>
      </c>
      <c r="B29" s="29" t="inlineStr">
        <is>
          <t>Thailand</t>
        </is>
      </c>
      <c r="C29" s="30" t="inlineStr">
        <is>
          <t>Hua Hin (pier) → Pattaya (Bali Hai Pier)</t>
        </is>
      </c>
      <c r="D29" s="31" t="n">
        <v>57.2</v>
      </c>
      <c r="E29" s="26" t="n">
        <v>78</v>
      </c>
      <c r="F29" s="32" t="inlineStr">
        <is>
          <t>T5</t>
        </is>
      </c>
      <c r="G29" s="32" t="inlineStr">
        <is>
          <t>low-med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MIN(15,FLOOR(60*service_hr/J29,1))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>
        <v>52000</v>
      </c>
      <c r="AH29" s="32" t="inlineStr">
        <is>
          <t>T4</t>
        </is>
      </c>
      <c r="AI29" s="32" t="inlineStr">
        <is>
          <t>low-med</t>
        </is>
      </c>
      <c r="AJ29" s="39" t="n">
        <v>0.1</v>
      </c>
      <c r="AK29" s="34">
        <f>IF(AG29="","",AG29*AJ29)</f>
        <v/>
      </c>
      <c r="AL29" s="34">
        <f>IF(OR(AG29="",R29=0),"",MIN(IF(AT29="",9.9E+99,AT29),FLOOR(AK29/R29,1)))</f>
        <v/>
      </c>
      <c r="AM29" s="38">
        <f>IF(AL29="","",AL29*T29)</f>
        <v/>
      </c>
      <c r="AN29" s="36">
        <f>IF(OR(AG29="",R29=0),"",MIN(IF(AT29="",9.9E+99,AT29),AK29/R29))</f>
        <v/>
      </c>
      <c r="AO29" s="38">
        <f>IF(AN29="","",AN29*T29)</f>
        <v/>
      </c>
      <c r="AP29" s="40" t="n"/>
      <c r="AQ29" s="32" t="inlineStr">
        <is>
          <t>Grounded</t>
        </is>
      </c>
      <c r="AR29" s="41" t="n"/>
      <c r="AS29" s="41" t="n"/>
      <c r="AT29" s="42" t="n"/>
      <c r="AU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V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W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X29" s="44" t="inlineStr">
        <is>
          <t>East-West Ferry Project validated cross-Gulf demand; foiling premium tier.</t>
        </is>
      </c>
      <c r="AY29" s="44" t="inlineStr">
        <is>
          <t>East-West Ferry Project validated cross-Gulf demand; foiling premium tier.</t>
        </is>
      </c>
    </row>
    <row r="30">
      <c r="A30" s="45" t="inlineStr">
        <is>
          <t>TOTAL / median</t>
        </is>
      </c>
      <c r="T30" s="46">
        <f>SUM(T4:T29)</f>
        <v/>
      </c>
      <c r="AC30" s="46">
        <f>SUM(AC4:AC29)</f>
        <v/>
      </c>
      <c r="AD30" s="47">
        <f>IF(T30=0,"",AC30/T30)</f>
        <v/>
      </c>
      <c r="AL30" s="48">
        <f>SUM(AL4:AL29)</f>
        <v/>
      </c>
      <c r="AM30" s="46">
        <f>SUM(AM4:AM29)</f>
        <v/>
      </c>
    </row>
    <row r="32">
      <c r="A32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33">
      <c r="A33" s="24" t="inlineStr">
        <is>
          <t>Market</t>
        </is>
      </c>
      <c r="B33" s="24" t="inlineStr">
        <is>
          <t>Fleet basis</t>
        </is>
      </c>
      <c r="C33" s="24" t="inlineStr">
        <is>
          <t>Raw vessels (sum)</t>
        </is>
      </c>
      <c r="D33" s="24" t="inlineStr">
        <is>
          <t>Fleet (rounded once)</t>
        </is>
      </c>
      <c r="E33" s="24" t="inlineStr">
        <is>
          <t>Market rev/yr (raw sum)</t>
        </is>
      </c>
    </row>
    <row r="34">
      <c r="A34" s="25" t="inlineStr">
        <is>
          <t>Bangkok</t>
        </is>
      </c>
      <c r="B34" s="13" t="inlineStr">
        <is>
          <t>network_sum / ceil</t>
        </is>
      </c>
      <c r="C34" s="23">
        <f>SUMIFS(AN4:AN29,A4:A29,"Bangkok",AP4:AP29,"=",AQ4:AQ29,"Grounded")</f>
        <v/>
      </c>
      <c r="D34" s="49">
        <f>IF(C34=0,0,CEILING(C34,1))</f>
        <v/>
      </c>
      <c r="E34" s="50">
        <f>SUMIFS(AO4:AO29,A4:A29,"Bangkok",AP4:AP29,"=",AQ4:AQ29,"Grounded")</f>
        <v/>
      </c>
    </row>
    <row r="35">
      <c r="A35" s="25" t="inlineStr">
        <is>
          <t>Eastern_Seaboard</t>
        </is>
      </c>
      <c r="B35" s="13" t="inlineStr">
        <is>
          <t>network_sum / ceil</t>
        </is>
      </c>
      <c r="C35" s="23">
        <f>SUMIFS(AN4:AN29,A4:A29,"Eastern_Seaboard",AP4:AP29,"=",AQ4:AQ29,"Grounded")</f>
        <v/>
      </c>
      <c r="D35" s="49">
        <f>IF(C35=0,0,CEILING(C35,1))</f>
        <v/>
      </c>
      <c r="E35" s="50">
        <f>SUMIFS(AO4:AO29,A4:A29,"Eastern_Seaboard",AP4:AP29,"=",AQ4:AQ29,"Grounded")</f>
        <v/>
      </c>
    </row>
    <row r="36">
      <c r="A36" s="25" t="inlineStr">
        <is>
          <t>Koh Samui</t>
        </is>
      </c>
      <c r="B36" s="13" t="inlineStr">
        <is>
          <t>network_sum / ceil</t>
        </is>
      </c>
      <c r="C36" s="23">
        <f>SUMIFS(AN4:AN29,A4:A29,"Koh Samui",AP4:AP29,"=",AQ4:AQ29,"Grounded")</f>
        <v/>
      </c>
      <c r="D36" s="49">
        <f>IF(C36=0,0,CEILING(C36,1))</f>
        <v/>
      </c>
      <c r="E36" s="50">
        <f>SUMIFS(AO4:AO29,A4:A29,"Koh Samui",AP4:AP29,"=",AQ4:AQ29,"Grounded")</f>
        <v/>
      </c>
    </row>
    <row r="37">
      <c r="A37" s="25" t="inlineStr">
        <is>
          <t>Phuket</t>
        </is>
      </c>
      <c r="B37" s="13" t="inlineStr">
        <is>
          <t>network_sum / ceil</t>
        </is>
      </c>
      <c r="C37" s="23">
        <f>SUMIFS(AN4:AN29,A4:A29,"Phuket",AP4:AP29,"=",AQ4:AQ29,"Grounded")</f>
        <v/>
      </c>
      <c r="D37" s="49">
        <f>IF(C37=0,0,CEILING(C37,1))</f>
        <v/>
      </c>
      <c r="E37" s="50">
        <f>SUMIFS(AO4:AO29,A4:A29,"Phuket",AP4:AP29,"=",AQ4:AQ29,"Grounded")</f>
        <v/>
      </c>
    </row>
    <row r="38">
      <c r="A38" s="25" t="inlineStr">
        <is>
          <t>Royal_Coast</t>
        </is>
      </c>
      <c r="B38" s="13" t="inlineStr">
        <is>
          <t>network_sum / ceil</t>
        </is>
      </c>
      <c r="C38" s="23">
        <f>SUMIFS(AN4:AN29,A4:A29,"Royal_Coast",AP4:AP29,"=",AQ4:AQ29,"Grounded")</f>
        <v/>
      </c>
      <c r="D38" s="49">
        <f>IF(C38=0,0,CEILING(C38,1))</f>
        <v/>
      </c>
      <c r="E38" s="50">
        <f>SUMIFS(AO4:AO29,A4:A29,"Royal_Coast",AP4:AP29,"=",AQ4:AQ29,"Grounded")</f>
        <v/>
      </c>
    </row>
    <row r="39">
      <c r="A39" s="45" t="inlineStr">
        <is>
          <t>GROUNDED FLOOR (PUBLISHED)</t>
        </is>
      </c>
      <c r="D39" s="48">
        <f>SUM(D34:D38)</f>
        <v/>
      </c>
      <c r="E39" s="46">
        <f>SUM(E34:E38)</f>
        <v/>
      </c>
    </row>
    <row r="40">
      <c r="A40" s="20" t="inlineStr">
        <is>
          <t>ESTIMATED DEMAND (country-median cascade; held OUT of grounded floor)</t>
        </is>
      </c>
      <c r="D40" s="51">
        <f>SUMIF(AQ4:AQ29,"Estimated",AL4:AL29)</f>
        <v/>
      </c>
      <c r="E40" s="52">
        <f>SUMIF(AQ4:AQ29,"Estimated",AM4:AM29)</f>
        <v/>
      </c>
    </row>
    <row r="41">
      <c r="A41" s="53" t="inlineStr">
        <is>
          <t>Held for Quanta-LR (&gt;70nm, roadmap H2 2026+):</t>
        </is>
      </c>
      <c r="C41" s="54" t="inlineStr">
        <is>
          <t>Phuket → Langkawi (cross-border, regional reach) (107nm)</t>
        </is>
      </c>
    </row>
    <row r="42">
      <c r="C42" s="54" t="inlineStr">
        <is>
          <t>Phuket → Langkawi (cross-border, regional reach) (107nm)</t>
        </is>
      </c>
    </row>
    <row r="43">
      <c r="C43" s="54" t="inlineStr">
        <is>
          <t>Bangkok (ICONSIAM / Chao Phraya) → Hua Hin (pier) (88.0nm)</t>
        </is>
      </c>
    </row>
  </sheetData>
  <mergeCells count="2">
    <mergeCell ref="A1:L1"/>
    <mergeCell ref="A32:L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0.1056</v>
      </c>
      <c r="E11" s="14" t="inlineStr">
        <is>
          <t>New-entrant ~11%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(~11%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(~11%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2026-06-25T20:00:57Z</dcterms:created>
  <dcterms:modified xsi:type="dcterms:W3CDTF">2026-06-25T20:00:57Z</dcterms:modified>
</cp:coreProperties>
</file>