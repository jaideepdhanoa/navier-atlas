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economics'!$D$15</definedName>
    <definedName name="som_floor_rev">'Corridor economics'!$E$15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Ocean-Whisperer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hospitality N30 list = $1M, region-independent — see Country opex tab col G)</t>
        </is>
      </c>
      <c r="B8" s="15" t="n">
        <v>1000000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Curaçao</t>
        </is>
      </c>
      <c r="B4" s="26" t="n">
        <v>40000</v>
      </c>
      <c r="C4" s="27" t="n">
        <v>0.35</v>
      </c>
      <c r="D4" s="19" t="n">
        <v>0.6</v>
      </c>
      <c r="E4" s="26" t="n">
        <v>18000</v>
      </c>
      <c r="F4" s="19" t="n">
        <v>0.78</v>
      </c>
      <c r="G4" s="26" t="n">
        <v>1000000</v>
      </c>
      <c r="H4" s="14" t="inlineStr">
        <is>
          <t>Modeled. ANG pegged to USD; tourism+refinery economy. Blended captain+deckhand ~$40k/vessel/yr, ~= Aruba. | Dutch govt report $0.35-0.38/kWh. Aqualectra fuel-oil + Tera Kora/Playa Kanoa wind; Aqualectra raising renewable share. Anchored $0.35. | Modeled. Spanish Water (Caracasbaai) + Willemstad premium island ops. | CAPEX LB-260 hospitality N30 list = $1M (region-independent)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Ocean-Whisperer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Ocean Whisperer</t>
        </is>
      </c>
      <c r="B4" s="29" t="inlineStr">
        <is>
          <t>Curaçao</t>
        </is>
      </c>
      <c r="C4" s="30" t="inlineStr">
        <is>
          <t>Willemstad / Sint Anna Bay → Piscadera Bay (Marriott / JW-style resort cluster)</t>
        </is>
      </c>
      <c r="D4" s="31" t="n">
        <v>3</v>
      </c>
      <c r="E4" s="26" t="n">
        <v>45</v>
      </c>
      <c r="F4" s="32" t="inlineStr">
        <is>
          <t>T5</t>
        </is>
      </c>
      <c r="G4" s="32" t="inlineStr">
        <is>
          <t>low</t>
        </is>
      </c>
      <c r="H4" s="19" t="n">
        <v>0.9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32980</v>
      </c>
      <c r="AH4" s="32" t="inlineStr">
        <is>
          <t>T4</t>
        </is>
      </c>
      <c r="AI4" s="32" t="inlineStr">
        <is>
          <t>med</t>
        </is>
      </c>
      <c r="AJ4" s="39" t="n">
        <v>0.9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>MODELED short premium transfer. To be finalized in cascade.</t>
        </is>
      </c>
      <c r="AY4" s="44" t="inlineStr">
        <is>
          <t>ocean-whisperer-demand-anchors.json captive Curaçao premium transfer pool</t>
        </is>
      </c>
    </row>
    <row r="5">
      <c r="A5" s="29" t="inlineStr">
        <is>
          <t>Ocean Whisperer</t>
        </is>
      </c>
      <c r="B5" s="29" t="inlineStr">
        <is>
          <t>Curaçao</t>
        </is>
      </c>
      <c r="C5" s="30" t="inlineStr">
        <is>
          <t>Hato air arrival → leeward embarkation (Piscadera Bay) → Baoase Luxury Resort (south coast, near Willemstad)</t>
        </is>
      </c>
      <c r="D5" s="31" t="n">
        <v>4.4</v>
      </c>
      <c r="E5" s="26" t="n">
        <v>85</v>
      </c>
      <c r="F5" s="32" t="inlineStr">
        <is>
          <t>T5</t>
        </is>
      </c>
      <c r="G5" s="32" t="inlineStr">
        <is>
          <t>low</t>
        </is>
      </c>
      <c r="H5" s="19" t="n">
        <v>0.9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43973</v>
      </c>
      <c r="AH5" s="32" t="inlineStr">
        <is>
          <t>T4</t>
        </is>
      </c>
      <c r="AI5" s="32" t="inlineStr">
        <is>
          <t>med</t>
        </is>
      </c>
      <c r="AJ5" s="39" t="n">
        <v>0.9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>MODELED captive-luxury air→resort transfer (shorter leg than Sandals). To be finalized in cascade.</t>
        </is>
      </c>
      <c r="AY5" s="44" t="inlineStr">
        <is>
          <t>ocean-whisperer-demand-anchors.json captive Curaçao premium transfer pool</t>
        </is>
      </c>
    </row>
    <row r="6">
      <c r="A6" s="29" t="inlineStr">
        <is>
          <t>Ocean Whisperer</t>
        </is>
      </c>
      <c r="B6" s="29" t="inlineStr">
        <is>
          <t>Curaçao</t>
        </is>
      </c>
      <c r="C6" s="30" t="inlineStr">
        <is>
          <t>Spanish Water / Jan Thiel (resort &amp; leisure cluster) → Baoase Luxury Resort</t>
        </is>
      </c>
      <c r="D6" s="31" t="n">
        <v>5</v>
      </c>
      <c r="E6" s="26" t="n">
        <v>50</v>
      </c>
      <c r="F6" s="32" t="inlineStr">
        <is>
          <t>T5</t>
        </is>
      </c>
      <c r="G6" s="32" t="inlineStr">
        <is>
          <t>low</t>
        </is>
      </c>
      <c r="H6" s="19" t="n">
        <v>0.9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26384</v>
      </c>
      <c r="AH6" s="32" t="inlineStr">
        <is>
          <t>T4</t>
        </is>
      </c>
      <c r="AI6" s="32" t="inlineStr">
        <is>
          <t>med</t>
        </is>
      </c>
      <c r="AJ6" s="39" t="n">
        <v>0.9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>MODELED inter-resort premium hop. To be finalized in cascade.</t>
        </is>
      </c>
      <c r="AY6" s="44" t="inlineStr">
        <is>
          <t>ocean-whisperer-demand-anchors.json captive Curaçao premium transfer pool</t>
        </is>
      </c>
    </row>
    <row r="7">
      <c r="A7" s="29" t="inlineStr">
        <is>
          <t>Ocean Whisperer</t>
        </is>
      </c>
      <c r="B7" s="29" t="inlineStr">
        <is>
          <t>Curaçao</t>
        </is>
      </c>
      <c r="C7" s="30" t="inlineStr">
        <is>
          <t>Willemstad / Sint Anna Bay (cruise mega-pier + Queen Emma waterfront) → Sandals Royal Curaçao (Spanish Water / Santa Barbara)</t>
        </is>
      </c>
      <c r="D7" s="31" t="n">
        <v>7</v>
      </c>
      <c r="E7" s="26" t="n">
        <v>55</v>
      </c>
      <c r="F7" s="32" t="inlineStr">
        <is>
          <t>T5</t>
        </is>
      </c>
      <c r="G7" s="32" t="inlineStr">
        <is>
          <t>low</t>
        </is>
      </c>
      <c r="H7" s="19" t="n">
        <v>0.9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43973</v>
      </c>
      <c r="AH7" s="32" t="inlineStr">
        <is>
          <t>T4</t>
        </is>
      </c>
      <c r="AI7" s="32" t="inlineStr">
        <is>
          <t>med</t>
        </is>
      </c>
      <c r="AJ7" s="39" t="n">
        <v>0.9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>MODELED premium cruise-shore-excursion / resort transfer band. To be finalized in cascade.</t>
        </is>
      </c>
      <c r="AY7" s="44" t="inlineStr">
        <is>
          <t>ocean-whisperer-demand-anchors.json captive Curaçao premium transfer pool</t>
        </is>
      </c>
    </row>
    <row r="8">
      <c r="A8" s="29" t="inlineStr">
        <is>
          <t>Ocean Whisperer</t>
        </is>
      </c>
      <c r="B8" s="29" t="inlineStr">
        <is>
          <t>Curaçao</t>
        </is>
      </c>
      <c r="C8" s="30" t="inlineStr">
        <is>
          <t>Hato air arrival → leeward embarkation (Piscadera Bay) → Sandals Royal Curaçao (Spanish Water / Santa Barbara)</t>
        </is>
      </c>
      <c r="D8" s="31" t="n">
        <v>7.7</v>
      </c>
      <c r="E8" s="26" t="n">
        <v>95</v>
      </c>
      <c r="F8" s="32" t="inlineStr">
        <is>
          <t>T5</t>
        </is>
      </c>
      <c r="G8" s="32" t="inlineStr">
        <is>
          <t>low</t>
        </is>
      </c>
      <c r="H8" s="19" t="n">
        <v>0.9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76953</v>
      </c>
      <c r="AH8" s="32" t="inlineStr">
        <is>
          <t>T4</t>
        </is>
      </c>
      <c r="AI8" s="32" t="inlineStr">
        <is>
          <t>med</t>
        </is>
      </c>
      <c r="AJ8" s="39" t="n">
        <v>0.9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Grounded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MODELED captive-luxury air→resort transfer band. No public scheduled fare exists (private resort transfer). Anchored against premium island heli/transfer pricing and Sandals luxury tier; to be finalized in cascade with partner input.</t>
        </is>
      </c>
      <c r="AY8" s="44" t="inlineStr">
        <is>
          <t>ocean-whisperer-demand-anchors.json captive Curaçao premium transfer pool</t>
        </is>
      </c>
    </row>
    <row r="9">
      <c r="A9" s="29" t="inlineStr">
        <is>
          <t>Ocean Whisperer</t>
        </is>
      </c>
      <c r="B9" s="29" t="inlineStr">
        <is>
          <t>Curaçao</t>
        </is>
      </c>
      <c r="C9" s="30" t="inlineStr">
        <is>
          <t>Spanish Water / Caracasbaai (Curaçao) → Klein Curaçao day-trip jetty</t>
        </is>
      </c>
      <c r="D9" s="31" t="n">
        <v>15</v>
      </c>
      <c r="E9" s="26" t="n">
        <v>120</v>
      </c>
      <c r="F9" s="32" t="inlineStr">
        <is>
          <t>T5</t>
        </is>
      </c>
      <c r="G9" s="32" t="inlineStr">
        <is>
          <t>low</t>
        </is>
      </c>
      <c r="H9" s="19" t="n">
        <v>0.6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5783</v>
      </c>
      <c r="AH9" s="32" t="inlineStr">
        <is>
          <t>T4</t>
        </is>
      </c>
      <c r="AI9" s="32" t="inlineStr">
        <is>
          <t>med</t>
        </is>
      </c>
      <c r="AJ9" s="39" t="n">
        <v>0.9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inlineStr">
        <is>
          <t>MODELED premium seasonal excursion. To be finalized in cascade with season_days.</t>
        </is>
      </c>
      <c r="AY9" s="44" t="inlineStr">
        <is>
          <t>ocean-whisperer-demand-anchors.json captive Curaçao premium transfer pool</t>
        </is>
      </c>
    </row>
    <row r="10">
      <c r="A10" s="45" t="inlineStr">
        <is>
          <t>TOTAL / median</t>
        </is>
      </c>
      <c r="T10" s="46">
        <f>SUM(T4:T9)</f>
        <v/>
      </c>
      <c r="AC10" s="46">
        <f>SUM(AC4:AC9)</f>
        <v/>
      </c>
      <c r="AD10" s="47">
        <f>IF(T10=0,"",AC10/T10)</f>
        <v/>
      </c>
      <c r="AL10" s="48">
        <f>SUM(AL4:AL9)</f>
        <v/>
      </c>
      <c r="AM10" s="46">
        <f>SUM(AM4:AM9)</f>
        <v/>
      </c>
    </row>
    <row r="12">
      <c r="A12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3">
      <c r="A13" s="24" t="inlineStr">
        <is>
          <t>Market</t>
        </is>
      </c>
      <c r="B13" s="24" t="inlineStr">
        <is>
          <t>Fleet basis</t>
        </is>
      </c>
      <c r="C13" s="24" t="inlineStr">
        <is>
          <t>Raw vessels (sum)</t>
        </is>
      </c>
      <c r="D13" s="24" t="inlineStr">
        <is>
          <t>Fleet (rounded once)</t>
        </is>
      </c>
      <c r="E13" s="24" t="inlineStr">
        <is>
          <t>Market rev/yr (raw sum)</t>
        </is>
      </c>
    </row>
    <row r="14">
      <c r="A14" s="25" t="inlineStr">
        <is>
          <t>Ocean Whisperer</t>
        </is>
      </c>
      <c r="B14" s="13" t="inlineStr">
        <is>
          <t>captive-luxury-resort-mesh / phase-cap</t>
        </is>
      </c>
      <c r="C14" s="13" t="inlineStr">
        <is>
          <t>—</t>
        </is>
      </c>
      <c r="D14" s="49">
        <f>SUMIFS(AL4:AL9,A4:A9,"Ocean Whisperer",AP4:AP9,"=",AQ4:AQ9,"Grounded")</f>
        <v/>
      </c>
      <c r="E14" s="50">
        <f>SUMIFS(AM4:AM9,A4:A9,"Ocean Whisperer",AP4:AP9,"=",AQ4:AQ9,"Grounded")</f>
        <v/>
      </c>
    </row>
    <row r="15">
      <c r="A15" s="45" t="inlineStr">
        <is>
          <t>GROUNDED FLOOR (PUBLISHED)</t>
        </is>
      </c>
      <c r="D15" s="48">
        <f>SUM(D14:D14)</f>
        <v/>
      </c>
      <c r="E15" s="46">
        <f>SUM(E14:E14)</f>
        <v/>
      </c>
    </row>
  </sheetData>
  <mergeCells count="2">
    <mergeCell ref="A1:L1"/>
    <mergeCell ref="A12:L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0.4555</v>
      </c>
      <c r="C6" s="39" t="n">
        <v>0.4555</v>
      </c>
      <c r="D6" s="39" t="n">
        <v>0.4555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0.4555</v>
      </c>
      <c r="E11" s="14" t="inlineStr">
        <is>
          <t>New-entrant ~46%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(~46%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(~46%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1" t="inlineStr">
        <is>
          <t>Note</t>
        </is>
      </c>
      <c r="B26" s="52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2026-06-24T09:01:31Z</dcterms:created>
  <dcterms:modified xsi:type="dcterms:W3CDTF">2026-06-24T09:01:31Z</dcterms:modified>
</cp:coreProperties>
</file>