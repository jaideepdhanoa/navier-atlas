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economics'!$D$15</definedName>
    <definedName name="som_floor_rev">'Corridor economics'!$E$15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Ocean-Whisperer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600000</v>
      </c>
      <c r="H4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Ocean-Whisperer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Ocean Whisperer</t>
        </is>
      </c>
      <c r="B4" s="29" t="inlineStr">
        <is>
          <t>Singapore</t>
        </is>
      </c>
      <c r="C4" s="30" t="inlineStr">
        <is>
          <t>Willemstad / Sint Anna Bay → Piscadera Bay (Marriott / JW-style resort cluster)</t>
        </is>
      </c>
      <c r="D4" s="31" t="n">
        <v>3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32980</v>
      </c>
      <c r="AH4" s="32" t="inlineStr">
        <is>
          <t>T4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short premium transfer. To be finalized in cascade.</t>
        </is>
      </c>
      <c r="AY4" s="44" t="inlineStr">
        <is>
          <t>ocean-whisperer-demand-anchors.json captive Curaçao premium transfer pool</t>
        </is>
      </c>
    </row>
    <row r="5">
      <c r="A5" s="29" t="inlineStr">
        <is>
          <t>Ocean Whisperer</t>
        </is>
      </c>
      <c r="B5" s="29" t="inlineStr">
        <is>
          <t>Singapore</t>
        </is>
      </c>
      <c r="C5" s="30" t="inlineStr">
        <is>
          <t>Spanish Water / Jan Thiel (resort &amp; leisure cluster) → Baoase Luxury Resort</t>
        </is>
      </c>
      <c r="D5" s="31" t="n">
        <v>5</v>
      </c>
      <c r="E5" s="26" t="n">
        <v>50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26384</v>
      </c>
      <c r="AH5" s="32" t="inlineStr">
        <is>
          <t>T4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inter-resort premium hop. To be finalized in cascade.</t>
        </is>
      </c>
      <c r="AY5" s="44" t="inlineStr">
        <is>
          <t>ocean-whisperer-demand-anchors.json captive Curaçao premium transfer pool</t>
        </is>
      </c>
    </row>
    <row r="6">
      <c r="A6" s="29" t="inlineStr">
        <is>
          <t>Ocean Whisperer</t>
        </is>
      </c>
      <c r="B6" s="29" t="inlineStr">
        <is>
          <t>Singapore</t>
        </is>
      </c>
      <c r="C6" s="30" t="inlineStr">
        <is>
          <t>Hato (Curaçao Int'l) airport waterfront → Baoase Luxury Resort (south coast, near Willemstad)</t>
        </is>
      </c>
      <c r="D6" s="31" t="n">
        <v>6</v>
      </c>
      <c r="E6" s="26" t="n">
        <v>85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43973</v>
      </c>
      <c r="AH6" s="32" t="inlineStr">
        <is>
          <t>T4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captive-luxury air→resort transfer (shorter leg than Sandals). To be finalized in cascade.</t>
        </is>
      </c>
      <c r="AY6" s="44" t="inlineStr">
        <is>
          <t>ocean-whisperer-demand-anchors.json captive Curaçao premium transfer pool</t>
        </is>
      </c>
    </row>
    <row r="7">
      <c r="A7" s="29" t="inlineStr">
        <is>
          <t>Ocean Whisperer</t>
        </is>
      </c>
      <c r="B7" s="29" t="inlineStr">
        <is>
          <t>Singapore</t>
        </is>
      </c>
      <c r="C7" s="30" t="inlineStr">
        <is>
          <t>Willemstad / Sint Anna Bay (cruise mega-pier + Queen Emma waterfront) → Sandals Royal Curaçao (Spanish Water / Santa Barbara)</t>
        </is>
      </c>
      <c r="D7" s="31" t="n">
        <v>7</v>
      </c>
      <c r="E7" s="26" t="n">
        <v>55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43973</v>
      </c>
      <c r="AH7" s="32" t="inlineStr">
        <is>
          <t>T4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cruise-shore-excursion / resort transfer band. To be finalized in cascade.</t>
        </is>
      </c>
      <c r="AY7" s="44" t="inlineStr">
        <is>
          <t>ocean-whisperer-demand-anchors.json captive Curaçao premium transfer pool</t>
        </is>
      </c>
    </row>
    <row r="8">
      <c r="A8" s="29" t="inlineStr">
        <is>
          <t>Ocean Whisperer</t>
        </is>
      </c>
      <c r="B8" s="29" t="inlineStr">
        <is>
          <t>Singapore</t>
        </is>
      </c>
      <c r="C8" s="30" t="inlineStr">
        <is>
          <t>Hato (Curaçao Int'l) airport waterfront → Sandals Royal Curaçao (Spanish Water / Santa Barbara)</t>
        </is>
      </c>
      <c r="D8" s="31" t="n">
        <v>13</v>
      </c>
      <c r="E8" s="26" t="n">
        <v>95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76953</v>
      </c>
      <c r="AH8" s="32" t="inlineStr">
        <is>
          <t>T4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AY8" s="44" t="inlineStr">
        <is>
          <t>ocean-whisperer-demand-anchors.json captive Curaçao premium transfer pool</t>
        </is>
      </c>
    </row>
    <row r="9">
      <c r="A9" s="29" t="inlineStr">
        <is>
          <t>Ocean Whisperer</t>
        </is>
      </c>
      <c r="B9" s="29" t="inlineStr">
        <is>
          <t>Singapore</t>
        </is>
      </c>
      <c r="C9" s="30" t="inlineStr">
        <is>
          <t>Spanish Water / Caracasbaai (Curaçao) → Klein Curaçao day-trip jetty</t>
        </is>
      </c>
      <c r="D9" s="31" t="n">
        <v>15</v>
      </c>
      <c r="E9" s="26" t="n">
        <v>120</v>
      </c>
      <c r="F9" s="32" t="inlineStr">
        <is>
          <t>T5</t>
        </is>
      </c>
      <c r="G9" s="32" t="inlineStr">
        <is>
          <t>low</t>
        </is>
      </c>
      <c r="H9" s="19" t="n">
        <v>0.6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5783</v>
      </c>
      <c r="AH9" s="32" t="inlineStr">
        <is>
          <t>T4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seasonal excursion. To be finalized in cascade with season_days.</t>
        </is>
      </c>
      <c r="AY9" s="44" t="inlineStr">
        <is>
          <t>ocean-whisperer-demand-anchors.json captive Curaçao premium transfer pool</t>
        </is>
      </c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Ocean Whisperer</t>
        </is>
      </c>
      <c r="B14" s="13" t="inlineStr">
        <is>
          <t>captive-luxury-resort-mesh / phase-cap</t>
        </is>
      </c>
      <c r="C14" s="13" t="inlineStr">
        <is>
          <t>—</t>
        </is>
      </c>
      <c r="D14" s="49">
        <f>SUMIFS(AL4:AL9,A4:A9,"Ocean Whisperer",AP4:AP9,"=",AQ4:AQ9,"Grounded")</f>
        <v/>
      </c>
      <c r="E14" s="50">
        <f>SUMIFS(AM4:AM9,A4:A9,"Ocean Whisperer",AP4:AP9,"=",AQ4:AQ9,"Grounded")</f>
        <v/>
      </c>
    </row>
    <row r="15">
      <c r="A15" s="45" t="inlineStr">
        <is>
          <t>GROUNDED FLOOR (PUBLISHED)</t>
        </is>
      </c>
      <c r="D15" s="48">
        <f>SUM(D14:D14)</f>
        <v/>
      </c>
      <c r="E15" s="46">
        <f>SUM(E14:E14)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0.487</v>
      </c>
      <c r="E11" s="14" t="inlineStr">
        <is>
          <t>New-entrant ~49%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(~49%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(~49%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2026-06-24T02:58:55Z</dcterms:created>
  <dcterms:modified xsi:type="dcterms:W3CDTF">2026-06-24T02:58:55Z</dcterms:modified>
</cp:coreProperties>
</file>