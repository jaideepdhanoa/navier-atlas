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opex'!$A$4:$G$4</definedName>
    <definedName name="som_floor_fleet">'Corridor economics'!$D$21</definedName>
    <definedName name="som_floor_rev">'Corridor economics'!$E$21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Centara-Thailand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hospitality N30 list = $1M, region-independent — see Country opex tab col G)</t>
        </is>
      </c>
      <c r="B8" s="15" t="n">
        <v>1000000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Thailand</t>
        </is>
      </c>
      <c r="B4" s="26" t="n">
        <v>24000</v>
      </c>
      <c r="C4" s="27" t="n">
        <v>0.116</v>
      </c>
      <c r="D4" s="19" t="n">
        <v>0.5</v>
      </c>
      <c r="E4" s="26" t="n">
        <v>12000</v>
      </c>
      <c r="F4" s="19" t="n">
        <v>0.55</v>
      </c>
      <c r="G4" s="26" t="n">
        <v>1000000</v>
      </c>
      <c r="H4" s="14" t="inlineStr">
        <is>
          <t>ERI Thailand boat captain ~876k THB/yr | MEA/PEA business tariff ~4.18 THB/kWh | Modeled Phuket marine ops | CAPEX LB-260 hospitality N30 list = $1M (region-independent)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Centara-Thailand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Bangkok River</t>
        </is>
      </c>
      <c r="B4" s="29" t="inlineStr">
        <is>
          <t>Thailand</t>
        </is>
      </c>
      <c r="C4" s="30" t="inlineStr">
        <is>
          <t>Sathorn Pier → Phra Arthit river circuit</t>
        </is>
      </c>
      <c r="D4" s="31" t="n">
        <v>2.6</v>
      </c>
      <c r="E4" s="26" t="n">
        <v>55</v>
      </c>
      <c r="F4" s="32" t="inlineStr">
        <is>
          <t>T2</t>
        </is>
      </c>
      <c r="G4" s="32" t="inlineStr">
        <is>
          <t>med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11837</v>
      </c>
      <c r="AH4" s="32" t="inlineStr">
        <is>
          <t>T2</t>
        </is>
      </c>
      <c r="AI4" s="32" t="inlineStr">
        <is>
          <t>med</t>
        </is>
      </c>
      <c r="AJ4" s="39" t="n">
        <v>0.9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Estimated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handoff/centara-thailand-economics-sidecar.draft.json</t>
        </is>
      </c>
      <c r="AY4" s="44" t="inlineStr">
        <is>
          <t>handoff/centara-thailand-economics-sidecar.draft.json</t>
        </is>
      </c>
    </row>
    <row r="5">
      <c r="A5" s="29" t="inlineStr">
        <is>
          <t>Samui Gulf</t>
        </is>
      </c>
      <c r="B5" s="29" t="inlineStr">
        <is>
          <t>Thailand</t>
        </is>
      </c>
      <c r="C5" s="30" t="inlineStr">
        <is>
          <t>Centara Reserve Samui → Chaweng gateway</t>
        </is>
      </c>
      <c r="D5" s="31" t="n">
        <v>3.2</v>
      </c>
      <c r="E5" s="26" t="n">
        <v>60</v>
      </c>
      <c r="F5" s="32" t="inlineStr">
        <is>
          <t>T2</t>
        </is>
      </c>
      <c r="G5" s="32" t="inlineStr">
        <is>
          <t>med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11048</v>
      </c>
      <c r="AH5" s="32" t="inlineStr">
        <is>
          <t>T2</t>
        </is>
      </c>
      <c r="AI5" s="32" t="inlineStr">
        <is>
          <t>med</t>
        </is>
      </c>
      <c r="AJ5" s="39" t="n">
        <v>0.9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Estimated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handoff/centara-thailand-economics-sidecar.draft.json</t>
        </is>
      </c>
      <c r="AY5" s="44" t="inlineStr">
        <is>
          <t>handoff/centara-thailand-economics-sidecar.draft.json</t>
        </is>
      </c>
    </row>
    <row r="6">
      <c r="A6" s="29" t="inlineStr">
        <is>
          <t>Eastern Gulf</t>
        </is>
      </c>
      <c r="B6" s="29" t="inlineStr">
        <is>
          <t>Thailand</t>
        </is>
      </c>
      <c r="C6" s="30" t="inlineStr">
        <is>
          <t>Centara Grand Mirage Pattaya → Koh Larn</t>
        </is>
      </c>
      <c r="D6" s="31" t="n">
        <v>5</v>
      </c>
      <c r="E6" s="26" t="n">
        <v>60</v>
      </c>
      <c r="F6" s="32" t="inlineStr">
        <is>
          <t>T2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11048</v>
      </c>
      <c r="AH6" s="32" t="inlineStr">
        <is>
          <t>T2</t>
        </is>
      </c>
      <c r="AI6" s="32" t="inlineStr">
        <is>
          <t>med</t>
        </is>
      </c>
      <c r="AJ6" s="39" t="n">
        <v>0.9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Estimated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>handoff/centara-thailand-economics-sidecar.draft.json</t>
        </is>
      </c>
      <c r="AY6" s="44" t="inlineStr">
        <is>
          <t>handoff/centara-thailand-economics-sidecar.draft.json</t>
        </is>
      </c>
    </row>
    <row r="7">
      <c r="A7" s="29" t="inlineStr">
        <is>
          <t>Eastern Gulf</t>
        </is>
      </c>
      <c r="B7" s="29" t="inlineStr">
        <is>
          <t>Thailand</t>
        </is>
      </c>
      <c r="C7" s="30" t="inlineStr">
        <is>
          <t>Ao Sapparot → Bang Bao (Koh Chang arrival)</t>
        </is>
      </c>
      <c r="D7" s="31" t="n">
        <v>6.5</v>
      </c>
      <c r="E7" s="26" t="n">
        <v>55</v>
      </c>
      <c r="F7" s="32" t="inlineStr">
        <is>
          <t>T2</t>
        </is>
      </c>
      <c r="G7" s="32" t="inlineStr">
        <is>
          <t>med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9469</v>
      </c>
      <c r="AH7" s="32" t="inlineStr">
        <is>
          <t>T2</t>
        </is>
      </c>
      <c r="AI7" s="32" t="inlineStr">
        <is>
          <t>med</t>
        </is>
      </c>
      <c r="AJ7" s="39" t="n">
        <v>0.9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Estimated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>handoff/centara-thailand-economics-sidecar.draft.json</t>
        </is>
      </c>
      <c r="AY7" s="44" t="inlineStr">
        <is>
          <t>handoff/centara-thailand-economics-sidecar.draft.json</t>
        </is>
      </c>
    </row>
    <row r="8">
      <c r="A8" s="29" t="inlineStr">
        <is>
          <t>Western Gulf</t>
        </is>
      </c>
      <c r="B8" s="29" t="inlineStr">
        <is>
          <t>Thailand</t>
        </is>
      </c>
      <c r="C8" s="30" t="inlineStr">
        <is>
          <t>Centara Grand Hua Hin → Cha-Am coastal hop</t>
        </is>
      </c>
      <c r="D8" s="31" t="n">
        <v>13.4</v>
      </c>
      <c r="E8" s="26" t="n">
        <v>60</v>
      </c>
      <c r="F8" s="32" t="inlineStr">
        <is>
          <t>T2</t>
        </is>
      </c>
      <c r="G8" s="32" t="inlineStr">
        <is>
          <t>med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9469</v>
      </c>
      <c r="AH8" s="32" t="inlineStr">
        <is>
          <t>T2</t>
        </is>
      </c>
      <c r="AI8" s="32" t="inlineStr">
        <is>
          <t>med</t>
        </is>
      </c>
      <c r="AJ8" s="39" t="n">
        <v>0.9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Grounded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handoff/centara-thailand-economics-sidecar.draft.json</t>
        </is>
      </c>
      <c r="AY8" s="44" t="inlineStr">
        <is>
          <t>handoff/centara-thailand-economics-sidecar.draft.json</t>
        </is>
      </c>
    </row>
    <row r="9">
      <c r="A9" s="29" t="inlineStr">
        <is>
          <t>Phuket Andaman</t>
        </is>
      </c>
      <c r="B9" s="29" t="inlineStr">
        <is>
          <t>Thailand</t>
        </is>
      </c>
      <c r="C9" s="30" t="inlineStr">
        <is>
          <t>Chalong Pier → Centara Grand Beach Resort Phuket / Karon</t>
        </is>
      </c>
      <c r="D9" s="31" t="n">
        <v>19.5</v>
      </c>
      <c r="E9" s="26" t="n">
        <v>65</v>
      </c>
      <c r="F9" s="32" t="inlineStr">
        <is>
          <t>T2</t>
        </is>
      </c>
      <c r="G9" s="32" t="inlineStr">
        <is>
          <t>med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9469</v>
      </c>
      <c r="AH9" s="32" t="inlineStr">
        <is>
          <t>T2</t>
        </is>
      </c>
      <c r="AI9" s="32" t="inlineStr">
        <is>
          <t>med</t>
        </is>
      </c>
      <c r="AJ9" s="39" t="n">
        <v>0.9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handoff/centara-thailand-economics-sidecar.draft.json</t>
        </is>
      </c>
      <c r="AY9" s="44" t="inlineStr">
        <is>
          <t>handoff/centara-thailand-economics-sidecar.draft.json</t>
        </is>
      </c>
    </row>
    <row r="10">
      <c r="A10" s="29" t="inlineStr">
        <is>
          <t>Krabi Phi Phi</t>
        </is>
      </c>
      <c r="B10" s="29" t="inlineStr">
        <is>
          <t>Thailand</t>
        </is>
      </c>
      <c r="C10" s="30" t="inlineStr">
        <is>
          <t>Klong Jilad / Ao Nang → Phi Phi (Tonsai)</t>
        </is>
      </c>
      <c r="D10" s="31" t="n">
        <v>20.4</v>
      </c>
      <c r="E10" s="26" t="n">
        <v>100</v>
      </c>
      <c r="F10" s="32" t="inlineStr">
        <is>
          <t>T2</t>
        </is>
      </c>
      <c r="G10" s="32" t="inlineStr">
        <is>
          <t>med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4384</v>
      </c>
      <c r="AH10" s="32" t="inlineStr">
        <is>
          <t>T2</t>
        </is>
      </c>
      <c r="AI10" s="32" t="inlineStr">
        <is>
          <t>med</t>
        </is>
      </c>
      <c r="AJ10" s="39" t="n">
        <v>0.9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Estimated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inlineStr">
        <is>
          <t>handoff/centara-thailand-economics-sidecar.draft.json</t>
        </is>
      </c>
      <c r="AY10" s="44" t="inlineStr">
        <is>
          <t>handoff/centara-thailand-economics-sidecar.draft.json</t>
        </is>
      </c>
    </row>
    <row r="11">
      <c r="A11" s="45" t="inlineStr">
        <is>
          <t>TOTAL / median</t>
        </is>
      </c>
      <c r="T11" s="46">
        <f>SUM(T4:T10)</f>
        <v/>
      </c>
      <c r="AC11" s="46">
        <f>SUM(AC4:AC10)</f>
        <v/>
      </c>
      <c r="AD11" s="47">
        <f>IF(T11=0,"",AC11/T11)</f>
        <v/>
      </c>
      <c r="AL11" s="48">
        <f>SUM(AL4:AL10)</f>
        <v/>
      </c>
      <c r="AM11" s="46">
        <f>SUM(AM4:AM10)</f>
        <v/>
      </c>
    </row>
    <row r="13">
      <c r="A13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4">
      <c r="A14" s="24" t="inlineStr">
        <is>
          <t>Market</t>
        </is>
      </c>
      <c r="B14" s="24" t="inlineStr">
        <is>
          <t>Fleet basis</t>
        </is>
      </c>
      <c r="C14" s="24" t="inlineStr">
        <is>
          <t>Raw vessels (sum)</t>
        </is>
      </c>
      <c r="D14" s="24" t="inlineStr">
        <is>
          <t>Fleet (rounded once)</t>
        </is>
      </c>
      <c r="E14" s="24" t="inlineStr">
        <is>
          <t>Market rev/yr (raw sum)</t>
        </is>
      </c>
    </row>
    <row r="15">
      <c r="A15" s="25" t="inlineStr">
        <is>
          <t>Bangkok River</t>
        </is>
      </c>
      <c r="B15" s="13" t="inlineStr">
        <is>
          <t>corridor_sum</t>
        </is>
      </c>
      <c r="C15" s="13" t="inlineStr">
        <is>
          <t>—</t>
        </is>
      </c>
      <c r="D15" s="49">
        <f>SUMIFS(AL4:AL10,A4:A10,"Bangkok River",AP4:AP10,"=",AQ4:AQ10,"Grounded")</f>
        <v/>
      </c>
      <c r="E15" s="50">
        <f>SUMIFS(AM4:AM10,A4:A10,"Bangkok River",AP4:AP10,"=",AQ4:AQ10,"Grounded")</f>
        <v/>
      </c>
    </row>
    <row r="16">
      <c r="A16" s="25" t="inlineStr">
        <is>
          <t>Samui Gulf</t>
        </is>
      </c>
      <c r="B16" s="13" t="inlineStr">
        <is>
          <t>corridor_sum</t>
        </is>
      </c>
      <c r="C16" s="13" t="inlineStr">
        <is>
          <t>—</t>
        </is>
      </c>
      <c r="D16" s="49">
        <f>SUMIFS(AL4:AL10,A4:A10,"Samui Gulf",AP4:AP10,"=",AQ4:AQ10,"Grounded")</f>
        <v/>
      </c>
      <c r="E16" s="50">
        <f>SUMIFS(AM4:AM10,A4:A10,"Samui Gulf",AP4:AP10,"=",AQ4:AQ10,"Grounded")</f>
        <v/>
      </c>
    </row>
    <row r="17">
      <c r="A17" s="25" t="inlineStr">
        <is>
          <t>Eastern Gulf</t>
        </is>
      </c>
      <c r="B17" s="13" t="inlineStr">
        <is>
          <t>corridor_sum</t>
        </is>
      </c>
      <c r="C17" s="13" t="inlineStr">
        <is>
          <t>—</t>
        </is>
      </c>
      <c r="D17" s="49">
        <f>SUMIFS(AL4:AL10,A4:A10,"Eastern Gulf",AP4:AP10,"=",AQ4:AQ10,"Grounded")</f>
        <v/>
      </c>
      <c r="E17" s="50">
        <f>SUMIFS(AM4:AM10,A4:A10,"Eastern Gulf",AP4:AP10,"=",AQ4:AQ10,"Grounded")</f>
        <v/>
      </c>
    </row>
    <row r="18">
      <c r="A18" s="25" t="inlineStr">
        <is>
          <t>Western Gulf</t>
        </is>
      </c>
      <c r="B18" s="13" t="inlineStr">
        <is>
          <t>corridor_sum</t>
        </is>
      </c>
      <c r="C18" s="13" t="inlineStr">
        <is>
          <t>—</t>
        </is>
      </c>
      <c r="D18" s="49">
        <f>SUMIFS(AL4:AL10,A4:A10,"Western Gulf",AP4:AP10,"=",AQ4:AQ10,"Grounded")</f>
        <v/>
      </c>
      <c r="E18" s="50">
        <f>SUMIFS(AM4:AM10,A4:A10,"Western Gulf",AP4:AP10,"=",AQ4:AQ10,"Grounded")</f>
        <v/>
      </c>
    </row>
    <row r="19">
      <c r="A19" s="25" t="inlineStr">
        <is>
          <t>Phuket Andaman</t>
        </is>
      </c>
      <c r="B19" s="13" t="inlineStr">
        <is>
          <t>corridor_sum</t>
        </is>
      </c>
      <c r="C19" s="13" t="inlineStr">
        <is>
          <t>—</t>
        </is>
      </c>
      <c r="D19" s="49">
        <f>SUMIFS(AL4:AL10,A4:A10,"Phuket Andaman",AP4:AP10,"=",AQ4:AQ10,"Grounded")</f>
        <v/>
      </c>
      <c r="E19" s="50">
        <f>SUMIFS(AM4:AM10,A4:A10,"Phuket Andaman",AP4:AP10,"=",AQ4:AQ10,"Grounded")</f>
        <v/>
      </c>
    </row>
    <row r="20">
      <c r="A20" s="25" t="inlineStr">
        <is>
          <t>Krabi Phi Phi</t>
        </is>
      </c>
      <c r="B20" s="13" t="inlineStr">
        <is>
          <t>corridor_sum</t>
        </is>
      </c>
      <c r="C20" s="13" t="inlineStr">
        <is>
          <t>—</t>
        </is>
      </c>
      <c r="D20" s="49">
        <f>SUMIFS(AL4:AL10,A4:A10,"Krabi Phi Phi",AP4:AP10,"=",AQ4:AQ10,"Grounded")</f>
        <v/>
      </c>
      <c r="E20" s="50">
        <f>SUMIFS(AM4:AM10,A4:A10,"Krabi Phi Phi",AP4:AP10,"=",AQ4:AQ10,"Grounded")</f>
        <v/>
      </c>
    </row>
    <row r="21">
      <c r="A21" s="45" t="inlineStr">
        <is>
          <t>GROUNDED FLOOR (PUBLISHED)</t>
        </is>
      </c>
      <c r="D21" s="48">
        <f>SUM(D15:D20)</f>
        <v/>
      </c>
      <c r="E21" s="46">
        <f>SUM(E15:E20)</f>
        <v/>
      </c>
    </row>
    <row r="22">
      <c r="A22" s="20" t="inlineStr">
        <is>
          <t>ESTIMATED DEMAND (country-median cascade; held OUT of grounded floor)</t>
        </is>
      </c>
      <c r="D22" s="51">
        <f>SUMIF(AQ4:AQ10,"Estimated",AL4:AL10)</f>
        <v/>
      </c>
      <c r="E22" s="52">
        <f>SUMIF(AQ4:AQ10,"Estimated",AM4:AM10)</f>
        <v/>
      </c>
    </row>
  </sheetData>
  <mergeCells count="2">
    <mergeCell ref="A13:L1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0.7416</v>
      </c>
      <c r="C6" s="39" t="n">
        <v>0.7416</v>
      </c>
      <c r="D6" s="39" t="n">
        <v>0.7916000000000001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0.7416</v>
      </c>
      <c r="E11" s="14" t="inlineStr">
        <is>
          <t>Captive sole-operator capture (~74%) that builds the published floor; M_today = floor ÷ this = the true corridor spend pool.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(~74%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(~74%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3" t="inlineStr">
        <is>
          <t>Note</t>
        </is>
      </c>
      <c r="B26" s="5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2026-07-06T02:58:36Z</dcterms:created>
  <dcterms:modified xsi:type="dcterms:W3CDTF">2026-07-06T02:58:36Z</dcterms:modified>
</cp:coreProperties>
</file>