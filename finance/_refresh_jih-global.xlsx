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economics'!$D$52</definedName>
    <definedName name="som_floor_rev">'Corridor economics'!$E$52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Jih-Global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Maldives</t>
        </is>
      </c>
      <c r="B4" s="26" t="n">
        <v>27000</v>
      </c>
      <c r="C4" s="27" t="n">
        <v>0.3</v>
      </c>
      <c r="D4" s="19" t="n">
        <v>0.72</v>
      </c>
      <c r="E4" s="26" t="n">
        <v>16000</v>
      </c>
      <c r="F4" s="19" t="n">
        <v>0.63</v>
      </c>
      <c r="G4" s="26" t="n">
        <v>600000</v>
      </c>
      <c r="H4" s="14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Jih-Global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Maldives (JIH)</t>
        </is>
      </c>
      <c r="B4" s="29" t="inlineStr">
        <is>
          <t>Maldives</t>
        </is>
      </c>
      <c r="C4" s="30" t="inlineStr">
        <is>
          <t>Velana International Airport (MLE) Resort Speedboat Lounges → Kurumba Maldives (Vihamanafushi, North Malé)</t>
        </is>
      </c>
      <c r="D4" s="31" t="n">
        <v>2.1</v>
      </c>
      <c r="E4" s="26" t="n">
        <v>60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28000</v>
      </c>
      <c r="AH4" s="32" t="inlineStr">
        <is>
          <t>T5</t>
        </is>
      </c>
      <c r="AI4" s="32" t="inlineStr">
        <is>
          <t>low-med</t>
        </is>
      </c>
      <c r="AJ4" s="39" t="n">
        <v>0.9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>
        <v>8</v>
      </c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AX4" s="44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5">
      <c r="A5" s="29" t="inlineStr">
        <is>
          <t>Maldives (JIH)</t>
        </is>
      </c>
      <c r="B5" s="29" t="inlineStr">
        <is>
          <t>Maldives</t>
        </is>
      </c>
      <c r="C5" s="30" t="inlineStr">
        <is>
          <t>Kuredu Island Resort (Lhaviyani) → Hurawalhi (Lhaviyani)</t>
        </is>
      </c>
      <c r="D5" s="31" t="n">
        <v>2.5</v>
      </c>
      <c r="E5" s="26" t="n">
        <v>150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inlineStr">
        <is>
          <t>null</t>
        </is>
      </c>
      <c r="AJ5" s="39" t="n">
        <v>0.9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5" s="44" t="inlineStr">
        <is>
          <t>NULL — pure inter-resort island-hop; no grounded crossing pool (R2). Geometry only.</t>
        </is>
      </c>
    </row>
    <row r="6">
      <c r="A6" s="29" t="inlineStr">
        <is>
          <t>Maldives (JIH)</t>
        </is>
      </c>
      <c r="B6" s="29" t="inlineStr">
        <is>
          <t>Maldives</t>
        </is>
      </c>
      <c r="C6" s="30" t="inlineStr">
        <is>
          <t>Gan International Airport, Addu → Shangri-La Villingili (Addu)</t>
        </is>
      </c>
      <c r="D6" s="31" t="n">
        <v>2.7</v>
      </c>
      <c r="E6" s="26" t="n">
        <v>150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9858</v>
      </c>
      <c r="AH6" s="32" t="inlineStr">
        <is>
          <t>T5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>
        <v>6</v>
      </c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7">
      <c r="A7" s="29" t="inlineStr">
        <is>
          <t>Maldives (JIH)</t>
        </is>
      </c>
      <c r="B7" s="29" t="inlineStr">
        <is>
          <t>Maldives</t>
        </is>
      </c>
      <c r="C7" s="30" t="inlineStr">
        <is>
          <t>Maamigili (Villa) Airport, South Ari → Sun Island Resort (Nalaguraidhoo)</t>
        </is>
      </c>
      <c r="D7" s="31" t="n">
        <v>3.2</v>
      </c>
      <c r="E7" s="26" t="n">
        <v>120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34504</v>
      </c>
      <c r="AH7" s="32" t="inlineStr">
        <is>
          <t>T5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>
        <v>19</v>
      </c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8">
      <c r="A8" s="29" t="inlineStr">
        <is>
          <t>Maldives (JIH)</t>
        </is>
      </c>
      <c r="B8" s="29" t="inlineStr">
        <is>
          <t>Maldives</t>
        </is>
      </c>
      <c r="C8" s="30" t="inlineStr">
        <is>
          <t>Dharavandhoo Airport, Baa → Soneva Fushi (Kunfunadhoo, Baa)</t>
        </is>
      </c>
      <c r="D8" s="31" t="n">
        <v>4.4</v>
      </c>
      <c r="E8" s="26" t="n">
        <v>200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4705</v>
      </c>
      <c r="AH8" s="32" t="inlineStr">
        <is>
          <t>T5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>
        <v>3</v>
      </c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9">
      <c r="A9" s="29" t="inlineStr">
        <is>
          <t>Maldives (JIH)</t>
        </is>
      </c>
      <c r="B9" s="29" t="inlineStr">
        <is>
          <t>Maldives</t>
        </is>
      </c>
      <c r="C9" s="30" t="inlineStr">
        <is>
          <t>Kudahuvadhoo Airport, Dhaalu → Niyama Private Islands (Dhaalu)</t>
        </is>
      </c>
      <c r="D9" s="31" t="n">
        <v>4.7</v>
      </c>
      <c r="E9" s="26" t="n">
        <v>150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10008</v>
      </c>
      <c r="AH9" s="32" t="inlineStr">
        <is>
          <t>T5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>
        <v>6</v>
      </c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0">
      <c r="A10" s="29" t="inlineStr">
        <is>
          <t>Maldives (JIH)</t>
        </is>
      </c>
      <c r="B10" s="29" t="inlineStr">
        <is>
          <t>Maldives</t>
        </is>
      </c>
      <c r="C10" s="30" t="inlineStr">
        <is>
          <t>Velana International Airport (MLE) Resort Speedboat Lounges → Gili Lankanfushi (North Malé)</t>
        </is>
      </c>
      <c r="D10" s="31" t="n">
        <v>6.4</v>
      </c>
      <c r="E10" s="26" t="n">
        <v>150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7000</v>
      </c>
      <c r="AH10" s="32" t="inlineStr">
        <is>
          <t>T5</t>
        </is>
      </c>
      <c r="AI10" s="32" t="inlineStr">
        <is>
          <t>low-med</t>
        </is>
      </c>
      <c r="AJ10" s="39" t="n">
        <v>0.9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>
        <v>2</v>
      </c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AX10" s="44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11">
      <c r="A11" s="29" t="inlineStr">
        <is>
          <t>Maldives (JIH)</t>
        </is>
      </c>
      <c r="B11" s="29" t="inlineStr">
        <is>
          <t>Maldives</t>
        </is>
      </c>
      <c r="C11" s="30" t="inlineStr">
        <is>
          <t>Joali Maldives (Muravandhoo, Raa) → Joali Being (Bodufushi, Raa)</t>
        </is>
      </c>
      <c r="D11" s="31" t="n">
        <v>6.5</v>
      </c>
      <c r="E11" s="26" t="n">
        <v>175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inlineStr">
        <is>
          <t>null</t>
        </is>
      </c>
      <c r="AJ11" s="39" t="n">
        <v>0.9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1" s="44" t="inlineStr">
        <is>
          <t>NULL — pure inter-resort island-hop; no grounded crossing pool (R2). Geometry only.</t>
        </is>
      </c>
    </row>
    <row r="12">
      <c r="A12" s="29" t="inlineStr">
        <is>
          <t>Maldives (JIH)</t>
        </is>
      </c>
      <c r="B12" s="29" t="inlineStr">
        <is>
          <t>Maldives</t>
        </is>
      </c>
      <c r="C12" s="30" t="inlineStr">
        <is>
          <t>Maafaru Airport, Noonu → Soneva Jani (Medhufaru, Noonu)</t>
        </is>
      </c>
      <c r="D12" s="31" t="n">
        <v>7.6</v>
      </c>
      <c r="E12" s="26" t="n">
        <v>200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3884</v>
      </c>
      <c r="AH12" s="32" t="inlineStr">
        <is>
          <t>T5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>
        <v>3</v>
      </c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3">
      <c r="A13" s="29" t="inlineStr">
        <is>
          <t>Maldives (JIH)</t>
        </is>
      </c>
      <c r="B13" s="29" t="inlineStr">
        <is>
          <t>Maldives</t>
        </is>
      </c>
      <c r="C13" s="30" t="inlineStr">
        <is>
          <t>Kooddoo Airport, Gaafu Alif → Pullman Maldives Maamutaa (Gaafu)</t>
        </is>
      </c>
      <c r="D13" s="31" t="n">
        <v>7.7</v>
      </c>
      <c r="E13" s="26" t="n">
        <v>150</v>
      </c>
      <c r="F13" s="32" t="inlineStr">
        <is>
          <t>T3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9112</v>
      </c>
      <c r="AH13" s="32" t="inlineStr">
        <is>
          <t>T5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>
        <v>5</v>
      </c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4">
      <c r="A14" s="29" t="inlineStr">
        <is>
          <t>Maldives (JIH)</t>
        </is>
      </c>
      <c r="B14" s="29" t="inlineStr">
        <is>
          <t>Maldives</t>
        </is>
      </c>
      <c r="C14" s="30" t="inlineStr">
        <is>
          <t>Kadhdhoo Airport, Laamu → Six Senses Laamu</t>
        </is>
      </c>
      <c r="D14" s="31" t="n">
        <v>7.8</v>
      </c>
      <c r="E14" s="26" t="n">
        <v>150</v>
      </c>
      <c r="F14" s="32" t="inlineStr">
        <is>
          <t>T3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7244</v>
      </c>
      <c r="AH14" s="32" t="inlineStr">
        <is>
          <t>T5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>
        <v>4</v>
      </c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5">
      <c r="A15" s="29" t="inlineStr">
        <is>
          <t>Maldives (JIH)</t>
        </is>
      </c>
      <c r="B15" s="29" t="inlineStr">
        <is>
          <t>Maldives</t>
        </is>
      </c>
      <c r="C15" s="30" t="inlineStr">
        <is>
          <t>Velana International Airport (MLE) Resort Speedboat Lounges → Baros Maldives (North Malé)</t>
        </is>
      </c>
      <c r="D15" s="31" t="n">
        <v>8.300000000000001</v>
      </c>
      <c r="E15" s="26" t="n">
        <v>120</v>
      </c>
      <c r="F15" s="32" t="inlineStr">
        <is>
          <t>T3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11700</v>
      </c>
      <c r="AH15" s="32" t="inlineStr">
        <is>
          <t>T5</t>
        </is>
      </c>
      <c r="AI15" s="32" t="inlineStr">
        <is>
          <t>low-med</t>
        </is>
      </c>
      <c r="AJ15" s="39" t="n">
        <v>0.9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>
        <v>3</v>
      </c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AX15" s="44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16">
      <c r="A16" s="29" t="inlineStr">
        <is>
          <t>Maldives (JIH)</t>
        </is>
      </c>
      <c r="B16" s="29" t="inlineStr">
        <is>
          <t>Maldives</t>
        </is>
      </c>
      <c r="C16" s="30" t="inlineStr">
        <is>
          <t>Dharavandhoo Airport, Baa → Milaidhoo (Baa)</t>
        </is>
      </c>
      <c r="D16" s="31" t="n">
        <v>8.4</v>
      </c>
      <c r="E16" s="26" t="n">
        <v>175</v>
      </c>
      <c r="F16" s="32" t="inlineStr">
        <is>
          <t>T3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3734</v>
      </c>
      <c r="AH16" s="32" t="inlineStr">
        <is>
          <t>T5</t>
        </is>
      </c>
      <c r="AI16" s="32" t="inlineStr">
        <is>
          <t>med</t>
        </is>
      </c>
      <c r="AJ16" s="39" t="n">
        <v>0.9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>
        <v>2</v>
      </c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7">
      <c r="A17" s="29" t="inlineStr">
        <is>
          <t>Maldives (JIH)</t>
        </is>
      </c>
      <c r="B17" s="29" t="inlineStr">
        <is>
          <t>Maldives</t>
        </is>
      </c>
      <c r="C17" s="30" t="inlineStr">
        <is>
          <t>Ifuru Airport, Raa → Joali Maldives (Muravandhoo, Raa)</t>
        </is>
      </c>
      <c r="D17" s="31" t="n">
        <v>8.699999999999999</v>
      </c>
      <c r="E17" s="26" t="n">
        <v>200</v>
      </c>
      <c r="F17" s="32" t="inlineStr">
        <is>
          <t>T3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5452</v>
      </c>
      <c r="AH17" s="32" t="inlineStr">
        <is>
          <t>T5</t>
        </is>
      </c>
      <c r="AI17" s="32" t="inlineStr">
        <is>
          <t>med</t>
        </is>
      </c>
      <c r="AJ17" s="39" t="n">
        <v>0.9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>
        <v>3</v>
      </c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8">
      <c r="A18" s="29" t="inlineStr">
        <is>
          <t>Maldives (JIH)</t>
        </is>
      </c>
      <c r="B18" s="29" t="inlineStr">
        <is>
          <t>Maldives</t>
        </is>
      </c>
      <c r="C18" s="30" t="inlineStr">
        <is>
          <t>Dharavandhoo Airport, Baa → Four Seasons Landaa Giraavaru (Baa)</t>
        </is>
      </c>
      <c r="D18" s="31" t="n">
        <v>9.5</v>
      </c>
      <c r="E18" s="26" t="n">
        <v>200</v>
      </c>
      <c r="F18" s="32" t="inlineStr">
        <is>
          <t>T3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7693</v>
      </c>
      <c r="AH18" s="32" t="inlineStr">
        <is>
          <t>T5</t>
        </is>
      </c>
      <c r="AI18" s="32" t="inlineStr">
        <is>
          <t>med</t>
        </is>
      </c>
      <c r="AJ18" s="39" t="n">
        <v>0.9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>
        <v>5</v>
      </c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19">
      <c r="A19" s="29" t="inlineStr">
        <is>
          <t>Maldives (JIH)</t>
        </is>
      </c>
      <c r="B19" s="29" t="inlineStr">
        <is>
          <t>Maldives</t>
        </is>
      </c>
      <c r="C19" s="30" t="inlineStr">
        <is>
          <t>Maafaru Airport, Noonu → Siyam World (Dhigurah, Noonu)</t>
        </is>
      </c>
      <c r="D19" s="31" t="n">
        <v>10</v>
      </c>
      <c r="E19" s="26" t="n">
        <v>150</v>
      </c>
      <c r="F19" s="32" t="inlineStr">
        <is>
          <t>T3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39882</v>
      </c>
      <c r="AH19" s="32" t="inlineStr">
        <is>
          <t>T5</t>
        </is>
      </c>
      <c r="AI19" s="32" t="inlineStr">
        <is>
          <t>med</t>
        </is>
      </c>
      <c r="AJ19" s="39" t="n">
        <v>0.9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>
        <v>20</v>
      </c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1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0">
      <c r="A20" s="29" t="inlineStr">
        <is>
          <t>Maldives (JIH)</t>
        </is>
      </c>
      <c r="B20" s="29" t="inlineStr">
        <is>
          <t>Maldives</t>
        </is>
      </c>
      <c r="C20" s="30" t="inlineStr">
        <is>
          <t>Soneva Fushi (Kunfunadhoo, Baa) → Four Seasons Landaa Giraavaru (Baa)</t>
        </is>
      </c>
      <c r="D20" s="31" t="n">
        <v>11.7</v>
      </c>
      <c r="E20" s="26" t="n">
        <v>175</v>
      </c>
      <c r="F20" s="32" t="inlineStr">
        <is>
          <t>T3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inlineStr">
        <is>
          <t>null</t>
        </is>
      </c>
      <c r="AJ20" s="39" t="n">
        <v>0.9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0" s="44" t="inlineStr">
        <is>
          <t>NULL — pure inter-resort island-hop; no grounded crossing pool (R2). Geometry only.</t>
        </is>
      </c>
    </row>
    <row r="21">
      <c r="A21" s="29" t="inlineStr">
        <is>
          <t>Maldives (JIH)</t>
        </is>
      </c>
      <c r="B21" s="29" t="inlineStr">
        <is>
          <t>Maldives</t>
        </is>
      </c>
      <c r="C21" s="30" t="inlineStr">
        <is>
          <t>Dharavandhoo Airport, Baa → Anantara Kihavah (Baa)</t>
        </is>
      </c>
      <c r="D21" s="31" t="n">
        <v>11.8</v>
      </c>
      <c r="E21" s="26" t="n">
        <v>200</v>
      </c>
      <c r="F21" s="32" t="inlineStr">
        <is>
          <t>T3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MIN(15,FLOOR(60*service_hr/J21,1))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5975</v>
      </c>
      <c r="AH21" s="32" t="inlineStr">
        <is>
          <t>T5</t>
        </is>
      </c>
      <c r="AI21" s="32" t="inlineStr">
        <is>
          <t>med</t>
        </is>
      </c>
      <c r="AJ21" s="39" t="n">
        <v>0.9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>
        <v>4</v>
      </c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2">
      <c r="A22" s="29" t="inlineStr">
        <is>
          <t>Maldives (JIH)</t>
        </is>
      </c>
      <c r="B22" s="29" t="inlineStr">
        <is>
          <t>Maldives</t>
        </is>
      </c>
      <c r="C22" s="30" t="inlineStr">
        <is>
          <t>Maamigili (Villa) Airport, South Ari → Lily Beach Resort (Huvahendhoo)</t>
        </is>
      </c>
      <c r="D22" s="31" t="n">
        <v>12.5</v>
      </c>
      <c r="E22" s="26" t="n">
        <v>150</v>
      </c>
      <c r="F22" s="32" t="inlineStr">
        <is>
          <t>T3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9336</v>
      </c>
      <c r="AH22" s="32" t="inlineStr">
        <is>
          <t>T5</t>
        </is>
      </c>
      <c r="AI22" s="32" t="inlineStr">
        <is>
          <t>med</t>
        </is>
      </c>
      <c r="AJ22" s="39" t="n">
        <v>0.9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>
        <v>5</v>
      </c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3">
      <c r="A23" s="29" t="inlineStr">
        <is>
          <t>Maldives (JIH)</t>
        </is>
      </c>
      <c r="B23" s="29" t="inlineStr">
        <is>
          <t>Maldives</t>
        </is>
      </c>
      <c r="C23" s="30" t="inlineStr">
        <is>
          <t>Maamigili (Villa) Airport, South Ari → Mirihi Island Resort</t>
        </is>
      </c>
      <c r="D23" s="31" t="n">
        <v>12.9</v>
      </c>
      <c r="E23" s="26" t="n">
        <v>120</v>
      </c>
      <c r="F23" s="32" t="inlineStr">
        <is>
          <t>T3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MIN(15,FLOOR(60*service_hr/J23,1))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2763</v>
      </c>
      <c r="AH23" s="32" t="inlineStr">
        <is>
          <t>T5</t>
        </is>
      </c>
      <c r="AI23" s="32" t="inlineStr">
        <is>
          <t>med</t>
        </is>
      </c>
      <c r="AJ23" s="39" t="n">
        <v>0.9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>
        <v>2</v>
      </c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4">
      <c r="A24" s="29" t="inlineStr">
        <is>
          <t>Maldives (JIH)</t>
        </is>
      </c>
      <c r="B24" s="29" t="inlineStr">
        <is>
          <t>Maldives</t>
        </is>
      </c>
      <c r="C24" s="30" t="inlineStr">
        <is>
          <t>Maamigili (Villa) Airport, South Ari → Conrad Maldives Rangali Island</t>
        </is>
      </c>
      <c r="D24" s="31" t="n">
        <v>13.1</v>
      </c>
      <c r="E24" s="26" t="n">
        <v>150</v>
      </c>
      <c r="F24" s="32" t="inlineStr">
        <is>
          <t>T3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11203</v>
      </c>
      <c r="AH24" s="32" t="inlineStr">
        <is>
          <t>T5</t>
        </is>
      </c>
      <c r="AI24" s="32" t="inlineStr">
        <is>
          <t>med</t>
        </is>
      </c>
      <c r="AJ24" s="39" t="n">
        <v>0.9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>
        <v>6</v>
      </c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5">
      <c r="A25" s="29" t="inlineStr">
        <is>
          <t>Maldives (JIH)</t>
        </is>
      </c>
      <c r="B25" s="29" t="inlineStr">
        <is>
          <t>Maldives</t>
        </is>
      </c>
      <c r="C25" s="30" t="inlineStr">
        <is>
          <t>Maafaru Airport, Noonu → Cheval Blanc Randheli (Noonu)</t>
        </is>
      </c>
      <c r="D25" s="31" t="n">
        <v>13.1</v>
      </c>
      <c r="E25" s="26" t="n">
        <v>200</v>
      </c>
      <c r="F25" s="32" t="inlineStr">
        <is>
          <t>T3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3361</v>
      </c>
      <c r="AH25" s="32" t="inlineStr">
        <is>
          <t>T5</t>
        </is>
      </c>
      <c r="AI25" s="32" t="inlineStr">
        <is>
          <t>med</t>
        </is>
      </c>
      <c r="AJ25" s="39" t="n">
        <v>0.9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>
        <v>2</v>
      </c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5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6">
      <c r="A26" s="29" t="inlineStr">
        <is>
          <t>Maldives (JIH)</t>
        </is>
      </c>
      <c r="B26" s="29" t="inlineStr">
        <is>
          <t>Maldives</t>
        </is>
      </c>
      <c r="C26" s="30" t="inlineStr">
        <is>
          <t>Ifuru Airport, Raa → Joali Being (Bodufushi, Raa)</t>
        </is>
      </c>
      <c r="D26" s="31" t="n">
        <v>13.2</v>
      </c>
      <c r="E26" s="26" t="n">
        <v>200</v>
      </c>
      <c r="F26" s="32" t="inlineStr">
        <is>
          <t>T3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MIN(15,FLOOR(60*service_hr/J26,1))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5079</v>
      </c>
      <c r="AH26" s="32" t="inlineStr">
        <is>
          <t>T5</t>
        </is>
      </c>
      <c r="AI26" s="32" t="inlineStr">
        <is>
          <t>med</t>
        </is>
      </c>
      <c r="AJ26" s="39" t="n">
        <v>0.9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>
        <v>3</v>
      </c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6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">
      <c r="A27" s="29" t="inlineStr">
        <is>
          <t>Maldives (JIH)</t>
        </is>
      </c>
      <c r="B27" s="29" t="inlineStr">
        <is>
          <t>Maldives</t>
        </is>
      </c>
      <c r="C27" s="30" t="inlineStr">
        <is>
          <t>Soneva Fushi (Kunfunadhoo, Baa) → Anantara Kihavah (Baa)</t>
        </is>
      </c>
      <c r="D27" s="31" t="n">
        <v>13.3</v>
      </c>
      <c r="E27" s="26" t="n">
        <v>175</v>
      </c>
      <c r="F27" s="32" t="inlineStr">
        <is>
          <t>T3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inlineStr">
        <is>
          <t>null</t>
        </is>
      </c>
      <c r="AJ27" s="39" t="n">
        <v>0.9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7" s="44" t="inlineStr">
        <is>
          <t>NULL — pure inter-resort island-hop; no grounded crossing pool (R2). Geometry only.</t>
        </is>
      </c>
    </row>
    <row r="28">
      <c r="A28" s="29" t="inlineStr">
        <is>
          <t>Maldives (JIH)</t>
        </is>
      </c>
      <c r="B28" s="29" t="inlineStr">
        <is>
          <t>Maldives</t>
        </is>
      </c>
      <c r="C28" s="30" t="inlineStr">
        <is>
          <t>Dharavandhoo Airport, Baa → Vakkaru Maldives (Baa)</t>
        </is>
      </c>
      <c r="D28" s="31" t="n">
        <v>13.6</v>
      </c>
      <c r="E28" s="26" t="n">
        <v>175</v>
      </c>
      <c r="F28" s="32" t="inlineStr">
        <is>
          <t>T3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9336</v>
      </c>
      <c r="AH28" s="32" t="inlineStr">
        <is>
          <t>T5</t>
        </is>
      </c>
      <c r="AI28" s="32" t="inlineStr">
        <is>
          <t>med</t>
        </is>
      </c>
      <c r="AJ28" s="39" t="n">
        <v>0.9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>
        <v>5</v>
      </c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8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">
      <c r="A29" s="29" t="inlineStr">
        <is>
          <t>Maldives (JIH)</t>
        </is>
      </c>
      <c r="B29" s="29" t="inlineStr">
        <is>
          <t>Maldives</t>
        </is>
      </c>
      <c r="C29" s="30" t="inlineStr">
        <is>
          <t>Dharavandhoo Airport, Baa → Finolhu (Baa)</t>
        </is>
      </c>
      <c r="D29" s="31" t="n">
        <v>13.9</v>
      </c>
      <c r="E29" s="26" t="n">
        <v>150</v>
      </c>
      <c r="F29" s="32" t="inlineStr">
        <is>
          <t>T3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9336</v>
      </c>
      <c r="AH29" s="32" t="inlineStr">
        <is>
          <t>T5</t>
        </is>
      </c>
      <c r="AI29" s="32" t="inlineStr">
        <is>
          <t>med</t>
        </is>
      </c>
      <c r="AJ29" s="39" t="n">
        <v>0.9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>
        <v>5</v>
      </c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29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">
      <c r="A30" s="29" t="inlineStr">
        <is>
          <t>Maldives (JIH)</t>
        </is>
      </c>
      <c r="B30" s="29" t="inlineStr">
        <is>
          <t>Maldives</t>
        </is>
      </c>
      <c r="C30" s="30" t="inlineStr">
        <is>
          <t>Velana International Airport (MLE) Resort Speedboat Lounges → Waldorf Astoria Maldives Ithaafushi</t>
        </is>
      </c>
      <c r="D30" s="31" t="n">
        <v>14.6</v>
      </c>
      <c r="E30" s="26" t="n">
        <v>400</v>
      </c>
      <c r="F30" s="32" t="inlineStr">
        <is>
          <t>T1</t>
        </is>
      </c>
      <c r="G30" s="32" t="inlineStr">
        <is>
          <t>med-high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18800</v>
      </c>
      <c r="AH30" s="32" t="inlineStr">
        <is>
          <t>T5</t>
        </is>
      </c>
      <c r="AI30" s="32" t="inlineStr">
        <is>
          <t>low-med</t>
        </is>
      </c>
      <c r="AJ30" s="39" t="n">
        <v>0.9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>
        <v>5</v>
      </c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AX30" s="44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31">
      <c r="A31" s="29" t="inlineStr">
        <is>
          <t>Maldives (JIH)</t>
        </is>
      </c>
      <c r="B31" s="29" t="inlineStr">
        <is>
          <t>Maldives</t>
        </is>
      </c>
      <c r="C31" s="30" t="inlineStr">
        <is>
          <t>Velana International Airport (MLE) Resort Speedboat Lounges → COMO Cocoa Island (Makunufushi, South Malé)</t>
        </is>
      </c>
      <c r="D31" s="31" t="n">
        <v>15.9</v>
      </c>
      <c r="E31" s="26" t="n">
        <v>130</v>
      </c>
      <c r="F31" s="32" t="inlineStr">
        <is>
          <t>T1</t>
        </is>
      </c>
      <c r="G31" s="32" t="inlineStr">
        <is>
          <t>med-high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5200</v>
      </c>
      <c r="AH31" s="32" t="inlineStr">
        <is>
          <t>T5</t>
        </is>
      </c>
      <c r="AI31" s="32" t="inlineStr">
        <is>
          <t>low-med</t>
        </is>
      </c>
      <c r="AJ31" s="39" t="n">
        <v>0.9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>
        <v>2</v>
      </c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AX31" s="44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2">
      <c r="A32" s="29" t="inlineStr">
        <is>
          <t>Maldives (JIH)</t>
        </is>
      </c>
      <c r="B32" s="29" t="inlineStr">
        <is>
          <t>Maldives</t>
        </is>
      </c>
      <c r="C32" s="30" t="inlineStr">
        <is>
          <t>Ifuru Airport, Raa → Emerald Maldives (Fasmendhoo, Raa)</t>
        </is>
      </c>
      <c r="D32" s="31" t="n">
        <v>16.8</v>
      </c>
      <c r="E32" s="26" t="n">
        <v>150</v>
      </c>
      <c r="F32" s="32" t="inlineStr">
        <is>
          <t>T3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MIN(15,FLOOR(60*service_hr/J32,1))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8962</v>
      </c>
      <c r="AH32" s="32" t="inlineStr">
        <is>
          <t>T5</t>
        </is>
      </c>
      <c r="AI32" s="32" t="inlineStr">
        <is>
          <t>med</t>
        </is>
      </c>
      <c r="AJ32" s="39" t="n">
        <v>0.9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>
        <v>5</v>
      </c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2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3">
      <c r="A33" s="29" t="inlineStr">
        <is>
          <t>Maldives (JIH)</t>
        </is>
      </c>
      <c r="B33" s="29" t="inlineStr">
        <is>
          <t>Maldives</t>
        </is>
      </c>
      <c r="C33" s="30" t="inlineStr">
        <is>
          <t>Kudahuvadhoo Airport, Dhaalu → St. Regis Vommuli (Dhaalu)</t>
        </is>
      </c>
      <c r="D33" s="31" t="n">
        <v>17</v>
      </c>
      <c r="E33" s="26" t="n">
        <v>175</v>
      </c>
      <c r="F33" s="32" t="inlineStr">
        <is>
          <t>T3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5751</v>
      </c>
      <c r="AH33" s="32" t="inlineStr">
        <is>
          <t>T5</t>
        </is>
      </c>
      <c r="AI33" s="32" t="inlineStr">
        <is>
          <t>med</t>
        </is>
      </c>
      <c r="AJ33" s="39" t="n">
        <v>0.9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>
        <v>4</v>
      </c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4">
      <c r="A34" s="29" t="inlineStr">
        <is>
          <t>Maldives (JIH)</t>
        </is>
      </c>
      <c r="B34" s="29" t="inlineStr">
        <is>
          <t>Maldives</t>
        </is>
      </c>
      <c r="C34" s="30" t="inlineStr">
        <is>
          <t>Maafaru Airport, Noonu → Velaa Private Island (Noonu)</t>
        </is>
      </c>
      <c r="D34" s="31" t="n">
        <v>17.1</v>
      </c>
      <c r="E34" s="26" t="n">
        <v>200</v>
      </c>
      <c r="F34" s="32" t="inlineStr">
        <is>
          <t>T3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3510</v>
      </c>
      <c r="AH34" s="32" t="inlineStr">
        <is>
          <t>T5</t>
        </is>
      </c>
      <c r="AI34" s="32" t="inlineStr">
        <is>
          <t>med</t>
        </is>
      </c>
      <c r="AJ34" s="39" t="n">
        <v>0.9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>
        <v>2</v>
      </c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4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5">
      <c r="A35" s="29" t="inlineStr">
        <is>
          <t>Maldives (JIH)</t>
        </is>
      </c>
      <c r="B35" s="29" t="inlineStr">
        <is>
          <t>Maldives</t>
        </is>
      </c>
      <c r="C35" s="30" t="inlineStr">
        <is>
          <t>Hurawalhi (Lhaviyani) → Le Meridien Maldives Thilamaafushi (Lhaviyani)</t>
        </is>
      </c>
      <c r="D35" s="31" t="n">
        <v>19.8</v>
      </c>
      <c r="E35" s="26" t="n">
        <v>150</v>
      </c>
      <c r="F35" s="32" t="inlineStr">
        <is>
          <t>T3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inlineStr">
        <is>
          <t>null</t>
        </is>
      </c>
      <c r="AJ35" s="39" t="n">
        <v>0.9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5" s="44" t="inlineStr">
        <is>
          <t>NULL — pure inter-resort island-hop; no grounded crossing pool (R2). Geometry only.</t>
        </is>
      </c>
    </row>
    <row r="36">
      <c r="A36" s="29" t="inlineStr">
        <is>
          <t>Maldives (JIH)</t>
        </is>
      </c>
      <c r="B36" s="29" t="inlineStr">
        <is>
          <t>Maldives</t>
        </is>
      </c>
      <c r="C36" s="30" t="inlineStr">
        <is>
          <t>Velana International Airport (MLE) Resort Speedboat Lounges → One&amp;Only Reethi Rah</t>
        </is>
      </c>
      <c r="D36" s="31" t="n">
        <v>22</v>
      </c>
      <c r="E36" s="26" t="n">
        <v>500</v>
      </c>
      <c r="F36" s="32" t="inlineStr">
        <is>
          <t>T3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MIN(15,FLOOR(60*service_hr/J36,1))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20300</v>
      </c>
      <c r="AH36" s="32" t="inlineStr">
        <is>
          <t>T5</t>
        </is>
      </c>
      <c r="AI36" s="32" t="inlineStr">
        <is>
          <t>low-med</t>
        </is>
      </c>
      <c r="AJ36" s="39" t="n">
        <v>0.9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>
        <v>5</v>
      </c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AX36" s="44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7">
      <c r="A37" s="29" t="inlineStr">
        <is>
          <t>Maldives (JIH)</t>
        </is>
      </c>
      <c r="B37" s="29" t="inlineStr">
        <is>
          <t>Maldives</t>
        </is>
      </c>
      <c r="C37" s="30" t="inlineStr">
        <is>
          <t>Ifuru Airport, Raa → InterContinental Maamunagau (Raa)</t>
        </is>
      </c>
      <c r="D37" s="31" t="n">
        <v>23.1</v>
      </c>
      <c r="E37" s="26" t="n">
        <v>150</v>
      </c>
      <c r="F37" s="32" t="inlineStr">
        <is>
          <t>T3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6049</v>
      </c>
      <c r="AH37" s="32" t="inlineStr">
        <is>
          <t>T5</t>
        </is>
      </c>
      <c r="AI37" s="32" t="inlineStr">
        <is>
          <t>med</t>
        </is>
      </c>
      <c r="AJ37" s="39" t="n">
        <v>0.9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>
        <v>4</v>
      </c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37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8">
      <c r="A38" s="29" t="inlineStr">
        <is>
          <t>Maldives (JIH)</t>
        </is>
      </c>
      <c r="B38" s="29" t="inlineStr">
        <is>
          <t>Maldives</t>
        </is>
      </c>
      <c r="C38" s="30" t="inlineStr">
        <is>
          <t>Velana International Airport (MLE) Resort Speedboat Lounges → The Ritz-Carlton Maldives, Fari Islands</t>
        </is>
      </c>
      <c r="D38" s="31" t="n">
        <v>26.5</v>
      </c>
      <c r="E38" s="26" t="n">
        <v>510</v>
      </c>
      <c r="F38" s="32" t="inlineStr">
        <is>
          <t>T1</t>
        </is>
      </c>
      <c r="G38" s="32" t="inlineStr">
        <is>
          <t>med-high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MIN(15,FLOOR(60*service_hr/J38,1))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15600</v>
      </c>
      <c r="AH38" s="32" t="inlineStr">
        <is>
          <t>T5</t>
        </is>
      </c>
      <c r="AI38" s="32" t="inlineStr">
        <is>
          <t>low-med</t>
        </is>
      </c>
      <c r="AJ38" s="39" t="n">
        <v>0.9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>
        <v>4</v>
      </c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AX38" s="44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9">
      <c r="A39" s="29" t="inlineStr">
        <is>
          <t>Maldives (JIH)</t>
        </is>
      </c>
      <c r="B39" s="29" t="inlineStr">
        <is>
          <t>Maldives</t>
        </is>
      </c>
      <c r="C39" s="30" t="inlineStr">
        <is>
          <t>Velana International Airport (MLE) Resort Speedboat Lounges → Patina Maldives, Fari Islands</t>
        </is>
      </c>
      <c r="D39" s="31" t="n">
        <v>27.4</v>
      </c>
      <c r="E39" s="26" t="n">
        <v>450</v>
      </c>
      <c r="F39" s="32" t="inlineStr">
        <is>
          <t>T3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14100</v>
      </c>
      <c r="AH39" s="32" t="inlineStr">
        <is>
          <t>T5</t>
        </is>
      </c>
      <c r="AI39" s="32" t="inlineStr">
        <is>
          <t>low-med</t>
        </is>
      </c>
      <c r="AJ39" s="39" t="n">
        <v>0.9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>
        <v>4</v>
      </c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AX39" s="44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40">
      <c r="A40" s="29" t="inlineStr">
        <is>
          <t>Maldives (JIH)</t>
        </is>
      </c>
      <c r="B40" s="29" t="inlineStr">
        <is>
          <t>Maldives</t>
        </is>
      </c>
      <c r="C40" s="30" t="inlineStr">
        <is>
          <t>Maamigili (Villa) Airport, South Ari → Constance Moofushi</t>
        </is>
      </c>
      <c r="D40" s="31" t="n">
        <v>29</v>
      </c>
      <c r="E40" s="26" t="n">
        <v>150</v>
      </c>
      <c r="F40" s="32" t="inlineStr">
        <is>
          <t>T3</t>
        </is>
      </c>
      <c r="G40" s="32" t="inlineStr">
        <is>
          <t>med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8215</v>
      </c>
      <c r="AH40" s="32" t="inlineStr">
        <is>
          <t>T5</t>
        </is>
      </c>
      <c r="AI40" s="32" t="inlineStr">
        <is>
          <t>med</t>
        </is>
      </c>
      <c r="AJ40" s="39" t="n">
        <v>0.9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>
        <v>5</v>
      </c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0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1">
      <c r="A41" s="29" t="inlineStr">
        <is>
          <t>Maldives (JIH)</t>
        </is>
      </c>
      <c r="B41" s="29" t="inlineStr">
        <is>
          <t>Maldives</t>
        </is>
      </c>
      <c r="C41" s="30" t="inlineStr">
        <is>
          <t>Kooddoo Airport, Gaafu Alif → Ayada Maldives (Gaafu)</t>
        </is>
      </c>
      <c r="D41" s="31" t="n">
        <v>29.6</v>
      </c>
      <c r="E41" s="26" t="n">
        <v>150</v>
      </c>
      <c r="F41" s="32" t="inlineStr">
        <is>
          <t>T3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MIN(15,FLOOR(60*service_hr/J41,1))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8365</v>
      </c>
      <c r="AH41" s="32" t="inlineStr">
        <is>
          <t>T5</t>
        </is>
      </c>
      <c r="AI41" s="32" t="inlineStr">
        <is>
          <t>med</t>
        </is>
      </c>
      <c r="AJ41" s="39" t="n">
        <v>0.9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>
        <v>5</v>
      </c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1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2">
      <c r="A42" s="29" t="inlineStr">
        <is>
          <t>Maldives (JIH)</t>
        </is>
      </c>
      <c r="B42" s="29" t="inlineStr">
        <is>
          <t>Maldives</t>
        </is>
      </c>
      <c r="C42" s="30" t="inlineStr">
        <is>
          <t>Velana International Airport (MLE) Resort Speedboat Lounges → Constance Halaveli (North Ari)</t>
        </is>
      </c>
      <c r="D42" s="31" t="n">
        <v>37.7</v>
      </c>
      <c r="E42" s="26" t="n">
        <v>300</v>
      </c>
      <c r="F42" s="32" t="inlineStr">
        <is>
          <t>T3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13400</v>
      </c>
      <c r="AH42" s="32" t="inlineStr">
        <is>
          <t>T5</t>
        </is>
      </c>
      <c r="AI42" s="32" t="inlineStr">
        <is>
          <t>low-med</t>
        </is>
      </c>
      <c r="AJ42" s="39" t="n">
        <v>0.9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>
        <v>4</v>
      </c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AX42" s="44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43">
      <c r="A43" s="29" t="inlineStr">
        <is>
          <t>Maldives (JIH)</t>
        </is>
      </c>
      <c r="B43" s="29" t="inlineStr">
        <is>
          <t>Maldives</t>
        </is>
      </c>
      <c r="C43" s="30" t="inlineStr">
        <is>
          <t>Maafaru Airport, Noonu → The Standard Huruvalhi (Raa)</t>
        </is>
      </c>
      <c r="D43" s="31" t="n">
        <v>40.4</v>
      </c>
      <c r="E43" s="26" t="n">
        <v>150</v>
      </c>
      <c r="F43" s="32" t="inlineStr">
        <is>
          <t>T3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8589</v>
      </c>
      <c r="AH43" s="32" t="inlineStr">
        <is>
          <t>T5</t>
        </is>
      </c>
      <c r="AI43" s="32" t="inlineStr">
        <is>
          <t>med</t>
        </is>
      </c>
      <c r="AJ43" s="39" t="n">
        <v>0.9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>
        <v>5</v>
      </c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AX43" s="44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44">
      <c r="A44" s="29" t="inlineStr">
        <is>
          <t>Maldives (JIH)</t>
        </is>
      </c>
      <c r="B44" s="29" t="inlineStr">
        <is>
          <t>Maldives</t>
        </is>
      </c>
      <c r="C44" s="30" t="inlineStr">
        <is>
          <t>Velana International Airport (MLE) Resort Speedboat Lounges → Conrad Maldives Rangali Island (South Ari)</t>
        </is>
      </c>
      <c r="D44" s="31" t="n">
        <v>59.3</v>
      </c>
      <c r="E44" s="26" t="n">
        <v>350</v>
      </c>
      <c r="F44" s="32" t="inlineStr">
        <is>
          <t>T1</t>
        </is>
      </c>
      <c r="G44" s="32" t="inlineStr">
        <is>
          <t>med-high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23500</v>
      </c>
      <c r="AH44" s="32" t="inlineStr">
        <is>
          <t>T5</t>
        </is>
      </c>
      <c r="AI44" s="32" t="inlineStr">
        <is>
          <t>low-med</t>
        </is>
      </c>
      <c r="AJ44" s="39" t="n">
        <v>0.9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>
        <v>6</v>
      </c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AX44" s="44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45">
      <c r="A45" s="29" t="inlineStr">
        <is>
          <t>Maldives (JIH)</t>
        </is>
      </c>
      <c r="B45" s="29" t="inlineStr">
        <is>
          <t>Maldives</t>
        </is>
      </c>
      <c r="C45" s="30" t="inlineStr">
        <is>
          <t>Velana International Airport (MLE) Resort Speedboat Lounges → The Westin Maldives Miriandhoo (Baa)</t>
        </is>
      </c>
      <c r="D45" s="31" t="n">
        <v>61.4</v>
      </c>
      <c r="E45" s="26" t="n">
        <v>310</v>
      </c>
      <c r="F45" s="32" t="inlineStr">
        <is>
          <t>T1</t>
        </is>
      </c>
      <c r="G45" s="32" t="inlineStr">
        <is>
          <t>med-high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10900</v>
      </c>
      <c r="AH45" s="32" t="inlineStr">
        <is>
          <t>T5</t>
        </is>
      </c>
      <c r="AI45" s="32" t="inlineStr">
        <is>
          <t>low-med</t>
        </is>
      </c>
      <c r="AJ45" s="39" t="n">
        <v>0.9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>
        <v>4</v>
      </c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AX45" s="44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46">
      <c r="A46" s="29" t="inlineStr">
        <is>
          <t>Maldives (JIH)</t>
        </is>
      </c>
      <c r="B46" s="29" t="inlineStr">
        <is>
          <t>Maldives</t>
        </is>
      </c>
      <c r="C46" s="30" t="inlineStr">
        <is>
          <t>Velana International Airport (MLE) Resort Speedboat Lounges → Soneva Fushi (Kunfunadhoo, Baa)</t>
        </is>
      </c>
      <c r="D46" s="31" t="n">
        <v>63.7</v>
      </c>
      <c r="E46" s="26" t="n">
        <v>650</v>
      </c>
      <c r="F46" s="32" t="inlineStr">
        <is>
          <t>T1</t>
        </is>
      </c>
      <c r="G46" s="32" t="inlineStr">
        <is>
          <t>med-high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11100</v>
      </c>
      <c r="AH46" s="32" t="inlineStr">
        <is>
          <t>T5</t>
        </is>
      </c>
      <c r="AI46" s="32" t="inlineStr">
        <is>
          <t>low-med</t>
        </is>
      </c>
      <c r="AJ46" s="39" t="n">
        <v>0.9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>
        <v>3</v>
      </c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AX46" s="44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47">
      <c r="A47" s="45" t="inlineStr">
        <is>
          <t>TOTAL / median</t>
        </is>
      </c>
      <c r="T47" s="46">
        <f>SUM(T4:T46)</f>
        <v/>
      </c>
      <c r="AC47" s="46">
        <f>SUM(AC4:AC46)</f>
        <v/>
      </c>
      <c r="AD47" s="47">
        <f>IF(T47=0,"",AC47/T47)</f>
        <v/>
      </c>
      <c r="AL47" s="48">
        <f>SUM(AL4:AL46)</f>
        <v/>
      </c>
      <c r="AM47" s="46">
        <f>SUM(AM4:AM46)</f>
        <v/>
      </c>
    </row>
    <row r="49">
      <c r="A49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0">
      <c r="A50" s="24" t="inlineStr">
        <is>
          <t>Market</t>
        </is>
      </c>
      <c r="B50" s="24" t="inlineStr">
        <is>
          <t>Fleet basis</t>
        </is>
      </c>
      <c r="C50" s="24" t="inlineStr">
        <is>
          <t>Raw vessels (sum)</t>
        </is>
      </c>
      <c r="D50" s="24" t="inlineStr">
        <is>
          <t>Fleet (rounded once)</t>
        </is>
      </c>
      <c r="E50" s="24" t="inlineStr">
        <is>
          <t>Market rev/yr (raw sum)</t>
        </is>
      </c>
    </row>
    <row r="51">
      <c r="A51" s="25" t="inlineStr">
        <is>
          <t>Maldives (JIH)</t>
        </is>
      </c>
      <c r="B51" s="13" t="inlineStr">
        <is>
          <t>network_sum</t>
        </is>
      </c>
      <c r="C51" s="23">
        <f>SUMIFS(AN4:AN46,A4:A46,"Maldives (JIH)",AP4:AP46,"=",AQ4:AQ46,"=",AR4:AR46,"=")</f>
        <v/>
      </c>
      <c r="D51" s="49">
        <f>ROUND(C51,0)</f>
        <v/>
      </c>
      <c r="E51" s="50">
        <f>SUMIFS(AO4:AO46,A4:A46,"Maldives (JIH)",AP4:AP46,"=",AQ4:AQ46,"=",AR4:AR46,"=")</f>
        <v/>
      </c>
    </row>
    <row r="52">
      <c r="A52" s="45" t="inlineStr">
        <is>
          <t>GROUNDED FLOOR (PUBLISHED)</t>
        </is>
      </c>
      <c r="D52" s="48">
        <f>SUM(D51:D51)</f>
        <v/>
      </c>
      <c r="E52" s="46">
        <f>SUM(E51:E51)</f>
        <v/>
      </c>
    </row>
  </sheetData>
  <mergeCells count="2">
    <mergeCell ref="A49:L49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0.8536</v>
      </c>
      <c r="C6" s="39" t="n">
        <v>0.8536</v>
      </c>
      <c r="D6" s="39" t="n">
        <v>0.9036000000000001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0.8536</v>
      </c>
      <c r="E11" s="14" t="inlineStr">
        <is>
          <t>Captive sole-operator capture (~85%)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(~85%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(~85%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2026-06-21T16:26:10Z</dcterms:created>
  <dcterms:modified xsi:type="dcterms:W3CDTF">2026-06-21T16:26:10Z</dcterms:modified>
</cp:coreProperties>
</file>