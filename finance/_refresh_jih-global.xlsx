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Corridor economics" sheetId="4" state="visible" r:id="rId4"/>
    <sheet name="Market sizing" sheetId="5" state="visible" r:id="rId5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load_thin">'Assumptions'!$B$34</definedName>
    <definedName name="revleg_thin">'Assumptions'!$C$34</definedName>
    <definedName name="load_mid">'Assumptions'!$B$35</definedName>
    <definedName name="revleg_mid">'Assumptions'!$C$35</definedName>
    <definedName name="load_full">'Assumptions'!$B$36</definedName>
    <definedName name="revleg_full">'Assumptions'!$C$36</definedName>
    <definedName name="band_tbl">'Assumptions'!$A$34:$C$36</definedName>
    <definedName name="scenario">'Assumptions'!$B$38</definedName>
    <definedName name="load_sel">'Assumptions'!$B$39</definedName>
    <definedName name="revleg_sel">'Assumptions'!$B$40</definedName>
    <definedName name="country_opex">'Country opex'!$A$4:$G$4</definedName>
    <definedName name="som_floor_fleet">'Corridor economics'!$D$52</definedName>
    <definedName name="som_floor_rev">'Corridor economics'!$E$52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2E5A88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2" borderId="0" pivotButton="0" quotePrefix="0" xfId="0"/>
    <xf numFmtId="0" fontId="4" fillId="6" borderId="0" pivotButton="0" quotePrefix="0" xfId="0"/>
    <xf numFmtId="0" fontId="5" fillId="6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7" borderId="1" pivotButton="0" quotePrefix="0" xfId="0"/>
    <xf numFmtId="0" fontId="7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Jih-Global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trips/day × operating days/yr × revenue-leg factor × (pax capacity × load factor) × Navier fare</t>
        </is>
      </c>
    </row>
    <row r="10">
      <c r="B10" s="5" t="inlineStr">
        <is>
          <t xml:space="preserve">    trips/day      = FLOOR(service window hr ÷ cycle time);  cycle = one-way time + turnaround</t>
        </is>
      </c>
    </row>
    <row r="11">
      <c r="B11" s="5" t="inlineStr">
        <is>
          <t xml:space="preserve">    one-way time   = distance(nm) ÷ cruise speed(kt)</t>
        </is>
      </c>
    </row>
    <row r="12">
      <c r="B12" s="5" t="inlineStr">
        <is>
          <t xml:space="preserve">    operating days = 365 × mechanical uptime × weather factor</t>
        </is>
      </c>
    </row>
    <row r="13">
      <c r="B13" s="5" t="inlineStr">
        <is>
          <t xml:space="preserve">    Navier fare    = comparable premium transfer fare × discount (=1.0, market parity)</t>
        </is>
      </c>
    </row>
    <row r="14">
      <c r="B14" s="4" t="inlineStr">
        <is>
          <t>EBITDA  = REVENUE − OPEX</t>
        </is>
      </c>
    </row>
    <row r="15">
      <c r="B15" s="5" t="inlineStr">
        <is>
          <t xml:space="preserve">    OPEX = energy + crew + berth/port admin + maintenance + vessel insurance + fast-charge berth</t>
        </is>
      </c>
    </row>
    <row r="16">
      <c r="B16" s="4" t="inlineStr">
        <is>
          <t>PAYBACK = vessel CAPEX ÷ EBITDA</t>
        </is>
      </c>
    </row>
    <row r="17">
      <c r="B17" s="2" t="inlineStr"/>
    </row>
    <row r="18">
      <c r="B18" s="3" t="inlineStr">
        <is>
          <t>OPEX lines (per boat, per year — no double-counting)</t>
        </is>
      </c>
    </row>
    <row r="19">
      <c r="B19" s="2" t="inlineStr">
        <is>
          <t>Energy — variable propulsion cost: kWh on revenue sailings × local $/kWh (Country opex tab). Excludes utility demand charges.</t>
        </is>
      </c>
    </row>
    <row r="20">
      <c r="B20" s="2" t="inlineStr">
        <is>
          <t>Crew — fully-loaded captain + relief: local captain wage × crew FTE factor (Country opex + Assumptions).</t>
        </is>
      </c>
    </row>
    <row r="21">
      <c r="B21" s="2" t="inlineStr">
        <is>
          <t>Berth &amp; port admin — fixed annual berth, port fees, and local marine admin (Country opex tab). Excludes vessel H&amp;M+P&amp;I and fast-charge infrastructure.</t>
        </is>
      </c>
    </row>
    <row r="22">
      <c r="B22" s="2" t="inlineStr">
        <is>
          <t>Maintenance — vessel annual maintenance reserve (Assumptions tab).</t>
        </is>
      </c>
    </row>
    <row r="23">
      <c r="B23" s="2" t="inlineStr">
        <is>
          <t>Vessel insurance — commercial H&amp;M + P&amp;I as % of regional CAPEX (Assumptions % × Country opex CAPEX column).</t>
        </is>
      </c>
    </row>
    <row r="24">
      <c r="B24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5">
      <c r="B25" s="2" t="inlineStr"/>
    </row>
    <row r="26">
      <c r="B26" s="3" t="inlineStr">
        <is>
          <t>From demand pool to fleet &amp; market size</t>
        </is>
      </c>
    </row>
    <row r="27">
      <c r="B27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8">
      <c r="B28" s="2" t="inlineStr">
        <is>
          <t>Vessels supported = FLOOR(Navier rides/yr ÷ pax/yr per boat);  Market rev = vessels × rev/boat. The 'Market sizing' tab rolls these up into the SOM → SAM → TAM ladder.</t>
        </is>
      </c>
    </row>
    <row r="29">
      <c r="B29" s="2" t="inlineStr"/>
    </row>
    <row r="30">
      <c r="B30" s="3" t="inlineStr">
        <is>
          <t>The scenario toggle (what we flex)</t>
        </is>
      </c>
    </row>
    <row r="31">
      <c r="B31" s="2" t="inlineStr">
        <is>
          <t>'Corridor economics' has a SCENARIO cell = THIN / MID / FULL. It flexes load factor (occupancy) and revenue-leg factor (share of legs that earn full fare). Max trips/day is fixed across all three bands (see Assumptions). MID is the headline. Change SCENARIO and the whole model recomputes. Payback THIN/MID/FULL columns always show all three at once.</t>
        </is>
      </c>
    </row>
    <row r="32">
      <c r="B32" s="2" t="inlineStr"/>
    </row>
    <row r="33">
      <c r="B33" s="3" t="inlineStr">
        <is>
          <t>Colour &amp; provenance legend</t>
        </is>
      </c>
    </row>
    <row r="34">
      <c r="B34" s="6" t="inlineStr">
        <is>
          <t xml:space="preserve">   Yellow = INPUTS you can change (fare, distance, demand, weather).</t>
        </is>
      </c>
    </row>
    <row r="35">
      <c r="B35" s="7" t="inlineStr">
        <is>
          <t xml:space="preserve">   Green  = COMPUTED by formula.</t>
        </is>
      </c>
    </row>
    <row r="36">
      <c r="B36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8" t="inlineStr">
        <is>
          <t>Assumptions — single source of truth (the engine references these named cells)</t>
        </is>
      </c>
    </row>
    <row r="3">
      <c r="A3" s="9" t="inlineStr">
        <is>
          <t>Vessel — N30 Pioneer II  (L1 global, commercial now)</t>
        </is>
      </c>
    </row>
    <row r="4">
      <c r="A4" s="10" t="inlineStr">
        <is>
          <t>Parameter</t>
        </is>
      </c>
      <c r="B4" s="10" t="inlineStr">
        <is>
          <t>Value</t>
        </is>
      </c>
      <c r="C4" s="10" t="inlineStr">
        <is>
          <t>Unit</t>
        </is>
      </c>
      <c r="D4" s="10" t="inlineStr">
        <is>
          <t>Tier</t>
        </is>
      </c>
      <c r="E4" s="10" t="inlineStr">
        <is>
          <t>Conf.</t>
        </is>
      </c>
      <c r="F4" s="10" t="inlineStr">
        <is>
          <t>Source / note</t>
        </is>
      </c>
    </row>
    <row r="5">
      <c r="A5" s="11" t="inlineStr">
        <is>
          <t>Passenger capacity</t>
        </is>
      </c>
      <c r="B5" s="12" t="n">
        <v>8</v>
      </c>
      <c r="C5" s="13" t="inlineStr">
        <is>
          <t>pax</t>
        </is>
      </c>
      <c r="D5" s="13" t="inlineStr">
        <is>
          <t>T1</t>
        </is>
      </c>
      <c r="E5" s="13" t="inlineStr">
        <is>
          <t>high</t>
        </is>
      </c>
      <c r="F5" s="14" t="inlineStr">
        <is>
          <t>Navier model: up to 8 pax where local rules allow (Jaideep set base case to 8, 2026-06-06)</t>
        </is>
      </c>
    </row>
    <row r="6">
      <c r="A6" s="11" t="inlineStr">
        <is>
          <t>Range</t>
        </is>
      </c>
      <c r="B6" s="12" t="n">
        <v>70</v>
      </c>
      <c r="C6" s="13" t="inlineStr">
        <is>
          <t>nm</t>
        </is>
      </c>
      <c r="D6" s="13" t="inlineStr">
        <is>
          <t>T1</t>
        </is>
      </c>
      <c r="E6" s="13" t="inlineStr">
        <is>
          <t>high</t>
        </is>
      </c>
      <c r="F6" s="14" t="inlineStr">
        <is>
          <t>Navier locked spec (KB)</t>
        </is>
      </c>
    </row>
    <row r="7">
      <c r="A7" s="11" t="inlineStr">
        <is>
          <t>Cruise speed</t>
        </is>
      </c>
      <c r="B7" s="12" t="n">
        <v>20</v>
      </c>
      <c r="C7" s="13" t="inlineStr">
        <is>
          <t>kt</t>
        </is>
      </c>
      <c r="D7" s="13" t="inlineStr">
        <is>
          <t>T1</t>
        </is>
      </c>
      <c r="E7" s="13" t="inlineStr">
        <is>
          <t>high</t>
        </is>
      </c>
      <c r="F7" s="14" t="inlineStr">
        <is>
          <t>Navier locked spec (cruise)</t>
        </is>
      </c>
    </row>
    <row r="8">
      <c r="A8" s="11" t="inlineStr">
        <is>
          <t>CAPEX (per vessel; US/EU base — ROW=$600K, see Country opex tab col G)</t>
        </is>
      </c>
      <c r="B8" s="15" t="n">
        <v>900000</v>
      </c>
      <c r="C8" s="13" t="inlineStr">
        <is>
          <t>USD</t>
        </is>
      </c>
      <c r="D8" s="13" t="inlineStr">
        <is>
          <t>T1</t>
        </is>
      </c>
      <c r="E8" s="13" t="inlineStr">
        <is>
          <t>high</t>
        </is>
      </c>
      <c r="F8" s="14" t="inlineStr">
        <is>
          <t>Navier price (LYFT ref model, ex tax/fees)</t>
        </is>
      </c>
    </row>
    <row r="9">
      <c r="A9" s="11" t="inlineStr">
        <is>
          <t>Battery</t>
        </is>
      </c>
      <c r="B9" s="12" t="n">
        <v>114</v>
      </c>
      <c r="C9" s="13" t="inlineStr">
        <is>
          <t>kWh</t>
        </is>
      </c>
      <c r="D9" s="13" t="inlineStr">
        <is>
          <t>T1</t>
        </is>
      </c>
      <c r="E9" s="13" t="inlineStr">
        <is>
          <t>high</t>
        </is>
      </c>
      <c r="F9" s="14" t="inlineStr">
        <is>
          <t>Navier data (LYFT ref model)</t>
        </is>
      </c>
    </row>
    <row r="10">
      <c r="A10" s="11" t="inlineStr">
        <is>
          <t>Annual maintenance</t>
        </is>
      </c>
      <c r="B10" s="15" t="n">
        <v>10000</v>
      </c>
      <c r="C10" s="13" t="inlineStr">
        <is>
          <t>USD/yr</t>
        </is>
      </c>
      <c r="D10" s="13" t="inlineStr">
        <is>
          <t>T1</t>
        </is>
      </c>
      <c r="E10" s="13" t="inlineStr">
        <is>
          <t>med</t>
        </is>
      </c>
      <c r="F10" s="14" t="inlineStr">
        <is>
          <t>Navier data (LYFT ref model)</t>
        </is>
      </c>
    </row>
    <row r="11">
      <c r="A11" s="11" t="inlineStr">
        <is>
          <t>Depreciation life</t>
        </is>
      </c>
      <c r="B11" s="12" t="n">
        <v>20</v>
      </c>
      <c r="C11" s="13" t="inlineStr">
        <is>
          <t>yr</t>
        </is>
      </c>
      <c r="D11" s="13" t="inlineStr">
        <is>
          <t>T2</t>
        </is>
      </c>
      <c r="E11" s="13" t="inlineStr">
        <is>
          <t>med</t>
        </is>
      </c>
      <c r="F11" s="14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1" t="inlineStr">
        <is>
          <t>Diesel comparable economy</t>
        </is>
      </c>
      <c r="B12" s="16" t="n">
        <v>1.5</v>
      </c>
      <c r="C12" s="13" t="inlineStr">
        <is>
          <t>nm/gal</t>
        </is>
      </c>
      <c r="D12" s="13" t="inlineStr">
        <is>
          <t>T3</t>
        </is>
      </c>
      <c r="E12" s="13" t="inlineStr">
        <is>
          <t>med</t>
        </is>
      </c>
      <c r="F12" s="14" t="inlineStr">
        <is>
          <t>Navier + open web (LYFT ref model)</t>
        </is>
      </c>
    </row>
    <row r="14">
      <c r="A14" s="9" t="inlineStr">
        <is>
          <t>Operating defaults  (L1 global; overridable per market)</t>
        </is>
      </c>
    </row>
    <row r="15">
      <c r="A15" s="10" t="inlineStr">
        <is>
          <t>Parameter</t>
        </is>
      </c>
      <c r="B15" s="10" t="inlineStr">
        <is>
          <t>Value</t>
        </is>
      </c>
      <c r="C15" s="10" t="inlineStr">
        <is>
          <t>Unit</t>
        </is>
      </c>
      <c r="D15" s="10" t="inlineStr">
        <is>
          <t>Tier</t>
        </is>
      </c>
      <c r="E15" s="10" t="inlineStr">
        <is>
          <t>Conf.</t>
        </is>
      </c>
      <c r="F15" s="10" t="inlineStr">
        <is>
          <t>Source / note</t>
        </is>
      </c>
    </row>
    <row r="16">
      <c r="A16" s="11" t="inlineStr">
        <is>
          <t>Service window</t>
        </is>
      </c>
      <c r="B16" s="12" t="n">
        <v>12</v>
      </c>
      <c r="C16" s="13" t="inlineStr">
        <is>
          <t>hr/day</t>
        </is>
      </c>
      <c r="D16" s="13" t="inlineStr">
        <is>
          <t>T5</t>
        </is>
      </c>
      <c r="E16" s="13" t="inlineStr">
        <is>
          <t>low</t>
        </is>
      </c>
      <c r="F16" s="14" t="inlineStr">
        <is>
          <t>Modeled single-asset commercial service window (one extended crew day, water-taxi norm). Conservative vs 24h.</t>
        </is>
      </c>
    </row>
    <row r="17">
      <c r="A17" s="11" t="inlineStr">
        <is>
          <t>Turnaround / charge per leg</t>
        </is>
      </c>
      <c r="B17" s="12" t="n">
        <v>20</v>
      </c>
      <c r="C17" s="13" t="inlineStr">
        <is>
          <t>min</t>
        </is>
      </c>
      <c r="D17" s="13" t="inlineStr">
        <is>
          <t>T1</t>
        </is>
      </c>
      <c r="E17" s="13" t="inlineStr">
        <is>
          <t>med</t>
        </is>
      </c>
      <c r="F17" s="14" t="inlineStr">
        <is>
          <t>Navier fast-charge (LYFT ref ~20-30min)</t>
        </is>
      </c>
    </row>
    <row r="18">
      <c r="A18" s="11" t="inlineStr">
        <is>
          <t>Boarding / scheduling dwell per leg</t>
        </is>
      </c>
      <c r="B18" s="12" t="n">
        <v>10</v>
      </c>
      <c r="C18" s="13" t="inlineStr">
        <is>
          <t>min</t>
        </is>
      </c>
      <c r="D18" s="13" t="inlineStr">
        <is>
          <t>T3</t>
        </is>
      </c>
      <c r="E18" s="13" t="inlineStr">
        <is>
          <t>med</t>
        </is>
      </c>
      <c r="F18" s="14" t="inlineStr">
        <is>
          <t>Premium board/deboard + scheduling slack added to each cycle (Jaideep 2026-06-19).</t>
        </is>
      </c>
    </row>
    <row r="19">
      <c r="A19" s="11" t="inlineStr">
        <is>
          <t>Max revenue sailings/day (cap)</t>
        </is>
      </c>
      <c r="B19" s="12" t="n">
        <v>15</v>
      </c>
      <c r="C19" s="13" t="inlineStr">
        <is>
          <t>legs/day</t>
        </is>
      </c>
      <c r="D19" s="13" t="inlineStr">
        <is>
          <t>T3</t>
        </is>
      </c>
      <c r="E19" s="13" t="inlineStr">
        <is>
          <t>med</t>
        </is>
      </c>
      <c r="F19" s="14" t="inlineStr">
        <is>
          <t>Cap on revenue sailings/day — 15 across thin/mid/full scenarios (Jaideep 2026-06-21).</t>
        </is>
      </c>
    </row>
    <row r="20">
      <c r="A20" s="11" t="inlineStr">
        <is>
          <t>Crew FTE factor (x captain wage)</t>
        </is>
      </c>
      <c r="B20" s="16" t="n">
        <v>1.8</v>
      </c>
      <c r="C20" s="13" t="inlineStr">
        <is>
          <t>x</t>
        </is>
      </c>
      <c r="D20" s="13" t="inlineStr">
        <is>
          <t>T3</t>
        </is>
      </c>
      <c r="E20" s="13" t="inlineStr">
        <is>
          <t>med</t>
        </is>
      </c>
      <c r="F20" s="14" t="inlineStr">
        <is>
          <t>A captain can't run 7 days/wk; 1.8 FTE covers relief/leave/second-shift year-round (Jaideep 2026-06-19). Scales off localized captain wage.</t>
        </is>
      </c>
    </row>
    <row r="21">
      <c r="A21" s="11" t="inlineStr">
        <is>
          <t>Mechanical uptime</t>
        </is>
      </c>
      <c r="B21" s="17" t="n">
        <v>0.75</v>
      </c>
      <c r="C21" s="13" t="inlineStr">
        <is>
          <t>frac</t>
        </is>
      </c>
      <c r="D21" s="13" t="inlineStr">
        <is>
          <t>T4</t>
        </is>
      </c>
      <c r="E21" s="13" t="inlineStr">
        <is>
          <t>med</t>
        </is>
      </c>
      <c r="F21" s="14" t="inlineStr">
        <is>
          <t>Blade luxury aviation ~75-80% reliability uptime</t>
        </is>
      </c>
    </row>
    <row r="22">
      <c r="A22" s="11" t="inlineStr">
        <is>
          <t>Navier capture rate</t>
        </is>
      </c>
      <c r="B22" s="17" t="n">
        <v>0.1</v>
      </c>
      <c r="C22" s="13" t="inlineStr">
        <is>
          <t>frac</t>
        </is>
      </c>
      <c r="D22" s="13" t="inlineStr"/>
      <c r="E22" s="13" t="inlineStr">
        <is>
          <t>med</t>
        </is>
      </c>
      <c r="F22" s="14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1" t="inlineStr">
        <is>
          <t>Captive capture rate (A′ corridors)</t>
        </is>
      </c>
      <c r="B23" s="17" t="n">
        <v>0.9</v>
      </c>
      <c r="C23" s="13" t="inlineStr">
        <is>
          <t>frac</t>
        </is>
      </c>
      <c r="D23" s="13" t="inlineStr"/>
      <c r="E23" s="13" t="inlineStr">
        <is>
          <t>med</t>
        </is>
      </c>
      <c r="F23" s="14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1" t="inlineStr">
        <is>
          <t>Discount factor (vs comparable fare)</t>
        </is>
      </c>
      <c r="B24" s="16" t="n">
        <v>1</v>
      </c>
      <c r="C24" s="13" t="inlineStr">
        <is>
          <t>frac</t>
        </is>
      </c>
      <c r="D24" s="13" t="inlineStr">
        <is>
          <t>T1</t>
        </is>
      </c>
      <c r="E24" s="13" t="inlineStr">
        <is>
          <t>high</t>
        </is>
      </c>
      <c r="F24" s="14" t="inlineStr">
        <is>
          <t>Market parity — better product, not cheaper (locked).</t>
        </is>
      </c>
    </row>
    <row r="25">
      <c r="A25" s="11" t="inlineStr">
        <is>
          <t>Diesel CO₂ per gallon</t>
        </is>
      </c>
      <c r="B25" s="16" t="n">
        <v>10.21</v>
      </c>
      <c r="C25" s="13" t="inlineStr">
        <is>
          <t>kg/gal</t>
        </is>
      </c>
      <c r="D25" s="13" t="inlineStr">
        <is>
          <t>T1</t>
        </is>
      </c>
      <c r="E25" s="13" t="inlineStr">
        <is>
          <t>high</t>
        </is>
      </c>
      <c r="F25" s="14" t="inlineStr">
        <is>
          <t>US EPA: 10.21 kg CO2 per gallon marine/diesel</t>
        </is>
      </c>
    </row>
    <row r="27">
      <c r="A27" s="9" t="inlineStr">
        <is>
          <t>OPEX defaults  (global fallbacks — localized energy, crew, berth admin on Country opex tab)</t>
        </is>
      </c>
    </row>
    <row r="28">
      <c r="A28" s="10" t="inlineStr">
        <is>
          <t>Parameter</t>
        </is>
      </c>
      <c r="B28" s="10" t="inlineStr">
        <is>
          <t>Value</t>
        </is>
      </c>
      <c r="C28" s="10" t="inlineStr">
        <is>
          <t>Unit</t>
        </is>
      </c>
      <c r="D28" s="10" t="inlineStr">
        <is>
          <t>Tier</t>
        </is>
      </c>
      <c r="E28" s="10" t="inlineStr">
        <is>
          <t>Conf.</t>
        </is>
      </c>
      <c r="F28" s="10" t="inlineStr">
        <is>
          <t>Source / note</t>
        </is>
      </c>
    </row>
    <row r="29">
      <c r="A29" s="11" t="inlineStr">
        <is>
          <t>Vessel insurance — H&amp;M + P&amp;I (% of CAPEX/yr)</t>
        </is>
      </c>
      <c r="B29" s="17" t="n">
        <v>0.025</v>
      </c>
      <c r="C29" s="13" t="inlineStr">
        <is>
          <t>frac</t>
        </is>
      </c>
      <c r="D29" s="13" t="inlineStr">
        <is>
          <t>T3</t>
        </is>
      </c>
      <c r="E29" s="13" t="inlineStr">
        <is>
          <t>med</t>
        </is>
      </c>
      <c r="F29" s="14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1" t="inlineStr">
        <is>
          <t>Fast-charge berth &amp; demand charges (global default)</t>
        </is>
      </c>
      <c r="B30" s="15" t="n">
        <v>18000</v>
      </c>
      <c r="C30" s="13" t="inlineStr">
        <is>
          <t>USD/yr</t>
        </is>
      </c>
      <c r="D30" s="13" t="inlineStr">
        <is>
          <t>T3</t>
        </is>
      </c>
      <c r="E30" s="13" t="inlineStr">
        <is>
          <t>med</t>
        </is>
      </c>
      <c r="F30" s="14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9" t="inlineStr">
        <is>
          <t>Utilization scenarios  (load factor + revenue-leg factor)</t>
        </is>
      </c>
    </row>
    <row r="33">
      <c r="A33" s="10" t="inlineStr">
        <is>
          <t>Scenario</t>
        </is>
      </c>
      <c r="B33" s="10" t="inlineStr">
        <is>
          <t>Load factor</t>
        </is>
      </c>
      <c r="C33" s="10" t="inlineStr">
        <is>
          <t>Rev-leg factor</t>
        </is>
      </c>
      <c r="D33" s="10" t="inlineStr"/>
      <c r="E33" s="10" t="inlineStr"/>
      <c r="F33" s="10" t="inlineStr">
        <is>
          <t>Note</t>
        </is>
      </c>
    </row>
    <row r="34">
      <c r="A34" s="18" t="inlineStr">
        <is>
          <t>THIN</t>
        </is>
      </c>
      <c r="B34" s="19" t="n">
        <v>0.45</v>
      </c>
      <c r="C34" s="19" t="n">
        <v>0.55</v>
      </c>
      <c r="F34" s="14" t="inlineStr">
        <is>
          <t>thin/one-way/seasonal corridor — conservative floor</t>
        </is>
      </c>
    </row>
    <row r="35">
      <c r="A35" s="18" t="inlineStr">
        <is>
          <t>MID</t>
        </is>
      </c>
      <c r="B35" s="19" t="n">
        <v>0.55</v>
      </c>
      <c r="C35" s="19" t="n">
        <v>0.65</v>
      </c>
      <c r="F35" s="14" t="inlineStr">
        <is>
          <t>HEADLINE — realistic busy two-way corridor</t>
        </is>
      </c>
    </row>
    <row r="36">
      <c r="A36" s="18" t="inlineStr">
        <is>
          <t>FULL</t>
        </is>
      </c>
      <c r="B36" s="19" t="n">
        <v>0.7</v>
      </c>
      <c r="C36" s="19" t="n">
        <v>0.75</v>
      </c>
      <c r="F36" s="14" t="inlineStr">
        <is>
          <t>mature/dense corridor — optimistic ceiling</t>
        </is>
      </c>
    </row>
    <row r="38">
      <c r="A38" s="20" t="inlineStr">
        <is>
          <t>SCENARIO (toggle me)</t>
        </is>
      </c>
      <c r="B38" s="21" t="inlineStr">
        <is>
          <t>MID</t>
        </is>
      </c>
      <c r="C38" s="22" t="inlineStr">
        <is>
          <t>← set THIN / MID / FULL</t>
        </is>
      </c>
    </row>
    <row r="39">
      <c r="A39" s="11" t="inlineStr">
        <is>
          <t>Selected load factor</t>
        </is>
      </c>
      <c r="B39" s="23">
        <f>VLOOKUP(scenario,'Assumptions'!$A$34:$C$36,2,FALSE)</f>
        <v/>
      </c>
    </row>
    <row r="40">
      <c r="A40" s="11" t="inlineStr">
        <is>
          <t>Selected rev-leg factor</t>
        </is>
      </c>
      <c r="B40" s="23">
        <f>VLOOKUP(scenario,'Assumptions'!$A$34:$C$36,3,FALSE)</f>
        <v/>
      </c>
    </row>
  </sheetData>
  <mergeCells count="5">
    <mergeCell ref="A14:F14"/>
    <mergeCell ref="A1:F1"/>
    <mergeCell ref="A32:F32"/>
    <mergeCell ref="A27:F27"/>
    <mergeCell ref="A3:F3"/>
  </mergeCells>
  <dataValidations count="1">
    <dataValidation sqref="B3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8" t="inlineStr">
        <is>
          <t>Country opex — localized inputs (crew, energy, berth admin, CAPEX)</t>
        </is>
      </c>
    </row>
    <row r="3">
      <c r="A3" s="24" t="inlineStr">
        <is>
          <t>Country</t>
        </is>
      </c>
      <c r="B3" s="24" t="inlineStr">
        <is>
          <t>Captain $/yr</t>
        </is>
      </c>
      <c r="C3" s="24" t="inlineStr">
        <is>
          <t>Energy $/kWh</t>
        </is>
      </c>
      <c r="D3" s="24" t="inlineStr">
        <is>
          <t>Grid CO₂ kg/kWh</t>
        </is>
      </c>
      <c r="E3" s="24" t="inlineStr">
        <is>
          <t>Berth &amp; port admin $/yr</t>
        </is>
      </c>
      <c r="F3" s="24" t="inlineStr">
        <is>
          <t>Cost index</t>
        </is>
      </c>
      <c r="G3" s="24" t="inlineStr">
        <is>
          <t>CAPEX $/vessel</t>
        </is>
      </c>
      <c r="H3" s="24" t="inlineStr">
        <is>
          <t>Source notes (crew | energy | berth admin)</t>
        </is>
      </c>
    </row>
    <row r="4">
      <c r="A4" s="25" t="inlineStr">
        <is>
          <t>Maldives</t>
        </is>
      </c>
      <c r="B4" s="26" t="n">
        <v>27000</v>
      </c>
      <c r="C4" s="27" t="n">
        <v>0.3</v>
      </c>
      <c r="D4" s="19" t="n">
        <v>0.72</v>
      </c>
      <c r="E4" s="26" t="n">
        <v>16000</v>
      </c>
      <c r="F4" s="19" t="n">
        <v>0.63</v>
      </c>
      <c r="G4" s="26" t="n">
        <v>600000</v>
      </c>
      <c r="H4" s="14" t="inlineStr">
        <is>
          <t>Maldives resort/tourism marine crew (real 2026 job listings): MHLZ speedboat captain MVR 15,000 + MVR 3,000 food allowance = MVR 18k/mo; jobcenter.mv boat captain MVR 20,000-25,000 + service charge; expat safari/yacht captains EUR 3,200/mo (high-side). Blended 1 resort speedboat captain (~MVR 15-20k base + service charge/food ~$1,500-1,700/mo all-in) + deckhand (~MVR 10-12k all-in ~$700/mo) fully-loaded ~$2,250/mo = ~$27k/vessel/yr @MVR 15.42. Higher than SEA (service-charge system + some expat crew); between Thailand $24k and GCC $36-42k. | Maldives has among the HIGHEST electricity costs in South Asia (near-100% imported diesel). STELCO Male' commercial tariff MVR 3.30/kWh = $0.214 (stelco.com.mv tariff-rates). Resort islands SELF-GENERATE on diesel gensets at $0.30-0.40/kWh (CIF SREP: diesel $0.35/kWh; World Bank 30-40 US-cents on larger islands; ADB/Climate Policy Radar efficient-diesel $0.23-0.33). Charging an electric tourism boat will largely occur at diesel-powered resort islands -&gt; anchored $0.30 (floor STELCO grid $0.214, ceiling resort diesel $0.40). Higher than Singapore $0.21. | Modeled berth+insurance+admin per vessel/yr. Maldives is a high-cost island operating environment (everything imported; no true marinas - resort jetties/anchorage + maintenance + marine insurance). Above Thailand $12k / Malaysia $11k, near Taiwan $14k, below Singapore $20k / GCC $18-22k. Tagged low.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2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11" customWidth="1" min="20" max="20"/>
    <col width="10" customWidth="1" min="21" max="21"/>
    <col width="10" customWidth="1" min="22" max="22"/>
    <col width="12" customWidth="1" min="23" max="23"/>
    <col width="9" customWidth="1" min="24" max="24"/>
    <col width="12" customWidth="1" min="25" max="25"/>
    <col width="12" customWidth="1" min="26" max="26"/>
    <col width="11" customWidth="1" min="27" max="27"/>
    <col width="10" customWidth="1" min="28" max="28"/>
    <col width="11" customWidth="1" min="29" max="29"/>
    <col width="8" customWidth="1" min="30" max="30"/>
    <col width="9" customWidth="1" min="31" max="31"/>
    <col width="9" customWidth="1" min="32" max="32"/>
    <col width="12" customWidth="1" min="33" max="33"/>
    <col width="7" customWidth="1" min="34" max="34"/>
    <col width="8" customWidth="1" min="35" max="35"/>
    <col width="8" customWidth="1" min="36" max="36"/>
    <col width="10" customWidth="1" min="37" max="37"/>
    <col width="9" customWidth="1" min="38" max="38"/>
    <col width="13" customWidth="1" min="39" max="39"/>
    <col width="9" customWidth="1" min="40" max="40"/>
    <col width="13" customWidth="1" min="41" max="41"/>
    <col width="26" customWidth="1" min="42" max="42"/>
    <col width="16" customWidth="1" min="43" max="43"/>
    <col width="16" customWidth="1" min="44" max="44"/>
    <col width="9" customWidth="1" min="45" max="45"/>
    <col width="9" customWidth="1" min="46" max="46"/>
    <col width="9" customWidth="1" min="47" max="47"/>
    <col width="9" customWidth="1" min="48" max="48"/>
    <col width="50" customWidth="1" min="49" max="49"/>
    <col width="50" customWidth="1" min="50" max="50"/>
  </cols>
  <sheetData>
    <row r="1">
      <c r="A1" s="8" t="inlineStr">
        <is>
          <t>Navier × Jih-Global — Corridor economics (one boat, one year; MID = headline)</t>
        </is>
      </c>
      <c r="N1" s="28" t="inlineStr">
        <is>
          <t>SCENARIO:</t>
        </is>
      </c>
      <c r="O1" s="21">
        <f>scenario</f>
        <v/>
      </c>
      <c r="P1" s="22" t="inlineStr">
        <is>
          <t>(set on Assumptions tab)</t>
        </is>
      </c>
    </row>
    <row r="3" ht="42" customHeight="1">
      <c r="A3" s="24" t="inlineStr">
        <is>
          <t>Market</t>
        </is>
      </c>
      <c r="B3" s="24" t="inlineStr">
        <is>
          <t>Country</t>
        </is>
      </c>
      <c r="C3" s="24" t="inlineStr">
        <is>
          <t>Corridor</t>
        </is>
      </c>
      <c r="D3" s="24" t="inlineStr">
        <is>
          <t>Distance</t>
        </is>
      </c>
      <c r="E3" s="24" t="inlineStr">
        <is>
          <t>Premium fare $/pax</t>
        </is>
      </c>
      <c r="F3" s="24" t="inlineStr">
        <is>
          <t>Fare tier</t>
        </is>
      </c>
      <c r="G3" s="24" t="inlineStr">
        <is>
          <t>Fare conf.</t>
        </is>
      </c>
      <c r="H3" s="24" t="inlineStr">
        <is>
          <t>Weather factor</t>
        </is>
      </c>
      <c r="I3" s="24" t="inlineStr">
        <is>
          <t>One-way min</t>
        </is>
      </c>
      <c r="J3" s="24" t="inlineStr">
        <is>
          <t>Cycle min</t>
        </is>
      </c>
      <c r="K3" s="24" t="inlineStr">
        <is>
          <t>Trips/day</t>
        </is>
      </c>
      <c r="L3" s="24" t="inlineStr">
        <is>
          <t>Op days/yr</t>
        </is>
      </c>
      <c r="M3" s="24" t="inlineStr">
        <is>
          <t>Mech uptime</t>
        </is>
      </c>
      <c r="N3" s="24" t="inlineStr">
        <is>
          <t>Rev-leg %</t>
        </is>
      </c>
      <c r="O3" s="24" t="inlineStr">
        <is>
          <t>Trips/yr</t>
        </is>
      </c>
      <c r="P3" s="24" t="inlineStr">
        <is>
          <t>Load factor</t>
        </is>
      </c>
      <c r="Q3" s="24" t="inlineStr">
        <is>
          <t>Pax/trip</t>
        </is>
      </c>
      <c r="R3" s="24" t="inlineStr">
        <is>
          <t>Pax/yr</t>
        </is>
      </c>
      <c r="S3" s="24" t="inlineStr">
        <is>
          <t>Navier fare $</t>
        </is>
      </c>
      <c r="T3" s="24" t="inlineStr">
        <is>
          <t>Revenue/yr</t>
        </is>
      </c>
      <c r="U3" s="24" t="inlineStr">
        <is>
          <t>Energy/yr</t>
        </is>
      </c>
      <c r="V3" s="24" t="inlineStr">
        <is>
          <t>Crew/yr</t>
        </is>
      </c>
      <c r="W3" s="24" t="inlineStr">
        <is>
          <t>Berth &amp; port admin/yr</t>
        </is>
      </c>
      <c r="X3" s="24" t="inlineStr">
        <is>
          <t>Maint/yr</t>
        </is>
      </c>
      <c r="Y3" s="24" t="inlineStr">
        <is>
          <t>Vessel insurance/yr</t>
        </is>
      </c>
      <c r="Z3" s="24" t="inlineStr">
        <is>
          <t>Fast-charge berth/yr</t>
        </is>
      </c>
      <c r="AA3" s="24" t="inlineStr">
        <is>
          <t>OPEX/yr</t>
        </is>
      </c>
      <c r="AB3" s="24" t="inlineStr">
        <is>
          <t>Deprec/yr</t>
        </is>
      </c>
      <c r="AC3" s="24" t="inlineStr">
        <is>
          <t>EBITDA/yr</t>
        </is>
      </c>
      <c r="AD3" s="24" t="inlineStr">
        <is>
          <t>Margin</t>
        </is>
      </c>
      <c r="AE3" s="24" t="inlineStr">
        <is>
          <t>Payback yr (sel)</t>
        </is>
      </c>
      <c r="AF3" s="24" t="inlineStr">
        <is>
          <t>CO₂ saved t/yr</t>
        </is>
      </c>
      <c r="AG3" s="24" t="inlineStr">
        <is>
          <t>Demand pool 1-way/yr</t>
        </is>
      </c>
      <c r="AH3" s="24" t="inlineStr">
        <is>
          <t>Demand tier</t>
        </is>
      </c>
      <c r="AI3" s="24" t="inlineStr">
        <is>
          <t>Demand conf.</t>
        </is>
      </c>
      <c r="AJ3" s="24" t="inlineStr">
        <is>
          <t>Capture %</t>
        </is>
      </c>
      <c r="AK3" s="24" t="inlineStr">
        <is>
          <t>Navier rides/yr</t>
        </is>
      </c>
      <c r="AL3" s="24" t="inlineStr">
        <is>
          <t>Vessels @capture</t>
        </is>
      </c>
      <c r="AM3" s="24" t="inlineStr">
        <is>
          <t>Market rev/yr</t>
        </is>
      </c>
      <c r="AN3" s="24" t="inlineStr">
        <is>
          <t>Vessels raw (unfloored)</t>
        </is>
      </c>
      <c r="AO3" s="24" t="inlineStr">
        <is>
          <t>Market rev/yr raw</t>
        </is>
      </c>
      <c r="AP3" s="24" t="inlineStr">
        <is>
          <t>Subset of (excl. from market fleet)</t>
        </is>
      </c>
      <c r="AQ3" s="24" t="inlineStr">
        <is>
          <t>Forward SAM (2030-dated; held OUT of grounded floor)</t>
        </is>
      </c>
      <c r="AR3" s="24" t="inlineStr">
        <is>
          <t>Upside tier (LB-99; held OUT of grounded floor)</t>
        </is>
      </c>
      <c r="AS3" s="24" t="inlineStr">
        <is>
          <t>Fleet ceiling (captive villas/25)</t>
        </is>
      </c>
      <c r="AT3" s="24" t="inlineStr">
        <is>
          <t>Payback THIN</t>
        </is>
      </c>
      <c r="AU3" s="24" t="inlineStr">
        <is>
          <t>Payback MID</t>
        </is>
      </c>
      <c r="AV3" s="24" t="inlineStr">
        <is>
          <t>Payback FULL</t>
        </is>
      </c>
      <c r="AW3" s="24" t="inlineStr">
        <is>
          <t>Fare source (provenance)</t>
        </is>
      </c>
      <c r="AX3" s="24" t="inlineStr">
        <is>
          <t>Demand source (provenance)</t>
        </is>
      </c>
    </row>
    <row r="4">
      <c r="A4" s="29" t="inlineStr">
        <is>
          <t>Maldives (JIH)</t>
        </is>
      </c>
      <c r="B4" s="29" t="inlineStr">
        <is>
          <t>Maldives</t>
        </is>
      </c>
      <c r="C4" s="30" t="inlineStr">
        <is>
          <t>Velana International Airport (MLE) Resort Speedboat Lounges → Kurumba Maldives (Vihamanafushi, North Malé)</t>
        </is>
      </c>
      <c r="D4" s="31" t="n">
        <v>2.1</v>
      </c>
      <c r="E4" s="26" t="n">
        <v>60</v>
      </c>
      <c r="F4" s="32" t="inlineStr">
        <is>
          <t>T3</t>
        </is>
      </c>
      <c r="G4" s="32" t="inlineStr">
        <is>
          <t>med</t>
        </is>
      </c>
      <c r="H4" s="19" t="n">
        <v>1</v>
      </c>
      <c r="I4" s="33">
        <f>60*D4/cruise_kt</f>
        <v/>
      </c>
      <c r="J4" s="33">
        <f>I4+turn_min+dwell_min</f>
        <v/>
      </c>
      <c r="K4" s="34">
        <f>MIN(15,FLOOR(60*service_hr/J4,1))</f>
        <v/>
      </c>
      <c r="L4" s="34">
        <f>ROUND(365*mech_uptime*H4,0)</f>
        <v/>
      </c>
      <c r="M4" s="35">
        <f>mech_uptime</f>
        <v/>
      </c>
      <c r="N4" s="35">
        <f>revleg_sel</f>
        <v/>
      </c>
      <c r="O4" s="34">
        <f>ROUND(K4*L4*revleg_sel,0)</f>
        <v/>
      </c>
      <c r="P4" s="36">
        <f>load_sel</f>
        <v/>
      </c>
      <c r="Q4" s="36">
        <f>pax_cap*P4</f>
        <v/>
      </c>
      <c r="R4" s="34">
        <f>Q4*O4</f>
        <v/>
      </c>
      <c r="S4" s="37">
        <f>E4*discount</f>
        <v/>
      </c>
      <c r="T4" s="38">
        <f>S4*R4</f>
        <v/>
      </c>
      <c r="U4" s="38">
        <f>(battery/range_nm)*D4*O4*VLOOKUP(B4,country_opex,3,FALSE)</f>
        <v/>
      </c>
      <c r="V4" s="38">
        <f>VLOOKUP(B4,country_opex,2,FALSE)*crew_factor</f>
        <v/>
      </c>
      <c r="W4" s="38">
        <f>VLOOKUP(B4,country_opex,5,FALSE)</f>
        <v/>
      </c>
      <c r="X4" s="38">
        <f>maint</f>
        <v/>
      </c>
      <c r="Y4" s="38">
        <f>VLOOKUP(B4,country_opex,7,FALSE)*ins_pct</f>
        <v/>
      </c>
      <c r="Z4" s="38">
        <f>charge_berth</f>
        <v/>
      </c>
      <c r="AA4" s="38">
        <f>U4+V4+W4+X4+Y4+Z4</f>
        <v/>
      </c>
      <c r="AB4" s="38">
        <f>VLOOKUP(B4,country_opex,7,FALSE)/dep_years</f>
        <v/>
      </c>
      <c r="AC4" s="38">
        <f>T4-AA4</f>
        <v/>
      </c>
      <c r="AD4" s="35">
        <f>IF(T4=0,"",AC4/T4)</f>
        <v/>
      </c>
      <c r="AE4" s="36">
        <f>IF(AC4&lt;=0,"",VLOOKUP(B4,country_opex,7,FALSE)/AC4)</f>
        <v/>
      </c>
      <c r="AF4" s="33">
        <f>((D4*O4/diesel_nmpg)*diesel_co2pg-(battery/range_nm)*D4*O4*VLOOKUP(B4,country_opex,4,FALSE))/1000</f>
        <v/>
      </c>
      <c r="AG4" s="31" t="n">
        <v>28000</v>
      </c>
      <c r="AH4" s="32" t="inlineStr">
        <is>
          <t>T5</t>
        </is>
      </c>
      <c r="AI4" s="32" t="inlineStr">
        <is>
          <t>low-med</t>
        </is>
      </c>
      <c r="AJ4" s="39" t="n">
        <v>0.9</v>
      </c>
      <c r="AK4" s="34">
        <f>IF(AG4="","",AG4*AJ4)</f>
        <v/>
      </c>
      <c r="AL4" s="34">
        <f>IF(OR(AG4="",R4=0),"",MIN(IF(AS4="",9.9E+99,AS4),FLOOR(AK4/R4,1)))</f>
        <v/>
      </c>
      <c r="AM4" s="38">
        <f>IF(AL4="","",AL4*T4)</f>
        <v/>
      </c>
      <c r="AN4" s="36">
        <f>IF(OR(AG4="",R4=0),"",MIN(IF(AS4="",9.9E+99,AS4),AK4/R4))</f>
        <v/>
      </c>
      <c r="AO4" s="38">
        <f>IF(AN4="","",AN4*T4)</f>
        <v/>
      </c>
      <c r="AP4" s="40" t="n"/>
      <c r="AQ4" s="41" t="n"/>
      <c r="AR4" s="41" t="n"/>
      <c r="AS4" s="42" t="n">
        <v>8</v>
      </c>
      <c r="AT4" s="43">
        <f>IF(((S4*pax_cap*load_thin*ROUND(K4*L4*revleg_thin,0))-(((battery/range_nm)*D4*ROUND(K4*L4*revleg_thin,0)*VLOOKUP(B4,country_opex,3,FALSE))+V4+W4+X4+Y4+Z4))&lt;=0,"",VLOOKUP(B4,country_opex,7,FALSE)/((S4*pax_cap*load_thin*ROUND(K4*L4*revleg_thin,0))-(((battery/range_nm)*D4*ROUND(K4*L4*revleg_thin,0)*VLOOKUP(B4,country_opex,3,FALSE))+V4+W4+X4+Y4+Z4)))</f>
        <v/>
      </c>
      <c r="AU4" s="43">
        <f>IF(((S4*pax_cap*load_mid*ROUND(K4*L4*revleg_mid,0))-(((battery/range_nm)*D4*ROUND(K4*L4*revleg_mid,0)*VLOOKUP(B4,country_opex,3,FALSE))+V4+W4+X4+Y4+Z4))&lt;=0,"",VLOOKUP(B4,country_opex,7,FALSE)/((S4*pax_cap*load_mid*ROUND(K4*L4*revleg_mid,0))-(((battery/range_nm)*D4*ROUND(K4*L4*revleg_mid,0)*VLOOKUP(B4,country_opex,3,FALSE))+V4+W4+X4+Y4+Z4)))</f>
        <v/>
      </c>
      <c r="AV4" s="43">
        <f>IF(((S4*pax_cap*load_full*ROUND(K4*L4*revleg_full,0))-(((battery/range_nm)*D4*ROUND(K4*L4*revleg_full,0)*VLOOKUP(B4,country_opex,3,FALSE))+V4+W4+X4+Y4+Z4))&lt;=0,"",VLOOKUP(B4,country_opex,7,FALSE)/((S4*pax_cap*load_full*ROUND(K4*L4*revleg_full,0))-(((battery/range_nm)*D4*ROUND(K4*L4*revleg_full,0)*VLOOKUP(B4,country_opex,3,FALSE))+V4+W4+X4+Y4+Z4)))</f>
        <v/>
      </c>
      <c r="AW4" s="44" t="inlineStr">
        <is>
          <t>Short 2.4nm/10-min North Male speedboat hop. maldivestour.guide: Kurumba round-trip speedboat USD 96/adult = $48/way. immaldives.com 2026 table: Kurumba shared speedboat $100-150 RT = $50-75/way. atolltransfer scheduled $25-120/way. Single-class resort speedboat (premium ~= standard on this short close hop); premium per-seat ~$60/way.</t>
        </is>
      </c>
      <c r="AX4" s="44" t="inlineStr">
        <is>
          <t>Modeled from resort key count. Kurumba Maldives (Vihamanafushi, North Malé): ~180 villas/keys (published resort/Virtuoso/booking figures). corridor_annual_oneway_pax = keys x 365 x occ(0.75) / avg_stay(7 nights) x guests/key(2) x 2 (arr+dep) ~= keys x 156. 180 keys -&gt; ~28,000 one-way pax/yr. Airport(MLE)&lt;-&gt;this resort is the sole transfer corridor (boat/seaplane only; no road/air alt - R3-EXCEPTION: arrivals = crossing ridership).</t>
        </is>
      </c>
    </row>
    <row r="5">
      <c r="A5" s="29" t="inlineStr">
        <is>
          <t>Maldives (JIH)</t>
        </is>
      </c>
      <c r="B5" s="29" t="inlineStr">
        <is>
          <t>Maldives</t>
        </is>
      </c>
      <c r="C5" s="30" t="inlineStr">
        <is>
          <t>Kuredu Island Resort (Lhaviyani) → Hurawalhi (Lhaviyani)</t>
        </is>
      </c>
      <c r="D5" s="31" t="n">
        <v>2.5</v>
      </c>
      <c r="E5" s="26" t="n">
        <v>150</v>
      </c>
      <c r="F5" s="32" t="inlineStr">
        <is>
          <t>T3</t>
        </is>
      </c>
      <c r="G5" s="32" t="inlineStr">
        <is>
          <t>med</t>
        </is>
      </c>
      <c r="H5" s="19" t="n">
        <v>1</v>
      </c>
      <c r="I5" s="33">
        <f>60*D5/cruise_kt</f>
        <v/>
      </c>
      <c r="J5" s="33">
        <f>I5+turn_min+dwell_min</f>
        <v/>
      </c>
      <c r="K5" s="34">
        <f>MIN(15,FLOOR(60*service_hr/J5,1))</f>
        <v/>
      </c>
      <c r="L5" s="34">
        <f>ROUND(365*mech_uptime*H5,0)</f>
        <v/>
      </c>
      <c r="M5" s="35">
        <f>mech_uptime</f>
        <v/>
      </c>
      <c r="N5" s="35">
        <f>revleg_sel</f>
        <v/>
      </c>
      <c r="O5" s="34">
        <f>ROUND(K5*L5*revleg_sel,0)</f>
        <v/>
      </c>
      <c r="P5" s="36">
        <f>load_sel</f>
        <v/>
      </c>
      <c r="Q5" s="36">
        <f>pax_cap*P5</f>
        <v/>
      </c>
      <c r="R5" s="34">
        <f>Q5*O5</f>
        <v/>
      </c>
      <c r="S5" s="37">
        <f>E5*discount</f>
        <v/>
      </c>
      <c r="T5" s="38">
        <f>S5*R5</f>
        <v/>
      </c>
      <c r="U5" s="38">
        <f>(battery/range_nm)*D5*O5*VLOOKUP(B5,country_opex,3,FALSE)</f>
        <v/>
      </c>
      <c r="V5" s="38">
        <f>VLOOKUP(B5,country_opex,2,FALSE)*crew_factor</f>
        <v/>
      </c>
      <c r="W5" s="38">
        <f>VLOOKUP(B5,country_opex,5,FALSE)</f>
        <v/>
      </c>
      <c r="X5" s="38">
        <f>maint</f>
        <v/>
      </c>
      <c r="Y5" s="38">
        <f>VLOOKUP(B5,country_opex,7,FALSE)*ins_pct</f>
        <v/>
      </c>
      <c r="Z5" s="38">
        <f>charge_berth</f>
        <v/>
      </c>
      <c r="AA5" s="38">
        <f>U5+V5+W5+X5+Y5+Z5</f>
        <v/>
      </c>
      <c r="AB5" s="38">
        <f>VLOOKUP(B5,country_opex,7,FALSE)/dep_years</f>
        <v/>
      </c>
      <c r="AC5" s="38">
        <f>T5-AA5</f>
        <v/>
      </c>
      <c r="AD5" s="35">
        <f>IF(T5=0,"",AC5/T5)</f>
        <v/>
      </c>
      <c r="AE5" s="36">
        <f>IF(AC5&lt;=0,"",VLOOKUP(B5,country_opex,7,FALSE)/AC5)</f>
        <v/>
      </c>
      <c r="AF5" s="33">
        <f>((D5*O5/diesel_nmpg)*diesel_co2pg-(battery/range_nm)*D5*O5*VLOOKUP(B5,country_opex,4,FALSE))/1000</f>
        <v/>
      </c>
      <c r="AG5" s="31" t="n"/>
      <c r="AH5" s="32" t="n"/>
      <c r="AI5" s="32" t="inlineStr">
        <is>
          <t>null</t>
        </is>
      </c>
      <c r="AJ5" s="39" t="n">
        <v>0.9</v>
      </c>
      <c r="AK5" s="34">
        <f>IF(AG5="","",AG5*AJ5)</f>
        <v/>
      </c>
      <c r="AL5" s="34">
        <f>IF(OR(AG5="",R5=0),"",MIN(IF(AS5="",9.9E+99,AS5),FLOOR(AK5/R5,1)))</f>
        <v/>
      </c>
      <c r="AM5" s="38">
        <f>IF(AL5="","",AL5*T5)</f>
        <v/>
      </c>
      <c r="AN5" s="36">
        <f>IF(OR(AG5="",R5=0),"",MIN(IF(AS5="",9.9E+99,AS5),AK5/R5))</f>
        <v/>
      </c>
      <c r="AO5" s="38">
        <f>IF(AN5="","",AN5*T5)</f>
        <v/>
      </c>
      <c r="AP5" s="40" t="n"/>
      <c r="AQ5" s="41" t="n"/>
      <c r="AR5" s="41" t="n"/>
      <c r="AS5" s="42" t="n"/>
      <c r="AT5" s="43">
        <f>IF(((S5*pax_cap*load_thin*ROUND(K5*L5*revleg_thin,0))-(((battery/range_nm)*D5*ROUND(K5*L5*revleg_thin,0)*VLOOKUP(B5,country_opex,3,FALSE))+V5+W5+X5+Y5+Z5))&lt;=0,"",VLOOKUP(B5,country_opex,7,FALSE)/((S5*pax_cap*load_thin*ROUND(K5*L5*revleg_thin,0))-(((battery/range_nm)*D5*ROUND(K5*L5*revleg_thin,0)*VLOOKUP(B5,country_opex,3,FALSE))+V5+W5+X5+Y5+Z5)))</f>
        <v/>
      </c>
      <c r="AU5" s="43">
        <f>IF(((S5*pax_cap*load_mid*ROUND(K5*L5*revleg_mid,0))-(((battery/range_nm)*D5*ROUND(K5*L5*revleg_mid,0)*VLOOKUP(B5,country_opex,3,FALSE))+V5+W5+X5+Y5+Z5))&lt;=0,"",VLOOKUP(B5,country_opex,7,FALSE)/((S5*pax_cap*load_mid*ROUND(K5*L5*revleg_mid,0))-(((battery/range_nm)*D5*ROUND(K5*L5*revleg_mid,0)*VLOOKUP(B5,country_opex,3,FALSE))+V5+W5+X5+Y5+Z5)))</f>
        <v/>
      </c>
      <c r="AV5" s="43">
        <f>IF(((S5*pax_cap*load_full*ROUND(K5*L5*revleg_full,0))-(((battery/range_nm)*D5*ROUND(K5*L5*revleg_full,0)*VLOOKUP(B5,country_opex,3,FALSE))+V5+W5+X5+Y5+Z5))&lt;=0,"",VLOOKUP(B5,country_opex,7,FALSE)/((S5*pax_cap*load_full*ROUND(K5*L5*revleg_full,0))-(((battery/range_nm)*D5*ROUND(K5*L5*revleg_full,0)*VLOOKUP(B5,country_opex,3,FALSE))+V5+W5+X5+Y5+Z5)))</f>
        <v/>
      </c>
      <c r="AW5" s="44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X5" s="44" t="inlineStr">
        <is>
          <t>NULL — pure inter-resort island-hop; no grounded crossing pool (R2). Geometry only.</t>
        </is>
      </c>
    </row>
    <row r="6">
      <c r="A6" s="29" t="inlineStr">
        <is>
          <t>Maldives (JIH)</t>
        </is>
      </c>
      <c r="B6" s="29" t="inlineStr">
        <is>
          <t>Maldives</t>
        </is>
      </c>
      <c r="C6" s="30" t="inlineStr">
        <is>
          <t>Gan International Airport, Addu → Shangri-La Villingili (Addu)</t>
        </is>
      </c>
      <c r="D6" s="31" t="n">
        <v>2.7</v>
      </c>
      <c r="E6" s="26" t="n">
        <v>150</v>
      </c>
      <c r="F6" s="32" t="inlineStr">
        <is>
          <t>T3</t>
        </is>
      </c>
      <c r="G6" s="32" t="inlineStr">
        <is>
          <t>med</t>
        </is>
      </c>
      <c r="H6" s="19" t="n">
        <v>1</v>
      </c>
      <c r="I6" s="33">
        <f>60*D6/cruise_kt</f>
        <v/>
      </c>
      <c r="J6" s="33">
        <f>I6+turn_min+dwell_min</f>
        <v/>
      </c>
      <c r="K6" s="34">
        <f>MIN(15,FLOOR(60*service_hr/J6,1))</f>
        <v/>
      </c>
      <c r="L6" s="34">
        <f>ROUND(365*mech_uptime*H6,0)</f>
        <v/>
      </c>
      <c r="M6" s="35">
        <f>mech_uptime</f>
        <v/>
      </c>
      <c r="N6" s="35">
        <f>revleg_sel</f>
        <v/>
      </c>
      <c r="O6" s="34">
        <f>ROUND(K6*L6*revleg_sel,0)</f>
        <v/>
      </c>
      <c r="P6" s="36">
        <f>load_sel</f>
        <v/>
      </c>
      <c r="Q6" s="36">
        <f>pax_cap*P6</f>
        <v/>
      </c>
      <c r="R6" s="34">
        <f>Q6*O6</f>
        <v/>
      </c>
      <c r="S6" s="37">
        <f>E6*discount</f>
        <v/>
      </c>
      <c r="T6" s="38">
        <f>S6*R6</f>
        <v/>
      </c>
      <c r="U6" s="38">
        <f>(battery/range_nm)*D6*O6*VLOOKUP(B6,country_opex,3,FALSE)</f>
        <v/>
      </c>
      <c r="V6" s="38">
        <f>VLOOKUP(B6,country_opex,2,FALSE)*crew_factor</f>
        <v/>
      </c>
      <c r="W6" s="38">
        <f>VLOOKUP(B6,country_opex,5,FALSE)</f>
        <v/>
      </c>
      <c r="X6" s="38">
        <f>maint</f>
        <v/>
      </c>
      <c r="Y6" s="38">
        <f>VLOOKUP(B6,country_opex,7,FALSE)*ins_pct</f>
        <v/>
      </c>
      <c r="Z6" s="38">
        <f>charge_berth</f>
        <v/>
      </c>
      <c r="AA6" s="38">
        <f>U6+V6+W6+X6+Y6+Z6</f>
        <v/>
      </c>
      <c r="AB6" s="38">
        <f>VLOOKUP(B6,country_opex,7,FALSE)/dep_years</f>
        <v/>
      </c>
      <c r="AC6" s="38">
        <f>T6-AA6</f>
        <v/>
      </c>
      <c r="AD6" s="35">
        <f>IF(T6=0,"",AC6/T6)</f>
        <v/>
      </c>
      <c r="AE6" s="36">
        <f>IF(AC6&lt;=0,"",VLOOKUP(B6,country_opex,7,FALSE)/AC6)</f>
        <v/>
      </c>
      <c r="AF6" s="33">
        <f>((D6*O6/diesel_nmpg)*diesel_co2pg-(battery/range_nm)*D6*O6*VLOOKUP(B6,country_opex,4,FALSE))/1000</f>
        <v/>
      </c>
      <c r="AG6" s="31" t="n">
        <v>9858</v>
      </c>
      <c r="AH6" s="32" t="inlineStr">
        <is>
          <t>T5</t>
        </is>
      </c>
      <c r="AI6" s="32" t="inlineStr">
        <is>
          <t>med</t>
        </is>
      </c>
      <c r="AJ6" s="39" t="n">
        <v>0.9</v>
      </c>
      <c r="AK6" s="34">
        <f>IF(AG6="","",AG6*AJ6)</f>
        <v/>
      </c>
      <c r="AL6" s="34">
        <f>IF(OR(AG6="",R6=0),"",MIN(IF(AS6="",9.9E+99,AS6),FLOOR(AK6/R6,1)))</f>
        <v/>
      </c>
      <c r="AM6" s="38">
        <f>IF(AL6="","",AL6*T6)</f>
        <v/>
      </c>
      <c r="AN6" s="36">
        <f>IF(OR(AG6="",R6=0),"",MIN(IF(AS6="",9.9E+99,AS6),AK6/R6))</f>
        <v/>
      </c>
      <c r="AO6" s="38">
        <f>IF(AN6="","",AN6*T6)</f>
        <v/>
      </c>
      <c r="AP6" s="40" t="n"/>
      <c r="AQ6" s="41" t="n"/>
      <c r="AR6" s="41" t="n"/>
      <c r="AS6" s="42" t="n">
        <v>6</v>
      </c>
      <c r="AT6" s="43">
        <f>IF(((S6*pax_cap*load_thin*ROUND(K6*L6*revleg_thin,0))-(((battery/range_nm)*D6*ROUND(K6*L6*revleg_thin,0)*VLOOKUP(B6,country_opex,3,FALSE))+V6+W6+X6+Y6+Z6))&lt;=0,"",VLOOKUP(B6,country_opex,7,FALSE)/((S6*pax_cap*load_thin*ROUND(K6*L6*revleg_thin,0))-(((battery/range_nm)*D6*ROUND(K6*L6*revleg_thin,0)*VLOOKUP(B6,country_opex,3,FALSE))+V6+W6+X6+Y6+Z6)))</f>
        <v/>
      </c>
      <c r="AU6" s="43">
        <f>IF(((S6*pax_cap*load_mid*ROUND(K6*L6*revleg_mid,0))-(((battery/range_nm)*D6*ROUND(K6*L6*revleg_mid,0)*VLOOKUP(B6,country_opex,3,FALSE))+V6+W6+X6+Y6+Z6))&lt;=0,"",VLOOKUP(B6,country_opex,7,FALSE)/((S6*pax_cap*load_mid*ROUND(K6*L6*revleg_mid,0))-(((battery/range_nm)*D6*ROUND(K6*L6*revleg_mid,0)*VLOOKUP(B6,country_opex,3,FALSE))+V6+W6+X6+Y6+Z6)))</f>
        <v/>
      </c>
      <c r="AV6" s="43">
        <f>IF(((S6*pax_cap*load_full*ROUND(K6*L6*revleg_full,0))-(((battery/range_nm)*D6*ROUND(K6*L6*revleg_full,0)*VLOOKUP(B6,country_opex,3,FALSE))+V6+W6+X6+Y6+Z6))&lt;=0,"",VLOOKUP(B6,country_opex,7,FALSE)/((S6*pax_cap*load_full*ROUND(K6*L6*revleg_full,0))-(((battery/range_nm)*D6*ROUND(K6*L6*revleg_full,0)*VLOOKUP(B6,country_opex,3,FALSE))+V6+W6+X6+Y6+Z6)))</f>
        <v/>
      </c>
      <c r="AW6" s="44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X6" s="44" t="inlineStr">
        <is>
          <t>Modeled arrivals = published keys x occupancy 0.70 (Maldives Min. of Tourism avg) x (365/6.5 nights avg stay) x 1.9 pax/room. Inbound one-way transfers. T5-modeled/med; keys T1 resort-published. NULL for pure inter-resort excursion legs (R2).</t>
        </is>
      </c>
    </row>
    <row r="7">
      <c r="A7" s="29" t="inlineStr">
        <is>
          <t>Maldives (JIH)</t>
        </is>
      </c>
      <c r="B7" s="29" t="inlineStr">
        <is>
          <t>Maldives</t>
        </is>
      </c>
      <c r="C7" s="30" t="inlineStr">
        <is>
          <t>Maamigili (Villa) Airport, South Ari → Sun Island Resort (Nalaguraidhoo)</t>
        </is>
      </c>
      <c r="D7" s="31" t="n">
        <v>3.2</v>
      </c>
      <c r="E7" s="26" t="n">
        <v>120</v>
      </c>
      <c r="F7" s="32" t="inlineStr">
        <is>
          <t>T3</t>
        </is>
      </c>
      <c r="G7" s="32" t="inlineStr">
        <is>
          <t>med</t>
        </is>
      </c>
      <c r="H7" s="19" t="n">
        <v>1</v>
      </c>
      <c r="I7" s="33">
        <f>60*D7/cruise_kt</f>
        <v/>
      </c>
      <c r="J7" s="33">
        <f>I7+turn_min+dwell_min</f>
        <v/>
      </c>
      <c r="K7" s="34">
        <f>MIN(15,FLOOR(60*service_hr/J7,1))</f>
        <v/>
      </c>
      <c r="L7" s="34">
        <f>ROUND(365*mech_uptime*H7,0)</f>
        <v/>
      </c>
      <c r="M7" s="35">
        <f>mech_uptime</f>
        <v/>
      </c>
      <c r="N7" s="35">
        <f>revleg_sel</f>
        <v/>
      </c>
      <c r="O7" s="34">
        <f>ROUND(K7*L7*revleg_sel,0)</f>
        <v/>
      </c>
      <c r="P7" s="36">
        <f>load_sel</f>
        <v/>
      </c>
      <c r="Q7" s="36">
        <f>pax_cap*P7</f>
        <v/>
      </c>
      <c r="R7" s="34">
        <f>Q7*O7</f>
        <v/>
      </c>
      <c r="S7" s="37">
        <f>E7*discount</f>
        <v/>
      </c>
      <c r="T7" s="38">
        <f>S7*R7</f>
        <v/>
      </c>
      <c r="U7" s="38">
        <f>(battery/range_nm)*D7*O7*VLOOKUP(B7,country_opex,3,FALSE)</f>
        <v/>
      </c>
      <c r="V7" s="38">
        <f>VLOOKUP(B7,country_opex,2,FALSE)*crew_factor</f>
        <v/>
      </c>
      <c r="W7" s="38">
        <f>VLOOKUP(B7,country_opex,5,FALSE)</f>
        <v/>
      </c>
      <c r="X7" s="38">
        <f>maint</f>
        <v/>
      </c>
      <c r="Y7" s="38">
        <f>VLOOKUP(B7,country_opex,7,FALSE)*ins_pct</f>
        <v/>
      </c>
      <c r="Z7" s="38">
        <f>charge_berth</f>
        <v/>
      </c>
      <c r="AA7" s="38">
        <f>U7+V7+W7+X7+Y7+Z7</f>
        <v/>
      </c>
      <c r="AB7" s="38">
        <f>VLOOKUP(B7,country_opex,7,FALSE)/dep_years</f>
        <v/>
      </c>
      <c r="AC7" s="38">
        <f>T7-AA7</f>
        <v/>
      </c>
      <c r="AD7" s="35">
        <f>IF(T7=0,"",AC7/T7)</f>
        <v/>
      </c>
      <c r="AE7" s="36">
        <f>IF(AC7&lt;=0,"",VLOOKUP(B7,country_opex,7,FALSE)/AC7)</f>
        <v/>
      </c>
      <c r="AF7" s="33">
        <f>((D7*O7/diesel_nmpg)*diesel_co2pg-(battery/range_nm)*D7*O7*VLOOKUP(B7,country_opex,4,FALSE))/1000</f>
        <v/>
      </c>
      <c r="AG7" s="31" t="n">
        <v>34504</v>
      </c>
      <c r="AH7" s="32" t="inlineStr">
        <is>
          <t>T5</t>
        </is>
      </c>
      <c r="AI7" s="32" t="inlineStr">
        <is>
          <t>med</t>
        </is>
      </c>
      <c r="AJ7" s="39" t="n">
        <v>0.9</v>
      </c>
      <c r="AK7" s="34">
        <f>IF(AG7="","",AG7*AJ7)</f>
        <v/>
      </c>
      <c r="AL7" s="34">
        <f>IF(OR(AG7="",R7=0),"",MIN(IF(AS7="",9.9E+99,AS7),FLOOR(AK7/R7,1)))</f>
        <v/>
      </c>
      <c r="AM7" s="38">
        <f>IF(AL7="","",AL7*T7)</f>
        <v/>
      </c>
      <c r="AN7" s="36">
        <f>IF(OR(AG7="",R7=0),"",MIN(IF(AS7="",9.9E+99,AS7),AK7/R7))</f>
        <v/>
      </c>
      <c r="AO7" s="38">
        <f>IF(AN7="","",AN7*T7)</f>
        <v/>
      </c>
      <c r="AP7" s="40" t="n"/>
      <c r="AQ7" s="41" t="n"/>
      <c r="AR7" s="41" t="n"/>
      <c r="AS7" s="42" t="n">
        <v>19</v>
      </c>
      <c r="AT7" s="43">
        <f>IF(((S7*pax_cap*load_thin*ROUND(K7*L7*revleg_thin,0))-(((battery/range_nm)*D7*ROUND(K7*L7*revleg_thin,0)*VLOOKUP(B7,country_opex,3,FALSE))+V7+W7+X7+Y7+Z7))&lt;=0,"",VLOOKUP(B7,country_opex,7,FALSE)/((S7*pax_cap*load_thin*ROUND(K7*L7*revleg_thin,0))-(((battery/range_nm)*D7*ROUND(K7*L7*revleg_thin,0)*VLOOKUP(B7,country_opex,3,FALSE))+V7+W7+X7+Y7+Z7)))</f>
        <v/>
      </c>
      <c r="AU7" s="43">
        <f>IF(((S7*pax_cap*load_mid*ROUND(K7*L7*revleg_mid,0))-(((battery/range_nm)*D7*ROUND(K7*L7*revleg_mid,0)*VLOOKUP(B7,country_opex,3,FALSE))+V7+W7+X7+Y7+Z7))&lt;=0,"",VLOOKUP(B7,country_opex,7,FALSE)/((S7*pax_cap*load_mid*ROUND(K7*L7*revleg_mid,0))-(((battery/range_nm)*D7*ROUND(K7*L7*revleg_mid,0)*VLOOKUP(B7,country_opex,3,FALSE))+V7+W7+X7+Y7+Z7)))</f>
        <v/>
      </c>
      <c r="AV7" s="43">
        <f>IF(((S7*pax_cap*load_full*ROUND(K7*L7*revleg_full,0))-(((battery/range_nm)*D7*ROUND(K7*L7*revleg_full,0)*VLOOKUP(B7,country_opex,3,FALSE))+V7+W7+X7+Y7+Z7))&lt;=0,"",VLOOKUP(B7,country_opex,7,FALSE)/((S7*pax_cap*load_full*ROUND(K7*L7*revleg_full,0))-(((battery/range_nm)*D7*ROUND(K7*L7*revleg_full,0)*VLOOKUP(B7,country_opex,3,FALSE))+V7+W7+X7+Y7+Z7)))</f>
        <v/>
      </c>
      <c r="AW7" s="44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X7" s="44" t="inlineStr">
        <is>
          <t>Modeled arrivals = published keys x occupancy 0.70 (Maldives Min. of Tourism avg) x (365/6.5 nights avg stay) x 1.9 pax/room. Inbound one-way transfers. T5-modeled/med; keys T1 resort-published. NULL for pure inter-resort excursion legs (R2).</t>
        </is>
      </c>
    </row>
    <row r="8">
      <c r="A8" s="29" t="inlineStr">
        <is>
          <t>Maldives (JIH)</t>
        </is>
      </c>
      <c r="B8" s="29" t="inlineStr">
        <is>
          <t>Maldives</t>
        </is>
      </c>
      <c r="C8" s="30" t="inlineStr">
        <is>
          <t>Dharavandhoo Airport, Baa → Soneva Fushi (Kunfunadhoo, Baa)</t>
        </is>
      </c>
      <c r="D8" s="31" t="n">
        <v>4.4</v>
      </c>
      <c r="E8" s="26" t="n">
        <v>200</v>
      </c>
      <c r="F8" s="32" t="inlineStr">
        <is>
          <t>T3</t>
        </is>
      </c>
      <c r="G8" s="32" t="inlineStr">
        <is>
          <t>med</t>
        </is>
      </c>
      <c r="H8" s="19" t="n">
        <v>1</v>
      </c>
      <c r="I8" s="33">
        <f>60*D8/cruise_kt</f>
        <v/>
      </c>
      <c r="J8" s="33">
        <f>I8+turn_min+dwell_min</f>
        <v/>
      </c>
      <c r="K8" s="34">
        <f>MIN(15,FLOOR(60*service_hr/J8,1))</f>
        <v/>
      </c>
      <c r="L8" s="34">
        <f>ROUND(365*mech_uptime*H8,0)</f>
        <v/>
      </c>
      <c r="M8" s="35">
        <f>mech_uptime</f>
        <v/>
      </c>
      <c r="N8" s="35">
        <f>revleg_sel</f>
        <v/>
      </c>
      <c r="O8" s="34">
        <f>ROUND(K8*L8*revleg_sel,0)</f>
        <v/>
      </c>
      <c r="P8" s="36">
        <f>load_sel</f>
        <v/>
      </c>
      <c r="Q8" s="36">
        <f>pax_cap*P8</f>
        <v/>
      </c>
      <c r="R8" s="34">
        <f>Q8*O8</f>
        <v/>
      </c>
      <c r="S8" s="37">
        <f>E8*discount</f>
        <v/>
      </c>
      <c r="T8" s="38">
        <f>S8*R8</f>
        <v/>
      </c>
      <c r="U8" s="38">
        <f>(battery/range_nm)*D8*O8*VLOOKUP(B8,country_opex,3,FALSE)</f>
        <v/>
      </c>
      <c r="V8" s="38">
        <f>VLOOKUP(B8,country_opex,2,FALSE)*crew_factor</f>
        <v/>
      </c>
      <c r="W8" s="38">
        <f>VLOOKUP(B8,country_opex,5,FALSE)</f>
        <v/>
      </c>
      <c r="X8" s="38">
        <f>maint</f>
        <v/>
      </c>
      <c r="Y8" s="38">
        <f>VLOOKUP(B8,country_opex,7,FALSE)*ins_pct</f>
        <v/>
      </c>
      <c r="Z8" s="38">
        <f>charge_berth</f>
        <v/>
      </c>
      <c r="AA8" s="38">
        <f>U8+V8+W8+X8+Y8+Z8</f>
        <v/>
      </c>
      <c r="AB8" s="38">
        <f>VLOOKUP(B8,country_opex,7,FALSE)/dep_years</f>
        <v/>
      </c>
      <c r="AC8" s="38">
        <f>T8-AA8</f>
        <v/>
      </c>
      <c r="AD8" s="35">
        <f>IF(T8=0,"",AC8/T8)</f>
        <v/>
      </c>
      <c r="AE8" s="36">
        <f>IF(AC8&lt;=0,"",VLOOKUP(B8,country_opex,7,FALSE)/AC8)</f>
        <v/>
      </c>
      <c r="AF8" s="33">
        <f>((D8*O8/diesel_nmpg)*diesel_co2pg-(battery/range_nm)*D8*O8*VLOOKUP(B8,country_opex,4,FALSE))/1000</f>
        <v/>
      </c>
      <c r="AG8" s="31" t="n">
        <v>4705</v>
      </c>
      <c r="AH8" s="32" t="inlineStr">
        <is>
          <t>T5</t>
        </is>
      </c>
      <c r="AI8" s="32" t="inlineStr">
        <is>
          <t>med</t>
        </is>
      </c>
      <c r="AJ8" s="39" t="n">
        <v>0.9</v>
      </c>
      <c r="AK8" s="34">
        <f>IF(AG8="","",AG8*AJ8)</f>
        <v/>
      </c>
      <c r="AL8" s="34">
        <f>IF(OR(AG8="",R8=0),"",MIN(IF(AS8="",9.9E+99,AS8),FLOOR(AK8/R8,1)))</f>
        <v/>
      </c>
      <c r="AM8" s="38">
        <f>IF(AL8="","",AL8*T8)</f>
        <v/>
      </c>
      <c r="AN8" s="36">
        <f>IF(OR(AG8="",R8=0),"",MIN(IF(AS8="",9.9E+99,AS8),AK8/R8))</f>
        <v/>
      </c>
      <c r="AO8" s="38">
        <f>IF(AN8="","",AN8*T8)</f>
        <v/>
      </c>
      <c r="AP8" s="40" t="n"/>
      <c r="AQ8" s="41" t="n"/>
      <c r="AR8" s="41" t="n"/>
      <c r="AS8" s="42" t="n">
        <v>3</v>
      </c>
      <c r="AT8" s="43">
        <f>IF(((S8*pax_cap*load_thin*ROUND(K8*L8*revleg_thin,0))-(((battery/range_nm)*D8*ROUND(K8*L8*revleg_thin,0)*VLOOKUP(B8,country_opex,3,FALSE))+V8+W8+X8+Y8+Z8))&lt;=0,"",VLOOKUP(B8,country_opex,7,FALSE)/((S8*pax_cap*load_thin*ROUND(K8*L8*revleg_thin,0))-(((battery/range_nm)*D8*ROUND(K8*L8*revleg_thin,0)*VLOOKUP(B8,country_opex,3,FALSE))+V8+W8+X8+Y8+Z8)))</f>
        <v/>
      </c>
      <c r="AU8" s="43">
        <f>IF(((S8*pax_cap*load_mid*ROUND(K8*L8*revleg_mid,0))-(((battery/range_nm)*D8*ROUND(K8*L8*revleg_mid,0)*VLOOKUP(B8,country_opex,3,FALSE))+V8+W8+X8+Y8+Z8))&lt;=0,"",VLOOKUP(B8,country_opex,7,FALSE)/((S8*pax_cap*load_mid*ROUND(K8*L8*revleg_mid,0))-(((battery/range_nm)*D8*ROUND(K8*L8*revleg_mid,0)*VLOOKUP(B8,country_opex,3,FALSE))+V8+W8+X8+Y8+Z8)))</f>
        <v/>
      </c>
      <c r="AV8" s="43">
        <f>IF(((S8*pax_cap*load_full*ROUND(K8*L8*revleg_full,0))-(((battery/range_nm)*D8*ROUND(K8*L8*revleg_full,0)*VLOOKUP(B8,country_opex,3,FALSE))+V8+W8+X8+Y8+Z8))&lt;=0,"",VLOOKUP(B8,country_opex,7,FALSE)/((S8*pax_cap*load_full*ROUND(K8*L8*revleg_full,0))-(((battery/range_nm)*D8*ROUND(K8*L8*revleg_full,0)*VLOOKUP(B8,country_opex,3,FALSE))+V8+W8+X8+Y8+Z8)))</f>
        <v/>
      </c>
      <c r="AW8" s="44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X8" s="44" t="inlineStr">
        <is>
          <t>Modeled arrivals = published keys x occupancy 0.70 (Maldives Min. of Tourism avg) x (365/6.5 nights avg stay) x 1.9 pax/room. Inbound one-way transfers. T5-modeled/med; keys T1 resort-published. NULL for pure inter-resort excursion legs (R2).</t>
        </is>
      </c>
    </row>
    <row r="9">
      <c r="A9" s="29" t="inlineStr">
        <is>
          <t>Maldives (JIH)</t>
        </is>
      </c>
      <c r="B9" s="29" t="inlineStr">
        <is>
          <t>Maldives</t>
        </is>
      </c>
      <c r="C9" s="30" t="inlineStr">
        <is>
          <t>Kudahuvadhoo Airport, Dhaalu → Niyama Private Islands (Dhaalu)</t>
        </is>
      </c>
      <c r="D9" s="31" t="n">
        <v>4.7</v>
      </c>
      <c r="E9" s="26" t="n">
        <v>150</v>
      </c>
      <c r="F9" s="32" t="inlineStr">
        <is>
          <t>T3</t>
        </is>
      </c>
      <c r="G9" s="32" t="inlineStr">
        <is>
          <t>med</t>
        </is>
      </c>
      <c r="H9" s="19" t="n">
        <v>1</v>
      </c>
      <c r="I9" s="33">
        <f>60*D9/cruise_kt</f>
        <v/>
      </c>
      <c r="J9" s="33">
        <f>I9+turn_min+dwell_min</f>
        <v/>
      </c>
      <c r="K9" s="34">
        <f>MIN(15,FLOOR(60*service_hr/J9,1))</f>
        <v/>
      </c>
      <c r="L9" s="34">
        <f>ROUND(365*mech_uptime*H9,0)</f>
        <v/>
      </c>
      <c r="M9" s="35">
        <f>mech_uptime</f>
        <v/>
      </c>
      <c r="N9" s="35">
        <f>revleg_sel</f>
        <v/>
      </c>
      <c r="O9" s="34">
        <f>ROUND(K9*L9*revleg_sel,0)</f>
        <v/>
      </c>
      <c r="P9" s="36">
        <f>load_sel</f>
        <v/>
      </c>
      <c r="Q9" s="36">
        <f>pax_cap*P9</f>
        <v/>
      </c>
      <c r="R9" s="34">
        <f>Q9*O9</f>
        <v/>
      </c>
      <c r="S9" s="37">
        <f>E9*discount</f>
        <v/>
      </c>
      <c r="T9" s="38">
        <f>S9*R9</f>
        <v/>
      </c>
      <c r="U9" s="38">
        <f>(battery/range_nm)*D9*O9*VLOOKUP(B9,country_opex,3,FALSE)</f>
        <v/>
      </c>
      <c r="V9" s="38">
        <f>VLOOKUP(B9,country_opex,2,FALSE)*crew_factor</f>
        <v/>
      </c>
      <c r="W9" s="38">
        <f>VLOOKUP(B9,country_opex,5,FALSE)</f>
        <v/>
      </c>
      <c r="X9" s="38">
        <f>maint</f>
        <v/>
      </c>
      <c r="Y9" s="38">
        <f>VLOOKUP(B9,country_opex,7,FALSE)*ins_pct</f>
        <v/>
      </c>
      <c r="Z9" s="38">
        <f>charge_berth</f>
        <v/>
      </c>
      <c r="AA9" s="38">
        <f>U9+V9+W9+X9+Y9+Z9</f>
        <v/>
      </c>
      <c r="AB9" s="38">
        <f>VLOOKUP(B9,country_opex,7,FALSE)/dep_years</f>
        <v/>
      </c>
      <c r="AC9" s="38">
        <f>T9-AA9</f>
        <v/>
      </c>
      <c r="AD9" s="35">
        <f>IF(T9=0,"",AC9/T9)</f>
        <v/>
      </c>
      <c r="AE9" s="36">
        <f>IF(AC9&lt;=0,"",VLOOKUP(B9,country_opex,7,FALSE)/AC9)</f>
        <v/>
      </c>
      <c r="AF9" s="33">
        <f>((D9*O9/diesel_nmpg)*diesel_co2pg-(battery/range_nm)*D9*O9*VLOOKUP(B9,country_opex,4,FALSE))/1000</f>
        <v/>
      </c>
      <c r="AG9" s="31" t="n">
        <v>10008</v>
      </c>
      <c r="AH9" s="32" t="inlineStr">
        <is>
          <t>T5</t>
        </is>
      </c>
      <c r="AI9" s="32" t="inlineStr">
        <is>
          <t>med</t>
        </is>
      </c>
      <c r="AJ9" s="39" t="n">
        <v>0.9</v>
      </c>
      <c r="AK9" s="34">
        <f>IF(AG9="","",AG9*AJ9)</f>
        <v/>
      </c>
      <c r="AL9" s="34">
        <f>IF(OR(AG9="",R9=0),"",MIN(IF(AS9="",9.9E+99,AS9),FLOOR(AK9/R9,1)))</f>
        <v/>
      </c>
      <c r="AM9" s="38">
        <f>IF(AL9="","",AL9*T9)</f>
        <v/>
      </c>
      <c r="AN9" s="36">
        <f>IF(OR(AG9="",R9=0),"",MIN(IF(AS9="",9.9E+99,AS9),AK9/R9))</f>
        <v/>
      </c>
      <c r="AO9" s="38">
        <f>IF(AN9="","",AN9*T9)</f>
        <v/>
      </c>
      <c r="AP9" s="40" t="n"/>
      <c r="AQ9" s="41" t="n"/>
      <c r="AR9" s="41" t="n"/>
      <c r="AS9" s="42" t="n">
        <v>6</v>
      </c>
      <c r="AT9" s="43">
        <f>IF(((S9*pax_cap*load_thin*ROUND(K9*L9*revleg_thin,0))-(((battery/range_nm)*D9*ROUND(K9*L9*revleg_thin,0)*VLOOKUP(B9,country_opex,3,FALSE))+V9+W9+X9+Y9+Z9))&lt;=0,"",VLOOKUP(B9,country_opex,7,FALSE)/((S9*pax_cap*load_thin*ROUND(K9*L9*revleg_thin,0))-(((battery/range_nm)*D9*ROUND(K9*L9*revleg_thin,0)*VLOOKUP(B9,country_opex,3,FALSE))+V9+W9+X9+Y9+Z9)))</f>
        <v/>
      </c>
      <c r="AU9" s="43">
        <f>IF(((S9*pax_cap*load_mid*ROUND(K9*L9*revleg_mid,0))-(((battery/range_nm)*D9*ROUND(K9*L9*revleg_mid,0)*VLOOKUP(B9,country_opex,3,FALSE))+V9+W9+X9+Y9+Z9))&lt;=0,"",VLOOKUP(B9,country_opex,7,FALSE)/((S9*pax_cap*load_mid*ROUND(K9*L9*revleg_mid,0))-(((battery/range_nm)*D9*ROUND(K9*L9*revleg_mid,0)*VLOOKUP(B9,country_opex,3,FALSE))+V9+W9+X9+Y9+Z9)))</f>
        <v/>
      </c>
      <c r="AV9" s="43">
        <f>IF(((S9*pax_cap*load_full*ROUND(K9*L9*revleg_full,0))-(((battery/range_nm)*D9*ROUND(K9*L9*revleg_full,0)*VLOOKUP(B9,country_opex,3,FALSE))+V9+W9+X9+Y9+Z9))&lt;=0,"",VLOOKUP(B9,country_opex,7,FALSE)/((S9*pax_cap*load_full*ROUND(K9*L9*revleg_full,0))-(((battery/range_nm)*D9*ROUND(K9*L9*revleg_full,0)*VLOOKUP(B9,country_opex,3,FALSE))+V9+W9+X9+Y9+Z9)))</f>
        <v/>
      </c>
      <c r="AW9" s="44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X9" s="44" t="inlineStr">
        <is>
          <t>Modeled arrivals = published keys x occupancy 0.70 (Maldives Min. of Tourism avg) x (365/6.5 nights avg stay) x 1.9 pax/room. Inbound one-way transfers. T5-modeled/med; keys T1 resort-published. NULL for pure inter-resort excursion legs (R2).</t>
        </is>
      </c>
    </row>
    <row r="10">
      <c r="A10" s="29" t="inlineStr">
        <is>
          <t>Maldives (JIH)</t>
        </is>
      </c>
      <c r="B10" s="29" t="inlineStr">
        <is>
          <t>Maldives</t>
        </is>
      </c>
      <c r="C10" s="30" t="inlineStr">
        <is>
          <t>Velana International Airport (MLE) Resort Speedboat Lounges → Gili Lankanfushi (North Malé)</t>
        </is>
      </c>
      <c r="D10" s="31" t="n">
        <v>6.4</v>
      </c>
      <c r="E10" s="26" t="n">
        <v>150</v>
      </c>
      <c r="F10" s="32" t="inlineStr">
        <is>
          <t>T3</t>
        </is>
      </c>
      <c r="G10" s="32" t="inlineStr">
        <is>
          <t>med</t>
        </is>
      </c>
      <c r="H10" s="19" t="n">
        <v>1</v>
      </c>
      <c r="I10" s="33">
        <f>60*D10/cruise_kt</f>
        <v/>
      </c>
      <c r="J10" s="33">
        <f>I10+turn_min+dwell_min</f>
        <v/>
      </c>
      <c r="K10" s="34">
        <f>MIN(15,FLOOR(60*service_hr/J10,1))</f>
        <v/>
      </c>
      <c r="L10" s="34">
        <f>ROUND(365*mech_uptime*H10,0)</f>
        <v/>
      </c>
      <c r="M10" s="35">
        <f>mech_uptime</f>
        <v/>
      </c>
      <c r="N10" s="35">
        <f>revleg_sel</f>
        <v/>
      </c>
      <c r="O10" s="34">
        <f>ROUND(K10*L10*revleg_sel,0)</f>
        <v/>
      </c>
      <c r="P10" s="36">
        <f>load_sel</f>
        <v/>
      </c>
      <c r="Q10" s="36">
        <f>pax_cap*P10</f>
        <v/>
      </c>
      <c r="R10" s="34">
        <f>Q10*O10</f>
        <v/>
      </c>
      <c r="S10" s="37">
        <f>E10*discount</f>
        <v/>
      </c>
      <c r="T10" s="38">
        <f>S10*R10</f>
        <v/>
      </c>
      <c r="U10" s="38">
        <f>(battery/range_nm)*D10*O10*VLOOKUP(B10,country_opex,3,FALSE)</f>
        <v/>
      </c>
      <c r="V10" s="38">
        <f>VLOOKUP(B10,country_opex,2,FALSE)*crew_factor</f>
        <v/>
      </c>
      <c r="W10" s="38">
        <f>VLOOKUP(B10,country_opex,5,FALSE)</f>
        <v/>
      </c>
      <c r="X10" s="38">
        <f>maint</f>
        <v/>
      </c>
      <c r="Y10" s="38">
        <f>VLOOKUP(B10,country_opex,7,FALSE)*ins_pct</f>
        <v/>
      </c>
      <c r="Z10" s="38">
        <f>charge_berth</f>
        <v/>
      </c>
      <c r="AA10" s="38">
        <f>U10+V10+W10+X10+Y10+Z10</f>
        <v/>
      </c>
      <c r="AB10" s="38">
        <f>VLOOKUP(B10,country_opex,7,FALSE)/dep_years</f>
        <v/>
      </c>
      <c r="AC10" s="38">
        <f>T10-AA10</f>
        <v/>
      </c>
      <c r="AD10" s="35">
        <f>IF(T10=0,"",AC10/T10)</f>
        <v/>
      </c>
      <c r="AE10" s="36">
        <f>IF(AC10&lt;=0,"",VLOOKUP(B10,country_opex,7,FALSE)/AC10)</f>
        <v/>
      </c>
      <c r="AF10" s="33">
        <f>((D10*O10/diesel_nmpg)*diesel_co2pg-(battery/range_nm)*D10*O10*VLOOKUP(B10,country_opex,4,FALSE))/1000</f>
        <v/>
      </c>
      <c r="AG10" s="31" t="n">
        <v>7000</v>
      </c>
      <c r="AH10" s="32" t="inlineStr">
        <is>
          <t>T5</t>
        </is>
      </c>
      <c r="AI10" s="32" t="inlineStr">
        <is>
          <t>low-med</t>
        </is>
      </c>
      <c r="AJ10" s="39" t="n">
        <v>0.9</v>
      </c>
      <c r="AK10" s="34">
        <f>IF(AG10="","",AG10*AJ10)</f>
        <v/>
      </c>
      <c r="AL10" s="34">
        <f>IF(OR(AG10="",R10=0),"",MIN(IF(AS10="",9.9E+99,AS10),FLOOR(AK10/R10,1)))</f>
        <v/>
      </c>
      <c r="AM10" s="38">
        <f>IF(AL10="","",AL10*T10)</f>
        <v/>
      </c>
      <c r="AN10" s="36">
        <f>IF(OR(AG10="",R10=0),"",MIN(IF(AS10="",9.9E+99,AS10),AK10/R10))</f>
        <v/>
      </c>
      <c r="AO10" s="38">
        <f>IF(AN10="","",AN10*T10)</f>
        <v/>
      </c>
      <c r="AP10" s="40" t="n"/>
      <c r="AQ10" s="41" t="n"/>
      <c r="AR10" s="41" t="n"/>
      <c r="AS10" s="42" t="n">
        <v>2</v>
      </c>
      <c r="AT10" s="43">
        <f>IF(((S10*pax_cap*load_thin*ROUND(K10*L10*revleg_thin,0))-(((battery/range_nm)*D10*ROUND(K10*L10*revleg_thin,0)*VLOOKUP(B10,country_opex,3,FALSE))+V10+W10+X10+Y10+Z10))&lt;=0,"",VLOOKUP(B10,country_opex,7,FALSE)/((S10*pax_cap*load_thin*ROUND(K10*L10*revleg_thin,0))-(((battery/range_nm)*D10*ROUND(K10*L10*revleg_thin,0)*VLOOKUP(B10,country_opex,3,FALSE))+V10+W10+X10+Y10+Z10)))</f>
        <v/>
      </c>
      <c r="AU10" s="43">
        <f>IF(((S10*pax_cap*load_mid*ROUND(K10*L10*revleg_mid,0))-(((battery/range_nm)*D10*ROUND(K10*L10*revleg_mid,0)*VLOOKUP(B10,country_opex,3,FALSE))+V10+W10+X10+Y10+Z10))&lt;=0,"",VLOOKUP(B10,country_opex,7,FALSE)/((S10*pax_cap*load_mid*ROUND(K10*L10*revleg_mid,0))-(((battery/range_nm)*D10*ROUND(K10*L10*revleg_mid,0)*VLOOKUP(B10,country_opex,3,FALSE))+V10+W10+X10+Y10+Z10)))</f>
        <v/>
      </c>
      <c r="AV10" s="43">
        <f>IF(((S10*pax_cap*load_full*ROUND(K10*L10*revleg_full,0))-(((battery/range_nm)*D10*ROUND(K10*L10*revleg_full,0)*VLOOKUP(B10,country_opex,3,FALSE))+V10+W10+X10+Y10+Z10))&lt;=0,"",VLOOKUP(B10,country_opex,7,FALSE)/((S10*pax_cap*load_full*ROUND(K10*L10*revleg_full,0))-(((battery/range_nm)*D10*ROUND(K10*L10*revleg_full,0)*VLOOKUP(B10,country_opex,3,FALSE))+V10+W10+X10+Y10+Z10)))</f>
        <v/>
      </c>
      <c r="AW10" s="44" t="inlineStr">
        <is>
          <t>Mr &amp; Mrs Smith: Gili Lankanfushi shared return speedboat transfer US$302/person (excl tax) = $151/way. immaldives near-Male speedboat band $100-490 RT. Resort offers complimentary transfer on 4+ night book-direct stays (gili-lankanfushi.com) - underlying paid rate ~$150/way.</t>
        </is>
      </c>
      <c r="AX10" s="44" t="inlineStr">
        <is>
          <t>Modeled from resort key count. Gili Lankanfushi (North Malé): ~45 villas/keys (published resort/Virtuoso/booking figures). corridor_annual_oneway_pax = keys x 365 x occ(0.75) / avg_stay(7 nights) x guests/key(2) x 2 (arr+dep) ~= keys x 156. 45 keys -&gt; ~7,000 one-way pax/yr. Airport(MLE)&lt;-&gt;this resort is the sole transfer corridor (boat/seaplane only; no road/air alt - R3-EXCEPTION: arrivals = crossing ridership).</t>
        </is>
      </c>
    </row>
    <row r="11">
      <c r="A11" s="29" t="inlineStr">
        <is>
          <t>Maldives (JIH)</t>
        </is>
      </c>
      <c r="B11" s="29" t="inlineStr">
        <is>
          <t>Maldives</t>
        </is>
      </c>
      <c r="C11" s="30" t="inlineStr">
        <is>
          <t>Joali Maldives (Muravandhoo, Raa) → Joali Being (Bodufushi, Raa)</t>
        </is>
      </c>
      <c r="D11" s="31" t="n">
        <v>6.5</v>
      </c>
      <c r="E11" s="26" t="n">
        <v>175</v>
      </c>
      <c r="F11" s="32" t="inlineStr">
        <is>
          <t>T3</t>
        </is>
      </c>
      <c r="G11" s="32" t="inlineStr">
        <is>
          <t>med</t>
        </is>
      </c>
      <c r="H11" s="19" t="n">
        <v>1</v>
      </c>
      <c r="I11" s="33">
        <f>60*D11/cruise_kt</f>
        <v/>
      </c>
      <c r="J11" s="33">
        <f>I11+turn_min+dwell_min</f>
        <v/>
      </c>
      <c r="K11" s="34">
        <f>MIN(15,FLOOR(60*service_hr/J11,1))</f>
        <v/>
      </c>
      <c r="L11" s="34">
        <f>ROUND(365*mech_uptime*H11,0)</f>
        <v/>
      </c>
      <c r="M11" s="35">
        <f>mech_uptime</f>
        <v/>
      </c>
      <c r="N11" s="35">
        <f>revleg_sel</f>
        <v/>
      </c>
      <c r="O11" s="34">
        <f>ROUND(K11*L11*revleg_sel,0)</f>
        <v/>
      </c>
      <c r="P11" s="36">
        <f>load_sel</f>
        <v/>
      </c>
      <c r="Q11" s="36">
        <f>pax_cap*P11</f>
        <v/>
      </c>
      <c r="R11" s="34">
        <f>Q11*O11</f>
        <v/>
      </c>
      <c r="S11" s="37">
        <f>E11*discount</f>
        <v/>
      </c>
      <c r="T11" s="38">
        <f>S11*R11</f>
        <v/>
      </c>
      <c r="U11" s="38">
        <f>(battery/range_nm)*D11*O11*VLOOKUP(B11,country_opex,3,FALSE)</f>
        <v/>
      </c>
      <c r="V11" s="38">
        <f>VLOOKUP(B11,country_opex,2,FALSE)*crew_factor</f>
        <v/>
      </c>
      <c r="W11" s="38">
        <f>VLOOKUP(B11,country_opex,5,FALSE)</f>
        <v/>
      </c>
      <c r="X11" s="38">
        <f>maint</f>
        <v/>
      </c>
      <c r="Y11" s="38">
        <f>VLOOKUP(B11,country_opex,7,FALSE)*ins_pct</f>
        <v/>
      </c>
      <c r="Z11" s="38">
        <f>charge_berth</f>
        <v/>
      </c>
      <c r="AA11" s="38">
        <f>U11+V11+W11+X11+Y11+Z11</f>
        <v/>
      </c>
      <c r="AB11" s="38">
        <f>VLOOKUP(B11,country_opex,7,FALSE)/dep_years</f>
        <v/>
      </c>
      <c r="AC11" s="38">
        <f>T11-AA11</f>
        <v/>
      </c>
      <c r="AD11" s="35">
        <f>IF(T11=0,"",AC11/T11)</f>
        <v/>
      </c>
      <c r="AE11" s="36">
        <f>IF(AC11&lt;=0,"",VLOOKUP(B11,country_opex,7,FALSE)/AC11)</f>
        <v/>
      </c>
      <c r="AF11" s="33">
        <f>((D11*O11/diesel_nmpg)*diesel_co2pg-(battery/range_nm)*D11*O11*VLOOKUP(B11,country_opex,4,FALSE))/1000</f>
        <v/>
      </c>
      <c r="AG11" s="31" t="n"/>
      <c r="AH11" s="32" t="n"/>
      <c r="AI11" s="32" t="inlineStr">
        <is>
          <t>null</t>
        </is>
      </c>
      <c r="AJ11" s="39" t="n">
        <v>0.9</v>
      </c>
      <c r="AK11" s="34">
        <f>IF(AG11="","",AG11*AJ11)</f>
        <v/>
      </c>
      <c r="AL11" s="34">
        <f>IF(OR(AG11="",R11=0),"",MIN(IF(AS11="",9.9E+99,AS11),FLOOR(AK11/R11,1)))</f>
        <v/>
      </c>
      <c r="AM11" s="38">
        <f>IF(AL11="","",AL11*T11)</f>
        <v/>
      </c>
      <c r="AN11" s="36">
        <f>IF(OR(AG11="",R11=0),"",MIN(IF(AS11="",9.9E+99,AS11),AK11/R11))</f>
        <v/>
      </c>
      <c r="AO11" s="38">
        <f>IF(AN11="","",AN11*T11)</f>
        <v/>
      </c>
      <c r="AP11" s="40" t="n"/>
      <c r="AQ11" s="41" t="n"/>
      <c r="AR11" s="41" t="n"/>
      <c r="AS11" s="42" t="n"/>
      <c r="AT11" s="43">
        <f>IF(((S11*pax_cap*load_thin*ROUND(K11*L11*revleg_thin,0))-(((battery/range_nm)*D11*ROUND(K11*L11*revleg_thin,0)*VLOOKUP(B11,country_opex,3,FALSE))+V11+W11+X11+Y11+Z11))&lt;=0,"",VLOOKUP(B11,country_opex,7,FALSE)/((S11*pax_cap*load_thin*ROUND(K11*L11*revleg_thin,0))-(((battery/range_nm)*D11*ROUND(K11*L11*revleg_thin,0)*VLOOKUP(B11,country_opex,3,FALSE))+V11+W11+X11+Y11+Z11)))</f>
        <v/>
      </c>
      <c r="AU11" s="43">
        <f>IF(((S11*pax_cap*load_mid*ROUND(K11*L11*revleg_mid,0))-(((battery/range_nm)*D11*ROUND(K11*L11*revleg_mid,0)*VLOOKUP(B11,country_opex,3,FALSE))+V11+W11+X11+Y11+Z11))&lt;=0,"",VLOOKUP(B11,country_opex,7,FALSE)/((S11*pax_cap*load_mid*ROUND(K11*L11*revleg_mid,0))-(((battery/range_nm)*D11*ROUND(K11*L11*revleg_mid,0)*VLOOKUP(B11,country_opex,3,FALSE))+V11+W11+X11+Y11+Z11)))</f>
        <v/>
      </c>
      <c r="AV11" s="43">
        <f>IF(((S11*pax_cap*load_full*ROUND(K11*L11*revleg_full,0))-(((battery/range_nm)*D11*ROUND(K11*L11*revleg_full,0)*VLOOKUP(B11,country_opex,3,FALSE))+V11+W11+X11+Y11+Z11))&lt;=0,"",VLOOKUP(B11,country_opex,7,FALSE)/((S11*pax_cap*load_full*ROUND(K11*L11*revleg_full,0))-(((battery/range_nm)*D11*ROUND(K11*L11*revleg_full,0)*VLOOKUP(B11,country_opex,3,FALSE))+V11+W11+X11+Y11+Z11)))</f>
        <v/>
      </c>
      <c r="AW11" s="44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X11" s="44" t="inlineStr">
        <is>
          <t>NULL — pure inter-resort island-hop; no grounded crossing pool (R2). Geometry only.</t>
        </is>
      </c>
    </row>
    <row r="12">
      <c r="A12" s="29" t="inlineStr">
        <is>
          <t>Maldives (JIH)</t>
        </is>
      </c>
      <c r="B12" s="29" t="inlineStr">
        <is>
          <t>Maldives</t>
        </is>
      </c>
      <c r="C12" s="30" t="inlineStr">
        <is>
          <t>Maafaru Airport, Noonu → Soneva Jani (Medhufaru, Noonu)</t>
        </is>
      </c>
      <c r="D12" s="31" t="n">
        <v>7.6</v>
      </c>
      <c r="E12" s="26" t="n">
        <v>200</v>
      </c>
      <c r="F12" s="32" t="inlineStr">
        <is>
          <t>T3</t>
        </is>
      </c>
      <c r="G12" s="32" t="inlineStr">
        <is>
          <t>med</t>
        </is>
      </c>
      <c r="H12" s="19" t="n">
        <v>1</v>
      </c>
      <c r="I12" s="33">
        <f>60*D12/cruise_kt</f>
        <v/>
      </c>
      <c r="J12" s="33">
        <f>I12+turn_min+dwell_min</f>
        <v/>
      </c>
      <c r="K12" s="34">
        <f>MIN(15,FLOOR(60*service_hr/J12,1))</f>
        <v/>
      </c>
      <c r="L12" s="34">
        <f>ROUND(365*mech_uptime*H12,0)</f>
        <v/>
      </c>
      <c r="M12" s="35">
        <f>mech_uptime</f>
        <v/>
      </c>
      <c r="N12" s="35">
        <f>revleg_sel</f>
        <v/>
      </c>
      <c r="O12" s="34">
        <f>ROUND(K12*L12*revleg_sel,0)</f>
        <v/>
      </c>
      <c r="P12" s="36">
        <f>load_sel</f>
        <v/>
      </c>
      <c r="Q12" s="36">
        <f>pax_cap*P12</f>
        <v/>
      </c>
      <c r="R12" s="34">
        <f>Q12*O12</f>
        <v/>
      </c>
      <c r="S12" s="37">
        <f>E12*discount</f>
        <v/>
      </c>
      <c r="T12" s="38">
        <f>S12*R12</f>
        <v/>
      </c>
      <c r="U12" s="38">
        <f>(battery/range_nm)*D12*O12*VLOOKUP(B12,country_opex,3,FALSE)</f>
        <v/>
      </c>
      <c r="V12" s="38">
        <f>VLOOKUP(B12,country_opex,2,FALSE)*crew_factor</f>
        <v/>
      </c>
      <c r="W12" s="38">
        <f>VLOOKUP(B12,country_opex,5,FALSE)</f>
        <v/>
      </c>
      <c r="X12" s="38">
        <f>maint</f>
        <v/>
      </c>
      <c r="Y12" s="38">
        <f>VLOOKUP(B12,country_opex,7,FALSE)*ins_pct</f>
        <v/>
      </c>
      <c r="Z12" s="38">
        <f>charge_berth</f>
        <v/>
      </c>
      <c r="AA12" s="38">
        <f>U12+V12+W12+X12+Y12+Z12</f>
        <v/>
      </c>
      <c r="AB12" s="38">
        <f>VLOOKUP(B12,country_opex,7,FALSE)/dep_years</f>
        <v/>
      </c>
      <c r="AC12" s="38">
        <f>T12-AA12</f>
        <v/>
      </c>
      <c r="AD12" s="35">
        <f>IF(T12=0,"",AC12/T12)</f>
        <v/>
      </c>
      <c r="AE12" s="36">
        <f>IF(AC12&lt;=0,"",VLOOKUP(B12,country_opex,7,FALSE)/AC12)</f>
        <v/>
      </c>
      <c r="AF12" s="33">
        <f>((D12*O12/diesel_nmpg)*diesel_co2pg-(battery/range_nm)*D12*O12*VLOOKUP(B12,country_opex,4,FALSE))/1000</f>
        <v/>
      </c>
      <c r="AG12" s="31" t="n">
        <v>3884</v>
      </c>
      <c r="AH12" s="32" t="inlineStr">
        <is>
          <t>T5</t>
        </is>
      </c>
      <c r="AI12" s="32" t="inlineStr">
        <is>
          <t>med</t>
        </is>
      </c>
      <c r="AJ12" s="39" t="n">
        <v>0.9</v>
      </c>
      <c r="AK12" s="34">
        <f>IF(AG12="","",AG12*AJ12)</f>
        <v/>
      </c>
      <c r="AL12" s="34">
        <f>IF(OR(AG12="",R12=0),"",MIN(IF(AS12="",9.9E+99,AS12),FLOOR(AK12/R12,1)))</f>
        <v/>
      </c>
      <c r="AM12" s="38">
        <f>IF(AL12="","",AL12*T12)</f>
        <v/>
      </c>
      <c r="AN12" s="36">
        <f>IF(OR(AG12="",R12=0),"",MIN(IF(AS12="",9.9E+99,AS12),AK12/R12))</f>
        <v/>
      </c>
      <c r="AO12" s="38">
        <f>IF(AN12="","",AN12*T12)</f>
        <v/>
      </c>
      <c r="AP12" s="40" t="n"/>
      <c r="AQ12" s="41" t="n"/>
      <c r="AR12" s="41" t="n"/>
      <c r="AS12" s="42" t="n">
        <v>3</v>
      </c>
      <c r="AT12" s="43">
        <f>IF(((S12*pax_cap*load_thin*ROUND(K12*L12*revleg_thin,0))-(((battery/range_nm)*D12*ROUND(K12*L12*revleg_thin,0)*VLOOKUP(B12,country_opex,3,FALSE))+V12+W12+X12+Y12+Z12))&lt;=0,"",VLOOKUP(B12,country_opex,7,FALSE)/((S12*pax_cap*load_thin*ROUND(K12*L12*revleg_thin,0))-(((battery/range_nm)*D12*ROUND(K12*L12*revleg_thin,0)*VLOOKUP(B12,country_opex,3,FALSE))+V12+W12+X12+Y12+Z12)))</f>
        <v/>
      </c>
      <c r="AU12" s="43">
        <f>IF(((S12*pax_cap*load_mid*ROUND(K12*L12*revleg_mid,0))-(((battery/range_nm)*D12*ROUND(K12*L12*revleg_mid,0)*VLOOKUP(B12,country_opex,3,FALSE))+V12+W12+X12+Y12+Z12))&lt;=0,"",VLOOKUP(B12,country_opex,7,FALSE)/((S12*pax_cap*load_mid*ROUND(K12*L12*revleg_mid,0))-(((battery/range_nm)*D12*ROUND(K12*L12*revleg_mid,0)*VLOOKUP(B12,country_opex,3,FALSE))+V12+W12+X12+Y12+Z12)))</f>
        <v/>
      </c>
      <c r="AV12" s="43">
        <f>IF(((S12*pax_cap*load_full*ROUND(K12*L12*revleg_full,0))-(((battery/range_nm)*D12*ROUND(K12*L12*revleg_full,0)*VLOOKUP(B12,country_opex,3,FALSE))+V12+W12+X12+Y12+Z12))&lt;=0,"",VLOOKUP(B12,country_opex,7,FALSE)/((S12*pax_cap*load_full*ROUND(K12*L12*revleg_full,0))-(((battery/range_nm)*D12*ROUND(K12*L12*revleg_full,0)*VLOOKUP(B12,country_opex,3,FALSE))+V12+W12+X12+Y12+Z12)))</f>
        <v/>
      </c>
      <c r="AW12" s="44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X12" s="44" t="inlineStr">
        <is>
          <t>Modeled arrivals = published keys x occupancy 0.70 (Maldives Min. of Tourism avg) x (365/6.5 nights avg stay) x 1.9 pax/room. Inbound one-way transfers. T5-modeled/med; keys T1 resort-published. NULL for pure inter-resort excursion legs (R2).</t>
        </is>
      </c>
    </row>
    <row r="13">
      <c r="A13" s="29" t="inlineStr">
        <is>
          <t>Maldives (JIH)</t>
        </is>
      </c>
      <c r="B13" s="29" t="inlineStr">
        <is>
          <t>Maldives</t>
        </is>
      </c>
      <c r="C13" s="30" t="inlineStr">
        <is>
          <t>Kooddoo Airport, Gaafu Alif → Pullman Maldives Maamutaa (Gaafu)</t>
        </is>
      </c>
      <c r="D13" s="31" t="n">
        <v>7.7</v>
      </c>
      <c r="E13" s="26" t="n">
        <v>150</v>
      </c>
      <c r="F13" s="32" t="inlineStr">
        <is>
          <t>T3</t>
        </is>
      </c>
      <c r="G13" s="32" t="inlineStr">
        <is>
          <t>med</t>
        </is>
      </c>
      <c r="H13" s="19" t="n">
        <v>1</v>
      </c>
      <c r="I13" s="33">
        <f>60*D13/cruise_kt</f>
        <v/>
      </c>
      <c r="J13" s="33">
        <f>I13+turn_min+dwell_min</f>
        <v/>
      </c>
      <c r="K13" s="34">
        <f>MIN(15,FLOOR(60*service_hr/J13,1))</f>
        <v/>
      </c>
      <c r="L13" s="34">
        <f>ROUND(365*mech_uptime*H13,0)</f>
        <v/>
      </c>
      <c r="M13" s="35">
        <f>mech_uptime</f>
        <v/>
      </c>
      <c r="N13" s="35">
        <f>revleg_sel</f>
        <v/>
      </c>
      <c r="O13" s="34">
        <f>ROUND(K13*L13*revleg_sel,0)</f>
        <v/>
      </c>
      <c r="P13" s="36">
        <f>load_sel</f>
        <v/>
      </c>
      <c r="Q13" s="36">
        <f>pax_cap*P13</f>
        <v/>
      </c>
      <c r="R13" s="34">
        <f>Q13*O13</f>
        <v/>
      </c>
      <c r="S13" s="37">
        <f>E13*discount</f>
        <v/>
      </c>
      <c r="T13" s="38">
        <f>S13*R13</f>
        <v/>
      </c>
      <c r="U13" s="38">
        <f>(battery/range_nm)*D13*O13*VLOOKUP(B13,country_opex,3,FALSE)</f>
        <v/>
      </c>
      <c r="V13" s="38">
        <f>VLOOKUP(B13,country_opex,2,FALSE)*crew_factor</f>
        <v/>
      </c>
      <c r="W13" s="38">
        <f>VLOOKUP(B13,country_opex,5,FALSE)</f>
        <v/>
      </c>
      <c r="X13" s="38">
        <f>maint</f>
        <v/>
      </c>
      <c r="Y13" s="38">
        <f>VLOOKUP(B13,country_opex,7,FALSE)*ins_pct</f>
        <v/>
      </c>
      <c r="Z13" s="38">
        <f>charge_berth</f>
        <v/>
      </c>
      <c r="AA13" s="38">
        <f>U13+V13+W13+X13+Y13+Z13</f>
        <v/>
      </c>
      <c r="AB13" s="38">
        <f>VLOOKUP(B13,country_opex,7,FALSE)/dep_years</f>
        <v/>
      </c>
      <c r="AC13" s="38">
        <f>T13-AA13</f>
        <v/>
      </c>
      <c r="AD13" s="35">
        <f>IF(T13=0,"",AC13/T13)</f>
        <v/>
      </c>
      <c r="AE13" s="36">
        <f>IF(AC13&lt;=0,"",VLOOKUP(B13,country_opex,7,FALSE)/AC13)</f>
        <v/>
      </c>
      <c r="AF13" s="33">
        <f>((D13*O13/diesel_nmpg)*diesel_co2pg-(battery/range_nm)*D13*O13*VLOOKUP(B13,country_opex,4,FALSE))/1000</f>
        <v/>
      </c>
      <c r="AG13" s="31" t="n">
        <v>9112</v>
      </c>
      <c r="AH13" s="32" t="inlineStr">
        <is>
          <t>T5</t>
        </is>
      </c>
      <c r="AI13" s="32" t="inlineStr">
        <is>
          <t>med</t>
        </is>
      </c>
      <c r="AJ13" s="39" t="n">
        <v>0.9</v>
      </c>
      <c r="AK13" s="34">
        <f>IF(AG13="","",AG13*AJ13)</f>
        <v/>
      </c>
      <c r="AL13" s="34">
        <f>IF(OR(AG13="",R13=0),"",MIN(IF(AS13="",9.9E+99,AS13),FLOOR(AK13/R13,1)))</f>
        <v/>
      </c>
      <c r="AM13" s="38">
        <f>IF(AL13="","",AL13*T13)</f>
        <v/>
      </c>
      <c r="AN13" s="36">
        <f>IF(OR(AG13="",R13=0),"",MIN(IF(AS13="",9.9E+99,AS13),AK13/R13))</f>
        <v/>
      </c>
      <c r="AO13" s="38">
        <f>IF(AN13="","",AN13*T13)</f>
        <v/>
      </c>
      <c r="AP13" s="40" t="n"/>
      <c r="AQ13" s="41" t="n"/>
      <c r="AR13" s="41" t="n"/>
      <c r="AS13" s="42" t="n">
        <v>5</v>
      </c>
      <c r="AT13" s="43">
        <f>IF(((S13*pax_cap*load_thin*ROUND(K13*L13*revleg_thin,0))-(((battery/range_nm)*D13*ROUND(K13*L13*revleg_thin,0)*VLOOKUP(B13,country_opex,3,FALSE))+V13+W13+X13+Y13+Z13))&lt;=0,"",VLOOKUP(B13,country_opex,7,FALSE)/((S13*pax_cap*load_thin*ROUND(K13*L13*revleg_thin,0))-(((battery/range_nm)*D13*ROUND(K13*L13*revleg_thin,0)*VLOOKUP(B13,country_opex,3,FALSE))+V13+W13+X13+Y13+Z13)))</f>
        <v/>
      </c>
      <c r="AU13" s="43">
        <f>IF(((S13*pax_cap*load_mid*ROUND(K13*L13*revleg_mid,0))-(((battery/range_nm)*D13*ROUND(K13*L13*revleg_mid,0)*VLOOKUP(B13,country_opex,3,FALSE))+V13+W13+X13+Y13+Z13))&lt;=0,"",VLOOKUP(B13,country_opex,7,FALSE)/((S13*pax_cap*load_mid*ROUND(K13*L13*revleg_mid,0))-(((battery/range_nm)*D13*ROUND(K13*L13*revleg_mid,0)*VLOOKUP(B13,country_opex,3,FALSE))+V13+W13+X13+Y13+Z13)))</f>
        <v/>
      </c>
      <c r="AV13" s="43">
        <f>IF(((S13*pax_cap*load_full*ROUND(K13*L13*revleg_full,0))-(((battery/range_nm)*D13*ROUND(K13*L13*revleg_full,0)*VLOOKUP(B13,country_opex,3,FALSE))+V13+W13+X13+Y13+Z13))&lt;=0,"",VLOOKUP(B13,country_opex,7,FALSE)/((S13*pax_cap*load_full*ROUND(K13*L13*revleg_full,0))-(((battery/range_nm)*D13*ROUND(K13*L13*revleg_full,0)*VLOOKUP(B13,country_opex,3,FALSE))+V13+W13+X13+Y13+Z13)))</f>
        <v/>
      </c>
      <c r="AW13" s="44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X13" s="44" t="inlineStr">
        <is>
          <t>Modeled arrivals = published keys x occupancy 0.70 (Maldives Min. of Tourism avg) x (365/6.5 nights avg stay) x 1.9 pax/room. Inbound one-way transfers. T5-modeled/med; keys T1 resort-published. NULL for pure inter-resort excursion legs (R2).</t>
        </is>
      </c>
    </row>
    <row r="14">
      <c r="A14" s="29" t="inlineStr">
        <is>
          <t>Maldives (JIH)</t>
        </is>
      </c>
      <c r="B14" s="29" t="inlineStr">
        <is>
          <t>Maldives</t>
        </is>
      </c>
      <c r="C14" s="30" t="inlineStr">
        <is>
          <t>Kadhdhoo Airport, Laamu → Six Senses Laamu</t>
        </is>
      </c>
      <c r="D14" s="31" t="n">
        <v>7.8</v>
      </c>
      <c r="E14" s="26" t="n">
        <v>150</v>
      </c>
      <c r="F14" s="32" t="inlineStr">
        <is>
          <t>T3</t>
        </is>
      </c>
      <c r="G14" s="32" t="inlineStr">
        <is>
          <t>med</t>
        </is>
      </c>
      <c r="H14" s="19" t="n">
        <v>1</v>
      </c>
      <c r="I14" s="33">
        <f>60*D14/cruise_kt</f>
        <v/>
      </c>
      <c r="J14" s="33">
        <f>I14+turn_min+dwell_min</f>
        <v/>
      </c>
      <c r="K14" s="34">
        <f>MIN(15,FLOOR(60*service_hr/J14,1))</f>
        <v/>
      </c>
      <c r="L14" s="34">
        <f>ROUND(365*mech_uptime*H14,0)</f>
        <v/>
      </c>
      <c r="M14" s="35">
        <f>mech_uptime</f>
        <v/>
      </c>
      <c r="N14" s="35">
        <f>revleg_sel</f>
        <v/>
      </c>
      <c r="O14" s="34">
        <f>ROUND(K14*L14*revleg_sel,0)</f>
        <v/>
      </c>
      <c r="P14" s="36">
        <f>load_sel</f>
        <v/>
      </c>
      <c r="Q14" s="36">
        <f>pax_cap*P14</f>
        <v/>
      </c>
      <c r="R14" s="34">
        <f>Q14*O14</f>
        <v/>
      </c>
      <c r="S14" s="37">
        <f>E14*discount</f>
        <v/>
      </c>
      <c r="T14" s="38">
        <f>S14*R14</f>
        <v/>
      </c>
      <c r="U14" s="38">
        <f>(battery/range_nm)*D14*O14*VLOOKUP(B14,country_opex,3,FALSE)</f>
        <v/>
      </c>
      <c r="V14" s="38">
        <f>VLOOKUP(B14,country_opex,2,FALSE)*crew_factor</f>
        <v/>
      </c>
      <c r="W14" s="38">
        <f>VLOOKUP(B14,country_opex,5,FALSE)</f>
        <v/>
      </c>
      <c r="X14" s="38">
        <f>maint</f>
        <v/>
      </c>
      <c r="Y14" s="38">
        <f>VLOOKUP(B14,country_opex,7,FALSE)*ins_pct</f>
        <v/>
      </c>
      <c r="Z14" s="38">
        <f>charge_berth</f>
        <v/>
      </c>
      <c r="AA14" s="38">
        <f>U14+V14+W14+X14+Y14+Z14</f>
        <v/>
      </c>
      <c r="AB14" s="38">
        <f>VLOOKUP(B14,country_opex,7,FALSE)/dep_years</f>
        <v/>
      </c>
      <c r="AC14" s="38">
        <f>T14-AA14</f>
        <v/>
      </c>
      <c r="AD14" s="35">
        <f>IF(T14=0,"",AC14/T14)</f>
        <v/>
      </c>
      <c r="AE14" s="36">
        <f>IF(AC14&lt;=0,"",VLOOKUP(B14,country_opex,7,FALSE)/AC14)</f>
        <v/>
      </c>
      <c r="AF14" s="33">
        <f>((D14*O14/diesel_nmpg)*diesel_co2pg-(battery/range_nm)*D14*O14*VLOOKUP(B14,country_opex,4,FALSE))/1000</f>
        <v/>
      </c>
      <c r="AG14" s="31" t="n">
        <v>7244</v>
      </c>
      <c r="AH14" s="32" t="inlineStr">
        <is>
          <t>T5</t>
        </is>
      </c>
      <c r="AI14" s="32" t="inlineStr">
        <is>
          <t>med</t>
        </is>
      </c>
      <c r="AJ14" s="39" t="n">
        <v>0.9</v>
      </c>
      <c r="AK14" s="34">
        <f>IF(AG14="","",AG14*AJ14)</f>
        <v/>
      </c>
      <c r="AL14" s="34">
        <f>IF(OR(AG14="",R14=0),"",MIN(IF(AS14="",9.9E+99,AS14),FLOOR(AK14/R14,1)))</f>
        <v/>
      </c>
      <c r="AM14" s="38">
        <f>IF(AL14="","",AL14*T14)</f>
        <v/>
      </c>
      <c r="AN14" s="36">
        <f>IF(OR(AG14="",R14=0),"",MIN(IF(AS14="",9.9E+99,AS14),AK14/R14))</f>
        <v/>
      </c>
      <c r="AO14" s="38">
        <f>IF(AN14="","",AN14*T14)</f>
        <v/>
      </c>
      <c r="AP14" s="40" t="n"/>
      <c r="AQ14" s="41" t="n"/>
      <c r="AR14" s="41" t="n"/>
      <c r="AS14" s="42" t="n">
        <v>4</v>
      </c>
      <c r="AT14" s="43">
        <f>IF(((S14*pax_cap*load_thin*ROUND(K14*L14*revleg_thin,0))-(((battery/range_nm)*D14*ROUND(K14*L14*revleg_thin,0)*VLOOKUP(B14,country_opex,3,FALSE))+V14+W14+X14+Y14+Z14))&lt;=0,"",VLOOKUP(B14,country_opex,7,FALSE)/((S14*pax_cap*load_thin*ROUND(K14*L14*revleg_thin,0))-(((battery/range_nm)*D14*ROUND(K14*L14*revleg_thin,0)*VLOOKUP(B14,country_opex,3,FALSE))+V14+W14+X14+Y14+Z14)))</f>
        <v/>
      </c>
      <c r="AU14" s="43">
        <f>IF(((S14*pax_cap*load_mid*ROUND(K14*L14*revleg_mid,0))-(((battery/range_nm)*D14*ROUND(K14*L14*revleg_mid,0)*VLOOKUP(B14,country_opex,3,FALSE))+V14+W14+X14+Y14+Z14))&lt;=0,"",VLOOKUP(B14,country_opex,7,FALSE)/((S14*pax_cap*load_mid*ROUND(K14*L14*revleg_mid,0))-(((battery/range_nm)*D14*ROUND(K14*L14*revleg_mid,0)*VLOOKUP(B14,country_opex,3,FALSE))+V14+W14+X14+Y14+Z14)))</f>
        <v/>
      </c>
      <c r="AV14" s="43">
        <f>IF(((S14*pax_cap*load_full*ROUND(K14*L14*revleg_full,0))-(((battery/range_nm)*D14*ROUND(K14*L14*revleg_full,0)*VLOOKUP(B14,country_opex,3,FALSE))+V14+W14+X14+Y14+Z14))&lt;=0,"",VLOOKUP(B14,country_opex,7,FALSE)/((S14*pax_cap*load_full*ROUND(K14*L14*revleg_full,0))-(((battery/range_nm)*D14*ROUND(K14*L14*revleg_full,0)*VLOOKUP(B14,country_opex,3,FALSE))+V14+W14+X14+Y14+Z14)))</f>
        <v/>
      </c>
      <c r="AW14" s="44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X14" s="44" t="inlineStr">
        <is>
          <t>Modeled arrivals = published keys x occupancy 0.70 (Maldives Min. of Tourism avg) x (365/6.5 nights avg stay) x 1.9 pax/room. Inbound one-way transfers. T5-modeled/med; keys T1 resort-published. NULL for pure inter-resort excursion legs (R2).</t>
        </is>
      </c>
    </row>
    <row r="15">
      <c r="A15" s="29" t="inlineStr">
        <is>
          <t>Maldives (JIH)</t>
        </is>
      </c>
      <c r="B15" s="29" t="inlineStr">
        <is>
          <t>Maldives</t>
        </is>
      </c>
      <c r="C15" s="30" t="inlineStr">
        <is>
          <t>Velana International Airport (MLE) Resort Speedboat Lounges → Baros Maldives (North Malé)</t>
        </is>
      </c>
      <c r="D15" s="31" t="n">
        <v>8.300000000000001</v>
      </c>
      <c r="E15" s="26" t="n">
        <v>120</v>
      </c>
      <c r="F15" s="32" t="inlineStr">
        <is>
          <t>T3</t>
        </is>
      </c>
      <c r="G15" s="32" t="inlineStr">
        <is>
          <t>med</t>
        </is>
      </c>
      <c r="H15" s="19" t="n">
        <v>1</v>
      </c>
      <c r="I15" s="33">
        <f>60*D15/cruise_kt</f>
        <v/>
      </c>
      <c r="J15" s="33">
        <f>I15+turn_min+dwell_min</f>
        <v/>
      </c>
      <c r="K15" s="34">
        <f>MIN(15,FLOOR(60*service_hr/J15,1))</f>
        <v/>
      </c>
      <c r="L15" s="34">
        <f>ROUND(365*mech_uptime*H15,0)</f>
        <v/>
      </c>
      <c r="M15" s="35">
        <f>mech_uptime</f>
        <v/>
      </c>
      <c r="N15" s="35">
        <f>revleg_sel</f>
        <v/>
      </c>
      <c r="O15" s="34">
        <f>ROUND(K15*L15*revleg_sel,0)</f>
        <v/>
      </c>
      <c r="P15" s="36">
        <f>load_sel</f>
        <v/>
      </c>
      <c r="Q15" s="36">
        <f>pax_cap*P15</f>
        <v/>
      </c>
      <c r="R15" s="34">
        <f>Q15*O15</f>
        <v/>
      </c>
      <c r="S15" s="37">
        <f>E15*discount</f>
        <v/>
      </c>
      <c r="T15" s="38">
        <f>S15*R15</f>
        <v/>
      </c>
      <c r="U15" s="38">
        <f>(battery/range_nm)*D15*O15*VLOOKUP(B15,country_opex,3,FALSE)</f>
        <v/>
      </c>
      <c r="V15" s="38">
        <f>VLOOKUP(B15,country_opex,2,FALSE)*crew_factor</f>
        <v/>
      </c>
      <c r="W15" s="38">
        <f>VLOOKUP(B15,country_opex,5,FALSE)</f>
        <v/>
      </c>
      <c r="X15" s="38">
        <f>maint</f>
        <v/>
      </c>
      <c r="Y15" s="38">
        <f>VLOOKUP(B15,country_opex,7,FALSE)*ins_pct</f>
        <v/>
      </c>
      <c r="Z15" s="38">
        <f>charge_berth</f>
        <v/>
      </c>
      <c r="AA15" s="38">
        <f>U15+V15+W15+X15+Y15+Z15</f>
        <v/>
      </c>
      <c r="AB15" s="38">
        <f>VLOOKUP(B15,country_opex,7,FALSE)/dep_years</f>
        <v/>
      </c>
      <c r="AC15" s="38">
        <f>T15-AA15</f>
        <v/>
      </c>
      <c r="AD15" s="35">
        <f>IF(T15=0,"",AC15/T15)</f>
        <v/>
      </c>
      <c r="AE15" s="36">
        <f>IF(AC15&lt;=0,"",VLOOKUP(B15,country_opex,7,FALSE)/AC15)</f>
        <v/>
      </c>
      <c r="AF15" s="33">
        <f>((D15*O15/diesel_nmpg)*diesel_co2pg-(battery/range_nm)*D15*O15*VLOOKUP(B15,country_opex,4,FALSE))/1000</f>
        <v/>
      </c>
      <c r="AG15" s="31" t="n">
        <v>11700</v>
      </c>
      <c r="AH15" s="32" t="inlineStr">
        <is>
          <t>T5</t>
        </is>
      </c>
      <c r="AI15" s="32" t="inlineStr">
        <is>
          <t>low-med</t>
        </is>
      </c>
      <c r="AJ15" s="39" t="n">
        <v>0.9</v>
      </c>
      <c r="AK15" s="34">
        <f>IF(AG15="","",AG15*AJ15)</f>
        <v/>
      </c>
      <c r="AL15" s="34">
        <f>IF(OR(AG15="",R15=0),"",MIN(IF(AS15="",9.9E+99,AS15),FLOOR(AK15/R15,1)))</f>
        <v/>
      </c>
      <c r="AM15" s="38">
        <f>IF(AL15="","",AL15*T15)</f>
        <v/>
      </c>
      <c r="AN15" s="36">
        <f>IF(OR(AG15="",R15=0),"",MIN(IF(AS15="",9.9E+99,AS15),AK15/R15))</f>
        <v/>
      </c>
      <c r="AO15" s="38">
        <f>IF(AN15="","",AN15*T15)</f>
        <v/>
      </c>
      <c r="AP15" s="40" t="n"/>
      <c r="AQ15" s="41" t="n"/>
      <c r="AR15" s="41" t="n"/>
      <c r="AS15" s="42" t="n">
        <v>3</v>
      </c>
      <c r="AT15" s="43">
        <f>IF(((S15*pax_cap*load_thin*ROUND(K15*L15*revleg_thin,0))-(((battery/range_nm)*D15*ROUND(K15*L15*revleg_thin,0)*VLOOKUP(B15,country_opex,3,FALSE))+V15+W15+X15+Y15+Z15))&lt;=0,"",VLOOKUP(B15,country_opex,7,FALSE)/((S15*pax_cap*load_thin*ROUND(K15*L15*revleg_thin,0))-(((battery/range_nm)*D15*ROUND(K15*L15*revleg_thin,0)*VLOOKUP(B15,country_opex,3,FALSE))+V15+W15+X15+Y15+Z15)))</f>
        <v/>
      </c>
      <c r="AU15" s="43">
        <f>IF(((S15*pax_cap*load_mid*ROUND(K15*L15*revleg_mid,0))-(((battery/range_nm)*D15*ROUND(K15*L15*revleg_mid,0)*VLOOKUP(B15,country_opex,3,FALSE))+V15+W15+X15+Y15+Z15))&lt;=0,"",VLOOKUP(B15,country_opex,7,FALSE)/((S15*pax_cap*load_mid*ROUND(K15*L15*revleg_mid,0))-(((battery/range_nm)*D15*ROUND(K15*L15*revleg_mid,0)*VLOOKUP(B15,country_opex,3,FALSE))+V15+W15+X15+Y15+Z15)))</f>
        <v/>
      </c>
      <c r="AV15" s="43">
        <f>IF(((S15*pax_cap*load_full*ROUND(K15*L15*revleg_full,0))-(((battery/range_nm)*D15*ROUND(K15*L15*revleg_full,0)*VLOOKUP(B15,country_opex,3,FALSE))+V15+W15+X15+Y15+Z15))&lt;=0,"",VLOOKUP(B15,country_opex,7,FALSE)/((S15*pax_cap*load_full*ROUND(K15*L15*revleg_full,0))-(((battery/range_nm)*D15*ROUND(K15*L15*revleg_full,0)*VLOOKUP(B15,country_opex,3,FALSE))+V15+W15+X15+Y15+Z15)))</f>
        <v/>
      </c>
      <c r="AW15" s="44" t="inlineStr">
        <is>
          <t>tourbonjour live booking: Baros boat transfer per adult USD 232 round-trip = $116/way. immaldives.com 2026 table: Baros shared speedboat $180-260 RT = $90-130/way. baros.com publishes private rates on request. Premium per-seat ~$120/way.</t>
        </is>
      </c>
      <c r="AX15" s="44" t="inlineStr">
        <is>
          <t>Modeled from resort key count. Baros Maldives (North Malé): ~75 villas/keys (published resort/Virtuoso/booking figures). corridor_annual_oneway_pax = keys x 365 x occ(0.75) / avg_stay(7 nights) x guests/key(2) x 2 (arr+dep) ~= keys x 156. 75 keys -&gt; ~11,700 one-way pax/yr. Airport(MLE)&lt;-&gt;this resort is the sole transfer corridor (boat/seaplane only; no road/air alt - R3-EXCEPTION: arrivals = crossing ridership).</t>
        </is>
      </c>
    </row>
    <row r="16">
      <c r="A16" s="29" t="inlineStr">
        <is>
          <t>Maldives (JIH)</t>
        </is>
      </c>
      <c r="B16" s="29" t="inlineStr">
        <is>
          <t>Maldives</t>
        </is>
      </c>
      <c r="C16" s="30" t="inlineStr">
        <is>
          <t>Dharavandhoo Airport, Baa → Milaidhoo (Baa)</t>
        </is>
      </c>
      <c r="D16" s="31" t="n">
        <v>8.4</v>
      </c>
      <c r="E16" s="26" t="n">
        <v>175</v>
      </c>
      <c r="F16" s="32" t="inlineStr">
        <is>
          <t>T3</t>
        </is>
      </c>
      <c r="G16" s="32" t="inlineStr">
        <is>
          <t>med</t>
        </is>
      </c>
      <c r="H16" s="19" t="n">
        <v>1</v>
      </c>
      <c r="I16" s="33">
        <f>60*D16/cruise_kt</f>
        <v/>
      </c>
      <c r="J16" s="33">
        <f>I16+turn_min+dwell_min</f>
        <v/>
      </c>
      <c r="K16" s="34">
        <f>MIN(15,FLOOR(60*service_hr/J16,1))</f>
        <v/>
      </c>
      <c r="L16" s="34">
        <f>ROUND(365*mech_uptime*H16,0)</f>
        <v/>
      </c>
      <c r="M16" s="35">
        <f>mech_uptime</f>
        <v/>
      </c>
      <c r="N16" s="35">
        <f>revleg_sel</f>
        <v/>
      </c>
      <c r="O16" s="34">
        <f>ROUND(K16*L16*revleg_sel,0)</f>
        <v/>
      </c>
      <c r="P16" s="36">
        <f>load_sel</f>
        <v/>
      </c>
      <c r="Q16" s="36">
        <f>pax_cap*P16</f>
        <v/>
      </c>
      <c r="R16" s="34">
        <f>Q16*O16</f>
        <v/>
      </c>
      <c r="S16" s="37">
        <f>E16*discount</f>
        <v/>
      </c>
      <c r="T16" s="38">
        <f>S16*R16</f>
        <v/>
      </c>
      <c r="U16" s="38">
        <f>(battery/range_nm)*D16*O16*VLOOKUP(B16,country_opex,3,FALSE)</f>
        <v/>
      </c>
      <c r="V16" s="38">
        <f>VLOOKUP(B16,country_opex,2,FALSE)*crew_factor</f>
        <v/>
      </c>
      <c r="W16" s="38">
        <f>VLOOKUP(B16,country_opex,5,FALSE)</f>
        <v/>
      </c>
      <c r="X16" s="38">
        <f>maint</f>
        <v/>
      </c>
      <c r="Y16" s="38">
        <f>VLOOKUP(B16,country_opex,7,FALSE)*ins_pct</f>
        <v/>
      </c>
      <c r="Z16" s="38">
        <f>charge_berth</f>
        <v/>
      </c>
      <c r="AA16" s="38">
        <f>U16+V16+W16+X16+Y16+Z16</f>
        <v/>
      </c>
      <c r="AB16" s="38">
        <f>VLOOKUP(B16,country_opex,7,FALSE)/dep_years</f>
        <v/>
      </c>
      <c r="AC16" s="38">
        <f>T16-AA16</f>
        <v/>
      </c>
      <c r="AD16" s="35">
        <f>IF(T16=0,"",AC16/T16)</f>
        <v/>
      </c>
      <c r="AE16" s="36">
        <f>IF(AC16&lt;=0,"",VLOOKUP(B16,country_opex,7,FALSE)/AC16)</f>
        <v/>
      </c>
      <c r="AF16" s="33">
        <f>((D16*O16/diesel_nmpg)*diesel_co2pg-(battery/range_nm)*D16*O16*VLOOKUP(B16,country_opex,4,FALSE))/1000</f>
        <v/>
      </c>
      <c r="AG16" s="31" t="n">
        <v>3734</v>
      </c>
      <c r="AH16" s="32" t="inlineStr">
        <is>
          <t>T5</t>
        </is>
      </c>
      <c r="AI16" s="32" t="inlineStr">
        <is>
          <t>med</t>
        </is>
      </c>
      <c r="AJ16" s="39" t="n">
        <v>0.9</v>
      </c>
      <c r="AK16" s="34">
        <f>IF(AG16="","",AG16*AJ16)</f>
        <v/>
      </c>
      <c r="AL16" s="34">
        <f>IF(OR(AG16="",R16=0),"",MIN(IF(AS16="",9.9E+99,AS16),FLOOR(AK16/R16,1)))</f>
        <v/>
      </c>
      <c r="AM16" s="38">
        <f>IF(AL16="","",AL16*T16)</f>
        <v/>
      </c>
      <c r="AN16" s="36">
        <f>IF(OR(AG16="",R16=0),"",MIN(IF(AS16="",9.9E+99,AS16),AK16/R16))</f>
        <v/>
      </c>
      <c r="AO16" s="38">
        <f>IF(AN16="","",AN16*T16)</f>
        <v/>
      </c>
      <c r="AP16" s="40" t="n"/>
      <c r="AQ16" s="41" t="n"/>
      <c r="AR16" s="41" t="n"/>
      <c r="AS16" s="42" t="n">
        <v>2</v>
      </c>
      <c r="AT16" s="43">
        <f>IF(((S16*pax_cap*load_thin*ROUND(K16*L16*revleg_thin,0))-(((battery/range_nm)*D16*ROUND(K16*L16*revleg_thin,0)*VLOOKUP(B16,country_opex,3,FALSE))+V16+W16+X16+Y16+Z16))&lt;=0,"",VLOOKUP(B16,country_opex,7,FALSE)/((S16*pax_cap*load_thin*ROUND(K16*L16*revleg_thin,0))-(((battery/range_nm)*D16*ROUND(K16*L16*revleg_thin,0)*VLOOKUP(B16,country_opex,3,FALSE))+V16+W16+X16+Y16+Z16)))</f>
        <v/>
      </c>
      <c r="AU16" s="43">
        <f>IF(((S16*pax_cap*load_mid*ROUND(K16*L16*revleg_mid,0))-(((battery/range_nm)*D16*ROUND(K16*L16*revleg_mid,0)*VLOOKUP(B16,country_opex,3,FALSE))+V16+W16+X16+Y16+Z16))&lt;=0,"",VLOOKUP(B16,country_opex,7,FALSE)/((S16*pax_cap*load_mid*ROUND(K16*L16*revleg_mid,0))-(((battery/range_nm)*D16*ROUND(K16*L16*revleg_mid,0)*VLOOKUP(B16,country_opex,3,FALSE))+V16+W16+X16+Y16+Z16)))</f>
        <v/>
      </c>
      <c r="AV16" s="43">
        <f>IF(((S16*pax_cap*load_full*ROUND(K16*L16*revleg_full,0))-(((battery/range_nm)*D16*ROUND(K16*L16*revleg_full,0)*VLOOKUP(B16,country_opex,3,FALSE))+V16+W16+X16+Y16+Z16))&lt;=0,"",VLOOKUP(B16,country_opex,7,FALSE)/((S16*pax_cap*load_full*ROUND(K16*L16*revleg_full,0))-(((battery/range_nm)*D16*ROUND(K16*L16*revleg_full,0)*VLOOKUP(B16,country_opex,3,FALSE))+V16+W16+X16+Y16+Z16)))</f>
        <v/>
      </c>
      <c r="AW16" s="44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X16" s="44" t="inlineStr">
        <is>
          <t>Modeled arrivals = published keys x occupancy 0.70 (Maldives Min. of Tourism avg) x (365/6.5 nights avg stay) x 1.9 pax/room. Inbound one-way transfers. T5-modeled/med; keys T1 resort-published. NULL for pure inter-resort excursion legs (R2).</t>
        </is>
      </c>
    </row>
    <row r="17">
      <c r="A17" s="29" t="inlineStr">
        <is>
          <t>Maldives (JIH)</t>
        </is>
      </c>
      <c r="B17" s="29" t="inlineStr">
        <is>
          <t>Maldives</t>
        </is>
      </c>
      <c r="C17" s="30" t="inlineStr">
        <is>
          <t>Ifuru Airport, Raa → Joali Maldives (Muravandhoo, Raa)</t>
        </is>
      </c>
      <c r="D17" s="31" t="n">
        <v>8.699999999999999</v>
      </c>
      <c r="E17" s="26" t="n">
        <v>200</v>
      </c>
      <c r="F17" s="32" t="inlineStr">
        <is>
          <t>T3</t>
        </is>
      </c>
      <c r="G17" s="32" t="inlineStr">
        <is>
          <t>med</t>
        </is>
      </c>
      <c r="H17" s="19" t="n">
        <v>1</v>
      </c>
      <c r="I17" s="33">
        <f>60*D17/cruise_kt</f>
        <v/>
      </c>
      <c r="J17" s="33">
        <f>I17+turn_min+dwell_min</f>
        <v/>
      </c>
      <c r="K17" s="34">
        <f>MIN(15,FLOOR(60*service_hr/J17,1))</f>
        <v/>
      </c>
      <c r="L17" s="34">
        <f>ROUND(365*mech_uptime*H17,0)</f>
        <v/>
      </c>
      <c r="M17" s="35">
        <f>mech_uptime</f>
        <v/>
      </c>
      <c r="N17" s="35">
        <f>revleg_sel</f>
        <v/>
      </c>
      <c r="O17" s="34">
        <f>ROUND(K17*L17*revleg_sel,0)</f>
        <v/>
      </c>
      <c r="P17" s="36">
        <f>load_sel</f>
        <v/>
      </c>
      <c r="Q17" s="36">
        <f>pax_cap*P17</f>
        <v/>
      </c>
      <c r="R17" s="34">
        <f>Q17*O17</f>
        <v/>
      </c>
      <c r="S17" s="37">
        <f>E17*discount</f>
        <v/>
      </c>
      <c r="T17" s="38">
        <f>S17*R17</f>
        <v/>
      </c>
      <c r="U17" s="38">
        <f>(battery/range_nm)*D17*O17*VLOOKUP(B17,country_opex,3,FALSE)</f>
        <v/>
      </c>
      <c r="V17" s="38">
        <f>VLOOKUP(B17,country_opex,2,FALSE)*crew_factor</f>
        <v/>
      </c>
      <c r="W17" s="38">
        <f>VLOOKUP(B17,country_opex,5,FALSE)</f>
        <v/>
      </c>
      <c r="X17" s="38">
        <f>maint</f>
        <v/>
      </c>
      <c r="Y17" s="38">
        <f>VLOOKUP(B17,country_opex,7,FALSE)*ins_pct</f>
        <v/>
      </c>
      <c r="Z17" s="38">
        <f>charge_berth</f>
        <v/>
      </c>
      <c r="AA17" s="38">
        <f>U17+V17+W17+X17+Y17+Z17</f>
        <v/>
      </c>
      <c r="AB17" s="38">
        <f>VLOOKUP(B17,country_opex,7,FALSE)/dep_years</f>
        <v/>
      </c>
      <c r="AC17" s="38">
        <f>T17-AA17</f>
        <v/>
      </c>
      <c r="AD17" s="35">
        <f>IF(T17=0,"",AC17/T17)</f>
        <v/>
      </c>
      <c r="AE17" s="36">
        <f>IF(AC17&lt;=0,"",VLOOKUP(B17,country_opex,7,FALSE)/AC17)</f>
        <v/>
      </c>
      <c r="AF17" s="33">
        <f>((D17*O17/diesel_nmpg)*diesel_co2pg-(battery/range_nm)*D17*O17*VLOOKUP(B17,country_opex,4,FALSE))/1000</f>
        <v/>
      </c>
      <c r="AG17" s="31" t="n">
        <v>5452</v>
      </c>
      <c r="AH17" s="32" t="inlineStr">
        <is>
          <t>T5</t>
        </is>
      </c>
      <c r="AI17" s="32" t="inlineStr">
        <is>
          <t>med</t>
        </is>
      </c>
      <c r="AJ17" s="39" t="n">
        <v>0.9</v>
      </c>
      <c r="AK17" s="34">
        <f>IF(AG17="","",AG17*AJ17)</f>
        <v/>
      </c>
      <c r="AL17" s="34">
        <f>IF(OR(AG17="",R17=0),"",MIN(IF(AS17="",9.9E+99,AS17),FLOOR(AK17/R17,1)))</f>
        <v/>
      </c>
      <c r="AM17" s="38">
        <f>IF(AL17="","",AL17*T17)</f>
        <v/>
      </c>
      <c r="AN17" s="36">
        <f>IF(OR(AG17="",R17=0),"",MIN(IF(AS17="",9.9E+99,AS17),AK17/R17))</f>
        <v/>
      </c>
      <c r="AO17" s="38">
        <f>IF(AN17="","",AN17*T17)</f>
        <v/>
      </c>
      <c r="AP17" s="40" t="n"/>
      <c r="AQ17" s="41" t="n"/>
      <c r="AR17" s="41" t="n"/>
      <c r="AS17" s="42" t="n">
        <v>3</v>
      </c>
      <c r="AT17" s="43">
        <f>IF(((S17*pax_cap*load_thin*ROUND(K17*L17*revleg_thin,0))-(((battery/range_nm)*D17*ROUND(K17*L17*revleg_thin,0)*VLOOKUP(B17,country_opex,3,FALSE))+V17+W17+X17+Y17+Z17))&lt;=0,"",VLOOKUP(B17,country_opex,7,FALSE)/((S17*pax_cap*load_thin*ROUND(K17*L17*revleg_thin,0))-(((battery/range_nm)*D17*ROUND(K17*L17*revleg_thin,0)*VLOOKUP(B17,country_opex,3,FALSE))+V17+W17+X17+Y17+Z17)))</f>
        <v/>
      </c>
      <c r="AU17" s="43">
        <f>IF(((S17*pax_cap*load_mid*ROUND(K17*L17*revleg_mid,0))-(((battery/range_nm)*D17*ROUND(K17*L17*revleg_mid,0)*VLOOKUP(B17,country_opex,3,FALSE))+V17+W17+X17+Y17+Z17))&lt;=0,"",VLOOKUP(B17,country_opex,7,FALSE)/((S17*pax_cap*load_mid*ROUND(K17*L17*revleg_mid,0))-(((battery/range_nm)*D17*ROUND(K17*L17*revleg_mid,0)*VLOOKUP(B17,country_opex,3,FALSE))+V17+W17+X17+Y17+Z17)))</f>
        <v/>
      </c>
      <c r="AV17" s="43">
        <f>IF(((S17*pax_cap*load_full*ROUND(K17*L17*revleg_full,0))-(((battery/range_nm)*D17*ROUND(K17*L17*revleg_full,0)*VLOOKUP(B17,country_opex,3,FALSE))+V17+W17+X17+Y17+Z17))&lt;=0,"",VLOOKUP(B17,country_opex,7,FALSE)/((S17*pax_cap*load_full*ROUND(K17*L17*revleg_full,0))-(((battery/range_nm)*D17*ROUND(K17*L17*revleg_full,0)*VLOOKUP(B17,country_opex,3,FALSE))+V17+W17+X17+Y17+Z17)))</f>
        <v/>
      </c>
      <c r="AW17" s="44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X17" s="44" t="inlineStr">
        <is>
          <t>Modeled arrivals = published keys x occupancy 0.70 (Maldives Min. of Tourism avg) x (365/6.5 nights avg stay) x 1.9 pax/room. Inbound one-way transfers. T5-modeled/med; keys T1 resort-published. NULL for pure inter-resort excursion legs (R2).</t>
        </is>
      </c>
    </row>
    <row r="18">
      <c r="A18" s="29" t="inlineStr">
        <is>
          <t>Maldives (JIH)</t>
        </is>
      </c>
      <c r="B18" s="29" t="inlineStr">
        <is>
          <t>Maldives</t>
        </is>
      </c>
      <c r="C18" s="30" t="inlineStr">
        <is>
          <t>Dharavandhoo Airport, Baa → Four Seasons Landaa Giraavaru (Baa)</t>
        </is>
      </c>
      <c r="D18" s="31" t="n">
        <v>9.5</v>
      </c>
      <c r="E18" s="26" t="n">
        <v>200</v>
      </c>
      <c r="F18" s="32" t="inlineStr">
        <is>
          <t>T3</t>
        </is>
      </c>
      <c r="G18" s="32" t="inlineStr">
        <is>
          <t>med</t>
        </is>
      </c>
      <c r="H18" s="19" t="n">
        <v>1</v>
      </c>
      <c r="I18" s="33">
        <f>60*D18/cruise_kt</f>
        <v/>
      </c>
      <c r="J18" s="33">
        <f>I18+turn_min+dwell_min</f>
        <v/>
      </c>
      <c r="K18" s="34">
        <f>MIN(15,FLOOR(60*service_hr/J18,1))</f>
        <v/>
      </c>
      <c r="L18" s="34">
        <f>ROUND(365*mech_uptime*H18,0)</f>
        <v/>
      </c>
      <c r="M18" s="35">
        <f>mech_uptime</f>
        <v/>
      </c>
      <c r="N18" s="35">
        <f>revleg_sel</f>
        <v/>
      </c>
      <c r="O18" s="34">
        <f>ROUND(K18*L18*revleg_sel,0)</f>
        <v/>
      </c>
      <c r="P18" s="36">
        <f>load_sel</f>
        <v/>
      </c>
      <c r="Q18" s="36">
        <f>pax_cap*P18</f>
        <v/>
      </c>
      <c r="R18" s="34">
        <f>Q18*O18</f>
        <v/>
      </c>
      <c r="S18" s="37">
        <f>E18*discount</f>
        <v/>
      </c>
      <c r="T18" s="38">
        <f>S18*R18</f>
        <v/>
      </c>
      <c r="U18" s="38">
        <f>(battery/range_nm)*D18*O18*VLOOKUP(B18,country_opex,3,FALSE)</f>
        <v/>
      </c>
      <c r="V18" s="38">
        <f>VLOOKUP(B18,country_opex,2,FALSE)*crew_factor</f>
        <v/>
      </c>
      <c r="W18" s="38">
        <f>VLOOKUP(B18,country_opex,5,FALSE)</f>
        <v/>
      </c>
      <c r="X18" s="38">
        <f>maint</f>
        <v/>
      </c>
      <c r="Y18" s="38">
        <f>VLOOKUP(B18,country_opex,7,FALSE)*ins_pct</f>
        <v/>
      </c>
      <c r="Z18" s="38">
        <f>charge_berth</f>
        <v/>
      </c>
      <c r="AA18" s="38">
        <f>U18+V18+W18+X18+Y18+Z18</f>
        <v/>
      </c>
      <c r="AB18" s="38">
        <f>VLOOKUP(B18,country_opex,7,FALSE)/dep_years</f>
        <v/>
      </c>
      <c r="AC18" s="38">
        <f>T18-AA18</f>
        <v/>
      </c>
      <c r="AD18" s="35">
        <f>IF(T18=0,"",AC18/T18)</f>
        <v/>
      </c>
      <c r="AE18" s="36">
        <f>IF(AC18&lt;=0,"",VLOOKUP(B18,country_opex,7,FALSE)/AC18)</f>
        <v/>
      </c>
      <c r="AF18" s="33">
        <f>((D18*O18/diesel_nmpg)*diesel_co2pg-(battery/range_nm)*D18*O18*VLOOKUP(B18,country_opex,4,FALSE))/1000</f>
        <v/>
      </c>
      <c r="AG18" s="31" t="n">
        <v>7693</v>
      </c>
      <c r="AH18" s="32" t="inlineStr">
        <is>
          <t>T5</t>
        </is>
      </c>
      <c r="AI18" s="32" t="inlineStr">
        <is>
          <t>med</t>
        </is>
      </c>
      <c r="AJ18" s="39" t="n">
        <v>0.9</v>
      </c>
      <c r="AK18" s="34">
        <f>IF(AG18="","",AG18*AJ18)</f>
        <v/>
      </c>
      <c r="AL18" s="34">
        <f>IF(OR(AG18="",R18=0),"",MIN(IF(AS18="",9.9E+99,AS18),FLOOR(AK18/R18,1)))</f>
        <v/>
      </c>
      <c r="AM18" s="38">
        <f>IF(AL18="","",AL18*T18)</f>
        <v/>
      </c>
      <c r="AN18" s="36">
        <f>IF(OR(AG18="",R18=0),"",MIN(IF(AS18="",9.9E+99,AS18),AK18/R18))</f>
        <v/>
      </c>
      <c r="AO18" s="38">
        <f>IF(AN18="","",AN18*T18)</f>
        <v/>
      </c>
      <c r="AP18" s="40" t="n"/>
      <c r="AQ18" s="41" t="n"/>
      <c r="AR18" s="41" t="n"/>
      <c r="AS18" s="42" t="n">
        <v>5</v>
      </c>
      <c r="AT18" s="43">
        <f>IF(((S18*pax_cap*load_thin*ROUND(K18*L18*revleg_thin,0))-(((battery/range_nm)*D18*ROUND(K18*L18*revleg_thin,0)*VLOOKUP(B18,country_opex,3,FALSE))+V18+W18+X18+Y18+Z18))&lt;=0,"",VLOOKUP(B18,country_opex,7,FALSE)/((S18*pax_cap*load_thin*ROUND(K18*L18*revleg_thin,0))-(((battery/range_nm)*D18*ROUND(K18*L18*revleg_thin,0)*VLOOKUP(B18,country_opex,3,FALSE))+V18+W18+X18+Y18+Z18)))</f>
        <v/>
      </c>
      <c r="AU18" s="43">
        <f>IF(((S18*pax_cap*load_mid*ROUND(K18*L18*revleg_mid,0))-(((battery/range_nm)*D18*ROUND(K18*L18*revleg_mid,0)*VLOOKUP(B18,country_opex,3,FALSE))+V18+W18+X18+Y18+Z18))&lt;=0,"",VLOOKUP(B18,country_opex,7,FALSE)/((S18*pax_cap*load_mid*ROUND(K18*L18*revleg_mid,0))-(((battery/range_nm)*D18*ROUND(K18*L18*revleg_mid,0)*VLOOKUP(B18,country_opex,3,FALSE))+V18+W18+X18+Y18+Z18)))</f>
        <v/>
      </c>
      <c r="AV18" s="43">
        <f>IF(((S18*pax_cap*load_full*ROUND(K18*L18*revleg_full,0))-(((battery/range_nm)*D18*ROUND(K18*L18*revleg_full,0)*VLOOKUP(B18,country_opex,3,FALSE))+V18+W18+X18+Y18+Z18))&lt;=0,"",VLOOKUP(B18,country_opex,7,FALSE)/((S18*pax_cap*load_full*ROUND(K18*L18*revleg_full,0))-(((battery/range_nm)*D18*ROUND(K18*L18*revleg_full,0)*VLOOKUP(B18,country_opex,3,FALSE))+V18+W18+X18+Y18+Z18)))</f>
        <v/>
      </c>
      <c r="AW18" s="44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X18" s="44" t="inlineStr">
        <is>
          <t>Modeled arrivals = published keys x occupancy 0.70 (Maldives Min. of Tourism avg) x (365/6.5 nights avg stay) x 1.9 pax/room. Inbound one-way transfers. T5-modeled/med; keys T1 resort-published. NULL for pure inter-resort excursion legs (R2).</t>
        </is>
      </c>
    </row>
    <row r="19">
      <c r="A19" s="29" t="inlineStr">
        <is>
          <t>Maldives (JIH)</t>
        </is>
      </c>
      <c r="B19" s="29" t="inlineStr">
        <is>
          <t>Maldives</t>
        </is>
      </c>
      <c r="C19" s="30" t="inlineStr">
        <is>
          <t>Maafaru Airport, Noonu → Siyam World (Dhigurah, Noonu)</t>
        </is>
      </c>
      <c r="D19" s="31" t="n">
        <v>10</v>
      </c>
      <c r="E19" s="26" t="n">
        <v>150</v>
      </c>
      <c r="F19" s="32" t="inlineStr">
        <is>
          <t>T3</t>
        </is>
      </c>
      <c r="G19" s="32" t="inlineStr">
        <is>
          <t>med</t>
        </is>
      </c>
      <c r="H19" s="19" t="n">
        <v>1</v>
      </c>
      <c r="I19" s="33">
        <f>60*D19/cruise_kt</f>
        <v/>
      </c>
      <c r="J19" s="33">
        <f>I19+turn_min+dwell_min</f>
        <v/>
      </c>
      <c r="K19" s="34">
        <f>MIN(15,FLOOR(60*service_hr/J19,1))</f>
        <v/>
      </c>
      <c r="L19" s="34">
        <f>ROUND(365*mech_uptime*H19,0)</f>
        <v/>
      </c>
      <c r="M19" s="35">
        <f>mech_uptime</f>
        <v/>
      </c>
      <c r="N19" s="35">
        <f>revleg_sel</f>
        <v/>
      </c>
      <c r="O19" s="34">
        <f>ROUND(K19*L19*revleg_sel,0)</f>
        <v/>
      </c>
      <c r="P19" s="36">
        <f>load_sel</f>
        <v/>
      </c>
      <c r="Q19" s="36">
        <f>pax_cap*P19</f>
        <v/>
      </c>
      <c r="R19" s="34">
        <f>Q19*O19</f>
        <v/>
      </c>
      <c r="S19" s="37">
        <f>E19*discount</f>
        <v/>
      </c>
      <c r="T19" s="38">
        <f>S19*R19</f>
        <v/>
      </c>
      <c r="U19" s="38">
        <f>(battery/range_nm)*D19*O19*VLOOKUP(B19,country_opex,3,FALSE)</f>
        <v/>
      </c>
      <c r="V19" s="38">
        <f>VLOOKUP(B19,country_opex,2,FALSE)*crew_factor</f>
        <v/>
      </c>
      <c r="W19" s="38">
        <f>VLOOKUP(B19,country_opex,5,FALSE)</f>
        <v/>
      </c>
      <c r="X19" s="38">
        <f>maint</f>
        <v/>
      </c>
      <c r="Y19" s="38">
        <f>VLOOKUP(B19,country_opex,7,FALSE)*ins_pct</f>
        <v/>
      </c>
      <c r="Z19" s="38">
        <f>charge_berth</f>
        <v/>
      </c>
      <c r="AA19" s="38">
        <f>U19+V19+W19+X19+Y19+Z19</f>
        <v/>
      </c>
      <c r="AB19" s="38">
        <f>VLOOKUP(B19,country_opex,7,FALSE)/dep_years</f>
        <v/>
      </c>
      <c r="AC19" s="38">
        <f>T19-AA19</f>
        <v/>
      </c>
      <c r="AD19" s="35">
        <f>IF(T19=0,"",AC19/T19)</f>
        <v/>
      </c>
      <c r="AE19" s="36">
        <f>IF(AC19&lt;=0,"",VLOOKUP(B19,country_opex,7,FALSE)/AC19)</f>
        <v/>
      </c>
      <c r="AF19" s="33">
        <f>((D19*O19/diesel_nmpg)*diesel_co2pg-(battery/range_nm)*D19*O19*VLOOKUP(B19,country_opex,4,FALSE))/1000</f>
        <v/>
      </c>
      <c r="AG19" s="31" t="n">
        <v>39882</v>
      </c>
      <c r="AH19" s="32" t="inlineStr">
        <is>
          <t>T5</t>
        </is>
      </c>
      <c r="AI19" s="32" t="inlineStr">
        <is>
          <t>med</t>
        </is>
      </c>
      <c r="AJ19" s="39" t="n">
        <v>0.9</v>
      </c>
      <c r="AK19" s="34">
        <f>IF(AG19="","",AG19*AJ19)</f>
        <v/>
      </c>
      <c r="AL19" s="34">
        <f>IF(OR(AG19="",R19=0),"",MIN(IF(AS19="",9.9E+99,AS19),FLOOR(AK19/R19,1)))</f>
        <v/>
      </c>
      <c r="AM19" s="38">
        <f>IF(AL19="","",AL19*T19)</f>
        <v/>
      </c>
      <c r="AN19" s="36">
        <f>IF(OR(AG19="",R19=0),"",MIN(IF(AS19="",9.9E+99,AS19),AK19/R19))</f>
        <v/>
      </c>
      <c r="AO19" s="38">
        <f>IF(AN19="","",AN19*T19)</f>
        <v/>
      </c>
      <c r="AP19" s="40" t="n"/>
      <c r="AQ19" s="41" t="n"/>
      <c r="AR19" s="41" t="n"/>
      <c r="AS19" s="42" t="n">
        <v>20</v>
      </c>
      <c r="AT19" s="43">
        <f>IF(((S19*pax_cap*load_thin*ROUND(K19*L19*revleg_thin,0))-(((battery/range_nm)*D19*ROUND(K19*L19*revleg_thin,0)*VLOOKUP(B19,country_opex,3,FALSE))+V19+W19+X19+Y19+Z19))&lt;=0,"",VLOOKUP(B19,country_opex,7,FALSE)/((S19*pax_cap*load_thin*ROUND(K19*L19*revleg_thin,0))-(((battery/range_nm)*D19*ROUND(K19*L19*revleg_thin,0)*VLOOKUP(B19,country_opex,3,FALSE))+V19+W19+X19+Y19+Z19)))</f>
        <v/>
      </c>
      <c r="AU19" s="43">
        <f>IF(((S19*pax_cap*load_mid*ROUND(K19*L19*revleg_mid,0))-(((battery/range_nm)*D19*ROUND(K19*L19*revleg_mid,0)*VLOOKUP(B19,country_opex,3,FALSE))+V19+W19+X19+Y19+Z19))&lt;=0,"",VLOOKUP(B19,country_opex,7,FALSE)/((S19*pax_cap*load_mid*ROUND(K19*L19*revleg_mid,0))-(((battery/range_nm)*D19*ROUND(K19*L19*revleg_mid,0)*VLOOKUP(B19,country_opex,3,FALSE))+V19+W19+X19+Y19+Z19)))</f>
        <v/>
      </c>
      <c r="AV19" s="43">
        <f>IF(((S19*pax_cap*load_full*ROUND(K19*L19*revleg_full,0))-(((battery/range_nm)*D19*ROUND(K19*L19*revleg_full,0)*VLOOKUP(B19,country_opex,3,FALSE))+V19+W19+X19+Y19+Z19))&lt;=0,"",VLOOKUP(B19,country_opex,7,FALSE)/((S19*pax_cap*load_full*ROUND(K19*L19*revleg_full,0))-(((battery/range_nm)*D19*ROUND(K19*L19*revleg_full,0)*VLOOKUP(B19,country_opex,3,FALSE))+V19+W19+X19+Y19+Z19)))</f>
        <v/>
      </c>
      <c r="AW19" s="44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X19" s="44" t="inlineStr">
        <is>
          <t>Modeled arrivals = published keys x occupancy 0.70 (Maldives Min. of Tourism avg) x (365/6.5 nights avg stay) x 1.9 pax/room. Inbound one-way transfers. T5-modeled/med; keys T1 resort-published. NULL for pure inter-resort excursion legs (R2).</t>
        </is>
      </c>
    </row>
    <row r="20">
      <c r="A20" s="29" t="inlineStr">
        <is>
          <t>Maldives (JIH)</t>
        </is>
      </c>
      <c r="B20" s="29" t="inlineStr">
        <is>
          <t>Maldives</t>
        </is>
      </c>
      <c r="C20" s="30" t="inlineStr">
        <is>
          <t>Soneva Fushi (Kunfunadhoo, Baa) → Four Seasons Landaa Giraavaru (Baa)</t>
        </is>
      </c>
      <c r="D20" s="31" t="n">
        <v>11.7</v>
      </c>
      <c r="E20" s="26" t="n">
        <v>175</v>
      </c>
      <c r="F20" s="32" t="inlineStr">
        <is>
          <t>T3</t>
        </is>
      </c>
      <c r="G20" s="32" t="inlineStr">
        <is>
          <t>med</t>
        </is>
      </c>
      <c r="H20" s="19" t="n">
        <v>1</v>
      </c>
      <c r="I20" s="33">
        <f>60*D20/cruise_kt</f>
        <v/>
      </c>
      <c r="J20" s="33">
        <f>I20+turn_min+dwell_min</f>
        <v/>
      </c>
      <c r="K20" s="34">
        <f>MIN(15,FLOOR(60*service_hr/J20,1))</f>
        <v/>
      </c>
      <c r="L20" s="34">
        <f>ROUND(365*mech_uptime*H20,0)</f>
        <v/>
      </c>
      <c r="M20" s="35">
        <f>mech_uptime</f>
        <v/>
      </c>
      <c r="N20" s="35">
        <f>revleg_sel</f>
        <v/>
      </c>
      <c r="O20" s="34">
        <f>ROUND(K20*L20*revleg_sel,0)</f>
        <v/>
      </c>
      <c r="P20" s="36">
        <f>load_sel</f>
        <v/>
      </c>
      <c r="Q20" s="36">
        <f>pax_cap*P20</f>
        <v/>
      </c>
      <c r="R20" s="34">
        <f>Q20*O20</f>
        <v/>
      </c>
      <c r="S20" s="37">
        <f>E20*discount</f>
        <v/>
      </c>
      <c r="T20" s="38">
        <f>S20*R20</f>
        <v/>
      </c>
      <c r="U20" s="38">
        <f>(battery/range_nm)*D20*O20*VLOOKUP(B20,country_opex,3,FALSE)</f>
        <v/>
      </c>
      <c r="V20" s="38">
        <f>VLOOKUP(B20,country_opex,2,FALSE)*crew_factor</f>
        <v/>
      </c>
      <c r="W20" s="38">
        <f>VLOOKUP(B20,country_opex,5,FALSE)</f>
        <v/>
      </c>
      <c r="X20" s="38">
        <f>maint</f>
        <v/>
      </c>
      <c r="Y20" s="38">
        <f>VLOOKUP(B20,country_opex,7,FALSE)*ins_pct</f>
        <v/>
      </c>
      <c r="Z20" s="38">
        <f>charge_berth</f>
        <v/>
      </c>
      <c r="AA20" s="38">
        <f>U20+V20+W20+X20+Y20+Z20</f>
        <v/>
      </c>
      <c r="AB20" s="38">
        <f>VLOOKUP(B20,country_opex,7,FALSE)/dep_years</f>
        <v/>
      </c>
      <c r="AC20" s="38">
        <f>T20-AA20</f>
        <v/>
      </c>
      <c r="AD20" s="35">
        <f>IF(T20=0,"",AC20/T20)</f>
        <v/>
      </c>
      <c r="AE20" s="36">
        <f>IF(AC20&lt;=0,"",VLOOKUP(B20,country_opex,7,FALSE)/AC20)</f>
        <v/>
      </c>
      <c r="AF20" s="33">
        <f>((D20*O20/diesel_nmpg)*diesel_co2pg-(battery/range_nm)*D20*O20*VLOOKUP(B20,country_opex,4,FALSE))/1000</f>
        <v/>
      </c>
      <c r="AG20" s="31" t="n"/>
      <c r="AH20" s="32" t="n"/>
      <c r="AI20" s="32" t="inlineStr">
        <is>
          <t>null</t>
        </is>
      </c>
      <c r="AJ20" s="39" t="n">
        <v>0.9</v>
      </c>
      <c r="AK20" s="34">
        <f>IF(AG20="","",AG20*AJ20)</f>
        <v/>
      </c>
      <c r="AL20" s="34">
        <f>IF(OR(AG20="",R20=0),"",MIN(IF(AS20="",9.9E+99,AS20),FLOOR(AK20/R20,1)))</f>
        <v/>
      </c>
      <c r="AM20" s="38">
        <f>IF(AL20="","",AL20*T20)</f>
        <v/>
      </c>
      <c r="AN20" s="36">
        <f>IF(OR(AG20="",R20=0),"",MIN(IF(AS20="",9.9E+99,AS20),AK20/R20))</f>
        <v/>
      </c>
      <c r="AO20" s="38">
        <f>IF(AN20="","",AN20*T20)</f>
        <v/>
      </c>
      <c r="AP20" s="40" t="n"/>
      <c r="AQ20" s="41" t="n"/>
      <c r="AR20" s="41" t="n"/>
      <c r="AS20" s="42" t="n"/>
      <c r="AT20" s="43">
        <f>IF(((S20*pax_cap*load_thin*ROUND(K20*L20*revleg_thin,0))-(((battery/range_nm)*D20*ROUND(K20*L20*revleg_thin,0)*VLOOKUP(B20,country_opex,3,FALSE))+V20+W20+X20+Y20+Z20))&lt;=0,"",VLOOKUP(B20,country_opex,7,FALSE)/((S20*pax_cap*load_thin*ROUND(K20*L20*revleg_thin,0))-(((battery/range_nm)*D20*ROUND(K20*L20*revleg_thin,0)*VLOOKUP(B20,country_opex,3,FALSE))+V20+W20+X20+Y20+Z20)))</f>
        <v/>
      </c>
      <c r="AU20" s="43">
        <f>IF(((S20*pax_cap*load_mid*ROUND(K20*L20*revleg_mid,0))-(((battery/range_nm)*D20*ROUND(K20*L20*revleg_mid,0)*VLOOKUP(B20,country_opex,3,FALSE))+V20+W20+X20+Y20+Z20))&lt;=0,"",VLOOKUP(B20,country_opex,7,FALSE)/((S20*pax_cap*load_mid*ROUND(K20*L20*revleg_mid,0))-(((battery/range_nm)*D20*ROUND(K20*L20*revleg_mid,0)*VLOOKUP(B20,country_opex,3,FALSE))+V20+W20+X20+Y20+Z20)))</f>
        <v/>
      </c>
      <c r="AV20" s="43">
        <f>IF(((S20*pax_cap*load_full*ROUND(K20*L20*revleg_full,0))-(((battery/range_nm)*D20*ROUND(K20*L20*revleg_full,0)*VLOOKUP(B20,country_opex,3,FALSE))+V20+W20+X20+Y20+Z20))&lt;=0,"",VLOOKUP(B20,country_opex,7,FALSE)/((S20*pax_cap*load_full*ROUND(K20*L20*revleg_full,0))-(((battery/range_nm)*D20*ROUND(K20*L20*revleg_full,0)*VLOOKUP(B20,country_opex,3,FALSE))+V20+W20+X20+Y20+Z20)))</f>
        <v/>
      </c>
      <c r="AW20" s="44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X20" s="44" t="inlineStr">
        <is>
          <t>NULL — pure inter-resort island-hop; no grounded crossing pool (R2). Geometry only.</t>
        </is>
      </c>
    </row>
    <row r="21">
      <c r="A21" s="29" t="inlineStr">
        <is>
          <t>Maldives (JIH)</t>
        </is>
      </c>
      <c r="B21" s="29" t="inlineStr">
        <is>
          <t>Maldives</t>
        </is>
      </c>
      <c r="C21" s="30" t="inlineStr">
        <is>
          <t>Dharavandhoo Airport, Baa → Anantara Kihavah (Baa)</t>
        </is>
      </c>
      <c r="D21" s="31" t="n">
        <v>11.8</v>
      </c>
      <c r="E21" s="26" t="n">
        <v>200</v>
      </c>
      <c r="F21" s="32" t="inlineStr">
        <is>
          <t>T3</t>
        </is>
      </c>
      <c r="G21" s="32" t="inlineStr">
        <is>
          <t>med</t>
        </is>
      </c>
      <c r="H21" s="19" t="n">
        <v>1</v>
      </c>
      <c r="I21" s="33">
        <f>60*D21/cruise_kt</f>
        <v/>
      </c>
      <c r="J21" s="33">
        <f>I21+turn_min+dwell_min</f>
        <v/>
      </c>
      <c r="K21" s="34">
        <f>MIN(15,FLOOR(60*service_hr/J21,1))</f>
        <v/>
      </c>
      <c r="L21" s="34">
        <f>ROUND(365*mech_uptime*H21,0)</f>
        <v/>
      </c>
      <c r="M21" s="35">
        <f>mech_uptime</f>
        <v/>
      </c>
      <c r="N21" s="35">
        <f>revleg_sel</f>
        <v/>
      </c>
      <c r="O21" s="34">
        <f>ROUND(K21*L21*revleg_sel,0)</f>
        <v/>
      </c>
      <c r="P21" s="36">
        <f>load_sel</f>
        <v/>
      </c>
      <c r="Q21" s="36">
        <f>pax_cap*P21</f>
        <v/>
      </c>
      <c r="R21" s="34">
        <f>Q21*O21</f>
        <v/>
      </c>
      <c r="S21" s="37">
        <f>E21*discount</f>
        <v/>
      </c>
      <c r="T21" s="38">
        <f>S21*R21</f>
        <v/>
      </c>
      <c r="U21" s="38">
        <f>(battery/range_nm)*D21*O21*VLOOKUP(B21,country_opex,3,FALSE)</f>
        <v/>
      </c>
      <c r="V21" s="38">
        <f>VLOOKUP(B21,country_opex,2,FALSE)*crew_factor</f>
        <v/>
      </c>
      <c r="W21" s="38">
        <f>VLOOKUP(B21,country_opex,5,FALSE)</f>
        <v/>
      </c>
      <c r="X21" s="38">
        <f>maint</f>
        <v/>
      </c>
      <c r="Y21" s="38">
        <f>VLOOKUP(B21,country_opex,7,FALSE)*ins_pct</f>
        <v/>
      </c>
      <c r="Z21" s="38">
        <f>charge_berth</f>
        <v/>
      </c>
      <c r="AA21" s="38">
        <f>U21+V21+W21+X21+Y21+Z21</f>
        <v/>
      </c>
      <c r="AB21" s="38">
        <f>VLOOKUP(B21,country_opex,7,FALSE)/dep_years</f>
        <v/>
      </c>
      <c r="AC21" s="38">
        <f>T21-AA21</f>
        <v/>
      </c>
      <c r="AD21" s="35">
        <f>IF(T21=0,"",AC21/T21)</f>
        <v/>
      </c>
      <c r="AE21" s="36">
        <f>IF(AC21&lt;=0,"",VLOOKUP(B21,country_opex,7,FALSE)/AC21)</f>
        <v/>
      </c>
      <c r="AF21" s="33">
        <f>((D21*O21/diesel_nmpg)*diesel_co2pg-(battery/range_nm)*D21*O21*VLOOKUP(B21,country_opex,4,FALSE))/1000</f>
        <v/>
      </c>
      <c r="AG21" s="31" t="n">
        <v>5975</v>
      </c>
      <c r="AH21" s="32" t="inlineStr">
        <is>
          <t>T5</t>
        </is>
      </c>
      <c r="AI21" s="32" t="inlineStr">
        <is>
          <t>med</t>
        </is>
      </c>
      <c r="AJ21" s="39" t="n">
        <v>0.9</v>
      </c>
      <c r="AK21" s="34">
        <f>IF(AG21="","",AG21*AJ21)</f>
        <v/>
      </c>
      <c r="AL21" s="34">
        <f>IF(OR(AG21="",R21=0),"",MIN(IF(AS21="",9.9E+99,AS21),FLOOR(AK21/R21,1)))</f>
        <v/>
      </c>
      <c r="AM21" s="38">
        <f>IF(AL21="","",AL21*T21)</f>
        <v/>
      </c>
      <c r="AN21" s="36">
        <f>IF(OR(AG21="",R21=0),"",MIN(IF(AS21="",9.9E+99,AS21),AK21/R21))</f>
        <v/>
      </c>
      <c r="AO21" s="38">
        <f>IF(AN21="","",AN21*T21)</f>
        <v/>
      </c>
      <c r="AP21" s="40" t="n"/>
      <c r="AQ21" s="41" t="n"/>
      <c r="AR21" s="41" t="n"/>
      <c r="AS21" s="42" t="n">
        <v>4</v>
      </c>
      <c r="AT21" s="43">
        <f>IF(((S21*pax_cap*load_thin*ROUND(K21*L21*revleg_thin,0))-(((battery/range_nm)*D21*ROUND(K21*L21*revleg_thin,0)*VLOOKUP(B21,country_opex,3,FALSE))+V21+W21+X21+Y21+Z21))&lt;=0,"",VLOOKUP(B21,country_opex,7,FALSE)/((S21*pax_cap*load_thin*ROUND(K21*L21*revleg_thin,0))-(((battery/range_nm)*D21*ROUND(K21*L21*revleg_thin,0)*VLOOKUP(B21,country_opex,3,FALSE))+V21+W21+X21+Y21+Z21)))</f>
        <v/>
      </c>
      <c r="AU21" s="43">
        <f>IF(((S21*pax_cap*load_mid*ROUND(K21*L21*revleg_mid,0))-(((battery/range_nm)*D21*ROUND(K21*L21*revleg_mid,0)*VLOOKUP(B21,country_opex,3,FALSE))+V21+W21+X21+Y21+Z21))&lt;=0,"",VLOOKUP(B21,country_opex,7,FALSE)/((S21*pax_cap*load_mid*ROUND(K21*L21*revleg_mid,0))-(((battery/range_nm)*D21*ROUND(K21*L21*revleg_mid,0)*VLOOKUP(B21,country_opex,3,FALSE))+V21+W21+X21+Y21+Z21)))</f>
        <v/>
      </c>
      <c r="AV21" s="43">
        <f>IF(((S21*pax_cap*load_full*ROUND(K21*L21*revleg_full,0))-(((battery/range_nm)*D21*ROUND(K21*L21*revleg_full,0)*VLOOKUP(B21,country_opex,3,FALSE))+V21+W21+X21+Y21+Z21))&lt;=0,"",VLOOKUP(B21,country_opex,7,FALSE)/((S21*pax_cap*load_full*ROUND(K21*L21*revleg_full,0))-(((battery/range_nm)*D21*ROUND(K21*L21*revleg_full,0)*VLOOKUP(B21,country_opex,3,FALSE))+V21+W21+X21+Y21+Z21)))</f>
        <v/>
      </c>
      <c r="AW21" s="44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X21" s="44" t="inlineStr">
        <is>
          <t>Modeled arrivals = published keys x occupancy 0.70 (Maldives Min. of Tourism avg) x (365/6.5 nights avg stay) x 1.9 pax/room. Inbound one-way transfers. T5-modeled/med; keys T1 resort-published. NULL for pure inter-resort excursion legs (R2).</t>
        </is>
      </c>
    </row>
    <row r="22">
      <c r="A22" s="29" t="inlineStr">
        <is>
          <t>Maldives (JIH)</t>
        </is>
      </c>
      <c r="B22" s="29" t="inlineStr">
        <is>
          <t>Maldives</t>
        </is>
      </c>
      <c r="C22" s="30" t="inlineStr">
        <is>
          <t>Maamigili (Villa) Airport, South Ari → Lily Beach Resort (Huvahendhoo)</t>
        </is>
      </c>
      <c r="D22" s="31" t="n">
        <v>12.5</v>
      </c>
      <c r="E22" s="26" t="n">
        <v>150</v>
      </c>
      <c r="F22" s="32" t="inlineStr">
        <is>
          <t>T3</t>
        </is>
      </c>
      <c r="G22" s="32" t="inlineStr">
        <is>
          <t>med</t>
        </is>
      </c>
      <c r="H22" s="19" t="n">
        <v>1</v>
      </c>
      <c r="I22" s="33">
        <f>60*D22/cruise_kt</f>
        <v/>
      </c>
      <c r="J22" s="33">
        <f>I22+turn_min+dwell_min</f>
        <v/>
      </c>
      <c r="K22" s="34">
        <f>MIN(15,FLOOR(60*service_hr/J22,1))</f>
        <v/>
      </c>
      <c r="L22" s="34">
        <f>ROUND(365*mech_uptime*H22,0)</f>
        <v/>
      </c>
      <c r="M22" s="35">
        <f>mech_uptime</f>
        <v/>
      </c>
      <c r="N22" s="35">
        <f>revleg_sel</f>
        <v/>
      </c>
      <c r="O22" s="34">
        <f>ROUND(K22*L22*revleg_sel,0)</f>
        <v/>
      </c>
      <c r="P22" s="36">
        <f>load_sel</f>
        <v/>
      </c>
      <c r="Q22" s="36">
        <f>pax_cap*P22</f>
        <v/>
      </c>
      <c r="R22" s="34">
        <f>Q22*O22</f>
        <v/>
      </c>
      <c r="S22" s="37">
        <f>E22*discount</f>
        <v/>
      </c>
      <c r="T22" s="38">
        <f>S22*R22</f>
        <v/>
      </c>
      <c r="U22" s="38">
        <f>(battery/range_nm)*D22*O22*VLOOKUP(B22,country_opex,3,FALSE)</f>
        <v/>
      </c>
      <c r="V22" s="38">
        <f>VLOOKUP(B22,country_opex,2,FALSE)*crew_factor</f>
        <v/>
      </c>
      <c r="W22" s="38">
        <f>VLOOKUP(B22,country_opex,5,FALSE)</f>
        <v/>
      </c>
      <c r="X22" s="38">
        <f>maint</f>
        <v/>
      </c>
      <c r="Y22" s="38">
        <f>VLOOKUP(B22,country_opex,7,FALSE)*ins_pct</f>
        <v/>
      </c>
      <c r="Z22" s="38">
        <f>charge_berth</f>
        <v/>
      </c>
      <c r="AA22" s="38">
        <f>U22+V22+W22+X22+Y22+Z22</f>
        <v/>
      </c>
      <c r="AB22" s="38">
        <f>VLOOKUP(B22,country_opex,7,FALSE)/dep_years</f>
        <v/>
      </c>
      <c r="AC22" s="38">
        <f>T22-AA22</f>
        <v/>
      </c>
      <c r="AD22" s="35">
        <f>IF(T22=0,"",AC22/T22)</f>
        <v/>
      </c>
      <c r="AE22" s="36">
        <f>IF(AC22&lt;=0,"",VLOOKUP(B22,country_opex,7,FALSE)/AC22)</f>
        <v/>
      </c>
      <c r="AF22" s="33">
        <f>((D22*O22/diesel_nmpg)*diesel_co2pg-(battery/range_nm)*D22*O22*VLOOKUP(B22,country_opex,4,FALSE))/1000</f>
        <v/>
      </c>
      <c r="AG22" s="31" t="n">
        <v>9336</v>
      </c>
      <c r="AH22" s="32" t="inlineStr">
        <is>
          <t>T5</t>
        </is>
      </c>
      <c r="AI22" s="32" t="inlineStr">
        <is>
          <t>med</t>
        </is>
      </c>
      <c r="AJ22" s="39" t="n">
        <v>0.9</v>
      </c>
      <c r="AK22" s="34">
        <f>IF(AG22="","",AG22*AJ22)</f>
        <v/>
      </c>
      <c r="AL22" s="34">
        <f>IF(OR(AG22="",R22=0),"",MIN(IF(AS22="",9.9E+99,AS22),FLOOR(AK22/R22,1)))</f>
        <v/>
      </c>
      <c r="AM22" s="38">
        <f>IF(AL22="","",AL22*T22)</f>
        <v/>
      </c>
      <c r="AN22" s="36">
        <f>IF(OR(AG22="",R22=0),"",MIN(IF(AS22="",9.9E+99,AS22),AK22/R22))</f>
        <v/>
      </c>
      <c r="AO22" s="38">
        <f>IF(AN22="","",AN22*T22)</f>
        <v/>
      </c>
      <c r="AP22" s="40" t="n"/>
      <c r="AQ22" s="41" t="n"/>
      <c r="AR22" s="41" t="n"/>
      <c r="AS22" s="42" t="n">
        <v>5</v>
      </c>
      <c r="AT22" s="43">
        <f>IF(((S22*pax_cap*load_thin*ROUND(K22*L22*revleg_thin,0))-(((battery/range_nm)*D22*ROUND(K22*L22*revleg_thin,0)*VLOOKUP(B22,country_opex,3,FALSE))+V22+W22+X22+Y22+Z22))&lt;=0,"",VLOOKUP(B22,country_opex,7,FALSE)/((S22*pax_cap*load_thin*ROUND(K22*L22*revleg_thin,0))-(((battery/range_nm)*D22*ROUND(K22*L22*revleg_thin,0)*VLOOKUP(B22,country_opex,3,FALSE))+V22+W22+X22+Y22+Z22)))</f>
        <v/>
      </c>
      <c r="AU22" s="43">
        <f>IF(((S22*pax_cap*load_mid*ROUND(K22*L22*revleg_mid,0))-(((battery/range_nm)*D22*ROUND(K22*L22*revleg_mid,0)*VLOOKUP(B22,country_opex,3,FALSE))+V22+W22+X22+Y22+Z22))&lt;=0,"",VLOOKUP(B22,country_opex,7,FALSE)/((S22*pax_cap*load_mid*ROUND(K22*L22*revleg_mid,0))-(((battery/range_nm)*D22*ROUND(K22*L22*revleg_mid,0)*VLOOKUP(B22,country_opex,3,FALSE))+V22+W22+X22+Y22+Z22)))</f>
        <v/>
      </c>
      <c r="AV22" s="43">
        <f>IF(((S22*pax_cap*load_full*ROUND(K22*L22*revleg_full,0))-(((battery/range_nm)*D22*ROUND(K22*L22*revleg_full,0)*VLOOKUP(B22,country_opex,3,FALSE))+V22+W22+X22+Y22+Z22))&lt;=0,"",VLOOKUP(B22,country_opex,7,FALSE)/((S22*pax_cap*load_full*ROUND(K22*L22*revleg_full,0))-(((battery/range_nm)*D22*ROUND(K22*L22*revleg_full,0)*VLOOKUP(B22,country_opex,3,FALSE))+V22+W22+X22+Y22+Z22)))</f>
        <v/>
      </c>
      <c r="AW22" s="44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X22" s="44" t="inlineStr">
        <is>
          <t>Modeled arrivals = published keys x occupancy 0.70 (Maldives Min. of Tourism avg) x (365/6.5 nights avg stay) x 1.9 pax/room. Inbound one-way transfers. T5-modeled/med; keys T1 resort-published. NULL for pure inter-resort excursion legs (R2).</t>
        </is>
      </c>
    </row>
    <row r="23">
      <c r="A23" s="29" t="inlineStr">
        <is>
          <t>Maldives (JIH)</t>
        </is>
      </c>
      <c r="B23" s="29" t="inlineStr">
        <is>
          <t>Maldives</t>
        </is>
      </c>
      <c r="C23" s="30" t="inlineStr">
        <is>
          <t>Maamigili (Villa) Airport, South Ari → Mirihi Island Resort</t>
        </is>
      </c>
      <c r="D23" s="31" t="n">
        <v>12.9</v>
      </c>
      <c r="E23" s="26" t="n">
        <v>120</v>
      </c>
      <c r="F23" s="32" t="inlineStr">
        <is>
          <t>T3</t>
        </is>
      </c>
      <c r="G23" s="32" t="inlineStr">
        <is>
          <t>med</t>
        </is>
      </c>
      <c r="H23" s="19" t="n">
        <v>1</v>
      </c>
      <c r="I23" s="33">
        <f>60*D23/cruise_kt</f>
        <v/>
      </c>
      <c r="J23" s="33">
        <f>I23+turn_min+dwell_min</f>
        <v/>
      </c>
      <c r="K23" s="34">
        <f>MIN(15,FLOOR(60*service_hr/J23,1))</f>
        <v/>
      </c>
      <c r="L23" s="34">
        <f>ROUND(365*mech_uptime*H23,0)</f>
        <v/>
      </c>
      <c r="M23" s="35">
        <f>mech_uptime</f>
        <v/>
      </c>
      <c r="N23" s="35">
        <f>revleg_sel</f>
        <v/>
      </c>
      <c r="O23" s="34">
        <f>ROUND(K23*L23*revleg_sel,0)</f>
        <v/>
      </c>
      <c r="P23" s="36">
        <f>load_sel</f>
        <v/>
      </c>
      <c r="Q23" s="36">
        <f>pax_cap*P23</f>
        <v/>
      </c>
      <c r="R23" s="34">
        <f>Q23*O23</f>
        <v/>
      </c>
      <c r="S23" s="37">
        <f>E23*discount</f>
        <v/>
      </c>
      <c r="T23" s="38">
        <f>S23*R23</f>
        <v/>
      </c>
      <c r="U23" s="38">
        <f>(battery/range_nm)*D23*O23*VLOOKUP(B23,country_opex,3,FALSE)</f>
        <v/>
      </c>
      <c r="V23" s="38">
        <f>VLOOKUP(B23,country_opex,2,FALSE)*crew_factor</f>
        <v/>
      </c>
      <c r="W23" s="38">
        <f>VLOOKUP(B23,country_opex,5,FALSE)</f>
        <v/>
      </c>
      <c r="X23" s="38">
        <f>maint</f>
        <v/>
      </c>
      <c r="Y23" s="38">
        <f>VLOOKUP(B23,country_opex,7,FALSE)*ins_pct</f>
        <v/>
      </c>
      <c r="Z23" s="38">
        <f>charge_berth</f>
        <v/>
      </c>
      <c r="AA23" s="38">
        <f>U23+V23+W23+X23+Y23+Z23</f>
        <v/>
      </c>
      <c r="AB23" s="38">
        <f>VLOOKUP(B23,country_opex,7,FALSE)/dep_years</f>
        <v/>
      </c>
      <c r="AC23" s="38">
        <f>T23-AA23</f>
        <v/>
      </c>
      <c r="AD23" s="35">
        <f>IF(T23=0,"",AC23/T23)</f>
        <v/>
      </c>
      <c r="AE23" s="36">
        <f>IF(AC23&lt;=0,"",VLOOKUP(B23,country_opex,7,FALSE)/AC23)</f>
        <v/>
      </c>
      <c r="AF23" s="33">
        <f>((D23*O23/diesel_nmpg)*diesel_co2pg-(battery/range_nm)*D23*O23*VLOOKUP(B23,country_opex,4,FALSE))/1000</f>
        <v/>
      </c>
      <c r="AG23" s="31" t="n">
        <v>2763</v>
      </c>
      <c r="AH23" s="32" t="inlineStr">
        <is>
          <t>T5</t>
        </is>
      </c>
      <c r="AI23" s="32" t="inlineStr">
        <is>
          <t>med</t>
        </is>
      </c>
      <c r="AJ23" s="39" t="n">
        <v>0.9</v>
      </c>
      <c r="AK23" s="34">
        <f>IF(AG23="","",AG23*AJ23)</f>
        <v/>
      </c>
      <c r="AL23" s="34">
        <f>IF(OR(AG23="",R23=0),"",MIN(IF(AS23="",9.9E+99,AS23),FLOOR(AK23/R23,1)))</f>
        <v/>
      </c>
      <c r="AM23" s="38">
        <f>IF(AL23="","",AL23*T23)</f>
        <v/>
      </c>
      <c r="AN23" s="36">
        <f>IF(OR(AG23="",R23=0),"",MIN(IF(AS23="",9.9E+99,AS23),AK23/R23))</f>
        <v/>
      </c>
      <c r="AO23" s="38">
        <f>IF(AN23="","",AN23*T23)</f>
        <v/>
      </c>
      <c r="AP23" s="40" t="n"/>
      <c r="AQ23" s="41" t="n"/>
      <c r="AR23" s="41" t="n"/>
      <c r="AS23" s="42" t="n">
        <v>2</v>
      </c>
      <c r="AT23" s="43">
        <f>IF(((S23*pax_cap*load_thin*ROUND(K23*L23*revleg_thin,0))-(((battery/range_nm)*D23*ROUND(K23*L23*revleg_thin,0)*VLOOKUP(B23,country_opex,3,FALSE))+V23+W23+X23+Y23+Z23))&lt;=0,"",VLOOKUP(B23,country_opex,7,FALSE)/((S23*pax_cap*load_thin*ROUND(K23*L23*revleg_thin,0))-(((battery/range_nm)*D23*ROUND(K23*L23*revleg_thin,0)*VLOOKUP(B23,country_opex,3,FALSE))+V23+W23+X23+Y23+Z23)))</f>
        <v/>
      </c>
      <c r="AU23" s="43">
        <f>IF(((S23*pax_cap*load_mid*ROUND(K23*L23*revleg_mid,0))-(((battery/range_nm)*D23*ROUND(K23*L23*revleg_mid,0)*VLOOKUP(B23,country_opex,3,FALSE))+V23+W23+X23+Y23+Z23))&lt;=0,"",VLOOKUP(B23,country_opex,7,FALSE)/((S23*pax_cap*load_mid*ROUND(K23*L23*revleg_mid,0))-(((battery/range_nm)*D23*ROUND(K23*L23*revleg_mid,0)*VLOOKUP(B23,country_opex,3,FALSE))+V23+W23+X23+Y23+Z23)))</f>
        <v/>
      </c>
      <c r="AV23" s="43">
        <f>IF(((S23*pax_cap*load_full*ROUND(K23*L23*revleg_full,0))-(((battery/range_nm)*D23*ROUND(K23*L23*revleg_full,0)*VLOOKUP(B23,country_opex,3,FALSE))+V23+W23+X23+Y23+Z23))&lt;=0,"",VLOOKUP(B23,country_opex,7,FALSE)/((S23*pax_cap*load_full*ROUND(K23*L23*revleg_full,0))-(((battery/range_nm)*D23*ROUND(K23*L23*revleg_full,0)*VLOOKUP(B23,country_opex,3,FALSE))+V23+W23+X23+Y23+Z23)))</f>
        <v/>
      </c>
      <c r="AW23" s="44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X23" s="44" t="inlineStr">
        <is>
          <t>Modeled arrivals = published keys x occupancy 0.70 (Maldives Min. of Tourism avg) x (365/6.5 nights avg stay) x 1.9 pax/room. Inbound one-way transfers. T5-modeled/med; keys T1 resort-published. NULL for pure inter-resort excursion legs (R2).</t>
        </is>
      </c>
    </row>
    <row r="24">
      <c r="A24" s="29" t="inlineStr">
        <is>
          <t>Maldives (JIH)</t>
        </is>
      </c>
      <c r="B24" s="29" t="inlineStr">
        <is>
          <t>Maldives</t>
        </is>
      </c>
      <c r="C24" s="30" t="inlineStr">
        <is>
          <t>Maamigili (Villa) Airport, South Ari → Conrad Maldives Rangali Island</t>
        </is>
      </c>
      <c r="D24" s="31" t="n">
        <v>13.1</v>
      </c>
      <c r="E24" s="26" t="n">
        <v>150</v>
      </c>
      <c r="F24" s="32" t="inlineStr">
        <is>
          <t>T3</t>
        </is>
      </c>
      <c r="G24" s="32" t="inlineStr">
        <is>
          <t>med</t>
        </is>
      </c>
      <c r="H24" s="19" t="n">
        <v>1</v>
      </c>
      <c r="I24" s="33">
        <f>60*D24/cruise_kt</f>
        <v/>
      </c>
      <c r="J24" s="33">
        <f>I24+turn_min+dwell_min</f>
        <v/>
      </c>
      <c r="K24" s="34">
        <f>MIN(15,FLOOR(60*service_hr/J24,1))</f>
        <v/>
      </c>
      <c r="L24" s="34">
        <f>ROUND(365*mech_uptime*H24,0)</f>
        <v/>
      </c>
      <c r="M24" s="35">
        <f>mech_uptime</f>
        <v/>
      </c>
      <c r="N24" s="35">
        <f>revleg_sel</f>
        <v/>
      </c>
      <c r="O24" s="34">
        <f>ROUND(K24*L24*revleg_sel,0)</f>
        <v/>
      </c>
      <c r="P24" s="36">
        <f>load_sel</f>
        <v/>
      </c>
      <c r="Q24" s="36">
        <f>pax_cap*P24</f>
        <v/>
      </c>
      <c r="R24" s="34">
        <f>Q24*O24</f>
        <v/>
      </c>
      <c r="S24" s="37">
        <f>E24*discount</f>
        <v/>
      </c>
      <c r="T24" s="38">
        <f>S24*R24</f>
        <v/>
      </c>
      <c r="U24" s="38">
        <f>(battery/range_nm)*D24*O24*VLOOKUP(B24,country_opex,3,FALSE)</f>
        <v/>
      </c>
      <c r="V24" s="38">
        <f>VLOOKUP(B24,country_opex,2,FALSE)*crew_factor</f>
        <v/>
      </c>
      <c r="W24" s="38">
        <f>VLOOKUP(B24,country_opex,5,FALSE)</f>
        <v/>
      </c>
      <c r="X24" s="38">
        <f>maint</f>
        <v/>
      </c>
      <c r="Y24" s="38">
        <f>VLOOKUP(B24,country_opex,7,FALSE)*ins_pct</f>
        <v/>
      </c>
      <c r="Z24" s="38">
        <f>charge_berth</f>
        <v/>
      </c>
      <c r="AA24" s="38">
        <f>U24+V24+W24+X24+Y24+Z24</f>
        <v/>
      </c>
      <c r="AB24" s="38">
        <f>VLOOKUP(B24,country_opex,7,FALSE)/dep_years</f>
        <v/>
      </c>
      <c r="AC24" s="38">
        <f>T24-AA24</f>
        <v/>
      </c>
      <c r="AD24" s="35">
        <f>IF(T24=0,"",AC24/T24)</f>
        <v/>
      </c>
      <c r="AE24" s="36">
        <f>IF(AC24&lt;=0,"",VLOOKUP(B24,country_opex,7,FALSE)/AC24)</f>
        <v/>
      </c>
      <c r="AF24" s="33">
        <f>((D24*O24/diesel_nmpg)*diesel_co2pg-(battery/range_nm)*D24*O24*VLOOKUP(B24,country_opex,4,FALSE))/1000</f>
        <v/>
      </c>
      <c r="AG24" s="31" t="n">
        <v>11203</v>
      </c>
      <c r="AH24" s="32" t="inlineStr">
        <is>
          <t>T5</t>
        </is>
      </c>
      <c r="AI24" s="32" t="inlineStr">
        <is>
          <t>med</t>
        </is>
      </c>
      <c r="AJ24" s="39" t="n">
        <v>0.9</v>
      </c>
      <c r="AK24" s="34">
        <f>IF(AG24="","",AG24*AJ24)</f>
        <v/>
      </c>
      <c r="AL24" s="34">
        <f>IF(OR(AG24="",R24=0),"",MIN(IF(AS24="",9.9E+99,AS24),FLOOR(AK24/R24,1)))</f>
        <v/>
      </c>
      <c r="AM24" s="38">
        <f>IF(AL24="","",AL24*T24)</f>
        <v/>
      </c>
      <c r="AN24" s="36">
        <f>IF(OR(AG24="",R24=0),"",MIN(IF(AS24="",9.9E+99,AS24),AK24/R24))</f>
        <v/>
      </c>
      <c r="AO24" s="38">
        <f>IF(AN24="","",AN24*T24)</f>
        <v/>
      </c>
      <c r="AP24" s="40" t="n"/>
      <c r="AQ24" s="41" t="n"/>
      <c r="AR24" s="41" t="n"/>
      <c r="AS24" s="42" t="n">
        <v>6</v>
      </c>
      <c r="AT24" s="43">
        <f>IF(((S24*pax_cap*load_thin*ROUND(K24*L24*revleg_thin,0))-(((battery/range_nm)*D24*ROUND(K24*L24*revleg_thin,0)*VLOOKUP(B24,country_opex,3,FALSE))+V24+W24+X24+Y24+Z24))&lt;=0,"",VLOOKUP(B24,country_opex,7,FALSE)/((S24*pax_cap*load_thin*ROUND(K24*L24*revleg_thin,0))-(((battery/range_nm)*D24*ROUND(K24*L24*revleg_thin,0)*VLOOKUP(B24,country_opex,3,FALSE))+V24+W24+X24+Y24+Z24)))</f>
        <v/>
      </c>
      <c r="AU24" s="43">
        <f>IF(((S24*pax_cap*load_mid*ROUND(K24*L24*revleg_mid,0))-(((battery/range_nm)*D24*ROUND(K24*L24*revleg_mid,0)*VLOOKUP(B24,country_opex,3,FALSE))+V24+W24+X24+Y24+Z24))&lt;=0,"",VLOOKUP(B24,country_opex,7,FALSE)/((S24*pax_cap*load_mid*ROUND(K24*L24*revleg_mid,0))-(((battery/range_nm)*D24*ROUND(K24*L24*revleg_mid,0)*VLOOKUP(B24,country_opex,3,FALSE))+V24+W24+X24+Y24+Z24)))</f>
        <v/>
      </c>
      <c r="AV24" s="43">
        <f>IF(((S24*pax_cap*load_full*ROUND(K24*L24*revleg_full,0))-(((battery/range_nm)*D24*ROUND(K24*L24*revleg_full,0)*VLOOKUP(B24,country_opex,3,FALSE))+V24+W24+X24+Y24+Z24))&lt;=0,"",VLOOKUP(B24,country_opex,7,FALSE)/((S24*pax_cap*load_full*ROUND(K24*L24*revleg_full,0))-(((battery/range_nm)*D24*ROUND(K24*L24*revleg_full,0)*VLOOKUP(B24,country_opex,3,FALSE))+V24+W24+X24+Y24+Z24)))</f>
        <v/>
      </c>
      <c r="AW24" s="44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X24" s="44" t="inlineStr">
        <is>
          <t>Modeled arrivals = published keys x occupancy 0.70 (Maldives Min. of Tourism avg) x (365/6.5 nights avg stay) x 1.9 pax/room. Inbound one-way transfers. T5-modeled/med; keys T1 resort-published. NULL for pure inter-resort excursion legs (R2).</t>
        </is>
      </c>
    </row>
    <row r="25">
      <c r="A25" s="29" t="inlineStr">
        <is>
          <t>Maldives (JIH)</t>
        </is>
      </c>
      <c r="B25" s="29" t="inlineStr">
        <is>
          <t>Maldives</t>
        </is>
      </c>
      <c r="C25" s="30" t="inlineStr">
        <is>
          <t>Maafaru Airport, Noonu → Cheval Blanc Randheli (Noonu)</t>
        </is>
      </c>
      <c r="D25" s="31" t="n">
        <v>13.1</v>
      </c>
      <c r="E25" s="26" t="n">
        <v>200</v>
      </c>
      <c r="F25" s="32" t="inlineStr">
        <is>
          <t>T3</t>
        </is>
      </c>
      <c r="G25" s="32" t="inlineStr">
        <is>
          <t>med</t>
        </is>
      </c>
      <c r="H25" s="19" t="n">
        <v>1</v>
      </c>
      <c r="I25" s="33">
        <f>60*D25/cruise_kt</f>
        <v/>
      </c>
      <c r="J25" s="33">
        <f>I25+turn_min+dwell_min</f>
        <v/>
      </c>
      <c r="K25" s="34">
        <f>MIN(15,FLOOR(60*service_hr/J25,1))</f>
        <v/>
      </c>
      <c r="L25" s="34">
        <f>ROUND(365*mech_uptime*H25,0)</f>
        <v/>
      </c>
      <c r="M25" s="35">
        <f>mech_uptime</f>
        <v/>
      </c>
      <c r="N25" s="35">
        <f>revleg_sel</f>
        <v/>
      </c>
      <c r="O25" s="34">
        <f>ROUND(K25*L25*revleg_sel,0)</f>
        <v/>
      </c>
      <c r="P25" s="36">
        <f>load_sel</f>
        <v/>
      </c>
      <c r="Q25" s="36">
        <f>pax_cap*P25</f>
        <v/>
      </c>
      <c r="R25" s="34">
        <f>Q25*O25</f>
        <v/>
      </c>
      <c r="S25" s="37">
        <f>E25*discount</f>
        <v/>
      </c>
      <c r="T25" s="38">
        <f>S25*R25</f>
        <v/>
      </c>
      <c r="U25" s="38">
        <f>(battery/range_nm)*D25*O25*VLOOKUP(B25,country_opex,3,FALSE)</f>
        <v/>
      </c>
      <c r="V25" s="38">
        <f>VLOOKUP(B25,country_opex,2,FALSE)*crew_factor</f>
        <v/>
      </c>
      <c r="W25" s="38">
        <f>VLOOKUP(B25,country_opex,5,FALSE)</f>
        <v/>
      </c>
      <c r="X25" s="38">
        <f>maint</f>
        <v/>
      </c>
      <c r="Y25" s="38">
        <f>VLOOKUP(B25,country_opex,7,FALSE)*ins_pct</f>
        <v/>
      </c>
      <c r="Z25" s="38">
        <f>charge_berth</f>
        <v/>
      </c>
      <c r="AA25" s="38">
        <f>U25+V25+W25+X25+Y25+Z25</f>
        <v/>
      </c>
      <c r="AB25" s="38">
        <f>VLOOKUP(B25,country_opex,7,FALSE)/dep_years</f>
        <v/>
      </c>
      <c r="AC25" s="38">
        <f>T25-AA25</f>
        <v/>
      </c>
      <c r="AD25" s="35">
        <f>IF(T25=0,"",AC25/T25)</f>
        <v/>
      </c>
      <c r="AE25" s="36">
        <f>IF(AC25&lt;=0,"",VLOOKUP(B25,country_opex,7,FALSE)/AC25)</f>
        <v/>
      </c>
      <c r="AF25" s="33">
        <f>((D25*O25/diesel_nmpg)*diesel_co2pg-(battery/range_nm)*D25*O25*VLOOKUP(B25,country_opex,4,FALSE))/1000</f>
        <v/>
      </c>
      <c r="AG25" s="31" t="n">
        <v>3361</v>
      </c>
      <c r="AH25" s="32" t="inlineStr">
        <is>
          <t>T5</t>
        </is>
      </c>
      <c r="AI25" s="32" t="inlineStr">
        <is>
          <t>med</t>
        </is>
      </c>
      <c r="AJ25" s="39" t="n">
        <v>0.9</v>
      </c>
      <c r="AK25" s="34">
        <f>IF(AG25="","",AG25*AJ25)</f>
        <v/>
      </c>
      <c r="AL25" s="34">
        <f>IF(OR(AG25="",R25=0),"",MIN(IF(AS25="",9.9E+99,AS25),FLOOR(AK25/R25,1)))</f>
        <v/>
      </c>
      <c r="AM25" s="38">
        <f>IF(AL25="","",AL25*T25)</f>
        <v/>
      </c>
      <c r="AN25" s="36">
        <f>IF(OR(AG25="",R25=0),"",MIN(IF(AS25="",9.9E+99,AS25),AK25/R25))</f>
        <v/>
      </c>
      <c r="AO25" s="38">
        <f>IF(AN25="","",AN25*T25)</f>
        <v/>
      </c>
      <c r="AP25" s="40" t="n"/>
      <c r="AQ25" s="41" t="n"/>
      <c r="AR25" s="41" t="n"/>
      <c r="AS25" s="42" t="n">
        <v>2</v>
      </c>
      <c r="AT25" s="43">
        <f>IF(((S25*pax_cap*load_thin*ROUND(K25*L25*revleg_thin,0))-(((battery/range_nm)*D25*ROUND(K25*L25*revleg_thin,0)*VLOOKUP(B25,country_opex,3,FALSE))+V25+W25+X25+Y25+Z25))&lt;=0,"",VLOOKUP(B25,country_opex,7,FALSE)/((S25*pax_cap*load_thin*ROUND(K25*L25*revleg_thin,0))-(((battery/range_nm)*D25*ROUND(K25*L25*revleg_thin,0)*VLOOKUP(B25,country_opex,3,FALSE))+V25+W25+X25+Y25+Z25)))</f>
        <v/>
      </c>
      <c r="AU25" s="43">
        <f>IF(((S25*pax_cap*load_mid*ROUND(K25*L25*revleg_mid,0))-(((battery/range_nm)*D25*ROUND(K25*L25*revleg_mid,0)*VLOOKUP(B25,country_opex,3,FALSE))+V25+W25+X25+Y25+Z25))&lt;=0,"",VLOOKUP(B25,country_opex,7,FALSE)/((S25*pax_cap*load_mid*ROUND(K25*L25*revleg_mid,0))-(((battery/range_nm)*D25*ROUND(K25*L25*revleg_mid,0)*VLOOKUP(B25,country_opex,3,FALSE))+V25+W25+X25+Y25+Z25)))</f>
        <v/>
      </c>
      <c r="AV25" s="43">
        <f>IF(((S25*pax_cap*load_full*ROUND(K25*L25*revleg_full,0))-(((battery/range_nm)*D25*ROUND(K25*L25*revleg_full,0)*VLOOKUP(B25,country_opex,3,FALSE))+V25+W25+X25+Y25+Z25))&lt;=0,"",VLOOKUP(B25,country_opex,7,FALSE)/((S25*pax_cap*load_full*ROUND(K25*L25*revleg_full,0))-(((battery/range_nm)*D25*ROUND(K25*L25*revleg_full,0)*VLOOKUP(B25,country_opex,3,FALSE))+V25+W25+X25+Y25+Z25)))</f>
        <v/>
      </c>
      <c r="AW25" s="44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X25" s="44" t="inlineStr">
        <is>
          <t>Modeled arrivals = published keys x occupancy 0.70 (Maldives Min. of Tourism avg) x (365/6.5 nights avg stay) x 1.9 pax/room. Inbound one-way transfers. T5-modeled/med; keys T1 resort-published. NULL for pure inter-resort excursion legs (R2).</t>
        </is>
      </c>
    </row>
    <row r="26">
      <c r="A26" s="29" t="inlineStr">
        <is>
          <t>Maldives (JIH)</t>
        </is>
      </c>
      <c r="B26" s="29" t="inlineStr">
        <is>
          <t>Maldives</t>
        </is>
      </c>
      <c r="C26" s="30" t="inlineStr">
        <is>
          <t>Ifuru Airport, Raa → Joali Being (Bodufushi, Raa)</t>
        </is>
      </c>
      <c r="D26" s="31" t="n">
        <v>13.2</v>
      </c>
      <c r="E26" s="26" t="n">
        <v>200</v>
      </c>
      <c r="F26" s="32" t="inlineStr">
        <is>
          <t>T3</t>
        </is>
      </c>
      <c r="G26" s="32" t="inlineStr">
        <is>
          <t>med</t>
        </is>
      </c>
      <c r="H26" s="19" t="n">
        <v>1</v>
      </c>
      <c r="I26" s="33">
        <f>60*D26/cruise_kt</f>
        <v/>
      </c>
      <c r="J26" s="33">
        <f>I26+turn_min+dwell_min</f>
        <v/>
      </c>
      <c r="K26" s="34">
        <f>MIN(15,FLOOR(60*service_hr/J26,1))</f>
        <v/>
      </c>
      <c r="L26" s="34">
        <f>ROUND(365*mech_uptime*H26,0)</f>
        <v/>
      </c>
      <c r="M26" s="35">
        <f>mech_uptime</f>
        <v/>
      </c>
      <c r="N26" s="35">
        <f>revleg_sel</f>
        <v/>
      </c>
      <c r="O26" s="34">
        <f>ROUND(K26*L26*revleg_sel,0)</f>
        <v/>
      </c>
      <c r="P26" s="36">
        <f>load_sel</f>
        <v/>
      </c>
      <c r="Q26" s="36">
        <f>pax_cap*P26</f>
        <v/>
      </c>
      <c r="R26" s="34">
        <f>Q26*O26</f>
        <v/>
      </c>
      <c r="S26" s="37">
        <f>E26*discount</f>
        <v/>
      </c>
      <c r="T26" s="38">
        <f>S26*R26</f>
        <v/>
      </c>
      <c r="U26" s="38">
        <f>(battery/range_nm)*D26*O26*VLOOKUP(B26,country_opex,3,FALSE)</f>
        <v/>
      </c>
      <c r="V26" s="38">
        <f>VLOOKUP(B26,country_opex,2,FALSE)*crew_factor</f>
        <v/>
      </c>
      <c r="W26" s="38">
        <f>VLOOKUP(B26,country_opex,5,FALSE)</f>
        <v/>
      </c>
      <c r="X26" s="38">
        <f>maint</f>
        <v/>
      </c>
      <c r="Y26" s="38">
        <f>VLOOKUP(B26,country_opex,7,FALSE)*ins_pct</f>
        <v/>
      </c>
      <c r="Z26" s="38">
        <f>charge_berth</f>
        <v/>
      </c>
      <c r="AA26" s="38">
        <f>U26+V26+W26+X26+Y26+Z26</f>
        <v/>
      </c>
      <c r="AB26" s="38">
        <f>VLOOKUP(B26,country_opex,7,FALSE)/dep_years</f>
        <v/>
      </c>
      <c r="AC26" s="38">
        <f>T26-AA26</f>
        <v/>
      </c>
      <c r="AD26" s="35">
        <f>IF(T26=0,"",AC26/T26)</f>
        <v/>
      </c>
      <c r="AE26" s="36">
        <f>IF(AC26&lt;=0,"",VLOOKUP(B26,country_opex,7,FALSE)/AC26)</f>
        <v/>
      </c>
      <c r="AF26" s="33">
        <f>((D26*O26/diesel_nmpg)*diesel_co2pg-(battery/range_nm)*D26*O26*VLOOKUP(B26,country_opex,4,FALSE))/1000</f>
        <v/>
      </c>
      <c r="AG26" s="31" t="n">
        <v>5079</v>
      </c>
      <c r="AH26" s="32" t="inlineStr">
        <is>
          <t>T5</t>
        </is>
      </c>
      <c r="AI26" s="32" t="inlineStr">
        <is>
          <t>med</t>
        </is>
      </c>
      <c r="AJ26" s="39" t="n">
        <v>0.9</v>
      </c>
      <c r="AK26" s="34">
        <f>IF(AG26="","",AG26*AJ26)</f>
        <v/>
      </c>
      <c r="AL26" s="34">
        <f>IF(OR(AG26="",R26=0),"",MIN(IF(AS26="",9.9E+99,AS26),FLOOR(AK26/R26,1)))</f>
        <v/>
      </c>
      <c r="AM26" s="38">
        <f>IF(AL26="","",AL26*T26)</f>
        <v/>
      </c>
      <c r="AN26" s="36">
        <f>IF(OR(AG26="",R26=0),"",MIN(IF(AS26="",9.9E+99,AS26),AK26/R26))</f>
        <v/>
      </c>
      <c r="AO26" s="38">
        <f>IF(AN26="","",AN26*T26)</f>
        <v/>
      </c>
      <c r="AP26" s="40" t="n"/>
      <c r="AQ26" s="41" t="n"/>
      <c r="AR26" s="41" t="n"/>
      <c r="AS26" s="42" t="n">
        <v>3</v>
      </c>
      <c r="AT26" s="43">
        <f>IF(((S26*pax_cap*load_thin*ROUND(K26*L26*revleg_thin,0))-(((battery/range_nm)*D26*ROUND(K26*L26*revleg_thin,0)*VLOOKUP(B26,country_opex,3,FALSE))+V26+W26+X26+Y26+Z26))&lt;=0,"",VLOOKUP(B26,country_opex,7,FALSE)/((S26*pax_cap*load_thin*ROUND(K26*L26*revleg_thin,0))-(((battery/range_nm)*D26*ROUND(K26*L26*revleg_thin,0)*VLOOKUP(B26,country_opex,3,FALSE))+V26+W26+X26+Y26+Z26)))</f>
        <v/>
      </c>
      <c r="AU26" s="43">
        <f>IF(((S26*pax_cap*load_mid*ROUND(K26*L26*revleg_mid,0))-(((battery/range_nm)*D26*ROUND(K26*L26*revleg_mid,0)*VLOOKUP(B26,country_opex,3,FALSE))+V26+W26+X26+Y26+Z26))&lt;=0,"",VLOOKUP(B26,country_opex,7,FALSE)/((S26*pax_cap*load_mid*ROUND(K26*L26*revleg_mid,0))-(((battery/range_nm)*D26*ROUND(K26*L26*revleg_mid,0)*VLOOKUP(B26,country_opex,3,FALSE))+V26+W26+X26+Y26+Z26)))</f>
        <v/>
      </c>
      <c r="AV26" s="43">
        <f>IF(((S26*pax_cap*load_full*ROUND(K26*L26*revleg_full,0))-(((battery/range_nm)*D26*ROUND(K26*L26*revleg_full,0)*VLOOKUP(B26,country_opex,3,FALSE))+V26+W26+X26+Y26+Z26))&lt;=0,"",VLOOKUP(B26,country_opex,7,FALSE)/((S26*pax_cap*load_full*ROUND(K26*L26*revleg_full,0))-(((battery/range_nm)*D26*ROUND(K26*L26*revleg_full,0)*VLOOKUP(B26,country_opex,3,FALSE))+V26+W26+X26+Y26+Z26)))</f>
        <v/>
      </c>
      <c r="AW26" s="44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X26" s="44" t="inlineStr">
        <is>
          <t>Modeled arrivals = published keys x occupancy 0.70 (Maldives Min. of Tourism avg) x (365/6.5 nights avg stay) x 1.9 pax/room. Inbound one-way transfers. T5-modeled/med; keys T1 resort-published. NULL for pure inter-resort excursion legs (R2).</t>
        </is>
      </c>
    </row>
    <row r="27">
      <c r="A27" s="29" t="inlineStr">
        <is>
          <t>Maldives (JIH)</t>
        </is>
      </c>
      <c r="B27" s="29" t="inlineStr">
        <is>
          <t>Maldives</t>
        </is>
      </c>
      <c r="C27" s="30" t="inlineStr">
        <is>
          <t>Soneva Fushi (Kunfunadhoo, Baa) → Anantara Kihavah (Baa)</t>
        </is>
      </c>
      <c r="D27" s="31" t="n">
        <v>13.3</v>
      </c>
      <c r="E27" s="26" t="n">
        <v>175</v>
      </c>
      <c r="F27" s="32" t="inlineStr">
        <is>
          <t>T3</t>
        </is>
      </c>
      <c r="G27" s="32" t="inlineStr">
        <is>
          <t>med</t>
        </is>
      </c>
      <c r="H27" s="19" t="n">
        <v>1</v>
      </c>
      <c r="I27" s="33">
        <f>60*D27/cruise_kt</f>
        <v/>
      </c>
      <c r="J27" s="33">
        <f>I27+turn_min+dwell_min</f>
        <v/>
      </c>
      <c r="K27" s="34">
        <f>MIN(15,FLOOR(60*service_hr/J27,1))</f>
        <v/>
      </c>
      <c r="L27" s="34">
        <f>ROUND(365*mech_uptime*H27,0)</f>
        <v/>
      </c>
      <c r="M27" s="35">
        <f>mech_uptime</f>
        <v/>
      </c>
      <c r="N27" s="35">
        <f>revleg_sel</f>
        <v/>
      </c>
      <c r="O27" s="34">
        <f>ROUND(K27*L27*revleg_sel,0)</f>
        <v/>
      </c>
      <c r="P27" s="36">
        <f>load_sel</f>
        <v/>
      </c>
      <c r="Q27" s="36">
        <f>pax_cap*P27</f>
        <v/>
      </c>
      <c r="R27" s="34">
        <f>Q27*O27</f>
        <v/>
      </c>
      <c r="S27" s="37">
        <f>E27*discount</f>
        <v/>
      </c>
      <c r="T27" s="38">
        <f>S27*R27</f>
        <v/>
      </c>
      <c r="U27" s="38">
        <f>(battery/range_nm)*D27*O27*VLOOKUP(B27,country_opex,3,FALSE)</f>
        <v/>
      </c>
      <c r="V27" s="38">
        <f>VLOOKUP(B27,country_opex,2,FALSE)*crew_factor</f>
        <v/>
      </c>
      <c r="W27" s="38">
        <f>VLOOKUP(B27,country_opex,5,FALSE)</f>
        <v/>
      </c>
      <c r="X27" s="38">
        <f>maint</f>
        <v/>
      </c>
      <c r="Y27" s="38">
        <f>VLOOKUP(B27,country_opex,7,FALSE)*ins_pct</f>
        <v/>
      </c>
      <c r="Z27" s="38">
        <f>charge_berth</f>
        <v/>
      </c>
      <c r="AA27" s="38">
        <f>U27+V27+W27+X27+Y27+Z27</f>
        <v/>
      </c>
      <c r="AB27" s="38">
        <f>VLOOKUP(B27,country_opex,7,FALSE)/dep_years</f>
        <v/>
      </c>
      <c r="AC27" s="38">
        <f>T27-AA27</f>
        <v/>
      </c>
      <c r="AD27" s="35">
        <f>IF(T27=0,"",AC27/T27)</f>
        <v/>
      </c>
      <c r="AE27" s="36">
        <f>IF(AC27&lt;=0,"",VLOOKUP(B27,country_opex,7,FALSE)/AC27)</f>
        <v/>
      </c>
      <c r="AF27" s="33">
        <f>((D27*O27/diesel_nmpg)*diesel_co2pg-(battery/range_nm)*D27*O27*VLOOKUP(B27,country_opex,4,FALSE))/1000</f>
        <v/>
      </c>
      <c r="AG27" s="31" t="n"/>
      <c r="AH27" s="32" t="n"/>
      <c r="AI27" s="32" t="inlineStr">
        <is>
          <t>null</t>
        </is>
      </c>
      <c r="AJ27" s="39" t="n">
        <v>0.9</v>
      </c>
      <c r="AK27" s="34">
        <f>IF(AG27="","",AG27*AJ27)</f>
        <v/>
      </c>
      <c r="AL27" s="34">
        <f>IF(OR(AG27="",R27=0),"",MIN(IF(AS27="",9.9E+99,AS27),FLOOR(AK27/R27,1)))</f>
        <v/>
      </c>
      <c r="AM27" s="38">
        <f>IF(AL27="","",AL27*T27)</f>
        <v/>
      </c>
      <c r="AN27" s="36">
        <f>IF(OR(AG27="",R27=0),"",MIN(IF(AS27="",9.9E+99,AS27),AK27/R27))</f>
        <v/>
      </c>
      <c r="AO27" s="38">
        <f>IF(AN27="","",AN27*T27)</f>
        <v/>
      </c>
      <c r="AP27" s="40" t="n"/>
      <c r="AQ27" s="41" t="n"/>
      <c r="AR27" s="41" t="n"/>
      <c r="AS27" s="42" t="n"/>
      <c r="AT27" s="43">
        <f>IF(((S27*pax_cap*load_thin*ROUND(K27*L27*revleg_thin,0))-(((battery/range_nm)*D27*ROUND(K27*L27*revleg_thin,0)*VLOOKUP(B27,country_opex,3,FALSE))+V27+W27+X27+Y27+Z27))&lt;=0,"",VLOOKUP(B27,country_opex,7,FALSE)/((S27*pax_cap*load_thin*ROUND(K27*L27*revleg_thin,0))-(((battery/range_nm)*D27*ROUND(K27*L27*revleg_thin,0)*VLOOKUP(B27,country_opex,3,FALSE))+V27+W27+X27+Y27+Z27)))</f>
        <v/>
      </c>
      <c r="AU27" s="43">
        <f>IF(((S27*pax_cap*load_mid*ROUND(K27*L27*revleg_mid,0))-(((battery/range_nm)*D27*ROUND(K27*L27*revleg_mid,0)*VLOOKUP(B27,country_opex,3,FALSE))+V27+W27+X27+Y27+Z27))&lt;=0,"",VLOOKUP(B27,country_opex,7,FALSE)/((S27*pax_cap*load_mid*ROUND(K27*L27*revleg_mid,0))-(((battery/range_nm)*D27*ROUND(K27*L27*revleg_mid,0)*VLOOKUP(B27,country_opex,3,FALSE))+V27+W27+X27+Y27+Z27)))</f>
        <v/>
      </c>
      <c r="AV27" s="43">
        <f>IF(((S27*pax_cap*load_full*ROUND(K27*L27*revleg_full,0))-(((battery/range_nm)*D27*ROUND(K27*L27*revleg_full,0)*VLOOKUP(B27,country_opex,3,FALSE))+V27+W27+X27+Y27+Z27))&lt;=0,"",VLOOKUP(B27,country_opex,7,FALSE)/((S27*pax_cap*load_full*ROUND(K27*L27*revleg_full,0))-(((battery/range_nm)*D27*ROUND(K27*L27*revleg_full,0)*VLOOKUP(B27,country_opex,3,FALSE))+V27+W27+X27+Y27+Z27)))</f>
        <v/>
      </c>
      <c r="AW27" s="44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X27" s="44" t="inlineStr">
        <is>
          <t>NULL — pure inter-resort island-hop; no grounded crossing pool (R2). Geometry only.</t>
        </is>
      </c>
    </row>
    <row r="28">
      <c r="A28" s="29" t="inlineStr">
        <is>
          <t>Maldives (JIH)</t>
        </is>
      </c>
      <c r="B28" s="29" t="inlineStr">
        <is>
          <t>Maldives</t>
        </is>
      </c>
      <c r="C28" s="30" t="inlineStr">
        <is>
          <t>Dharavandhoo Airport, Baa → Vakkaru Maldives (Baa)</t>
        </is>
      </c>
      <c r="D28" s="31" t="n">
        <v>13.6</v>
      </c>
      <c r="E28" s="26" t="n">
        <v>175</v>
      </c>
      <c r="F28" s="32" t="inlineStr">
        <is>
          <t>T3</t>
        </is>
      </c>
      <c r="G28" s="32" t="inlineStr">
        <is>
          <t>med</t>
        </is>
      </c>
      <c r="H28" s="19" t="n">
        <v>1</v>
      </c>
      <c r="I28" s="33">
        <f>60*D28/cruise_kt</f>
        <v/>
      </c>
      <c r="J28" s="33">
        <f>I28+turn_min+dwell_min</f>
        <v/>
      </c>
      <c r="K28" s="34">
        <f>MIN(15,FLOOR(60*service_hr/J28,1))</f>
        <v/>
      </c>
      <c r="L28" s="34">
        <f>ROUND(365*mech_uptime*H28,0)</f>
        <v/>
      </c>
      <c r="M28" s="35">
        <f>mech_uptime</f>
        <v/>
      </c>
      <c r="N28" s="35">
        <f>revleg_sel</f>
        <v/>
      </c>
      <c r="O28" s="34">
        <f>ROUND(K28*L28*revleg_sel,0)</f>
        <v/>
      </c>
      <c r="P28" s="36">
        <f>load_sel</f>
        <v/>
      </c>
      <c r="Q28" s="36">
        <f>pax_cap*P28</f>
        <v/>
      </c>
      <c r="R28" s="34">
        <f>Q28*O28</f>
        <v/>
      </c>
      <c r="S28" s="37">
        <f>E28*discount</f>
        <v/>
      </c>
      <c r="T28" s="38">
        <f>S28*R28</f>
        <v/>
      </c>
      <c r="U28" s="38">
        <f>(battery/range_nm)*D28*O28*VLOOKUP(B28,country_opex,3,FALSE)</f>
        <v/>
      </c>
      <c r="V28" s="38">
        <f>VLOOKUP(B28,country_opex,2,FALSE)*crew_factor</f>
        <v/>
      </c>
      <c r="W28" s="38">
        <f>VLOOKUP(B28,country_opex,5,FALSE)</f>
        <v/>
      </c>
      <c r="X28" s="38">
        <f>maint</f>
        <v/>
      </c>
      <c r="Y28" s="38">
        <f>VLOOKUP(B28,country_opex,7,FALSE)*ins_pct</f>
        <v/>
      </c>
      <c r="Z28" s="38">
        <f>charge_berth</f>
        <v/>
      </c>
      <c r="AA28" s="38">
        <f>U28+V28+W28+X28+Y28+Z28</f>
        <v/>
      </c>
      <c r="AB28" s="38">
        <f>VLOOKUP(B28,country_opex,7,FALSE)/dep_years</f>
        <v/>
      </c>
      <c r="AC28" s="38">
        <f>T28-AA28</f>
        <v/>
      </c>
      <c r="AD28" s="35">
        <f>IF(T28=0,"",AC28/T28)</f>
        <v/>
      </c>
      <c r="AE28" s="36">
        <f>IF(AC28&lt;=0,"",VLOOKUP(B28,country_opex,7,FALSE)/AC28)</f>
        <v/>
      </c>
      <c r="AF28" s="33">
        <f>((D28*O28/diesel_nmpg)*diesel_co2pg-(battery/range_nm)*D28*O28*VLOOKUP(B28,country_opex,4,FALSE))/1000</f>
        <v/>
      </c>
      <c r="AG28" s="31" t="n">
        <v>9336</v>
      </c>
      <c r="AH28" s="32" t="inlineStr">
        <is>
          <t>T5</t>
        </is>
      </c>
      <c r="AI28" s="32" t="inlineStr">
        <is>
          <t>med</t>
        </is>
      </c>
      <c r="AJ28" s="39" t="n">
        <v>0.9</v>
      </c>
      <c r="AK28" s="34">
        <f>IF(AG28="","",AG28*AJ28)</f>
        <v/>
      </c>
      <c r="AL28" s="34">
        <f>IF(OR(AG28="",R28=0),"",MIN(IF(AS28="",9.9E+99,AS28),FLOOR(AK28/R28,1)))</f>
        <v/>
      </c>
      <c r="AM28" s="38">
        <f>IF(AL28="","",AL28*T28)</f>
        <v/>
      </c>
      <c r="AN28" s="36">
        <f>IF(OR(AG28="",R28=0),"",MIN(IF(AS28="",9.9E+99,AS28),AK28/R28))</f>
        <v/>
      </c>
      <c r="AO28" s="38">
        <f>IF(AN28="","",AN28*T28)</f>
        <v/>
      </c>
      <c r="AP28" s="40" t="n"/>
      <c r="AQ28" s="41" t="n"/>
      <c r="AR28" s="41" t="n"/>
      <c r="AS28" s="42" t="n">
        <v>5</v>
      </c>
      <c r="AT28" s="43">
        <f>IF(((S28*pax_cap*load_thin*ROUND(K28*L28*revleg_thin,0))-(((battery/range_nm)*D28*ROUND(K28*L28*revleg_thin,0)*VLOOKUP(B28,country_opex,3,FALSE))+V28+W28+X28+Y28+Z28))&lt;=0,"",VLOOKUP(B28,country_opex,7,FALSE)/((S28*pax_cap*load_thin*ROUND(K28*L28*revleg_thin,0))-(((battery/range_nm)*D28*ROUND(K28*L28*revleg_thin,0)*VLOOKUP(B28,country_opex,3,FALSE))+V28+W28+X28+Y28+Z28)))</f>
        <v/>
      </c>
      <c r="AU28" s="43">
        <f>IF(((S28*pax_cap*load_mid*ROUND(K28*L28*revleg_mid,0))-(((battery/range_nm)*D28*ROUND(K28*L28*revleg_mid,0)*VLOOKUP(B28,country_opex,3,FALSE))+V28+W28+X28+Y28+Z28))&lt;=0,"",VLOOKUP(B28,country_opex,7,FALSE)/((S28*pax_cap*load_mid*ROUND(K28*L28*revleg_mid,0))-(((battery/range_nm)*D28*ROUND(K28*L28*revleg_mid,0)*VLOOKUP(B28,country_opex,3,FALSE))+V28+W28+X28+Y28+Z28)))</f>
        <v/>
      </c>
      <c r="AV28" s="43">
        <f>IF(((S28*pax_cap*load_full*ROUND(K28*L28*revleg_full,0))-(((battery/range_nm)*D28*ROUND(K28*L28*revleg_full,0)*VLOOKUP(B28,country_opex,3,FALSE))+V28+W28+X28+Y28+Z28))&lt;=0,"",VLOOKUP(B28,country_opex,7,FALSE)/((S28*pax_cap*load_full*ROUND(K28*L28*revleg_full,0))-(((battery/range_nm)*D28*ROUND(K28*L28*revleg_full,0)*VLOOKUP(B28,country_opex,3,FALSE))+V28+W28+X28+Y28+Z28)))</f>
        <v/>
      </c>
      <c r="AW28" s="44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X28" s="44" t="inlineStr">
        <is>
          <t>Modeled arrivals = published keys x occupancy 0.70 (Maldives Min. of Tourism avg) x (365/6.5 nights avg stay) x 1.9 pax/room. Inbound one-way transfers. T5-modeled/med; keys T1 resort-published. NULL for pure inter-resort excursion legs (R2).</t>
        </is>
      </c>
    </row>
    <row r="29">
      <c r="A29" s="29" t="inlineStr">
        <is>
          <t>Maldives (JIH)</t>
        </is>
      </c>
      <c r="B29" s="29" t="inlineStr">
        <is>
          <t>Maldives</t>
        </is>
      </c>
      <c r="C29" s="30" t="inlineStr">
        <is>
          <t>Dharavandhoo Airport, Baa → Finolhu (Baa)</t>
        </is>
      </c>
      <c r="D29" s="31" t="n">
        <v>13.9</v>
      </c>
      <c r="E29" s="26" t="n">
        <v>150</v>
      </c>
      <c r="F29" s="32" t="inlineStr">
        <is>
          <t>T3</t>
        </is>
      </c>
      <c r="G29" s="32" t="inlineStr">
        <is>
          <t>med</t>
        </is>
      </c>
      <c r="H29" s="19" t="n">
        <v>1</v>
      </c>
      <c r="I29" s="33">
        <f>60*D29/cruise_kt</f>
        <v/>
      </c>
      <c r="J29" s="33">
        <f>I29+turn_min+dwell_min</f>
        <v/>
      </c>
      <c r="K29" s="34">
        <f>MIN(15,FLOOR(60*service_hr/J29,1))</f>
        <v/>
      </c>
      <c r="L29" s="34">
        <f>ROUND(365*mech_uptime*H29,0)</f>
        <v/>
      </c>
      <c r="M29" s="35">
        <f>mech_uptime</f>
        <v/>
      </c>
      <c r="N29" s="35">
        <f>revleg_sel</f>
        <v/>
      </c>
      <c r="O29" s="34">
        <f>ROUND(K29*L29*revleg_sel,0)</f>
        <v/>
      </c>
      <c r="P29" s="36">
        <f>load_sel</f>
        <v/>
      </c>
      <c r="Q29" s="36">
        <f>pax_cap*P29</f>
        <v/>
      </c>
      <c r="R29" s="34">
        <f>Q29*O29</f>
        <v/>
      </c>
      <c r="S29" s="37">
        <f>E29*discount</f>
        <v/>
      </c>
      <c r="T29" s="38">
        <f>S29*R29</f>
        <v/>
      </c>
      <c r="U29" s="38">
        <f>(battery/range_nm)*D29*O29*VLOOKUP(B29,country_opex,3,FALSE)</f>
        <v/>
      </c>
      <c r="V29" s="38">
        <f>VLOOKUP(B29,country_opex,2,FALSE)*crew_factor</f>
        <v/>
      </c>
      <c r="W29" s="38">
        <f>VLOOKUP(B29,country_opex,5,FALSE)</f>
        <v/>
      </c>
      <c r="X29" s="38">
        <f>maint</f>
        <v/>
      </c>
      <c r="Y29" s="38">
        <f>VLOOKUP(B29,country_opex,7,FALSE)*ins_pct</f>
        <v/>
      </c>
      <c r="Z29" s="38">
        <f>charge_berth</f>
        <v/>
      </c>
      <c r="AA29" s="38">
        <f>U29+V29+W29+X29+Y29+Z29</f>
        <v/>
      </c>
      <c r="AB29" s="38">
        <f>VLOOKUP(B29,country_opex,7,FALSE)/dep_years</f>
        <v/>
      </c>
      <c r="AC29" s="38">
        <f>T29-AA29</f>
        <v/>
      </c>
      <c r="AD29" s="35">
        <f>IF(T29=0,"",AC29/T29)</f>
        <v/>
      </c>
      <c r="AE29" s="36">
        <f>IF(AC29&lt;=0,"",VLOOKUP(B29,country_opex,7,FALSE)/AC29)</f>
        <v/>
      </c>
      <c r="AF29" s="33">
        <f>((D29*O29/diesel_nmpg)*diesel_co2pg-(battery/range_nm)*D29*O29*VLOOKUP(B29,country_opex,4,FALSE))/1000</f>
        <v/>
      </c>
      <c r="AG29" s="31" t="n">
        <v>9336</v>
      </c>
      <c r="AH29" s="32" t="inlineStr">
        <is>
          <t>T5</t>
        </is>
      </c>
      <c r="AI29" s="32" t="inlineStr">
        <is>
          <t>med</t>
        </is>
      </c>
      <c r="AJ29" s="39" t="n">
        <v>0.9</v>
      </c>
      <c r="AK29" s="34">
        <f>IF(AG29="","",AG29*AJ29)</f>
        <v/>
      </c>
      <c r="AL29" s="34">
        <f>IF(OR(AG29="",R29=0),"",MIN(IF(AS29="",9.9E+99,AS29),FLOOR(AK29/R29,1)))</f>
        <v/>
      </c>
      <c r="AM29" s="38">
        <f>IF(AL29="","",AL29*T29)</f>
        <v/>
      </c>
      <c r="AN29" s="36">
        <f>IF(OR(AG29="",R29=0),"",MIN(IF(AS29="",9.9E+99,AS29),AK29/R29))</f>
        <v/>
      </c>
      <c r="AO29" s="38">
        <f>IF(AN29="","",AN29*T29)</f>
        <v/>
      </c>
      <c r="AP29" s="40" t="n"/>
      <c r="AQ29" s="41" t="n"/>
      <c r="AR29" s="41" t="n"/>
      <c r="AS29" s="42" t="n">
        <v>5</v>
      </c>
      <c r="AT29" s="43">
        <f>IF(((S29*pax_cap*load_thin*ROUND(K29*L29*revleg_thin,0))-(((battery/range_nm)*D29*ROUND(K29*L29*revleg_thin,0)*VLOOKUP(B29,country_opex,3,FALSE))+V29+W29+X29+Y29+Z29))&lt;=0,"",VLOOKUP(B29,country_opex,7,FALSE)/((S29*pax_cap*load_thin*ROUND(K29*L29*revleg_thin,0))-(((battery/range_nm)*D29*ROUND(K29*L29*revleg_thin,0)*VLOOKUP(B29,country_opex,3,FALSE))+V29+W29+X29+Y29+Z29)))</f>
        <v/>
      </c>
      <c r="AU29" s="43">
        <f>IF(((S29*pax_cap*load_mid*ROUND(K29*L29*revleg_mid,0))-(((battery/range_nm)*D29*ROUND(K29*L29*revleg_mid,0)*VLOOKUP(B29,country_opex,3,FALSE))+V29+W29+X29+Y29+Z29))&lt;=0,"",VLOOKUP(B29,country_opex,7,FALSE)/((S29*pax_cap*load_mid*ROUND(K29*L29*revleg_mid,0))-(((battery/range_nm)*D29*ROUND(K29*L29*revleg_mid,0)*VLOOKUP(B29,country_opex,3,FALSE))+V29+W29+X29+Y29+Z29)))</f>
        <v/>
      </c>
      <c r="AV29" s="43">
        <f>IF(((S29*pax_cap*load_full*ROUND(K29*L29*revleg_full,0))-(((battery/range_nm)*D29*ROUND(K29*L29*revleg_full,0)*VLOOKUP(B29,country_opex,3,FALSE))+V29+W29+X29+Y29+Z29))&lt;=0,"",VLOOKUP(B29,country_opex,7,FALSE)/((S29*pax_cap*load_full*ROUND(K29*L29*revleg_full,0))-(((battery/range_nm)*D29*ROUND(K29*L29*revleg_full,0)*VLOOKUP(B29,country_opex,3,FALSE))+V29+W29+X29+Y29+Z29)))</f>
        <v/>
      </c>
      <c r="AW29" s="44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X29" s="44" t="inlineStr">
        <is>
          <t>Modeled arrivals = published keys x occupancy 0.70 (Maldives Min. of Tourism avg) x (365/6.5 nights avg stay) x 1.9 pax/room. Inbound one-way transfers. T5-modeled/med; keys T1 resort-published. NULL for pure inter-resort excursion legs (R2).</t>
        </is>
      </c>
    </row>
    <row r="30">
      <c r="A30" s="29" t="inlineStr">
        <is>
          <t>Maldives (JIH)</t>
        </is>
      </c>
      <c r="B30" s="29" t="inlineStr">
        <is>
          <t>Maldives</t>
        </is>
      </c>
      <c r="C30" s="30" t="inlineStr">
        <is>
          <t>Velana International Airport (MLE) Resort Speedboat Lounges → Waldorf Astoria Maldives Ithaafushi</t>
        </is>
      </c>
      <c r="D30" s="31" t="n">
        <v>14.6</v>
      </c>
      <c r="E30" s="26" t="n">
        <v>400</v>
      </c>
      <c r="F30" s="32" t="inlineStr">
        <is>
          <t>T1</t>
        </is>
      </c>
      <c r="G30" s="32" t="inlineStr">
        <is>
          <t>med-high</t>
        </is>
      </c>
      <c r="H30" s="19" t="n">
        <v>1</v>
      </c>
      <c r="I30" s="33">
        <f>60*D30/cruise_kt</f>
        <v/>
      </c>
      <c r="J30" s="33">
        <f>I30+turn_min+dwell_min</f>
        <v/>
      </c>
      <c r="K30" s="34">
        <f>MIN(15,FLOOR(60*service_hr/J30,1))</f>
        <v/>
      </c>
      <c r="L30" s="34">
        <f>ROUND(365*mech_uptime*H30,0)</f>
        <v/>
      </c>
      <c r="M30" s="35">
        <f>mech_uptime</f>
        <v/>
      </c>
      <c r="N30" s="35">
        <f>revleg_sel</f>
        <v/>
      </c>
      <c r="O30" s="34">
        <f>ROUND(K30*L30*revleg_sel,0)</f>
        <v/>
      </c>
      <c r="P30" s="36">
        <f>load_sel</f>
        <v/>
      </c>
      <c r="Q30" s="36">
        <f>pax_cap*P30</f>
        <v/>
      </c>
      <c r="R30" s="34">
        <f>Q30*O30</f>
        <v/>
      </c>
      <c r="S30" s="37">
        <f>E30*discount</f>
        <v/>
      </c>
      <c r="T30" s="38">
        <f>S30*R30</f>
        <v/>
      </c>
      <c r="U30" s="38">
        <f>(battery/range_nm)*D30*O30*VLOOKUP(B30,country_opex,3,FALSE)</f>
        <v/>
      </c>
      <c r="V30" s="38">
        <f>VLOOKUP(B30,country_opex,2,FALSE)*crew_factor</f>
        <v/>
      </c>
      <c r="W30" s="38">
        <f>VLOOKUP(B30,country_opex,5,FALSE)</f>
        <v/>
      </c>
      <c r="X30" s="38">
        <f>maint</f>
        <v/>
      </c>
      <c r="Y30" s="38">
        <f>VLOOKUP(B30,country_opex,7,FALSE)*ins_pct</f>
        <v/>
      </c>
      <c r="Z30" s="38">
        <f>charge_berth</f>
        <v/>
      </c>
      <c r="AA30" s="38">
        <f>U30+V30+W30+X30+Y30+Z30</f>
        <v/>
      </c>
      <c r="AB30" s="38">
        <f>VLOOKUP(B30,country_opex,7,FALSE)/dep_years</f>
        <v/>
      </c>
      <c r="AC30" s="38">
        <f>T30-AA30</f>
        <v/>
      </c>
      <c r="AD30" s="35">
        <f>IF(T30=0,"",AC30/T30)</f>
        <v/>
      </c>
      <c r="AE30" s="36">
        <f>IF(AC30&lt;=0,"",VLOOKUP(B30,country_opex,7,FALSE)/AC30)</f>
        <v/>
      </c>
      <c r="AF30" s="33">
        <f>((D30*O30/diesel_nmpg)*diesel_co2pg-(battery/range_nm)*D30*O30*VLOOKUP(B30,country_opex,4,FALSE))/1000</f>
        <v/>
      </c>
      <c r="AG30" s="31" t="n">
        <v>18800</v>
      </c>
      <c r="AH30" s="32" t="inlineStr">
        <is>
          <t>T5</t>
        </is>
      </c>
      <c r="AI30" s="32" t="inlineStr">
        <is>
          <t>low-med</t>
        </is>
      </c>
      <c r="AJ30" s="39" t="n">
        <v>0.9</v>
      </c>
      <c r="AK30" s="34">
        <f>IF(AG30="","",AG30*AJ30)</f>
        <v/>
      </c>
      <c r="AL30" s="34">
        <f>IF(OR(AG30="",R30=0),"",MIN(IF(AS30="",9.9E+99,AS30),FLOOR(AK30/R30,1)))</f>
        <v/>
      </c>
      <c r="AM30" s="38">
        <f>IF(AL30="","",AL30*T30)</f>
        <v/>
      </c>
      <c r="AN30" s="36">
        <f>IF(OR(AG30="",R30=0),"",MIN(IF(AS30="",9.9E+99,AS30),AK30/R30))</f>
        <v/>
      </c>
      <c r="AO30" s="38">
        <f>IF(AN30="","",AN30*T30)</f>
        <v/>
      </c>
      <c r="AP30" s="40" t="n"/>
      <c r="AQ30" s="41" t="n"/>
      <c r="AR30" s="41" t="n"/>
      <c r="AS30" s="42" t="n">
        <v>5</v>
      </c>
      <c r="AT30" s="43">
        <f>IF(((S30*pax_cap*load_thin*ROUND(K30*L30*revleg_thin,0))-(((battery/range_nm)*D30*ROUND(K30*L30*revleg_thin,0)*VLOOKUP(B30,country_opex,3,FALSE))+V30+W30+X30+Y30+Z30))&lt;=0,"",VLOOKUP(B30,country_opex,7,FALSE)/((S30*pax_cap*load_thin*ROUND(K30*L30*revleg_thin,0))-(((battery/range_nm)*D30*ROUND(K30*L30*revleg_thin,0)*VLOOKUP(B30,country_opex,3,FALSE))+V30+W30+X30+Y30+Z30)))</f>
        <v/>
      </c>
      <c r="AU30" s="43">
        <f>IF(((S30*pax_cap*load_mid*ROUND(K30*L30*revleg_mid,0))-(((battery/range_nm)*D30*ROUND(K30*L30*revleg_mid,0)*VLOOKUP(B30,country_opex,3,FALSE))+V30+W30+X30+Y30+Z30))&lt;=0,"",VLOOKUP(B30,country_opex,7,FALSE)/((S30*pax_cap*load_mid*ROUND(K30*L30*revleg_mid,0))-(((battery/range_nm)*D30*ROUND(K30*L30*revleg_mid,0)*VLOOKUP(B30,country_opex,3,FALSE))+V30+W30+X30+Y30+Z30)))</f>
        <v/>
      </c>
      <c r="AV30" s="43">
        <f>IF(((S30*pax_cap*load_full*ROUND(K30*L30*revleg_full,0))-(((battery/range_nm)*D30*ROUND(K30*L30*revleg_full,0)*VLOOKUP(B30,country_opex,3,FALSE))+V30+W30+X30+Y30+Z30))&lt;=0,"",VLOOKUP(B30,country_opex,7,FALSE)/((S30*pax_cap*load_full*ROUND(K30*L30*revleg_full,0))-(((battery/range_nm)*D30*ROUND(K30*L30*revleg_full,0)*VLOOKUP(B30,country_opex,3,FALSE))+V30+W30+X30+Y30+Z30)))</f>
        <v/>
      </c>
      <c r="AW30" s="44" t="inlineStr">
        <is>
          <t>Waldorf/Hilton official + reviews: shared transfer US$350 base + 23.2% tax &amp; service per adult per way = ~$431 all-in (onemileatatime, travelupdate/BLTraveler). PointChaser: boat transfer charged $862.40 RT = $431/way. Private yacht US$3,600++ per way max 8 guests = $450/pax (whole-boat charter ceiling). Premium per-seat shared = ~$400/way (base $350, all-in ~$431).</t>
        </is>
      </c>
      <c r="AX30" s="44" t="inlineStr">
        <is>
          <t>Modeled from resort key count. Waldorf Astoria Maldives Ithaafushi: ~120 villas/keys (published resort/Virtuoso/booking figures). corridor_annual_oneway_pax = keys x 365 x occ(0.75) / avg_stay(7 nights) x guests/key(2) x 2 (arr+dep) ~= keys x 156. 120 keys -&gt; ~18,800 one-way pax/yr. Airport(MLE)&lt;-&gt;this resort is the sole transfer corridor (boat/seaplane only; no road/air alt - R3-EXCEPTION: arrivals = crossing ridership).</t>
        </is>
      </c>
    </row>
    <row r="31">
      <c r="A31" s="29" t="inlineStr">
        <is>
          <t>Maldives (JIH)</t>
        </is>
      </c>
      <c r="B31" s="29" t="inlineStr">
        <is>
          <t>Maldives</t>
        </is>
      </c>
      <c r="C31" s="30" t="inlineStr">
        <is>
          <t>Velana International Airport (MLE) Resort Speedboat Lounges → COMO Cocoa Island (Makunufushi, South Malé)</t>
        </is>
      </c>
      <c r="D31" s="31" t="n">
        <v>15.9</v>
      </c>
      <c r="E31" s="26" t="n">
        <v>130</v>
      </c>
      <c r="F31" s="32" t="inlineStr">
        <is>
          <t>T1</t>
        </is>
      </c>
      <c r="G31" s="32" t="inlineStr">
        <is>
          <t>med-high</t>
        </is>
      </c>
      <c r="H31" s="19" t="n">
        <v>1</v>
      </c>
      <c r="I31" s="33">
        <f>60*D31/cruise_kt</f>
        <v/>
      </c>
      <c r="J31" s="33">
        <f>I31+turn_min+dwell_min</f>
        <v/>
      </c>
      <c r="K31" s="34">
        <f>MIN(15,FLOOR(60*service_hr/J31,1))</f>
        <v/>
      </c>
      <c r="L31" s="34">
        <f>ROUND(365*mech_uptime*H31,0)</f>
        <v/>
      </c>
      <c r="M31" s="35">
        <f>mech_uptime</f>
        <v/>
      </c>
      <c r="N31" s="35">
        <f>revleg_sel</f>
        <v/>
      </c>
      <c r="O31" s="34">
        <f>ROUND(K31*L31*revleg_sel,0)</f>
        <v/>
      </c>
      <c r="P31" s="36">
        <f>load_sel</f>
        <v/>
      </c>
      <c r="Q31" s="36">
        <f>pax_cap*P31</f>
        <v/>
      </c>
      <c r="R31" s="34">
        <f>Q31*O31</f>
        <v/>
      </c>
      <c r="S31" s="37">
        <f>E31*discount</f>
        <v/>
      </c>
      <c r="T31" s="38">
        <f>S31*R31</f>
        <v/>
      </c>
      <c r="U31" s="38">
        <f>(battery/range_nm)*D31*O31*VLOOKUP(B31,country_opex,3,FALSE)</f>
        <v/>
      </c>
      <c r="V31" s="38">
        <f>VLOOKUP(B31,country_opex,2,FALSE)*crew_factor</f>
        <v/>
      </c>
      <c r="W31" s="38">
        <f>VLOOKUP(B31,country_opex,5,FALSE)</f>
        <v/>
      </c>
      <c r="X31" s="38">
        <f>maint</f>
        <v/>
      </c>
      <c r="Y31" s="38">
        <f>VLOOKUP(B31,country_opex,7,FALSE)*ins_pct</f>
        <v/>
      </c>
      <c r="Z31" s="38">
        <f>charge_berth</f>
        <v/>
      </c>
      <c r="AA31" s="38">
        <f>U31+V31+W31+X31+Y31+Z31</f>
        <v/>
      </c>
      <c r="AB31" s="38">
        <f>VLOOKUP(B31,country_opex,7,FALSE)/dep_years</f>
        <v/>
      </c>
      <c r="AC31" s="38">
        <f>T31-AA31</f>
        <v/>
      </c>
      <c r="AD31" s="35">
        <f>IF(T31=0,"",AC31/T31)</f>
        <v/>
      </c>
      <c r="AE31" s="36">
        <f>IF(AC31&lt;=0,"",VLOOKUP(B31,country_opex,7,FALSE)/AC31)</f>
        <v/>
      </c>
      <c r="AF31" s="33">
        <f>((D31*O31/diesel_nmpg)*diesel_co2pg-(battery/range_nm)*D31*O31*VLOOKUP(B31,country_opex,4,FALSE))/1000</f>
        <v/>
      </c>
      <c r="AG31" s="31" t="n">
        <v>5200</v>
      </c>
      <c r="AH31" s="32" t="inlineStr">
        <is>
          <t>T5</t>
        </is>
      </c>
      <c r="AI31" s="32" t="inlineStr">
        <is>
          <t>low-med</t>
        </is>
      </c>
      <c r="AJ31" s="39" t="n">
        <v>0.9</v>
      </c>
      <c r="AK31" s="34">
        <f>IF(AG31="","",AG31*AJ31)</f>
        <v/>
      </c>
      <c r="AL31" s="34">
        <f>IF(OR(AG31="",R31=0),"",MIN(IF(AS31="",9.9E+99,AS31),FLOOR(AK31/R31,1)))</f>
        <v/>
      </c>
      <c r="AM31" s="38">
        <f>IF(AL31="","",AL31*T31)</f>
        <v/>
      </c>
      <c r="AN31" s="36">
        <f>IF(OR(AG31="",R31=0),"",MIN(IF(AS31="",9.9E+99,AS31),AK31/R31))</f>
        <v/>
      </c>
      <c r="AO31" s="38">
        <f>IF(AN31="","",AN31*T31)</f>
        <v/>
      </c>
      <c r="AP31" s="40" t="n"/>
      <c r="AQ31" s="41" t="n"/>
      <c r="AR31" s="41" t="n"/>
      <c r="AS31" s="42" t="n">
        <v>2</v>
      </c>
      <c r="AT31" s="43">
        <f>IF(((S31*pax_cap*load_thin*ROUND(K31*L31*revleg_thin,0))-(((battery/range_nm)*D31*ROUND(K31*L31*revleg_thin,0)*VLOOKUP(B31,country_opex,3,FALSE))+V31+W31+X31+Y31+Z31))&lt;=0,"",VLOOKUP(B31,country_opex,7,FALSE)/((S31*pax_cap*load_thin*ROUND(K31*L31*revleg_thin,0))-(((battery/range_nm)*D31*ROUND(K31*L31*revleg_thin,0)*VLOOKUP(B31,country_opex,3,FALSE))+V31+W31+X31+Y31+Z31)))</f>
        <v/>
      </c>
      <c r="AU31" s="43">
        <f>IF(((S31*pax_cap*load_mid*ROUND(K31*L31*revleg_mid,0))-(((battery/range_nm)*D31*ROUND(K31*L31*revleg_mid,0)*VLOOKUP(B31,country_opex,3,FALSE))+V31+W31+X31+Y31+Z31))&lt;=0,"",VLOOKUP(B31,country_opex,7,FALSE)/((S31*pax_cap*load_mid*ROUND(K31*L31*revleg_mid,0))-(((battery/range_nm)*D31*ROUND(K31*L31*revleg_mid,0)*VLOOKUP(B31,country_opex,3,FALSE))+V31+W31+X31+Y31+Z31)))</f>
        <v/>
      </c>
      <c r="AV31" s="43">
        <f>IF(((S31*pax_cap*load_full*ROUND(K31*L31*revleg_full,0))-(((battery/range_nm)*D31*ROUND(K31*L31*revleg_full,0)*VLOOKUP(B31,country_opex,3,FALSE))+V31+W31+X31+Y31+Z31))&lt;=0,"",VLOOKUP(B31,country_opex,7,FALSE)/((S31*pax_cap*load_full*ROUND(K31*L31*revleg_full,0))-(((battery/range_nm)*D31*ROUND(K31*L31*revleg_full,0)*VLOOKUP(B31,country_opex,3,FALSE))+V31+W31+X31+Y31+Z31)))</f>
        <v/>
      </c>
      <c r="AW31" s="44" t="inlineStr">
        <is>
          <t>COMO Hotels official (Tripadvisor FAQ quoting resort): private guest speedboat USD 250++ per person combined return = $125/way. maldivesnomad.com: COMO Cocoa Island $258 RT = $129/way. Private up-to-4-guest charter from ~$900/boat/way (Go Ocean Travel). Premium per-seat $130/way.</t>
        </is>
      </c>
      <c r="AX31" s="44" t="inlineStr">
        <is>
          <t>Modeled from resort key count. COMO Cocoa Island (Makunufushi, South Malé): ~33 villas/keys (published resort/Virtuoso/booking figures). corridor_annual_oneway_pax = keys x 365 x occ(0.75) / avg_stay(7 nights) x guests/key(2) x 2 (arr+dep) ~= keys x 156. 33 keys -&gt; ~5,200 one-way pax/yr. Airport(MLE)&lt;-&gt;this resort is the sole transfer corridor (boat/seaplane only; no road/air alt - R3-EXCEPTION: arrivals = crossing ridership).</t>
        </is>
      </c>
    </row>
    <row r="32">
      <c r="A32" s="29" t="inlineStr">
        <is>
          <t>Maldives (JIH)</t>
        </is>
      </c>
      <c r="B32" s="29" t="inlineStr">
        <is>
          <t>Maldives</t>
        </is>
      </c>
      <c r="C32" s="30" t="inlineStr">
        <is>
          <t>Ifuru Airport, Raa → Emerald Maldives (Fasmendhoo, Raa)</t>
        </is>
      </c>
      <c r="D32" s="31" t="n">
        <v>16.8</v>
      </c>
      <c r="E32" s="26" t="n">
        <v>150</v>
      </c>
      <c r="F32" s="32" t="inlineStr">
        <is>
          <t>T3</t>
        </is>
      </c>
      <c r="G32" s="32" t="inlineStr">
        <is>
          <t>med</t>
        </is>
      </c>
      <c r="H32" s="19" t="n">
        <v>1</v>
      </c>
      <c r="I32" s="33">
        <f>60*D32/cruise_kt</f>
        <v/>
      </c>
      <c r="J32" s="33">
        <f>I32+turn_min+dwell_min</f>
        <v/>
      </c>
      <c r="K32" s="34">
        <f>MIN(15,FLOOR(60*service_hr/J32,1))</f>
        <v/>
      </c>
      <c r="L32" s="34">
        <f>ROUND(365*mech_uptime*H32,0)</f>
        <v/>
      </c>
      <c r="M32" s="35">
        <f>mech_uptime</f>
        <v/>
      </c>
      <c r="N32" s="35">
        <f>revleg_sel</f>
        <v/>
      </c>
      <c r="O32" s="34">
        <f>ROUND(K32*L32*revleg_sel,0)</f>
        <v/>
      </c>
      <c r="P32" s="36">
        <f>load_sel</f>
        <v/>
      </c>
      <c r="Q32" s="36">
        <f>pax_cap*P32</f>
        <v/>
      </c>
      <c r="R32" s="34">
        <f>Q32*O32</f>
        <v/>
      </c>
      <c r="S32" s="37">
        <f>E32*discount</f>
        <v/>
      </c>
      <c r="T32" s="38">
        <f>S32*R32</f>
        <v/>
      </c>
      <c r="U32" s="38">
        <f>(battery/range_nm)*D32*O32*VLOOKUP(B32,country_opex,3,FALSE)</f>
        <v/>
      </c>
      <c r="V32" s="38">
        <f>VLOOKUP(B32,country_opex,2,FALSE)*crew_factor</f>
        <v/>
      </c>
      <c r="W32" s="38">
        <f>VLOOKUP(B32,country_opex,5,FALSE)</f>
        <v/>
      </c>
      <c r="X32" s="38">
        <f>maint</f>
        <v/>
      </c>
      <c r="Y32" s="38">
        <f>VLOOKUP(B32,country_opex,7,FALSE)*ins_pct</f>
        <v/>
      </c>
      <c r="Z32" s="38">
        <f>charge_berth</f>
        <v/>
      </c>
      <c r="AA32" s="38">
        <f>U32+V32+W32+X32+Y32+Z32</f>
        <v/>
      </c>
      <c r="AB32" s="38">
        <f>VLOOKUP(B32,country_opex,7,FALSE)/dep_years</f>
        <v/>
      </c>
      <c r="AC32" s="38">
        <f>T32-AA32</f>
        <v/>
      </c>
      <c r="AD32" s="35">
        <f>IF(T32=0,"",AC32/T32)</f>
        <v/>
      </c>
      <c r="AE32" s="36">
        <f>IF(AC32&lt;=0,"",VLOOKUP(B32,country_opex,7,FALSE)/AC32)</f>
        <v/>
      </c>
      <c r="AF32" s="33">
        <f>((D32*O32/diesel_nmpg)*diesel_co2pg-(battery/range_nm)*D32*O32*VLOOKUP(B32,country_opex,4,FALSE))/1000</f>
        <v/>
      </c>
      <c r="AG32" s="31" t="n">
        <v>8962</v>
      </c>
      <c r="AH32" s="32" t="inlineStr">
        <is>
          <t>T5</t>
        </is>
      </c>
      <c r="AI32" s="32" t="inlineStr">
        <is>
          <t>med</t>
        </is>
      </c>
      <c r="AJ32" s="39" t="n">
        <v>0.9</v>
      </c>
      <c r="AK32" s="34">
        <f>IF(AG32="","",AG32*AJ32)</f>
        <v/>
      </c>
      <c r="AL32" s="34">
        <f>IF(OR(AG32="",R32=0),"",MIN(IF(AS32="",9.9E+99,AS32),FLOOR(AK32/R32,1)))</f>
        <v/>
      </c>
      <c r="AM32" s="38">
        <f>IF(AL32="","",AL32*T32)</f>
        <v/>
      </c>
      <c r="AN32" s="36">
        <f>IF(OR(AG32="",R32=0),"",MIN(IF(AS32="",9.9E+99,AS32),AK32/R32))</f>
        <v/>
      </c>
      <c r="AO32" s="38">
        <f>IF(AN32="","",AN32*T32)</f>
        <v/>
      </c>
      <c r="AP32" s="40" t="n"/>
      <c r="AQ32" s="41" t="n"/>
      <c r="AR32" s="41" t="n"/>
      <c r="AS32" s="42" t="n">
        <v>5</v>
      </c>
      <c r="AT32" s="43">
        <f>IF(((S32*pax_cap*load_thin*ROUND(K32*L32*revleg_thin,0))-(((battery/range_nm)*D32*ROUND(K32*L32*revleg_thin,0)*VLOOKUP(B32,country_opex,3,FALSE))+V32+W32+X32+Y32+Z32))&lt;=0,"",VLOOKUP(B32,country_opex,7,FALSE)/((S32*pax_cap*load_thin*ROUND(K32*L32*revleg_thin,0))-(((battery/range_nm)*D32*ROUND(K32*L32*revleg_thin,0)*VLOOKUP(B32,country_opex,3,FALSE))+V32+W32+X32+Y32+Z32)))</f>
        <v/>
      </c>
      <c r="AU32" s="43">
        <f>IF(((S32*pax_cap*load_mid*ROUND(K32*L32*revleg_mid,0))-(((battery/range_nm)*D32*ROUND(K32*L32*revleg_mid,0)*VLOOKUP(B32,country_opex,3,FALSE))+V32+W32+X32+Y32+Z32))&lt;=0,"",VLOOKUP(B32,country_opex,7,FALSE)/((S32*pax_cap*load_mid*ROUND(K32*L32*revleg_mid,0))-(((battery/range_nm)*D32*ROUND(K32*L32*revleg_mid,0)*VLOOKUP(B32,country_opex,3,FALSE))+V32+W32+X32+Y32+Z32)))</f>
        <v/>
      </c>
      <c r="AV32" s="43">
        <f>IF(((S32*pax_cap*load_full*ROUND(K32*L32*revleg_full,0))-(((battery/range_nm)*D32*ROUND(K32*L32*revleg_full,0)*VLOOKUP(B32,country_opex,3,FALSE))+V32+W32+X32+Y32+Z32))&lt;=0,"",VLOOKUP(B32,country_opex,7,FALSE)/((S32*pax_cap*load_full*ROUND(K32*L32*revleg_full,0))-(((battery/range_nm)*D32*ROUND(K32*L32*revleg_full,0)*VLOOKUP(B32,country_opex,3,FALSE))+V32+W32+X32+Y32+Z32)))</f>
        <v/>
      </c>
      <c r="AW32" s="44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X32" s="44" t="inlineStr">
        <is>
          <t>Modeled arrivals = published keys x occupancy 0.70 (Maldives Min. of Tourism avg) x (365/6.5 nights avg stay) x 1.9 pax/room. Inbound one-way transfers. T5-modeled/med; keys T1 resort-published. NULL for pure inter-resort excursion legs (R2).</t>
        </is>
      </c>
    </row>
    <row r="33">
      <c r="A33" s="29" t="inlineStr">
        <is>
          <t>Maldives (JIH)</t>
        </is>
      </c>
      <c r="B33" s="29" t="inlineStr">
        <is>
          <t>Maldives</t>
        </is>
      </c>
      <c r="C33" s="30" t="inlineStr">
        <is>
          <t>Kudahuvadhoo Airport, Dhaalu → St. Regis Vommuli (Dhaalu)</t>
        </is>
      </c>
      <c r="D33" s="31" t="n">
        <v>17</v>
      </c>
      <c r="E33" s="26" t="n">
        <v>175</v>
      </c>
      <c r="F33" s="32" t="inlineStr">
        <is>
          <t>T3</t>
        </is>
      </c>
      <c r="G33" s="32" t="inlineStr">
        <is>
          <t>med</t>
        </is>
      </c>
      <c r="H33" s="19" t="n">
        <v>1</v>
      </c>
      <c r="I33" s="33">
        <f>60*D33/cruise_kt</f>
        <v/>
      </c>
      <c r="J33" s="33">
        <f>I33+turn_min+dwell_min</f>
        <v/>
      </c>
      <c r="K33" s="34">
        <f>MIN(15,FLOOR(60*service_hr/J33,1))</f>
        <v/>
      </c>
      <c r="L33" s="34">
        <f>ROUND(365*mech_uptime*H33,0)</f>
        <v/>
      </c>
      <c r="M33" s="35">
        <f>mech_uptime</f>
        <v/>
      </c>
      <c r="N33" s="35">
        <f>revleg_sel</f>
        <v/>
      </c>
      <c r="O33" s="34">
        <f>ROUND(K33*L33*revleg_sel,0)</f>
        <v/>
      </c>
      <c r="P33" s="36">
        <f>load_sel</f>
        <v/>
      </c>
      <c r="Q33" s="36">
        <f>pax_cap*P33</f>
        <v/>
      </c>
      <c r="R33" s="34">
        <f>Q33*O33</f>
        <v/>
      </c>
      <c r="S33" s="37">
        <f>E33*discount</f>
        <v/>
      </c>
      <c r="T33" s="38">
        <f>S33*R33</f>
        <v/>
      </c>
      <c r="U33" s="38">
        <f>(battery/range_nm)*D33*O33*VLOOKUP(B33,country_opex,3,FALSE)</f>
        <v/>
      </c>
      <c r="V33" s="38">
        <f>VLOOKUP(B33,country_opex,2,FALSE)*crew_factor</f>
        <v/>
      </c>
      <c r="W33" s="38">
        <f>VLOOKUP(B33,country_opex,5,FALSE)</f>
        <v/>
      </c>
      <c r="X33" s="38">
        <f>maint</f>
        <v/>
      </c>
      <c r="Y33" s="38">
        <f>VLOOKUP(B33,country_opex,7,FALSE)*ins_pct</f>
        <v/>
      </c>
      <c r="Z33" s="38">
        <f>charge_berth</f>
        <v/>
      </c>
      <c r="AA33" s="38">
        <f>U33+V33+W33+X33+Y33+Z33</f>
        <v/>
      </c>
      <c r="AB33" s="38">
        <f>VLOOKUP(B33,country_opex,7,FALSE)/dep_years</f>
        <v/>
      </c>
      <c r="AC33" s="38">
        <f>T33-AA33</f>
        <v/>
      </c>
      <c r="AD33" s="35">
        <f>IF(T33=0,"",AC33/T33)</f>
        <v/>
      </c>
      <c r="AE33" s="36">
        <f>IF(AC33&lt;=0,"",VLOOKUP(B33,country_opex,7,FALSE)/AC33)</f>
        <v/>
      </c>
      <c r="AF33" s="33">
        <f>((D33*O33/diesel_nmpg)*diesel_co2pg-(battery/range_nm)*D33*O33*VLOOKUP(B33,country_opex,4,FALSE))/1000</f>
        <v/>
      </c>
      <c r="AG33" s="31" t="n">
        <v>5751</v>
      </c>
      <c r="AH33" s="32" t="inlineStr">
        <is>
          <t>T5</t>
        </is>
      </c>
      <c r="AI33" s="32" t="inlineStr">
        <is>
          <t>med</t>
        </is>
      </c>
      <c r="AJ33" s="39" t="n">
        <v>0.9</v>
      </c>
      <c r="AK33" s="34">
        <f>IF(AG33="","",AG33*AJ33)</f>
        <v/>
      </c>
      <c r="AL33" s="34">
        <f>IF(OR(AG33="",R33=0),"",MIN(IF(AS33="",9.9E+99,AS33),FLOOR(AK33/R33,1)))</f>
        <v/>
      </c>
      <c r="AM33" s="38">
        <f>IF(AL33="","",AL33*T33)</f>
        <v/>
      </c>
      <c r="AN33" s="36">
        <f>IF(OR(AG33="",R33=0),"",MIN(IF(AS33="",9.9E+99,AS33),AK33/R33))</f>
        <v/>
      </c>
      <c r="AO33" s="38">
        <f>IF(AN33="","",AN33*T33)</f>
        <v/>
      </c>
      <c r="AP33" s="40" t="n"/>
      <c r="AQ33" s="41" t="n"/>
      <c r="AR33" s="41" t="n"/>
      <c r="AS33" s="42" t="n">
        <v>4</v>
      </c>
      <c r="AT33" s="43">
        <f>IF(((S33*pax_cap*load_thin*ROUND(K33*L33*revleg_thin,0))-(((battery/range_nm)*D33*ROUND(K33*L33*revleg_thin,0)*VLOOKUP(B33,country_opex,3,FALSE))+V33+W33+X33+Y33+Z33))&lt;=0,"",VLOOKUP(B33,country_opex,7,FALSE)/((S33*pax_cap*load_thin*ROUND(K33*L33*revleg_thin,0))-(((battery/range_nm)*D33*ROUND(K33*L33*revleg_thin,0)*VLOOKUP(B33,country_opex,3,FALSE))+V33+W33+X33+Y33+Z33)))</f>
        <v/>
      </c>
      <c r="AU33" s="43">
        <f>IF(((S33*pax_cap*load_mid*ROUND(K33*L33*revleg_mid,0))-(((battery/range_nm)*D33*ROUND(K33*L33*revleg_mid,0)*VLOOKUP(B33,country_opex,3,FALSE))+V33+W33+X33+Y33+Z33))&lt;=0,"",VLOOKUP(B33,country_opex,7,FALSE)/((S33*pax_cap*load_mid*ROUND(K33*L33*revleg_mid,0))-(((battery/range_nm)*D33*ROUND(K33*L33*revleg_mid,0)*VLOOKUP(B33,country_opex,3,FALSE))+V33+W33+X33+Y33+Z33)))</f>
        <v/>
      </c>
      <c r="AV33" s="43">
        <f>IF(((S33*pax_cap*load_full*ROUND(K33*L33*revleg_full,0))-(((battery/range_nm)*D33*ROUND(K33*L33*revleg_full,0)*VLOOKUP(B33,country_opex,3,FALSE))+V33+W33+X33+Y33+Z33))&lt;=0,"",VLOOKUP(B33,country_opex,7,FALSE)/((S33*pax_cap*load_full*ROUND(K33*L33*revleg_full,0))-(((battery/range_nm)*D33*ROUND(K33*L33*revleg_full,0)*VLOOKUP(B33,country_opex,3,FALSE))+V33+W33+X33+Y33+Z33)))</f>
        <v/>
      </c>
      <c r="AW33" s="44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X33" s="44" t="inlineStr">
        <is>
          <t>Modeled arrivals = published keys x occupancy 0.70 (Maldives Min. of Tourism avg) x (365/6.5 nights avg stay) x 1.9 pax/room. Inbound one-way transfers. T5-modeled/med; keys T1 resort-published. NULL for pure inter-resort excursion legs (R2).</t>
        </is>
      </c>
    </row>
    <row r="34">
      <c r="A34" s="29" t="inlineStr">
        <is>
          <t>Maldives (JIH)</t>
        </is>
      </c>
      <c r="B34" s="29" t="inlineStr">
        <is>
          <t>Maldives</t>
        </is>
      </c>
      <c r="C34" s="30" t="inlineStr">
        <is>
          <t>Maafaru Airport, Noonu → Velaa Private Island (Noonu)</t>
        </is>
      </c>
      <c r="D34" s="31" t="n">
        <v>17.1</v>
      </c>
      <c r="E34" s="26" t="n">
        <v>200</v>
      </c>
      <c r="F34" s="32" t="inlineStr">
        <is>
          <t>T3</t>
        </is>
      </c>
      <c r="G34" s="32" t="inlineStr">
        <is>
          <t>med</t>
        </is>
      </c>
      <c r="H34" s="19" t="n">
        <v>1</v>
      </c>
      <c r="I34" s="33">
        <f>60*D34/cruise_kt</f>
        <v/>
      </c>
      <c r="J34" s="33">
        <f>I34+turn_min+dwell_min</f>
        <v/>
      </c>
      <c r="K34" s="34">
        <f>MIN(15,FLOOR(60*service_hr/J34,1))</f>
        <v/>
      </c>
      <c r="L34" s="34">
        <f>ROUND(365*mech_uptime*H34,0)</f>
        <v/>
      </c>
      <c r="M34" s="35">
        <f>mech_uptime</f>
        <v/>
      </c>
      <c r="N34" s="35">
        <f>revleg_sel</f>
        <v/>
      </c>
      <c r="O34" s="34">
        <f>ROUND(K34*L34*revleg_sel,0)</f>
        <v/>
      </c>
      <c r="P34" s="36">
        <f>load_sel</f>
        <v/>
      </c>
      <c r="Q34" s="36">
        <f>pax_cap*P34</f>
        <v/>
      </c>
      <c r="R34" s="34">
        <f>Q34*O34</f>
        <v/>
      </c>
      <c r="S34" s="37">
        <f>E34*discount</f>
        <v/>
      </c>
      <c r="T34" s="38">
        <f>S34*R34</f>
        <v/>
      </c>
      <c r="U34" s="38">
        <f>(battery/range_nm)*D34*O34*VLOOKUP(B34,country_opex,3,FALSE)</f>
        <v/>
      </c>
      <c r="V34" s="38">
        <f>VLOOKUP(B34,country_opex,2,FALSE)*crew_factor</f>
        <v/>
      </c>
      <c r="W34" s="38">
        <f>VLOOKUP(B34,country_opex,5,FALSE)</f>
        <v/>
      </c>
      <c r="X34" s="38">
        <f>maint</f>
        <v/>
      </c>
      <c r="Y34" s="38">
        <f>VLOOKUP(B34,country_opex,7,FALSE)*ins_pct</f>
        <v/>
      </c>
      <c r="Z34" s="38">
        <f>charge_berth</f>
        <v/>
      </c>
      <c r="AA34" s="38">
        <f>U34+V34+W34+X34+Y34+Z34</f>
        <v/>
      </c>
      <c r="AB34" s="38">
        <f>VLOOKUP(B34,country_opex,7,FALSE)/dep_years</f>
        <v/>
      </c>
      <c r="AC34" s="38">
        <f>T34-AA34</f>
        <v/>
      </c>
      <c r="AD34" s="35">
        <f>IF(T34=0,"",AC34/T34)</f>
        <v/>
      </c>
      <c r="AE34" s="36">
        <f>IF(AC34&lt;=0,"",VLOOKUP(B34,country_opex,7,FALSE)/AC34)</f>
        <v/>
      </c>
      <c r="AF34" s="33">
        <f>((D34*O34/diesel_nmpg)*diesel_co2pg-(battery/range_nm)*D34*O34*VLOOKUP(B34,country_opex,4,FALSE))/1000</f>
        <v/>
      </c>
      <c r="AG34" s="31" t="n">
        <v>3510</v>
      </c>
      <c r="AH34" s="32" t="inlineStr">
        <is>
          <t>T5</t>
        </is>
      </c>
      <c r="AI34" s="32" t="inlineStr">
        <is>
          <t>med</t>
        </is>
      </c>
      <c r="AJ34" s="39" t="n">
        <v>0.9</v>
      </c>
      <c r="AK34" s="34">
        <f>IF(AG34="","",AG34*AJ34)</f>
        <v/>
      </c>
      <c r="AL34" s="34">
        <f>IF(OR(AG34="",R34=0),"",MIN(IF(AS34="",9.9E+99,AS34),FLOOR(AK34/R34,1)))</f>
        <v/>
      </c>
      <c r="AM34" s="38">
        <f>IF(AL34="","",AL34*T34)</f>
        <v/>
      </c>
      <c r="AN34" s="36">
        <f>IF(OR(AG34="",R34=0),"",MIN(IF(AS34="",9.9E+99,AS34),AK34/R34))</f>
        <v/>
      </c>
      <c r="AO34" s="38">
        <f>IF(AN34="","",AN34*T34)</f>
        <v/>
      </c>
      <c r="AP34" s="40" t="n"/>
      <c r="AQ34" s="41" t="n"/>
      <c r="AR34" s="41" t="n"/>
      <c r="AS34" s="42" t="n">
        <v>2</v>
      </c>
      <c r="AT34" s="43">
        <f>IF(((S34*pax_cap*load_thin*ROUND(K34*L34*revleg_thin,0))-(((battery/range_nm)*D34*ROUND(K34*L34*revleg_thin,0)*VLOOKUP(B34,country_opex,3,FALSE))+V34+W34+X34+Y34+Z34))&lt;=0,"",VLOOKUP(B34,country_opex,7,FALSE)/((S34*pax_cap*load_thin*ROUND(K34*L34*revleg_thin,0))-(((battery/range_nm)*D34*ROUND(K34*L34*revleg_thin,0)*VLOOKUP(B34,country_opex,3,FALSE))+V34+W34+X34+Y34+Z34)))</f>
        <v/>
      </c>
      <c r="AU34" s="43">
        <f>IF(((S34*pax_cap*load_mid*ROUND(K34*L34*revleg_mid,0))-(((battery/range_nm)*D34*ROUND(K34*L34*revleg_mid,0)*VLOOKUP(B34,country_opex,3,FALSE))+V34+W34+X34+Y34+Z34))&lt;=0,"",VLOOKUP(B34,country_opex,7,FALSE)/((S34*pax_cap*load_mid*ROUND(K34*L34*revleg_mid,0))-(((battery/range_nm)*D34*ROUND(K34*L34*revleg_mid,0)*VLOOKUP(B34,country_opex,3,FALSE))+V34+W34+X34+Y34+Z34)))</f>
        <v/>
      </c>
      <c r="AV34" s="43">
        <f>IF(((S34*pax_cap*load_full*ROUND(K34*L34*revleg_full,0))-(((battery/range_nm)*D34*ROUND(K34*L34*revleg_full,0)*VLOOKUP(B34,country_opex,3,FALSE))+V34+W34+X34+Y34+Z34))&lt;=0,"",VLOOKUP(B34,country_opex,7,FALSE)/((S34*pax_cap*load_full*ROUND(K34*L34*revleg_full,0))-(((battery/range_nm)*D34*ROUND(K34*L34*revleg_full,0)*VLOOKUP(B34,country_opex,3,FALSE))+V34+W34+X34+Y34+Z34)))</f>
        <v/>
      </c>
      <c r="AW34" s="44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X34" s="44" t="inlineStr">
        <is>
          <t>Modeled arrivals = published keys x occupancy 0.70 (Maldives Min. of Tourism avg) x (365/6.5 nights avg stay) x 1.9 pax/room. Inbound one-way transfers. T5-modeled/med; keys T1 resort-published. NULL for pure inter-resort excursion legs (R2).</t>
        </is>
      </c>
    </row>
    <row r="35">
      <c r="A35" s="29" t="inlineStr">
        <is>
          <t>Maldives (JIH)</t>
        </is>
      </c>
      <c r="B35" s="29" t="inlineStr">
        <is>
          <t>Maldives</t>
        </is>
      </c>
      <c r="C35" s="30" t="inlineStr">
        <is>
          <t>Hurawalhi (Lhaviyani) → Le Meridien Maldives Thilamaafushi (Lhaviyani)</t>
        </is>
      </c>
      <c r="D35" s="31" t="n">
        <v>19.8</v>
      </c>
      <c r="E35" s="26" t="n">
        <v>150</v>
      </c>
      <c r="F35" s="32" t="inlineStr">
        <is>
          <t>T3</t>
        </is>
      </c>
      <c r="G35" s="32" t="inlineStr">
        <is>
          <t>med</t>
        </is>
      </c>
      <c r="H35" s="19" t="n">
        <v>1</v>
      </c>
      <c r="I35" s="33">
        <f>60*D35/cruise_kt</f>
        <v/>
      </c>
      <c r="J35" s="33">
        <f>I35+turn_min+dwell_min</f>
        <v/>
      </c>
      <c r="K35" s="34">
        <f>MIN(15,FLOOR(60*service_hr/J35,1))</f>
        <v/>
      </c>
      <c r="L35" s="34">
        <f>ROUND(365*mech_uptime*H35,0)</f>
        <v/>
      </c>
      <c r="M35" s="35">
        <f>mech_uptime</f>
        <v/>
      </c>
      <c r="N35" s="35">
        <f>revleg_sel</f>
        <v/>
      </c>
      <c r="O35" s="34">
        <f>ROUND(K35*L35*revleg_sel,0)</f>
        <v/>
      </c>
      <c r="P35" s="36">
        <f>load_sel</f>
        <v/>
      </c>
      <c r="Q35" s="36">
        <f>pax_cap*P35</f>
        <v/>
      </c>
      <c r="R35" s="34">
        <f>Q35*O35</f>
        <v/>
      </c>
      <c r="S35" s="37">
        <f>E35*discount</f>
        <v/>
      </c>
      <c r="T35" s="38">
        <f>S35*R35</f>
        <v/>
      </c>
      <c r="U35" s="38">
        <f>(battery/range_nm)*D35*O35*VLOOKUP(B35,country_opex,3,FALSE)</f>
        <v/>
      </c>
      <c r="V35" s="38">
        <f>VLOOKUP(B35,country_opex,2,FALSE)*crew_factor</f>
        <v/>
      </c>
      <c r="W35" s="38">
        <f>VLOOKUP(B35,country_opex,5,FALSE)</f>
        <v/>
      </c>
      <c r="X35" s="38">
        <f>maint</f>
        <v/>
      </c>
      <c r="Y35" s="38">
        <f>VLOOKUP(B35,country_opex,7,FALSE)*ins_pct</f>
        <v/>
      </c>
      <c r="Z35" s="38">
        <f>charge_berth</f>
        <v/>
      </c>
      <c r="AA35" s="38">
        <f>U35+V35+W35+X35+Y35+Z35</f>
        <v/>
      </c>
      <c r="AB35" s="38">
        <f>VLOOKUP(B35,country_opex,7,FALSE)/dep_years</f>
        <v/>
      </c>
      <c r="AC35" s="38">
        <f>T35-AA35</f>
        <v/>
      </c>
      <c r="AD35" s="35">
        <f>IF(T35=0,"",AC35/T35)</f>
        <v/>
      </c>
      <c r="AE35" s="36">
        <f>IF(AC35&lt;=0,"",VLOOKUP(B35,country_opex,7,FALSE)/AC35)</f>
        <v/>
      </c>
      <c r="AF35" s="33">
        <f>((D35*O35/diesel_nmpg)*diesel_co2pg-(battery/range_nm)*D35*O35*VLOOKUP(B35,country_opex,4,FALSE))/1000</f>
        <v/>
      </c>
      <c r="AG35" s="31" t="n"/>
      <c r="AH35" s="32" t="n"/>
      <c r="AI35" s="32" t="inlineStr">
        <is>
          <t>null</t>
        </is>
      </c>
      <c r="AJ35" s="39" t="n">
        <v>0.9</v>
      </c>
      <c r="AK35" s="34">
        <f>IF(AG35="","",AG35*AJ35)</f>
        <v/>
      </c>
      <c r="AL35" s="34">
        <f>IF(OR(AG35="",R35=0),"",MIN(IF(AS35="",9.9E+99,AS35),FLOOR(AK35/R35,1)))</f>
        <v/>
      </c>
      <c r="AM35" s="38">
        <f>IF(AL35="","",AL35*T35)</f>
        <v/>
      </c>
      <c r="AN35" s="36">
        <f>IF(OR(AG35="",R35=0),"",MIN(IF(AS35="",9.9E+99,AS35),AK35/R35))</f>
        <v/>
      </c>
      <c r="AO35" s="38">
        <f>IF(AN35="","",AN35*T35)</f>
        <v/>
      </c>
      <c r="AP35" s="40" t="n"/>
      <c r="AQ35" s="41" t="n"/>
      <c r="AR35" s="41" t="n"/>
      <c r="AS35" s="42" t="n"/>
      <c r="AT35" s="43">
        <f>IF(((S35*pax_cap*load_thin*ROUND(K35*L35*revleg_thin,0))-(((battery/range_nm)*D35*ROUND(K35*L35*revleg_thin,0)*VLOOKUP(B35,country_opex,3,FALSE))+V35+W35+X35+Y35+Z35))&lt;=0,"",VLOOKUP(B35,country_opex,7,FALSE)/((S35*pax_cap*load_thin*ROUND(K35*L35*revleg_thin,0))-(((battery/range_nm)*D35*ROUND(K35*L35*revleg_thin,0)*VLOOKUP(B35,country_opex,3,FALSE))+V35+W35+X35+Y35+Z35)))</f>
        <v/>
      </c>
      <c r="AU35" s="43">
        <f>IF(((S35*pax_cap*load_mid*ROUND(K35*L35*revleg_mid,0))-(((battery/range_nm)*D35*ROUND(K35*L35*revleg_mid,0)*VLOOKUP(B35,country_opex,3,FALSE))+V35+W35+X35+Y35+Z35))&lt;=0,"",VLOOKUP(B35,country_opex,7,FALSE)/((S35*pax_cap*load_mid*ROUND(K35*L35*revleg_mid,0))-(((battery/range_nm)*D35*ROUND(K35*L35*revleg_mid,0)*VLOOKUP(B35,country_opex,3,FALSE))+V35+W35+X35+Y35+Z35)))</f>
        <v/>
      </c>
      <c r="AV35" s="43">
        <f>IF(((S35*pax_cap*load_full*ROUND(K35*L35*revleg_full,0))-(((battery/range_nm)*D35*ROUND(K35*L35*revleg_full,0)*VLOOKUP(B35,country_opex,3,FALSE))+V35+W35+X35+Y35+Z35))&lt;=0,"",VLOOKUP(B35,country_opex,7,FALSE)/((S35*pax_cap*load_full*ROUND(K35*L35*revleg_full,0))-(((battery/range_nm)*D35*ROUND(K35*L35*revleg_full,0)*VLOOKUP(B35,country_opex,3,FALSE))+V35+W35+X35+Y35+Z35)))</f>
        <v/>
      </c>
      <c r="AW35" s="44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X35" s="44" t="inlineStr">
        <is>
          <t>NULL — pure inter-resort island-hop; no grounded crossing pool (R2). Geometry only.</t>
        </is>
      </c>
    </row>
    <row r="36">
      <c r="A36" s="29" t="inlineStr">
        <is>
          <t>Maldives (JIH)</t>
        </is>
      </c>
      <c r="B36" s="29" t="inlineStr">
        <is>
          <t>Maldives</t>
        </is>
      </c>
      <c r="C36" s="30" t="inlineStr">
        <is>
          <t>Velana International Airport (MLE) Resort Speedboat Lounges → One&amp;Only Reethi Rah</t>
        </is>
      </c>
      <c r="D36" s="31" t="n">
        <v>22</v>
      </c>
      <c r="E36" s="26" t="n">
        <v>500</v>
      </c>
      <c r="F36" s="32" t="inlineStr">
        <is>
          <t>T3</t>
        </is>
      </c>
      <c r="G36" s="32" t="inlineStr">
        <is>
          <t>med</t>
        </is>
      </c>
      <c r="H36" s="19" t="n">
        <v>1</v>
      </c>
      <c r="I36" s="33">
        <f>60*D36/cruise_kt</f>
        <v/>
      </c>
      <c r="J36" s="33">
        <f>I36+turn_min+dwell_min</f>
        <v/>
      </c>
      <c r="K36" s="34">
        <f>MIN(15,FLOOR(60*service_hr/J36,1))</f>
        <v/>
      </c>
      <c r="L36" s="34">
        <f>ROUND(365*mech_uptime*H36,0)</f>
        <v/>
      </c>
      <c r="M36" s="35">
        <f>mech_uptime</f>
        <v/>
      </c>
      <c r="N36" s="35">
        <f>revleg_sel</f>
        <v/>
      </c>
      <c r="O36" s="34">
        <f>ROUND(K36*L36*revleg_sel,0)</f>
        <v/>
      </c>
      <c r="P36" s="36">
        <f>load_sel</f>
        <v/>
      </c>
      <c r="Q36" s="36">
        <f>pax_cap*P36</f>
        <v/>
      </c>
      <c r="R36" s="34">
        <f>Q36*O36</f>
        <v/>
      </c>
      <c r="S36" s="37">
        <f>E36*discount</f>
        <v/>
      </c>
      <c r="T36" s="38">
        <f>S36*R36</f>
        <v/>
      </c>
      <c r="U36" s="38">
        <f>(battery/range_nm)*D36*O36*VLOOKUP(B36,country_opex,3,FALSE)</f>
        <v/>
      </c>
      <c r="V36" s="38">
        <f>VLOOKUP(B36,country_opex,2,FALSE)*crew_factor</f>
        <v/>
      </c>
      <c r="W36" s="38">
        <f>VLOOKUP(B36,country_opex,5,FALSE)</f>
        <v/>
      </c>
      <c r="X36" s="38">
        <f>maint</f>
        <v/>
      </c>
      <c r="Y36" s="38">
        <f>VLOOKUP(B36,country_opex,7,FALSE)*ins_pct</f>
        <v/>
      </c>
      <c r="Z36" s="38">
        <f>charge_berth</f>
        <v/>
      </c>
      <c r="AA36" s="38">
        <f>U36+V36+W36+X36+Y36+Z36</f>
        <v/>
      </c>
      <c r="AB36" s="38">
        <f>VLOOKUP(B36,country_opex,7,FALSE)/dep_years</f>
        <v/>
      </c>
      <c r="AC36" s="38">
        <f>T36-AA36</f>
        <v/>
      </c>
      <c r="AD36" s="35">
        <f>IF(T36=0,"",AC36/T36)</f>
        <v/>
      </c>
      <c r="AE36" s="36">
        <f>IF(AC36&lt;=0,"",VLOOKUP(B36,country_opex,7,FALSE)/AC36)</f>
        <v/>
      </c>
      <c r="AF36" s="33">
        <f>((D36*O36/diesel_nmpg)*diesel_co2pg-(battery/range_nm)*D36*O36*VLOOKUP(B36,country_opex,4,FALSE))/1000</f>
        <v/>
      </c>
      <c r="AG36" s="31" t="n">
        <v>20300</v>
      </c>
      <c r="AH36" s="32" t="inlineStr">
        <is>
          <t>T5</t>
        </is>
      </c>
      <c r="AI36" s="32" t="inlineStr">
        <is>
          <t>low-med</t>
        </is>
      </c>
      <c r="AJ36" s="39" t="n">
        <v>0.9</v>
      </c>
      <c r="AK36" s="34">
        <f>IF(AG36="","",AG36*AJ36)</f>
        <v/>
      </c>
      <c r="AL36" s="34">
        <f>IF(OR(AG36="",R36=0),"",MIN(IF(AS36="",9.9E+99,AS36),FLOOR(AK36/R36,1)))</f>
        <v/>
      </c>
      <c r="AM36" s="38">
        <f>IF(AL36="","",AL36*T36)</f>
        <v/>
      </c>
      <c r="AN36" s="36">
        <f>IF(OR(AG36="",R36=0),"",MIN(IF(AS36="",9.9E+99,AS36),AK36/R36))</f>
        <v/>
      </c>
      <c r="AO36" s="38">
        <f>IF(AN36="","",AN36*T36)</f>
        <v/>
      </c>
      <c r="AP36" s="40" t="n"/>
      <c r="AQ36" s="41" t="n"/>
      <c r="AR36" s="41" t="n"/>
      <c r="AS36" s="42" t="n">
        <v>5</v>
      </c>
      <c r="AT36" s="43">
        <f>IF(((S36*pax_cap*load_thin*ROUND(K36*L36*revleg_thin,0))-(((battery/range_nm)*D36*ROUND(K36*L36*revleg_thin,0)*VLOOKUP(B36,country_opex,3,FALSE))+V36+W36+X36+Y36+Z36))&lt;=0,"",VLOOKUP(B36,country_opex,7,FALSE)/((S36*pax_cap*load_thin*ROUND(K36*L36*revleg_thin,0))-(((battery/range_nm)*D36*ROUND(K36*L36*revleg_thin,0)*VLOOKUP(B36,country_opex,3,FALSE))+V36+W36+X36+Y36+Z36)))</f>
        <v/>
      </c>
      <c r="AU36" s="43">
        <f>IF(((S36*pax_cap*load_mid*ROUND(K36*L36*revleg_mid,0))-(((battery/range_nm)*D36*ROUND(K36*L36*revleg_mid,0)*VLOOKUP(B36,country_opex,3,FALSE))+V36+W36+X36+Y36+Z36))&lt;=0,"",VLOOKUP(B36,country_opex,7,FALSE)/((S36*pax_cap*load_mid*ROUND(K36*L36*revleg_mid,0))-(((battery/range_nm)*D36*ROUND(K36*L36*revleg_mid,0)*VLOOKUP(B36,country_opex,3,FALSE))+V36+W36+X36+Y36+Z36)))</f>
        <v/>
      </c>
      <c r="AV36" s="43">
        <f>IF(((S36*pax_cap*load_full*ROUND(K36*L36*revleg_full,0))-(((battery/range_nm)*D36*ROUND(K36*L36*revleg_full,0)*VLOOKUP(B36,country_opex,3,FALSE))+V36+W36+X36+Y36+Z36))&lt;=0,"",VLOOKUP(B36,country_opex,7,FALSE)/((S36*pax_cap*load_full*ROUND(K36*L36*revleg_full,0))-(((battery/range_nm)*D36*ROUND(K36*L36*revleg_full,0)*VLOOKUP(B36,country_opex,3,FALSE))+V36+W36+X36+Y36+Z36)))</f>
        <v/>
      </c>
      <c r="AW36" s="44" t="inlineStr">
        <is>
          <t>One&amp;Only Reethi Rah (oneandonlyresorts.com publishes shared luxury boat transfer at a charge; 45-min). Luxury Escapes listing: airport shuttle USD 1,260/person roundtrip = $630/way (premium scheduled), plus a $325 lower tier. Tripadvisor forum: Reethi Rah transfer quoted $450/person. Premium per-seat ~$500/way.</t>
        </is>
      </c>
      <c r="AX36" s="44" t="inlineStr">
        <is>
          <t>Modeled from resort key count. One&amp;Only Reethi Rah: ~130 villas/keys (published resort/Virtuoso/booking figures). corridor_annual_oneway_pax = keys x 365 x occ(0.75) / avg_stay(7 nights) x guests/key(2) x 2 (arr+dep) ~= keys x 156. 130 keys -&gt; ~20,300 one-way pax/yr. Airport(MLE)&lt;-&gt;this resort is the sole transfer corridor (boat/seaplane only; no road/air alt - R3-EXCEPTION: arrivals = crossing ridership).</t>
        </is>
      </c>
    </row>
    <row r="37">
      <c r="A37" s="29" t="inlineStr">
        <is>
          <t>Maldives (JIH)</t>
        </is>
      </c>
      <c r="B37" s="29" t="inlineStr">
        <is>
          <t>Maldives</t>
        </is>
      </c>
      <c r="C37" s="30" t="inlineStr">
        <is>
          <t>Ifuru Airport, Raa → InterContinental Maamunagau (Raa)</t>
        </is>
      </c>
      <c r="D37" s="31" t="n">
        <v>23.1</v>
      </c>
      <c r="E37" s="26" t="n">
        <v>150</v>
      </c>
      <c r="F37" s="32" t="inlineStr">
        <is>
          <t>T3</t>
        </is>
      </c>
      <c r="G37" s="32" t="inlineStr">
        <is>
          <t>med</t>
        </is>
      </c>
      <c r="H37" s="19" t="n">
        <v>1</v>
      </c>
      <c r="I37" s="33">
        <f>60*D37/cruise_kt</f>
        <v/>
      </c>
      <c r="J37" s="33">
        <f>I37+turn_min+dwell_min</f>
        <v/>
      </c>
      <c r="K37" s="34">
        <f>MIN(15,FLOOR(60*service_hr/J37,1))</f>
        <v/>
      </c>
      <c r="L37" s="34">
        <f>ROUND(365*mech_uptime*H37,0)</f>
        <v/>
      </c>
      <c r="M37" s="35">
        <f>mech_uptime</f>
        <v/>
      </c>
      <c r="N37" s="35">
        <f>revleg_sel</f>
        <v/>
      </c>
      <c r="O37" s="34">
        <f>ROUND(K37*L37*revleg_sel,0)</f>
        <v/>
      </c>
      <c r="P37" s="36">
        <f>load_sel</f>
        <v/>
      </c>
      <c r="Q37" s="36">
        <f>pax_cap*P37</f>
        <v/>
      </c>
      <c r="R37" s="34">
        <f>Q37*O37</f>
        <v/>
      </c>
      <c r="S37" s="37">
        <f>E37*discount</f>
        <v/>
      </c>
      <c r="T37" s="38">
        <f>S37*R37</f>
        <v/>
      </c>
      <c r="U37" s="38">
        <f>(battery/range_nm)*D37*O37*VLOOKUP(B37,country_opex,3,FALSE)</f>
        <v/>
      </c>
      <c r="V37" s="38">
        <f>VLOOKUP(B37,country_opex,2,FALSE)*crew_factor</f>
        <v/>
      </c>
      <c r="W37" s="38">
        <f>VLOOKUP(B37,country_opex,5,FALSE)</f>
        <v/>
      </c>
      <c r="X37" s="38">
        <f>maint</f>
        <v/>
      </c>
      <c r="Y37" s="38">
        <f>VLOOKUP(B37,country_opex,7,FALSE)*ins_pct</f>
        <v/>
      </c>
      <c r="Z37" s="38">
        <f>charge_berth</f>
        <v/>
      </c>
      <c r="AA37" s="38">
        <f>U37+V37+W37+X37+Y37+Z37</f>
        <v/>
      </c>
      <c r="AB37" s="38">
        <f>VLOOKUP(B37,country_opex,7,FALSE)/dep_years</f>
        <v/>
      </c>
      <c r="AC37" s="38">
        <f>T37-AA37</f>
        <v/>
      </c>
      <c r="AD37" s="35">
        <f>IF(T37=0,"",AC37/T37)</f>
        <v/>
      </c>
      <c r="AE37" s="36">
        <f>IF(AC37&lt;=0,"",VLOOKUP(B37,country_opex,7,FALSE)/AC37)</f>
        <v/>
      </c>
      <c r="AF37" s="33">
        <f>((D37*O37/diesel_nmpg)*diesel_co2pg-(battery/range_nm)*D37*O37*VLOOKUP(B37,country_opex,4,FALSE))/1000</f>
        <v/>
      </c>
      <c r="AG37" s="31" t="n">
        <v>6049</v>
      </c>
      <c r="AH37" s="32" t="inlineStr">
        <is>
          <t>T5</t>
        </is>
      </c>
      <c r="AI37" s="32" t="inlineStr">
        <is>
          <t>med</t>
        </is>
      </c>
      <c r="AJ37" s="39" t="n">
        <v>0.9</v>
      </c>
      <c r="AK37" s="34">
        <f>IF(AG37="","",AG37*AJ37)</f>
        <v/>
      </c>
      <c r="AL37" s="34">
        <f>IF(OR(AG37="",R37=0),"",MIN(IF(AS37="",9.9E+99,AS37),FLOOR(AK37/R37,1)))</f>
        <v/>
      </c>
      <c r="AM37" s="38">
        <f>IF(AL37="","",AL37*T37)</f>
        <v/>
      </c>
      <c r="AN37" s="36">
        <f>IF(OR(AG37="",R37=0),"",MIN(IF(AS37="",9.9E+99,AS37),AK37/R37))</f>
        <v/>
      </c>
      <c r="AO37" s="38">
        <f>IF(AN37="","",AN37*T37)</f>
        <v/>
      </c>
      <c r="AP37" s="40" t="n"/>
      <c r="AQ37" s="41" t="n"/>
      <c r="AR37" s="41" t="n"/>
      <c r="AS37" s="42" t="n">
        <v>4</v>
      </c>
      <c r="AT37" s="43">
        <f>IF(((S37*pax_cap*load_thin*ROUND(K37*L37*revleg_thin,0))-(((battery/range_nm)*D37*ROUND(K37*L37*revleg_thin,0)*VLOOKUP(B37,country_opex,3,FALSE))+V37+W37+X37+Y37+Z37))&lt;=0,"",VLOOKUP(B37,country_opex,7,FALSE)/((S37*pax_cap*load_thin*ROUND(K37*L37*revleg_thin,0))-(((battery/range_nm)*D37*ROUND(K37*L37*revleg_thin,0)*VLOOKUP(B37,country_opex,3,FALSE))+V37+W37+X37+Y37+Z37)))</f>
        <v/>
      </c>
      <c r="AU37" s="43">
        <f>IF(((S37*pax_cap*load_mid*ROUND(K37*L37*revleg_mid,0))-(((battery/range_nm)*D37*ROUND(K37*L37*revleg_mid,0)*VLOOKUP(B37,country_opex,3,FALSE))+V37+W37+X37+Y37+Z37))&lt;=0,"",VLOOKUP(B37,country_opex,7,FALSE)/((S37*pax_cap*load_mid*ROUND(K37*L37*revleg_mid,0))-(((battery/range_nm)*D37*ROUND(K37*L37*revleg_mid,0)*VLOOKUP(B37,country_opex,3,FALSE))+V37+W37+X37+Y37+Z37)))</f>
        <v/>
      </c>
      <c r="AV37" s="43">
        <f>IF(((S37*pax_cap*load_full*ROUND(K37*L37*revleg_full,0))-(((battery/range_nm)*D37*ROUND(K37*L37*revleg_full,0)*VLOOKUP(B37,country_opex,3,FALSE))+V37+W37+X37+Y37+Z37))&lt;=0,"",VLOOKUP(B37,country_opex,7,FALSE)/((S37*pax_cap*load_full*ROUND(K37*L37*revleg_full,0))-(((battery/range_nm)*D37*ROUND(K37*L37*revleg_full,0)*VLOOKUP(B37,country_opex,3,FALSE))+V37+W37+X37+Y37+Z37)))</f>
        <v/>
      </c>
      <c r="AW37" s="44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X37" s="44" t="inlineStr">
        <is>
          <t>Modeled arrivals = published keys x occupancy 0.70 (Maldives Min. of Tourism avg) x (365/6.5 nights avg stay) x 1.9 pax/room. Inbound one-way transfers. T5-modeled/med; keys T1 resort-published. NULL for pure inter-resort excursion legs (R2).</t>
        </is>
      </c>
    </row>
    <row r="38">
      <c r="A38" s="29" t="inlineStr">
        <is>
          <t>Maldives (JIH)</t>
        </is>
      </c>
      <c r="B38" s="29" t="inlineStr">
        <is>
          <t>Maldives</t>
        </is>
      </c>
      <c r="C38" s="30" t="inlineStr">
        <is>
          <t>Velana International Airport (MLE) Resort Speedboat Lounges → The Ritz-Carlton Maldives, Fari Islands</t>
        </is>
      </c>
      <c r="D38" s="31" t="n">
        <v>26.5</v>
      </c>
      <c r="E38" s="26" t="n">
        <v>510</v>
      </c>
      <c r="F38" s="32" t="inlineStr">
        <is>
          <t>T1</t>
        </is>
      </c>
      <c r="G38" s="32" t="inlineStr">
        <is>
          <t>med-high</t>
        </is>
      </c>
      <c r="H38" s="19" t="n">
        <v>1</v>
      </c>
      <c r="I38" s="33">
        <f>60*D38/cruise_kt</f>
        <v/>
      </c>
      <c r="J38" s="33">
        <f>I38+turn_min+dwell_min</f>
        <v/>
      </c>
      <c r="K38" s="34">
        <f>MIN(15,FLOOR(60*service_hr/J38,1))</f>
        <v/>
      </c>
      <c r="L38" s="34">
        <f>ROUND(365*mech_uptime*H38,0)</f>
        <v/>
      </c>
      <c r="M38" s="35">
        <f>mech_uptime</f>
        <v/>
      </c>
      <c r="N38" s="35">
        <f>revleg_sel</f>
        <v/>
      </c>
      <c r="O38" s="34">
        <f>ROUND(K38*L38*revleg_sel,0)</f>
        <v/>
      </c>
      <c r="P38" s="36">
        <f>load_sel</f>
        <v/>
      </c>
      <c r="Q38" s="36">
        <f>pax_cap*P38</f>
        <v/>
      </c>
      <c r="R38" s="34">
        <f>Q38*O38</f>
        <v/>
      </c>
      <c r="S38" s="37">
        <f>E38*discount</f>
        <v/>
      </c>
      <c r="T38" s="38">
        <f>S38*R38</f>
        <v/>
      </c>
      <c r="U38" s="38">
        <f>(battery/range_nm)*D38*O38*VLOOKUP(B38,country_opex,3,FALSE)</f>
        <v/>
      </c>
      <c r="V38" s="38">
        <f>VLOOKUP(B38,country_opex,2,FALSE)*crew_factor</f>
        <v/>
      </c>
      <c r="W38" s="38">
        <f>VLOOKUP(B38,country_opex,5,FALSE)</f>
        <v/>
      </c>
      <c r="X38" s="38">
        <f>maint</f>
        <v/>
      </c>
      <c r="Y38" s="38">
        <f>VLOOKUP(B38,country_opex,7,FALSE)*ins_pct</f>
        <v/>
      </c>
      <c r="Z38" s="38">
        <f>charge_berth</f>
        <v/>
      </c>
      <c r="AA38" s="38">
        <f>U38+V38+W38+X38+Y38+Z38</f>
        <v/>
      </c>
      <c r="AB38" s="38">
        <f>VLOOKUP(B38,country_opex,7,FALSE)/dep_years</f>
        <v/>
      </c>
      <c r="AC38" s="38">
        <f>T38-AA38</f>
        <v/>
      </c>
      <c r="AD38" s="35">
        <f>IF(T38=0,"",AC38/T38)</f>
        <v/>
      </c>
      <c r="AE38" s="36">
        <f>IF(AC38&lt;=0,"",VLOOKUP(B38,country_opex,7,FALSE)/AC38)</f>
        <v/>
      </c>
      <c r="AF38" s="33">
        <f>((D38*O38/diesel_nmpg)*diesel_co2pg-(battery/range_nm)*D38*O38*VLOOKUP(B38,country_opex,4,FALSE))/1000</f>
        <v/>
      </c>
      <c r="AG38" s="31" t="n">
        <v>15600</v>
      </c>
      <c r="AH38" s="32" t="inlineStr">
        <is>
          <t>T5</t>
        </is>
      </c>
      <c r="AI38" s="32" t="inlineStr">
        <is>
          <t>low-med</t>
        </is>
      </c>
      <c r="AJ38" s="39" t="n">
        <v>0.9</v>
      </c>
      <c r="AK38" s="34">
        <f>IF(AG38="","",AG38*AJ38)</f>
        <v/>
      </c>
      <c r="AL38" s="34">
        <f>IF(OR(AG38="",R38=0),"",MIN(IF(AS38="",9.9E+99,AS38),FLOOR(AK38/R38,1)))</f>
        <v/>
      </c>
      <c r="AM38" s="38">
        <f>IF(AL38="","",AL38*T38)</f>
        <v/>
      </c>
      <c r="AN38" s="36">
        <f>IF(OR(AG38="",R38=0),"",MIN(IF(AS38="",9.9E+99,AS38),AK38/R38))</f>
        <v/>
      </c>
      <c r="AO38" s="38">
        <f>IF(AN38="","",AN38*T38)</f>
        <v/>
      </c>
      <c r="AP38" s="40" t="n"/>
      <c r="AQ38" s="41" t="n"/>
      <c r="AR38" s="41" t="n"/>
      <c r="AS38" s="42" t="n">
        <v>4</v>
      </c>
      <c r="AT38" s="43">
        <f>IF(((S38*pax_cap*load_thin*ROUND(K38*L38*revleg_thin,0))-(((battery/range_nm)*D38*ROUND(K38*L38*revleg_thin,0)*VLOOKUP(B38,country_opex,3,FALSE))+V38+W38+X38+Y38+Z38))&lt;=0,"",VLOOKUP(B38,country_opex,7,FALSE)/((S38*pax_cap*load_thin*ROUND(K38*L38*revleg_thin,0))-(((battery/range_nm)*D38*ROUND(K38*L38*revleg_thin,0)*VLOOKUP(B38,country_opex,3,FALSE))+V38+W38+X38+Y38+Z38)))</f>
        <v/>
      </c>
      <c r="AU38" s="43">
        <f>IF(((S38*pax_cap*load_mid*ROUND(K38*L38*revleg_mid,0))-(((battery/range_nm)*D38*ROUND(K38*L38*revleg_mid,0)*VLOOKUP(B38,country_opex,3,FALSE))+V38+W38+X38+Y38+Z38))&lt;=0,"",VLOOKUP(B38,country_opex,7,FALSE)/((S38*pax_cap*load_mid*ROUND(K38*L38*revleg_mid,0))-(((battery/range_nm)*D38*ROUND(K38*L38*revleg_mid,0)*VLOOKUP(B38,country_opex,3,FALSE))+V38+W38+X38+Y38+Z38)))</f>
        <v/>
      </c>
      <c r="AV38" s="43">
        <f>IF(((S38*pax_cap*load_full*ROUND(K38*L38*revleg_full,0))-(((battery/range_nm)*D38*ROUND(K38*L38*revleg_full,0)*VLOOKUP(B38,country_opex,3,FALSE))+V38+W38+X38+Y38+Z38))&lt;=0,"",VLOOKUP(B38,country_opex,7,FALSE)/((S38*pax_cap*load_full*ROUND(K38*L38*revleg_full,0))-(((battery/range_nm)*D38*ROUND(K38*L38*revleg_full,0)*VLOOKUP(B38,country_opex,3,FALSE))+V38+W38+X38+Y38+Z38)))</f>
        <v/>
      </c>
      <c r="AW38" s="44" t="inlineStr">
        <is>
          <t>Ritz-Carlton Maldives Fari Islands OFFICIAL (ritzcarlton.com): on-demand roundtrip speedboat USD 1,027 net/adult (incl 10% service) = $513/way. johnnyafrica review: $1,024/person 2025. FlyerTalk master thread: shared speedboat $901/adult RT; private 48' speedboat $2,800/person (charter). Premium per-seat $510/way.</t>
        </is>
      </c>
      <c r="AX38" s="44" t="inlineStr">
        <is>
          <t>Modeled from resort key count. The Ritz-Carlton Maldives, Fari Islands: ~100 villas/keys (published resort/Virtuoso/booking figures). corridor_annual_oneway_pax = keys x 365 x occ(0.75) / avg_stay(7 nights) x guests/key(2) x 2 (arr+dep) ~= keys x 156. 100 keys -&gt; ~15,600 one-way pax/yr. Airport(MLE)&lt;-&gt;this resort is the sole transfer corridor (boat/seaplane only; no road/air alt - R3-EXCEPTION: arrivals = crossing ridership).</t>
        </is>
      </c>
    </row>
    <row r="39">
      <c r="A39" s="29" t="inlineStr">
        <is>
          <t>Maldives (JIH)</t>
        </is>
      </c>
      <c r="B39" s="29" t="inlineStr">
        <is>
          <t>Maldives</t>
        </is>
      </c>
      <c r="C39" s="30" t="inlineStr">
        <is>
          <t>Velana International Airport (MLE) Resort Speedboat Lounges → Patina Maldives, Fari Islands</t>
        </is>
      </c>
      <c r="D39" s="31" t="n">
        <v>27.4</v>
      </c>
      <c r="E39" s="26" t="n">
        <v>450</v>
      </c>
      <c r="F39" s="32" t="inlineStr">
        <is>
          <t>T3</t>
        </is>
      </c>
      <c r="G39" s="32" t="inlineStr">
        <is>
          <t>med</t>
        </is>
      </c>
      <c r="H39" s="19" t="n">
        <v>1</v>
      </c>
      <c r="I39" s="33">
        <f>60*D39/cruise_kt</f>
        <v/>
      </c>
      <c r="J39" s="33">
        <f>I39+turn_min+dwell_min</f>
        <v/>
      </c>
      <c r="K39" s="34">
        <f>MIN(15,FLOOR(60*service_hr/J39,1))</f>
        <v/>
      </c>
      <c r="L39" s="34">
        <f>ROUND(365*mech_uptime*H39,0)</f>
        <v/>
      </c>
      <c r="M39" s="35">
        <f>mech_uptime</f>
        <v/>
      </c>
      <c r="N39" s="35">
        <f>revleg_sel</f>
        <v/>
      </c>
      <c r="O39" s="34">
        <f>ROUND(K39*L39*revleg_sel,0)</f>
        <v/>
      </c>
      <c r="P39" s="36">
        <f>load_sel</f>
        <v/>
      </c>
      <c r="Q39" s="36">
        <f>pax_cap*P39</f>
        <v/>
      </c>
      <c r="R39" s="34">
        <f>Q39*O39</f>
        <v/>
      </c>
      <c r="S39" s="37">
        <f>E39*discount</f>
        <v/>
      </c>
      <c r="T39" s="38">
        <f>S39*R39</f>
        <v/>
      </c>
      <c r="U39" s="38">
        <f>(battery/range_nm)*D39*O39*VLOOKUP(B39,country_opex,3,FALSE)</f>
        <v/>
      </c>
      <c r="V39" s="38">
        <f>VLOOKUP(B39,country_opex,2,FALSE)*crew_factor</f>
        <v/>
      </c>
      <c r="W39" s="38">
        <f>VLOOKUP(B39,country_opex,5,FALSE)</f>
        <v/>
      </c>
      <c r="X39" s="38">
        <f>maint</f>
        <v/>
      </c>
      <c r="Y39" s="38">
        <f>VLOOKUP(B39,country_opex,7,FALSE)*ins_pct</f>
        <v/>
      </c>
      <c r="Z39" s="38">
        <f>charge_berth</f>
        <v/>
      </c>
      <c r="AA39" s="38">
        <f>U39+V39+W39+X39+Y39+Z39</f>
        <v/>
      </c>
      <c r="AB39" s="38">
        <f>VLOOKUP(B39,country_opex,7,FALSE)/dep_years</f>
        <v/>
      </c>
      <c r="AC39" s="38">
        <f>T39-AA39</f>
        <v/>
      </c>
      <c r="AD39" s="35">
        <f>IF(T39=0,"",AC39/T39)</f>
        <v/>
      </c>
      <c r="AE39" s="36">
        <f>IF(AC39&lt;=0,"",VLOOKUP(B39,country_opex,7,FALSE)/AC39)</f>
        <v/>
      </c>
      <c r="AF39" s="33">
        <f>((D39*O39/diesel_nmpg)*diesel_co2pg-(battery/range_nm)*D39*O39*VLOOKUP(B39,country_opex,4,FALSE))/1000</f>
        <v/>
      </c>
      <c r="AG39" s="31" t="n">
        <v>14100</v>
      </c>
      <c r="AH39" s="32" t="inlineStr">
        <is>
          <t>T5</t>
        </is>
      </c>
      <c r="AI39" s="32" t="inlineStr">
        <is>
          <t>low-med</t>
        </is>
      </c>
      <c r="AJ39" s="39" t="n">
        <v>0.9</v>
      </c>
      <c r="AK39" s="34">
        <f>IF(AG39="","",AG39*AJ39)</f>
        <v/>
      </c>
      <c r="AL39" s="34">
        <f>IF(OR(AG39="",R39=0),"",MIN(IF(AS39="",9.9E+99,AS39),FLOOR(AK39/R39,1)))</f>
        <v/>
      </c>
      <c r="AM39" s="38">
        <f>IF(AL39="","",AL39*T39)</f>
        <v/>
      </c>
      <c r="AN39" s="36">
        <f>IF(OR(AG39="",R39=0),"",MIN(IF(AS39="",9.9E+99,AS39),AK39/R39))</f>
        <v/>
      </c>
      <c r="AO39" s="38">
        <f>IF(AN39="","",AN39*T39)</f>
        <v/>
      </c>
      <c r="AP39" s="40" t="n"/>
      <c r="AQ39" s="41" t="n"/>
      <c r="AR39" s="41" t="n"/>
      <c r="AS39" s="42" t="n">
        <v>4</v>
      </c>
      <c r="AT39" s="43">
        <f>IF(((S39*pax_cap*load_thin*ROUND(K39*L39*revleg_thin,0))-(((battery/range_nm)*D39*ROUND(K39*L39*revleg_thin,0)*VLOOKUP(B39,country_opex,3,FALSE))+V39+W39+X39+Y39+Z39))&lt;=0,"",VLOOKUP(B39,country_opex,7,FALSE)/((S39*pax_cap*load_thin*ROUND(K39*L39*revleg_thin,0))-(((battery/range_nm)*D39*ROUND(K39*L39*revleg_thin,0)*VLOOKUP(B39,country_opex,3,FALSE))+V39+W39+X39+Y39+Z39)))</f>
        <v/>
      </c>
      <c r="AU39" s="43">
        <f>IF(((S39*pax_cap*load_mid*ROUND(K39*L39*revleg_mid,0))-(((battery/range_nm)*D39*ROUND(K39*L39*revleg_mid,0)*VLOOKUP(B39,country_opex,3,FALSE))+V39+W39+X39+Y39+Z39))&lt;=0,"",VLOOKUP(B39,country_opex,7,FALSE)/((S39*pax_cap*load_mid*ROUND(K39*L39*revleg_mid,0))-(((battery/range_nm)*D39*ROUND(K39*L39*revleg_mid,0)*VLOOKUP(B39,country_opex,3,FALSE))+V39+W39+X39+Y39+Z39)))</f>
        <v/>
      </c>
      <c r="AV39" s="43">
        <f>IF(((S39*pax_cap*load_full*ROUND(K39*L39*revleg_full,0))-(((battery/range_nm)*D39*ROUND(K39*L39*revleg_full,0)*VLOOKUP(B39,country_opex,3,FALSE))+V39+W39+X39+Y39+Z39))&lt;=0,"",VLOOKUP(B39,country_opex,7,FALSE)/((S39*pax_cap*load_full*ROUND(K39*L39*revleg_full,0))-(((battery/range_nm)*D39*ROUND(K39*L39*revleg_full,0)*VLOOKUP(B39,country_opex,3,FALSE))+V39+W39+X39+Y39+Z39)))</f>
        <v/>
      </c>
      <c r="AW39" s="44" t="inlineStr">
        <is>
          <t>Patina Maldives Fari Islands. Luxury Escapes listing: shared roundtrip speedboat US$950/adult +28.7% tax = ~$610/way all-in. The Luxury Traveller review: $730/adult RT = $365/way. Same Fari Islands lagoon as Ritz (~50-min speedboat). Premium per-seat ~$450/way (mid of $365-475 base band).</t>
        </is>
      </c>
      <c r="AX39" s="44" t="inlineStr">
        <is>
          <t>Modeled from resort key count. Patina Maldives, Fari Islands: ~90 villas/keys (published resort/Virtuoso/booking figures). corridor_annual_oneway_pax = keys x 365 x occ(0.75) / avg_stay(7 nights) x guests/key(2) x 2 (arr+dep) ~= keys x 156. 90 keys -&gt; ~14,100 one-way pax/yr. Airport(MLE)&lt;-&gt;this resort is the sole transfer corridor (boat/seaplane only; no road/air alt - R3-EXCEPTION: arrivals = crossing ridership).</t>
        </is>
      </c>
    </row>
    <row r="40">
      <c r="A40" s="29" t="inlineStr">
        <is>
          <t>Maldives (JIH)</t>
        </is>
      </c>
      <c r="B40" s="29" t="inlineStr">
        <is>
          <t>Maldives</t>
        </is>
      </c>
      <c r="C40" s="30" t="inlineStr">
        <is>
          <t>Maamigili (Villa) Airport, South Ari → Constance Moofushi</t>
        </is>
      </c>
      <c r="D40" s="31" t="n">
        <v>29</v>
      </c>
      <c r="E40" s="26" t="n">
        <v>150</v>
      </c>
      <c r="F40" s="32" t="inlineStr">
        <is>
          <t>T3</t>
        </is>
      </c>
      <c r="G40" s="32" t="inlineStr">
        <is>
          <t>med</t>
        </is>
      </c>
      <c r="H40" s="19" t="n">
        <v>1</v>
      </c>
      <c r="I40" s="33">
        <f>60*D40/cruise_kt</f>
        <v/>
      </c>
      <c r="J40" s="33">
        <f>I40+turn_min+dwell_min</f>
        <v/>
      </c>
      <c r="K40" s="34">
        <f>MIN(15,FLOOR(60*service_hr/J40,1))</f>
        <v/>
      </c>
      <c r="L40" s="34">
        <f>ROUND(365*mech_uptime*H40,0)</f>
        <v/>
      </c>
      <c r="M40" s="35">
        <f>mech_uptime</f>
        <v/>
      </c>
      <c r="N40" s="35">
        <f>revleg_sel</f>
        <v/>
      </c>
      <c r="O40" s="34">
        <f>ROUND(K40*L40*revleg_sel,0)</f>
        <v/>
      </c>
      <c r="P40" s="36">
        <f>load_sel</f>
        <v/>
      </c>
      <c r="Q40" s="36">
        <f>pax_cap*P40</f>
        <v/>
      </c>
      <c r="R40" s="34">
        <f>Q40*O40</f>
        <v/>
      </c>
      <c r="S40" s="37">
        <f>E40*discount</f>
        <v/>
      </c>
      <c r="T40" s="38">
        <f>S40*R40</f>
        <v/>
      </c>
      <c r="U40" s="38">
        <f>(battery/range_nm)*D40*O40*VLOOKUP(B40,country_opex,3,FALSE)</f>
        <v/>
      </c>
      <c r="V40" s="38">
        <f>VLOOKUP(B40,country_opex,2,FALSE)*crew_factor</f>
        <v/>
      </c>
      <c r="W40" s="38">
        <f>VLOOKUP(B40,country_opex,5,FALSE)</f>
        <v/>
      </c>
      <c r="X40" s="38">
        <f>maint</f>
        <v/>
      </c>
      <c r="Y40" s="38">
        <f>VLOOKUP(B40,country_opex,7,FALSE)*ins_pct</f>
        <v/>
      </c>
      <c r="Z40" s="38">
        <f>charge_berth</f>
        <v/>
      </c>
      <c r="AA40" s="38">
        <f>U40+V40+W40+X40+Y40+Z40</f>
        <v/>
      </c>
      <c r="AB40" s="38">
        <f>VLOOKUP(B40,country_opex,7,FALSE)/dep_years</f>
        <v/>
      </c>
      <c r="AC40" s="38">
        <f>T40-AA40</f>
        <v/>
      </c>
      <c r="AD40" s="35">
        <f>IF(T40=0,"",AC40/T40)</f>
        <v/>
      </c>
      <c r="AE40" s="36">
        <f>IF(AC40&lt;=0,"",VLOOKUP(B40,country_opex,7,FALSE)/AC40)</f>
        <v/>
      </c>
      <c r="AF40" s="33">
        <f>((D40*O40/diesel_nmpg)*diesel_co2pg-(battery/range_nm)*D40*O40*VLOOKUP(B40,country_opex,4,FALSE))/1000</f>
        <v/>
      </c>
      <c r="AG40" s="31" t="n">
        <v>8215</v>
      </c>
      <c r="AH40" s="32" t="inlineStr">
        <is>
          <t>T5</t>
        </is>
      </c>
      <c r="AI40" s="32" t="inlineStr">
        <is>
          <t>med</t>
        </is>
      </c>
      <c r="AJ40" s="39" t="n">
        <v>0.9</v>
      </c>
      <c r="AK40" s="34">
        <f>IF(AG40="","",AG40*AJ40)</f>
        <v/>
      </c>
      <c r="AL40" s="34">
        <f>IF(OR(AG40="",R40=0),"",MIN(IF(AS40="",9.9E+99,AS40),FLOOR(AK40/R40,1)))</f>
        <v/>
      </c>
      <c r="AM40" s="38">
        <f>IF(AL40="","",AL40*T40)</f>
        <v/>
      </c>
      <c r="AN40" s="36">
        <f>IF(OR(AG40="",R40=0),"",MIN(IF(AS40="",9.9E+99,AS40),AK40/R40))</f>
        <v/>
      </c>
      <c r="AO40" s="38">
        <f>IF(AN40="","",AN40*T40)</f>
        <v/>
      </c>
      <c r="AP40" s="40" t="n"/>
      <c r="AQ40" s="41" t="n"/>
      <c r="AR40" s="41" t="n"/>
      <c r="AS40" s="42" t="n">
        <v>5</v>
      </c>
      <c r="AT40" s="43">
        <f>IF(((S40*pax_cap*load_thin*ROUND(K40*L40*revleg_thin,0))-(((battery/range_nm)*D40*ROUND(K40*L40*revleg_thin,0)*VLOOKUP(B40,country_opex,3,FALSE))+V40+W40+X40+Y40+Z40))&lt;=0,"",VLOOKUP(B40,country_opex,7,FALSE)/((S40*pax_cap*load_thin*ROUND(K40*L40*revleg_thin,0))-(((battery/range_nm)*D40*ROUND(K40*L40*revleg_thin,0)*VLOOKUP(B40,country_opex,3,FALSE))+V40+W40+X40+Y40+Z40)))</f>
        <v/>
      </c>
      <c r="AU40" s="43">
        <f>IF(((S40*pax_cap*load_mid*ROUND(K40*L40*revleg_mid,0))-(((battery/range_nm)*D40*ROUND(K40*L40*revleg_mid,0)*VLOOKUP(B40,country_opex,3,FALSE))+V40+W40+X40+Y40+Z40))&lt;=0,"",VLOOKUP(B40,country_opex,7,FALSE)/((S40*pax_cap*load_mid*ROUND(K40*L40*revleg_mid,0))-(((battery/range_nm)*D40*ROUND(K40*L40*revleg_mid,0)*VLOOKUP(B40,country_opex,3,FALSE))+V40+W40+X40+Y40+Z40)))</f>
        <v/>
      </c>
      <c r="AV40" s="43">
        <f>IF(((S40*pax_cap*load_full*ROUND(K40*L40*revleg_full,0))-(((battery/range_nm)*D40*ROUND(K40*L40*revleg_full,0)*VLOOKUP(B40,country_opex,3,FALSE))+V40+W40+X40+Y40+Z40))&lt;=0,"",VLOOKUP(B40,country_opex,7,FALSE)/((S40*pax_cap*load_full*ROUND(K40*L40*revleg_full,0))-(((battery/range_nm)*D40*ROUND(K40*L40*revleg_full,0)*VLOOKUP(B40,country_opex,3,FALSE))+V40+W40+X40+Y40+Z40)))</f>
        <v/>
      </c>
      <c r="AW40" s="44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X40" s="44" t="inlineStr">
        <is>
          <t>Modeled arrivals = published keys x occupancy 0.70 (Maldives Min. of Tourism avg) x (365/6.5 nights avg stay) x 1.9 pax/room. Inbound one-way transfers. T5-modeled/med; keys T1 resort-published. NULL for pure inter-resort excursion legs (R2).</t>
        </is>
      </c>
    </row>
    <row r="41">
      <c r="A41" s="29" t="inlineStr">
        <is>
          <t>Maldives (JIH)</t>
        </is>
      </c>
      <c r="B41" s="29" t="inlineStr">
        <is>
          <t>Maldives</t>
        </is>
      </c>
      <c r="C41" s="30" t="inlineStr">
        <is>
          <t>Kooddoo Airport, Gaafu Alif → Ayada Maldives (Gaafu)</t>
        </is>
      </c>
      <c r="D41" s="31" t="n">
        <v>29.6</v>
      </c>
      <c r="E41" s="26" t="n">
        <v>150</v>
      </c>
      <c r="F41" s="32" t="inlineStr">
        <is>
          <t>T3</t>
        </is>
      </c>
      <c r="G41" s="32" t="inlineStr">
        <is>
          <t>med</t>
        </is>
      </c>
      <c r="H41" s="19" t="n">
        <v>1</v>
      </c>
      <c r="I41" s="33">
        <f>60*D41/cruise_kt</f>
        <v/>
      </c>
      <c r="J41" s="33">
        <f>I41+turn_min+dwell_min</f>
        <v/>
      </c>
      <c r="K41" s="34">
        <f>MIN(15,FLOOR(60*service_hr/J41,1))</f>
        <v/>
      </c>
      <c r="L41" s="34">
        <f>ROUND(365*mech_uptime*H41,0)</f>
        <v/>
      </c>
      <c r="M41" s="35">
        <f>mech_uptime</f>
        <v/>
      </c>
      <c r="N41" s="35">
        <f>revleg_sel</f>
        <v/>
      </c>
      <c r="O41" s="34">
        <f>ROUND(K41*L41*revleg_sel,0)</f>
        <v/>
      </c>
      <c r="P41" s="36">
        <f>load_sel</f>
        <v/>
      </c>
      <c r="Q41" s="36">
        <f>pax_cap*P41</f>
        <v/>
      </c>
      <c r="R41" s="34">
        <f>Q41*O41</f>
        <v/>
      </c>
      <c r="S41" s="37">
        <f>E41*discount</f>
        <v/>
      </c>
      <c r="T41" s="38">
        <f>S41*R41</f>
        <v/>
      </c>
      <c r="U41" s="38">
        <f>(battery/range_nm)*D41*O41*VLOOKUP(B41,country_opex,3,FALSE)</f>
        <v/>
      </c>
      <c r="V41" s="38">
        <f>VLOOKUP(B41,country_opex,2,FALSE)*crew_factor</f>
        <v/>
      </c>
      <c r="W41" s="38">
        <f>VLOOKUP(B41,country_opex,5,FALSE)</f>
        <v/>
      </c>
      <c r="X41" s="38">
        <f>maint</f>
        <v/>
      </c>
      <c r="Y41" s="38">
        <f>VLOOKUP(B41,country_opex,7,FALSE)*ins_pct</f>
        <v/>
      </c>
      <c r="Z41" s="38">
        <f>charge_berth</f>
        <v/>
      </c>
      <c r="AA41" s="38">
        <f>U41+V41+W41+X41+Y41+Z41</f>
        <v/>
      </c>
      <c r="AB41" s="38">
        <f>VLOOKUP(B41,country_opex,7,FALSE)/dep_years</f>
        <v/>
      </c>
      <c r="AC41" s="38">
        <f>T41-AA41</f>
        <v/>
      </c>
      <c r="AD41" s="35">
        <f>IF(T41=0,"",AC41/T41)</f>
        <v/>
      </c>
      <c r="AE41" s="36">
        <f>IF(AC41&lt;=0,"",VLOOKUP(B41,country_opex,7,FALSE)/AC41)</f>
        <v/>
      </c>
      <c r="AF41" s="33">
        <f>((D41*O41/diesel_nmpg)*diesel_co2pg-(battery/range_nm)*D41*O41*VLOOKUP(B41,country_opex,4,FALSE))/1000</f>
        <v/>
      </c>
      <c r="AG41" s="31" t="n">
        <v>8365</v>
      </c>
      <c r="AH41" s="32" t="inlineStr">
        <is>
          <t>T5</t>
        </is>
      </c>
      <c r="AI41" s="32" t="inlineStr">
        <is>
          <t>med</t>
        </is>
      </c>
      <c r="AJ41" s="39" t="n">
        <v>0.9</v>
      </c>
      <c r="AK41" s="34">
        <f>IF(AG41="","",AG41*AJ41)</f>
        <v/>
      </c>
      <c r="AL41" s="34">
        <f>IF(OR(AG41="",R41=0),"",MIN(IF(AS41="",9.9E+99,AS41),FLOOR(AK41/R41,1)))</f>
        <v/>
      </c>
      <c r="AM41" s="38">
        <f>IF(AL41="","",AL41*T41)</f>
        <v/>
      </c>
      <c r="AN41" s="36">
        <f>IF(OR(AG41="",R41=0),"",MIN(IF(AS41="",9.9E+99,AS41),AK41/R41))</f>
        <v/>
      </c>
      <c r="AO41" s="38">
        <f>IF(AN41="","",AN41*T41)</f>
        <v/>
      </c>
      <c r="AP41" s="40" t="n"/>
      <c r="AQ41" s="41" t="n"/>
      <c r="AR41" s="41" t="n"/>
      <c r="AS41" s="42" t="n">
        <v>5</v>
      </c>
      <c r="AT41" s="43">
        <f>IF(((S41*pax_cap*load_thin*ROUND(K41*L41*revleg_thin,0))-(((battery/range_nm)*D41*ROUND(K41*L41*revleg_thin,0)*VLOOKUP(B41,country_opex,3,FALSE))+V41+W41+X41+Y41+Z41))&lt;=0,"",VLOOKUP(B41,country_opex,7,FALSE)/((S41*pax_cap*load_thin*ROUND(K41*L41*revleg_thin,0))-(((battery/range_nm)*D41*ROUND(K41*L41*revleg_thin,0)*VLOOKUP(B41,country_opex,3,FALSE))+V41+W41+X41+Y41+Z41)))</f>
        <v/>
      </c>
      <c r="AU41" s="43">
        <f>IF(((S41*pax_cap*load_mid*ROUND(K41*L41*revleg_mid,0))-(((battery/range_nm)*D41*ROUND(K41*L41*revleg_mid,0)*VLOOKUP(B41,country_opex,3,FALSE))+V41+W41+X41+Y41+Z41))&lt;=0,"",VLOOKUP(B41,country_opex,7,FALSE)/((S41*pax_cap*load_mid*ROUND(K41*L41*revleg_mid,0))-(((battery/range_nm)*D41*ROUND(K41*L41*revleg_mid,0)*VLOOKUP(B41,country_opex,3,FALSE))+V41+W41+X41+Y41+Z41)))</f>
        <v/>
      </c>
      <c r="AV41" s="43">
        <f>IF(((S41*pax_cap*load_full*ROUND(K41*L41*revleg_full,0))-(((battery/range_nm)*D41*ROUND(K41*L41*revleg_full,0)*VLOOKUP(B41,country_opex,3,FALSE))+V41+W41+X41+Y41+Z41))&lt;=0,"",VLOOKUP(B41,country_opex,7,FALSE)/((S41*pax_cap*load_full*ROUND(K41*L41*revleg_full,0))-(((battery/range_nm)*D41*ROUND(K41*L41*revleg_full,0)*VLOOKUP(B41,country_opex,3,FALSE))+V41+W41+X41+Y41+Z41)))</f>
        <v/>
      </c>
      <c r="AW41" s="44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X41" s="44" t="inlineStr">
        <is>
          <t>Modeled arrivals = published keys x occupancy 0.70 (Maldives Min. of Tourism avg) x (365/6.5 nights avg stay) x 1.9 pax/room. Inbound one-way transfers. T5-modeled/med; keys T1 resort-published. NULL for pure inter-resort excursion legs (R2).</t>
        </is>
      </c>
    </row>
    <row r="42">
      <c r="A42" s="29" t="inlineStr">
        <is>
          <t>Maldives (JIH)</t>
        </is>
      </c>
      <c r="B42" s="29" t="inlineStr">
        <is>
          <t>Maldives</t>
        </is>
      </c>
      <c r="C42" s="30" t="inlineStr">
        <is>
          <t>Velana International Airport (MLE) Resort Speedboat Lounges → Constance Halaveli (North Ari)</t>
        </is>
      </c>
      <c r="D42" s="31" t="n">
        <v>37.7</v>
      </c>
      <c r="E42" s="26" t="n">
        <v>300</v>
      </c>
      <c r="F42" s="32" t="inlineStr">
        <is>
          <t>T3</t>
        </is>
      </c>
      <c r="G42" s="32" t="inlineStr">
        <is>
          <t>med</t>
        </is>
      </c>
      <c r="H42" s="19" t="n">
        <v>1</v>
      </c>
      <c r="I42" s="33">
        <f>60*D42/cruise_kt</f>
        <v/>
      </c>
      <c r="J42" s="33">
        <f>I42+turn_min+dwell_min</f>
        <v/>
      </c>
      <c r="K42" s="34">
        <f>MIN(15,FLOOR(60*service_hr/J42,1))</f>
        <v/>
      </c>
      <c r="L42" s="34">
        <f>ROUND(365*mech_uptime*H42,0)</f>
        <v/>
      </c>
      <c r="M42" s="35">
        <f>mech_uptime</f>
        <v/>
      </c>
      <c r="N42" s="35">
        <f>revleg_sel</f>
        <v/>
      </c>
      <c r="O42" s="34">
        <f>ROUND(K42*L42*revleg_sel,0)</f>
        <v/>
      </c>
      <c r="P42" s="36">
        <f>load_sel</f>
        <v/>
      </c>
      <c r="Q42" s="36">
        <f>pax_cap*P42</f>
        <v/>
      </c>
      <c r="R42" s="34">
        <f>Q42*O42</f>
        <v/>
      </c>
      <c r="S42" s="37">
        <f>E42*discount</f>
        <v/>
      </c>
      <c r="T42" s="38">
        <f>S42*R42</f>
        <v/>
      </c>
      <c r="U42" s="38">
        <f>(battery/range_nm)*D42*O42*VLOOKUP(B42,country_opex,3,FALSE)</f>
        <v/>
      </c>
      <c r="V42" s="38">
        <f>VLOOKUP(B42,country_opex,2,FALSE)*crew_factor</f>
        <v/>
      </c>
      <c r="W42" s="38">
        <f>VLOOKUP(B42,country_opex,5,FALSE)</f>
        <v/>
      </c>
      <c r="X42" s="38">
        <f>maint</f>
        <v/>
      </c>
      <c r="Y42" s="38">
        <f>VLOOKUP(B42,country_opex,7,FALSE)*ins_pct</f>
        <v/>
      </c>
      <c r="Z42" s="38">
        <f>charge_berth</f>
        <v/>
      </c>
      <c r="AA42" s="38">
        <f>U42+V42+W42+X42+Y42+Z42</f>
        <v/>
      </c>
      <c r="AB42" s="38">
        <f>VLOOKUP(B42,country_opex,7,FALSE)/dep_years</f>
        <v/>
      </c>
      <c r="AC42" s="38">
        <f>T42-AA42</f>
        <v/>
      </c>
      <c r="AD42" s="35">
        <f>IF(T42=0,"",AC42/T42)</f>
        <v/>
      </c>
      <c r="AE42" s="36">
        <f>IF(AC42&lt;=0,"",VLOOKUP(B42,country_opex,7,FALSE)/AC42)</f>
        <v/>
      </c>
      <c r="AF42" s="33">
        <f>((D42*O42/diesel_nmpg)*diesel_co2pg-(battery/range_nm)*D42*O42*VLOOKUP(B42,country_opex,4,FALSE))/1000</f>
        <v/>
      </c>
      <c r="AG42" s="31" t="n">
        <v>13400</v>
      </c>
      <c r="AH42" s="32" t="inlineStr">
        <is>
          <t>T5</t>
        </is>
      </c>
      <c r="AI42" s="32" t="inlineStr">
        <is>
          <t>low-med</t>
        </is>
      </c>
      <c r="AJ42" s="39" t="n">
        <v>0.9</v>
      </c>
      <c r="AK42" s="34">
        <f>IF(AG42="","",AG42*AJ42)</f>
        <v/>
      </c>
      <c r="AL42" s="34">
        <f>IF(OR(AG42="",R42=0),"",MIN(IF(AS42="",9.9E+99,AS42),FLOOR(AK42/R42,1)))</f>
        <v/>
      </c>
      <c r="AM42" s="38">
        <f>IF(AL42="","",AL42*T42)</f>
        <v/>
      </c>
      <c r="AN42" s="36">
        <f>IF(OR(AG42="",R42=0),"",MIN(IF(AS42="",9.9E+99,AS42),AK42/R42))</f>
        <v/>
      </c>
      <c r="AO42" s="38">
        <f>IF(AN42="","",AN42*T42)</f>
        <v/>
      </c>
      <c r="AP42" s="40" t="n"/>
      <c r="AQ42" s="41" t="n"/>
      <c r="AR42" s="41" t="n"/>
      <c r="AS42" s="42" t="n">
        <v>4</v>
      </c>
      <c r="AT42" s="43">
        <f>IF(((S42*pax_cap*load_thin*ROUND(K42*L42*revleg_thin,0))-(((battery/range_nm)*D42*ROUND(K42*L42*revleg_thin,0)*VLOOKUP(B42,country_opex,3,FALSE))+V42+W42+X42+Y42+Z42))&lt;=0,"",VLOOKUP(B42,country_opex,7,FALSE)/((S42*pax_cap*load_thin*ROUND(K42*L42*revleg_thin,0))-(((battery/range_nm)*D42*ROUND(K42*L42*revleg_thin,0)*VLOOKUP(B42,country_opex,3,FALSE))+V42+W42+X42+Y42+Z42)))</f>
        <v/>
      </c>
      <c r="AU42" s="43">
        <f>IF(((S42*pax_cap*load_mid*ROUND(K42*L42*revleg_mid,0))-(((battery/range_nm)*D42*ROUND(K42*L42*revleg_mid,0)*VLOOKUP(B42,country_opex,3,FALSE))+V42+W42+X42+Y42+Z42))&lt;=0,"",VLOOKUP(B42,country_opex,7,FALSE)/((S42*pax_cap*load_mid*ROUND(K42*L42*revleg_mid,0))-(((battery/range_nm)*D42*ROUND(K42*L42*revleg_mid,0)*VLOOKUP(B42,country_opex,3,FALSE))+V42+W42+X42+Y42+Z42)))</f>
        <v/>
      </c>
      <c r="AV42" s="43">
        <f>IF(((S42*pax_cap*load_full*ROUND(K42*L42*revleg_full,0))-(((battery/range_nm)*D42*ROUND(K42*L42*revleg_full,0)*VLOOKUP(B42,country_opex,3,FALSE))+V42+W42+X42+Y42+Z42))&lt;=0,"",VLOOKUP(B42,country_opex,7,FALSE)/((S42*pax_cap*load_full*ROUND(K42*L42*revleg_full,0))-(((battery/range_nm)*D42*ROUND(K42*L42*revleg_full,0)*VLOOKUP(B42,country_opex,3,FALSE))+V42+W42+X42+Y42+Z42)))</f>
        <v/>
      </c>
      <c r="AW42" s="44" t="inlineStr">
        <is>
          <t>Constance Halaveli, North Ari, 25-min seaplane. Tripadvisor FAQ (resort-quoted): seaplane USD 530/adult RT = $265/way. Booking.com 2026: seaplane both-ways service fee USD 650/adult = $325/way. 90-min speedboat alternative also offered (Angelfish Travel). Private seaplane ~$1,500/way (charter). Premium per-seat seaplane $300/way. NOTE: &gt;40nm leg - Navier (Pioneer II &lt;=70nm) substitutes the SEAPLANE here, big value capture.</t>
        </is>
      </c>
      <c r="AX42" s="44" t="inlineStr">
        <is>
          <t>Modeled from resort key count. Constance Halaveli (North Ari): ~86 villas/keys (published resort/Virtuoso/booking figures). corridor_annual_oneway_pax = keys x 365 x occ(0.75) / avg_stay(7 nights) x guests/key(2) x 2 (arr+dep) ~= keys x 156. 86 keys -&gt; ~13,400 one-way pax/yr. Airport(MLE)&lt;-&gt;this resort is the sole transfer corridor (boat/seaplane only; no road/air alt - R3-EXCEPTION: arrivals = crossing ridership).</t>
        </is>
      </c>
    </row>
    <row r="43">
      <c r="A43" s="29" t="inlineStr">
        <is>
          <t>Maldives (JIH)</t>
        </is>
      </c>
      <c r="B43" s="29" t="inlineStr">
        <is>
          <t>Maldives</t>
        </is>
      </c>
      <c r="C43" s="30" t="inlineStr">
        <is>
          <t>Maafaru Airport, Noonu → The Standard Huruvalhi (Raa)</t>
        </is>
      </c>
      <c r="D43" s="31" t="n">
        <v>40.4</v>
      </c>
      <c r="E43" s="26" t="n">
        <v>150</v>
      </c>
      <c r="F43" s="32" t="inlineStr">
        <is>
          <t>T3</t>
        </is>
      </c>
      <c r="G43" s="32" t="inlineStr">
        <is>
          <t>med</t>
        </is>
      </c>
      <c r="H43" s="19" t="n">
        <v>1</v>
      </c>
      <c r="I43" s="33">
        <f>60*D43/cruise_kt</f>
        <v/>
      </c>
      <c r="J43" s="33">
        <f>I43+turn_min+dwell_min</f>
        <v/>
      </c>
      <c r="K43" s="34">
        <f>MIN(15,FLOOR(60*service_hr/J43,1))</f>
        <v/>
      </c>
      <c r="L43" s="34">
        <f>ROUND(365*mech_uptime*H43,0)</f>
        <v/>
      </c>
      <c r="M43" s="35">
        <f>mech_uptime</f>
        <v/>
      </c>
      <c r="N43" s="35">
        <f>revleg_sel</f>
        <v/>
      </c>
      <c r="O43" s="34">
        <f>ROUND(K43*L43*revleg_sel,0)</f>
        <v/>
      </c>
      <c r="P43" s="36">
        <f>load_sel</f>
        <v/>
      </c>
      <c r="Q43" s="36">
        <f>pax_cap*P43</f>
        <v/>
      </c>
      <c r="R43" s="34">
        <f>Q43*O43</f>
        <v/>
      </c>
      <c r="S43" s="37">
        <f>E43*discount</f>
        <v/>
      </c>
      <c r="T43" s="38">
        <f>S43*R43</f>
        <v/>
      </c>
      <c r="U43" s="38">
        <f>(battery/range_nm)*D43*O43*VLOOKUP(B43,country_opex,3,FALSE)</f>
        <v/>
      </c>
      <c r="V43" s="38">
        <f>VLOOKUP(B43,country_opex,2,FALSE)*crew_factor</f>
        <v/>
      </c>
      <c r="W43" s="38">
        <f>VLOOKUP(B43,country_opex,5,FALSE)</f>
        <v/>
      </c>
      <c r="X43" s="38">
        <f>maint</f>
        <v/>
      </c>
      <c r="Y43" s="38">
        <f>VLOOKUP(B43,country_opex,7,FALSE)*ins_pct</f>
        <v/>
      </c>
      <c r="Z43" s="38">
        <f>charge_berth</f>
        <v/>
      </c>
      <c r="AA43" s="38">
        <f>U43+V43+W43+X43+Y43+Z43</f>
        <v/>
      </c>
      <c r="AB43" s="38">
        <f>VLOOKUP(B43,country_opex,7,FALSE)/dep_years</f>
        <v/>
      </c>
      <c r="AC43" s="38">
        <f>T43-AA43</f>
        <v/>
      </c>
      <c r="AD43" s="35">
        <f>IF(T43=0,"",AC43/T43)</f>
        <v/>
      </c>
      <c r="AE43" s="36">
        <f>IF(AC43&lt;=0,"",VLOOKUP(B43,country_opex,7,FALSE)/AC43)</f>
        <v/>
      </c>
      <c r="AF43" s="33">
        <f>((D43*O43/diesel_nmpg)*diesel_co2pg-(battery/range_nm)*D43*O43*VLOOKUP(B43,country_opex,4,FALSE))/1000</f>
        <v/>
      </c>
      <c r="AG43" s="31" t="n">
        <v>8589</v>
      </c>
      <c r="AH43" s="32" t="inlineStr">
        <is>
          <t>T5</t>
        </is>
      </c>
      <c r="AI43" s="32" t="inlineStr">
        <is>
          <t>med</t>
        </is>
      </c>
      <c r="AJ43" s="39" t="n">
        <v>0.9</v>
      </c>
      <c r="AK43" s="34">
        <f>IF(AG43="","",AG43*AJ43)</f>
        <v/>
      </c>
      <c r="AL43" s="34">
        <f>IF(OR(AG43="",R43=0),"",MIN(IF(AS43="",9.9E+99,AS43),FLOOR(AK43/R43,1)))</f>
        <v/>
      </c>
      <c r="AM43" s="38">
        <f>IF(AL43="","",AL43*T43)</f>
        <v/>
      </c>
      <c r="AN43" s="36">
        <f>IF(OR(AG43="",R43=0),"",MIN(IF(AS43="",9.9E+99,AS43),AK43/R43))</f>
        <v/>
      </c>
      <c r="AO43" s="38">
        <f>IF(AN43="","",AN43*T43)</f>
        <v/>
      </c>
      <c r="AP43" s="40" t="n"/>
      <c r="AQ43" s="41" t="n"/>
      <c r="AR43" s="41" t="n"/>
      <c r="AS43" s="42" t="n">
        <v>5</v>
      </c>
      <c r="AT43" s="43">
        <f>IF(((S43*pax_cap*load_thin*ROUND(K43*L43*revleg_thin,0))-(((battery/range_nm)*D43*ROUND(K43*L43*revleg_thin,0)*VLOOKUP(B43,country_opex,3,FALSE))+V43+W43+X43+Y43+Z43))&lt;=0,"",VLOOKUP(B43,country_opex,7,FALSE)/((S43*pax_cap*load_thin*ROUND(K43*L43*revleg_thin,0))-(((battery/range_nm)*D43*ROUND(K43*L43*revleg_thin,0)*VLOOKUP(B43,country_opex,3,FALSE))+V43+W43+X43+Y43+Z43)))</f>
        <v/>
      </c>
      <c r="AU43" s="43">
        <f>IF(((S43*pax_cap*load_mid*ROUND(K43*L43*revleg_mid,0))-(((battery/range_nm)*D43*ROUND(K43*L43*revleg_mid,0)*VLOOKUP(B43,country_opex,3,FALSE))+V43+W43+X43+Y43+Z43))&lt;=0,"",VLOOKUP(B43,country_opex,7,FALSE)/((S43*pax_cap*load_mid*ROUND(K43*L43*revleg_mid,0))-(((battery/range_nm)*D43*ROUND(K43*L43*revleg_mid,0)*VLOOKUP(B43,country_opex,3,FALSE))+V43+W43+X43+Y43+Z43)))</f>
        <v/>
      </c>
      <c r="AV43" s="43">
        <f>IF(((S43*pax_cap*load_full*ROUND(K43*L43*revleg_full,0))-(((battery/range_nm)*D43*ROUND(K43*L43*revleg_full,0)*VLOOKUP(B43,country_opex,3,FALSE))+V43+W43+X43+Y43+Z43))&lt;=0,"",VLOOKUP(B43,country_opex,7,FALSE)/((S43*pax_cap*load_full*ROUND(K43*L43*revleg_full,0))-(((battery/range_nm)*D43*ROUND(K43*L43*revleg_full,0)*VLOOKUP(B43,country_opex,3,FALSE))+V43+W43+X43+Y43+Z43)))</f>
        <v/>
      </c>
      <c r="AW43" s="44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X43" s="44" t="inlineStr">
        <is>
          <t>Modeled arrivals = published keys x occupancy 0.70 (Maldives Min. of Tourism avg) x (365/6.5 nights avg stay) x 1.9 pax/room. Inbound one-way transfers. T5-modeled/med; keys T1 resort-published. NULL for pure inter-resort excursion legs (R2).</t>
        </is>
      </c>
    </row>
    <row r="44">
      <c r="A44" s="29" t="inlineStr">
        <is>
          <t>Maldives (JIH)</t>
        </is>
      </c>
      <c r="B44" s="29" t="inlineStr">
        <is>
          <t>Maldives</t>
        </is>
      </c>
      <c r="C44" s="30" t="inlineStr">
        <is>
          <t>Velana International Airport (MLE) Resort Speedboat Lounges → Conrad Maldives Rangali Island (South Ari)</t>
        </is>
      </c>
      <c r="D44" s="31" t="n">
        <v>59.3</v>
      </c>
      <c r="E44" s="26" t="n">
        <v>350</v>
      </c>
      <c r="F44" s="32" t="inlineStr">
        <is>
          <t>T1</t>
        </is>
      </c>
      <c r="G44" s="32" t="inlineStr">
        <is>
          <t>med-high</t>
        </is>
      </c>
      <c r="H44" s="19" t="n">
        <v>1</v>
      </c>
      <c r="I44" s="33">
        <f>60*D44/cruise_kt</f>
        <v/>
      </c>
      <c r="J44" s="33">
        <f>I44+turn_min+dwell_min</f>
        <v/>
      </c>
      <c r="K44" s="34">
        <f>MIN(15,FLOOR(60*service_hr/J44,1))</f>
        <v/>
      </c>
      <c r="L44" s="34">
        <f>ROUND(365*mech_uptime*H44,0)</f>
        <v/>
      </c>
      <c r="M44" s="35">
        <f>mech_uptime</f>
        <v/>
      </c>
      <c r="N44" s="35">
        <f>revleg_sel</f>
        <v/>
      </c>
      <c r="O44" s="34">
        <f>ROUND(K44*L44*revleg_sel,0)</f>
        <v/>
      </c>
      <c r="P44" s="36">
        <f>load_sel</f>
        <v/>
      </c>
      <c r="Q44" s="36">
        <f>pax_cap*P44</f>
        <v/>
      </c>
      <c r="R44" s="34">
        <f>Q44*O44</f>
        <v/>
      </c>
      <c r="S44" s="37">
        <f>E44*discount</f>
        <v/>
      </c>
      <c r="T44" s="38">
        <f>S44*R44</f>
        <v/>
      </c>
      <c r="U44" s="38">
        <f>(battery/range_nm)*D44*O44*VLOOKUP(B44,country_opex,3,FALSE)</f>
        <v/>
      </c>
      <c r="V44" s="38">
        <f>VLOOKUP(B44,country_opex,2,FALSE)*crew_factor</f>
        <v/>
      </c>
      <c r="W44" s="38">
        <f>VLOOKUP(B44,country_opex,5,FALSE)</f>
        <v/>
      </c>
      <c r="X44" s="38">
        <f>maint</f>
        <v/>
      </c>
      <c r="Y44" s="38">
        <f>VLOOKUP(B44,country_opex,7,FALSE)*ins_pct</f>
        <v/>
      </c>
      <c r="Z44" s="38">
        <f>charge_berth</f>
        <v/>
      </c>
      <c r="AA44" s="38">
        <f>U44+V44+W44+X44+Y44+Z44</f>
        <v/>
      </c>
      <c r="AB44" s="38">
        <f>VLOOKUP(B44,country_opex,7,FALSE)/dep_years</f>
        <v/>
      </c>
      <c r="AC44" s="38">
        <f>T44-AA44</f>
        <v/>
      </c>
      <c r="AD44" s="35">
        <f>IF(T44=0,"",AC44/T44)</f>
        <v/>
      </c>
      <c r="AE44" s="36">
        <f>IF(AC44&lt;=0,"",VLOOKUP(B44,country_opex,7,FALSE)/AC44)</f>
        <v/>
      </c>
      <c r="AF44" s="33">
        <f>((D44*O44/diesel_nmpg)*diesel_co2pg-(battery/range_nm)*D44*O44*VLOOKUP(B44,country_opex,4,FALSE))/1000</f>
        <v/>
      </c>
      <c r="AG44" s="31" t="n">
        <v>23500</v>
      </c>
      <c r="AH44" s="32" t="inlineStr">
        <is>
          <t>T5</t>
        </is>
      </c>
      <c r="AI44" s="32" t="inlineStr">
        <is>
          <t>low-med</t>
        </is>
      </c>
      <c r="AJ44" s="39" t="n">
        <v>0.9</v>
      </c>
      <c r="AK44" s="34">
        <f>IF(AG44="","",AG44*AJ44)</f>
        <v/>
      </c>
      <c r="AL44" s="34">
        <f>IF(OR(AG44="",R44=0),"",MIN(IF(AS44="",9.9E+99,AS44),FLOOR(AK44/R44,1)))</f>
        <v/>
      </c>
      <c r="AM44" s="38">
        <f>IF(AL44="","",AL44*T44)</f>
        <v/>
      </c>
      <c r="AN44" s="36">
        <f>IF(OR(AG44="",R44=0),"",MIN(IF(AS44="",9.9E+99,AS44),AK44/R44))</f>
        <v/>
      </c>
      <c r="AO44" s="38">
        <f>IF(AN44="","",AN44*T44)</f>
        <v/>
      </c>
      <c r="AP44" s="40" t="n"/>
      <c r="AQ44" s="41" t="n"/>
      <c r="AR44" s="41" t="n"/>
      <c r="AS44" s="42" t="n">
        <v>6</v>
      </c>
      <c r="AT44" s="43">
        <f>IF(((S44*pax_cap*load_thin*ROUND(K44*L44*revleg_thin,0))-(((battery/range_nm)*D44*ROUND(K44*L44*revleg_thin,0)*VLOOKUP(B44,country_opex,3,FALSE))+V44+W44+X44+Y44+Z44))&lt;=0,"",VLOOKUP(B44,country_opex,7,FALSE)/((S44*pax_cap*load_thin*ROUND(K44*L44*revleg_thin,0))-(((battery/range_nm)*D44*ROUND(K44*L44*revleg_thin,0)*VLOOKUP(B44,country_opex,3,FALSE))+V44+W44+X44+Y44+Z44)))</f>
        <v/>
      </c>
      <c r="AU44" s="43">
        <f>IF(((S44*pax_cap*load_mid*ROUND(K44*L44*revleg_mid,0))-(((battery/range_nm)*D44*ROUND(K44*L44*revleg_mid,0)*VLOOKUP(B44,country_opex,3,FALSE))+V44+W44+X44+Y44+Z44))&lt;=0,"",VLOOKUP(B44,country_opex,7,FALSE)/((S44*pax_cap*load_mid*ROUND(K44*L44*revleg_mid,0))-(((battery/range_nm)*D44*ROUND(K44*L44*revleg_mid,0)*VLOOKUP(B44,country_opex,3,FALSE))+V44+W44+X44+Y44+Z44)))</f>
        <v/>
      </c>
      <c r="AV44" s="43">
        <f>IF(((S44*pax_cap*load_full*ROUND(K44*L44*revleg_full,0))-(((battery/range_nm)*D44*ROUND(K44*L44*revleg_full,0)*VLOOKUP(B44,country_opex,3,FALSE))+V44+W44+X44+Y44+Z44))&lt;=0,"",VLOOKUP(B44,country_opex,7,FALSE)/((S44*pax_cap*load_full*ROUND(K44*L44*revleg_full,0))-(((battery/range_nm)*D44*ROUND(K44*L44*revleg_full,0)*VLOOKUP(B44,country_opex,3,FALSE))+V44+W44+X44+Y44+Z44)))</f>
        <v/>
      </c>
      <c r="AW44" s="44" t="inlineStr">
        <is>
          <t>Conrad Maldives Rangali Island OFFICIAL (conradmaldives.com): seaplane return transfer USD 700 net/adult = $350/way. Frequent Miler: seaplane for two = $1,350 = $337/way. getexperience blog: $600-750 RT typical. Premium per-seat seaplane $350/way. &gt;40nm - Navier substitutes the SEAPLANE (Pioneer II reaches 57.6nm &lt;=70nm); large value capture vs $700 RT seaplane.</t>
        </is>
      </c>
      <c r="AX44" s="44" t="inlineStr">
        <is>
          <t>Modeled from resort key count. Conrad Maldives Rangali Island (South Ari): ~150 villas/keys (published resort/Virtuoso/booking figures). corridor_annual_oneway_pax = keys x 365 x occ(0.75) / avg_stay(7 nights) x guests/key(2) x 2 (arr+dep) ~= keys x 156. 150 keys -&gt; ~23,500 one-way pax/yr. Airport(MLE)&lt;-&gt;this resort is the sole transfer corridor (boat/seaplane only; no road/air alt - R3-EXCEPTION: arrivals = crossing ridership).</t>
        </is>
      </c>
    </row>
    <row r="45">
      <c r="A45" s="29" t="inlineStr">
        <is>
          <t>Maldives (JIH)</t>
        </is>
      </c>
      <c r="B45" s="29" t="inlineStr">
        <is>
          <t>Maldives</t>
        </is>
      </c>
      <c r="C45" s="30" t="inlineStr">
        <is>
          <t>Velana International Airport (MLE) Resort Speedboat Lounges → The Westin Maldives Miriandhoo (Baa)</t>
        </is>
      </c>
      <c r="D45" s="31" t="n">
        <v>61.4</v>
      </c>
      <c r="E45" s="26" t="n">
        <v>310</v>
      </c>
      <c r="F45" s="32" t="inlineStr">
        <is>
          <t>T1</t>
        </is>
      </c>
      <c r="G45" s="32" t="inlineStr">
        <is>
          <t>med-high</t>
        </is>
      </c>
      <c r="H45" s="19" t="n">
        <v>1</v>
      </c>
      <c r="I45" s="33">
        <f>60*D45/cruise_kt</f>
        <v/>
      </c>
      <c r="J45" s="33">
        <f>I45+turn_min+dwell_min</f>
        <v/>
      </c>
      <c r="K45" s="34">
        <f>MIN(15,FLOOR(60*service_hr/J45,1))</f>
        <v/>
      </c>
      <c r="L45" s="34">
        <f>ROUND(365*mech_uptime*H45,0)</f>
        <v/>
      </c>
      <c r="M45" s="35">
        <f>mech_uptime</f>
        <v/>
      </c>
      <c r="N45" s="35">
        <f>revleg_sel</f>
        <v/>
      </c>
      <c r="O45" s="34">
        <f>ROUND(K45*L45*revleg_sel,0)</f>
        <v/>
      </c>
      <c r="P45" s="36">
        <f>load_sel</f>
        <v/>
      </c>
      <c r="Q45" s="36">
        <f>pax_cap*P45</f>
        <v/>
      </c>
      <c r="R45" s="34">
        <f>Q45*O45</f>
        <v/>
      </c>
      <c r="S45" s="37">
        <f>E45*discount</f>
        <v/>
      </c>
      <c r="T45" s="38">
        <f>S45*R45</f>
        <v/>
      </c>
      <c r="U45" s="38">
        <f>(battery/range_nm)*D45*O45*VLOOKUP(B45,country_opex,3,FALSE)</f>
        <v/>
      </c>
      <c r="V45" s="38">
        <f>VLOOKUP(B45,country_opex,2,FALSE)*crew_factor</f>
        <v/>
      </c>
      <c r="W45" s="38">
        <f>VLOOKUP(B45,country_opex,5,FALSE)</f>
        <v/>
      </c>
      <c r="X45" s="38">
        <f>maint</f>
        <v/>
      </c>
      <c r="Y45" s="38">
        <f>VLOOKUP(B45,country_opex,7,FALSE)*ins_pct</f>
        <v/>
      </c>
      <c r="Z45" s="38">
        <f>charge_berth</f>
        <v/>
      </c>
      <c r="AA45" s="38">
        <f>U45+V45+W45+X45+Y45+Z45</f>
        <v/>
      </c>
      <c r="AB45" s="38">
        <f>VLOOKUP(B45,country_opex,7,FALSE)/dep_years</f>
        <v/>
      </c>
      <c r="AC45" s="38">
        <f>T45-AA45</f>
        <v/>
      </c>
      <c r="AD45" s="35">
        <f>IF(T45=0,"",AC45/T45)</f>
        <v/>
      </c>
      <c r="AE45" s="36">
        <f>IF(AC45&lt;=0,"",VLOOKUP(B45,country_opex,7,FALSE)/AC45)</f>
        <v/>
      </c>
      <c r="AF45" s="33">
        <f>((D45*O45/diesel_nmpg)*diesel_co2pg-(battery/range_nm)*D45*O45*VLOOKUP(B45,country_opex,4,FALSE))/1000</f>
        <v/>
      </c>
      <c r="AG45" s="31" t="n">
        <v>10900</v>
      </c>
      <c r="AH45" s="32" t="inlineStr">
        <is>
          <t>T5</t>
        </is>
      </c>
      <c r="AI45" s="32" t="inlineStr">
        <is>
          <t>low-med</t>
        </is>
      </c>
      <c r="AJ45" s="39" t="n">
        <v>0.9</v>
      </c>
      <c r="AK45" s="34">
        <f>IF(AG45="","",AG45*AJ45)</f>
        <v/>
      </c>
      <c r="AL45" s="34">
        <f>IF(OR(AG45="",R45=0),"",MIN(IF(AS45="",9.9E+99,AS45),FLOOR(AK45/R45,1)))</f>
        <v/>
      </c>
      <c r="AM45" s="38">
        <f>IF(AL45="","",AL45*T45)</f>
        <v/>
      </c>
      <c r="AN45" s="36">
        <f>IF(OR(AG45="",R45=0),"",MIN(IF(AS45="",9.9E+99,AS45),AK45/R45))</f>
        <v/>
      </c>
      <c r="AO45" s="38">
        <f>IF(AN45="","",AN45*T45)</f>
        <v/>
      </c>
      <c r="AP45" s="40" t="n"/>
      <c r="AQ45" s="41" t="n"/>
      <c r="AR45" s="41" t="n"/>
      <c r="AS45" s="42" t="n">
        <v>4</v>
      </c>
      <c r="AT45" s="43">
        <f>IF(((S45*pax_cap*load_thin*ROUND(K45*L45*revleg_thin,0))-(((battery/range_nm)*D45*ROUND(K45*L45*revleg_thin,0)*VLOOKUP(B45,country_opex,3,FALSE))+V45+W45+X45+Y45+Z45))&lt;=0,"",VLOOKUP(B45,country_opex,7,FALSE)/((S45*pax_cap*load_thin*ROUND(K45*L45*revleg_thin,0))-(((battery/range_nm)*D45*ROUND(K45*L45*revleg_thin,0)*VLOOKUP(B45,country_opex,3,FALSE))+V45+W45+X45+Y45+Z45)))</f>
        <v/>
      </c>
      <c r="AU45" s="43">
        <f>IF(((S45*pax_cap*load_mid*ROUND(K45*L45*revleg_mid,0))-(((battery/range_nm)*D45*ROUND(K45*L45*revleg_mid,0)*VLOOKUP(B45,country_opex,3,FALSE))+V45+W45+X45+Y45+Z45))&lt;=0,"",VLOOKUP(B45,country_opex,7,FALSE)/((S45*pax_cap*load_mid*ROUND(K45*L45*revleg_mid,0))-(((battery/range_nm)*D45*ROUND(K45*L45*revleg_mid,0)*VLOOKUP(B45,country_opex,3,FALSE))+V45+W45+X45+Y45+Z45)))</f>
        <v/>
      </c>
      <c r="AV45" s="43">
        <f>IF(((S45*pax_cap*load_full*ROUND(K45*L45*revleg_full,0))-(((battery/range_nm)*D45*ROUND(K45*L45*revleg_full,0)*VLOOKUP(B45,country_opex,3,FALSE))+V45+W45+X45+Y45+Z45))&lt;=0,"",VLOOKUP(B45,country_opex,7,FALSE)/((S45*pax_cap*load_full*ROUND(K45*L45*revleg_full,0))-(((battery/range_nm)*D45*ROUND(K45*L45*revleg_full,0)*VLOOKUP(B45,country_opex,3,FALSE))+V45+W45+X45+Y45+Z45)))</f>
        <v/>
      </c>
      <c r="AW45" s="44" t="inlineStr">
        <is>
          <t>The Westin Maldives Miriandhoo OFFICIAL (marriott.com): return seaplane USD 620/adult RT = $310/way (domestic flight+speedboat alt USD 495 RT). The Points Guy: $475 RT; hyderseatravels: $500 RT; traveltomtom: $375 RT (incl taxes). Premium per-seat seaplane $310/way. &gt;40nm - Navier substitutes SEAPLANE (60.6nm &lt;=70nm).</t>
        </is>
      </c>
      <c r="AX45" s="44" t="inlineStr">
        <is>
          <t>Modeled from resort key count. The Westin Maldives Miriandhoo (Baa): ~70 villas/keys (published resort/Virtuoso/booking figures). corridor_annual_oneway_pax = keys x 365 x occ(0.75) / avg_stay(7 nights) x guests/key(2) x 2 (arr+dep) ~= keys x 156. 70 keys -&gt; ~10,900 one-way pax/yr. Airport(MLE)&lt;-&gt;this resort is the sole transfer corridor (boat/seaplane only; no road/air alt - R3-EXCEPTION: arrivals = crossing ridership).</t>
        </is>
      </c>
    </row>
    <row r="46">
      <c r="A46" s="29" t="inlineStr">
        <is>
          <t>Maldives (JIH)</t>
        </is>
      </c>
      <c r="B46" s="29" t="inlineStr">
        <is>
          <t>Maldives</t>
        </is>
      </c>
      <c r="C46" s="30" t="inlineStr">
        <is>
          <t>Velana International Airport (MLE) Resort Speedboat Lounges → Soneva Fushi (Kunfunadhoo, Baa)</t>
        </is>
      </c>
      <c r="D46" s="31" t="n">
        <v>63.7</v>
      </c>
      <c r="E46" s="26" t="n">
        <v>650</v>
      </c>
      <c r="F46" s="32" t="inlineStr">
        <is>
          <t>T1</t>
        </is>
      </c>
      <c r="G46" s="32" t="inlineStr">
        <is>
          <t>med-high</t>
        </is>
      </c>
      <c r="H46" s="19" t="n">
        <v>1</v>
      </c>
      <c r="I46" s="33">
        <f>60*D46/cruise_kt</f>
        <v/>
      </c>
      <c r="J46" s="33">
        <f>I46+turn_min+dwell_min</f>
        <v/>
      </c>
      <c r="K46" s="34">
        <f>MIN(15,FLOOR(60*service_hr/J46,1))</f>
        <v/>
      </c>
      <c r="L46" s="34">
        <f>ROUND(365*mech_uptime*H46,0)</f>
        <v/>
      </c>
      <c r="M46" s="35">
        <f>mech_uptime</f>
        <v/>
      </c>
      <c r="N46" s="35">
        <f>revleg_sel</f>
        <v/>
      </c>
      <c r="O46" s="34">
        <f>ROUND(K46*L46*revleg_sel,0)</f>
        <v/>
      </c>
      <c r="P46" s="36">
        <f>load_sel</f>
        <v/>
      </c>
      <c r="Q46" s="36">
        <f>pax_cap*P46</f>
        <v/>
      </c>
      <c r="R46" s="34">
        <f>Q46*O46</f>
        <v/>
      </c>
      <c r="S46" s="37">
        <f>E46*discount</f>
        <v/>
      </c>
      <c r="T46" s="38">
        <f>S46*R46</f>
        <v/>
      </c>
      <c r="U46" s="38">
        <f>(battery/range_nm)*D46*O46*VLOOKUP(B46,country_opex,3,FALSE)</f>
        <v/>
      </c>
      <c r="V46" s="38">
        <f>VLOOKUP(B46,country_opex,2,FALSE)*crew_factor</f>
        <v/>
      </c>
      <c r="W46" s="38">
        <f>VLOOKUP(B46,country_opex,5,FALSE)</f>
        <v/>
      </c>
      <c r="X46" s="38">
        <f>maint</f>
        <v/>
      </c>
      <c r="Y46" s="38">
        <f>VLOOKUP(B46,country_opex,7,FALSE)*ins_pct</f>
        <v/>
      </c>
      <c r="Z46" s="38">
        <f>charge_berth</f>
        <v/>
      </c>
      <c r="AA46" s="38">
        <f>U46+V46+W46+X46+Y46+Z46</f>
        <v/>
      </c>
      <c r="AB46" s="38">
        <f>VLOOKUP(B46,country_opex,7,FALSE)/dep_years</f>
        <v/>
      </c>
      <c r="AC46" s="38">
        <f>T46-AA46</f>
        <v/>
      </c>
      <c r="AD46" s="35">
        <f>IF(T46=0,"",AC46/T46)</f>
        <v/>
      </c>
      <c r="AE46" s="36">
        <f>IF(AC46&lt;=0,"",VLOOKUP(B46,country_opex,7,FALSE)/AC46)</f>
        <v/>
      </c>
      <c r="AF46" s="33">
        <f>((D46*O46/diesel_nmpg)*diesel_co2pg-(battery/range_nm)*D46*O46*VLOOKUP(B46,country_opex,4,FALSE))/1000</f>
        <v/>
      </c>
      <c r="AG46" s="31" t="n">
        <v>11100</v>
      </c>
      <c r="AH46" s="32" t="inlineStr">
        <is>
          <t>T5</t>
        </is>
      </c>
      <c r="AI46" s="32" t="inlineStr">
        <is>
          <t>low-med</t>
        </is>
      </c>
      <c r="AJ46" s="39" t="n">
        <v>0.9</v>
      </c>
      <c r="AK46" s="34">
        <f>IF(AG46="","",AG46*AJ46)</f>
        <v/>
      </c>
      <c r="AL46" s="34">
        <f>IF(OR(AG46="",R46=0),"",MIN(IF(AS46="",9.9E+99,AS46),FLOOR(AK46/R46,1)))</f>
        <v/>
      </c>
      <c r="AM46" s="38">
        <f>IF(AL46="","",AL46*T46)</f>
        <v/>
      </c>
      <c r="AN46" s="36">
        <f>IF(OR(AG46="",R46=0),"",MIN(IF(AS46="",9.9E+99,AS46),AK46/R46))</f>
        <v/>
      </c>
      <c r="AO46" s="38">
        <f>IF(AN46="","",AN46*T46)</f>
        <v/>
      </c>
      <c r="AP46" s="40" t="n"/>
      <c r="AQ46" s="41" t="n"/>
      <c r="AR46" s="41" t="n"/>
      <c r="AS46" s="42" t="n">
        <v>3</v>
      </c>
      <c r="AT46" s="43">
        <f>IF(((S46*pax_cap*load_thin*ROUND(K46*L46*revleg_thin,0))-(((battery/range_nm)*D46*ROUND(K46*L46*revleg_thin,0)*VLOOKUP(B46,country_opex,3,FALSE))+V46+W46+X46+Y46+Z46))&lt;=0,"",VLOOKUP(B46,country_opex,7,FALSE)/((S46*pax_cap*load_thin*ROUND(K46*L46*revleg_thin,0))-(((battery/range_nm)*D46*ROUND(K46*L46*revleg_thin,0)*VLOOKUP(B46,country_opex,3,FALSE))+V46+W46+X46+Y46+Z46)))</f>
        <v/>
      </c>
      <c r="AU46" s="43">
        <f>IF(((S46*pax_cap*load_mid*ROUND(K46*L46*revleg_mid,0))-(((battery/range_nm)*D46*ROUND(K46*L46*revleg_mid,0)*VLOOKUP(B46,country_opex,3,FALSE))+V46+W46+X46+Y46+Z46))&lt;=0,"",VLOOKUP(B46,country_opex,7,FALSE)/((S46*pax_cap*load_mid*ROUND(K46*L46*revleg_mid,0))-(((battery/range_nm)*D46*ROUND(K46*L46*revleg_mid,0)*VLOOKUP(B46,country_opex,3,FALSE))+V46+W46+X46+Y46+Z46)))</f>
        <v/>
      </c>
      <c r="AV46" s="43">
        <f>IF(((S46*pax_cap*load_full*ROUND(K46*L46*revleg_full,0))-(((battery/range_nm)*D46*ROUND(K46*L46*revleg_full,0)*VLOOKUP(B46,country_opex,3,FALSE))+V46+W46+X46+Y46+Z46))&lt;=0,"",VLOOKUP(B46,country_opex,7,FALSE)/((S46*pax_cap*load_full*ROUND(K46*L46*revleg_full,0))-(((battery/range_nm)*D46*ROUND(K46*L46*revleg_full,0)*VLOOKUP(B46,country_opex,3,FALSE))+V46+W46+X46+Y46+Z46)))</f>
        <v/>
      </c>
      <c r="AW46" s="44" t="inlineStr">
        <is>
          <t>Soneva Fushi, Baa, OFFICIAL (soneva.com 'Your Journey'): round-trip SHARED Soneva private seaplane USD 1,300/adult = $650/way; luxurytravelexpert confirms $1,300 RT. immaldives 2026 shared-TMA band $550-720 RT (=~$635/way mid) for the generic operator. Soneva runs its own premium seaplane (the premium tier) - anchor $650/way. &gt;40nm - Navier substitutes SEAPLANE (61.8nm &lt;=70nm).</t>
        </is>
      </c>
      <c r="AX46" s="44" t="inlineStr">
        <is>
          <t>Modeled from resort key count. Soneva Fushi (Kunfunadhoo, Baa): ~71 villas/keys (published resort/Virtuoso/booking figures). corridor_annual_oneway_pax = keys x 365 x occ(0.75) / avg_stay(7 nights) x guests/key(2) x 2 (arr+dep) ~= keys x 156. 71 keys -&gt; ~11,100 one-way pax/yr. Airport(MLE)&lt;-&gt;this resort is the sole transfer corridor (boat/seaplane only; no road/air alt - R3-EXCEPTION: arrivals = crossing ridership).</t>
        </is>
      </c>
    </row>
    <row r="47">
      <c r="A47" s="45" t="inlineStr">
        <is>
          <t>TOTAL / median</t>
        </is>
      </c>
      <c r="T47" s="46">
        <f>SUM(T4:T46)</f>
        <v/>
      </c>
      <c r="AC47" s="46">
        <f>SUM(AC4:AC46)</f>
        <v/>
      </c>
      <c r="AD47" s="47">
        <f>IF(T47=0,"",AC47/T47)</f>
        <v/>
      </c>
      <c r="AL47" s="48">
        <f>SUM(AL4:AL46)</f>
        <v/>
      </c>
      <c r="AM47" s="46">
        <f>SUM(AM4:AM46)</f>
        <v/>
      </c>
    </row>
    <row r="49">
      <c r="A49" s="8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50">
      <c r="A50" s="24" t="inlineStr">
        <is>
          <t>Market</t>
        </is>
      </c>
      <c r="B50" s="24" t="inlineStr">
        <is>
          <t>Fleet basis</t>
        </is>
      </c>
      <c r="C50" s="24" t="inlineStr">
        <is>
          <t>Raw vessels (sum)</t>
        </is>
      </c>
      <c r="D50" s="24" t="inlineStr">
        <is>
          <t>Fleet (rounded once)</t>
        </is>
      </c>
      <c r="E50" s="24" t="inlineStr">
        <is>
          <t>Market rev/yr (raw sum)</t>
        </is>
      </c>
    </row>
    <row r="51">
      <c r="A51" s="25" t="inlineStr">
        <is>
          <t>Maldives (JIH)</t>
        </is>
      </c>
      <c r="B51" s="13" t="inlineStr">
        <is>
          <t>network_sum</t>
        </is>
      </c>
      <c r="C51" s="23">
        <f>SUMIFS(AN4:AN46,A4:A46,"Maldives (JIH)",AP4:AP46,"=",AQ4:AQ46,"=",AR4:AR46,"=")</f>
        <v/>
      </c>
      <c r="D51" s="49">
        <f>ROUND(C51,0)</f>
        <v/>
      </c>
      <c r="E51" s="50">
        <f>SUMIFS(AO4:AO46,A4:A46,"Maldives (JIH)",AP4:AP46,"=",AQ4:AQ46,"=",AR4:AR46,"=")</f>
        <v/>
      </c>
    </row>
    <row r="52">
      <c r="A52" s="45" t="inlineStr">
        <is>
          <t>GROUNDED FLOOR (PUBLISHED)</t>
        </is>
      </c>
      <c r="D52" s="48">
        <f>SUM(D51:D51)</f>
        <v/>
      </c>
      <c r="E52" s="46">
        <f>SUM(E51:E51)</f>
        <v/>
      </c>
    </row>
  </sheetData>
  <mergeCells count="2">
    <mergeCell ref="A49:L49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8" t="inlineStr">
        <is>
          <t>Market sizing — how the grounded floor builds into SOM → SAM → TAM</t>
        </is>
      </c>
    </row>
    <row r="3">
      <c r="A3" s="9" t="inlineStr">
        <is>
          <t>Growth multipliers (bands: low / MID / high)</t>
        </is>
      </c>
    </row>
    <row r="4">
      <c r="A4" s="10" t="inlineStr">
        <is>
          <t>Multiplier</t>
        </is>
      </c>
      <c r="B4" s="10" t="inlineStr">
        <is>
          <t>Low</t>
        </is>
      </c>
      <c r="C4" s="10" t="inlineStr">
        <is>
          <t>MID</t>
        </is>
      </c>
      <c r="D4" s="10" t="inlineStr">
        <is>
          <t>High</t>
        </is>
      </c>
      <c r="E4" s="10" t="inlineStr">
        <is>
          <t>What it means</t>
        </is>
      </c>
    </row>
    <row r="5">
      <c r="A5" s="25" t="inlineStr">
        <is>
          <t>Induced demand (k)</t>
        </is>
      </c>
      <c r="B5" s="19" t="n">
        <v>1.3</v>
      </c>
      <c r="C5" s="19" t="n">
        <v>1.8</v>
      </c>
      <c r="D5" s="19" t="n">
        <v>2.5</v>
      </c>
      <c r="E5" s="14" t="inlineStr">
        <is>
          <t>Faster/quieter product grows the crossing market beyond today's trips.</t>
        </is>
      </c>
    </row>
    <row r="6">
      <c r="A6" s="25" t="inlineStr">
        <is>
          <t>Mature capture rate (c)</t>
        </is>
      </c>
      <c r="B6" s="39" t="n">
        <v>0.8536</v>
      </c>
      <c r="C6" s="39" t="n">
        <v>0.8536</v>
      </c>
      <c r="D6" s="39" t="n">
        <v>0.9036000000000001</v>
      </c>
      <c r="E6" s="14" t="inlineStr">
        <is>
          <t>Navier's corridor share once it is the established premium default (vs 10% floor).</t>
        </is>
      </c>
    </row>
    <row r="7">
      <c r="A7" s="25" t="inlineStr">
        <is>
          <t>Journey GMV multiple (m)</t>
        </is>
      </c>
      <c r="B7" s="19" t="n">
        <v>2</v>
      </c>
      <c r="C7" s="19" t="n">
        <v>3</v>
      </c>
      <c r="D7" s="19" t="n">
        <v>4</v>
      </c>
      <c r="E7" s="14" t="inlineStr">
        <is>
          <t>Whole island-journey wallet (transport+food+stay+experiences) as a multiple of the boat fare.</t>
        </is>
      </c>
    </row>
    <row r="8">
      <c r="A8" s="25" t="inlineStr">
        <is>
          <t>Greenfield network factor (g)</t>
        </is>
      </c>
      <c r="B8" s="19" t="n">
        <v>3.44</v>
      </c>
      <c r="C8" s="19" t="n">
        <v>4.9</v>
      </c>
      <c r="D8" s="19" t="n">
        <v>6.36</v>
      </c>
      <c r="E8" s="14" t="inlineStr">
        <is>
          <t>Width lever: addressable network vs the sourced subset (ID-based census).</t>
        </is>
      </c>
    </row>
    <row r="9">
      <c r="A9" s="25" t="inlineStr">
        <is>
          <t>Platform take rate</t>
        </is>
      </c>
      <c r="C9" s="39" t="n">
        <v>0.18</v>
      </c>
      <c r="E9" s="14" t="inlineStr">
        <is>
          <t>Super-app blended commission on journey GMV (derived line only).</t>
        </is>
      </c>
    </row>
    <row r="11">
      <c r="A11" s="25" t="inlineStr">
        <is>
          <t>SOM capture rate (floor)</t>
        </is>
      </c>
      <c r="C11" s="39" t="n">
        <v>0.8536</v>
      </c>
      <c r="E11" s="14" t="inlineStr">
        <is>
          <t>Captive sole-operator capture (~85%) that builds the published floor; M_today = floor ÷ this = the true corridor spend pool.</t>
        </is>
      </c>
    </row>
    <row r="13">
      <c r="A13" s="9" t="inlineStr">
        <is>
          <t>The ladder (live off the corridor floor)</t>
        </is>
      </c>
    </row>
    <row r="14">
      <c r="A14" s="10" t="inlineStr">
        <is>
          <t>Rung</t>
        </is>
      </c>
      <c r="B14" s="10" t="inlineStr">
        <is>
          <t>Low</t>
        </is>
      </c>
      <c r="C14" s="10" t="inlineStr">
        <is>
          <t>MID</t>
        </is>
      </c>
      <c r="D14" s="10" t="inlineStr">
        <is>
          <t>High</t>
        </is>
      </c>
      <c r="E14" s="10" t="inlineStr">
        <is>
          <t>Definition</t>
        </is>
      </c>
    </row>
    <row r="15">
      <c r="A15" s="25" t="inlineStr">
        <is>
          <t>SOM floor — Navier transport rev/yr (PUBLISHED)</t>
        </is>
      </c>
      <c r="C15" s="50">
        <f>som_floor_rev</f>
        <v/>
      </c>
      <c r="E15" s="14" t="inlineStr">
        <is>
          <t>Live sum of grounded corridor market-rev (10% capture, today's demand, sourced corridors).</t>
        </is>
      </c>
    </row>
    <row r="16">
      <c r="A16" s="25" t="inlineStr">
        <is>
          <t>M_today — full transport spend on sourced corridors</t>
        </is>
      </c>
      <c r="C16" s="50">
        <f>$C$15/$C$11</f>
        <v/>
      </c>
      <c r="E16" s="14" t="inlineStr">
        <is>
          <t>Anchor = SOM floor ÷ capture rate; recovers the whole crossing pool's premium-transfer spend today.</t>
        </is>
      </c>
    </row>
    <row r="18">
      <c r="A18" s="25" t="inlineStr">
        <is>
          <t>SOM full network (~85% capture, today, +greenfield)</t>
        </is>
      </c>
      <c r="B18" s="50">
        <f>$C$16*$C$11*$B$8</f>
        <v/>
      </c>
      <c r="C18" s="50">
        <f>$C$16*$C$11*$C$8</f>
        <v/>
      </c>
      <c r="D18" s="50">
        <f>$C$16*$C$11*$D$8</f>
        <v/>
      </c>
      <c r="E18" s="14" t="inlineStr">
        <is>
          <t>Floor posture (~85% captive capture, today's demand) extended across the whole mapped network.</t>
        </is>
      </c>
    </row>
    <row r="19">
      <c r="A19" s="25" t="inlineStr">
        <is>
          <t>SAM — sourced corridors only (depth, no greenfield)</t>
        </is>
      </c>
      <c r="B19" s="50">
        <f>$C$16*$B$5*$B$6</f>
        <v/>
      </c>
      <c r="C19" s="50">
        <f>$C$16*$C$5*$C$6</f>
        <v/>
      </c>
      <c r="D19" s="50">
        <f>$C$16*$D$5*$D$6</f>
        <v/>
      </c>
      <c r="E19" s="14" t="inlineStr">
        <is>
          <t>Matured network on the sourced corridors alone: induced demand × mature capture.</t>
        </is>
      </c>
    </row>
    <row r="20">
      <c r="A20" s="25" t="inlineStr">
        <is>
          <t>SAM — Navier transport rev @ full network (HEADLINE)</t>
        </is>
      </c>
      <c r="B20" s="50">
        <f>$C$16*$B$5*$B$6*$B$8</f>
        <v/>
      </c>
      <c r="C20" s="50">
        <f>$C$16*$C$5*$C$6*$C$8</f>
        <v/>
      </c>
      <c r="D20" s="50">
        <f>$C$16*$D$5*$D$6*$D$8</f>
        <v/>
      </c>
      <c r="E20" s="14" t="inlineStr">
        <is>
          <t>Matured across the full addressable network: induced × mature capture × greenfield width.</t>
        </is>
      </c>
    </row>
    <row r="21">
      <c r="A21" s="25" t="inlineStr">
        <is>
          <t>Marine mobility TAM — induced marine-transfer market (LB-110)</t>
        </is>
      </c>
      <c r="B21" s="50">
        <f>$C$16*$B$5*$B$8</f>
        <v/>
      </c>
      <c r="C21" s="50">
        <f>$C$16*$C$5*$C$8</f>
        <v/>
      </c>
      <c r="D21" s="50">
        <f>$C$16*$D$5*$D$8</f>
        <v/>
      </c>
      <c r="E21" s="14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5" t="inlineStr">
        <is>
          <t>Journey GMV — induced crossing × multiple (was TAM journey GMV)</t>
        </is>
      </c>
      <c r="B22" s="50">
        <f>$C$16*$B$5*$B$7*$B$8</f>
        <v/>
      </c>
      <c r="C22" s="50">
        <f>$C$16*$C$5*$C$7*$C$8</f>
        <v/>
      </c>
      <c r="D22" s="50">
        <f>$C$16*$D$5*$D$7*$D$8</f>
        <v/>
      </c>
      <c r="E22" s="14" t="inlineStr">
        <is>
          <t>Whole-journey spend (transport+food+stay+experiences) across the induced crossing market on the full network. Marine TAM × journey GMV multiple.</t>
        </is>
      </c>
    </row>
    <row r="23">
      <c r="A23" s="25" t="inlineStr">
        <is>
          <t>Journey GMV routed through Navier network</t>
        </is>
      </c>
      <c r="B23" s="50">
        <f>$C$16*$B$5*$B$6*$B$7*$B$8</f>
        <v/>
      </c>
      <c r="C23" s="50">
        <f>$C$16*$C$5*$C$6*$C$7*$C$8</f>
        <v/>
      </c>
      <c r="D23" s="50">
        <f>$C$16*$D$5*$D$6*$D$7*$D$8</f>
        <v/>
      </c>
      <c r="E23" s="14" t="inlineStr">
        <is>
          <t>Journey GMV on Navier-carried trips only.</t>
        </is>
      </c>
    </row>
    <row r="24">
      <c r="A24" s="25" t="inlineStr">
        <is>
          <t>Partner platform revenue on Navier (LB-113 — on-Navier subset, not 18% of full Journey GMV)</t>
        </is>
      </c>
      <c r="B24" s="50">
        <f>$C$16*$B$5*$B$6*$B$7*$B$8*$C$9</f>
        <v/>
      </c>
      <c r="C24" s="50">
        <f>$C$16*$C$5*$C$6*$C$7*$C$8*$C$9</f>
        <v/>
      </c>
      <c r="D24" s="50">
        <f>$C$16*$D$5*$D$6*$D$7*$D$8*$C$9</f>
        <v/>
      </c>
      <c r="E24" s="14" t="inlineStr">
        <is>
          <t>The super-app's own commission — the number a platform partner cares about.</t>
        </is>
      </c>
    </row>
    <row r="26">
      <c r="A26" s="51" t="inlineStr">
        <is>
          <t>Note</t>
        </is>
      </c>
      <c r="B26" s="52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2026-06-22T01:17:15Z</dcterms:created>
  <dcterms:modified xsi:type="dcterms:W3CDTF">2026-06-22T01:17:15Z</dcterms:modified>
</cp:coreProperties>
</file>